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<sst xmlns="http://schemas.openxmlformats.org/spreadsheetml/2006/main" count="779">
  <si>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</si>
  <si>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</si>
  <si>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</si>
  <si>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</si>
  <si>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</si>
  <si>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</si>
  <si>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</si>
  <si>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</si>
  <si>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DO-YULQ004-PI-11</t>
  </si>
  <si>
    <t>X001QHK79L</t>
  </si>
  <si>
    <t>B078Y2G7XW</t>
  </si>
  <si>
    <t>Reborn Baby Dolls Full Silicone Body Real Looking Eye Closed Pink Outfit Small 10 Inches</t>
  </si>
  <si>
    <t>DO-YULQ111-PI-22</t>
  </si>
  <si>
    <t>X001OXE5F9</t>
  </si>
  <si>
    <t>B079JQ6R99</t>
  </si>
  <si>
    <t>Real Looking Reborn Baby Dolls Girl Silicone Tutu Skirt Rose Red 22 inches</t>
  </si>
  <si>
    <t>DO-YULQ111-R2-22</t>
  </si>
  <si>
    <t>X001PNOLC5</t>
  </si>
  <si>
    <t>B078X5HG51</t>
  </si>
  <si>
    <t>Reborn Baby Doll Girl Look Real Rose Red Tutu Skirt 22 Inches</t>
  </si>
  <si>
    <t>DO-YULQ073-LGR-22</t>
  </si>
  <si>
    <t>X001Q1D1M7</t>
  </si>
  <si>
    <t>B0792VRZ89</t>
  </si>
  <si>
    <t>Reborn Baby Dolls Boy Look Real Silicone Grey Outfit 22 Inches</t>
  </si>
  <si>
    <t>DO-YULQ107-PI-22</t>
  </si>
  <si>
    <t>X001PVRHN7</t>
  </si>
  <si>
    <t>B0795PQJS1</t>
  </si>
  <si>
    <t>Reborn Baby Dolls Girl Look Real Lifelike Toddler Silicone Vinyl Light Pink Knitted Outfit 22 Inches</t>
  </si>
  <si>
    <t>DO-YULQ010-P0-22</t>
  </si>
  <si>
    <t>X001POT6T7</t>
  </si>
  <si>
    <t>B078X59HSZ</t>
  </si>
  <si>
    <t>African American Reborn Baby Dolls Girl Look Real Light Purple Outfit 22 Inches</t>
  </si>
  <si>
    <t>DO-YULQ061-LGR-22</t>
  </si>
  <si>
    <t>X001OZM149</t>
  </si>
  <si>
    <t>B078X5DZRT</t>
  </si>
  <si>
    <t>Sleeping Silicone Reborn Baby Dolls Boy Look Real Light Gray Outfit 22 Inches</t>
  </si>
  <si>
    <t>DO-YULQ070-PI-16</t>
  </si>
  <si>
    <t>X001P1L8V9</t>
  </si>
  <si>
    <t>B079NYR8GC</t>
  </si>
  <si>
    <t>Silicone Reborn Baby Dolls Girl Look Real Lifelike Toddler White Outfit with Lovely Patterns 16 Inches</t>
  </si>
  <si>
    <t>DO-YULQ001-PI-22</t>
  </si>
  <si>
    <t>X001OX6MZZ</t>
  </si>
  <si>
    <t>B079JQCWQ6</t>
  </si>
  <si>
    <t>Real Looking Reborn Baby Dolls Girl Silicone Pink Outfit 22 Inches</t>
  </si>
  <si>
    <t>DO-YULQ123-FB-22</t>
  </si>
  <si>
    <t>X001Q2HXY3</t>
  </si>
  <si>
    <t>B0792VZN9S</t>
  </si>
  <si>
    <t>Real Life Reborn Baby Dolls Boy Baseball Sport Style White and Blue Outfit 22 Inches</t>
  </si>
  <si>
    <t>DO-YULQ171-LGR-22</t>
  </si>
  <si>
    <t>X001POT6HT</t>
  </si>
  <si>
    <t>B0795117ZD</t>
  </si>
  <si>
    <t>Full Silicone Body Real Life Reborn Baby Dolls Boy Light Gray Outfit 22 Inches</t>
  </si>
  <si>
    <t>DO-YULQ173-B7-22</t>
  </si>
  <si>
    <t>X001Q1TXW9</t>
  </si>
  <si>
    <t>B07BFVYCH2</t>
  </si>
  <si>
    <t>Silicone Reborn Baby Dolls Girl Look Real Lifelike Toddler Light Blue Rose Red Outfit with Toy Penguin 22 Inches</t>
  </si>
  <si>
    <t>DO-YULQ100-B7-22</t>
  </si>
  <si>
    <t>X001OXEB21</t>
  </si>
  <si>
    <t>B079JRPXZ8</t>
  </si>
  <si>
    <t>Real Life Silicone Reborn Baby Dolls Boy Look Real White Light Blue Outfit 22 Inches</t>
  </si>
  <si>
    <t>DO-YULQ062-PI-22</t>
  </si>
  <si>
    <t>X001OXH3NP</t>
  </si>
  <si>
    <t>B079JRDT89</t>
  </si>
  <si>
    <t>Silicone Reborn Baby Dolls Girl Look Real Eye Closed Pink Outfit 22 inches</t>
  </si>
  <si>
    <t>DO-YULQ152-Z1-22</t>
  </si>
  <si>
    <t>X001RHGRW1</t>
  </si>
  <si>
    <t>B07CN4J1B2</t>
  </si>
  <si>
    <t>22 Inches Realistic Reborn Baby Dolls Girl Silicone with Toy Cow</t>
  </si>
  <si>
    <t>DO-YULQ004-B7-11</t>
  </si>
  <si>
    <t>X001QXUCB3</t>
  </si>
  <si>
    <t>B078Y5BTZC</t>
  </si>
  <si>
    <t>Reborn Baby Dolls Full Silicone Body Real Looking Eye Closed Light Blue Outfit Small 10 Inches</t>
  </si>
  <si>
    <t>DO-YULQ150-PI-20</t>
  </si>
  <si>
    <t>X001RH0E8J</t>
  </si>
  <si>
    <t>B07CM664M7</t>
  </si>
  <si>
    <t>20 Inches Real Looking Reborn Baby Dolls Girl Silicone Vinyl Eye Closed Pink Pajama</t>
  </si>
  <si>
    <t>DO-YULQ081-PI-10</t>
  </si>
  <si>
    <t>X001QBCP33</t>
  </si>
  <si>
    <t>B07BLRWT2V</t>
  </si>
  <si>
    <t>Real Life Reborn Baby Dolls Girl Full Silicone Body Pink Outfit with Sleeping Bag 10 Inches</t>
  </si>
  <si>
    <t>DO-YULQ620-NZ-22</t>
  </si>
  <si>
    <t>X001OVDBZ1</t>
  </si>
  <si>
    <t>B079JXQJSM</t>
  </si>
  <si>
    <t>Silicone Reborn Baby Dolls Girl Look Real Denim Dress 22 Inches</t>
  </si>
  <si>
    <t>DOLL-0601-PI-22</t>
  </si>
  <si>
    <t>X001OO0PAH</t>
  </si>
  <si>
    <t>B076J2TBNG</t>
  </si>
  <si>
    <t>Real Looking Sleeping Reborn Baby Doll Girl Silicone Pink 22 Inches</t>
  </si>
  <si>
    <t>DOLL-006-PI-10</t>
  </si>
  <si>
    <t>X001P4AG6T</t>
  </si>
  <si>
    <t>B076Q7DCP1</t>
  </si>
  <si>
    <t>African American Sleeping Reborn Baby Doll Look Real Full Body Silicone Pink Outfit 10 Inches</t>
  </si>
  <si>
    <t>DO-YULQ610-R2-22</t>
  </si>
  <si>
    <t>X001P1VIYV</t>
  </si>
  <si>
    <t>B0793RW7P4</t>
  </si>
  <si>
    <t>Real Looking Reborn Baby Dolls Girl Silicone Rose Red Outfit 22 Inches</t>
  </si>
  <si>
    <t>DO-YULQ664-AX-16</t>
  </si>
  <si>
    <t>X001QMBLRX</t>
  </si>
  <si>
    <t>B07BSN65PZ</t>
  </si>
  <si>
    <t>Reborn Baby Dolls girl Look Real Lifelike Toddler Silicone with Toy Watermelon Red Outfit 16 Inches</t>
  </si>
  <si>
    <t>DO-YULQ230-PI-16</t>
  </si>
  <si>
    <t>X001P2UNW3</t>
  </si>
  <si>
    <t>B0795M8J8G</t>
  </si>
  <si>
    <t>Reborn Baby Dolls Girl Look Real Lifelike Toddler Silicone Vinyl Light Pink Dress 16 Inches</t>
  </si>
  <si>
    <t>DO-YULQ638-PI-20</t>
  </si>
  <si>
    <t>X001OZK76N</t>
  </si>
  <si>
    <t>B07929YDZM</t>
  </si>
  <si>
    <t>Full Silicone Body Reborn Baby Dolls Girl Look Real Pink Knitted Outfit 22 Inches</t>
  </si>
  <si>
    <t>DO-YULQ639-LGR-22</t>
  </si>
  <si>
    <t>X001Q1TXHJ</t>
  </si>
  <si>
    <t>B07BFVHDDP</t>
  </si>
  <si>
    <t>Full Silicone Reborn Baby Dolls Twins Boy Realistic Toddler Light Gray Outfit with Dinosaur Patterns 22 Inches</t>
  </si>
  <si>
    <t>DOLL-0630-PI-22</t>
  </si>
  <si>
    <t>X001PO0VDH</t>
  </si>
  <si>
    <t>B076J4L24W</t>
  </si>
  <si>
    <t>Sleeping Reborn Baby Doll Girl Look Real Silicone Pink with Cow Pattern 22 Inches</t>
  </si>
  <si>
    <t>DO-YULQ604-PI-22</t>
  </si>
  <si>
    <t>X001PQ4HKN</t>
  </si>
  <si>
    <t>B078XB1WC9</t>
  </si>
  <si>
    <t>Silicone Reborn Baby Dolls Girl Look Real Eye Closed Pink Outfit 22 Inches</t>
  </si>
  <si>
    <t>DO-YULQ200-PI-10</t>
  </si>
  <si>
    <t>X001PUE3FD</t>
  </si>
  <si>
    <t>B07B9Q774Z</t>
  </si>
  <si>
    <t>Cheap Silicone Reborn Baby Dolls Look Real Girl Pink Outfit with Bee 10 Inches</t>
  </si>
  <si>
    <t>DO-YULQ638-LGR-20</t>
  </si>
  <si>
    <t>X001PSQOZR</t>
  </si>
  <si>
    <t>B07B7G22RT</t>
  </si>
  <si>
    <t>Full Silicone Body Reborn Baby Dolls Boy Look Real Light Blue Outfit 22 Inches</t>
  </si>
  <si>
    <t>DOLL-006-LB-11</t>
  </si>
  <si>
    <t>B076Q79H79</t>
  </si>
  <si>
    <t>African American Sleeping Reborn Baby Dolls Look Real Full Body Silicone Light Blue Outfit 10 Inches</t>
  </si>
  <si>
    <t>DO-YULQ200-W0-10</t>
  </si>
  <si>
    <t>X001PVQ96D</t>
  </si>
  <si>
    <t>B07B94LQJR</t>
  </si>
  <si>
    <t>Cheap Silicone Reborn Baby Dolls Look Real Boy White Outfit with Bee 10 Inches</t>
  </si>
  <si>
    <t>DOLL-008-W0-22</t>
  </si>
  <si>
    <t>X001P0G6DZ</t>
  </si>
  <si>
    <t>B079M128Y6</t>
  </si>
  <si>
    <t>Sleeping Silicone Reborn Baby Dolls Girl Look Real White Nightdress 22 Inches</t>
  </si>
  <si>
    <t>DO-YULQ701-PI-22</t>
  </si>
  <si>
    <t>X001RH0E7Z</t>
  </si>
  <si>
    <t>B07CM9N213</t>
  </si>
  <si>
    <t>22 Inches Silicone Reborn Baby Dolls Girl Look Real Rose Red Tutu Skirt with Striped Pants</t>
  </si>
  <si>
    <t>DOLL-0605-PI-22</t>
  </si>
  <si>
    <t>X001OXET6T</t>
  </si>
  <si>
    <t>B076J6949M</t>
  </si>
  <si>
    <t>Realistic Sleeping Reborn Baby Doll Girl Lifelike Silicone Pink 22 Inches</t>
  </si>
  <si>
    <t>DO-YULQ702-PI-22</t>
  </si>
  <si>
    <t>X001RH05B5</t>
  </si>
  <si>
    <t>B07CM6R65H</t>
  </si>
  <si>
    <t>22 Inches Full Silicone Body Reborn Baby Dolls Boy Hnadmade Toddler Eye Closed Red Outfit</t>
  </si>
  <si>
    <t>DOLL-010-PI-22</t>
  </si>
  <si>
    <t>X001OXY7C5</t>
  </si>
  <si>
    <t>B06XPJWWR4</t>
  </si>
  <si>
    <t>Reborn Baby Doll Girl Look Real Silicone Pink Outfit 22 Inches</t>
  </si>
  <si>
    <t>DOLL-004-PI-10</t>
  </si>
  <si>
    <t>X001P46W17</t>
  </si>
  <si>
    <t>B076Q8RG21</t>
  </si>
  <si>
    <t>Sleeping Reborn Baby Doll Look Real Full Silicone Body Pink Outfit 10 Inches</t>
  </si>
  <si>
    <t>DO-YULQ812-W0-18</t>
  </si>
  <si>
    <t>X001Q2E5HB</t>
  </si>
  <si>
    <t>B0792VKCCR</t>
  </si>
  <si>
    <t>Sleeping Reborn Baby Dolls Boy Look Real Lifelike Toddler Silicone Vinyl Panda Outfit 18 Inches</t>
  </si>
  <si>
    <t>DOLL-020-PI-22</t>
  </si>
  <si>
    <t>X001P0NEXF</t>
  </si>
  <si>
    <t>B06XPKHVHC</t>
  </si>
  <si>
    <t>Realistic Real Life Reborn Baby Dolls Girl Silicone Pink Outfit 22 Inches</t>
  </si>
  <si>
    <t>DOLL-9042-B0-22</t>
  </si>
  <si>
    <t>X001QHA8CR</t>
  </si>
  <si>
    <t>B076J5RSFF</t>
  </si>
  <si>
    <t>Reborn Baby Doll Boy Look Real Silicone Blue Outfit 22 inches</t>
  </si>
  <si>
    <t>DOLLDRESS-003-PI-20</t>
  </si>
  <si>
    <t>B076K8YDNV</t>
  </si>
  <si>
    <t>Reborn Baby Doll Outfits Girl Accessories for 20"- 22" Pink and Cow Pattern</t>
  </si>
  <si>
    <t>DOLLDRESS-003-WO-M</t>
  </si>
  <si>
    <t>B077Z6B9TS</t>
  </si>
  <si>
    <t>4 Pcs Newborn Baby Outfits Set for Girl White with Cow Pattern M(6-12 Months)</t>
  </si>
  <si>
    <t>YF-YULQ007-PI-20</t>
  </si>
  <si>
    <t>X001RZMLPZ</t>
  </si>
  <si>
    <t>B074P4D14G</t>
  </si>
  <si>
    <t>Reborn Baby Doll Outfits Girl Accessories for 20"- 22" Pink</t>
  </si>
  <si>
    <t>DOLLDRESS-003-R2-20</t>
  </si>
  <si>
    <t>B076KQB6X1</t>
  </si>
  <si>
    <t>Reborn Baby Doll Outfits Girl Accessories for 20"- 22" Rose Red and Cow Pattern</t>
  </si>
  <si>
    <t>DOLL-7056-LGR-11</t>
  </si>
  <si>
    <t>X001P0HYC7</t>
  </si>
  <si>
    <t>B077HNP6TL</t>
  </si>
  <si>
    <t>Yesteria Full Silicone Body Reborn Baby Doll Elephant Outfit Look Real Gray 10 Inches</t>
  </si>
  <si>
    <t>YF-YULQ602-PI-20</t>
  </si>
  <si>
    <t>X001P30S4Z</t>
  </si>
  <si>
    <t>B079P55XYW</t>
  </si>
  <si>
    <t>Reborn Baby Doll Outfits Boy Accessories for 20"- 22" Pink Outfit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</si>
  <si>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</si>
  <si>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</si>
  <si>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</si>
  <si>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</si>
  <si>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</si>
  <si>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</si>
  <si>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</si>
  <si>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</si>
  <si>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</si>
  <si>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</si>
  <si>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</si>
  <si>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</si>
  <si>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</si>
  <si>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</si>
  <si>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</si>
  <si>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</si>
  <si>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</si>
  <si>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</si>
  <si>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</si>
  <si>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</si>
  <si>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</si>
  <si>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</si>
  <si>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</si>
  <si>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</si>
  <si>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</si>
  <si>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</si>
  <si>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</si>
  <si>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</si>
  <si>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</si>
  <si>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</si>
  <si>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</si>
  <si>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</si>
  <si>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DO-YULQ708-W0-24</t>
  </si>
  <si>
    <t>X001SACFF5</t>
  </si>
  <si>
    <t>B07D4DC72D</t>
  </si>
  <si>
    <t>24 Inches Reborn Baby Doll Silicone Vinyl Realistic Toddler Panda Coat Black Pants with Shoes</t>
  </si>
  <si>
    <t>New</t>
  </si>
  <si>
    <t>USD</t>
  </si>
  <si>
    <t>Low traffic</t>
  </si>
  <si>
    <t>Advertise listing</t>
  </si>
  <si>
    <t>0.742245 cuft</t>
  </si>
  <si>
    <t>Standard</t>
  </si>
  <si>
    <t>Low conversion</t>
  </si>
  <si>
    <t>Improve recommendations</t>
  </si>
  <si>
    <t>0.5858 cuft</t>
  </si>
  <si>
    <t>DO-YULQ330-PI-18</t>
  </si>
  <si>
    <t>B0792VK5C4</t>
  </si>
  <si>
    <t>Reborn Baby Dolls Girl Lifelike Toddler Silicone Vinyl Light Pink Nightdress 18 inches</t>
  </si>
  <si>
    <t>Lower price</t>
  </si>
  <si>
    <t>0.381944 cuft</t>
  </si>
  <si>
    <t>DO-YULQ100-G0-10</t>
  </si>
  <si>
    <t>X001PTUFGF</t>
  </si>
  <si>
    <t>B07B9SLG9M</t>
  </si>
  <si>
    <t>Silicone Reborn Baby Dolls Look Real Boy Knitted Outfit Green 10 Inches</t>
  </si>
  <si>
    <t>0.104167 cuft</t>
  </si>
  <si>
    <t>DO-YULQ006-B7-10</t>
  </si>
  <si>
    <t>B078Y8Y5F7</t>
  </si>
  <si>
    <t>Black Reborn Baby Dolls Full Silicone Body Real Looking Eye Closed Light Blue Outfit Small 10 Inches</t>
  </si>
  <si>
    <t>0.12377 cuft</t>
  </si>
  <si>
    <t>DO-YULQ163-B7-22</t>
  </si>
  <si>
    <t>X001QYJZ6P</t>
  </si>
  <si>
    <t>B078XBDF6J</t>
  </si>
  <si>
    <t>Real Looking Reborn Baby Dolls Twins Boy Silicone Light Blue 22 Inches</t>
  </si>
  <si>
    <t>0.259259 cuft</t>
  </si>
  <si>
    <t>DOLL-AD011-PI-22</t>
  </si>
  <si>
    <t>X001PSS24N</t>
  </si>
  <si>
    <t>B077SGXYL6</t>
  </si>
  <si>
    <t>Reborn Baby Doll Girl Look Real Silicone Pink Tutu Skirt 22 Inches</t>
  </si>
  <si>
    <t>0.444444 cuft</t>
  </si>
  <si>
    <t>0.510417 cuft</t>
  </si>
  <si>
    <t>DO-YULQ100-R0-10</t>
  </si>
  <si>
    <t>X001PVRDSB</t>
  </si>
  <si>
    <t>B07B9Q9YNG</t>
  </si>
  <si>
    <t>Silicone Reborn Baby Dolls Look Real Girl Knitted Outfit Red 10 Inches</t>
  </si>
  <si>
    <t>0.180556 cuft</t>
  </si>
  <si>
    <t>0.619984 cuft</t>
  </si>
  <si>
    <t>0.457465 cuft</t>
  </si>
  <si>
    <t>0.356045 cuft</t>
  </si>
  <si>
    <t>0.078125 cuft</t>
  </si>
  <si>
    <t>0.476748 cuft</t>
  </si>
  <si>
    <t>DO-YULQ081-B7-10</t>
  </si>
  <si>
    <t>X001QBLAU7</t>
  </si>
  <si>
    <t>B07BLRH5BR</t>
  </si>
  <si>
    <t>Real Life Reborn Baby Dolls Boy Full Silicone Body Light Blue Outfit with Sleeping Bag 10 Inches</t>
  </si>
  <si>
    <t>0.121528 cuft</t>
  </si>
  <si>
    <t>DO-YULQ220-R2-22</t>
  </si>
  <si>
    <t>X001OSDA9B</t>
  </si>
  <si>
    <t>B079DPVXXZ</t>
  </si>
  <si>
    <t>Sleeping Reborn Baby Dolls Girl Half Silicone Vinyl Body Lifelike Toddler with Toy Bear Rose Red Outfit 22 Inches</t>
  </si>
  <si>
    <t>0.862847 cuft</t>
  </si>
  <si>
    <t>Oversize</t>
  </si>
  <si>
    <t>DO-YULQ700-PI-22</t>
  </si>
  <si>
    <t>X001RH01CX</t>
  </si>
  <si>
    <t>B07CM58KHK</t>
  </si>
  <si>
    <t>22 Inches Full Silicone Body Reborn Baby Dolls Twins Girl Handmade Toddler Eye Closed Pink Outfit</t>
  </si>
  <si>
    <t>0.119438 cuft</t>
  </si>
  <si>
    <t>DO-YULQ008-LGR-16</t>
  </si>
  <si>
    <t>X001PNOPR1</t>
  </si>
  <si>
    <t>B0795D6KPS</t>
  </si>
  <si>
    <t>Reborn Baby Doll Girl Elephant Outfit Look Real Silicone Gray 16 Inches</t>
  </si>
  <si>
    <t>0.375 cuft</t>
  </si>
  <si>
    <t>DO-YULQ704-B0-24</t>
  </si>
  <si>
    <t>X001S9OBTT</t>
  </si>
  <si>
    <t>B07D4DDT41</t>
  </si>
  <si>
    <t>24 Inches Reborn Baby Doll Real Looking Toddler Blue Jacket with Crocodile Striped Pants White Shoes</t>
  </si>
  <si>
    <t>0.91985 cuft</t>
  </si>
  <si>
    <t>DO-YULQ707-PI-24</t>
  </si>
  <si>
    <t>X001S9OE1T</t>
  </si>
  <si>
    <t>B07D4DRFYN</t>
  </si>
  <si>
    <t>24 Inches Realistic Reborn Baby Doll Girl Silicone Pink Outfit White Shoes with Toy Giraffe</t>
  </si>
  <si>
    <t>0.185185 cuft</t>
  </si>
  <si>
    <t>DO-YULQ606-W0-22</t>
  </si>
  <si>
    <t>X001QM1BCD</t>
  </si>
  <si>
    <t>B07BSFP5QZ</t>
  </si>
  <si>
    <t>Realistic Reborn Baby Dolls Boy Look Real Silicone White Outfit with Crocodile Patterns 22 inches</t>
  </si>
  <si>
    <t>0.001157 cuft</t>
  </si>
  <si>
    <t>YF-YULQ002-B7-20</t>
  </si>
  <si>
    <t>X001P1RSI1</t>
  </si>
  <si>
    <t>B079NXJZ52</t>
  </si>
  <si>
    <t>Reborn Baby Doll Outfits Boy Accessories for 20"- 22" White and Light Blue Pants</t>
  </si>
  <si>
    <t>0.040509 cuft</t>
  </si>
  <si>
    <t>DO-YULQ161-PI-22</t>
  </si>
  <si>
    <t>B078XBY1MZ</t>
  </si>
  <si>
    <t>Real Looking Sleeping Reborn Baby Dolls Twins Girl Silicone Pink 22 Inches</t>
  </si>
  <si>
    <t>DO-YULQ611-TW-22</t>
  </si>
  <si>
    <t>X001OXEIID</t>
  </si>
  <si>
    <t>B0793RG3PM</t>
  </si>
  <si>
    <t>Real Life Silicone Reborn Baby Dolls Boy Look Real Striped Jumpsuit 22 Inches</t>
  </si>
  <si>
    <t>0.395833 cuft</t>
  </si>
  <si>
    <t>DO-YULQ006-PI-11</t>
  </si>
  <si>
    <t>X001R6S0A9</t>
  </si>
  <si>
    <t>B078XZR24D</t>
  </si>
  <si>
    <t>African American Reborn Baby Dolls Full Silicone Body Real Looking Eye Closed Pink Outfit Small 10 Inches</t>
  </si>
  <si>
    <t>0.054167 cuft</t>
  </si>
  <si>
    <t>DOLL-AD010-03R-22</t>
  </si>
  <si>
    <t>B0788N4FMR</t>
  </si>
  <si>
    <t>Reborn Baby Doll Girl Look Real White Outfit with Cat Pattern 22 Inches</t>
  </si>
  <si>
    <t>0.611111 cuft</t>
  </si>
  <si>
    <t>DO-YULQ705-W0-22</t>
  </si>
  <si>
    <t>X001SACFE1</t>
  </si>
  <si>
    <t>B07D4D4876</t>
  </si>
  <si>
    <t>22 inches Real Looking Reborn Baby Doll Realistic Toddler Silicone Baseball Jacket White Pants White Shoes</t>
  </si>
  <si>
    <t>0.708333 cuft</t>
  </si>
  <si>
    <t>0.218981 cuft</t>
  </si>
  <si>
    <t>DO-YULQ232-W0-10</t>
  </si>
  <si>
    <t>X001SVWJ1T</t>
  </si>
  <si>
    <t>B07DL5ZGP8</t>
  </si>
  <si>
    <t>10 inches Full Silicone Mini Palm Reborn Baby Doll Look Real Girl Toddler Eye Closed White Dress Flower Hair Band</t>
  </si>
  <si>
    <t>0.08912 cuft</t>
  </si>
  <si>
    <t>DO-YULQ021-W0-22</t>
  </si>
  <si>
    <t>X001P1LB89</t>
  </si>
  <si>
    <t>B079P52R76</t>
  </si>
  <si>
    <t>Reborn Baby Dolls Girl Look Real Lifelike Toddler with Toy Rabbit White and Light Gray Outfit 22 Inches</t>
  </si>
  <si>
    <t>0.222222 cuft</t>
  </si>
  <si>
    <t>DO-YULQ705-BR-11</t>
  </si>
  <si>
    <t>X001OX6MZP</t>
  </si>
  <si>
    <t>B079K3D4WY</t>
  </si>
  <si>
    <t>Cheap Full Silicone Reborn Baby Dolls Girl Bohemia Style Dress 10 Inches</t>
  </si>
  <si>
    <t>0.005208 cuft</t>
  </si>
  <si>
    <t>0.548394 cuft</t>
  </si>
  <si>
    <t>0.491175 cuft</t>
  </si>
  <si>
    <t>0.509259 cuft</t>
  </si>
  <si>
    <t>DO-YULQ163-PI-22</t>
  </si>
  <si>
    <t>X001R645H1</t>
  </si>
  <si>
    <t>DOLL-007XM-WO-17</t>
  </si>
  <si>
    <t>B077HQRC9P</t>
  </si>
  <si>
    <t>Reborn Baby Doll Girl Panda Outfit Look Real Black and White 17 Inches</t>
  </si>
  <si>
    <t>Create Sale</t>
  </si>
  <si>
    <t>0.166667 cuft</t>
  </si>
  <si>
    <t>DO-YULQ703-PI-22</t>
  </si>
  <si>
    <t>X001RG4EKT</t>
  </si>
  <si>
    <t>B07CN76YH9</t>
  </si>
  <si>
    <t>22 Inches Real Looking Reborn Baby Dolls Girl Realistic Toddler Silicone Rose Red Outfit</t>
  </si>
  <si>
    <t>0.5 cuft</t>
  </si>
  <si>
    <t>DO-YULQ042-W0-22</t>
  </si>
  <si>
    <t>X001PTUFG5</t>
  </si>
  <si>
    <t>B07B9C9WPT</t>
  </si>
  <si>
    <t>Silicone Reborn Baby Dolls Boy Whte Outfit with Penguin Pattern 22 Inches</t>
  </si>
  <si>
    <t>DO-YULQ171-B0-22</t>
  </si>
  <si>
    <t>X001P2XNRZ</t>
  </si>
  <si>
    <t>B079NW9791</t>
  </si>
  <si>
    <t>Realistic Reborn Baby Dolls Boy Toddler with Toy Bear Blue Outfit 22 Inches</t>
  </si>
  <si>
    <t>0.368521 cuft</t>
  </si>
  <si>
    <t>DO-YULQ063-PI-22</t>
  </si>
  <si>
    <t>X001P2XTT7</t>
  </si>
  <si>
    <t>B079P24VZF</t>
  </si>
  <si>
    <t>Sleeping Reborn Baby Dolls Girls Lifelike Toddler Silicone Pink Outfit with Cat Pattern 22 Inches</t>
  </si>
  <si>
    <t>DO-YULQ061-W0-22</t>
  </si>
  <si>
    <t>X001OQWV5H</t>
  </si>
  <si>
    <t>B079DRCQ6B</t>
  </si>
  <si>
    <t>Sleeping Reborn Baby Dolls Girl Half Silicone Vinyl Body Look Real Lifelike Toddler White Baby Jumpsuit 22 Inches</t>
  </si>
  <si>
    <t>0.858912 cuft</t>
  </si>
  <si>
    <t>DO-YULQ058-BR-10</t>
  </si>
  <si>
    <t>X001OZK81H</t>
  </si>
  <si>
    <t>B0793PS7QX</t>
  </si>
  <si>
    <t>African American Reborn Baby Doll Boy Look Real Full Silicone Body Romper Vintage Style 10 Inches</t>
  </si>
  <si>
    <t>0.666667 cuft</t>
  </si>
  <si>
    <t>DOLL-005-WO-11</t>
  </si>
  <si>
    <t>B076PDDZW9</t>
  </si>
  <si>
    <t>African American Reborn Baby Doll Boy Look Real Full Body Silicone White Outfit 10 Inches</t>
  </si>
  <si>
    <t>0.09375 cuft</t>
  </si>
  <si>
    <t>DO-YULQ152-B7-22</t>
  </si>
  <si>
    <t>X001OX6U3T</t>
  </si>
  <si>
    <t>B079JRG1TM</t>
  </si>
  <si>
    <t>Real Life Silicone Reborn Baby Dolls Boy Look Real Light Blue Outfit with Hippo Pattern 22 Inches</t>
  </si>
  <si>
    <t>0.263573 cuft</t>
  </si>
  <si>
    <t>DO-YULQ011-NZ-22</t>
  </si>
  <si>
    <t>X001OZJ3TF</t>
  </si>
  <si>
    <t>B0793QLQ3Z</t>
  </si>
  <si>
    <t>African American Reborn Baby Dolls Curls Girl Real Looking Toddler Denim Dress 22 Inches</t>
  </si>
  <si>
    <t>0.735656 cuft</t>
  </si>
  <si>
    <t>DO-YULQ630-R2-15</t>
  </si>
  <si>
    <t>X001PSVDCV</t>
  </si>
  <si>
    <t>B0794XFL8V</t>
  </si>
  <si>
    <t>Sleeping Reborn Baby Doll Girl Look Real Silicone Rose Red Outfit with Cow Pattern 15 Inches</t>
  </si>
  <si>
    <t>0.625 cuft</t>
  </si>
  <si>
    <t>0.402587 cuft</t>
  </si>
  <si>
    <t>0.144287 cuft</t>
  </si>
  <si>
    <t>0.175274 cuft</t>
  </si>
  <si>
    <t>DO-YULQ010-PI-22</t>
  </si>
  <si>
    <t>X001P20NIH</t>
  </si>
  <si>
    <t>B079NSK8NL</t>
  </si>
  <si>
    <t>Realistic Reborn Baby Dolls Girl Toddler with Toy Bear Light Pink Outfit 22 Inches</t>
  </si>
  <si>
    <t>0.28525 cuft</t>
  </si>
  <si>
    <t>DO-YULQ121-PI-22</t>
  </si>
  <si>
    <t>X001RH0IXF</t>
  </si>
  <si>
    <t>B07CM347WF</t>
  </si>
  <si>
    <t>22 Inches Real Looking Reborn Baby Dolls Girl Realistic Toddler Silicone Vinyl Pink European Retro Nightdress</t>
  </si>
  <si>
    <t>0.125 cuft</t>
  </si>
  <si>
    <t>DO-YULQ159-R2-22</t>
  </si>
  <si>
    <t>X001QD15OB</t>
  </si>
  <si>
    <t>B07BNCFZXN</t>
  </si>
  <si>
    <t>Reborn Baby Dolls Girl Full Silicone Body Look Real Rose Red Tutu Skirt 22 Inches</t>
  </si>
  <si>
    <t>0.694444 cuft</t>
  </si>
  <si>
    <t>DOLL-004-LB-10</t>
  </si>
  <si>
    <t>X001P45Q9B</t>
  </si>
  <si>
    <t>B076Q71HXL</t>
  </si>
  <si>
    <t>Sleeping Reborn Baby Doll Look Real Full Silicone Body Light Blue Outfit 10 Inches</t>
  </si>
  <si>
    <t>0.074161 cuft</t>
  </si>
  <si>
    <t>DO-YULQ203-P4-22</t>
  </si>
  <si>
    <t>X001PQVLIJ</t>
  </si>
  <si>
    <t>B0793R99F1</t>
  </si>
  <si>
    <t>Real Looking Sleeping Reborn Baby Dolls Girl Silicone Light Purple Tutu Skirt 22 Inches</t>
  </si>
  <si>
    <t>0.25 cuft</t>
  </si>
  <si>
    <t>DOLLDRESS-1612-GO-23</t>
  </si>
  <si>
    <t>B0778B83P8</t>
  </si>
  <si>
    <t>3 Pcs Reborn Baby Doll Outfit Knitted for 20"- 22" Green</t>
  </si>
  <si>
    <t>5.8E-5 cuft</t>
  </si>
  <si>
    <t>0.46658 cuft</t>
  </si>
  <si>
    <t>NZZH-FLQ52</t>
  </si>
  <si>
    <t>X001OZFHO5</t>
  </si>
  <si>
    <t>B077VNWLJW</t>
  </si>
  <si>
    <t>4 Pcs Reborn Baby Doll Supplies Accessories Magnet Dummy Pacifier Transparent Blue Green Pink</t>
  </si>
  <si>
    <t>0.005064 cuft</t>
  </si>
  <si>
    <t>DO-YULQ985-B7-20</t>
  </si>
  <si>
    <t>X001RH0E8T</t>
  </si>
  <si>
    <t>B07CM67KDW</t>
  </si>
  <si>
    <t>20 Inches Full Silicone Vinyl Body Reborn Baby Dolls Boy Real Looking Naked Toddler with Blue Blanket</t>
  </si>
  <si>
    <t>0.280382 cuft</t>
  </si>
  <si>
    <t>0.095486 cuft</t>
  </si>
  <si>
    <t>0.391059 cuft</t>
  </si>
  <si>
    <t>DOLL-1613-LB-22</t>
  </si>
  <si>
    <t>B076MT3BDS</t>
  </si>
  <si>
    <t>Reborn Baby Doll Boy Look Real Silicone Light Blue Outfit 22 Inches</t>
  </si>
  <si>
    <t>0.597227 cuft</t>
  </si>
  <si>
    <t>0.055339 cuft</t>
  </si>
  <si>
    <t>DOLL-0603-NZ-22</t>
  </si>
  <si>
    <t>X001OZL7AN</t>
  </si>
  <si>
    <t>B077SDPC6N</t>
  </si>
  <si>
    <t>Reborn Baby Doll Girl Look Real Silicone Denim Dress 22 Inches</t>
  </si>
  <si>
    <t>0.527561 cuft</t>
  </si>
  <si>
    <t>5.79E-4 cuft</t>
  </si>
  <si>
    <t>0.049681 cuft</t>
  </si>
  <si>
    <t>DO-YULQ018-P4-16</t>
  </si>
  <si>
    <t>X001POPFKB</t>
  </si>
  <si>
    <t>B078X5DJLB</t>
  </si>
  <si>
    <t>Realistic Reborn Baby Dolls Girl Look Real Toddler Silicone Light Purple Outfit with Cushion 16 Inches</t>
  </si>
  <si>
    <t>DOLL-1630-R0-22</t>
  </si>
  <si>
    <t>X001P0GXVZ</t>
  </si>
  <si>
    <t>B076P99TGC</t>
  </si>
  <si>
    <t>Sleeping Reborn Baby Doll Boy Look Real Full Silicone Body Red Outfit 22 Inches</t>
  </si>
  <si>
    <t>0.707494 cuft</t>
  </si>
  <si>
    <t>DOLLDRESS-003-R2-M</t>
  </si>
  <si>
    <t>B077Z474QH</t>
  </si>
  <si>
    <t>Yesteria 4 Pcs Newborn Baby Outfits Set for Girl Rose Red with Cow Pattern M(6-12 Months)</t>
  </si>
  <si>
    <t>0.053377 cuft</t>
  </si>
  <si>
    <t>Apparel</t>
  </si>
  <si>
    <t>DO-YULQ663-PI-15</t>
  </si>
  <si>
    <t>X001QKEAFF</t>
  </si>
  <si>
    <t>B07BRK2R83</t>
  </si>
  <si>
    <t>Real Life Reborn Baby Dolls Girl Look Real Silicone Vinyl Pink Outfit 15 Inches</t>
  </si>
  <si>
    <t>0.564937 cuft</t>
  </si>
  <si>
    <t>0.7875 cuft</t>
  </si>
  <si>
    <t>YF-YULQ162-B7-20</t>
  </si>
  <si>
    <t>X001P31H1D</t>
  </si>
  <si>
    <t>B079P28VV3</t>
  </si>
  <si>
    <t>Reborn Baby Doll Outfits Boy Accessories for 20"- 22" Light Blue Outfit</t>
  </si>
  <si>
    <t>0.070721 cuft</t>
  </si>
  <si>
    <t>0.043403 cuft</t>
  </si>
  <si>
    <t>0.661586 cuft</t>
  </si>
  <si>
    <t>DO-YULQ115-R2-22</t>
  </si>
  <si>
    <t>X001QYGG7V</t>
  </si>
  <si>
    <t>B0788N9R3H</t>
  </si>
  <si>
    <t>Realistic Reborn Baby Doll Girl Silicone Vinyl Rose Red Tutu Skirt 22 Inches</t>
  </si>
  <si>
    <t>0.145139 cuft</t>
  </si>
  <si>
    <t>DO-YULQ631-R2-22</t>
  </si>
  <si>
    <t>X001QMC0KP</t>
  </si>
  <si>
    <t>B07BSHY6ZL</t>
  </si>
  <si>
    <t>Full Silicone Body Reborn Baby Dolls Girl Eye Closed Lifelike Toddler Rose Red Outfit 22 Inches</t>
  </si>
  <si>
    <t>0.322998 cuft</t>
  </si>
  <si>
    <t>DO-YULQ158-W0-22</t>
  </si>
  <si>
    <t>X001PR0M47</t>
  </si>
  <si>
    <t>B0795M2NML</t>
  </si>
  <si>
    <t>Full Silicone Body Realistic Reborn Baby Dolls African Amrican Toddler with Curly Hair White Outfit 22 Inches</t>
  </si>
  <si>
    <t>0.458333 cuft</t>
  </si>
  <si>
    <t>DO-YULQ004-B7-10</t>
  </si>
  <si>
    <t>Edit listing</t>
  </si>
  <si>
    <t>0.139251 cuft</t>
  </si>
  <si>
    <t>0.160417 cuft</t>
  </si>
  <si>
    <t>DO-YULQ006-PI-10</t>
  </si>
  <si>
    <t>DO-YULQ105-R2-22</t>
  </si>
  <si>
    <t>X001PORZDV</t>
  </si>
  <si>
    <t>B0794Z23LW</t>
  </si>
  <si>
    <t>Reborn Baby Dolls Girl Lifelike Toddler Silicone Vinyl Pink Outfit 22 Inches</t>
  </si>
  <si>
    <t>0.62625 cuft</t>
  </si>
  <si>
    <t>YF-YULQ905-B7-20</t>
  </si>
  <si>
    <t>X001P30V3N</t>
  </si>
  <si>
    <t>B079NX5R9C</t>
  </si>
  <si>
    <t>Reborn Baby Doll Outfits Boy Accessories for 20"- 22" Light blue Outfit</t>
  </si>
  <si>
    <t>0.06522 cuft</t>
  </si>
  <si>
    <t>DO-YULQ064-X0-22</t>
  </si>
  <si>
    <t>X001P1L8QJ</t>
  </si>
  <si>
    <t>B079NY4SZ4</t>
  </si>
  <si>
    <t>Realistic Reborn Baby Dolls Girl Eye Closed with Toy Bear Tutu Skirt Light Purple 22 Inches</t>
  </si>
  <si>
    <t>0.810185 cuft</t>
  </si>
  <si>
    <t>0.053472 cuft</t>
  </si>
  <si>
    <t>DO-YULQ123-W0-22</t>
  </si>
  <si>
    <t>X001RH2M1L</t>
  </si>
  <si>
    <t>B07CM52CNC</t>
  </si>
  <si>
    <t>22 Inches Real Looking Reborn Baby Dolls Girl Realistic Toddler Silicone Vinyl White European Retro Nightdress</t>
  </si>
  <si>
    <t>0.46395 cuft</t>
  </si>
  <si>
    <t>1.19187 cuft</t>
  </si>
  <si>
    <t>YF-YULQ003-W0-20</t>
  </si>
  <si>
    <t>X001SSBZVH</t>
  </si>
  <si>
    <t>B077T29TYP</t>
  </si>
  <si>
    <t>Reborn Baby Doll Outfits Girl Accessories for 20"- 22" White and Cow Pattern</t>
  </si>
  <si>
    <t>0.07213 cuft</t>
  </si>
  <si>
    <t>DOLL-1523-B7-22</t>
  </si>
  <si>
    <t>X001P1KMLB</t>
  </si>
  <si>
    <t>B0784T23ZQ</t>
  </si>
  <si>
    <t>Realistic Reborn Baby Doll Boy Full Silicone Body Light Blue Outfit with Hippo Pattern 22 Inches</t>
  </si>
  <si>
    <t>0.739583 cuft</t>
  </si>
  <si>
    <t>0.208424 cuft</t>
  </si>
  <si>
    <t>DO-YULQ021-PI-22</t>
  </si>
  <si>
    <t>X001P2XTSX</t>
  </si>
  <si>
    <t>B079NWXG5Z</t>
  </si>
  <si>
    <t>Reborn Baby Dolls Girl Look Real Lifelike Toddler with Toy Giraffe Pink Outfit 22 Inches</t>
  </si>
  <si>
    <t>0.416667 cuft</t>
  </si>
  <si>
    <t>DO-YULQ162-PI-16</t>
  </si>
  <si>
    <t>X001Q1UFSF</t>
  </si>
  <si>
    <t>B07BFVF3GM</t>
  </si>
  <si>
    <t>Reborn Baby Dolls Girl Look Real Lifelike Toddler with Toy Chicken and Cushion White Baby Jumpsuit White Outfit 16 Inches</t>
  </si>
  <si>
    <t>0.230208 cuft</t>
  </si>
  <si>
    <t>0.027344 cuft</t>
  </si>
  <si>
    <t>DO-YULQ071-B7-16</t>
  </si>
  <si>
    <t>X001Q3PE4X</t>
  </si>
  <si>
    <t>B07BFV7XQM</t>
  </si>
  <si>
    <t>Reborn Baby Dolls Twins Boy Lifelike Toddler Silicone Light Blue Outfit Giraffe Patterns 16 Inches</t>
  </si>
  <si>
    <t>0.449167 cuft</t>
  </si>
  <si>
    <t>DO-YULQ605-PI-22</t>
  </si>
  <si>
    <t>X001QN4GWT</t>
  </si>
  <si>
    <t>B07BSD41QJ</t>
  </si>
  <si>
    <t>Sleeping Reborn Baby Dolls Girl Look Real Silicone Pink Outfit 22 inches</t>
  </si>
  <si>
    <t>DO-YULQ018-B0-18</t>
  </si>
  <si>
    <t>X001Q18PA5</t>
  </si>
  <si>
    <t>B0792VG6VZ</t>
  </si>
  <si>
    <t>Reborn Baby Dolls Boy Lifelike Toddler Silicone Vinyl Blue Baby Jumpsuit 18 Inches</t>
  </si>
  <si>
    <t>0.48254 cuft</t>
  </si>
  <si>
    <t>0.62534 cuft</t>
  </si>
  <si>
    <t>DO-YULQ012-PI-22</t>
  </si>
  <si>
    <t>X001QKBTMR</t>
  </si>
  <si>
    <t>B076J2H7FC</t>
  </si>
  <si>
    <t>Reborn Baby Doll Wig Baby Girl Look Real Silicone Pink 22 Inches</t>
  </si>
  <si>
    <t>0.592687 cuft</t>
  </si>
  <si>
    <t>DO-YULQ008-Y0-17</t>
  </si>
  <si>
    <t>X001PMPS0F</t>
  </si>
  <si>
    <t>B0795VRN2N</t>
  </si>
  <si>
    <t>Real Looking Soft Silicone Reborn Baby Doll Bear Outfit Light Brown 17 Inches</t>
  </si>
  <si>
    <t>0.442708 cuft</t>
  </si>
  <si>
    <t>DO-YULQ005-W0-11</t>
  </si>
  <si>
    <t>X001OXJIAL</t>
  </si>
  <si>
    <t>B079JQGCBR</t>
  </si>
  <si>
    <t>Black Full Body Silicone Reborn Baby Dolls Boy Cheap White Outfit 10 Inches</t>
  </si>
  <si>
    <t>DO-YULQ150-B7-18</t>
  </si>
  <si>
    <t>X001Q5NP1Z</t>
  </si>
  <si>
    <t>B0795QK1TP</t>
  </si>
  <si>
    <t>Reborn Baby Dolls Boy Lifelike Toddler Silicone Vinyl Light Blue Outfit 18 Inches</t>
  </si>
  <si>
    <t>DO-YULQ161-G0-16</t>
  </si>
  <si>
    <t>X001P1L8VJ</t>
  </si>
  <si>
    <t>B079NY4PYK</t>
  </si>
  <si>
    <t>Reborn Baby Dolls Boy Realistic Toddler with Toy Frog Green Outfit 22 Inches</t>
  </si>
  <si>
    <t>0.43287 cuft</t>
  </si>
  <si>
    <t>DO-YULQ071-PI-16</t>
  </si>
  <si>
    <t>X001Q3P3SF</t>
  </si>
  <si>
    <t>B07BFVXXX8</t>
  </si>
  <si>
    <t>Reborn Baby Dolls Twins Girl Lifelike Toddler Silicone Eye Closed Pink Outfit with Toy Bear 16 Inches</t>
  </si>
  <si>
    <t>0.139052 cuft</t>
  </si>
  <si>
    <t>DO-YULQ639-R2-22</t>
  </si>
  <si>
    <t>X001Q1UGOD</t>
  </si>
  <si>
    <t>B07BFVXKTL</t>
  </si>
  <si>
    <t>Full Silicone Reborn Baby Dolls Twins Girl Realistic Toddler Pink Outfit 22 Inches</t>
  </si>
  <si>
    <t>0.433854 cuft</t>
  </si>
  <si>
    <t>DO-YULQ165-B7-16</t>
  </si>
  <si>
    <t>X001QBINPH</t>
  </si>
  <si>
    <t>B07BLVB7FH</t>
  </si>
  <si>
    <t>Soft Silicone Reborn Baby Dolls Boy Look Real Light Blue Outfit 16 Inches</t>
  </si>
  <si>
    <t>DO-YULQ010-PI-15</t>
  </si>
  <si>
    <t>X001PSVJ39</t>
  </si>
  <si>
    <t>B0794ZPQ8B</t>
  </si>
  <si>
    <t>Real Life Reborn Baby Doll Girl Silicone Pink Outfit 15 Inches</t>
  </si>
  <si>
    <t>0.472089 cuft</t>
  </si>
  <si>
    <t>DO-YULQ151-W0-16</t>
  </si>
  <si>
    <t>X001RHMPFJ</t>
  </si>
  <si>
    <t>B07CN4J157</t>
  </si>
  <si>
    <t>16 Inches Real Looking Reborn Baby Dolls Girl Realistic Toddler Silicone Cow outfit</t>
  </si>
  <si>
    <t>0.234375 cuft</t>
  </si>
  <si>
    <t>DOLLDRESS-003-PI-M</t>
  </si>
  <si>
    <t>B0785S857P</t>
  </si>
  <si>
    <t>Yesteria 4 Pcs Newborn Baby Outfits Set for Girl Pink with Cow Pattern M(6-12 Months)</t>
  </si>
  <si>
    <t>0.552517 cuft</t>
  </si>
  <si>
    <t>DOLL-7056-0R-11</t>
  </si>
  <si>
    <t>X001PSWAHN</t>
  </si>
  <si>
    <t>B0788NF4TB</t>
  </si>
  <si>
    <t>African American Reborn Baby Doll Boy Look Real Full Silicone Body Bohemia Style Orange Outfit 10 Inches</t>
  </si>
  <si>
    <t>0.225694 cuft</t>
  </si>
  <si>
    <t>0.597375 cuft</t>
  </si>
  <si>
    <t>DO-YULQ705-GR-11</t>
  </si>
  <si>
    <t>X001OXLCYV</t>
  </si>
  <si>
    <t>B079JWNR6Z</t>
  </si>
  <si>
    <t>Cheap Reborn Baby Dolls Silicone Full Body Girl Elephant Outfit 10 Inches</t>
  </si>
  <si>
    <t>Create removal order</t>
  </si>
  <si>
    <t>0.138889 cuft</t>
  </si>
  <si>
    <t>0.397461 cuft</t>
  </si>
  <si>
    <t>DO-YULQ172-BD-22</t>
  </si>
  <si>
    <t>X001P2SUNR</t>
  </si>
  <si>
    <t>B079513H1Q</t>
  </si>
  <si>
    <t>Reborn Baby Dolls Boy Look Real Lifelike Toddler Silicone Vinyl Dots Outfit With Toy Bear 22 Inches</t>
  </si>
  <si>
    <t>0.362847 cuft</t>
  </si>
  <si>
    <t>DOLL-1613-LB-11</t>
  </si>
  <si>
    <t>B076MVRP3M</t>
  </si>
  <si>
    <t>Reborn Baby Doll Boy Look Real Full Silicone Body Light Blue Outfit 10 Inches</t>
  </si>
  <si>
    <t>0.207066 cuft</t>
  </si>
  <si>
    <t>0.670308 cuft</t>
  </si>
  <si>
    <t>DO-YULQ372-R0-22</t>
  </si>
  <si>
    <t>X001QM1BE1</t>
  </si>
  <si>
    <t>B07BSC5Q33</t>
  </si>
  <si>
    <t>Reborn Baby Dolls Girl Look Real Silicone Dot Outfit Red Pants 22 Inches</t>
  </si>
  <si>
    <t>DO-YULQ905-B7-22</t>
  </si>
  <si>
    <t>X001P46X2P</t>
  </si>
  <si>
    <t>B078XC1QQQ</t>
  </si>
  <si>
    <t>Real Life Silicone Reborn Baby Dolls Boy Look Real Light Blue Outfit 22 Inches</t>
  </si>
  <si>
    <t>0.45425 cuft</t>
  </si>
  <si>
    <t>0.639468 cuft</t>
  </si>
  <si>
    <t>DOLL-7056B-YO-11</t>
  </si>
  <si>
    <t>DO-YULQ165-PI-16</t>
  </si>
  <si>
    <t>X001QBINPR</t>
  </si>
  <si>
    <t>B07BLTPG2G</t>
  </si>
  <si>
    <t>Sleeping Soft Silicone Reborn Baby Dolls Girl Look Real Pink Outfit 16 Inches</t>
  </si>
  <si>
    <t>DO-YULQ002-PI-22</t>
  </si>
  <si>
    <t>B078X6K4KJ</t>
  </si>
  <si>
    <t>Yesteria Silicone Reborn Baby Dolls Girl Lifelike Toddler Look Real Vintage Style Pink Dress 22 Inches</t>
  </si>
  <si>
    <t>0.641189 cuft</t>
  </si>
  <si>
    <t>DO-YULQ153-B7-22</t>
  </si>
  <si>
    <t>X001Q1DFPP</t>
  </si>
  <si>
    <t>B07BDDC5WH</t>
  </si>
  <si>
    <t>Full Silicone Body Reborn Baby Doll Boy Light Blue Outfit with Hippo Pattern 22 Inches</t>
  </si>
  <si>
    <t>0.682258 cuft</t>
  </si>
  <si>
    <t>DO-YULQ516-B0-22</t>
  </si>
  <si>
    <t>X001Q1UFS5</t>
  </si>
  <si>
    <t>B07BFVWCV4</t>
  </si>
  <si>
    <t>Realistic Reborn Baby Dolls Boy Toddler Blue Outfit with Rhino Patterns 22 Inches</t>
  </si>
  <si>
    <t>DO-YULQ350-PI-22</t>
  </si>
  <si>
    <t>X001Q2ES1J</t>
  </si>
  <si>
    <t>B0795M8ZGB</t>
  </si>
  <si>
    <t>Reborn Baby Dolls Girl Look Real Lifelike Toddler Silicone Vinyl Light Pink Outfit 22 Inches</t>
  </si>
  <si>
    <t>0.250297 cuft</t>
  </si>
  <si>
    <t>0.504687 cuft</t>
  </si>
  <si>
    <t>DOLL-6089-B0-22</t>
  </si>
  <si>
    <t>X001PQO82Z</t>
  </si>
  <si>
    <t>B077SNDT1X</t>
  </si>
  <si>
    <t>Reborn Baby Doll Boy Look Real Silicone Blue Outfit with Car Pattern 22 Inches</t>
  </si>
  <si>
    <t>0.575521 cuft</t>
  </si>
  <si>
    <t>DOLL-100-LB-22</t>
  </si>
  <si>
    <t>X001OYDAU9</t>
  </si>
  <si>
    <t>B077SHDMC8</t>
  </si>
  <si>
    <t>Reborn Baby Dolls Boy Look Real White and Light Blue Outfit Crocodile Patterns 22 Inches</t>
  </si>
  <si>
    <t>DO-YULQ605-PI-16</t>
  </si>
  <si>
    <t>B0792PFKL5</t>
  </si>
  <si>
    <t>Reborn Baby Dolls Girl Look Real Silicone Light Pink Dress 16 inches</t>
  </si>
  <si>
    <t>0.453704 cuft</t>
  </si>
  <si>
    <t>DO-YULQ058-SH-10</t>
  </si>
  <si>
    <t>X001OZJIRR</t>
  </si>
  <si>
    <t>B0793QZPK1</t>
  </si>
  <si>
    <t>Full Silicone Body African American Reborn Baby Doll Girl Look Real Floral Dress Vintage Style 10 Inches</t>
  </si>
  <si>
    <t>DO-YULQ259-PI-22</t>
  </si>
  <si>
    <t>X001T4ON0Z</t>
  </si>
  <si>
    <t>B07DQH5M4P</t>
  </si>
  <si>
    <t>20 Inches Full Silicone Reborn Baby Doll Look Real Girl Toddler with Rabbit Ear Hat Pink Love Dots Bib and Diapers</t>
  </si>
  <si>
    <t>0.723495 cuft</t>
  </si>
  <si>
    <t>DO-YULQ705-0R-10</t>
  </si>
  <si>
    <t>B078XZRP4X</t>
  </si>
  <si>
    <t>African American Reborn Baby Dolls Full Silicone Body Bohemia Outfit Boy Black 10 Inches</t>
  </si>
  <si>
    <t>DOLL-1613-PI-22</t>
  </si>
  <si>
    <t>B076MW1Y4F</t>
  </si>
  <si>
    <t>Sleeping Reborn Baby Doll Girl Look Real Silicone Pink Outfit 22 Inches</t>
  </si>
  <si>
    <t>0.516725 cuft</t>
  </si>
  <si>
    <t>DO-YULQ101-PI-22</t>
  </si>
  <si>
    <t>B078YMSFZJ</t>
  </si>
  <si>
    <t>Real Looking Reborn Baby Dolls Wig Girl Silicone Pink Outfit 22 inches</t>
  </si>
  <si>
    <t>0.315625 cuft</t>
  </si>
  <si>
    <t>DO-YULQ332-LGR-20</t>
  </si>
  <si>
    <t>X001PZYR5T</t>
  </si>
  <si>
    <t>B0792VHP6W</t>
  </si>
  <si>
    <t>Sleeping Reborn Baby Dolls Boy Look Real Stripe Outfit with Panda Pattern 20 Inches</t>
  </si>
  <si>
    <t>DOLL-7056-BR-11</t>
  </si>
  <si>
    <t>X001P0GPEP</t>
  </si>
  <si>
    <t>B0788P8DCG</t>
  </si>
  <si>
    <t>African American Reborn Baby Doll Girl Look Real Full Silicone Body Bohemia Style Dress 10 Inches</t>
  </si>
  <si>
    <t>DO-YULQ706-R0-24</t>
  </si>
  <si>
    <t>X001SACEQZ</t>
  </si>
  <si>
    <t>B07D4D6Q9C</t>
  </si>
  <si>
    <t>24 inches Realistic Reborn Baby Doll Silicone Monkey Coat Blue Pants White Shoes</t>
  </si>
  <si>
    <t>1.59375 cuft</t>
  </si>
  <si>
    <t>DO-YULQ153-TW-20</t>
  </si>
  <si>
    <t>X001RH01TL</t>
  </si>
  <si>
    <t>B07CLYNY71</t>
  </si>
  <si>
    <t>20 Inches Realistic Sleeping Reborn Baby Dolls Boy Silicone Vinyl Black and White Striped Outfit</t>
  </si>
  <si>
    <t>0.668403 cuft</t>
  </si>
  <si>
    <t>DO-YULQ620-PI-22</t>
  </si>
  <si>
    <t>X001OVKEOR</t>
  </si>
  <si>
    <t>B079JQDDN7</t>
  </si>
  <si>
    <t>0.602742 cuft</t>
  </si>
  <si>
    <t>DOLL-007-NO-17</t>
  </si>
  <si>
    <t>B077HPT67J</t>
  </si>
  <si>
    <t>Reborn Baby Doll Girl Monkey Outfit Look Real Brown 17 Inches</t>
  </si>
  <si>
    <t>0.409688 cuft</t>
  </si>
  <si>
    <t>0.186275 cuft</t>
  </si>
  <si>
    <t>0.592593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</si>
  <si>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</si>
  <si>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</si>
  <si>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</si>
  <si>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</si>
  <si>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</si>
  <si>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</si>
  <si>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</si>
  <si>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</si>
  <si>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</si>
  <si>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</si>
  <si>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</si>
  <si>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</si>
  <si>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</si>
  <si>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</si>
  <si>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Unknown</t>
  </si>
  <si>
    <t>DO-YULQ006-B7-11</t>
  </si>
  <si>
    <t>X001R6X6HB</t>
  </si>
  <si>
    <t>Sleeping Reborn Baby Dolls Girls Lifelike Toddler Silicone Pink Outfit with Cat Pattern 22 inches</t>
  </si>
  <si>
    <t>DO-YULQ150-K0-22</t>
  </si>
  <si>
    <t>X001RHMZSL</t>
  </si>
  <si>
    <t>B07CN274MC</t>
  </si>
  <si>
    <t>22 Inches Full Silicone Body Reborn Baby Dolls Girl Real Looking Toddler Tutu Skirt</t>
  </si>
  <si>
    <t>DO-YULQ157-W0-22</t>
  </si>
  <si>
    <t>Reborn Baby Dolls Boy Realistic Toddler with Toy Frog Green Outfit 22 inches</t>
  </si>
  <si>
    <t>DO-YULQ161-PI-16</t>
  </si>
  <si>
    <t>B07928926Z</t>
  </si>
  <si>
    <t>DOLL-004-LB-11</t>
  </si>
  <si>
    <t>DOLL-0602-NZ-22</t>
  </si>
  <si>
    <t>DOLL-9042-01R-22</t>
  </si>
  <si>
    <t>DOLL-AD010-W0-22</t>
  </si>
  <si>
    <t>X001R6LXFN</t>
  </si>
  <si>
    <t>DOLLDRESS-003-WO-20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</si>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</sst>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8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1" fillId="14" borderId="5" applyNumberFormat="0" applyAlignment="0" applyProtection="0">
      <alignment vertical="center"/>
    </xf>
    <xf numFmtId="0" fontId="9" fillId="14" borderId="2" applyNumberFormat="0" applyAlignment="0" applyProtection="0">
      <alignment vertical="center"/>
    </xf>
    <xf numFmtId="0" fontId="12" fillId="22" borderId="6" applyNumberFormat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635</xdr:rowOff>
        </xdr:from>
        <xdr:to>
          <xdr:col>9</xdr:col>
          <xdr:colOff>1270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635"/>
              <a:ext cx="150050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635</xdr:rowOff>
        </xdr:from>
        <xdr:to>
          <xdr:col>15</xdr:col>
          <xdr:colOff>38100</xdr:colOff>
          <xdr:row>1</xdr:row>
          <xdr:rowOff>172085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825210" y="635"/>
              <a:ext cx="6858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8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50</v>
      </c>
      <c r="F2" s="3">
        <v>0</v>
      </c>
      <c r="G2" s="3">
        <v>50</v>
      </c>
      <c r="H2" s="3">
        <v>0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1</v>
      </c>
      <c r="H3" s="3">
        <v>0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30</v>
      </c>
      <c r="F4" s="3">
        <v>0</v>
      </c>
      <c r="G4" s="3">
        <v>30</v>
      </c>
      <c r="H4" s="3">
        <v>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7</v>
      </c>
      <c r="F6" s="3">
        <v>0</v>
      </c>
      <c r="G6" s="3">
        <v>7</v>
      </c>
      <c r="H6" s="3">
        <v>0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0</v>
      </c>
      <c r="G7" s="3">
        <v>1</v>
      </c>
      <c r="H7" s="3">
        <v>0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0</v>
      </c>
      <c r="G8" s="3">
        <v>1</v>
      </c>
      <c r="H8" s="3">
        <v>0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3</v>
      </c>
      <c r="F9" s="3">
        <v>0</v>
      </c>
      <c r="G9" s="3">
        <v>3</v>
      </c>
      <c r="H9" s="3">
        <v>0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144</v>
      </c>
      <c r="F10" s="3">
        <v>3</v>
      </c>
      <c r="G10" s="3">
        <v>136</v>
      </c>
      <c r="H10" s="3">
        <v>5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2</v>
      </c>
      <c r="F11" s="3">
        <v>0</v>
      </c>
      <c r="G11" s="3">
        <v>0</v>
      </c>
      <c r="H11" s="3">
        <v>2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2</v>
      </c>
      <c r="F12" s="3">
        <v>0</v>
      </c>
      <c r="G12" s="3">
        <v>2</v>
      </c>
      <c r="H12" s="3">
        <v>0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3</v>
      </c>
      <c r="F13" s="3">
        <v>0</v>
      </c>
      <c r="G13" s="3">
        <v>0</v>
      </c>
      <c r="H13" s="3">
        <v>3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66</v>
      </c>
      <c r="F14" s="3">
        <v>0</v>
      </c>
      <c r="G14" s="3">
        <v>64</v>
      </c>
      <c r="H14" s="3">
        <v>2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1</v>
      </c>
      <c r="F16" s="3">
        <v>0</v>
      </c>
      <c r="G16" s="3">
        <v>1</v>
      </c>
      <c r="H16" s="3">
        <v>0</v>
      </c>
      <c r="I16" s="7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50</v>
      </c>
      <c r="F17" s="3">
        <v>0</v>
      </c>
      <c r="G17" s="3">
        <v>50</v>
      </c>
      <c r="H17" s="3">
        <v>0</v>
      </c>
      <c r="I17" s="7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3</v>
      </c>
      <c r="F18" s="3">
        <v>0</v>
      </c>
      <c r="G18" s="3">
        <v>3</v>
      </c>
      <c r="H18" s="3">
        <v>0</v>
      </c>
      <c r="I18" s="7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2</v>
      </c>
      <c r="F19" s="3">
        <v>0</v>
      </c>
      <c r="G19" s="3">
        <v>2</v>
      </c>
      <c r="H19" s="3">
        <v>0</v>
      </c>
      <c r="I19" s="7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3</v>
      </c>
      <c r="F20" s="3">
        <v>1</v>
      </c>
      <c r="G20" s="3">
        <v>2</v>
      </c>
      <c r="H20" s="3">
        <v>0</v>
      </c>
      <c r="I20" s="7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50</v>
      </c>
      <c r="F21" s="3">
        <v>0</v>
      </c>
      <c r="G21" s="3">
        <v>50</v>
      </c>
      <c r="H21" s="3">
        <v>0</v>
      </c>
      <c r="I21" s="7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1</v>
      </c>
      <c r="F22" s="3">
        <v>1</v>
      </c>
      <c r="G22" s="3">
        <v>0</v>
      </c>
      <c r="H22" s="3">
        <v>0</v>
      </c>
      <c r="I22" s="7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1</v>
      </c>
      <c r="F23" s="3">
        <v>0</v>
      </c>
      <c r="G23" s="3">
        <v>0</v>
      </c>
      <c r="H23" s="3">
        <v>1</v>
      </c>
      <c r="I23" s="7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2</v>
      </c>
      <c r="F24" s="3">
        <v>0</v>
      </c>
      <c r="G24" s="3">
        <v>2</v>
      </c>
      <c r="H24" s="3">
        <v>0</v>
      </c>
      <c r="I24" s="7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5</v>
      </c>
      <c r="F25" s="3">
        <v>0</v>
      </c>
      <c r="G25" s="3">
        <v>3</v>
      </c>
      <c r="H25" s="3">
        <v>2</v>
      </c>
      <c r="I25" s="7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31</v>
      </c>
      <c r="F26" s="3">
        <v>0</v>
      </c>
      <c r="G26" s="3">
        <v>30</v>
      </c>
      <c r="H26" s="3">
        <v>1</v>
      </c>
      <c r="I26" s="7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1</v>
      </c>
      <c r="F27" s="3">
        <v>0</v>
      </c>
      <c r="G27" s="3">
        <v>1</v>
      </c>
      <c r="H27" s="3">
        <v>0</v>
      </c>
      <c r="I27" s="7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50</v>
      </c>
      <c r="F28" s="3">
        <v>0</v>
      </c>
      <c r="G28" s="3">
        <v>50</v>
      </c>
      <c r="H28" s="3">
        <v>0</v>
      </c>
      <c r="I28" s="7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1</v>
      </c>
      <c r="G29" s="3">
        <v>0</v>
      </c>
      <c r="H29" s="3">
        <v>0</v>
      </c>
      <c r="I29" s="7"/>
    </row>
    <row r="30" spans="1:9">
      <c r="A30" s="3" t="s">
        <v>120</v>
      </c>
      <c r="B30" s="3" t="s">
        <v>121</v>
      </c>
      <c r="C30" s="3" t="s">
        <v>122</v>
      </c>
      <c r="D30" s="3" t="s">
        <v>123</v>
      </c>
      <c r="E30" s="3">
        <v>1</v>
      </c>
      <c r="F30" s="3">
        <v>0</v>
      </c>
      <c r="G30" s="3">
        <v>1</v>
      </c>
      <c r="H30" s="3">
        <v>0</v>
      </c>
      <c r="I30" s="7"/>
    </row>
    <row r="31" spans="1:9">
      <c r="A31" s="3" t="s">
        <v>124</v>
      </c>
      <c r="B31" s="3" t="s">
        <v>125</v>
      </c>
      <c r="C31" s="3" t="s">
        <v>126</v>
      </c>
      <c r="D31" s="3" t="s">
        <v>127</v>
      </c>
      <c r="E31" s="3">
        <v>30</v>
      </c>
      <c r="F31" s="3">
        <v>0</v>
      </c>
      <c r="G31" s="3">
        <v>30</v>
      </c>
      <c r="H31" s="3">
        <v>0</v>
      </c>
      <c r="I31" s="7"/>
    </row>
    <row r="32" spans="1:9">
      <c r="A32" s="3" t="s">
        <v>128</v>
      </c>
      <c r="B32" s="3" t="s">
        <v>129</v>
      </c>
      <c r="C32" s="3" t="s">
        <v>129</v>
      </c>
      <c r="D32" s="3" t="s">
        <v>130</v>
      </c>
      <c r="E32" s="3">
        <v>1</v>
      </c>
      <c r="F32" s="3">
        <v>0</v>
      </c>
      <c r="G32" s="3">
        <v>0</v>
      </c>
      <c r="H32" s="3">
        <v>1</v>
      </c>
      <c r="I32" s="7"/>
    </row>
    <row r="33" spans="1:9">
      <c r="A33" s="3" t="s">
        <v>131</v>
      </c>
      <c r="B33" s="3" t="s">
        <v>132</v>
      </c>
      <c r="C33" s="3" t="s">
        <v>133</v>
      </c>
      <c r="D33" s="3" t="s">
        <v>134</v>
      </c>
      <c r="E33" s="3">
        <v>3</v>
      </c>
      <c r="F33" s="3">
        <v>0</v>
      </c>
      <c r="G33" s="3">
        <v>3</v>
      </c>
      <c r="H33" s="3">
        <v>0</v>
      </c>
      <c r="I33" s="7"/>
    </row>
    <row r="34" spans="1:9">
      <c r="A34" s="3" t="s">
        <v>135</v>
      </c>
      <c r="B34" s="3" t="s">
        <v>136</v>
      </c>
      <c r="C34" s="3" t="s">
        <v>137</v>
      </c>
      <c r="D34" s="3" t="s">
        <v>138</v>
      </c>
      <c r="E34" s="3">
        <v>1</v>
      </c>
      <c r="F34" s="3">
        <v>0</v>
      </c>
      <c r="G34" s="3">
        <v>1</v>
      </c>
      <c r="H34" s="3">
        <v>0</v>
      </c>
      <c r="I34" s="7"/>
    </row>
    <row r="35" spans="1:9">
      <c r="A35" s="3" t="s">
        <v>139</v>
      </c>
      <c r="B35" s="3" t="s">
        <v>140</v>
      </c>
      <c r="C35" s="3" t="s">
        <v>141</v>
      </c>
      <c r="D35" s="3" t="s">
        <v>142</v>
      </c>
      <c r="E35" s="3">
        <v>1</v>
      </c>
      <c r="F35" s="3">
        <v>1</v>
      </c>
      <c r="G35" s="3">
        <v>0</v>
      </c>
      <c r="H35" s="3">
        <v>0</v>
      </c>
      <c r="I35" s="7"/>
    </row>
    <row r="36" spans="1:9">
      <c r="A36" s="3" t="s">
        <v>143</v>
      </c>
      <c r="B36" s="3" t="s">
        <v>144</v>
      </c>
      <c r="C36" s="3" t="s">
        <v>145</v>
      </c>
      <c r="D36" s="3" t="s">
        <v>146</v>
      </c>
      <c r="E36" s="3">
        <v>82</v>
      </c>
      <c r="F36" s="3">
        <v>1</v>
      </c>
      <c r="G36" s="3">
        <v>80</v>
      </c>
      <c r="H36" s="3">
        <v>1</v>
      </c>
      <c r="I36" s="7"/>
    </row>
    <row r="37" spans="1:9">
      <c r="A37" s="3" t="s">
        <v>147</v>
      </c>
      <c r="B37" s="3" t="s">
        <v>148</v>
      </c>
      <c r="C37" s="3" t="s">
        <v>149</v>
      </c>
      <c r="D37" s="3" t="s">
        <v>150</v>
      </c>
      <c r="E37" s="3">
        <v>1</v>
      </c>
      <c r="F37" s="3">
        <v>1</v>
      </c>
      <c r="G37" s="3">
        <v>0</v>
      </c>
      <c r="H37" s="3">
        <v>0</v>
      </c>
      <c r="I37" s="7"/>
    </row>
    <row r="38" spans="1:9">
      <c r="A38" s="3" t="s">
        <v>151</v>
      </c>
      <c r="B38" s="3" t="s">
        <v>152</v>
      </c>
      <c r="C38" s="3" t="s">
        <v>153</v>
      </c>
      <c r="D38" s="3" t="s">
        <v>154</v>
      </c>
      <c r="E38" s="3">
        <v>2</v>
      </c>
      <c r="F38" s="3">
        <v>1</v>
      </c>
      <c r="G38" s="3">
        <v>0</v>
      </c>
      <c r="H38" s="3">
        <v>1</v>
      </c>
      <c r="I38" s="7"/>
    </row>
    <row r="39" spans="1:9">
      <c r="A39" s="3" t="s">
        <v>155</v>
      </c>
      <c r="B39" s="3" t="s">
        <v>156</v>
      </c>
      <c r="C39" s="3" t="s">
        <v>157</v>
      </c>
      <c r="D39" s="3" t="s">
        <v>158</v>
      </c>
      <c r="E39" s="3">
        <v>1</v>
      </c>
      <c r="F39" s="3">
        <v>0</v>
      </c>
      <c r="G39" s="3">
        <v>0</v>
      </c>
      <c r="H39" s="3">
        <v>1</v>
      </c>
      <c r="I39" s="7"/>
    </row>
    <row r="40" spans="1:9">
      <c r="A40" s="3" t="s">
        <v>159</v>
      </c>
      <c r="B40" s="3" t="s">
        <v>160</v>
      </c>
      <c r="C40" s="3" t="s">
        <v>161</v>
      </c>
      <c r="D40" s="3" t="s">
        <v>162</v>
      </c>
      <c r="E40" s="3">
        <v>1</v>
      </c>
      <c r="F40" s="3">
        <v>0</v>
      </c>
      <c r="G40" s="3">
        <v>1</v>
      </c>
      <c r="H40" s="3">
        <v>0</v>
      </c>
      <c r="I40" s="7"/>
    </row>
    <row r="41" spans="1:9">
      <c r="A41" s="3" t="s">
        <v>163</v>
      </c>
      <c r="B41" s="3" t="s">
        <v>164</v>
      </c>
      <c r="C41" s="3" t="s">
        <v>165</v>
      </c>
      <c r="D41" s="3" t="s">
        <v>166</v>
      </c>
      <c r="E41" s="3">
        <v>25</v>
      </c>
      <c r="F41" s="3">
        <v>0</v>
      </c>
      <c r="G41" s="3">
        <v>25</v>
      </c>
      <c r="H41" s="3">
        <v>0</v>
      </c>
      <c r="I41" s="7"/>
    </row>
    <row r="42" spans="1:9">
      <c r="A42" s="3" t="s">
        <v>167</v>
      </c>
      <c r="B42" s="3" t="s">
        <v>168</v>
      </c>
      <c r="C42" s="3" t="s">
        <v>169</v>
      </c>
      <c r="D42" s="3" t="s">
        <v>170</v>
      </c>
      <c r="E42" s="3">
        <v>50</v>
      </c>
      <c r="F42" s="3">
        <v>0</v>
      </c>
      <c r="G42" s="3">
        <v>50</v>
      </c>
      <c r="H42" s="3">
        <v>0</v>
      </c>
      <c r="I42" s="7"/>
    </row>
    <row r="43" spans="1:9">
      <c r="A43" s="3" t="s">
        <v>171</v>
      </c>
      <c r="B43" s="3" t="s">
        <v>172</v>
      </c>
      <c r="C43" s="3" t="s">
        <v>172</v>
      </c>
      <c r="D43" s="3" t="s">
        <v>173</v>
      </c>
      <c r="E43" s="3">
        <v>10</v>
      </c>
      <c r="F43" s="3">
        <v>1</v>
      </c>
      <c r="G43" s="3">
        <v>0</v>
      </c>
      <c r="H43" s="3">
        <v>9</v>
      </c>
      <c r="I43" s="7"/>
    </row>
    <row r="44" spans="1:9">
      <c r="A44" s="3" t="s">
        <v>174</v>
      </c>
      <c r="B44" s="3" t="s">
        <v>175</v>
      </c>
      <c r="C44" s="3" t="s">
        <v>175</v>
      </c>
      <c r="D44" s="3" t="s">
        <v>176</v>
      </c>
      <c r="E44" s="3">
        <v>1</v>
      </c>
      <c r="F44" s="3">
        <v>0</v>
      </c>
      <c r="G44" s="3">
        <v>0</v>
      </c>
      <c r="H44" s="3">
        <v>1</v>
      </c>
      <c r="I44" s="7"/>
    </row>
    <row r="45" spans="1:9">
      <c r="A45" s="3" t="s">
        <v>177</v>
      </c>
      <c r="B45" s="3" t="s">
        <v>178</v>
      </c>
      <c r="C45" s="3" t="s">
        <v>179</v>
      </c>
      <c r="D45" s="3" t="s">
        <v>180</v>
      </c>
      <c r="E45" s="3">
        <v>1</v>
      </c>
      <c r="F45" s="3">
        <v>1</v>
      </c>
      <c r="G45" s="3">
        <v>0</v>
      </c>
      <c r="H45" s="3">
        <v>0</v>
      </c>
      <c r="I45" s="7"/>
    </row>
    <row r="46" spans="1:9">
      <c r="A46" s="3" t="s">
        <v>181</v>
      </c>
      <c r="B46" s="3" t="s">
        <v>182</v>
      </c>
      <c r="C46" s="3" t="s">
        <v>182</v>
      </c>
      <c r="D46" s="3" t="s">
        <v>183</v>
      </c>
      <c r="E46" s="3">
        <v>4</v>
      </c>
      <c r="F46" s="3">
        <v>1</v>
      </c>
      <c r="G46" s="3">
        <v>0</v>
      </c>
      <c r="H46" s="3">
        <v>3</v>
      </c>
      <c r="I46" s="7"/>
    </row>
    <row r="47" spans="1:9">
      <c r="A47" s="3" t="s">
        <v>184</v>
      </c>
      <c r="B47" s="3" t="s">
        <v>185</v>
      </c>
      <c r="C47" s="3" t="s">
        <v>186</v>
      </c>
      <c r="D47" s="3" t="s">
        <v>187</v>
      </c>
      <c r="E47" s="3">
        <v>20</v>
      </c>
      <c r="F47" s="3">
        <v>1</v>
      </c>
      <c r="G47" s="3">
        <v>19</v>
      </c>
      <c r="H47" s="3">
        <v>0</v>
      </c>
      <c r="I47" s="7"/>
    </row>
    <row r="48" spans="1:9">
      <c r="A48" s="3" t="s">
        <v>188</v>
      </c>
      <c r="B48" s="3" t="s">
        <v>189</v>
      </c>
      <c r="C48" s="3" t="s">
        <v>190</v>
      </c>
      <c r="D48" s="3" t="s">
        <v>191</v>
      </c>
      <c r="E48" s="3">
        <v>1</v>
      </c>
      <c r="F48" s="3">
        <v>1</v>
      </c>
      <c r="G48" s="3">
        <v>0</v>
      </c>
      <c r="H48" s="3">
        <v>0</v>
      </c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9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192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193</v>
      </c>
      <c r="G1" s="3" t="s">
        <v>194</v>
      </c>
      <c r="H1" s="3" t="s">
        <v>195</v>
      </c>
      <c r="I1" s="3" t="s">
        <v>196</v>
      </c>
      <c r="J1" s="3" t="s">
        <v>197</v>
      </c>
      <c r="K1" s="3" t="s">
        <v>198</v>
      </c>
      <c r="L1" s="3" t="s">
        <v>199</v>
      </c>
      <c r="M1" s="3" t="s">
        <v>200</v>
      </c>
      <c r="N1" s="3" t="s">
        <v>201</v>
      </c>
      <c r="O1" s="3" t="s">
        <v>202</v>
      </c>
      <c r="P1" s="3" t="s">
        <v>203</v>
      </c>
      <c r="Q1" s="3" t="s">
        <v>204</v>
      </c>
      <c r="R1" s="3" t="s">
        <v>205</v>
      </c>
      <c r="S1" s="3" t="s">
        <v>206</v>
      </c>
      <c r="T1" s="3" t="s">
        <v>207</v>
      </c>
      <c r="U1" s="3" t="s">
        <v>208</v>
      </c>
      <c r="V1" s="3" t="s">
        <v>209</v>
      </c>
      <c r="W1" s="3" t="s">
        <v>210</v>
      </c>
      <c r="X1" s="3" t="s">
        <v>211</v>
      </c>
      <c r="Y1" s="3" t="s">
        <v>212</v>
      </c>
      <c r="Z1" s="3" t="s">
        <v>213</v>
      </c>
      <c r="AA1" s="3" t="s">
        <v>214</v>
      </c>
      <c r="AB1" s="3" t="s">
        <v>215</v>
      </c>
      <c r="AC1" s="3" t="s">
        <v>216</v>
      </c>
      <c r="AD1" s="3" t="s">
        <v>217</v>
      </c>
      <c r="AE1" s="3" t="s">
        <v>218</v>
      </c>
      <c r="AF1" s="3" t="s">
        <v>219</v>
      </c>
      <c r="AG1" s="3" t="s">
        <v>220</v>
      </c>
      <c r="AH1" s="3" t="s">
        <v>221</v>
      </c>
      <c r="AI1" s="3" t="s">
        <v>222</v>
      </c>
      <c r="AJ1" s="3" t="s">
        <v>223</v>
      </c>
    </row>
    <row r="2" spans="1:36">
      <c r="A2" s="6">
        <v>43277</v>
      </c>
      <c r="B2" s="3" t="s">
        <v>224</v>
      </c>
      <c r="C2" s="3" t="s">
        <v>225</v>
      </c>
      <c r="D2" s="3" t="s">
        <v>226</v>
      </c>
      <c r="E2" s="3" t="s">
        <v>227</v>
      </c>
      <c r="F2" s="3" t="s">
        <v>228</v>
      </c>
      <c r="G2" s="3">
        <v>7</v>
      </c>
      <c r="H2" s="3">
        <v>0</v>
      </c>
      <c r="I2" s="3">
        <v>7</v>
      </c>
      <c r="J2" s="3">
        <v>0</v>
      </c>
      <c r="K2" s="3">
        <v>0</v>
      </c>
      <c r="L2" s="3">
        <v>0</v>
      </c>
      <c r="M2" s="3">
        <v>0</v>
      </c>
      <c r="N2" s="3" t="s">
        <v>229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1</v>
      </c>
      <c r="U2" s="3">
        <v>1</v>
      </c>
      <c r="V2" s="3">
        <v>1</v>
      </c>
      <c r="W2" s="3" t="s">
        <v>230</v>
      </c>
      <c r="X2" s="3">
        <v>178</v>
      </c>
      <c r="Y2" s="3">
        <v>108.99</v>
      </c>
      <c r="Z2" s="3">
        <v>108.99</v>
      </c>
      <c r="AA2" s="3">
        <v>0</v>
      </c>
      <c r="AB2" s="3" t="s">
        <v>231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0.285714285714285</v>
      </c>
      <c r="AI2" s="3" t="s">
        <v>232</v>
      </c>
      <c r="AJ2" s="3" t="s">
        <v>233</v>
      </c>
    </row>
    <row r="3" spans="1:36">
      <c r="A3" s="6">
        <v>43277</v>
      </c>
      <c r="B3" s="3" t="s">
        <v>112</v>
      </c>
      <c r="C3" s="3" t="s">
        <v>113</v>
      </c>
      <c r="D3" s="3" t="s">
        <v>114</v>
      </c>
      <c r="E3" s="3" t="s">
        <v>115</v>
      </c>
      <c r="F3" s="3" t="s">
        <v>228</v>
      </c>
      <c r="G3" s="3">
        <v>39</v>
      </c>
      <c r="H3" s="3">
        <v>0</v>
      </c>
      <c r="I3" s="3">
        <v>39</v>
      </c>
      <c r="J3" s="3">
        <v>0</v>
      </c>
      <c r="K3" s="3">
        <v>0</v>
      </c>
      <c r="L3" s="3">
        <v>0</v>
      </c>
      <c r="M3" s="3">
        <v>0</v>
      </c>
      <c r="N3" s="3" t="s">
        <v>229</v>
      </c>
      <c r="O3" s="3">
        <v>0</v>
      </c>
      <c r="P3" s="3">
        <v>0</v>
      </c>
      <c r="Q3" s="3">
        <v>0</v>
      </c>
      <c r="R3" s="3">
        <v>0</v>
      </c>
      <c r="S3" s="3">
        <v>6</v>
      </c>
      <c r="T3" s="3">
        <v>18</v>
      </c>
      <c r="U3" s="3">
        <v>45</v>
      </c>
      <c r="V3" s="3">
        <v>82</v>
      </c>
      <c r="W3" s="3" t="s">
        <v>234</v>
      </c>
      <c r="X3" s="3">
        <v>269</v>
      </c>
      <c r="Y3" s="3">
        <v>89.99</v>
      </c>
      <c r="Z3" s="3">
        <v>89.99</v>
      </c>
      <c r="AA3" s="3">
        <v>0</v>
      </c>
      <c r="AB3" s="3" t="s">
        <v>235</v>
      </c>
      <c r="AC3" s="3">
        <v>41</v>
      </c>
      <c r="AD3" s="3">
        <v>89.99</v>
      </c>
      <c r="AE3" s="3">
        <v>0</v>
      </c>
      <c r="AF3" s="3">
        <v>0</v>
      </c>
      <c r="AG3" s="3">
        <v>0</v>
      </c>
      <c r="AH3" s="3">
        <v>3.85882352941176</v>
      </c>
      <c r="AI3" s="3" t="s">
        <v>236</v>
      </c>
      <c r="AJ3" s="3" t="s">
        <v>233</v>
      </c>
    </row>
    <row r="4" spans="1:36">
      <c r="A4" s="6">
        <v>43277</v>
      </c>
      <c r="B4" s="3" t="s">
        <v>237</v>
      </c>
      <c r="C4" s="3" t="s">
        <v>238</v>
      </c>
      <c r="D4" s="3" t="s">
        <v>238</v>
      </c>
      <c r="E4" s="3" t="s">
        <v>239</v>
      </c>
      <c r="F4" s="3" t="s">
        <v>228</v>
      </c>
      <c r="G4" s="3">
        <v>6</v>
      </c>
      <c r="H4" s="3">
        <v>0</v>
      </c>
      <c r="I4" s="3">
        <v>0</v>
      </c>
      <c r="J4" s="3">
        <v>6</v>
      </c>
      <c r="K4" s="3">
        <v>0</v>
      </c>
      <c r="L4" s="3">
        <v>0</v>
      </c>
      <c r="M4" s="3">
        <v>0</v>
      </c>
      <c r="N4" s="3" t="s">
        <v>229</v>
      </c>
      <c r="O4" s="3">
        <v>5</v>
      </c>
      <c r="P4" s="3">
        <v>21.49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230</v>
      </c>
      <c r="X4" s="3">
        <v>278</v>
      </c>
      <c r="Y4" s="3">
        <v>89.6</v>
      </c>
      <c r="Z4" s="3">
        <v>89.6</v>
      </c>
      <c r="AA4" s="3">
        <v>0</v>
      </c>
      <c r="AB4" s="3" t="s">
        <v>240</v>
      </c>
      <c r="AC4" s="3">
        <v>6</v>
      </c>
      <c r="AD4" s="3">
        <v>89.6</v>
      </c>
      <c r="AE4" s="3">
        <v>0</v>
      </c>
      <c r="AF4" s="3">
        <v>0</v>
      </c>
      <c r="AG4" s="3">
        <v>0</v>
      </c>
      <c r="AH4" s="3">
        <v>0</v>
      </c>
      <c r="AI4" s="3" t="s">
        <v>241</v>
      </c>
      <c r="AJ4" s="3" t="s">
        <v>233</v>
      </c>
    </row>
    <row r="5" spans="1:36">
      <c r="A5" s="6">
        <v>43277</v>
      </c>
      <c r="B5" s="3" t="s">
        <v>242</v>
      </c>
      <c r="C5" s="3" t="s">
        <v>243</v>
      </c>
      <c r="D5" s="3" t="s">
        <v>244</v>
      </c>
      <c r="E5" s="3" t="s">
        <v>245</v>
      </c>
      <c r="F5" s="3" t="s">
        <v>228</v>
      </c>
      <c r="G5" s="3">
        <v>5</v>
      </c>
      <c r="H5" s="3">
        <v>0</v>
      </c>
      <c r="I5" s="3">
        <v>5</v>
      </c>
      <c r="J5" s="3">
        <v>0</v>
      </c>
      <c r="K5" s="3">
        <v>0</v>
      </c>
      <c r="L5" s="3">
        <v>0</v>
      </c>
      <c r="M5" s="3">
        <v>0</v>
      </c>
      <c r="N5" s="3" t="s">
        <v>229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2</v>
      </c>
      <c r="U5" s="3">
        <v>2</v>
      </c>
      <c r="V5" s="3">
        <v>4</v>
      </c>
      <c r="W5" s="3" t="s">
        <v>234</v>
      </c>
      <c r="X5" s="3">
        <v>125</v>
      </c>
      <c r="Y5" s="3">
        <v>32.99</v>
      </c>
      <c r="Z5" s="3">
        <v>32.99</v>
      </c>
      <c r="AA5" s="3">
        <v>0</v>
      </c>
      <c r="AB5" s="3" t="s">
        <v>235</v>
      </c>
      <c r="AC5" s="3">
        <v>6</v>
      </c>
      <c r="AD5" s="3">
        <v>32.99</v>
      </c>
      <c r="AE5" s="3">
        <v>0</v>
      </c>
      <c r="AF5" s="3">
        <v>0</v>
      </c>
      <c r="AG5" s="3">
        <v>0</v>
      </c>
      <c r="AH5" s="3">
        <v>0.8</v>
      </c>
      <c r="AI5" s="3" t="s">
        <v>246</v>
      </c>
      <c r="AJ5" s="3" t="s">
        <v>233</v>
      </c>
    </row>
    <row r="6" spans="1:36">
      <c r="A6" s="6">
        <v>43277</v>
      </c>
      <c r="B6" s="3" t="s">
        <v>247</v>
      </c>
      <c r="C6" s="3" t="s">
        <v>248</v>
      </c>
      <c r="D6" s="3" t="s">
        <v>248</v>
      </c>
      <c r="E6" s="3" t="s">
        <v>249</v>
      </c>
      <c r="F6" s="3" t="s">
        <v>228</v>
      </c>
      <c r="G6" s="3">
        <v>1</v>
      </c>
      <c r="H6" s="3">
        <v>0</v>
      </c>
      <c r="I6" s="3">
        <v>1</v>
      </c>
      <c r="J6" s="3">
        <v>0</v>
      </c>
      <c r="K6" s="3">
        <v>0</v>
      </c>
      <c r="L6" s="3">
        <v>0</v>
      </c>
      <c r="M6" s="3">
        <v>0</v>
      </c>
      <c r="N6" s="3" t="s">
        <v>229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2</v>
      </c>
      <c r="U6" s="3">
        <v>3</v>
      </c>
      <c r="V6" s="3">
        <v>8</v>
      </c>
      <c r="W6" s="3" t="s">
        <v>234</v>
      </c>
      <c r="X6" s="3">
        <v>125</v>
      </c>
      <c r="Y6" s="3">
        <v>32.99</v>
      </c>
      <c r="Z6" s="3">
        <v>32.99</v>
      </c>
      <c r="AA6" s="3">
        <v>0</v>
      </c>
      <c r="AB6" s="3" t="s">
        <v>235</v>
      </c>
      <c r="AC6" s="3">
        <v>1</v>
      </c>
      <c r="AD6" s="3">
        <v>32.99</v>
      </c>
      <c r="AE6" s="3">
        <v>0</v>
      </c>
      <c r="AF6" s="3">
        <v>0</v>
      </c>
      <c r="AG6" s="3">
        <v>0</v>
      </c>
      <c r="AH6" s="3">
        <v>2.66666666666666</v>
      </c>
      <c r="AI6" s="3" t="s">
        <v>250</v>
      </c>
      <c r="AJ6" s="3" t="s">
        <v>233</v>
      </c>
    </row>
    <row r="7" spans="1:36">
      <c r="A7" s="6">
        <v>43277</v>
      </c>
      <c r="B7" s="3" t="s">
        <v>251</v>
      </c>
      <c r="C7" s="3" t="s">
        <v>252</v>
      </c>
      <c r="D7" s="3" t="s">
        <v>253</v>
      </c>
      <c r="E7" s="3" t="s">
        <v>254</v>
      </c>
      <c r="F7" s="3" t="s">
        <v>228</v>
      </c>
      <c r="G7" s="3">
        <v>4</v>
      </c>
      <c r="H7" s="3">
        <v>0</v>
      </c>
      <c r="I7" s="3">
        <v>4</v>
      </c>
      <c r="J7" s="3">
        <v>0</v>
      </c>
      <c r="K7" s="3">
        <v>0</v>
      </c>
      <c r="L7" s="3">
        <v>0</v>
      </c>
      <c r="M7" s="3">
        <v>0</v>
      </c>
      <c r="N7" s="3" t="s">
        <v>229</v>
      </c>
      <c r="O7" s="3">
        <v>0</v>
      </c>
      <c r="P7" s="3">
        <v>0</v>
      </c>
      <c r="Q7" s="3">
        <v>0</v>
      </c>
      <c r="R7" s="3">
        <v>0</v>
      </c>
      <c r="S7" s="3">
        <v>3</v>
      </c>
      <c r="T7" s="3">
        <v>4</v>
      </c>
      <c r="U7" s="3">
        <v>8</v>
      </c>
      <c r="V7" s="3">
        <v>9</v>
      </c>
      <c r="W7" s="3" t="s">
        <v>234</v>
      </c>
      <c r="X7" s="3">
        <v>89.99</v>
      </c>
      <c r="Y7" s="3">
        <v>89.99</v>
      </c>
      <c r="Z7" s="3">
        <v>89.99</v>
      </c>
      <c r="AA7" s="3">
        <v>0</v>
      </c>
      <c r="AB7" s="3" t="s">
        <v>235</v>
      </c>
      <c r="AC7" s="3">
        <v>6</v>
      </c>
      <c r="AD7" s="3">
        <v>89.99</v>
      </c>
      <c r="AE7" s="3">
        <v>0</v>
      </c>
      <c r="AF7" s="3">
        <v>0</v>
      </c>
      <c r="AG7" s="3">
        <v>0</v>
      </c>
      <c r="AH7" s="3">
        <v>2.08</v>
      </c>
      <c r="AI7" s="3" t="s">
        <v>255</v>
      </c>
      <c r="AJ7" s="3" t="s">
        <v>233</v>
      </c>
    </row>
    <row r="8" spans="1:36">
      <c r="A8" s="6">
        <v>43277</v>
      </c>
      <c r="B8" s="3" t="s">
        <v>256</v>
      </c>
      <c r="C8" s="3" t="s">
        <v>257</v>
      </c>
      <c r="D8" s="3" t="s">
        <v>258</v>
      </c>
      <c r="E8" s="3" t="s">
        <v>259</v>
      </c>
      <c r="F8" s="3" t="s">
        <v>228</v>
      </c>
      <c r="G8" s="3">
        <v>39</v>
      </c>
      <c r="H8" s="3">
        <v>0</v>
      </c>
      <c r="I8" s="3">
        <v>39</v>
      </c>
      <c r="J8" s="3">
        <v>0</v>
      </c>
      <c r="K8" s="3">
        <v>0</v>
      </c>
      <c r="L8" s="3">
        <v>0</v>
      </c>
      <c r="M8" s="3">
        <v>0</v>
      </c>
      <c r="N8" s="3" t="s">
        <v>229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7</v>
      </c>
      <c r="U8" s="3">
        <v>22</v>
      </c>
      <c r="V8" s="3">
        <v>38</v>
      </c>
      <c r="W8" s="3"/>
      <c r="X8" s="3">
        <v>99.6</v>
      </c>
      <c r="Y8" s="3">
        <v>99.6</v>
      </c>
      <c r="Z8" s="3">
        <v>99.6</v>
      </c>
      <c r="AA8" s="3">
        <v>0</v>
      </c>
      <c r="AB8" s="3" t="s">
        <v>235</v>
      </c>
      <c r="AC8" s="3">
        <v>39</v>
      </c>
      <c r="AD8" s="3">
        <v>99.6</v>
      </c>
      <c r="AE8" s="3">
        <v>0</v>
      </c>
      <c r="AF8" s="3">
        <v>0</v>
      </c>
      <c r="AG8" s="3">
        <v>0</v>
      </c>
      <c r="AH8" s="3">
        <v>1.83132530120481</v>
      </c>
      <c r="AI8" s="3" t="s">
        <v>260</v>
      </c>
      <c r="AJ8" s="3" t="s">
        <v>233</v>
      </c>
    </row>
    <row r="9" spans="1:36">
      <c r="A9" s="6">
        <v>43277</v>
      </c>
      <c r="B9" s="3" t="s">
        <v>28</v>
      </c>
      <c r="C9" s="3" t="s">
        <v>29</v>
      </c>
      <c r="D9" s="3" t="s">
        <v>30</v>
      </c>
      <c r="E9" s="3" t="s">
        <v>31</v>
      </c>
      <c r="F9" s="3" t="s">
        <v>228</v>
      </c>
      <c r="G9" s="3">
        <v>13</v>
      </c>
      <c r="H9" s="3">
        <v>0</v>
      </c>
      <c r="I9" s="3">
        <v>13</v>
      </c>
      <c r="J9" s="3">
        <v>0</v>
      </c>
      <c r="K9" s="3">
        <v>0</v>
      </c>
      <c r="L9" s="3">
        <v>0</v>
      </c>
      <c r="M9" s="3">
        <v>0</v>
      </c>
      <c r="N9" s="3" t="s">
        <v>229</v>
      </c>
      <c r="O9" s="3">
        <v>0</v>
      </c>
      <c r="P9" s="3">
        <v>0</v>
      </c>
      <c r="Q9" s="3">
        <v>0</v>
      </c>
      <c r="R9" s="3">
        <v>0</v>
      </c>
      <c r="S9" s="3">
        <v>1</v>
      </c>
      <c r="T9" s="3">
        <v>8</v>
      </c>
      <c r="U9" s="3">
        <v>14</v>
      </c>
      <c r="V9" s="3">
        <v>18</v>
      </c>
      <c r="W9" s="3" t="s">
        <v>234</v>
      </c>
      <c r="X9" s="3">
        <v>89.99</v>
      </c>
      <c r="Y9" s="3">
        <v>89.99</v>
      </c>
      <c r="Z9" s="3">
        <v>89.99</v>
      </c>
      <c r="AA9" s="3">
        <v>0</v>
      </c>
      <c r="AB9" s="3" t="s">
        <v>235</v>
      </c>
      <c r="AC9" s="3">
        <v>6</v>
      </c>
      <c r="AD9" s="3">
        <v>89.99</v>
      </c>
      <c r="AE9" s="3">
        <v>0</v>
      </c>
      <c r="AF9" s="3">
        <v>0</v>
      </c>
      <c r="AG9" s="3">
        <v>0</v>
      </c>
      <c r="AH9" s="3">
        <v>2.23529411764705</v>
      </c>
      <c r="AI9" s="3" t="s">
        <v>261</v>
      </c>
      <c r="AJ9" s="3" t="s">
        <v>233</v>
      </c>
    </row>
    <row r="10" spans="1:36">
      <c r="A10" s="6">
        <v>43277</v>
      </c>
      <c r="B10" s="3" t="s">
        <v>262</v>
      </c>
      <c r="C10" s="3" t="s">
        <v>263</v>
      </c>
      <c r="D10" s="3" t="s">
        <v>264</v>
      </c>
      <c r="E10" s="3" t="s">
        <v>265</v>
      </c>
      <c r="F10" s="3" t="s">
        <v>228</v>
      </c>
      <c r="G10" s="3">
        <v>3</v>
      </c>
      <c r="H10" s="3">
        <v>0</v>
      </c>
      <c r="I10" s="3">
        <v>3</v>
      </c>
      <c r="J10" s="3">
        <v>0</v>
      </c>
      <c r="K10" s="3">
        <v>0</v>
      </c>
      <c r="L10" s="3">
        <v>0</v>
      </c>
      <c r="M10" s="3">
        <v>0</v>
      </c>
      <c r="N10" s="3" t="s">
        <v>229</v>
      </c>
      <c r="O10" s="3">
        <v>0</v>
      </c>
      <c r="P10" s="3">
        <v>0</v>
      </c>
      <c r="Q10" s="3">
        <v>0</v>
      </c>
      <c r="R10" s="3">
        <v>0</v>
      </c>
      <c r="S10" s="3">
        <v>4</v>
      </c>
      <c r="T10" s="3">
        <v>10</v>
      </c>
      <c r="U10" s="3">
        <v>21</v>
      </c>
      <c r="V10" s="3">
        <v>28</v>
      </c>
      <c r="W10" s="3" t="s">
        <v>234</v>
      </c>
      <c r="X10" s="3">
        <v>32.99</v>
      </c>
      <c r="Y10" s="3">
        <v>32.99</v>
      </c>
      <c r="Z10" s="3">
        <v>32.99</v>
      </c>
      <c r="AA10" s="3">
        <v>0</v>
      </c>
      <c r="AB10" s="3" t="s">
        <v>235</v>
      </c>
      <c r="AC10" s="3">
        <v>0</v>
      </c>
      <c r="AD10" s="3">
        <v>32.99</v>
      </c>
      <c r="AE10" s="3">
        <v>0</v>
      </c>
      <c r="AF10" s="3">
        <v>4</v>
      </c>
      <c r="AG10" s="3">
        <v>29.934804</v>
      </c>
      <c r="AH10" s="3">
        <v>8</v>
      </c>
      <c r="AI10" s="3" t="s">
        <v>266</v>
      </c>
      <c r="AJ10" s="3" t="s">
        <v>233</v>
      </c>
    </row>
    <row r="11" spans="1:36">
      <c r="A11" s="6">
        <v>43277</v>
      </c>
      <c r="B11" s="3" t="s">
        <v>84</v>
      </c>
      <c r="C11" s="3" t="s">
        <v>85</v>
      </c>
      <c r="D11" s="3" t="s">
        <v>86</v>
      </c>
      <c r="E11" s="3" t="s">
        <v>87</v>
      </c>
      <c r="F11" s="3" t="s">
        <v>228</v>
      </c>
      <c r="G11" s="3">
        <v>42</v>
      </c>
      <c r="H11" s="3">
        <v>0</v>
      </c>
      <c r="I11" s="3">
        <v>42</v>
      </c>
      <c r="J11" s="3">
        <v>0</v>
      </c>
      <c r="K11" s="3">
        <v>0</v>
      </c>
      <c r="L11" s="3">
        <v>0</v>
      </c>
      <c r="M11" s="3">
        <v>0</v>
      </c>
      <c r="N11" s="3" t="s">
        <v>229</v>
      </c>
      <c r="O11" s="3">
        <v>0</v>
      </c>
      <c r="P11" s="3">
        <v>0</v>
      </c>
      <c r="Q11" s="3">
        <v>0</v>
      </c>
      <c r="R11" s="3">
        <v>0</v>
      </c>
      <c r="S11" s="3">
        <v>12</v>
      </c>
      <c r="T11" s="3">
        <v>48</v>
      </c>
      <c r="U11" s="3">
        <v>98</v>
      </c>
      <c r="V11" s="3">
        <v>149</v>
      </c>
      <c r="W11" s="3" t="s">
        <v>234</v>
      </c>
      <c r="X11" s="3">
        <v>156</v>
      </c>
      <c r="Y11" s="3">
        <v>89.99</v>
      </c>
      <c r="Z11" s="3">
        <v>89.99</v>
      </c>
      <c r="AA11" s="3">
        <v>0</v>
      </c>
      <c r="AB11" s="3" t="s">
        <v>235</v>
      </c>
      <c r="AC11" s="3">
        <v>39</v>
      </c>
      <c r="AD11" s="3">
        <v>89.99</v>
      </c>
      <c r="AE11" s="3">
        <v>0</v>
      </c>
      <c r="AF11" s="3">
        <v>0</v>
      </c>
      <c r="AG11" s="3">
        <v>0</v>
      </c>
      <c r="AH11" s="3">
        <v>5.51851851851851</v>
      </c>
      <c r="AI11" s="3" t="s">
        <v>267</v>
      </c>
      <c r="AJ11" s="3" t="s">
        <v>233</v>
      </c>
    </row>
    <row r="12" spans="1:36">
      <c r="A12" s="6">
        <v>43277</v>
      </c>
      <c r="B12" s="3" t="s">
        <v>96</v>
      </c>
      <c r="C12" s="3" t="s">
        <v>97</v>
      </c>
      <c r="D12" s="3" t="s">
        <v>98</v>
      </c>
      <c r="E12" s="3" t="s">
        <v>99</v>
      </c>
      <c r="F12" s="3" t="s">
        <v>228</v>
      </c>
      <c r="G12" s="3">
        <v>4</v>
      </c>
      <c r="H12" s="3">
        <v>0</v>
      </c>
      <c r="I12" s="3">
        <v>4</v>
      </c>
      <c r="J12" s="3">
        <v>0</v>
      </c>
      <c r="K12" s="3">
        <v>0</v>
      </c>
      <c r="L12" s="3">
        <v>0</v>
      </c>
      <c r="M12" s="3">
        <v>0</v>
      </c>
      <c r="N12" s="3" t="s">
        <v>229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3</v>
      </c>
      <c r="U12" s="3">
        <v>8</v>
      </c>
      <c r="V12" s="3">
        <v>9</v>
      </c>
      <c r="W12" s="3" t="s">
        <v>230</v>
      </c>
      <c r="X12" s="3">
        <v>156</v>
      </c>
      <c r="Y12" s="3">
        <v>79.99</v>
      </c>
      <c r="Z12" s="3">
        <v>79.99</v>
      </c>
      <c r="AA12" s="3">
        <v>0</v>
      </c>
      <c r="AB12" s="3" t="s">
        <v>240</v>
      </c>
      <c r="AC12" s="3">
        <v>5</v>
      </c>
      <c r="AD12" s="3">
        <v>79.99</v>
      </c>
      <c r="AE12" s="3">
        <v>0</v>
      </c>
      <c r="AF12" s="3">
        <v>0</v>
      </c>
      <c r="AG12" s="3">
        <v>0</v>
      </c>
      <c r="AH12" s="3">
        <v>1.92857142857142</v>
      </c>
      <c r="AI12" s="3" t="s">
        <v>268</v>
      </c>
      <c r="AJ12" s="3" t="s">
        <v>233</v>
      </c>
    </row>
    <row r="13" spans="1:36">
      <c r="A13" s="6">
        <v>43277</v>
      </c>
      <c r="B13" s="3" t="s">
        <v>116</v>
      </c>
      <c r="C13" s="3" t="s">
        <v>117</v>
      </c>
      <c r="D13" s="3" t="s">
        <v>118</v>
      </c>
      <c r="E13" s="3" t="s">
        <v>119</v>
      </c>
      <c r="F13" s="3" t="s">
        <v>228</v>
      </c>
      <c r="G13" s="3">
        <v>26</v>
      </c>
      <c r="H13" s="3">
        <v>0</v>
      </c>
      <c r="I13" s="3">
        <v>26</v>
      </c>
      <c r="J13" s="3">
        <v>0</v>
      </c>
      <c r="K13" s="3">
        <v>0</v>
      </c>
      <c r="L13" s="3">
        <v>0</v>
      </c>
      <c r="M13" s="3">
        <v>0</v>
      </c>
      <c r="N13" s="3" t="s">
        <v>229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1</v>
      </c>
      <c r="U13" s="3">
        <v>16</v>
      </c>
      <c r="V13" s="3">
        <v>37</v>
      </c>
      <c r="W13" s="3" t="s">
        <v>230</v>
      </c>
      <c r="X13" s="3">
        <v>89.99</v>
      </c>
      <c r="Y13" s="3">
        <v>89.99</v>
      </c>
      <c r="Z13" s="3">
        <v>89.99</v>
      </c>
      <c r="AA13" s="3">
        <v>0</v>
      </c>
      <c r="AB13" s="3" t="s">
        <v>231</v>
      </c>
      <c r="AC13" s="3">
        <v>26</v>
      </c>
      <c r="AD13" s="3">
        <v>89.99</v>
      </c>
      <c r="AE13" s="3">
        <v>0</v>
      </c>
      <c r="AF13" s="3">
        <v>0</v>
      </c>
      <c r="AG13" s="3">
        <v>0</v>
      </c>
      <c r="AH13" s="3">
        <v>1.82716049382716</v>
      </c>
      <c r="AI13" s="3" t="s">
        <v>269</v>
      </c>
      <c r="AJ13" s="3" t="s">
        <v>233</v>
      </c>
    </row>
    <row r="14" spans="1:36">
      <c r="A14" s="6">
        <v>43277</v>
      </c>
      <c r="B14" s="3" t="s">
        <v>88</v>
      </c>
      <c r="C14" s="3" t="s">
        <v>89</v>
      </c>
      <c r="D14" s="3" t="s">
        <v>90</v>
      </c>
      <c r="E14" s="3" t="s">
        <v>91</v>
      </c>
      <c r="F14" s="3" t="s">
        <v>228</v>
      </c>
      <c r="G14" s="3">
        <v>30</v>
      </c>
      <c r="H14" s="3">
        <v>0</v>
      </c>
      <c r="I14" s="3">
        <v>21</v>
      </c>
      <c r="J14" s="3">
        <v>9</v>
      </c>
      <c r="K14" s="3">
        <v>0</v>
      </c>
      <c r="L14" s="3">
        <v>0</v>
      </c>
      <c r="M14" s="3">
        <v>0</v>
      </c>
      <c r="N14" s="3" t="s">
        <v>229</v>
      </c>
      <c r="O14" s="3">
        <v>0</v>
      </c>
      <c r="P14" s="3">
        <v>0</v>
      </c>
      <c r="Q14" s="3">
        <v>0</v>
      </c>
      <c r="R14" s="3">
        <v>0</v>
      </c>
      <c r="S14" s="3">
        <v>4</v>
      </c>
      <c r="T14" s="3">
        <v>4</v>
      </c>
      <c r="U14" s="3">
        <v>7</v>
      </c>
      <c r="V14" s="3">
        <v>14</v>
      </c>
      <c r="W14" s="3" t="s">
        <v>234</v>
      </c>
      <c r="X14" s="3">
        <v>132</v>
      </c>
      <c r="Y14" s="3">
        <v>26.99</v>
      </c>
      <c r="Z14" s="3">
        <v>26.99</v>
      </c>
      <c r="AA14" s="3">
        <v>0</v>
      </c>
      <c r="AB14" s="3" t="s">
        <v>235</v>
      </c>
      <c r="AC14" s="3">
        <v>0</v>
      </c>
      <c r="AD14" s="3">
        <v>32.99</v>
      </c>
      <c r="AE14" s="3">
        <v>0</v>
      </c>
      <c r="AF14" s="3">
        <v>34</v>
      </c>
      <c r="AG14" s="3">
        <v>722.52955</v>
      </c>
      <c r="AH14" s="3">
        <v>0.513761467889908</v>
      </c>
      <c r="AI14" s="3" t="s">
        <v>270</v>
      </c>
      <c r="AJ14" s="3" t="s">
        <v>233</v>
      </c>
    </row>
    <row r="15" spans="1:36">
      <c r="A15" s="6">
        <v>43277</v>
      </c>
      <c r="B15" s="3" t="s">
        <v>124</v>
      </c>
      <c r="C15" s="3" t="s">
        <v>125</v>
      </c>
      <c r="D15" s="3" t="s">
        <v>126</v>
      </c>
      <c r="E15" s="3" t="s">
        <v>127</v>
      </c>
      <c r="F15" s="3" t="s">
        <v>228</v>
      </c>
      <c r="G15" s="3">
        <v>13</v>
      </c>
      <c r="H15" s="3">
        <v>0</v>
      </c>
      <c r="I15" s="3">
        <v>10</v>
      </c>
      <c r="J15" s="3">
        <v>3</v>
      </c>
      <c r="K15" s="3">
        <v>0</v>
      </c>
      <c r="L15" s="3">
        <v>0</v>
      </c>
      <c r="M15" s="3">
        <v>0</v>
      </c>
      <c r="N15" s="3" t="s">
        <v>229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2</v>
      </c>
      <c r="U15" s="3">
        <v>3</v>
      </c>
      <c r="V15" s="3">
        <v>9</v>
      </c>
      <c r="W15" s="3" t="s">
        <v>230</v>
      </c>
      <c r="X15" s="3">
        <v>99.6</v>
      </c>
      <c r="Y15" s="3">
        <v>99.6</v>
      </c>
      <c r="Z15" s="3">
        <v>99.6</v>
      </c>
      <c r="AA15" s="3">
        <v>0</v>
      </c>
      <c r="AB15" s="3" t="s">
        <v>231</v>
      </c>
      <c r="AC15" s="3">
        <v>13</v>
      </c>
      <c r="AD15" s="3">
        <v>99.6</v>
      </c>
      <c r="AE15" s="3">
        <v>0</v>
      </c>
      <c r="AF15" s="3">
        <v>0</v>
      </c>
      <c r="AG15" s="3">
        <v>0</v>
      </c>
      <c r="AH15" s="3">
        <v>0.642857142857142</v>
      </c>
      <c r="AI15" s="3" t="s">
        <v>271</v>
      </c>
      <c r="AJ15" s="3" t="s">
        <v>233</v>
      </c>
    </row>
    <row r="16" spans="1:36">
      <c r="A16" s="6">
        <v>43277</v>
      </c>
      <c r="B16" s="3" t="s">
        <v>272</v>
      </c>
      <c r="C16" s="3" t="s">
        <v>273</v>
      </c>
      <c r="D16" s="3" t="s">
        <v>274</v>
      </c>
      <c r="E16" s="3" t="s">
        <v>275</v>
      </c>
      <c r="F16" s="3" t="s">
        <v>228</v>
      </c>
      <c r="G16" s="3">
        <v>10</v>
      </c>
      <c r="H16" s="3">
        <v>0</v>
      </c>
      <c r="I16" s="3">
        <v>10</v>
      </c>
      <c r="J16" s="3">
        <v>0</v>
      </c>
      <c r="K16" s="3">
        <v>0</v>
      </c>
      <c r="L16" s="3">
        <v>0</v>
      </c>
      <c r="M16" s="3">
        <v>0</v>
      </c>
      <c r="N16" s="3" t="s">
        <v>229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230</v>
      </c>
      <c r="X16" s="3">
        <v>37.99</v>
      </c>
      <c r="Y16" s="3">
        <v>37.99</v>
      </c>
      <c r="Z16" s="3">
        <v>37.99</v>
      </c>
      <c r="AA16" s="3">
        <v>0</v>
      </c>
      <c r="AB16" s="3" t="s">
        <v>231</v>
      </c>
      <c r="AC16" s="3">
        <v>10</v>
      </c>
      <c r="AD16" s="3">
        <v>37.99</v>
      </c>
      <c r="AE16" s="3">
        <v>0</v>
      </c>
      <c r="AF16" s="3">
        <v>0</v>
      </c>
      <c r="AG16" s="3">
        <v>0</v>
      </c>
      <c r="AH16" s="3">
        <v>0</v>
      </c>
      <c r="AI16" s="3" t="s">
        <v>276</v>
      </c>
      <c r="AJ16" s="3" t="s">
        <v>233</v>
      </c>
    </row>
    <row r="17" spans="1:36">
      <c r="A17" s="6">
        <v>43277</v>
      </c>
      <c r="B17" s="3" t="s">
        <v>277</v>
      </c>
      <c r="C17" s="3" t="s">
        <v>278</v>
      </c>
      <c r="D17" s="3" t="s">
        <v>279</v>
      </c>
      <c r="E17" s="3" t="s">
        <v>280</v>
      </c>
      <c r="F17" s="3" t="s">
        <v>228</v>
      </c>
      <c r="G17" s="3">
        <v>3</v>
      </c>
      <c r="H17" s="3">
        <v>0</v>
      </c>
      <c r="I17" s="3">
        <v>0</v>
      </c>
      <c r="J17" s="3">
        <v>3</v>
      </c>
      <c r="K17" s="3">
        <v>0</v>
      </c>
      <c r="L17" s="3">
        <v>0</v>
      </c>
      <c r="M17" s="3">
        <v>0</v>
      </c>
      <c r="N17" s="3" t="s">
        <v>229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230</v>
      </c>
      <c r="X17" s="3">
        <v>104.99</v>
      </c>
      <c r="Y17" s="3">
        <v>104.99</v>
      </c>
      <c r="Z17" s="3">
        <v>104.99</v>
      </c>
      <c r="AA17" s="3">
        <v>0</v>
      </c>
      <c r="AB17" s="3" t="s">
        <v>231</v>
      </c>
      <c r="AC17" s="3">
        <v>3</v>
      </c>
      <c r="AD17" s="3">
        <v>104.99</v>
      </c>
      <c r="AE17" s="3">
        <v>0</v>
      </c>
      <c r="AF17" s="3">
        <v>0</v>
      </c>
      <c r="AG17" s="3">
        <v>0</v>
      </c>
      <c r="AH17" s="3">
        <v>0</v>
      </c>
      <c r="AI17" s="3" t="s">
        <v>281</v>
      </c>
      <c r="AJ17" s="3" t="s">
        <v>282</v>
      </c>
    </row>
    <row r="18" spans="1:36">
      <c r="A18" s="6">
        <v>43277</v>
      </c>
      <c r="B18" s="3" t="s">
        <v>283</v>
      </c>
      <c r="C18" s="3" t="s">
        <v>284</v>
      </c>
      <c r="D18" s="3" t="s">
        <v>285</v>
      </c>
      <c r="E18" s="3" t="s">
        <v>286</v>
      </c>
      <c r="F18" s="3" t="s">
        <v>228</v>
      </c>
      <c r="G18" s="3">
        <v>4</v>
      </c>
      <c r="H18" s="3">
        <v>0</v>
      </c>
      <c r="I18" s="3">
        <v>4</v>
      </c>
      <c r="J18" s="3">
        <v>0</v>
      </c>
      <c r="K18" s="3">
        <v>0</v>
      </c>
      <c r="L18" s="3">
        <v>0</v>
      </c>
      <c r="M18" s="3">
        <v>0</v>
      </c>
      <c r="N18" s="3" t="s">
        <v>229</v>
      </c>
      <c r="O18" s="3">
        <v>0</v>
      </c>
      <c r="P18" s="3">
        <v>0</v>
      </c>
      <c r="Q18" s="3">
        <v>0</v>
      </c>
      <c r="R18" s="3">
        <v>0</v>
      </c>
      <c r="S18" s="3">
        <v>5</v>
      </c>
      <c r="T18" s="3">
        <v>14</v>
      </c>
      <c r="U18" s="3">
        <v>16</v>
      </c>
      <c r="V18" s="3">
        <v>16</v>
      </c>
      <c r="W18" s="3" t="s">
        <v>234</v>
      </c>
      <c r="X18" s="3">
        <v>99.99</v>
      </c>
      <c r="Y18" s="3">
        <v>99.99</v>
      </c>
      <c r="Z18" s="3">
        <v>99.99</v>
      </c>
      <c r="AA18" s="3">
        <v>0</v>
      </c>
      <c r="AB18" s="3" t="s">
        <v>235</v>
      </c>
      <c r="AC18" s="3">
        <v>7</v>
      </c>
      <c r="AD18" s="3">
        <v>99.99</v>
      </c>
      <c r="AE18" s="3">
        <v>0</v>
      </c>
      <c r="AF18" s="3">
        <v>0</v>
      </c>
      <c r="AG18" s="3">
        <v>0</v>
      </c>
      <c r="AH18" s="3">
        <v>4</v>
      </c>
      <c r="AI18" s="3" t="s">
        <v>287</v>
      </c>
      <c r="AJ18" s="3" t="s">
        <v>233</v>
      </c>
    </row>
    <row r="19" spans="1:36">
      <c r="A19" s="6">
        <v>43277</v>
      </c>
      <c r="B19" s="3" t="s">
        <v>288</v>
      </c>
      <c r="C19" s="3" t="s">
        <v>289</v>
      </c>
      <c r="D19" s="3" t="s">
        <v>290</v>
      </c>
      <c r="E19" s="3" t="s">
        <v>291</v>
      </c>
      <c r="F19" s="3" t="s">
        <v>228</v>
      </c>
      <c r="G19" s="3">
        <v>12</v>
      </c>
      <c r="H19" s="3">
        <v>0</v>
      </c>
      <c r="I19" s="3">
        <v>5</v>
      </c>
      <c r="J19" s="3">
        <v>7</v>
      </c>
      <c r="K19" s="3">
        <v>0</v>
      </c>
      <c r="L19" s="3">
        <v>0</v>
      </c>
      <c r="M19" s="3">
        <v>0</v>
      </c>
      <c r="N19" s="3" t="s">
        <v>229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1</v>
      </c>
      <c r="V19" s="3">
        <v>4</v>
      </c>
      <c r="W19" s="3" t="s">
        <v>234</v>
      </c>
      <c r="X19" s="3">
        <v>239.99</v>
      </c>
      <c r="Y19" s="3">
        <v>79.99</v>
      </c>
      <c r="Z19" s="3">
        <v>79.99</v>
      </c>
      <c r="AA19" s="3">
        <v>0</v>
      </c>
      <c r="AB19" s="3" t="s">
        <v>235</v>
      </c>
      <c r="AC19" s="3">
        <v>12</v>
      </c>
      <c r="AD19" s="3">
        <v>79.99</v>
      </c>
      <c r="AE19" s="3">
        <v>0</v>
      </c>
      <c r="AF19" s="3">
        <v>0</v>
      </c>
      <c r="AG19" s="3">
        <v>0</v>
      </c>
      <c r="AH19" s="3">
        <v>0.333333333333333</v>
      </c>
      <c r="AI19" s="3" t="s">
        <v>292</v>
      </c>
      <c r="AJ19" s="3" t="s">
        <v>233</v>
      </c>
    </row>
    <row r="20" spans="1:36">
      <c r="A20" s="6">
        <v>43277</v>
      </c>
      <c r="B20" s="3" t="s">
        <v>293</v>
      </c>
      <c r="C20" s="3" t="s">
        <v>294</v>
      </c>
      <c r="D20" s="3" t="s">
        <v>295</v>
      </c>
      <c r="E20" s="3" t="s">
        <v>296</v>
      </c>
      <c r="F20" s="3" t="s">
        <v>228</v>
      </c>
      <c r="G20" s="3">
        <v>3</v>
      </c>
      <c r="H20" s="3">
        <v>0</v>
      </c>
      <c r="I20" s="3">
        <v>3</v>
      </c>
      <c r="J20" s="3">
        <v>0</v>
      </c>
      <c r="K20" s="3">
        <v>0</v>
      </c>
      <c r="L20" s="3">
        <v>0</v>
      </c>
      <c r="M20" s="3">
        <v>0</v>
      </c>
      <c r="N20" s="3" t="s">
        <v>229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1</v>
      </c>
      <c r="U20" s="3">
        <v>1</v>
      </c>
      <c r="V20" s="3">
        <v>1</v>
      </c>
      <c r="W20" s="3" t="s">
        <v>230</v>
      </c>
      <c r="X20" s="3">
        <v>108.99</v>
      </c>
      <c r="Y20" s="3">
        <v>108.99</v>
      </c>
      <c r="Z20" s="3">
        <v>108.99</v>
      </c>
      <c r="AA20" s="3">
        <v>0</v>
      </c>
      <c r="AB20" s="3" t="s">
        <v>231</v>
      </c>
      <c r="AC20" s="3">
        <v>4</v>
      </c>
      <c r="AD20" s="3">
        <v>108.99</v>
      </c>
      <c r="AE20" s="3">
        <v>0</v>
      </c>
      <c r="AF20" s="3">
        <v>0</v>
      </c>
      <c r="AG20" s="3">
        <v>0</v>
      </c>
      <c r="AH20" s="3">
        <v>0.666666666666666</v>
      </c>
      <c r="AI20" s="3" t="s">
        <v>297</v>
      </c>
      <c r="AJ20" s="3" t="s">
        <v>282</v>
      </c>
    </row>
    <row r="21" spans="1:36">
      <c r="A21" s="6">
        <v>43277</v>
      </c>
      <c r="B21" s="3" t="s">
        <v>298</v>
      </c>
      <c r="C21" s="3" t="s">
        <v>299</v>
      </c>
      <c r="D21" s="3" t="s">
        <v>300</v>
      </c>
      <c r="E21" s="3" t="s">
        <v>301</v>
      </c>
      <c r="F21" s="3" t="s">
        <v>228</v>
      </c>
      <c r="G21" s="3">
        <v>6</v>
      </c>
      <c r="H21" s="3">
        <v>0</v>
      </c>
      <c r="I21" s="3">
        <v>6</v>
      </c>
      <c r="J21" s="3">
        <v>0</v>
      </c>
      <c r="K21" s="3">
        <v>0</v>
      </c>
      <c r="L21" s="3">
        <v>0</v>
      </c>
      <c r="M21" s="3">
        <v>0</v>
      </c>
      <c r="N21" s="3" t="s">
        <v>229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5</v>
      </c>
      <c r="U21" s="3">
        <v>5</v>
      </c>
      <c r="V21" s="3">
        <v>5</v>
      </c>
      <c r="W21" s="3" t="s">
        <v>230</v>
      </c>
      <c r="X21" s="3">
        <v>108.99</v>
      </c>
      <c r="Y21" s="3">
        <v>108.99</v>
      </c>
      <c r="Z21" s="3">
        <v>108.99</v>
      </c>
      <c r="AA21" s="3">
        <v>0</v>
      </c>
      <c r="AB21" s="3" t="s">
        <v>231</v>
      </c>
      <c r="AC21" s="3">
        <v>6</v>
      </c>
      <c r="AD21" s="3">
        <v>108.99</v>
      </c>
      <c r="AE21" s="3">
        <v>0</v>
      </c>
      <c r="AF21" s="3">
        <v>0</v>
      </c>
      <c r="AG21" s="3">
        <v>0</v>
      </c>
      <c r="AH21" s="3">
        <v>1.66666666666666</v>
      </c>
      <c r="AI21" s="3" t="s">
        <v>302</v>
      </c>
      <c r="AJ21" s="3" t="s">
        <v>233</v>
      </c>
    </row>
    <row r="22" spans="1:36">
      <c r="A22" s="6">
        <v>43277</v>
      </c>
      <c r="B22" s="3" t="s">
        <v>303</v>
      </c>
      <c r="C22" s="3" t="s">
        <v>304</v>
      </c>
      <c r="D22" s="3" t="s">
        <v>305</v>
      </c>
      <c r="E22" s="3" t="s">
        <v>306</v>
      </c>
      <c r="F22" s="3" t="s">
        <v>228</v>
      </c>
      <c r="G22" s="3">
        <v>5</v>
      </c>
      <c r="H22" s="3">
        <v>0</v>
      </c>
      <c r="I22" s="3">
        <v>5</v>
      </c>
      <c r="J22" s="3">
        <v>0</v>
      </c>
      <c r="K22" s="3">
        <v>0</v>
      </c>
      <c r="L22" s="3">
        <v>0</v>
      </c>
      <c r="M22" s="3">
        <v>0</v>
      </c>
      <c r="N22" s="3" t="s">
        <v>229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 t="s">
        <v>230</v>
      </c>
      <c r="X22" s="3">
        <v>179</v>
      </c>
      <c r="Y22" s="3">
        <v>89.99</v>
      </c>
      <c r="Z22" s="3">
        <v>89.99</v>
      </c>
      <c r="AA22" s="3">
        <v>0</v>
      </c>
      <c r="AB22" s="3" t="s">
        <v>240</v>
      </c>
      <c r="AC22" s="3">
        <v>5</v>
      </c>
      <c r="AD22" s="3">
        <v>89.99</v>
      </c>
      <c r="AE22" s="3">
        <v>0</v>
      </c>
      <c r="AF22" s="3">
        <v>0</v>
      </c>
      <c r="AG22" s="3">
        <v>0</v>
      </c>
      <c r="AH22" s="3">
        <v>0</v>
      </c>
      <c r="AI22" s="3" t="s">
        <v>307</v>
      </c>
      <c r="AJ22" s="3" t="s">
        <v>233</v>
      </c>
    </row>
    <row r="23" spans="1:36">
      <c r="A23" s="6">
        <v>43277</v>
      </c>
      <c r="B23" s="3" t="s">
        <v>308</v>
      </c>
      <c r="C23" s="3" t="s">
        <v>309</v>
      </c>
      <c r="D23" s="3" t="s">
        <v>310</v>
      </c>
      <c r="E23" s="3" t="s">
        <v>311</v>
      </c>
      <c r="F23" s="3" t="s">
        <v>228</v>
      </c>
      <c r="G23" s="3">
        <v>7</v>
      </c>
      <c r="H23" s="3">
        <v>0</v>
      </c>
      <c r="I23" s="3">
        <v>7</v>
      </c>
      <c r="J23" s="3">
        <v>0</v>
      </c>
      <c r="K23" s="3">
        <v>0</v>
      </c>
      <c r="L23" s="3">
        <v>0</v>
      </c>
      <c r="M23" s="3">
        <v>0</v>
      </c>
      <c r="N23" s="3" t="s">
        <v>229</v>
      </c>
      <c r="O23" s="3">
        <v>0</v>
      </c>
      <c r="P23" s="3">
        <v>0</v>
      </c>
      <c r="Q23" s="3">
        <v>0</v>
      </c>
      <c r="R23" s="3">
        <v>0</v>
      </c>
      <c r="S23" s="3">
        <v>4</v>
      </c>
      <c r="T23" s="3">
        <v>8</v>
      </c>
      <c r="U23" s="3">
        <v>17</v>
      </c>
      <c r="V23" s="3">
        <v>24</v>
      </c>
      <c r="W23" s="3"/>
      <c r="X23" s="3">
        <v>21.99</v>
      </c>
      <c r="Y23" s="3">
        <v>21.99</v>
      </c>
      <c r="Z23" s="3">
        <v>21.99</v>
      </c>
      <c r="AA23" s="3">
        <v>0</v>
      </c>
      <c r="AB23" s="3" t="s">
        <v>235</v>
      </c>
      <c r="AC23" s="3">
        <v>9</v>
      </c>
      <c r="AD23" s="3">
        <v>21.99</v>
      </c>
      <c r="AE23" s="3">
        <v>0</v>
      </c>
      <c r="AF23" s="3">
        <v>0</v>
      </c>
      <c r="AG23" s="3">
        <v>0</v>
      </c>
      <c r="AH23" s="3">
        <v>2.08695652173913</v>
      </c>
      <c r="AI23" s="3" t="s">
        <v>312</v>
      </c>
      <c r="AJ23" s="3" t="s">
        <v>233</v>
      </c>
    </row>
    <row r="24" spans="1:36">
      <c r="A24" s="6">
        <v>43277</v>
      </c>
      <c r="B24" s="3" t="s">
        <v>313</v>
      </c>
      <c r="C24" s="3" t="s">
        <v>314</v>
      </c>
      <c r="D24" s="3" t="s">
        <v>314</v>
      </c>
      <c r="E24" s="3" t="s">
        <v>315</v>
      </c>
      <c r="F24" s="3" t="s">
        <v>228</v>
      </c>
      <c r="G24" s="3">
        <v>1</v>
      </c>
      <c r="H24" s="3">
        <v>0</v>
      </c>
      <c r="I24" s="3">
        <v>0</v>
      </c>
      <c r="J24" s="3">
        <v>1</v>
      </c>
      <c r="K24" s="3">
        <v>0</v>
      </c>
      <c r="L24" s="3">
        <v>0</v>
      </c>
      <c r="M24" s="3">
        <v>0</v>
      </c>
      <c r="N24" s="3" t="s">
        <v>229</v>
      </c>
      <c r="O24" s="3">
        <v>1</v>
      </c>
      <c r="P24" s="3">
        <v>5</v>
      </c>
      <c r="Q24" s="3">
        <v>0</v>
      </c>
      <c r="R24" s="3">
        <v>0</v>
      </c>
      <c r="S24" s="3">
        <v>1</v>
      </c>
      <c r="T24" s="3">
        <v>1</v>
      </c>
      <c r="U24" s="3">
        <v>7</v>
      </c>
      <c r="V24" s="3">
        <v>9</v>
      </c>
      <c r="W24" s="3"/>
      <c r="X24" s="3">
        <v>256</v>
      </c>
      <c r="Y24" s="3">
        <v>89.99</v>
      </c>
      <c r="Z24" s="3">
        <v>89.99</v>
      </c>
      <c r="AA24" s="3">
        <v>0</v>
      </c>
      <c r="AB24" s="3" t="s">
        <v>235</v>
      </c>
      <c r="AC24" s="3">
        <v>2</v>
      </c>
      <c r="AD24" s="3">
        <v>89.99</v>
      </c>
      <c r="AE24" s="3">
        <v>0</v>
      </c>
      <c r="AF24" s="3">
        <v>0</v>
      </c>
      <c r="AG24" s="3">
        <v>0</v>
      </c>
      <c r="AH24" s="3">
        <v>1.51724137931034</v>
      </c>
      <c r="AI24" s="3" t="s">
        <v>260</v>
      </c>
      <c r="AJ24" s="3" t="s">
        <v>233</v>
      </c>
    </row>
    <row r="25" spans="1:36">
      <c r="A25" s="6">
        <v>43277</v>
      </c>
      <c r="B25" s="3" t="s">
        <v>316</v>
      </c>
      <c r="C25" s="3" t="s">
        <v>317</v>
      </c>
      <c r="D25" s="3" t="s">
        <v>318</v>
      </c>
      <c r="E25" s="3" t="s">
        <v>319</v>
      </c>
      <c r="F25" s="3" t="s">
        <v>228</v>
      </c>
      <c r="G25" s="3">
        <v>8</v>
      </c>
      <c r="H25" s="3">
        <v>0</v>
      </c>
      <c r="I25" s="3">
        <v>8</v>
      </c>
      <c r="J25" s="3">
        <v>0</v>
      </c>
      <c r="K25" s="3">
        <v>0</v>
      </c>
      <c r="L25" s="3">
        <v>0</v>
      </c>
      <c r="M25" s="3">
        <v>0</v>
      </c>
      <c r="N25" s="3" t="s">
        <v>229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2</v>
      </c>
      <c r="U25" s="3">
        <v>2</v>
      </c>
      <c r="V25" s="3">
        <v>5</v>
      </c>
      <c r="W25" s="3" t="s">
        <v>234</v>
      </c>
      <c r="X25" s="3">
        <v>89.99</v>
      </c>
      <c r="Y25" s="3">
        <v>89.99</v>
      </c>
      <c r="Z25" s="3">
        <v>89.99</v>
      </c>
      <c r="AA25" s="3">
        <v>0</v>
      </c>
      <c r="AB25" s="3" t="s">
        <v>235</v>
      </c>
      <c r="AC25" s="3">
        <v>8</v>
      </c>
      <c r="AD25" s="3">
        <v>89.99</v>
      </c>
      <c r="AE25" s="3">
        <v>0</v>
      </c>
      <c r="AF25" s="3">
        <v>0</v>
      </c>
      <c r="AG25" s="3">
        <v>0</v>
      </c>
      <c r="AH25" s="3">
        <v>0.64516129032258</v>
      </c>
      <c r="AI25" s="3" t="s">
        <v>320</v>
      </c>
      <c r="AJ25" s="3" t="s">
        <v>282</v>
      </c>
    </row>
    <row r="26" spans="1:36">
      <c r="A26" s="6">
        <v>43277</v>
      </c>
      <c r="B26" s="3" t="s">
        <v>321</v>
      </c>
      <c r="C26" s="3" t="s">
        <v>322</v>
      </c>
      <c r="D26" s="3" t="s">
        <v>323</v>
      </c>
      <c r="E26" s="3" t="s">
        <v>324</v>
      </c>
      <c r="F26" s="3" t="s">
        <v>228</v>
      </c>
      <c r="G26" s="3">
        <v>10</v>
      </c>
      <c r="H26" s="3">
        <v>0</v>
      </c>
      <c r="I26" s="3">
        <v>10</v>
      </c>
      <c r="J26" s="3">
        <v>0</v>
      </c>
      <c r="K26" s="3">
        <v>0</v>
      </c>
      <c r="L26" s="3">
        <v>0</v>
      </c>
      <c r="M26" s="3">
        <v>0</v>
      </c>
      <c r="N26" s="3" t="s">
        <v>229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230</v>
      </c>
      <c r="X26" s="3">
        <v>32.99</v>
      </c>
      <c r="Y26" s="3">
        <v>32.99</v>
      </c>
      <c r="Z26" s="3">
        <v>32.99</v>
      </c>
      <c r="AA26" s="3">
        <v>0</v>
      </c>
      <c r="AB26" s="3" t="s">
        <v>231</v>
      </c>
      <c r="AC26" s="3">
        <v>1</v>
      </c>
      <c r="AD26" s="3">
        <v>26.39</v>
      </c>
      <c r="AE26" s="3">
        <v>273</v>
      </c>
      <c r="AF26" s="3">
        <v>0</v>
      </c>
      <c r="AG26" s="3">
        <v>50.765841</v>
      </c>
      <c r="AH26" s="3">
        <v>0.717948717948718</v>
      </c>
      <c r="AI26" s="3" t="s">
        <v>325</v>
      </c>
      <c r="AJ26" s="3" t="s">
        <v>233</v>
      </c>
    </row>
    <row r="27" spans="1:36">
      <c r="A27" s="6">
        <v>43277</v>
      </c>
      <c r="B27" s="3" t="s">
        <v>326</v>
      </c>
      <c r="C27" s="3" t="s">
        <v>327</v>
      </c>
      <c r="D27" s="3" t="s">
        <v>327</v>
      </c>
      <c r="E27" s="3" t="s">
        <v>328</v>
      </c>
      <c r="F27" s="3" t="s">
        <v>228</v>
      </c>
      <c r="G27" s="3">
        <v>12</v>
      </c>
      <c r="H27" s="3">
        <v>0</v>
      </c>
      <c r="I27" s="3">
        <v>0</v>
      </c>
      <c r="J27" s="3">
        <v>12</v>
      </c>
      <c r="K27" s="3">
        <v>0</v>
      </c>
      <c r="L27" s="3">
        <v>0</v>
      </c>
      <c r="M27" s="3">
        <v>0</v>
      </c>
      <c r="N27" s="3" t="s">
        <v>229</v>
      </c>
      <c r="O27" s="3">
        <v>12</v>
      </c>
      <c r="P27" s="3">
        <v>82.51</v>
      </c>
      <c r="Q27" s="3">
        <v>0</v>
      </c>
      <c r="R27" s="3">
        <v>0</v>
      </c>
      <c r="S27" s="3">
        <v>0</v>
      </c>
      <c r="T27" s="3">
        <v>0</v>
      </c>
      <c r="U27" s="3">
        <v>2</v>
      </c>
      <c r="V27" s="3">
        <v>3</v>
      </c>
      <c r="W27" s="3" t="s">
        <v>230</v>
      </c>
      <c r="X27" s="3">
        <v>89.6</v>
      </c>
      <c r="Y27" s="3">
        <v>89.6</v>
      </c>
      <c r="Z27" s="3">
        <v>89.6</v>
      </c>
      <c r="AA27" s="3">
        <v>0</v>
      </c>
      <c r="AB27" s="3" t="s">
        <v>231</v>
      </c>
      <c r="AC27" s="3">
        <v>12</v>
      </c>
      <c r="AD27" s="3">
        <v>89.6</v>
      </c>
      <c r="AE27" s="3">
        <v>0</v>
      </c>
      <c r="AF27" s="3">
        <v>0</v>
      </c>
      <c r="AG27" s="3">
        <v>0</v>
      </c>
      <c r="AH27" s="3">
        <v>0.226415094339622</v>
      </c>
      <c r="AI27" s="3" t="s">
        <v>329</v>
      </c>
      <c r="AJ27" s="3" t="s">
        <v>233</v>
      </c>
    </row>
    <row r="28" spans="1:36">
      <c r="A28" s="6">
        <v>43277</v>
      </c>
      <c r="B28" s="3" t="s">
        <v>330</v>
      </c>
      <c r="C28" s="3" t="s">
        <v>331</v>
      </c>
      <c r="D28" s="3" t="s">
        <v>332</v>
      </c>
      <c r="E28" s="3" t="s">
        <v>333</v>
      </c>
      <c r="F28" s="3" t="s">
        <v>228</v>
      </c>
      <c r="G28" s="3">
        <v>3</v>
      </c>
      <c r="H28" s="3">
        <v>0</v>
      </c>
      <c r="I28" s="3">
        <v>3</v>
      </c>
      <c r="J28" s="3">
        <v>0</v>
      </c>
      <c r="K28" s="3">
        <v>0</v>
      </c>
      <c r="L28" s="3">
        <v>0</v>
      </c>
      <c r="M28" s="3">
        <v>0</v>
      </c>
      <c r="N28" s="3" t="s">
        <v>229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230</v>
      </c>
      <c r="X28" s="3">
        <v>156</v>
      </c>
      <c r="Y28" s="3">
        <v>108.99</v>
      </c>
      <c r="Z28" s="3">
        <v>108.99</v>
      </c>
      <c r="AA28" s="3">
        <v>0</v>
      </c>
      <c r="AB28" s="3" t="s">
        <v>240</v>
      </c>
      <c r="AC28" s="3">
        <v>3</v>
      </c>
      <c r="AD28" s="3">
        <v>108.99</v>
      </c>
      <c r="AE28" s="3">
        <v>0</v>
      </c>
      <c r="AF28" s="3">
        <v>0</v>
      </c>
      <c r="AG28" s="3">
        <v>0</v>
      </c>
      <c r="AH28" s="3">
        <v>0</v>
      </c>
      <c r="AI28" s="3" t="s">
        <v>334</v>
      </c>
      <c r="AJ28" s="3" t="s">
        <v>282</v>
      </c>
    </row>
    <row r="29" spans="1:36">
      <c r="A29" s="6">
        <v>43277</v>
      </c>
      <c r="B29" s="3" t="s">
        <v>72</v>
      </c>
      <c r="C29" s="3" t="s">
        <v>73</v>
      </c>
      <c r="D29" s="3" t="s">
        <v>74</v>
      </c>
      <c r="E29" s="3" t="s">
        <v>75</v>
      </c>
      <c r="F29" s="3" t="s">
        <v>228</v>
      </c>
      <c r="G29" s="3">
        <v>10</v>
      </c>
      <c r="H29" s="3">
        <v>0</v>
      </c>
      <c r="I29" s="3">
        <v>10</v>
      </c>
      <c r="J29" s="3">
        <v>0</v>
      </c>
      <c r="K29" s="3">
        <v>0</v>
      </c>
      <c r="L29" s="3">
        <v>0</v>
      </c>
      <c r="M29" s="3">
        <v>0</v>
      </c>
      <c r="N29" s="3" t="s">
        <v>229</v>
      </c>
      <c r="O29" s="3">
        <v>0</v>
      </c>
      <c r="P29" s="3">
        <v>0</v>
      </c>
      <c r="Q29" s="3">
        <v>0</v>
      </c>
      <c r="R29" s="3">
        <v>0</v>
      </c>
      <c r="S29" s="3">
        <v>3</v>
      </c>
      <c r="T29" s="3">
        <v>11</v>
      </c>
      <c r="U29" s="3">
        <v>19</v>
      </c>
      <c r="V29" s="3">
        <v>19</v>
      </c>
      <c r="W29" s="3" t="s">
        <v>234</v>
      </c>
      <c r="X29" s="3">
        <v>152</v>
      </c>
      <c r="Y29" s="3">
        <v>85.99</v>
      </c>
      <c r="Z29" s="3">
        <v>85.99</v>
      </c>
      <c r="AA29" s="3">
        <v>0</v>
      </c>
      <c r="AB29" s="3" t="s">
        <v>235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6.33333333333333</v>
      </c>
      <c r="AI29" s="3" t="s">
        <v>335</v>
      </c>
      <c r="AJ29" s="3" t="s">
        <v>233</v>
      </c>
    </row>
    <row r="30" spans="1:36">
      <c r="A30" s="6">
        <v>43277</v>
      </c>
      <c r="B30" s="3" t="s">
        <v>336</v>
      </c>
      <c r="C30" s="3" t="s">
        <v>337</v>
      </c>
      <c r="D30" s="3" t="s">
        <v>338</v>
      </c>
      <c r="E30" s="3" t="s">
        <v>339</v>
      </c>
      <c r="F30" s="3" t="s">
        <v>228</v>
      </c>
      <c r="G30" s="3">
        <v>4</v>
      </c>
      <c r="H30" s="3">
        <v>0</v>
      </c>
      <c r="I30" s="3">
        <v>4</v>
      </c>
      <c r="J30" s="3">
        <v>0</v>
      </c>
      <c r="K30" s="3">
        <v>0</v>
      </c>
      <c r="L30" s="3">
        <v>0</v>
      </c>
      <c r="M30" s="3">
        <v>0</v>
      </c>
      <c r="N30" s="3" t="s">
        <v>229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230</v>
      </c>
      <c r="X30" s="3">
        <v>79.99</v>
      </c>
      <c r="Y30" s="3">
        <v>32.99</v>
      </c>
      <c r="Z30" s="3">
        <v>32.99</v>
      </c>
      <c r="AA30" s="3">
        <v>0</v>
      </c>
      <c r="AB30" s="3" t="s">
        <v>240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 t="s">
        <v>340</v>
      </c>
      <c r="AJ30" s="3" t="s">
        <v>233</v>
      </c>
    </row>
    <row r="31" spans="1:36">
      <c r="A31" s="6">
        <v>43277</v>
      </c>
      <c r="B31" s="3" t="s">
        <v>341</v>
      </c>
      <c r="C31" s="3" t="s">
        <v>342</v>
      </c>
      <c r="D31" s="3" t="s">
        <v>343</v>
      </c>
      <c r="E31" s="3" t="s">
        <v>344</v>
      </c>
      <c r="F31" s="3" t="s">
        <v>228</v>
      </c>
      <c r="G31" s="3">
        <v>3</v>
      </c>
      <c r="H31" s="3">
        <v>0</v>
      </c>
      <c r="I31" s="3">
        <v>0</v>
      </c>
      <c r="J31" s="3">
        <v>3</v>
      </c>
      <c r="K31" s="3">
        <v>0</v>
      </c>
      <c r="L31" s="3">
        <v>0</v>
      </c>
      <c r="M31" s="3">
        <v>0</v>
      </c>
      <c r="N31" s="3" t="s">
        <v>229</v>
      </c>
      <c r="O31" s="3">
        <v>0</v>
      </c>
      <c r="P31" s="3">
        <v>0</v>
      </c>
      <c r="Q31" s="3">
        <v>0</v>
      </c>
      <c r="R31" s="3">
        <v>0</v>
      </c>
      <c r="S31" s="3">
        <v>1</v>
      </c>
      <c r="T31" s="3">
        <v>3</v>
      </c>
      <c r="U31" s="3">
        <v>6</v>
      </c>
      <c r="V31" s="3">
        <v>7</v>
      </c>
      <c r="W31" s="3" t="s">
        <v>230</v>
      </c>
      <c r="X31" s="3">
        <v>99.99</v>
      </c>
      <c r="Y31" s="3">
        <v>99.99</v>
      </c>
      <c r="Z31" s="3">
        <v>99.99</v>
      </c>
      <c r="AA31" s="3">
        <v>0</v>
      </c>
      <c r="AB31" s="3" t="s">
        <v>231</v>
      </c>
      <c r="AC31" s="3">
        <v>4</v>
      </c>
      <c r="AD31" s="3">
        <v>99.99</v>
      </c>
      <c r="AE31" s="3">
        <v>0</v>
      </c>
      <c r="AF31" s="3">
        <v>0</v>
      </c>
      <c r="AG31" s="3">
        <v>0</v>
      </c>
      <c r="AH31" s="3">
        <v>1</v>
      </c>
      <c r="AI31" s="3" t="s">
        <v>345</v>
      </c>
      <c r="AJ31" s="3" t="s">
        <v>233</v>
      </c>
    </row>
    <row r="32" spans="1:36">
      <c r="A32" s="6">
        <v>43277</v>
      </c>
      <c r="B32" s="3" t="s">
        <v>346</v>
      </c>
      <c r="C32" s="3" t="s">
        <v>347</v>
      </c>
      <c r="D32" s="3" t="s">
        <v>348</v>
      </c>
      <c r="E32" s="3" t="s">
        <v>349</v>
      </c>
      <c r="F32" s="3" t="s">
        <v>228</v>
      </c>
      <c r="G32" s="3">
        <v>14</v>
      </c>
      <c r="H32" s="3">
        <v>0</v>
      </c>
      <c r="I32" s="3">
        <v>14</v>
      </c>
      <c r="J32" s="3">
        <v>0</v>
      </c>
      <c r="K32" s="3">
        <v>0</v>
      </c>
      <c r="L32" s="3">
        <v>0</v>
      </c>
      <c r="M32" s="3">
        <v>0</v>
      </c>
      <c r="N32" s="3" t="s">
        <v>229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2</v>
      </c>
      <c r="U32" s="3">
        <v>9</v>
      </c>
      <c r="V32" s="3">
        <v>12</v>
      </c>
      <c r="W32" s="3" t="s">
        <v>230</v>
      </c>
      <c r="X32" s="3">
        <v>32.99</v>
      </c>
      <c r="Y32" s="3">
        <v>32.99</v>
      </c>
      <c r="Z32" s="3">
        <v>32.99</v>
      </c>
      <c r="AA32" s="3">
        <v>0</v>
      </c>
      <c r="AB32" s="3" t="s">
        <v>231</v>
      </c>
      <c r="AC32" s="3">
        <v>14</v>
      </c>
      <c r="AD32" s="3">
        <v>32.99</v>
      </c>
      <c r="AE32" s="3">
        <v>0</v>
      </c>
      <c r="AF32" s="3">
        <v>0</v>
      </c>
      <c r="AG32" s="3">
        <v>0</v>
      </c>
      <c r="AH32" s="3">
        <v>1.37142857142857</v>
      </c>
      <c r="AI32" s="3" t="s">
        <v>350</v>
      </c>
      <c r="AJ32" s="3" t="s">
        <v>233</v>
      </c>
    </row>
    <row r="33" spans="1:36">
      <c r="A33" s="6">
        <v>43277</v>
      </c>
      <c r="B33" s="3" t="s">
        <v>147</v>
      </c>
      <c r="C33" s="3" t="s">
        <v>148</v>
      </c>
      <c r="D33" s="3" t="s">
        <v>149</v>
      </c>
      <c r="E33" s="3" t="s">
        <v>150</v>
      </c>
      <c r="F33" s="3" t="s">
        <v>228</v>
      </c>
      <c r="G33" s="3">
        <v>3</v>
      </c>
      <c r="H33" s="3">
        <v>0</v>
      </c>
      <c r="I33" s="3">
        <v>3</v>
      </c>
      <c r="J33" s="3">
        <v>0</v>
      </c>
      <c r="K33" s="3">
        <v>0</v>
      </c>
      <c r="L33" s="3">
        <v>0</v>
      </c>
      <c r="M33" s="3">
        <v>0</v>
      </c>
      <c r="N33" s="3" t="s">
        <v>229</v>
      </c>
      <c r="O33" s="3">
        <v>0</v>
      </c>
      <c r="P33" s="3">
        <v>0</v>
      </c>
      <c r="Q33" s="3">
        <v>0</v>
      </c>
      <c r="R33" s="3">
        <v>0</v>
      </c>
      <c r="S33" s="3">
        <v>2</v>
      </c>
      <c r="T33" s="3">
        <v>4</v>
      </c>
      <c r="U33" s="3">
        <v>5</v>
      </c>
      <c r="V33" s="3">
        <v>5</v>
      </c>
      <c r="W33" s="3" t="s">
        <v>230</v>
      </c>
      <c r="X33" s="3">
        <v>99.99</v>
      </c>
      <c r="Y33" s="3">
        <v>99.99</v>
      </c>
      <c r="Z33" s="3">
        <v>99.99</v>
      </c>
      <c r="AA33" s="3">
        <v>0</v>
      </c>
      <c r="AB33" s="3" t="s">
        <v>231</v>
      </c>
      <c r="AC33" s="3">
        <v>5</v>
      </c>
      <c r="AD33" s="3">
        <v>99.99</v>
      </c>
      <c r="AE33" s="3">
        <v>0</v>
      </c>
      <c r="AF33" s="3">
        <v>0</v>
      </c>
      <c r="AG33" s="3">
        <v>0</v>
      </c>
      <c r="AH33" s="3">
        <v>1</v>
      </c>
      <c r="AI33" s="3" t="s">
        <v>351</v>
      </c>
      <c r="AJ33" s="3" t="s">
        <v>282</v>
      </c>
    </row>
    <row r="34" spans="1:36">
      <c r="A34" s="6">
        <v>43277</v>
      </c>
      <c r="B34" s="3" t="s">
        <v>100</v>
      </c>
      <c r="C34" s="3" t="s">
        <v>101</v>
      </c>
      <c r="D34" s="3" t="s">
        <v>102</v>
      </c>
      <c r="E34" s="3" t="s">
        <v>103</v>
      </c>
      <c r="F34" s="3" t="s">
        <v>228</v>
      </c>
      <c r="G34" s="3">
        <v>22</v>
      </c>
      <c r="H34" s="3">
        <v>0</v>
      </c>
      <c r="I34" s="3">
        <v>22</v>
      </c>
      <c r="J34" s="3">
        <v>0</v>
      </c>
      <c r="K34" s="3">
        <v>0</v>
      </c>
      <c r="L34" s="3">
        <v>0</v>
      </c>
      <c r="M34" s="3">
        <v>0</v>
      </c>
      <c r="N34" s="3" t="s">
        <v>229</v>
      </c>
      <c r="O34" s="3">
        <v>0</v>
      </c>
      <c r="P34" s="3">
        <v>0</v>
      </c>
      <c r="Q34" s="3">
        <v>0</v>
      </c>
      <c r="R34" s="3">
        <v>0</v>
      </c>
      <c r="S34" s="3">
        <v>7</v>
      </c>
      <c r="T34" s="3">
        <v>37</v>
      </c>
      <c r="U34" s="3">
        <v>75</v>
      </c>
      <c r="V34" s="3">
        <v>89</v>
      </c>
      <c r="W34" s="3" t="s">
        <v>234</v>
      </c>
      <c r="X34" s="3">
        <v>79.99</v>
      </c>
      <c r="Y34" s="3">
        <v>79.99</v>
      </c>
      <c r="Z34" s="3">
        <v>79.99</v>
      </c>
      <c r="AA34" s="3">
        <v>0</v>
      </c>
      <c r="AB34" s="3" t="s">
        <v>235</v>
      </c>
      <c r="AC34" s="3">
        <v>11</v>
      </c>
      <c r="AD34" s="3">
        <v>79.99</v>
      </c>
      <c r="AE34" s="3">
        <v>0</v>
      </c>
      <c r="AF34" s="3">
        <v>0</v>
      </c>
      <c r="AG34" s="3">
        <v>0</v>
      </c>
      <c r="AH34" s="3">
        <v>5.23529411764705</v>
      </c>
      <c r="AI34" s="3" t="s">
        <v>352</v>
      </c>
      <c r="AJ34" s="3" t="s">
        <v>233</v>
      </c>
    </row>
    <row r="35" spans="1:36">
      <c r="A35" s="6">
        <v>43277</v>
      </c>
      <c r="B35" s="3" t="s">
        <v>159</v>
      </c>
      <c r="C35" s="3" t="s">
        <v>160</v>
      </c>
      <c r="D35" s="3" t="s">
        <v>161</v>
      </c>
      <c r="E35" s="3" t="s">
        <v>162</v>
      </c>
      <c r="F35" s="3" t="s">
        <v>228</v>
      </c>
      <c r="G35" s="3">
        <v>10</v>
      </c>
      <c r="H35" s="3">
        <v>0</v>
      </c>
      <c r="I35" s="3">
        <v>10</v>
      </c>
      <c r="J35" s="3">
        <v>0</v>
      </c>
      <c r="K35" s="3">
        <v>0</v>
      </c>
      <c r="L35" s="3">
        <v>0</v>
      </c>
      <c r="M35" s="3">
        <v>0</v>
      </c>
      <c r="N35" s="3" t="s">
        <v>229</v>
      </c>
      <c r="O35" s="3">
        <v>0</v>
      </c>
      <c r="P35" s="3">
        <v>0</v>
      </c>
      <c r="Q35" s="3">
        <v>0</v>
      </c>
      <c r="R35" s="3">
        <v>0</v>
      </c>
      <c r="S35" s="3">
        <v>2</v>
      </c>
      <c r="T35" s="3">
        <v>12</v>
      </c>
      <c r="U35" s="3">
        <v>18</v>
      </c>
      <c r="V35" s="3">
        <v>25</v>
      </c>
      <c r="W35" s="3" t="s">
        <v>234</v>
      </c>
      <c r="X35" s="3">
        <v>89.99</v>
      </c>
      <c r="Y35" s="3">
        <v>89.99</v>
      </c>
      <c r="Z35" s="3">
        <v>89.99</v>
      </c>
      <c r="AA35" s="3">
        <v>0</v>
      </c>
      <c r="AB35" s="3" t="s">
        <v>235</v>
      </c>
      <c r="AC35" s="3">
        <v>1</v>
      </c>
      <c r="AD35" s="3">
        <v>89.99</v>
      </c>
      <c r="AE35" s="3">
        <v>0</v>
      </c>
      <c r="AF35" s="3">
        <v>0</v>
      </c>
      <c r="AG35" s="3">
        <v>0</v>
      </c>
      <c r="AH35" s="3">
        <v>5.47368421052631</v>
      </c>
      <c r="AI35" s="3" t="s">
        <v>353</v>
      </c>
      <c r="AJ35" s="3" t="s">
        <v>233</v>
      </c>
    </row>
    <row r="36" spans="1:36">
      <c r="A36" s="6">
        <v>43277</v>
      </c>
      <c r="B36" s="3" t="s">
        <v>354</v>
      </c>
      <c r="C36" s="3" t="s">
        <v>355</v>
      </c>
      <c r="D36" s="3" t="s">
        <v>314</v>
      </c>
      <c r="E36" s="3" t="s">
        <v>315</v>
      </c>
      <c r="F36" s="3" t="s">
        <v>228</v>
      </c>
      <c r="G36" s="3">
        <v>3</v>
      </c>
      <c r="H36" s="3">
        <v>0</v>
      </c>
      <c r="I36" s="3">
        <v>3</v>
      </c>
      <c r="J36" s="3">
        <v>0</v>
      </c>
      <c r="K36" s="3">
        <v>0</v>
      </c>
      <c r="L36" s="3">
        <v>0</v>
      </c>
      <c r="M36" s="3">
        <v>0</v>
      </c>
      <c r="N36" s="3" t="s">
        <v>229</v>
      </c>
      <c r="O36" s="3">
        <v>0</v>
      </c>
      <c r="P36" s="3">
        <v>0</v>
      </c>
      <c r="Q36" s="3">
        <v>0</v>
      </c>
      <c r="R36" s="3">
        <v>0</v>
      </c>
      <c r="S36" s="3">
        <v>2</v>
      </c>
      <c r="T36" s="3">
        <v>2</v>
      </c>
      <c r="U36" s="3">
        <v>2</v>
      </c>
      <c r="V36" s="3">
        <v>2</v>
      </c>
      <c r="W36" s="3"/>
      <c r="X36" s="3">
        <v>256</v>
      </c>
      <c r="Y36" s="3">
        <v>89.99</v>
      </c>
      <c r="Z36" s="3">
        <v>89.99</v>
      </c>
      <c r="AA36" s="3">
        <v>0</v>
      </c>
      <c r="AB36" s="3" t="s">
        <v>235</v>
      </c>
      <c r="AC36" s="3">
        <v>5</v>
      </c>
      <c r="AD36" s="3">
        <v>89.99</v>
      </c>
      <c r="AE36" s="3">
        <v>0</v>
      </c>
      <c r="AF36" s="3">
        <v>0</v>
      </c>
      <c r="AG36" s="3">
        <v>0</v>
      </c>
      <c r="AH36" s="3">
        <v>1.51724137931034</v>
      </c>
      <c r="AI36" s="3" t="s">
        <v>260</v>
      </c>
      <c r="AJ36" s="3" t="s">
        <v>233</v>
      </c>
    </row>
    <row r="37" spans="1:36">
      <c r="A37" s="6">
        <v>43277</v>
      </c>
      <c r="B37" s="3" t="s">
        <v>356</v>
      </c>
      <c r="C37" s="3" t="s">
        <v>357</v>
      </c>
      <c r="D37" s="3" t="s">
        <v>357</v>
      </c>
      <c r="E37" s="3" t="s">
        <v>358</v>
      </c>
      <c r="F37" s="3" t="s">
        <v>228</v>
      </c>
      <c r="G37" s="3">
        <v>15</v>
      </c>
      <c r="H37" s="3">
        <v>0</v>
      </c>
      <c r="I37" s="3">
        <v>0</v>
      </c>
      <c r="J37" s="3">
        <v>15</v>
      </c>
      <c r="K37" s="3">
        <v>0</v>
      </c>
      <c r="L37" s="3">
        <v>0</v>
      </c>
      <c r="M37" s="3">
        <v>0</v>
      </c>
      <c r="N37" s="3" t="s">
        <v>229</v>
      </c>
      <c r="O37" s="3">
        <v>15</v>
      </c>
      <c r="P37" s="3">
        <v>28.14</v>
      </c>
      <c r="Q37" s="3">
        <v>0</v>
      </c>
      <c r="R37" s="3">
        <v>0</v>
      </c>
      <c r="S37" s="3">
        <v>0</v>
      </c>
      <c r="T37" s="3">
        <v>2</v>
      </c>
      <c r="U37" s="3">
        <v>3</v>
      </c>
      <c r="V37" s="3">
        <v>3</v>
      </c>
      <c r="W37" s="3" t="s">
        <v>234</v>
      </c>
      <c r="X37" s="3">
        <v>79.99</v>
      </c>
      <c r="Y37" s="3">
        <v>79.99</v>
      </c>
      <c r="Z37" s="3">
        <v>79.99</v>
      </c>
      <c r="AA37" s="3">
        <v>0</v>
      </c>
      <c r="AB37" s="3" t="s">
        <v>359</v>
      </c>
      <c r="AC37" s="3">
        <v>5</v>
      </c>
      <c r="AD37" s="3">
        <v>75.06</v>
      </c>
      <c r="AE37" s="3">
        <v>63</v>
      </c>
      <c r="AF37" s="3">
        <v>0</v>
      </c>
      <c r="AG37" s="3">
        <v>1006.652659</v>
      </c>
      <c r="AH37" s="3">
        <v>0.17391304347826</v>
      </c>
      <c r="AI37" s="3" t="s">
        <v>360</v>
      </c>
      <c r="AJ37" s="3" t="s">
        <v>233</v>
      </c>
    </row>
    <row r="38" spans="1:36">
      <c r="A38" s="6">
        <v>43277</v>
      </c>
      <c r="B38" s="3" t="s">
        <v>361</v>
      </c>
      <c r="C38" s="3" t="s">
        <v>362</v>
      </c>
      <c r="D38" s="3" t="s">
        <v>363</v>
      </c>
      <c r="E38" s="3" t="s">
        <v>364</v>
      </c>
      <c r="F38" s="3" t="s">
        <v>228</v>
      </c>
      <c r="G38" s="3">
        <v>9</v>
      </c>
      <c r="H38" s="3">
        <v>0</v>
      </c>
      <c r="I38" s="3">
        <v>9</v>
      </c>
      <c r="J38" s="3">
        <v>0</v>
      </c>
      <c r="K38" s="3">
        <v>0</v>
      </c>
      <c r="L38" s="3">
        <v>0</v>
      </c>
      <c r="M38" s="3">
        <v>0</v>
      </c>
      <c r="N38" s="3" t="s">
        <v>229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5</v>
      </c>
      <c r="U38" s="3">
        <v>6</v>
      </c>
      <c r="V38" s="3">
        <v>6</v>
      </c>
      <c r="W38" s="3" t="s">
        <v>230</v>
      </c>
      <c r="X38" s="3">
        <v>89.99</v>
      </c>
      <c r="Y38" s="3">
        <v>89.99</v>
      </c>
      <c r="Z38" s="3">
        <v>89.99</v>
      </c>
      <c r="AA38" s="3">
        <v>0</v>
      </c>
      <c r="AB38" s="3" t="s">
        <v>231</v>
      </c>
      <c r="AC38" s="3">
        <v>9</v>
      </c>
      <c r="AD38" s="3">
        <v>89.99</v>
      </c>
      <c r="AE38" s="3">
        <v>0</v>
      </c>
      <c r="AF38" s="3">
        <v>0</v>
      </c>
      <c r="AG38" s="3">
        <v>0</v>
      </c>
      <c r="AH38" s="3">
        <v>1.38461538461538</v>
      </c>
      <c r="AI38" s="3" t="s">
        <v>365</v>
      </c>
      <c r="AJ38" s="3" t="s">
        <v>233</v>
      </c>
    </row>
    <row r="39" spans="1:36">
      <c r="A39" s="6">
        <v>43277</v>
      </c>
      <c r="B39" s="3" t="s">
        <v>366</v>
      </c>
      <c r="C39" s="3" t="s">
        <v>367</v>
      </c>
      <c r="D39" s="3" t="s">
        <v>368</v>
      </c>
      <c r="E39" s="3" t="s">
        <v>369</v>
      </c>
      <c r="F39" s="3" t="s">
        <v>228</v>
      </c>
      <c r="G39" s="3">
        <v>5</v>
      </c>
      <c r="H39" s="3">
        <v>0</v>
      </c>
      <c r="I39" s="3">
        <v>5</v>
      </c>
      <c r="J39" s="3">
        <v>0</v>
      </c>
      <c r="K39" s="3">
        <v>0</v>
      </c>
      <c r="L39" s="3">
        <v>0</v>
      </c>
      <c r="M39" s="3">
        <v>0</v>
      </c>
      <c r="N39" s="3" t="s">
        <v>229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230</v>
      </c>
      <c r="X39" s="3">
        <v>89.99</v>
      </c>
      <c r="Y39" s="3">
        <v>89.99</v>
      </c>
      <c r="Z39" s="3">
        <v>89.99</v>
      </c>
      <c r="AA39" s="3">
        <v>0</v>
      </c>
      <c r="AB39" s="3" t="s">
        <v>231</v>
      </c>
      <c r="AC39" s="3">
        <v>5</v>
      </c>
      <c r="AD39" s="3">
        <v>89.99</v>
      </c>
      <c r="AE39" s="3">
        <v>0</v>
      </c>
      <c r="AF39" s="3">
        <v>0</v>
      </c>
      <c r="AG39" s="3">
        <v>0</v>
      </c>
      <c r="AH39" s="3">
        <v>0</v>
      </c>
      <c r="AI39" s="3" t="s">
        <v>307</v>
      </c>
      <c r="AJ39" s="3" t="s">
        <v>233</v>
      </c>
    </row>
    <row r="40" spans="1:36">
      <c r="A40" s="6">
        <v>43277</v>
      </c>
      <c r="B40" s="3" t="s">
        <v>370</v>
      </c>
      <c r="C40" s="3" t="s">
        <v>371</v>
      </c>
      <c r="D40" s="3" t="s">
        <v>372</v>
      </c>
      <c r="E40" s="3" t="s">
        <v>373</v>
      </c>
      <c r="F40" s="3" t="s">
        <v>228</v>
      </c>
      <c r="G40" s="3">
        <v>8</v>
      </c>
      <c r="H40" s="3">
        <v>0</v>
      </c>
      <c r="I40" s="3">
        <v>8</v>
      </c>
      <c r="J40" s="3">
        <v>0</v>
      </c>
      <c r="K40" s="3">
        <v>0</v>
      </c>
      <c r="L40" s="3">
        <v>0</v>
      </c>
      <c r="M40" s="3">
        <v>0</v>
      </c>
      <c r="N40" s="3" t="s">
        <v>229</v>
      </c>
      <c r="O40" s="3">
        <v>0</v>
      </c>
      <c r="P40" s="3">
        <v>0</v>
      </c>
      <c r="Q40" s="3">
        <v>0</v>
      </c>
      <c r="R40" s="3">
        <v>0</v>
      </c>
      <c r="S40" s="3">
        <v>1</v>
      </c>
      <c r="T40" s="3">
        <v>1</v>
      </c>
      <c r="U40" s="3">
        <v>4</v>
      </c>
      <c r="V40" s="3">
        <v>6</v>
      </c>
      <c r="W40" s="3" t="s">
        <v>230</v>
      </c>
      <c r="X40" s="3">
        <v>95.99</v>
      </c>
      <c r="Y40" s="3">
        <v>95.99</v>
      </c>
      <c r="Z40" s="3">
        <v>95.99</v>
      </c>
      <c r="AA40" s="3">
        <v>0</v>
      </c>
      <c r="AB40" s="3" t="s">
        <v>231</v>
      </c>
      <c r="AC40" s="3">
        <v>8</v>
      </c>
      <c r="AD40" s="3">
        <v>95.99</v>
      </c>
      <c r="AE40" s="3">
        <v>0</v>
      </c>
      <c r="AF40" s="3">
        <v>0</v>
      </c>
      <c r="AG40" s="3">
        <v>0</v>
      </c>
      <c r="AH40" s="3">
        <v>0.705882352941176</v>
      </c>
      <c r="AI40" s="3" t="s">
        <v>345</v>
      </c>
      <c r="AJ40" s="3" t="s">
        <v>233</v>
      </c>
    </row>
    <row r="41" spans="1:36">
      <c r="A41" s="6">
        <v>43277</v>
      </c>
      <c r="B41" s="3" t="s">
        <v>60</v>
      </c>
      <c r="C41" s="3" t="s">
        <v>61</v>
      </c>
      <c r="D41" s="3" t="s">
        <v>62</v>
      </c>
      <c r="E41" s="3" t="s">
        <v>63</v>
      </c>
      <c r="F41" s="3" t="s">
        <v>228</v>
      </c>
      <c r="G41" s="3">
        <v>4</v>
      </c>
      <c r="H41" s="3">
        <v>0</v>
      </c>
      <c r="I41" s="3">
        <v>4</v>
      </c>
      <c r="J41" s="3">
        <v>0</v>
      </c>
      <c r="K41" s="3">
        <v>0</v>
      </c>
      <c r="L41" s="3">
        <v>0</v>
      </c>
      <c r="M41" s="3">
        <v>0</v>
      </c>
      <c r="N41" s="3" t="s">
        <v>229</v>
      </c>
      <c r="O41" s="3">
        <v>0</v>
      </c>
      <c r="P41" s="3">
        <v>0</v>
      </c>
      <c r="Q41" s="3">
        <v>0</v>
      </c>
      <c r="R41" s="3">
        <v>0</v>
      </c>
      <c r="S41" s="3">
        <v>5</v>
      </c>
      <c r="T41" s="3">
        <v>15</v>
      </c>
      <c r="U41" s="3">
        <v>24</v>
      </c>
      <c r="V41" s="3">
        <v>28</v>
      </c>
      <c r="W41" s="3" t="s">
        <v>234</v>
      </c>
      <c r="X41" s="3">
        <v>89.99</v>
      </c>
      <c r="Y41" s="3">
        <v>89.99</v>
      </c>
      <c r="Z41" s="3">
        <v>89.99</v>
      </c>
      <c r="AA41" s="3">
        <v>0</v>
      </c>
      <c r="AB41" s="3" t="s">
        <v>235</v>
      </c>
      <c r="AC41" s="3">
        <v>6</v>
      </c>
      <c r="AD41" s="3">
        <v>89.99</v>
      </c>
      <c r="AE41" s="3">
        <v>0</v>
      </c>
      <c r="AF41" s="3">
        <v>0</v>
      </c>
      <c r="AG41" s="3">
        <v>0</v>
      </c>
      <c r="AH41" s="3">
        <v>3.39393939393939</v>
      </c>
      <c r="AI41" s="3" t="s">
        <v>374</v>
      </c>
      <c r="AJ41" s="3" t="s">
        <v>233</v>
      </c>
    </row>
    <row r="42" spans="1:36">
      <c r="A42" s="6">
        <v>43277</v>
      </c>
      <c r="B42" s="3" t="s">
        <v>375</v>
      </c>
      <c r="C42" s="3" t="s">
        <v>376</v>
      </c>
      <c r="D42" s="3" t="s">
        <v>377</v>
      </c>
      <c r="E42" s="3" t="s">
        <v>378</v>
      </c>
      <c r="F42" s="3" t="s">
        <v>228</v>
      </c>
      <c r="G42" s="3">
        <v>8</v>
      </c>
      <c r="H42" s="3">
        <v>0</v>
      </c>
      <c r="I42" s="3">
        <v>8</v>
      </c>
      <c r="J42" s="3">
        <v>0</v>
      </c>
      <c r="K42" s="3">
        <v>0</v>
      </c>
      <c r="L42" s="3">
        <v>0</v>
      </c>
      <c r="M42" s="3">
        <v>0</v>
      </c>
      <c r="N42" s="3" t="s">
        <v>229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1</v>
      </c>
      <c r="U42" s="3">
        <v>3</v>
      </c>
      <c r="V42" s="3">
        <v>7</v>
      </c>
      <c r="W42" s="3" t="s">
        <v>230</v>
      </c>
      <c r="X42" s="3">
        <v>278</v>
      </c>
      <c r="Y42" s="3">
        <v>90.99</v>
      </c>
      <c r="Z42" s="3">
        <v>90.99</v>
      </c>
      <c r="AA42" s="3">
        <v>0</v>
      </c>
      <c r="AB42" s="3" t="s">
        <v>240</v>
      </c>
      <c r="AC42" s="3">
        <v>8</v>
      </c>
      <c r="AD42" s="3">
        <v>90.99</v>
      </c>
      <c r="AE42" s="3">
        <v>0</v>
      </c>
      <c r="AF42" s="3">
        <v>0</v>
      </c>
      <c r="AG42" s="3">
        <v>0</v>
      </c>
      <c r="AH42" s="3">
        <v>1</v>
      </c>
      <c r="AI42" s="3" t="s">
        <v>266</v>
      </c>
      <c r="AJ42" s="3" t="s">
        <v>233</v>
      </c>
    </row>
    <row r="43" spans="1:36">
      <c r="A43" s="6">
        <v>43277</v>
      </c>
      <c r="B43" s="3" t="s">
        <v>379</v>
      </c>
      <c r="C43" s="3" t="s">
        <v>380</v>
      </c>
      <c r="D43" s="3" t="s">
        <v>381</v>
      </c>
      <c r="E43" s="3" t="s">
        <v>382</v>
      </c>
      <c r="F43" s="3" t="s">
        <v>228</v>
      </c>
      <c r="G43" s="3">
        <v>3</v>
      </c>
      <c r="H43" s="3">
        <v>0</v>
      </c>
      <c r="I43" s="3">
        <v>3</v>
      </c>
      <c r="J43" s="3">
        <v>0</v>
      </c>
      <c r="K43" s="3">
        <v>0</v>
      </c>
      <c r="L43" s="3">
        <v>0</v>
      </c>
      <c r="M43" s="3">
        <v>0</v>
      </c>
      <c r="N43" s="3" t="s">
        <v>229</v>
      </c>
      <c r="O43" s="3">
        <v>0</v>
      </c>
      <c r="P43" s="3">
        <v>0</v>
      </c>
      <c r="Q43" s="3">
        <v>0</v>
      </c>
      <c r="R43" s="3">
        <v>0</v>
      </c>
      <c r="S43" s="3">
        <v>1</v>
      </c>
      <c r="T43" s="3">
        <v>1</v>
      </c>
      <c r="U43" s="3">
        <v>1</v>
      </c>
      <c r="V43" s="3">
        <v>3</v>
      </c>
      <c r="W43" s="3" t="s">
        <v>230</v>
      </c>
      <c r="X43" s="3">
        <v>104.99</v>
      </c>
      <c r="Y43" s="3">
        <v>104.99</v>
      </c>
      <c r="Z43" s="3">
        <v>104.99</v>
      </c>
      <c r="AA43" s="3">
        <v>0</v>
      </c>
      <c r="AB43" s="3" t="s">
        <v>231</v>
      </c>
      <c r="AC43" s="3">
        <v>0</v>
      </c>
      <c r="AD43" s="3">
        <v>96.63</v>
      </c>
      <c r="AE43" s="3">
        <v>140</v>
      </c>
      <c r="AF43" s="3">
        <v>0</v>
      </c>
      <c r="AG43" s="3">
        <v>392.287846</v>
      </c>
      <c r="AH43" s="3">
        <v>0.923076923076923</v>
      </c>
      <c r="AI43" s="3" t="s">
        <v>383</v>
      </c>
      <c r="AJ43" s="3" t="s">
        <v>282</v>
      </c>
    </row>
    <row r="44" spans="1:36">
      <c r="A44" s="6">
        <v>43277</v>
      </c>
      <c r="B44" s="3" t="s">
        <v>384</v>
      </c>
      <c r="C44" s="3" t="s">
        <v>385</v>
      </c>
      <c r="D44" s="3" t="s">
        <v>386</v>
      </c>
      <c r="E44" s="3" t="s">
        <v>387</v>
      </c>
      <c r="F44" s="3" t="s">
        <v>228</v>
      </c>
      <c r="G44" s="3">
        <v>12</v>
      </c>
      <c r="H44" s="3">
        <v>0</v>
      </c>
      <c r="I44" s="3">
        <v>2</v>
      </c>
      <c r="J44" s="3">
        <v>10</v>
      </c>
      <c r="K44" s="3">
        <v>0</v>
      </c>
      <c r="L44" s="3">
        <v>0</v>
      </c>
      <c r="M44" s="3">
        <v>0</v>
      </c>
      <c r="N44" s="3" t="s">
        <v>229</v>
      </c>
      <c r="O44" s="3">
        <v>0</v>
      </c>
      <c r="P44" s="3">
        <v>0</v>
      </c>
      <c r="Q44" s="3">
        <v>0</v>
      </c>
      <c r="R44" s="3">
        <v>0</v>
      </c>
      <c r="S44" s="3">
        <v>1</v>
      </c>
      <c r="T44" s="3">
        <v>5</v>
      </c>
      <c r="U44" s="3">
        <v>10</v>
      </c>
      <c r="V44" s="3">
        <v>17</v>
      </c>
      <c r="W44" s="3" t="s">
        <v>230</v>
      </c>
      <c r="X44" s="3">
        <v>32.99</v>
      </c>
      <c r="Y44" s="3">
        <v>32.99</v>
      </c>
      <c r="Z44" s="3">
        <v>32.99</v>
      </c>
      <c r="AA44" s="3">
        <v>0</v>
      </c>
      <c r="AB44" s="3" t="s">
        <v>231</v>
      </c>
      <c r="AC44" s="3">
        <v>13</v>
      </c>
      <c r="AD44" s="3">
        <v>32.99</v>
      </c>
      <c r="AE44" s="3">
        <v>0</v>
      </c>
      <c r="AF44" s="3">
        <v>0</v>
      </c>
      <c r="AG44" s="3">
        <v>0</v>
      </c>
      <c r="AH44" s="3">
        <v>0.871794871794871</v>
      </c>
      <c r="AI44" s="3" t="s">
        <v>388</v>
      </c>
      <c r="AJ44" s="3" t="s">
        <v>233</v>
      </c>
    </row>
    <row r="45" spans="1:36">
      <c r="A45" s="6">
        <v>43277</v>
      </c>
      <c r="B45" s="3" t="s">
        <v>389</v>
      </c>
      <c r="C45" s="3" t="s">
        <v>390</v>
      </c>
      <c r="D45" s="3" t="s">
        <v>390</v>
      </c>
      <c r="E45" s="3" t="s">
        <v>391</v>
      </c>
      <c r="F45" s="3" t="s">
        <v>228</v>
      </c>
      <c r="G45" s="3">
        <v>15</v>
      </c>
      <c r="H45" s="3">
        <v>0</v>
      </c>
      <c r="I45" s="3">
        <v>3</v>
      </c>
      <c r="J45" s="3">
        <v>12</v>
      </c>
      <c r="K45" s="3">
        <v>0</v>
      </c>
      <c r="L45" s="3">
        <v>0</v>
      </c>
      <c r="M45" s="3">
        <v>0</v>
      </c>
      <c r="N45" s="3" t="s">
        <v>229</v>
      </c>
      <c r="O45" s="3">
        <v>11</v>
      </c>
      <c r="P45" s="3">
        <v>11.6</v>
      </c>
      <c r="Q45" s="3">
        <v>0</v>
      </c>
      <c r="R45" s="3">
        <v>0</v>
      </c>
      <c r="S45" s="3">
        <v>1</v>
      </c>
      <c r="T45" s="3">
        <v>4</v>
      </c>
      <c r="U45" s="3">
        <v>7</v>
      </c>
      <c r="V45" s="3">
        <v>11</v>
      </c>
      <c r="W45" s="3" t="s">
        <v>234</v>
      </c>
      <c r="X45" s="3">
        <v>26.99</v>
      </c>
      <c r="Y45" s="3">
        <v>26.99</v>
      </c>
      <c r="Z45" s="3">
        <v>26.99</v>
      </c>
      <c r="AA45" s="3">
        <v>0</v>
      </c>
      <c r="AB45" s="3" t="s">
        <v>235</v>
      </c>
      <c r="AC45" s="3">
        <v>16</v>
      </c>
      <c r="AD45" s="3">
        <v>32.99</v>
      </c>
      <c r="AE45" s="3">
        <v>0</v>
      </c>
      <c r="AF45" s="3">
        <v>0</v>
      </c>
      <c r="AG45" s="3">
        <v>0</v>
      </c>
      <c r="AH45" s="3">
        <v>0.578947368421052</v>
      </c>
      <c r="AI45" s="3" t="s">
        <v>392</v>
      </c>
      <c r="AJ45" s="3" t="s">
        <v>233</v>
      </c>
    </row>
    <row r="46" spans="1:36">
      <c r="A46" s="6">
        <v>43277</v>
      </c>
      <c r="B46" s="3" t="s">
        <v>393</v>
      </c>
      <c r="C46" s="3" t="s">
        <v>394</v>
      </c>
      <c r="D46" s="3" t="s">
        <v>395</v>
      </c>
      <c r="E46" s="3" t="s">
        <v>396</v>
      </c>
      <c r="F46" s="3" t="s">
        <v>228</v>
      </c>
      <c r="G46" s="3">
        <v>3</v>
      </c>
      <c r="H46" s="3">
        <v>0</v>
      </c>
      <c r="I46" s="3">
        <v>0</v>
      </c>
      <c r="J46" s="3">
        <v>3</v>
      </c>
      <c r="K46" s="3">
        <v>0</v>
      </c>
      <c r="L46" s="3">
        <v>0</v>
      </c>
      <c r="M46" s="3">
        <v>0</v>
      </c>
      <c r="N46" s="3" t="s">
        <v>229</v>
      </c>
      <c r="O46" s="3">
        <v>3</v>
      </c>
      <c r="P46" s="3">
        <v>0.18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2</v>
      </c>
      <c r="W46" s="3" t="s">
        <v>230</v>
      </c>
      <c r="X46" s="3">
        <v>89.99</v>
      </c>
      <c r="Y46" s="3">
        <v>89.99</v>
      </c>
      <c r="Z46" s="3">
        <v>89.99</v>
      </c>
      <c r="AA46" s="3">
        <v>0</v>
      </c>
      <c r="AB46" s="3" t="s">
        <v>359</v>
      </c>
      <c r="AC46" s="3">
        <v>0</v>
      </c>
      <c r="AD46" s="3">
        <v>82.09</v>
      </c>
      <c r="AE46" s="3">
        <v>238</v>
      </c>
      <c r="AF46" s="3">
        <v>0</v>
      </c>
      <c r="AG46" s="3">
        <v>99.800019</v>
      </c>
      <c r="AH46" s="3">
        <v>0.571428571428571</v>
      </c>
      <c r="AI46" s="3" t="s">
        <v>350</v>
      </c>
      <c r="AJ46" s="3" t="s">
        <v>233</v>
      </c>
    </row>
    <row r="47" spans="1:36">
      <c r="A47" s="6">
        <v>43277</v>
      </c>
      <c r="B47" s="3" t="s">
        <v>104</v>
      </c>
      <c r="C47" s="3" t="s">
        <v>105</v>
      </c>
      <c r="D47" s="3" t="s">
        <v>106</v>
      </c>
      <c r="E47" s="3" t="s">
        <v>107</v>
      </c>
      <c r="F47" s="3" t="s">
        <v>228</v>
      </c>
      <c r="G47" s="3">
        <v>5</v>
      </c>
      <c r="H47" s="3">
        <v>0</v>
      </c>
      <c r="I47" s="3">
        <v>5</v>
      </c>
      <c r="J47" s="3">
        <v>0</v>
      </c>
      <c r="K47" s="3">
        <v>0</v>
      </c>
      <c r="L47" s="3">
        <v>0</v>
      </c>
      <c r="M47" s="3">
        <v>0</v>
      </c>
      <c r="N47" s="3" t="s">
        <v>229</v>
      </c>
      <c r="O47" s="3">
        <v>0</v>
      </c>
      <c r="P47" s="3">
        <v>0</v>
      </c>
      <c r="Q47" s="3">
        <v>0</v>
      </c>
      <c r="R47" s="3">
        <v>0</v>
      </c>
      <c r="S47" s="3">
        <v>1</v>
      </c>
      <c r="T47" s="3">
        <v>7</v>
      </c>
      <c r="U47" s="3">
        <v>13</v>
      </c>
      <c r="V47" s="3">
        <v>30</v>
      </c>
      <c r="W47" s="3" t="s">
        <v>230</v>
      </c>
      <c r="X47" s="3">
        <v>99.6</v>
      </c>
      <c r="Y47" s="3">
        <v>99.6</v>
      </c>
      <c r="Z47" s="3">
        <v>99.6</v>
      </c>
      <c r="AA47" s="3">
        <v>0</v>
      </c>
      <c r="AB47" s="3" t="s">
        <v>231</v>
      </c>
      <c r="AC47" s="3">
        <v>5</v>
      </c>
      <c r="AD47" s="3">
        <v>99.6</v>
      </c>
      <c r="AE47" s="3">
        <v>0</v>
      </c>
      <c r="AF47" s="3">
        <v>0</v>
      </c>
      <c r="AG47" s="3">
        <v>0</v>
      </c>
      <c r="AH47" s="3">
        <v>3.42857142857142</v>
      </c>
      <c r="AI47" s="3" t="s">
        <v>397</v>
      </c>
      <c r="AJ47" s="3" t="s">
        <v>233</v>
      </c>
    </row>
    <row r="48" spans="1:36">
      <c r="A48" s="6">
        <v>43277</v>
      </c>
      <c r="B48" s="3" t="s">
        <v>398</v>
      </c>
      <c r="C48" s="3" t="s">
        <v>399</v>
      </c>
      <c r="D48" s="3" t="s">
        <v>400</v>
      </c>
      <c r="E48" s="3" t="s">
        <v>401</v>
      </c>
      <c r="F48" s="3" t="s">
        <v>228</v>
      </c>
      <c r="G48" s="3">
        <v>23</v>
      </c>
      <c r="H48" s="3">
        <v>0</v>
      </c>
      <c r="I48" s="3">
        <v>2</v>
      </c>
      <c r="J48" s="3">
        <v>21</v>
      </c>
      <c r="K48" s="3">
        <v>0</v>
      </c>
      <c r="L48" s="3">
        <v>0</v>
      </c>
      <c r="M48" s="3">
        <v>0</v>
      </c>
      <c r="N48" s="3" t="s">
        <v>229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2</v>
      </c>
      <c r="V48" s="3">
        <v>7</v>
      </c>
      <c r="W48" s="3" t="s">
        <v>234</v>
      </c>
      <c r="X48" s="3">
        <v>156.99</v>
      </c>
      <c r="Y48" s="3">
        <v>89.99</v>
      </c>
      <c r="Z48" s="3">
        <v>89.99</v>
      </c>
      <c r="AA48" s="3">
        <v>0</v>
      </c>
      <c r="AB48" s="3" t="s">
        <v>235</v>
      </c>
      <c r="AC48" s="3">
        <v>23</v>
      </c>
      <c r="AD48" s="3">
        <v>89.99</v>
      </c>
      <c r="AE48" s="3">
        <v>0</v>
      </c>
      <c r="AF48" s="3">
        <v>0</v>
      </c>
      <c r="AG48" s="3">
        <v>0</v>
      </c>
      <c r="AH48" s="3">
        <v>0.277227722772277</v>
      </c>
      <c r="AI48" s="3" t="s">
        <v>402</v>
      </c>
      <c r="AJ48" s="3" t="s">
        <v>233</v>
      </c>
    </row>
    <row r="49" spans="1:36">
      <c r="A49" s="6">
        <v>43277</v>
      </c>
      <c r="B49" s="3" t="s">
        <v>403</v>
      </c>
      <c r="C49" s="3" t="s">
        <v>404</v>
      </c>
      <c r="D49" s="3" t="s">
        <v>405</v>
      </c>
      <c r="E49" s="3" t="s">
        <v>406</v>
      </c>
      <c r="F49" s="3" t="s">
        <v>228</v>
      </c>
      <c r="G49" s="3">
        <v>17</v>
      </c>
      <c r="H49" s="3">
        <v>0</v>
      </c>
      <c r="I49" s="3">
        <v>0</v>
      </c>
      <c r="J49" s="3">
        <v>17</v>
      </c>
      <c r="K49" s="3">
        <v>0</v>
      </c>
      <c r="L49" s="3">
        <v>0</v>
      </c>
      <c r="M49" s="3">
        <v>0</v>
      </c>
      <c r="N49" s="3" t="s">
        <v>229</v>
      </c>
      <c r="O49" s="3">
        <v>0</v>
      </c>
      <c r="P49" s="3">
        <v>0</v>
      </c>
      <c r="Q49" s="3">
        <v>0</v>
      </c>
      <c r="R49" s="3">
        <v>0</v>
      </c>
      <c r="S49" s="3">
        <v>1</v>
      </c>
      <c r="T49" s="3">
        <v>3</v>
      </c>
      <c r="U49" s="3">
        <v>3</v>
      </c>
      <c r="V49" s="3">
        <v>3</v>
      </c>
      <c r="W49" s="3"/>
      <c r="X49" s="3">
        <v>168</v>
      </c>
      <c r="Y49" s="3">
        <v>79.99</v>
      </c>
      <c r="Z49" s="3">
        <v>79.99</v>
      </c>
      <c r="AA49" s="3">
        <v>38.04</v>
      </c>
      <c r="AB49" s="3" t="s">
        <v>359</v>
      </c>
      <c r="AC49" s="3">
        <v>2</v>
      </c>
      <c r="AD49" s="3">
        <v>73.55</v>
      </c>
      <c r="AE49" s="3">
        <v>133</v>
      </c>
      <c r="AF49" s="3">
        <v>0</v>
      </c>
      <c r="AG49" s="3">
        <v>1995.551266</v>
      </c>
      <c r="AH49" s="3">
        <v>0.155844155844155</v>
      </c>
      <c r="AI49" s="3" t="s">
        <v>407</v>
      </c>
      <c r="AJ49" s="3" t="s">
        <v>233</v>
      </c>
    </row>
    <row r="50" spans="1:36">
      <c r="A50" s="6">
        <v>43277</v>
      </c>
      <c r="B50" s="3" t="s">
        <v>139</v>
      </c>
      <c r="C50" s="3" t="s">
        <v>140</v>
      </c>
      <c r="D50" s="3" t="s">
        <v>141</v>
      </c>
      <c r="E50" s="3" t="s">
        <v>142</v>
      </c>
      <c r="F50" s="3" t="s">
        <v>228</v>
      </c>
      <c r="G50" s="3">
        <v>1</v>
      </c>
      <c r="H50" s="3">
        <v>0</v>
      </c>
      <c r="I50" s="3">
        <v>1</v>
      </c>
      <c r="J50" s="3">
        <v>0</v>
      </c>
      <c r="K50" s="3">
        <v>0</v>
      </c>
      <c r="L50" s="3">
        <v>0</v>
      </c>
      <c r="M50" s="3">
        <v>0</v>
      </c>
      <c r="N50" s="3" t="s">
        <v>229</v>
      </c>
      <c r="O50" s="3">
        <v>0</v>
      </c>
      <c r="P50" s="3">
        <v>0</v>
      </c>
      <c r="Q50" s="3">
        <v>0</v>
      </c>
      <c r="R50" s="3">
        <v>0</v>
      </c>
      <c r="S50" s="3">
        <v>4</v>
      </c>
      <c r="T50" s="3">
        <v>7</v>
      </c>
      <c r="U50" s="3">
        <v>8</v>
      </c>
      <c r="V50" s="3">
        <v>8</v>
      </c>
      <c r="W50" s="3" t="s">
        <v>230</v>
      </c>
      <c r="X50" s="3">
        <v>156</v>
      </c>
      <c r="Y50" s="3">
        <v>92.99</v>
      </c>
      <c r="Z50" s="3">
        <v>92.99</v>
      </c>
      <c r="AA50" s="3">
        <v>0</v>
      </c>
      <c r="AB50" s="3" t="s">
        <v>240</v>
      </c>
      <c r="AC50" s="3">
        <v>4</v>
      </c>
      <c r="AD50" s="3">
        <v>94.99</v>
      </c>
      <c r="AE50" s="3">
        <v>0</v>
      </c>
      <c r="AF50" s="3">
        <v>0</v>
      </c>
      <c r="AG50" s="3">
        <v>0</v>
      </c>
      <c r="AH50" s="3">
        <v>2.66666666666666</v>
      </c>
      <c r="AI50" s="3" t="s">
        <v>408</v>
      </c>
      <c r="AJ50" s="3" t="s">
        <v>233</v>
      </c>
    </row>
    <row r="51" spans="1:36">
      <c r="A51" s="6">
        <v>43277</v>
      </c>
      <c r="B51" s="3" t="s">
        <v>143</v>
      </c>
      <c r="C51" s="3" t="s">
        <v>144</v>
      </c>
      <c r="D51" s="3" t="s">
        <v>145</v>
      </c>
      <c r="E51" s="3" t="s">
        <v>146</v>
      </c>
      <c r="F51" s="3" t="s">
        <v>228</v>
      </c>
      <c r="G51" s="3">
        <v>18</v>
      </c>
      <c r="H51" s="3">
        <v>0</v>
      </c>
      <c r="I51" s="3">
        <v>18</v>
      </c>
      <c r="J51" s="3">
        <v>0</v>
      </c>
      <c r="K51" s="3">
        <v>0</v>
      </c>
      <c r="L51" s="3">
        <v>0</v>
      </c>
      <c r="M51" s="3">
        <v>0</v>
      </c>
      <c r="N51" s="3" t="s">
        <v>229</v>
      </c>
      <c r="O51" s="3">
        <v>0</v>
      </c>
      <c r="P51" s="3">
        <v>0</v>
      </c>
      <c r="Q51" s="3">
        <v>0</v>
      </c>
      <c r="R51" s="3">
        <v>0</v>
      </c>
      <c r="S51" s="3">
        <v>14</v>
      </c>
      <c r="T51" s="3">
        <v>55</v>
      </c>
      <c r="U51" s="3">
        <v>91</v>
      </c>
      <c r="V51" s="3">
        <v>160</v>
      </c>
      <c r="W51" s="3" t="s">
        <v>234</v>
      </c>
      <c r="X51" s="3">
        <v>156</v>
      </c>
      <c r="Y51" s="3">
        <v>89.99</v>
      </c>
      <c r="Z51" s="3">
        <v>89.99</v>
      </c>
      <c r="AA51" s="3">
        <v>0</v>
      </c>
      <c r="AB51" s="3" t="s">
        <v>235</v>
      </c>
      <c r="AC51" s="3">
        <v>15</v>
      </c>
      <c r="AD51" s="3">
        <v>89.99</v>
      </c>
      <c r="AE51" s="3">
        <v>0</v>
      </c>
      <c r="AF51" s="3">
        <v>0</v>
      </c>
      <c r="AG51" s="3">
        <v>0</v>
      </c>
      <c r="AH51" s="3">
        <v>7.11111111111111</v>
      </c>
      <c r="AI51" s="3" t="s">
        <v>409</v>
      </c>
      <c r="AJ51" s="3" t="s">
        <v>233</v>
      </c>
    </row>
    <row r="52" spans="1:36">
      <c r="A52" s="6">
        <v>43277</v>
      </c>
      <c r="B52" s="3" t="s">
        <v>155</v>
      </c>
      <c r="C52" s="3" t="s">
        <v>156</v>
      </c>
      <c r="D52" s="3" t="s">
        <v>157</v>
      </c>
      <c r="E52" s="3" t="s">
        <v>158</v>
      </c>
      <c r="F52" s="3" t="s">
        <v>228</v>
      </c>
      <c r="G52" s="3">
        <v>25</v>
      </c>
      <c r="H52" s="3">
        <v>0</v>
      </c>
      <c r="I52" s="3">
        <v>25</v>
      </c>
      <c r="J52" s="3">
        <v>0</v>
      </c>
      <c r="K52" s="3">
        <v>0</v>
      </c>
      <c r="L52" s="3">
        <v>0</v>
      </c>
      <c r="M52" s="3">
        <v>0</v>
      </c>
      <c r="N52" s="3" t="s">
        <v>229</v>
      </c>
      <c r="O52" s="3">
        <v>0</v>
      </c>
      <c r="P52" s="3">
        <v>0</v>
      </c>
      <c r="Q52" s="3">
        <v>0</v>
      </c>
      <c r="R52" s="3">
        <v>0</v>
      </c>
      <c r="S52" s="3">
        <v>3</v>
      </c>
      <c r="T52" s="3">
        <v>12</v>
      </c>
      <c r="U52" s="3">
        <v>31</v>
      </c>
      <c r="V52" s="3">
        <v>41</v>
      </c>
      <c r="W52" s="3" t="s">
        <v>234</v>
      </c>
      <c r="X52" s="3">
        <v>132</v>
      </c>
      <c r="Y52" s="3">
        <v>32.99</v>
      </c>
      <c r="Z52" s="3">
        <v>32.99</v>
      </c>
      <c r="AA52" s="3">
        <v>0</v>
      </c>
      <c r="AB52" s="3" t="s">
        <v>235</v>
      </c>
      <c r="AC52" s="3">
        <v>26</v>
      </c>
      <c r="AD52" s="3">
        <v>32.99</v>
      </c>
      <c r="AE52" s="3">
        <v>0</v>
      </c>
      <c r="AF52" s="3">
        <v>0</v>
      </c>
      <c r="AG52" s="3">
        <v>0</v>
      </c>
      <c r="AH52" s="3">
        <v>2.92857142857142</v>
      </c>
      <c r="AI52" s="3" t="s">
        <v>410</v>
      </c>
      <c r="AJ52" s="3" t="s">
        <v>233</v>
      </c>
    </row>
    <row r="53" spans="1:36">
      <c r="A53" s="6">
        <v>43277</v>
      </c>
      <c r="B53" s="3" t="s">
        <v>411</v>
      </c>
      <c r="C53" s="3" t="s">
        <v>412</v>
      </c>
      <c r="D53" s="3" t="s">
        <v>413</v>
      </c>
      <c r="E53" s="3" t="s">
        <v>414</v>
      </c>
      <c r="F53" s="3" t="s">
        <v>228</v>
      </c>
      <c r="G53" s="3">
        <v>5</v>
      </c>
      <c r="H53" s="3">
        <v>0</v>
      </c>
      <c r="I53" s="3">
        <v>0</v>
      </c>
      <c r="J53" s="3">
        <v>5</v>
      </c>
      <c r="K53" s="3">
        <v>0</v>
      </c>
      <c r="L53" s="3">
        <v>0</v>
      </c>
      <c r="M53" s="3">
        <v>0</v>
      </c>
      <c r="N53" s="3" t="s">
        <v>229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230</v>
      </c>
      <c r="X53" s="3">
        <v>99.99</v>
      </c>
      <c r="Y53" s="3">
        <v>99.99</v>
      </c>
      <c r="Z53" s="3">
        <v>99.99</v>
      </c>
      <c r="AA53" s="3">
        <v>0</v>
      </c>
      <c r="AB53" s="3" t="s">
        <v>231</v>
      </c>
      <c r="AC53" s="3">
        <v>5</v>
      </c>
      <c r="AD53" s="3">
        <v>99.99</v>
      </c>
      <c r="AE53" s="3">
        <v>0</v>
      </c>
      <c r="AF53" s="3">
        <v>0</v>
      </c>
      <c r="AG53" s="3">
        <v>0</v>
      </c>
      <c r="AH53" s="3">
        <v>0</v>
      </c>
      <c r="AI53" s="3" t="s">
        <v>415</v>
      </c>
      <c r="AJ53" s="3" t="s">
        <v>233</v>
      </c>
    </row>
    <row r="54" spans="1:36">
      <c r="A54" s="6">
        <v>43277</v>
      </c>
      <c r="B54" s="3" t="s">
        <v>416</v>
      </c>
      <c r="C54" s="3" t="s">
        <v>417</v>
      </c>
      <c r="D54" s="3" t="s">
        <v>418</v>
      </c>
      <c r="E54" s="3" t="s">
        <v>419</v>
      </c>
      <c r="F54" s="3" t="s">
        <v>228</v>
      </c>
      <c r="G54" s="3">
        <v>5</v>
      </c>
      <c r="H54" s="3">
        <v>0</v>
      </c>
      <c r="I54" s="3">
        <v>5</v>
      </c>
      <c r="J54" s="3">
        <v>0</v>
      </c>
      <c r="K54" s="3">
        <v>0</v>
      </c>
      <c r="L54" s="3">
        <v>0</v>
      </c>
      <c r="M54" s="3">
        <v>0</v>
      </c>
      <c r="N54" s="3" t="s">
        <v>229</v>
      </c>
      <c r="O54" s="3">
        <v>0</v>
      </c>
      <c r="P54" s="3">
        <v>0</v>
      </c>
      <c r="Q54" s="3">
        <v>0</v>
      </c>
      <c r="R54" s="3">
        <v>0</v>
      </c>
      <c r="S54" s="3">
        <v>1</v>
      </c>
      <c r="T54" s="3">
        <v>2</v>
      </c>
      <c r="U54" s="3">
        <v>3</v>
      </c>
      <c r="V54" s="3">
        <v>3</v>
      </c>
      <c r="W54" s="3" t="s">
        <v>230</v>
      </c>
      <c r="X54" s="3">
        <v>89.99</v>
      </c>
      <c r="Y54" s="3">
        <v>89.99</v>
      </c>
      <c r="Z54" s="3">
        <v>89.99</v>
      </c>
      <c r="AA54" s="3">
        <v>0</v>
      </c>
      <c r="AB54" s="3" t="s">
        <v>231</v>
      </c>
      <c r="AC54" s="3">
        <v>5</v>
      </c>
      <c r="AD54" s="3">
        <v>89.99</v>
      </c>
      <c r="AE54" s="3">
        <v>0</v>
      </c>
      <c r="AF54" s="3">
        <v>0</v>
      </c>
      <c r="AG54" s="3">
        <v>0</v>
      </c>
      <c r="AH54" s="3">
        <v>0.75</v>
      </c>
      <c r="AI54" s="3" t="s">
        <v>420</v>
      </c>
      <c r="AJ54" s="3" t="s">
        <v>233</v>
      </c>
    </row>
    <row r="55" spans="1:36">
      <c r="A55" s="6">
        <v>43277</v>
      </c>
      <c r="B55" s="3" t="s">
        <v>421</v>
      </c>
      <c r="C55" s="3" t="s">
        <v>422</v>
      </c>
      <c r="D55" s="3" t="s">
        <v>423</v>
      </c>
      <c r="E55" s="3" t="s">
        <v>424</v>
      </c>
      <c r="F55" s="3" t="s">
        <v>228</v>
      </c>
      <c r="G55" s="3">
        <v>28</v>
      </c>
      <c r="H55" s="3">
        <v>0</v>
      </c>
      <c r="I55" s="3">
        <v>28</v>
      </c>
      <c r="J55" s="3">
        <v>0</v>
      </c>
      <c r="K55" s="3">
        <v>0</v>
      </c>
      <c r="L55" s="3">
        <v>0</v>
      </c>
      <c r="M55" s="3">
        <v>0</v>
      </c>
      <c r="N55" s="3" t="s">
        <v>229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5</v>
      </c>
      <c r="U55" s="3">
        <v>18</v>
      </c>
      <c r="V55" s="3">
        <v>23</v>
      </c>
      <c r="W55" s="3" t="s">
        <v>230</v>
      </c>
      <c r="X55" s="3">
        <v>99.6</v>
      </c>
      <c r="Y55" s="3">
        <v>99.6</v>
      </c>
      <c r="Z55" s="3">
        <v>99.6</v>
      </c>
      <c r="AA55" s="3">
        <v>0</v>
      </c>
      <c r="AB55" s="3" t="s">
        <v>231</v>
      </c>
      <c r="AC55" s="3">
        <v>27</v>
      </c>
      <c r="AD55" s="3">
        <v>99.6</v>
      </c>
      <c r="AE55" s="3">
        <v>0</v>
      </c>
      <c r="AF55" s="3">
        <v>0</v>
      </c>
      <c r="AG55" s="3">
        <v>0</v>
      </c>
      <c r="AH55" s="3">
        <v>1.80392156862745</v>
      </c>
      <c r="AI55" s="3" t="s">
        <v>425</v>
      </c>
      <c r="AJ55" s="3" t="s">
        <v>282</v>
      </c>
    </row>
    <row r="56" spans="1:36">
      <c r="A56" s="6">
        <v>43277</v>
      </c>
      <c r="B56" s="3" t="s">
        <v>426</v>
      </c>
      <c r="C56" s="3" t="s">
        <v>427</v>
      </c>
      <c r="D56" s="3" t="s">
        <v>428</v>
      </c>
      <c r="E56" s="3" t="s">
        <v>429</v>
      </c>
      <c r="F56" s="3" t="s">
        <v>228</v>
      </c>
      <c r="G56" s="3">
        <v>14</v>
      </c>
      <c r="H56" s="3">
        <v>0</v>
      </c>
      <c r="I56" s="3">
        <v>0</v>
      </c>
      <c r="J56" s="3">
        <v>14</v>
      </c>
      <c r="K56" s="3">
        <v>0</v>
      </c>
      <c r="L56" s="3">
        <v>0</v>
      </c>
      <c r="M56" s="3">
        <v>0</v>
      </c>
      <c r="N56" s="3" t="s">
        <v>229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2</v>
      </c>
      <c r="U56" s="3">
        <v>3</v>
      </c>
      <c r="V56" s="3">
        <v>4</v>
      </c>
      <c r="W56" s="3"/>
      <c r="X56" s="3">
        <v>32.99</v>
      </c>
      <c r="Y56" s="3">
        <v>32.99</v>
      </c>
      <c r="Z56" s="3">
        <v>32.99</v>
      </c>
      <c r="AA56" s="3">
        <v>0</v>
      </c>
      <c r="AB56" s="3" t="s">
        <v>235</v>
      </c>
      <c r="AC56" s="3">
        <v>14</v>
      </c>
      <c r="AD56" s="3">
        <v>32.99</v>
      </c>
      <c r="AE56" s="3">
        <v>0</v>
      </c>
      <c r="AF56" s="3">
        <v>0</v>
      </c>
      <c r="AG56" s="3">
        <v>0</v>
      </c>
      <c r="AH56" s="3">
        <v>0.586666666666666</v>
      </c>
      <c r="AI56" s="3" t="s">
        <v>430</v>
      </c>
      <c r="AJ56" s="3" t="s">
        <v>233</v>
      </c>
    </row>
    <row r="57" spans="1:36">
      <c r="A57" s="6">
        <v>43277</v>
      </c>
      <c r="B57" s="3" t="s">
        <v>431</v>
      </c>
      <c r="C57" s="3" t="s">
        <v>432</v>
      </c>
      <c r="D57" s="3" t="s">
        <v>433</v>
      </c>
      <c r="E57" s="3" t="s">
        <v>434</v>
      </c>
      <c r="F57" s="3" t="s">
        <v>228</v>
      </c>
      <c r="G57" s="3">
        <v>12</v>
      </c>
      <c r="H57" s="3">
        <v>0</v>
      </c>
      <c r="I57" s="3">
        <v>12</v>
      </c>
      <c r="J57" s="3">
        <v>0</v>
      </c>
      <c r="K57" s="3">
        <v>0</v>
      </c>
      <c r="L57" s="3">
        <v>0</v>
      </c>
      <c r="M57" s="3">
        <v>0</v>
      </c>
      <c r="N57" s="3" t="s">
        <v>229</v>
      </c>
      <c r="O57" s="3">
        <v>0</v>
      </c>
      <c r="P57" s="3">
        <v>0</v>
      </c>
      <c r="Q57" s="3">
        <v>0</v>
      </c>
      <c r="R57" s="3">
        <v>0</v>
      </c>
      <c r="S57" s="3">
        <v>1</v>
      </c>
      <c r="T57" s="3">
        <v>9</v>
      </c>
      <c r="U57" s="3">
        <v>13</v>
      </c>
      <c r="V57" s="3">
        <v>19</v>
      </c>
      <c r="W57" s="3" t="s">
        <v>230</v>
      </c>
      <c r="X57" s="3">
        <v>89.99</v>
      </c>
      <c r="Y57" s="3">
        <v>89.99</v>
      </c>
      <c r="Z57" s="3">
        <v>89.99</v>
      </c>
      <c r="AA57" s="3">
        <v>0</v>
      </c>
      <c r="AB57" s="3" t="s">
        <v>231</v>
      </c>
      <c r="AC57" s="3">
        <v>13</v>
      </c>
      <c r="AD57" s="3">
        <v>89.99</v>
      </c>
      <c r="AE57" s="3">
        <v>0</v>
      </c>
      <c r="AF57" s="3">
        <v>0</v>
      </c>
      <c r="AG57" s="3">
        <v>0</v>
      </c>
      <c r="AH57" s="3">
        <v>1.58333333333333</v>
      </c>
      <c r="AI57" s="3" t="s">
        <v>435</v>
      </c>
      <c r="AJ57" s="3" t="s">
        <v>233</v>
      </c>
    </row>
    <row r="58" spans="1:36">
      <c r="A58" s="6">
        <v>43277</v>
      </c>
      <c r="B58" s="3" t="s">
        <v>436</v>
      </c>
      <c r="C58" s="3" t="s">
        <v>437</v>
      </c>
      <c r="D58" s="3" t="s">
        <v>437</v>
      </c>
      <c r="E58" s="3" t="s">
        <v>438</v>
      </c>
      <c r="F58" s="3" t="s">
        <v>228</v>
      </c>
      <c r="G58" s="3">
        <v>2</v>
      </c>
      <c r="H58" s="3">
        <v>0</v>
      </c>
      <c r="I58" s="3">
        <v>0</v>
      </c>
      <c r="J58" s="3">
        <v>0</v>
      </c>
      <c r="K58" s="3">
        <v>2</v>
      </c>
      <c r="L58" s="3">
        <v>0</v>
      </c>
      <c r="M58" s="3">
        <v>0</v>
      </c>
      <c r="N58" s="3" t="s">
        <v>229</v>
      </c>
      <c r="O58" s="3">
        <v>2</v>
      </c>
      <c r="P58" s="3">
        <v>0</v>
      </c>
      <c r="Q58" s="3">
        <v>0</v>
      </c>
      <c r="R58" s="3">
        <v>0</v>
      </c>
      <c r="S58" s="3">
        <v>1</v>
      </c>
      <c r="T58" s="3">
        <v>1</v>
      </c>
      <c r="U58" s="3">
        <v>1</v>
      </c>
      <c r="V58" s="3">
        <v>2</v>
      </c>
      <c r="W58" s="3" t="s">
        <v>230</v>
      </c>
      <c r="X58" s="3">
        <v>69.6</v>
      </c>
      <c r="Y58" s="3">
        <v>23.99</v>
      </c>
      <c r="Z58" s="3">
        <v>23.99</v>
      </c>
      <c r="AA58" s="3">
        <v>0</v>
      </c>
      <c r="AB58" s="3" t="s">
        <v>359</v>
      </c>
      <c r="AC58" s="3">
        <v>0</v>
      </c>
      <c r="AD58" s="3">
        <v>21.65</v>
      </c>
      <c r="AE58" s="3">
        <v>287</v>
      </c>
      <c r="AF58" s="3">
        <v>0</v>
      </c>
      <c r="AG58" s="3">
        <v>32.052498</v>
      </c>
      <c r="AH58" s="3">
        <v>0.666666666666666</v>
      </c>
      <c r="AI58" s="3" t="s">
        <v>439</v>
      </c>
      <c r="AJ58" s="3" t="s">
        <v>233</v>
      </c>
    </row>
    <row r="59" spans="1:36">
      <c r="A59" s="6">
        <v>43277</v>
      </c>
      <c r="B59" s="3" t="s">
        <v>163</v>
      </c>
      <c r="C59" s="3" t="s">
        <v>164</v>
      </c>
      <c r="D59" s="3" t="s">
        <v>165</v>
      </c>
      <c r="E59" s="3" t="s">
        <v>166</v>
      </c>
      <c r="F59" s="3" t="s">
        <v>228</v>
      </c>
      <c r="G59" s="3">
        <v>47</v>
      </c>
      <c r="H59" s="3">
        <v>0</v>
      </c>
      <c r="I59" s="3">
        <v>47</v>
      </c>
      <c r="J59" s="3">
        <v>0</v>
      </c>
      <c r="K59" s="3">
        <v>0</v>
      </c>
      <c r="L59" s="3">
        <v>0</v>
      </c>
      <c r="M59" s="3">
        <v>0</v>
      </c>
      <c r="N59" s="3" t="s">
        <v>229</v>
      </c>
      <c r="O59" s="3">
        <v>0</v>
      </c>
      <c r="P59" s="3">
        <v>0</v>
      </c>
      <c r="Q59" s="3">
        <v>0</v>
      </c>
      <c r="R59" s="3">
        <v>0</v>
      </c>
      <c r="S59" s="3">
        <v>7</v>
      </c>
      <c r="T59" s="3">
        <v>55</v>
      </c>
      <c r="U59" s="3">
        <v>99</v>
      </c>
      <c r="V59" s="3">
        <v>165</v>
      </c>
      <c r="W59" s="3" t="s">
        <v>234</v>
      </c>
      <c r="X59" s="3">
        <v>269</v>
      </c>
      <c r="Y59" s="3">
        <v>89.99</v>
      </c>
      <c r="Z59" s="3">
        <v>89.99</v>
      </c>
      <c r="AA59" s="3">
        <v>0</v>
      </c>
      <c r="AB59" s="3" t="s">
        <v>235</v>
      </c>
      <c r="AC59" s="3">
        <v>51</v>
      </c>
      <c r="AD59" s="3">
        <v>89.99</v>
      </c>
      <c r="AE59" s="3">
        <v>0</v>
      </c>
      <c r="AF59" s="3">
        <v>0</v>
      </c>
      <c r="AG59" s="3">
        <v>0</v>
      </c>
      <c r="AH59" s="3">
        <v>4.09937888198757</v>
      </c>
      <c r="AI59" s="3" t="s">
        <v>440</v>
      </c>
      <c r="AJ59" s="3" t="s">
        <v>233</v>
      </c>
    </row>
    <row r="60" spans="1:36">
      <c r="A60" s="6">
        <v>43277</v>
      </c>
      <c r="B60" s="3" t="s">
        <v>441</v>
      </c>
      <c r="C60" s="3" t="s">
        <v>442</v>
      </c>
      <c r="D60" s="3" t="s">
        <v>443</v>
      </c>
      <c r="E60" s="3" t="s">
        <v>444</v>
      </c>
      <c r="F60" s="3" t="s">
        <v>228</v>
      </c>
      <c r="G60" s="3">
        <v>15</v>
      </c>
      <c r="H60" s="3">
        <v>0</v>
      </c>
      <c r="I60" s="3">
        <v>0</v>
      </c>
      <c r="J60" s="3">
        <v>15</v>
      </c>
      <c r="K60" s="3">
        <v>0</v>
      </c>
      <c r="L60" s="3">
        <v>0</v>
      </c>
      <c r="M60" s="3">
        <v>0</v>
      </c>
      <c r="N60" s="3" t="s">
        <v>229</v>
      </c>
      <c r="O60" s="3">
        <v>14</v>
      </c>
      <c r="P60" s="3">
        <v>0.8</v>
      </c>
      <c r="Q60" s="3">
        <v>0</v>
      </c>
      <c r="R60" s="3">
        <v>0</v>
      </c>
      <c r="S60" s="3">
        <v>0</v>
      </c>
      <c r="T60" s="3">
        <v>1</v>
      </c>
      <c r="U60" s="3">
        <v>4</v>
      </c>
      <c r="V60" s="3">
        <v>15</v>
      </c>
      <c r="W60" s="3" t="s">
        <v>230</v>
      </c>
      <c r="X60" s="3">
        <v>16.99</v>
      </c>
      <c r="Y60" s="3">
        <v>16.99</v>
      </c>
      <c r="Z60" s="3">
        <v>16.99</v>
      </c>
      <c r="AA60" s="3">
        <v>0</v>
      </c>
      <c r="AB60" s="3" t="s">
        <v>231</v>
      </c>
      <c r="AC60" s="3">
        <v>15</v>
      </c>
      <c r="AD60" s="3">
        <v>16.99</v>
      </c>
      <c r="AE60" s="3">
        <v>0</v>
      </c>
      <c r="AF60" s="3">
        <v>0</v>
      </c>
      <c r="AG60" s="3">
        <v>0</v>
      </c>
      <c r="AH60" s="3">
        <v>0.75</v>
      </c>
      <c r="AI60" s="3" t="s">
        <v>445</v>
      </c>
      <c r="AJ60" s="3" t="s">
        <v>233</v>
      </c>
    </row>
    <row r="61" spans="1:36">
      <c r="A61" s="6">
        <v>43277</v>
      </c>
      <c r="B61" s="3" t="s">
        <v>446</v>
      </c>
      <c r="C61" s="3" t="s">
        <v>447</v>
      </c>
      <c r="D61" s="3" t="s">
        <v>448</v>
      </c>
      <c r="E61" s="3" t="s">
        <v>449</v>
      </c>
      <c r="F61" s="3" t="s">
        <v>228</v>
      </c>
      <c r="G61" s="3">
        <v>13</v>
      </c>
      <c r="H61" s="3">
        <v>0</v>
      </c>
      <c r="I61" s="3">
        <v>13</v>
      </c>
      <c r="J61" s="3">
        <v>0</v>
      </c>
      <c r="K61" s="3">
        <v>0</v>
      </c>
      <c r="L61" s="3">
        <v>0</v>
      </c>
      <c r="M61" s="3">
        <v>0</v>
      </c>
      <c r="N61" s="3" t="s">
        <v>229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1</v>
      </c>
      <c r="U61" s="3">
        <v>5</v>
      </c>
      <c r="V61" s="3">
        <v>5</v>
      </c>
      <c r="W61" s="3" t="s">
        <v>230</v>
      </c>
      <c r="X61" s="3">
        <v>156</v>
      </c>
      <c r="Y61" s="3">
        <v>106.99</v>
      </c>
      <c r="Z61" s="3">
        <v>106.99</v>
      </c>
      <c r="AA61" s="3">
        <v>0</v>
      </c>
      <c r="AB61" s="3" t="s">
        <v>240</v>
      </c>
      <c r="AC61" s="3">
        <v>13</v>
      </c>
      <c r="AD61" s="3">
        <v>109.99</v>
      </c>
      <c r="AE61" s="3">
        <v>0</v>
      </c>
      <c r="AF61" s="3">
        <v>0</v>
      </c>
      <c r="AG61" s="3">
        <v>0</v>
      </c>
      <c r="AH61" s="3">
        <v>0.555555555555555</v>
      </c>
      <c r="AI61" s="3" t="s">
        <v>450</v>
      </c>
      <c r="AJ61" s="3" t="s">
        <v>233</v>
      </c>
    </row>
    <row r="62" spans="1:36">
      <c r="A62" s="6">
        <v>43277</v>
      </c>
      <c r="B62" s="3" t="s">
        <v>184</v>
      </c>
      <c r="C62" s="3" t="s">
        <v>185</v>
      </c>
      <c r="D62" s="3" t="s">
        <v>186</v>
      </c>
      <c r="E62" s="3" t="s">
        <v>187</v>
      </c>
      <c r="F62" s="3" t="s">
        <v>228</v>
      </c>
      <c r="G62" s="3">
        <v>11</v>
      </c>
      <c r="H62" s="3">
        <v>0</v>
      </c>
      <c r="I62" s="3">
        <v>11</v>
      </c>
      <c r="J62" s="3">
        <v>0</v>
      </c>
      <c r="K62" s="3">
        <v>0</v>
      </c>
      <c r="L62" s="3">
        <v>0</v>
      </c>
      <c r="M62" s="3">
        <v>0</v>
      </c>
      <c r="N62" s="3" t="s">
        <v>229</v>
      </c>
      <c r="O62" s="3">
        <v>0</v>
      </c>
      <c r="P62" s="3">
        <v>0</v>
      </c>
      <c r="Q62" s="3">
        <v>0</v>
      </c>
      <c r="R62" s="3">
        <v>0</v>
      </c>
      <c r="S62" s="3">
        <v>5</v>
      </c>
      <c r="T62" s="3">
        <v>16</v>
      </c>
      <c r="U62" s="3">
        <v>39</v>
      </c>
      <c r="V62" s="3">
        <v>71</v>
      </c>
      <c r="W62" s="3" t="s">
        <v>234</v>
      </c>
      <c r="X62" s="3">
        <v>34.99</v>
      </c>
      <c r="Y62" s="3">
        <v>34.99</v>
      </c>
      <c r="Z62" s="3">
        <v>34.99</v>
      </c>
      <c r="AA62" s="3">
        <v>0</v>
      </c>
      <c r="AB62" s="3" t="s">
        <v>235</v>
      </c>
      <c r="AC62" s="3">
        <v>15</v>
      </c>
      <c r="AD62" s="3">
        <v>34.99</v>
      </c>
      <c r="AE62" s="3">
        <v>0</v>
      </c>
      <c r="AF62" s="3">
        <v>0</v>
      </c>
      <c r="AG62" s="3">
        <v>0</v>
      </c>
      <c r="AH62" s="3">
        <v>3.50617283950617</v>
      </c>
      <c r="AI62" s="3" t="s">
        <v>451</v>
      </c>
      <c r="AJ62" s="3" t="s">
        <v>233</v>
      </c>
    </row>
    <row r="63" spans="1:36">
      <c r="A63" s="6">
        <v>43277</v>
      </c>
      <c r="B63" s="3" t="s">
        <v>56</v>
      </c>
      <c r="C63" s="3" t="s">
        <v>57</v>
      </c>
      <c r="D63" s="3" t="s">
        <v>58</v>
      </c>
      <c r="E63" s="3" t="s">
        <v>59</v>
      </c>
      <c r="F63" s="3" t="s">
        <v>228</v>
      </c>
      <c r="G63" s="3">
        <v>60</v>
      </c>
      <c r="H63" s="3">
        <v>0</v>
      </c>
      <c r="I63" s="3">
        <v>60</v>
      </c>
      <c r="J63" s="3">
        <v>0</v>
      </c>
      <c r="K63" s="3">
        <v>0</v>
      </c>
      <c r="L63" s="3">
        <v>0</v>
      </c>
      <c r="M63" s="3">
        <v>0</v>
      </c>
      <c r="N63" s="3" t="s">
        <v>229</v>
      </c>
      <c r="O63" s="3">
        <v>0</v>
      </c>
      <c r="P63" s="3">
        <v>0</v>
      </c>
      <c r="Q63" s="3">
        <v>0</v>
      </c>
      <c r="R63" s="3">
        <v>0</v>
      </c>
      <c r="S63" s="3">
        <v>10</v>
      </c>
      <c r="T63" s="3">
        <v>62</v>
      </c>
      <c r="U63" s="3">
        <v>113</v>
      </c>
      <c r="V63" s="3">
        <v>127</v>
      </c>
      <c r="W63" s="3" t="s">
        <v>234</v>
      </c>
      <c r="X63" s="3">
        <v>156.99</v>
      </c>
      <c r="Y63" s="3">
        <v>89.99</v>
      </c>
      <c r="Z63" s="3">
        <v>89.99</v>
      </c>
      <c r="AA63" s="3">
        <v>0</v>
      </c>
      <c r="AB63" s="3" t="s">
        <v>235</v>
      </c>
      <c r="AC63" s="3">
        <v>64</v>
      </c>
      <c r="AD63" s="3">
        <v>156.99</v>
      </c>
      <c r="AE63" s="3">
        <v>0</v>
      </c>
      <c r="AF63" s="3">
        <v>0</v>
      </c>
      <c r="AG63" s="3">
        <v>0</v>
      </c>
      <c r="AH63" s="3">
        <v>4.53571428571428</v>
      </c>
      <c r="AI63" s="3" t="s">
        <v>452</v>
      </c>
      <c r="AJ63" s="3" t="s">
        <v>233</v>
      </c>
    </row>
    <row r="64" spans="1:36">
      <c r="A64" s="6">
        <v>43277</v>
      </c>
      <c r="B64" s="3" t="s">
        <v>453</v>
      </c>
      <c r="C64" s="3" t="s">
        <v>454</v>
      </c>
      <c r="D64" s="3" t="s">
        <v>454</v>
      </c>
      <c r="E64" s="3" t="s">
        <v>455</v>
      </c>
      <c r="F64" s="3" t="s">
        <v>228</v>
      </c>
      <c r="G64" s="3">
        <v>21</v>
      </c>
      <c r="H64" s="3">
        <v>0</v>
      </c>
      <c r="I64" s="3">
        <v>0</v>
      </c>
      <c r="J64" s="3">
        <v>21</v>
      </c>
      <c r="K64" s="3">
        <v>0</v>
      </c>
      <c r="L64" s="3">
        <v>0</v>
      </c>
      <c r="M64" s="3">
        <v>0</v>
      </c>
      <c r="N64" s="3" t="s">
        <v>229</v>
      </c>
      <c r="O64" s="3">
        <v>21</v>
      </c>
      <c r="P64" s="3">
        <v>141.1</v>
      </c>
      <c r="Q64" s="3">
        <v>0</v>
      </c>
      <c r="R64" s="3">
        <v>0</v>
      </c>
      <c r="S64" s="3">
        <v>1</v>
      </c>
      <c r="T64" s="3">
        <v>2</v>
      </c>
      <c r="U64" s="3">
        <v>3</v>
      </c>
      <c r="V64" s="3">
        <v>5</v>
      </c>
      <c r="W64" s="3" t="s">
        <v>230</v>
      </c>
      <c r="X64" s="3">
        <v>159.99</v>
      </c>
      <c r="Y64" s="3">
        <v>159.99</v>
      </c>
      <c r="Z64" s="3">
        <v>159.99</v>
      </c>
      <c r="AA64" s="3">
        <v>0</v>
      </c>
      <c r="AB64" s="3" t="s">
        <v>359</v>
      </c>
      <c r="AC64" s="3">
        <v>0</v>
      </c>
      <c r="AD64" s="3">
        <v>144.68</v>
      </c>
      <c r="AE64" s="3">
        <v>217</v>
      </c>
      <c r="AF64" s="3">
        <v>0</v>
      </c>
      <c r="AG64" s="3">
        <v>3438.168163</v>
      </c>
      <c r="AH64" s="3">
        <v>0.212765957446808</v>
      </c>
      <c r="AI64" s="3" t="s">
        <v>456</v>
      </c>
      <c r="AJ64" s="3" t="s">
        <v>233</v>
      </c>
    </row>
    <row r="65" spans="1:36">
      <c r="A65" s="6">
        <v>43277</v>
      </c>
      <c r="B65" s="3" t="s">
        <v>171</v>
      </c>
      <c r="C65" s="3" t="s">
        <v>172</v>
      </c>
      <c r="D65" s="3" t="s">
        <v>172</v>
      </c>
      <c r="E65" s="3" t="s">
        <v>173</v>
      </c>
      <c r="F65" s="3" t="s">
        <v>228</v>
      </c>
      <c r="G65" s="3">
        <v>29</v>
      </c>
      <c r="H65" s="3">
        <v>0</v>
      </c>
      <c r="I65" s="3">
        <v>0</v>
      </c>
      <c r="J65" s="3">
        <v>29</v>
      </c>
      <c r="K65" s="3">
        <v>0</v>
      </c>
      <c r="L65" s="3">
        <v>0</v>
      </c>
      <c r="M65" s="3">
        <v>0</v>
      </c>
      <c r="N65" s="3" t="s">
        <v>229</v>
      </c>
      <c r="O65" s="3">
        <v>28</v>
      </c>
      <c r="P65" s="3">
        <v>17.43</v>
      </c>
      <c r="Q65" s="3">
        <v>0</v>
      </c>
      <c r="R65" s="3">
        <v>0</v>
      </c>
      <c r="S65" s="3">
        <v>4</v>
      </c>
      <c r="T65" s="3">
        <v>8</v>
      </c>
      <c r="U65" s="3">
        <v>15</v>
      </c>
      <c r="V65" s="3">
        <v>24</v>
      </c>
      <c r="W65" s="3"/>
      <c r="X65" s="3">
        <v>21.99</v>
      </c>
      <c r="Y65" s="3">
        <v>21.99</v>
      </c>
      <c r="Z65" s="3">
        <v>21.99</v>
      </c>
      <c r="AA65" s="3">
        <v>0</v>
      </c>
      <c r="AB65" s="3" t="s">
        <v>235</v>
      </c>
      <c r="AC65" s="3">
        <v>39</v>
      </c>
      <c r="AD65" s="3">
        <v>21.99</v>
      </c>
      <c r="AE65" s="3">
        <v>0</v>
      </c>
      <c r="AF65" s="3">
        <v>0</v>
      </c>
      <c r="AG65" s="3">
        <v>0</v>
      </c>
      <c r="AH65" s="3">
        <v>0.408510638297872</v>
      </c>
      <c r="AI65" s="3" t="s">
        <v>457</v>
      </c>
      <c r="AJ65" s="3" t="s">
        <v>233</v>
      </c>
    </row>
    <row r="66" spans="1:36">
      <c r="A66" s="6">
        <v>43277</v>
      </c>
      <c r="B66" s="3" t="s">
        <v>458</v>
      </c>
      <c r="C66" s="3" t="s">
        <v>459</v>
      </c>
      <c r="D66" s="3" t="s">
        <v>460</v>
      </c>
      <c r="E66" s="3" t="s">
        <v>461</v>
      </c>
      <c r="F66" s="3" t="s">
        <v>228</v>
      </c>
      <c r="G66" s="3">
        <v>53</v>
      </c>
      <c r="H66" s="3">
        <v>0</v>
      </c>
      <c r="I66" s="3">
        <v>53</v>
      </c>
      <c r="J66" s="3">
        <v>0</v>
      </c>
      <c r="K66" s="3">
        <v>0</v>
      </c>
      <c r="L66" s="3">
        <v>0</v>
      </c>
      <c r="M66" s="3">
        <v>0</v>
      </c>
      <c r="N66" s="3" t="s">
        <v>229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2</v>
      </c>
      <c r="U66" s="3">
        <v>23</v>
      </c>
      <c r="V66" s="3">
        <v>57</v>
      </c>
      <c r="W66" s="3" t="s">
        <v>234</v>
      </c>
      <c r="X66" s="3">
        <v>89.6</v>
      </c>
      <c r="Y66" s="3">
        <v>89.6</v>
      </c>
      <c r="Z66" s="3">
        <v>89.6</v>
      </c>
      <c r="AA66" s="3">
        <v>0</v>
      </c>
      <c r="AB66" s="3" t="s">
        <v>235</v>
      </c>
      <c r="AC66" s="3">
        <v>53</v>
      </c>
      <c r="AD66" s="3">
        <v>89.6</v>
      </c>
      <c r="AE66" s="3">
        <v>0</v>
      </c>
      <c r="AF66" s="3">
        <v>0</v>
      </c>
      <c r="AG66" s="3">
        <v>0</v>
      </c>
      <c r="AH66" s="3">
        <v>2.16822429906542</v>
      </c>
      <c r="AI66" s="3" t="s">
        <v>462</v>
      </c>
      <c r="AJ66" s="3" t="s">
        <v>233</v>
      </c>
    </row>
    <row r="67" spans="1:36">
      <c r="A67" s="6">
        <v>43277</v>
      </c>
      <c r="B67" s="3" t="s">
        <v>76</v>
      </c>
      <c r="C67" s="3" t="s">
        <v>77</v>
      </c>
      <c r="D67" s="3" t="s">
        <v>78</v>
      </c>
      <c r="E67" s="3" t="s">
        <v>79</v>
      </c>
      <c r="F67" s="3" t="s">
        <v>228</v>
      </c>
      <c r="G67" s="3">
        <v>3</v>
      </c>
      <c r="H67" s="3">
        <v>0</v>
      </c>
      <c r="I67" s="3">
        <v>3</v>
      </c>
      <c r="J67" s="3">
        <v>0</v>
      </c>
      <c r="K67" s="3">
        <v>0</v>
      </c>
      <c r="L67" s="3">
        <v>0</v>
      </c>
      <c r="M67" s="3">
        <v>0</v>
      </c>
      <c r="N67" s="3" t="s">
        <v>229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1</v>
      </c>
      <c r="U67" s="3">
        <v>1</v>
      </c>
      <c r="V67" s="3">
        <v>2</v>
      </c>
      <c r="W67" s="3" t="s">
        <v>230</v>
      </c>
      <c r="X67" s="3">
        <v>198</v>
      </c>
      <c r="Y67" s="3">
        <v>37.99</v>
      </c>
      <c r="Z67" s="3">
        <v>37.99</v>
      </c>
      <c r="AA67" s="3">
        <v>0</v>
      </c>
      <c r="AB67" s="3" t="s">
        <v>240</v>
      </c>
      <c r="AC67" s="3">
        <v>4</v>
      </c>
      <c r="AD67" s="3">
        <v>37.99</v>
      </c>
      <c r="AE67" s="3">
        <v>0</v>
      </c>
      <c r="AF67" s="3">
        <v>0</v>
      </c>
      <c r="AG67" s="3">
        <v>0</v>
      </c>
      <c r="AH67" s="3">
        <v>0.444444444444444</v>
      </c>
      <c r="AI67" s="3" t="s">
        <v>463</v>
      </c>
      <c r="AJ67" s="3" t="s">
        <v>233</v>
      </c>
    </row>
    <row r="68" spans="1:36">
      <c r="A68" s="6">
        <v>43277</v>
      </c>
      <c r="B68" s="3" t="s">
        <v>177</v>
      </c>
      <c r="C68" s="3" t="s">
        <v>178</v>
      </c>
      <c r="D68" s="3" t="s">
        <v>179</v>
      </c>
      <c r="E68" s="3" t="s">
        <v>180</v>
      </c>
      <c r="F68" s="3" t="s">
        <v>228</v>
      </c>
      <c r="G68" s="3">
        <v>11</v>
      </c>
      <c r="H68" s="3">
        <v>0</v>
      </c>
      <c r="I68" s="3">
        <v>11</v>
      </c>
      <c r="J68" s="3">
        <v>0</v>
      </c>
      <c r="K68" s="3">
        <v>0</v>
      </c>
      <c r="L68" s="3">
        <v>0</v>
      </c>
      <c r="M68" s="3">
        <v>0</v>
      </c>
      <c r="N68" s="3" t="s">
        <v>229</v>
      </c>
      <c r="O68" s="3">
        <v>0</v>
      </c>
      <c r="P68" s="3">
        <v>0</v>
      </c>
      <c r="Q68" s="3">
        <v>0</v>
      </c>
      <c r="R68" s="3">
        <v>0</v>
      </c>
      <c r="S68" s="3">
        <v>5</v>
      </c>
      <c r="T68" s="3">
        <v>22</v>
      </c>
      <c r="U68" s="3">
        <v>28</v>
      </c>
      <c r="V68" s="3">
        <v>28</v>
      </c>
      <c r="W68" s="3"/>
      <c r="X68" s="3">
        <v>49.9</v>
      </c>
      <c r="Y68" s="3">
        <v>21.99</v>
      </c>
      <c r="Z68" s="3">
        <v>21.99</v>
      </c>
      <c r="AA68" s="3">
        <v>12.98</v>
      </c>
      <c r="AB68" s="3" t="s">
        <v>235</v>
      </c>
      <c r="AC68" s="3">
        <v>14</v>
      </c>
      <c r="AD68" s="3">
        <v>21.99</v>
      </c>
      <c r="AE68" s="3">
        <v>0</v>
      </c>
      <c r="AF68" s="3">
        <v>0</v>
      </c>
      <c r="AG68" s="3">
        <v>0</v>
      </c>
      <c r="AH68" s="3">
        <v>3.31818181818181</v>
      </c>
      <c r="AI68" s="3" t="s">
        <v>464</v>
      </c>
      <c r="AJ68" s="3" t="s">
        <v>233</v>
      </c>
    </row>
    <row r="69" spans="1:36">
      <c r="A69" s="6">
        <v>43277</v>
      </c>
      <c r="B69" s="3" t="s">
        <v>465</v>
      </c>
      <c r="C69" s="3" t="s">
        <v>466</v>
      </c>
      <c r="D69" s="3" t="s">
        <v>467</v>
      </c>
      <c r="E69" s="3" t="s">
        <v>468</v>
      </c>
      <c r="F69" s="3" t="s">
        <v>228</v>
      </c>
      <c r="G69" s="3">
        <v>15</v>
      </c>
      <c r="H69" s="3">
        <v>0</v>
      </c>
      <c r="I69" s="3">
        <v>10</v>
      </c>
      <c r="J69" s="3">
        <v>5</v>
      </c>
      <c r="K69" s="3">
        <v>0</v>
      </c>
      <c r="L69" s="3">
        <v>0</v>
      </c>
      <c r="M69" s="3">
        <v>0</v>
      </c>
      <c r="N69" s="3" t="s">
        <v>229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2</v>
      </c>
      <c r="U69" s="3">
        <v>4</v>
      </c>
      <c r="V69" s="3">
        <v>6</v>
      </c>
      <c r="W69" s="3" t="s">
        <v>230</v>
      </c>
      <c r="X69" s="3">
        <v>79.99</v>
      </c>
      <c r="Y69" s="3">
        <v>79.99</v>
      </c>
      <c r="Z69" s="3">
        <v>79.99</v>
      </c>
      <c r="AA69" s="3">
        <v>0</v>
      </c>
      <c r="AB69" s="3" t="s">
        <v>231</v>
      </c>
      <c r="AC69" s="3">
        <v>15</v>
      </c>
      <c r="AD69" s="3">
        <v>79.99</v>
      </c>
      <c r="AE69" s="3">
        <v>0</v>
      </c>
      <c r="AF69" s="3">
        <v>0</v>
      </c>
      <c r="AG69" s="3">
        <v>0</v>
      </c>
      <c r="AH69" s="3">
        <v>0.387096774193548</v>
      </c>
      <c r="AI69" s="3" t="s">
        <v>292</v>
      </c>
      <c r="AJ69" s="3" t="s">
        <v>233</v>
      </c>
    </row>
    <row r="70" spans="1:36">
      <c r="A70" s="6">
        <v>43277</v>
      </c>
      <c r="B70" s="3" t="s">
        <v>469</v>
      </c>
      <c r="C70" s="3" t="s">
        <v>470</v>
      </c>
      <c r="D70" s="3" t="s">
        <v>471</v>
      </c>
      <c r="E70" s="3" t="s">
        <v>472</v>
      </c>
      <c r="F70" s="3" t="s">
        <v>228</v>
      </c>
      <c r="G70" s="3">
        <v>12</v>
      </c>
      <c r="H70" s="3">
        <v>0</v>
      </c>
      <c r="I70" s="3">
        <v>12</v>
      </c>
      <c r="J70" s="3">
        <v>0</v>
      </c>
      <c r="K70" s="3">
        <v>0</v>
      </c>
      <c r="L70" s="3">
        <v>0</v>
      </c>
      <c r="M70" s="3">
        <v>0</v>
      </c>
      <c r="N70" s="3" t="s">
        <v>229</v>
      </c>
      <c r="O70" s="3">
        <v>0</v>
      </c>
      <c r="P70" s="3">
        <v>0</v>
      </c>
      <c r="Q70" s="3">
        <v>0</v>
      </c>
      <c r="R70" s="3">
        <v>0</v>
      </c>
      <c r="S70" s="3">
        <v>1</v>
      </c>
      <c r="T70" s="3">
        <v>7</v>
      </c>
      <c r="U70" s="3">
        <v>19</v>
      </c>
      <c r="V70" s="3">
        <v>38</v>
      </c>
      <c r="W70" s="3" t="s">
        <v>230</v>
      </c>
      <c r="X70" s="3">
        <v>99.99</v>
      </c>
      <c r="Y70" s="3">
        <v>99.99</v>
      </c>
      <c r="Z70" s="3">
        <v>99.99</v>
      </c>
      <c r="AA70" s="3">
        <v>0</v>
      </c>
      <c r="AB70" s="3" t="s">
        <v>231</v>
      </c>
      <c r="AC70" s="3">
        <v>12</v>
      </c>
      <c r="AD70" s="3">
        <v>99.99</v>
      </c>
      <c r="AE70" s="3">
        <v>0</v>
      </c>
      <c r="AF70" s="3">
        <v>0</v>
      </c>
      <c r="AG70" s="3">
        <v>0</v>
      </c>
      <c r="AH70" s="3">
        <v>2.55555555555555</v>
      </c>
      <c r="AI70" s="3" t="s">
        <v>473</v>
      </c>
      <c r="AJ70" s="3" t="s">
        <v>282</v>
      </c>
    </row>
    <row r="71" spans="1:36">
      <c r="A71" s="6">
        <v>43277</v>
      </c>
      <c r="B71" s="3" t="s">
        <v>474</v>
      </c>
      <c r="C71" s="3" t="s">
        <v>475</v>
      </c>
      <c r="D71" s="3" t="s">
        <v>475</v>
      </c>
      <c r="E71" s="3" t="s">
        <v>476</v>
      </c>
      <c r="F71" s="3" t="s">
        <v>228</v>
      </c>
      <c r="G71" s="3">
        <v>16</v>
      </c>
      <c r="H71" s="3">
        <v>0</v>
      </c>
      <c r="I71" s="3">
        <v>0</v>
      </c>
      <c r="J71" s="3">
        <v>0</v>
      </c>
      <c r="K71" s="3">
        <v>16</v>
      </c>
      <c r="L71" s="3">
        <v>0</v>
      </c>
      <c r="M71" s="3">
        <v>0</v>
      </c>
      <c r="N71" s="3" t="s">
        <v>229</v>
      </c>
      <c r="O71" s="3">
        <v>16</v>
      </c>
      <c r="P71" s="3">
        <v>9.6</v>
      </c>
      <c r="Q71" s="3">
        <v>0</v>
      </c>
      <c r="R71" s="3">
        <v>0</v>
      </c>
      <c r="S71" s="3">
        <v>1</v>
      </c>
      <c r="T71" s="3">
        <v>2</v>
      </c>
      <c r="U71" s="3">
        <v>3</v>
      </c>
      <c r="V71" s="3">
        <v>8</v>
      </c>
      <c r="W71" s="3" t="s">
        <v>230</v>
      </c>
      <c r="X71" s="3">
        <v>49.99</v>
      </c>
      <c r="Y71" s="3">
        <v>19.99</v>
      </c>
      <c r="Z71" s="3">
        <v>19.99</v>
      </c>
      <c r="AA71" s="3">
        <v>0</v>
      </c>
      <c r="AB71" s="3" t="s">
        <v>240</v>
      </c>
      <c r="AC71" s="3">
        <v>16</v>
      </c>
      <c r="AD71" s="3">
        <v>19.99</v>
      </c>
      <c r="AE71" s="3">
        <v>0</v>
      </c>
      <c r="AF71" s="3">
        <v>0</v>
      </c>
      <c r="AG71" s="3">
        <v>0</v>
      </c>
      <c r="AH71" s="3">
        <v>0.415584415584415</v>
      </c>
      <c r="AI71" s="3" t="s">
        <v>477</v>
      </c>
      <c r="AJ71" s="3" t="s">
        <v>478</v>
      </c>
    </row>
    <row r="72" spans="1:36">
      <c r="A72" s="6">
        <v>43277</v>
      </c>
      <c r="B72" s="3" t="s">
        <v>479</v>
      </c>
      <c r="C72" s="3" t="s">
        <v>480</v>
      </c>
      <c r="D72" s="3" t="s">
        <v>481</v>
      </c>
      <c r="E72" s="3" t="s">
        <v>482</v>
      </c>
      <c r="F72" s="3" t="s">
        <v>228</v>
      </c>
      <c r="G72" s="3">
        <v>11</v>
      </c>
      <c r="H72" s="3">
        <v>0</v>
      </c>
      <c r="I72" s="3">
        <v>11</v>
      </c>
      <c r="J72" s="3">
        <v>0</v>
      </c>
      <c r="K72" s="3">
        <v>0</v>
      </c>
      <c r="L72" s="3">
        <v>0</v>
      </c>
      <c r="M72" s="3">
        <v>0</v>
      </c>
      <c r="N72" s="3" t="s">
        <v>229</v>
      </c>
      <c r="O72" s="3">
        <v>0</v>
      </c>
      <c r="P72" s="3">
        <v>0</v>
      </c>
      <c r="Q72" s="3">
        <v>0</v>
      </c>
      <c r="R72" s="3">
        <v>0</v>
      </c>
      <c r="S72" s="3">
        <v>1</v>
      </c>
      <c r="T72" s="3">
        <v>2</v>
      </c>
      <c r="U72" s="3">
        <v>9</v>
      </c>
      <c r="V72" s="3">
        <v>10</v>
      </c>
      <c r="W72" s="3" t="s">
        <v>230</v>
      </c>
      <c r="X72" s="3">
        <v>79.99</v>
      </c>
      <c r="Y72" s="3">
        <v>79.99</v>
      </c>
      <c r="Z72" s="3">
        <v>79.99</v>
      </c>
      <c r="AA72" s="3">
        <v>0</v>
      </c>
      <c r="AB72" s="3" t="s">
        <v>231</v>
      </c>
      <c r="AC72" s="3">
        <v>12</v>
      </c>
      <c r="AD72" s="3">
        <v>79.99</v>
      </c>
      <c r="AE72" s="3">
        <v>0</v>
      </c>
      <c r="AF72" s="3">
        <v>0</v>
      </c>
      <c r="AG72" s="3">
        <v>0</v>
      </c>
      <c r="AH72" s="3">
        <v>1.15384615384615</v>
      </c>
      <c r="AI72" s="3" t="s">
        <v>483</v>
      </c>
      <c r="AJ72" s="3" t="s">
        <v>233</v>
      </c>
    </row>
    <row r="73" spans="1:36">
      <c r="A73" s="6">
        <v>43277</v>
      </c>
      <c r="B73" s="3" t="s">
        <v>52</v>
      </c>
      <c r="C73" s="3" t="s">
        <v>53</v>
      </c>
      <c r="D73" s="3" t="s">
        <v>54</v>
      </c>
      <c r="E73" s="3" t="s">
        <v>55</v>
      </c>
      <c r="F73" s="3" t="s">
        <v>228</v>
      </c>
      <c r="G73" s="3">
        <v>14</v>
      </c>
      <c r="H73" s="3">
        <v>0</v>
      </c>
      <c r="I73" s="3">
        <v>14</v>
      </c>
      <c r="J73" s="3">
        <v>0</v>
      </c>
      <c r="K73" s="3">
        <v>0</v>
      </c>
      <c r="L73" s="3">
        <v>0</v>
      </c>
      <c r="M73" s="3">
        <v>0</v>
      </c>
      <c r="N73" s="3" t="s">
        <v>229</v>
      </c>
      <c r="O73" s="3">
        <v>0</v>
      </c>
      <c r="P73" s="3">
        <v>0</v>
      </c>
      <c r="Q73" s="3">
        <v>0</v>
      </c>
      <c r="R73" s="3">
        <v>0</v>
      </c>
      <c r="S73" s="3">
        <v>6</v>
      </c>
      <c r="T73" s="3">
        <v>22</v>
      </c>
      <c r="U73" s="3">
        <v>45</v>
      </c>
      <c r="V73" s="3">
        <v>51</v>
      </c>
      <c r="W73" s="3" t="s">
        <v>234</v>
      </c>
      <c r="X73" s="3">
        <v>179</v>
      </c>
      <c r="Y73" s="3">
        <v>89.99</v>
      </c>
      <c r="Z73" s="3">
        <v>89.99</v>
      </c>
      <c r="AA73" s="3">
        <v>0</v>
      </c>
      <c r="AB73" s="3" t="s">
        <v>235</v>
      </c>
      <c r="AC73" s="3">
        <v>16</v>
      </c>
      <c r="AD73" s="3">
        <v>89.99</v>
      </c>
      <c r="AE73" s="3">
        <v>0</v>
      </c>
      <c r="AF73" s="3">
        <v>0</v>
      </c>
      <c r="AG73" s="3">
        <v>0</v>
      </c>
      <c r="AH73" s="3">
        <v>5.51351351351351</v>
      </c>
      <c r="AI73" s="3" t="s">
        <v>484</v>
      </c>
      <c r="AJ73" s="3" t="s">
        <v>282</v>
      </c>
    </row>
    <row r="74" spans="1:36">
      <c r="A74" s="6">
        <v>43277</v>
      </c>
      <c r="B74" s="3" t="s">
        <v>485</v>
      </c>
      <c r="C74" s="3" t="s">
        <v>486</v>
      </c>
      <c r="D74" s="3" t="s">
        <v>487</v>
      </c>
      <c r="E74" s="3" t="s">
        <v>488</v>
      </c>
      <c r="F74" s="3" t="s">
        <v>228</v>
      </c>
      <c r="G74" s="3">
        <v>12</v>
      </c>
      <c r="H74" s="3">
        <v>0</v>
      </c>
      <c r="I74" s="3">
        <v>10</v>
      </c>
      <c r="J74" s="3">
        <v>2</v>
      </c>
      <c r="K74" s="3">
        <v>0</v>
      </c>
      <c r="L74" s="3">
        <v>0</v>
      </c>
      <c r="M74" s="3">
        <v>0</v>
      </c>
      <c r="N74" s="3" t="s">
        <v>229</v>
      </c>
      <c r="O74" s="3">
        <v>0</v>
      </c>
      <c r="P74" s="3">
        <v>0</v>
      </c>
      <c r="Q74" s="3">
        <v>0</v>
      </c>
      <c r="R74" s="3">
        <v>0</v>
      </c>
      <c r="S74" s="3">
        <v>1</v>
      </c>
      <c r="T74" s="3">
        <v>1</v>
      </c>
      <c r="U74" s="3">
        <v>2</v>
      </c>
      <c r="V74" s="3">
        <v>2</v>
      </c>
      <c r="W74" s="3"/>
      <c r="X74" s="3">
        <v>21.99</v>
      </c>
      <c r="Y74" s="3">
        <v>21.99</v>
      </c>
      <c r="Z74" s="3">
        <v>21.99</v>
      </c>
      <c r="AA74" s="3">
        <v>0</v>
      </c>
      <c r="AB74" s="3" t="s">
        <v>235</v>
      </c>
      <c r="AC74" s="3">
        <v>13</v>
      </c>
      <c r="AD74" s="3">
        <v>21.99</v>
      </c>
      <c r="AE74" s="3">
        <v>0</v>
      </c>
      <c r="AF74" s="3">
        <v>0</v>
      </c>
      <c r="AG74" s="3">
        <v>0</v>
      </c>
      <c r="AH74" s="3">
        <v>0.145454545454545</v>
      </c>
      <c r="AI74" s="3" t="s">
        <v>489</v>
      </c>
      <c r="AJ74" s="3" t="s">
        <v>233</v>
      </c>
    </row>
    <row r="75" spans="1:36">
      <c r="A75" s="6">
        <v>43277</v>
      </c>
      <c r="B75" s="3" t="s">
        <v>188</v>
      </c>
      <c r="C75" s="3" t="s">
        <v>189</v>
      </c>
      <c r="D75" s="3" t="s">
        <v>190</v>
      </c>
      <c r="E75" s="3" t="s">
        <v>191</v>
      </c>
      <c r="F75" s="3" t="s">
        <v>228</v>
      </c>
      <c r="G75" s="3">
        <v>4</v>
      </c>
      <c r="H75" s="3">
        <v>0</v>
      </c>
      <c r="I75" s="3">
        <v>4</v>
      </c>
      <c r="J75" s="3">
        <v>0</v>
      </c>
      <c r="K75" s="3">
        <v>0</v>
      </c>
      <c r="L75" s="3">
        <v>0</v>
      </c>
      <c r="M75" s="3">
        <v>0</v>
      </c>
      <c r="N75" s="3" t="s">
        <v>229</v>
      </c>
      <c r="O75" s="3">
        <v>0</v>
      </c>
      <c r="P75" s="3">
        <v>0</v>
      </c>
      <c r="Q75" s="3">
        <v>0</v>
      </c>
      <c r="R75" s="3">
        <v>0</v>
      </c>
      <c r="S75" s="3">
        <v>4</v>
      </c>
      <c r="T75" s="3">
        <v>9</v>
      </c>
      <c r="U75" s="3">
        <v>13</v>
      </c>
      <c r="V75" s="3">
        <v>19</v>
      </c>
      <c r="W75" s="3"/>
      <c r="X75" s="3">
        <v>21.99</v>
      </c>
      <c r="Y75" s="3">
        <v>21.99</v>
      </c>
      <c r="Z75" s="3">
        <v>21.99</v>
      </c>
      <c r="AA75" s="3">
        <v>0</v>
      </c>
      <c r="AB75" s="3" t="s">
        <v>235</v>
      </c>
      <c r="AC75" s="3">
        <v>6</v>
      </c>
      <c r="AD75" s="3">
        <v>21.99</v>
      </c>
      <c r="AE75" s="3">
        <v>0</v>
      </c>
      <c r="AF75" s="3">
        <v>0</v>
      </c>
      <c r="AG75" s="3">
        <v>0</v>
      </c>
      <c r="AH75" s="3">
        <v>2.375</v>
      </c>
      <c r="AI75" s="3" t="s">
        <v>490</v>
      </c>
      <c r="AJ75" s="3" t="s">
        <v>233</v>
      </c>
    </row>
    <row r="76" spans="1:36">
      <c r="A76" s="6">
        <v>43277</v>
      </c>
      <c r="B76" s="3" t="s">
        <v>64</v>
      </c>
      <c r="C76" s="3" t="s">
        <v>65</v>
      </c>
      <c r="D76" s="3" t="s">
        <v>66</v>
      </c>
      <c r="E76" s="3" t="s">
        <v>67</v>
      </c>
      <c r="F76" s="3" t="s">
        <v>228</v>
      </c>
      <c r="G76" s="3">
        <v>3</v>
      </c>
      <c r="H76" s="3">
        <v>0</v>
      </c>
      <c r="I76" s="3">
        <v>3</v>
      </c>
      <c r="J76" s="3">
        <v>0</v>
      </c>
      <c r="K76" s="3">
        <v>0</v>
      </c>
      <c r="L76" s="3">
        <v>0</v>
      </c>
      <c r="M76" s="3">
        <v>0</v>
      </c>
      <c r="N76" s="3" t="s">
        <v>229</v>
      </c>
      <c r="O76" s="3">
        <v>0</v>
      </c>
      <c r="P76" s="3">
        <v>0</v>
      </c>
      <c r="Q76" s="3">
        <v>0</v>
      </c>
      <c r="R76" s="3">
        <v>0</v>
      </c>
      <c r="S76" s="3">
        <v>3</v>
      </c>
      <c r="T76" s="3">
        <v>9</v>
      </c>
      <c r="U76" s="3">
        <v>12</v>
      </c>
      <c r="V76" s="3">
        <v>12</v>
      </c>
      <c r="W76" s="3" t="s">
        <v>230</v>
      </c>
      <c r="X76" s="3">
        <v>156</v>
      </c>
      <c r="Y76" s="3">
        <v>89.99</v>
      </c>
      <c r="Z76" s="3">
        <v>89.99</v>
      </c>
      <c r="AA76" s="3">
        <v>0</v>
      </c>
      <c r="AB76" s="3" t="s">
        <v>240</v>
      </c>
      <c r="AC76" s="3">
        <v>5</v>
      </c>
      <c r="AD76" s="3">
        <v>89.99</v>
      </c>
      <c r="AE76" s="3">
        <v>0</v>
      </c>
      <c r="AF76" s="3">
        <v>0</v>
      </c>
      <c r="AG76" s="3">
        <v>0</v>
      </c>
      <c r="AH76" s="3">
        <v>6</v>
      </c>
      <c r="AI76" s="3" t="s">
        <v>491</v>
      </c>
      <c r="AJ76" s="3" t="s">
        <v>233</v>
      </c>
    </row>
    <row r="77" spans="1:36">
      <c r="A77" s="6">
        <v>43277</v>
      </c>
      <c r="B77" s="3" t="s">
        <v>492</v>
      </c>
      <c r="C77" s="3" t="s">
        <v>493</v>
      </c>
      <c r="D77" s="3" t="s">
        <v>494</v>
      </c>
      <c r="E77" s="3" t="s">
        <v>495</v>
      </c>
      <c r="F77" s="3" t="s">
        <v>228</v>
      </c>
      <c r="G77" s="3">
        <v>5</v>
      </c>
      <c r="H77" s="3">
        <v>0</v>
      </c>
      <c r="I77" s="3">
        <v>5</v>
      </c>
      <c r="J77" s="3">
        <v>0</v>
      </c>
      <c r="K77" s="3">
        <v>0</v>
      </c>
      <c r="L77" s="3">
        <v>0</v>
      </c>
      <c r="M77" s="3">
        <v>0</v>
      </c>
      <c r="N77" s="3" t="s">
        <v>229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3</v>
      </c>
      <c r="U77" s="3">
        <v>10</v>
      </c>
      <c r="V77" s="3">
        <v>15</v>
      </c>
      <c r="W77" s="3" t="s">
        <v>230</v>
      </c>
      <c r="X77" s="3">
        <v>89.6</v>
      </c>
      <c r="Y77" s="3">
        <v>89.6</v>
      </c>
      <c r="Z77" s="3">
        <v>89.6</v>
      </c>
      <c r="AA77" s="3">
        <v>0</v>
      </c>
      <c r="AB77" s="3" t="s">
        <v>231</v>
      </c>
      <c r="AC77" s="3">
        <v>5</v>
      </c>
      <c r="AD77" s="3">
        <v>89.6</v>
      </c>
      <c r="AE77" s="3">
        <v>0</v>
      </c>
      <c r="AF77" s="3">
        <v>0</v>
      </c>
      <c r="AG77" s="3">
        <v>0</v>
      </c>
      <c r="AH77" s="3">
        <v>3.08333333333333</v>
      </c>
      <c r="AI77" s="3" t="s">
        <v>496</v>
      </c>
      <c r="AJ77" s="3" t="s">
        <v>233</v>
      </c>
    </row>
    <row r="78" spans="1:36">
      <c r="A78" s="6">
        <v>43277</v>
      </c>
      <c r="B78" s="3" t="s">
        <v>48</v>
      </c>
      <c r="C78" s="3" t="s">
        <v>49</v>
      </c>
      <c r="D78" s="3" t="s">
        <v>50</v>
      </c>
      <c r="E78" s="3" t="s">
        <v>51</v>
      </c>
      <c r="F78" s="3" t="s">
        <v>228</v>
      </c>
      <c r="G78" s="3">
        <v>6</v>
      </c>
      <c r="H78" s="3">
        <v>0</v>
      </c>
      <c r="I78" s="3">
        <v>6</v>
      </c>
      <c r="J78" s="3">
        <v>0</v>
      </c>
      <c r="K78" s="3">
        <v>0</v>
      </c>
      <c r="L78" s="3">
        <v>0</v>
      </c>
      <c r="M78" s="3">
        <v>0</v>
      </c>
      <c r="N78" s="3" t="s">
        <v>229</v>
      </c>
      <c r="O78" s="3">
        <v>0</v>
      </c>
      <c r="P78" s="3">
        <v>0</v>
      </c>
      <c r="Q78" s="3">
        <v>0</v>
      </c>
      <c r="R78" s="3">
        <v>0</v>
      </c>
      <c r="S78" s="3">
        <v>1</v>
      </c>
      <c r="T78" s="3">
        <v>2</v>
      </c>
      <c r="U78" s="3">
        <v>4</v>
      </c>
      <c r="V78" s="3">
        <v>13</v>
      </c>
      <c r="W78" s="3" t="s">
        <v>234</v>
      </c>
      <c r="X78" s="3">
        <v>89.6</v>
      </c>
      <c r="Y78" s="3">
        <v>89.6</v>
      </c>
      <c r="Z78" s="3">
        <v>89.6</v>
      </c>
      <c r="AA78" s="3">
        <v>0</v>
      </c>
      <c r="AB78" s="3" t="s">
        <v>235</v>
      </c>
      <c r="AC78" s="3">
        <v>7</v>
      </c>
      <c r="AD78" s="3">
        <v>89.6</v>
      </c>
      <c r="AE78" s="3">
        <v>0</v>
      </c>
      <c r="AF78" s="3">
        <v>0</v>
      </c>
      <c r="AG78" s="3">
        <v>0</v>
      </c>
      <c r="AH78" s="3">
        <v>1.48571428571428</v>
      </c>
      <c r="AI78" s="3" t="s">
        <v>388</v>
      </c>
      <c r="AJ78" s="3" t="s">
        <v>233</v>
      </c>
    </row>
    <row r="79" spans="1:36">
      <c r="A79" s="6">
        <v>43277</v>
      </c>
      <c r="B79" s="3" t="s">
        <v>497</v>
      </c>
      <c r="C79" s="3" t="s">
        <v>498</v>
      </c>
      <c r="D79" s="3" t="s">
        <v>499</v>
      </c>
      <c r="E79" s="3" t="s">
        <v>500</v>
      </c>
      <c r="F79" s="3" t="s">
        <v>228</v>
      </c>
      <c r="G79" s="3">
        <v>8</v>
      </c>
      <c r="H79" s="3">
        <v>0</v>
      </c>
      <c r="I79" s="3">
        <v>8</v>
      </c>
      <c r="J79" s="3">
        <v>0</v>
      </c>
      <c r="K79" s="3">
        <v>0</v>
      </c>
      <c r="L79" s="3">
        <v>0</v>
      </c>
      <c r="M79" s="3">
        <v>0</v>
      </c>
      <c r="N79" s="3" t="s">
        <v>229</v>
      </c>
      <c r="O79" s="3">
        <v>0</v>
      </c>
      <c r="P79" s="3">
        <v>0</v>
      </c>
      <c r="Q79" s="3">
        <v>0</v>
      </c>
      <c r="R79" s="3">
        <v>0</v>
      </c>
      <c r="S79" s="3">
        <v>1</v>
      </c>
      <c r="T79" s="3">
        <v>5</v>
      </c>
      <c r="U79" s="3">
        <v>7</v>
      </c>
      <c r="V79" s="3">
        <v>7</v>
      </c>
      <c r="W79" s="3" t="s">
        <v>230</v>
      </c>
      <c r="X79" s="3">
        <v>99.99</v>
      </c>
      <c r="Y79" s="3">
        <v>99.99</v>
      </c>
      <c r="Z79" s="3">
        <v>99.99</v>
      </c>
      <c r="AA79" s="3">
        <v>0</v>
      </c>
      <c r="AB79" s="3" t="s">
        <v>231</v>
      </c>
      <c r="AC79" s="3">
        <v>4</v>
      </c>
      <c r="AD79" s="3">
        <v>99.99</v>
      </c>
      <c r="AE79" s="3">
        <v>0</v>
      </c>
      <c r="AF79" s="3">
        <v>0</v>
      </c>
      <c r="AG79" s="3">
        <v>0</v>
      </c>
      <c r="AH79" s="3">
        <v>1.4</v>
      </c>
      <c r="AI79" s="3" t="s">
        <v>501</v>
      </c>
      <c r="AJ79" s="3" t="s">
        <v>233</v>
      </c>
    </row>
    <row r="80" spans="1:36">
      <c r="A80" s="6">
        <v>43277</v>
      </c>
      <c r="B80" s="3" t="s">
        <v>502</v>
      </c>
      <c r="C80" s="3" t="s">
        <v>503</v>
      </c>
      <c r="D80" s="3" t="s">
        <v>504</v>
      </c>
      <c r="E80" s="3" t="s">
        <v>505</v>
      </c>
      <c r="F80" s="3" t="s">
        <v>228</v>
      </c>
      <c r="G80" s="3">
        <v>5</v>
      </c>
      <c r="H80" s="3">
        <v>0</v>
      </c>
      <c r="I80" s="3">
        <v>0</v>
      </c>
      <c r="J80" s="3">
        <v>5</v>
      </c>
      <c r="K80" s="3">
        <v>0</v>
      </c>
      <c r="L80" s="3">
        <v>0</v>
      </c>
      <c r="M80" s="3">
        <v>0</v>
      </c>
      <c r="N80" s="3" t="s">
        <v>229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1</v>
      </c>
      <c r="U80" s="3">
        <v>2</v>
      </c>
      <c r="V80" s="3">
        <v>4</v>
      </c>
      <c r="W80" s="3" t="s">
        <v>230</v>
      </c>
      <c r="X80" s="3">
        <v>99.6</v>
      </c>
      <c r="Y80" s="3">
        <v>99.6</v>
      </c>
      <c r="Z80" s="3">
        <v>99.6</v>
      </c>
      <c r="AA80" s="3">
        <v>0</v>
      </c>
      <c r="AB80" s="3" t="s">
        <v>240</v>
      </c>
      <c r="AC80" s="3">
        <v>5</v>
      </c>
      <c r="AD80" s="3">
        <v>99.6</v>
      </c>
      <c r="AE80" s="3">
        <v>0</v>
      </c>
      <c r="AF80" s="3">
        <v>0</v>
      </c>
      <c r="AG80" s="3">
        <v>0</v>
      </c>
      <c r="AH80" s="3">
        <v>0.516129032258064</v>
      </c>
      <c r="AI80" s="3" t="s">
        <v>506</v>
      </c>
      <c r="AJ80" s="3" t="s">
        <v>233</v>
      </c>
    </row>
    <row r="81" spans="1:36">
      <c r="A81" s="6">
        <v>43277</v>
      </c>
      <c r="B81" s="3" t="s">
        <v>507</v>
      </c>
      <c r="C81" s="3" t="s">
        <v>70</v>
      </c>
      <c r="D81" s="3" t="s">
        <v>70</v>
      </c>
      <c r="E81" s="3" t="s">
        <v>71</v>
      </c>
      <c r="F81" s="3" t="s">
        <v>228</v>
      </c>
      <c r="G81" s="3">
        <v>1</v>
      </c>
      <c r="H81" s="3">
        <v>0</v>
      </c>
      <c r="I81" s="3">
        <v>1</v>
      </c>
      <c r="J81" s="3">
        <v>0</v>
      </c>
      <c r="K81" s="3">
        <v>0</v>
      </c>
      <c r="L81" s="3">
        <v>0</v>
      </c>
      <c r="M81" s="3">
        <v>0</v>
      </c>
      <c r="N81" s="3" t="s">
        <v>229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1</v>
      </c>
      <c r="U81" s="3">
        <v>3</v>
      </c>
      <c r="V81" s="3">
        <v>29</v>
      </c>
      <c r="W81" s="3"/>
      <c r="X81" s="3"/>
      <c r="Y81" s="3"/>
      <c r="Z81" s="3">
        <v>32.99</v>
      </c>
      <c r="AA81" s="3">
        <v>-1</v>
      </c>
      <c r="AB81" s="3" t="s">
        <v>508</v>
      </c>
      <c r="AC81" s="3">
        <v>0</v>
      </c>
      <c r="AD81" s="3">
        <v>0</v>
      </c>
      <c r="AE81" s="3">
        <v>0</v>
      </c>
      <c r="AF81" s="3">
        <v>0</v>
      </c>
      <c r="AG81" s="3">
        <v>0</v>
      </c>
      <c r="AH81" s="3">
        <v>2.71428571428571</v>
      </c>
      <c r="AI81" s="3" t="s">
        <v>509</v>
      </c>
      <c r="AJ81" s="3" t="s">
        <v>233</v>
      </c>
    </row>
    <row r="82" spans="1:36">
      <c r="A82" s="6">
        <v>43277</v>
      </c>
      <c r="B82" s="3" t="s">
        <v>24</v>
      </c>
      <c r="C82" s="3" t="s">
        <v>25</v>
      </c>
      <c r="D82" s="3" t="s">
        <v>26</v>
      </c>
      <c r="E82" s="3" t="s">
        <v>27</v>
      </c>
      <c r="F82" s="3" t="s">
        <v>228</v>
      </c>
      <c r="G82" s="3">
        <v>5</v>
      </c>
      <c r="H82" s="3">
        <v>0</v>
      </c>
      <c r="I82" s="3">
        <v>5</v>
      </c>
      <c r="J82" s="3">
        <v>0</v>
      </c>
      <c r="K82" s="3">
        <v>0</v>
      </c>
      <c r="L82" s="3">
        <v>0</v>
      </c>
      <c r="M82" s="3">
        <v>0</v>
      </c>
      <c r="N82" s="3" t="s">
        <v>229</v>
      </c>
      <c r="O82" s="3">
        <v>0</v>
      </c>
      <c r="P82" s="3">
        <v>0</v>
      </c>
      <c r="Q82" s="3">
        <v>0</v>
      </c>
      <c r="R82" s="3">
        <v>0</v>
      </c>
      <c r="S82" s="3">
        <v>2</v>
      </c>
      <c r="T82" s="3">
        <v>12</v>
      </c>
      <c r="U82" s="3">
        <v>26</v>
      </c>
      <c r="V82" s="3">
        <v>39</v>
      </c>
      <c r="W82" s="3" t="s">
        <v>234</v>
      </c>
      <c r="X82" s="3">
        <v>89.99</v>
      </c>
      <c r="Y82" s="3">
        <v>89.99</v>
      </c>
      <c r="Z82" s="3">
        <v>89.99</v>
      </c>
      <c r="AA82" s="3">
        <v>0</v>
      </c>
      <c r="AB82" s="3" t="s">
        <v>235</v>
      </c>
      <c r="AC82" s="3">
        <v>7</v>
      </c>
      <c r="AD82" s="3">
        <v>89.99</v>
      </c>
      <c r="AE82" s="3">
        <v>0</v>
      </c>
      <c r="AF82" s="3">
        <v>0</v>
      </c>
      <c r="AG82" s="3">
        <v>0</v>
      </c>
      <c r="AH82" s="3">
        <v>5.37931034482758</v>
      </c>
      <c r="AI82" s="3" t="s">
        <v>510</v>
      </c>
      <c r="AJ82" s="3" t="s">
        <v>233</v>
      </c>
    </row>
    <row r="83" spans="1:36">
      <c r="A83" s="6">
        <v>43277</v>
      </c>
      <c r="B83" s="3" t="s">
        <v>511</v>
      </c>
      <c r="C83" s="3" t="s">
        <v>323</v>
      </c>
      <c r="D83" s="3" t="s">
        <v>323</v>
      </c>
      <c r="E83" s="3" t="s">
        <v>324</v>
      </c>
      <c r="F83" s="3" t="s">
        <v>228</v>
      </c>
      <c r="G83" s="3">
        <v>3</v>
      </c>
      <c r="H83" s="3">
        <v>0</v>
      </c>
      <c r="I83" s="3">
        <v>0</v>
      </c>
      <c r="J83" s="3">
        <v>3</v>
      </c>
      <c r="K83" s="3">
        <v>0</v>
      </c>
      <c r="L83" s="3">
        <v>0</v>
      </c>
      <c r="M83" s="3">
        <v>0</v>
      </c>
      <c r="N83" s="3" t="s">
        <v>229</v>
      </c>
      <c r="O83" s="3">
        <v>3</v>
      </c>
      <c r="P83" s="3">
        <v>1.83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7</v>
      </c>
      <c r="W83" s="3" t="s">
        <v>230</v>
      </c>
      <c r="X83" s="3">
        <v>32.99</v>
      </c>
      <c r="Y83" s="3">
        <v>32.99</v>
      </c>
      <c r="Z83" s="3">
        <v>32.99</v>
      </c>
      <c r="AA83" s="3">
        <v>0</v>
      </c>
      <c r="AB83" s="3" t="s">
        <v>231</v>
      </c>
      <c r="AC83" s="3">
        <v>1</v>
      </c>
      <c r="AD83" s="3">
        <v>29.92</v>
      </c>
      <c r="AE83" s="3">
        <v>91</v>
      </c>
      <c r="AF83" s="3">
        <v>0</v>
      </c>
      <c r="AG83" s="3">
        <v>1.025478</v>
      </c>
      <c r="AH83" s="3">
        <v>0.717948717948718</v>
      </c>
      <c r="AI83" s="3" t="s">
        <v>325</v>
      </c>
      <c r="AJ83" s="3" t="s">
        <v>233</v>
      </c>
    </row>
    <row r="84" spans="1:36">
      <c r="A84" s="6">
        <v>43277</v>
      </c>
      <c r="B84" s="3" t="s">
        <v>512</v>
      </c>
      <c r="C84" s="3" t="s">
        <v>513</v>
      </c>
      <c r="D84" s="3" t="s">
        <v>514</v>
      </c>
      <c r="E84" s="3" t="s">
        <v>515</v>
      </c>
      <c r="F84" s="3" t="s">
        <v>228</v>
      </c>
      <c r="G84" s="3">
        <v>7</v>
      </c>
      <c r="H84" s="3">
        <v>0</v>
      </c>
      <c r="I84" s="3">
        <v>0</v>
      </c>
      <c r="J84" s="3">
        <v>7</v>
      </c>
      <c r="K84" s="3">
        <v>0</v>
      </c>
      <c r="L84" s="3">
        <v>0</v>
      </c>
      <c r="M84" s="3">
        <v>0</v>
      </c>
      <c r="N84" s="3" t="s">
        <v>229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1</v>
      </c>
      <c r="U84" s="3">
        <v>2</v>
      </c>
      <c r="V84" s="3">
        <v>3</v>
      </c>
      <c r="W84" s="3" t="s">
        <v>234</v>
      </c>
      <c r="X84" s="3">
        <v>89.99</v>
      </c>
      <c r="Y84" s="3">
        <v>89.99</v>
      </c>
      <c r="Z84" s="3">
        <v>89.99</v>
      </c>
      <c r="AA84" s="3">
        <v>0</v>
      </c>
      <c r="AB84" s="3" t="s">
        <v>235</v>
      </c>
      <c r="AC84" s="3">
        <v>7</v>
      </c>
      <c r="AD84" s="3">
        <v>89.99</v>
      </c>
      <c r="AE84" s="3">
        <v>0</v>
      </c>
      <c r="AF84" s="3">
        <v>0</v>
      </c>
      <c r="AG84" s="3">
        <v>0</v>
      </c>
      <c r="AH84" s="3">
        <v>0.352941176470588</v>
      </c>
      <c r="AI84" s="3" t="s">
        <v>516</v>
      </c>
      <c r="AJ84" s="3" t="s">
        <v>233</v>
      </c>
    </row>
    <row r="85" spans="1:36">
      <c r="A85" s="6">
        <v>43277</v>
      </c>
      <c r="B85" s="3" t="s">
        <v>517</v>
      </c>
      <c r="C85" s="3" t="s">
        <v>518</v>
      </c>
      <c r="D85" s="3" t="s">
        <v>519</v>
      </c>
      <c r="E85" s="3" t="s">
        <v>520</v>
      </c>
      <c r="F85" s="3" t="s">
        <v>228</v>
      </c>
      <c r="G85" s="3">
        <v>16</v>
      </c>
      <c r="H85" s="3">
        <v>0</v>
      </c>
      <c r="I85" s="3">
        <v>16</v>
      </c>
      <c r="J85" s="3">
        <v>0</v>
      </c>
      <c r="K85" s="3">
        <v>0</v>
      </c>
      <c r="L85" s="3">
        <v>0</v>
      </c>
      <c r="M85" s="3">
        <v>0</v>
      </c>
      <c r="N85" s="3" t="s">
        <v>229</v>
      </c>
      <c r="O85" s="3">
        <v>0</v>
      </c>
      <c r="P85" s="3">
        <v>0</v>
      </c>
      <c r="Q85" s="3">
        <v>0</v>
      </c>
      <c r="R85" s="3">
        <v>0</v>
      </c>
      <c r="S85" s="3">
        <v>2</v>
      </c>
      <c r="T85" s="3">
        <v>12</v>
      </c>
      <c r="U85" s="3">
        <v>20</v>
      </c>
      <c r="V85" s="3">
        <v>24</v>
      </c>
      <c r="W85" s="3"/>
      <c r="X85" s="3">
        <v>49.9</v>
      </c>
      <c r="Y85" s="3">
        <v>21.99</v>
      </c>
      <c r="Z85" s="3">
        <v>21.99</v>
      </c>
      <c r="AA85" s="3">
        <v>0</v>
      </c>
      <c r="AB85" s="3" t="s">
        <v>235</v>
      </c>
      <c r="AC85" s="3">
        <v>7</v>
      </c>
      <c r="AD85" s="3">
        <v>21.99</v>
      </c>
      <c r="AE85" s="3">
        <v>0</v>
      </c>
      <c r="AF85" s="3">
        <v>0</v>
      </c>
      <c r="AG85" s="3">
        <v>0</v>
      </c>
      <c r="AH85" s="3">
        <v>2.46153846153846</v>
      </c>
      <c r="AI85" s="3" t="s">
        <v>521</v>
      </c>
      <c r="AJ85" s="3" t="s">
        <v>233</v>
      </c>
    </row>
    <row r="86" spans="1:36">
      <c r="A86" s="6">
        <v>43277</v>
      </c>
      <c r="B86" s="3" t="s">
        <v>522</v>
      </c>
      <c r="C86" s="3" t="s">
        <v>523</v>
      </c>
      <c r="D86" s="3" t="s">
        <v>524</v>
      </c>
      <c r="E86" s="3" t="s">
        <v>525</v>
      </c>
      <c r="F86" s="3" t="s">
        <v>228</v>
      </c>
      <c r="G86" s="3">
        <v>8</v>
      </c>
      <c r="H86" s="3">
        <v>0</v>
      </c>
      <c r="I86" s="3">
        <v>8</v>
      </c>
      <c r="J86" s="3">
        <v>0</v>
      </c>
      <c r="K86" s="3">
        <v>0</v>
      </c>
      <c r="L86" s="3">
        <v>0</v>
      </c>
      <c r="M86" s="3">
        <v>0</v>
      </c>
      <c r="N86" s="3" t="s">
        <v>229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1</v>
      </c>
      <c r="U86" s="3">
        <v>8</v>
      </c>
      <c r="V86" s="3">
        <v>17</v>
      </c>
      <c r="W86" s="3" t="s">
        <v>230</v>
      </c>
      <c r="X86" s="3">
        <v>99.99</v>
      </c>
      <c r="Y86" s="3">
        <v>99.99</v>
      </c>
      <c r="Z86" s="3">
        <v>99.99</v>
      </c>
      <c r="AA86" s="3">
        <v>0</v>
      </c>
      <c r="AB86" s="3" t="s">
        <v>231</v>
      </c>
      <c r="AC86" s="3">
        <v>8</v>
      </c>
      <c r="AD86" s="3">
        <v>99.99</v>
      </c>
      <c r="AE86" s="3">
        <v>0</v>
      </c>
      <c r="AF86" s="3">
        <v>0</v>
      </c>
      <c r="AG86" s="3">
        <v>0</v>
      </c>
      <c r="AH86" s="3">
        <v>2.61538461538461</v>
      </c>
      <c r="AI86" s="3" t="s">
        <v>526</v>
      </c>
      <c r="AJ86" s="3" t="s">
        <v>282</v>
      </c>
    </row>
    <row r="87" spans="1:36">
      <c r="A87" s="6">
        <v>43277</v>
      </c>
      <c r="B87" s="3" t="s">
        <v>174</v>
      </c>
      <c r="C87" s="3" t="s">
        <v>175</v>
      </c>
      <c r="D87" s="3" t="s">
        <v>175</v>
      </c>
      <c r="E87" s="3" t="s">
        <v>176</v>
      </c>
      <c r="F87" s="3" t="s">
        <v>228</v>
      </c>
      <c r="G87" s="3">
        <v>5</v>
      </c>
      <c r="H87" s="3">
        <v>0</v>
      </c>
      <c r="I87" s="3">
        <v>0</v>
      </c>
      <c r="J87" s="3">
        <v>0</v>
      </c>
      <c r="K87" s="3">
        <v>5</v>
      </c>
      <c r="L87" s="3">
        <v>0</v>
      </c>
      <c r="M87" s="3">
        <v>0</v>
      </c>
      <c r="N87" s="3" t="s">
        <v>229</v>
      </c>
      <c r="O87" s="3">
        <v>5</v>
      </c>
      <c r="P87" s="3">
        <v>3</v>
      </c>
      <c r="Q87" s="3">
        <v>0</v>
      </c>
      <c r="R87" s="3">
        <v>0</v>
      </c>
      <c r="S87" s="3">
        <v>0</v>
      </c>
      <c r="T87" s="3">
        <v>1</v>
      </c>
      <c r="U87" s="3">
        <v>3</v>
      </c>
      <c r="V87" s="3">
        <v>5</v>
      </c>
      <c r="W87" s="3" t="s">
        <v>230</v>
      </c>
      <c r="X87" s="3">
        <v>19.99</v>
      </c>
      <c r="Y87" s="3">
        <v>19.99</v>
      </c>
      <c r="Z87" s="3">
        <v>19.99</v>
      </c>
      <c r="AA87" s="3">
        <v>0</v>
      </c>
      <c r="AB87" s="3" t="s">
        <v>231</v>
      </c>
      <c r="AC87" s="3">
        <v>0</v>
      </c>
      <c r="AD87" s="3">
        <v>15.99</v>
      </c>
      <c r="AE87" s="3">
        <v>245</v>
      </c>
      <c r="AF87" s="3">
        <v>0</v>
      </c>
      <c r="AG87" s="3">
        <v>17.278127</v>
      </c>
      <c r="AH87" s="3">
        <v>0.689655172413793</v>
      </c>
      <c r="AI87" s="3" t="s">
        <v>527</v>
      </c>
      <c r="AJ87" s="3" t="s">
        <v>478</v>
      </c>
    </row>
    <row r="88" spans="1:36">
      <c r="A88" s="6">
        <v>43277</v>
      </c>
      <c r="B88" s="3" t="s">
        <v>528</v>
      </c>
      <c r="C88" s="3" t="s">
        <v>529</v>
      </c>
      <c r="D88" s="3" t="s">
        <v>530</v>
      </c>
      <c r="E88" s="3" t="s">
        <v>531</v>
      </c>
      <c r="F88" s="3" t="s">
        <v>228</v>
      </c>
      <c r="G88" s="3">
        <v>3</v>
      </c>
      <c r="H88" s="3">
        <v>0</v>
      </c>
      <c r="I88" s="3">
        <v>3</v>
      </c>
      <c r="J88" s="3">
        <v>0</v>
      </c>
      <c r="K88" s="3">
        <v>0</v>
      </c>
      <c r="L88" s="3">
        <v>0</v>
      </c>
      <c r="M88" s="3">
        <v>0</v>
      </c>
      <c r="N88" s="3" t="s">
        <v>229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230</v>
      </c>
      <c r="X88" s="3">
        <v>89.99</v>
      </c>
      <c r="Y88" s="3">
        <v>89.99</v>
      </c>
      <c r="Z88" s="3">
        <v>89.99</v>
      </c>
      <c r="AA88" s="3">
        <v>0</v>
      </c>
      <c r="AB88" s="3" t="s">
        <v>231</v>
      </c>
      <c r="AC88" s="3">
        <v>3</v>
      </c>
      <c r="AD88" s="3">
        <v>89.99</v>
      </c>
      <c r="AE88" s="3">
        <v>0</v>
      </c>
      <c r="AF88" s="3">
        <v>0</v>
      </c>
      <c r="AG88" s="3">
        <v>0</v>
      </c>
      <c r="AH88" s="3">
        <v>0</v>
      </c>
      <c r="AI88" s="3" t="s">
        <v>532</v>
      </c>
      <c r="AJ88" s="3" t="s">
        <v>233</v>
      </c>
    </row>
    <row r="89" spans="1:36">
      <c r="A89" s="6">
        <v>43277</v>
      </c>
      <c r="B89" s="3" t="s">
        <v>151</v>
      </c>
      <c r="C89" s="3" t="s">
        <v>152</v>
      </c>
      <c r="D89" s="3" t="s">
        <v>153</v>
      </c>
      <c r="E89" s="3" t="s">
        <v>154</v>
      </c>
      <c r="F89" s="3" t="s">
        <v>228</v>
      </c>
      <c r="G89" s="3">
        <v>14</v>
      </c>
      <c r="H89" s="3">
        <v>0</v>
      </c>
      <c r="I89" s="3">
        <v>14</v>
      </c>
      <c r="J89" s="3">
        <v>0</v>
      </c>
      <c r="K89" s="3">
        <v>0</v>
      </c>
      <c r="L89" s="3">
        <v>0</v>
      </c>
      <c r="M89" s="3">
        <v>0</v>
      </c>
      <c r="N89" s="3" t="s">
        <v>229</v>
      </c>
      <c r="O89" s="3">
        <v>0</v>
      </c>
      <c r="P89" s="3">
        <v>0</v>
      </c>
      <c r="Q89" s="3">
        <v>0</v>
      </c>
      <c r="R89" s="3">
        <v>0</v>
      </c>
      <c r="S89" s="3">
        <v>27</v>
      </c>
      <c r="T89" s="3">
        <v>71</v>
      </c>
      <c r="U89" s="3">
        <v>169</v>
      </c>
      <c r="V89" s="3">
        <v>281</v>
      </c>
      <c r="W89" s="3" t="s">
        <v>234</v>
      </c>
      <c r="X89" s="3">
        <v>169.99</v>
      </c>
      <c r="Y89" s="3">
        <v>98.99</v>
      </c>
      <c r="Z89" s="3">
        <v>98.99</v>
      </c>
      <c r="AA89" s="3">
        <v>0</v>
      </c>
      <c r="AB89" s="3" t="s">
        <v>235</v>
      </c>
      <c r="AC89" s="3">
        <v>24</v>
      </c>
      <c r="AD89" s="3">
        <v>98.99</v>
      </c>
      <c r="AE89" s="3">
        <v>0</v>
      </c>
      <c r="AF89" s="3">
        <v>0</v>
      </c>
      <c r="AG89" s="3">
        <v>0</v>
      </c>
      <c r="AH89" s="3">
        <v>8.8503937007874</v>
      </c>
      <c r="AI89" s="3" t="s">
        <v>533</v>
      </c>
      <c r="AJ89" s="3" t="s">
        <v>282</v>
      </c>
    </row>
    <row r="90" spans="1:36">
      <c r="A90" s="6">
        <v>43277</v>
      </c>
      <c r="B90" s="3" t="s">
        <v>534</v>
      </c>
      <c r="C90" s="3" t="s">
        <v>535</v>
      </c>
      <c r="D90" s="3" t="s">
        <v>536</v>
      </c>
      <c r="E90" s="3" t="s">
        <v>537</v>
      </c>
      <c r="F90" s="3" t="s">
        <v>228</v>
      </c>
      <c r="G90" s="3">
        <v>9</v>
      </c>
      <c r="H90" s="3">
        <v>0</v>
      </c>
      <c r="I90" s="3">
        <v>9</v>
      </c>
      <c r="J90" s="3">
        <v>0</v>
      </c>
      <c r="K90" s="3">
        <v>0</v>
      </c>
      <c r="L90" s="3">
        <v>0</v>
      </c>
      <c r="M90" s="3">
        <v>0</v>
      </c>
      <c r="N90" s="3" t="s">
        <v>229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1</v>
      </c>
      <c r="U90" s="3">
        <v>1</v>
      </c>
      <c r="V90" s="3">
        <v>1</v>
      </c>
      <c r="W90" s="3" t="s">
        <v>230</v>
      </c>
      <c r="X90" s="3">
        <v>21.99</v>
      </c>
      <c r="Y90" s="3">
        <v>21.99</v>
      </c>
      <c r="Z90" s="3">
        <v>21.99</v>
      </c>
      <c r="AA90" s="3">
        <v>0</v>
      </c>
      <c r="AB90" s="3" t="s">
        <v>231</v>
      </c>
      <c r="AC90" s="3">
        <v>9</v>
      </c>
      <c r="AD90" s="3">
        <v>21.99</v>
      </c>
      <c r="AE90" s="3">
        <v>0</v>
      </c>
      <c r="AF90" s="3">
        <v>0</v>
      </c>
      <c r="AG90" s="3">
        <v>0</v>
      </c>
      <c r="AH90" s="3">
        <v>1.6</v>
      </c>
      <c r="AI90" s="3" t="s">
        <v>538</v>
      </c>
      <c r="AJ90" s="3" t="s">
        <v>233</v>
      </c>
    </row>
    <row r="91" spans="1:36">
      <c r="A91" s="6">
        <v>43277</v>
      </c>
      <c r="B91" s="3" t="s">
        <v>539</v>
      </c>
      <c r="C91" s="3" t="s">
        <v>540</v>
      </c>
      <c r="D91" s="3" t="s">
        <v>541</v>
      </c>
      <c r="E91" s="3" t="s">
        <v>542</v>
      </c>
      <c r="F91" s="3" t="s">
        <v>228</v>
      </c>
      <c r="G91" s="3">
        <v>17</v>
      </c>
      <c r="H91" s="3">
        <v>0</v>
      </c>
      <c r="I91" s="3">
        <v>10</v>
      </c>
      <c r="J91" s="3">
        <v>7</v>
      </c>
      <c r="K91" s="3">
        <v>0</v>
      </c>
      <c r="L91" s="3">
        <v>0</v>
      </c>
      <c r="M91" s="3">
        <v>0</v>
      </c>
      <c r="N91" s="3" t="s">
        <v>229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2</v>
      </c>
      <c r="U91" s="3">
        <v>3</v>
      </c>
      <c r="V91" s="3">
        <v>7</v>
      </c>
      <c r="W91" s="3" t="s">
        <v>230</v>
      </c>
      <c r="X91" s="3">
        <v>86.9</v>
      </c>
      <c r="Y91" s="3">
        <v>86.9</v>
      </c>
      <c r="Z91" s="3">
        <v>86.9</v>
      </c>
      <c r="AA91" s="3">
        <v>0</v>
      </c>
      <c r="AB91" s="3" t="s">
        <v>231</v>
      </c>
      <c r="AC91" s="3">
        <v>17</v>
      </c>
      <c r="AD91" s="3">
        <v>86.9</v>
      </c>
      <c r="AE91" s="3">
        <v>0</v>
      </c>
      <c r="AF91" s="3">
        <v>0</v>
      </c>
      <c r="AG91" s="3">
        <v>0</v>
      </c>
      <c r="AH91" s="3">
        <v>0.4</v>
      </c>
      <c r="AI91" s="3" t="s">
        <v>543</v>
      </c>
      <c r="AJ91" s="3" t="s">
        <v>233</v>
      </c>
    </row>
    <row r="92" spans="1:36">
      <c r="A92" s="6">
        <v>43277</v>
      </c>
      <c r="B92" s="3" t="s">
        <v>167</v>
      </c>
      <c r="C92" s="3" t="s">
        <v>168</v>
      </c>
      <c r="D92" s="3" t="s">
        <v>169</v>
      </c>
      <c r="E92" s="3" t="s">
        <v>170</v>
      </c>
      <c r="F92" s="3" t="s">
        <v>228</v>
      </c>
      <c r="G92" s="3">
        <v>15</v>
      </c>
      <c r="H92" s="3">
        <v>0</v>
      </c>
      <c r="I92" s="3">
        <v>15</v>
      </c>
      <c r="J92" s="3">
        <v>0</v>
      </c>
      <c r="K92" s="3">
        <v>0</v>
      </c>
      <c r="L92" s="3">
        <v>0</v>
      </c>
      <c r="M92" s="3">
        <v>0</v>
      </c>
      <c r="N92" s="3" t="s">
        <v>229</v>
      </c>
      <c r="O92" s="3">
        <v>0</v>
      </c>
      <c r="P92" s="3">
        <v>0</v>
      </c>
      <c r="Q92" s="3">
        <v>0</v>
      </c>
      <c r="R92" s="3">
        <v>0</v>
      </c>
      <c r="S92" s="3">
        <v>3</v>
      </c>
      <c r="T92" s="3">
        <v>8</v>
      </c>
      <c r="U92" s="3">
        <v>12</v>
      </c>
      <c r="V92" s="3">
        <v>14</v>
      </c>
      <c r="W92" s="3" t="s">
        <v>230</v>
      </c>
      <c r="X92" s="3">
        <v>89.99</v>
      </c>
      <c r="Y92" s="3">
        <v>89.99</v>
      </c>
      <c r="Z92" s="3">
        <v>89.99</v>
      </c>
      <c r="AA92" s="3">
        <v>0</v>
      </c>
      <c r="AB92" s="3" t="s">
        <v>231</v>
      </c>
      <c r="AC92" s="3">
        <v>15</v>
      </c>
      <c r="AD92" s="3">
        <v>89.99</v>
      </c>
      <c r="AE92" s="3">
        <v>0</v>
      </c>
      <c r="AF92" s="3">
        <v>0</v>
      </c>
      <c r="AG92" s="3">
        <v>0</v>
      </c>
      <c r="AH92" s="3">
        <v>1.65714285714285</v>
      </c>
      <c r="AI92" s="3" t="s">
        <v>544</v>
      </c>
      <c r="AJ92" s="3" t="s">
        <v>233</v>
      </c>
    </row>
    <row r="93" spans="1:36">
      <c r="A93" s="6">
        <v>43277</v>
      </c>
      <c r="B93" s="3" t="s">
        <v>545</v>
      </c>
      <c r="C93" s="3" t="s">
        <v>546</v>
      </c>
      <c r="D93" s="3" t="s">
        <v>547</v>
      </c>
      <c r="E93" s="3" t="s">
        <v>548</v>
      </c>
      <c r="F93" s="3" t="s">
        <v>228</v>
      </c>
      <c r="G93" s="3">
        <v>5</v>
      </c>
      <c r="H93" s="3">
        <v>0</v>
      </c>
      <c r="I93" s="3">
        <v>5</v>
      </c>
      <c r="J93" s="3">
        <v>0</v>
      </c>
      <c r="K93" s="3">
        <v>0</v>
      </c>
      <c r="L93" s="3">
        <v>0</v>
      </c>
      <c r="M93" s="3">
        <v>0</v>
      </c>
      <c r="N93" s="3" t="s">
        <v>229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1</v>
      </c>
      <c r="V93" s="3">
        <v>5</v>
      </c>
      <c r="W93" s="3" t="s">
        <v>230</v>
      </c>
      <c r="X93" s="3">
        <v>99.99</v>
      </c>
      <c r="Y93" s="3">
        <v>99.99</v>
      </c>
      <c r="Z93" s="3">
        <v>99.99</v>
      </c>
      <c r="AA93" s="3">
        <v>0</v>
      </c>
      <c r="AB93" s="3" t="s">
        <v>231</v>
      </c>
      <c r="AC93" s="3">
        <v>5</v>
      </c>
      <c r="AD93" s="3">
        <v>99.99</v>
      </c>
      <c r="AE93" s="3">
        <v>0</v>
      </c>
      <c r="AF93" s="3">
        <v>0</v>
      </c>
      <c r="AG93" s="3">
        <v>0</v>
      </c>
      <c r="AH93" s="3">
        <v>1.66666666666666</v>
      </c>
      <c r="AI93" s="3" t="s">
        <v>549</v>
      </c>
      <c r="AJ93" s="3" t="s">
        <v>233</v>
      </c>
    </row>
    <row r="94" spans="1:36">
      <c r="A94" s="6">
        <v>43277</v>
      </c>
      <c r="B94" s="3" t="s">
        <v>550</v>
      </c>
      <c r="C94" s="3" t="s">
        <v>551</v>
      </c>
      <c r="D94" s="3" t="s">
        <v>552</v>
      </c>
      <c r="E94" s="3" t="s">
        <v>553</v>
      </c>
      <c r="F94" s="3" t="s">
        <v>228</v>
      </c>
      <c r="G94" s="3">
        <v>5</v>
      </c>
      <c r="H94" s="3">
        <v>0</v>
      </c>
      <c r="I94" s="3">
        <v>5</v>
      </c>
      <c r="J94" s="3">
        <v>0</v>
      </c>
      <c r="K94" s="3">
        <v>0</v>
      </c>
      <c r="L94" s="3">
        <v>0</v>
      </c>
      <c r="M94" s="3">
        <v>0</v>
      </c>
      <c r="N94" s="3" t="s">
        <v>229</v>
      </c>
      <c r="O94" s="3">
        <v>0</v>
      </c>
      <c r="P94" s="3">
        <v>0</v>
      </c>
      <c r="Q94" s="3">
        <v>0</v>
      </c>
      <c r="R94" s="3">
        <v>0</v>
      </c>
      <c r="S94" s="3">
        <v>1</v>
      </c>
      <c r="T94" s="3">
        <v>1</v>
      </c>
      <c r="U94" s="3">
        <v>5</v>
      </c>
      <c r="V94" s="3">
        <v>9</v>
      </c>
      <c r="W94" s="3" t="s">
        <v>230</v>
      </c>
      <c r="X94" s="3">
        <v>85.99</v>
      </c>
      <c r="Y94" s="3">
        <v>85.99</v>
      </c>
      <c r="Z94" s="3">
        <v>85.99</v>
      </c>
      <c r="AA94" s="3">
        <v>0</v>
      </c>
      <c r="AB94" s="3" t="s">
        <v>231</v>
      </c>
      <c r="AC94" s="3">
        <v>6</v>
      </c>
      <c r="AD94" s="3">
        <v>85.99</v>
      </c>
      <c r="AE94" s="3">
        <v>0</v>
      </c>
      <c r="AF94" s="3">
        <v>0</v>
      </c>
      <c r="AG94" s="3">
        <v>0</v>
      </c>
      <c r="AH94" s="3">
        <v>1.38461538461538</v>
      </c>
      <c r="AI94" s="3" t="s">
        <v>554</v>
      </c>
      <c r="AJ94" s="3" t="s">
        <v>233</v>
      </c>
    </row>
    <row r="95" spans="1:36">
      <c r="A95" s="6">
        <v>43277</v>
      </c>
      <c r="B95" s="3" t="s">
        <v>181</v>
      </c>
      <c r="C95" s="3" t="s">
        <v>182</v>
      </c>
      <c r="D95" s="3" t="s">
        <v>182</v>
      </c>
      <c r="E95" s="3" t="s">
        <v>183</v>
      </c>
      <c r="F95" s="3" t="s">
        <v>228</v>
      </c>
      <c r="G95" s="3">
        <v>27</v>
      </c>
      <c r="H95" s="3">
        <v>0</v>
      </c>
      <c r="I95" s="3">
        <v>2</v>
      </c>
      <c r="J95" s="3">
        <v>25</v>
      </c>
      <c r="K95" s="3">
        <v>0</v>
      </c>
      <c r="L95" s="3">
        <v>0</v>
      </c>
      <c r="M95" s="3">
        <v>0</v>
      </c>
      <c r="N95" s="3" t="s">
        <v>229</v>
      </c>
      <c r="O95" s="3">
        <v>24</v>
      </c>
      <c r="P95" s="3">
        <v>7.39</v>
      </c>
      <c r="Q95" s="3">
        <v>0</v>
      </c>
      <c r="R95" s="3">
        <v>0</v>
      </c>
      <c r="S95" s="3">
        <v>2</v>
      </c>
      <c r="T95" s="3">
        <v>14</v>
      </c>
      <c r="U95" s="3">
        <v>25</v>
      </c>
      <c r="V95" s="3">
        <v>44</v>
      </c>
      <c r="W95" s="3" t="s">
        <v>234</v>
      </c>
      <c r="X95" s="3">
        <v>21.99</v>
      </c>
      <c r="Y95" s="3">
        <v>21.99</v>
      </c>
      <c r="Z95" s="3">
        <v>21.99</v>
      </c>
      <c r="AA95" s="3">
        <v>0</v>
      </c>
      <c r="AB95" s="3" t="s">
        <v>235</v>
      </c>
      <c r="AC95" s="3">
        <v>30</v>
      </c>
      <c r="AD95" s="3">
        <v>21.99</v>
      </c>
      <c r="AE95" s="3">
        <v>0</v>
      </c>
      <c r="AF95" s="3">
        <v>0</v>
      </c>
      <c r="AG95" s="3">
        <v>0</v>
      </c>
      <c r="AH95" s="3">
        <v>0.911917098445595</v>
      </c>
      <c r="AI95" s="3" t="s">
        <v>555</v>
      </c>
      <c r="AJ95" s="3" t="s">
        <v>233</v>
      </c>
    </row>
    <row r="96" spans="1:36">
      <c r="A96" s="6">
        <v>43277</v>
      </c>
      <c r="B96" s="3" t="s">
        <v>556</v>
      </c>
      <c r="C96" s="3" t="s">
        <v>557</v>
      </c>
      <c r="D96" s="3" t="s">
        <v>558</v>
      </c>
      <c r="E96" s="3" t="s">
        <v>559</v>
      </c>
      <c r="F96" s="3" t="s">
        <v>228</v>
      </c>
      <c r="G96" s="3">
        <v>8</v>
      </c>
      <c r="H96" s="3">
        <v>0</v>
      </c>
      <c r="I96" s="3">
        <v>8</v>
      </c>
      <c r="J96" s="3">
        <v>0</v>
      </c>
      <c r="K96" s="3">
        <v>0</v>
      </c>
      <c r="L96" s="3">
        <v>0</v>
      </c>
      <c r="M96" s="3">
        <v>0</v>
      </c>
      <c r="N96" s="3" t="s">
        <v>229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2</v>
      </c>
      <c r="U96" s="3">
        <v>4</v>
      </c>
      <c r="V96" s="3">
        <v>7</v>
      </c>
      <c r="W96" s="3" t="s">
        <v>230</v>
      </c>
      <c r="X96" s="3">
        <v>79.99</v>
      </c>
      <c r="Y96" s="3">
        <v>79.99</v>
      </c>
      <c r="Z96" s="3">
        <v>79.99</v>
      </c>
      <c r="AA96" s="3">
        <v>0</v>
      </c>
      <c r="AB96" s="3" t="s">
        <v>231</v>
      </c>
      <c r="AC96" s="3">
        <v>8</v>
      </c>
      <c r="AD96" s="3">
        <v>79.99</v>
      </c>
      <c r="AE96" s="3">
        <v>0</v>
      </c>
      <c r="AF96" s="3">
        <v>0</v>
      </c>
      <c r="AG96" s="3">
        <v>0</v>
      </c>
      <c r="AH96" s="3">
        <v>1.4</v>
      </c>
      <c r="AI96" s="3" t="s">
        <v>560</v>
      </c>
      <c r="AJ96" s="3" t="s">
        <v>233</v>
      </c>
    </row>
    <row r="97" spans="1:36">
      <c r="A97" s="6">
        <v>43277</v>
      </c>
      <c r="B97" s="3" t="s">
        <v>561</v>
      </c>
      <c r="C97" s="3" t="s">
        <v>562</v>
      </c>
      <c r="D97" s="3" t="s">
        <v>563</v>
      </c>
      <c r="E97" s="3" t="s">
        <v>564</v>
      </c>
      <c r="F97" s="3" t="s">
        <v>228</v>
      </c>
      <c r="G97" s="3">
        <v>6</v>
      </c>
      <c r="H97" s="3">
        <v>0</v>
      </c>
      <c r="I97" s="3">
        <v>6</v>
      </c>
      <c r="J97" s="3">
        <v>0</v>
      </c>
      <c r="K97" s="3">
        <v>0</v>
      </c>
      <c r="L97" s="3">
        <v>0</v>
      </c>
      <c r="M97" s="3">
        <v>0</v>
      </c>
      <c r="N97" s="3" t="s">
        <v>229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2</v>
      </c>
      <c r="U97" s="3">
        <v>2</v>
      </c>
      <c r="V97" s="3">
        <v>2</v>
      </c>
      <c r="W97" s="3" t="s">
        <v>230</v>
      </c>
      <c r="X97" s="3">
        <v>179</v>
      </c>
      <c r="Y97" s="3">
        <v>89.99</v>
      </c>
      <c r="Z97" s="3">
        <v>89.99</v>
      </c>
      <c r="AA97" s="3">
        <v>0</v>
      </c>
      <c r="AB97" s="3" t="s">
        <v>240</v>
      </c>
      <c r="AC97" s="3">
        <v>6</v>
      </c>
      <c r="AD97" s="3">
        <v>89.99</v>
      </c>
      <c r="AE97" s="3">
        <v>0</v>
      </c>
      <c r="AF97" s="3">
        <v>0</v>
      </c>
      <c r="AG97" s="3">
        <v>0</v>
      </c>
      <c r="AH97" s="3">
        <v>0.272727272727272</v>
      </c>
      <c r="AI97" s="3" t="s">
        <v>353</v>
      </c>
      <c r="AJ97" s="3" t="s">
        <v>233</v>
      </c>
    </row>
    <row r="98" spans="1:36">
      <c r="A98" s="6">
        <v>43277</v>
      </c>
      <c r="B98" s="3" t="s">
        <v>565</v>
      </c>
      <c r="C98" s="3" t="s">
        <v>566</v>
      </c>
      <c r="D98" s="3" t="s">
        <v>567</v>
      </c>
      <c r="E98" s="3" t="s">
        <v>568</v>
      </c>
      <c r="F98" s="3" t="s">
        <v>228</v>
      </c>
      <c r="G98" s="3">
        <v>7</v>
      </c>
      <c r="H98" s="3">
        <v>0</v>
      </c>
      <c r="I98" s="3">
        <v>7</v>
      </c>
      <c r="J98" s="3">
        <v>0</v>
      </c>
      <c r="K98" s="3">
        <v>0</v>
      </c>
      <c r="L98" s="3">
        <v>0</v>
      </c>
      <c r="M98" s="3">
        <v>0</v>
      </c>
      <c r="N98" s="3" t="s">
        <v>229</v>
      </c>
      <c r="O98" s="3">
        <v>0</v>
      </c>
      <c r="P98" s="3">
        <v>0</v>
      </c>
      <c r="Q98" s="3">
        <v>0</v>
      </c>
      <c r="R98" s="3">
        <v>0</v>
      </c>
      <c r="S98" s="3">
        <v>1</v>
      </c>
      <c r="T98" s="3">
        <v>6</v>
      </c>
      <c r="U98" s="3">
        <v>8</v>
      </c>
      <c r="V98" s="3">
        <v>11</v>
      </c>
      <c r="W98" s="3" t="s">
        <v>230</v>
      </c>
      <c r="X98" s="3">
        <v>175</v>
      </c>
      <c r="Y98" s="3">
        <v>89.99</v>
      </c>
      <c r="Z98" s="3">
        <v>89.99</v>
      </c>
      <c r="AA98" s="3">
        <v>0</v>
      </c>
      <c r="AB98" s="3" t="s">
        <v>240</v>
      </c>
      <c r="AC98" s="3">
        <v>7</v>
      </c>
      <c r="AD98" s="3">
        <v>89.99</v>
      </c>
      <c r="AE98" s="3">
        <v>0</v>
      </c>
      <c r="AF98" s="3">
        <v>0</v>
      </c>
      <c r="AG98" s="3">
        <v>0</v>
      </c>
      <c r="AH98" s="3">
        <v>3.36842105263157</v>
      </c>
      <c r="AI98" s="3" t="s">
        <v>569</v>
      </c>
      <c r="AJ98" s="3" t="s">
        <v>233</v>
      </c>
    </row>
    <row r="99" spans="1:36">
      <c r="A99" s="6">
        <v>43277</v>
      </c>
      <c r="B99" s="3" t="s">
        <v>44</v>
      </c>
      <c r="C99" s="3" t="s">
        <v>45</v>
      </c>
      <c r="D99" s="3" t="s">
        <v>46</v>
      </c>
      <c r="E99" s="3" t="s">
        <v>47</v>
      </c>
      <c r="F99" s="3" t="s">
        <v>228</v>
      </c>
      <c r="G99" s="3">
        <v>4</v>
      </c>
      <c r="H99" s="3">
        <v>0</v>
      </c>
      <c r="I99" s="3">
        <v>4</v>
      </c>
      <c r="J99" s="3">
        <v>0</v>
      </c>
      <c r="K99" s="3">
        <v>0</v>
      </c>
      <c r="L99" s="3">
        <v>0</v>
      </c>
      <c r="M99" s="3">
        <v>0</v>
      </c>
      <c r="N99" s="3" t="s">
        <v>229</v>
      </c>
      <c r="O99" s="3">
        <v>0</v>
      </c>
      <c r="P99" s="3">
        <v>0</v>
      </c>
      <c r="Q99" s="3">
        <v>0</v>
      </c>
      <c r="R99" s="3">
        <v>0</v>
      </c>
      <c r="S99" s="3">
        <v>5</v>
      </c>
      <c r="T99" s="3">
        <v>14</v>
      </c>
      <c r="U99" s="3">
        <v>22</v>
      </c>
      <c r="V99" s="3">
        <v>25</v>
      </c>
      <c r="W99" s="3" t="s">
        <v>234</v>
      </c>
      <c r="X99" s="3">
        <v>89.99</v>
      </c>
      <c r="Y99" s="3">
        <v>89.99</v>
      </c>
      <c r="Z99" s="3">
        <v>89.99</v>
      </c>
      <c r="AA99" s="3">
        <v>0</v>
      </c>
      <c r="AB99" s="3" t="s">
        <v>235</v>
      </c>
      <c r="AC99" s="3">
        <v>5</v>
      </c>
      <c r="AD99" s="3">
        <v>89.99</v>
      </c>
      <c r="AE99" s="3">
        <v>0</v>
      </c>
      <c r="AF99" s="3">
        <v>0</v>
      </c>
      <c r="AG99" s="3">
        <v>0</v>
      </c>
      <c r="AH99" s="3">
        <v>4.34782608695652</v>
      </c>
      <c r="AI99" s="3" t="s">
        <v>570</v>
      </c>
      <c r="AJ99" s="3" t="s">
        <v>233</v>
      </c>
    </row>
    <row r="100" spans="1:36">
      <c r="A100" s="6">
        <v>43277</v>
      </c>
      <c r="B100" s="3" t="s">
        <v>571</v>
      </c>
      <c r="C100" s="3" t="s">
        <v>572</v>
      </c>
      <c r="D100" s="3" t="s">
        <v>573</v>
      </c>
      <c r="E100" s="3" t="s">
        <v>574</v>
      </c>
      <c r="F100" s="3" t="s">
        <v>228</v>
      </c>
      <c r="G100" s="3">
        <v>14</v>
      </c>
      <c r="H100" s="3">
        <v>0</v>
      </c>
      <c r="I100" s="3">
        <v>14</v>
      </c>
      <c r="J100" s="3">
        <v>0</v>
      </c>
      <c r="K100" s="3">
        <v>0</v>
      </c>
      <c r="L100" s="3">
        <v>0</v>
      </c>
      <c r="M100" s="3">
        <v>0</v>
      </c>
      <c r="N100" s="3" t="s">
        <v>229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9</v>
      </c>
      <c r="U100" s="3">
        <v>18</v>
      </c>
      <c r="V100" s="3">
        <v>19</v>
      </c>
      <c r="W100" s="3" t="s">
        <v>230</v>
      </c>
      <c r="X100" s="3">
        <v>89.99</v>
      </c>
      <c r="Y100" s="3">
        <v>89.99</v>
      </c>
      <c r="Z100" s="3">
        <v>89.99</v>
      </c>
      <c r="AA100" s="3">
        <v>0</v>
      </c>
      <c r="AB100" s="3" t="s">
        <v>231</v>
      </c>
      <c r="AC100" s="3">
        <v>14</v>
      </c>
      <c r="AD100" s="3">
        <v>89.99</v>
      </c>
      <c r="AE100" s="3">
        <v>0</v>
      </c>
      <c r="AF100" s="3">
        <v>0</v>
      </c>
      <c r="AG100" s="3">
        <v>0</v>
      </c>
      <c r="AH100" s="3">
        <v>2.08955223880597</v>
      </c>
      <c r="AI100" s="3" t="s">
        <v>575</v>
      </c>
      <c r="AJ100" s="3" t="s">
        <v>233</v>
      </c>
    </row>
    <row r="101" spans="1:36">
      <c r="A101" s="6">
        <v>43277</v>
      </c>
      <c r="B101" s="3" t="s">
        <v>576</v>
      </c>
      <c r="C101" s="3" t="s">
        <v>577</v>
      </c>
      <c r="D101" s="3" t="s">
        <v>578</v>
      </c>
      <c r="E101" s="3" t="s">
        <v>579</v>
      </c>
      <c r="F101" s="3" t="s">
        <v>228</v>
      </c>
      <c r="G101" s="3">
        <v>12</v>
      </c>
      <c r="H101" s="3">
        <v>0</v>
      </c>
      <c r="I101" s="3">
        <v>0</v>
      </c>
      <c r="J101" s="3">
        <v>12</v>
      </c>
      <c r="K101" s="3">
        <v>0</v>
      </c>
      <c r="L101" s="3">
        <v>0</v>
      </c>
      <c r="M101" s="3">
        <v>0</v>
      </c>
      <c r="N101" s="3" t="s">
        <v>229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1</v>
      </c>
      <c r="U101" s="3">
        <v>1</v>
      </c>
      <c r="V101" s="3">
        <v>3</v>
      </c>
      <c r="W101" s="3" t="s">
        <v>234</v>
      </c>
      <c r="X101" s="3">
        <v>79.99</v>
      </c>
      <c r="Y101" s="3">
        <v>79.99</v>
      </c>
      <c r="Z101" s="3">
        <v>79.99</v>
      </c>
      <c r="AA101" s="3">
        <v>0</v>
      </c>
      <c r="AB101" s="3" t="s">
        <v>235</v>
      </c>
      <c r="AC101" s="3">
        <v>12</v>
      </c>
      <c r="AD101" s="3">
        <v>79.99</v>
      </c>
      <c r="AE101" s="3">
        <v>0</v>
      </c>
      <c r="AF101" s="3">
        <v>0</v>
      </c>
      <c r="AG101" s="3">
        <v>0</v>
      </c>
      <c r="AH101" s="3">
        <v>0.222222222222222</v>
      </c>
      <c r="AI101" s="3" t="s">
        <v>580</v>
      </c>
      <c r="AJ101" s="3" t="s">
        <v>233</v>
      </c>
    </row>
    <row r="102" spans="1:36">
      <c r="A102" s="6">
        <v>43277</v>
      </c>
      <c r="B102" s="3" t="s">
        <v>12</v>
      </c>
      <c r="C102" s="3" t="s">
        <v>13</v>
      </c>
      <c r="D102" s="3" t="s">
        <v>14</v>
      </c>
      <c r="E102" s="3" t="s">
        <v>15</v>
      </c>
      <c r="F102" s="3" t="s">
        <v>228</v>
      </c>
      <c r="G102" s="3">
        <v>1</v>
      </c>
      <c r="H102" s="3">
        <v>0</v>
      </c>
      <c r="I102" s="3">
        <v>0</v>
      </c>
      <c r="J102" s="3">
        <v>1</v>
      </c>
      <c r="K102" s="3">
        <v>0</v>
      </c>
      <c r="L102" s="3">
        <v>0</v>
      </c>
      <c r="M102" s="3">
        <v>0</v>
      </c>
      <c r="N102" s="3" t="s">
        <v>229</v>
      </c>
      <c r="O102" s="3">
        <v>1</v>
      </c>
      <c r="P102" s="3">
        <v>0.06</v>
      </c>
      <c r="Q102" s="3">
        <v>0</v>
      </c>
      <c r="R102" s="3">
        <v>0</v>
      </c>
      <c r="S102" s="3">
        <v>1</v>
      </c>
      <c r="T102" s="3">
        <v>1</v>
      </c>
      <c r="U102" s="3">
        <v>1</v>
      </c>
      <c r="V102" s="3">
        <v>1</v>
      </c>
      <c r="W102" s="3" t="s">
        <v>230</v>
      </c>
      <c r="X102" s="3">
        <v>256</v>
      </c>
      <c r="Y102" s="3">
        <v>85.99</v>
      </c>
      <c r="Z102" s="3">
        <v>85.99</v>
      </c>
      <c r="AA102" s="3">
        <v>0</v>
      </c>
      <c r="AB102" s="3" t="s">
        <v>359</v>
      </c>
      <c r="AC102" s="3">
        <v>0</v>
      </c>
      <c r="AD102" s="3">
        <v>79.99</v>
      </c>
      <c r="AE102" s="3">
        <v>63</v>
      </c>
      <c r="AF102" s="3">
        <v>0</v>
      </c>
      <c r="AG102" s="3">
        <v>46.789152</v>
      </c>
      <c r="AH102" s="3">
        <v>0.210526315789473</v>
      </c>
      <c r="AI102" s="3" t="s">
        <v>350</v>
      </c>
      <c r="AJ102" s="3" t="s">
        <v>233</v>
      </c>
    </row>
    <row r="103" spans="1:36">
      <c r="A103" s="6">
        <v>43277</v>
      </c>
      <c r="B103" s="3" t="s">
        <v>581</v>
      </c>
      <c r="C103" s="3" t="s">
        <v>582</v>
      </c>
      <c r="D103" s="3" t="s">
        <v>583</v>
      </c>
      <c r="E103" s="3" t="s">
        <v>584</v>
      </c>
      <c r="F103" s="3" t="s">
        <v>228</v>
      </c>
      <c r="G103" s="3">
        <v>4</v>
      </c>
      <c r="H103" s="3">
        <v>0</v>
      </c>
      <c r="I103" s="3">
        <v>0</v>
      </c>
      <c r="J103" s="3">
        <v>4</v>
      </c>
      <c r="K103" s="3">
        <v>0</v>
      </c>
      <c r="L103" s="3">
        <v>0</v>
      </c>
      <c r="M103" s="3">
        <v>0</v>
      </c>
      <c r="N103" s="3" t="s">
        <v>229</v>
      </c>
      <c r="O103" s="3">
        <v>4</v>
      </c>
      <c r="P103" s="3">
        <v>0.03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1</v>
      </c>
      <c r="W103" s="3" t="s">
        <v>230</v>
      </c>
      <c r="X103" s="3">
        <v>32.99</v>
      </c>
      <c r="Y103" s="3">
        <v>32.99</v>
      </c>
      <c r="Z103" s="3">
        <v>32.99</v>
      </c>
      <c r="AA103" s="3">
        <v>0</v>
      </c>
      <c r="AB103" s="3" t="s">
        <v>359</v>
      </c>
      <c r="AC103" s="3">
        <v>0</v>
      </c>
      <c r="AD103" s="3">
        <v>30.47</v>
      </c>
      <c r="AE103" s="3">
        <v>224</v>
      </c>
      <c r="AF103" s="3">
        <v>0</v>
      </c>
      <c r="AG103" s="3">
        <v>65.679122</v>
      </c>
      <c r="AH103" s="3">
        <v>0.235294117647058</v>
      </c>
      <c r="AI103" s="3" t="s">
        <v>463</v>
      </c>
      <c r="AJ103" s="3" t="s">
        <v>233</v>
      </c>
    </row>
    <row r="104" spans="1:36">
      <c r="A104" s="6">
        <v>43277</v>
      </c>
      <c r="B104" s="3" t="s">
        <v>585</v>
      </c>
      <c r="C104" s="3" t="s">
        <v>586</v>
      </c>
      <c r="D104" s="3" t="s">
        <v>587</v>
      </c>
      <c r="E104" s="3" t="s">
        <v>588</v>
      </c>
      <c r="F104" s="3" t="s">
        <v>228</v>
      </c>
      <c r="G104" s="3">
        <v>10</v>
      </c>
      <c r="H104" s="3">
        <v>0</v>
      </c>
      <c r="I104" s="3">
        <v>10</v>
      </c>
      <c r="J104" s="3">
        <v>0</v>
      </c>
      <c r="K104" s="3">
        <v>0</v>
      </c>
      <c r="L104" s="3">
        <v>0</v>
      </c>
      <c r="M104" s="3">
        <v>0</v>
      </c>
      <c r="N104" s="3" t="s">
        <v>229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230</v>
      </c>
      <c r="X104" s="3">
        <v>89.99</v>
      </c>
      <c r="Y104" s="3">
        <v>89.99</v>
      </c>
      <c r="Z104" s="3">
        <v>89.99</v>
      </c>
      <c r="AA104" s="3">
        <v>0</v>
      </c>
      <c r="AB104" s="3" t="s">
        <v>231</v>
      </c>
      <c r="AC104" s="3">
        <v>0</v>
      </c>
      <c r="AD104" s="3">
        <v>81.99</v>
      </c>
      <c r="AE104" s="3">
        <v>63</v>
      </c>
      <c r="AF104" s="3">
        <v>0</v>
      </c>
      <c r="AG104" s="3">
        <v>358.698638</v>
      </c>
      <c r="AH104" s="3">
        <v>0.129032258064516</v>
      </c>
      <c r="AI104" s="3" t="s">
        <v>435</v>
      </c>
      <c r="AJ104" s="3" t="s">
        <v>233</v>
      </c>
    </row>
    <row r="105" spans="1:36">
      <c r="A105" s="6">
        <v>43277</v>
      </c>
      <c r="B105" s="3" t="s">
        <v>589</v>
      </c>
      <c r="C105" s="3" t="s">
        <v>590</v>
      </c>
      <c r="D105" s="3" t="s">
        <v>591</v>
      </c>
      <c r="E105" s="3" t="s">
        <v>592</v>
      </c>
      <c r="F105" s="3" t="s">
        <v>228</v>
      </c>
      <c r="G105" s="3">
        <v>5</v>
      </c>
      <c r="H105" s="3">
        <v>0</v>
      </c>
      <c r="I105" s="3">
        <v>5</v>
      </c>
      <c r="J105" s="3">
        <v>0</v>
      </c>
      <c r="K105" s="3">
        <v>0</v>
      </c>
      <c r="L105" s="3">
        <v>0</v>
      </c>
      <c r="M105" s="3">
        <v>0</v>
      </c>
      <c r="N105" s="3" t="s">
        <v>229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230</v>
      </c>
      <c r="X105" s="3">
        <v>94.99</v>
      </c>
      <c r="Y105" s="3">
        <v>94.99</v>
      </c>
      <c r="Z105" s="3">
        <v>94.99</v>
      </c>
      <c r="AA105" s="3">
        <v>0</v>
      </c>
      <c r="AB105" s="3" t="s">
        <v>231</v>
      </c>
      <c r="AC105" s="3">
        <v>5</v>
      </c>
      <c r="AD105" s="3">
        <v>94.99</v>
      </c>
      <c r="AE105" s="3">
        <v>0</v>
      </c>
      <c r="AF105" s="3">
        <v>0</v>
      </c>
      <c r="AG105" s="3">
        <v>0</v>
      </c>
      <c r="AH105" s="3">
        <v>0</v>
      </c>
      <c r="AI105" s="3" t="s">
        <v>593</v>
      </c>
      <c r="AJ105" s="3" t="s">
        <v>233</v>
      </c>
    </row>
    <row r="106" spans="1:36">
      <c r="A106" s="6">
        <v>43277</v>
      </c>
      <c r="B106" s="3" t="s">
        <v>594</v>
      </c>
      <c r="C106" s="3" t="s">
        <v>595</v>
      </c>
      <c r="D106" s="3" t="s">
        <v>596</v>
      </c>
      <c r="E106" s="3" t="s">
        <v>597</v>
      </c>
      <c r="F106" s="3" t="s">
        <v>228</v>
      </c>
      <c r="G106" s="3">
        <v>3</v>
      </c>
      <c r="H106" s="3">
        <v>0</v>
      </c>
      <c r="I106" s="3">
        <v>0</v>
      </c>
      <c r="J106" s="3">
        <v>3</v>
      </c>
      <c r="K106" s="3">
        <v>0</v>
      </c>
      <c r="L106" s="3">
        <v>0</v>
      </c>
      <c r="M106" s="3">
        <v>0</v>
      </c>
      <c r="N106" s="3" t="s">
        <v>229</v>
      </c>
      <c r="O106" s="3">
        <v>0</v>
      </c>
      <c r="P106" s="3">
        <v>0</v>
      </c>
      <c r="Q106" s="3">
        <v>0</v>
      </c>
      <c r="R106" s="3">
        <v>0</v>
      </c>
      <c r="S106" s="3">
        <v>1</v>
      </c>
      <c r="T106" s="3">
        <v>2</v>
      </c>
      <c r="U106" s="3">
        <v>2</v>
      </c>
      <c r="V106" s="3">
        <v>2</v>
      </c>
      <c r="W106" s="3" t="s">
        <v>230</v>
      </c>
      <c r="X106" s="3">
        <v>149</v>
      </c>
      <c r="Y106" s="3">
        <v>79.99</v>
      </c>
      <c r="Z106" s="3">
        <v>79.99</v>
      </c>
      <c r="AA106" s="3">
        <v>0</v>
      </c>
      <c r="AB106" s="3" t="s">
        <v>240</v>
      </c>
      <c r="AC106" s="3">
        <v>3</v>
      </c>
      <c r="AD106" s="3">
        <v>79.99</v>
      </c>
      <c r="AE106" s="3">
        <v>0</v>
      </c>
      <c r="AF106" s="3">
        <v>0</v>
      </c>
      <c r="AG106" s="3">
        <v>0</v>
      </c>
      <c r="AH106" s="3">
        <v>0.470588235294117</v>
      </c>
      <c r="AI106" s="3" t="s">
        <v>307</v>
      </c>
      <c r="AJ106" s="3" t="s">
        <v>233</v>
      </c>
    </row>
    <row r="107" spans="1:36">
      <c r="A107" s="6">
        <v>43277</v>
      </c>
      <c r="B107" s="3" t="s">
        <v>8</v>
      </c>
      <c r="C107" s="3" t="s">
        <v>9</v>
      </c>
      <c r="D107" s="3" t="s">
        <v>10</v>
      </c>
      <c r="E107" s="3" t="s">
        <v>11</v>
      </c>
      <c r="F107" s="3" t="s">
        <v>228</v>
      </c>
      <c r="G107" s="3">
        <v>11</v>
      </c>
      <c r="H107" s="3">
        <v>0</v>
      </c>
      <c r="I107" s="3">
        <v>11</v>
      </c>
      <c r="J107" s="3">
        <v>0</v>
      </c>
      <c r="K107" s="3">
        <v>0</v>
      </c>
      <c r="L107" s="3">
        <v>0</v>
      </c>
      <c r="M107" s="3">
        <v>0</v>
      </c>
      <c r="N107" s="3" t="s">
        <v>229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3</v>
      </c>
      <c r="U107" s="3">
        <v>8</v>
      </c>
      <c r="V107" s="3">
        <v>9</v>
      </c>
      <c r="W107" s="3" t="s">
        <v>230</v>
      </c>
      <c r="X107" s="3">
        <v>32.99</v>
      </c>
      <c r="Y107" s="3">
        <v>32.99</v>
      </c>
      <c r="Z107" s="3">
        <v>32.99</v>
      </c>
      <c r="AA107" s="3">
        <v>0</v>
      </c>
      <c r="AB107" s="3" t="s">
        <v>231</v>
      </c>
      <c r="AC107" s="3">
        <v>11</v>
      </c>
      <c r="AD107" s="3">
        <v>32.99</v>
      </c>
      <c r="AE107" s="3">
        <v>0</v>
      </c>
      <c r="AF107" s="3">
        <v>0</v>
      </c>
      <c r="AG107" s="3">
        <v>0</v>
      </c>
      <c r="AH107" s="3">
        <v>1.84615384615384</v>
      </c>
      <c r="AI107" s="3" t="s">
        <v>598</v>
      </c>
      <c r="AJ107" s="3" t="s">
        <v>233</v>
      </c>
    </row>
    <row r="108" spans="1:36">
      <c r="A108" s="6">
        <v>43277</v>
      </c>
      <c r="B108" s="3" t="s">
        <v>599</v>
      </c>
      <c r="C108" s="3" t="s">
        <v>600</v>
      </c>
      <c r="D108" s="3" t="s">
        <v>601</v>
      </c>
      <c r="E108" s="3" t="s">
        <v>602</v>
      </c>
      <c r="F108" s="3" t="s">
        <v>228</v>
      </c>
      <c r="G108" s="3">
        <v>3</v>
      </c>
      <c r="H108" s="3">
        <v>0</v>
      </c>
      <c r="I108" s="3">
        <v>0</v>
      </c>
      <c r="J108" s="3">
        <v>3</v>
      </c>
      <c r="K108" s="3">
        <v>0</v>
      </c>
      <c r="L108" s="3">
        <v>0</v>
      </c>
      <c r="M108" s="3">
        <v>0</v>
      </c>
      <c r="N108" s="3" t="s">
        <v>229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1</v>
      </c>
      <c r="U108" s="3">
        <v>2</v>
      </c>
      <c r="V108" s="3">
        <v>2</v>
      </c>
      <c r="W108" s="3" t="s">
        <v>230</v>
      </c>
      <c r="X108" s="3">
        <v>99.99</v>
      </c>
      <c r="Y108" s="3">
        <v>99.99</v>
      </c>
      <c r="Z108" s="3">
        <v>99.99</v>
      </c>
      <c r="AA108" s="3">
        <v>0</v>
      </c>
      <c r="AB108" s="3" t="s">
        <v>231</v>
      </c>
      <c r="AC108" s="3">
        <v>3</v>
      </c>
      <c r="AD108" s="3">
        <v>99.99</v>
      </c>
      <c r="AE108" s="3">
        <v>0</v>
      </c>
      <c r="AF108" s="3">
        <v>0</v>
      </c>
      <c r="AG108" s="3">
        <v>0</v>
      </c>
      <c r="AH108" s="3">
        <v>0.470588235294117</v>
      </c>
      <c r="AI108" s="3" t="s">
        <v>603</v>
      </c>
      <c r="AJ108" s="3" t="s">
        <v>233</v>
      </c>
    </row>
    <row r="109" spans="1:36">
      <c r="A109" s="6">
        <v>43277</v>
      </c>
      <c r="B109" s="3" t="s">
        <v>604</v>
      </c>
      <c r="C109" s="3" t="s">
        <v>605</v>
      </c>
      <c r="D109" s="3" t="s">
        <v>606</v>
      </c>
      <c r="E109" s="3" t="s">
        <v>607</v>
      </c>
      <c r="F109" s="3" t="s">
        <v>228</v>
      </c>
      <c r="G109" s="3">
        <v>5</v>
      </c>
      <c r="H109" s="3">
        <v>0</v>
      </c>
      <c r="I109" s="3">
        <v>5</v>
      </c>
      <c r="J109" s="3">
        <v>0</v>
      </c>
      <c r="K109" s="3">
        <v>0</v>
      </c>
      <c r="L109" s="3">
        <v>0</v>
      </c>
      <c r="M109" s="3">
        <v>0</v>
      </c>
      <c r="N109" s="3" t="s">
        <v>229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230</v>
      </c>
      <c r="X109" s="3">
        <v>79.99</v>
      </c>
      <c r="Y109" s="3">
        <v>79.99</v>
      </c>
      <c r="Z109" s="3">
        <v>79.99</v>
      </c>
      <c r="AA109" s="3">
        <v>0</v>
      </c>
      <c r="AB109" s="3" t="s">
        <v>231</v>
      </c>
      <c r="AC109" s="3">
        <v>0</v>
      </c>
      <c r="AD109" s="3">
        <v>63.99</v>
      </c>
      <c r="AE109" s="3">
        <v>63</v>
      </c>
      <c r="AF109" s="3">
        <v>0</v>
      </c>
      <c r="AG109" s="3">
        <v>62.183927</v>
      </c>
      <c r="AH109" s="3">
        <v>0</v>
      </c>
      <c r="AI109" s="3" t="s">
        <v>490</v>
      </c>
      <c r="AJ109" s="3" t="s">
        <v>233</v>
      </c>
    </row>
    <row r="110" spans="1:36">
      <c r="A110" s="6">
        <v>43277</v>
      </c>
      <c r="B110" s="3" t="s">
        <v>608</v>
      </c>
      <c r="C110" s="3" t="s">
        <v>609</v>
      </c>
      <c r="D110" s="3" t="s">
        <v>610</v>
      </c>
      <c r="E110" s="3" t="s">
        <v>611</v>
      </c>
      <c r="F110" s="3" t="s">
        <v>228</v>
      </c>
      <c r="G110" s="3">
        <v>6</v>
      </c>
      <c r="H110" s="3">
        <v>0</v>
      </c>
      <c r="I110" s="3">
        <v>0</v>
      </c>
      <c r="J110" s="3">
        <v>6</v>
      </c>
      <c r="K110" s="3">
        <v>0</v>
      </c>
      <c r="L110" s="3">
        <v>0</v>
      </c>
      <c r="M110" s="3">
        <v>0</v>
      </c>
      <c r="N110" s="3" t="s">
        <v>229</v>
      </c>
      <c r="O110" s="3">
        <v>0</v>
      </c>
      <c r="P110" s="3">
        <v>0</v>
      </c>
      <c r="Q110" s="3">
        <v>0</v>
      </c>
      <c r="R110" s="3">
        <v>0</v>
      </c>
      <c r="S110" s="3">
        <v>2</v>
      </c>
      <c r="T110" s="3">
        <v>4</v>
      </c>
      <c r="U110" s="3">
        <v>12</v>
      </c>
      <c r="V110" s="3">
        <v>12</v>
      </c>
      <c r="W110" s="3" t="s">
        <v>234</v>
      </c>
      <c r="X110" s="3">
        <v>168</v>
      </c>
      <c r="Y110" s="3">
        <v>79.99</v>
      </c>
      <c r="Z110" s="3">
        <v>79.99</v>
      </c>
      <c r="AA110" s="3">
        <v>0</v>
      </c>
      <c r="AB110" s="3" t="s">
        <v>359</v>
      </c>
      <c r="AC110" s="3">
        <v>1</v>
      </c>
      <c r="AD110" s="3">
        <v>63.99</v>
      </c>
      <c r="AE110" s="3">
        <v>126</v>
      </c>
      <c r="AF110" s="3">
        <v>0</v>
      </c>
      <c r="AG110" s="3">
        <v>167.414056</v>
      </c>
      <c r="AH110" s="3">
        <v>0.842105263157894</v>
      </c>
      <c r="AI110" s="3" t="s">
        <v>612</v>
      </c>
      <c r="AJ110" s="3" t="s">
        <v>233</v>
      </c>
    </row>
    <row r="111" spans="1:36">
      <c r="A111" s="6">
        <v>43277</v>
      </c>
      <c r="B111" s="3" t="s">
        <v>613</v>
      </c>
      <c r="C111" s="3" t="s">
        <v>614</v>
      </c>
      <c r="D111" s="3" t="s">
        <v>615</v>
      </c>
      <c r="E111" s="3" t="s">
        <v>616</v>
      </c>
      <c r="F111" s="3" t="s">
        <v>228</v>
      </c>
      <c r="G111" s="3">
        <v>3</v>
      </c>
      <c r="H111" s="3">
        <v>0</v>
      </c>
      <c r="I111" s="3">
        <v>3</v>
      </c>
      <c r="J111" s="3">
        <v>0</v>
      </c>
      <c r="K111" s="3">
        <v>0</v>
      </c>
      <c r="L111" s="3">
        <v>0</v>
      </c>
      <c r="M111" s="3">
        <v>0</v>
      </c>
      <c r="N111" s="3" t="s">
        <v>229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1</v>
      </c>
      <c r="U111" s="3">
        <v>2</v>
      </c>
      <c r="V111" s="3">
        <v>2</v>
      </c>
      <c r="W111" s="3" t="s">
        <v>230</v>
      </c>
      <c r="X111" s="3">
        <v>79.99</v>
      </c>
      <c r="Y111" s="3">
        <v>79.99</v>
      </c>
      <c r="Z111" s="3">
        <v>79.99</v>
      </c>
      <c r="AA111" s="3">
        <v>0</v>
      </c>
      <c r="AB111" s="3" t="s">
        <v>231</v>
      </c>
      <c r="AC111" s="3">
        <v>3</v>
      </c>
      <c r="AD111" s="3">
        <v>79.99</v>
      </c>
      <c r="AE111" s="3">
        <v>0</v>
      </c>
      <c r="AF111" s="3">
        <v>0</v>
      </c>
      <c r="AG111" s="3">
        <v>0</v>
      </c>
      <c r="AH111" s="3">
        <v>0.857142857142857</v>
      </c>
      <c r="AI111" s="3" t="s">
        <v>617</v>
      </c>
      <c r="AJ111" s="3" t="s">
        <v>233</v>
      </c>
    </row>
    <row r="112" spans="1:36">
      <c r="A112" s="6">
        <v>43277</v>
      </c>
      <c r="B112" s="3" t="s">
        <v>618</v>
      </c>
      <c r="C112" s="3" t="s">
        <v>619</v>
      </c>
      <c r="D112" s="3" t="s">
        <v>619</v>
      </c>
      <c r="E112" s="3" t="s">
        <v>620</v>
      </c>
      <c r="F112" s="3" t="s">
        <v>228</v>
      </c>
      <c r="G112" s="3">
        <v>15</v>
      </c>
      <c r="H112" s="3">
        <v>0</v>
      </c>
      <c r="I112" s="3">
        <v>0</v>
      </c>
      <c r="J112" s="3">
        <v>1</v>
      </c>
      <c r="K112" s="3">
        <v>14</v>
      </c>
      <c r="L112" s="3">
        <v>0</v>
      </c>
      <c r="M112" s="3">
        <v>0</v>
      </c>
      <c r="N112" s="3" t="s">
        <v>229</v>
      </c>
      <c r="O112" s="3">
        <v>15</v>
      </c>
      <c r="P112" s="3">
        <v>9</v>
      </c>
      <c r="Q112" s="3">
        <v>0</v>
      </c>
      <c r="R112" s="3">
        <v>0</v>
      </c>
      <c r="S112" s="3">
        <v>1</v>
      </c>
      <c r="T112" s="3">
        <v>2</v>
      </c>
      <c r="U112" s="3">
        <v>5</v>
      </c>
      <c r="V112" s="3">
        <v>9</v>
      </c>
      <c r="W112" s="3" t="s">
        <v>230</v>
      </c>
      <c r="X112" s="3">
        <v>19.99</v>
      </c>
      <c r="Y112" s="3">
        <v>19.99</v>
      </c>
      <c r="Z112" s="3">
        <v>19.99</v>
      </c>
      <c r="AA112" s="3">
        <v>0</v>
      </c>
      <c r="AB112" s="3" t="s">
        <v>231</v>
      </c>
      <c r="AC112" s="3">
        <v>1</v>
      </c>
      <c r="AD112" s="3">
        <v>15.86</v>
      </c>
      <c r="AE112" s="3">
        <v>364</v>
      </c>
      <c r="AF112" s="3">
        <v>0</v>
      </c>
      <c r="AG112" s="3">
        <v>93.593509</v>
      </c>
      <c r="AH112" s="3">
        <v>0.473684210526315</v>
      </c>
      <c r="AI112" s="3" t="s">
        <v>477</v>
      </c>
      <c r="AJ112" s="3" t="s">
        <v>478</v>
      </c>
    </row>
    <row r="113" spans="1:36">
      <c r="A113" s="6">
        <v>43277</v>
      </c>
      <c r="B113" s="3" t="s">
        <v>36</v>
      </c>
      <c r="C113" s="3" t="s">
        <v>37</v>
      </c>
      <c r="D113" s="3" t="s">
        <v>38</v>
      </c>
      <c r="E113" s="3" t="s">
        <v>39</v>
      </c>
      <c r="F113" s="3" t="s">
        <v>228</v>
      </c>
      <c r="G113" s="3">
        <v>1</v>
      </c>
      <c r="H113" s="3">
        <v>0</v>
      </c>
      <c r="I113" s="3">
        <v>1</v>
      </c>
      <c r="J113" s="3">
        <v>0</v>
      </c>
      <c r="K113" s="3">
        <v>0</v>
      </c>
      <c r="L113" s="3">
        <v>0</v>
      </c>
      <c r="M113" s="3">
        <v>0</v>
      </c>
      <c r="N113" s="3" t="s">
        <v>229</v>
      </c>
      <c r="O113" s="3">
        <v>0</v>
      </c>
      <c r="P113" s="3">
        <v>0</v>
      </c>
      <c r="Q113" s="3">
        <v>0</v>
      </c>
      <c r="R113" s="3">
        <v>0</v>
      </c>
      <c r="S113" s="3">
        <v>3</v>
      </c>
      <c r="T113" s="3">
        <v>18</v>
      </c>
      <c r="U113" s="3">
        <v>36</v>
      </c>
      <c r="V113" s="3">
        <v>46</v>
      </c>
      <c r="W113" s="3" t="s">
        <v>234</v>
      </c>
      <c r="X113" s="3">
        <v>256</v>
      </c>
      <c r="Y113" s="3">
        <v>79.99</v>
      </c>
      <c r="Z113" s="3">
        <v>79.99</v>
      </c>
      <c r="AA113" s="3">
        <v>0</v>
      </c>
      <c r="AB113" s="3" t="s">
        <v>235</v>
      </c>
      <c r="AC113" s="3">
        <v>4</v>
      </c>
      <c r="AD113" s="3">
        <v>79.99</v>
      </c>
      <c r="AE113" s="3">
        <v>0</v>
      </c>
      <c r="AF113" s="3">
        <v>0</v>
      </c>
      <c r="AG113" s="3">
        <v>0</v>
      </c>
      <c r="AH113" s="3">
        <v>7.36</v>
      </c>
      <c r="AI113" s="3" t="s">
        <v>621</v>
      </c>
      <c r="AJ113" s="3" t="s">
        <v>233</v>
      </c>
    </row>
    <row r="114" spans="1:36">
      <c r="A114" s="6">
        <v>43277</v>
      </c>
      <c r="B114" s="3" t="s">
        <v>131</v>
      </c>
      <c r="C114" s="3" t="s">
        <v>132</v>
      </c>
      <c r="D114" s="3" t="s">
        <v>133</v>
      </c>
      <c r="E114" s="3" t="s">
        <v>134</v>
      </c>
      <c r="F114" s="3" t="s">
        <v>228</v>
      </c>
      <c r="G114" s="3">
        <v>2</v>
      </c>
      <c r="H114" s="3">
        <v>0</v>
      </c>
      <c r="I114" s="3">
        <v>2</v>
      </c>
      <c r="J114" s="3">
        <v>0</v>
      </c>
      <c r="K114" s="3">
        <v>0</v>
      </c>
      <c r="L114" s="3">
        <v>0</v>
      </c>
      <c r="M114" s="3">
        <v>0</v>
      </c>
      <c r="N114" s="3" t="s">
        <v>229</v>
      </c>
      <c r="O114" s="3">
        <v>0</v>
      </c>
      <c r="P114" s="3">
        <v>0</v>
      </c>
      <c r="Q114" s="3">
        <v>0</v>
      </c>
      <c r="R114" s="3">
        <v>0</v>
      </c>
      <c r="S114" s="3">
        <v>1</v>
      </c>
      <c r="T114" s="3">
        <v>1</v>
      </c>
      <c r="U114" s="3">
        <v>7</v>
      </c>
      <c r="V114" s="3">
        <v>12</v>
      </c>
      <c r="W114" s="3" t="s">
        <v>230</v>
      </c>
      <c r="X114" s="3">
        <v>125</v>
      </c>
      <c r="Y114" s="3">
        <v>32.99</v>
      </c>
      <c r="Z114" s="3">
        <v>32.99</v>
      </c>
      <c r="AA114" s="3">
        <v>0</v>
      </c>
      <c r="AB114" s="3" t="s">
        <v>240</v>
      </c>
      <c r="AC114" s="3">
        <v>4</v>
      </c>
      <c r="AD114" s="3">
        <v>32.99</v>
      </c>
      <c r="AE114" s="3">
        <v>0</v>
      </c>
      <c r="AF114" s="3">
        <v>0</v>
      </c>
      <c r="AG114" s="3">
        <v>0</v>
      </c>
      <c r="AH114" s="3">
        <v>3.69230769230769</v>
      </c>
      <c r="AI114" s="3" t="s">
        <v>463</v>
      </c>
      <c r="AJ114" s="3" t="s">
        <v>233</v>
      </c>
    </row>
    <row r="115" spans="1:36">
      <c r="A115" s="6">
        <v>43277</v>
      </c>
      <c r="B115" s="3" t="s">
        <v>622</v>
      </c>
      <c r="C115" s="3" t="s">
        <v>623</v>
      </c>
      <c r="D115" s="3" t="s">
        <v>624</v>
      </c>
      <c r="E115" s="3" t="s">
        <v>625</v>
      </c>
      <c r="F115" s="3" t="s">
        <v>228</v>
      </c>
      <c r="G115" s="3">
        <v>7</v>
      </c>
      <c r="H115" s="3">
        <v>0</v>
      </c>
      <c r="I115" s="3">
        <v>0</v>
      </c>
      <c r="J115" s="3">
        <v>7</v>
      </c>
      <c r="K115" s="3">
        <v>0</v>
      </c>
      <c r="L115" s="3">
        <v>0</v>
      </c>
      <c r="M115" s="3">
        <v>0</v>
      </c>
      <c r="N115" s="3" t="s">
        <v>229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2</v>
      </c>
      <c r="V115" s="3">
        <v>4</v>
      </c>
      <c r="W115" s="3" t="s">
        <v>230</v>
      </c>
      <c r="X115" s="3">
        <v>32.99</v>
      </c>
      <c r="Y115" s="3">
        <v>32.99</v>
      </c>
      <c r="Z115" s="3">
        <v>32.99</v>
      </c>
      <c r="AA115" s="3">
        <v>0</v>
      </c>
      <c r="AB115" s="3" t="s">
        <v>231</v>
      </c>
      <c r="AC115" s="3">
        <v>7</v>
      </c>
      <c r="AD115" s="3">
        <v>32.99</v>
      </c>
      <c r="AE115" s="3">
        <v>0</v>
      </c>
      <c r="AF115" s="3">
        <v>0</v>
      </c>
      <c r="AG115" s="3">
        <v>0</v>
      </c>
      <c r="AH115" s="3">
        <v>0.372093023255813</v>
      </c>
      <c r="AI115" s="3" t="s">
        <v>626</v>
      </c>
      <c r="AJ115" s="3" t="s">
        <v>233</v>
      </c>
    </row>
    <row r="116" spans="1:36">
      <c r="A116" s="6">
        <v>43277</v>
      </c>
      <c r="B116" s="3" t="s">
        <v>40</v>
      </c>
      <c r="C116" s="3" t="s">
        <v>41</v>
      </c>
      <c r="D116" s="3" t="s">
        <v>42</v>
      </c>
      <c r="E116" s="3" t="s">
        <v>43</v>
      </c>
      <c r="F116" s="3" t="s">
        <v>228</v>
      </c>
      <c r="G116" s="3">
        <v>142</v>
      </c>
      <c r="H116" s="3">
        <v>0</v>
      </c>
      <c r="I116" s="3">
        <v>142</v>
      </c>
      <c r="J116" s="3">
        <v>0</v>
      </c>
      <c r="K116" s="3">
        <v>0</v>
      </c>
      <c r="L116" s="3">
        <v>0</v>
      </c>
      <c r="M116" s="3">
        <v>0</v>
      </c>
      <c r="N116" s="3" t="s">
        <v>229</v>
      </c>
      <c r="O116" s="3">
        <v>0</v>
      </c>
      <c r="P116" s="3">
        <v>0</v>
      </c>
      <c r="Q116" s="3">
        <v>0</v>
      </c>
      <c r="R116" s="3">
        <v>0</v>
      </c>
      <c r="S116" s="3">
        <v>33</v>
      </c>
      <c r="T116" s="3">
        <v>154</v>
      </c>
      <c r="U116" s="3">
        <v>246</v>
      </c>
      <c r="V116" s="3">
        <v>287</v>
      </c>
      <c r="W116" s="3" t="s">
        <v>234</v>
      </c>
      <c r="X116" s="3">
        <v>159.99</v>
      </c>
      <c r="Y116" s="3">
        <v>91.99</v>
      </c>
      <c r="Z116" s="3">
        <v>91.99</v>
      </c>
      <c r="AA116" s="3">
        <v>0</v>
      </c>
      <c r="AB116" s="3" t="s">
        <v>235</v>
      </c>
      <c r="AC116" s="3">
        <v>45</v>
      </c>
      <c r="AD116" s="3">
        <v>91.99</v>
      </c>
      <c r="AE116" s="3">
        <v>0</v>
      </c>
      <c r="AF116" s="3">
        <v>0</v>
      </c>
      <c r="AG116" s="3">
        <v>0</v>
      </c>
      <c r="AH116" s="3">
        <v>6.2391304347826</v>
      </c>
      <c r="AI116" s="3" t="s">
        <v>627</v>
      </c>
      <c r="AJ116" s="3" t="s">
        <v>233</v>
      </c>
    </row>
    <row r="117" spans="1:36">
      <c r="A117" s="6">
        <v>43277</v>
      </c>
      <c r="B117" s="3" t="s">
        <v>628</v>
      </c>
      <c r="C117" s="3" t="s">
        <v>629</v>
      </c>
      <c r="D117" s="3" t="s">
        <v>630</v>
      </c>
      <c r="E117" s="3" t="s">
        <v>631</v>
      </c>
      <c r="F117" s="3" t="s">
        <v>228</v>
      </c>
      <c r="G117" s="3">
        <v>20</v>
      </c>
      <c r="H117" s="3">
        <v>0</v>
      </c>
      <c r="I117" s="3">
        <v>20</v>
      </c>
      <c r="J117" s="3">
        <v>0</v>
      </c>
      <c r="K117" s="3">
        <v>0</v>
      </c>
      <c r="L117" s="3">
        <v>0</v>
      </c>
      <c r="M117" s="3">
        <v>0</v>
      </c>
      <c r="N117" s="3" t="s">
        <v>229</v>
      </c>
      <c r="O117" s="3">
        <v>0</v>
      </c>
      <c r="P117" s="3">
        <v>0</v>
      </c>
      <c r="Q117" s="3">
        <v>0</v>
      </c>
      <c r="R117" s="3">
        <v>0</v>
      </c>
      <c r="S117" s="3">
        <v>1</v>
      </c>
      <c r="T117" s="3">
        <v>6</v>
      </c>
      <c r="U117" s="3">
        <v>16</v>
      </c>
      <c r="V117" s="3">
        <v>31</v>
      </c>
      <c r="W117" s="3" t="s">
        <v>234</v>
      </c>
      <c r="X117" s="3">
        <v>179</v>
      </c>
      <c r="Y117" s="3">
        <v>34.99</v>
      </c>
      <c r="Z117" s="3">
        <v>34.99</v>
      </c>
      <c r="AA117" s="3">
        <v>0</v>
      </c>
      <c r="AB117" s="3" t="s">
        <v>632</v>
      </c>
      <c r="AC117" s="3">
        <v>0</v>
      </c>
      <c r="AD117" s="3">
        <v>34.99</v>
      </c>
      <c r="AE117" s="3">
        <v>0</v>
      </c>
      <c r="AF117" s="3">
        <v>20</v>
      </c>
      <c r="AG117" s="3">
        <v>408.725171</v>
      </c>
      <c r="AH117" s="3">
        <v>1.87878787878787</v>
      </c>
      <c r="AI117" s="3" t="s">
        <v>633</v>
      </c>
      <c r="AJ117" s="3" t="s">
        <v>233</v>
      </c>
    </row>
    <row r="118" spans="1:36">
      <c r="A118" s="6">
        <v>43277</v>
      </c>
      <c r="B118" s="3" t="s">
        <v>135</v>
      </c>
      <c r="C118" s="3" t="s">
        <v>136</v>
      </c>
      <c r="D118" s="3" t="s">
        <v>137</v>
      </c>
      <c r="E118" s="3" t="s">
        <v>138</v>
      </c>
      <c r="F118" s="3" t="s">
        <v>228</v>
      </c>
      <c r="G118" s="3">
        <v>2</v>
      </c>
      <c r="H118" s="3">
        <v>0</v>
      </c>
      <c r="I118" s="3">
        <v>2</v>
      </c>
      <c r="J118" s="3">
        <v>0</v>
      </c>
      <c r="K118" s="3">
        <v>0</v>
      </c>
      <c r="L118" s="3">
        <v>0</v>
      </c>
      <c r="M118" s="3">
        <v>0</v>
      </c>
      <c r="N118" s="3" t="s">
        <v>229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11</v>
      </c>
      <c r="U118" s="3">
        <v>15</v>
      </c>
      <c r="V118" s="3">
        <v>15</v>
      </c>
      <c r="W118" s="3" t="s">
        <v>230</v>
      </c>
      <c r="X118" s="3">
        <v>89.6</v>
      </c>
      <c r="Y118" s="3">
        <v>89.6</v>
      </c>
      <c r="Z118" s="3">
        <v>89.6</v>
      </c>
      <c r="AA118" s="3">
        <v>0</v>
      </c>
      <c r="AB118" s="3" t="s">
        <v>231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3.52941176470588</v>
      </c>
      <c r="AI118" s="3" t="s">
        <v>634</v>
      </c>
      <c r="AJ118" s="3" t="s">
        <v>233</v>
      </c>
    </row>
    <row r="119" spans="1:36">
      <c r="A119" s="6">
        <v>43277</v>
      </c>
      <c r="B119" s="3" t="s">
        <v>635</v>
      </c>
      <c r="C119" s="3" t="s">
        <v>636</v>
      </c>
      <c r="D119" s="3" t="s">
        <v>637</v>
      </c>
      <c r="E119" s="3" t="s">
        <v>638</v>
      </c>
      <c r="F119" s="3" t="s">
        <v>228</v>
      </c>
      <c r="G119" s="3">
        <v>7</v>
      </c>
      <c r="H119" s="3">
        <v>0</v>
      </c>
      <c r="I119" s="3">
        <v>0</v>
      </c>
      <c r="J119" s="3">
        <v>7</v>
      </c>
      <c r="K119" s="3">
        <v>0</v>
      </c>
      <c r="L119" s="3">
        <v>0</v>
      </c>
      <c r="M119" s="3">
        <v>0</v>
      </c>
      <c r="N119" s="3" t="s">
        <v>229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2</v>
      </c>
      <c r="V119" s="3">
        <v>3</v>
      </c>
      <c r="W119" s="3" t="s">
        <v>230</v>
      </c>
      <c r="X119" s="3">
        <v>89.99</v>
      </c>
      <c r="Y119" s="3">
        <v>89.99</v>
      </c>
      <c r="Z119" s="3">
        <v>89.99</v>
      </c>
      <c r="AA119" s="3">
        <v>0</v>
      </c>
      <c r="AB119" s="3" t="s">
        <v>231</v>
      </c>
      <c r="AC119" s="3">
        <v>7</v>
      </c>
      <c r="AD119" s="3">
        <v>89.99</v>
      </c>
      <c r="AE119" s="3">
        <v>0</v>
      </c>
      <c r="AF119" s="3">
        <v>0</v>
      </c>
      <c r="AG119" s="3">
        <v>0</v>
      </c>
      <c r="AH119" s="3">
        <v>0.470588235294117</v>
      </c>
      <c r="AI119" s="3" t="s">
        <v>639</v>
      </c>
      <c r="AJ119" s="3" t="s">
        <v>282</v>
      </c>
    </row>
    <row r="120" spans="1:36">
      <c r="A120" s="6">
        <v>43277</v>
      </c>
      <c r="B120" s="3" t="s">
        <v>640</v>
      </c>
      <c r="C120" s="3" t="s">
        <v>641</v>
      </c>
      <c r="D120" s="3" t="s">
        <v>641</v>
      </c>
      <c r="E120" s="3" t="s">
        <v>642</v>
      </c>
      <c r="F120" s="3" t="s">
        <v>228</v>
      </c>
      <c r="G120" s="3">
        <v>10</v>
      </c>
      <c r="H120" s="3">
        <v>0</v>
      </c>
      <c r="I120" s="3">
        <v>0</v>
      </c>
      <c r="J120" s="3">
        <v>10</v>
      </c>
      <c r="K120" s="3">
        <v>0</v>
      </c>
      <c r="L120" s="3">
        <v>0</v>
      </c>
      <c r="M120" s="3">
        <v>0</v>
      </c>
      <c r="N120" s="3" t="s">
        <v>229</v>
      </c>
      <c r="O120" s="3">
        <v>10</v>
      </c>
      <c r="P120" s="3">
        <v>23.3</v>
      </c>
      <c r="Q120" s="3">
        <v>0</v>
      </c>
      <c r="R120" s="3">
        <v>0</v>
      </c>
      <c r="S120" s="3">
        <v>0</v>
      </c>
      <c r="T120" s="3">
        <v>3</v>
      </c>
      <c r="U120" s="3">
        <v>10</v>
      </c>
      <c r="V120" s="3">
        <v>12</v>
      </c>
      <c r="W120" s="3" t="s">
        <v>230</v>
      </c>
      <c r="X120" s="3">
        <v>29.99</v>
      </c>
      <c r="Y120" s="3">
        <v>29.99</v>
      </c>
      <c r="Z120" s="3">
        <v>29.99</v>
      </c>
      <c r="AA120" s="3">
        <v>0</v>
      </c>
      <c r="AB120" s="3" t="s">
        <v>231</v>
      </c>
      <c r="AC120" s="3">
        <v>9</v>
      </c>
      <c r="AD120" s="3">
        <v>29.99</v>
      </c>
      <c r="AE120" s="3">
        <v>0</v>
      </c>
      <c r="AF120" s="3">
        <v>0</v>
      </c>
      <c r="AG120" s="3">
        <v>0</v>
      </c>
      <c r="AH120" s="3">
        <v>0.716417910447761</v>
      </c>
      <c r="AI120" s="3" t="s">
        <v>643</v>
      </c>
      <c r="AJ120" s="3" t="s">
        <v>233</v>
      </c>
    </row>
    <row r="121" spans="1:36">
      <c r="A121" s="6">
        <v>43277</v>
      </c>
      <c r="B121" s="3" t="s">
        <v>16</v>
      </c>
      <c r="C121" s="3" t="s">
        <v>17</v>
      </c>
      <c r="D121" s="3" t="s">
        <v>18</v>
      </c>
      <c r="E121" s="3" t="s">
        <v>19</v>
      </c>
      <c r="F121" s="3" t="s">
        <v>228</v>
      </c>
      <c r="G121" s="3">
        <v>20</v>
      </c>
      <c r="H121" s="3">
        <v>0</v>
      </c>
      <c r="I121" s="3">
        <v>20</v>
      </c>
      <c r="J121" s="3">
        <v>0</v>
      </c>
      <c r="K121" s="3">
        <v>0</v>
      </c>
      <c r="L121" s="3">
        <v>0</v>
      </c>
      <c r="M121" s="3">
        <v>0</v>
      </c>
      <c r="N121" s="3" t="s">
        <v>229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1</v>
      </c>
      <c r="U121" s="3">
        <v>4</v>
      </c>
      <c r="V121" s="3">
        <v>10</v>
      </c>
      <c r="W121" s="3" t="s">
        <v>230</v>
      </c>
      <c r="X121" s="3">
        <v>91.6</v>
      </c>
      <c r="Y121" s="3">
        <v>91.6</v>
      </c>
      <c r="Z121" s="3">
        <v>91.6</v>
      </c>
      <c r="AA121" s="3">
        <v>0</v>
      </c>
      <c r="AB121" s="3" t="s">
        <v>231</v>
      </c>
      <c r="AC121" s="3">
        <v>20</v>
      </c>
      <c r="AD121" s="3">
        <v>91.6</v>
      </c>
      <c r="AE121" s="3">
        <v>0</v>
      </c>
      <c r="AF121" s="3">
        <v>0</v>
      </c>
      <c r="AG121" s="3">
        <v>0</v>
      </c>
      <c r="AH121" s="3">
        <v>0.606060606060606</v>
      </c>
      <c r="AI121" s="3" t="s">
        <v>644</v>
      </c>
      <c r="AJ121" s="3" t="s">
        <v>233</v>
      </c>
    </row>
    <row r="122" spans="1:36">
      <c r="A122" s="6">
        <v>43277</v>
      </c>
      <c r="B122" s="3" t="s">
        <v>645</v>
      </c>
      <c r="C122" s="3" t="s">
        <v>646</v>
      </c>
      <c r="D122" s="3" t="s">
        <v>647</v>
      </c>
      <c r="E122" s="3" t="s">
        <v>648</v>
      </c>
      <c r="F122" s="3" t="s">
        <v>228</v>
      </c>
      <c r="G122" s="3">
        <v>3</v>
      </c>
      <c r="H122" s="3">
        <v>0</v>
      </c>
      <c r="I122" s="3">
        <v>3</v>
      </c>
      <c r="J122" s="3">
        <v>0</v>
      </c>
      <c r="K122" s="3">
        <v>0</v>
      </c>
      <c r="L122" s="3">
        <v>0</v>
      </c>
      <c r="M122" s="3">
        <v>0</v>
      </c>
      <c r="N122" s="3" t="s">
        <v>229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2</v>
      </c>
      <c r="W122" s="3" t="s">
        <v>230</v>
      </c>
      <c r="X122" s="3">
        <v>89.99</v>
      </c>
      <c r="Y122" s="3">
        <v>89.99</v>
      </c>
      <c r="Z122" s="3">
        <v>89.99</v>
      </c>
      <c r="AA122" s="3">
        <v>0</v>
      </c>
      <c r="AB122" s="3" t="s">
        <v>231</v>
      </c>
      <c r="AC122" s="3">
        <v>3</v>
      </c>
      <c r="AD122" s="3">
        <v>89.99</v>
      </c>
      <c r="AE122" s="3">
        <v>0</v>
      </c>
      <c r="AF122" s="3">
        <v>0</v>
      </c>
      <c r="AG122" s="3">
        <v>0</v>
      </c>
      <c r="AH122" s="3">
        <v>0.666666666666666</v>
      </c>
      <c r="AI122" s="3" t="s">
        <v>307</v>
      </c>
      <c r="AJ122" s="3" t="s">
        <v>233</v>
      </c>
    </row>
    <row r="123" spans="1:36">
      <c r="A123" s="6">
        <v>43277</v>
      </c>
      <c r="B123" s="3" t="s">
        <v>120</v>
      </c>
      <c r="C123" s="3" t="s">
        <v>121</v>
      </c>
      <c r="D123" s="3" t="s">
        <v>122</v>
      </c>
      <c r="E123" s="3" t="s">
        <v>123</v>
      </c>
      <c r="F123" s="3" t="s">
        <v>228</v>
      </c>
      <c r="G123" s="3">
        <v>13</v>
      </c>
      <c r="H123" s="3">
        <v>0</v>
      </c>
      <c r="I123" s="3">
        <v>13</v>
      </c>
      <c r="J123" s="3">
        <v>0</v>
      </c>
      <c r="K123" s="3">
        <v>0</v>
      </c>
      <c r="L123" s="3">
        <v>0</v>
      </c>
      <c r="M123" s="3">
        <v>0</v>
      </c>
      <c r="N123" s="3" t="s">
        <v>229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4</v>
      </c>
      <c r="U123" s="3">
        <v>12</v>
      </c>
      <c r="V123" s="3">
        <v>12</v>
      </c>
      <c r="W123" s="3" t="s">
        <v>230</v>
      </c>
      <c r="X123" s="3">
        <v>125</v>
      </c>
      <c r="Y123" s="3">
        <v>32.99</v>
      </c>
      <c r="Z123" s="3">
        <v>32.99</v>
      </c>
      <c r="AA123" s="3">
        <v>0</v>
      </c>
      <c r="AB123" s="3" t="s">
        <v>240</v>
      </c>
      <c r="AC123" s="3">
        <v>3</v>
      </c>
      <c r="AD123" s="3">
        <v>32.99</v>
      </c>
      <c r="AE123" s="3">
        <v>0</v>
      </c>
      <c r="AF123" s="3">
        <v>0</v>
      </c>
      <c r="AG123" s="3">
        <v>0</v>
      </c>
      <c r="AH123" s="3">
        <v>2.08695652173913</v>
      </c>
      <c r="AI123" s="3" t="s">
        <v>633</v>
      </c>
      <c r="AJ123" s="3" t="s">
        <v>233</v>
      </c>
    </row>
    <row r="124" spans="1:36">
      <c r="A124" s="6">
        <v>43277</v>
      </c>
      <c r="B124" s="3" t="s">
        <v>649</v>
      </c>
      <c r="C124" s="3" t="s">
        <v>650</v>
      </c>
      <c r="D124" s="3" t="s">
        <v>651</v>
      </c>
      <c r="E124" s="3" t="s">
        <v>652</v>
      </c>
      <c r="F124" s="3" t="s">
        <v>228</v>
      </c>
      <c r="G124" s="3">
        <v>8</v>
      </c>
      <c r="H124" s="3">
        <v>0</v>
      </c>
      <c r="I124" s="3">
        <v>0</v>
      </c>
      <c r="J124" s="3">
        <v>8</v>
      </c>
      <c r="K124" s="3">
        <v>0</v>
      </c>
      <c r="L124" s="3">
        <v>0</v>
      </c>
      <c r="M124" s="3">
        <v>0</v>
      </c>
      <c r="N124" s="3" t="s">
        <v>229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1</v>
      </c>
      <c r="W124" s="3" t="s">
        <v>230</v>
      </c>
      <c r="X124" s="3">
        <v>159.99</v>
      </c>
      <c r="Y124" s="3">
        <v>89.99</v>
      </c>
      <c r="Z124" s="3">
        <v>89.99</v>
      </c>
      <c r="AA124" s="3">
        <v>0</v>
      </c>
      <c r="AB124" s="3" t="s">
        <v>359</v>
      </c>
      <c r="AC124" s="3">
        <v>1</v>
      </c>
      <c r="AD124" s="3">
        <v>82.66</v>
      </c>
      <c r="AE124" s="3">
        <v>147</v>
      </c>
      <c r="AF124" s="3">
        <v>0</v>
      </c>
      <c r="AG124" s="3">
        <v>768.653464</v>
      </c>
      <c r="AH124" s="3">
        <v>0.121212121212121</v>
      </c>
      <c r="AI124" s="3" t="s">
        <v>653</v>
      </c>
      <c r="AJ124" s="3" t="s">
        <v>233</v>
      </c>
    </row>
    <row r="125" spans="1:36">
      <c r="A125" s="6">
        <v>43277</v>
      </c>
      <c r="B125" s="3" t="s">
        <v>20</v>
      </c>
      <c r="C125" s="3" t="s">
        <v>21</v>
      </c>
      <c r="D125" s="3" t="s">
        <v>22</v>
      </c>
      <c r="E125" s="3" t="s">
        <v>23</v>
      </c>
      <c r="F125" s="3" t="s">
        <v>228</v>
      </c>
      <c r="G125" s="3">
        <v>5</v>
      </c>
      <c r="H125" s="3">
        <v>0</v>
      </c>
      <c r="I125" s="3">
        <v>5</v>
      </c>
      <c r="J125" s="3">
        <v>0</v>
      </c>
      <c r="K125" s="3">
        <v>0</v>
      </c>
      <c r="L125" s="3">
        <v>0</v>
      </c>
      <c r="M125" s="3">
        <v>0</v>
      </c>
      <c r="N125" s="3" t="s">
        <v>229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2</v>
      </c>
      <c r="U125" s="3">
        <v>5</v>
      </c>
      <c r="V125" s="3">
        <v>5</v>
      </c>
      <c r="W125" s="3" t="s">
        <v>230</v>
      </c>
      <c r="X125" s="3">
        <v>89.99</v>
      </c>
      <c r="Y125" s="3">
        <v>89.99</v>
      </c>
      <c r="Z125" s="3">
        <v>89.99</v>
      </c>
      <c r="AA125" s="3">
        <v>0</v>
      </c>
      <c r="AB125" s="3" t="s">
        <v>231</v>
      </c>
      <c r="AC125" s="3">
        <v>5</v>
      </c>
      <c r="AD125" s="3">
        <v>89.99</v>
      </c>
      <c r="AE125" s="3">
        <v>0</v>
      </c>
      <c r="AF125" s="3">
        <v>0</v>
      </c>
      <c r="AG125" s="3">
        <v>0</v>
      </c>
      <c r="AH125" s="3">
        <v>0.909090909090909</v>
      </c>
      <c r="AI125" s="3" t="s">
        <v>654</v>
      </c>
      <c r="AJ125" s="3" t="s">
        <v>233</v>
      </c>
    </row>
    <row r="126" spans="1:36">
      <c r="A126" s="6">
        <v>43277</v>
      </c>
      <c r="B126" s="3" t="s">
        <v>655</v>
      </c>
      <c r="C126" s="3" t="s">
        <v>624</v>
      </c>
      <c r="D126" s="3" t="s">
        <v>624</v>
      </c>
      <c r="E126" s="3" t="s">
        <v>625</v>
      </c>
      <c r="F126" s="3" t="s">
        <v>228</v>
      </c>
      <c r="G126" s="3">
        <v>11</v>
      </c>
      <c r="H126" s="3">
        <v>0</v>
      </c>
      <c r="I126" s="3">
        <v>0</v>
      </c>
      <c r="J126" s="3">
        <v>11</v>
      </c>
      <c r="K126" s="3">
        <v>0</v>
      </c>
      <c r="L126" s="3">
        <v>0</v>
      </c>
      <c r="M126" s="3">
        <v>0</v>
      </c>
      <c r="N126" s="3" t="s">
        <v>229</v>
      </c>
      <c r="O126" s="3">
        <v>10</v>
      </c>
      <c r="P126" s="3">
        <v>25.4</v>
      </c>
      <c r="Q126" s="3">
        <v>0</v>
      </c>
      <c r="R126" s="3">
        <v>0</v>
      </c>
      <c r="S126" s="3">
        <v>1</v>
      </c>
      <c r="T126" s="3">
        <v>2</v>
      </c>
      <c r="U126" s="3">
        <v>2</v>
      </c>
      <c r="V126" s="3">
        <v>4</v>
      </c>
      <c r="W126" s="3" t="s">
        <v>230</v>
      </c>
      <c r="X126" s="3">
        <v>32.99</v>
      </c>
      <c r="Y126" s="3">
        <v>32.99</v>
      </c>
      <c r="Z126" s="3">
        <v>32.99</v>
      </c>
      <c r="AA126" s="3">
        <v>0</v>
      </c>
      <c r="AB126" s="3" t="s">
        <v>231</v>
      </c>
      <c r="AC126" s="3">
        <v>11</v>
      </c>
      <c r="AD126" s="3">
        <v>32.99</v>
      </c>
      <c r="AE126" s="3">
        <v>0</v>
      </c>
      <c r="AF126" s="3">
        <v>0</v>
      </c>
      <c r="AG126" s="3">
        <v>0</v>
      </c>
      <c r="AH126" s="3">
        <v>0.372093023255813</v>
      </c>
      <c r="AI126" s="3" t="s">
        <v>626</v>
      </c>
      <c r="AJ126" s="3" t="s">
        <v>233</v>
      </c>
    </row>
    <row r="127" spans="1:36">
      <c r="A127" s="6">
        <v>43277</v>
      </c>
      <c r="B127" s="3" t="s">
        <v>656</v>
      </c>
      <c r="C127" s="3" t="s">
        <v>657</v>
      </c>
      <c r="D127" s="3" t="s">
        <v>658</v>
      </c>
      <c r="E127" s="3" t="s">
        <v>659</v>
      </c>
      <c r="F127" s="3" t="s">
        <v>228</v>
      </c>
      <c r="G127" s="3">
        <v>5</v>
      </c>
      <c r="H127" s="3">
        <v>0</v>
      </c>
      <c r="I127" s="3">
        <v>5</v>
      </c>
      <c r="J127" s="3">
        <v>0</v>
      </c>
      <c r="K127" s="3">
        <v>0</v>
      </c>
      <c r="L127" s="3">
        <v>0</v>
      </c>
      <c r="M127" s="3">
        <v>0</v>
      </c>
      <c r="N127" s="3" t="s">
        <v>229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230</v>
      </c>
      <c r="X127" s="3">
        <v>79.99</v>
      </c>
      <c r="Y127" s="3">
        <v>79.99</v>
      </c>
      <c r="Z127" s="3">
        <v>79.99</v>
      </c>
      <c r="AA127" s="3">
        <v>0</v>
      </c>
      <c r="AB127" s="3" t="s">
        <v>231</v>
      </c>
      <c r="AC127" s="3">
        <v>0</v>
      </c>
      <c r="AD127" s="3">
        <v>63.99</v>
      </c>
      <c r="AE127" s="3">
        <v>63</v>
      </c>
      <c r="AF127" s="3">
        <v>0</v>
      </c>
      <c r="AG127" s="3">
        <v>62.183927</v>
      </c>
      <c r="AH127" s="3">
        <v>0</v>
      </c>
      <c r="AI127" s="3" t="s">
        <v>490</v>
      </c>
      <c r="AJ127" s="3" t="s">
        <v>233</v>
      </c>
    </row>
    <row r="128" spans="1:36">
      <c r="A128" s="6">
        <v>43277</v>
      </c>
      <c r="B128" s="3" t="s">
        <v>660</v>
      </c>
      <c r="C128" s="3" t="s">
        <v>661</v>
      </c>
      <c r="D128" s="3" t="s">
        <v>661</v>
      </c>
      <c r="E128" s="3" t="s">
        <v>662</v>
      </c>
      <c r="F128" s="3" t="s">
        <v>228</v>
      </c>
      <c r="G128" s="3">
        <v>2</v>
      </c>
      <c r="H128" s="3">
        <v>0</v>
      </c>
      <c r="I128" s="3">
        <v>0</v>
      </c>
      <c r="J128" s="3">
        <v>2</v>
      </c>
      <c r="K128" s="3">
        <v>0</v>
      </c>
      <c r="L128" s="3">
        <v>0</v>
      </c>
      <c r="M128" s="3">
        <v>0</v>
      </c>
      <c r="N128" s="3" t="s">
        <v>229</v>
      </c>
      <c r="O128" s="3">
        <v>1</v>
      </c>
      <c r="P128" s="3">
        <v>7.21</v>
      </c>
      <c r="Q128" s="3">
        <v>0</v>
      </c>
      <c r="R128" s="3">
        <v>0</v>
      </c>
      <c r="S128" s="3">
        <v>0</v>
      </c>
      <c r="T128" s="3">
        <v>0</v>
      </c>
      <c r="U128" s="3">
        <v>1</v>
      </c>
      <c r="V128" s="3">
        <v>1</v>
      </c>
      <c r="W128" s="3" t="s">
        <v>230</v>
      </c>
      <c r="X128" s="3">
        <v>179.99</v>
      </c>
      <c r="Y128" s="3">
        <v>79.99</v>
      </c>
      <c r="Z128" s="3">
        <v>79.99</v>
      </c>
      <c r="AA128" s="3">
        <v>0</v>
      </c>
      <c r="AB128" s="3" t="s">
        <v>240</v>
      </c>
      <c r="AC128" s="3">
        <v>2</v>
      </c>
      <c r="AD128" s="3">
        <v>89.99</v>
      </c>
      <c r="AE128" s="3">
        <v>0</v>
      </c>
      <c r="AF128" s="3">
        <v>0</v>
      </c>
      <c r="AG128" s="3">
        <v>0</v>
      </c>
      <c r="AH128" s="3">
        <v>0.4</v>
      </c>
      <c r="AI128" s="3" t="s">
        <v>663</v>
      </c>
      <c r="AJ128" s="3" t="s">
        <v>233</v>
      </c>
    </row>
    <row r="129" spans="1:36">
      <c r="A129" s="6">
        <v>43277</v>
      </c>
      <c r="B129" s="3" t="s">
        <v>664</v>
      </c>
      <c r="C129" s="3" t="s">
        <v>665</v>
      </c>
      <c r="D129" s="3" t="s">
        <v>666</v>
      </c>
      <c r="E129" s="3" t="s">
        <v>667</v>
      </c>
      <c r="F129" s="3" t="s">
        <v>228</v>
      </c>
      <c r="G129" s="3">
        <v>9</v>
      </c>
      <c r="H129" s="3">
        <v>0</v>
      </c>
      <c r="I129" s="3">
        <v>9</v>
      </c>
      <c r="J129" s="3">
        <v>0</v>
      </c>
      <c r="K129" s="3">
        <v>0</v>
      </c>
      <c r="L129" s="3">
        <v>0</v>
      </c>
      <c r="M129" s="3">
        <v>0</v>
      </c>
      <c r="N129" s="3" t="s">
        <v>229</v>
      </c>
      <c r="O129" s="3">
        <v>0</v>
      </c>
      <c r="P129" s="3">
        <v>0</v>
      </c>
      <c r="Q129" s="3">
        <v>0</v>
      </c>
      <c r="R129" s="3">
        <v>0</v>
      </c>
      <c r="S129" s="3">
        <v>1</v>
      </c>
      <c r="T129" s="3">
        <v>4</v>
      </c>
      <c r="U129" s="3">
        <v>14</v>
      </c>
      <c r="V129" s="3">
        <v>22</v>
      </c>
      <c r="W129" s="3" t="s">
        <v>230</v>
      </c>
      <c r="X129" s="3">
        <v>256</v>
      </c>
      <c r="Y129" s="3">
        <v>99.99</v>
      </c>
      <c r="Z129" s="3">
        <v>99.99</v>
      </c>
      <c r="AA129" s="3">
        <v>0</v>
      </c>
      <c r="AB129" s="3" t="s">
        <v>240</v>
      </c>
      <c r="AC129" s="3">
        <v>10</v>
      </c>
      <c r="AD129" s="3">
        <v>99.99</v>
      </c>
      <c r="AE129" s="3">
        <v>0</v>
      </c>
      <c r="AF129" s="3">
        <v>0</v>
      </c>
      <c r="AG129" s="3">
        <v>0</v>
      </c>
      <c r="AH129" s="3">
        <v>2.66666666666666</v>
      </c>
      <c r="AI129" s="3" t="s">
        <v>668</v>
      </c>
      <c r="AJ129" s="3" t="s">
        <v>233</v>
      </c>
    </row>
    <row r="130" spans="1:36">
      <c r="A130" s="6">
        <v>43277</v>
      </c>
      <c r="B130" s="3" t="s">
        <v>669</v>
      </c>
      <c r="C130" s="3" t="s">
        <v>670</v>
      </c>
      <c r="D130" s="3" t="s">
        <v>671</v>
      </c>
      <c r="E130" s="3" t="s">
        <v>672</v>
      </c>
      <c r="F130" s="3" t="s">
        <v>228</v>
      </c>
      <c r="G130" s="3">
        <v>10</v>
      </c>
      <c r="H130" s="3">
        <v>0</v>
      </c>
      <c r="I130" s="3">
        <v>10</v>
      </c>
      <c r="J130" s="3">
        <v>0</v>
      </c>
      <c r="K130" s="3">
        <v>0</v>
      </c>
      <c r="L130" s="3">
        <v>0</v>
      </c>
      <c r="M130" s="3">
        <v>0</v>
      </c>
      <c r="N130" s="3" t="s">
        <v>229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2</v>
      </c>
      <c r="U130" s="3">
        <v>3</v>
      </c>
      <c r="V130" s="3">
        <v>5</v>
      </c>
      <c r="W130" s="3" t="s">
        <v>230</v>
      </c>
      <c r="X130" s="3">
        <v>89.99</v>
      </c>
      <c r="Y130" s="3">
        <v>89.99</v>
      </c>
      <c r="Z130" s="3">
        <v>89.99</v>
      </c>
      <c r="AA130" s="3">
        <v>0</v>
      </c>
      <c r="AB130" s="3" t="s">
        <v>231</v>
      </c>
      <c r="AC130" s="3">
        <v>10</v>
      </c>
      <c r="AD130" s="3">
        <v>89.99</v>
      </c>
      <c r="AE130" s="3">
        <v>0</v>
      </c>
      <c r="AF130" s="3">
        <v>0</v>
      </c>
      <c r="AG130" s="3">
        <v>0</v>
      </c>
      <c r="AH130" s="3">
        <v>0.625</v>
      </c>
      <c r="AI130" s="3" t="s">
        <v>307</v>
      </c>
      <c r="AJ130" s="3" t="s">
        <v>233</v>
      </c>
    </row>
    <row r="131" spans="1:36">
      <c r="A131" s="6">
        <v>43277</v>
      </c>
      <c r="B131" s="3" t="s">
        <v>673</v>
      </c>
      <c r="C131" s="3" t="s">
        <v>674</v>
      </c>
      <c r="D131" s="3" t="s">
        <v>675</v>
      </c>
      <c r="E131" s="3" t="s">
        <v>676</v>
      </c>
      <c r="F131" s="3" t="s">
        <v>228</v>
      </c>
      <c r="G131" s="3">
        <v>10</v>
      </c>
      <c r="H131" s="3">
        <v>0</v>
      </c>
      <c r="I131" s="3">
        <v>10</v>
      </c>
      <c r="J131" s="3">
        <v>0</v>
      </c>
      <c r="K131" s="3">
        <v>0</v>
      </c>
      <c r="L131" s="3">
        <v>0</v>
      </c>
      <c r="M131" s="3">
        <v>0</v>
      </c>
      <c r="N131" s="3" t="s">
        <v>229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 t="s">
        <v>230</v>
      </c>
      <c r="X131" s="3">
        <v>89.99</v>
      </c>
      <c r="Y131" s="3">
        <v>89.99</v>
      </c>
      <c r="Z131" s="3">
        <v>89.99</v>
      </c>
      <c r="AA131" s="3">
        <v>0</v>
      </c>
      <c r="AB131" s="3" t="s">
        <v>231</v>
      </c>
      <c r="AC131" s="3">
        <v>0</v>
      </c>
      <c r="AD131" s="3">
        <v>71.99</v>
      </c>
      <c r="AE131" s="3">
        <v>63</v>
      </c>
      <c r="AF131" s="3">
        <v>0</v>
      </c>
      <c r="AG131" s="3">
        <v>359.021956</v>
      </c>
      <c r="AH131" s="3">
        <v>0</v>
      </c>
      <c r="AI131" s="3" t="s">
        <v>677</v>
      </c>
      <c r="AJ131" s="3" t="s">
        <v>233</v>
      </c>
    </row>
    <row r="132" spans="1:36">
      <c r="A132" s="6">
        <v>43277</v>
      </c>
      <c r="B132" s="3" t="s">
        <v>92</v>
      </c>
      <c r="C132" s="3" t="s">
        <v>93</v>
      </c>
      <c r="D132" s="3" t="s">
        <v>94</v>
      </c>
      <c r="E132" s="3" t="s">
        <v>95</v>
      </c>
      <c r="F132" s="3" t="s">
        <v>228</v>
      </c>
      <c r="G132" s="3">
        <v>9</v>
      </c>
      <c r="H132" s="3">
        <v>0</v>
      </c>
      <c r="I132" s="3">
        <v>9</v>
      </c>
      <c r="J132" s="3">
        <v>0</v>
      </c>
      <c r="K132" s="3">
        <v>0</v>
      </c>
      <c r="L132" s="3">
        <v>0</v>
      </c>
      <c r="M132" s="3">
        <v>0</v>
      </c>
      <c r="N132" s="3" t="s">
        <v>229</v>
      </c>
      <c r="O132" s="3">
        <v>0</v>
      </c>
      <c r="P132" s="3">
        <v>0</v>
      </c>
      <c r="Q132" s="3">
        <v>0</v>
      </c>
      <c r="R132" s="3">
        <v>0</v>
      </c>
      <c r="S132" s="3">
        <v>1</v>
      </c>
      <c r="T132" s="3">
        <v>11</v>
      </c>
      <c r="U132" s="3">
        <v>31</v>
      </c>
      <c r="V132" s="3">
        <v>51</v>
      </c>
      <c r="W132" s="3" t="s">
        <v>230</v>
      </c>
      <c r="X132" s="3">
        <v>89.99</v>
      </c>
      <c r="Y132" s="3">
        <v>89.99</v>
      </c>
      <c r="Z132" s="3">
        <v>89.99</v>
      </c>
      <c r="AA132" s="3">
        <v>0</v>
      </c>
      <c r="AB132" s="3" t="s">
        <v>231</v>
      </c>
      <c r="AC132" s="3">
        <v>10</v>
      </c>
      <c r="AD132" s="3">
        <v>89.99</v>
      </c>
      <c r="AE132" s="3">
        <v>0</v>
      </c>
      <c r="AF132" s="3">
        <v>0</v>
      </c>
      <c r="AG132" s="3">
        <v>0</v>
      </c>
      <c r="AH132" s="3">
        <v>9.27272727272727</v>
      </c>
      <c r="AI132" s="3" t="s">
        <v>678</v>
      </c>
      <c r="AJ132" s="3" t="s">
        <v>282</v>
      </c>
    </row>
    <row r="133" spans="1:36">
      <c r="A133" s="6">
        <v>43277</v>
      </c>
      <c r="B133" s="3" t="s">
        <v>679</v>
      </c>
      <c r="C133" s="3" t="s">
        <v>680</v>
      </c>
      <c r="D133" s="3" t="s">
        <v>681</v>
      </c>
      <c r="E133" s="3" t="s">
        <v>682</v>
      </c>
      <c r="F133" s="3" t="s">
        <v>228</v>
      </c>
      <c r="G133" s="3">
        <v>16</v>
      </c>
      <c r="H133" s="3">
        <v>0</v>
      </c>
      <c r="I133" s="3">
        <v>16</v>
      </c>
      <c r="J133" s="3">
        <v>0</v>
      </c>
      <c r="K133" s="3">
        <v>0</v>
      </c>
      <c r="L133" s="3">
        <v>0</v>
      </c>
      <c r="M133" s="3">
        <v>0</v>
      </c>
      <c r="N133" s="3" t="s">
        <v>229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1</v>
      </c>
      <c r="U133" s="3">
        <v>2</v>
      </c>
      <c r="V133" s="3">
        <v>4</v>
      </c>
      <c r="W133" s="3" t="s">
        <v>230</v>
      </c>
      <c r="X133" s="3">
        <v>89.99</v>
      </c>
      <c r="Y133" s="3">
        <v>89.99</v>
      </c>
      <c r="Z133" s="3">
        <v>89.99</v>
      </c>
      <c r="AA133" s="3">
        <v>0</v>
      </c>
      <c r="AB133" s="3" t="s">
        <v>231</v>
      </c>
      <c r="AC133" s="3">
        <v>0</v>
      </c>
      <c r="AD133" s="3">
        <v>65.32</v>
      </c>
      <c r="AE133" s="3">
        <v>364</v>
      </c>
      <c r="AF133" s="3">
        <v>0</v>
      </c>
      <c r="AG133" s="3">
        <v>1263.877687</v>
      </c>
      <c r="AH133" s="3">
        <v>0.5</v>
      </c>
      <c r="AI133" s="3" t="s">
        <v>683</v>
      </c>
      <c r="AJ133" s="3" t="s">
        <v>233</v>
      </c>
    </row>
    <row r="134" spans="1:36">
      <c r="A134" s="6">
        <v>43277</v>
      </c>
      <c r="B134" s="3" t="s">
        <v>684</v>
      </c>
      <c r="C134" s="3" t="s">
        <v>685</v>
      </c>
      <c r="D134" s="3" t="s">
        <v>686</v>
      </c>
      <c r="E134" s="3" t="s">
        <v>687</v>
      </c>
      <c r="F134" s="3" t="s">
        <v>228</v>
      </c>
      <c r="G134" s="3">
        <v>7</v>
      </c>
      <c r="H134" s="3">
        <v>0</v>
      </c>
      <c r="I134" s="3">
        <v>7</v>
      </c>
      <c r="J134" s="3">
        <v>0</v>
      </c>
      <c r="K134" s="3">
        <v>0</v>
      </c>
      <c r="L134" s="3">
        <v>0</v>
      </c>
      <c r="M134" s="3">
        <v>0</v>
      </c>
      <c r="N134" s="3" t="s">
        <v>229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4</v>
      </c>
      <c r="V134" s="3">
        <v>10</v>
      </c>
      <c r="W134" s="3" t="s">
        <v>230</v>
      </c>
      <c r="X134" s="3">
        <v>89.6</v>
      </c>
      <c r="Y134" s="3">
        <v>89.6</v>
      </c>
      <c r="Z134" s="3">
        <v>89.6</v>
      </c>
      <c r="AA134" s="3">
        <v>0</v>
      </c>
      <c r="AB134" s="3" t="s">
        <v>231</v>
      </c>
      <c r="AC134" s="3">
        <v>7</v>
      </c>
      <c r="AD134" s="3">
        <v>89.6</v>
      </c>
      <c r="AE134" s="3">
        <v>0</v>
      </c>
      <c r="AF134" s="3">
        <v>0</v>
      </c>
      <c r="AG134" s="3">
        <v>0</v>
      </c>
      <c r="AH134" s="3">
        <v>1.42857142857142</v>
      </c>
      <c r="AI134" s="3" t="s">
        <v>260</v>
      </c>
      <c r="AJ134" s="3" t="s">
        <v>233</v>
      </c>
    </row>
    <row r="135" spans="1:36">
      <c r="A135" s="6">
        <v>43277</v>
      </c>
      <c r="B135" s="3" t="s">
        <v>688</v>
      </c>
      <c r="C135" s="3" t="s">
        <v>689</v>
      </c>
      <c r="D135" s="3" t="s">
        <v>689</v>
      </c>
      <c r="E135" s="3" t="s">
        <v>690</v>
      </c>
      <c r="F135" s="3" t="s">
        <v>228</v>
      </c>
      <c r="G135" s="3">
        <v>2</v>
      </c>
      <c r="H135" s="3">
        <v>0</v>
      </c>
      <c r="I135" s="3">
        <v>0</v>
      </c>
      <c r="J135" s="3">
        <v>2</v>
      </c>
      <c r="K135" s="3">
        <v>0</v>
      </c>
      <c r="L135" s="3">
        <v>0</v>
      </c>
      <c r="M135" s="3">
        <v>0</v>
      </c>
      <c r="N135" s="3" t="s">
        <v>229</v>
      </c>
      <c r="O135" s="3">
        <v>2</v>
      </c>
      <c r="P135" s="3">
        <v>10.21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230</v>
      </c>
      <c r="X135" s="3">
        <v>256</v>
      </c>
      <c r="Y135" s="3">
        <v>88.99</v>
      </c>
      <c r="Z135" s="3">
        <v>88.99</v>
      </c>
      <c r="AA135" s="3">
        <v>0</v>
      </c>
      <c r="AB135" s="3" t="s">
        <v>359</v>
      </c>
      <c r="AC135" s="3">
        <v>0</v>
      </c>
      <c r="AD135" s="3">
        <v>75.54</v>
      </c>
      <c r="AE135" s="3">
        <v>259</v>
      </c>
      <c r="AF135" s="3">
        <v>0</v>
      </c>
      <c r="AG135" s="3">
        <v>173.65047</v>
      </c>
      <c r="AH135" s="3">
        <v>0</v>
      </c>
      <c r="AI135" s="3" t="s">
        <v>691</v>
      </c>
      <c r="AJ135" s="3" t="s">
        <v>233</v>
      </c>
    </row>
    <row r="136" spans="1:36">
      <c r="A136" s="6">
        <v>43277</v>
      </c>
      <c r="B136" s="3" t="s">
        <v>692</v>
      </c>
      <c r="C136" s="3" t="s">
        <v>693</v>
      </c>
      <c r="D136" s="3" t="s">
        <v>694</v>
      </c>
      <c r="E136" s="3" t="s">
        <v>695</v>
      </c>
      <c r="F136" s="3" t="s">
        <v>228</v>
      </c>
      <c r="G136" s="3">
        <v>12</v>
      </c>
      <c r="H136" s="3">
        <v>0</v>
      </c>
      <c r="I136" s="3">
        <v>3</v>
      </c>
      <c r="J136" s="3">
        <v>9</v>
      </c>
      <c r="K136" s="3">
        <v>0</v>
      </c>
      <c r="L136" s="3">
        <v>0</v>
      </c>
      <c r="M136" s="3">
        <v>0</v>
      </c>
      <c r="N136" s="3" t="s">
        <v>229</v>
      </c>
      <c r="O136" s="3">
        <v>0</v>
      </c>
      <c r="P136" s="3">
        <v>0</v>
      </c>
      <c r="Q136" s="3">
        <v>0</v>
      </c>
      <c r="R136" s="3">
        <v>0</v>
      </c>
      <c r="S136" s="3">
        <v>1</v>
      </c>
      <c r="T136" s="3">
        <v>4</v>
      </c>
      <c r="U136" s="3">
        <v>10</v>
      </c>
      <c r="V136" s="3">
        <v>20</v>
      </c>
      <c r="W136" s="3" t="s">
        <v>230</v>
      </c>
      <c r="X136" s="3">
        <v>106</v>
      </c>
      <c r="Y136" s="3">
        <v>32.99</v>
      </c>
      <c r="Z136" s="3">
        <v>32.99</v>
      </c>
      <c r="AA136" s="3">
        <v>0</v>
      </c>
      <c r="AB136" s="3" t="s">
        <v>240</v>
      </c>
      <c r="AC136" s="3">
        <v>12</v>
      </c>
      <c r="AD136" s="3">
        <v>32.99</v>
      </c>
      <c r="AE136" s="3">
        <v>0</v>
      </c>
      <c r="AF136" s="3">
        <v>0</v>
      </c>
      <c r="AG136" s="3">
        <v>0</v>
      </c>
      <c r="AH136" s="3">
        <v>1.06666666666666</v>
      </c>
      <c r="AI136" s="3">
        <v>0</v>
      </c>
      <c r="AJ136" s="3" t="s">
        <v>233</v>
      </c>
    </row>
    <row r="137" spans="1:36">
      <c r="A137" s="6">
        <v>43277</v>
      </c>
      <c r="B137" s="3" t="s">
        <v>696</v>
      </c>
      <c r="C137" s="3" t="s">
        <v>697</v>
      </c>
      <c r="D137" s="3" t="s">
        <v>698</v>
      </c>
      <c r="E137" s="3" t="s">
        <v>699</v>
      </c>
      <c r="F137" s="3" t="s">
        <v>228</v>
      </c>
      <c r="G137" s="3">
        <v>5</v>
      </c>
      <c r="H137" s="3">
        <v>0</v>
      </c>
      <c r="I137" s="3">
        <v>5</v>
      </c>
      <c r="J137" s="3">
        <v>0</v>
      </c>
      <c r="K137" s="3">
        <v>0</v>
      </c>
      <c r="L137" s="3">
        <v>0</v>
      </c>
      <c r="M137" s="3">
        <v>0</v>
      </c>
      <c r="N137" s="3" t="s">
        <v>229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/>
      <c r="X137" s="3"/>
      <c r="Y137" s="3"/>
      <c r="Z137" s="3">
        <v>-1</v>
      </c>
      <c r="AA137" s="3">
        <v>-1</v>
      </c>
      <c r="AB137" s="3" t="s">
        <v>508</v>
      </c>
      <c r="AC137" s="3">
        <v>0</v>
      </c>
      <c r="AD137" s="3">
        <v>0</v>
      </c>
      <c r="AE137" s="3">
        <v>0</v>
      </c>
      <c r="AF137" s="3">
        <v>0</v>
      </c>
      <c r="AG137" s="3">
        <v>0</v>
      </c>
      <c r="AH137" s="3">
        <v>0</v>
      </c>
      <c r="AI137" s="3" t="s">
        <v>700</v>
      </c>
      <c r="AJ137" s="3" t="s">
        <v>233</v>
      </c>
    </row>
    <row r="138" spans="1:36">
      <c r="A138" s="6">
        <v>43277</v>
      </c>
      <c r="B138" s="3" t="s">
        <v>701</v>
      </c>
      <c r="C138" s="3" t="s">
        <v>702</v>
      </c>
      <c r="D138" s="3" t="s">
        <v>702</v>
      </c>
      <c r="E138" s="3" t="s">
        <v>703</v>
      </c>
      <c r="F138" s="3" t="s">
        <v>228</v>
      </c>
      <c r="G138" s="3">
        <v>8</v>
      </c>
      <c r="H138" s="3">
        <v>0</v>
      </c>
      <c r="I138" s="3">
        <v>1</v>
      </c>
      <c r="J138" s="3">
        <v>7</v>
      </c>
      <c r="K138" s="3">
        <v>0</v>
      </c>
      <c r="L138" s="3">
        <v>0</v>
      </c>
      <c r="M138" s="3">
        <v>0</v>
      </c>
      <c r="N138" s="3" t="s">
        <v>229</v>
      </c>
      <c r="O138" s="3">
        <v>6</v>
      </c>
      <c r="P138" s="3">
        <v>0.35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1</v>
      </c>
      <c r="W138" s="3" t="s">
        <v>230</v>
      </c>
      <c r="X138" s="3">
        <v>32.99</v>
      </c>
      <c r="Y138" s="3">
        <v>32.99</v>
      </c>
      <c r="Z138" s="3">
        <v>32.99</v>
      </c>
      <c r="AA138" s="3">
        <v>0</v>
      </c>
      <c r="AB138" s="3" t="s">
        <v>231</v>
      </c>
      <c r="AC138" s="3">
        <v>0</v>
      </c>
      <c r="AD138" s="3">
        <v>26.27</v>
      </c>
      <c r="AE138" s="3">
        <v>364</v>
      </c>
      <c r="AF138" s="3">
        <v>0</v>
      </c>
      <c r="AG138" s="3">
        <v>91.420097</v>
      </c>
      <c r="AH138" s="3">
        <v>0.125</v>
      </c>
      <c r="AI138" s="3" t="s">
        <v>350</v>
      </c>
      <c r="AJ138" s="3" t="s">
        <v>233</v>
      </c>
    </row>
    <row r="139" spans="1:36">
      <c r="A139" s="6">
        <v>43277</v>
      </c>
      <c r="B139" s="3" t="s">
        <v>704</v>
      </c>
      <c r="C139" s="3" t="s">
        <v>705</v>
      </c>
      <c r="D139" s="3" t="s">
        <v>705</v>
      </c>
      <c r="E139" s="3" t="s">
        <v>706</v>
      </c>
      <c r="F139" s="3" t="s">
        <v>228</v>
      </c>
      <c r="G139" s="3">
        <v>34</v>
      </c>
      <c r="H139" s="3">
        <v>0</v>
      </c>
      <c r="I139" s="3">
        <v>1</v>
      </c>
      <c r="J139" s="3">
        <v>27</v>
      </c>
      <c r="K139" s="3">
        <v>6</v>
      </c>
      <c r="L139" s="3">
        <v>0</v>
      </c>
      <c r="M139" s="3">
        <v>0</v>
      </c>
      <c r="N139" s="3" t="s">
        <v>229</v>
      </c>
      <c r="O139" s="3">
        <v>33</v>
      </c>
      <c r="P139" s="3">
        <v>191.83</v>
      </c>
      <c r="Q139" s="3">
        <v>0</v>
      </c>
      <c r="R139" s="3">
        <v>0</v>
      </c>
      <c r="S139" s="3">
        <v>0</v>
      </c>
      <c r="T139" s="3">
        <v>2</v>
      </c>
      <c r="U139" s="3">
        <v>5</v>
      </c>
      <c r="V139" s="3">
        <v>8</v>
      </c>
      <c r="W139" s="3" t="s">
        <v>230</v>
      </c>
      <c r="X139" s="3">
        <v>89.99</v>
      </c>
      <c r="Y139" s="3">
        <v>89.99</v>
      </c>
      <c r="Z139" s="3">
        <v>89.99</v>
      </c>
      <c r="AA139" s="3">
        <v>0</v>
      </c>
      <c r="AB139" s="3" t="s">
        <v>231</v>
      </c>
      <c r="AC139" s="3">
        <v>0</v>
      </c>
      <c r="AD139" s="3">
        <v>89.99</v>
      </c>
      <c r="AE139" s="3">
        <v>364</v>
      </c>
      <c r="AF139" s="3">
        <v>0</v>
      </c>
      <c r="AG139" s="3">
        <v>2603.035662</v>
      </c>
      <c r="AH139" s="3">
        <v>0.216216216216216</v>
      </c>
      <c r="AI139" s="3" t="s">
        <v>707</v>
      </c>
      <c r="AJ139" s="3" t="s">
        <v>233</v>
      </c>
    </row>
    <row r="140" spans="1:36">
      <c r="A140" s="6">
        <v>43277</v>
      </c>
      <c r="B140" s="3" t="s">
        <v>708</v>
      </c>
      <c r="C140" s="3" t="s">
        <v>709</v>
      </c>
      <c r="D140" s="3" t="s">
        <v>709</v>
      </c>
      <c r="E140" s="3" t="s">
        <v>710</v>
      </c>
      <c r="F140" s="3" t="s">
        <v>228</v>
      </c>
      <c r="G140" s="3">
        <v>3</v>
      </c>
      <c r="H140" s="3">
        <v>0</v>
      </c>
      <c r="I140" s="3">
        <v>0</v>
      </c>
      <c r="J140" s="3">
        <v>3</v>
      </c>
      <c r="K140" s="3">
        <v>0</v>
      </c>
      <c r="L140" s="3">
        <v>0</v>
      </c>
      <c r="M140" s="3">
        <v>0</v>
      </c>
      <c r="N140" s="3" t="s">
        <v>229</v>
      </c>
      <c r="O140" s="3">
        <v>3</v>
      </c>
      <c r="P140" s="3">
        <v>10.65</v>
      </c>
      <c r="Q140" s="3">
        <v>0</v>
      </c>
      <c r="R140" s="3">
        <v>0</v>
      </c>
      <c r="S140" s="3">
        <v>0</v>
      </c>
      <c r="T140" s="3">
        <v>0</v>
      </c>
      <c r="U140" s="3">
        <v>2</v>
      </c>
      <c r="V140" s="3">
        <v>3</v>
      </c>
      <c r="W140" s="3" t="s">
        <v>230</v>
      </c>
      <c r="X140" s="3">
        <v>256</v>
      </c>
      <c r="Y140" s="3">
        <v>89.99</v>
      </c>
      <c r="Z140" s="3">
        <v>89.99</v>
      </c>
      <c r="AA140" s="3">
        <v>0</v>
      </c>
      <c r="AB140" s="3" t="s">
        <v>240</v>
      </c>
      <c r="AC140" s="3">
        <v>3</v>
      </c>
      <c r="AD140" s="3">
        <v>89.99</v>
      </c>
      <c r="AE140" s="3">
        <v>0</v>
      </c>
      <c r="AF140" s="3">
        <v>0</v>
      </c>
      <c r="AG140" s="3">
        <v>0</v>
      </c>
      <c r="AH140" s="3">
        <v>0.666666666666666</v>
      </c>
      <c r="AI140" s="3" t="s">
        <v>711</v>
      </c>
      <c r="AJ140" s="3" t="s">
        <v>282</v>
      </c>
    </row>
    <row r="141" spans="1:36">
      <c r="A141" s="6">
        <v>43277</v>
      </c>
      <c r="B141" s="3" t="s">
        <v>712</v>
      </c>
      <c r="C141" s="3" t="s">
        <v>713</v>
      </c>
      <c r="D141" s="3" t="s">
        <v>714</v>
      </c>
      <c r="E141" s="3" t="s">
        <v>715</v>
      </c>
      <c r="F141" s="3" t="s">
        <v>228</v>
      </c>
      <c r="G141" s="3">
        <v>7</v>
      </c>
      <c r="H141" s="3">
        <v>0</v>
      </c>
      <c r="I141" s="3">
        <v>7</v>
      </c>
      <c r="J141" s="3">
        <v>0</v>
      </c>
      <c r="K141" s="3">
        <v>0</v>
      </c>
      <c r="L141" s="3">
        <v>0</v>
      </c>
      <c r="M141" s="3">
        <v>0</v>
      </c>
      <c r="N141" s="3" t="s">
        <v>229</v>
      </c>
      <c r="O141" s="3">
        <v>0</v>
      </c>
      <c r="P141" s="3">
        <v>0</v>
      </c>
      <c r="Q141" s="3">
        <v>0</v>
      </c>
      <c r="R141" s="3">
        <v>0</v>
      </c>
      <c r="S141" s="3">
        <v>1</v>
      </c>
      <c r="T141" s="3">
        <v>2</v>
      </c>
      <c r="U141" s="3">
        <v>3</v>
      </c>
      <c r="V141" s="3">
        <v>5</v>
      </c>
      <c r="W141" s="3" t="s">
        <v>230</v>
      </c>
      <c r="X141" s="3">
        <v>89.99</v>
      </c>
      <c r="Y141" s="3">
        <v>89.99</v>
      </c>
      <c r="Z141" s="3">
        <v>89.99</v>
      </c>
      <c r="AA141" s="3">
        <v>0</v>
      </c>
      <c r="AB141" s="3" t="s">
        <v>231</v>
      </c>
      <c r="AC141" s="3">
        <v>0</v>
      </c>
      <c r="AD141" s="3">
        <v>72.27</v>
      </c>
      <c r="AE141" s="3">
        <v>357</v>
      </c>
      <c r="AF141" s="3">
        <v>0</v>
      </c>
      <c r="AG141" s="3">
        <v>804.653638</v>
      </c>
      <c r="AH141" s="3">
        <v>0.869565217391304</v>
      </c>
      <c r="AI141" s="3" t="s">
        <v>388</v>
      </c>
      <c r="AJ141" s="3" t="s">
        <v>233</v>
      </c>
    </row>
    <row r="142" spans="1:36">
      <c r="A142" s="6">
        <v>43277</v>
      </c>
      <c r="B142" s="3" t="s">
        <v>716</v>
      </c>
      <c r="C142" s="3" t="s">
        <v>717</v>
      </c>
      <c r="D142" s="3" t="s">
        <v>718</v>
      </c>
      <c r="E142" s="3" t="s">
        <v>719</v>
      </c>
      <c r="F142" s="3" t="s">
        <v>228</v>
      </c>
      <c r="G142" s="3">
        <v>12</v>
      </c>
      <c r="H142" s="3">
        <v>0</v>
      </c>
      <c r="I142" s="3">
        <v>12</v>
      </c>
      <c r="J142" s="3">
        <v>0</v>
      </c>
      <c r="K142" s="3">
        <v>0</v>
      </c>
      <c r="L142" s="3">
        <v>0</v>
      </c>
      <c r="M142" s="3">
        <v>0</v>
      </c>
      <c r="N142" s="3" t="s">
        <v>229</v>
      </c>
      <c r="O142" s="3">
        <v>0</v>
      </c>
      <c r="P142" s="3">
        <v>0</v>
      </c>
      <c r="Q142" s="3">
        <v>0</v>
      </c>
      <c r="R142" s="3">
        <v>0</v>
      </c>
      <c r="S142" s="3">
        <v>2</v>
      </c>
      <c r="T142" s="3">
        <v>5</v>
      </c>
      <c r="U142" s="3">
        <v>15</v>
      </c>
      <c r="V142" s="3">
        <v>30</v>
      </c>
      <c r="W142" s="3" t="s">
        <v>230</v>
      </c>
      <c r="X142" s="3">
        <v>106</v>
      </c>
      <c r="Y142" s="3">
        <v>32.99</v>
      </c>
      <c r="Z142" s="3">
        <v>32.99</v>
      </c>
      <c r="AA142" s="3">
        <v>0</v>
      </c>
      <c r="AB142" s="3" t="s">
        <v>235</v>
      </c>
      <c r="AC142" s="3">
        <v>0</v>
      </c>
      <c r="AD142" s="3">
        <v>32.99</v>
      </c>
      <c r="AE142" s="3">
        <v>0</v>
      </c>
      <c r="AF142" s="3">
        <v>13</v>
      </c>
      <c r="AG142" s="3">
        <v>135.01142</v>
      </c>
      <c r="AH142" s="3">
        <v>1.81818181818181</v>
      </c>
      <c r="AI142" s="3" t="s">
        <v>451</v>
      </c>
      <c r="AJ142" s="3" t="s">
        <v>233</v>
      </c>
    </row>
    <row r="143" spans="1:36">
      <c r="A143" s="6">
        <v>43277</v>
      </c>
      <c r="B143" s="3" t="s">
        <v>720</v>
      </c>
      <c r="C143" s="3" t="s">
        <v>721</v>
      </c>
      <c r="D143" s="3" t="s">
        <v>722</v>
      </c>
      <c r="E143" s="3" t="s">
        <v>723</v>
      </c>
      <c r="F143" s="3" t="s">
        <v>228</v>
      </c>
      <c r="G143" s="3">
        <v>2</v>
      </c>
      <c r="H143" s="3">
        <v>0</v>
      </c>
      <c r="I143" s="3">
        <v>2</v>
      </c>
      <c r="J143" s="3">
        <v>0</v>
      </c>
      <c r="K143" s="3">
        <v>0</v>
      </c>
      <c r="L143" s="3">
        <v>0</v>
      </c>
      <c r="M143" s="3">
        <v>0</v>
      </c>
      <c r="N143" s="3" t="s">
        <v>229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230</v>
      </c>
      <c r="X143" s="3">
        <v>178</v>
      </c>
      <c r="Y143" s="3">
        <v>108.99</v>
      </c>
      <c r="Z143" s="3">
        <v>108.99</v>
      </c>
      <c r="AA143" s="3">
        <v>0</v>
      </c>
      <c r="AB143" s="3" t="s">
        <v>240</v>
      </c>
      <c r="AC143" s="3">
        <v>2</v>
      </c>
      <c r="AD143" s="3">
        <v>108.99</v>
      </c>
      <c r="AE143" s="3">
        <v>0</v>
      </c>
      <c r="AF143" s="3">
        <v>0</v>
      </c>
      <c r="AG143" s="3">
        <v>0</v>
      </c>
      <c r="AH143" s="3">
        <v>0</v>
      </c>
      <c r="AI143" s="3" t="s">
        <v>724</v>
      </c>
      <c r="AJ143" s="3" t="s">
        <v>282</v>
      </c>
    </row>
    <row r="144" spans="1:36">
      <c r="A144" s="6">
        <v>43277</v>
      </c>
      <c r="B144" s="3" t="s">
        <v>725</v>
      </c>
      <c r="C144" s="3" t="s">
        <v>726</v>
      </c>
      <c r="D144" s="3" t="s">
        <v>727</v>
      </c>
      <c r="E144" s="3" t="s">
        <v>728</v>
      </c>
      <c r="F144" s="3" t="s">
        <v>228</v>
      </c>
      <c r="G144" s="3">
        <v>4</v>
      </c>
      <c r="H144" s="3">
        <v>0</v>
      </c>
      <c r="I144" s="3">
        <v>4</v>
      </c>
      <c r="J144" s="3">
        <v>0</v>
      </c>
      <c r="K144" s="3">
        <v>0</v>
      </c>
      <c r="L144" s="3">
        <v>0</v>
      </c>
      <c r="M144" s="3">
        <v>0</v>
      </c>
      <c r="N144" s="3" t="s">
        <v>229</v>
      </c>
      <c r="O144" s="3">
        <v>0</v>
      </c>
      <c r="P144" s="3">
        <v>0</v>
      </c>
      <c r="Q144" s="3">
        <v>0</v>
      </c>
      <c r="R144" s="3">
        <v>0</v>
      </c>
      <c r="S144" s="3">
        <v>1</v>
      </c>
      <c r="T144" s="3">
        <v>5</v>
      </c>
      <c r="U144" s="3">
        <v>5</v>
      </c>
      <c r="V144" s="3">
        <v>5</v>
      </c>
      <c r="W144" s="3" t="s">
        <v>230</v>
      </c>
      <c r="X144" s="3">
        <v>85.99</v>
      </c>
      <c r="Y144" s="3">
        <v>85.99</v>
      </c>
      <c r="Z144" s="3">
        <v>85.99</v>
      </c>
      <c r="AA144" s="3">
        <v>0</v>
      </c>
      <c r="AB144" s="3" t="s">
        <v>231</v>
      </c>
      <c r="AC144" s="3">
        <v>4</v>
      </c>
      <c r="AD144" s="3">
        <v>85.99</v>
      </c>
      <c r="AE144" s="3">
        <v>0</v>
      </c>
      <c r="AF144" s="3">
        <v>0</v>
      </c>
      <c r="AG144" s="3">
        <v>0</v>
      </c>
      <c r="AH144" s="3">
        <v>1.25</v>
      </c>
      <c r="AI144" s="3" t="s">
        <v>729</v>
      </c>
      <c r="AJ144" s="3" t="s">
        <v>233</v>
      </c>
    </row>
    <row r="145" spans="1:36">
      <c r="A145" s="6">
        <v>43277</v>
      </c>
      <c r="B145" s="3" t="s">
        <v>68</v>
      </c>
      <c r="C145" s="3" t="s">
        <v>69</v>
      </c>
      <c r="D145" s="3" t="s">
        <v>70</v>
      </c>
      <c r="E145" s="3" t="s">
        <v>71</v>
      </c>
      <c r="F145" s="3" t="s">
        <v>228</v>
      </c>
      <c r="G145" s="3">
        <v>7</v>
      </c>
      <c r="H145" s="3">
        <v>0</v>
      </c>
      <c r="I145" s="3">
        <v>7</v>
      </c>
      <c r="J145" s="3">
        <v>0</v>
      </c>
      <c r="K145" s="3">
        <v>0</v>
      </c>
      <c r="L145" s="3">
        <v>0</v>
      </c>
      <c r="M145" s="3">
        <v>0</v>
      </c>
      <c r="N145" s="3" t="s">
        <v>229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2</v>
      </c>
      <c r="U145" s="3">
        <v>5</v>
      </c>
      <c r="V145" s="3">
        <v>9</v>
      </c>
      <c r="W145" s="3" t="s">
        <v>230</v>
      </c>
      <c r="X145" s="3">
        <v>32.99</v>
      </c>
      <c r="Y145" s="3">
        <v>32.99</v>
      </c>
      <c r="Z145" s="3">
        <v>32.99</v>
      </c>
      <c r="AA145" s="3">
        <v>0</v>
      </c>
      <c r="AB145" s="3" t="s">
        <v>231</v>
      </c>
      <c r="AC145" s="3">
        <v>0</v>
      </c>
      <c r="AD145" s="3">
        <v>32.99</v>
      </c>
      <c r="AE145" s="3">
        <v>0</v>
      </c>
      <c r="AF145" s="3">
        <v>7</v>
      </c>
      <c r="AG145" s="3">
        <v>54.241908</v>
      </c>
      <c r="AH145" s="3">
        <v>2.71428571428571</v>
      </c>
      <c r="AI145" s="3" t="s">
        <v>509</v>
      </c>
      <c r="AJ145" s="3" t="s">
        <v>233</v>
      </c>
    </row>
    <row r="146" spans="1:36">
      <c r="A146" s="6">
        <v>43277</v>
      </c>
      <c r="B146" s="3" t="s">
        <v>730</v>
      </c>
      <c r="C146" s="3" t="s">
        <v>731</v>
      </c>
      <c r="D146" s="3" t="s">
        <v>732</v>
      </c>
      <c r="E146" s="3" t="s">
        <v>119</v>
      </c>
      <c r="F146" s="3" t="s">
        <v>228</v>
      </c>
      <c r="G146" s="3">
        <v>7</v>
      </c>
      <c r="H146" s="3">
        <v>0</v>
      </c>
      <c r="I146" s="3">
        <v>7</v>
      </c>
      <c r="J146" s="3">
        <v>0</v>
      </c>
      <c r="K146" s="3">
        <v>0</v>
      </c>
      <c r="L146" s="3">
        <v>0</v>
      </c>
      <c r="M146" s="3">
        <v>0</v>
      </c>
      <c r="N146" s="3" t="s">
        <v>229</v>
      </c>
      <c r="O146" s="3">
        <v>0</v>
      </c>
      <c r="P146" s="3">
        <v>0</v>
      </c>
      <c r="Q146" s="3">
        <v>0</v>
      </c>
      <c r="R146" s="3">
        <v>0</v>
      </c>
      <c r="S146" s="3">
        <v>5</v>
      </c>
      <c r="T146" s="3">
        <v>6</v>
      </c>
      <c r="U146" s="3">
        <v>9</v>
      </c>
      <c r="V146" s="3">
        <v>11</v>
      </c>
      <c r="W146" s="3" t="s">
        <v>230</v>
      </c>
      <c r="X146" s="3">
        <v>256</v>
      </c>
      <c r="Y146" s="3">
        <v>82.99</v>
      </c>
      <c r="Z146" s="3">
        <v>82.99</v>
      </c>
      <c r="AA146" s="3">
        <v>0</v>
      </c>
      <c r="AB146" s="3" t="s">
        <v>235</v>
      </c>
      <c r="AC146" s="3">
        <v>0</v>
      </c>
      <c r="AD146" s="3">
        <v>79.99</v>
      </c>
      <c r="AE146" s="3">
        <v>0</v>
      </c>
      <c r="AF146" s="3">
        <v>8</v>
      </c>
      <c r="AG146" s="3">
        <v>28.889228</v>
      </c>
      <c r="AH146" s="3">
        <v>1.57142857142857</v>
      </c>
      <c r="AI146" s="3" t="s">
        <v>733</v>
      </c>
      <c r="AJ146" s="3" t="s">
        <v>233</v>
      </c>
    </row>
    <row r="147" spans="1:36">
      <c r="A147" s="6">
        <v>43277</v>
      </c>
      <c r="B147" s="3" t="s">
        <v>734</v>
      </c>
      <c r="C147" s="3" t="s">
        <v>735</v>
      </c>
      <c r="D147" s="3" t="s">
        <v>735</v>
      </c>
      <c r="E147" s="3" t="s">
        <v>736</v>
      </c>
      <c r="F147" s="3" t="s">
        <v>228</v>
      </c>
      <c r="G147" s="3">
        <v>12</v>
      </c>
      <c r="H147" s="3">
        <v>0</v>
      </c>
      <c r="I147" s="3">
        <v>0</v>
      </c>
      <c r="J147" s="3">
        <v>12</v>
      </c>
      <c r="K147" s="3">
        <v>0</v>
      </c>
      <c r="L147" s="3">
        <v>0</v>
      </c>
      <c r="M147" s="3">
        <v>0</v>
      </c>
      <c r="N147" s="3" t="s">
        <v>229</v>
      </c>
      <c r="O147" s="3">
        <v>12</v>
      </c>
      <c r="P147" s="3">
        <v>55.31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234</v>
      </c>
      <c r="X147" s="3">
        <v>79.99</v>
      </c>
      <c r="Y147" s="3">
        <v>79.99</v>
      </c>
      <c r="Z147" s="3">
        <v>79.99</v>
      </c>
      <c r="AA147" s="3">
        <v>0</v>
      </c>
      <c r="AB147" s="3" t="s">
        <v>359</v>
      </c>
      <c r="AC147" s="3">
        <v>0</v>
      </c>
      <c r="AD147" s="3">
        <v>66.11</v>
      </c>
      <c r="AE147" s="3">
        <v>245</v>
      </c>
      <c r="AF147" s="3">
        <v>0</v>
      </c>
      <c r="AG147" s="3">
        <v>985.534812</v>
      </c>
      <c r="AH147" s="3">
        <v>0</v>
      </c>
      <c r="AI147" s="3" t="s">
        <v>737</v>
      </c>
      <c r="AJ147" s="3" t="s">
        <v>233</v>
      </c>
    </row>
    <row r="148" spans="1:36">
      <c r="A148" s="6">
        <v>43277</v>
      </c>
      <c r="B148" s="3" t="s">
        <v>128</v>
      </c>
      <c r="C148" s="3" t="s">
        <v>129</v>
      </c>
      <c r="D148" s="3" t="s">
        <v>129</v>
      </c>
      <c r="E148" s="3" t="s">
        <v>130</v>
      </c>
      <c r="F148" s="3" t="s">
        <v>228</v>
      </c>
      <c r="G148" s="3">
        <v>17</v>
      </c>
      <c r="H148" s="3">
        <v>0</v>
      </c>
      <c r="I148" s="3">
        <v>0</v>
      </c>
      <c r="J148" s="3">
        <v>17</v>
      </c>
      <c r="K148" s="3">
        <v>0</v>
      </c>
      <c r="L148" s="3">
        <v>0</v>
      </c>
      <c r="M148" s="3">
        <v>0</v>
      </c>
      <c r="N148" s="3" t="s">
        <v>229</v>
      </c>
      <c r="O148" s="3">
        <v>15</v>
      </c>
      <c r="P148" s="3">
        <v>31.43</v>
      </c>
      <c r="Q148" s="3">
        <v>0</v>
      </c>
      <c r="R148" s="3">
        <v>0</v>
      </c>
      <c r="S148" s="3">
        <v>2</v>
      </c>
      <c r="T148" s="3">
        <v>2</v>
      </c>
      <c r="U148" s="3">
        <v>3</v>
      </c>
      <c r="V148" s="3">
        <v>7</v>
      </c>
      <c r="W148" s="3" t="s">
        <v>234</v>
      </c>
      <c r="X148" s="3">
        <v>132</v>
      </c>
      <c r="Y148" s="3">
        <v>26.99</v>
      </c>
      <c r="Z148" s="3">
        <v>26.99</v>
      </c>
      <c r="AA148" s="3">
        <v>0</v>
      </c>
      <c r="AB148" s="3" t="s">
        <v>235</v>
      </c>
      <c r="AC148" s="3">
        <v>0</v>
      </c>
      <c r="AD148" s="3">
        <v>72.15</v>
      </c>
      <c r="AE148" s="3">
        <v>35</v>
      </c>
      <c r="AF148" s="3">
        <v>0</v>
      </c>
      <c r="AG148" s="3">
        <v>1049.358286</v>
      </c>
      <c r="AH148" s="3">
        <v>0.35</v>
      </c>
      <c r="AI148" s="3" t="s">
        <v>738</v>
      </c>
      <c r="AJ148" s="3" t="s">
        <v>233</v>
      </c>
    </row>
    <row r="149" spans="1:36">
      <c r="A149" s="6">
        <v>43277</v>
      </c>
      <c r="B149" s="3" t="s">
        <v>32</v>
      </c>
      <c r="C149" s="3" t="s">
        <v>33</v>
      </c>
      <c r="D149" s="3" t="s">
        <v>34</v>
      </c>
      <c r="E149" s="3" t="s">
        <v>35</v>
      </c>
      <c r="F149" s="3" t="s">
        <v>228</v>
      </c>
      <c r="G149" s="3">
        <v>15</v>
      </c>
      <c r="H149" s="3">
        <v>0</v>
      </c>
      <c r="I149" s="3">
        <v>15</v>
      </c>
      <c r="J149" s="3">
        <v>0</v>
      </c>
      <c r="K149" s="3">
        <v>0</v>
      </c>
      <c r="L149" s="3">
        <v>0</v>
      </c>
      <c r="M149" s="3">
        <v>0</v>
      </c>
      <c r="N149" s="3" t="s">
        <v>229</v>
      </c>
      <c r="O149" s="3">
        <v>0</v>
      </c>
      <c r="P149" s="3">
        <v>0</v>
      </c>
      <c r="Q149" s="3">
        <v>0</v>
      </c>
      <c r="R149" s="3">
        <v>0</v>
      </c>
      <c r="S149" s="3">
        <v>3</v>
      </c>
      <c r="T149" s="3">
        <v>11</v>
      </c>
      <c r="U149" s="3">
        <v>18</v>
      </c>
      <c r="V149" s="3">
        <v>24</v>
      </c>
      <c r="W149" s="3" t="s">
        <v>230</v>
      </c>
      <c r="X149" s="3">
        <v>94.6</v>
      </c>
      <c r="Y149" s="3">
        <v>94.6</v>
      </c>
      <c r="Z149" s="3">
        <v>94.6</v>
      </c>
      <c r="AA149" s="3">
        <v>0</v>
      </c>
      <c r="AB149" s="3" t="s">
        <v>231</v>
      </c>
      <c r="AC149" s="3">
        <v>8</v>
      </c>
      <c r="AD149" s="3">
        <v>94.6</v>
      </c>
      <c r="AE149" s="3">
        <v>0</v>
      </c>
      <c r="AF149" s="3">
        <v>0</v>
      </c>
      <c r="AG149" s="3">
        <v>0</v>
      </c>
      <c r="AH149" s="3">
        <v>3.3103448275862</v>
      </c>
      <c r="AI149" s="3" t="s">
        <v>739</v>
      </c>
      <c r="AJ149" s="3" t="s">
        <v>233</v>
      </c>
    </row>
    <row r="150" spans="1:33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D37" sqref="D37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211</v>
      </c>
      <c r="G1" s="3" t="s">
        <v>740</v>
      </c>
      <c r="H1" s="3" t="s">
        <v>741</v>
      </c>
      <c r="I1" s="3" t="s">
        <v>742</v>
      </c>
      <c r="J1" s="3" t="s">
        <v>743</v>
      </c>
      <c r="K1" s="3" t="s">
        <v>744</v>
      </c>
      <c r="L1" s="3" t="s">
        <v>745</v>
      </c>
      <c r="M1" s="3" t="s">
        <v>746</v>
      </c>
      <c r="N1" s="3" t="s">
        <v>747</v>
      </c>
      <c r="O1" s="3" t="s">
        <v>748</v>
      </c>
      <c r="P1" s="3" t="s">
        <v>749</v>
      </c>
      <c r="Q1" s="3" t="s">
        <v>750</v>
      </c>
      <c r="R1" s="3" t="s">
        <v>751</v>
      </c>
    </row>
    <row r="2" spans="1:18">
      <c r="A2" s="3" t="s">
        <v>40</v>
      </c>
      <c r="B2" s="3" t="s">
        <v>41</v>
      </c>
      <c r="C2" s="3" t="s">
        <v>42</v>
      </c>
      <c r="D2" s="3" t="s">
        <v>43</v>
      </c>
      <c r="E2" s="3" t="s">
        <v>228</v>
      </c>
      <c r="F2" s="3">
        <v>159.99</v>
      </c>
      <c r="G2" s="3" t="s">
        <v>752</v>
      </c>
      <c r="H2" s="3"/>
      <c r="I2" s="3" t="s">
        <v>753</v>
      </c>
      <c r="J2" s="3">
        <v>253</v>
      </c>
      <c r="K2" s="3">
        <v>104</v>
      </c>
      <c r="L2" s="3">
        <v>5</v>
      </c>
      <c r="M2" s="3">
        <v>144</v>
      </c>
      <c r="N2" s="3">
        <v>253</v>
      </c>
      <c r="O2" s="3">
        <v>0.6</v>
      </c>
      <c r="P2" s="3">
        <v>0</v>
      </c>
      <c r="Q2" s="3">
        <v>0</v>
      </c>
      <c r="R2" s="3">
        <v>0</v>
      </c>
    </row>
    <row r="3" spans="1:18">
      <c r="A3" s="3" t="s">
        <v>660</v>
      </c>
      <c r="B3" s="3" t="s">
        <v>661</v>
      </c>
      <c r="C3" s="3" t="s">
        <v>661</v>
      </c>
      <c r="D3" s="3" t="s">
        <v>662</v>
      </c>
      <c r="E3" s="3" t="s">
        <v>228</v>
      </c>
      <c r="F3" s="3">
        <v>179.99</v>
      </c>
      <c r="G3" s="3" t="s">
        <v>752</v>
      </c>
      <c r="H3" s="3"/>
      <c r="I3" s="3" t="s">
        <v>753</v>
      </c>
      <c r="J3" s="3">
        <v>2</v>
      </c>
      <c r="K3" s="3">
        <v>2</v>
      </c>
      <c r="L3" s="3">
        <v>0</v>
      </c>
      <c r="M3" s="3">
        <v>0</v>
      </c>
      <c r="N3" s="3">
        <v>2</v>
      </c>
      <c r="O3" s="3">
        <v>0.64</v>
      </c>
      <c r="P3" s="3">
        <v>0</v>
      </c>
      <c r="Q3" s="3">
        <v>0</v>
      </c>
      <c r="R3" s="3">
        <v>0</v>
      </c>
    </row>
    <row r="4" spans="1:18">
      <c r="A4" s="3" t="s">
        <v>507</v>
      </c>
      <c r="B4" s="3" t="s">
        <v>70</v>
      </c>
      <c r="C4" s="3" t="s">
        <v>70</v>
      </c>
      <c r="D4" s="3" t="s">
        <v>71</v>
      </c>
      <c r="E4" s="3" t="s">
        <v>754</v>
      </c>
      <c r="F4" s="3"/>
      <c r="G4" s="3"/>
      <c r="H4" s="3"/>
      <c r="I4" s="3"/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0.14</v>
      </c>
      <c r="P4" s="3">
        <v>0</v>
      </c>
      <c r="Q4" s="3">
        <v>0</v>
      </c>
      <c r="R4" s="3">
        <v>0</v>
      </c>
    </row>
    <row r="5" spans="1:18">
      <c r="A5" s="3" t="s">
        <v>68</v>
      </c>
      <c r="B5" s="3" t="s">
        <v>69</v>
      </c>
      <c r="C5" s="3" t="s">
        <v>70</v>
      </c>
      <c r="D5" s="3" t="s">
        <v>71</v>
      </c>
      <c r="E5" s="3" t="s">
        <v>228</v>
      </c>
      <c r="F5" s="3">
        <v>125</v>
      </c>
      <c r="G5" s="3" t="s">
        <v>752</v>
      </c>
      <c r="H5" s="3"/>
      <c r="I5" s="3" t="s">
        <v>753</v>
      </c>
      <c r="J5" s="3">
        <v>56</v>
      </c>
      <c r="K5" s="3">
        <v>6</v>
      </c>
      <c r="L5" s="3">
        <v>0</v>
      </c>
      <c r="M5" s="3">
        <v>50</v>
      </c>
      <c r="N5" s="3">
        <v>67</v>
      </c>
      <c r="O5" s="3">
        <v>0.14</v>
      </c>
      <c r="P5" s="3">
        <v>1</v>
      </c>
      <c r="Q5" s="3">
        <v>10</v>
      </c>
      <c r="R5" s="3">
        <v>0</v>
      </c>
    </row>
    <row r="6" spans="1:18">
      <c r="A6" s="3" t="s">
        <v>8</v>
      </c>
      <c r="B6" s="3" t="s">
        <v>9</v>
      </c>
      <c r="C6" s="3" t="s">
        <v>10</v>
      </c>
      <c r="D6" s="3" t="s">
        <v>11</v>
      </c>
      <c r="E6" s="3" t="s">
        <v>228</v>
      </c>
      <c r="F6" s="3">
        <v>32.99</v>
      </c>
      <c r="G6" s="3" t="s">
        <v>752</v>
      </c>
      <c r="H6" s="3"/>
      <c r="I6" s="3" t="s">
        <v>753</v>
      </c>
      <c r="J6" s="3">
        <v>61</v>
      </c>
      <c r="K6" s="3">
        <v>11</v>
      </c>
      <c r="L6" s="3">
        <v>0</v>
      </c>
      <c r="M6" s="3">
        <v>50</v>
      </c>
      <c r="N6" s="3">
        <v>61</v>
      </c>
      <c r="O6" s="3">
        <v>0.14</v>
      </c>
      <c r="P6" s="3">
        <v>0</v>
      </c>
      <c r="Q6" s="3">
        <v>0</v>
      </c>
      <c r="R6" s="3">
        <v>0</v>
      </c>
    </row>
    <row r="7" spans="1:18">
      <c r="A7" s="3" t="s">
        <v>581</v>
      </c>
      <c r="B7" s="3" t="s">
        <v>582</v>
      </c>
      <c r="C7" s="3" t="s">
        <v>583</v>
      </c>
      <c r="D7" s="3" t="s">
        <v>584</v>
      </c>
      <c r="E7" s="3" t="s">
        <v>228</v>
      </c>
      <c r="F7" s="3">
        <v>179</v>
      </c>
      <c r="G7" s="3" t="s">
        <v>752</v>
      </c>
      <c r="H7" s="3"/>
      <c r="I7" s="3" t="s">
        <v>753</v>
      </c>
      <c r="J7" s="3">
        <v>4</v>
      </c>
      <c r="K7" s="3">
        <v>4</v>
      </c>
      <c r="L7" s="3">
        <v>0</v>
      </c>
      <c r="M7" s="3">
        <v>0</v>
      </c>
      <c r="N7" s="3">
        <v>4</v>
      </c>
      <c r="O7" s="3">
        <v>0</v>
      </c>
      <c r="P7" s="3">
        <v>0</v>
      </c>
      <c r="Q7" s="3">
        <v>0</v>
      </c>
      <c r="R7" s="3">
        <v>0</v>
      </c>
    </row>
    <row r="8" spans="1:18">
      <c r="A8" s="3" t="s">
        <v>247</v>
      </c>
      <c r="B8" s="3" t="s">
        <v>248</v>
      </c>
      <c r="C8" s="3" t="s">
        <v>248</v>
      </c>
      <c r="D8" s="3" t="s">
        <v>249</v>
      </c>
      <c r="E8" s="3" t="s">
        <v>228</v>
      </c>
      <c r="F8" s="3">
        <v>125</v>
      </c>
      <c r="G8" s="3" t="s">
        <v>752</v>
      </c>
      <c r="H8" s="3"/>
      <c r="I8" s="3" t="s">
        <v>753</v>
      </c>
      <c r="J8" s="3">
        <v>1</v>
      </c>
      <c r="K8" s="3">
        <v>1</v>
      </c>
      <c r="L8" s="3">
        <v>0</v>
      </c>
      <c r="M8" s="3">
        <v>0</v>
      </c>
      <c r="N8" s="3">
        <v>1</v>
      </c>
      <c r="O8" s="3">
        <v>0.12</v>
      </c>
      <c r="P8" s="3">
        <v>0</v>
      </c>
      <c r="Q8" s="3">
        <v>0</v>
      </c>
      <c r="R8" s="3">
        <v>0</v>
      </c>
    </row>
    <row r="9" spans="1:18">
      <c r="A9" s="3" t="s">
        <v>755</v>
      </c>
      <c r="B9" s="3" t="s">
        <v>756</v>
      </c>
      <c r="C9" s="3" t="s">
        <v>248</v>
      </c>
      <c r="D9" s="3" t="s">
        <v>249</v>
      </c>
      <c r="E9" s="3" t="s">
        <v>228</v>
      </c>
      <c r="F9" s="3">
        <v>32.99</v>
      </c>
      <c r="G9" s="3" t="s">
        <v>752</v>
      </c>
      <c r="H9" s="3"/>
      <c r="I9" s="3" t="s">
        <v>753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0.12</v>
      </c>
      <c r="P9" s="3">
        <v>0</v>
      </c>
      <c r="Q9" s="3">
        <v>0</v>
      </c>
      <c r="R9" s="3">
        <v>0</v>
      </c>
    </row>
    <row r="10" spans="1:18">
      <c r="A10" s="3" t="s">
        <v>511</v>
      </c>
      <c r="B10" s="3" t="s">
        <v>323</v>
      </c>
      <c r="C10" s="3" t="s">
        <v>323</v>
      </c>
      <c r="D10" s="3" t="s">
        <v>324</v>
      </c>
      <c r="E10" s="3" t="s">
        <v>228</v>
      </c>
      <c r="F10" s="3">
        <v>32.99</v>
      </c>
      <c r="G10" s="3" t="s">
        <v>752</v>
      </c>
      <c r="H10" s="3"/>
      <c r="I10" s="3" t="s">
        <v>753</v>
      </c>
      <c r="J10" s="3">
        <v>3</v>
      </c>
      <c r="K10" s="3">
        <v>3</v>
      </c>
      <c r="L10" s="3">
        <v>0</v>
      </c>
      <c r="M10" s="3">
        <v>0</v>
      </c>
      <c r="N10" s="3">
        <v>3</v>
      </c>
      <c r="O10" s="3">
        <v>0.05</v>
      </c>
      <c r="P10" s="3">
        <v>0</v>
      </c>
      <c r="Q10" s="3">
        <v>0</v>
      </c>
      <c r="R10" s="3">
        <v>0</v>
      </c>
    </row>
    <row r="11" spans="1:18">
      <c r="A11" s="3" t="s">
        <v>321</v>
      </c>
      <c r="B11" s="3" t="s">
        <v>322</v>
      </c>
      <c r="C11" s="3" t="s">
        <v>323</v>
      </c>
      <c r="D11" s="3" t="s">
        <v>324</v>
      </c>
      <c r="E11" s="3" t="s">
        <v>228</v>
      </c>
      <c r="F11" s="3">
        <v>32.99</v>
      </c>
      <c r="G11" s="3" t="s">
        <v>752</v>
      </c>
      <c r="H11" s="3"/>
      <c r="I11" s="3" t="s">
        <v>753</v>
      </c>
      <c r="J11" s="3">
        <v>10</v>
      </c>
      <c r="K11" s="3">
        <v>10</v>
      </c>
      <c r="L11" s="3">
        <v>0</v>
      </c>
      <c r="M11" s="3">
        <v>0</v>
      </c>
      <c r="N11" s="3">
        <v>10</v>
      </c>
      <c r="O11" s="3">
        <v>0.05</v>
      </c>
      <c r="P11" s="3">
        <v>0</v>
      </c>
      <c r="Q11" s="3">
        <v>0</v>
      </c>
      <c r="R11" s="3">
        <v>0</v>
      </c>
    </row>
    <row r="12" spans="1:18">
      <c r="A12" s="3" t="s">
        <v>288</v>
      </c>
      <c r="B12" s="3" t="s">
        <v>289</v>
      </c>
      <c r="C12" s="3" t="s">
        <v>290</v>
      </c>
      <c r="D12" s="3" t="s">
        <v>291</v>
      </c>
      <c r="E12" s="3" t="s">
        <v>228</v>
      </c>
      <c r="F12" s="3">
        <v>239.99</v>
      </c>
      <c r="G12" s="3" t="s">
        <v>752</v>
      </c>
      <c r="H12" s="3"/>
      <c r="I12" s="3" t="s">
        <v>753</v>
      </c>
      <c r="J12" s="3">
        <v>12</v>
      </c>
      <c r="K12" s="3">
        <v>12</v>
      </c>
      <c r="L12" s="3">
        <v>0</v>
      </c>
      <c r="M12" s="3">
        <v>0</v>
      </c>
      <c r="N12" s="3">
        <v>12</v>
      </c>
      <c r="O12" s="3">
        <v>0.38</v>
      </c>
      <c r="P12" s="3">
        <v>0</v>
      </c>
      <c r="Q12" s="3">
        <v>0</v>
      </c>
      <c r="R12" s="3">
        <v>0</v>
      </c>
    </row>
    <row r="13" spans="1:18">
      <c r="A13" s="3" t="s">
        <v>576</v>
      </c>
      <c r="B13" s="3" t="s">
        <v>577</v>
      </c>
      <c r="C13" s="3" t="s">
        <v>578</v>
      </c>
      <c r="D13" s="3" t="s">
        <v>579</v>
      </c>
      <c r="E13" s="3" t="s">
        <v>228</v>
      </c>
      <c r="F13" s="3">
        <v>239.99</v>
      </c>
      <c r="G13" s="3" t="s">
        <v>752</v>
      </c>
      <c r="H13" s="3"/>
      <c r="I13" s="3" t="s">
        <v>753</v>
      </c>
      <c r="J13" s="3">
        <v>12</v>
      </c>
      <c r="K13" s="3">
        <v>12</v>
      </c>
      <c r="L13" s="3">
        <v>0</v>
      </c>
      <c r="M13" s="3">
        <v>0</v>
      </c>
      <c r="N13" s="3">
        <v>12</v>
      </c>
      <c r="O13" s="3">
        <v>0.44</v>
      </c>
      <c r="P13" s="3">
        <v>0</v>
      </c>
      <c r="Q13" s="3">
        <v>0</v>
      </c>
      <c r="R13" s="3">
        <v>0</v>
      </c>
    </row>
    <row r="14" spans="1:18">
      <c r="A14" s="3" t="s">
        <v>28</v>
      </c>
      <c r="B14" s="3" t="s">
        <v>29</v>
      </c>
      <c r="C14" s="3" t="s">
        <v>30</v>
      </c>
      <c r="D14" s="3" t="s">
        <v>31</v>
      </c>
      <c r="E14" s="3" t="s">
        <v>228</v>
      </c>
      <c r="F14" s="3">
        <v>89.99</v>
      </c>
      <c r="G14" s="3" t="s">
        <v>752</v>
      </c>
      <c r="H14" s="3"/>
      <c r="I14" s="3" t="s">
        <v>753</v>
      </c>
      <c r="J14" s="3">
        <v>12</v>
      </c>
      <c r="K14" s="3">
        <v>11</v>
      </c>
      <c r="L14" s="3">
        <v>0</v>
      </c>
      <c r="M14" s="3">
        <v>1</v>
      </c>
      <c r="N14" s="3">
        <v>12</v>
      </c>
      <c r="O14" s="3">
        <v>0.51</v>
      </c>
      <c r="P14" s="3">
        <v>0</v>
      </c>
      <c r="Q14" s="3">
        <v>0</v>
      </c>
      <c r="R14" s="3">
        <v>0</v>
      </c>
    </row>
    <row r="15" spans="1:18">
      <c r="A15" s="3" t="s">
        <v>608</v>
      </c>
      <c r="B15" s="3" t="s">
        <v>609</v>
      </c>
      <c r="C15" s="3" t="s">
        <v>610</v>
      </c>
      <c r="D15" s="3" t="s">
        <v>611</v>
      </c>
      <c r="E15" s="3" t="s">
        <v>228</v>
      </c>
      <c r="F15" s="3">
        <v>168</v>
      </c>
      <c r="G15" s="3" t="s">
        <v>752</v>
      </c>
      <c r="H15" s="3"/>
      <c r="I15" s="3" t="s">
        <v>753</v>
      </c>
      <c r="J15" s="3">
        <v>5</v>
      </c>
      <c r="K15" s="3">
        <v>4</v>
      </c>
      <c r="L15" s="3">
        <v>1</v>
      </c>
      <c r="M15" s="3">
        <v>0</v>
      </c>
      <c r="N15" s="3">
        <v>10</v>
      </c>
      <c r="O15" s="3">
        <v>0.47</v>
      </c>
      <c r="P15" s="3">
        <v>0</v>
      </c>
      <c r="Q15" s="3">
        <v>5</v>
      </c>
      <c r="R15" s="3">
        <v>0</v>
      </c>
    </row>
    <row r="16" spans="1:18">
      <c r="A16" s="3" t="s">
        <v>411</v>
      </c>
      <c r="B16" s="3" t="s">
        <v>412</v>
      </c>
      <c r="C16" s="3" t="s">
        <v>413</v>
      </c>
      <c r="D16" s="3" t="s">
        <v>414</v>
      </c>
      <c r="E16" s="3" t="s">
        <v>228</v>
      </c>
      <c r="F16" s="3">
        <v>278</v>
      </c>
      <c r="G16" s="3" t="s">
        <v>752</v>
      </c>
      <c r="H16" s="3"/>
      <c r="I16" s="3" t="s">
        <v>753</v>
      </c>
      <c r="J16" s="3">
        <v>5</v>
      </c>
      <c r="K16" s="3">
        <v>5</v>
      </c>
      <c r="L16" s="3">
        <v>0</v>
      </c>
      <c r="M16" s="3">
        <v>0</v>
      </c>
      <c r="N16" s="3">
        <v>5</v>
      </c>
      <c r="O16" s="3">
        <v>0.29</v>
      </c>
      <c r="P16" s="3">
        <v>0</v>
      </c>
      <c r="Q16" s="3">
        <v>0</v>
      </c>
      <c r="R16" s="3">
        <v>0</v>
      </c>
    </row>
    <row r="17" spans="1:18">
      <c r="A17" s="3" t="s">
        <v>398</v>
      </c>
      <c r="B17" s="3" t="s">
        <v>399</v>
      </c>
      <c r="C17" s="3" t="s">
        <v>400</v>
      </c>
      <c r="D17" s="3" t="s">
        <v>401</v>
      </c>
      <c r="E17" s="3" t="s">
        <v>228</v>
      </c>
      <c r="F17" s="3">
        <v>156.99</v>
      </c>
      <c r="G17" s="3" t="s">
        <v>752</v>
      </c>
      <c r="H17" s="3"/>
      <c r="I17" s="3" t="s">
        <v>753</v>
      </c>
      <c r="J17" s="3">
        <v>23</v>
      </c>
      <c r="K17" s="3">
        <v>23</v>
      </c>
      <c r="L17" s="3">
        <v>0</v>
      </c>
      <c r="M17" s="3">
        <v>0</v>
      </c>
      <c r="N17" s="3">
        <v>23</v>
      </c>
      <c r="O17" s="3">
        <v>0.74</v>
      </c>
      <c r="P17" s="3">
        <v>0</v>
      </c>
      <c r="Q17" s="3">
        <v>0</v>
      </c>
      <c r="R17" s="3">
        <v>0</v>
      </c>
    </row>
    <row r="18" spans="1:18">
      <c r="A18" s="3" t="s">
        <v>571</v>
      </c>
      <c r="B18" s="3" t="s">
        <v>572</v>
      </c>
      <c r="C18" s="3" t="s">
        <v>573</v>
      </c>
      <c r="D18" s="3" t="s">
        <v>574</v>
      </c>
      <c r="E18" s="3" t="s">
        <v>228</v>
      </c>
      <c r="F18" s="3">
        <v>89.99</v>
      </c>
      <c r="G18" s="3" t="s">
        <v>752</v>
      </c>
      <c r="H18" s="3"/>
      <c r="I18" s="3" t="s">
        <v>753</v>
      </c>
      <c r="J18" s="3">
        <v>13</v>
      </c>
      <c r="K18" s="3">
        <v>13</v>
      </c>
      <c r="L18" s="3">
        <v>0</v>
      </c>
      <c r="M18" s="3">
        <v>0</v>
      </c>
      <c r="N18" s="3">
        <v>13</v>
      </c>
      <c r="O18" s="3">
        <v>0.59</v>
      </c>
      <c r="P18" s="3">
        <v>0</v>
      </c>
      <c r="Q18" s="3">
        <v>0</v>
      </c>
      <c r="R18" s="3">
        <v>0</v>
      </c>
    </row>
    <row r="19" spans="1:18">
      <c r="A19" s="3" t="s">
        <v>565</v>
      </c>
      <c r="B19" s="3" t="s">
        <v>566</v>
      </c>
      <c r="C19" s="3" t="s">
        <v>567</v>
      </c>
      <c r="D19" s="3" t="s">
        <v>568</v>
      </c>
      <c r="E19" s="3" t="s">
        <v>228</v>
      </c>
      <c r="F19" s="3">
        <v>175</v>
      </c>
      <c r="G19" s="3" t="s">
        <v>752</v>
      </c>
      <c r="H19" s="3"/>
      <c r="I19" s="3" t="s">
        <v>753</v>
      </c>
      <c r="J19" s="3">
        <v>8</v>
      </c>
      <c r="K19" s="3">
        <v>7</v>
      </c>
      <c r="L19" s="3">
        <v>1</v>
      </c>
      <c r="M19" s="3">
        <v>0</v>
      </c>
      <c r="N19" s="3">
        <v>8</v>
      </c>
      <c r="O19" s="3">
        <v>0.48</v>
      </c>
      <c r="P19" s="3">
        <v>0</v>
      </c>
      <c r="Q19" s="3">
        <v>0</v>
      </c>
      <c r="R19" s="3">
        <v>0</v>
      </c>
    </row>
    <row r="20" spans="1:18">
      <c r="A20" s="3" t="s">
        <v>465</v>
      </c>
      <c r="B20" s="3" t="s">
        <v>466</v>
      </c>
      <c r="C20" s="3" t="s">
        <v>467</v>
      </c>
      <c r="D20" s="3" t="s">
        <v>468</v>
      </c>
      <c r="E20" s="3" t="s">
        <v>228</v>
      </c>
      <c r="F20" s="3">
        <v>79.99</v>
      </c>
      <c r="G20" s="3" t="s">
        <v>752</v>
      </c>
      <c r="H20" s="3"/>
      <c r="I20" s="3" t="s">
        <v>753</v>
      </c>
      <c r="J20" s="3">
        <v>15</v>
      </c>
      <c r="K20" s="3">
        <v>15</v>
      </c>
      <c r="L20" s="3">
        <v>0</v>
      </c>
      <c r="M20" s="3">
        <v>0</v>
      </c>
      <c r="N20" s="3">
        <v>15</v>
      </c>
      <c r="O20" s="3">
        <v>0.38</v>
      </c>
      <c r="P20" s="3">
        <v>0</v>
      </c>
      <c r="Q20" s="3">
        <v>0</v>
      </c>
      <c r="R20" s="3">
        <v>0</v>
      </c>
    </row>
    <row r="21" spans="1:18">
      <c r="A21" s="3" t="s">
        <v>545</v>
      </c>
      <c r="B21" s="3" t="s">
        <v>546</v>
      </c>
      <c r="C21" s="3" t="s">
        <v>547</v>
      </c>
      <c r="D21" s="3" t="s">
        <v>548</v>
      </c>
      <c r="E21" s="3" t="s">
        <v>228</v>
      </c>
      <c r="F21" s="3">
        <v>278</v>
      </c>
      <c r="G21" s="3" t="s">
        <v>752</v>
      </c>
      <c r="H21" s="3"/>
      <c r="I21" s="3" t="s">
        <v>753</v>
      </c>
      <c r="J21" s="3">
        <v>5</v>
      </c>
      <c r="K21" s="3">
        <v>5</v>
      </c>
      <c r="L21" s="3">
        <v>0</v>
      </c>
      <c r="M21" s="3">
        <v>0</v>
      </c>
      <c r="N21" s="3">
        <v>5</v>
      </c>
      <c r="O21" s="3">
        <v>0.42</v>
      </c>
      <c r="P21" s="3">
        <v>0</v>
      </c>
      <c r="Q21" s="3">
        <v>0</v>
      </c>
      <c r="R21" s="3">
        <v>0</v>
      </c>
    </row>
    <row r="22" spans="1:18">
      <c r="A22" s="3" t="s">
        <v>341</v>
      </c>
      <c r="B22" s="3" t="s">
        <v>342</v>
      </c>
      <c r="C22" s="3" t="s">
        <v>343</v>
      </c>
      <c r="D22" s="3" t="s">
        <v>344</v>
      </c>
      <c r="E22" s="3" t="s">
        <v>228</v>
      </c>
      <c r="F22" s="3">
        <v>278</v>
      </c>
      <c r="G22" s="3" t="s">
        <v>752</v>
      </c>
      <c r="H22" s="3"/>
      <c r="I22" s="3" t="s">
        <v>753</v>
      </c>
      <c r="J22" s="3">
        <v>3</v>
      </c>
      <c r="K22" s="3">
        <v>3</v>
      </c>
      <c r="L22" s="3">
        <v>0</v>
      </c>
      <c r="M22" s="3">
        <v>0</v>
      </c>
      <c r="N22" s="3">
        <v>8</v>
      </c>
      <c r="O22" s="3">
        <v>0.22</v>
      </c>
      <c r="P22" s="3">
        <v>5</v>
      </c>
      <c r="Q22" s="3">
        <v>0</v>
      </c>
      <c r="R22" s="3">
        <v>0</v>
      </c>
    </row>
    <row r="23" spans="1:18">
      <c r="A23" s="3" t="s">
        <v>366</v>
      </c>
      <c r="B23" s="3" t="s">
        <v>367</v>
      </c>
      <c r="C23" s="3" t="s">
        <v>368</v>
      </c>
      <c r="D23" s="3" t="s">
        <v>369</v>
      </c>
      <c r="E23" s="3" t="s">
        <v>228</v>
      </c>
      <c r="F23" s="3">
        <v>256</v>
      </c>
      <c r="G23" s="3" t="s">
        <v>752</v>
      </c>
      <c r="H23" s="3"/>
      <c r="I23" s="3" t="s">
        <v>753</v>
      </c>
      <c r="J23" s="3">
        <v>5</v>
      </c>
      <c r="K23" s="3">
        <v>5</v>
      </c>
      <c r="L23" s="3">
        <v>0</v>
      </c>
      <c r="M23" s="3">
        <v>0</v>
      </c>
      <c r="N23" s="3">
        <v>5</v>
      </c>
      <c r="O23" s="3">
        <v>0</v>
      </c>
      <c r="P23" s="3">
        <v>0</v>
      </c>
      <c r="Q23" s="3">
        <v>0</v>
      </c>
      <c r="R23" s="3">
        <v>0</v>
      </c>
    </row>
    <row r="24" spans="1:18">
      <c r="A24" s="3" t="s">
        <v>384</v>
      </c>
      <c r="B24" s="3" t="s">
        <v>385</v>
      </c>
      <c r="C24" s="3" t="s">
        <v>386</v>
      </c>
      <c r="D24" s="3" t="s">
        <v>387</v>
      </c>
      <c r="E24" s="3" t="s">
        <v>228</v>
      </c>
      <c r="F24" s="3">
        <v>106</v>
      </c>
      <c r="G24" s="3" t="s">
        <v>752</v>
      </c>
      <c r="H24" s="3"/>
      <c r="I24" s="3" t="s">
        <v>753</v>
      </c>
      <c r="J24" s="3">
        <v>12</v>
      </c>
      <c r="K24" s="3">
        <v>12</v>
      </c>
      <c r="L24" s="3">
        <v>0</v>
      </c>
      <c r="M24" s="3">
        <v>0</v>
      </c>
      <c r="N24" s="3">
        <v>12</v>
      </c>
      <c r="O24" s="3">
        <v>0.67</v>
      </c>
      <c r="P24" s="3">
        <v>0</v>
      </c>
      <c r="Q24" s="3">
        <v>0</v>
      </c>
      <c r="R24" s="3">
        <v>0</v>
      </c>
    </row>
    <row r="25" spans="1:18">
      <c r="A25" s="3" t="s">
        <v>692</v>
      </c>
      <c r="B25" s="3" t="s">
        <v>693</v>
      </c>
      <c r="C25" s="3" t="s">
        <v>694</v>
      </c>
      <c r="D25" s="3" t="s">
        <v>695</v>
      </c>
      <c r="E25" s="3" t="s">
        <v>228</v>
      </c>
      <c r="F25" s="3">
        <v>106</v>
      </c>
      <c r="G25" s="3" t="s">
        <v>752</v>
      </c>
      <c r="H25" s="3"/>
      <c r="I25" s="3" t="s">
        <v>753</v>
      </c>
      <c r="J25" s="3">
        <v>10</v>
      </c>
      <c r="K25" s="3">
        <v>10</v>
      </c>
      <c r="L25" s="3">
        <v>0</v>
      </c>
      <c r="M25" s="3">
        <v>0</v>
      </c>
      <c r="N25" s="3">
        <v>10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32</v>
      </c>
      <c r="B26" s="3" t="s">
        <v>33</v>
      </c>
      <c r="C26" s="3" t="s">
        <v>34</v>
      </c>
      <c r="D26" s="3" t="s">
        <v>35</v>
      </c>
      <c r="E26" s="3" t="s">
        <v>228</v>
      </c>
      <c r="F26" s="3">
        <v>94.6</v>
      </c>
      <c r="G26" s="3" t="s">
        <v>752</v>
      </c>
      <c r="H26" s="3"/>
      <c r="I26" s="3" t="s">
        <v>753</v>
      </c>
      <c r="J26" s="3">
        <v>15</v>
      </c>
      <c r="K26" s="3">
        <v>14</v>
      </c>
      <c r="L26" s="3">
        <v>0</v>
      </c>
      <c r="M26" s="3">
        <v>1</v>
      </c>
      <c r="N26" s="3">
        <v>15</v>
      </c>
      <c r="O26" s="3">
        <v>0.59</v>
      </c>
      <c r="P26" s="3">
        <v>0</v>
      </c>
      <c r="Q26" s="3">
        <v>0</v>
      </c>
      <c r="R26" s="3">
        <v>0</v>
      </c>
    </row>
    <row r="27" spans="1:18">
      <c r="A27" s="3" t="s">
        <v>379</v>
      </c>
      <c r="B27" s="3" t="s">
        <v>380</v>
      </c>
      <c r="C27" s="3" t="s">
        <v>381</v>
      </c>
      <c r="D27" s="3" t="s">
        <v>382</v>
      </c>
      <c r="E27" s="3" t="s">
        <v>228</v>
      </c>
      <c r="F27" s="3">
        <v>256</v>
      </c>
      <c r="G27" s="3" t="s">
        <v>752</v>
      </c>
      <c r="H27" s="3"/>
      <c r="I27" s="3" t="s">
        <v>753</v>
      </c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>
        <v>0.86</v>
      </c>
      <c r="P27" s="3">
        <v>0</v>
      </c>
      <c r="Q27" s="3">
        <v>0</v>
      </c>
      <c r="R27" s="3">
        <v>0</v>
      </c>
    </row>
    <row r="28" spans="1:18">
      <c r="A28" s="3" t="s">
        <v>60</v>
      </c>
      <c r="B28" s="3" t="s">
        <v>61</v>
      </c>
      <c r="C28" s="3" t="s">
        <v>62</v>
      </c>
      <c r="D28" s="3" t="s">
        <v>63</v>
      </c>
      <c r="E28" s="3" t="s">
        <v>228</v>
      </c>
      <c r="F28" s="3">
        <v>156</v>
      </c>
      <c r="G28" s="3" t="s">
        <v>752</v>
      </c>
      <c r="H28" s="3"/>
      <c r="I28" s="3" t="s">
        <v>753</v>
      </c>
      <c r="J28" s="3">
        <v>2</v>
      </c>
      <c r="K28" s="3">
        <v>0</v>
      </c>
      <c r="L28" s="3">
        <v>1</v>
      </c>
      <c r="M28" s="3">
        <v>1</v>
      </c>
      <c r="N28" s="3">
        <v>11</v>
      </c>
      <c r="O28" s="3">
        <v>0.37</v>
      </c>
      <c r="P28" s="3">
        <v>1</v>
      </c>
      <c r="Q28" s="3">
        <v>8</v>
      </c>
      <c r="R28" s="3">
        <v>0</v>
      </c>
    </row>
    <row r="29" spans="1:18">
      <c r="A29" s="3" t="s">
        <v>375</v>
      </c>
      <c r="B29" s="3" t="s">
        <v>376</v>
      </c>
      <c r="C29" s="3" t="s">
        <v>377</v>
      </c>
      <c r="D29" s="3" t="s">
        <v>757</v>
      </c>
      <c r="E29" s="3" t="s">
        <v>228</v>
      </c>
      <c r="F29" s="3">
        <v>278</v>
      </c>
      <c r="G29" s="3" t="s">
        <v>752</v>
      </c>
      <c r="H29" s="3"/>
      <c r="I29" s="3" t="s">
        <v>753</v>
      </c>
      <c r="J29" s="3">
        <v>8</v>
      </c>
      <c r="K29" s="3">
        <v>8</v>
      </c>
      <c r="L29" s="3">
        <v>0</v>
      </c>
      <c r="M29" s="3">
        <v>0</v>
      </c>
      <c r="N29" s="3">
        <v>8</v>
      </c>
      <c r="O29" s="3">
        <v>0.18</v>
      </c>
      <c r="P29" s="3">
        <v>0</v>
      </c>
      <c r="Q29" s="3">
        <v>0</v>
      </c>
      <c r="R29" s="3">
        <v>0</v>
      </c>
    </row>
    <row r="30" spans="1:18">
      <c r="A30" s="3" t="s">
        <v>522</v>
      </c>
      <c r="B30" s="3" t="s">
        <v>523</v>
      </c>
      <c r="C30" s="3" t="s">
        <v>524</v>
      </c>
      <c r="D30" s="3" t="s">
        <v>525</v>
      </c>
      <c r="E30" s="3" t="s">
        <v>228</v>
      </c>
      <c r="F30" s="3">
        <v>278</v>
      </c>
      <c r="G30" s="3" t="s">
        <v>752</v>
      </c>
      <c r="H30" s="3"/>
      <c r="I30" s="3" t="s">
        <v>753</v>
      </c>
      <c r="J30" s="3">
        <v>8</v>
      </c>
      <c r="K30" s="3">
        <v>8</v>
      </c>
      <c r="L30" s="3">
        <v>0</v>
      </c>
      <c r="M30" s="3">
        <v>0</v>
      </c>
      <c r="N30" s="3">
        <v>8</v>
      </c>
      <c r="O30" s="3">
        <v>0.81</v>
      </c>
      <c r="P30" s="3">
        <v>0</v>
      </c>
      <c r="Q30" s="3">
        <v>0</v>
      </c>
      <c r="R30" s="3">
        <v>0</v>
      </c>
    </row>
    <row r="31" spans="1:18">
      <c r="A31" s="3" t="s">
        <v>36</v>
      </c>
      <c r="B31" s="3" t="s">
        <v>37</v>
      </c>
      <c r="C31" s="3" t="s">
        <v>38</v>
      </c>
      <c r="D31" s="3" t="s">
        <v>39</v>
      </c>
      <c r="E31" s="3" t="s">
        <v>228</v>
      </c>
      <c r="F31" s="3">
        <v>256</v>
      </c>
      <c r="G31" s="3" t="s">
        <v>752</v>
      </c>
      <c r="H31" s="3"/>
      <c r="I31" s="3" t="s">
        <v>753</v>
      </c>
      <c r="J31" s="3">
        <v>5</v>
      </c>
      <c r="K31" s="3">
        <v>2</v>
      </c>
      <c r="L31" s="3">
        <v>0</v>
      </c>
      <c r="M31" s="3">
        <v>3</v>
      </c>
      <c r="N31" s="3">
        <v>10</v>
      </c>
      <c r="O31" s="3">
        <v>0.55</v>
      </c>
      <c r="P31" s="3">
        <v>0</v>
      </c>
      <c r="Q31" s="3">
        <v>5</v>
      </c>
      <c r="R31" s="3">
        <v>0</v>
      </c>
    </row>
    <row r="32" spans="1:18">
      <c r="A32" s="3" t="s">
        <v>556</v>
      </c>
      <c r="B32" s="3" t="s">
        <v>557</v>
      </c>
      <c r="C32" s="3" t="s">
        <v>558</v>
      </c>
      <c r="D32" s="3" t="s">
        <v>559</v>
      </c>
      <c r="E32" s="3" t="s">
        <v>228</v>
      </c>
      <c r="F32" s="3">
        <v>149</v>
      </c>
      <c r="G32" s="3" t="s">
        <v>752</v>
      </c>
      <c r="H32" s="3"/>
      <c r="I32" s="3" t="s">
        <v>753</v>
      </c>
      <c r="J32" s="3">
        <v>7</v>
      </c>
      <c r="K32" s="3">
        <v>7</v>
      </c>
      <c r="L32" s="3">
        <v>0</v>
      </c>
      <c r="M32" s="3">
        <v>0</v>
      </c>
      <c r="N32" s="3">
        <v>7</v>
      </c>
      <c r="O32" s="3">
        <v>0.45</v>
      </c>
      <c r="P32" s="3">
        <v>0</v>
      </c>
      <c r="Q32" s="3">
        <v>0</v>
      </c>
      <c r="R32" s="3">
        <v>0</v>
      </c>
    </row>
    <row r="33" spans="1:18">
      <c r="A33" s="3" t="s">
        <v>594</v>
      </c>
      <c r="B33" s="3" t="s">
        <v>595</v>
      </c>
      <c r="C33" s="3" t="s">
        <v>596</v>
      </c>
      <c r="D33" s="3" t="s">
        <v>597</v>
      </c>
      <c r="E33" s="3" t="s">
        <v>228</v>
      </c>
      <c r="F33" s="3">
        <v>149</v>
      </c>
      <c r="G33" s="3" t="s">
        <v>752</v>
      </c>
      <c r="H33" s="3"/>
      <c r="I33" s="3" t="s">
        <v>753</v>
      </c>
      <c r="J33" s="3">
        <v>2</v>
      </c>
      <c r="K33" s="3">
        <v>2</v>
      </c>
      <c r="L33" s="3">
        <v>0</v>
      </c>
      <c r="M33" s="3">
        <v>0</v>
      </c>
      <c r="N33" s="3">
        <v>2</v>
      </c>
      <c r="O33" s="3">
        <v>0.28</v>
      </c>
      <c r="P33" s="3">
        <v>0</v>
      </c>
      <c r="Q33" s="3">
        <v>0</v>
      </c>
      <c r="R33" s="3">
        <v>0</v>
      </c>
    </row>
    <row r="34" spans="1:18">
      <c r="A34" s="3" t="s">
        <v>20</v>
      </c>
      <c r="B34" s="3" t="s">
        <v>21</v>
      </c>
      <c r="C34" s="3" t="s">
        <v>22</v>
      </c>
      <c r="D34" s="3" t="s">
        <v>23</v>
      </c>
      <c r="E34" s="3" t="s">
        <v>228</v>
      </c>
      <c r="F34" s="3">
        <v>175</v>
      </c>
      <c r="G34" s="3" t="s">
        <v>752</v>
      </c>
      <c r="H34" s="3"/>
      <c r="I34" s="3" t="s">
        <v>753</v>
      </c>
      <c r="J34" s="3">
        <v>4</v>
      </c>
      <c r="K34" s="3">
        <v>3</v>
      </c>
      <c r="L34" s="3">
        <v>0</v>
      </c>
      <c r="M34" s="3">
        <v>1</v>
      </c>
      <c r="N34" s="3">
        <v>6</v>
      </c>
      <c r="O34" s="3">
        <v>0.64</v>
      </c>
      <c r="P34" s="3">
        <v>2</v>
      </c>
      <c r="Q34" s="3">
        <v>0</v>
      </c>
      <c r="R34" s="3">
        <v>0</v>
      </c>
    </row>
    <row r="35" spans="1:18">
      <c r="A35" s="3" t="s">
        <v>272</v>
      </c>
      <c r="B35" s="3" t="s">
        <v>273</v>
      </c>
      <c r="C35" s="3" t="s">
        <v>274</v>
      </c>
      <c r="D35" s="3" t="s">
        <v>275</v>
      </c>
      <c r="E35" s="3" t="s">
        <v>228</v>
      </c>
      <c r="F35" s="3">
        <v>198</v>
      </c>
      <c r="G35" s="3" t="s">
        <v>752</v>
      </c>
      <c r="H35" s="3"/>
      <c r="I35" s="3" t="s">
        <v>753</v>
      </c>
      <c r="J35" s="3">
        <v>10</v>
      </c>
      <c r="K35" s="3">
        <v>10</v>
      </c>
      <c r="L35" s="3">
        <v>0</v>
      </c>
      <c r="M35" s="3">
        <v>0</v>
      </c>
      <c r="N35" s="3">
        <v>10</v>
      </c>
      <c r="O35" s="3">
        <v>0.12</v>
      </c>
      <c r="P35" s="3">
        <v>0</v>
      </c>
      <c r="Q35" s="3">
        <v>0</v>
      </c>
      <c r="R35" s="3">
        <v>0</v>
      </c>
    </row>
    <row r="36" spans="1:18">
      <c r="A36" s="3" t="s">
        <v>76</v>
      </c>
      <c r="B36" s="3" t="s">
        <v>77</v>
      </c>
      <c r="C36" s="3" t="s">
        <v>78</v>
      </c>
      <c r="D36" s="3" t="s">
        <v>79</v>
      </c>
      <c r="E36" s="3" t="s">
        <v>228</v>
      </c>
      <c r="F36" s="3">
        <v>198</v>
      </c>
      <c r="G36" s="3" t="s">
        <v>752</v>
      </c>
      <c r="H36" s="3"/>
      <c r="I36" s="3" t="s">
        <v>753</v>
      </c>
      <c r="J36" s="3">
        <v>5</v>
      </c>
      <c r="K36" s="3">
        <v>3</v>
      </c>
      <c r="L36" s="3">
        <v>0</v>
      </c>
      <c r="M36" s="3">
        <v>2</v>
      </c>
      <c r="N36" s="3">
        <v>8</v>
      </c>
      <c r="O36" s="3">
        <v>0</v>
      </c>
      <c r="P36" s="3">
        <v>0</v>
      </c>
      <c r="Q36" s="3">
        <v>3</v>
      </c>
      <c r="R36" s="3">
        <v>0</v>
      </c>
    </row>
    <row r="37" spans="1:18">
      <c r="A37" s="3" t="s">
        <v>56</v>
      </c>
      <c r="B37" s="3" t="s">
        <v>57</v>
      </c>
      <c r="C37" s="3" t="s">
        <v>58</v>
      </c>
      <c r="D37" s="3" t="s">
        <v>59</v>
      </c>
      <c r="E37" s="3" t="s">
        <v>228</v>
      </c>
      <c r="F37" s="3">
        <v>156.99</v>
      </c>
      <c r="G37" s="3" t="s">
        <v>752</v>
      </c>
      <c r="H37" s="3"/>
      <c r="I37" s="3" t="s">
        <v>753</v>
      </c>
      <c r="J37" s="3">
        <v>114</v>
      </c>
      <c r="K37" s="3">
        <v>48</v>
      </c>
      <c r="L37" s="3">
        <v>0</v>
      </c>
      <c r="M37" s="3">
        <v>66</v>
      </c>
      <c r="N37" s="3">
        <v>114</v>
      </c>
      <c r="O37" s="3">
        <v>0.39</v>
      </c>
      <c r="P37" s="3">
        <v>0</v>
      </c>
      <c r="Q37" s="3">
        <v>0</v>
      </c>
      <c r="R37" s="3">
        <v>0</v>
      </c>
    </row>
    <row r="38" spans="1:18">
      <c r="A38" s="3" t="s">
        <v>242</v>
      </c>
      <c r="B38" s="3" t="s">
        <v>243</v>
      </c>
      <c r="C38" s="3" t="s">
        <v>244</v>
      </c>
      <c r="D38" s="3" t="s">
        <v>245</v>
      </c>
      <c r="E38" s="3" t="s">
        <v>228</v>
      </c>
      <c r="F38" s="3">
        <v>125</v>
      </c>
      <c r="G38" s="3" t="s">
        <v>752</v>
      </c>
      <c r="H38" s="3"/>
      <c r="I38" s="3" t="s">
        <v>753</v>
      </c>
      <c r="J38" s="3">
        <v>5</v>
      </c>
      <c r="K38" s="3">
        <v>5</v>
      </c>
      <c r="L38" s="3">
        <v>0</v>
      </c>
      <c r="M38" s="3">
        <v>0</v>
      </c>
      <c r="N38" s="3">
        <v>5</v>
      </c>
      <c r="O38" s="3">
        <v>0.1</v>
      </c>
      <c r="P38" s="3">
        <v>0</v>
      </c>
      <c r="Q38" s="3">
        <v>0</v>
      </c>
      <c r="R38" s="3">
        <v>0</v>
      </c>
    </row>
    <row r="39" spans="1:18">
      <c r="A39" s="3" t="s">
        <v>262</v>
      </c>
      <c r="B39" s="3" t="s">
        <v>263</v>
      </c>
      <c r="C39" s="3" t="s">
        <v>264</v>
      </c>
      <c r="D39" s="3" t="s">
        <v>265</v>
      </c>
      <c r="E39" s="3" t="s">
        <v>228</v>
      </c>
      <c r="F39" s="3">
        <v>125</v>
      </c>
      <c r="G39" s="3" t="s">
        <v>752</v>
      </c>
      <c r="H39" s="3"/>
      <c r="I39" s="3" t="s">
        <v>753</v>
      </c>
      <c r="J39" s="3">
        <v>8</v>
      </c>
      <c r="K39" s="3">
        <v>8</v>
      </c>
      <c r="L39" s="3">
        <v>0</v>
      </c>
      <c r="M39" s="3">
        <v>0</v>
      </c>
      <c r="N39" s="3">
        <v>8</v>
      </c>
      <c r="O39" s="3">
        <v>0.18</v>
      </c>
      <c r="P39" s="3">
        <v>0</v>
      </c>
      <c r="Q39" s="3">
        <v>0</v>
      </c>
      <c r="R39" s="3">
        <v>0</v>
      </c>
    </row>
    <row r="40" spans="1:18">
      <c r="A40" s="3" t="s">
        <v>708</v>
      </c>
      <c r="B40" s="3" t="s">
        <v>709</v>
      </c>
      <c r="C40" s="3" t="s">
        <v>709</v>
      </c>
      <c r="D40" s="3" t="s">
        <v>710</v>
      </c>
      <c r="E40" s="3" t="s">
        <v>228</v>
      </c>
      <c r="F40" s="3">
        <v>256</v>
      </c>
      <c r="G40" s="3" t="s">
        <v>752</v>
      </c>
      <c r="H40" s="3"/>
      <c r="I40" s="3" t="s">
        <v>753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0.32</v>
      </c>
      <c r="P40" s="3">
        <v>0</v>
      </c>
      <c r="Q40" s="3">
        <v>0</v>
      </c>
      <c r="R40" s="3">
        <v>0</v>
      </c>
    </row>
    <row r="41" spans="1:18">
      <c r="A41" s="3" t="s">
        <v>512</v>
      </c>
      <c r="B41" s="3" t="s">
        <v>513</v>
      </c>
      <c r="C41" s="3" t="s">
        <v>514</v>
      </c>
      <c r="D41" s="3" t="s">
        <v>515</v>
      </c>
      <c r="E41" s="3" t="s">
        <v>228</v>
      </c>
      <c r="F41" s="3">
        <v>89.99</v>
      </c>
      <c r="G41" s="3" t="s">
        <v>752</v>
      </c>
      <c r="H41" s="3"/>
      <c r="I41" s="3" t="s">
        <v>753</v>
      </c>
      <c r="J41" s="3">
        <v>7</v>
      </c>
      <c r="K41" s="3">
        <v>7</v>
      </c>
      <c r="L41" s="3">
        <v>0</v>
      </c>
      <c r="M41" s="3">
        <v>0</v>
      </c>
      <c r="N41" s="3">
        <v>7</v>
      </c>
      <c r="O41" s="3">
        <v>0.63</v>
      </c>
      <c r="P41" s="3">
        <v>0</v>
      </c>
      <c r="Q41" s="3">
        <v>0</v>
      </c>
      <c r="R41" s="3">
        <v>0</v>
      </c>
    </row>
    <row r="42" spans="1:18">
      <c r="A42" s="3" t="s">
        <v>24</v>
      </c>
      <c r="B42" s="3" t="s">
        <v>25</v>
      </c>
      <c r="C42" s="3" t="s">
        <v>26</v>
      </c>
      <c r="D42" s="3" t="s">
        <v>27</v>
      </c>
      <c r="E42" s="3" t="s">
        <v>228</v>
      </c>
      <c r="F42" s="3">
        <v>89.99</v>
      </c>
      <c r="G42" s="3" t="s">
        <v>752</v>
      </c>
      <c r="H42" s="3"/>
      <c r="I42" s="3" t="s">
        <v>753</v>
      </c>
      <c r="J42" s="3">
        <v>13</v>
      </c>
      <c r="K42" s="3">
        <v>5</v>
      </c>
      <c r="L42" s="3">
        <v>1</v>
      </c>
      <c r="M42" s="3">
        <v>7</v>
      </c>
      <c r="N42" s="3">
        <v>13</v>
      </c>
      <c r="O42" s="3">
        <v>0.16</v>
      </c>
      <c r="P42" s="3">
        <v>0</v>
      </c>
      <c r="Q42" s="3">
        <v>0</v>
      </c>
      <c r="R42" s="3">
        <v>0</v>
      </c>
    </row>
    <row r="43" spans="1:18">
      <c r="A43" s="3" t="s">
        <v>12</v>
      </c>
      <c r="B43" s="3" t="s">
        <v>13</v>
      </c>
      <c r="C43" s="3" t="s">
        <v>14</v>
      </c>
      <c r="D43" s="3" t="s">
        <v>15</v>
      </c>
      <c r="E43" s="3" t="s">
        <v>228</v>
      </c>
      <c r="F43" s="3">
        <v>256</v>
      </c>
      <c r="G43" s="3" t="s">
        <v>752</v>
      </c>
      <c r="H43" s="3"/>
      <c r="I43" s="3" t="s">
        <v>753</v>
      </c>
      <c r="J43" s="3">
        <v>1</v>
      </c>
      <c r="K43" s="3">
        <v>0</v>
      </c>
      <c r="L43" s="3">
        <v>0</v>
      </c>
      <c r="M43" s="3">
        <v>1</v>
      </c>
      <c r="N43" s="3">
        <v>1</v>
      </c>
      <c r="O43" s="3">
        <v>0.99</v>
      </c>
      <c r="P43" s="3">
        <v>0</v>
      </c>
      <c r="Q43" s="3">
        <v>0</v>
      </c>
      <c r="R43" s="3">
        <v>0</v>
      </c>
    </row>
    <row r="44" spans="1:18">
      <c r="A44" s="3" t="s">
        <v>16</v>
      </c>
      <c r="B44" s="3" t="s">
        <v>17</v>
      </c>
      <c r="C44" s="3" t="s">
        <v>18</v>
      </c>
      <c r="D44" s="3" t="s">
        <v>19</v>
      </c>
      <c r="E44" s="3" t="s">
        <v>228</v>
      </c>
      <c r="F44" s="3">
        <v>91.6</v>
      </c>
      <c r="G44" s="3" t="s">
        <v>752</v>
      </c>
      <c r="H44" s="3"/>
      <c r="I44" s="3" t="s">
        <v>753</v>
      </c>
      <c r="J44" s="3">
        <v>50</v>
      </c>
      <c r="K44" s="3">
        <v>20</v>
      </c>
      <c r="L44" s="3">
        <v>0</v>
      </c>
      <c r="M44" s="3">
        <v>30</v>
      </c>
      <c r="N44" s="3">
        <v>50</v>
      </c>
      <c r="O44" s="3">
        <v>0.67</v>
      </c>
      <c r="P44" s="3">
        <v>0</v>
      </c>
      <c r="Q44" s="3">
        <v>0</v>
      </c>
      <c r="R44" s="3">
        <v>0</v>
      </c>
    </row>
    <row r="45" spans="1:18">
      <c r="A45" s="3" t="s">
        <v>492</v>
      </c>
      <c r="B45" s="3" t="s">
        <v>493</v>
      </c>
      <c r="C45" s="3" t="s">
        <v>494</v>
      </c>
      <c r="D45" s="3" t="s">
        <v>495</v>
      </c>
      <c r="E45" s="3" t="s">
        <v>228</v>
      </c>
      <c r="F45" s="3">
        <v>89.6</v>
      </c>
      <c r="G45" s="3" t="s">
        <v>752</v>
      </c>
      <c r="H45" s="3"/>
      <c r="I45" s="3" t="s">
        <v>753</v>
      </c>
      <c r="J45" s="3">
        <v>4</v>
      </c>
      <c r="K45" s="3">
        <v>4</v>
      </c>
      <c r="L45" s="3">
        <v>0</v>
      </c>
      <c r="M45" s="3">
        <v>0</v>
      </c>
      <c r="N45" s="3">
        <v>4</v>
      </c>
      <c r="O45" s="3">
        <v>0.15</v>
      </c>
      <c r="P45" s="3">
        <v>0</v>
      </c>
      <c r="Q45" s="3">
        <v>0</v>
      </c>
      <c r="R45" s="3">
        <v>0</v>
      </c>
    </row>
    <row r="46" spans="1:18">
      <c r="A46" s="3" t="s">
        <v>416</v>
      </c>
      <c r="B46" s="3" t="s">
        <v>417</v>
      </c>
      <c r="C46" s="3" t="s">
        <v>418</v>
      </c>
      <c r="D46" s="3" t="s">
        <v>419</v>
      </c>
      <c r="E46" s="3" t="s">
        <v>228</v>
      </c>
      <c r="F46" s="3">
        <v>156</v>
      </c>
      <c r="G46" s="3" t="s">
        <v>752</v>
      </c>
      <c r="H46" s="3"/>
      <c r="I46" s="3" t="s">
        <v>753</v>
      </c>
      <c r="J46" s="3">
        <v>5</v>
      </c>
      <c r="K46" s="3">
        <v>5</v>
      </c>
      <c r="L46" s="3">
        <v>0</v>
      </c>
      <c r="M46" s="3">
        <v>0</v>
      </c>
      <c r="N46" s="3">
        <v>5</v>
      </c>
      <c r="O46" s="3">
        <v>0.12</v>
      </c>
      <c r="P46" s="3">
        <v>0</v>
      </c>
      <c r="Q46" s="3">
        <v>0</v>
      </c>
      <c r="R46" s="3">
        <v>0</v>
      </c>
    </row>
    <row r="47" spans="1:18">
      <c r="A47" s="3" t="s">
        <v>44</v>
      </c>
      <c r="B47" s="3" t="s">
        <v>45</v>
      </c>
      <c r="C47" s="3" t="s">
        <v>46</v>
      </c>
      <c r="D47" s="3" t="s">
        <v>47</v>
      </c>
      <c r="E47" s="3" t="s">
        <v>228</v>
      </c>
      <c r="F47" s="3">
        <v>175</v>
      </c>
      <c r="G47" s="3" t="s">
        <v>752</v>
      </c>
      <c r="H47" s="3"/>
      <c r="I47" s="3" t="s">
        <v>753</v>
      </c>
      <c r="J47" s="3">
        <v>4</v>
      </c>
      <c r="K47" s="3">
        <v>1</v>
      </c>
      <c r="L47" s="3">
        <v>1</v>
      </c>
      <c r="M47" s="3">
        <v>2</v>
      </c>
      <c r="N47" s="3">
        <v>14</v>
      </c>
      <c r="O47" s="3">
        <v>0.63</v>
      </c>
      <c r="P47" s="3">
        <v>5</v>
      </c>
      <c r="Q47" s="3">
        <v>5</v>
      </c>
      <c r="R47" s="3">
        <v>0</v>
      </c>
    </row>
    <row r="48" spans="1:18">
      <c r="A48" s="3" t="s">
        <v>528</v>
      </c>
      <c r="B48" s="3" t="s">
        <v>529</v>
      </c>
      <c r="C48" s="3" t="s">
        <v>530</v>
      </c>
      <c r="D48" s="3" t="s">
        <v>531</v>
      </c>
      <c r="E48" s="3" t="s">
        <v>228</v>
      </c>
      <c r="F48" s="3">
        <v>156</v>
      </c>
      <c r="G48" s="3" t="s">
        <v>752</v>
      </c>
      <c r="H48" s="3"/>
      <c r="I48" s="3" t="s">
        <v>753</v>
      </c>
      <c r="J48" s="3">
        <v>3</v>
      </c>
      <c r="K48" s="3">
        <v>3</v>
      </c>
      <c r="L48" s="3">
        <v>0</v>
      </c>
      <c r="M48" s="3">
        <v>0</v>
      </c>
      <c r="N48" s="3">
        <v>3</v>
      </c>
      <c r="O48" s="3">
        <v>0.46</v>
      </c>
      <c r="P48" s="3">
        <v>0</v>
      </c>
      <c r="Q48" s="3">
        <v>0</v>
      </c>
      <c r="R48" s="3">
        <v>0</v>
      </c>
    </row>
    <row r="49" spans="1:18">
      <c r="A49" s="3" t="s">
        <v>585</v>
      </c>
      <c r="B49" s="3" t="s">
        <v>586</v>
      </c>
      <c r="C49" s="3" t="s">
        <v>587</v>
      </c>
      <c r="D49" s="3" t="s">
        <v>588</v>
      </c>
      <c r="E49" s="3" t="s">
        <v>228</v>
      </c>
      <c r="F49" s="3">
        <v>81.99</v>
      </c>
      <c r="G49" s="3" t="s">
        <v>752</v>
      </c>
      <c r="H49" s="3"/>
      <c r="I49" s="3" t="s">
        <v>753</v>
      </c>
      <c r="J49" s="3">
        <v>10</v>
      </c>
      <c r="K49" s="3">
        <v>10</v>
      </c>
      <c r="L49" s="3">
        <v>0</v>
      </c>
      <c r="M49" s="3">
        <v>0</v>
      </c>
      <c r="N49" s="3">
        <v>10</v>
      </c>
      <c r="O49" s="3">
        <v>0.25</v>
      </c>
      <c r="P49" s="3">
        <v>0</v>
      </c>
      <c r="Q49" s="3">
        <v>0</v>
      </c>
      <c r="R49" s="3">
        <v>0</v>
      </c>
    </row>
    <row r="50" spans="1:18">
      <c r="A50" s="3" t="s">
        <v>758</v>
      </c>
      <c r="B50" s="3" t="s">
        <v>759</v>
      </c>
      <c r="C50" s="3" t="s">
        <v>760</v>
      </c>
      <c r="D50" s="3" t="s">
        <v>761</v>
      </c>
      <c r="E50" s="3" t="s">
        <v>228</v>
      </c>
      <c r="F50" s="3">
        <v>178</v>
      </c>
      <c r="G50" s="3" t="s">
        <v>752</v>
      </c>
      <c r="H50" s="3"/>
      <c r="I50" s="3" t="s">
        <v>753</v>
      </c>
      <c r="J50" s="3">
        <v>4</v>
      </c>
      <c r="K50" s="3">
        <v>4</v>
      </c>
      <c r="L50" s="3">
        <v>0</v>
      </c>
      <c r="M50" s="3">
        <v>0</v>
      </c>
      <c r="N50" s="3">
        <v>4</v>
      </c>
      <c r="O50" s="3">
        <v>0.42</v>
      </c>
      <c r="P50" s="3">
        <v>0</v>
      </c>
      <c r="Q50" s="3">
        <v>0</v>
      </c>
      <c r="R50" s="3">
        <v>0</v>
      </c>
    </row>
    <row r="51" spans="1:18">
      <c r="A51" s="3" t="s">
        <v>72</v>
      </c>
      <c r="B51" s="3" t="s">
        <v>73</v>
      </c>
      <c r="C51" s="3" t="s">
        <v>74</v>
      </c>
      <c r="D51" s="3" t="s">
        <v>75</v>
      </c>
      <c r="E51" s="3" t="s">
        <v>228</v>
      </c>
      <c r="F51" s="3">
        <v>152</v>
      </c>
      <c r="G51" s="3" t="s">
        <v>752</v>
      </c>
      <c r="H51" s="3"/>
      <c r="I51" s="3" t="s">
        <v>753</v>
      </c>
      <c r="J51" s="3">
        <v>6</v>
      </c>
      <c r="K51" s="3">
        <v>3</v>
      </c>
      <c r="L51" s="3">
        <v>0</v>
      </c>
      <c r="M51" s="3">
        <v>3</v>
      </c>
      <c r="N51" s="3">
        <v>6</v>
      </c>
      <c r="O51" s="3">
        <v>0.22</v>
      </c>
      <c r="P51" s="3">
        <v>0</v>
      </c>
      <c r="Q51" s="3">
        <v>0</v>
      </c>
      <c r="R51" s="3">
        <v>0</v>
      </c>
    </row>
    <row r="52" spans="1:18">
      <c r="A52" s="3" t="s">
        <v>613</v>
      </c>
      <c r="B52" s="3" t="s">
        <v>614</v>
      </c>
      <c r="C52" s="3" t="s">
        <v>615</v>
      </c>
      <c r="D52" s="3" t="s">
        <v>616</v>
      </c>
      <c r="E52" s="3" t="s">
        <v>228</v>
      </c>
      <c r="F52" s="3">
        <v>146</v>
      </c>
      <c r="G52" s="3" t="s">
        <v>752</v>
      </c>
      <c r="H52" s="3"/>
      <c r="I52" s="3" t="s">
        <v>753</v>
      </c>
      <c r="J52" s="3">
        <v>3</v>
      </c>
      <c r="K52" s="3">
        <v>3</v>
      </c>
      <c r="L52" s="3">
        <v>0</v>
      </c>
      <c r="M52" s="3">
        <v>0</v>
      </c>
      <c r="N52" s="3">
        <v>3</v>
      </c>
      <c r="O52" s="3">
        <v>0.23</v>
      </c>
      <c r="P52" s="3">
        <v>0</v>
      </c>
      <c r="Q52" s="3">
        <v>0</v>
      </c>
      <c r="R52" s="3">
        <v>0</v>
      </c>
    </row>
    <row r="53" spans="1:18">
      <c r="A53" s="3" t="s">
        <v>393</v>
      </c>
      <c r="B53" s="3" t="s">
        <v>394</v>
      </c>
      <c r="C53" s="3" t="s">
        <v>395</v>
      </c>
      <c r="D53" s="3" t="s">
        <v>396</v>
      </c>
      <c r="E53" s="3" t="s">
        <v>228</v>
      </c>
      <c r="F53" s="3">
        <v>256</v>
      </c>
      <c r="G53" s="3" t="s">
        <v>752</v>
      </c>
      <c r="H53" s="3"/>
      <c r="I53" s="3" t="s">
        <v>753</v>
      </c>
      <c r="J53" s="3">
        <v>3</v>
      </c>
      <c r="K53" s="3">
        <v>3</v>
      </c>
      <c r="L53" s="3">
        <v>0</v>
      </c>
      <c r="M53" s="3">
        <v>0</v>
      </c>
      <c r="N53" s="3">
        <v>3</v>
      </c>
      <c r="O53" s="3">
        <v>0.01</v>
      </c>
      <c r="P53" s="3">
        <v>0</v>
      </c>
      <c r="Q53" s="3">
        <v>0</v>
      </c>
      <c r="R53" s="3">
        <v>0</v>
      </c>
    </row>
    <row r="54" spans="1:18">
      <c r="A54" s="3" t="s">
        <v>64</v>
      </c>
      <c r="B54" s="3" t="s">
        <v>65</v>
      </c>
      <c r="C54" s="3" t="s">
        <v>66</v>
      </c>
      <c r="D54" s="3" t="s">
        <v>67</v>
      </c>
      <c r="E54" s="3" t="s">
        <v>228</v>
      </c>
      <c r="F54" s="3">
        <v>156</v>
      </c>
      <c r="G54" s="3" t="s">
        <v>752</v>
      </c>
      <c r="H54" s="3"/>
      <c r="I54" s="3" t="s">
        <v>753</v>
      </c>
      <c r="J54" s="3">
        <v>7</v>
      </c>
      <c r="K54" s="3">
        <v>5</v>
      </c>
      <c r="L54" s="3">
        <v>1</v>
      </c>
      <c r="M54" s="3">
        <v>1</v>
      </c>
      <c r="N54" s="3">
        <v>9</v>
      </c>
      <c r="O54" s="3">
        <v>0.66</v>
      </c>
      <c r="P54" s="3">
        <v>0</v>
      </c>
      <c r="Q54" s="3">
        <v>2</v>
      </c>
      <c r="R54" s="3">
        <v>0</v>
      </c>
    </row>
    <row r="55" spans="1:18">
      <c r="A55" s="3" t="s">
        <v>664</v>
      </c>
      <c r="B55" s="3" t="s">
        <v>665</v>
      </c>
      <c r="C55" s="3" t="s">
        <v>666</v>
      </c>
      <c r="D55" s="3" t="s">
        <v>667</v>
      </c>
      <c r="E55" s="3" t="s">
        <v>228</v>
      </c>
      <c r="F55" s="3">
        <v>256</v>
      </c>
      <c r="G55" s="3" t="s">
        <v>752</v>
      </c>
      <c r="H55" s="3"/>
      <c r="I55" s="3" t="s">
        <v>753</v>
      </c>
      <c r="J55" s="3">
        <v>7</v>
      </c>
      <c r="K55" s="3">
        <v>7</v>
      </c>
      <c r="L55" s="3">
        <v>0</v>
      </c>
      <c r="M55" s="3">
        <v>0</v>
      </c>
      <c r="N55" s="3">
        <v>7</v>
      </c>
      <c r="O55" s="3">
        <v>0.68</v>
      </c>
      <c r="P55" s="3">
        <v>0</v>
      </c>
      <c r="Q55" s="3">
        <v>0</v>
      </c>
      <c r="R55" s="3">
        <v>0</v>
      </c>
    </row>
    <row r="56" spans="1:18">
      <c r="A56" s="3" t="s">
        <v>725</v>
      </c>
      <c r="B56" s="3" t="s">
        <v>726</v>
      </c>
      <c r="C56" s="3" t="s">
        <v>727</v>
      </c>
      <c r="D56" s="3" t="s">
        <v>728</v>
      </c>
      <c r="E56" s="3" t="s">
        <v>228</v>
      </c>
      <c r="F56" s="3">
        <v>152</v>
      </c>
      <c r="G56" s="3" t="s">
        <v>752</v>
      </c>
      <c r="H56" s="3"/>
      <c r="I56" s="3" t="s">
        <v>753</v>
      </c>
      <c r="J56" s="3">
        <v>4</v>
      </c>
      <c r="K56" s="3">
        <v>4</v>
      </c>
      <c r="L56" s="3">
        <v>0</v>
      </c>
      <c r="M56" s="3">
        <v>0</v>
      </c>
      <c r="N56" s="3">
        <v>4</v>
      </c>
      <c r="O56" s="3">
        <v>0.67</v>
      </c>
      <c r="P56" s="3">
        <v>0</v>
      </c>
      <c r="Q56" s="3">
        <v>0</v>
      </c>
      <c r="R56" s="3">
        <v>0</v>
      </c>
    </row>
    <row r="57" spans="1:18">
      <c r="A57" s="3" t="s">
        <v>762</v>
      </c>
      <c r="B57" s="3" t="s">
        <v>504</v>
      </c>
      <c r="C57" s="3" t="s">
        <v>504</v>
      </c>
      <c r="D57" s="3"/>
      <c r="E57" s="3" t="s">
        <v>754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502</v>
      </c>
      <c r="B58" s="3" t="s">
        <v>503</v>
      </c>
      <c r="C58" s="3" t="s">
        <v>504</v>
      </c>
      <c r="D58" s="3" t="s">
        <v>505</v>
      </c>
      <c r="E58" s="3" t="s">
        <v>228</v>
      </c>
      <c r="F58" s="3">
        <v>99.6</v>
      </c>
      <c r="G58" s="3" t="s">
        <v>752</v>
      </c>
      <c r="H58" s="3"/>
      <c r="I58" s="3" t="s">
        <v>753</v>
      </c>
      <c r="J58" s="3">
        <v>5</v>
      </c>
      <c r="K58" s="3">
        <v>5</v>
      </c>
      <c r="L58" s="3">
        <v>0</v>
      </c>
      <c r="M58" s="3">
        <v>0</v>
      </c>
      <c r="N58" s="3">
        <v>5</v>
      </c>
      <c r="O58" s="3">
        <v>0.46</v>
      </c>
      <c r="P58" s="3">
        <v>0</v>
      </c>
      <c r="Q58" s="3">
        <v>0</v>
      </c>
      <c r="R58" s="3">
        <v>0</v>
      </c>
    </row>
    <row r="59" spans="1:18">
      <c r="A59" s="3" t="s">
        <v>421</v>
      </c>
      <c r="B59" s="3" t="s">
        <v>422</v>
      </c>
      <c r="C59" s="3" t="s">
        <v>423</v>
      </c>
      <c r="D59" s="3" t="s">
        <v>424</v>
      </c>
      <c r="E59" s="3" t="s">
        <v>228</v>
      </c>
      <c r="F59" s="3">
        <v>99.6</v>
      </c>
      <c r="G59" s="3" t="s">
        <v>752</v>
      </c>
      <c r="H59" s="3"/>
      <c r="I59" s="3" t="s">
        <v>753</v>
      </c>
      <c r="J59" s="3">
        <v>28</v>
      </c>
      <c r="K59" s="3">
        <v>27</v>
      </c>
      <c r="L59" s="3">
        <v>1</v>
      </c>
      <c r="M59" s="3">
        <v>0</v>
      </c>
      <c r="N59" s="3">
        <v>28</v>
      </c>
      <c r="O59" s="3">
        <v>0.69</v>
      </c>
      <c r="P59" s="3">
        <v>0</v>
      </c>
      <c r="Q59" s="3">
        <v>0</v>
      </c>
      <c r="R59" s="3">
        <v>0</v>
      </c>
    </row>
    <row r="60" spans="1:18">
      <c r="A60" s="3" t="s">
        <v>589</v>
      </c>
      <c r="B60" s="3" t="s">
        <v>590</v>
      </c>
      <c r="C60" s="3" t="s">
        <v>591</v>
      </c>
      <c r="D60" s="3" t="s">
        <v>763</v>
      </c>
      <c r="E60" s="3" t="s">
        <v>228</v>
      </c>
      <c r="F60" s="3">
        <v>256</v>
      </c>
      <c r="G60" s="3" t="s">
        <v>752</v>
      </c>
      <c r="H60" s="3"/>
      <c r="I60" s="3" t="s">
        <v>753</v>
      </c>
      <c r="J60" s="3">
        <v>5</v>
      </c>
      <c r="K60" s="3">
        <v>5</v>
      </c>
      <c r="L60" s="3">
        <v>0</v>
      </c>
      <c r="M60" s="3">
        <v>0</v>
      </c>
      <c r="N60" s="3">
        <v>5</v>
      </c>
      <c r="O60" s="3">
        <v>0.43</v>
      </c>
      <c r="P60" s="3">
        <v>0</v>
      </c>
      <c r="Q60" s="3">
        <v>0</v>
      </c>
      <c r="R60" s="3">
        <v>0</v>
      </c>
    </row>
    <row r="61" spans="1:18">
      <c r="A61" s="3" t="s">
        <v>764</v>
      </c>
      <c r="B61" s="3" t="s">
        <v>765</v>
      </c>
      <c r="C61" s="3" t="s">
        <v>765</v>
      </c>
      <c r="D61" s="3"/>
      <c r="E61" s="3" t="s">
        <v>754</v>
      </c>
      <c r="F61" s="3"/>
      <c r="G61" s="3"/>
      <c r="H61" s="3"/>
      <c r="I61" s="3"/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/>
      <c r="P61" s="3">
        <v>0</v>
      </c>
      <c r="Q61" s="3">
        <v>0</v>
      </c>
      <c r="R61" s="3">
        <v>0</v>
      </c>
    </row>
    <row r="62" spans="1:18">
      <c r="A62" s="3" t="s">
        <v>313</v>
      </c>
      <c r="B62" s="3" t="s">
        <v>314</v>
      </c>
      <c r="C62" s="3" t="s">
        <v>314</v>
      </c>
      <c r="D62" s="3" t="s">
        <v>315</v>
      </c>
      <c r="E62" s="3" t="s">
        <v>228</v>
      </c>
      <c r="F62" s="3">
        <v>256</v>
      </c>
      <c r="G62" s="3" t="s">
        <v>752</v>
      </c>
      <c r="H62" s="3"/>
      <c r="I62" s="3" t="s">
        <v>753</v>
      </c>
      <c r="J62" s="3">
        <v>1</v>
      </c>
      <c r="K62" s="3">
        <v>1</v>
      </c>
      <c r="L62" s="3">
        <v>0</v>
      </c>
      <c r="M62" s="3">
        <v>0</v>
      </c>
      <c r="N62" s="3">
        <v>1</v>
      </c>
      <c r="O62" s="3">
        <v>0.44</v>
      </c>
      <c r="P62" s="3">
        <v>0</v>
      </c>
      <c r="Q62" s="3">
        <v>0</v>
      </c>
      <c r="R62" s="3">
        <v>0</v>
      </c>
    </row>
    <row r="63" spans="1:18">
      <c r="A63" s="3" t="s">
        <v>550</v>
      </c>
      <c r="B63" s="3" t="s">
        <v>551</v>
      </c>
      <c r="C63" s="3" t="s">
        <v>552</v>
      </c>
      <c r="D63" s="3" t="s">
        <v>553</v>
      </c>
      <c r="E63" s="3" t="s">
        <v>228</v>
      </c>
      <c r="F63" s="3">
        <v>149</v>
      </c>
      <c r="G63" s="3" t="s">
        <v>752</v>
      </c>
      <c r="H63" s="3"/>
      <c r="I63" s="3" t="s">
        <v>753</v>
      </c>
      <c r="J63" s="3">
        <v>5</v>
      </c>
      <c r="K63" s="3">
        <v>5</v>
      </c>
      <c r="L63" s="3">
        <v>0</v>
      </c>
      <c r="M63" s="3">
        <v>0</v>
      </c>
      <c r="N63" s="3">
        <v>5</v>
      </c>
      <c r="O63" s="3">
        <v>0.23</v>
      </c>
      <c r="P63" s="3">
        <v>0</v>
      </c>
      <c r="Q63" s="3">
        <v>0</v>
      </c>
      <c r="R63" s="3">
        <v>0</v>
      </c>
    </row>
    <row r="64" spans="1:18">
      <c r="A64" s="3" t="s">
        <v>251</v>
      </c>
      <c r="B64" s="3" t="s">
        <v>252</v>
      </c>
      <c r="C64" s="3" t="s">
        <v>253</v>
      </c>
      <c r="D64" s="3" t="s">
        <v>254</v>
      </c>
      <c r="E64" s="3" t="s">
        <v>228</v>
      </c>
      <c r="F64" s="3">
        <v>256</v>
      </c>
      <c r="G64" s="3" t="s">
        <v>752</v>
      </c>
      <c r="H64" s="3"/>
      <c r="I64" s="3" t="s">
        <v>753</v>
      </c>
      <c r="J64" s="3">
        <v>8</v>
      </c>
      <c r="K64" s="3">
        <v>8</v>
      </c>
      <c r="L64" s="3">
        <v>0</v>
      </c>
      <c r="M64" s="3">
        <v>0</v>
      </c>
      <c r="N64" s="3">
        <v>8</v>
      </c>
      <c r="O64" s="3">
        <v>0.26</v>
      </c>
      <c r="P64" s="3">
        <v>0</v>
      </c>
      <c r="Q64" s="3">
        <v>0</v>
      </c>
      <c r="R64" s="3">
        <v>0</v>
      </c>
    </row>
    <row r="65" spans="1:18">
      <c r="A65" s="3" t="s">
        <v>354</v>
      </c>
      <c r="B65" s="3" t="s">
        <v>355</v>
      </c>
      <c r="C65" s="3" t="s">
        <v>314</v>
      </c>
      <c r="D65" s="3" t="s">
        <v>315</v>
      </c>
      <c r="E65" s="3" t="s">
        <v>228</v>
      </c>
      <c r="F65" s="3">
        <v>256</v>
      </c>
      <c r="G65" s="3" t="s">
        <v>752</v>
      </c>
      <c r="H65" s="3"/>
      <c r="I65" s="3" t="s">
        <v>753</v>
      </c>
      <c r="J65" s="3">
        <v>8</v>
      </c>
      <c r="K65" s="3">
        <v>8</v>
      </c>
      <c r="L65" s="3">
        <v>0</v>
      </c>
      <c r="M65" s="3">
        <v>0</v>
      </c>
      <c r="N65" s="3">
        <v>8</v>
      </c>
      <c r="O65" s="3">
        <v>0.44</v>
      </c>
      <c r="P65" s="3">
        <v>0</v>
      </c>
      <c r="Q65" s="3">
        <v>0</v>
      </c>
      <c r="R65" s="3">
        <v>0</v>
      </c>
    </row>
    <row r="66" spans="1:18">
      <c r="A66" s="3" t="s">
        <v>604</v>
      </c>
      <c r="B66" s="3" t="s">
        <v>605</v>
      </c>
      <c r="C66" s="3" t="s">
        <v>606</v>
      </c>
      <c r="D66" s="3" t="s">
        <v>607</v>
      </c>
      <c r="E66" s="3" t="s">
        <v>228</v>
      </c>
      <c r="F66" s="3">
        <v>178</v>
      </c>
      <c r="G66" s="3" t="s">
        <v>752</v>
      </c>
      <c r="H66" s="3"/>
      <c r="I66" s="3" t="s">
        <v>753</v>
      </c>
      <c r="J66" s="3">
        <v>5</v>
      </c>
      <c r="K66" s="3">
        <v>5</v>
      </c>
      <c r="L66" s="3">
        <v>0</v>
      </c>
      <c r="M66" s="3">
        <v>0</v>
      </c>
      <c r="N66" s="3">
        <v>5</v>
      </c>
      <c r="O66" s="3">
        <v>0.04</v>
      </c>
      <c r="P66" s="3">
        <v>0</v>
      </c>
      <c r="Q66" s="3">
        <v>0</v>
      </c>
      <c r="R66" s="3">
        <v>0</v>
      </c>
    </row>
    <row r="67" spans="1:18">
      <c r="A67" s="3" t="s">
        <v>656</v>
      </c>
      <c r="B67" s="3" t="s">
        <v>657</v>
      </c>
      <c r="C67" s="3" t="s">
        <v>658</v>
      </c>
      <c r="D67" s="3" t="s">
        <v>659</v>
      </c>
      <c r="E67" s="3" t="s">
        <v>228</v>
      </c>
      <c r="F67" s="3">
        <v>178</v>
      </c>
      <c r="G67" s="3" t="s">
        <v>752</v>
      </c>
      <c r="H67" s="3"/>
      <c r="I67" s="3" t="s">
        <v>753</v>
      </c>
      <c r="J67" s="3">
        <v>5</v>
      </c>
      <c r="K67" s="3">
        <v>5</v>
      </c>
      <c r="L67" s="3">
        <v>0</v>
      </c>
      <c r="M67" s="3">
        <v>0</v>
      </c>
      <c r="N67" s="3">
        <v>5</v>
      </c>
      <c r="O67" s="3">
        <v>0.04</v>
      </c>
      <c r="P67" s="3">
        <v>0</v>
      </c>
      <c r="Q67" s="3">
        <v>0</v>
      </c>
      <c r="R67" s="3">
        <v>0</v>
      </c>
    </row>
    <row r="68" spans="1:18">
      <c r="A68" s="3" t="s">
        <v>370</v>
      </c>
      <c r="B68" s="3" t="s">
        <v>371</v>
      </c>
      <c r="C68" s="3" t="s">
        <v>372</v>
      </c>
      <c r="D68" s="3" t="s">
        <v>373</v>
      </c>
      <c r="E68" s="3" t="s">
        <v>228</v>
      </c>
      <c r="F68" s="3">
        <v>278</v>
      </c>
      <c r="G68" s="3" t="s">
        <v>752</v>
      </c>
      <c r="H68" s="3"/>
      <c r="I68" s="3" t="s">
        <v>753</v>
      </c>
      <c r="J68" s="3">
        <v>9</v>
      </c>
      <c r="K68" s="3">
        <v>8</v>
      </c>
      <c r="L68" s="3">
        <v>1</v>
      </c>
      <c r="M68" s="3">
        <v>0</v>
      </c>
      <c r="N68" s="3">
        <v>9</v>
      </c>
      <c r="O68" s="3">
        <v>0.22</v>
      </c>
      <c r="P68" s="3">
        <v>0</v>
      </c>
      <c r="Q68" s="3">
        <v>0</v>
      </c>
      <c r="R68" s="3">
        <v>0</v>
      </c>
    </row>
    <row r="69" spans="1:18">
      <c r="A69" s="3" t="s">
        <v>48</v>
      </c>
      <c r="B69" s="3" t="s">
        <v>49</v>
      </c>
      <c r="C69" s="3" t="s">
        <v>50</v>
      </c>
      <c r="D69" s="3" t="s">
        <v>51</v>
      </c>
      <c r="E69" s="3" t="s">
        <v>228</v>
      </c>
      <c r="F69" s="3">
        <v>89.6</v>
      </c>
      <c r="G69" s="3" t="s">
        <v>752</v>
      </c>
      <c r="H69" s="3"/>
      <c r="I69" s="3" t="s">
        <v>753</v>
      </c>
      <c r="J69" s="3">
        <v>9</v>
      </c>
      <c r="K69" s="3">
        <v>6</v>
      </c>
      <c r="L69" s="3">
        <v>1</v>
      </c>
      <c r="M69" s="3">
        <v>2</v>
      </c>
      <c r="N69" s="3">
        <v>12</v>
      </c>
      <c r="O69" s="3">
        <v>0.67</v>
      </c>
      <c r="P69" s="3">
        <v>0</v>
      </c>
      <c r="Q69" s="3">
        <v>3</v>
      </c>
      <c r="R69" s="3">
        <v>0</v>
      </c>
    </row>
    <row r="70" spans="1:18">
      <c r="A70" s="3" t="s">
        <v>635</v>
      </c>
      <c r="B70" s="3" t="s">
        <v>636</v>
      </c>
      <c r="C70" s="3" t="s">
        <v>637</v>
      </c>
      <c r="D70" s="3" t="s">
        <v>638</v>
      </c>
      <c r="E70" s="3" t="s">
        <v>228</v>
      </c>
      <c r="F70" s="3">
        <v>159.99</v>
      </c>
      <c r="G70" s="3" t="s">
        <v>752</v>
      </c>
      <c r="H70" s="3"/>
      <c r="I70" s="3" t="s">
        <v>753</v>
      </c>
      <c r="J70" s="3">
        <v>7</v>
      </c>
      <c r="K70" s="3">
        <v>7</v>
      </c>
      <c r="L70" s="3">
        <v>0</v>
      </c>
      <c r="M70" s="3">
        <v>0</v>
      </c>
      <c r="N70" s="3">
        <v>7</v>
      </c>
      <c r="O70" s="3">
        <v>0.36</v>
      </c>
      <c r="P70" s="3">
        <v>0</v>
      </c>
      <c r="Q70" s="3">
        <v>0</v>
      </c>
      <c r="R70" s="3">
        <v>0</v>
      </c>
    </row>
    <row r="71" spans="1:18">
      <c r="A71" s="3" t="s">
        <v>52</v>
      </c>
      <c r="B71" s="3" t="s">
        <v>53</v>
      </c>
      <c r="C71" s="3" t="s">
        <v>54</v>
      </c>
      <c r="D71" s="3" t="s">
        <v>55</v>
      </c>
      <c r="E71" s="3" t="s">
        <v>228</v>
      </c>
      <c r="F71" s="3">
        <v>179</v>
      </c>
      <c r="G71" s="3" t="s">
        <v>752</v>
      </c>
      <c r="H71" s="3"/>
      <c r="I71" s="3" t="s">
        <v>753</v>
      </c>
      <c r="J71" s="3">
        <v>10</v>
      </c>
      <c r="K71" s="3">
        <v>6</v>
      </c>
      <c r="L71" s="3">
        <v>1</v>
      </c>
      <c r="M71" s="3">
        <v>3</v>
      </c>
      <c r="N71" s="3">
        <v>20</v>
      </c>
      <c r="O71" s="3">
        <v>0.79</v>
      </c>
      <c r="P71" s="3">
        <v>0</v>
      </c>
      <c r="Q71" s="3">
        <v>10</v>
      </c>
      <c r="R71" s="3">
        <v>0</v>
      </c>
    </row>
    <row r="72" spans="1:18">
      <c r="A72" s="3" t="s">
        <v>120</v>
      </c>
      <c r="B72" s="3" t="s">
        <v>121</v>
      </c>
      <c r="C72" s="3" t="s">
        <v>122</v>
      </c>
      <c r="D72" s="3" t="s">
        <v>123</v>
      </c>
      <c r="E72" s="3" t="s">
        <v>228</v>
      </c>
      <c r="F72" s="3">
        <v>125</v>
      </c>
      <c r="G72" s="3" t="s">
        <v>752</v>
      </c>
      <c r="H72" s="3"/>
      <c r="I72" s="3" t="s">
        <v>753</v>
      </c>
      <c r="J72" s="3">
        <v>14</v>
      </c>
      <c r="K72" s="3">
        <v>13</v>
      </c>
      <c r="L72" s="3">
        <v>0</v>
      </c>
      <c r="M72" s="3">
        <v>1</v>
      </c>
      <c r="N72" s="3">
        <v>14</v>
      </c>
      <c r="O72" s="3">
        <v>0.14</v>
      </c>
      <c r="P72" s="3">
        <v>0</v>
      </c>
      <c r="Q72" s="3">
        <v>0</v>
      </c>
      <c r="R72" s="3">
        <v>0</v>
      </c>
    </row>
    <row r="73" spans="1:18">
      <c r="A73" s="3" t="s">
        <v>131</v>
      </c>
      <c r="B73" s="3" t="s">
        <v>132</v>
      </c>
      <c r="C73" s="3" t="s">
        <v>133</v>
      </c>
      <c r="D73" s="3" t="s">
        <v>134</v>
      </c>
      <c r="E73" s="3" t="s">
        <v>228</v>
      </c>
      <c r="F73" s="3">
        <v>125</v>
      </c>
      <c r="G73" s="3" t="s">
        <v>752</v>
      </c>
      <c r="H73" s="3"/>
      <c r="I73" s="3" t="s">
        <v>753</v>
      </c>
      <c r="J73" s="3">
        <v>7</v>
      </c>
      <c r="K73" s="3">
        <v>4</v>
      </c>
      <c r="L73" s="3">
        <v>0</v>
      </c>
      <c r="M73" s="3">
        <v>3</v>
      </c>
      <c r="N73" s="3">
        <v>12</v>
      </c>
      <c r="O73" s="3">
        <v>0</v>
      </c>
      <c r="P73" s="3">
        <v>0</v>
      </c>
      <c r="Q73" s="3">
        <v>5</v>
      </c>
      <c r="R73" s="3">
        <v>0</v>
      </c>
    </row>
    <row r="74" spans="1:18">
      <c r="A74" s="3" t="s">
        <v>431</v>
      </c>
      <c r="B74" s="3" t="s">
        <v>432</v>
      </c>
      <c r="C74" s="3" t="s">
        <v>433</v>
      </c>
      <c r="D74" s="3" t="s">
        <v>434</v>
      </c>
      <c r="E74" s="3" t="s">
        <v>228</v>
      </c>
      <c r="F74" s="3">
        <v>89.99</v>
      </c>
      <c r="G74" s="3" t="s">
        <v>752</v>
      </c>
      <c r="H74" s="3"/>
      <c r="I74" s="3" t="s">
        <v>753</v>
      </c>
      <c r="J74" s="3">
        <v>10</v>
      </c>
      <c r="K74" s="3">
        <v>10</v>
      </c>
      <c r="L74" s="3">
        <v>0</v>
      </c>
      <c r="M74" s="3">
        <v>0</v>
      </c>
      <c r="N74" s="3">
        <v>15</v>
      </c>
      <c r="O74" s="3">
        <v>0.25</v>
      </c>
      <c r="P74" s="3">
        <v>0</v>
      </c>
      <c r="Q74" s="3">
        <v>5</v>
      </c>
      <c r="R74" s="3">
        <v>0</v>
      </c>
    </row>
    <row r="75" spans="1:18">
      <c r="A75" s="3" t="s">
        <v>277</v>
      </c>
      <c r="B75" s="3" t="s">
        <v>278</v>
      </c>
      <c r="C75" s="3" t="s">
        <v>279</v>
      </c>
      <c r="D75" s="3" t="s">
        <v>280</v>
      </c>
      <c r="E75" s="3" t="s">
        <v>228</v>
      </c>
      <c r="F75" s="3">
        <v>256</v>
      </c>
      <c r="G75" s="3" t="s">
        <v>752</v>
      </c>
      <c r="H75" s="3"/>
      <c r="I75" s="3" t="s">
        <v>753</v>
      </c>
      <c r="J75" s="3">
        <v>3</v>
      </c>
      <c r="K75" s="3">
        <v>3</v>
      </c>
      <c r="L75" s="3">
        <v>0</v>
      </c>
      <c r="M75" s="3">
        <v>0</v>
      </c>
      <c r="N75" s="3">
        <v>3</v>
      </c>
      <c r="O75" s="3">
        <v>0.86</v>
      </c>
      <c r="P75" s="3">
        <v>0</v>
      </c>
      <c r="Q75" s="3">
        <v>0</v>
      </c>
      <c r="R75" s="3">
        <v>0</v>
      </c>
    </row>
    <row r="76" spans="1:18">
      <c r="A76" s="3" t="s">
        <v>100</v>
      </c>
      <c r="B76" s="3" t="s">
        <v>101</v>
      </c>
      <c r="C76" s="3" t="s">
        <v>102</v>
      </c>
      <c r="D76" s="3" t="s">
        <v>103</v>
      </c>
      <c r="E76" s="3" t="s">
        <v>228</v>
      </c>
      <c r="F76" s="3">
        <v>79.99</v>
      </c>
      <c r="G76" s="3" t="s">
        <v>752</v>
      </c>
      <c r="H76" s="3"/>
      <c r="I76" s="3" t="s">
        <v>753</v>
      </c>
      <c r="J76" s="3">
        <v>31</v>
      </c>
      <c r="K76" s="3">
        <v>24</v>
      </c>
      <c r="L76" s="3">
        <v>2</v>
      </c>
      <c r="M76" s="3">
        <v>5</v>
      </c>
      <c r="N76" s="3">
        <v>31</v>
      </c>
      <c r="O76" s="3">
        <v>0.49</v>
      </c>
      <c r="P76" s="3">
        <v>0</v>
      </c>
      <c r="Q76" s="3">
        <v>0</v>
      </c>
      <c r="R76" s="3">
        <v>0</v>
      </c>
    </row>
    <row r="77" spans="1:18">
      <c r="A77" s="3" t="s">
        <v>336</v>
      </c>
      <c r="B77" s="3" t="s">
        <v>337</v>
      </c>
      <c r="C77" s="3" t="s">
        <v>338</v>
      </c>
      <c r="D77" s="3" t="s">
        <v>339</v>
      </c>
      <c r="E77" s="3" t="s">
        <v>228</v>
      </c>
      <c r="F77" s="3">
        <v>79.99</v>
      </c>
      <c r="G77" s="3" t="s">
        <v>752</v>
      </c>
      <c r="H77" s="3"/>
      <c r="I77" s="3" t="s">
        <v>753</v>
      </c>
      <c r="J77" s="3">
        <v>3</v>
      </c>
      <c r="K77" s="3">
        <v>3</v>
      </c>
      <c r="L77" s="3">
        <v>0</v>
      </c>
      <c r="M77" s="3">
        <v>0</v>
      </c>
      <c r="N77" s="3">
        <v>3</v>
      </c>
      <c r="O77" s="3">
        <v>0.09</v>
      </c>
      <c r="P77" s="3">
        <v>0</v>
      </c>
      <c r="Q77" s="3">
        <v>0</v>
      </c>
      <c r="R77" s="3">
        <v>0</v>
      </c>
    </row>
    <row r="78" spans="1:18">
      <c r="A78" s="3" t="s">
        <v>696</v>
      </c>
      <c r="B78" s="3" t="s">
        <v>697</v>
      </c>
      <c r="C78" s="3" t="s">
        <v>698</v>
      </c>
      <c r="D78" s="3" t="s">
        <v>699</v>
      </c>
      <c r="E78" s="3" t="s">
        <v>228</v>
      </c>
      <c r="F78" s="3">
        <v>159.99</v>
      </c>
      <c r="G78" s="3" t="s">
        <v>752</v>
      </c>
      <c r="H78" s="3"/>
      <c r="I78" s="3" t="s">
        <v>753</v>
      </c>
      <c r="J78" s="3">
        <v>5</v>
      </c>
      <c r="K78" s="3">
        <v>5</v>
      </c>
      <c r="L78" s="3">
        <v>0</v>
      </c>
      <c r="M78" s="3">
        <v>0</v>
      </c>
      <c r="N78" s="3">
        <v>5</v>
      </c>
      <c r="O78" s="3">
        <v>0.72</v>
      </c>
      <c r="P78" s="3">
        <v>0</v>
      </c>
      <c r="Q78" s="3">
        <v>0</v>
      </c>
      <c r="R78" s="3">
        <v>0</v>
      </c>
    </row>
    <row r="79" spans="1:18">
      <c r="A79" s="3" t="s">
        <v>237</v>
      </c>
      <c r="B79" s="3" t="s">
        <v>238</v>
      </c>
      <c r="C79" s="3" t="s">
        <v>238</v>
      </c>
      <c r="D79" s="3" t="s">
        <v>239</v>
      </c>
      <c r="E79" s="3" t="s">
        <v>228</v>
      </c>
      <c r="F79" s="3">
        <v>278</v>
      </c>
      <c r="G79" s="3" t="s">
        <v>752</v>
      </c>
      <c r="H79" s="3"/>
      <c r="I79" s="3" t="s">
        <v>753</v>
      </c>
      <c r="J79" s="3">
        <v>6</v>
      </c>
      <c r="K79" s="3">
        <v>6</v>
      </c>
      <c r="L79" s="3">
        <v>0</v>
      </c>
      <c r="M79" s="3">
        <v>0</v>
      </c>
      <c r="N79" s="3">
        <v>6</v>
      </c>
      <c r="O79" s="3">
        <v>0.38</v>
      </c>
      <c r="P79" s="3">
        <v>0</v>
      </c>
      <c r="Q79" s="3">
        <v>0</v>
      </c>
      <c r="R79" s="3">
        <v>0</v>
      </c>
    </row>
    <row r="80" spans="1:18">
      <c r="A80" s="3" t="s">
        <v>712</v>
      </c>
      <c r="B80" s="3" t="s">
        <v>713</v>
      </c>
      <c r="C80" s="3" t="s">
        <v>714</v>
      </c>
      <c r="D80" s="3" t="s">
        <v>715</v>
      </c>
      <c r="E80" s="3" t="s">
        <v>228</v>
      </c>
      <c r="F80" s="3">
        <v>175</v>
      </c>
      <c r="G80" s="3" t="s">
        <v>752</v>
      </c>
      <c r="H80" s="3"/>
      <c r="I80" s="3" t="s">
        <v>753</v>
      </c>
      <c r="J80" s="3">
        <v>6</v>
      </c>
      <c r="K80" s="3">
        <v>6</v>
      </c>
      <c r="L80" s="3">
        <v>0</v>
      </c>
      <c r="M80" s="3">
        <v>0</v>
      </c>
      <c r="N80" s="3">
        <v>6</v>
      </c>
      <c r="O80" s="3">
        <v>0.67</v>
      </c>
      <c r="P80" s="3">
        <v>0</v>
      </c>
      <c r="Q80" s="3">
        <v>0</v>
      </c>
      <c r="R80" s="3">
        <v>0</v>
      </c>
    </row>
    <row r="81" spans="1:18">
      <c r="A81" s="3" t="s">
        <v>673</v>
      </c>
      <c r="B81" s="3" t="s">
        <v>674</v>
      </c>
      <c r="C81" s="3" t="s">
        <v>675</v>
      </c>
      <c r="D81" s="3" t="s">
        <v>676</v>
      </c>
      <c r="E81" s="3" t="s">
        <v>228</v>
      </c>
      <c r="F81" s="3">
        <v>256</v>
      </c>
      <c r="G81" s="3" t="s">
        <v>752</v>
      </c>
      <c r="H81" s="3"/>
      <c r="I81" s="3" t="s">
        <v>753</v>
      </c>
      <c r="J81" s="3">
        <v>10</v>
      </c>
      <c r="K81" s="3">
        <v>10</v>
      </c>
      <c r="L81" s="3">
        <v>0</v>
      </c>
      <c r="M81" s="3">
        <v>0</v>
      </c>
      <c r="N81" s="3">
        <v>10</v>
      </c>
      <c r="O81" s="3">
        <v>0.25</v>
      </c>
      <c r="P81" s="3">
        <v>0</v>
      </c>
      <c r="Q81" s="3">
        <v>0</v>
      </c>
      <c r="R81" s="3">
        <v>0</v>
      </c>
    </row>
    <row r="82" spans="1:18">
      <c r="A82" s="3" t="s">
        <v>645</v>
      </c>
      <c r="B82" s="3" t="s">
        <v>646</v>
      </c>
      <c r="C82" s="3" t="s">
        <v>647</v>
      </c>
      <c r="D82" s="3" t="s">
        <v>648</v>
      </c>
      <c r="E82" s="3" t="s">
        <v>228</v>
      </c>
      <c r="F82" s="3">
        <v>179</v>
      </c>
      <c r="G82" s="3" t="s">
        <v>752</v>
      </c>
      <c r="H82" s="3"/>
      <c r="I82" s="3" t="s">
        <v>753</v>
      </c>
      <c r="J82" s="3">
        <v>3</v>
      </c>
      <c r="K82" s="3">
        <v>3</v>
      </c>
      <c r="L82" s="3">
        <v>0</v>
      </c>
      <c r="M82" s="3">
        <v>0</v>
      </c>
      <c r="N82" s="3">
        <v>3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669</v>
      </c>
      <c r="B83" s="3" t="s">
        <v>670</v>
      </c>
      <c r="C83" s="3" t="s">
        <v>671</v>
      </c>
      <c r="D83" s="3" t="s">
        <v>672</v>
      </c>
      <c r="E83" s="3" t="s">
        <v>228</v>
      </c>
      <c r="F83" s="3">
        <v>179</v>
      </c>
      <c r="G83" s="3" t="s">
        <v>752</v>
      </c>
      <c r="H83" s="3"/>
      <c r="I83" s="3" t="s">
        <v>753</v>
      </c>
      <c r="J83" s="3">
        <v>9</v>
      </c>
      <c r="K83" s="3">
        <v>9</v>
      </c>
      <c r="L83" s="3">
        <v>0</v>
      </c>
      <c r="M83" s="3">
        <v>0</v>
      </c>
      <c r="N83" s="3">
        <v>9</v>
      </c>
      <c r="O83" s="3">
        <v>0</v>
      </c>
      <c r="P83" s="3">
        <v>0</v>
      </c>
      <c r="Q83" s="3">
        <v>0</v>
      </c>
      <c r="R83" s="3">
        <v>0</v>
      </c>
    </row>
    <row r="84" spans="1:18">
      <c r="A84" s="3" t="s">
        <v>116</v>
      </c>
      <c r="B84" s="3" t="s">
        <v>117</v>
      </c>
      <c r="C84" s="3" t="s">
        <v>118</v>
      </c>
      <c r="D84" s="3" t="s">
        <v>119</v>
      </c>
      <c r="E84" s="3" t="s">
        <v>228</v>
      </c>
      <c r="F84" s="3">
        <v>256</v>
      </c>
      <c r="G84" s="3" t="s">
        <v>752</v>
      </c>
      <c r="H84" s="3"/>
      <c r="I84" s="3" t="s">
        <v>753</v>
      </c>
      <c r="J84" s="3">
        <v>26</v>
      </c>
      <c r="K84" s="3">
        <v>25</v>
      </c>
      <c r="L84" s="3">
        <v>0</v>
      </c>
      <c r="M84" s="3">
        <v>1</v>
      </c>
      <c r="N84" s="3">
        <v>26</v>
      </c>
      <c r="O84" s="3">
        <v>0.36</v>
      </c>
      <c r="P84" s="3">
        <v>0</v>
      </c>
      <c r="Q84" s="3">
        <v>0</v>
      </c>
      <c r="R84" s="3">
        <v>0</v>
      </c>
    </row>
    <row r="85" spans="1:18">
      <c r="A85" s="3" t="s">
        <v>688</v>
      </c>
      <c r="B85" s="3" t="s">
        <v>689</v>
      </c>
      <c r="C85" s="3" t="s">
        <v>689</v>
      </c>
      <c r="D85" s="3" t="s">
        <v>690</v>
      </c>
      <c r="E85" s="3" t="s">
        <v>228</v>
      </c>
      <c r="F85" s="3">
        <v>256</v>
      </c>
      <c r="G85" s="3" t="s">
        <v>752</v>
      </c>
      <c r="H85" s="3"/>
      <c r="I85" s="3" t="s">
        <v>753</v>
      </c>
      <c r="J85" s="3">
        <v>1</v>
      </c>
      <c r="K85" s="3">
        <v>1</v>
      </c>
      <c r="L85" s="3">
        <v>0</v>
      </c>
      <c r="M85" s="3">
        <v>0</v>
      </c>
      <c r="N85" s="3">
        <v>1</v>
      </c>
      <c r="O85" s="3">
        <v>0.45</v>
      </c>
      <c r="P85" s="3">
        <v>0</v>
      </c>
      <c r="Q85" s="3">
        <v>0</v>
      </c>
      <c r="R85" s="3">
        <v>0</v>
      </c>
    </row>
    <row r="86" spans="1:18">
      <c r="A86" s="3" t="s">
        <v>561</v>
      </c>
      <c r="B86" s="3" t="s">
        <v>562</v>
      </c>
      <c r="C86" s="3" t="s">
        <v>563</v>
      </c>
      <c r="D86" s="3" t="s">
        <v>564</v>
      </c>
      <c r="E86" s="3" t="s">
        <v>228</v>
      </c>
      <c r="F86" s="3">
        <v>179</v>
      </c>
      <c r="G86" s="3" t="s">
        <v>752</v>
      </c>
      <c r="H86" s="3"/>
      <c r="I86" s="3" t="s">
        <v>753</v>
      </c>
      <c r="J86" s="3">
        <v>4</v>
      </c>
      <c r="K86" s="3">
        <v>4</v>
      </c>
      <c r="L86" s="3">
        <v>0</v>
      </c>
      <c r="M86" s="3">
        <v>0</v>
      </c>
      <c r="N86" s="3">
        <v>4</v>
      </c>
      <c r="O86" s="3">
        <v>0.51</v>
      </c>
      <c r="P86" s="3">
        <v>0</v>
      </c>
      <c r="Q86" s="3">
        <v>0</v>
      </c>
      <c r="R86" s="3">
        <v>0</v>
      </c>
    </row>
    <row r="87" spans="1:18">
      <c r="A87" s="3" t="s">
        <v>303</v>
      </c>
      <c r="B87" s="3" t="s">
        <v>304</v>
      </c>
      <c r="C87" s="3" t="s">
        <v>305</v>
      </c>
      <c r="D87" s="3" t="s">
        <v>306</v>
      </c>
      <c r="E87" s="3" t="s">
        <v>228</v>
      </c>
      <c r="F87" s="3">
        <v>179</v>
      </c>
      <c r="G87" s="3" t="s">
        <v>752</v>
      </c>
      <c r="H87" s="3"/>
      <c r="I87" s="3" t="s">
        <v>753</v>
      </c>
      <c r="J87" s="3">
        <v>5</v>
      </c>
      <c r="K87" s="3">
        <v>5</v>
      </c>
      <c r="L87" s="3">
        <v>0</v>
      </c>
      <c r="M87" s="3">
        <v>0</v>
      </c>
      <c r="N87" s="3">
        <v>5</v>
      </c>
      <c r="O87" s="3">
        <v>0</v>
      </c>
      <c r="P87" s="3">
        <v>0</v>
      </c>
      <c r="Q87" s="3">
        <v>0</v>
      </c>
      <c r="R87" s="3">
        <v>0</v>
      </c>
    </row>
    <row r="88" spans="1:18">
      <c r="A88" s="3" t="s">
        <v>92</v>
      </c>
      <c r="B88" s="3" t="s">
        <v>93</v>
      </c>
      <c r="C88" s="3" t="s">
        <v>94</v>
      </c>
      <c r="D88" s="3" t="s">
        <v>95</v>
      </c>
      <c r="E88" s="3" t="s">
        <v>228</v>
      </c>
      <c r="F88" s="3">
        <v>89.99</v>
      </c>
      <c r="G88" s="3" t="s">
        <v>752</v>
      </c>
      <c r="H88" s="3"/>
      <c r="I88" s="3" t="s">
        <v>753</v>
      </c>
      <c r="J88" s="3">
        <v>9</v>
      </c>
      <c r="K88" s="3">
        <v>8</v>
      </c>
      <c r="L88" s="3">
        <v>0</v>
      </c>
      <c r="M88" s="3">
        <v>1</v>
      </c>
      <c r="N88" s="3">
        <v>19</v>
      </c>
      <c r="O88" s="3">
        <v>0.5</v>
      </c>
      <c r="P88" s="3">
        <v>0</v>
      </c>
      <c r="Q88" s="3">
        <v>0</v>
      </c>
      <c r="R88" s="3">
        <v>10</v>
      </c>
    </row>
    <row r="89" spans="1:18">
      <c r="A89" s="3" t="s">
        <v>316</v>
      </c>
      <c r="B89" s="3" t="s">
        <v>317</v>
      </c>
      <c r="C89" s="3" t="s">
        <v>318</v>
      </c>
      <c r="D89" s="3" t="s">
        <v>319</v>
      </c>
      <c r="E89" s="3" t="s">
        <v>228</v>
      </c>
      <c r="F89" s="3">
        <v>89.99</v>
      </c>
      <c r="G89" s="3" t="s">
        <v>752</v>
      </c>
      <c r="H89" s="3"/>
      <c r="I89" s="3" t="s">
        <v>753</v>
      </c>
      <c r="J89" s="3">
        <v>8</v>
      </c>
      <c r="K89" s="3">
        <v>8</v>
      </c>
      <c r="L89" s="3">
        <v>0</v>
      </c>
      <c r="M89" s="3">
        <v>0</v>
      </c>
      <c r="N89" s="3">
        <v>8</v>
      </c>
      <c r="O89" s="3">
        <v>0.4</v>
      </c>
      <c r="P89" s="3">
        <v>0</v>
      </c>
      <c r="Q89" s="3">
        <v>0</v>
      </c>
      <c r="R89" s="3">
        <v>0</v>
      </c>
    </row>
    <row r="90" spans="1:18">
      <c r="A90" s="3" t="s">
        <v>80</v>
      </c>
      <c r="B90" s="3" t="s">
        <v>81</v>
      </c>
      <c r="C90" s="3" t="s">
        <v>82</v>
      </c>
      <c r="D90" s="3" t="s">
        <v>83</v>
      </c>
      <c r="E90" s="3" t="s">
        <v>228</v>
      </c>
      <c r="F90" s="3">
        <v>256</v>
      </c>
      <c r="G90" s="3" t="s">
        <v>752</v>
      </c>
      <c r="H90" s="3"/>
      <c r="I90" s="3" t="s">
        <v>753</v>
      </c>
      <c r="J90" s="3">
        <v>3</v>
      </c>
      <c r="K90" s="3">
        <v>0</v>
      </c>
      <c r="L90" s="3">
        <v>0</v>
      </c>
      <c r="M90" s="3">
        <v>3</v>
      </c>
      <c r="N90" s="3">
        <v>9</v>
      </c>
      <c r="O90" s="3">
        <v>0.06</v>
      </c>
      <c r="P90" s="3">
        <v>1</v>
      </c>
      <c r="Q90" s="3">
        <v>5</v>
      </c>
      <c r="R90" s="3">
        <v>0</v>
      </c>
    </row>
    <row r="91" spans="1:18">
      <c r="A91" s="3" t="s">
        <v>730</v>
      </c>
      <c r="B91" s="3" t="s">
        <v>731</v>
      </c>
      <c r="C91" s="3" t="s">
        <v>732</v>
      </c>
      <c r="D91" s="3" t="s">
        <v>119</v>
      </c>
      <c r="E91" s="3" t="s">
        <v>228</v>
      </c>
      <c r="F91" s="3">
        <v>256</v>
      </c>
      <c r="G91" s="3" t="s">
        <v>752</v>
      </c>
      <c r="H91" s="3"/>
      <c r="I91" s="3" t="s">
        <v>753</v>
      </c>
      <c r="J91" s="3">
        <v>6</v>
      </c>
      <c r="K91" s="3">
        <v>6</v>
      </c>
      <c r="L91" s="3">
        <v>0</v>
      </c>
      <c r="M91" s="3">
        <v>0</v>
      </c>
      <c r="N91" s="3">
        <v>6</v>
      </c>
      <c r="O91" s="3">
        <v>0.6</v>
      </c>
      <c r="P91" s="3">
        <v>0</v>
      </c>
      <c r="Q91" s="3">
        <v>0</v>
      </c>
      <c r="R91" s="3">
        <v>0</v>
      </c>
    </row>
    <row r="92" spans="1:18">
      <c r="A92" s="3" t="s">
        <v>403</v>
      </c>
      <c r="B92" s="3" t="s">
        <v>404</v>
      </c>
      <c r="C92" s="3" t="s">
        <v>405</v>
      </c>
      <c r="D92" s="3" t="s">
        <v>406</v>
      </c>
      <c r="E92" s="3" t="s">
        <v>228</v>
      </c>
      <c r="F92" s="3">
        <v>168</v>
      </c>
      <c r="G92" s="3" t="s">
        <v>752</v>
      </c>
      <c r="H92" s="3"/>
      <c r="I92" s="3" t="s">
        <v>753</v>
      </c>
      <c r="J92" s="3">
        <v>17</v>
      </c>
      <c r="K92" s="3">
        <v>17</v>
      </c>
      <c r="L92" s="3">
        <v>0</v>
      </c>
      <c r="M92" s="3">
        <v>0</v>
      </c>
      <c r="N92" s="3">
        <v>17</v>
      </c>
      <c r="O92" s="3">
        <v>0.62</v>
      </c>
      <c r="P92" s="3">
        <v>0</v>
      </c>
      <c r="Q92" s="3">
        <v>0</v>
      </c>
      <c r="R92" s="3">
        <v>0</v>
      </c>
    </row>
    <row r="93" spans="1:18">
      <c r="A93" s="3" t="s">
        <v>497</v>
      </c>
      <c r="B93" s="3" t="s">
        <v>498</v>
      </c>
      <c r="C93" s="3" t="s">
        <v>499</v>
      </c>
      <c r="D93" s="3" t="s">
        <v>500</v>
      </c>
      <c r="E93" s="3" t="s">
        <v>228</v>
      </c>
      <c r="F93" s="3">
        <v>256</v>
      </c>
      <c r="G93" s="3" t="s">
        <v>752</v>
      </c>
      <c r="H93" s="3"/>
      <c r="I93" s="3" t="s">
        <v>753</v>
      </c>
      <c r="J93" s="3">
        <v>9</v>
      </c>
      <c r="K93" s="3">
        <v>8</v>
      </c>
      <c r="L93" s="3">
        <v>1</v>
      </c>
      <c r="M93" s="3">
        <v>0</v>
      </c>
      <c r="N93" s="3">
        <v>9</v>
      </c>
      <c r="O93" s="3">
        <v>0.32</v>
      </c>
      <c r="P93" s="3">
        <v>0</v>
      </c>
      <c r="Q93" s="3">
        <v>0</v>
      </c>
      <c r="R93" s="3">
        <v>0</v>
      </c>
    </row>
    <row r="94" spans="1:18">
      <c r="A94" s="3" t="s">
        <v>124</v>
      </c>
      <c r="B94" s="3" t="s">
        <v>125</v>
      </c>
      <c r="C94" s="3" t="s">
        <v>126</v>
      </c>
      <c r="D94" s="3" t="s">
        <v>127</v>
      </c>
      <c r="E94" s="3" t="s">
        <v>228</v>
      </c>
      <c r="F94" s="3">
        <v>99.6</v>
      </c>
      <c r="G94" s="3" t="s">
        <v>752</v>
      </c>
      <c r="H94" s="3"/>
      <c r="I94" s="3" t="s">
        <v>753</v>
      </c>
      <c r="J94" s="3">
        <v>43</v>
      </c>
      <c r="K94" s="3">
        <v>13</v>
      </c>
      <c r="L94" s="3">
        <v>0</v>
      </c>
      <c r="M94" s="3">
        <v>30</v>
      </c>
      <c r="N94" s="3">
        <v>43</v>
      </c>
      <c r="O94" s="3">
        <v>0.48</v>
      </c>
      <c r="P94" s="3">
        <v>0</v>
      </c>
      <c r="Q94" s="3">
        <v>0</v>
      </c>
      <c r="R94" s="3">
        <v>0</v>
      </c>
    </row>
    <row r="95" spans="1:18">
      <c r="A95" s="3" t="s">
        <v>104</v>
      </c>
      <c r="B95" s="3" t="s">
        <v>105</v>
      </c>
      <c r="C95" s="3" t="s">
        <v>106</v>
      </c>
      <c r="D95" s="3" t="s">
        <v>107</v>
      </c>
      <c r="E95" s="3" t="s">
        <v>228</v>
      </c>
      <c r="F95" s="3">
        <v>99.6</v>
      </c>
      <c r="G95" s="3" t="s">
        <v>752</v>
      </c>
      <c r="H95" s="3"/>
      <c r="I95" s="3" t="s">
        <v>753</v>
      </c>
      <c r="J95" s="3">
        <v>36</v>
      </c>
      <c r="K95" s="3">
        <v>4</v>
      </c>
      <c r="L95" s="3">
        <v>1</v>
      </c>
      <c r="M95" s="3">
        <v>31</v>
      </c>
      <c r="N95" s="3">
        <v>39</v>
      </c>
      <c r="O95" s="3">
        <v>0.26</v>
      </c>
      <c r="P95" s="3">
        <v>0</v>
      </c>
      <c r="Q95" s="3">
        <v>3</v>
      </c>
      <c r="R95" s="3">
        <v>0</v>
      </c>
    </row>
    <row r="96" spans="1:18">
      <c r="A96" s="3" t="s">
        <v>108</v>
      </c>
      <c r="B96" s="3" t="s">
        <v>109</v>
      </c>
      <c r="C96" s="3" t="s">
        <v>110</v>
      </c>
      <c r="D96" s="3" t="s">
        <v>111</v>
      </c>
      <c r="E96" s="3" t="s">
        <v>228</v>
      </c>
      <c r="F96" s="3">
        <v>199</v>
      </c>
      <c r="G96" s="3" t="s">
        <v>752</v>
      </c>
      <c r="H96" s="3"/>
      <c r="I96" s="3" t="s">
        <v>753</v>
      </c>
      <c r="J96" s="3">
        <v>3</v>
      </c>
      <c r="K96" s="3">
        <v>2</v>
      </c>
      <c r="L96" s="3">
        <v>0</v>
      </c>
      <c r="M96" s="3">
        <v>1</v>
      </c>
      <c r="N96" s="3">
        <v>5</v>
      </c>
      <c r="O96" s="3">
        <v>0.44</v>
      </c>
      <c r="P96" s="3">
        <v>0</v>
      </c>
      <c r="Q96" s="3">
        <v>2</v>
      </c>
      <c r="R96" s="3">
        <v>0</v>
      </c>
    </row>
    <row r="97" spans="1:18">
      <c r="A97" s="3" t="s">
        <v>599</v>
      </c>
      <c r="B97" s="3" t="s">
        <v>600</v>
      </c>
      <c r="C97" s="3" t="s">
        <v>601</v>
      </c>
      <c r="D97" s="3" t="s">
        <v>602</v>
      </c>
      <c r="E97" s="3" t="s">
        <v>228</v>
      </c>
      <c r="F97" s="3">
        <v>199</v>
      </c>
      <c r="G97" s="3" t="s">
        <v>752</v>
      </c>
      <c r="H97" s="3"/>
      <c r="I97" s="3" t="s">
        <v>753</v>
      </c>
      <c r="J97" s="3">
        <v>3</v>
      </c>
      <c r="K97" s="3">
        <v>3</v>
      </c>
      <c r="L97" s="3">
        <v>0</v>
      </c>
      <c r="M97" s="3">
        <v>0</v>
      </c>
      <c r="N97" s="3">
        <v>3</v>
      </c>
      <c r="O97" s="3">
        <v>0.43</v>
      </c>
      <c r="P97" s="3">
        <v>0</v>
      </c>
      <c r="Q97" s="3">
        <v>0</v>
      </c>
      <c r="R97" s="3">
        <v>0</v>
      </c>
    </row>
    <row r="98" spans="1:18">
      <c r="A98" s="3" t="s">
        <v>479</v>
      </c>
      <c r="B98" s="3" t="s">
        <v>480</v>
      </c>
      <c r="C98" s="3" t="s">
        <v>481</v>
      </c>
      <c r="D98" s="3" t="s">
        <v>482</v>
      </c>
      <c r="E98" s="3" t="s">
        <v>228</v>
      </c>
      <c r="F98" s="3">
        <v>156</v>
      </c>
      <c r="G98" s="3" t="s">
        <v>752</v>
      </c>
      <c r="H98" s="3"/>
      <c r="I98" s="3" t="s">
        <v>753</v>
      </c>
      <c r="J98" s="3">
        <v>11</v>
      </c>
      <c r="K98" s="3">
        <v>11</v>
      </c>
      <c r="L98" s="3">
        <v>0</v>
      </c>
      <c r="M98" s="3">
        <v>0</v>
      </c>
      <c r="N98" s="3">
        <v>11</v>
      </c>
      <c r="O98" s="3">
        <v>0.56</v>
      </c>
      <c r="P98" s="3">
        <v>0</v>
      </c>
      <c r="Q98" s="3">
        <v>0</v>
      </c>
      <c r="R98" s="3">
        <v>0</v>
      </c>
    </row>
    <row r="99" spans="1:18">
      <c r="A99" s="3" t="s">
        <v>96</v>
      </c>
      <c r="B99" s="3" t="s">
        <v>97</v>
      </c>
      <c r="C99" s="3" t="s">
        <v>98</v>
      </c>
      <c r="D99" s="3" t="s">
        <v>99</v>
      </c>
      <c r="E99" s="3" t="s">
        <v>228</v>
      </c>
      <c r="F99" s="3">
        <v>156</v>
      </c>
      <c r="G99" s="3" t="s">
        <v>752</v>
      </c>
      <c r="H99" s="3"/>
      <c r="I99" s="3" t="s">
        <v>753</v>
      </c>
      <c r="J99" s="3">
        <v>5</v>
      </c>
      <c r="K99" s="3">
        <v>3</v>
      </c>
      <c r="L99" s="3">
        <v>0</v>
      </c>
      <c r="M99" s="3">
        <v>2</v>
      </c>
      <c r="N99" s="3">
        <v>11</v>
      </c>
      <c r="O99" s="3">
        <v>0.46</v>
      </c>
      <c r="P99" s="3">
        <v>4</v>
      </c>
      <c r="Q99" s="3">
        <v>2</v>
      </c>
      <c r="R99" s="3">
        <v>0</v>
      </c>
    </row>
    <row r="100" spans="1:18">
      <c r="A100" s="3" t="s">
        <v>283</v>
      </c>
      <c r="B100" s="3" t="s">
        <v>284</v>
      </c>
      <c r="C100" s="3" t="s">
        <v>285</v>
      </c>
      <c r="D100" s="3" t="s">
        <v>286</v>
      </c>
      <c r="E100" s="3" t="s">
        <v>228</v>
      </c>
      <c r="F100" s="3">
        <v>178</v>
      </c>
      <c r="G100" s="3" t="s">
        <v>752</v>
      </c>
      <c r="H100" s="3"/>
      <c r="I100" s="3" t="s">
        <v>753</v>
      </c>
      <c r="J100" s="3">
        <v>10</v>
      </c>
      <c r="K100" s="3">
        <v>9</v>
      </c>
      <c r="L100" s="3">
        <v>1</v>
      </c>
      <c r="M100" s="3">
        <v>0</v>
      </c>
      <c r="N100" s="3">
        <v>10</v>
      </c>
      <c r="O100" s="3">
        <v>0.12</v>
      </c>
      <c r="P100" s="3">
        <v>0</v>
      </c>
      <c r="Q100" s="3">
        <v>0</v>
      </c>
      <c r="R100" s="3">
        <v>0</v>
      </c>
    </row>
    <row r="101" spans="1:18">
      <c r="A101" s="3" t="s">
        <v>139</v>
      </c>
      <c r="B101" s="3" t="s">
        <v>140</v>
      </c>
      <c r="C101" s="3" t="s">
        <v>141</v>
      </c>
      <c r="D101" s="3" t="s">
        <v>142</v>
      </c>
      <c r="E101" s="3" t="s">
        <v>228</v>
      </c>
      <c r="F101" s="3">
        <v>156</v>
      </c>
      <c r="G101" s="3" t="s">
        <v>752</v>
      </c>
      <c r="H101" s="3"/>
      <c r="I101" s="3" t="s">
        <v>753</v>
      </c>
      <c r="J101" s="3">
        <v>5</v>
      </c>
      <c r="K101" s="3">
        <v>4</v>
      </c>
      <c r="L101" s="3">
        <v>0</v>
      </c>
      <c r="M101" s="3">
        <v>1</v>
      </c>
      <c r="N101" s="3">
        <v>5</v>
      </c>
      <c r="O101" s="3">
        <v>0.4</v>
      </c>
      <c r="P101" s="3">
        <v>0</v>
      </c>
      <c r="Q101" s="3">
        <v>0</v>
      </c>
      <c r="R101" s="3">
        <v>0</v>
      </c>
    </row>
    <row r="102" spans="1:18">
      <c r="A102" s="3" t="s">
        <v>147</v>
      </c>
      <c r="B102" s="3" t="s">
        <v>148</v>
      </c>
      <c r="C102" s="3" t="s">
        <v>149</v>
      </c>
      <c r="D102" s="3" t="s">
        <v>150</v>
      </c>
      <c r="E102" s="3" t="s">
        <v>228</v>
      </c>
      <c r="F102" s="3">
        <v>178</v>
      </c>
      <c r="G102" s="3" t="s">
        <v>752</v>
      </c>
      <c r="H102" s="3"/>
      <c r="I102" s="3" t="s">
        <v>753</v>
      </c>
      <c r="J102" s="3">
        <v>6</v>
      </c>
      <c r="K102" s="3">
        <v>5</v>
      </c>
      <c r="L102" s="3">
        <v>0</v>
      </c>
      <c r="M102" s="3">
        <v>1</v>
      </c>
      <c r="N102" s="3">
        <v>6</v>
      </c>
      <c r="O102" s="3">
        <v>0.55</v>
      </c>
      <c r="P102" s="3">
        <v>0</v>
      </c>
      <c r="Q102" s="3">
        <v>0</v>
      </c>
      <c r="R102" s="3">
        <v>0</v>
      </c>
    </row>
    <row r="103" spans="1:18">
      <c r="A103" s="3" t="s">
        <v>361</v>
      </c>
      <c r="B103" s="3" t="s">
        <v>362</v>
      </c>
      <c r="C103" s="3" t="s">
        <v>363</v>
      </c>
      <c r="D103" s="3" t="s">
        <v>364</v>
      </c>
      <c r="E103" s="3" t="s">
        <v>228</v>
      </c>
      <c r="F103" s="3">
        <v>156</v>
      </c>
      <c r="G103" s="3" t="s">
        <v>752</v>
      </c>
      <c r="H103" s="3"/>
      <c r="I103" s="3" t="s">
        <v>753</v>
      </c>
      <c r="J103" s="3">
        <v>8</v>
      </c>
      <c r="K103" s="3">
        <v>8</v>
      </c>
      <c r="L103" s="3">
        <v>0</v>
      </c>
      <c r="M103" s="3">
        <v>0</v>
      </c>
      <c r="N103" s="3">
        <v>8</v>
      </c>
      <c r="O103" s="3">
        <v>0.5</v>
      </c>
      <c r="P103" s="3">
        <v>0</v>
      </c>
      <c r="Q103" s="3">
        <v>0</v>
      </c>
      <c r="R103" s="3">
        <v>0</v>
      </c>
    </row>
    <row r="104" spans="1:18">
      <c r="A104" s="3" t="s">
        <v>293</v>
      </c>
      <c r="B104" s="3" t="s">
        <v>294</v>
      </c>
      <c r="C104" s="3" t="s">
        <v>295</v>
      </c>
      <c r="D104" s="3" t="s">
        <v>296</v>
      </c>
      <c r="E104" s="3" t="s">
        <v>228</v>
      </c>
      <c r="F104" s="3">
        <v>178</v>
      </c>
      <c r="G104" s="3" t="s">
        <v>752</v>
      </c>
      <c r="H104" s="3"/>
      <c r="I104" s="3" t="s">
        <v>753</v>
      </c>
      <c r="J104" s="3">
        <v>4</v>
      </c>
      <c r="K104" s="3">
        <v>4</v>
      </c>
      <c r="L104" s="3">
        <v>0</v>
      </c>
      <c r="M104" s="3">
        <v>0</v>
      </c>
      <c r="N104" s="3">
        <v>4</v>
      </c>
      <c r="O104" s="3">
        <v>0.92</v>
      </c>
      <c r="P104" s="3">
        <v>0</v>
      </c>
      <c r="Q104" s="3">
        <v>0</v>
      </c>
      <c r="R104" s="3">
        <v>0</v>
      </c>
    </row>
    <row r="105" spans="1:18">
      <c r="A105" s="3" t="s">
        <v>701</v>
      </c>
      <c r="B105" s="3" t="s">
        <v>702</v>
      </c>
      <c r="C105" s="3" t="s">
        <v>702</v>
      </c>
      <c r="D105" s="3" t="s">
        <v>703</v>
      </c>
      <c r="E105" s="3" t="s">
        <v>228</v>
      </c>
      <c r="F105" s="3">
        <v>179</v>
      </c>
      <c r="G105" s="3" t="s">
        <v>752</v>
      </c>
      <c r="H105" s="3"/>
      <c r="I105" s="3" t="s">
        <v>753</v>
      </c>
      <c r="J105" s="3">
        <v>8</v>
      </c>
      <c r="K105" s="3">
        <v>8</v>
      </c>
      <c r="L105" s="3">
        <v>0</v>
      </c>
      <c r="M105" s="3">
        <v>0</v>
      </c>
      <c r="N105" s="3">
        <v>8</v>
      </c>
      <c r="O105" s="3">
        <v>0.01</v>
      </c>
      <c r="P105" s="3">
        <v>0</v>
      </c>
      <c r="Q105" s="3">
        <v>0</v>
      </c>
      <c r="R105" s="3">
        <v>0</v>
      </c>
    </row>
    <row r="106" spans="1:18">
      <c r="A106" s="3" t="s">
        <v>346</v>
      </c>
      <c r="B106" s="3" t="s">
        <v>347</v>
      </c>
      <c r="C106" s="3" t="s">
        <v>348</v>
      </c>
      <c r="D106" s="3" t="s">
        <v>349</v>
      </c>
      <c r="E106" s="3" t="s">
        <v>228</v>
      </c>
      <c r="F106" s="3">
        <v>179</v>
      </c>
      <c r="G106" s="3" t="s">
        <v>752</v>
      </c>
      <c r="H106" s="3"/>
      <c r="I106" s="3" t="s">
        <v>753</v>
      </c>
      <c r="J106" s="3">
        <v>15</v>
      </c>
      <c r="K106" s="3">
        <v>14</v>
      </c>
      <c r="L106" s="3">
        <v>1</v>
      </c>
      <c r="M106" s="3">
        <v>0</v>
      </c>
      <c r="N106" s="3">
        <v>15</v>
      </c>
      <c r="O106" s="3">
        <v>0.01</v>
      </c>
      <c r="P106" s="3">
        <v>0</v>
      </c>
      <c r="Q106" s="3">
        <v>0</v>
      </c>
      <c r="R106" s="3">
        <v>0</v>
      </c>
    </row>
    <row r="107" spans="1:18">
      <c r="A107" s="3" t="s">
        <v>628</v>
      </c>
      <c r="B107" s="3" t="s">
        <v>629</v>
      </c>
      <c r="C107" s="3" t="s">
        <v>630</v>
      </c>
      <c r="D107" s="3" t="s">
        <v>631</v>
      </c>
      <c r="E107" s="3" t="s">
        <v>228</v>
      </c>
      <c r="F107" s="3">
        <v>179</v>
      </c>
      <c r="G107" s="3" t="s">
        <v>752</v>
      </c>
      <c r="H107" s="3"/>
      <c r="I107" s="3" t="s">
        <v>753</v>
      </c>
      <c r="J107" s="3">
        <v>18</v>
      </c>
      <c r="K107" s="3">
        <v>18</v>
      </c>
      <c r="L107" s="3">
        <v>0</v>
      </c>
      <c r="M107" s="3">
        <v>0</v>
      </c>
      <c r="N107" s="3">
        <v>18</v>
      </c>
      <c r="O107" s="3">
        <v>0.14</v>
      </c>
      <c r="P107" s="3">
        <v>0</v>
      </c>
      <c r="Q107" s="3">
        <v>0</v>
      </c>
      <c r="R107" s="3">
        <v>0</v>
      </c>
    </row>
    <row r="108" spans="1:18">
      <c r="A108" s="3" t="s">
        <v>330</v>
      </c>
      <c r="B108" s="3" t="s">
        <v>331</v>
      </c>
      <c r="C108" s="3" t="s">
        <v>332</v>
      </c>
      <c r="D108" s="3" t="s">
        <v>333</v>
      </c>
      <c r="E108" s="3" t="s">
        <v>228</v>
      </c>
      <c r="F108" s="3">
        <v>156</v>
      </c>
      <c r="G108" s="3" t="s">
        <v>752</v>
      </c>
      <c r="H108" s="3"/>
      <c r="I108" s="3" t="s">
        <v>753</v>
      </c>
      <c r="J108" s="3">
        <v>3</v>
      </c>
      <c r="K108" s="3">
        <v>3</v>
      </c>
      <c r="L108" s="3">
        <v>0</v>
      </c>
      <c r="M108" s="3">
        <v>0</v>
      </c>
      <c r="N108" s="3">
        <v>3</v>
      </c>
      <c r="O108" s="3">
        <v>0.71</v>
      </c>
      <c r="P108" s="3">
        <v>0</v>
      </c>
      <c r="Q108" s="3">
        <v>0</v>
      </c>
      <c r="R108" s="3">
        <v>0</v>
      </c>
    </row>
    <row r="109" spans="1:18">
      <c r="A109" s="3" t="s">
        <v>720</v>
      </c>
      <c r="B109" s="3" t="s">
        <v>721</v>
      </c>
      <c r="C109" s="3" t="s">
        <v>722</v>
      </c>
      <c r="D109" s="3" t="s">
        <v>723</v>
      </c>
      <c r="E109" s="3" t="s">
        <v>228</v>
      </c>
      <c r="F109" s="3">
        <v>178</v>
      </c>
      <c r="G109" s="3" t="s">
        <v>752</v>
      </c>
      <c r="H109" s="3"/>
      <c r="I109" s="3" t="s">
        <v>753</v>
      </c>
      <c r="J109" s="3">
        <v>3</v>
      </c>
      <c r="K109" s="3">
        <v>3</v>
      </c>
      <c r="L109" s="3">
        <v>0</v>
      </c>
      <c r="M109" s="3">
        <v>0</v>
      </c>
      <c r="N109" s="3">
        <v>3</v>
      </c>
      <c r="O109" s="3">
        <v>1.59</v>
      </c>
      <c r="P109" s="3">
        <v>0</v>
      </c>
      <c r="Q109" s="3">
        <v>0</v>
      </c>
      <c r="R109" s="3">
        <v>0</v>
      </c>
    </row>
    <row r="110" spans="1:18">
      <c r="A110" s="3" t="s">
        <v>298</v>
      </c>
      <c r="B110" s="3" t="s">
        <v>299</v>
      </c>
      <c r="C110" s="3" t="s">
        <v>300</v>
      </c>
      <c r="D110" s="3" t="s">
        <v>301</v>
      </c>
      <c r="E110" s="3" t="s">
        <v>228</v>
      </c>
      <c r="F110" s="3">
        <v>178</v>
      </c>
      <c r="G110" s="3" t="s">
        <v>752</v>
      </c>
      <c r="H110" s="3"/>
      <c r="I110" s="3" t="s">
        <v>753</v>
      </c>
      <c r="J110" s="3">
        <v>3</v>
      </c>
      <c r="K110" s="3">
        <v>3</v>
      </c>
      <c r="L110" s="3">
        <v>0</v>
      </c>
      <c r="M110" s="3">
        <v>0</v>
      </c>
      <c r="N110" s="3">
        <v>8</v>
      </c>
      <c r="O110" s="3">
        <v>0.19</v>
      </c>
      <c r="P110" s="3">
        <v>5</v>
      </c>
      <c r="Q110" s="3">
        <v>0</v>
      </c>
      <c r="R110" s="3">
        <v>0</v>
      </c>
    </row>
    <row r="111" spans="1:18">
      <c r="A111" s="3" t="s">
        <v>224</v>
      </c>
      <c r="B111" s="3" t="s">
        <v>225</v>
      </c>
      <c r="C111" s="3" t="s">
        <v>226</v>
      </c>
      <c r="D111" s="3" t="s">
        <v>227</v>
      </c>
      <c r="E111" s="3" t="s">
        <v>228</v>
      </c>
      <c r="F111" s="3">
        <v>178</v>
      </c>
      <c r="G111" s="3" t="s">
        <v>752</v>
      </c>
      <c r="H111" s="3"/>
      <c r="I111" s="3" t="s">
        <v>753</v>
      </c>
      <c r="J111" s="3">
        <v>7</v>
      </c>
      <c r="K111" s="3">
        <v>7</v>
      </c>
      <c r="L111" s="3">
        <v>0</v>
      </c>
      <c r="M111" s="3">
        <v>0</v>
      </c>
      <c r="N111" s="3">
        <v>7</v>
      </c>
      <c r="O111" s="3">
        <v>0.74</v>
      </c>
      <c r="P111" s="3">
        <v>0</v>
      </c>
      <c r="Q111" s="3">
        <v>0</v>
      </c>
      <c r="R111" s="3">
        <v>0</v>
      </c>
    </row>
    <row r="112" spans="1:18">
      <c r="A112" s="3" t="s">
        <v>159</v>
      </c>
      <c r="B112" s="3" t="s">
        <v>160</v>
      </c>
      <c r="C112" s="3" t="s">
        <v>161</v>
      </c>
      <c r="D112" s="3" t="s">
        <v>162</v>
      </c>
      <c r="E112" s="3" t="s">
        <v>228</v>
      </c>
      <c r="F112" s="3">
        <v>89.99</v>
      </c>
      <c r="G112" s="3" t="s">
        <v>752</v>
      </c>
      <c r="H112" s="3"/>
      <c r="I112" s="3" t="s">
        <v>753</v>
      </c>
      <c r="J112" s="3">
        <v>5</v>
      </c>
      <c r="K112" s="3">
        <v>4</v>
      </c>
      <c r="L112" s="3">
        <v>0</v>
      </c>
      <c r="M112" s="3">
        <v>1</v>
      </c>
      <c r="N112" s="3">
        <v>5</v>
      </c>
      <c r="O112" s="3">
        <v>0.51</v>
      </c>
      <c r="P112" s="3">
        <v>0</v>
      </c>
      <c r="Q112" s="3">
        <v>0</v>
      </c>
      <c r="R112" s="3">
        <v>0</v>
      </c>
    </row>
    <row r="113" spans="1:18">
      <c r="A113" s="3" t="s">
        <v>649</v>
      </c>
      <c r="B113" s="3" t="s">
        <v>650</v>
      </c>
      <c r="C113" s="3" t="s">
        <v>651</v>
      </c>
      <c r="D113" s="3" t="s">
        <v>652</v>
      </c>
      <c r="E113" s="3" t="s">
        <v>228</v>
      </c>
      <c r="F113" s="3">
        <v>159.99</v>
      </c>
      <c r="G113" s="3" t="s">
        <v>752</v>
      </c>
      <c r="H113" s="3"/>
      <c r="I113" s="3" t="s">
        <v>753</v>
      </c>
      <c r="J113" s="3">
        <v>8</v>
      </c>
      <c r="K113" s="3">
        <v>8</v>
      </c>
      <c r="L113" s="3">
        <v>0</v>
      </c>
      <c r="M113" s="3">
        <v>0</v>
      </c>
      <c r="N113" s="3">
        <v>8</v>
      </c>
      <c r="O113" s="3">
        <v>0.45</v>
      </c>
      <c r="P113" s="3">
        <v>0</v>
      </c>
      <c r="Q113" s="3">
        <v>0</v>
      </c>
      <c r="R113" s="3">
        <v>0</v>
      </c>
    </row>
    <row r="114" spans="1:18">
      <c r="A114" s="3" t="s">
        <v>446</v>
      </c>
      <c r="B114" s="3" t="s">
        <v>447</v>
      </c>
      <c r="C114" s="3" t="s">
        <v>448</v>
      </c>
      <c r="D114" s="3" t="s">
        <v>449</v>
      </c>
      <c r="E114" s="3" t="s">
        <v>228</v>
      </c>
      <c r="F114" s="3">
        <v>156</v>
      </c>
      <c r="G114" s="3" t="s">
        <v>752</v>
      </c>
      <c r="H114" s="3"/>
      <c r="I114" s="3" t="s">
        <v>753</v>
      </c>
      <c r="J114" s="3">
        <v>12</v>
      </c>
      <c r="K114" s="3">
        <v>12</v>
      </c>
      <c r="L114" s="3">
        <v>0</v>
      </c>
      <c r="M114" s="3">
        <v>0</v>
      </c>
      <c r="N114" s="3">
        <v>12</v>
      </c>
      <c r="O114" s="3">
        <v>0.28</v>
      </c>
      <c r="P114" s="3">
        <v>0</v>
      </c>
      <c r="Q114" s="3">
        <v>0</v>
      </c>
      <c r="R114" s="3">
        <v>0</v>
      </c>
    </row>
    <row r="115" spans="1:18">
      <c r="A115" s="3" t="s">
        <v>426</v>
      </c>
      <c r="B115" s="3" t="s">
        <v>427</v>
      </c>
      <c r="C115" s="3" t="s">
        <v>428</v>
      </c>
      <c r="D115" s="3" t="s">
        <v>429</v>
      </c>
      <c r="E115" s="3" t="s">
        <v>228</v>
      </c>
      <c r="F115" s="3">
        <v>32.99</v>
      </c>
      <c r="G115" s="3" t="s">
        <v>752</v>
      </c>
      <c r="H115" s="3"/>
      <c r="I115" s="3" t="s">
        <v>753</v>
      </c>
      <c r="J115" s="3">
        <v>14</v>
      </c>
      <c r="K115" s="3">
        <v>14</v>
      </c>
      <c r="L115" s="3">
        <v>0</v>
      </c>
      <c r="M115" s="3">
        <v>0</v>
      </c>
      <c r="N115" s="3">
        <v>14</v>
      </c>
      <c r="O115" s="3">
        <v>0.07</v>
      </c>
      <c r="P115" s="3">
        <v>0</v>
      </c>
      <c r="Q115" s="3">
        <v>0</v>
      </c>
      <c r="R115" s="3">
        <v>0</v>
      </c>
    </row>
    <row r="116" spans="1:18">
      <c r="A116" s="3" t="s">
        <v>766</v>
      </c>
      <c r="B116" s="3" t="s">
        <v>428</v>
      </c>
      <c r="C116" s="3" t="s">
        <v>428</v>
      </c>
      <c r="D116" s="3" t="s">
        <v>429</v>
      </c>
      <c r="E116" s="3" t="s">
        <v>228</v>
      </c>
      <c r="F116" s="3">
        <v>32.99</v>
      </c>
      <c r="G116" s="3" t="s">
        <v>752</v>
      </c>
      <c r="H116" s="3"/>
      <c r="I116" s="3" t="s">
        <v>753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0.07</v>
      </c>
      <c r="P116" s="3">
        <v>0</v>
      </c>
      <c r="Q116" s="3">
        <v>0</v>
      </c>
      <c r="R116" s="3">
        <v>0</v>
      </c>
    </row>
    <row r="117" spans="1:18">
      <c r="A117" s="3" t="s">
        <v>155</v>
      </c>
      <c r="B117" s="3" t="s">
        <v>156</v>
      </c>
      <c r="C117" s="3" t="s">
        <v>157</v>
      </c>
      <c r="D117" s="3" t="s">
        <v>158</v>
      </c>
      <c r="E117" s="3" t="s">
        <v>228</v>
      </c>
      <c r="F117" s="3">
        <v>132</v>
      </c>
      <c r="G117" s="3" t="s">
        <v>752</v>
      </c>
      <c r="H117" s="3"/>
      <c r="I117" s="3" t="s">
        <v>753</v>
      </c>
      <c r="J117" s="3">
        <v>23</v>
      </c>
      <c r="K117" s="3">
        <v>22</v>
      </c>
      <c r="L117" s="3">
        <v>0</v>
      </c>
      <c r="M117" s="3">
        <v>1</v>
      </c>
      <c r="N117" s="3">
        <v>23</v>
      </c>
      <c r="O117" s="3">
        <v>0.18</v>
      </c>
      <c r="P117" s="3">
        <v>0</v>
      </c>
      <c r="Q117" s="3">
        <v>0</v>
      </c>
      <c r="R117" s="3">
        <v>0</v>
      </c>
    </row>
    <row r="118" spans="1:18">
      <c r="A118" s="3" t="s">
        <v>389</v>
      </c>
      <c r="B118" s="3" t="s">
        <v>390</v>
      </c>
      <c r="C118" s="3" t="s">
        <v>390</v>
      </c>
      <c r="D118" s="3" t="s">
        <v>391</v>
      </c>
      <c r="E118" s="3" t="s">
        <v>228</v>
      </c>
      <c r="F118" s="3">
        <v>132</v>
      </c>
      <c r="G118" s="3" t="s">
        <v>752</v>
      </c>
      <c r="H118" s="3"/>
      <c r="I118" s="3" t="s">
        <v>753</v>
      </c>
      <c r="J118" s="3">
        <v>15</v>
      </c>
      <c r="K118" s="3">
        <v>15</v>
      </c>
      <c r="L118" s="3">
        <v>0</v>
      </c>
      <c r="M118" s="3">
        <v>0</v>
      </c>
      <c r="N118" s="3">
        <v>15</v>
      </c>
      <c r="O118" s="3">
        <v>0.09</v>
      </c>
      <c r="P118" s="3">
        <v>0</v>
      </c>
      <c r="Q118" s="3">
        <v>0</v>
      </c>
      <c r="R118" s="3">
        <v>0</v>
      </c>
    </row>
    <row r="119" spans="1:18">
      <c r="A119" s="3" t="s">
        <v>128</v>
      </c>
      <c r="B119" s="3" t="s">
        <v>129</v>
      </c>
      <c r="C119" s="3" t="s">
        <v>129</v>
      </c>
      <c r="D119" s="3" t="s">
        <v>130</v>
      </c>
      <c r="E119" s="3" t="s">
        <v>228</v>
      </c>
      <c r="F119" s="3">
        <v>132</v>
      </c>
      <c r="G119" s="3" t="s">
        <v>752</v>
      </c>
      <c r="H119" s="3"/>
      <c r="I119" s="3" t="s">
        <v>753</v>
      </c>
      <c r="J119" s="3">
        <v>16</v>
      </c>
      <c r="K119" s="3">
        <v>15</v>
      </c>
      <c r="L119" s="3">
        <v>0</v>
      </c>
      <c r="M119" s="3">
        <v>1</v>
      </c>
      <c r="N119" s="3">
        <v>16</v>
      </c>
      <c r="O119" s="3">
        <v>0.19</v>
      </c>
      <c r="P119" s="3">
        <v>0</v>
      </c>
      <c r="Q119" s="3">
        <v>0</v>
      </c>
      <c r="R119" s="3">
        <v>0</v>
      </c>
    </row>
    <row r="120" spans="1:18">
      <c r="A120" s="3" t="s">
        <v>88</v>
      </c>
      <c r="B120" s="3" t="s">
        <v>89</v>
      </c>
      <c r="C120" s="3" t="s">
        <v>90</v>
      </c>
      <c r="D120" s="3" t="s">
        <v>91</v>
      </c>
      <c r="E120" s="3" t="s">
        <v>228</v>
      </c>
      <c r="F120" s="3">
        <v>132</v>
      </c>
      <c r="G120" s="3" t="s">
        <v>752</v>
      </c>
      <c r="H120" s="3"/>
      <c r="I120" s="3" t="s">
        <v>753</v>
      </c>
      <c r="J120" s="3">
        <v>27</v>
      </c>
      <c r="K120" s="3">
        <v>26</v>
      </c>
      <c r="L120" s="3">
        <v>0</v>
      </c>
      <c r="M120" s="3">
        <v>1</v>
      </c>
      <c r="N120" s="3">
        <v>27</v>
      </c>
      <c r="O120" s="3">
        <v>0.08</v>
      </c>
      <c r="P120" s="3">
        <v>0</v>
      </c>
      <c r="Q120" s="3">
        <v>0</v>
      </c>
      <c r="R120" s="3">
        <v>0</v>
      </c>
    </row>
    <row r="121" spans="1:18">
      <c r="A121" s="3" t="s">
        <v>734</v>
      </c>
      <c r="B121" s="3" t="s">
        <v>735</v>
      </c>
      <c r="C121" s="3" t="s">
        <v>735</v>
      </c>
      <c r="D121" s="3" t="s">
        <v>736</v>
      </c>
      <c r="E121" s="3" t="s">
        <v>228</v>
      </c>
      <c r="F121" s="3">
        <v>249.99</v>
      </c>
      <c r="G121" s="3" t="s">
        <v>752</v>
      </c>
      <c r="H121" s="3"/>
      <c r="I121" s="3" t="s">
        <v>753</v>
      </c>
      <c r="J121" s="3">
        <v>12</v>
      </c>
      <c r="K121" s="3">
        <v>12</v>
      </c>
      <c r="L121" s="3">
        <v>0</v>
      </c>
      <c r="M121" s="3">
        <v>0</v>
      </c>
      <c r="N121" s="3">
        <v>12</v>
      </c>
      <c r="O121" s="3">
        <v>0.41</v>
      </c>
      <c r="P121" s="3">
        <v>0</v>
      </c>
      <c r="Q121" s="3">
        <v>0</v>
      </c>
      <c r="R121" s="3">
        <v>0</v>
      </c>
    </row>
    <row r="122" spans="1:18">
      <c r="A122" s="3" t="s">
        <v>356</v>
      </c>
      <c r="B122" s="3" t="s">
        <v>357</v>
      </c>
      <c r="C122" s="3" t="s">
        <v>357</v>
      </c>
      <c r="D122" s="3" t="s">
        <v>358</v>
      </c>
      <c r="E122" s="3" t="s">
        <v>228</v>
      </c>
      <c r="F122" s="3">
        <v>249.99</v>
      </c>
      <c r="G122" s="3" t="s">
        <v>752</v>
      </c>
      <c r="H122" s="3"/>
      <c r="I122" s="3" t="s">
        <v>753</v>
      </c>
      <c r="J122" s="3">
        <v>15</v>
      </c>
      <c r="K122" s="3">
        <v>15</v>
      </c>
      <c r="L122" s="3">
        <v>0</v>
      </c>
      <c r="M122" s="3">
        <v>0</v>
      </c>
      <c r="N122" s="3">
        <v>15</v>
      </c>
      <c r="O122" s="3">
        <v>0.17</v>
      </c>
      <c r="P122" s="3">
        <v>0</v>
      </c>
      <c r="Q122" s="3">
        <v>0</v>
      </c>
      <c r="R122" s="3">
        <v>0</v>
      </c>
    </row>
    <row r="123" spans="1:18">
      <c r="A123" s="3" t="s">
        <v>135</v>
      </c>
      <c r="B123" s="3" t="s">
        <v>136</v>
      </c>
      <c r="C123" s="3" t="s">
        <v>137</v>
      </c>
      <c r="D123" s="3" t="s">
        <v>138</v>
      </c>
      <c r="E123" s="3" t="s">
        <v>228</v>
      </c>
      <c r="F123" s="3">
        <v>256</v>
      </c>
      <c r="G123" s="3" t="s">
        <v>752</v>
      </c>
      <c r="H123" s="3"/>
      <c r="I123" s="3" t="s">
        <v>753</v>
      </c>
      <c r="J123" s="3">
        <v>2</v>
      </c>
      <c r="K123" s="3">
        <v>1</v>
      </c>
      <c r="L123" s="3">
        <v>0</v>
      </c>
      <c r="M123" s="3">
        <v>1</v>
      </c>
      <c r="N123" s="3">
        <v>2</v>
      </c>
      <c r="O123" s="3">
        <v>0.4</v>
      </c>
      <c r="P123" s="3">
        <v>0</v>
      </c>
      <c r="Q123" s="3">
        <v>0</v>
      </c>
      <c r="R123" s="3">
        <v>0</v>
      </c>
    </row>
    <row r="124" spans="1:18">
      <c r="A124" s="3" t="s">
        <v>151</v>
      </c>
      <c r="B124" s="3" t="s">
        <v>152</v>
      </c>
      <c r="C124" s="3" t="s">
        <v>153</v>
      </c>
      <c r="D124" s="3" t="s">
        <v>154</v>
      </c>
      <c r="E124" s="3" t="s">
        <v>228</v>
      </c>
      <c r="F124" s="3">
        <v>169.99</v>
      </c>
      <c r="G124" s="3" t="s">
        <v>752</v>
      </c>
      <c r="H124" s="3"/>
      <c r="I124" s="3" t="s">
        <v>753</v>
      </c>
      <c r="J124" s="3">
        <v>270</v>
      </c>
      <c r="K124" s="3">
        <v>265</v>
      </c>
      <c r="L124" s="3">
        <v>3</v>
      </c>
      <c r="M124" s="3">
        <v>2</v>
      </c>
      <c r="N124" s="3">
        <v>270</v>
      </c>
      <c r="O124" s="3">
        <v>1.19</v>
      </c>
      <c r="P124" s="3">
        <v>0</v>
      </c>
      <c r="Q124" s="3">
        <v>0</v>
      </c>
      <c r="R124" s="3">
        <v>0</v>
      </c>
    </row>
    <row r="125" spans="1:18">
      <c r="A125" s="3" t="s">
        <v>163</v>
      </c>
      <c r="B125" s="3" t="s">
        <v>164</v>
      </c>
      <c r="C125" s="3" t="s">
        <v>165</v>
      </c>
      <c r="D125" s="3" t="s">
        <v>166</v>
      </c>
      <c r="E125" s="3" t="s">
        <v>228</v>
      </c>
      <c r="F125" s="3">
        <v>269</v>
      </c>
      <c r="G125" s="3" t="s">
        <v>752</v>
      </c>
      <c r="H125" s="3"/>
      <c r="I125" s="3" t="s">
        <v>753</v>
      </c>
      <c r="J125" s="3">
        <v>59</v>
      </c>
      <c r="K125" s="3">
        <v>33</v>
      </c>
      <c r="L125" s="3">
        <v>1</v>
      </c>
      <c r="M125" s="3">
        <v>25</v>
      </c>
      <c r="N125" s="3">
        <v>59</v>
      </c>
      <c r="O125" s="3">
        <v>0.47</v>
      </c>
      <c r="P125" s="3">
        <v>0</v>
      </c>
      <c r="Q125" s="3">
        <v>0</v>
      </c>
      <c r="R125" s="3">
        <v>0</v>
      </c>
    </row>
    <row r="126" spans="1:18">
      <c r="A126" s="3" t="s">
        <v>84</v>
      </c>
      <c r="B126" s="3" t="s">
        <v>85</v>
      </c>
      <c r="C126" s="3" t="s">
        <v>86</v>
      </c>
      <c r="D126" s="3" t="s">
        <v>87</v>
      </c>
      <c r="E126" s="3" t="s">
        <v>228</v>
      </c>
      <c r="F126" s="3">
        <v>156</v>
      </c>
      <c r="G126" s="3" t="s">
        <v>752</v>
      </c>
      <c r="H126" s="3"/>
      <c r="I126" s="3" t="s">
        <v>753</v>
      </c>
      <c r="J126" s="3">
        <v>89</v>
      </c>
      <c r="K126" s="3">
        <v>36</v>
      </c>
      <c r="L126" s="3">
        <v>3</v>
      </c>
      <c r="M126" s="3">
        <v>50</v>
      </c>
      <c r="N126" s="3">
        <v>89</v>
      </c>
      <c r="O126" s="3">
        <v>0.62</v>
      </c>
      <c r="P126" s="3">
        <v>0</v>
      </c>
      <c r="Q126" s="3">
        <v>0</v>
      </c>
      <c r="R126" s="3">
        <v>0</v>
      </c>
    </row>
    <row r="127" spans="1:18">
      <c r="A127" s="3" t="s">
        <v>767</v>
      </c>
      <c r="B127" s="3" t="s">
        <v>460</v>
      </c>
      <c r="C127" s="3" t="s">
        <v>460</v>
      </c>
      <c r="D127" s="3"/>
      <c r="E127" s="3" t="s">
        <v>754</v>
      </c>
      <c r="F127" s="3"/>
      <c r="G127" s="3"/>
      <c r="H127" s="3"/>
      <c r="I127" s="3"/>
      <c r="J127" s="3">
        <v>1</v>
      </c>
      <c r="K127" s="3">
        <v>0</v>
      </c>
      <c r="L127" s="3">
        <v>1</v>
      </c>
      <c r="M127" s="3">
        <v>0</v>
      </c>
      <c r="N127" s="3">
        <v>1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458</v>
      </c>
      <c r="B128" s="3" t="s">
        <v>459</v>
      </c>
      <c r="C128" s="3" t="s">
        <v>460</v>
      </c>
      <c r="D128" s="3" t="s">
        <v>461</v>
      </c>
      <c r="E128" s="3" t="s">
        <v>228</v>
      </c>
      <c r="F128" s="3">
        <v>89.6</v>
      </c>
      <c r="G128" s="3" t="s">
        <v>752</v>
      </c>
      <c r="H128" s="3"/>
      <c r="I128" s="3" t="s">
        <v>753</v>
      </c>
      <c r="J128" s="3">
        <v>50</v>
      </c>
      <c r="K128" s="3">
        <v>50</v>
      </c>
      <c r="L128" s="3">
        <v>0</v>
      </c>
      <c r="M128" s="3">
        <v>0</v>
      </c>
      <c r="N128" s="3">
        <v>50</v>
      </c>
      <c r="O128" s="3">
        <v>0.53</v>
      </c>
      <c r="P128" s="3">
        <v>0</v>
      </c>
      <c r="Q128" s="3">
        <v>0</v>
      </c>
      <c r="R128" s="3">
        <v>0</v>
      </c>
    </row>
    <row r="129" spans="1:18">
      <c r="A129" s="3" t="s">
        <v>143</v>
      </c>
      <c r="B129" s="3" t="s">
        <v>144</v>
      </c>
      <c r="C129" s="3" t="s">
        <v>145</v>
      </c>
      <c r="D129" s="3" t="s">
        <v>146</v>
      </c>
      <c r="E129" s="3" t="s">
        <v>228</v>
      </c>
      <c r="F129" s="3">
        <v>156</v>
      </c>
      <c r="G129" s="3" t="s">
        <v>752</v>
      </c>
      <c r="H129" s="3"/>
      <c r="I129" s="3" t="s">
        <v>753</v>
      </c>
      <c r="J129" s="3">
        <v>119</v>
      </c>
      <c r="K129" s="3">
        <v>33</v>
      </c>
      <c r="L129" s="3">
        <v>4</v>
      </c>
      <c r="M129" s="3">
        <v>82</v>
      </c>
      <c r="N129" s="3">
        <v>119</v>
      </c>
      <c r="O129" s="3">
        <v>0.14</v>
      </c>
      <c r="P129" s="3">
        <v>0</v>
      </c>
      <c r="Q129" s="3">
        <v>0</v>
      </c>
      <c r="R129" s="3">
        <v>0</v>
      </c>
    </row>
    <row r="130" spans="1:18">
      <c r="A130" s="3" t="s">
        <v>112</v>
      </c>
      <c r="B130" s="3" t="s">
        <v>113</v>
      </c>
      <c r="C130" s="3" t="s">
        <v>114</v>
      </c>
      <c r="D130" s="3" t="s">
        <v>115</v>
      </c>
      <c r="E130" s="3" t="s">
        <v>228</v>
      </c>
      <c r="F130" s="3">
        <v>269</v>
      </c>
      <c r="G130" s="3" t="s">
        <v>752</v>
      </c>
      <c r="H130" s="3"/>
      <c r="I130" s="3" t="s">
        <v>753</v>
      </c>
      <c r="J130" s="3">
        <v>84</v>
      </c>
      <c r="K130" s="3">
        <v>33</v>
      </c>
      <c r="L130" s="3">
        <v>1</v>
      </c>
      <c r="M130" s="3">
        <v>50</v>
      </c>
      <c r="N130" s="3">
        <v>84</v>
      </c>
      <c r="O130" s="3">
        <v>0.59</v>
      </c>
      <c r="P130" s="3">
        <v>0</v>
      </c>
      <c r="Q130" s="3">
        <v>0</v>
      </c>
      <c r="R130" s="3">
        <v>0</v>
      </c>
    </row>
    <row r="131" spans="1:18">
      <c r="A131" s="3" t="s">
        <v>684</v>
      </c>
      <c r="B131" s="3" t="s">
        <v>685</v>
      </c>
      <c r="C131" s="3" t="s">
        <v>686</v>
      </c>
      <c r="D131" s="3" t="s">
        <v>687</v>
      </c>
      <c r="E131" s="3" t="s">
        <v>228</v>
      </c>
      <c r="F131" s="3">
        <v>156</v>
      </c>
      <c r="G131" s="3" t="s">
        <v>752</v>
      </c>
      <c r="H131" s="3"/>
      <c r="I131" s="3" t="s">
        <v>753</v>
      </c>
      <c r="J131" s="3">
        <v>8</v>
      </c>
      <c r="K131" s="3">
        <v>7</v>
      </c>
      <c r="L131" s="3">
        <v>1</v>
      </c>
      <c r="M131" s="3">
        <v>0</v>
      </c>
      <c r="N131" s="3">
        <v>8</v>
      </c>
      <c r="O131" s="3">
        <v>0.44</v>
      </c>
      <c r="P131" s="3">
        <v>0</v>
      </c>
      <c r="Q131" s="3">
        <v>0</v>
      </c>
      <c r="R131" s="3">
        <v>0</v>
      </c>
    </row>
    <row r="132" spans="1:18">
      <c r="A132" s="3" t="s">
        <v>539</v>
      </c>
      <c r="B132" s="3" t="s">
        <v>540</v>
      </c>
      <c r="C132" s="3" t="s">
        <v>541</v>
      </c>
      <c r="D132" s="3" t="s">
        <v>542</v>
      </c>
      <c r="E132" s="3" t="s">
        <v>228</v>
      </c>
      <c r="F132" s="3">
        <v>86.9</v>
      </c>
      <c r="G132" s="3" t="s">
        <v>752</v>
      </c>
      <c r="H132" s="3"/>
      <c r="I132" s="3" t="s">
        <v>753</v>
      </c>
      <c r="J132" s="3">
        <v>17</v>
      </c>
      <c r="K132" s="3">
        <v>17</v>
      </c>
      <c r="L132" s="3">
        <v>0</v>
      </c>
      <c r="M132" s="3">
        <v>0</v>
      </c>
      <c r="N132" s="3">
        <v>17</v>
      </c>
      <c r="O132" s="3">
        <v>0.74</v>
      </c>
      <c r="P132" s="3">
        <v>0</v>
      </c>
      <c r="Q132" s="3">
        <v>0</v>
      </c>
      <c r="R132" s="3">
        <v>0</v>
      </c>
    </row>
    <row r="133" spans="1:18">
      <c r="A133" s="3" t="s">
        <v>640</v>
      </c>
      <c r="B133" s="3" t="s">
        <v>641</v>
      </c>
      <c r="C133" s="3" t="s">
        <v>641</v>
      </c>
      <c r="D133" s="3" t="s">
        <v>642</v>
      </c>
      <c r="E133" s="3" t="s">
        <v>228</v>
      </c>
      <c r="F133" s="3">
        <v>132</v>
      </c>
      <c r="G133" s="3" t="s">
        <v>752</v>
      </c>
      <c r="H133" s="3"/>
      <c r="I133" s="3" t="s">
        <v>753</v>
      </c>
      <c r="J133" s="3">
        <v>11</v>
      </c>
      <c r="K133" s="3">
        <v>10</v>
      </c>
      <c r="L133" s="3">
        <v>1</v>
      </c>
      <c r="M133" s="3">
        <v>0</v>
      </c>
      <c r="N133" s="3">
        <v>11</v>
      </c>
      <c r="O133" s="3">
        <v>0.21</v>
      </c>
      <c r="P133" s="3">
        <v>0</v>
      </c>
      <c r="Q133" s="3">
        <v>0</v>
      </c>
      <c r="R133" s="3">
        <v>0</v>
      </c>
    </row>
    <row r="134" spans="1:18">
      <c r="A134" s="3" t="s">
        <v>453</v>
      </c>
      <c r="B134" s="3" t="s">
        <v>454</v>
      </c>
      <c r="C134" s="3" t="s">
        <v>454</v>
      </c>
      <c r="D134" s="3" t="s">
        <v>455</v>
      </c>
      <c r="E134" s="3" t="s">
        <v>228</v>
      </c>
      <c r="F134" s="3">
        <v>159.99</v>
      </c>
      <c r="G134" s="3" t="s">
        <v>752</v>
      </c>
      <c r="H134" s="3"/>
      <c r="I134" s="3" t="s">
        <v>753</v>
      </c>
      <c r="J134" s="3">
        <v>21</v>
      </c>
      <c r="K134" s="3">
        <v>21</v>
      </c>
      <c r="L134" s="3">
        <v>0</v>
      </c>
      <c r="M134" s="3">
        <v>0</v>
      </c>
      <c r="N134" s="3">
        <v>21</v>
      </c>
      <c r="O134" s="3">
        <v>0.6</v>
      </c>
      <c r="P134" s="3">
        <v>0</v>
      </c>
      <c r="Q134" s="3">
        <v>0</v>
      </c>
      <c r="R134" s="3">
        <v>0</v>
      </c>
    </row>
    <row r="135" spans="1:18">
      <c r="A135" s="3" t="s">
        <v>704</v>
      </c>
      <c r="B135" s="3" t="s">
        <v>705</v>
      </c>
      <c r="C135" s="3" t="s">
        <v>705</v>
      </c>
      <c r="D135" s="3" t="s">
        <v>706</v>
      </c>
      <c r="E135" s="3" t="s">
        <v>228</v>
      </c>
      <c r="F135" s="3">
        <v>159.99</v>
      </c>
      <c r="G135" s="3" t="s">
        <v>752</v>
      </c>
      <c r="H135" s="3"/>
      <c r="I135" s="3" t="s">
        <v>753</v>
      </c>
      <c r="J135" s="3">
        <v>34</v>
      </c>
      <c r="K135" s="3">
        <v>34</v>
      </c>
      <c r="L135" s="3">
        <v>0</v>
      </c>
      <c r="M135" s="3">
        <v>0</v>
      </c>
      <c r="N135" s="3">
        <v>34</v>
      </c>
      <c r="O135" s="3">
        <v>0.52</v>
      </c>
      <c r="P135" s="3">
        <v>0</v>
      </c>
      <c r="Q135" s="3">
        <v>0</v>
      </c>
      <c r="R135" s="3">
        <v>0</v>
      </c>
    </row>
    <row r="136" spans="1:18">
      <c r="A136" s="3" t="s">
        <v>469</v>
      </c>
      <c r="B136" s="3" t="s">
        <v>470</v>
      </c>
      <c r="C136" s="3" t="s">
        <v>471</v>
      </c>
      <c r="D136" s="3" t="s">
        <v>472</v>
      </c>
      <c r="E136" s="3" t="s">
        <v>228</v>
      </c>
      <c r="F136" s="3">
        <v>99.99</v>
      </c>
      <c r="G136" s="3" t="s">
        <v>752</v>
      </c>
      <c r="H136" s="3"/>
      <c r="I136" s="3" t="s">
        <v>753</v>
      </c>
      <c r="J136" s="3">
        <v>13</v>
      </c>
      <c r="K136" s="3">
        <v>12</v>
      </c>
      <c r="L136" s="3">
        <v>1</v>
      </c>
      <c r="M136" s="3">
        <v>0</v>
      </c>
      <c r="N136" s="3">
        <v>13</v>
      </c>
      <c r="O136" s="3">
        <v>0.71</v>
      </c>
      <c r="P136" s="3">
        <v>0</v>
      </c>
      <c r="Q136" s="3">
        <v>0</v>
      </c>
      <c r="R136" s="3">
        <v>0</v>
      </c>
    </row>
    <row r="137" spans="1:18">
      <c r="A137" s="3" t="s">
        <v>679</v>
      </c>
      <c r="B137" s="3" t="s">
        <v>680</v>
      </c>
      <c r="C137" s="3" t="s">
        <v>681</v>
      </c>
      <c r="D137" s="3" t="s">
        <v>682</v>
      </c>
      <c r="E137" s="3" t="s">
        <v>228</v>
      </c>
      <c r="F137" s="3">
        <v>89.99</v>
      </c>
      <c r="G137" s="3" t="s">
        <v>752</v>
      </c>
      <c r="H137" s="3"/>
      <c r="I137" s="3" t="s">
        <v>753</v>
      </c>
      <c r="J137" s="3">
        <v>17</v>
      </c>
      <c r="K137" s="3">
        <v>16</v>
      </c>
      <c r="L137" s="3">
        <v>1</v>
      </c>
      <c r="M137" s="3">
        <v>0</v>
      </c>
      <c r="N137" s="3">
        <v>17</v>
      </c>
      <c r="O137" s="3">
        <v>0.58</v>
      </c>
      <c r="P137" s="3">
        <v>0</v>
      </c>
      <c r="Q137" s="3">
        <v>0</v>
      </c>
      <c r="R137" s="3">
        <v>0</v>
      </c>
    </row>
    <row r="138" spans="1:18">
      <c r="A138" s="3" t="s">
        <v>622</v>
      </c>
      <c r="B138" s="3" t="s">
        <v>623</v>
      </c>
      <c r="C138" s="3" t="s">
        <v>624</v>
      </c>
      <c r="D138" s="3" t="s">
        <v>625</v>
      </c>
      <c r="E138" s="3" t="s">
        <v>228</v>
      </c>
      <c r="F138" s="3">
        <v>32.99</v>
      </c>
      <c r="G138" s="3" t="s">
        <v>752</v>
      </c>
      <c r="H138" s="3"/>
      <c r="I138" s="3" t="s">
        <v>753</v>
      </c>
      <c r="J138" s="3">
        <v>6</v>
      </c>
      <c r="K138" s="3">
        <v>6</v>
      </c>
      <c r="L138" s="3">
        <v>0</v>
      </c>
      <c r="M138" s="3">
        <v>0</v>
      </c>
      <c r="N138" s="3">
        <v>11</v>
      </c>
      <c r="O138" s="3">
        <v>0.23</v>
      </c>
      <c r="P138" s="3">
        <v>5</v>
      </c>
      <c r="Q138" s="3">
        <v>0</v>
      </c>
      <c r="R138" s="3">
        <v>0</v>
      </c>
    </row>
    <row r="139" spans="1:18">
      <c r="A139" s="3" t="s">
        <v>716</v>
      </c>
      <c r="B139" s="3" t="s">
        <v>717</v>
      </c>
      <c r="C139" s="3" t="s">
        <v>718</v>
      </c>
      <c r="D139" s="3" t="s">
        <v>719</v>
      </c>
      <c r="E139" s="3" t="s">
        <v>228</v>
      </c>
      <c r="F139" s="3">
        <v>106</v>
      </c>
      <c r="G139" s="3" t="s">
        <v>752</v>
      </c>
      <c r="H139" s="3"/>
      <c r="I139" s="3" t="s">
        <v>753</v>
      </c>
      <c r="J139" s="3">
        <v>12</v>
      </c>
      <c r="K139" s="3">
        <v>12</v>
      </c>
      <c r="L139" s="3">
        <v>0</v>
      </c>
      <c r="M139" s="3">
        <v>0</v>
      </c>
      <c r="N139" s="3">
        <v>12</v>
      </c>
      <c r="O139" s="3">
        <v>0.1</v>
      </c>
      <c r="P139" s="3">
        <v>0</v>
      </c>
      <c r="Q139" s="3">
        <v>0</v>
      </c>
      <c r="R139" s="3">
        <v>0</v>
      </c>
    </row>
    <row r="140" spans="1:18">
      <c r="A140" s="3" t="s">
        <v>184</v>
      </c>
      <c r="B140" s="3" t="s">
        <v>185</v>
      </c>
      <c r="C140" s="3" t="s">
        <v>186</v>
      </c>
      <c r="D140" s="3" t="s">
        <v>187</v>
      </c>
      <c r="E140" s="3" t="s">
        <v>228</v>
      </c>
      <c r="F140" s="3">
        <v>108.99</v>
      </c>
      <c r="G140" s="3" t="s">
        <v>752</v>
      </c>
      <c r="H140" s="3"/>
      <c r="I140" s="3" t="s">
        <v>753</v>
      </c>
      <c r="J140" s="3">
        <v>30</v>
      </c>
      <c r="K140" s="3">
        <v>9</v>
      </c>
      <c r="L140" s="3">
        <v>1</v>
      </c>
      <c r="M140" s="3">
        <v>20</v>
      </c>
      <c r="N140" s="3">
        <v>43</v>
      </c>
      <c r="O140" s="3">
        <v>0.1</v>
      </c>
      <c r="P140" s="3">
        <v>0</v>
      </c>
      <c r="Q140" s="3">
        <v>12</v>
      </c>
      <c r="R140" s="3">
        <v>1</v>
      </c>
    </row>
    <row r="141" spans="1:18">
      <c r="A141" s="3" t="s">
        <v>655</v>
      </c>
      <c r="B141" s="3" t="s">
        <v>624</v>
      </c>
      <c r="C141" s="3" t="s">
        <v>624</v>
      </c>
      <c r="D141" s="3" t="s">
        <v>625</v>
      </c>
      <c r="E141" s="3" t="s">
        <v>228</v>
      </c>
      <c r="F141" s="3">
        <v>106</v>
      </c>
      <c r="G141" s="3" t="s">
        <v>752</v>
      </c>
      <c r="H141" s="3"/>
      <c r="I141" s="3" t="s">
        <v>753</v>
      </c>
      <c r="J141" s="3">
        <v>11</v>
      </c>
      <c r="K141" s="3">
        <v>11</v>
      </c>
      <c r="L141" s="3">
        <v>0</v>
      </c>
      <c r="M141" s="3">
        <v>0</v>
      </c>
      <c r="N141" s="3">
        <v>11</v>
      </c>
      <c r="O141" s="3">
        <v>0.23</v>
      </c>
      <c r="P141" s="3">
        <v>0</v>
      </c>
      <c r="Q141" s="3">
        <v>0</v>
      </c>
      <c r="R141" s="3">
        <v>0</v>
      </c>
    </row>
    <row r="142" spans="1:18">
      <c r="A142" s="3" t="s">
        <v>768</v>
      </c>
      <c r="B142" s="3" t="s">
        <v>169</v>
      </c>
      <c r="C142" s="3" t="s">
        <v>169</v>
      </c>
      <c r="D142" s="3"/>
      <c r="E142" s="3" t="s">
        <v>754</v>
      </c>
      <c r="F142" s="3"/>
      <c r="G142" s="3"/>
      <c r="H142" s="3"/>
      <c r="I142" s="3"/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167</v>
      </c>
      <c r="B143" s="3" t="s">
        <v>168</v>
      </c>
      <c r="C143" s="3" t="s">
        <v>169</v>
      </c>
      <c r="D143" s="3" t="s">
        <v>170</v>
      </c>
      <c r="E143" s="3" t="s">
        <v>228</v>
      </c>
      <c r="F143" s="3">
        <v>89.99</v>
      </c>
      <c r="G143" s="3" t="s">
        <v>752</v>
      </c>
      <c r="H143" s="3"/>
      <c r="I143" s="3" t="s">
        <v>753</v>
      </c>
      <c r="J143" s="3">
        <v>62</v>
      </c>
      <c r="K143" s="3">
        <v>12</v>
      </c>
      <c r="L143" s="3">
        <v>0</v>
      </c>
      <c r="M143" s="3">
        <v>50</v>
      </c>
      <c r="N143" s="3">
        <v>62</v>
      </c>
      <c r="O143" s="3">
        <v>0.21</v>
      </c>
      <c r="P143" s="3">
        <v>0</v>
      </c>
      <c r="Q143" s="3">
        <v>0</v>
      </c>
      <c r="R143" s="3">
        <v>0</v>
      </c>
    </row>
    <row r="144" spans="1:18">
      <c r="A144" s="3" t="s">
        <v>326</v>
      </c>
      <c r="B144" s="3" t="s">
        <v>327</v>
      </c>
      <c r="C144" s="3" t="s">
        <v>327</v>
      </c>
      <c r="D144" s="3" t="s">
        <v>328</v>
      </c>
      <c r="E144" s="3" t="s">
        <v>228</v>
      </c>
      <c r="F144" s="3">
        <v>89.6</v>
      </c>
      <c r="G144" s="3" t="s">
        <v>752</v>
      </c>
      <c r="H144" s="3"/>
      <c r="I144" s="3" t="s">
        <v>753</v>
      </c>
      <c r="J144" s="3">
        <v>12</v>
      </c>
      <c r="K144" s="3">
        <v>12</v>
      </c>
      <c r="L144" s="3">
        <v>0</v>
      </c>
      <c r="M144" s="3">
        <v>0</v>
      </c>
      <c r="N144" s="3">
        <v>12</v>
      </c>
      <c r="O144" s="3">
        <v>0.61</v>
      </c>
      <c r="P144" s="3">
        <v>0</v>
      </c>
      <c r="Q144" s="3">
        <v>0</v>
      </c>
      <c r="R144" s="3">
        <v>0</v>
      </c>
    </row>
    <row r="145" spans="1:18">
      <c r="A145" s="3" t="s">
        <v>769</v>
      </c>
      <c r="B145" s="3" t="s">
        <v>770</v>
      </c>
      <c r="C145" s="3" t="s">
        <v>327</v>
      </c>
      <c r="D145" s="3" t="s">
        <v>328</v>
      </c>
      <c r="E145" s="3" t="s">
        <v>228</v>
      </c>
      <c r="F145" s="3">
        <v>89.6</v>
      </c>
      <c r="G145" s="3" t="s">
        <v>752</v>
      </c>
      <c r="H145" s="3"/>
      <c r="I145" s="3" t="s">
        <v>753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0.61</v>
      </c>
      <c r="P145" s="3">
        <v>0</v>
      </c>
      <c r="Q145" s="3">
        <v>0</v>
      </c>
      <c r="R145" s="3">
        <v>0</v>
      </c>
    </row>
    <row r="146" spans="1:18">
      <c r="A146" s="3" t="s">
        <v>256</v>
      </c>
      <c r="B146" s="3" t="s">
        <v>257</v>
      </c>
      <c r="C146" s="3" t="s">
        <v>258</v>
      </c>
      <c r="D146" s="3" t="s">
        <v>259</v>
      </c>
      <c r="E146" s="3" t="s">
        <v>228</v>
      </c>
      <c r="F146" s="3">
        <v>99.6</v>
      </c>
      <c r="G146" s="3" t="s">
        <v>752</v>
      </c>
      <c r="H146" s="3"/>
      <c r="I146" s="3" t="s">
        <v>753</v>
      </c>
      <c r="J146" s="3">
        <v>39</v>
      </c>
      <c r="K146" s="3">
        <v>38</v>
      </c>
      <c r="L146" s="3">
        <v>1</v>
      </c>
      <c r="M146" s="3">
        <v>0</v>
      </c>
      <c r="N146" s="3">
        <v>39</v>
      </c>
      <c r="O146" s="3">
        <v>0.44</v>
      </c>
      <c r="P146" s="3">
        <v>0</v>
      </c>
      <c r="Q146" s="3">
        <v>0</v>
      </c>
      <c r="R146" s="3">
        <v>0</v>
      </c>
    </row>
    <row r="147" spans="1:18">
      <c r="A147" s="3" t="s">
        <v>171</v>
      </c>
      <c r="B147" s="3" t="s">
        <v>172</v>
      </c>
      <c r="C147" s="3" t="s">
        <v>172</v>
      </c>
      <c r="D147" s="3" t="s">
        <v>173</v>
      </c>
      <c r="E147" s="3" t="s">
        <v>228</v>
      </c>
      <c r="F147" s="3">
        <v>49.9</v>
      </c>
      <c r="G147" s="3" t="s">
        <v>752</v>
      </c>
      <c r="H147" s="3"/>
      <c r="I147" s="3" t="s">
        <v>753</v>
      </c>
      <c r="J147" s="3">
        <v>46</v>
      </c>
      <c r="K147" s="3">
        <v>26</v>
      </c>
      <c r="L147" s="3">
        <v>10</v>
      </c>
      <c r="M147" s="3">
        <v>10</v>
      </c>
      <c r="N147" s="3">
        <v>46</v>
      </c>
      <c r="O147" s="3">
        <v>0.06</v>
      </c>
      <c r="P147" s="3">
        <v>0</v>
      </c>
      <c r="Q147" s="3">
        <v>0</v>
      </c>
      <c r="R147" s="3">
        <v>0</v>
      </c>
    </row>
    <row r="148" spans="1:18">
      <c r="A148" s="3" t="s">
        <v>618</v>
      </c>
      <c r="B148" s="3" t="s">
        <v>619</v>
      </c>
      <c r="C148" s="3" t="s">
        <v>619</v>
      </c>
      <c r="D148" s="3" t="s">
        <v>620</v>
      </c>
      <c r="E148" s="3" t="s">
        <v>228</v>
      </c>
      <c r="F148" s="3">
        <v>49.99</v>
      </c>
      <c r="G148" s="3" t="s">
        <v>752</v>
      </c>
      <c r="H148" s="3"/>
      <c r="I148" s="3" t="s">
        <v>753</v>
      </c>
      <c r="J148" s="3">
        <v>15</v>
      </c>
      <c r="K148" s="3">
        <v>15</v>
      </c>
      <c r="L148" s="3">
        <v>0</v>
      </c>
      <c r="M148" s="3">
        <v>0</v>
      </c>
      <c r="N148" s="3">
        <v>15</v>
      </c>
      <c r="O148" s="3">
        <v>0.05</v>
      </c>
      <c r="P148" s="3">
        <v>0</v>
      </c>
      <c r="Q148" s="3">
        <v>0</v>
      </c>
      <c r="R148" s="3">
        <v>0</v>
      </c>
    </row>
    <row r="149" spans="1:18">
      <c r="A149" s="3" t="s">
        <v>181</v>
      </c>
      <c r="B149" s="3" t="s">
        <v>182</v>
      </c>
      <c r="C149" s="3" t="s">
        <v>182</v>
      </c>
      <c r="D149" s="3" t="s">
        <v>183</v>
      </c>
      <c r="E149" s="3" t="s">
        <v>228</v>
      </c>
      <c r="F149" s="3">
        <v>49.9</v>
      </c>
      <c r="G149" s="3" t="s">
        <v>752</v>
      </c>
      <c r="H149" s="3"/>
      <c r="I149" s="3" t="s">
        <v>753</v>
      </c>
      <c r="J149" s="3">
        <v>25</v>
      </c>
      <c r="K149" s="3">
        <v>21</v>
      </c>
      <c r="L149" s="3">
        <v>0</v>
      </c>
      <c r="M149" s="3">
        <v>4</v>
      </c>
      <c r="N149" s="3">
        <v>25</v>
      </c>
      <c r="O149" s="3">
        <v>0.03</v>
      </c>
      <c r="P149" s="3">
        <v>0</v>
      </c>
      <c r="Q149" s="3">
        <v>0</v>
      </c>
      <c r="R149" s="3">
        <v>0</v>
      </c>
    </row>
    <row r="150" spans="1:18">
      <c r="A150" s="3" t="s">
        <v>474</v>
      </c>
      <c r="B150" s="3" t="s">
        <v>475</v>
      </c>
      <c r="C150" s="3" t="s">
        <v>475</v>
      </c>
      <c r="D150" s="3" t="s">
        <v>476</v>
      </c>
      <c r="E150" s="3" t="s">
        <v>228</v>
      </c>
      <c r="F150" s="3">
        <v>49.99</v>
      </c>
      <c r="G150" s="3" t="s">
        <v>752</v>
      </c>
      <c r="H150" s="3"/>
      <c r="I150" s="3" t="s">
        <v>753</v>
      </c>
      <c r="J150" s="3">
        <v>16</v>
      </c>
      <c r="K150" s="3">
        <v>16</v>
      </c>
      <c r="L150" s="3">
        <v>0</v>
      </c>
      <c r="M150" s="3">
        <v>0</v>
      </c>
      <c r="N150" s="3">
        <v>16</v>
      </c>
      <c r="O150" s="3">
        <v>0.05</v>
      </c>
      <c r="P150" s="3">
        <v>0</v>
      </c>
      <c r="Q150" s="3">
        <v>0</v>
      </c>
      <c r="R150" s="3">
        <v>0</v>
      </c>
    </row>
    <row r="151" spans="1:18">
      <c r="A151" s="3" t="s">
        <v>771</v>
      </c>
      <c r="B151" s="3" t="s">
        <v>536</v>
      </c>
      <c r="C151" s="3" t="s">
        <v>536</v>
      </c>
      <c r="D151" s="3"/>
      <c r="E151" s="3" t="s">
        <v>754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174</v>
      </c>
      <c r="B152" s="3" t="s">
        <v>175</v>
      </c>
      <c r="C152" s="3" t="s">
        <v>175</v>
      </c>
      <c r="D152" s="3" t="s">
        <v>176</v>
      </c>
      <c r="E152" s="3" t="s">
        <v>228</v>
      </c>
      <c r="F152" s="3">
        <v>49.99</v>
      </c>
      <c r="G152" s="3" t="s">
        <v>752</v>
      </c>
      <c r="H152" s="3"/>
      <c r="I152" s="3" t="s">
        <v>753</v>
      </c>
      <c r="J152" s="3">
        <v>5</v>
      </c>
      <c r="K152" s="3">
        <v>4</v>
      </c>
      <c r="L152" s="3">
        <v>0</v>
      </c>
      <c r="M152" s="3">
        <v>1</v>
      </c>
      <c r="N152" s="3">
        <v>5</v>
      </c>
      <c r="O152" s="3">
        <v>0.05</v>
      </c>
      <c r="P152" s="3">
        <v>0</v>
      </c>
      <c r="Q152" s="3">
        <v>0</v>
      </c>
      <c r="R152" s="3">
        <v>0</v>
      </c>
    </row>
    <row r="153" spans="1:18">
      <c r="A153" s="3" t="s">
        <v>436</v>
      </c>
      <c r="B153" s="3" t="s">
        <v>437</v>
      </c>
      <c r="C153" s="3" t="s">
        <v>437</v>
      </c>
      <c r="D153" s="3" t="s">
        <v>438</v>
      </c>
      <c r="E153" s="3" t="s">
        <v>228</v>
      </c>
      <c r="F153" s="3">
        <v>69.6</v>
      </c>
      <c r="G153" s="3" t="s">
        <v>752</v>
      </c>
      <c r="H153" s="3"/>
      <c r="I153" s="3" t="s">
        <v>753</v>
      </c>
      <c r="J153" s="3">
        <v>2</v>
      </c>
      <c r="K153" s="3">
        <v>2</v>
      </c>
      <c r="L153" s="3">
        <v>0</v>
      </c>
      <c r="M153" s="3">
        <v>0</v>
      </c>
      <c r="N153" s="3">
        <v>2</v>
      </c>
      <c r="O153" s="3">
        <v>0</v>
      </c>
      <c r="P153" s="3">
        <v>0</v>
      </c>
      <c r="Q153" s="3">
        <v>0</v>
      </c>
      <c r="R153" s="3">
        <v>0</v>
      </c>
    </row>
    <row r="154" spans="1:18">
      <c r="A154" s="3" t="s">
        <v>441</v>
      </c>
      <c r="B154" s="3" t="s">
        <v>442</v>
      </c>
      <c r="C154" s="3" t="s">
        <v>443</v>
      </c>
      <c r="D154" s="3" t="s">
        <v>444</v>
      </c>
      <c r="E154" s="3" t="s">
        <v>228</v>
      </c>
      <c r="F154" s="3">
        <v>29.99</v>
      </c>
      <c r="G154" s="3" t="s">
        <v>752</v>
      </c>
      <c r="H154" s="3"/>
      <c r="I154" s="3" t="s">
        <v>753</v>
      </c>
      <c r="J154" s="3">
        <v>15</v>
      </c>
      <c r="K154" s="3">
        <v>15</v>
      </c>
      <c r="L154" s="3">
        <v>0</v>
      </c>
      <c r="M154" s="3">
        <v>0</v>
      </c>
      <c r="N154" s="3">
        <v>15</v>
      </c>
      <c r="O154" s="3">
        <v>0.01</v>
      </c>
      <c r="P154" s="3">
        <v>0</v>
      </c>
      <c r="Q154" s="3">
        <v>0</v>
      </c>
      <c r="R154" s="3">
        <v>0</v>
      </c>
    </row>
    <row r="155" spans="1:18">
      <c r="A155" s="3" t="s">
        <v>308</v>
      </c>
      <c r="B155" s="3" t="s">
        <v>309</v>
      </c>
      <c r="C155" s="3" t="s">
        <v>310</v>
      </c>
      <c r="D155" s="3" t="s">
        <v>311</v>
      </c>
      <c r="E155" s="3" t="s">
        <v>228</v>
      </c>
      <c r="F155" s="3">
        <v>49.9</v>
      </c>
      <c r="G155" s="3" t="s">
        <v>752</v>
      </c>
      <c r="H155" s="3"/>
      <c r="I155" s="3" t="s">
        <v>753</v>
      </c>
      <c r="J155" s="3">
        <v>16</v>
      </c>
      <c r="K155" s="3">
        <v>16</v>
      </c>
      <c r="L155" s="3">
        <v>0</v>
      </c>
      <c r="M155" s="3">
        <v>0</v>
      </c>
      <c r="N155" s="3">
        <v>16</v>
      </c>
      <c r="O155" s="3">
        <v>0.04</v>
      </c>
      <c r="P155" s="3">
        <v>0</v>
      </c>
      <c r="Q155" s="3">
        <v>0</v>
      </c>
      <c r="R155" s="3">
        <v>0</v>
      </c>
    </row>
    <row r="156" spans="1:18">
      <c r="A156" s="3" t="s">
        <v>534</v>
      </c>
      <c r="B156" s="3" t="s">
        <v>535</v>
      </c>
      <c r="C156" s="3" t="s">
        <v>536</v>
      </c>
      <c r="D156" s="3" t="s">
        <v>537</v>
      </c>
      <c r="E156" s="3" t="s">
        <v>228</v>
      </c>
      <c r="F156" s="3">
        <v>49.99</v>
      </c>
      <c r="G156" s="3" t="s">
        <v>752</v>
      </c>
      <c r="H156" s="3"/>
      <c r="I156" s="3" t="s">
        <v>753</v>
      </c>
      <c r="J156" s="3">
        <v>9</v>
      </c>
      <c r="K156" s="3">
        <v>9</v>
      </c>
      <c r="L156" s="3">
        <v>0</v>
      </c>
      <c r="M156" s="3">
        <v>0</v>
      </c>
      <c r="N156" s="3">
        <v>9</v>
      </c>
      <c r="O156" s="3">
        <v>0.07</v>
      </c>
      <c r="P156" s="3">
        <v>0</v>
      </c>
      <c r="Q156" s="3">
        <v>0</v>
      </c>
      <c r="R156" s="3">
        <v>0</v>
      </c>
    </row>
    <row r="157" spans="1:18">
      <c r="A157" s="3" t="s">
        <v>177</v>
      </c>
      <c r="B157" s="3" t="s">
        <v>178</v>
      </c>
      <c r="C157" s="3" t="s">
        <v>179</v>
      </c>
      <c r="D157" s="3" t="s">
        <v>180</v>
      </c>
      <c r="E157" s="3" t="s">
        <v>228</v>
      </c>
      <c r="F157" s="3">
        <v>49.9</v>
      </c>
      <c r="G157" s="3" t="s">
        <v>752</v>
      </c>
      <c r="H157" s="3"/>
      <c r="I157" s="3" t="s">
        <v>753</v>
      </c>
      <c r="J157" s="3">
        <v>2</v>
      </c>
      <c r="K157" s="3">
        <v>0</v>
      </c>
      <c r="L157" s="3">
        <v>1</v>
      </c>
      <c r="M157" s="3">
        <v>1</v>
      </c>
      <c r="N157" s="3">
        <v>12</v>
      </c>
      <c r="O157" s="3">
        <v>0.05</v>
      </c>
      <c r="P157" s="3">
        <v>0</v>
      </c>
      <c r="Q157" s="3">
        <v>10</v>
      </c>
      <c r="R157" s="3">
        <v>0</v>
      </c>
    </row>
    <row r="158" spans="1:18">
      <c r="A158" s="3" t="s">
        <v>485</v>
      </c>
      <c r="B158" s="3" t="s">
        <v>486</v>
      </c>
      <c r="C158" s="3" t="s">
        <v>487</v>
      </c>
      <c r="D158" s="3" t="s">
        <v>488</v>
      </c>
      <c r="E158" s="3" t="s">
        <v>228</v>
      </c>
      <c r="F158" s="3">
        <v>49.9</v>
      </c>
      <c r="G158" s="3" t="s">
        <v>752</v>
      </c>
      <c r="H158" s="3"/>
      <c r="I158" s="3" t="s">
        <v>753</v>
      </c>
      <c r="J158" s="3">
        <v>13</v>
      </c>
      <c r="K158" s="3">
        <v>12</v>
      </c>
      <c r="L158" s="3">
        <v>1</v>
      </c>
      <c r="M158" s="3">
        <v>0</v>
      </c>
      <c r="N158" s="3">
        <v>13</v>
      </c>
      <c r="O158" s="3">
        <v>0.07</v>
      </c>
      <c r="P158" s="3">
        <v>0</v>
      </c>
      <c r="Q158" s="3">
        <v>0</v>
      </c>
      <c r="R158" s="3">
        <v>0</v>
      </c>
    </row>
    <row r="159" spans="1:18">
      <c r="A159" s="3" t="s">
        <v>188</v>
      </c>
      <c r="B159" s="3" t="s">
        <v>189</v>
      </c>
      <c r="C159" s="3" t="s">
        <v>190</v>
      </c>
      <c r="D159" s="3" t="s">
        <v>191</v>
      </c>
      <c r="E159" s="3" t="s">
        <v>228</v>
      </c>
      <c r="F159" s="3">
        <v>49.9</v>
      </c>
      <c r="G159" s="3" t="s">
        <v>752</v>
      </c>
      <c r="H159" s="3"/>
      <c r="I159" s="3" t="s">
        <v>753</v>
      </c>
      <c r="J159" s="3">
        <v>13</v>
      </c>
      <c r="K159" s="3">
        <v>11</v>
      </c>
      <c r="L159" s="3">
        <v>1</v>
      </c>
      <c r="M159" s="3">
        <v>1</v>
      </c>
      <c r="N159" s="3">
        <v>13</v>
      </c>
      <c r="O159" s="3">
        <v>0.04</v>
      </c>
      <c r="P159" s="3">
        <v>0</v>
      </c>
      <c r="Q159" s="3">
        <v>0</v>
      </c>
      <c r="R159" s="3">
        <v>0</v>
      </c>
    </row>
    <row r="160" spans="1:18">
      <c r="A160" s="3" t="s">
        <v>517</v>
      </c>
      <c r="B160" s="3" t="s">
        <v>518</v>
      </c>
      <c r="C160" s="3" t="s">
        <v>519</v>
      </c>
      <c r="D160" s="3" t="s">
        <v>520</v>
      </c>
      <c r="E160" s="3" t="s">
        <v>228</v>
      </c>
      <c r="F160" s="3">
        <v>49.9</v>
      </c>
      <c r="G160" s="3" t="s">
        <v>752</v>
      </c>
      <c r="H160" s="3"/>
      <c r="I160" s="3" t="s">
        <v>753</v>
      </c>
      <c r="J160" s="3">
        <v>15</v>
      </c>
      <c r="K160" s="3">
        <v>15</v>
      </c>
      <c r="L160" s="3">
        <v>0</v>
      </c>
      <c r="M160" s="3">
        <v>0</v>
      </c>
      <c r="N160" s="3">
        <v>15</v>
      </c>
      <c r="O160" s="3">
        <v>0.07</v>
      </c>
      <c r="P160" s="3">
        <v>0</v>
      </c>
      <c r="Q160" s="3">
        <v>0</v>
      </c>
      <c r="R160" s="3">
        <v>0</v>
      </c>
    </row>
    <row r="161" spans="1:18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790"/>
  <sheetViews>
    <sheetView tabSelected="1" workbookViewId="0">
      <selection activeCell="E27" sqref="E27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772</v>
      </c>
      <c r="C1" t="s">
        <v>773</v>
      </c>
      <c r="D1" t="s">
        <v>774</v>
      </c>
      <c r="E1" t="s">
        <v>775</v>
      </c>
      <c r="F1" t="s">
        <v>776</v>
      </c>
      <c r="G1" t="s">
        <v>6</v>
      </c>
      <c r="H1" s="2" t="s">
        <v>7</v>
      </c>
      <c r="I1" t="s">
        <v>5</v>
      </c>
      <c r="J1" t="s">
        <v>197</v>
      </c>
      <c r="K1" t="s">
        <v>198</v>
      </c>
      <c r="L1" t="s">
        <v>199</v>
      </c>
      <c r="M1" t="s">
        <v>200</v>
      </c>
      <c r="N1" t="s">
        <v>777</v>
      </c>
    </row>
    <row r="2" s="1" customFormat="1" spans="1:14">
      <c r="A2" s="1" t="s">
        <v>778</v>
      </c>
      <c r="B2" s="1">
        <f>SUM(B3:B65536)</f>
        <v>1852</v>
      </c>
      <c r="C2" s="1">
        <f t="shared" ref="C2:N2" si="0">SUM(C3:C65536)</f>
        <v>53</v>
      </c>
      <c r="D2" s="1">
        <f t="shared" si="0"/>
        <v>95</v>
      </c>
      <c r="E2" s="1">
        <f t="shared" si="0"/>
        <v>11</v>
      </c>
      <c r="F2" s="1">
        <f t="shared" si="0"/>
        <v>106</v>
      </c>
      <c r="G2" s="1">
        <f t="shared" si="0"/>
        <v>699</v>
      </c>
      <c r="H2" s="1">
        <f t="shared" si="0"/>
        <v>35</v>
      </c>
      <c r="I2" s="1">
        <f t="shared" si="0"/>
        <v>15</v>
      </c>
      <c r="J2" s="1">
        <f t="shared" si="0"/>
        <v>412</v>
      </c>
      <c r="K2" s="1">
        <f t="shared" si="0"/>
        <v>43</v>
      </c>
      <c r="L2" s="1">
        <f t="shared" si="0"/>
        <v>0</v>
      </c>
      <c r="M2" s="1">
        <f t="shared" si="0"/>
        <v>0</v>
      </c>
      <c r="N2" s="1">
        <f t="shared" si="0"/>
        <v>455</v>
      </c>
    </row>
    <row r="3" spans="1:14">
      <c r="A3" s="3" t="s">
        <v>8</v>
      </c>
      <c r="B3">
        <f>IFERROR(VLOOKUP(A3,管理亚马逊库存!A:K,11,0),"")</f>
        <v>11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50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0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1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1</v>
      </c>
    </row>
    <row r="5" spans="1:14">
      <c r="A5" s="3" t="s">
        <v>16</v>
      </c>
      <c r="B5">
        <f>IFERROR(VLOOKUP(A5,管理亚马逊库存!A:K,11,0),"")</f>
        <v>20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30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3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5</v>
      </c>
      <c r="C7">
        <f>IFERROR(VLOOKUP(A7,管理亚马逊库存!A:L,12,0),"")</f>
        <v>1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7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11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14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2</v>
      </c>
      <c r="C10">
        <f>IFERROR(VLOOKUP(A10,管理亚马逊库存!A:L,12,0),"")</f>
        <v>0</v>
      </c>
      <c r="D10">
        <f>IFERROR(VLOOKUP(A10,管理亚马逊库存!A:Q,17,0),"")</f>
        <v>5</v>
      </c>
      <c r="E10">
        <f>IFERROR(VLOOKUP(A10,管理亚马逊库存!A:R,18,0),"")</f>
        <v>0</v>
      </c>
      <c r="F10">
        <f t="shared" si="1"/>
        <v>5</v>
      </c>
      <c r="G10">
        <f>IFERROR(VLOOKUP(A10,预留库存!A:G,7,0),0)</f>
        <v>3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104</v>
      </c>
      <c r="C11">
        <f>IFERROR(VLOOKUP(A11,管理亚马逊库存!A:L,12,0),"")</f>
        <v>5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136</v>
      </c>
      <c r="H11">
        <f>IFERROR(VLOOKUP(A11,预留库存!A:H,8,0),0)</f>
        <v>5</v>
      </c>
      <c r="I11">
        <f>IFERROR(VLOOKUP(A11,预留库存!A:F,6,0),0)</f>
        <v>3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1</v>
      </c>
      <c r="C12">
        <f>IFERROR(VLOOKUP(A12,管理亚马逊库存!A:L,12,0),"")</f>
        <v>1</v>
      </c>
      <c r="D12">
        <f>IFERROR(VLOOKUP(A12,管理亚马逊库存!A:Q,17,0),"")</f>
        <v>5</v>
      </c>
      <c r="E12">
        <f>IFERROR(VLOOKUP(A12,管理亚马逊库存!A:R,18,0),"")</f>
        <v>0</v>
      </c>
      <c r="F12">
        <f t="shared" si="1"/>
        <v>5</v>
      </c>
      <c r="G12">
        <f>IFERROR(VLOOKUP(A12,预留库存!A:G,7,0),0)</f>
        <v>0</v>
      </c>
      <c r="H12">
        <f>IFERROR(VLOOKUP(A12,预留库存!A:H,8,0),0)</f>
        <v>2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6</v>
      </c>
      <c r="C13">
        <f>IFERROR(VLOOKUP(A13,管理亚马逊库存!A:L,12,0),"")</f>
        <v>1</v>
      </c>
      <c r="D13">
        <f>IFERROR(VLOOKUP(A13,管理亚马逊库存!A:Q,17,0),"")</f>
        <v>3</v>
      </c>
      <c r="E13">
        <f>IFERROR(VLOOKUP(A13,管理亚马逊库存!A:R,18,0),"")</f>
        <v>0</v>
      </c>
      <c r="F13">
        <f t="shared" si="1"/>
        <v>3</v>
      </c>
      <c r="G13">
        <f>IFERROR(VLOOKUP(A13,预留库存!A:G,7,0),0)</f>
        <v>2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6</v>
      </c>
      <c r="C14">
        <f>IFERROR(VLOOKUP(A14,管理亚马逊库存!A:L,12,0),"")</f>
        <v>1</v>
      </c>
      <c r="D14">
        <f>IFERROR(VLOOKUP(A14,管理亚马逊库存!A:Q,17,0),"")</f>
        <v>10</v>
      </c>
      <c r="E14">
        <f>IFERROR(VLOOKUP(A14,管理亚马逊库存!A:R,18,0),"")</f>
        <v>0</v>
      </c>
      <c r="F14">
        <f t="shared" si="1"/>
        <v>10</v>
      </c>
      <c r="G14">
        <f>IFERROR(VLOOKUP(A14,预留库存!A:G,7,0),0)</f>
        <v>0</v>
      </c>
      <c r="H14">
        <f>IFERROR(VLOOKUP(A14,预留库存!A:H,8,0),0)</f>
        <v>3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48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64</v>
      </c>
      <c r="H15">
        <f>IFERROR(VLOOKUP(A15,预留库存!A:H,8,0),0)</f>
        <v>2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0</v>
      </c>
      <c r="C16">
        <f>IFERROR(VLOOKUP(A16,管理亚马逊库存!A:L,12,0),"")</f>
        <v>1</v>
      </c>
      <c r="D16">
        <f>IFERROR(VLOOKUP(A16,管理亚马逊库存!A:Q,17,0),"")</f>
        <v>8</v>
      </c>
      <c r="E16">
        <f>IFERROR(VLOOKUP(A16,管理亚马逊库存!A:R,18,0),"")</f>
        <v>0</v>
      </c>
      <c r="F16">
        <f t="shared" si="1"/>
        <v>8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5</v>
      </c>
      <c r="C17">
        <f>IFERROR(VLOOKUP(A17,管理亚马逊库存!A:L,12,0),"")</f>
        <v>1</v>
      </c>
      <c r="D17">
        <f>IFERROR(VLOOKUP(A17,管理亚马逊库存!A:Q,17,0),"")</f>
        <v>2</v>
      </c>
      <c r="E17">
        <f>IFERROR(VLOOKUP(A17,管理亚马逊库存!A:R,18,0),"")</f>
        <v>0</v>
      </c>
      <c r="F17">
        <f t="shared" si="1"/>
        <v>2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6</v>
      </c>
      <c r="C18">
        <f>IFERROR(VLOOKUP(A18,管理亚马逊库存!A:L,12,0),"")</f>
        <v>0</v>
      </c>
      <c r="D18">
        <f>IFERROR(VLOOKUP(A18,管理亚马逊库存!A:Q,17,0),"")</f>
        <v>10</v>
      </c>
      <c r="E18">
        <f>IFERROR(VLOOKUP(A18,管理亚马逊库存!A:R,18,0),"")</f>
        <v>0</v>
      </c>
      <c r="F18">
        <f t="shared" si="1"/>
        <v>10</v>
      </c>
      <c r="G18">
        <f>IFERROR(VLOOKUP(A18,预留库存!A:G,7,0),0)</f>
        <v>50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3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3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3</v>
      </c>
      <c r="C20">
        <f>IFERROR(VLOOKUP(A20,管理亚马逊库存!A:L,12,0),"")</f>
        <v>0</v>
      </c>
      <c r="D20">
        <f>IFERROR(VLOOKUP(A20,管理亚马逊库存!A:Q,17,0),"")</f>
        <v>3</v>
      </c>
      <c r="E20">
        <f>IFERROR(VLOOKUP(A20,管理亚马逊库存!A:R,18,0),"")</f>
        <v>0</v>
      </c>
      <c r="F20">
        <f t="shared" si="1"/>
        <v>3</v>
      </c>
      <c r="G20">
        <f>IFERROR(VLOOKUP(A20,预留库存!A:G,7,0),0)</f>
        <v>2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5</v>
      </c>
      <c r="E21">
        <f>IFERROR(VLOOKUP(A21,管理亚马逊库存!A:R,18,0),"")</f>
        <v>0</v>
      </c>
      <c r="F21">
        <f t="shared" si="1"/>
        <v>5</v>
      </c>
      <c r="G21">
        <f>IFERROR(VLOOKUP(A21,预留库存!A:G,7,0),0)</f>
        <v>2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36</v>
      </c>
      <c r="C22">
        <f>IFERROR(VLOOKUP(A22,管理亚马逊库存!A:L,12,0),"")</f>
        <v>3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50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88</v>
      </c>
      <c r="B23">
        <f>IFERROR(VLOOKUP(A23,管理亚马逊库存!A:K,11,0),"")</f>
        <v>26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9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9</v>
      </c>
    </row>
    <row r="24" spans="1:14">
      <c r="A24" s="3" t="s">
        <v>92</v>
      </c>
      <c r="B24">
        <f>IFERROR(VLOOKUP(A24,管理亚马逊库存!A:K,11,0),"")</f>
        <v>8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10</v>
      </c>
      <c r="F24">
        <f t="shared" si="1"/>
        <v>10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96</v>
      </c>
      <c r="B25">
        <f>IFERROR(VLOOKUP(A25,管理亚马逊库存!A:K,11,0),"")</f>
        <v>3</v>
      </c>
      <c r="C25">
        <f>IFERROR(VLOOKUP(A25,管理亚马逊库存!A:L,12,0),"")</f>
        <v>0</v>
      </c>
      <c r="D25">
        <f>IFERROR(VLOOKUP(A25,管理亚马逊库存!A:Q,17,0),"")</f>
        <v>2</v>
      </c>
      <c r="E25">
        <f>IFERROR(VLOOKUP(A25,管理亚马逊库存!A:R,18,0),"")</f>
        <v>0</v>
      </c>
      <c r="F25">
        <f t="shared" si="1"/>
        <v>2</v>
      </c>
      <c r="G25">
        <f>IFERROR(VLOOKUP(A25,预留库存!A:G,7,0),0)</f>
        <v>2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24</v>
      </c>
      <c r="C26">
        <f>IFERROR(VLOOKUP(A26,管理亚马逊库存!A:L,12,0),"")</f>
        <v>2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3</v>
      </c>
      <c r="H26">
        <f>IFERROR(VLOOKUP(A26,预留库存!A:H,8,0),0)</f>
        <v>2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104</v>
      </c>
      <c r="B27">
        <f>IFERROR(VLOOKUP(A27,管理亚马逊库存!A:K,11,0),"")</f>
        <v>4</v>
      </c>
      <c r="C27">
        <f>IFERROR(VLOOKUP(A27,管理亚马逊库存!A:L,12,0),"")</f>
        <v>1</v>
      </c>
      <c r="D27">
        <f>IFERROR(VLOOKUP(A27,管理亚马逊库存!A:Q,17,0),"")</f>
        <v>3</v>
      </c>
      <c r="E27">
        <f>IFERROR(VLOOKUP(A27,管理亚马逊库存!A:R,18,0),"")</f>
        <v>0</v>
      </c>
      <c r="F27">
        <f t="shared" si="1"/>
        <v>3</v>
      </c>
      <c r="G27">
        <f>IFERROR(VLOOKUP(A27,预留库存!A:G,7,0),0)</f>
        <v>30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2</v>
      </c>
      <c r="C28">
        <f>IFERROR(VLOOKUP(A28,管理亚马逊库存!A:L,12,0),"")</f>
        <v>0</v>
      </c>
      <c r="D28">
        <f>IFERROR(VLOOKUP(A28,管理亚马逊库存!A:Q,17,0),"")</f>
        <v>2</v>
      </c>
      <c r="E28">
        <f>IFERROR(VLOOKUP(A28,管理亚马逊库存!A:R,18,0),"")</f>
        <v>0</v>
      </c>
      <c r="F28">
        <f t="shared" si="1"/>
        <v>2</v>
      </c>
      <c r="G28">
        <f>IFERROR(VLOOKUP(A28,预留库存!A:G,7,0),0)</f>
        <v>1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33</v>
      </c>
      <c r="C29">
        <f>IFERROR(VLOOKUP(A29,管理亚马逊库存!A:L,12,0),"")</f>
        <v>1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50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116</v>
      </c>
      <c r="B30">
        <f>IFERROR(VLOOKUP(A30,管理亚马逊库存!A:K,11,0),"")</f>
        <v>25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120</v>
      </c>
      <c r="B31">
        <f>IFERROR(VLOOKUP(A31,管理亚马逊库存!A:K,11,0),"")</f>
        <v>13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124</v>
      </c>
      <c r="B32">
        <f>IFERROR(VLOOKUP(A32,管理亚马逊库存!A:K,11,0),"")</f>
        <v>13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30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3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3</v>
      </c>
    </row>
    <row r="33" spans="1:14">
      <c r="A33" s="3" t="s">
        <v>128</v>
      </c>
      <c r="B33">
        <f>IFERROR(VLOOKUP(A33,管理亚马逊库存!A:K,11,0),"")</f>
        <v>15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17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17</v>
      </c>
    </row>
    <row r="34" spans="1:14">
      <c r="A34" s="3" t="s">
        <v>131</v>
      </c>
      <c r="B34">
        <f>IFERROR(VLOOKUP(A34,管理亚马逊库存!A:K,11,0),"")</f>
        <v>4</v>
      </c>
      <c r="C34">
        <f>IFERROR(VLOOKUP(A34,管理亚马逊库存!A:L,12,0),"")</f>
        <v>0</v>
      </c>
      <c r="D34">
        <f>IFERROR(VLOOKUP(A34,管理亚马逊库存!A:Q,17,0),"")</f>
        <v>5</v>
      </c>
      <c r="E34">
        <f>IFERROR(VLOOKUP(A34,管理亚马逊库存!A:R,18,0),"")</f>
        <v>0</v>
      </c>
      <c r="F34">
        <f t="shared" si="1"/>
        <v>5</v>
      </c>
      <c r="G34">
        <f>IFERROR(VLOOKUP(A34,预留库存!A:G,7,0),0)</f>
        <v>3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135</v>
      </c>
      <c r="B35">
        <f>IFERROR(VLOOKUP(A35,管理亚马逊库存!A:K,11,0),"")</f>
        <v>1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1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139</v>
      </c>
      <c r="B36">
        <f>IFERROR(VLOOKUP(A36,管理亚马逊库存!A:K,11,0),"")</f>
        <v>4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143</v>
      </c>
      <c r="B37">
        <f>IFERROR(VLOOKUP(A37,管理亚马逊库存!A:K,11,0),"")</f>
        <v>33</v>
      </c>
      <c r="C37">
        <f>IFERROR(VLOOKUP(A37,管理亚马逊库存!A:L,12,0),"")</f>
        <v>4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80</v>
      </c>
      <c r="H37">
        <f>IFERROR(VLOOKUP(A37,预留库存!A:H,8,0),0)</f>
        <v>1</v>
      </c>
      <c r="I37">
        <f>IFERROR(VLOOKUP(A37,预留库存!A:F,6,0),0)</f>
        <v>1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147</v>
      </c>
      <c r="B38">
        <f>IFERROR(VLOOKUP(A38,管理亚马逊库存!A:K,11,0),"")</f>
        <v>5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1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151</v>
      </c>
      <c r="B39">
        <f>IFERROR(VLOOKUP(A39,管理亚马逊库存!A:K,11,0),"")</f>
        <v>265</v>
      </c>
      <c r="C39">
        <f>IFERROR(VLOOKUP(A39,管理亚马逊库存!A:L,12,0),"")</f>
        <v>3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1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155</v>
      </c>
      <c r="B40">
        <f>IFERROR(VLOOKUP(A40,管理亚马逊库存!A:K,11,0),"")</f>
        <v>22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159</v>
      </c>
      <c r="B41">
        <f>IFERROR(VLOOKUP(A41,管理亚马逊库存!A:K,11,0),"")</f>
        <v>4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1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163</v>
      </c>
      <c r="B42">
        <f>IFERROR(VLOOKUP(A42,管理亚马逊库存!A:K,11,0),"")</f>
        <v>33</v>
      </c>
      <c r="C42">
        <f>IFERROR(VLOOKUP(A42,管理亚马逊库存!A:L,12,0),"")</f>
        <v>1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25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167</v>
      </c>
      <c r="B43">
        <f>IFERROR(VLOOKUP(A43,管理亚马逊库存!A:K,11,0),"")</f>
        <v>12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50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171</v>
      </c>
      <c r="B44">
        <f>IFERROR(VLOOKUP(A44,管理亚马逊库存!A:K,11,0),"")</f>
        <v>26</v>
      </c>
      <c r="C44">
        <f>IFERROR(VLOOKUP(A44,管理亚马逊库存!A:L,12,0),"")</f>
        <v>10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9</v>
      </c>
      <c r="I44">
        <f>IFERROR(VLOOKUP(A44,预留库存!A:F,6,0),0)</f>
        <v>1</v>
      </c>
      <c r="J44">
        <f>IFERROR(VLOOKUP(A44,库龄!B:K,9,0),0)</f>
        <v>29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29</v>
      </c>
    </row>
    <row r="45" spans="1:14">
      <c r="A45" s="3" t="s">
        <v>174</v>
      </c>
      <c r="B45">
        <f>IFERROR(VLOOKUP(A45,管理亚马逊库存!A:K,11,0),"")</f>
        <v>4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5</v>
      </c>
      <c r="L45">
        <f>IFERROR(VLOOKUP(A45,库龄!B:M,11,0),0)</f>
        <v>0</v>
      </c>
      <c r="M45">
        <f>IFERROR(VLOOKUP(A45,库龄!B:N,12,0),0)</f>
        <v>0</v>
      </c>
      <c r="N45">
        <f t="shared" si="2"/>
        <v>5</v>
      </c>
    </row>
    <row r="46" spans="1:14">
      <c r="A46" s="3" t="s">
        <v>177</v>
      </c>
      <c r="B46">
        <f>IFERROR(VLOOKUP(A46,管理亚马逊库存!A:K,11,0),"")</f>
        <v>0</v>
      </c>
      <c r="C46">
        <f>IFERROR(VLOOKUP(A46,管理亚马逊库存!A:L,12,0),"")</f>
        <v>1</v>
      </c>
      <c r="D46">
        <f>IFERROR(VLOOKUP(A46,管理亚马逊库存!A:Q,17,0),"")</f>
        <v>10</v>
      </c>
      <c r="E46">
        <f>IFERROR(VLOOKUP(A46,管理亚马逊库存!A:R,18,0),"")</f>
        <v>0</v>
      </c>
      <c r="F46">
        <f t="shared" si="1"/>
        <v>10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1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181</v>
      </c>
      <c r="B47">
        <f>IFERROR(VLOOKUP(A47,管理亚马逊库存!A:K,11,0),"")</f>
        <v>21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3</v>
      </c>
      <c r="I47">
        <f>IFERROR(VLOOKUP(A47,预留库存!A:F,6,0),0)</f>
        <v>1</v>
      </c>
      <c r="J47">
        <f>IFERROR(VLOOKUP(A47,库龄!B:K,9,0),0)</f>
        <v>25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25</v>
      </c>
    </row>
    <row r="48" spans="1:14">
      <c r="A48" s="3" t="s">
        <v>184</v>
      </c>
      <c r="B48">
        <f>IFERROR(VLOOKUP(A48,管理亚马逊库存!A:K,11,0),"")</f>
        <v>9</v>
      </c>
      <c r="C48">
        <f>IFERROR(VLOOKUP(A48,管理亚马逊库存!A:L,12,0),"")</f>
        <v>1</v>
      </c>
      <c r="D48">
        <f>IFERROR(VLOOKUP(A48,管理亚马逊库存!A:Q,17,0),"")</f>
        <v>12</v>
      </c>
      <c r="E48">
        <f>IFERROR(VLOOKUP(A48,管理亚马逊库存!A:R,18,0),"")</f>
        <v>1</v>
      </c>
      <c r="F48">
        <f t="shared" si="1"/>
        <v>13</v>
      </c>
      <c r="G48">
        <f>IFERROR(VLOOKUP(A48,预留库存!A:G,7,0),0)</f>
        <v>19</v>
      </c>
      <c r="H48">
        <f>IFERROR(VLOOKUP(A48,预留库存!A:H,8,0),0)</f>
        <v>0</v>
      </c>
      <c r="I48">
        <f>IFERROR(VLOOKUP(A48,预留库存!A:F,6,0),0)</f>
        <v>1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188</v>
      </c>
      <c r="B49">
        <f>IFERROR(VLOOKUP(A49,管理亚马逊库存!A:K,11,0),"")</f>
        <v>11</v>
      </c>
      <c r="C49">
        <f>IFERROR(VLOOKUP(A49,管理亚马逊库存!A:L,12,0),"")</f>
        <v>1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1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224</v>
      </c>
      <c r="B50">
        <f>IFERROR(VLOOKUP(A50,管理亚马逊库存!A:K,11,0),"")</f>
        <v>7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237</v>
      </c>
      <c r="B51">
        <f>IFERROR(VLOOKUP(A51,管理亚马逊库存!A:K,11,0),"")</f>
        <v>6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6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6</v>
      </c>
    </row>
    <row r="52" spans="1:14">
      <c r="A52" s="3" t="s">
        <v>242</v>
      </c>
      <c r="B52">
        <f>IFERROR(VLOOKUP(A52,管理亚马逊库存!A:K,11,0),"")</f>
        <v>5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247</v>
      </c>
      <c r="B53">
        <f>IFERROR(VLOOKUP(A53,管理亚马逊库存!A:K,11,0),"")</f>
        <v>1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251</v>
      </c>
      <c r="B54">
        <f>IFERROR(VLOOKUP(A54,管理亚马逊库存!A:K,11,0),"")</f>
        <v>8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256</v>
      </c>
      <c r="B55">
        <f>IFERROR(VLOOKUP(A55,管理亚马逊库存!A:K,11,0),"")</f>
        <v>38</v>
      </c>
      <c r="C55">
        <f>IFERROR(VLOOKUP(A55,管理亚马逊库存!A:L,12,0),"")</f>
        <v>1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262</v>
      </c>
      <c r="B56">
        <f>IFERROR(VLOOKUP(A56,管理亚马逊库存!A:K,11,0),"")</f>
        <v>8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272</v>
      </c>
      <c r="B57">
        <f>IFERROR(VLOOKUP(A57,管理亚马逊库存!A:K,11,0),"")</f>
        <v>10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277</v>
      </c>
      <c r="B58">
        <f>IFERROR(VLOOKUP(A58,管理亚马逊库存!A:K,11,0),"")</f>
        <v>3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3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3</v>
      </c>
    </row>
    <row r="59" spans="1:14">
      <c r="A59" s="3" t="s">
        <v>283</v>
      </c>
      <c r="B59">
        <f>IFERROR(VLOOKUP(A59,管理亚马逊库存!A:K,11,0),"")</f>
        <v>9</v>
      </c>
      <c r="C59">
        <f>IFERROR(VLOOKUP(A59,管理亚马逊库存!A:L,12,0),"")</f>
        <v>1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288</v>
      </c>
      <c r="B60">
        <f>IFERROR(VLOOKUP(A60,管理亚马逊库存!A:K,11,0),"")</f>
        <v>12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7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7</v>
      </c>
    </row>
    <row r="61" spans="1:14">
      <c r="A61" s="3" t="s">
        <v>293</v>
      </c>
      <c r="B61">
        <f>IFERROR(VLOOKUP(A61,管理亚马逊库存!A:K,11,0),"")</f>
        <v>4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298</v>
      </c>
      <c r="B62">
        <f>IFERROR(VLOOKUP(A62,管理亚马逊库存!A:K,11,0),"")</f>
        <v>3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303</v>
      </c>
      <c r="B63">
        <f>IFERROR(VLOOKUP(A63,管理亚马逊库存!A:K,11,0),"")</f>
        <v>5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308</v>
      </c>
      <c r="B64">
        <f>IFERROR(VLOOKUP(A64,管理亚马逊库存!A:K,11,0),"")</f>
        <v>16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313</v>
      </c>
      <c r="B65">
        <f>IFERROR(VLOOKUP(A65,管理亚马逊库存!A:K,11,0),"")</f>
        <v>1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1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1</v>
      </c>
    </row>
    <row r="66" spans="1:14">
      <c r="A66" s="3" t="s">
        <v>316</v>
      </c>
      <c r="B66">
        <f>IFERROR(VLOOKUP(A66,管理亚马逊库存!A:K,11,0),"")</f>
        <v>8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321</v>
      </c>
      <c r="B67">
        <f>IFERROR(VLOOKUP(A67,管理亚马逊库存!A:K,11,0),"")</f>
        <v>10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326</v>
      </c>
      <c r="B68">
        <f>IFERROR(VLOOKUP(A68,管理亚马逊库存!A:K,11,0),"")</f>
        <v>12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12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12</v>
      </c>
    </row>
    <row r="69" spans="1:14">
      <c r="A69" s="3" t="s">
        <v>330</v>
      </c>
      <c r="B69">
        <f>IFERROR(VLOOKUP(A69,管理亚马逊库存!A:K,11,0),"")</f>
        <v>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336</v>
      </c>
      <c r="B70">
        <f>IFERROR(VLOOKUP(A70,管理亚马逊库存!A:K,11,0),"")</f>
        <v>3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341</v>
      </c>
      <c r="B71">
        <f>IFERROR(VLOOKUP(A71,管理亚马逊库存!A:K,11,0),"")</f>
        <v>3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3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3</v>
      </c>
    </row>
    <row r="72" spans="1:14">
      <c r="A72" s="3" t="s">
        <v>346</v>
      </c>
      <c r="B72">
        <f>IFERROR(VLOOKUP(A72,管理亚马逊库存!A:K,11,0),"")</f>
        <v>14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354</v>
      </c>
      <c r="B73">
        <f>IFERROR(VLOOKUP(A73,管理亚马逊库存!A:K,11,0),"")</f>
        <v>8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356</v>
      </c>
      <c r="B74">
        <f>IFERROR(VLOOKUP(A74,管理亚马逊库存!A:K,11,0),"")</f>
        <v>15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15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15</v>
      </c>
    </row>
    <row r="75" spans="1:14">
      <c r="A75" s="3" t="s">
        <v>361</v>
      </c>
      <c r="B75">
        <f>IFERROR(VLOOKUP(A75,管理亚马逊库存!A:K,11,0),"")</f>
        <v>8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366</v>
      </c>
      <c r="B76">
        <f>IFERROR(VLOOKUP(A76,管理亚马逊库存!A:K,11,0),"")</f>
        <v>5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370</v>
      </c>
      <c r="B77">
        <f>IFERROR(VLOOKUP(A77,管理亚马逊库存!A:K,11,0),"")</f>
        <v>8</v>
      </c>
      <c r="C77">
        <f>IFERROR(VLOOKUP(A77,管理亚马逊库存!A:L,12,0),"")</f>
        <v>1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375</v>
      </c>
      <c r="B78">
        <f>IFERROR(VLOOKUP(A78,管理亚马逊库存!A:K,11,0),"")</f>
        <v>8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379</v>
      </c>
      <c r="B79">
        <f>IFERROR(VLOOKUP(A79,管理亚马逊库存!A:K,11,0),"")</f>
        <v>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384</v>
      </c>
      <c r="B80">
        <f>IFERROR(VLOOKUP(A80,管理亚马逊库存!A:K,11,0),"")</f>
        <v>12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10</v>
      </c>
    </row>
    <row r="81" spans="1:14">
      <c r="A81" s="3" t="s">
        <v>389</v>
      </c>
      <c r="B81">
        <f>IFERROR(VLOOKUP(A81,管理亚马逊库存!A:K,11,0),"")</f>
        <v>15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12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12</v>
      </c>
    </row>
    <row r="82" spans="1:14">
      <c r="A82" s="3" t="s">
        <v>393</v>
      </c>
      <c r="B82">
        <f>IFERROR(VLOOKUP(A82,管理亚马逊库存!A:K,11,0),"")</f>
        <v>3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3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3</v>
      </c>
    </row>
    <row r="83" spans="1:14">
      <c r="A83" s="3" t="s">
        <v>398</v>
      </c>
      <c r="B83">
        <f>IFERROR(VLOOKUP(A83,管理亚马逊库存!A:K,11,0),"")</f>
        <v>23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21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21</v>
      </c>
    </row>
    <row r="84" spans="1:14">
      <c r="A84" s="3" t="s">
        <v>403</v>
      </c>
      <c r="B84">
        <f>IFERROR(VLOOKUP(A84,管理亚马逊库存!A:K,11,0),"")</f>
        <v>17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17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17</v>
      </c>
    </row>
    <row r="85" spans="1:14">
      <c r="A85" s="3" t="s">
        <v>411</v>
      </c>
      <c r="B85">
        <f>IFERROR(VLOOKUP(A85,管理亚马逊库存!A:K,11,0),"")</f>
        <v>5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5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5</v>
      </c>
    </row>
    <row r="86" spans="1:14">
      <c r="A86" s="3" t="s">
        <v>416</v>
      </c>
      <c r="B86">
        <f>IFERROR(VLOOKUP(A86,管理亚马逊库存!A:K,11,0),"")</f>
        <v>5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421</v>
      </c>
      <c r="B87">
        <f>IFERROR(VLOOKUP(A87,管理亚马逊库存!A:K,11,0),"")</f>
        <v>27</v>
      </c>
      <c r="C87">
        <f>IFERROR(VLOOKUP(A87,管理亚马逊库存!A:L,12,0),"")</f>
        <v>1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426</v>
      </c>
      <c r="B88">
        <f>IFERROR(VLOOKUP(A88,管理亚马逊库存!A:K,11,0),"")</f>
        <v>14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14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14</v>
      </c>
    </row>
    <row r="89" spans="1:14">
      <c r="A89" s="3" t="s">
        <v>431</v>
      </c>
      <c r="B89">
        <f>IFERROR(VLOOKUP(A89,管理亚马逊库存!A:K,11,0),"")</f>
        <v>10</v>
      </c>
      <c r="C89">
        <f>IFERROR(VLOOKUP(A89,管理亚马逊库存!A:L,12,0),"")</f>
        <v>0</v>
      </c>
      <c r="D89">
        <f>IFERROR(VLOOKUP(A89,管理亚马逊库存!A:Q,17,0),"")</f>
        <v>5</v>
      </c>
      <c r="E89">
        <f>IFERROR(VLOOKUP(A89,管理亚马逊库存!A:R,18,0),"")</f>
        <v>0</v>
      </c>
      <c r="F89">
        <f t="shared" si="3"/>
        <v>5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436</v>
      </c>
      <c r="B90">
        <f>IFERROR(VLOOKUP(A90,管理亚马逊库存!A:K,11,0),"")</f>
        <v>2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2</v>
      </c>
      <c r="L90">
        <f>IFERROR(VLOOKUP(A90,库龄!B:M,11,0),0)</f>
        <v>0</v>
      </c>
      <c r="M90">
        <f>IFERROR(VLOOKUP(A90,库龄!B:N,12,0),0)</f>
        <v>0</v>
      </c>
      <c r="N90">
        <f t="shared" si="4"/>
        <v>2</v>
      </c>
    </row>
    <row r="91" spans="1:14">
      <c r="A91" s="3" t="s">
        <v>441</v>
      </c>
      <c r="B91">
        <f>IFERROR(VLOOKUP(A91,管理亚马逊库存!A:K,11,0),"")</f>
        <v>15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15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15</v>
      </c>
    </row>
    <row r="92" spans="1:14">
      <c r="A92" s="3" t="s">
        <v>446</v>
      </c>
      <c r="B92">
        <f>IFERROR(VLOOKUP(A92,管理亚马逊库存!A:K,11,0),"")</f>
        <v>12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453</v>
      </c>
      <c r="B93">
        <f>IFERROR(VLOOKUP(A93,管理亚马逊库存!A:K,11,0),"")</f>
        <v>21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21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21</v>
      </c>
    </row>
    <row r="94" spans="1:14">
      <c r="A94" s="3" t="s">
        <v>458</v>
      </c>
      <c r="B94">
        <f>IFERROR(VLOOKUP(A94,管理亚马逊库存!A:K,11,0),"")</f>
        <v>50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465</v>
      </c>
      <c r="B95">
        <f>IFERROR(VLOOKUP(A95,管理亚马逊库存!A:K,11,0),"")</f>
        <v>15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5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5</v>
      </c>
    </row>
    <row r="96" spans="1:14">
      <c r="A96" s="3" t="s">
        <v>469</v>
      </c>
      <c r="B96">
        <f>IFERROR(VLOOKUP(A96,管理亚马逊库存!A:K,11,0),"")</f>
        <v>12</v>
      </c>
      <c r="C96">
        <f>IFERROR(VLOOKUP(A96,管理亚马逊库存!A:L,12,0),"")</f>
        <v>1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474</v>
      </c>
      <c r="B97">
        <f>IFERROR(VLOOKUP(A97,管理亚马逊库存!A:K,11,0),"")</f>
        <v>16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16</v>
      </c>
      <c r="L97">
        <f>IFERROR(VLOOKUP(A97,库龄!B:M,11,0),0)</f>
        <v>0</v>
      </c>
      <c r="M97">
        <f>IFERROR(VLOOKUP(A97,库龄!B:N,12,0),0)</f>
        <v>0</v>
      </c>
      <c r="N97">
        <f t="shared" si="4"/>
        <v>16</v>
      </c>
    </row>
    <row r="98" spans="1:14">
      <c r="A98" s="3" t="s">
        <v>479</v>
      </c>
      <c r="B98">
        <f>IFERROR(VLOOKUP(A98,管理亚马逊库存!A:K,11,0),"")</f>
        <v>11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485</v>
      </c>
      <c r="B99">
        <f>IFERROR(VLOOKUP(A99,管理亚马逊库存!A:K,11,0),"")</f>
        <v>12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2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2</v>
      </c>
    </row>
    <row r="100" spans="1:14">
      <c r="A100" s="3" t="s">
        <v>492</v>
      </c>
      <c r="B100">
        <f>IFERROR(VLOOKUP(A100,管理亚马逊库存!A:K,11,0),"")</f>
        <v>4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497</v>
      </c>
      <c r="B101">
        <f>IFERROR(VLOOKUP(A101,管理亚马逊库存!A:K,11,0),"")</f>
        <v>8</v>
      </c>
      <c r="C101">
        <f>IFERROR(VLOOKUP(A101,管理亚马逊库存!A:L,12,0),"")</f>
        <v>1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502</v>
      </c>
      <c r="B102">
        <f>IFERROR(VLOOKUP(A102,管理亚马逊库存!A:K,11,0),"")</f>
        <v>5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5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5</v>
      </c>
    </row>
    <row r="103" spans="1:14">
      <c r="A103" s="3" t="s">
        <v>507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511</v>
      </c>
      <c r="B104">
        <f>IFERROR(VLOOKUP(A104,管理亚马逊库存!A:K,11,0),"")</f>
        <v>3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3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3</v>
      </c>
    </row>
    <row r="105" spans="1:14">
      <c r="A105" s="3" t="s">
        <v>512</v>
      </c>
      <c r="B105">
        <f>IFERROR(VLOOKUP(A105,管理亚马逊库存!A:K,11,0),"")</f>
        <v>7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7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7</v>
      </c>
    </row>
    <row r="106" spans="1:14">
      <c r="A106" s="3" t="s">
        <v>517</v>
      </c>
      <c r="B106">
        <f>IFERROR(VLOOKUP(A106,管理亚马逊库存!A:K,11,0),"")</f>
        <v>15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522</v>
      </c>
      <c r="B107">
        <f>IFERROR(VLOOKUP(A107,管理亚马逊库存!A:K,11,0),"")</f>
        <v>8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528</v>
      </c>
      <c r="B108">
        <f>IFERROR(VLOOKUP(A108,管理亚马逊库存!A:K,11,0),"")</f>
        <v>3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534</v>
      </c>
      <c r="B109">
        <f>IFERROR(VLOOKUP(A109,管理亚马逊库存!A:K,11,0),"")</f>
        <v>9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539</v>
      </c>
      <c r="B110">
        <f>IFERROR(VLOOKUP(A110,管理亚马逊库存!A:K,11,0),"")</f>
        <v>17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7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7</v>
      </c>
    </row>
    <row r="111" spans="1:14">
      <c r="A111" s="3" t="s">
        <v>545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550</v>
      </c>
      <c r="B112">
        <f>IFERROR(VLOOKUP(A112,管理亚马逊库存!A:K,11,0),"")</f>
        <v>5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556</v>
      </c>
      <c r="B113">
        <f>IFERROR(VLOOKUP(A113,管理亚马逊库存!A:K,11,0),"")</f>
        <v>7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561</v>
      </c>
      <c r="B114">
        <f>IFERROR(VLOOKUP(A114,管理亚马逊库存!A:K,11,0),"")</f>
        <v>4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565</v>
      </c>
      <c r="B115">
        <f>IFERROR(VLOOKUP(A115,管理亚马逊库存!A:K,11,0),"")</f>
        <v>7</v>
      </c>
      <c r="C115">
        <f>IFERROR(VLOOKUP(A115,管理亚马逊库存!A:L,12,0),"")</f>
        <v>1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571</v>
      </c>
      <c r="B116">
        <f>IFERROR(VLOOKUP(A116,管理亚马逊库存!A:K,11,0),"")</f>
        <v>13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576</v>
      </c>
      <c r="B117">
        <f>IFERROR(VLOOKUP(A117,管理亚马逊库存!A:K,11,0),"")</f>
        <v>12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12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12</v>
      </c>
    </row>
    <row r="118" spans="1:14">
      <c r="A118" s="3" t="s">
        <v>581</v>
      </c>
      <c r="B118">
        <f>IFERROR(VLOOKUP(A118,管理亚马逊库存!A:K,11,0),"")</f>
        <v>4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4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4</v>
      </c>
    </row>
    <row r="119" spans="1:14">
      <c r="A119" s="3" t="s">
        <v>585</v>
      </c>
      <c r="B119">
        <f>IFERROR(VLOOKUP(A119,管理亚马逊库存!A:K,11,0),"")</f>
        <v>10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589</v>
      </c>
      <c r="B120">
        <f>IFERROR(VLOOKUP(A120,管理亚马逊库存!A:K,11,0),"")</f>
        <v>5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594</v>
      </c>
      <c r="B121">
        <f>IFERROR(VLOOKUP(A121,管理亚马逊库存!A:K,11,0),"")</f>
        <v>2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3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3</v>
      </c>
    </row>
    <row r="122" spans="1:14">
      <c r="A122" s="3" t="s">
        <v>599</v>
      </c>
      <c r="B122">
        <f>IFERROR(VLOOKUP(A122,管理亚马逊库存!A:K,11,0),"")</f>
        <v>3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3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3</v>
      </c>
    </row>
    <row r="123" spans="1:14">
      <c r="A123" s="3" t="s">
        <v>604</v>
      </c>
      <c r="B123">
        <f>IFERROR(VLOOKUP(A123,管理亚马逊库存!A:K,11,0),"")</f>
        <v>5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608</v>
      </c>
      <c r="B124">
        <f>IFERROR(VLOOKUP(A124,管理亚马逊库存!A:K,11,0),"")</f>
        <v>4</v>
      </c>
      <c r="C124">
        <f>IFERROR(VLOOKUP(A124,管理亚马逊库存!A:L,12,0),"")</f>
        <v>1</v>
      </c>
      <c r="D124">
        <f>IFERROR(VLOOKUP(A124,管理亚马逊库存!A:Q,17,0),"")</f>
        <v>5</v>
      </c>
      <c r="E124">
        <f>IFERROR(VLOOKUP(A124,管理亚马逊库存!A:R,18,0),"")</f>
        <v>0</v>
      </c>
      <c r="F124">
        <f t="shared" si="3"/>
        <v>5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6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6</v>
      </c>
    </row>
    <row r="125" spans="1:14">
      <c r="A125" s="3" t="s">
        <v>613</v>
      </c>
      <c r="B125">
        <f>IFERROR(VLOOKUP(A125,管理亚马逊库存!A:K,11,0),"")</f>
        <v>3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618</v>
      </c>
      <c r="B126">
        <f>IFERROR(VLOOKUP(A126,管理亚马逊库存!A:K,11,0),"")</f>
        <v>15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1</v>
      </c>
      <c r="K126">
        <f>IFERROR(VLOOKUP(A126,库龄!B:L,10,0),0)</f>
        <v>14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15</v>
      </c>
    </row>
    <row r="127" spans="1:14">
      <c r="A127" s="3" t="s">
        <v>622</v>
      </c>
      <c r="B127">
        <f>IFERROR(VLOOKUP(A127,管理亚马逊库存!A:K,11,0),"")</f>
        <v>6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7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7</v>
      </c>
    </row>
    <row r="128" spans="1:14">
      <c r="A128" s="3" t="s">
        <v>628</v>
      </c>
      <c r="B128">
        <f>IFERROR(VLOOKUP(A128,管理亚马逊库存!A:K,11,0),"")</f>
        <v>18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635</v>
      </c>
      <c r="B129">
        <f>IFERROR(VLOOKUP(A129,管理亚马逊库存!A:K,11,0),"")</f>
        <v>7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7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7</v>
      </c>
    </row>
    <row r="130" spans="1:14">
      <c r="A130" s="3" t="s">
        <v>640</v>
      </c>
      <c r="B130">
        <f>IFERROR(VLOOKUP(A130,管理亚马逊库存!A:K,11,0),"")</f>
        <v>10</v>
      </c>
      <c r="C130">
        <f>IFERROR(VLOOKUP(A130,管理亚马逊库存!A:L,12,0),"")</f>
        <v>1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10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10</v>
      </c>
    </row>
    <row r="131" spans="1:14">
      <c r="A131" s="3" t="s">
        <v>645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61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61" si="6">SUM(J131:M131)</f>
        <v>0</v>
      </c>
    </row>
    <row r="132" spans="1:14">
      <c r="A132" s="3" t="s">
        <v>649</v>
      </c>
      <c r="B132">
        <f>IFERROR(VLOOKUP(A132,管理亚马逊库存!A:K,11,0),"")</f>
        <v>8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8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8</v>
      </c>
    </row>
    <row r="133" spans="1:14">
      <c r="A133" s="3" t="s">
        <v>655</v>
      </c>
      <c r="B133">
        <f>IFERROR(VLOOKUP(A133,管理亚马逊库存!A:K,11,0),"")</f>
        <v>11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11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11</v>
      </c>
    </row>
    <row r="134" spans="1:14">
      <c r="A134" s="3" t="s">
        <v>656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660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2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2</v>
      </c>
    </row>
    <row r="136" spans="1:14">
      <c r="A136" s="3" t="s">
        <v>664</v>
      </c>
      <c r="B136">
        <f>IFERROR(VLOOKUP(A136,管理亚马逊库存!A:K,11,0),"")</f>
        <v>7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669</v>
      </c>
      <c r="B137">
        <f>IFERROR(VLOOKUP(A137,管理亚马逊库存!A:K,11,0),"")</f>
        <v>9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673</v>
      </c>
      <c r="B138">
        <f>IFERROR(VLOOKUP(A138,管理亚马逊库存!A:K,11,0),"")</f>
        <v>10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679</v>
      </c>
      <c r="B139">
        <f>IFERROR(VLOOKUP(A139,管理亚马逊库存!A:K,11,0),"")</f>
        <v>16</v>
      </c>
      <c r="C139">
        <f>IFERROR(VLOOKUP(A139,管理亚马逊库存!A:L,12,0),"")</f>
        <v>1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684</v>
      </c>
      <c r="B140">
        <f>IFERROR(VLOOKUP(A140,管理亚马逊库存!A:K,11,0),"")</f>
        <v>7</v>
      </c>
      <c r="C140">
        <f>IFERROR(VLOOKUP(A140,管理亚马逊库存!A:L,12,0),"")</f>
        <v>1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688</v>
      </c>
      <c r="B141">
        <f>IFERROR(VLOOKUP(A141,管理亚马逊库存!A:K,11,0),"")</f>
        <v>1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2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2</v>
      </c>
    </row>
    <row r="142" spans="1:14">
      <c r="A142" s="3" t="s">
        <v>692</v>
      </c>
      <c r="B142">
        <f>IFERROR(VLOOKUP(A142,管理亚马逊库存!A:K,11,0),"")</f>
        <v>10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9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9</v>
      </c>
    </row>
    <row r="143" spans="1:14">
      <c r="A143" s="3" t="s">
        <v>696</v>
      </c>
      <c r="B143">
        <f>IFERROR(VLOOKUP(A143,管理亚马逊库存!A:K,11,0),"")</f>
        <v>5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701</v>
      </c>
      <c r="B144">
        <f>IFERROR(VLOOKUP(A144,管理亚马逊库存!A:K,11,0),"")</f>
        <v>8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7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7</v>
      </c>
    </row>
    <row r="145" spans="1:14">
      <c r="A145" s="3" t="s">
        <v>704</v>
      </c>
      <c r="B145">
        <f>IFERROR(VLOOKUP(A145,管理亚马逊库存!A:K,11,0),"")</f>
        <v>34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27</v>
      </c>
      <c r="K145">
        <f>IFERROR(VLOOKUP(A145,库龄!B:L,10,0),0)</f>
        <v>6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33</v>
      </c>
    </row>
    <row r="146" spans="1:14">
      <c r="A146" s="3" t="s">
        <v>708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3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712</v>
      </c>
      <c r="B147">
        <f>IFERROR(VLOOKUP(A147,管理亚马逊库存!A:K,11,0),"")</f>
        <v>6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716</v>
      </c>
      <c r="B148">
        <f>IFERROR(VLOOKUP(A148,管理亚马逊库存!A:K,11,0),"")</f>
        <v>12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720</v>
      </c>
      <c r="B149">
        <f>IFERROR(VLOOKUP(A149,管理亚马逊库存!A:K,11,0),"")</f>
        <v>3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725</v>
      </c>
      <c r="B150">
        <f>IFERROR(VLOOKUP(A150,管理亚马逊库存!A:K,11,0),"")</f>
        <v>4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730</v>
      </c>
      <c r="B151">
        <f>IFERROR(VLOOKUP(A151,管理亚马逊库存!A:K,11,0),"")</f>
        <v>6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734</v>
      </c>
      <c r="B152">
        <f>IFERROR(VLOOKUP(A152,管理亚马逊库存!A:K,11,0),"")</f>
        <v>12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12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12</v>
      </c>
    </row>
    <row r="153" spans="1:14">
      <c r="A153" s="3" t="s">
        <v>755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758</v>
      </c>
      <c r="B154">
        <f>IFERROR(VLOOKUP(A154,管理亚马逊库存!A:K,11,0),"")</f>
        <v>4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762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764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766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767</v>
      </c>
      <c r="B158">
        <f>IFERROR(VLOOKUP(A158,管理亚马逊库存!A:K,11,0),"")</f>
        <v>0</v>
      </c>
      <c r="C158">
        <f>IFERROR(VLOOKUP(A158,管理亚马逊库存!A:L,12,0),"")</f>
        <v>1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768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769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771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38100</xdr:colOff>
                <xdr:row>0</xdr:row>
                <xdr:rowOff>635</xdr:rowOff>
              </from>
              <to>
                <xdr:col>15</xdr:col>
                <xdr:colOff>38100</xdr:colOff>
                <xdr:row>1</xdr:row>
                <xdr:rowOff>172085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2018-07-04T08:38:56Z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