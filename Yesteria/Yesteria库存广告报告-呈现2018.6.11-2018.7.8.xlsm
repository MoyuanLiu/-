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'库存（子SKU）'!$A$6:$AV$165</definedName>
    <definedName name="_xlnm._FilterDatabase" localSheetId="1" hidden="1">'库存（父sku）'!$A$4:$AT$242</definedName>
  </definedNames>
  <calcPr calcId="144525" concurrentCalc="0"/>
</workbook>
</file>

<file path=xl/sharedStrings.xml><?xml version="1.0" encoding="utf-8"?>
<sst xmlns="http://schemas.openxmlformats.org/spreadsheetml/2006/main" count="568">
  <si>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</si>
  <si>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</si>
  <si>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</si>
  <si>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</si>
  <si>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</si>
  <si>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</si>
  <si>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</si>
  <si>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</si>
  <si>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</si>
  <si>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</si>
  <si>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</si>
  <si>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</si>
  <si>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</si>
  <si>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</si>
  <si>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</si>
  <si>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</si>
  <si>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</si>
  <si>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</si>
  <si>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</si>
  <si>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</si>
  <si>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</si>
  <si>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</si>
  <si>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</si>
  <si>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</si>
  <si>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</si>
  <si>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</si>
  <si>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</si>
  <si>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</si>
  <si>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</si>
  <si>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</si>
  <si>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</si>
  <si>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</si>
  <si>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</si>
  <si>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</si>
  <si>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</si>
  <si>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</si>
  <si>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</si>
  <si>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</si>
  <si>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</si>
  <si>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</si>
  <si>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</si>
  <si>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</si>
  <si>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</si>
  <si>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</si>
  <si>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</si>
  <si>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</si>
  <si>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</si>
  <si>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</si>
  <si>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</si>
  <si>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</si>
  <si>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</si>
  <si>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DO-YULQ001-PI-22</t>
  </si>
  <si>
    <t>B079JQCWQ6</t>
  </si>
  <si>
    <t>DO-YULQ001</t>
  </si>
  <si>
    <t/>
  </si>
  <si>
    <t>DO-YULQ002-PI-22</t>
  </si>
  <si>
    <t>B078X6K4KJ</t>
  </si>
  <si>
    <t>DO-YULQ002</t>
  </si>
  <si>
    <t>DO-YULQ004-B7-10</t>
  </si>
  <si>
    <t>B078Y5BTZC</t>
  </si>
  <si>
    <t>DO-YULQ004</t>
  </si>
  <si>
    <t>DO-YULQ004-B7-11</t>
  </si>
  <si>
    <t>DO-YULQ004-PI-11</t>
  </si>
  <si>
    <t>B078Y2G7XW</t>
  </si>
  <si>
    <t>DO-YULQ005-W0-11</t>
  </si>
  <si>
    <t>B079JQGCBR</t>
  </si>
  <si>
    <t>DO-YULQ005</t>
  </si>
  <si>
    <t>DO-YULQ006-B7-10</t>
  </si>
  <si>
    <t>B078Y8Y5F7</t>
  </si>
  <si>
    <t>DO-YULQ006</t>
  </si>
  <si>
    <t>无销量广告费为8.39</t>
  </si>
  <si>
    <t>DO-YULQ006-B7-11</t>
  </si>
  <si>
    <t>DO-YULQ006-PI-10</t>
  </si>
  <si>
    <t>B078XZR24D</t>
  </si>
  <si>
    <t>DO-YULQ006-PI-11</t>
  </si>
  <si>
    <t>DO-YULQ008-LGR-16</t>
  </si>
  <si>
    <t>B0795D6KPS</t>
  </si>
  <si>
    <t>DO-YULQ008</t>
  </si>
  <si>
    <t>DO-YULQ008-Y0-17</t>
  </si>
  <si>
    <t>B0795VRN2N</t>
  </si>
  <si>
    <t>DO-YULQ010-P0-22</t>
  </si>
  <si>
    <t>B078X59HSZ</t>
  </si>
  <si>
    <t>DO-YULQ010</t>
  </si>
  <si>
    <t>DO-YULQ010-PI-15</t>
  </si>
  <si>
    <t>B0794ZPQ8B</t>
  </si>
  <si>
    <t>DO-YULQ010-PI-22</t>
  </si>
  <si>
    <t>B079NSK8NL</t>
  </si>
  <si>
    <t>DO-YULQ011-NZ-22</t>
  </si>
  <si>
    <t>B0793QLQ3Z</t>
  </si>
  <si>
    <t>DO-YULQ011</t>
  </si>
  <si>
    <t>无销量广告费为4.87</t>
  </si>
  <si>
    <t>无销量广告费为5.1</t>
  </si>
  <si>
    <t>无销量广告费为7.74</t>
  </si>
  <si>
    <t>DO-YULQ012-PI-22</t>
  </si>
  <si>
    <t>B076J2H7FC</t>
  </si>
  <si>
    <t>DO-YULQ012</t>
  </si>
  <si>
    <t>DO-YULQ018-B0-18</t>
  </si>
  <si>
    <t>B0792VG6VZ</t>
  </si>
  <si>
    <t>DO-YULQ018</t>
  </si>
  <si>
    <t>DO-YULQ018-P4-16</t>
  </si>
  <si>
    <t>B078X5DJLB</t>
  </si>
  <si>
    <t>DO-YULQ021-PI-22</t>
  </si>
  <si>
    <t>B079NWXG5Z</t>
  </si>
  <si>
    <t>DO-YULQ021</t>
  </si>
  <si>
    <t>DO-YULQ021-W0-22</t>
  </si>
  <si>
    <t>B079P52R76</t>
  </si>
  <si>
    <t>无销量广告费为6.01</t>
  </si>
  <si>
    <t>无销量广告费为33.08</t>
  </si>
  <si>
    <t>无销量广告费为29.09</t>
  </si>
  <si>
    <t>DO-YULQ042-W0-22</t>
  </si>
  <si>
    <t>B07B9C9WPT</t>
  </si>
  <si>
    <t>DO-YULQ042</t>
  </si>
  <si>
    <t>DO-YULQ058-BR-10</t>
  </si>
  <si>
    <t>B0793PS7QX</t>
  </si>
  <si>
    <t>DO-YULQ058</t>
  </si>
  <si>
    <t>DO-YULQ058-SH-10</t>
  </si>
  <si>
    <t>B0793QZPK1</t>
  </si>
  <si>
    <t>DO-YULQ061-LGR-22</t>
  </si>
  <si>
    <t>B078X5DZRT</t>
  </si>
  <si>
    <t>DO-YULQ061</t>
  </si>
  <si>
    <t>DO-YULQ061-W0-22</t>
  </si>
  <si>
    <t>B079DRCQ6B</t>
  </si>
  <si>
    <t>DO-YULQ062-PI-22</t>
  </si>
  <si>
    <t>B079JRDT89</t>
  </si>
  <si>
    <t>DO-YULQ062</t>
  </si>
  <si>
    <t>DO-YULQ063-PI-22</t>
  </si>
  <si>
    <t>B079P24VZF</t>
  </si>
  <si>
    <t>DO-YULQ063</t>
  </si>
  <si>
    <t>DO-YULQ064-X0-22</t>
  </si>
  <si>
    <t>B079NY4SZ4</t>
  </si>
  <si>
    <t>DO-YULQ064</t>
  </si>
  <si>
    <t>DO-YULQ070-PI-16</t>
  </si>
  <si>
    <t>B079NYR8GC</t>
  </si>
  <si>
    <t>DO-YULQ070</t>
  </si>
  <si>
    <t>DO-YULQ071-B7-16</t>
  </si>
  <si>
    <t>B07BFV7XQM</t>
  </si>
  <si>
    <t>DO-YULQ071</t>
  </si>
  <si>
    <t>无销量广告费为4.83</t>
  </si>
  <si>
    <t>无销量广告费为5.87</t>
  </si>
  <si>
    <t>无销量广告费为7.45</t>
  </si>
  <si>
    <t>DO-YULQ071-PI-16</t>
  </si>
  <si>
    <t>B07BFVXXX8</t>
  </si>
  <si>
    <t>DO-YULQ073-LGR-22</t>
  </si>
  <si>
    <t>B0792VRZ89</t>
  </si>
  <si>
    <t>DO-YULQ073</t>
  </si>
  <si>
    <t>无销量广告费为11.45</t>
  </si>
  <si>
    <t>无销量广告费为4.22</t>
  </si>
  <si>
    <t>DO-YULQ081-B7-10</t>
  </si>
  <si>
    <t>B07BLRH5BR</t>
  </si>
  <si>
    <t>DO-YULQ081</t>
  </si>
  <si>
    <t>无销量广告费为19.03</t>
  </si>
  <si>
    <t>无销量广告费为14.25</t>
  </si>
  <si>
    <t>无销量广告费为7.86</t>
  </si>
  <si>
    <t>DO-YULQ081-PI-10</t>
  </si>
  <si>
    <t>B07BLRWT2V</t>
  </si>
  <si>
    <t>无销量广告费为14.71</t>
  </si>
  <si>
    <t>无销量广告费为15.55</t>
  </si>
  <si>
    <t>DO-YULQ100-B7-22</t>
  </si>
  <si>
    <t>B079JRPXZ8</t>
  </si>
  <si>
    <t>DO-YULQ100</t>
  </si>
  <si>
    <t>DO-YULQ100-G0-10</t>
  </si>
  <si>
    <t>B07B9SLG9M</t>
  </si>
  <si>
    <t>DO-YULQ100-R0-10</t>
  </si>
  <si>
    <t>B07B9Q9YNG</t>
  </si>
  <si>
    <t>DO-YULQ101-PI-22</t>
  </si>
  <si>
    <t>B078YMSFZJ</t>
  </si>
  <si>
    <t>DO-YULQ101</t>
  </si>
  <si>
    <t>无销量广告费为17.39</t>
  </si>
  <si>
    <t>DO-YULQ105-R2-22</t>
  </si>
  <si>
    <t>B0794Z23LW</t>
  </si>
  <si>
    <t>DO-YULQ105</t>
  </si>
  <si>
    <t>无销量广告费为14.6</t>
  </si>
  <si>
    <t>无销量广告费为24.64</t>
  </si>
  <si>
    <t>无销量广告费为15.12</t>
  </si>
  <si>
    <t>DO-YULQ107-PI-22</t>
  </si>
  <si>
    <t>B0795PQJS1</t>
  </si>
  <si>
    <t>DO-YULQ107</t>
  </si>
  <si>
    <t>DO-YULQ111-PI-22</t>
  </si>
  <si>
    <t>B079JQ6R99</t>
  </si>
  <si>
    <t>DO-YULQ111</t>
  </si>
  <si>
    <t>DO-YULQ111-R2-22</t>
  </si>
  <si>
    <t>B078X5HG51</t>
  </si>
  <si>
    <t>DO-YULQ115-R2-22</t>
  </si>
  <si>
    <t>B0788N9R3H</t>
  </si>
  <si>
    <t>DO-YULQ115</t>
  </si>
  <si>
    <t>DO-YULQ121-PI-22</t>
  </si>
  <si>
    <t>B07CM347WF</t>
  </si>
  <si>
    <t>DO-YULQ121</t>
  </si>
  <si>
    <t>无销量广告费为17.65</t>
  </si>
  <si>
    <t>无销量广告费为23.03</t>
  </si>
  <si>
    <t>DO-YULQ123-FB-22</t>
  </si>
  <si>
    <t>B0792VZN9S</t>
  </si>
  <si>
    <t>DO-YULQ123</t>
  </si>
  <si>
    <t>DO-YULQ123-W0-22</t>
  </si>
  <si>
    <t>B07CM52CNC</t>
  </si>
  <si>
    <t>DO-YULQ150-B7-18</t>
  </si>
  <si>
    <t>B0795QK1TP</t>
  </si>
  <si>
    <t>DO-YULQ150</t>
  </si>
  <si>
    <t>DO-YULQ150-K0-22</t>
  </si>
  <si>
    <t>B07CN274MC</t>
  </si>
  <si>
    <t>无销量广告费为5.4</t>
  </si>
  <si>
    <t>DO-YULQ150-PI-20</t>
  </si>
  <si>
    <t>B07CM664M7</t>
  </si>
  <si>
    <t>DO-YULQ151-W0-16</t>
  </si>
  <si>
    <t>B07CN4J157</t>
  </si>
  <si>
    <t>DO-YULQ151</t>
  </si>
  <si>
    <t>无销量广告费为5.98</t>
  </si>
  <si>
    <t>无销量广告费为6.92</t>
  </si>
  <si>
    <t>无销量广告费为5.19</t>
  </si>
  <si>
    <t>无销量广告费为3.65</t>
  </si>
  <si>
    <t>DO-YULQ152-B7-22</t>
  </si>
  <si>
    <t>B079JRG1TM</t>
  </si>
  <si>
    <t>DO-YULQ152</t>
  </si>
  <si>
    <t>无销量广告费为2.69</t>
  </si>
  <si>
    <t>无销量广告费为1.38</t>
  </si>
  <si>
    <t>无销量广告费为2.79</t>
  </si>
  <si>
    <t>无销量广告费为1.32</t>
  </si>
  <si>
    <t>DO-YULQ152-Z1-22</t>
  </si>
  <si>
    <t>B07CN4J1B2</t>
  </si>
  <si>
    <t>无销量广告费为6.64</t>
  </si>
  <si>
    <t>DO-YULQ153-B7-22</t>
  </si>
  <si>
    <t>B07BDDC5WH</t>
  </si>
  <si>
    <t>DO-YULQ153</t>
  </si>
  <si>
    <t>无销量广告费为6.96</t>
  </si>
  <si>
    <t>无销量广告费为5.84</t>
  </si>
  <si>
    <t>DO-YULQ153-TW-20</t>
  </si>
  <si>
    <t>B07CLYNY71</t>
  </si>
  <si>
    <t>DO-YULQ157-W0-22</t>
  </si>
  <si>
    <t>B0795M2NML</t>
  </si>
  <si>
    <t>DO-YULQ157</t>
  </si>
  <si>
    <t>无销量广告费为1.36</t>
  </si>
  <si>
    <t>无销量广告费为5.92</t>
  </si>
  <si>
    <t>无销量广告费为3.83</t>
  </si>
  <si>
    <t>DO-YULQ158-W0-22</t>
  </si>
  <si>
    <t>DO-YULQ158</t>
  </si>
  <si>
    <t>无销量广告费为2.18</t>
  </si>
  <si>
    <t>无销量广告费为2.9</t>
  </si>
  <si>
    <t>DO-YULQ159-R2-22</t>
  </si>
  <si>
    <t>B07BNCFZXN</t>
  </si>
  <si>
    <t>DO-YULQ159</t>
  </si>
  <si>
    <t>DO-YULQ161-G0-16</t>
  </si>
  <si>
    <t>B079NY4PYK</t>
  </si>
  <si>
    <t>DO-YULQ161</t>
  </si>
  <si>
    <t>DO-YULQ161-PI-16</t>
  </si>
  <si>
    <t>B07928926Z</t>
  </si>
  <si>
    <t>无销量广告费为21.9</t>
  </si>
  <si>
    <t>无销量广告费为15.48</t>
  </si>
  <si>
    <t>DO-YULQ161-PI-22</t>
  </si>
  <si>
    <t>B078XBY1MZ</t>
  </si>
  <si>
    <t>无销量广告费为21.16</t>
  </si>
  <si>
    <t>无销量广告费为34.37</t>
  </si>
  <si>
    <t>无销量广告费为28.85</t>
  </si>
  <si>
    <t>DO-YULQ162-PI-16</t>
  </si>
  <si>
    <t>B07BFVF3GM</t>
  </si>
  <si>
    <t>DO-YULQ162</t>
  </si>
  <si>
    <t>DO-YULQ163-B7-22</t>
  </si>
  <si>
    <t>B078XBDF6J</t>
  </si>
  <si>
    <t>DO-YULQ163</t>
  </si>
  <si>
    <t>DO-YULQ163-PI-22</t>
  </si>
  <si>
    <t>DO-YULQ165-B7-16</t>
  </si>
  <si>
    <t>B07BLVB7FH</t>
  </si>
  <si>
    <t>DO-YULQ165</t>
  </si>
  <si>
    <t>DO-YULQ165-PI-16</t>
  </si>
  <si>
    <t>B07BLTPG2G</t>
  </si>
  <si>
    <t>DO-YULQ171-B0-22</t>
  </si>
  <si>
    <t>B079NW9791</t>
  </si>
  <si>
    <t>DO-YULQ171</t>
  </si>
  <si>
    <t>DO-YULQ171-LGR-22</t>
  </si>
  <si>
    <t>B0795117ZD</t>
  </si>
  <si>
    <t>无销量广告费为8.07</t>
  </si>
  <si>
    <t>无销量广告费为7.19</t>
  </si>
  <si>
    <t>DO-YULQ172-BD-22</t>
  </si>
  <si>
    <t>B079513H1Q</t>
  </si>
  <si>
    <t>DO-YULQ172</t>
  </si>
  <si>
    <t>DO-YULQ173-B7-22</t>
  </si>
  <si>
    <t>B07BFVYCH2</t>
  </si>
  <si>
    <t>DO-YULQ173</t>
  </si>
  <si>
    <t>DO-YULQ200-PI-10</t>
  </si>
  <si>
    <t>B07B9Q774Z</t>
  </si>
  <si>
    <t>DO-YULQ200</t>
  </si>
  <si>
    <t>DO-YULQ200-W0-10</t>
  </si>
  <si>
    <t>B07B94LQJR</t>
  </si>
  <si>
    <t>DO-YULQ203-P4-22</t>
  </si>
  <si>
    <t>B0793R99F1</t>
  </si>
  <si>
    <t>DO-YULQ203</t>
  </si>
  <si>
    <t>DO-YULQ220-R2-22</t>
  </si>
  <si>
    <t>B079DPVXXZ</t>
  </si>
  <si>
    <t>DO-YULQ220</t>
  </si>
  <si>
    <t>DO-YULQ230-PI-16</t>
  </si>
  <si>
    <t>B0795M8J8G</t>
  </si>
  <si>
    <t>DO-YULQ230</t>
  </si>
  <si>
    <t>DO-YULQ232-W0-10</t>
  </si>
  <si>
    <t>B07DL5ZGP8</t>
  </si>
  <si>
    <t>DO-YULQ232</t>
  </si>
  <si>
    <t>DO-YULQ259-PI-22</t>
  </si>
  <si>
    <t>B07DQH5M4P</t>
  </si>
  <si>
    <t>DO-YULQ259</t>
  </si>
  <si>
    <t>DO-YULQ330-PI-18</t>
  </si>
  <si>
    <t>B0792VK5C4</t>
  </si>
  <si>
    <t>DO-YULQ330</t>
  </si>
  <si>
    <t>DO-YULQ332-LGR-20</t>
  </si>
  <si>
    <t>B0792VHP6W</t>
  </si>
  <si>
    <t>DO-YULQ332</t>
  </si>
  <si>
    <t>无销量广告费为1.18</t>
  </si>
  <si>
    <t>DO-YULQ350-PI-22</t>
  </si>
  <si>
    <t>B0795M8ZGB</t>
  </si>
  <si>
    <t>DO-YULQ350</t>
  </si>
  <si>
    <t>DO-YULQ372-R0-22</t>
  </si>
  <si>
    <t>B07BSC5Q33</t>
  </si>
  <si>
    <t>DO-YULQ372</t>
  </si>
  <si>
    <t>无销量广告费为0.2</t>
  </si>
  <si>
    <t>无销量广告费为0.28</t>
  </si>
  <si>
    <t>DO-YULQ516-B0-22</t>
  </si>
  <si>
    <t>B07BFVWCV4</t>
  </si>
  <si>
    <t>DO-YULQ516</t>
  </si>
  <si>
    <t>无销量广告费为0.4</t>
  </si>
  <si>
    <t>无销量广告费为0.03</t>
  </si>
  <si>
    <t>DO-YULQ604-PI-22</t>
  </si>
  <si>
    <t>B078XB1WC9</t>
  </si>
  <si>
    <t>DO-YULQ604</t>
  </si>
  <si>
    <t>DO-YULQ605-PI-16</t>
  </si>
  <si>
    <t>B0792PFKL5</t>
  </si>
  <si>
    <t>DO-YULQ605</t>
  </si>
  <si>
    <t>DO-YULQ605-PI-22</t>
  </si>
  <si>
    <t>B07BSD41QJ</t>
  </si>
  <si>
    <t>无销量广告费为5.94</t>
  </si>
  <si>
    <t>无销量广告费为3.05</t>
  </si>
  <si>
    <t>无销量广告费为4.68</t>
  </si>
  <si>
    <t>DO-YULQ606-W0-22</t>
  </si>
  <si>
    <t>B07BSFP5QZ</t>
  </si>
  <si>
    <t>DO-YULQ606</t>
  </si>
  <si>
    <t>无销量广告费为1.62</t>
  </si>
  <si>
    <t>无销量广告费为0.52</t>
  </si>
  <si>
    <t>无销量广告费为0.37</t>
  </si>
  <si>
    <t>DO-YULQ610-R2-22</t>
  </si>
  <si>
    <t>B0793RW7P4</t>
  </si>
  <si>
    <t>DO-YULQ610</t>
  </si>
  <si>
    <t>无销量广告费为18.35</t>
  </si>
  <si>
    <t>DO-YULQ611-TW-22</t>
  </si>
  <si>
    <t>B0793RG3PM</t>
  </si>
  <si>
    <t>DO-YULQ611</t>
  </si>
  <si>
    <t>无销量广告费为21.41</t>
  </si>
  <si>
    <t>DO-YULQ620-NZ-22</t>
  </si>
  <si>
    <t>B079JXQJSM</t>
  </si>
  <si>
    <t>DO-YULQ620</t>
  </si>
  <si>
    <t>DO-YULQ620-PI-22</t>
  </si>
  <si>
    <t>B079JQDDN7</t>
  </si>
  <si>
    <t>DO-YULQ630-R2-15</t>
  </si>
  <si>
    <t>B0794XFL8V</t>
  </si>
  <si>
    <t>DO-YULQ630</t>
  </si>
  <si>
    <t>DO-YULQ631-R2-22</t>
  </si>
  <si>
    <t>B07BSHY6ZL</t>
  </si>
  <si>
    <t>DO-YULQ631</t>
  </si>
  <si>
    <t>无销量广告费为3.7</t>
  </si>
  <si>
    <t>无销量广告费为0.47</t>
  </si>
  <si>
    <t>DO-YULQ638-LGR-20</t>
  </si>
  <si>
    <t>B07B7G22RT</t>
  </si>
  <si>
    <t>DO-YULQ638</t>
  </si>
  <si>
    <t>DO-YULQ638-PI-20</t>
  </si>
  <si>
    <t>B07929YDZM</t>
  </si>
  <si>
    <t>DO-YULQ639-LGR-22</t>
  </si>
  <si>
    <t>B07BFVHDDP</t>
  </si>
  <si>
    <t>DO-YULQ639</t>
  </si>
  <si>
    <t>DO-YULQ639-R2-22</t>
  </si>
  <si>
    <t>B07BFVXKTL</t>
  </si>
  <si>
    <t>DO-YULQ663-PI-15</t>
  </si>
  <si>
    <t>B07BRK2R83</t>
  </si>
  <si>
    <t>DO-YULQ663</t>
  </si>
  <si>
    <t>DO-YULQ664-AX-16</t>
  </si>
  <si>
    <t>B07BSN65PZ</t>
  </si>
  <si>
    <t>DO-YULQ664</t>
  </si>
  <si>
    <t>无销量广告费为10.23</t>
  </si>
  <si>
    <t>DO-YULQ700-PI-22</t>
  </si>
  <si>
    <t>B07CM58KHK</t>
  </si>
  <si>
    <t>DO-YULQ700</t>
  </si>
  <si>
    <t>无销量广告费为97.36</t>
  </si>
  <si>
    <t>DO-YULQ701-PI-22</t>
  </si>
  <si>
    <t>B07CM9N213</t>
  </si>
  <si>
    <t>DO-YULQ701</t>
  </si>
  <si>
    <t>无销量广告费为30.27</t>
  </si>
  <si>
    <t>DO-YULQ702-PI-22</t>
  </si>
  <si>
    <t>B07CM6R65H</t>
  </si>
  <si>
    <t>DO-YULQ702</t>
  </si>
  <si>
    <t>DO-YULQ703-PI-22</t>
  </si>
  <si>
    <t>B07CN76YH9</t>
  </si>
  <si>
    <t>DO-YULQ703</t>
  </si>
  <si>
    <t>无销量广告费为7.62</t>
  </si>
  <si>
    <t>无销量广告费为16.27</t>
  </si>
  <si>
    <t>无销量广告费为9.37</t>
  </si>
  <si>
    <t>DO-YULQ704-B0-24</t>
  </si>
  <si>
    <t>B07D4DDT41</t>
  </si>
  <si>
    <t>DO-YULQ704</t>
  </si>
  <si>
    <t>无销量广告费为1.92</t>
  </si>
  <si>
    <t>无销量广告费为0.5</t>
  </si>
  <si>
    <t>DO-YULQ705-0R-10</t>
  </si>
  <si>
    <t>B078XZRP4X</t>
  </si>
  <si>
    <t>DO-YULQ705</t>
  </si>
  <si>
    <t>DO-YULQ705-BR-11</t>
  </si>
  <si>
    <t>B079K3D4WY</t>
  </si>
  <si>
    <t>DO-YULQ705-GR-11</t>
  </si>
  <si>
    <t>B079JWNR6Z</t>
  </si>
  <si>
    <t>DO-YULQ705-W0-22</t>
  </si>
  <si>
    <t>B07D4D4876</t>
  </si>
  <si>
    <t>无销量广告费为2.14</t>
  </si>
  <si>
    <t>无销量广告费为0.25</t>
  </si>
  <si>
    <t>DO-YULQ706-R0-24</t>
  </si>
  <si>
    <t>B07D4D6Q9C</t>
  </si>
  <si>
    <t>DO-YULQ706</t>
  </si>
  <si>
    <t>无销量广告费为0.27</t>
  </si>
  <si>
    <t>DO-YULQ707-PI-24</t>
  </si>
  <si>
    <t>B07D4DRFYN</t>
  </si>
  <si>
    <t>DO-YULQ707</t>
  </si>
  <si>
    <t>DO-YULQ708-W0-24</t>
  </si>
  <si>
    <t>B07D4DC72D</t>
  </si>
  <si>
    <t>DO-YULQ708</t>
  </si>
  <si>
    <t>DO-YULQ812-W0-18</t>
  </si>
  <si>
    <t>B0792VKCCR</t>
  </si>
  <si>
    <t>DO-YULQ812</t>
  </si>
  <si>
    <t>DO-YULQ905-B7-22</t>
  </si>
  <si>
    <t>B078XC1QQQ</t>
  </si>
  <si>
    <t>DO-YULQ905</t>
  </si>
  <si>
    <t>DO-YULQ985-B7-20</t>
  </si>
  <si>
    <t>B07CM67KDW</t>
  </si>
  <si>
    <t>无销量广告费为24.18</t>
  </si>
  <si>
    <t>DOLL-004-LB-10</t>
  </si>
  <si>
    <t>B076Q71HXL</t>
  </si>
  <si>
    <t>DOLL-004</t>
  </si>
  <si>
    <t>DOLL-004-LB-11</t>
  </si>
  <si>
    <t>DOLL-004-PI-10</t>
  </si>
  <si>
    <t>B076Q8RG21</t>
  </si>
  <si>
    <t>DOLL-005-WO-11</t>
  </si>
  <si>
    <t>B076PDDZW9</t>
  </si>
  <si>
    <t>DOLL-005</t>
  </si>
  <si>
    <t>DOLL-006-LB-11</t>
  </si>
  <si>
    <t>B076Q79H79</t>
  </si>
  <si>
    <t>DOLL-006</t>
  </si>
  <si>
    <t>DOLL-006-PI-10</t>
  </si>
  <si>
    <t>B076Q7DCP1</t>
  </si>
  <si>
    <t>DOLL-007-NO-17</t>
  </si>
  <si>
    <t>B077HPT67J</t>
  </si>
  <si>
    <t>DOLL-007</t>
  </si>
  <si>
    <t>DOLL-007XM-WO-17</t>
  </si>
  <si>
    <t>B077HQRC9P</t>
  </si>
  <si>
    <t>DOLL-008-W0-22</t>
  </si>
  <si>
    <t>B079M128Y6</t>
  </si>
  <si>
    <t>DOLL-008</t>
  </si>
  <si>
    <t>无销量广告费为29.26</t>
  </si>
  <si>
    <t>无销量广告费为8.21</t>
  </si>
  <si>
    <t>DOLL-010-PI-22</t>
  </si>
  <si>
    <t>B06XPJWWR4</t>
  </si>
  <si>
    <t>DOLL-010</t>
  </si>
  <si>
    <t>DOLL-020-PI-22</t>
  </si>
  <si>
    <t>B06XPKHVHC</t>
  </si>
  <si>
    <t>DOLL-020</t>
  </si>
  <si>
    <t>DOLL-0601-PI-22</t>
  </si>
  <si>
    <t>B076J2TBNG</t>
  </si>
  <si>
    <t>DOLL-0601</t>
  </si>
  <si>
    <t>DOLL-0602-NZ-22</t>
  </si>
  <si>
    <t>B077SDPC6N</t>
  </si>
  <si>
    <t>DOLL-0602</t>
  </si>
  <si>
    <t>DOLL-0603-NZ-22</t>
  </si>
  <si>
    <t>DOLL-0603</t>
  </si>
  <si>
    <t>DOLL-0605-PI-22</t>
  </si>
  <si>
    <t>B076J6949M</t>
  </si>
  <si>
    <t>DOLL-0605</t>
  </si>
  <si>
    <t>DOLL-0630-PI-22</t>
  </si>
  <si>
    <t>B076J4L24W</t>
  </si>
  <si>
    <t>DOLL-0630</t>
  </si>
  <si>
    <t>DOLL-100-LB-22</t>
  </si>
  <si>
    <t>B077SHDMC8</t>
  </si>
  <si>
    <t>DOLL-100</t>
  </si>
  <si>
    <t>DOLL-1523-B7-22</t>
  </si>
  <si>
    <t>B0784T23ZQ</t>
  </si>
  <si>
    <t>DOLL-1523</t>
  </si>
  <si>
    <t>DOLL-1613-LB-11</t>
  </si>
  <si>
    <t>B076MVRP3M</t>
  </si>
  <si>
    <t>DOLL-1613</t>
  </si>
  <si>
    <t>无销量广告费为17.15</t>
  </si>
  <si>
    <t>无销量广告费为16.13</t>
  </si>
  <si>
    <t>无销量广告费为11.27</t>
  </si>
  <si>
    <t>DOLL-1613-LB-22</t>
  </si>
  <si>
    <t>B076MT3BDS</t>
  </si>
  <si>
    <t>DOLL-1613-PI-22</t>
  </si>
  <si>
    <t>B076MW1Y4F</t>
  </si>
  <si>
    <t>无销量广告费为0.23</t>
  </si>
  <si>
    <t>无销量广告费为0.59</t>
  </si>
  <si>
    <t>无销量广告费为0.68</t>
  </si>
  <si>
    <t>DOLL-1630-R0-22</t>
  </si>
  <si>
    <t>B076P99TGC</t>
  </si>
  <si>
    <t>DOLL-1630</t>
  </si>
  <si>
    <t>DOLL-6089-B0-22</t>
  </si>
  <si>
    <t>B077SNDT1X</t>
  </si>
  <si>
    <t>DOLL-6089</t>
  </si>
  <si>
    <t>DOLL-7056-0R-11</t>
  </si>
  <si>
    <t>B0788NF4TB</t>
  </si>
  <si>
    <t>DOLL-7056</t>
  </si>
  <si>
    <t>DOLL-7056-BR-11</t>
  </si>
  <si>
    <t>B0788P8DCG</t>
  </si>
  <si>
    <t>DOLL-7056-LGR-11</t>
  </si>
  <si>
    <t>B077HNP6TL</t>
  </si>
  <si>
    <t>DOLL-7056B-YO-11</t>
  </si>
  <si>
    <t>DOLL-9042-01R-22</t>
  </si>
  <si>
    <t>B076J5RSFF</t>
  </si>
  <si>
    <t>DOLL-9042</t>
  </si>
  <si>
    <t>DOLL-9042-B0-22</t>
  </si>
  <si>
    <t>DOLL-AD010-03R-22</t>
  </si>
  <si>
    <t>B0788N4FMR</t>
  </si>
  <si>
    <t>DOLL-AD010</t>
  </si>
  <si>
    <t>DOLL-AD010-W0-22</t>
  </si>
  <si>
    <t>DOLL-AD011-PI-22</t>
  </si>
  <si>
    <t>B077SGXYL6</t>
  </si>
  <si>
    <t>DOLL-AD011</t>
  </si>
  <si>
    <t>DOLLDRESS-003-PI-20</t>
  </si>
  <si>
    <t>B076K8YDNV</t>
  </si>
  <si>
    <t>DOLLDRESS-003</t>
  </si>
  <si>
    <t>DOLLDRESS-003-PI-M</t>
  </si>
  <si>
    <t>B0785S857P</t>
  </si>
  <si>
    <t>DOLLDRESS-003-R2-20</t>
  </si>
  <si>
    <t>B076KQB6X1</t>
  </si>
  <si>
    <t>DOLLDRESS-003-R2-M</t>
  </si>
  <si>
    <t>B077Z474QH</t>
  </si>
  <si>
    <t>DOLLDRESS-003-WO-20</t>
  </si>
  <si>
    <t>B077T29TYP</t>
  </si>
  <si>
    <t>DOLLDRESS-003-WO-M</t>
  </si>
  <si>
    <t>B077Z6B9TS</t>
  </si>
  <si>
    <t>DOLLDRESS-1612-GO-23</t>
  </si>
  <si>
    <t>B0778B83P8</t>
  </si>
  <si>
    <t>DOLLDRESS-1612</t>
  </si>
  <si>
    <t>NZZH-FLQ52</t>
  </si>
  <si>
    <t>B077VNWLJW</t>
  </si>
  <si>
    <t>YF-YULQ002-B7-20</t>
  </si>
  <si>
    <t>B079NXJZ52</t>
  </si>
  <si>
    <t>YF-YULQ002</t>
  </si>
  <si>
    <t>YF-YULQ003-W0-20</t>
  </si>
  <si>
    <t>YF-YULQ003</t>
  </si>
  <si>
    <t>YF-YULQ007-PI-20</t>
  </si>
  <si>
    <t>B074P4D14G</t>
  </si>
  <si>
    <t>YF-YULQ007</t>
  </si>
  <si>
    <t>YF-YULQ162-B7-20</t>
  </si>
  <si>
    <t>B079P28VV3</t>
  </si>
  <si>
    <t>YF-YULQ162</t>
  </si>
  <si>
    <t>YF-YULQ602-PI-20</t>
  </si>
  <si>
    <t>B079P55XYW</t>
  </si>
  <si>
    <t>YF-YULQ602</t>
  </si>
  <si>
    <t>YF-YULQ905-B7-20</t>
  </si>
  <si>
    <t>B079NX5R9C</t>
  </si>
  <si>
    <t>YF-YULQ905</t>
  </si>
  <si>
    <t>DO-YULQ161-B7-22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</si>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</sst>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yyyy&quot;年&quot;m&quot;月&quot;d&quot;日&quot;;@"/>
    <numFmt numFmtId="177" formatCode="0.00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1" fillId="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9" borderId="6" applyNumberFormat="0" applyFont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3" fillId="8" borderId="4" applyNumberFormat="0" applyAlignment="0" applyProtection="0">
      <alignment vertical="center"/>
    </xf>
    <xf numFmtId="0" fontId="22" fillId="8" borderId="3" applyNumberFormat="0" applyAlignment="0" applyProtection="0">
      <alignment vertical="center"/>
    </xf>
    <xf numFmtId="0" fontId="17" fillId="18" borderId="5" applyNumberFormat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</cellStyleXfs>
  <cellXfs count="42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0" fillId="0" borderId="0" xfId="0" applyBorder="1"/>
    <xf numFmtId="0" fontId="0" fillId="0" borderId="0" xfId="0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0" fontId="6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7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ill>
        <patternFill patternType="solid">
          <bgColor rgb="FFFF99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B079JQCWQ6</v>
          </cell>
          <cell r="B2">
            <v>0</v>
          </cell>
          <cell r="C2">
            <v>1277</v>
          </cell>
          <cell r="D2">
            <v>1411</v>
          </cell>
          <cell r="E2">
            <v>1407</v>
          </cell>
        </row>
        <row r="3">
          <cell r="A3" t="str">
            <v>B06XPKHVHC</v>
          </cell>
          <cell r="B3">
            <v>0</v>
          </cell>
          <cell r="C3">
            <v>617</v>
          </cell>
          <cell r="D3">
            <v>631</v>
          </cell>
          <cell r="E3">
            <v>718</v>
          </cell>
        </row>
        <row r="4">
          <cell r="A4" t="str">
            <v>B06XPJWWR4</v>
          </cell>
          <cell r="B4">
            <v>0</v>
          </cell>
          <cell r="C4">
            <v>1147</v>
          </cell>
          <cell r="D4">
            <v>1112</v>
          </cell>
          <cell r="E4">
            <v>1016</v>
          </cell>
        </row>
        <row r="5">
          <cell r="A5" t="str">
            <v>B079JRPXZ8</v>
          </cell>
          <cell r="B5">
            <v>0</v>
          </cell>
          <cell r="C5">
            <v>1252</v>
          </cell>
          <cell r="D5">
            <v>990</v>
          </cell>
          <cell r="E5">
            <v>1342</v>
          </cell>
        </row>
        <row r="6">
          <cell r="A6" t="str">
            <v>B076J6949M</v>
          </cell>
          <cell r="B6">
            <v>0</v>
          </cell>
          <cell r="C6">
            <v>769</v>
          </cell>
          <cell r="D6">
            <v>816</v>
          </cell>
          <cell r="E6">
            <v>717</v>
          </cell>
        </row>
        <row r="7">
          <cell r="A7" t="str">
            <v>B076J2TBNG</v>
          </cell>
          <cell r="B7">
            <v>0</v>
          </cell>
          <cell r="C7">
            <v>405</v>
          </cell>
          <cell r="D7">
            <v>410</v>
          </cell>
          <cell r="E7">
            <v>419</v>
          </cell>
        </row>
        <row r="8">
          <cell r="A8" t="str">
            <v>B0795M8J8G</v>
          </cell>
          <cell r="B8">
            <v>0</v>
          </cell>
          <cell r="C8">
            <v>285</v>
          </cell>
          <cell r="D8">
            <v>362</v>
          </cell>
          <cell r="E8">
            <v>324</v>
          </cell>
        </row>
        <row r="9">
          <cell r="A9" t="str">
            <v>B076KQB6X1</v>
          </cell>
          <cell r="B9">
            <v>0</v>
          </cell>
          <cell r="C9">
            <v>73</v>
          </cell>
          <cell r="D9">
            <v>48</v>
          </cell>
          <cell r="E9">
            <v>33</v>
          </cell>
        </row>
        <row r="10">
          <cell r="A10" t="str">
            <v>B0792VKCCR</v>
          </cell>
          <cell r="B10">
            <v>0</v>
          </cell>
          <cell r="C10">
            <v>82</v>
          </cell>
          <cell r="D10">
            <v>47</v>
          </cell>
          <cell r="E10">
            <v>120</v>
          </cell>
        </row>
        <row r="11">
          <cell r="A11" t="str">
            <v>B0793RW7P4</v>
          </cell>
          <cell r="B11">
            <v>0</v>
          </cell>
          <cell r="C11">
            <v>399</v>
          </cell>
          <cell r="D11">
            <v>92</v>
          </cell>
          <cell r="E11">
            <v>330</v>
          </cell>
        </row>
        <row r="12">
          <cell r="A12" t="str">
            <v>B074P4D14G</v>
          </cell>
          <cell r="B12">
            <v>0</v>
          </cell>
          <cell r="C12">
            <v>115</v>
          </cell>
          <cell r="D12">
            <v>95</v>
          </cell>
          <cell r="E12">
            <v>107</v>
          </cell>
        </row>
        <row r="13">
          <cell r="A13" t="str">
            <v>B07CN4J1B2</v>
          </cell>
          <cell r="B13">
            <v>0</v>
          </cell>
          <cell r="C13">
            <v>77</v>
          </cell>
          <cell r="D13">
            <v>53</v>
          </cell>
          <cell r="E13">
            <v>82</v>
          </cell>
        </row>
        <row r="14">
          <cell r="A14" t="str">
            <v>B076J4L24W</v>
          </cell>
          <cell r="B14">
            <v>0</v>
          </cell>
          <cell r="C14">
            <v>264</v>
          </cell>
          <cell r="D14">
            <v>265</v>
          </cell>
          <cell r="E14">
            <v>334</v>
          </cell>
        </row>
        <row r="15">
          <cell r="A15" t="str">
            <v>B076Q8RG21</v>
          </cell>
          <cell r="B15">
            <v>0</v>
          </cell>
          <cell r="C15">
            <v>155</v>
          </cell>
          <cell r="D15">
            <v>92</v>
          </cell>
          <cell r="E15">
            <v>131</v>
          </cell>
        </row>
        <row r="16">
          <cell r="A16" t="str">
            <v>B0788P8DCG</v>
          </cell>
          <cell r="B16">
            <v>0</v>
          </cell>
          <cell r="C16">
            <v>95</v>
          </cell>
          <cell r="D16">
            <v>81</v>
          </cell>
          <cell r="E16">
            <v>52</v>
          </cell>
        </row>
        <row r="17">
          <cell r="A17" t="str">
            <v>B079JRDT89</v>
          </cell>
          <cell r="B17">
            <v>0</v>
          </cell>
          <cell r="C17">
            <v>222</v>
          </cell>
          <cell r="D17">
            <v>577</v>
          </cell>
          <cell r="E17">
            <v>244</v>
          </cell>
        </row>
        <row r="18">
          <cell r="A18" t="str">
            <v>B079NYR8GC</v>
          </cell>
          <cell r="B18">
            <v>0</v>
          </cell>
          <cell r="C18">
            <v>147</v>
          </cell>
          <cell r="D18">
            <v>243</v>
          </cell>
          <cell r="E18">
            <v>241</v>
          </cell>
        </row>
        <row r="19">
          <cell r="A19" t="str">
            <v>B07CN76YH9</v>
          </cell>
          <cell r="B19">
            <v>0</v>
          </cell>
          <cell r="C19">
            <v>59</v>
          </cell>
          <cell r="D19">
            <v>78</v>
          </cell>
          <cell r="E19">
            <v>105</v>
          </cell>
        </row>
        <row r="20">
          <cell r="A20" t="str">
            <v>B07D4DRFYN</v>
          </cell>
          <cell r="B20">
            <v>0</v>
          </cell>
          <cell r="C20">
            <v>59</v>
          </cell>
          <cell r="D20">
            <v>75</v>
          </cell>
          <cell r="E20">
            <v>8</v>
          </cell>
        </row>
        <row r="21">
          <cell r="A21" t="str">
            <v>B077HNP6TL</v>
          </cell>
          <cell r="B21">
            <v>0</v>
          </cell>
          <cell r="C21">
            <v>183</v>
          </cell>
          <cell r="D21">
            <v>169</v>
          </cell>
          <cell r="E21">
            <v>175</v>
          </cell>
        </row>
        <row r="22">
          <cell r="A22" t="str">
            <v>B077SGXYL6</v>
          </cell>
          <cell r="B22">
            <v>0</v>
          </cell>
          <cell r="C22">
            <v>146</v>
          </cell>
          <cell r="D22">
            <v>177</v>
          </cell>
          <cell r="E22">
            <v>132</v>
          </cell>
        </row>
        <row r="23">
          <cell r="A23" t="str">
            <v>B078X59HSZ</v>
          </cell>
          <cell r="B23">
            <v>0</v>
          </cell>
          <cell r="C23">
            <v>235</v>
          </cell>
          <cell r="D23">
            <v>241</v>
          </cell>
          <cell r="E23">
            <v>233</v>
          </cell>
        </row>
        <row r="24">
          <cell r="A24" t="str">
            <v>B078Y2G7XW</v>
          </cell>
          <cell r="B24">
            <v>0</v>
          </cell>
          <cell r="C24">
            <v>7</v>
          </cell>
          <cell r="D24">
            <v>7</v>
          </cell>
          <cell r="E24">
            <v>9</v>
          </cell>
        </row>
        <row r="25">
          <cell r="A25" t="str">
            <v>B07929YDZM</v>
          </cell>
          <cell r="B25">
            <v>0</v>
          </cell>
          <cell r="C25">
            <v>38</v>
          </cell>
          <cell r="D25">
            <v>35</v>
          </cell>
          <cell r="E25">
            <v>77</v>
          </cell>
        </row>
        <row r="26">
          <cell r="A26" t="str">
            <v>B0792VZN9S</v>
          </cell>
          <cell r="B26">
            <v>0</v>
          </cell>
          <cell r="C26">
            <v>393</v>
          </cell>
          <cell r="D26">
            <v>356</v>
          </cell>
          <cell r="E26">
            <v>238</v>
          </cell>
        </row>
        <row r="27">
          <cell r="A27" t="str">
            <v>B0793QZPK1</v>
          </cell>
          <cell r="B27">
            <v>0</v>
          </cell>
          <cell r="C27">
            <v>76</v>
          </cell>
          <cell r="D27">
            <v>80</v>
          </cell>
          <cell r="E27">
            <v>26</v>
          </cell>
        </row>
        <row r="28">
          <cell r="A28" t="str">
            <v>B079JWNR6Z</v>
          </cell>
          <cell r="B28">
            <v>0</v>
          </cell>
          <cell r="C28">
            <v>60</v>
          </cell>
          <cell r="D28">
            <v>58</v>
          </cell>
          <cell r="E28">
            <v>66</v>
          </cell>
        </row>
        <row r="29">
          <cell r="A29" t="str">
            <v>B079M128Y6</v>
          </cell>
          <cell r="B29">
            <v>0</v>
          </cell>
          <cell r="C29">
            <v>171</v>
          </cell>
          <cell r="D29">
            <v>70</v>
          </cell>
          <cell r="E29">
            <v>210</v>
          </cell>
        </row>
        <row r="30">
          <cell r="A30" t="str">
            <v>B079NX5R9C</v>
          </cell>
          <cell r="B30">
            <v>0</v>
          </cell>
          <cell r="C30">
            <v>19</v>
          </cell>
          <cell r="D30">
            <v>14</v>
          </cell>
          <cell r="E30">
            <v>39</v>
          </cell>
        </row>
        <row r="31">
          <cell r="A31" t="str">
            <v>B079NXJZ52</v>
          </cell>
          <cell r="B31">
            <v>0</v>
          </cell>
          <cell r="C31">
            <v>18</v>
          </cell>
          <cell r="D31">
            <v>16</v>
          </cell>
          <cell r="E31">
            <v>21</v>
          </cell>
        </row>
        <row r="32">
          <cell r="A32" t="str">
            <v>B07B9SLG9M</v>
          </cell>
          <cell r="B32">
            <v>0</v>
          </cell>
          <cell r="C32">
            <v>14</v>
          </cell>
          <cell r="D32">
            <v>12</v>
          </cell>
          <cell r="E32">
            <v>27</v>
          </cell>
        </row>
        <row r="33">
          <cell r="A33" t="str">
            <v>B07BDDC5WH</v>
          </cell>
          <cell r="B33">
            <v>0</v>
          </cell>
          <cell r="C33">
            <v>65</v>
          </cell>
          <cell r="D33">
            <v>65</v>
          </cell>
          <cell r="E33">
            <v>85</v>
          </cell>
        </row>
        <row r="34">
          <cell r="A34" t="str">
            <v>B07CLYNY71</v>
          </cell>
          <cell r="B34">
            <v>0</v>
          </cell>
          <cell r="C34">
            <v>46</v>
          </cell>
          <cell r="D34">
            <v>21</v>
          </cell>
          <cell r="E34">
            <v>9</v>
          </cell>
        </row>
        <row r="35">
          <cell r="A35" t="str">
            <v>B07CM664M7</v>
          </cell>
          <cell r="B35">
            <v>0</v>
          </cell>
          <cell r="C35">
            <v>437</v>
          </cell>
          <cell r="D35">
            <v>264</v>
          </cell>
          <cell r="E35">
            <v>312</v>
          </cell>
        </row>
        <row r="36">
          <cell r="A36" t="str">
            <v>B07CM9N213</v>
          </cell>
          <cell r="B36">
            <v>0</v>
          </cell>
          <cell r="C36">
            <v>180</v>
          </cell>
          <cell r="D36">
            <v>221</v>
          </cell>
          <cell r="E36">
            <v>169</v>
          </cell>
        </row>
        <row r="37">
          <cell r="A37" t="str">
            <v>B076J5RSFF</v>
          </cell>
          <cell r="B37">
            <v>0</v>
          </cell>
          <cell r="C37">
            <v>64</v>
          </cell>
          <cell r="D37">
            <v>69</v>
          </cell>
          <cell r="E37">
            <v>68</v>
          </cell>
        </row>
        <row r="38">
          <cell r="A38" t="str">
            <v>B076K8YDNV</v>
          </cell>
          <cell r="B38">
            <v>0</v>
          </cell>
          <cell r="C38">
            <v>26</v>
          </cell>
          <cell r="D38">
            <v>33</v>
          </cell>
          <cell r="E38">
            <v>14</v>
          </cell>
        </row>
        <row r="39">
          <cell r="A39" t="str">
            <v>B076P99TGC</v>
          </cell>
          <cell r="B39">
            <v>0</v>
          </cell>
          <cell r="C39">
            <v>99</v>
          </cell>
          <cell r="D39">
            <v>75</v>
          </cell>
          <cell r="E39">
            <v>119</v>
          </cell>
        </row>
        <row r="40">
          <cell r="A40" t="str">
            <v>B076PDDZW9</v>
          </cell>
          <cell r="B40">
            <v>0</v>
          </cell>
          <cell r="C40">
            <v>287</v>
          </cell>
          <cell r="D40">
            <v>216</v>
          </cell>
          <cell r="E40">
            <v>21</v>
          </cell>
        </row>
        <row r="41">
          <cell r="A41" t="str">
            <v>B076Q71HXL</v>
          </cell>
          <cell r="B41">
            <v>0</v>
          </cell>
          <cell r="C41">
            <v>47</v>
          </cell>
          <cell r="D41">
            <v>38</v>
          </cell>
          <cell r="E41">
            <v>25</v>
          </cell>
        </row>
        <row r="42">
          <cell r="A42" t="str">
            <v>B077HQRC9P</v>
          </cell>
          <cell r="B42">
            <v>0</v>
          </cell>
          <cell r="C42">
            <v>26</v>
          </cell>
          <cell r="D42">
            <v>39</v>
          </cell>
          <cell r="E42">
            <v>39</v>
          </cell>
        </row>
        <row r="43">
          <cell r="A43" t="str">
            <v>B077SDPC6N</v>
          </cell>
          <cell r="B43">
            <v>0</v>
          </cell>
          <cell r="C43">
            <v>50</v>
          </cell>
          <cell r="D43">
            <v>46</v>
          </cell>
          <cell r="E43">
            <v>45</v>
          </cell>
        </row>
        <row r="44">
          <cell r="A44" t="str">
            <v>B0788N9R3H</v>
          </cell>
          <cell r="B44">
            <v>0</v>
          </cell>
          <cell r="C44">
            <v>19</v>
          </cell>
          <cell r="D44">
            <v>18</v>
          </cell>
          <cell r="E44">
            <v>13</v>
          </cell>
        </row>
        <row r="45">
          <cell r="A45" t="str">
            <v>B0788NF4TB</v>
          </cell>
          <cell r="B45">
            <v>0</v>
          </cell>
          <cell r="C45">
            <v>109</v>
          </cell>
          <cell r="D45">
            <v>69</v>
          </cell>
          <cell r="E45">
            <v>51</v>
          </cell>
        </row>
        <row r="46">
          <cell r="A46" t="str">
            <v>B078X5HG51</v>
          </cell>
          <cell r="B46">
            <v>0</v>
          </cell>
          <cell r="C46">
            <v>6</v>
          </cell>
          <cell r="D46">
            <v>2</v>
          </cell>
          <cell r="E46">
            <v>1</v>
          </cell>
        </row>
        <row r="47">
          <cell r="A47" t="str">
            <v>B078Y5BTZC</v>
          </cell>
          <cell r="B47">
            <v>0</v>
          </cell>
          <cell r="C47">
            <v>14</v>
          </cell>
          <cell r="D47">
            <v>17</v>
          </cell>
          <cell r="E47">
            <v>25</v>
          </cell>
        </row>
        <row r="48">
          <cell r="A48" t="str">
            <v>B0792VG6VZ</v>
          </cell>
          <cell r="B48">
            <v>0</v>
          </cell>
          <cell r="C48">
            <v>34</v>
          </cell>
          <cell r="D48">
            <v>60</v>
          </cell>
          <cell r="E48">
            <v>43</v>
          </cell>
        </row>
        <row r="49">
          <cell r="A49" t="str">
            <v>B0792VRZ89</v>
          </cell>
          <cell r="B49">
            <v>0</v>
          </cell>
          <cell r="C49">
            <v>44</v>
          </cell>
          <cell r="D49">
            <v>40</v>
          </cell>
          <cell r="E49">
            <v>65</v>
          </cell>
        </row>
        <row r="50">
          <cell r="A50" t="str">
            <v>B0793PS7QX</v>
          </cell>
          <cell r="B50">
            <v>0</v>
          </cell>
          <cell r="C50">
            <v>30</v>
          </cell>
          <cell r="D50">
            <v>36</v>
          </cell>
          <cell r="E50">
            <v>15</v>
          </cell>
        </row>
        <row r="51">
          <cell r="A51" t="str">
            <v>B0793R99F1</v>
          </cell>
          <cell r="B51">
            <v>0</v>
          </cell>
          <cell r="C51">
            <v>7</v>
          </cell>
          <cell r="D51">
            <v>15</v>
          </cell>
          <cell r="E51">
            <v>14</v>
          </cell>
        </row>
        <row r="52">
          <cell r="A52" t="str">
            <v>B0794ZPQ8B</v>
          </cell>
          <cell r="B52">
            <v>0</v>
          </cell>
          <cell r="C52">
            <v>64</v>
          </cell>
          <cell r="D52">
            <v>51</v>
          </cell>
          <cell r="E52">
            <v>33</v>
          </cell>
        </row>
        <row r="53">
          <cell r="A53" t="str">
            <v>B0795PQJS1</v>
          </cell>
          <cell r="B53">
            <v>0</v>
          </cell>
          <cell r="C53">
            <v>109</v>
          </cell>
          <cell r="D53">
            <v>245</v>
          </cell>
          <cell r="E53">
            <v>233</v>
          </cell>
        </row>
        <row r="54">
          <cell r="A54" t="str">
            <v>B079K3D4WY</v>
          </cell>
          <cell r="B54">
            <v>0</v>
          </cell>
          <cell r="C54">
            <v>9</v>
          </cell>
          <cell r="D54">
            <v>15</v>
          </cell>
          <cell r="E54">
            <v>21</v>
          </cell>
        </row>
        <row r="55">
          <cell r="A55" t="str">
            <v>B079NY4SZ4</v>
          </cell>
          <cell r="B55">
            <v>0</v>
          </cell>
          <cell r="C55">
            <v>32</v>
          </cell>
          <cell r="D55">
            <v>28</v>
          </cell>
          <cell r="E55">
            <v>30</v>
          </cell>
        </row>
        <row r="56">
          <cell r="A56" t="str">
            <v>B079P52R76</v>
          </cell>
          <cell r="B56">
            <v>0</v>
          </cell>
          <cell r="C56">
            <v>47</v>
          </cell>
          <cell r="D56">
            <v>113</v>
          </cell>
          <cell r="E56">
            <v>113</v>
          </cell>
        </row>
        <row r="57">
          <cell r="A57" t="str">
            <v>B07B7G22RT</v>
          </cell>
          <cell r="B57">
            <v>0</v>
          </cell>
          <cell r="C57">
            <v>52</v>
          </cell>
          <cell r="D57">
            <v>25</v>
          </cell>
          <cell r="E57">
            <v>29</v>
          </cell>
        </row>
        <row r="58">
          <cell r="A58" t="str">
            <v>B07B9Q774Z</v>
          </cell>
          <cell r="B58">
            <v>0</v>
          </cell>
          <cell r="C58">
            <v>24</v>
          </cell>
          <cell r="D58">
            <v>33</v>
          </cell>
          <cell r="E58">
            <v>34</v>
          </cell>
        </row>
        <row r="59">
          <cell r="A59" t="str">
            <v>B07BFV7XQM</v>
          </cell>
          <cell r="B59">
            <v>0</v>
          </cell>
          <cell r="C59">
            <v>51</v>
          </cell>
          <cell r="D59">
            <v>41</v>
          </cell>
          <cell r="E59">
            <v>47</v>
          </cell>
        </row>
        <row r="60">
          <cell r="A60" t="str">
            <v>B07BFVWCV4</v>
          </cell>
          <cell r="B60">
            <v>0</v>
          </cell>
          <cell r="C60">
            <v>9</v>
          </cell>
          <cell r="D60">
            <v>21</v>
          </cell>
          <cell r="E60">
            <v>17</v>
          </cell>
        </row>
        <row r="61">
          <cell r="A61" t="str">
            <v>B07BFVYCH2</v>
          </cell>
          <cell r="B61">
            <v>0</v>
          </cell>
          <cell r="C61">
            <v>708</v>
          </cell>
          <cell r="D61">
            <v>515</v>
          </cell>
          <cell r="E61">
            <v>230</v>
          </cell>
        </row>
        <row r="62">
          <cell r="A62" t="str">
            <v>B07BNCFZXN</v>
          </cell>
          <cell r="B62">
            <v>0</v>
          </cell>
          <cell r="C62">
            <v>23</v>
          </cell>
          <cell r="D62">
            <v>43</v>
          </cell>
          <cell r="E62">
            <v>61</v>
          </cell>
        </row>
        <row r="63">
          <cell r="A63" t="str">
            <v>B07BRK2R83</v>
          </cell>
          <cell r="B63">
            <v>0</v>
          </cell>
          <cell r="C63">
            <v>4</v>
          </cell>
          <cell r="D63">
            <v>7</v>
          </cell>
          <cell r="E63">
            <v>14</v>
          </cell>
        </row>
        <row r="64">
          <cell r="A64" t="str">
            <v>B07BSD41QJ</v>
          </cell>
          <cell r="B64">
            <v>0</v>
          </cell>
          <cell r="C64">
            <v>75</v>
          </cell>
          <cell r="D64">
            <v>48</v>
          </cell>
          <cell r="E64">
            <v>28</v>
          </cell>
        </row>
        <row r="65">
          <cell r="A65" t="str">
            <v>B07BSHY6ZL</v>
          </cell>
          <cell r="B65">
            <v>0</v>
          </cell>
          <cell r="C65">
            <v>74</v>
          </cell>
          <cell r="D65">
            <v>99</v>
          </cell>
          <cell r="E65">
            <v>96</v>
          </cell>
        </row>
        <row r="66">
          <cell r="A66" t="str">
            <v>B07CM58KHK</v>
          </cell>
          <cell r="B66">
            <v>0</v>
          </cell>
          <cell r="C66">
            <v>709</v>
          </cell>
          <cell r="D66">
            <v>823</v>
          </cell>
          <cell r="E66">
            <v>618</v>
          </cell>
        </row>
        <row r="67">
          <cell r="A67" t="str">
            <v>B07CM6R65H</v>
          </cell>
          <cell r="B67">
            <v>0</v>
          </cell>
          <cell r="C67">
            <v>181</v>
          </cell>
          <cell r="D67">
            <v>109</v>
          </cell>
          <cell r="E67">
            <v>108</v>
          </cell>
        </row>
        <row r="68">
          <cell r="A68" t="str">
            <v>B076J2H7FC</v>
          </cell>
          <cell r="B68">
            <v>0</v>
          </cell>
          <cell r="C68">
            <v>80</v>
          </cell>
          <cell r="D68">
            <v>49</v>
          </cell>
          <cell r="E68">
            <v>40</v>
          </cell>
        </row>
        <row r="69">
          <cell r="A69" t="str">
            <v>B076MT3BDS</v>
          </cell>
          <cell r="B69">
            <v>0</v>
          </cell>
          <cell r="C69">
            <v>53</v>
          </cell>
          <cell r="D69">
            <v>45</v>
          </cell>
          <cell r="E69">
            <v>49</v>
          </cell>
        </row>
        <row r="70">
          <cell r="A70" t="str">
            <v>B076MVRP3M</v>
          </cell>
          <cell r="B70">
            <v>0</v>
          </cell>
          <cell r="C70">
            <v>82</v>
          </cell>
          <cell r="D70">
            <v>50</v>
          </cell>
          <cell r="E70">
            <v>44</v>
          </cell>
        </row>
        <row r="71">
          <cell r="A71" t="str">
            <v>B076MW1Y4F</v>
          </cell>
          <cell r="B71">
            <v>0</v>
          </cell>
          <cell r="C71">
            <v>91</v>
          </cell>
          <cell r="D71">
            <v>16</v>
          </cell>
          <cell r="E71">
            <v>21</v>
          </cell>
        </row>
        <row r="72">
          <cell r="A72" t="str">
            <v>B076Q79H79</v>
          </cell>
          <cell r="B72">
            <v>0</v>
          </cell>
          <cell r="C72">
            <v>127</v>
          </cell>
          <cell r="D72">
            <v>71</v>
          </cell>
          <cell r="E72">
            <v>12</v>
          </cell>
        </row>
        <row r="73">
          <cell r="A73" t="str">
            <v>B076Q7DCP1</v>
          </cell>
          <cell r="B73">
            <v>0</v>
          </cell>
          <cell r="C73">
            <v>326</v>
          </cell>
          <cell r="D73">
            <v>224</v>
          </cell>
          <cell r="E73">
            <v>26</v>
          </cell>
        </row>
        <row r="74">
          <cell r="A74" t="str">
            <v>B0778B83P8</v>
          </cell>
          <cell r="B74">
            <v>0</v>
          </cell>
          <cell r="C74">
            <v>2</v>
          </cell>
          <cell r="D74">
            <v>2</v>
          </cell>
          <cell r="E74">
            <v>3</v>
          </cell>
        </row>
        <row r="75">
          <cell r="A75" t="str">
            <v>B077HPT67J</v>
          </cell>
          <cell r="B75">
            <v>0</v>
          </cell>
          <cell r="C75">
            <v>7</v>
          </cell>
          <cell r="D75">
            <v>19</v>
          </cell>
          <cell r="E75">
            <v>18</v>
          </cell>
        </row>
        <row r="76">
          <cell r="A76" t="str">
            <v>B077SHDMC8</v>
          </cell>
          <cell r="B76">
            <v>0</v>
          </cell>
          <cell r="C76">
            <v>4</v>
          </cell>
          <cell r="D76">
            <v>1</v>
          </cell>
          <cell r="E76">
            <v>4</v>
          </cell>
        </row>
        <row r="77">
          <cell r="A77" t="str">
            <v>B077SNDT1X</v>
          </cell>
          <cell r="B77">
            <v>0</v>
          </cell>
          <cell r="C77">
            <v>4</v>
          </cell>
          <cell r="D77">
            <v>8</v>
          </cell>
          <cell r="E77">
            <v>6</v>
          </cell>
        </row>
        <row r="78">
          <cell r="A78" t="str">
            <v>B077T29TYP</v>
          </cell>
          <cell r="B78">
            <v>0</v>
          </cell>
          <cell r="C78">
            <v>15</v>
          </cell>
          <cell r="D78">
            <v>19</v>
          </cell>
          <cell r="E78">
            <v>20</v>
          </cell>
        </row>
        <row r="79">
          <cell r="A79" t="str">
            <v>B077VNWLJW</v>
          </cell>
          <cell r="B79">
            <v>0</v>
          </cell>
          <cell r="C79">
            <v>12</v>
          </cell>
          <cell r="D79">
            <v>14</v>
          </cell>
          <cell r="E79">
            <v>14</v>
          </cell>
        </row>
        <row r="80">
          <cell r="A80" t="str">
            <v>B077Z474QH</v>
          </cell>
          <cell r="B80">
            <v>0</v>
          </cell>
          <cell r="C80">
            <v>3</v>
          </cell>
          <cell r="D80">
            <v>6</v>
          </cell>
          <cell r="E80">
            <v>1</v>
          </cell>
        </row>
        <row r="81">
          <cell r="A81" t="str">
            <v>B077Z6B9TS</v>
          </cell>
          <cell r="B81">
            <v>0</v>
          </cell>
          <cell r="C81">
            <v>6</v>
          </cell>
          <cell r="D81">
            <v>3</v>
          </cell>
          <cell r="E81">
            <v>2</v>
          </cell>
        </row>
        <row r="82">
          <cell r="A82" t="str">
            <v>B0784T23ZQ</v>
          </cell>
          <cell r="B82">
            <v>0</v>
          </cell>
          <cell r="C82">
            <v>36</v>
          </cell>
          <cell r="D82">
            <v>14</v>
          </cell>
          <cell r="E82">
            <v>18</v>
          </cell>
        </row>
        <row r="83">
          <cell r="A83" t="str">
            <v>B0785S857P</v>
          </cell>
          <cell r="B83">
            <v>0</v>
          </cell>
          <cell r="C83">
            <v>7</v>
          </cell>
          <cell r="D83">
            <v>5</v>
          </cell>
          <cell r="E83">
            <v>1</v>
          </cell>
        </row>
        <row r="84">
          <cell r="A84" t="str">
            <v>B0788N4FMR</v>
          </cell>
          <cell r="B84">
            <v>0</v>
          </cell>
          <cell r="C84">
            <v>14</v>
          </cell>
          <cell r="D84">
            <v>22</v>
          </cell>
          <cell r="E84">
            <v>9</v>
          </cell>
        </row>
        <row r="85">
          <cell r="A85" t="str">
            <v>B078X5DJLB</v>
          </cell>
          <cell r="B85">
            <v>0</v>
          </cell>
          <cell r="C85">
            <v>8</v>
          </cell>
          <cell r="D85">
            <v>10</v>
          </cell>
          <cell r="E85">
            <v>1</v>
          </cell>
        </row>
        <row r="86">
          <cell r="A86" t="str">
            <v>B078X5DZRT</v>
          </cell>
          <cell r="B86">
            <v>0</v>
          </cell>
          <cell r="C86">
            <v>83</v>
          </cell>
          <cell r="D86">
            <v>108</v>
          </cell>
          <cell r="E86">
            <v>98</v>
          </cell>
        </row>
        <row r="87">
          <cell r="A87" t="str">
            <v>B078X6K4KJ</v>
          </cell>
          <cell r="B87">
            <v>0</v>
          </cell>
          <cell r="C87">
            <v>68</v>
          </cell>
          <cell r="D87">
            <v>21</v>
          </cell>
          <cell r="E87">
            <v>8</v>
          </cell>
        </row>
        <row r="88">
          <cell r="A88" t="str">
            <v>B078XB1WC9</v>
          </cell>
          <cell r="B88">
            <v>0</v>
          </cell>
          <cell r="C88">
            <v>78</v>
          </cell>
          <cell r="D88">
            <v>166</v>
          </cell>
          <cell r="E88">
            <v>26</v>
          </cell>
        </row>
        <row r="89">
          <cell r="A89" t="str">
            <v>B078XBDF6J</v>
          </cell>
          <cell r="B89">
            <v>0</v>
          </cell>
          <cell r="C89">
            <v>112</v>
          </cell>
          <cell r="D89">
            <v>115</v>
          </cell>
          <cell r="E89">
            <v>91</v>
          </cell>
        </row>
        <row r="90">
          <cell r="A90" t="str">
            <v>B078XBY1MZ</v>
          </cell>
          <cell r="B90">
            <v>0</v>
          </cell>
          <cell r="C90">
            <v>142</v>
          </cell>
          <cell r="D90">
            <v>117</v>
          </cell>
          <cell r="E90">
            <v>167</v>
          </cell>
        </row>
        <row r="91">
          <cell r="A91" t="str">
            <v>B078XC1QQQ</v>
          </cell>
          <cell r="B91">
            <v>0</v>
          </cell>
          <cell r="C91">
            <v>21</v>
          </cell>
          <cell r="D91">
            <v>29</v>
          </cell>
          <cell r="E91">
            <v>8</v>
          </cell>
        </row>
        <row r="92">
          <cell r="A92" t="str">
            <v>B078XZR24D</v>
          </cell>
          <cell r="B92">
            <v>0</v>
          </cell>
          <cell r="C92">
            <v>11</v>
          </cell>
          <cell r="D92">
            <v>12</v>
          </cell>
          <cell r="E92">
            <v>9</v>
          </cell>
        </row>
        <row r="93">
          <cell r="A93" t="str">
            <v>B078XZRP4X</v>
          </cell>
          <cell r="B93">
            <v>0</v>
          </cell>
          <cell r="C93">
            <v>12</v>
          </cell>
          <cell r="D93">
            <v>7</v>
          </cell>
          <cell r="E93">
            <v>11</v>
          </cell>
        </row>
        <row r="94">
          <cell r="A94" t="str">
            <v>B078Y8Y5F7</v>
          </cell>
          <cell r="B94">
            <v>0</v>
          </cell>
          <cell r="C94">
            <v>15</v>
          </cell>
          <cell r="D94">
            <v>20</v>
          </cell>
          <cell r="E94">
            <v>32</v>
          </cell>
        </row>
        <row r="95">
          <cell r="A95" t="str">
            <v>B078YMSFZJ</v>
          </cell>
          <cell r="B95">
            <v>0</v>
          </cell>
          <cell r="C95">
            <v>123</v>
          </cell>
          <cell r="D95">
            <v>80</v>
          </cell>
          <cell r="E95">
            <v>4</v>
          </cell>
        </row>
        <row r="96">
          <cell r="A96" t="str">
            <v>B07928926Z</v>
          </cell>
          <cell r="B96">
            <v>0</v>
          </cell>
          <cell r="C96">
            <v>0</v>
          </cell>
          <cell r="D96">
            <v>54</v>
          </cell>
          <cell r="E96">
            <v>79</v>
          </cell>
        </row>
        <row r="97">
          <cell r="A97" t="str">
            <v>B0792PFKL5</v>
          </cell>
          <cell r="B97">
            <v>0</v>
          </cell>
          <cell r="C97">
            <v>3</v>
          </cell>
          <cell r="D97">
            <v>11</v>
          </cell>
          <cell r="E97">
            <v>19</v>
          </cell>
        </row>
        <row r="98">
          <cell r="A98" t="str">
            <v>B0792VHP6W</v>
          </cell>
          <cell r="B98">
            <v>0</v>
          </cell>
          <cell r="C98">
            <v>16</v>
          </cell>
          <cell r="D98">
            <v>13</v>
          </cell>
          <cell r="E98">
            <v>22</v>
          </cell>
        </row>
        <row r="99">
          <cell r="A99" t="str">
            <v>B0792VK5C4</v>
          </cell>
          <cell r="B99">
            <v>0</v>
          </cell>
          <cell r="C99">
            <v>3</v>
          </cell>
          <cell r="D99">
            <v>5</v>
          </cell>
          <cell r="E99">
            <v>15</v>
          </cell>
        </row>
        <row r="100">
          <cell r="A100" t="str">
            <v>B0793QLQ3Z</v>
          </cell>
          <cell r="B100">
            <v>0</v>
          </cell>
          <cell r="C100">
            <v>28</v>
          </cell>
          <cell r="D100">
            <v>48</v>
          </cell>
          <cell r="E100">
            <v>44</v>
          </cell>
        </row>
        <row r="101">
          <cell r="A101" t="str">
            <v>B0793RG3PM</v>
          </cell>
          <cell r="B101">
            <v>0</v>
          </cell>
          <cell r="C101">
            <v>24</v>
          </cell>
          <cell r="D101">
            <v>22</v>
          </cell>
          <cell r="E101">
            <v>18</v>
          </cell>
        </row>
        <row r="102">
          <cell r="A102" t="str">
            <v>B0794XFL8V</v>
          </cell>
          <cell r="B102">
            <v>0</v>
          </cell>
          <cell r="C102">
            <v>26</v>
          </cell>
          <cell r="D102">
            <v>22</v>
          </cell>
          <cell r="E102">
            <v>35</v>
          </cell>
        </row>
        <row r="103">
          <cell r="A103" t="str">
            <v>B0794Z23LW</v>
          </cell>
          <cell r="B103">
            <v>0</v>
          </cell>
          <cell r="C103">
            <v>34</v>
          </cell>
          <cell r="D103">
            <v>54</v>
          </cell>
          <cell r="E103">
            <v>106</v>
          </cell>
        </row>
        <row r="104">
          <cell r="A104" t="str">
            <v>B0795117ZD</v>
          </cell>
          <cell r="B104">
            <v>0</v>
          </cell>
          <cell r="C104">
            <v>63</v>
          </cell>
          <cell r="D104">
            <v>37</v>
          </cell>
          <cell r="E104">
            <v>40</v>
          </cell>
        </row>
        <row r="105">
          <cell r="A105" t="str">
            <v>B079513H1Q</v>
          </cell>
          <cell r="B105">
            <v>0</v>
          </cell>
          <cell r="C105">
            <v>2</v>
          </cell>
          <cell r="D105">
            <v>8</v>
          </cell>
          <cell r="E105">
            <v>5</v>
          </cell>
        </row>
        <row r="106">
          <cell r="A106" t="str">
            <v>B0795D6KPS</v>
          </cell>
          <cell r="B106">
            <v>0</v>
          </cell>
          <cell r="C106">
            <v>5</v>
          </cell>
          <cell r="D106">
            <v>9</v>
          </cell>
          <cell r="E106">
            <v>7</v>
          </cell>
        </row>
        <row r="107">
          <cell r="A107" t="str">
            <v>B0795M2NML</v>
          </cell>
          <cell r="B107">
            <v>0</v>
          </cell>
          <cell r="C107">
            <v>57</v>
          </cell>
          <cell r="D107">
            <v>56</v>
          </cell>
          <cell r="E107">
            <v>39</v>
          </cell>
        </row>
        <row r="108">
          <cell r="A108" t="str">
            <v>B0795M8ZGB</v>
          </cell>
          <cell r="B108">
            <v>0</v>
          </cell>
          <cell r="C108">
            <v>4</v>
          </cell>
          <cell r="D108">
            <v>10</v>
          </cell>
          <cell r="E108">
            <v>22</v>
          </cell>
        </row>
        <row r="109">
          <cell r="A109" t="str">
            <v>B0795QK1TP</v>
          </cell>
          <cell r="B109">
            <v>0</v>
          </cell>
          <cell r="C109">
            <v>6</v>
          </cell>
          <cell r="D109">
            <v>5</v>
          </cell>
          <cell r="E109">
            <v>1</v>
          </cell>
        </row>
        <row r="110">
          <cell r="A110" t="str">
            <v>B0795VRN2N</v>
          </cell>
          <cell r="B110">
            <v>0</v>
          </cell>
          <cell r="C110">
            <v>6</v>
          </cell>
          <cell r="D110">
            <v>13</v>
          </cell>
          <cell r="E110">
            <v>6</v>
          </cell>
        </row>
        <row r="111">
          <cell r="A111" t="str">
            <v>B079DRCQ6B</v>
          </cell>
          <cell r="B111">
            <v>0</v>
          </cell>
          <cell r="C111">
            <v>54</v>
          </cell>
          <cell r="D111">
            <v>70</v>
          </cell>
          <cell r="E111">
            <v>30</v>
          </cell>
        </row>
        <row r="112">
          <cell r="A112" t="str">
            <v>B079JQDDN7</v>
          </cell>
          <cell r="B112">
            <v>0</v>
          </cell>
          <cell r="C112">
            <v>82</v>
          </cell>
          <cell r="D112">
            <v>115</v>
          </cell>
          <cell r="E112">
            <v>23</v>
          </cell>
        </row>
        <row r="113">
          <cell r="A113" t="str">
            <v>B079JQGCBR</v>
          </cell>
          <cell r="B113">
            <v>0</v>
          </cell>
          <cell r="C113">
            <v>5</v>
          </cell>
          <cell r="D113">
            <v>6</v>
          </cell>
          <cell r="E113">
            <v>1</v>
          </cell>
        </row>
        <row r="114">
          <cell r="A114" t="str">
            <v>B079JRG1TM</v>
          </cell>
          <cell r="B114">
            <v>0</v>
          </cell>
          <cell r="C114">
            <v>17</v>
          </cell>
          <cell r="D114">
            <v>6</v>
          </cell>
          <cell r="E114">
            <v>7</v>
          </cell>
        </row>
        <row r="115">
          <cell r="A115" t="str">
            <v>B079NSK8NL</v>
          </cell>
          <cell r="B115">
            <v>0</v>
          </cell>
          <cell r="C115">
            <v>2</v>
          </cell>
          <cell r="D115">
            <v>3</v>
          </cell>
          <cell r="E115">
            <v>3</v>
          </cell>
        </row>
        <row r="116">
          <cell r="A116" t="str">
            <v>B079NW9791</v>
          </cell>
          <cell r="B116">
            <v>0</v>
          </cell>
          <cell r="C116">
            <v>42</v>
          </cell>
          <cell r="D116">
            <v>36</v>
          </cell>
          <cell r="E116">
            <v>16</v>
          </cell>
        </row>
        <row r="117">
          <cell r="A117" t="str">
            <v>B079NY4PYK</v>
          </cell>
          <cell r="B117">
            <v>0</v>
          </cell>
          <cell r="C117">
            <v>4</v>
          </cell>
          <cell r="D117">
            <v>10</v>
          </cell>
          <cell r="E117">
            <v>1</v>
          </cell>
        </row>
        <row r="118">
          <cell r="A118" t="str">
            <v>B079P24VZF</v>
          </cell>
          <cell r="B118">
            <v>0</v>
          </cell>
          <cell r="C118">
            <v>5</v>
          </cell>
          <cell r="D118">
            <v>6</v>
          </cell>
          <cell r="E118">
            <v>4</v>
          </cell>
        </row>
        <row r="119">
          <cell r="A119" t="str">
            <v>B079P28VV3</v>
          </cell>
          <cell r="B119">
            <v>0</v>
          </cell>
          <cell r="C119">
            <v>7</v>
          </cell>
          <cell r="D119">
            <v>6</v>
          </cell>
          <cell r="E119">
            <v>12</v>
          </cell>
        </row>
        <row r="120">
          <cell r="A120" t="str">
            <v>B079P55XYW</v>
          </cell>
          <cell r="B120">
            <v>0</v>
          </cell>
          <cell r="C120">
            <v>37</v>
          </cell>
          <cell r="D120">
            <v>29</v>
          </cell>
          <cell r="E120">
            <v>13</v>
          </cell>
        </row>
        <row r="121">
          <cell r="A121" t="str">
            <v>B07B94LQJR</v>
          </cell>
          <cell r="B121">
            <v>0</v>
          </cell>
          <cell r="C121">
            <v>27</v>
          </cell>
          <cell r="D121">
            <v>35</v>
          </cell>
          <cell r="E121">
            <v>23</v>
          </cell>
        </row>
        <row r="122">
          <cell r="A122" t="str">
            <v>B07B9Q9YNG</v>
          </cell>
          <cell r="B122">
            <v>0</v>
          </cell>
          <cell r="C122">
            <v>69</v>
          </cell>
          <cell r="D122">
            <v>56</v>
          </cell>
          <cell r="E122">
            <v>60</v>
          </cell>
        </row>
        <row r="123">
          <cell r="A123" t="str">
            <v>B07BFVF3GM</v>
          </cell>
          <cell r="B123">
            <v>0</v>
          </cell>
          <cell r="C123">
            <v>10</v>
          </cell>
          <cell r="D123">
            <v>20</v>
          </cell>
          <cell r="E123">
            <v>11</v>
          </cell>
        </row>
        <row r="124">
          <cell r="A124" t="str">
            <v>B07BFVXKTL</v>
          </cell>
          <cell r="B124">
            <v>0</v>
          </cell>
          <cell r="C124">
            <v>12</v>
          </cell>
          <cell r="D124">
            <v>15</v>
          </cell>
          <cell r="E124">
            <v>9</v>
          </cell>
        </row>
        <row r="125">
          <cell r="A125" t="str">
            <v>B07BFVXXX8</v>
          </cell>
          <cell r="B125">
            <v>0</v>
          </cell>
          <cell r="C125">
            <v>19</v>
          </cell>
          <cell r="D125">
            <v>23</v>
          </cell>
          <cell r="E125">
            <v>10</v>
          </cell>
        </row>
        <row r="126">
          <cell r="A126" t="str">
            <v>B07BLRH5BR</v>
          </cell>
          <cell r="B126">
            <v>0</v>
          </cell>
          <cell r="C126">
            <v>76</v>
          </cell>
          <cell r="D126">
            <v>42</v>
          </cell>
          <cell r="E126">
            <v>39</v>
          </cell>
        </row>
        <row r="127">
          <cell r="A127" t="str">
            <v>B07BLRWT2V</v>
          </cell>
          <cell r="B127">
            <v>0</v>
          </cell>
          <cell r="C127">
            <v>68</v>
          </cell>
          <cell r="D127">
            <v>88</v>
          </cell>
          <cell r="E127">
            <v>48</v>
          </cell>
        </row>
        <row r="128">
          <cell r="A128" t="str">
            <v>B07BLTPG2G</v>
          </cell>
          <cell r="B128">
            <v>0</v>
          </cell>
          <cell r="C128">
            <v>3</v>
          </cell>
          <cell r="D128">
            <v>3</v>
          </cell>
          <cell r="E128">
            <v>2</v>
          </cell>
        </row>
        <row r="129">
          <cell r="A129" t="str">
            <v>B07BLVB7FH</v>
          </cell>
          <cell r="B129">
            <v>0</v>
          </cell>
          <cell r="C129">
            <v>5</v>
          </cell>
          <cell r="D129">
            <v>3</v>
          </cell>
          <cell r="E129">
            <v>2</v>
          </cell>
        </row>
        <row r="130">
          <cell r="A130" t="str">
            <v>B07BSC5Q33</v>
          </cell>
          <cell r="B130">
            <v>0</v>
          </cell>
          <cell r="C130">
            <v>10</v>
          </cell>
          <cell r="D130">
            <v>6</v>
          </cell>
          <cell r="E130">
            <v>7</v>
          </cell>
        </row>
        <row r="131">
          <cell r="A131" t="str">
            <v>B07BSFP5QZ</v>
          </cell>
          <cell r="B131">
            <v>0</v>
          </cell>
          <cell r="C131">
            <v>13</v>
          </cell>
          <cell r="D131">
            <v>9</v>
          </cell>
          <cell r="E131">
            <v>4</v>
          </cell>
        </row>
        <row r="132">
          <cell r="A132" t="str">
            <v>B07BSN65PZ</v>
          </cell>
          <cell r="B132">
            <v>0</v>
          </cell>
          <cell r="C132">
            <v>48</v>
          </cell>
          <cell r="D132">
            <v>49</v>
          </cell>
          <cell r="E132">
            <v>64</v>
          </cell>
        </row>
        <row r="133">
          <cell r="A133" t="str">
            <v>B07CM347WF</v>
          </cell>
          <cell r="B133">
            <v>0</v>
          </cell>
          <cell r="C133">
            <v>124</v>
          </cell>
          <cell r="D133">
            <v>129</v>
          </cell>
          <cell r="E133">
            <v>147</v>
          </cell>
        </row>
        <row r="134">
          <cell r="A134" t="str">
            <v>B07CM67KDW</v>
          </cell>
          <cell r="B134">
            <v>0</v>
          </cell>
          <cell r="C134">
            <v>40</v>
          </cell>
          <cell r="D134">
            <v>37</v>
          </cell>
          <cell r="E134">
            <v>27</v>
          </cell>
        </row>
        <row r="135">
          <cell r="A135" t="str">
            <v>B07CN274MC</v>
          </cell>
          <cell r="B135">
            <v>0</v>
          </cell>
          <cell r="C135">
            <v>0</v>
          </cell>
          <cell r="D135">
            <v>31</v>
          </cell>
          <cell r="E135">
            <v>80</v>
          </cell>
        </row>
        <row r="136">
          <cell r="A136" t="str">
            <v>B07CN4J157</v>
          </cell>
          <cell r="B136">
            <v>0</v>
          </cell>
          <cell r="C136">
            <v>20</v>
          </cell>
          <cell r="D136">
            <v>33</v>
          </cell>
          <cell r="E136">
            <v>16</v>
          </cell>
        </row>
        <row r="137">
          <cell r="A137" t="str">
            <v>B07D4D6Q9C</v>
          </cell>
          <cell r="B137">
            <v>0</v>
          </cell>
          <cell r="C137">
            <v>0</v>
          </cell>
          <cell r="D137">
            <v>3</v>
          </cell>
          <cell r="E137">
            <v>6</v>
          </cell>
        </row>
        <row r="138">
          <cell r="A138" t="str">
            <v>B07D4DC72D</v>
          </cell>
          <cell r="B138">
            <v>0</v>
          </cell>
          <cell r="C138">
            <v>9</v>
          </cell>
          <cell r="D138">
            <v>0</v>
          </cell>
          <cell r="E138">
            <v>0</v>
          </cell>
        </row>
        <row r="139">
          <cell r="A139" t="str">
            <v>B07D4DDT41</v>
          </cell>
          <cell r="B139">
            <v>0</v>
          </cell>
          <cell r="C139">
            <v>6</v>
          </cell>
          <cell r="D139">
            <v>10</v>
          </cell>
          <cell r="E139">
            <v>8</v>
          </cell>
        </row>
        <row r="140">
          <cell r="A140" t="str">
            <v>B079DPVXXZ</v>
          </cell>
          <cell r="B140">
            <v>0</v>
          </cell>
          <cell r="C140">
            <v>2</v>
          </cell>
          <cell r="D140">
            <v>1</v>
          </cell>
          <cell r="E140">
            <v>1</v>
          </cell>
        </row>
        <row r="141">
          <cell r="A141" t="str">
            <v>B079JQ6R99</v>
          </cell>
          <cell r="B141">
            <v>0</v>
          </cell>
          <cell r="C141">
            <v>194</v>
          </cell>
          <cell r="D141">
            <v>68</v>
          </cell>
          <cell r="E141">
            <v>2</v>
          </cell>
        </row>
        <row r="142">
          <cell r="A142" t="str">
            <v>B079JXQJSM</v>
          </cell>
          <cell r="B142">
            <v>0</v>
          </cell>
          <cell r="C142">
            <v>203</v>
          </cell>
          <cell r="D142">
            <v>122</v>
          </cell>
          <cell r="E142">
            <v>1</v>
          </cell>
        </row>
        <row r="143">
          <cell r="A143" t="str">
            <v>B079NWXG5Z</v>
          </cell>
          <cell r="B143">
            <v>0</v>
          </cell>
          <cell r="C143">
            <v>2</v>
          </cell>
          <cell r="D143">
            <v>8</v>
          </cell>
          <cell r="E143">
            <v>4</v>
          </cell>
        </row>
        <row r="144">
          <cell r="A144" t="str">
            <v>B07B9C9WPT</v>
          </cell>
          <cell r="B144">
            <v>0</v>
          </cell>
          <cell r="C144">
            <v>1</v>
          </cell>
          <cell r="D144">
            <v>2</v>
          </cell>
          <cell r="E144">
            <v>2</v>
          </cell>
        </row>
        <row r="145">
          <cell r="A145" t="str">
            <v>B07D4D4876</v>
          </cell>
          <cell r="B145">
            <v>0</v>
          </cell>
          <cell r="C145">
            <v>4</v>
          </cell>
          <cell r="D145">
            <v>5</v>
          </cell>
          <cell r="E145">
            <v>2</v>
          </cell>
        </row>
        <row r="146">
          <cell r="A146" t="str">
            <v>B07CM52CNC</v>
          </cell>
          <cell r="B146">
            <v>0</v>
          </cell>
          <cell r="C146">
            <v>0</v>
          </cell>
          <cell r="D146">
            <v>2</v>
          </cell>
          <cell r="E146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1183.59</v>
          </cell>
        </row>
        <row r="3">
          <cell r="G3">
            <v>1378.11</v>
          </cell>
        </row>
        <row r="3">
          <cell r="J3">
            <v>1360.13</v>
          </cell>
        </row>
        <row r="3">
          <cell r="M3">
            <v>1296.83</v>
          </cell>
        </row>
        <row r="4">
          <cell r="A4" t="str">
            <v>DOLL-1613-PI-22</v>
          </cell>
          <cell r="B4">
            <v>353</v>
          </cell>
          <cell r="C4">
            <v>2</v>
          </cell>
          <cell r="D4">
            <v>0.23</v>
          </cell>
          <cell r="E4">
            <v>1211</v>
          </cell>
          <cell r="F4">
            <v>6</v>
          </cell>
          <cell r="G4">
            <v>0.59</v>
          </cell>
          <cell r="H4">
            <v>1941</v>
          </cell>
          <cell r="I4">
            <v>4</v>
          </cell>
          <cell r="J4">
            <v>0.68</v>
          </cell>
          <cell r="K4">
            <v>1778</v>
          </cell>
          <cell r="L4">
            <v>7</v>
          </cell>
          <cell r="M4">
            <v>1.03</v>
          </cell>
        </row>
        <row r="5">
          <cell r="A5" t="str">
            <v>DOLL-1613-LB-11</v>
          </cell>
          <cell r="B5">
            <v>7436</v>
          </cell>
          <cell r="C5">
            <v>96</v>
          </cell>
          <cell r="D5">
            <v>17.15</v>
          </cell>
          <cell r="E5">
            <v>9732</v>
          </cell>
          <cell r="F5">
            <v>96</v>
          </cell>
          <cell r="G5">
            <v>16.13</v>
          </cell>
          <cell r="H5">
            <v>6685</v>
          </cell>
          <cell r="I5">
            <v>71</v>
          </cell>
          <cell r="J5">
            <v>11.27</v>
          </cell>
          <cell r="K5">
            <v>4191</v>
          </cell>
          <cell r="L5">
            <v>27</v>
          </cell>
          <cell r="M5">
            <v>4.26</v>
          </cell>
        </row>
        <row r="6">
          <cell r="A6" t="str">
            <v>DOLL-1613-LB-22</v>
          </cell>
          <cell r="B6">
            <v>0</v>
          </cell>
          <cell r="C6">
            <v>0</v>
          </cell>
          <cell r="D6">
            <v>0</v>
          </cell>
          <cell r="E6">
            <v>30</v>
          </cell>
          <cell r="F6">
            <v>0</v>
          </cell>
          <cell r="G6">
            <v>0</v>
          </cell>
          <cell r="H6">
            <v>152</v>
          </cell>
          <cell r="I6">
            <v>0</v>
          </cell>
          <cell r="J6">
            <v>0</v>
          </cell>
          <cell r="K6">
            <v>145</v>
          </cell>
          <cell r="L6">
            <v>0</v>
          </cell>
          <cell r="M6">
            <v>0</v>
          </cell>
        </row>
        <row r="7">
          <cell r="A7" t="str">
            <v>DO-YULQ161-PI-22</v>
          </cell>
          <cell r="B7">
            <v>37334</v>
          </cell>
          <cell r="C7">
            <v>129</v>
          </cell>
          <cell r="D7">
            <v>21.16</v>
          </cell>
          <cell r="E7">
            <v>36453</v>
          </cell>
          <cell r="F7">
            <v>138</v>
          </cell>
          <cell r="G7">
            <v>21.92</v>
          </cell>
          <cell r="H7">
            <v>55325</v>
          </cell>
          <cell r="I7">
            <v>215</v>
          </cell>
          <cell r="J7">
            <v>34.37</v>
          </cell>
          <cell r="K7">
            <v>47428</v>
          </cell>
          <cell r="L7">
            <v>183</v>
          </cell>
          <cell r="M7">
            <v>28.85</v>
          </cell>
        </row>
        <row r="8">
          <cell r="A8" t="str">
            <v>DO-YULQ001-PI-22</v>
          </cell>
          <cell r="B8">
            <v>121521</v>
          </cell>
          <cell r="C8">
            <v>679</v>
          </cell>
          <cell r="D8">
            <v>111.47</v>
          </cell>
          <cell r="E8">
            <v>133645</v>
          </cell>
          <cell r="F8">
            <v>816</v>
          </cell>
          <cell r="G8">
            <v>130.78</v>
          </cell>
          <cell r="H8">
            <v>124021</v>
          </cell>
          <cell r="I8">
            <v>792</v>
          </cell>
          <cell r="J8">
            <v>124.98</v>
          </cell>
          <cell r="K8">
            <v>97349</v>
          </cell>
          <cell r="L8">
            <v>722</v>
          </cell>
          <cell r="M8">
            <v>120.58</v>
          </cell>
        </row>
        <row r="9">
          <cell r="A9" t="str">
            <v>DOLL-010-PI-22</v>
          </cell>
          <cell r="B9">
            <v>45908</v>
          </cell>
          <cell r="C9">
            <v>267</v>
          </cell>
          <cell r="D9">
            <v>35.53</v>
          </cell>
          <cell r="E9">
            <v>61140</v>
          </cell>
          <cell r="F9">
            <v>390</v>
          </cell>
          <cell r="G9">
            <v>54.45</v>
          </cell>
          <cell r="H9">
            <v>54356</v>
          </cell>
          <cell r="I9">
            <v>386</v>
          </cell>
          <cell r="J9">
            <v>55.08</v>
          </cell>
          <cell r="K9">
            <v>51386</v>
          </cell>
          <cell r="L9">
            <v>355</v>
          </cell>
          <cell r="M9">
            <v>52.1</v>
          </cell>
        </row>
        <row r="10">
          <cell r="A10" t="str">
            <v>DOLL-0605-PI-22</v>
          </cell>
          <cell r="B10">
            <v>100057</v>
          </cell>
          <cell r="C10">
            <v>502</v>
          </cell>
          <cell r="D10">
            <v>69.96</v>
          </cell>
          <cell r="E10">
            <v>114056</v>
          </cell>
          <cell r="F10">
            <v>650</v>
          </cell>
          <cell r="G10">
            <v>90.23</v>
          </cell>
          <cell r="H10">
            <v>90404</v>
          </cell>
          <cell r="I10">
            <v>575</v>
          </cell>
          <cell r="J10">
            <v>81.29</v>
          </cell>
          <cell r="K10">
            <v>88684</v>
          </cell>
          <cell r="L10">
            <v>558</v>
          </cell>
          <cell r="M10">
            <v>77.77</v>
          </cell>
        </row>
        <row r="11">
          <cell r="A11" t="str">
            <v>DOLL-020-PI-22</v>
          </cell>
          <cell r="B11">
            <v>30176</v>
          </cell>
          <cell r="C11">
            <v>266</v>
          </cell>
          <cell r="D11">
            <v>37.47</v>
          </cell>
          <cell r="E11">
            <v>38382</v>
          </cell>
          <cell r="F11">
            <v>359</v>
          </cell>
          <cell r="G11">
            <v>48.67</v>
          </cell>
          <cell r="H11">
            <v>48403</v>
          </cell>
          <cell r="I11">
            <v>440</v>
          </cell>
          <cell r="J11">
            <v>61.77</v>
          </cell>
          <cell r="K11">
            <v>45702</v>
          </cell>
          <cell r="L11">
            <v>496</v>
          </cell>
          <cell r="M11">
            <v>69.7</v>
          </cell>
        </row>
        <row r="12">
          <cell r="A12" t="str">
            <v>DO-YULQ100-B7-22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78189</v>
          </cell>
          <cell r="I12">
            <v>498</v>
          </cell>
          <cell r="J12">
            <v>61.21</v>
          </cell>
          <cell r="K12">
            <v>130413</v>
          </cell>
          <cell r="L12">
            <v>975</v>
          </cell>
          <cell r="M12">
            <v>120.02</v>
          </cell>
        </row>
        <row r="13">
          <cell r="A13" t="str">
            <v>DO-YULQ152-B7-22</v>
          </cell>
          <cell r="B13">
            <v>4074</v>
          </cell>
          <cell r="C13">
            <v>23</v>
          </cell>
          <cell r="D13">
            <v>2.69</v>
          </cell>
          <cell r="E13">
            <v>2760</v>
          </cell>
          <cell r="F13">
            <v>11</v>
          </cell>
          <cell r="G13">
            <v>1.38</v>
          </cell>
          <cell r="H13">
            <v>3351</v>
          </cell>
          <cell r="I13">
            <v>23</v>
          </cell>
          <cell r="J13">
            <v>2.79</v>
          </cell>
          <cell r="K13">
            <v>2159</v>
          </cell>
          <cell r="L13">
            <v>10</v>
          </cell>
          <cell r="M13">
            <v>1.32</v>
          </cell>
        </row>
        <row r="14">
          <cell r="A14" t="str">
            <v>DOLL-0630-PI-22</v>
          </cell>
          <cell r="B14">
            <v>37826</v>
          </cell>
          <cell r="C14">
            <v>188</v>
          </cell>
          <cell r="D14">
            <v>25.34</v>
          </cell>
          <cell r="E14">
            <v>52332</v>
          </cell>
          <cell r="F14">
            <v>262</v>
          </cell>
          <cell r="G14">
            <v>34.94</v>
          </cell>
          <cell r="H14">
            <v>59869</v>
          </cell>
          <cell r="I14">
            <v>307</v>
          </cell>
          <cell r="J14">
            <v>40.47</v>
          </cell>
          <cell r="K14">
            <v>51301</v>
          </cell>
          <cell r="L14">
            <v>334</v>
          </cell>
          <cell r="M14">
            <v>42.97</v>
          </cell>
        </row>
        <row r="15">
          <cell r="A15" t="str">
            <v>DO-YULQ006-B7-10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11323</v>
          </cell>
          <cell r="I15">
            <v>62</v>
          </cell>
          <cell r="J15">
            <v>8.39</v>
          </cell>
          <cell r="K15">
            <v>19186</v>
          </cell>
          <cell r="L15">
            <v>108</v>
          </cell>
          <cell r="M15">
            <v>14.09</v>
          </cell>
        </row>
        <row r="16">
          <cell r="A16" t="str">
            <v>DOLL-008-W0-22</v>
          </cell>
          <cell r="B16">
            <v>20591</v>
          </cell>
          <cell r="C16">
            <v>225</v>
          </cell>
          <cell r="D16">
            <v>29.26</v>
          </cell>
          <cell r="E16">
            <v>8072</v>
          </cell>
          <cell r="F16">
            <v>61</v>
          </cell>
          <cell r="G16">
            <v>8.21</v>
          </cell>
          <cell r="H16">
            <v>24646</v>
          </cell>
          <cell r="I16">
            <v>235</v>
          </cell>
          <cell r="J16">
            <v>30.51</v>
          </cell>
          <cell r="K16">
            <v>15828</v>
          </cell>
          <cell r="L16">
            <v>176</v>
          </cell>
          <cell r="M16">
            <v>23.95</v>
          </cell>
        </row>
        <row r="17">
          <cell r="A17" t="str">
            <v>DO-YULQ610-R2-22</v>
          </cell>
          <cell r="B17">
            <v>65749</v>
          </cell>
          <cell r="C17">
            <v>391</v>
          </cell>
          <cell r="D17">
            <v>55.45</v>
          </cell>
          <cell r="E17">
            <v>19177</v>
          </cell>
          <cell r="F17">
            <v>127</v>
          </cell>
          <cell r="G17">
            <v>18.35</v>
          </cell>
          <cell r="H17">
            <v>53141</v>
          </cell>
          <cell r="I17">
            <v>374</v>
          </cell>
          <cell r="J17">
            <v>50.48</v>
          </cell>
          <cell r="K17">
            <v>22105</v>
          </cell>
          <cell r="L17">
            <v>134</v>
          </cell>
          <cell r="M17">
            <v>19.68</v>
          </cell>
        </row>
        <row r="18">
          <cell r="A18" t="str">
            <v>DO-YULQ230-PI-16</v>
          </cell>
          <cell r="B18">
            <v>41794</v>
          </cell>
          <cell r="C18">
            <v>164</v>
          </cell>
          <cell r="D18">
            <v>28.21</v>
          </cell>
          <cell r="E18">
            <v>98217</v>
          </cell>
          <cell r="F18">
            <v>269</v>
          </cell>
          <cell r="G18">
            <v>58.3</v>
          </cell>
          <cell r="H18">
            <v>99016</v>
          </cell>
          <cell r="I18">
            <v>271</v>
          </cell>
          <cell r="J18">
            <v>57.72</v>
          </cell>
          <cell r="K18">
            <v>84480</v>
          </cell>
          <cell r="L18">
            <v>203</v>
          </cell>
          <cell r="M18">
            <v>42.77</v>
          </cell>
        </row>
        <row r="19">
          <cell r="A19" t="str">
            <v>DO-YULQ153-B7-22</v>
          </cell>
          <cell r="B19">
            <v>7031</v>
          </cell>
          <cell r="C19">
            <v>61</v>
          </cell>
          <cell r="D19">
            <v>8.23</v>
          </cell>
          <cell r="E19">
            <v>8266</v>
          </cell>
          <cell r="F19">
            <v>53</v>
          </cell>
          <cell r="G19">
            <v>6.96</v>
          </cell>
          <cell r="H19">
            <v>10481</v>
          </cell>
          <cell r="I19">
            <v>88</v>
          </cell>
          <cell r="J19">
            <v>10.63</v>
          </cell>
          <cell r="K19">
            <v>6295</v>
          </cell>
          <cell r="L19">
            <v>48</v>
          </cell>
          <cell r="M19">
            <v>5.84</v>
          </cell>
        </row>
        <row r="20">
          <cell r="A20" t="str">
            <v>DO-YULQ638-LGR-20</v>
          </cell>
          <cell r="B20">
            <v>0</v>
          </cell>
          <cell r="C20">
            <v>0</v>
          </cell>
          <cell r="D20">
            <v>0</v>
          </cell>
          <cell r="E20">
            <v>2</v>
          </cell>
          <cell r="F20">
            <v>0</v>
          </cell>
          <cell r="G20">
            <v>0</v>
          </cell>
          <cell r="H20">
            <v>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DOLL-1630-R0-22</v>
          </cell>
          <cell r="B21">
            <v>1</v>
          </cell>
          <cell r="C21">
            <v>0</v>
          </cell>
          <cell r="D21">
            <v>0</v>
          </cell>
          <cell r="E21">
            <v>5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2</v>
          </cell>
          <cell r="L21">
            <v>0</v>
          </cell>
          <cell r="M21">
            <v>0</v>
          </cell>
        </row>
        <row r="22">
          <cell r="A22" t="str">
            <v>DO-YULQ639-R2-22</v>
          </cell>
          <cell r="B22">
            <v>0</v>
          </cell>
          <cell r="C22">
            <v>0</v>
          </cell>
          <cell r="D22">
            <v>0</v>
          </cell>
          <cell r="E22">
            <v>6</v>
          </cell>
          <cell r="F22">
            <v>0</v>
          </cell>
          <cell r="G22">
            <v>0</v>
          </cell>
          <cell r="H22">
            <v>3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DO-YULQ010-P0-22</v>
          </cell>
          <cell r="B23">
            <v>37724</v>
          </cell>
          <cell r="C23">
            <v>260</v>
          </cell>
          <cell r="D23">
            <v>35.66</v>
          </cell>
          <cell r="E23">
            <v>26308</v>
          </cell>
          <cell r="F23">
            <v>244</v>
          </cell>
          <cell r="G23">
            <v>33.78</v>
          </cell>
          <cell r="H23">
            <v>50849</v>
          </cell>
          <cell r="I23">
            <v>298</v>
          </cell>
          <cell r="J23">
            <v>40.38</v>
          </cell>
          <cell r="K23">
            <v>45115</v>
          </cell>
          <cell r="L23">
            <v>234</v>
          </cell>
          <cell r="M23">
            <v>32.02</v>
          </cell>
        </row>
        <row r="24">
          <cell r="A24" t="str">
            <v>DO-YULQ011-NZ-22</v>
          </cell>
          <cell r="B24">
            <v>12201</v>
          </cell>
          <cell r="C24">
            <v>35</v>
          </cell>
          <cell r="D24">
            <v>4.87</v>
          </cell>
          <cell r="E24">
            <v>13497</v>
          </cell>
          <cell r="F24">
            <v>35</v>
          </cell>
          <cell r="G24">
            <v>5.1</v>
          </cell>
          <cell r="H24">
            <v>20461</v>
          </cell>
          <cell r="I24">
            <v>58</v>
          </cell>
          <cell r="J24">
            <v>7.74</v>
          </cell>
          <cell r="K24">
            <v>19081</v>
          </cell>
          <cell r="L24">
            <v>56</v>
          </cell>
          <cell r="M24">
            <v>7.74</v>
          </cell>
        </row>
        <row r="25">
          <cell r="A25" t="str">
            <v>DO-YULQ158-W0-22</v>
          </cell>
          <cell r="B25">
            <v>7694</v>
          </cell>
          <cell r="C25">
            <v>66</v>
          </cell>
          <cell r="D25">
            <v>9.51</v>
          </cell>
          <cell r="E25">
            <v>0</v>
          </cell>
          <cell r="F25">
            <v>0</v>
          </cell>
          <cell r="G25">
            <v>0</v>
          </cell>
          <cell r="H25">
            <v>1432</v>
          </cell>
          <cell r="I25">
            <v>14</v>
          </cell>
          <cell r="J25">
            <v>2.18</v>
          </cell>
          <cell r="K25">
            <v>2107</v>
          </cell>
          <cell r="L25">
            <v>21</v>
          </cell>
          <cell r="M25">
            <v>2.9</v>
          </cell>
        </row>
        <row r="26">
          <cell r="A26" t="str">
            <v>DO-YULQ638-PI-20</v>
          </cell>
          <cell r="B26">
            <v>5</v>
          </cell>
          <cell r="C26">
            <v>0</v>
          </cell>
          <cell r="D26">
            <v>0</v>
          </cell>
          <cell r="E26">
            <v>10</v>
          </cell>
          <cell r="F26">
            <v>1</v>
          </cell>
          <cell r="G26">
            <v>0.33</v>
          </cell>
          <cell r="H26">
            <v>10</v>
          </cell>
          <cell r="I26">
            <v>0</v>
          </cell>
          <cell r="J26">
            <v>0</v>
          </cell>
          <cell r="K26">
            <v>7</v>
          </cell>
          <cell r="L26">
            <v>0</v>
          </cell>
          <cell r="M26">
            <v>0</v>
          </cell>
        </row>
        <row r="27">
          <cell r="A27" t="str">
            <v>DOLL-004-PI-10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178</v>
          </cell>
          <cell r="L27">
            <v>0</v>
          </cell>
          <cell r="M27">
            <v>0</v>
          </cell>
        </row>
        <row r="28">
          <cell r="A28" t="str">
            <v>DOLL-AD011-PI-22</v>
          </cell>
          <cell r="B28">
            <v>24189</v>
          </cell>
          <cell r="C28">
            <v>135</v>
          </cell>
          <cell r="D28">
            <v>20.65</v>
          </cell>
          <cell r="E28">
            <v>30268</v>
          </cell>
          <cell r="F28">
            <v>208</v>
          </cell>
          <cell r="G28">
            <v>28.87</v>
          </cell>
          <cell r="H28">
            <v>25914</v>
          </cell>
          <cell r="I28">
            <v>192</v>
          </cell>
          <cell r="J28">
            <v>26.13</v>
          </cell>
          <cell r="K28">
            <v>21913</v>
          </cell>
          <cell r="L28">
            <v>193</v>
          </cell>
          <cell r="M28">
            <v>25.9</v>
          </cell>
        </row>
        <row r="29">
          <cell r="A29" t="str">
            <v>DO-YULQ157-W0-22</v>
          </cell>
          <cell r="B29">
            <v>753</v>
          </cell>
          <cell r="C29">
            <v>8</v>
          </cell>
          <cell r="D29">
            <v>1.36</v>
          </cell>
          <cell r="E29">
            <v>5972</v>
          </cell>
          <cell r="F29">
            <v>70</v>
          </cell>
          <cell r="G29">
            <v>9.93</v>
          </cell>
          <cell r="H29">
            <v>5079</v>
          </cell>
          <cell r="I29">
            <v>43</v>
          </cell>
          <cell r="J29">
            <v>5.92</v>
          </cell>
          <cell r="K29">
            <v>4558</v>
          </cell>
          <cell r="L29">
            <v>28</v>
          </cell>
          <cell r="M29">
            <v>3.83</v>
          </cell>
        </row>
        <row r="30">
          <cell r="A30" t="str">
            <v>DO-YULQ516-B0-22</v>
          </cell>
          <cell r="B30">
            <v>256</v>
          </cell>
          <cell r="C30">
            <v>4</v>
          </cell>
          <cell r="D30">
            <v>0.4</v>
          </cell>
          <cell r="E30">
            <v>50</v>
          </cell>
          <cell r="F30">
            <v>1</v>
          </cell>
          <cell r="G30">
            <v>0.15</v>
          </cell>
          <cell r="H30">
            <v>20</v>
          </cell>
          <cell r="I30">
            <v>1</v>
          </cell>
          <cell r="J30">
            <v>0.03</v>
          </cell>
          <cell r="K30">
            <v>6687</v>
          </cell>
          <cell r="L30">
            <v>83</v>
          </cell>
          <cell r="M30">
            <v>10.46</v>
          </cell>
        </row>
        <row r="31">
          <cell r="A31" t="str">
            <v>DO-YULQ100-R0-10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DO-YULQ071-B7-16</v>
          </cell>
          <cell r="B32">
            <v>5541</v>
          </cell>
          <cell r="C32">
            <v>42</v>
          </cell>
          <cell r="D32">
            <v>4.83</v>
          </cell>
          <cell r="E32">
            <v>5797</v>
          </cell>
          <cell r="F32">
            <v>53</v>
          </cell>
          <cell r="G32">
            <v>7.95</v>
          </cell>
          <cell r="H32">
            <v>5843</v>
          </cell>
          <cell r="I32">
            <v>47</v>
          </cell>
          <cell r="J32">
            <v>5.87</v>
          </cell>
          <cell r="K32">
            <v>5848</v>
          </cell>
          <cell r="L32">
            <v>58</v>
          </cell>
          <cell r="M32">
            <v>7.45</v>
          </cell>
        </row>
        <row r="33">
          <cell r="A33" t="str">
            <v>DO-YULQ021-W0-22</v>
          </cell>
          <cell r="B33">
            <v>11758</v>
          </cell>
          <cell r="C33">
            <v>36</v>
          </cell>
          <cell r="D33">
            <v>6.01</v>
          </cell>
          <cell r="E33">
            <v>40891</v>
          </cell>
          <cell r="F33">
            <v>154</v>
          </cell>
          <cell r="G33">
            <v>39.83</v>
          </cell>
          <cell r="H33">
            <v>20900</v>
          </cell>
          <cell r="I33">
            <v>125</v>
          </cell>
          <cell r="J33">
            <v>33.08</v>
          </cell>
          <cell r="K33">
            <v>24445</v>
          </cell>
          <cell r="L33">
            <v>110</v>
          </cell>
          <cell r="M33">
            <v>29.09</v>
          </cell>
        </row>
        <row r="34">
          <cell r="A34" t="str">
            <v>DO-YULQ063-PI-22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9459</v>
          </cell>
          <cell r="L34">
            <v>54</v>
          </cell>
          <cell r="M34">
            <v>12.8</v>
          </cell>
        </row>
        <row r="35">
          <cell r="A35" t="str">
            <v>DO-YULQ070-PI-16</v>
          </cell>
          <cell r="B35">
            <v>28780</v>
          </cell>
          <cell r="C35">
            <v>116</v>
          </cell>
          <cell r="D35">
            <v>25.87</v>
          </cell>
          <cell r="E35">
            <v>82101</v>
          </cell>
          <cell r="F35">
            <v>196</v>
          </cell>
          <cell r="G35">
            <v>53.11</v>
          </cell>
          <cell r="H35">
            <v>79179</v>
          </cell>
          <cell r="I35">
            <v>202</v>
          </cell>
          <cell r="J35">
            <v>53.44</v>
          </cell>
          <cell r="K35">
            <v>79504</v>
          </cell>
          <cell r="L35">
            <v>184</v>
          </cell>
          <cell r="M35">
            <v>46.25</v>
          </cell>
        </row>
        <row r="36">
          <cell r="A36" t="str">
            <v>DO-YULQ107-PI-22</v>
          </cell>
          <cell r="B36">
            <v>27566</v>
          </cell>
          <cell r="C36">
            <v>95</v>
          </cell>
          <cell r="D36">
            <v>22.6</v>
          </cell>
          <cell r="E36">
            <v>109409</v>
          </cell>
          <cell r="F36">
            <v>347</v>
          </cell>
          <cell r="G36">
            <v>98.76</v>
          </cell>
          <cell r="H36">
            <v>99909</v>
          </cell>
          <cell r="I36">
            <v>289</v>
          </cell>
          <cell r="J36">
            <v>79.5</v>
          </cell>
          <cell r="K36">
            <v>103421</v>
          </cell>
          <cell r="L36">
            <v>279</v>
          </cell>
          <cell r="M36">
            <v>78.78</v>
          </cell>
        </row>
        <row r="37">
          <cell r="A37" t="str">
            <v>DO-YULQ171-LGR-22</v>
          </cell>
          <cell r="B37">
            <v>9772</v>
          </cell>
          <cell r="C37">
            <v>65</v>
          </cell>
          <cell r="D37">
            <v>8.48</v>
          </cell>
          <cell r="E37">
            <v>7260</v>
          </cell>
          <cell r="F37">
            <v>46</v>
          </cell>
          <cell r="G37">
            <v>6.16</v>
          </cell>
          <cell r="H37">
            <v>8932</v>
          </cell>
          <cell r="I37">
            <v>54</v>
          </cell>
          <cell r="J37">
            <v>8.07</v>
          </cell>
          <cell r="K37">
            <v>6815</v>
          </cell>
          <cell r="L37">
            <v>55</v>
          </cell>
          <cell r="M37">
            <v>7.19</v>
          </cell>
        </row>
        <row r="38">
          <cell r="A38" t="str">
            <v>DO-YULQ105-R2-22</v>
          </cell>
          <cell r="B38">
            <v>11916</v>
          </cell>
          <cell r="C38">
            <v>55</v>
          </cell>
          <cell r="D38">
            <v>7.45</v>
          </cell>
          <cell r="E38">
            <v>25713</v>
          </cell>
          <cell r="F38">
            <v>99</v>
          </cell>
          <cell r="G38">
            <v>14.6</v>
          </cell>
          <cell r="H38">
            <v>41026</v>
          </cell>
          <cell r="I38">
            <v>170</v>
          </cell>
          <cell r="J38">
            <v>24.64</v>
          </cell>
          <cell r="K38">
            <v>21407</v>
          </cell>
          <cell r="L38">
            <v>104</v>
          </cell>
          <cell r="M38">
            <v>15.12</v>
          </cell>
        </row>
        <row r="39">
          <cell r="A39" t="str">
            <v>DO-YULQ664-AX-16</v>
          </cell>
          <cell r="B39">
            <v>5474</v>
          </cell>
          <cell r="C39">
            <v>43</v>
          </cell>
          <cell r="D39">
            <v>5.92</v>
          </cell>
          <cell r="E39">
            <v>7373</v>
          </cell>
          <cell r="F39">
            <v>67</v>
          </cell>
          <cell r="G39">
            <v>10.41</v>
          </cell>
          <cell r="H39">
            <v>6285</v>
          </cell>
          <cell r="I39">
            <v>70</v>
          </cell>
          <cell r="J39">
            <v>10.23</v>
          </cell>
          <cell r="K39">
            <v>4719</v>
          </cell>
          <cell r="L39">
            <v>50</v>
          </cell>
          <cell r="M39">
            <v>6.89</v>
          </cell>
        </row>
        <row r="40">
          <cell r="A40" t="str">
            <v>DO-YULQ606-W0-22</v>
          </cell>
          <cell r="B40">
            <v>1128</v>
          </cell>
          <cell r="C40">
            <v>12</v>
          </cell>
          <cell r="D40">
            <v>1.62</v>
          </cell>
          <cell r="E40">
            <v>821</v>
          </cell>
          <cell r="F40">
            <v>5</v>
          </cell>
          <cell r="G40">
            <v>0.52</v>
          </cell>
          <cell r="H40">
            <v>1057</v>
          </cell>
          <cell r="I40">
            <v>3</v>
          </cell>
          <cell r="J40">
            <v>0.37</v>
          </cell>
          <cell r="K40">
            <v>1483</v>
          </cell>
          <cell r="L40">
            <v>11</v>
          </cell>
          <cell r="M40">
            <v>1.38</v>
          </cell>
        </row>
        <row r="41">
          <cell r="A41" t="str">
            <v>DO-YULQ372-R0-22</v>
          </cell>
          <cell r="B41">
            <v>708</v>
          </cell>
          <cell r="C41">
            <v>0</v>
          </cell>
          <cell r="D41">
            <v>0</v>
          </cell>
          <cell r="E41">
            <v>1148</v>
          </cell>
          <cell r="F41">
            <v>1</v>
          </cell>
          <cell r="G41">
            <v>0.2</v>
          </cell>
          <cell r="H41">
            <v>1228</v>
          </cell>
          <cell r="I41">
            <v>2</v>
          </cell>
          <cell r="J41">
            <v>0.2</v>
          </cell>
          <cell r="K41">
            <v>2440</v>
          </cell>
          <cell r="L41">
            <v>2</v>
          </cell>
          <cell r="M41">
            <v>0.28</v>
          </cell>
        </row>
        <row r="42">
          <cell r="A42" t="str">
            <v>DO-YULQ631-R2-22</v>
          </cell>
          <cell r="B42">
            <v>5362</v>
          </cell>
          <cell r="C42">
            <v>43</v>
          </cell>
          <cell r="D42">
            <v>4.83</v>
          </cell>
          <cell r="E42">
            <v>3265</v>
          </cell>
          <cell r="F42">
            <v>30</v>
          </cell>
          <cell r="G42">
            <v>3.7</v>
          </cell>
          <cell r="H42">
            <v>3167</v>
          </cell>
          <cell r="I42">
            <v>41</v>
          </cell>
          <cell r="J42">
            <v>4.88</v>
          </cell>
          <cell r="K42">
            <v>648</v>
          </cell>
          <cell r="L42">
            <v>5</v>
          </cell>
          <cell r="M42">
            <v>0.47</v>
          </cell>
        </row>
        <row r="43">
          <cell r="A43" t="str">
            <v>DO-YULQ605-PI-22</v>
          </cell>
          <cell r="B43">
            <v>5295</v>
          </cell>
          <cell r="C43">
            <v>55</v>
          </cell>
          <cell r="D43">
            <v>5.94</v>
          </cell>
          <cell r="E43">
            <v>4483</v>
          </cell>
          <cell r="F43">
            <v>50</v>
          </cell>
          <cell r="G43">
            <v>5.99</v>
          </cell>
          <cell r="H43">
            <v>1693</v>
          </cell>
          <cell r="I43">
            <v>25</v>
          </cell>
          <cell r="J43">
            <v>3.05</v>
          </cell>
          <cell r="K43">
            <v>2009</v>
          </cell>
          <cell r="L43">
            <v>37</v>
          </cell>
          <cell r="M43">
            <v>4.68</v>
          </cell>
        </row>
        <row r="44">
          <cell r="A44" t="str">
            <v>DO-YULQ163-B7-22</v>
          </cell>
          <cell r="B44">
            <v>6856</v>
          </cell>
          <cell r="C44">
            <v>67</v>
          </cell>
          <cell r="D44">
            <v>8.03</v>
          </cell>
          <cell r="E44">
            <v>13960</v>
          </cell>
          <cell r="F44">
            <v>82</v>
          </cell>
          <cell r="G44">
            <v>9.72</v>
          </cell>
          <cell r="H44">
            <v>23104</v>
          </cell>
          <cell r="I44">
            <v>125</v>
          </cell>
          <cell r="J44">
            <v>15.55</v>
          </cell>
          <cell r="K44">
            <v>14101</v>
          </cell>
          <cell r="L44">
            <v>112</v>
          </cell>
          <cell r="M44">
            <v>13.88</v>
          </cell>
        </row>
        <row r="45">
          <cell r="A45" t="str">
            <v>DO-YULQ073-LGR-22</v>
          </cell>
          <cell r="B45">
            <v>4380</v>
          </cell>
          <cell r="C45">
            <v>35</v>
          </cell>
          <cell r="D45">
            <v>4.66</v>
          </cell>
          <cell r="E45">
            <v>5669</v>
          </cell>
          <cell r="F45">
            <v>45</v>
          </cell>
          <cell r="G45">
            <v>6.2</v>
          </cell>
          <cell r="H45">
            <v>8586</v>
          </cell>
          <cell r="I45">
            <v>87</v>
          </cell>
          <cell r="J45">
            <v>11.45</v>
          </cell>
          <cell r="K45">
            <v>5444</v>
          </cell>
          <cell r="L45">
            <v>32</v>
          </cell>
          <cell r="M45">
            <v>4.22</v>
          </cell>
        </row>
        <row r="46">
          <cell r="A46" t="str">
            <v>DO-YULQ812-W0-18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48696</v>
          </cell>
          <cell r="L46">
            <v>336</v>
          </cell>
          <cell r="M46">
            <v>46.6</v>
          </cell>
        </row>
        <row r="47">
          <cell r="A47" t="str">
            <v>DO-YULQ012-PI-22</v>
          </cell>
          <cell r="B47">
            <v>253</v>
          </cell>
          <cell r="C47">
            <v>0</v>
          </cell>
          <cell r="D47">
            <v>0</v>
          </cell>
          <cell r="E47">
            <v>550</v>
          </cell>
          <cell r="F47">
            <v>1</v>
          </cell>
          <cell r="G47">
            <v>0.21</v>
          </cell>
          <cell r="H47">
            <v>610</v>
          </cell>
          <cell r="I47">
            <v>3</v>
          </cell>
          <cell r="J47">
            <v>0.9</v>
          </cell>
          <cell r="K47">
            <v>599</v>
          </cell>
          <cell r="L47">
            <v>2</v>
          </cell>
          <cell r="M47">
            <v>0.48</v>
          </cell>
        </row>
        <row r="48">
          <cell r="A48" t="str">
            <v>DO-YULQ123-FB-22</v>
          </cell>
          <cell r="B48">
            <v>30106</v>
          </cell>
          <cell r="C48">
            <v>317</v>
          </cell>
          <cell r="D48">
            <v>43.45</v>
          </cell>
          <cell r="E48">
            <v>27626</v>
          </cell>
          <cell r="F48">
            <v>320</v>
          </cell>
          <cell r="G48">
            <v>46.23</v>
          </cell>
          <cell r="H48">
            <v>18699</v>
          </cell>
          <cell r="I48">
            <v>263</v>
          </cell>
          <cell r="J48">
            <v>38.64</v>
          </cell>
          <cell r="K48">
            <v>16854</v>
          </cell>
          <cell r="L48">
            <v>235</v>
          </cell>
          <cell r="M48">
            <v>32.9</v>
          </cell>
        </row>
        <row r="49">
          <cell r="A49" t="str">
            <v>DO-YULQ121-PI-22</v>
          </cell>
          <cell r="B49">
            <v>10862</v>
          </cell>
          <cell r="C49">
            <v>128</v>
          </cell>
          <cell r="D49">
            <v>16.5</v>
          </cell>
          <cell r="E49">
            <v>15420</v>
          </cell>
          <cell r="F49">
            <v>135</v>
          </cell>
          <cell r="G49">
            <v>17.65</v>
          </cell>
          <cell r="H49">
            <v>14538</v>
          </cell>
          <cell r="I49">
            <v>196</v>
          </cell>
          <cell r="J49">
            <v>24.04</v>
          </cell>
          <cell r="K49">
            <v>15704</v>
          </cell>
          <cell r="L49">
            <v>170</v>
          </cell>
          <cell r="M49">
            <v>23.03</v>
          </cell>
        </row>
        <row r="50">
          <cell r="A50" t="str">
            <v>DO-YULQ152-Z1-22</v>
          </cell>
          <cell r="B50">
            <v>4527</v>
          </cell>
          <cell r="C50">
            <v>40</v>
          </cell>
          <cell r="D50">
            <v>4.68</v>
          </cell>
          <cell r="E50">
            <v>2980</v>
          </cell>
          <cell r="F50">
            <v>50</v>
          </cell>
          <cell r="G50">
            <v>7.1</v>
          </cell>
          <cell r="H50">
            <v>5966</v>
          </cell>
          <cell r="I50">
            <v>55</v>
          </cell>
          <cell r="J50">
            <v>7.01</v>
          </cell>
          <cell r="K50">
            <v>5146</v>
          </cell>
          <cell r="L50">
            <v>48</v>
          </cell>
          <cell r="M50">
            <v>6.64</v>
          </cell>
        </row>
        <row r="51">
          <cell r="A51" t="str">
            <v>DO-YULQ150-PI-20</v>
          </cell>
          <cell r="B51">
            <v>57795</v>
          </cell>
          <cell r="C51">
            <v>431</v>
          </cell>
          <cell r="D51">
            <v>59</v>
          </cell>
          <cell r="E51">
            <v>19602</v>
          </cell>
          <cell r="F51">
            <v>274</v>
          </cell>
          <cell r="G51">
            <v>35.92</v>
          </cell>
          <cell r="H51">
            <v>29278</v>
          </cell>
          <cell r="I51">
            <v>450</v>
          </cell>
          <cell r="J51">
            <v>58.93</v>
          </cell>
          <cell r="K51">
            <v>24030</v>
          </cell>
          <cell r="L51">
            <v>312</v>
          </cell>
          <cell r="M51">
            <v>39.19</v>
          </cell>
        </row>
        <row r="52">
          <cell r="A52" t="str">
            <v>DO-YULQ985-B7-20</v>
          </cell>
          <cell r="B52">
            <v>4</v>
          </cell>
          <cell r="C52">
            <v>0</v>
          </cell>
          <cell r="D52">
            <v>0</v>
          </cell>
          <cell r="E52">
            <v>2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35658</v>
          </cell>
          <cell r="L52">
            <v>185</v>
          </cell>
          <cell r="M52">
            <v>24.18</v>
          </cell>
        </row>
        <row r="53">
          <cell r="A53" t="str">
            <v>DO-YULQ150-K0-22</v>
          </cell>
          <cell r="B53">
            <v>0</v>
          </cell>
          <cell r="C53">
            <v>0</v>
          </cell>
          <cell r="D53">
            <v>0</v>
          </cell>
          <cell r="E53">
            <v>11711</v>
          </cell>
          <cell r="F53">
            <v>43</v>
          </cell>
          <cell r="G53">
            <v>5.4</v>
          </cell>
          <cell r="H53">
            <v>25764</v>
          </cell>
          <cell r="I53">
            <v>87</v>
          </cell>
          <cell r="J53">
            <v>12.97</v>
          </cell>
          <cell r="K53">
            <v>20587</v>
          </cell>
          <cell r="L53">
            <v>67</v>
          </cell>
          <cell r="M53">
            <v>9.54</v>
          </cell>
        </row>
        <row r="54">
          <cell r="A54" t="str">
            <v>DO-YULQ151-W0-16</v>
          </cell>
          <cell r="B54">
            <v>16898</v>
          </cell>
          <cell r="C54">
            <v>41</v>
          </cell>
          <cell r="D54">
            <v>5.98</v>
          </cell>
          <cell r="E54">
            <v>7029</v>
          </cell>
          <cell r="F54">
            <v>53</v>
          </cell>
          <cell r="G54">
            <v>6.92</v>
          </cell>
          <cell r="H54">
            <v>3404</v>
          </cell>
          <cell r="I54">
            <v>36</v>
          </cell>
          <cell r="J54">
            <v>5.19</v>
          </cell>
          <cell r="K54">
            <v>3049</v>
          </cell>
          <cell r="L54">
            <v>28</v>
          </cell>
          <cell r="M54">
            <v>3.65</v>
          </cell>
        </row>
        <row r="55">
          <cell r="A55" t="str">
            <v>DO-YULQ701-PI-22</v>
          </cell>
          <cell r="B55">
            <v>36905</v>
          </cell>
          <cell r="C55">
            <v>140</v>
          </cell>
          <cell r="D55">
            <v>20.48</v>
          </cell>
          <cell r="E55">
            <v>27411</v>
          </cell>
          <cell r="F55">
            <v>185</v>
          </cell>
          <cell r="G55">
            <v>31.33</v>
          </cell>
          <cell r="H55">
            <v>20407</v>
          </cell>
          <cell r="I55">
            <v>205</v>
          </cell>
          <cell r="J55">
            <v>30.62</v>
          </cell>
          <cell r="K55">
            <v>19902</v>
          </cell>
          <cell r="L55">
            <v>200</v>
          </cell>
          <cell r="M55">
            <v>30.27</v>
          </cell>
        </row>
        <row r="56">
          <cell r="A56" t="str">
            <v>DO-YULQ702-PI-22</v>
          </cell>
          <cell r="B56">
            <v>10568</v>
          </cell>
          <cell r="C56">
            <v>99</v>
          </cell>
          <cell r="D56">
            <v>11.48</v>
          </cell>
          <cell r="E56">
            <v>7099</v>
          </cell>
          <cell r="F56">
            <v>105</v>
          </cell>
          <cell r="G56">
            <v>12.13</v>
          </cell>
          <cell r="H56">
            <v>8953</v>
          </cell>
          <cell r="I56">
            <v>136</v>
          </cell>
          <cell r="J56">
            <v>15.24</v>
          </cell>
          <cell r="K56">
            <v>8042</v>
          </cell>
          <cell r="L56">
            <v>124</v>
          </cell>
          <cell r="M56">
            <v>13.51</v>
          </cell>
        </row>
        <row r="57">
          <cell r="A57" t="str">
            <v>DO-YULQ703-PI-22</v>
          </cell>
          <cell r="B57">
            <v>17223</v>
          </cell>
          <cell r="C57">
            <v>59</v>
          </cell>
          <cell r="D57">
            <v>7.62</v>
          </cell>
          <cell r="E57">
            <v>12588</v>
          </cell>
          <cell r="F57">
            <v>58</v>
          </cell>
          <cell r="G57">
            <v>8.89</v>
          </cell>
          <cell r="H57">
            <v>16354</v>
          </cell>
          <cell r="I57">
            <v>108</v>
          </cell>
          <cell r="J57">
            <v>16.27</v>
          </cell>
          <cell r="K57">
            <v>8049</v>
          </cell>
          <cell r="L57">
            <v>57</v>
          </cell>
          <cell r="M57">
            <v>9.37</v>
          </cell>
        </row>
        <row r="58">
          <cell r="A58" t="str">
            <v>DO-YULQ700-PI-22</v>
          </cell>
          <cell r="B58">
            <v>82771</v>
          </cell>
          <cell r="C58">
            <v>538</v>
          </cell>
          <cell r="D58">
            <v>80.08</v>
          </cell>
          <cell r="E58">
            <v>79221</v>
          </cell>
          <cell r="F58">
            <v>655</v>
          </cell>
          <cell r="G58">
            <v>97.36</v>
          </cell>
          <cell r="H58">
            <v>89676</v>
          </cell>
          <cell r="I58">
            <v>745</v>
          </cell>
          <cell r="J58">
            <v>115.02</v>
          </cell>
          <cell r="K58">
            <v>46372</v>
          </cell>
          <cell r="L58">
            <v>334</v>
          </cell>
          <cell r="M58">
            <v>52.13</v>
          </cell>
        </row>
        <row r="59">
          <cell r="A59" t="str">
            <v>DO-YULQ332-LGR-20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318</v>
          </cell>
          <cell r="I59">
            <v>5</v>
          </cell>
          <cell r="J59">
            <v>1.18</v>
          </cell>
          <cell r="K59">
            <v>4108</v>
          </cell>
          <cell r="L59">
            <v>37</v>
          </cell>
          <cell r="M59">
            <v>10.6</v>
          </cell>
        </row>
        <row r="60">
          <cell r="A60" t="str">
            <v>DO-YULQ611-TW-22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23122</v>
          </cell>
          <cell r="L60">
            <v>141</v>
          </cell>
          <cell r="M60">
            <v>21.41</v>
          </cell>
        </row>
        <row r="61">
          <cell r="A61" t="str">
            <v>DO-YULQ161-PI-16</v>
          </cell>
          <cell r="B61">
            <v>0</v>
          </cell>
          <cell r="C61">
            <v>0</v>
          </cell>
          <cell r="D61">
            <v>0</v>
          </cell>
          <cell r="E61">
            <v>12047</v>
          </cell>
          <cell r="F61">
            <v>82</v>
          </cell>
          <cell r="G61">
            <v>21.9</v>
          </cell>
          <cell r="H61">
            <v>18266</v>
          </cell>
          <cell r="I61">
            <v>118</v>
          </cell>
          <cell r="J61">
            <v>34.28</v>
          </cell>
          <cell r="K61">
            <v>12086</v>
          </cell>
          <cell r="L61">
            <v>61</v>
          </cell>
          <cell r="M61">
            <v>15.48</v>
          </cell>
        </row>
        <row r="62">
          <cell r="A62" t="str">
            <v>DO-YULQ704-B0-24</v>
          </cell>
          <cell r="B62">
            <v>488</v>
          </cell>
          <cell r="C62">
            <v>7</v>
          </cell>
          <cell r="D62">
            <v>1.92</v>
          </cell>
          <cell r="E62">
            <v>141</v>
          </cell>
          <cell r="F62">
            <v>5</v>
          </cell>
          <cell r="G62">
            <v>0.5</v>
          </cell>
          <cell r="H62">
            <v>55</v>
          </cell>
          <cell r="I62">
            <v>0</v>
          </cell>
          <cell r="J62">
            <v>0</v>
          </cell>
          <cell r="K62">
            <v>58</v>
          </cell>
          <cell r="L62">
            <v>0</v>
          </cell>
          <cell r="M62">
            <v>0</v>
          </cell>
        </row>
        <row r="63">
          <cell r="A63" t="str">
            <v>DO-YULQ707-PI-24</v>
          </cell>
          <cell r="B63">
            <v>9021</v>
          </cell>
          <cell r="C63">
            <v>29</v>
          </cell>
          <cell r="D63">
            <v>4.02</v>
          </cell>
          <cell r="E63">
            <v>10190</v>
          </cell>
          <cell r="F63">
            <v>59</v>
          </cell>
          <cell r="G63">
            <v>11.27</v>
          </cell>
          <cell r="H63">
            <v>0</v>
          </cell>
          <cell r="I63">
            <v>0</v>
          </cell>
          <cell r="J63">
            <v>0</v>
          </cell>
          <cell r="K63">
            <v>4938</v>
          </cell>
          <cell r="L63">
            <v>44</v>
          </cell>
          <cell r="M63">
            <v>10.08</v>
          </cell>
        </row>
        <row r="64">
          <cell r="A64" t="str">
            <v>DO-YULQ705-W0-22</v>
          </cell>
          <cell r="B64">
            <v>423</v>
          </cell>
          <cell r="C64">
            <v>4</v>
          </cell>
          <cell r="D64">
            <v>2.14</v>
          </cell>
          <cell r="E64">
            <v>221</v>
          </cell>
          <cell r="F64">
            <v>2</v>
          </cell>
          <cell r="G64">
            <v>0.25</v>
          </cell>
          <cell r="H64">
            <v>56</v>
          </cell>
          <cell r="I64">
            <v>0</v>
          </cell>
          <cell r="J64">
            <v>0</v>
          </cell>
          <cell r="K64">
            <v>60</v>
          </cell>
          <cell r="L64">
            <v>0</v>
          </cell>
          <cell r="M64">
            <v>0</v>
          </cell>
        </row>
        <row r="65">
          <cell r="A65" t="str">
            <v>DO-YULQ706-R0-24</v>
          </cell>
          <cell r="B65">
            <v>235</v>
          </cell>
          <cell r="C65">
            <v>1</v>
          </cell>
          <cell r="D65">
            <v>0.27</v>
          </cell>
          <cell r="E65">
            <v>39</v>
          </cell>
          <cell r="F65">
            <v>0</v>
          </cell>
          <cell r="G65">
            <v>0</v>
          </cell>
          <cell r="H65">
            <v>3</v>
          </cell>
          <cell r="I65">
            <v>0</v>
          </cell>
          <cell r="J65">
            <v>0</v>
          </cell>
          <cell r="K65">
            <v>3</v>
          </cell>
          <cell r="L65">
            <v>0</v>
          </cell>
          <cell r="M65">
            <v>0</v>
          </cell>
        </row>
        <row r="66">
          <cell r="A66" t="str">
            <v>DO-YULQ708-W0-24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34</v>
          </cell>
          <cell r="I66">
            <v>0</v>
          </cell>
          <cell r="J66">
            <v>0</v>
          </cell>
          <cell r="K66">
            <v>5590</v>
          </cell>
          <cell r="L66">
            <v>47</v>
          </cell>
          <cell r="M66">
            <v>11.51</v>
          </cell>
        </row>
        <row r="67">
          <cell r="A67" t="str">
            <v>DO-YULQ173-B7-22</v>
          </cell>
          <cell r="B67">
            <v>49973</v>
          </cell>
          <cell r="C67">
            <v>390</v>
          </cell>
          <cell r="D67">
            <v>51.75</v>
          </cell>
          <cell r="E67">
            <v>28227</v>
          </cell>
          <cell r="F67">
            <v>387</v>
          </cell>
          <cell r="G67">
            <v>54.46</v>
          </cell>
          <cell r="H67">
            <v>4419</v>
          </cell>
          <cell r="I67">
            <v>92</v>
          </cell>
          <cell r="J67">
            <v>12.08</v>
          </cell>
          <cell r="K67">
            <v>62</v>
          </cell>
          <cell r="L67">
            <v>0</v>
          </cell>
          <cell r="M67">
            <v>0</v>
          </cell>
        </row>
        <row r="68">
          <cell r="A68" t="str">
            <v>DO-YULQ081-B7-10</v>
          </cell>
          <cell r="B68">
            <v>16001</v>
          </cell>
          <cell r="C68">
            <v>107</v>
          </cell>
          <cell r="D68">
            <v>19.03</v>
          </cell>
          <cell r="E68">
            <v>10690</v>
          </cell>
          <cell r="F68">
            <v>79</v>
          </cell>
          <cell r="G68">
            <v>14.25</v>
          </cell>
          <cell r="H68">
            <v>5707</v>
          </cell>
          <cell r="I68">
            <v>46</v>
          </cell>
          <cell r="J68">
            <v>7.86</v>
          </cell>
          <cell r="K68">
            <v>8</v>
          </cell>
          <cell r="L68">
            <v>0</v>
          </cell>
          <cell r="M68">
            <v>0</v>
          </cell>
        </row>
        <row r="69">
          <cell r="A69" t="str">
            <v>DO-YULQ081-PI-10</v>
          </cell>
          <cell r="B69">
            <v>18863</v>
          </cell>
          <cell r="C69">
            <v>85</v>
          </cell>
          <cell r="D69">
            <v>14.71</v>
          </cell>
          <cell r="E69">
            <v>29603</v>
          </cell>
          <cell r="F69">
            <v>131</v>
          </cell>
          <cell r="G69">
            <v>22.83</v>
          </cell>
          <cell r="H69">
            <v>13585</v>
          </cell>
          <cell r="I69">
            <v>83</v>
          </cell>
          <cell r="J69">
            <v>15.55</v>
          </cell>
          <cell r="K69">
            <v>6</v>
          </cell>
          <cell r="L69">
            <v>0</v>
          </cell>
          <cell r="M69">
            <v>0</v>
          </cell>
        </row>
        <row r="70">
          <cell r="A70" t="str">
            <v>DO-YULQ101-PI-22</v>
          </cell>
          <cell r="B70">
            <v>19602</v>
          </cell>
          <cell r="C70">
            <v>105</v>
          </cell>
          <cell r="D70">
            <v>17.39</v>
          </cell>
          <cell r="E70">
            <v>14346</v>
          </cell>
          <cell r="F70">
            <v>115</v>
          </cell>
          <cell r="G70">
            <v>20.61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DOLL-006-PI-10</v>
          </cell>
          <cell r="B71">
            <v>55106</v>
          </cell>
          <cell r="C71">
            <v>305</v>
          </cell>
          <cell r="D71">
            <v>52.42</v>
          </cell>
          <cell r="E71">
            <v>26899</v>
          </cell>
          <cell r="F71">
            <v>278</v>
          </cell>
          <cell r="G71">
            <v>49.92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DO-YULQ620-NZ-22</v>
          </cell>
          <cell r="B72">
            <v>41367</v>
          </cell>
          <cell r="C72">
            <v>251</v>
          </cell>
          <cell r="D72">
            <v>42.83</v>
          </cell>
          <cell r="E72">
            <v>24569</v>
          </cell>
          <cell r="F72">
            <v>197</v>
          </cell>
          <cell r="G72">
            <v>30.69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DO-YULQ111-PI-22</v>
          </cell>
          <cell r="B73">
            <v>31775</v>
          </cell>
          <cell r="C73">
            <v>189</v>
          </cell>
          <cell r="D73">
            <v>30.97</v>
          </cell>
          <cell r="E73">
            <v>8734</v>
          </cell>
          <cell r="F73">
            <v>92</v>
          </cell>
          <cell r="G73">
            <v>13.86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DOLL-005-WO-11</v>
          </cell>
          <cell r="B74">
            <v>84141</v>
          </cell>
          <cell r="C74">
            <v>374</v>
          </cell>
          <cell r="D74">
            <v>65.2</v>
          </cell>
          <cell r="E74">
            <v>56796</v>
          </cell>
          <cell r="F74">
            <v>242</v>
          </cell>
          <cell r="G74">
            <v>42.21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DO-YULQ232-W0-10</v>
          </cell>
          <cell r="B75">
            <v>5288</v>
          </cell>
          <cell r="C75">
            <v>64</v>
          </cell>
          <cell r="D75">
            <v>10.83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DOLL-006-LB-10</v>
          </cell>
          <cell r="B12" t="str">
            <v>DOLL-006</v>
          </cell>
        </row>
        <row r="13">
          <cell r="A13" t="str">
            <v>DOLL-006-LB-11</v>
          </cell>
          <cell r="B13" t="str">
            <v>DOLL-006</v>
          </cell>
        </row>
        <row r="14">
          <cell r="A14" t="str">
            <v>DOLL-006-PI-10</v>
          </cell>
          <cell r="B14" t="str">
            <v>DOLL-006</v>
          </cell>
        </row>
        <row r="15">
          <cell r="A15" t="str">
            <v>DOLL-006-PI-11</v>
          </cell>
          <cell r="B15" t="str">
            <v>DOLL-006</v>
          </cell>
        </row>
        <row r="16">
          <cell r="A16" t="str">
            <v>DOLL-007-NO-17</v>
          </cell>
          <cell r="B16" t="str">
            <v>DOLL-007</v>
          </cell>
        </row>
        <row r="17">
          <cell r="A17" t="str">
            <v>DOLL-007XM-WO-17</v>
          </cell>
          <cell r="B17" t="str">
            <v>DOLL-007</v>
          </cell>
        </row>
        <row r="18">
          <cell r="A18" t="str">
            <v>DOLL-008-W0-22</v>
          </cell>
          <cell r="B18" t="str">
            <v>DOLL-008</v>
          </cell>
        </row>
        <row r="19">
          <cell r="A19" t="str">
            <v>DOLL-008-WO-22</v>
          </cell>
          <cell r="B19" t="str">
            <v>DOLL-008</v>
          </cell>
        </row>
        <row r="20">
          <cell r="A20" t="str">
            <v>DOLL-009-PI-22</v>
          </cell>
          <cell r="B20" t="str">
            <v>DOLL-009</v>
          </cell>
        </row>
        <row r="21">
          <cell r="A21" t="str">
            <v>DOLL-010-PI-22</v>
          </cell>
          <cell r="B21" t="str">
            <v>DOLL-010</v>
          </cell>
        </row>
        <row r="22">
          <cell r="A22" t="str">
            <v>DOLL-020-PI-22</v>
          </cell>
          <cell r="B22" t="str">
            <v>DOLL-020</v>
          </cell>
        </row>
        <row r="23">
          <cell r="A23" t="str">
            <v>DOLL-0601-PI-22</v>
          </cell>
          <cell r="B23" t="str">
            <v>DOLL-0601</v>
          </cell>
        </row>
        <row r="24">
          <cell r="A24" t="str">
            <v>DOLL-0602-NZ-22</v>
          </cell>
          <cell r="B24" t="str">
            <v>DOLL-0602</v>
          </cell>
        </row>
        <row r="25">
          <cell r="A25" t="str">
            <v>DOLL-0603-01R-22</v>
          </cell>
          <cell r="B25" t="str">
            <v>DOLL-0603</v>
          </cell>
        </row>
        <row r="26">
          <cell r="A26" t="str">
            <v>DOLL-0603-02R-22</v>
          </cell>
          <cell r="B26" t="str">
            <v>DOLL-0603</v>
          </cell>
        </row>
        <row r="27">
          <cell r="A27" t="str">
            <v>DOLL-0603-NZ-22</v>
          </cell>
          <cell r="B27" t="str">
            <v>DOLL-0603</v>
          </cell>
        </row>
        <row r="28">
          <cell r="A28" t="str">
            <v>DOLL-0603-PI-22</v>
          </cell>
          <cell r="B28" t="str">
            <v>DOLL-0603</v>
          </cell>
        </row>
        <row r="29">
          <cell r="A29" t="str">
            <v>DOLL-0605-PI-22</v>
          </cell>
          <cell r="B29" t="str">
            <v>DOLL-0605</v>
          </cell>
        </row>
        <row r="30">
          <cell r="A30" t="str">
            <v>DOLL-0630-PI-22</v>
          </cell>
          <cell r="B30" t="str">
            <v>DOLL-0630</v>
          </cell>
        </row>
        <row r="31">
          <cell r="A31" t="str">
            <v>DOLL-100-LB-22</v>
          </cell>
          <cell r="B31" t="str">
            <v>DOLL-100</v>
          </cell>
        </row>
        <row r="32">
          <cell r="A32" t="str">
            <v>DOLL-1105-PI-22</v>
          </cell>
          <cell r="B32" t="str">
            <v>DOLL-1105</v>
          </cell>
        </row>
        <row r="33">
          <cell r="A33" t="str">
            <v>DOLL-1523-B7-22</v>
          </cell>
          <cell r="B33" t="str">
            <v>DOLL-1523</v>
          </cell>
        </row>
        <row r="34">
          <cell r="A34" t="str">
            <v>DOLL-1523-BO-22</v>
          </cell>
          <cell r="B34" t="str">
            <v>DOLL-1523</v>
          </cell>
        </row>
        <row r="35">
          <cell r="A35" t="str">
            <v>DOLL-1613-LB-11</v>
          </cell>
          <cell r="B35" t="str">
            <v>DOLL-1613</v>
          </cell>
        </row>
        <row r="36">
          <cell r="A36" t="str">
            <v>DOLL-1613-LB-22</v>
          </cell>
          <cell r="B36" t="str">
            <v>DOLL-1613</v>
          </cell>
        </row>
        <row r="37">
          <cell r="A37" t="str">
            <v>DOLL-1613-PI-11</v>
          </cell>
          <cell r="B37" t="str">
            <v>DOLL-1613</v>
          </cell>
        </row>
        <row r="38">
          <cell r="A38" t="str">
            <v>DOLL-1613-PI-22</v>
          </cell>
          <cell r="B38" t="str">
            <v>DOLL-1613</v>
          </cell>
        </row>
        <row r="39">
          <cell r="A39" t="str">
            <v>DOLL-1630-01R-22</v>
          </cell>
          <cell r="B39" t="str">
            <v>DOLL-1630</v>
          </cell>
        </row>
        <row r="40">
          <cell r="A40" t="str">
            <v>DOLL-1630-R0-22</v>
          </cell>
          <cell r="B40" t="str">
            <v>DOLL-1630</v>
          </cell>
        </row>
        <row r="41">
          <cell r="A41" t="str">
            <v>DOLL-1631-R0-22</v>
          </cell>
          <cell r="B41" t="str">
            <v>DOLL-1631</v>
          </cell>
        </row>
        <row r="42">
          <cell r="A42" t="str">
            <v>DOLL-6089-B0-22</v>
          </cell>
          <cell r="B42" t="str">
            <v>DOLL-6089</v>
          </cell>
        </row>
        <row r="43">
          <cell r="A43" t="str">
            <v>DOLL-6089-BO-22</v>
          </cell>
          <cell r="B43" t="str">
            <v>DOLL-6089</v>
          </cell>
        </row>
        <row r="44">
          <cell r="A44" t="str">
            <v>DOLL-7056-0R-11</v>
          </cell>
          <cell r="B44" t="str">
            <v>DOLL-7056</v>
          </cell>
        </row>
        <row r="45">
          <cell r="A45" t="str">
            <v>DOLL-7056-BR-11</v>
          </cell>
          <cell r="B45" t="str">
            <v>DOLL-7056</v>
          </cell>
        </row>
        <row r="46">
          <cell r="A46" t="str">
            <v>DOLL-7056B-YO-11</v>
          </cell>
          <cell r="B46" t="str">
            <v>DOLL-7056</v>
          </cell>
        </row>
        <row r="47">
          <cell r="A47" t="str">
            <v>DOLL-7056-GR-11</v>
          </cell>
          <cell r="B47" t="str">
            <v>DOLL-7056</v>
          </cell>
        </row>
        <row r="48">
          <cell r="A48" t="str">
            <v>DOLL-7056G-YO-11</v>
          </cell>
          <cell r="B48" t="str">
            <v>DOLL-7056</v>
          </cell>
        </row>
        <row r="49">
          <cell r="A49" t="str">
            <v>DOLL-7056-LGR-11</v>
          </cell>
          <cell r="B49" t="str">
            <v>DOLL-7056</v>
          </cell>
        </row>
        <row r="50">
          <cell r="A50" t="str">
            <v>DOLL-9042-01R-22</v>
          </cell>
          <cell r="B50" t="str">
            <v>DOLL-9042</v>
          </cell>
        </row>
        <row r="51">
          <cell r="A51" t="str">
            <v>DOLL-9042-B0-22</v>
          </cell>
          <cell r="B51" t="str">
            <v>DOLL-9042</v>
          </cell>
        </row>
        <row r="52">
          <cell r="A52" t="str">
            <v>DOLL-AD010-02F-22</v>
          </cell>
          <cell r="B52" t="str">
            <v>DOLL-AD010</v>
          </cell>
        </row>
        <row r="53">
          <cell r="A53" t="str">
            <v>DOLL-AD010-03R-22</v>
          </cell>
          <cell r="B53" t="str">
            <v>DOLL-AD010</v>
          </cell>
        </row>
        <row r="54">
          <cell r="A54" t="str">
            <v>DOLL-AD010-PI-22</v>
          </cell>
          <cell r="B54" t="str">
            <v>DOLL-AD010</v>
          </cell>
        </row>
        <row r="55">
          <cell r="A55" t="str">
            <v>DOLL-AD010-W0-22</v>
          </cell>
          <cell r="B55" t="str">
            <v>DOLL-AD010</v>
          </cell>
        </row>
        <row r="56">
          <cell r="A56" t="str">
            <v>DOLL-AD011-PI-22</v>
          </cell>
          <cell r="B56" t="str">
            <v>DOLL-AD011</v>
          </cell>
        </row>
        <row r="57">
          <cell r="A57" t="str">
            <v>DOLLDRESS-003-PI-20</v>
          </cell>
          <cell r="B57" t="str">
            <v>DOLLDRESS-003</v>
          </cell>
        </row>
        <row r="58">
          <cell r="A58" t="str">
            <v>DOLLDRESS-003-PI-M</v>
          </cell>
          <cell r="B58" t="str">
            <v>DOLLDRESS-003</v>
          </cell>
        </row>
        <row r="59">
          <cell r="A59" t="str">
            <v>DOLLDRESS-003-R2-20</v>
          </cell>
          <cell r="B59" t="str">
            <v>DOLLDRESS-003</v>
          </cell>
        </row>
        <row r="60">
          <cell r="A60" t="str">
            <v>DOLLDRESS-003-R2-M</v>
          </cell>
          <cell r="B60" t="str">
            <v>DOLLDRESS-003</v>
          </cell>
        </row>
        <row r="61">
          <cell r="A61" t="str">
            <v>DOLLDRESS-003-WO-20</v>
          </cell>
          <cell r="B61" t="str">
            <v>DOLLDRESS-003</v>
          </cell>
        </row>
        <row r="62">
          <cell r="A62" t="str">
            <v>DOLLDRESS-003-WO-M</v>
          </cell>
          <cell r="B62" t="str">
            <v>DOLLDRESS-003</v>
          </cell>
        </row>
        <row r="63">
          <cell r="A63" t="str">
            <v>DOLLDRESS-007-PI-20</v>
          </cell>
          <cell r="B63" t="str">
            <v>DOLLDRESS-007</v>
          </cell>
        </row>
        <row r="64">
          <cell r="A64" t="str">
            <v>DOLLDRESS-1009-RO-20</v>
          </cell>
          <cell r="B64" t="str">
            <v>DOLLDRESS-1009</v>
          </cell>
        </row>
        <row r="65">
          <cell r="A65" t="str">
            <v>DOLLDRESS-1612-GO-23</v>
          </cell>
          <cell r="B65" t="str">
            <v>DOLLDRESS-1612</v>
          </cell>
        </row>
        <row r="66">
          <cell r="A66" t="str">
            <v>DOLLDRESS-2304-WO-20</v>
          </cell>
          <cell r="B66" t="str">
            <v>DOLLDRESS-2304</v>
          </cell>
        </row>
        <row r="67">
          <cell r="A67" t="str">
            <v>DOLL-DS001-LB-22</v>
          </cell>
          <cell r="B67" t="str">
            <v>DOLL-DS001</v>
          </cell>
        </row>
        <row r="68">
          <cell r="A68" t="str">
            <v>DOLLSHOES-AS08-RO-6.5</v>
          </cell>
          <cell r="B68" t="str">
            <v>DOLLSHOES-AS08</v>
          </cell>
        </row>
        <row r="69">
          <cell r="A69" t="str">
            <v>DOLLSHOES-AS11-PI-6.5</v>
          </cell>
          <cell r="B69" t="str">
            <v>DOLLSHOES-AS11</v>
          </cell>
        </row>
        <row r="70">
          <cell r="A70" t="str">
            <v>DOLL-YULQ602-PI-22</v>
          </cell>
          <cell r="B70" t="str">
            <v>DOLL-YULQ602</v>
          </cell>
        </row>
        <row r="71">
          <cell r="A71" t="str">
            <v>DO-YULQ001-PI-15</v>
          </cell>
          <cell r="B71" t="str">
            <v>DO-YULQ001</v>
          </cell>
        </row>
        <row r="72">
          <cell r="A72" t="str">
            <v>DO-YULQ001-PI-22</v>
          </cell>
          <cell r="B72" t="str">
            <v>DO-YULQ001</v>
          </cell>
        </row>
        <row r="73">
          <cell r="A73" t="str">
            <v>DO-YULQ002-PI-22</v>
          </cell>
          <cell r="B73" t="str">
            <v>DO-YULQ002</v>
          </cell>
        </row>
        <row r="74">
          <cell r="A74" t="str">
            <v>DO-YULQ004-B7-10</v>
          </cell>
          <cell r="B74" t="str">
            <v>DO-YULQ004</v>
          </cell>
        </row>
        <row r="75">
          <cell r="A75" t="str">
            <v>DO-YULQ004-B7-11</v>
          </cell>
          <cell r="B75" t="str">
            <v>DO-YULQ004</v>
          </cell>
        </row>
        <row r="76">
          <cell r="A76" t="str">
            <v>DO-YULQ004-PI-10</v>
          </cell>
          <cell r="B76" t="str">
            <v>DO-YULQ004</v>
          </cell>
        </row>
        <row r="77">
          <cell r="A77" t="str">
            <v>DO-YULQ004-PI-11</v>
          </cell>
          <cell r="B77" t="str">
            <v>DO-YULQ004</v>
          </cell>
        </row>
        <row r="78">
          <cell r="A78" t="str">
            <v>DO-YULQ005-W0-10</v>
          </cell>
          <cell r="B78" t="str">
            <v>DO-YULQ005</v>
          </cell>
        </row>
        <row r="79">
          <cell r="A79" t="str">
            <v>DO-YULQ005-W0-11</v>
          </cell>
          <cell r="B79" t="str">
            <v>DO-YULQ005</v>
          </cell>
        </row>
        <row r="80">
          <cell r="A80" t="str">
            <v>DO-YULQ006-B7-10</v>
          </cell>
          <cell r="B80" t="str">
            <v>DO-YULQ006</v>
          </cell>
        </row>
        <row r="81">
          <cell r="A81" t="str">
            <v>DO-YULQ006-B7-11</v>
          </cell>
          <cell r="B81" t="str">
            <v>DO-YULQ006</v>
          </cell>
        </row>
        <row r="82">
          <cell r="A82" t="str">
            <v>DO-YULQ006-PI-10</v>
          </cell>
          <cell r="B82" t="str">
            <v>DO-YULQ006</v>
          </cell>
        </row>
        <row r="83">
          <cell r="A83" t="str">
            <v>DO-YULQ006-PI-11</v>
          </cell>
          <cell r="B83" t="str">
            <v>DO-YULQ006</v>
          </cell>
        </row>
        <row r="84">
          <cell r="A84" t="str">
            <v>DO-YULQ007-LGR-16</v>
          </cell>
          <cell r="B84" t="str">
            <v>DO-YULQ007</v>
          </cell>
        </row>
        <row r="85">
          <cell r="A85" t="str">
            <v>DO-YULQ007-Y0-17</v>
          </cell>
          <cell r="B85" t="str">
            <v>DO-YULQ007</v>
          </cell>
        </row>
        <row r="86">
          <cell r="A86" t="str">
            <v>DO-YULQ008-LGR-16</v>
          </cell>
          <cell r="B86" t="str">
            <v>DO-YULQ008</v>
          </cell>
        </row>
        <row r="87">
          <cell r="A87" t="str">
            <v>DO-YULQ008-Y0-17</v>
          </cell>
          <cell r="B87" t="str">
            <v>DO-YULQ008</v>
          </cell>
        </row>
        <row r="88">
          <cell r="A88" t="str">
            <v>DO-YULQ010-NZ-22</v>
          </cell>
          <cell r="B88" t="str">
            <v>DO-YULQ010</v>
          </cell>
        </row>
        <row r="89">
          <cell r="A89" t="str">
            <v>DO-YULQ010-P0-22</v>
          </cell>
          <cell r="B89" t="str">
            <v>DO-YULQ010</v>
          </cell>
        </row>
        <row r="90">
          <cell r="A90" t="str">
            <v>DO-YULQ010-PI-15</v>
          </cell>
          <cell r="B90" t="str">
            <v>DO-YULQ010</v>
          </cell>
        </row>
        <row r="91">
          <cell r="A91" t="str">
            <v>DO-YULQ010-PI-22</v>
          </cell>
          <cell r="B91" t="str">
            <v>DO-YULQ010</v>
          </cell>
        </row>
        <row r="92">
          <cell r="A92" t="str">
            <v>DO-YULQ010-R2-22</v>
          </cell>
          <cell r="B92" t="str">
            <v>DO-YULQ010</v>
          </cell>
        </row>
        <row r="93">
          <cell r="A93" t="str">
            <v>DO-YULQ011-NZ-22</v>
          </cell>
          <cell r="B93" t="str">
            <v>DO-YULQ011</v>
          </cell>
        </row>
        <row r="94">
          <cell r="A94" t="str">
            <v>DO-YULQ012-PI-22</v>
          </cell>
          <cell r="B94" t="str">
            <v>DO-YULQ012</v>
          </cell>
        </row>
        <row r="95">
          <cell r="A95" t="str">
            <v>DO-YULQ017-B0-18</v>
          </cell>
          <cell r="B95" t="str">
            <v>DO-YULQ017</v>
          </cell>
        </row>
        <row r="96">
          <cell r="A96" t="str">
            <v>DO-YULQ017-P4-16</v>
          </cell>
          <cell r="B96" t="str">
            <v>DO-YULQ017</v>
          </cell>
        </row>
        <row r="97">
          <cell r="A97" t="str">
            <v>DO-YULQ018-B0-18</v>
          </cell>
          <cell r="B97" t="str">
            <v>DO-YULQ018</v>
          </cell>
        </row>
        <row r="98">
          <cell r="A98" t="str">
            <v>DO-YULQ018-P4-16</v>
          </cell>
          <cell r="B98" t="str">
            <v>DO-YULQ018</v>
          </cell>
        </row>
        <row r="99">
          <cell r="A99" t="str">
            <v>DO-YULQ021-PI-22</v>
          </cell>
          <cell r="B99" t="str">
            <v>DO-YULQ021</v>
          </cell>
        </row>
        <row r="100">
          <cell r="A100" t="str">
            <v>DO-YULQ021-W0-22</v>
          </cell>
          <cell r="B100" t="str">
            <v>DO-YULQ021</v>
          </cell>
        </row>
        <row r="101">
          <cell r="A101" t="str">
            <v>DO-YULQ042-W0-22</v>
          </cell>
          <cell r="B101" t="str">
            <v>DO-YULQ042</v>
          </cell>
        </row>
        <row r="102">
          <cell r="A102" t="str">
            <v>DO-YULQ057-BR-10</v>
          </cell>
          <cell r="B102" t="str">
            <v>DO-YULQ057</v>
          </cell>
        </row>
        <row r="103">
          <cell r="A103" t="str">
            <v>DO-YULQ057-SH-10</v>
          </cell>
          <cell r="B103" t="str">
            <v>DO-YULQ057</v>
          </cell>
        </row>
        <row r="104">
          <cell r="A104" t="str">
            <v>DO-YULQ058-BR-10</v>
          </cell>
          <cell r="B104" t="str">
            <v>DO-YULQ058</v>
          </cell>
        </row>
        <row r="105">
          <cell r="A105" t="str">
            <v>DO-YULQ058-SH-10</v>
          </cell>
          <cell r="B105" t="str">
            <v>DO-YULQ058</v>
          </cell>
        </row>
        <row r="106">
          <cell r="A106" t="str">
            <v>DO-YULQ060-LGR-22</v>
          </cell>
          <cell r="B106" t="str">
            <v>DO-YULQ060</v>
          </cell>
        </row>
        <row r="107">
          <cell r="A107" t="str">
            <v>DO-YULQ061-LGR-22</v>
          </cell>
          <cell r="B107" t="str">
            <v>DO-YULQ061</v>
          </cell>
        </row>
        <row r="108">
          <cell r="A108" t="str">
            <v>DO-YULQ061-W0-22</v>
          </cell>
          <cell r="B108" t="str">
            <v>DO-YULQ061</v>
          </cell>
        </row>
        <row r="109">
          <cell r="A109" t="str">
            <v>DO-YULQ062-PI-22</v>
          </cell>
          <cell r="B109" t="str">
            <v>DO-YULQ062</v>
          </cell>
        </row>
        <row r="110">
          <cell r="A110" t="str">
            <v>DO-YULQ063-PI-22</v>
          </cell>
          <cell r="B110" t="str">
            <v>DO-YULQ063</v>
          </cell>
        </row>
        <row r="111">
          <cell r="A111" t="str">
            <v>DO-YULQ064-X0-22</v>
          </cell>
          <cell r="B111" t="str">
            <v>DO-YULQ064</v>
          </cell>
        </row>
        <row r="112">
          <cell r="A112" t="str">
            <v>DO-YULQ070-PI-16</v>
          </cell>
          <cell r="B112" t="str">
            <v>DO-YULQ070</v>
          </cell>
        </row>
        <row r="113">
          <cell r="A113" t="str">
            <v>DO-YULQ071-B7-16</v>
          </cell>
          <cell r="B113" t="str">
            <v>DO-YULQ071</v>
          </cell>
        </row>
        <row r="114">
          <cell r="A114" t="str">
            <v>DO-YULQ071-PI-16</v>
          </cell>
          <cell r="B114" t="str">
            <v>DO-YULQ071</v>
          </cell>
        </row>
        <row r="115">
          <cell r="A115" t="str">
            <v>DO-YULQ072-LGR-22</v>
          </cell>
          <cell r="B115" t="str">
            <v>DO-YULQ072</v>
          </cell>
        </row>
        <row r="116">
          <cell r="A116" t="str">
            <v>DO-YULQ073-LGR-22</v>
          </cell>
          <cell r="B116" t="str">
            <v>DO-YULQ073</v>
          </cell>
        </row>
        <row r="117">
          <cell r="A117" t="str">
            <v>DO-YULQ080-B7-10</v>
          </cell>
          <cell r="B117" t="str">
            <v>DO-YULQ080</v>
          </cell>
        </row>
        <row r="118">
          <cell r="A118" t="str">
            <v>DO-YULQ080-PI-10</v>
          </cell>
          <cell r="B118" t="str">
            <v>DO-YULQ080</v>
          </cell>
        </row>
        <row r="119">
          <cell r="A119" t="str">
            <v>DO-YULQ081-B7-10</v>
          </cell>
          <cell r="B119" t="str">
            <v>DO-YULQ081</v>
          </cell>
        </row>
        <row r="120">
          <cell r="A120" t="str">
            <v>DO-YULQ081-PI-10</v>
          </cell>
          <cell r="B120" t="str">
            <v>DO-YULQ081</v>
          </cell>
        </row>
        <row r="121">
          <cell r="A121" t="str">
            <v>DO-YULQ100-B7-22</v>
          </cell>
          <cell r="B121" t="str">
            <v>DO-YULQ100</v>
          </cell>
        </row>
        <row r="122">
          <cell r="A122" t="str">
            <v>DO-YULQ100-G0-10</v>
          </cell>
          <cell r="B122" t="str">
            <v>DO-YULQ100</v>
          </cell>
        </row>
        <row r="123">
          <cell r="A123" t="str">
            <v>DO-YULQ100-R0-10</v>
          </cell>
          <cell r="B123" t="str">
            <v>DO-YULQ100</v>
          </cell>
        </row>
        <row r="124">
          <cell r="A124" t="str">
            <v>DO-YULQ101-PI-22</v>
          </cell>
          <cell r="B124" t="str">
            <v>DO-YULQ101</v>
          </cell>
        </row>
        <row r="125">
          <cell r="A125" t="str">
            <v>DO-YULQ105-PI-22</v>
          </cell>
          <cell r="B125" t="str">
            <v>DO-YULQ105</v>
          </cell>
        </row>
        <row r="126">
          <cell r="A126" t="str">
            <v>DO-YULQ105-R2-22</v>
          </cell>
          <cell r="B126" t="str">
            <v>DO-YULQ105</v>
          </cell>
        </row>
        <row r="127">
          <cell r="A127" t="str">
            <v>DO-YULQ106-PI-22</v>
          </cell>
          <cell r="B127" t="str">
            <v>DO-YULQ106</v>
          </cell>
        </row>
        <row r="128">
          <cell r="A128" t="str">
            <v>DO-YULQ107-PI-22</v>
          </cell>
          <cell r="B128" t="str">
            <v>DO-YULQ107</v>
          </cell>
        </row>
        <row r="129">
          <cell r="A129" t="str">
            <v>DO-YULQ110-R2-22</v>
          </cell>
          <cell r="B129" t="str">
            <v>DO-YULQ110</v>
          </cell>
        </row>
        <row r="130">
          <cell r="A130" t="str">
            <v>DO-YULQ111-PI-22</v>
          </cell>
          <cell r="B130" t="str">
            <v>DO-YULQ111</v>
          </cell>
        </row>
        <row r="131">
          <cell r="A131" t="str">
            <v>DO-YULQ111-R2-22</v>
          </cell>
          <cell r="B131" t="str">
            <v>DO-YULQ111</v>
          </cell>
        </row>
        <row r="132">
          <cell r="A132" t="str">
            <v>DO-YULQ115-R2-22</v>
          </cell>
          <cell r="B132" t="str">
            <v>DO-YULQ115</v>
          </cell>
        </row>
        <row r="133">
          <cell r="A133" t="str">
            <v>DO-YULQ121-PI-22</v>
          </cell>
          <cell r="B133" t="str">
            <v>DO-YULQ121</v>
          </cell>
        </row>
        <row r="134">
          <cell r="A134" t="str">
            <v>DO-YULQ122-FB-22</v>
          </cell>
          <cell r="B134" t="str">
            <v>DO-YULQ122</v>
          </cell>
        </row>
        <row r="135">
          <cell r="A135" t="str">
            <v>DO-YULQ123-FB-22</v>
          </cell>
          <cell r="B135" t="str">
            <v>DO-YULQ123</v>
          </cell>
        </row>
        <row r="136">
          <cell r="A136" t="str">
            <v>DO-YULQ123-W0-22</v>
          </cell>
          <cell r="B136" t="str">
            <v>DO-YULQ123</v>
          </cell>
        </row>
        <row r="137">
          <cell r="A137" t="str">
            <v>DO-YULQ149-B7-18</v>
          </cell>
          <cell r="B137" t="str">
            <v>DO-YULQ149</v>
          </cell>
        </row>
        <row r="138">
          <cell r="A138" t="str">
            <v>DO-YULQ150-B7-18</v>
          </cell>
          <cell r="B138" t="str">
            <v>DO-YULQ150</v>
          </cell>
        </row>
        <row r="139">
          <cell r="A139" t="str">
            <v>DO-YULQ150-B7-22</v>
          </cell>
          <cell r="B139" t="str">
            <v>DO-YULQ150</v>
          </cell>
        </row>
        <row r="140">
          <cell r="A140" t="str">
            <v>DO-YULQ150-K0-22</v>
          </cell>
          <cell r="B140" t="str">
            <v>DO-YULQ150</v>
          </cell>
        </row>
        <row r="141">
          <cell r="A141" t="str">
            <v>DO-YULQ150-PI-20</v>
          </cell>
          <cell r="B141" t="str">
            <v>DO-YULQ150</v>
          </cell>
        </row>
        <row r="142">
          <cell r="A142" t="str">
            <v>DO-YULQ150-R2-22</v>
          </cell>
          <cell r="B142" t="str">
            <v>DO-YULQ150</v>
          </cell>
        </row>
        <row r="143">
          <cell r="A143" t="str">
            <v>DO-YULQ151-W0-16</v>
          </cell>
          <cell r="B143" t="str">
            <v>DO-YULQ151</v>
          </cell>
        </row>
        <row r="144">
          <cell r="A144" t="str">
            <v>DO-YULQ152-B7-22</v>
          </cell>
          <cell r="B144" t="str">
            <v>DO-YULQ152</v>
          </cell>
        </row>
        <row r="145">
          <cell r="A145" t="str">
            <v>DO-YULQ152-Z1-22</v>
          </cell>
          <cell r="B145" t="str">
            <v>DO-YULQ152</v>
          </cell>
        </row>
        <row r="146">
          <cell r="A146" t="str">
            <v>DO-YULQ153-B7-22</v>
          </cell>
          <cell r="B146" t="str">
            <v>DO-YULQ153</v>
          </cell>
        </row>
        <row r="147">
          <cell r="A147" t="str">
            <v>DO-YULQ153-TW-20</v>
          </cell>
          <cell r="B147" t="str">
            <v>DO-YULQ153</v>
          </cell>
        </row>
        <row r="148">
          <cell r="A148" t="str">
            <v>DO-YULQ157-W0-22</v>
          </cell>
          <cell r="B148" t="str">
            <v>DO-YULQ157</v>
          </cell>
        </row>
        <row r="149">
          <cell r="A149" t="str">
            <v>DO-YULQ158-W0-22</v>
          </cell>
          <cell r="B149" t="str">
            <v>DO-YULQ158</v>
          </cell>
        </row>
        <row r="150">
          <cell r="A150" t="str">
            <v>DO-YULQ159-R2-22</v>
          </cell>
          <cell r="B150" t="str">
            <v>DO-YULQ159</v>
          </cell>
        </row>
        <row r="151">
          <cell r="A151" t="str">
            <v>DO-YULQ161-B7-16</v>
          </cell>
          <cell r="B151" t="str">
            <v>DO-YULQ161</v>
          </cell>
        </row>
        <row r="152">
          <cell r="A152" t="str">
            <v>DO-YULQ161-B7-22</v>
          </cell>
          <cell r="B152" t="str">
            <v>DO-YULQ161</v>
          </cell>
        </row>
        <row r="153">
          <cell r="A153" t="str">
            <v>DO-YULQ161-G0-16</v>
          </cell>
          <cell r="B153" t="str">
            <v>DO-YULQ161</v>
          </cell>
        </row>
        <row r="154">
          <cell r="A154" t="str">
            <v>DO-YULQ161-PI-16</v>
          </cell>
          <cell r="B154" t="str">
            <v>DO-YULQ161</v>
          </cell>
        </row>
        <row r="155">
          <cell r="A155" t="str">
            <v>DO-YULQ161-PI-22</v>
          </cell>
          <cell r="B155" t="str">
            <v>DO-YULQ161</v>
          </cell>
        </row>
        <row r="156">
          <cell r="A156" t="str">
            <v>DO-YULQ162-PI-16</v>
          </cell>
          <cell r="B156" t="str">
            <v>DO-YULQ162</v>
          </cell>
        </row>
        <row r="157">
          <cell r="A157" t="str">
            <v>DO-YULQ163-B7-22</v>
          </cell>
          <cell r="B157" t="str">
            <v>DO-YULQ163</v>
          </cell>
        </row>
        <row r="158">
          <cell r="A158" t="str">
            <v>DO-YULQ163-PI-22</v>
          </cell>
          <cell r="B158" t="str">
            <v>DO-YULQ163</v>
          </cell>
        </row>
        <row r="159">
          <cell r="A159" t="str">
            <v>DO-YULQ165-B7-16</v>
          </cell>
          <cell r="B159" t="str">
            <v>DO-YULQ165</v>
          </cell>
        </row>
        <row r="160">
          <cell r="A160" t="str">
            <v>DO-YULQ165-PI-16</v>
          </cell>
          <cell r="B160" t="str">
            <v>DO-YULQ165</v>
          </cell>
        </row>
        <row r="161">
          <cell r="A161" t="str">
            <v>DO-YULQ170-LGR-22</v>
          </cell>
          <cell r="B161" t="str">
            <v>DO-YULQ170</v>
          </cell>
        </row>
        <row r="162">
          <cell r="A162" t="str">
            <v>DO-YULQ171-B0-22</v>
          </cell>
          <cell r="B162" t="str">
            <v>DO-YULQ171</v>
          </cell>
        </row>
        <row r="163">
          <cell r="A163" t="str">
            <v>DO-YULQ171-BD-22</v>
          </cell>
          <cell r="B163" t="str">
            <v>DO-YULQ171</v>
          </cell>
        </row>
        <row r="164">
          <cell r="A164" t="str">
            <v>DO-YULQ171-LGR-22</v>
          </cell>
          <cell r="B164" t="str">
            <v>DO-YULQ171</v>
          </cell>
        </row>
        <row r="165">
          <cell r="A165" t="str">
            <v>DO-YULQ172-BD-22</v>
          </cell>
          <cell r="B165" t="str">
            <v>DO-YULQ172</v>
          </cell>
        </row>
        <row r="166">
          <cell r="A166" t="str">
            <v>DO-YULQ173-B7-22</v>
          </cell>
          <cell r="B166" t="str">
            <v>DO-YULQ173</v>
          </cell>
        </row>
        <row r="167">
          <cell r="A167" t="str">
            <v>DO-YULQ200-PI-10</v>
          </cell>
          <cell r="B167" t="str">
            <v>DO-YULQ200</v>
          </cell>
        </row>
        <row r="168">
          <cell r="A168" t="str">
            <v>DO-YULQ200-W0-10</v>
          </cell>
          <cell r="B168" t="str">
            <v>DO-YULQ200</v>
          </cell>
        </row>
        <row r="169">
          <cell r="A169" t="str">
            <v>DO-YULQ202-P4-22</v>
          </cell>
          <cell r="B169" t="str">
            <v>DO-YULQ202</v>
          </cell>
        </row>
        <row r="170">
          <cell r="A170" t="str">
            <v>DO-YULQ203-P4-22</v>
          </cell>
          <cell r="B170" t="str">
            <v>DO-YULQ203</v>
          </cell>
        </row>
        <row r="171">
          <cell r="A171" t="str">
            <v>DO-YULQ220-R2-22</v>
          </cell>
          <cell r="B171" t="str">
            <v>DO-YULQ220</v>
          </cell>
        </row>
        <row r="172">
          <cell r="A172" t="str">
            <v>DO-YULQ229-PI-16</v>
          </cell>
          <cell r="B172" t="str">
            <v>DO-YULQ229</v>
          </cell>
        </row>
        <row r="173">
          <cell r="A173" t="str">
            <v>DO-YULQ230-PI-16</v>
          </cell>
          <cell r="B173" t="str">
            <v>DO-YULQ230</v>
          </cell>
        </row>
        <row r="174">
          <cell r="A174" t="str">
            <v>DO-YULQ232-W0-10</v>
          </cell>
          <cell r="B174" t="str">
            <v>DO-YULQ232</v>
          </cell>
        </row>
        <row r="175">
          <cell r="A175" t="str">
            <v>DO-YULQ259-PI-20</v>
          </cell>
          <cell r="B175" t="str">
            <v>DO-YULQ259</v>
          </cell>
        </row>
        <row r="176">
          <cell r="A176" t="str">
            <v>DO-YULQ259-PI-22</v>
          </cell>
          <cell r="B176" t="str">
            <v>DO-YULQ259</v>
          </cell>
        </row>
        <row r="177">
          <cell r="A177" t="str">
            <v>DO-YULQ330-PI-18</v>
          </cell>
          <cell r="B177" t="str">
            <v>DO-YULQ330</v>
          </cell>
        </row>
        <row r="178">
          <cell r="A178" t="str">
            <v>DO-YULQ331-LGR-20</v>
          </cell>
          <cell r="B178" t="str">
            <v>DO-YULQ331</v>
          </cell>
        </row>
        <row r="179">
          <cell r="A179" t="str">
            <v>DO-YULQ332-LGR-20</v>
          </cell>
          <cell r="B179" t="str">
            <v>DO-YULQ332</v>
          </cell>
        </row>
        <row r="180">
          <cell r="A180" t="str">
            <v>DO-YULQ349-PI-22</v>
          </cell>
          <cell r="B180" t="str">
            <v>DO-YULQ349</v>
          </cell>
        </row>
        <row r="181">
          <cell r="A181" t="str">
            <v>DO-YULQ350-PI-22</v>
          </cell>
          <cell r="B181" t="str">
            <v>DO-YULQ350</v>
          </cell>
        </row>
        <row r="182">
          <cell r="A182" t="str">
            <v>DO-YULQ372-R0-22</v>
          </cell>
          <cell r="B182" t="str">
            <v>DO-YULQ372</v>
          </cell>
        </row>
        <row r="183">
          <cell r="A183" t="str">
            <v>DO-YULQ516-B0-22</v>
          </cell>
          <cell r="B183" t="str">
            <v>DO-YULQ516</v>
          </cell>
        </row>
        <row r="184">
          <cell r="A184" t="str">
            <v>DO-YULQ601-PI-22</v>
          </cell>
          <cell r="B184" t="str">
            <v>DO-YULQ601</v>
          </cell>
        </row>
        <row r="185">
          <cell r="A185" t="str">
            <v>DO-YULQ602-PI-22</v>
          </cell>
          <cell r="B185" t="str">
            <v>DO-YULQ602</v>
          </cell>
        </row>
        <row r="186">
          <cell r="A186" t="str">
            <v>DO-YULQ602-R2-15</v>
          </cell>
          <cell r="B186" t="str">
            <v>DO-YULQ602</v>
          </cell>
        </row>
        <row r="187">
          <cell r="A187" t="str">
            <v>DO-YULQ603-PI-22</v>
          </cell>
          <cell r="B187" t="str">
            <v>DO-YULQ603</v>
          </cell>
        </row>
        <row r="188">
          <cell r="A188" t="str">
            <v>DO-YULQ604-PI-22</v>
          </cell>
          <cell r="B188" t="str">
            <v>DO-YULQ604</v>
          </cell>
        </row>
        <row r="189">
          <cell r="A189" t="str">
            <v>DO-YULQ605-PI-16</v>
          </cell>
          <cell r="B189" t="str">
            <v>DO-YULQ605</v>
          </cell>
        </row>
        <row r="190">
          <cell r="A190" t="str">
            <v>DO-YULQ605-PI-22</v>
          </cell>
          <cell r="B190" t="str">
            <v>DO-YULQ605</v>
          </cell>
        </row>
        <row r="191">
          <cell r="A191" t="str">
            <v>DO-YULQ606-W0-22</v>
          </cell>
          <cell r="B191" t="str">
            <v>DO-YULQ606</v>
          </cell>
        </row>
        <row r="192">
          <cell r="A192" t="str">
            <v>DO-YULQ609-R2-22</v>
          </cell>
          <cell r="B192" t="str">
            <v>DO-YULQ609</v>
          </cell>
        </row>
        <row r="193">
          <cell r="A193" t="str">
            <v>DO-YULQ610-R2-22</v>
          </cell>
          <cell r="B193" t="str">
            <v>DO-YULQ610</v>
          </cell>
        </row>
        <row r="194">
          <cell r="A194" t="str">
            <v>DO-YULQ610-TW-22</v>
          </cell>
          <cell r="B194" t="str">
            <v>DO-YULQ610</v>
          </cell>
        </row>
        <row r="195">
          <cell r="A195" t="str">
            <v>DO-YULQ611-TW-22</v>
          </cell>
          <cell r="B195" t="str">
            <v>DO-YULQ611</v>
          </cell>
        </row>
        <row r="196">
          <cell r="A196" t="str">
            <v>DO-YULQ620-NZ-22</v>
          </cell>
          <cell r="B196" t="str">
            <v>DO-YULQ620</v>
          </cell>
        </row>
        <row r="197">
          <cell r="A197" t="str">
            <v>DO-YULQ620-PI-22</v>
          </cell>
          <cell r="B197" t="str">
            <v>DO-YULQ620</v>
          </cell>
        </row>
        <row r="198">
          <cell r="A198" t="str">
            <v>DO-YULQ630-R2-15</v>
          </cell>
          <cell r="B198" t="str">
            <v>DO-YULQ630</v>
          </cell>
        </row>
        <row r="199">
          <cell r="A199" t="str">
            <v>DO-YULQ631-R2-22</v>
          </cell>
          <cell r="B199" t="str">
            <v>DO-YULQ631</v>
          </cell>
        </row>
        <row r="200">
          <cell r="A200" t="str">
            <v>DO-YULQ637-B7-20</v>
          </cell>
          <cell r="B200" t="str">
            <v>DO-YULQ637</v>
          </cell>
        </row>
        <row r="201">
          <cell r="A201" t="str">
            <v>DO-YULQ637-PI-20</v>
          </cell>
          <cell r="B201" t="str">
            <v>DO-YULQ637</v>
          </cell>
        </row>
        <row r="202">
          <cell r="A202" t="str">
            <v>DO-YULQ638-B7-20</v>
          </cell>
          <cell r="B202" t="str">
            <v>DO-YULQ638</v>
          </cell>
        </row>
        <row r="203">
          <cell r="A203" t="str">
            <v>DO-YULQ638-LGR-20</v>
          </cell>
          <cell r="B203" t="str">
            <v>DO-YULQ638</v>
          </cell>
        </row>
        <row r="204">
          <cell r="A204" t="str">
            <v>DO-YULQ638-PI-20</v>
          </cell>
          <cell r="B204" t="str">
            <v>DO-YULQ638</v>
          </cell>
        </row>
        <row r="205">
          <cell r="A205" t="str">
            <v>DO-YULQ639-LGR-22</v>
          </cell>
          <cell r="B205" t="str">
            <v>DO-YULQ639</v>
          </cell>
        </row>
        <row r="206">
          <cell r="A206" t="str">
            <v>DO-YULQ639-R2-22</v>
          </cell>
          <cell r="B206" t="str">
            <v>DO-YULQ639</v>
          </cell>
        </row>
        <row r="207">
          <cell r="A207" t="str">
            <v>DO-YULQ662-PI-15</v>
          </cell>
          <cell r="B207" t="str">
            <v>DO-YULQ662</v>
          </cell>
        </row>
        <row r="208">
          <cell r="A208" t="str">
            <v>DO-YULQ663-PI-15</v>
          </cell>
          <cell r="B208" t="str">
            <v>DO-YULQ663</v>
          </cell>
        </row>
        <row r="209">
          <cell r="A209" t="str">
            <v>DO-YULQ664-AX-16</v>
          </cell>
          <cell r="B209" t="str">
            <v>DO-YULQ664</v>
          </cell>
        </row>
        <row r="210">
          <cell r="A210" t="str">
            <v>DO-YULQ700-PI-22</v>
          </cell>
          <cell r="B210" t="str">
            <v>DO-YULQ700</v>
          </cell>
        </row>
        <row r="211">
          <cell r="A211" t="str">
            <v>DO-YULQ700-W0-22</v>
          </cell>
          <cell r="B211" t="str">
            <v>DO-YULQ700</v>
          </cell>
        </row>
        <row r="212">
          <cell r="A212" t="str">
            <v>DO-YULQ701-PI-22</v>
          </cell>
          <cell r="B212" t="str">
            <v>DO-YULQ701</v>
          </cell>
        </row>
        <row r="213">
          <cell r="A213" t="str">
            <v>DO-YULQ702-PI-22</v>
          </cell>
          <cell r="B213" t="str">
            <v>DO-YULQ702</v>
          </cell>
        </row>
        <row r="214">
          <cell r="A214" t="str">
            <v>DO-YULQ703-PI-22</v>
          </cell>
          <cell r="B214" t="str">
            <v>DO-YULQ703</v>
          </cell>
        </row>
        <row r="215">
          <cell r="A215" t="str">
            <v>DO-YULQ704-B0-24</v>
          </cell>
          <cell r="B215" t="str">
            <v>DO-YULQ704</v>
          </cell>
        </row>
        <row r="216">
          <cell r="A216" t="str">
            <v>DO-YULQ705-0R-10</v>
          </cell>
          <cell r="B216" t="str">
            <v>DO-YULQ705</v>
          </cell>
        </row>
        <row r="217">
          <cell r="A217" t="str">
            <v>DO-YULQ705-BR-10</v>
          </cell>
          <cell r="B217" t="str">
            <v>DO-YULQ705</v>
          </cell>
        </row>
        <row r="218">
          <cell r="A218" t="str">
            <v>DO-YULQ705-BR-11</v>
          </cell>
          <cell r="B218" t="str">
            <v>DO-YULQ705</v>
          </cell>
        </row>
        <row r="219">
          <cell r="A219" t="str">
            <v>DO-YULQ705-GR-11</v>
          </cell>
          <cell r="B219" t="str">
            <v>DO-YULQ705</v>
          </cell>
        </row>
        <row r="220">
          <cell r="A220" t="str">
            <v>DO-YULQ705-W0-22</v>
          </cell>
          <cell r="B220" t="str">
            <v>DO-YULQ705</v>
          </cell>
        </row>
        <row r="221">
          <cell r="A221" t="str">
            <v>DO-YULQ706-R0-24</v>
          </cell>
          <cell r="B221" t="str">
            <v>DO-YULQ706</v>
          </cell>
        </row>
        <row r="222">
          <cell r="A222" t="str">
            <v>DO-YULQ707-PI-24</v>
          </cell>
          <cell r="B222" t="str">
            <v>DO-YULQ707</v>
          </cell>
        </row>
        <row r="223">
          <cell r="A223" t="str">
            <v>DO-YULQ708-W0-24</v>
          </cell>
          <cell r="B223" t="str">
            <v>DO-YULQ708</v>
          </cell>
        </row>
        <row r="224">
          <cell r="A224" t="str">
            <v>DO-YULQ811-W0-18</v>
          </cell>
          <cell r="B224" t="str">
            <v>DO-YULQ811</v>
          </cell>
        </row>
        <row r="225">
          <cell r="A225" t="str">
            <v>DO-YULQ812-W0-18</v>
          </cell>
          <cell r="B225" t="str">
            <v>DO-YULQ812</v>
          </cell>
        </row>
        <row r="226">
          <cell r="A226" t="str">
            <v>DO-YULQ904-B7-22</v>
          </cell>
          <cell r="B226" t="str">
            <v>DO-YULQ904</v>
          </cell>
        </row>
        <row r="227">
          <cell r="A227" t="str">
            <v>DO-YULQ905-B7-22</v>
          </cell>
          <cell r="B227" t="str">
            <v>DO-YULQ905</v>
          </cell>
        </row>
        <row r="228">
          <cell r="A228" t="str">
            <v>DO-YULQ985-B7-20</v>
          </cell>
          <cell r="B228" t="str">
            <v>DO-YULQ905</v>
          </cell>
        </row>
        <row r="229">
          <cell r="A229" t="str">
            <v>HF-FL1</v>
          </cell>
          <cell r="B229" t="str">
            <v>HF-FL1</v>
          </cell>
        </row>
        <row r="230">
          <cell r="A230" t="str">
            <v>JFB-FLQ55-PI-17</v>
          </cell>
          <cell r="B230" t="str">
            <v>JFB-FLQ55</v>
          </cell>
        </row>
        <row r="231">
          <cell r="A231" t="str">
            <v>LYQ-1001-B0-2XL</v>
          </cell>
          <cell r="B231" t="str">
            <v>LYQ-1001</v>
          </cell>
        </row>
        <row r="232">
          <cell r="A232" t="str">
            <v>LYQ-1001-B0-L</v>
          </cell>
          <cell r="B232" t="str">
            <v>LYQ-1001</v>
          </cell>
        </row>
        <row r="233">
          <cell r="A233" t="str">
            <v>LYQ-1001-B0-M</v>
          </cell>
          <cell r="B233" t="str">
            <v>LYQ-1001</v>
          </cell>
        </row>
        <row r="234">
          <cell r="A234" t="str">
            <v>LYQ-1001-B0-XL</v>
          </cell>
          <cell r="B234" t="str">
            <v>LYQ-1001</v>
          </cell>
        </row>
        <row r="235">
          <cell r="A235" t="str">
            <v>LYQ-1001-B0-XS</v>
          </cell>
          <cell r="B235" t="str">
            <v>LYQ-1001</v>
          </cell>
        </row>
        <row r="236">
          <cell r="A236" t="str">
            <v>LYQ-1001-G0-2XL</v>
          </cell>
          <cell r="B236" t="str">
            <v>LYQ-1001</v>
          </cell>
        </row>
        <row r="237">
          <cell r="A237" t="str">
            <v>LYQ-1001-G0-M</v>
          </cell>
          <cell r="B237" t="str">
            <v>LYQ-1001</v>
          </cell>
        </row>
        <row r="238">
          <cell r="A238" t="str">
            <v>LYQ-1001-G0-S</v>
          </cell>
          <cell r="B238" t="str">
            <v>LYQ-1001</v>
          </cell>
        </row>
        <row r="239">
          <cell r="A239" t="str">
            <v>LYQ-1001-G0-XS</v>
          </cell>
          <cell r="B239" t="str">
            <v>LYQ-1001</v>
          </cell>
        </row>
        <row r="240">
          <cell r="A240" t="str">
            <v>LYQ-1001-G7-2XL</v>
          </cell>
          <cell r="B240" t="str">
            <v>LYQ-1001</v>
          </cell>
        </row>
        <row r="241">
          <cell r="A241" t="str">
            <v>LYQ-1001-G7-M</v>
          </cell>
          <cell r="B241" t="str">
            <v>LYQ-1001</v>
          </cell>
        </row>
        <row r="242">
          <cell r="A242" t="str">
            <v>LYQ-1001-G7-S</v>
          </cell>
          <cell r="B242" t="str">
            <v>LYQ-1001</v>
          </cell>
        </row>
        <row r="243">
          <cell r="A243" t="str">
            <v>LYQ-1001-G7-XL</v>
          </cell>
          <cell r="B243" t="str">
            <v>LYQ-1001</v>
          </cell>
        </row>
        <row r="244">
          <cell r="A244" t="str">
            <v>LYQ-1001-G7-XS</v>
          </cell>
          <cell r="B244" t="str">
            <v>LYQ-1001</v>
          </cell>
        </row>
        <row r="245">
          <cell r="A245" t="str">
            <v>LYQ-1001-K0-L</v>
          </cell>
          <cell r="B245" t="str">
            <v>LYQ-1001</v>
          </cell>
        </row>
        <row r="246">
          <cell r="A246" t="str">
            <v>LYQ-1001-K0-M</v>
          </cell>
          <cell r="B246" t="str">
            <v>LYQ-1001</v>
          </cell>
        </row>
        <row r="247">
          <cell r="A247" t="str">
            <v>LYQ-1001-K0-S</v>
          </cell>
          <cell r="B247" t="str">
            <v>LYQ-1001</v>
          </cell>
        </row>
        <row r="248">
          <cell r="A248" t="str">
            <v>LYQ-1001-K0-XL</v>
          </cell>
          <cell r="B248" t="str">
            <v>LYQ-1001</v>
          </cell>
        </row>
        <row r="249">
          <cell r="A249" t="str">
            <v>LYQ-1001-N0-2XL</v>
          </cell>
          <cell r="B249" t="str">
            <v>LYQ-1001</v>
          </cell>
        </row>
        <row r="250">
          <cell r="A250" t="str">
            <v>LYQ-1001-N0-L</v>
          </cell>
          <cell r="B250" t="str">
            <v>LYQ-1001</v>
          </cell>
        </row>
        <row r="251">
          <cell r="A251" t="str">
            <v>LYQ-1001-N0-S</v>
          </cell>
          <cell r="B251" t="str">
            <v>LYQ-1001</v>
          </cell>
        </row>
        <row r="252">
          <cell r="A252" t="str">
            <v>LYQ-1001-N0-XL</v>
          </cell>
          <cell r="B252" t="str">
            <v>LYQ-1001</v>
          </cell>
        </row>
        <row r="253">
          <cell r="A253" t="str">
            <v>LYQ-1001-N0-XS</v>
          </cell>
          <cell r="B253" t="str">
            <v>LYQ-1001</v>
          </cell>
        </row>
        <row r="254">
          <cell r="A254" t="str">
            <v>LYQ-1001New-P0-2XL</v>
          </cell>
          <cell r="B254" t="str">
            <v>LYQ-1001</v>
          </cell>
        </row>
        <row r="255">
          <cell r="A255" t="str">
            <v>LYQ-1001New-P0-L</v>
          </cell>
          <cell r="B255" t="str">
            <v>LYQ-1001</v>
          </cell>
        </row>
        <row r="256">
          <cell r="A256" t="str">
            <v>LYQ-1001New-P0-M</v>
          </cell>
          <cell r="B256" t="str">
            <v>LYQ-1001</v>
          </cell>
        </row>
        <row r="257">
          <cell r="A257" t="str">
            <v>LYQ-1001New-P0-S</v>
          </cell>
          <cell r="B257" t="str">
            <v>LYQ-1001</v>
          </cell>
        </row>
        <row r="258">
          <cell r="A258" t="str">
            <v>LYQ-1001New-P0-XL</v>
          </cell>
          <cell r="B258" t="str">
            <v>LYQ-1001</v>
          </cell>
        </row>
        <row r="259">
          <cell r="A259" t="str">
            <v>LYQ-1001New-P0-XS</v>
          </cell>
          <cell r="B259" t="str">
            <v>LYQ-1001</v>
          </cell>
        </row>
        <row r="260">
          <cell r="A260" t="str">
            <v>LYQ-1001-P0-2XL</v>
          </cell>
          <cell r="B260" t="str">
            <v>LYQ-1001</v>
          </cell>
        </row>
        <row r="261">
          <cell r="A261" t="str">
            <v>LYQ-1001-P0-L</v>
          </cell>
          <cell r="B261" t="str">
            <v>LYQ-1001</v>
          </cell>
        </row>
        <row r="262">
          <cell r="A262" t="str">
            <v>LYQ-1001-P0-M</v>
          </cell>
          <cell r="B262" t="str">
            <v>LYQ-1001</v>
          </cell>
        </row>
        <row r="263">
          <cell r="A263" t="str">
            <v>LYQ-1001-P0-S</v>
          </cell>
          <cell r="B263" t="str">
            <v>LYQ-1001</v>
          </cell>
        </row>
        <row r="264">
          <cell r="A264" t="str">
            <v>LYQ-1001-P0-XL</v>
          </cell>
          <cell r="B264" t="str">
            <v>LYQ-1001</v>
          </cell>
        </row>
        <row r="265">
          <cell r="A265" t="str">
            <v>LYQ-1001-P0-XS</v>
          </cell>
          <cell r="B265" t="str">
            <v>LYQ-1001</v>
          </cell>
        </row>
        <row r="266">
          <cell r="A266" t="str">
            <v>LYQ-1001-R0-2XL</v>
          </cell>
          <cell r="B266" t="str">
            <v>LYQ-1001</v>
          </cell>
        </row>
        <row r="267">
          <cell r="A267" t="str">
            <v>LYQ-1001-R0-L</v>
          </cell>
          <cell r="B267" t="str">
            <v>LYQ-1001</v>
          </cell>
        </row>
        <row r="268">
          <cell r="A268" t="str">
            <v>LYQ-1001-R0-M</v>
          </cell>
          <cell r="B268" t="str">
            <v>LYQ-1001</v>
          </cell>
        </row>
        <row r="269">
          <cell r="A269" t="str">
            <v>LYQ-1001-R0-S</v>
          </cell>
          <cell r="B269" t="str">
            <v>LYQ-1001</v>
          </cell>
        </row>
        <row r="270">
          <cell r="A270" t="str">
            <v>LYQ-1001-R0-XL</v>
          </cell>
          <cell r="B270" t="str">
            <v>LYQ-1001</v>
          </cell>
        </row>
        <row r="271">
          <cell r="A271" t="str">
            <v>LYQ-1001-R0-XS</v>
          </cell>
          <cell r="B271" t="str">
            <v>LYQ-1001</v>
          </cell>
        </row>
        <row r="272">
          <cell r="A272" t="str">
            <v>LYQ-1001-W0-2XL</v>
          </cell>
          <cell r="B272" t="str">
            <v>LYQ-1001</v>
          </cell>
        </row>
        <row r="273">
          <cell r="A273" t="str">
            <v>LYQ-1001-W0-L</v>
          </cell>
          <cell r="B273" t="str">
            <v>LYQ-1001</v>
          </cell>
        </row>
        <row r="274">
          <cell r="A274" t="str">
            <v>LYQ-1001-W0-M</v>
          </cell>
          <cell r="B274" t="str">
            <v>LYQ-1001</v>
          </cell>
        </row>
        <row r="275">
          <cell r="A275" t="str">
            <v>LYQ-1001-W0-XL</v>
          </cell>
          <cell r="B275" t="str">
            <v>LYQ-1001</v>
          </cell>
        </row>
        <row r="276">
          <cell r="A276" t="str">
            <v>LYQ-1001-W0-XS</v>
          </cell>
          <cell r="B276" t="str">
            <v>LYQ-1001</v>
          </cell>
        </row>
        <row r="277">
          <cell r="A277" t="str">
            <v>LYQ-1001-Z0-2XL</v>
          </cell>
          <cell r="B277" t="str">
            <v>LYQ-1001</v>
          </cell>
        </row>
        <row r="278">
          <cell r="A278" t="str">
            <v>LYQ-1001-Z0-L</v>
          </cell>
          <cell r="B278" t="str">
            <v>LYQ-1001</v>
          </cell>
        </row>
        <row r="279">
          <cell r="A279" t="str">
            <v>LYQ-1001-Z0-M</v>
          </cell>
          <cell r="B279" t="str">
            <v>LYQ-1001</v>
          </cell>
        </row>
        <row r="280">
          <cell r="A280" t="str">
            <v>LYQ-1001-Z0-S</v>
          </cell>
          <cell r="B280" t="str">
            <v>LYQ-1001</v>
          </cell>
        </row>
        <row r="281">
          <cell r="A281" t="str">
            <v>LYQ-1001-Z0-XL</v>
          </cell>
          <cell r="B281" t="str">
            <v>LYQ-1001</v>
          </cell>
        </row>
        <row r="282">
          <cell r="A282" t="str">
            <v>LYQ-1001-Z0-XS</v>
          </cell>
          <cell r="B282" t="str">
            <v>LYQ-1001</v>
          </cell>
        </row>
        <row r="283">
          <cell r="A283" t="str">
            <v>LYQ-CL0045-K0-L</v>
          </cell>
          <cell r="B283" t="str">
            <v>LYQ-CL0045</v>
          </cell>
        </row>
        <row r="284">
          <cell r="A284" t="str">
            <v>LYQ-CL0045-K0-S</v>
          </cell>
          <cell r="B284" t="str">
            <v>LYQ-CL0045</v>
          </cell>
        </row>
        <row r="285">
          <cell r="A285" t="str">
            <v>LYQ-CL0045-K0-XL</v>
          </cell>
          <cell r="B285" t="str">
            <v>LYQ-CL0045</v>
          </cell>
        </row>
        <row r="286">
          <cell r="A286" t="str">
            <v>LYQ-CL0045-Y0-L</v>
          </cell>
          <cell r="B286" t="str">
            <v>LYQ-CL0045</v>
          </cell>
        </row>
        <row r="287">
          <cell r="A287" t="str">
            <v>LYQ-CL0045-Y0-M</v>
          </cell>
          <cell r="B287" t="str">
            <v>LYQ-CL0045</v>
          </cell>
        </row>
        <row r="288">
          <cell r="A288" t="str">
            <v>LYQ-CL0045-Y0-S</v>
          </cell>
          <cell r="B288" t="str">
            <v>LYQ-CL0045</v>
          </cell>
        </row>
        <row r="289">
          <cell r="A289" t="str">
            <v>LYQ-CL0045-Y0-XL</v>
          </cell>
          <cell r="B289" t="str">
            <v>LYQ-CL0045</v>
          </cell>
        </row>
        <row r="290">
          <cell r="A290" t="str">
            <v>LYQ-CL61652-R6-M</v>
          </cell>
          <cell r="B290" t="str">
            <v>LYQ-CL61652</v>
          </cell>
        </row>
        <row r="291">
          <cell r="A291" t="str">
            <v>LYQ-CL6287-B0-L</v>
          </cell>
          <cell r="B291" t="str">
            <v>LYQ-CL6287</v>
          </cell>
        </row>
        <row r="292">
          <cell r="A292" t="str">
            <v>LYQ-CL6287-FB-L</v>
          </cell>
          <cell r="B292" t="str">
            <v>LYQ-CL6287</v>
          </cell>
        </row>
        <row r="293">
          <cell r="A293" t="str">
            <v>LYQ-CL6287-G7-L</v>
          </cell>
          <cell r="B293" t="str">
            <v>LYQ-CL6287</v>
          </cell>
        </row>
        <row r="294">
          <cell r="A294" t="str">
            <v>LYQ-CL6287-G7-M</v>
          </cell>
          <cell r="B294" t="str">
            <v>LYQ-CL6287</v>
          </cell>
        </row>
        <row r="295">
          <cell r="A295" t="str">
            <v>LYQ-CL6287-K0-L</v>
          </cell>
          <cell r="B295" t="str">
            <v>LYQ-CL6287</v>
          </cell>
        </row>
        <row r="296">
          <cell r="A296" t="str">
            <v>LYQ-CL6287-K0-M</v>
          </cell>
          <cell r="B296" t="str">
            <v>LYQ-CL6287</v>
          </cell>
        </row>
        <row r="297">
          <cell r="A297" t="str">
            <v>LYQ-CL6408NO-G0-L</v>
          </cell>
          <cell r="B297" t="str">
            <v>LYQ-CL6408NO</v>
          </cell>
        </row>
        <row r="298">
          <cell r="A298" t="str">
            <v>LYQ-CL6408NO-K0-L</v>
          </cell>
          <cell r="B298" t="str">
            <v>LYQ-CL6408NO</v>
          </cell>
        </row>
        <row r="299">
          <cell r="A299" t="str">
            <v>LYQ-CL6408SL-G0XL</v>
          </cell>
          <cell r="B299" t="str">
            <v>LYQ-CL6408SL</v>
          </cell>
        </row>
        <row r="300">
          <cell r="A300" t="str">
            <v>LYQ-CL6408SL-K0XL</v>
          </cell>
          <cell r="B300" t="str">
            <v>LYQ-CL6408SL</v>
          </cell>
        </row>
        <row r="301">
          <cell r="A301" t="str">
            <v>LYQ-CLBAH002-L</v>
          </cell>
          <cell r="B301" t="str">
            <v>LYQ-CLBAH002</v>
          </cell>
        </row>
        <row r="302">
          <cell r="A302" t="str">
            <v>LYQ-CLBAH002-M</v>
          </cell>
          <cell r="B302" t="str">
            <v>LYQ-CLBAH002</v>
          </cell>
        </row>
        <row r="303">
          <cell r="A303" t="str">
            <v>LYQ-CLBAH002-S</v>
          </cell>
          <cell r="B303" t="str">
            <v>LYQ-CLBAH002</v>
          </cell>
        </row>
        <row r="304">
          <cell r="A304" t="str">
            <v>LYQ-CLBAH002-XL</v>
          </cell>
          <cell r="B304" t="str">
            <v>LYQ-CLBAH002</v>
          </cell>
        </row>
        <row r="305">
          <cell r="A305" t="str">
            <v>LYQ-CSM048-G0-L</v>
          </cell>
          <cell r="B305" t="str">
            <v>LYQ-CSM048</v>
          </cell>
        </row>
        <row r="306">
          <cell r="A306" t="str">
            <v>LYQ-CSM048-G0-S</v>
          </cell>
          <cell r="B306" t="str">
            <v>LYQ-CSM048</v>
          </cell>
        </row>
        <row r="307">
          <cell r="A307" t="str">
            <v>LYQ-CSM048-GR0-M</v>
          </cell>
          <cell r="B307" t="str">
            <v>LYQ-CSM048</v>
          </cell>
        </row>
        <row r="308">
          <cell r="A308" t="str">
            <v>LYQ-CSM048-GR1-L</v>
          </cell>
          <cell r="B308" t="str">
            <v>LYQ-CSM048</v>
          </cell>
        </row>
        <row r="309">
          <cell r="A309" t="str">
            <v>LYQ-CSM048-GR1-XL</v>
          </cell>
          <cell r="B309" t="str">
            <v>LYQ-CSM048</v>
          </cell>
        </row>
        <row r="310">
          <cell r="A310" t="str">
            <v>LYQ-CSM048-K0-S</v>
          </cell>
          <cell r="B310" t="str">
            <v>LYQ-CSM048</v>
          </cell>
        </row>
        <row r="311">
          <cell r="A311" t="str">
            <v>LYQ-CSM048-ZL-L</v>
          </cell>
          <cell r="B311" t="str">
            <v>LYQ-CSM048</v>
          </cell>
        </row>
        <row r="312">
          <cell r="A312" t="str">
            <v>LYQ-CSM048-ZL-XL</v>
          </cell>
          <cell r="B312" t="str">
            <v>LYQ-CSM048</v>
          </cell>
        </row>
        <row r="313">
          <cell r="A313" t="str">
            <v>LYQ-HM0505-W0-3XL</v>
          </cell>
          <cell r="B313" t="str">
            <v>LYQ-HM0505</v>
          </cell>
        </row>
        <row r="314">
          <cell r="A314" t="str">
            <v>LYQ-HM1205-BR-L</v>
          </cell>
          <cell r="B314" t="str">
            <v>LYQ-HM1205</v>
          </cell>
        </row>
        <row r="315">
          <cell r="A315" t="str">
            <v>LYQ-HM1205-BR-M</v>
          </cell>
          <cell r="B315" t="str">
            <v>LYQ-HM1205</v>
          </cell>
        </row>
        <row r="316">
          <cell r="A316" t="str">
            <v>LYQ-HM1205-BR-S</v>
          </cell>
          <cell r="B316" t="str">
            <v>LYQ-HM1205</v>
          </cell>
        </row>
        <row r="317">
          <cell r="A317" t="str">
            <v>LYQ-HM1205-BR-XL</v>
          </cell>
          <cell r="B317" t="str">
            <v>LYQ-HM1205</v>
          </cell>
        </row>
        <row r="318">
          <cell r="A318" t="str">
            <v>LYQ-HM1205-K0-S</v>
          </cell>
          <cell r="B318" t="str">
            <v>LYQ-HM1205</v>
          </cell>
        </row>
        <row r="319">
          <cell r="A319" t="str">
            <v>LYQ-HM1205-KH-L</v>
          </cell>
          <cell r="B319" t="str">
            <v>LYQ-HM1205</v>
          </cell>
        </row>
        <row r="320">
          <cell r="A320" t="str">
            <v>LYQ-HM1205-KH-M</v>
          </cell>
          <cell r="B320" t="str">
            <v>LYQ-HM1205</v>
          </cell>
        </row>
        <row r="321">
          <cell r="A321" t="str">
            <v>LYQ-HM1205-KH-S</v>
          </cell>
          <cell r="B321" t="str">
            <v>LYQ-HM1205</v>
          </cell>
        </row>
        <row r="322">
          <cell r="A322" t="str">
            <v>LYQ-HM1205-KH-XL</v>
          </cell>
          <cell r="B322" t="str">
            <v>LYQ-HM1205</v>
          </cell>
        </row>
        <row r="323">
          <cell r="A323" t="str">
            <v>LYQ-HM1205-OR-L</v>
          </cell>
          <cell r="B323" t="str">
            <v>LYQ-HM1205</v>
          </cell>
        </row>
        <row r="324">
          <cell r="A324" t="str">
            <v>LYQ-HM1205-OR-M</v>
          </cell>
          <cell r="B324" t="str">
            <v>LYQ-HM1205</v>
          </cell>
        </row>
        <row r="325">
          <cell r="A325" t="str">
            <v>LYQ-HM1205-OR-S</v>
          </cell>
          <cell r="B325" t="str">
            <v>LYQ-HM1205</v>
          </cell>
        </row>
        <row r="326">
          <cell r="A326" t="str">
            <v>LYQ-HM1205-W0-L</v>
          </cell>
          <cell r="B326" t="str">
            <v>LYQ-HM1205</v>
          </cell>
        </row>
        <row r="327">
          <cell r="A327" t="str">
            <v>LYQ-HM1205-W0-M</v>
          </cell>
          <cell r="B327" t="str">
            <v>LYQ-HM1205</v>
          </cell>
        </row>
        <row r="328">
          <cell r="A328" t="str">
            <v>LYQ-HM1205-W0-S</v>
          </cell>
          <cell r="B328" t="str">
            <v>LYQ-HM1205</v>
          </cell>
        </row>
        <row r="329">
          <cell r="A329" t="str">
            <v>LYQ-HM1205-W0-XL</v>
          </cell>
          <cell r="B329" t="str">
            <v>LYQ-HM1205</v>
          </cell>
        </row>
        <row r="330">
          <cell r="A330" t="str">
            <v>LYQ-HMQZZ-MOM-2XL</v>
          </cell>
          <cell r="B330" t="str">
            <v>LYQ-HMQZZ</v>
          </cell>
        </row>
        <row r="331">
          <cell r="A331" t="str">
            <v>LYQ-HMQZZ-MOM-S</v>
          </cell>
          <cell r="B331" t="str">
            <v>LYQ-HMQZZ</v>
          </cell>
        </row>
        <row r="332">
          <cell r="A332" t="str">
            <v>LYQ-LY064-B0-3XL</v>
          </cell>
          <cell r="B332" t="str">
            <v>LYQ-LY064</v>
          </cell>
        </row>
        <row r="333">
          <cell r="A333" t="str">
            <v>LYQ-LY064-B0-4XL</v>
          </cell>
          <cell r="B333" t="str">
            <v>LYQ-LY064</v>
          </cell>
        </row>
        <row r="334">
          <cell r="A334" t="str">
            <v>LYQ-LY064-B0-L</v>
          </cell>
          <cell r="B334" t="str">
            <v>LYQ-LY064</v>
          </cell>
        </row>
        <row r="335">
          <cell r="A335" t="str">
            <v>LYQ-LY064-G0-3XL</v>
          </cell>
          <cell r="B335" t="str">
            <v>LYQ-LY064</v>
          </cell>
        </row>
        <row r="336">
          <cell r="A336" t="str">
            <v>LYQ-LY064-G0-4XL</v>
          </cell>
          <cell r="B336" t="str">
            <v>LYQ-LY064</v>
          </cell>
        </row>
        <row r="337">
          <cell r="A337" t="str">
            <v>LYQ-LY064-G0-L</v>
          </cell>
          <cell r="B337" t="str">
            <v>LYQ-LY064</v>
          </cell>
        </row>
        <row r="338">
          <cell r="A338" t="str">
            <v>LYQ-LY064-G0-M</v>
          </cell>
          <cell r="B338" t="str">
            <v>LYQ-LY064</v>
          </cell>
        </row>
        <row r="339">
          <cell r="A339" t="str">
            <v>LYQ-LY064-K0-2XL</v>
          </cell>
          <cell r="B339" t="str">
            <v>LYQ-LY064</v>
          </cell>
        </row>
        <row r="340">
          <cell r="A340" t="str">
            <v>LYQ-LY064-K0-3XL</v>
          </cell>
          <cell r="B340" t="str">
            <v>LYQ-LY064</v>
          </cell>
        </row>
        <row r="341">
          <cell r="A341" t="str">
            <v>LYQ-LY064-K0-4XL</v>
          </cell>
          <cell r="B341" t="str">
            <v>LYQ-LY064</v>
          </cell>
        </row>
        <row r="342">
          <cell r="A342" t="str">
            <v>LYQ-LY064-K0-M</v>
          </cell>
          <cell r="B342" t="str">
            <v>LYQ-LY064</v>
          </cell>
        </row>
        <row r="343">
          <cell r="A343" t="str">
            <v>LYQ-LY064-K0-S</v>
          </cell>
          <cell r="B343" t="str">
            <v>LYQ-LY064</v>
          </cell>
        </row>
        <row r="344">
          <cell r="A344" t="str">
            <v>LYQ-LY064-OR-4XL</v>
          </cell>
          <cell r="B344" t="str">
            <v>LYQ-LY064</v>
          </cell>
        </row>
        <row r="345">
          <cell r="A345" t="str">
            <v>LYQ-LY064-OR-M</v>
          </cell>
          <cell r="B345" t="str">
            <v>LYQ-LY064</v>
          </cell>
        </row>
        <row r="346">
          <cell r="A346" t="str">
            <v>LYQ-WH885-ZL-L</v>
          </cell>
          <cell r="B346" t="str">
            <v>LYQ-WH885</v>
          </cell>
        </row>
        <row r="347">
          <cell r="A347" t="str">
            <v>LYQ-ZQ1052-R0-XL</v>
          </cell>
          <cell r="B347" t="str">
            <v>LYQ-ZQ1052</v>
          </cell>
        </row>
        <row r="348">
          <cell r="A348" t="str">
            <v>LYQ-ZQ1117-B0-2XL</v>
          </cell>
          <cell r="B348" t="str">
            <v>LYQ-ZQ1117</v>
          </cell>
        </row>
        <row r="349">
          <cell r="A349" t="str">
            <v>LYQ-ZQ1117-B0-L</v>
          </cell>
          <cell r="B349" t="str">
            <v>LYQ-ZQ1117</v>
          </cell>
        </row>
        <row r="350">
          <cell r="A350" t="str">
            <v>LYQ-ZQ1117-B0-M</v>
          </cell>
          <cell r="B350" t="str">
            <v>LYQ-ZQ1117</v>
          </cell>
        </row>
        <row r="351">
          <cell r="A351" t="str">
            <v>LYQ-ZQ1117-B0-S</v>
          </cell>
          <cell r="B351" t="str">
            <v>LYQ-ZQ1117</v>
          </cell>
        </row>
        <row r="352">
          <cell r="A352" t="str">
            <v>LYQ-ZQ1117-B0-XL</v>
          </cell>
          <cell r="B352" t="str">
            <v>LYQ-ZQ1117</v>
          </cell>
        </row>
        <row r="353">
          <cell r="A353" t="str">
            <v>LYQ-ZQ1117-BD-2XL</v>
          </cell>
          <cell r="B353" t="str">
            <v>LYQ-ZQ1117</v>
          </cell>
        </row>
        <row r="354">
          <cell r="A354" t="str">
            <v>LYQ-ZQ1117-BD-L</v>
          </cell>
          <cell r="B354" t="str">
            <v>LYQ-ZQ1117</v>
          </cell>
        </row>
        <row r="355">
          <cell r="A355" t="str">
            <v>LYQ-ZQ1117-BD-M</v>
          </cell>
          <cell r="B355" t="str">
            <v>LYQ-ZQ1117</v>
          </cell>
        </row>
        <row r="356">
          <cell r="A356" t="str">
            <v>LYQ-ZQ1117-BD-S</v>
          </cell>
          <cell r="B356" t="str">
            <v>LYQ-ZQ1117</v>
          </cell>
        </row>
        <row r="357">
          <cell r="A357" t="str">
            <v>LYQ-ZQ1117-BD-XL</v>
          </cell>
          <cell r="B357" t="str">
            <v>LYQ-ZQ1117</v>
          </cell>
        </row>
        <row r="358">
          <cell r="A358" t="str">
            <v>LYQ-ZQ1117-C0-2XL</v>
          </cell>
          <cell r="B358" t="str">
            <v>LYQ-ZQ1117</v>
          </cell>
        </row>
        <row r="359">
          <cell r="A359" t="str">
            <v>LYQ-ZQ1117-C0-L</v>
          </cell>
          <cell r="B359" t="str">
            <v>LYQ-ZQ1117</v>
          </cell>
        </row>
        <row r="360">
          <cell r="A360" t="str">
            <v>LYQ-ZQ1117-C0-M</v>
          </cell>
          <cell r="B360" t="str">
            <v>LYQ-ZQ1117</v>
          </cell>
        </row>
        <row r="361">
          <cell r="A361" t="str">
            <v>LYQ-ZQ1117-C0-S</v>
          </cell>
          <cell r="B361" t="str">
            <v>LYQ-ZQ1117</v>
          </cell>
        </row>
        <row r="362">
          <cell r="A362" t="str">
            <v>LYQ-ZQ1117-C0-XL</v>
          </cell>
          <cell r="B362" t="str">
            <v>LYQ-ZQ1117</v>
          </cell>
        </row>
        <row r="363">
          <cell r="A363" t="str">
            <v>LYQ-ZQ1117-E0-2XL</v>
          </cell>
          <cell r="B363" t="str">
            <v>LYQ-ZQ1117</v>
          </cell>
        </row>
        <row r="364">
          <cell r="A364" t="str">
            <v>LYQ-ZQ1117-E0-L</v>
          </cell>
          <cell r="B364" t="str">
            <v>LYQ-ZQ1117</v>
          </cell>
        </row>
        <row r="365">
          <cell r="A365" t="str">
            <v>LYQ-ZQ1117-E0-M</v>
          </cell>
          <cell r="B365" t="str">
            <v>LYQ-ZQ1117</v>
          </cell>
        </row>
        <row r="366">
          <cell r="A366" t="str">
            <v>LYQ-ZQ1117-E0-S</v>
          </cell>
          <cell r="B366" t="str">
            <v>LYQ-ZQ1117</v>
          </cell>
        </row>
        <row r="367">
          <cell r="A367" t="str">
            <v>LYQ-ZQ1117-E0-XL</v>
          </cell>
          <cell r="B367" t="str">
            <v>LYQ-ZQ1117</v>
          </cell>
        </row>
        <row r="368">
          <cell r="A368" t="str">
            <v>LYQ-ZQ1117-G7-2XL</v>
          </cell>
          <cell r="B368" t="str">
            <v>LYQ-ZQ1117</v>
          </cell>
        </row>
        <row r="369">
          <cell r="A369" t="str">
            <v>LYQ-ZQ1117-G7-L</v>
          </cell>
          <cell r="B369" t="str">
            <v>LYQ-ZQ1117</v>
          </cell>
        </row>
        <row r="370">
          <cell r="A370" t="str">
            <v>LYQ-ZQ1117-G7-M</v>
          </cell>
          <cell r="B370" t="str">
            <v>LYQ-ZQ1117</v>
          </cell>
        </row>
        <row r="371">
          <cell r="A371" t="str">
            <v>LYQ-ZQ1117-G7-S</v>
          </cell>
          <cell r="B371" t="str">
            <v>LYQ-ZQ1117</v>
          </cell>
        </row>
        <row r="372">
          <cell r="A372" t="str">
            <v>LYQ-ZQ1117-G7-XL</v>
          </cell>
          <cell r="B372" t="str">
            <v>LYQ-ZQ1117</v>
          </cell>
        </row>
        <row r="373">
          <cell r="A373" t="str">
            <v>LYQ-ZQ1117-K0-2XL</v>
          </cell>
          <cell r="B373" t="str">
            <v>LYQ-ZQ1117</v>
          </cell>
        </row>
        <row r="374">
          <cell r="A374" t="str">
            <v>LYQ-ZQ1117-K0-L</v>
          </cell>
          <cell r="B374" t="str">
            <v>LYQ-ZQ1117</v>
          </cell>
        </row>
        <row r="375">
          <cell r="A375" t="str">
            <v>LYQ-ZQ1117-K0-M</v>
          </cell>
          <cell r="B375" t="str">
            <v>LYQ-ZQ1117</v>
          </cell>
        </row>
        <row r="376">
          <cell r="A376" t="str">
            <v>LYQ-ZQ1117-K0-S</v>
          </cell>
          <cell r="B376" t="str">
            <v>LYQ-ZQ1117</v>
          </cell>
        </row>
        <row r="377">
          <cell r="A377" t="str">
            <v>LYQ-ZQ1117-K0-XL</v>
          </cell>
          <cell r="B377" t="str">
            <v>LYQ-ZQ1117</v>
          </cell>
        </row>
        <row r="378">
          <cell r="A378" t="str">
            <v>LYQ-ZQ1117-KQ-2XL</v>
          </cell>
          <cell r="B378" t="str">
            <v>LYQ-ZQ1117</v>
          </cell>
        </row>
        <row r="379">
          <cell r="A379" t="str">
            <v>LYQ-ZQ1117-KQ-L</v>
          </cell>
          <cell r="B379" t="str">
            <v>LYQ-ZQ1117</v>
          </cell>
        </row>
        <row r="380">
          <cell r="A380" t="str">
            <v>LYQ-ZQ1117-KQ-M</v>
          </cell>
          <cell r="B380" t="str">
            <v>LYQ-ZQ1117</v>
          </cell>
        </row>
        <row r="381">
          <cell r="A381" t="str">
            <v>LYQ-ZQ1117-KQ-S</v>
          </cell>
          <cell r="B381" t="str">
            <v>LYQ-ZQ1117</v>
          </cell>
        </row>
        <row r="382">
          <cell r="A382" t="str">
            <v>LYQ-ZQ1117-KQ-XL</v>
          </cell>
          <cell r="B382" t="str">
            <v>LYQ-ZQ1117</v>
          </cell>
        </row>
        <row r="383">
          <cell r="A383" t="str">
            <v>LYQ-ZQ1428-R0-M</v>
          </cell>
          <cell r="B383" t="str">
            <v>LYQ-ZQ1428</v>
          </cell>
        </row>
        <row r="384">
          <cell r="A384" t="str">
            <v>LYQ-ZQ1428-Y0-S</v>
          </cell>
          <cell r="B384" t="str">
            <v>LYQ-ZQ1428</v>
          </cell>
        </row>
        <row r="385">
          <cell r="A385" t="str">
            <v>LYQ-ZQ1669-B0-L</v>
          </cell>
          <cell r="B385" t="str">
            <v>LYQ-ZQ1669</v>
          </cell>
        </row>
        <row r="386">
          <cell r="A386" t="str">
            <v>LYQ-ZQ1669-B0-M</v>
          </cell>
          <cell r="B386" t="str">
            <v>LYQ-ZQ1669</v>
          </cell>
        </row>
        <row r="387">
          <cell r="A387" t="str">
            <v>LYQ-ZQ1669-B0-S</v>
          </cell>
          <cell r="B387" t="str">
            <v>LYQ-ZQ1669</v>
          </cell>
        </row>
        <row r="388">
          <cell r="A388" t="str">
            <v>LYQ-ZQ1669-B0-XL</v>
          </cell>
          <cell r="B388" t="str">
            <v>LYQ-ZQ1669</v>
          </cell>
        </row>
        <row r="389">
          <cell r="A389" t="str">
            <v>LYQ-ZQ1880-R0-L</v>
          </cell>
          <cell r="B389" t="str">
            <v>LYQ-ZQ1880</v>
          </cell>
        </row>
        <row r="390">
          <cell r="A390" t="str">
            <v>LYQ-ZQ1880-R0-M</v>
          </cell>
          <cell r="B390" t="str">
            <v>LYQ-ZQ1880</v>
          </cell>
        </row>
        <row r="391">
          <cell r="A391" t="str">
            <v>LYQ-ZQ1880-R0-S</v>
          </cell>
          <cell r="B391" t="str">
            <v>LYQ-ZQ1880</v>
          </cell>
        </row>
        <row r="392">
          <cell r="A392" t="str">
            <v>LYQ-ZQ1880-R0-XL</v>
          </cell>
          <cell r="B392" t="str">
            <v>LYQ-ZQ1880</v>
          </cell>
        </row>
        <row r="393">
          <cell r="A393" t="str">
            <v>LYQ-ZQ1880-Y0-M</v>
          </cell>
          <cell r="B393" t="str">
            <v>LYQ-ZQ1880</v>
          </cell>
        </row>
        <row r="394">
          <cell r="A394" t="str">
            <v>LYQ-ZQ1880-ZL-L</v>
          </cell>
          <cell r="B394" t="str">
            <v>LYQ-ZQ1880</v>
          </cell>
        </row>
        <row r="395">
          <cell r="A395" t="str">
            <v>LYQ-ZQ1880-ZL-M</v>
          </cell>
          <cell r="B395" t="str">
            <v>LYQ-ZQ1880</v>
          </cell>
        </row>
        <row r="396">
          <cell r="A396" t="str">
            <v>LYQ-ZQ1880-ZL-S</v>
          </cell>
          <cell r="B396" t="str">
            <v>LYQ-ZQ1880</v>
          </cell>
        </row>
        <row r="397">
          <cell r="A397" t="str">
            <v>LYQ-ZQ1880-ZL-XL</v>
          </cell>
          <cell r="B397" t="str">
            <v>LYQ-ZQ1880</v>
          </cell>
        </row>
        <row r="398">
          <cell r="A398" t="str">
            <v>LYQ-ZQ2973-BD-2XL</v>
          </cell>
          <cell r="B398" t="str">
            <v>LYQ-ZQ2973</v>
          </cell>
        </row>
        <row r="399">
          <cell r="A399" t="str">
            <v>LYQ-ZQ2973-BD-L</v>
          </cell>
          <cell r="B399" t="str">
            <v>LYQ-ZQ2973</v>
          </cell>
        </row>
        <row r="400">
          <cell r="A400" t="str">
            <v>LYQ-ZQ2973-BD-M</v>
          </cell>
          <cell r="B400" t="str">
            <v>LYQ-ZQ2973</v>
          </cell>
        </row>
        <row r="401">
          <cell r="A401" t="str">
            <v>LYQ-ZQ2973-BD-S</v>
          </cell>
          <cell r="B401" t="str">
            <v>LYQ-ZQ2973</v>
          </cell>
        </row>
        <row r="402">
          <cell r="A402" t="str">
            <v>LYQ-ZQ2973-BD-XL</v>
          </cell>
          <cell r="B402" t="str">
            <v>LYQ-ZQ2973</v>
          </cell>
        </row>
        <row r="403">
          <cell r="A403" t="str">
            <v>LYQ-ZQ2973-E0-2XL</v>
          </cell>
          <cell r="B403" t="str">
            <v>LYQ-ZQ2973</v>
          </cell>
        </row>
        <row r="404">
          <cell r="A404" t="str">
            <v>LYQ-ZQ2973-E0-L</v>
          </cell>
          <cell r="B404" t="str">
            <v>LYQ-ZQ2973</v>
          </cell>
        </row>
        <row r="405">
          <cell r="A405" t="str">
            <v>LYQ-ZQ2973-E0-M</v>
          </cell>
          <cell r="B405" t="str">
            <v>LYQ-ZQ2973</v>
          </cell>
        </row>
        <row r="406">
          <cell r="A406" t="str">
            <v>LYQ-ZQ2973-E0-S</v>
          </cell>
          <cell r="B406" t="str">
            <v>LYQ-ZQ2973</v>
          </cell>
        </row>
        <row r="407">
          <cell r="A407" t="str">
            <v>LYQ-ZQ2973-E0-XL</v>
          </cell>
          <cell r="B407" t="str">
            <v>LYQ-ZQ2973</v>
          </cell>
        </row>
        <row r="408">
          <cell r="A408" t="str">
            <v>LYQ-ZQ2973-G0-2XL</v>
          </cell>
          <cell r="B408" t="str">
            <v>LYQ-ZQ2973</v>
          </cell>
        </row>
        <row r="409">
          <cell r="A409" t="str">
            <v>LYQ-ZQ2973-G0-L</v>
          </cell>
          <cell r="B409" t="str">
            <v>LYQ-ZQ2973</v>
          </cell>
        </row>
        <row r="410">
          <cell r="A410" t="str">
            <v>LYQ-ZQ2973-G0-M</v>
          </cell>
          <cell r="B410" t="str">
            <v>LYQ-ZQ2973</v>
          </cell>
        </row>
        <row r="411">
          <cell r="A411" t="str">
            <v>LYQ-ZQ2973-G0-S</v>
          </cell>
          <cell r="B411" t="str">
            <v>LYQ-ZQ2973</v>
          </cell>
        </row>
        <row r="412">
          <cell r="A412" t="str">
            <v>LYQ-ZQ2973-G0-XL</v>
          </cell>
          <cell r="B412" t="str">
            <v>LYQ-ZQ2973</v>
          </cell>
        </row>
        <row r="413">
          <cell r="A413" t="str">
            <v>LYQ-ZQ2973-K0-2XL</v>
          </cell>
          <cell r="B413" t="str">
            <v>LYQ-ZQ2973</v>
          </cell>
        </row>
        <row r="414">
          <cell r="A414" t="str">
            <v>LYQ-ZQ2973-K0-L</v>
          </cell>
          <cell r="B414" t="str">
            <v>LYQ-ZQ2973</v>
          </cell>
        </row>
        <row r="415">
          <cell r="A415" t="str">
            <v>LYQ-ZQ2973-K0-M</v>
          </cell>
          <cell r="B415" t="str">
            <v>LYQ-ZQ2973</v>
          </cell>
        </row>
        <row r="416">
          <cell r="A416" t="str">
            <v>LYQ-ZQ2973-K0-S</v>
          </cell>
          <cell r="B416" t="str">
            <v>LYQ-ZQ2973</v>
          </cell>
        </row>
        <row r="417">
          <cell r="A417" t="str">
            <v>LYQ-ZQ2973-K0-XL</v>
          </cell>
          <cell r="B417" t="str">
            <v>LYQ-ZQ2973</v>
          </cell>
        </row>
        <row r="418">
          <cell r="A418" t="str">
            <v>LYQ-ZQ2973-KQ-2XL</v>
          </cell>
          <cell r="B418" t="str">
            <v>LYQ-ZQ2973</v>
          </cell>
        </row>
        <row r="419">
          <cell r="A419" t="str">
            <v>LYQ-ZQ2973-KQ-L</v>
          </cell>
          <cell r="B419" t="str">
            <v>LYQ-ZQ2973</v>
          </cell>
        </row>
        <row r="420">
          <cell r="A420" t="str">
            <v>LYQ-ZQ2973-KQ-M</v>
          </cell>
          <cell r="B420" t="str">
            <v>LYQ-ZQ2973</v>
          </cell>
        </row>
        <row r="421">
          <cell r="A421" t="str">
            <v>LYQ-ZQ2973-KQ-S</v>
          </cell>
          <cell r="B421" t="str">
            <v>LYQ-ZQ2973</v>
          </cell>
        </row>
        <row r="422">
          <cell r="A422" t="str">
            <v>LYQ-ZQ2973-KQ-XL</v>
          </cell>
          <cell r="B422" t="str">
            <v>LYQ-ZQ2973</v>
          </cell>
        </row>
        <row r="423">
          <cell r="A423" t="str">
            <v>LYQ-ZQ2973-P0-2XL</v>
          </cell>
          <cell r="B423" t="str">
            <v>LYQ-ZQ2973</v>
          </cell>
        </row>
        <row r="424">
          <cell r="A424" t="str">
            <v>LYQ-ZQ2973-P0-L</v>
          </cell>
          <cell r="B424" t="str">
            <v>LYQ-ZQ2973</v>
          </cell>
        </row>
        <row r="425">
          <cell r="A425" t="str">
            <v>LYQ-ZQ2973-P0-S</v>
          </cell>
          <cell r="B425" t="str">
            <v>LYQ-ZQ2973</v>
          </cell>
        </row>
        <row r="426">
          <cell r="A426" t="str">
            <v>LYQ-ZQ2973-P0-XL</v>
          </cell>
          <cell r="B426" t="str">
            <v>LYQ-ZQ2973</v>
          </cell>
        </row>
        <row r="427">
          <cell r="A427" t="str">
            <v>LYQ-ZQ2973-W1-2XL</v>
          </cell>
          <cell r="B427" t="str">
            <v>LYQ-ZQ2973</v>
          </cell>
        </row>
        <row r="428">
          <cell r="A428" t="str">
            <v>LYQ-ZQ2973-W1-L</v>
          </cell>
          <cell r="B428" t="str">
            <v>LYQ-ZQ2973</v>
          </cell>
        </row>
        <row r="429">
          <cell r="A429" t="str">
            <v>LYQ-ZQ2973-W1-M</v>
          </cell>
          <cell r="B429" t="str">
            <v>LYQ-ZQ2973</v>
          </cell>
        </row>
        <row r="430">
          <cell r="A430" t="str">
            <v>LYQ-ZQ2973-W1-S</v>
          </cell>
          <cell r="B430" t="str">
            <v>LYQ-ZQ2973</v>
          </cell>
        </row>
        <row r="431">
          <cell r="A431" t="str">
            <v>LYQ-ZQ2973-W1-XL</v>
          </cell>
          <cell r="B431" t="str">
            <v>LYQ-ZQ2973</v>
          </cell>
        </row>
        <row r="432">
          <cell r="A432" t="str">
            <v>LYQ-ZQ2973-ZL-2XL</v>
          </cell>
          <cell r="B432" t="str">
            <v>LYQ-ZQ2973</v>
          </cell>
        </row>
        <row r="433">
          <cell r="A433" t="str">
            <v>LYQ-ZQ2973-ZL-L</v>
          </cell>
          <cell r="B433" t="str">
            <v>LYQ-ZQ2973</v>
          </cell>
        </row>
        <row r="434">
          <cell r="A434" t="str">
            <v>LYQ-ZQ2973-ZL-M</v>
          </cell>
          <cell r="B434" t="str">
            <v>LYQ-ZQ2973</v>
          </cell>
        </row>
        <row r="435">
          <cell r="A435" t="str">
            <v>LYQ-ZQ2973-ZL-S</v>
          </cell>
          <cell r="B435" t="str">
            <v>LYQ-ZQ2973</v>
          </cell>
        </row>
        <row r="436">
          <cell r="A436" t="str">
            <v>LYQ-ZQ2973-ZL-XL</v>
          </cell>
          <cell r="B436" t="str">
            <v>LYQ-ZQ2973</v>
          </cell>
        </row>
        <row r="437">
          <cell r="A437" t="str">
            <v>LYQ-ZQ2W00-K0-L</v>
          </cell>
          <cell r="B437" t="str">
            <v>LYQ-ZQ2W00</v>
          </cell>
        </row>
        <row r="438">
          <cell r="A438" t="str">
            <v>LYQ-ZQ2W00-K0-M</v>
          </cell>
          <cell r="B438" t="str">
            <v>LYQ-ZQ2W00</v>
          </cell>
        </row>
        <row r="439">
          <cell r="A439" t="str">
            <v>LYQ-ZQ2W00-K0-XL</v>
          </cell>
          <cell r="B439" t="str">
            <v>LYQ-ZQ2W00</v>
          </cell>
        </row>
        <row r="440">
          <cell r="A440" t="str">
            <v>LYQ-ZQ3550-E0-2X</v>
          </cell>
          <cell r="B440" t="str">
            <v>LYQ-ZQ3550</v>
          </cell>
        </row>
        <row r="441">
          <cell r="A441" t="str">
            <v>LYQ-ZQ3550-E0-3X</v>
          </cell>
          <cell r="B441" t="str">
            <v>LYQ-ZQ3550</v>
          </cell>
        </row>
        <row r="442">
          <cell r="A442" t="str">
            <v>LYQ-ZQ3550-E0-4X</v>
          </cell>
          <cell r="B442" t="str">
            <v>LYQ-ZQ3550</v>
          </cell>
        </row>
        <row r="443">
          <cell r="A443" t="str">
            <v>LYQ-ZQ3550-E0-5X</v>
          </cell>
          <cell r="B443" t="str">
            <v>LYQ-ZQ3550</v>
          </cell>
        </row>
        <row r="444">
          <cell r="A444" t="str">
            <v>LYQ-ZQ3550-E0-L</v>
          </cell>
          <cell r="B444" t="str">
            <v>LYQ-ZQ3550</v>
          </cell>
        </row>
        <row r="445">
          <cell r="A445" t="str">
            <v>LYQ-ZQ3550-E0-M</v>
          </cell>
          <cell r="B445" t="str">
            <v>LYQ-ZQ3550</v>
          </cell>
        </row>
        <row r="446">
          <cell r="A446" t="str">
            <v>LYQ-ZQ3550-E0-S</v>
          </cell>
          <cell r="B446" t="str">
            <v>LYQ-ZQ3550</v>
          </cell>
        </row>
        <row r="447">
          <cell r="A447" t="str">
            <v>LYQ-ZQ3550-E0-XL</v>
          </cell>
          <cell r="B447" t="str">
            <v>LYQ-ZQ3550</v>
          </cell>
        </row>
        <row r="448">
          <cell r="A448" t="str">
            <v>LYQ-ZQ3550-PI-2X</v>
          </cell>
          <cell r="B448" t="str">
            <v>LYQ-ZQ3550</v>
          </cell>
        </row>
        <row r="449">
          <cell r="A449" t="str">
            <v>LYQ-ZQ3550-PI-3X</v>
          </cell>
          <cell r="B449" t="str">
            <v>LYQ-ZQ3550</v>
          </cell>
        </row>
        <row r="450">
          <cell r="A450" t="str">
            <v>LYQ-ZQ3550-PI-4X</v>
          </cell>
          <cell r="B450" t="str">
            <v>LYQ-ZQ3550</v>
          </cell>
        </row>
        <row r="451">
          <cell r="A451" t="str">
            <v>LYQ-ZQ3550-PI-5X</v>
          </cell>
          <cell r="B451" t="str">
            <v>LYQ-ZQ3550</v>
          </cell>
        </row>
        <row r="452">
          <cell r="A452" t="str">
            <v>LYQ-ZQ3550-PI-L</v>
          </cell>
          <cell r="B452" t="str">
            <v>LYQ-ZQ3550</v>
          </cell>
        </row>
        <row r="453">
          <cell r="A453" t="str">
            <v>LYQ-ZQ3550-PI-M</v>
          </cell>
          <cell r="B453" t="str">
            <v>LYQ-ZQ3550</v>
          </cell>
        </row>
        <row r="454">
          <cell r="A454" t="str">
            <v>LYQ-ZQ3550-PI-S</v>
          </cell>
          <cell r="B454" t="str">
            <v>LYQ-ZQ3550</v>
          </cell>
        </row>
        <row r="455">
          <cell r="A455" t="str">
            <v>LYQ-ZQ3550-PI-XL</v>
          </cell>
          <cell r="B455" t="str">
            <v>LYQ-ZQ3550</v>
          </cell>
        </row>
        <row r="456">
          <cell r="A456" t="str">
            <v>LYQ-ZQ456-E0-S</v>
          </cell>
          <cell r="B456" t="str">
            <v>LYQ-ZQ456</v>
          </cell>
        </row>
        <row r="457">
          <cell r="A457" t="str">
            <v>LYQ-ZQ6044-B0-S</v>
          </cell>
          <cell r="B457" t="str">
            <v>LYQ-ZQ6044</v>
          </cell>
        </row>
        <row r="458">
          <cell r="A458" t="str">
            <v>LYQ-ZQ7900-W0-L</v>
          </cell>
          <cell r="B458" t="str">
            <v>LYQ-ZQ7900</v>
          </cell>
        </row>
        <row r="459">
          <cell r="A459" t="str">
            <v>LYQ-ZQ7900-W0-S</v>
          </cell>
          <cell r="B459" t="str">
            <v>LYQ-ZQ7900</v>
          </cell>
        </row>
        <row r="460">
          <cell r="A460" t="str">
            <v>LYQ-ZQ7900-W0-XL</v>
          </cell>
          <cell r="B460" t="str">
            <v>LYQ-ZQ7900</v>
          </cell>
        </row>
        <row r="461">
          <cell r="A461" t="str">
            <v>LYQ-ZQ7900-W0-XXL</v>
          </cell>
          <cell r="B461" t="str">
            <v>LYQ-ZQ7900</v>
          </cell>
        </row>
        <row r="462">
          <cell r="A462" t="str">
            <v>LYQ-ZQ8200-FB-L</v>
          </cell>
          <cell r="B462" t="str">
            <v>LYQ-ZQ8200</v>
          </cell>
        </row>
        <row r="463">
          <cell r="A463" t="str">
            <v>LYQ-ZQ8200-FB-M</v>
          </cell>
          <cell r="B463" t="str">
            <v>LYQ-ZQ8200</v>
          </cell>
        </row>
        <row r="464">
          <cell r="A464" t="str">
            <v>LYQ-ZQ8200-FB-S</v>
          </cell>
          <cell r="B464" t="str">
            <v>LYQ-ZQ8200</v>
          </cell>
        </row>
        <row r="465">
          <cell r="A465" t="str">
            <v>LYQ-ZQ8200-FB-XL</v>
          </cell>
          <cell r="B465" t="str">
            <v>LYQ-ZQ8200</v>
          </cell>
        </row>
        <row r="466">
          <cell r="A466" t="str">
            <v>LYQ-ZQ8200-K0-L</v>
          </cell>
          <cell r="B466" t="str">
            <v>LYQ-ZQ8200</v>
          </cell>
        </row>
        <row r="467">
          <cell r="A467" t="str">
            <v>LYQ-ZQ8200-K0-M</v>
          </cell>
          <cell r="B467" t="str">
            <v>LYQ-ZQ8200</v>
          </cell>
        </row>
        <row r="468">
          <cell r="A468" t="str">
            <v>LYQ-ZQ8200-K0-S</v>
          </cell>
          <cell r="B468" t="str">
            <v>LYQ-ZQ8200</v>
          </cell>
        </row>
        <row r="469">
          <cell r="A469" t="str">
            <v>LYQ-ZQ8200-K0-XL</v>
          </cell>
          <cell r="B469" t="str">
            <v>LYQ-ZQ8200</v>
          </cell>
        </row>
        <row r="470">
          <cell r="A470" t="str">
            <v>LYQ-ZQ8200-P0-L</v>
          </cell>
          <cell r="B470" t="str">
            <v>LYQ-ZQ8200</v>
          </cell>
        </row>
        <row r="471">
          <cell r="A471" t="str">
            <v>LYQ-ZQ8200-P0-M</v>
          </cell>
          <cell r="B471" t="str">
            <v>LYQ-ZQ8200</v>
          </cell>
        </row>
        <row r="472">
          <cell r="A472" t="str">
            <v>LYQ-ZQ8200-P0-S</v>
          </cell>
          <cell r="B472" t="str">
            <v>LYQ-ZQ8200</v>
          </cell>
        </row>
        <row r="473">
          <cell r="A473" t="str">
            <v>LYQ-ZQ8200-P0-XL</v>
          </cell>
          <cell r="B473" t="str">
            <v>LYQ-ZQ8200</v>
          </cell>
        </row>
        <row r="474">
          <cell r="A474" t="str">
            <v>LYQ-ZQC910-K0-XL</v>
          </cell>
          <cell r="B474" t="str">
            <v>LYQ-ZQC910</v>
          </cell>
        </row>
        <row r="475">
          <cell r="A475" t="str">
            <v>LYQ-ZQD270-K0-L</v>
          </cell>
          <cell r="B475" t="str">
            <v>LYQ-ZQD270</v>
          </cell>
        </row>
        <row r="476">
          <cell r="A476" t="str">
            <v>LYQ-ZQD270-K0-XL</v>
          </cell>
          <cell r="B476" t="str">
            <v>LYQ-ZQD270</v>
          </cell>
        </row>
        <row r="477">
          <cell r="A477" t="str">
            <v>LYQ-ZQD270-P0-S</v>
          </cell>
          <cell r="B477" t="str">
            <v>LYQ-ZQD270</v>
          </cell>
        </row>
        <row r="478">
          <cell r="A478" t="str">
            <v>LYQ-ZQD270-P0-XL</v>
          </cell>
          <cell r="B478" t="str">
            <v>LYQ-ZQD270</v>
          </cell>
        </row>
        <row r="479">
          <cell r="A479" t="str">
            <v>LYQ-ZQD270-W0-S</v>
          </cell>
          <cell r="B479" t="str">
            <v>LYQ-ZQD270</v>
          </cell>
        </row>
        <row r="480">
          <cell r="A480" t="str">
            <v>LYQ-ZQD390-B0-L</v>
          </cell>
          <cell r="B480" t="str">
            <v>LYQ-ZQD390</v>
          </cell>
        </row>
        <row r="481">
          <cell r="A481" t="str">
            <v>LYQ-ZQD390-E0-S</v>
          </cell>
          <cell r="B481" t="str">
            <v>LYQ-ZQD390</v>
          </cell>
        </row>
        <row r="482">
          <cell r="A482" t="str">
            <v>LYQ-ZQD390-G0-S</v>
          </cell>
          <cell r="B482" t="str">
            <v>LYQ-ZQD390</v>
          </cell>
        </row>
        <row r="483">
          <cell r="A483" t="str">
            <v>LYQ-ZQD390-K0-S</v>
          </cell>
          <cell r="B483" t="str">
            <v>LYQ-ZQD390</v>
          </cell>
        </row>
        <row r="484">
          <cell r="A484" t="str">
            <v>LYQ-ZQLC00-K0-XL</v>
          </cell>
          <cell r="B484" t="str">
            <v>LYQ-ZQLC00</v>
          </cell>
        </row>
        <row r="485">
          <cell r="A485" t="str">
            <v>LYQ-ZQLP01-P0-M</v>
          </cell>
          <cell r="B485" t="str">
            <v>LYQ-ZQLP01</v>
          </cell>
        </row>
        <row r="486">
          <cell r="A486" t="str">
            <v>LYQ-ZQLP01-P0-S</v>
          </cell>
          <cell r="B486" t="str">
            <v>LYQ-ZQLP01</v>
          </cell>
        </row>
        <row r="487">
          <cell r="A487" t="str">
            <v>LYQ-ZQMB170005-K0-2X</v>
          </cell>
          <cell r="B487" t="str">
            <v>LYQ-ZQMB170005</v>
          </cell>
        </row>
        <row r="488">
          <cell r="A488" t="str">
            <v>LYQ-ZQMB170005-K0-XL</v>
          </cell>
          <cell r="B488" t="str">
            <v>LYQ-ZQMB170005</v>
          </cell>
        </row>
        <row r="489">
          <cell r="A489" t="str">
            <v>LYQ-ZQMB3811-E0-2X</v>
          </cell>
          <cell r="B489" t="str">
            <v>LYQ-ZQMB3811</v>
          </cell>
        </row>
        <row r="490">
          <cell r="A490" t="str">
            <v>LYQ-ZQMB3811-E0-3X</v>
          </cell>
          <cell r="B490" t="str">
            <v>LYQ-ZQMB3811</v>
          </cell>
        </row>
        <row r="491">
          <cell r="A491" t="str">
            <v>LYQ-ZQMB3811-E0-5X</v>
          </cell>
          <cell r="B491" t="str">
            <v>LYQ-ZQMB3811</v>
          </cell>
        </row>
        <row r="492">
          <cell r="A492" t="str">
            <v>LYQ-ZQMB3811-E0-6X</v>
          </cell>
          <cell r="B492" t="str">
            <v>LYQ-ZQMB3811</v>
          </cell>
        </row>
        <row r="493">
          <cell r="A493" t="str">
            <v>LYQ-ZQMB3811-E0-XL</v>
          </cell>
          <cell r="B493" t="str">
            <v>LYQ-ZQMB3811</v>
          </cell>
        </row>
        <row r="494">
          <cell r="A494" t="str">
            <v>LYQ-ZQMB3811-K0-3X</v>
          </cell>
          <cell r="B494" t="str">
            <v>LYQ-ZQMB3811</v>
          </cell>
        </row>
        <row r="495">
          <cell r="A495" t="str">
            <v>LYQ-ZQMB3811-K0-4X</v>
          </cell>
          <cell r="B495" t="str">
            <v>LYQ-ZQMB3811</v>
          </cell>
        </row>
        <row r="496">
          <cell r="A496" t="str">
            <v>LYQ-ZQPC01-B0-L</v>
          </cell>
          <cell r="B496" t="str">
            <v>LYQ-ZQPC01</v>
          </cell>
        </row>
        <row r="497">
          <cell r="A497" t="str">
            <v>LYQ-ZQPC01-B0-M</v>
          </cell>
          <cell r="B497" t="str">
            <v>LYQ-ZQPC01</v>
          </cell>
        </row>
        <row r="498">
          <cell r="A498" t="str">
            <v>LYQ-ZQPC01-B0-S</v>
          </cell>
          <cell r="B498" t="str">
            <v>LYQ-ZQPC01</v>
          </cell>
        </row>
        <row r="499">
          <cell r="A499" t="str">
            <v>LYQ-ZQPC01-B0-XL</v>
          </cell>
          <cell r="B499" t="str">
            <v>LYQ-ZQPC01</v>
          </cell>
        </row>
        <row r="500">
          <cell r="A500" t="str">
            <v>LYQ-ZQPC01-B0-XXL</v>
          </cell>
          <cell r="B500" t="str">
            <v>LYQ-ZQPC01</v>
          </cell>
        </row>
        <row r="501">
          <cell r="A501" t="str">
            <v>LYQ-ZQPC01-BD-L</v>
          </cell>
          <cell r="B501" t="str">
            <v>LYQ-ZQPC01</v>
          </cell>
        </row>
        <row r="502">
          <cell r="A502" t="str">
            <v>LYQ-ZQPC01-BD-M</v>
          </cell>
          <cell r="B502" t="str">
            <v>LYQ-ZQPC01</v>
          </cell>
        </row>
        <row r="503">
          <cell r="A503" t="str">
            <v>LYQ-ZQPC01-BD-S</v>
          </cell>
          <cell r="B503" t="str">
            <v>LYQ-ZQPC01</v>
          </cell>
        </row>
        <row r="504">
          <cell r="A504" t="str">
            <v>LYQ-ZQPC01-BD-XL</v>
          </cell>
          <cell r="B504" t="str">
            <v>LYQ-ZQPC01</v>
          </cell>
        </row>
        <row r="505">
          <cell r="A505" t="str">
            <v>LYQ-ZQPC01-BD-XXL</v>
          </cell>
          <cell r="B505" t="str">
            <v>LYQ-ZQPC01</v>
          </cell>
        </row>
        <row r="506">
          <cell r="A506" t="str">
            <v>LYQ-ZQPC01-E0-L</v>
          </cell>
          <cell r="B506" t="str">
            <v>LYQ-ZQPC01</v>
          </cell>
        </row>
        <row r="507">
          <cell r="A507" t="str">
            <v>LYQ-ZQPC01-E0-M</v>
          </cell>
          <cell r="B507" t="str">
            <v>LYQ-ZQPC01</v>
          </cell>
        </row>
        <row r="508">
          <cell r="A508" t="str">
            <v>LYQ-ZQPC01-E0-S</v>
          </cell>
          <cell r="B508" t="str">
            <v>LYQ-ZQPC01</v>
          </cell>
        </row>
        <row r="509">
          <cell r="A509" t="str">
            <v>LYQ-ZQPC01-E0-XL</v>
          </cell>
          <cell r="B509" t="str">
            <v>LYQ-ZQPC01</v>
          </cell>
        </row>
        <row r="510">
          <cell r="A510" t="str">
            <v>LYQ-ZQPC01-E0-XXL</v>
          </cell>
          <cell r="B510" t="str">
            <v>LYQ-ZQPC01</v>
          </cell>
        </row>
        <row r="511">
          <cell r="A511" t="str">
            <v>LYQ-ZQPC01-P0-L</v>
          </cell>
          <cell r="B511" t="str">
            <v>LYQ-ZQPC01</v>
          </cell>
        </row>
        <row r="512">
          <cell r="A512" t="str">
            <v>LYQ-ZQPC01-P0-M</v>
          </cell>
          <cell r="B512" t="str">
            <v>LYQ-ZQPC01</v>
          </cell>
        </row>
        <row r="513">
          <cell r="A513" t="str">
            <v>LYQ-ZQPC01-P0-S</v>
          </cell>
          <cell r="B513" t="str">
            <v>LYQ-ZQPC01</v>
          </cell>
        </row>
        <row r="514">
          <cell r="A514" t="str">
            <v>LYQ-ZQPC01-P0-XL</v>
          </cell>
          <cell r="B514" t="str">
            <v>LYQ-ZQPC01</v>
          </cell>
        </row>
        <row r="515">
          <cell r="A515" t="str">
            <v>LYQ-ZQPC01-P0-XXL</v>
          </cell>
          <cell r="B515" t="str">
            <v>LYQ-ZQPC01</v>
          </cell>
        </row>
        <row r="516">
          <cell r="A516" t="str">
            <v>LYQ-ZQPC01-ZL-L</v>
          </cell>
          <cell r="B516" t="str">
            <v>LYQ-ZQPC01</v>
          </cell>
        </row>
        <row r="517">
          <cell r="A517" t="str">
            <v>LYQ-ZQPC01-ZL-M</v>
          </cell>
          <cell r="B517" t="str">
            <v>LYQ-ZQPC01</v>
          </cell>
        </row>
        <row r="518">
          <cell r="A518" t="str">
            <v>LYQ-ZQPC01-ZL-XL</v>
          </cell>
          <cell r="B518" t="str">
            <v>LYQ-ZQPC01</v>
          </cell>
        </row>
        <row r="519">
          <cell r="A519" t="str">
            <v>LYQ-ZQPC01-ZL-XXL</v>
          </cell>
          <cell r="B519" t="str">
            <v>LYQ-ZQPC01</v>
          </cell>
        </row>
        <row r="520">
          <cell r="A520" t="str">
            <v>LYQ-ZQS1741-G7-L</v>
          </cell>
          <cell r="B520" t="str">
            <v>LYQ-ZQS1741</v>
          </cell>
        </row>
        <row r="521">
          <cell r="A521" t="str">
            <v>LYQ-ZQS1741-G7-M</v>
          </cell>
          <cell r="B521" t="str">
            <v>LYQ-ZQS1741</v>
          </cell>
        </row>
        <row r="522">
          <cell r="A522" t="str">
            <v>LYQ-ZQS1741-G7-S</v>
          </cell>
          <cell r="B522" t="str">
            <v>LYQ-ZQS1741</v>
          </cell>
        </row>
        <row r="523">
          <cell r="A523" t="str">
            <v>LYQ-ZQS1741-G7-XL</v>
          </cell>
          <cell r="B523" t="str">
            <v>LYQ-ZQS1741</v>
          </cell>
        </row>
        <row r="524">
          <cell r="A524" t="str">
            <v>LYQ-ZQS1741-K0-L</v>
          </cell>
          <cell r="B524" t="str">
            <v>LYQ-ZQS1741</v>
          </cell>
        </row>
        <row r="525">
          <cell r="A525" t="str">
            <v>LYQ-ZQS1741-K0-M</v>
          </cell>
          <cell r="B525" t="str">
            <v>LYQ-ZQS1741</v>
          </cell>
        </row>
        <row r="526">
          <cell r="A526" t="str">
            <v>LYQ-ZQS1741-K0-S</v>
          </cell>
          <cell r="B526" t="str">
            <v>LYQ-ZQS1741</v>
          </cell>
        </row>
        <row r="527">
          <cell r="A527" t="str">
            <v>LYQ-ZQS1741-W0-L</v>
          </cell>
          <cell r="B527" t="str">
            <v>LYQ-ZQS1741</v>
          </cell>
        </row>
        <row r="528">
          <cell r="A528" t="str">
            <v>LYQ-ZQS1741-W0-M</v>
          </cell>
          <cell r="B528" t="str">
            <v>LYQ-ZQS1741</v>
          </cell>
        </row>
        <row r="529">
          <cell r="A529" t="str">
            <v>LYQ-ZQS1741-W0-S</v>
          </cell>
          <cell r="B529" t="str">
            <v>LYQ-ZQS1741</v>
          </cell>
        </row>
        <row r="530">
          <cell r="A530" t="str">
            <v>LYQ-ZQS1741-W0-XL</v>
          </cell>
          <cell r="B530" t="str">
            <v>LYQ-ZQS1741</v>
          </cell>
        </row>
        <row r="531">
          <cell r="A531" t="str">
            <v>LYQ-ZQTN2611-BD-2X</v>
          </cell>
          <cell r="B531" t="str">
            <v>LYQ-ZQTN2611</v>
          </cell>
        </row>
        <row r="532">
          <cell r="A532" t="str">
            <v>LYQ-ZQTN2611-BD-3X</v>
          </cell>
          <cell r="B532" t="str">
            <v>LYQ-ZQTN2611</v>
          </cell>
        </row>
        <row r="533">
          <cell r="A533" t="str">
            <v>LYQ-ZQTN2611-BD-4X</v>
          </cell>
          <cell r="B533" t="str">
            <v>LYQ-ZQTN2611</v>
          </cell>
        </row>
        <row r="534">
          <cell r="A534" t="str">
            <v>LYQ-ZQTN2611-PI-2X</v>
          </cell>
          <cell r="B534" t="str">
            <v>LYQ-ZQTN2611</v>
          </cell>
        </row>
        <row r="535">
          <cell r="A535" t="str">
            <v>LYQ-ZQTN2611-PI-3X</v>
          </cell>
          <cell r="B535" t="str">
            <v>LYQ-ZQTN2611</v>
          </cell>
        </row>
        <row r="536">
          <cell r="A536" t="str">
            <v>LYQ-ZQTN2611-PI-5X</v>
          </cell>
          <cell r="B536" t="str">
            <v>LYQ-ZQTN2611</v>
          </cell>
        </row>
        <row r="537">
          <cell r="A537" t="str">
            <v>LYQ-ZQTN2611-PI-6X</v>
          </cell>
          <cell r="B537" t="str">
            <v>LYQ-ZQTN2611</v>
          </cell>
        </row>
        <row r="538">
          <cell r="A538" t="str">
            <v>LYQ-ZQTN2611-PI-XL</v>
          </cell>
          <cell r="B538" t="str">
            <v>LYQ-ZQTN2611</v>
          </cell>
        </row>
        <row r="539">
          <cell r="A539" t="str">
            <v>MNQ-N718-W0-M</v>
          </cell>
          <cell r="B539" t="str">
            <v>MNQ-N718</v>
          </cell>
        </row>
        <row r="540">
          <cell r="A540" t="str">
            <v>MZ-JY1616-CF</v>
          </cell>
          <cell r="B540" t="str">
            <v>MZ-JY1616</v>
          </cell>
        </row>
        <row r="541">
          <cell r="A541" t="str">
            <v>MZ-JY1616-KH</v>
          </cell>
          <cell r="B541" t="str">
            <v>MZ-JY1616</v>
          </cell>
        </row>
        <row r="542">
          <cell r="A542" t="str">
            <v>MZ-JY1616-R0</v>
          </cell>
          <cell r="B542" t="str">
            <v>MZ-JY1616</v>
          </cell>
        </row>
        <row r="543">
          <cell r="A543" t="str">
            <v>MZ-JY1616-ZL</v>
          </cell>
          <cell r="B543" t="str">
            <v>MZ-JY1616</v>
          </cell>
        </row>
        <row r="544">
          <cell r="A544" t="str">
            <v>NZ-FLQ52</v>
          </cell>
          <cell r="B544" t="str">
            <v>NZ-FLQ52</v>
          </cell>
        </row>
        <row r="545">
          <cell r="A545" t="str">
            <v>NZ-FLQ53</v>
          </cell>
          <cell r="B545" t="str">
            <v>NZ-FLQ53</v>
          </cell>
        </row>
        <row r="546">
          <cell r="A546" t="str">
            <v>NZZH-FLQ52</v>
          </cell>
          <cell r="B546" t="str">
            <v>NZZH-FLQ52</v>
          </cell>
        </row>
        <row r="547">
          <cell r="A547" t="str">
            <v>PJ-ZQ0976-K0</v>
          </cell>
          <cell r="B547" t="str">
            <v>PJ-ZQ0976</v>
          </cell>
        </row>
        <row r="548">
          <cell r="A548" t="str">
            <v>PJ-ZQ0976-O0</v>
          </cell>
          <cell r="B548" t="str">
            <v>PJ-ZQ0976</v>
          </cell>
        </row>
        <row r="549">
          <cell r="A549" t="str">
            <v>PJ-ZQ7050-C3</v>
          </cell>
          <cell r="B549" t="str">
            <v>PJ-ZQ7050</v>
          </cell>
        </row>
        <row r="550">
          <cell r="A550" t="str">
            <v>SHJ-ZQLS01-B0-2XL</v>
          </cell>
          <cell r="B550" t="str">
            <v>SHJ-ZQLS01</v>
          </cell>
        </row>
        <row r="551">
          <cell r="A551" t="str">
            <v>SHJ-ZQLS01-B0-3XL</v>
          </cell>
          <cell r="B551" t="str">
            <v>SHJ-ZQLS01</v>
          </cell>
        </row>
        <row r="552">
          <cell r="A552" t="str">
            <v>SHJ-ZQLS01-B0-4XL</v>
          </cell>
          <cell r="B552" t="str">
            <v>SHJ-ZQLS01</v>
          </cell>
        </row>
        <row r="553">
          <cell r="A553" t="str">
            <v>SHJ-ZQLS01-B0-XL</v>
          </cell>
          <cell r="B553" t="str">
            <v>SHJ-ZQLS01</v>
          </cell>
        </row>
        <row r="554">
          <cell r="A554" t="str">
            <v>SHJ-ZQLS12-K0-2XL</v>
          </cell>
          <cell r="B554" t="str">
            <v>SHJ-ZQLS12</v>
          </cell>
        </row>
        <row r="555">
          <cell r="A555" t="str">
            <v>SHJ-ZQLS12-K0-3XL</v>
          </cell>
          <cell r="B555" t="str">
            <v>SHJ-ZQLS12</v>
          </cell>
        </row>
        <row r="556">
          <cell r="A556" t="str">
            <v>SHJ-ZQLS12-K0-L</v>
          </cell>
          <cell r="B556" t="str">
            <v>SHJ-ZQLS12</v>
          </cell>
        </row>
        <row r="557">
          <cell r="A557" t="str">
            <v>SHJ-ZQLS12-K0-XL</v>
          </cell>
          <cell r="B557" t="str">
            <v>SHJ-ZQLS12</v>
          </cell>
        </row>
        <row r="558">
          <cell r="A558" t="str">
            <v>SJ-HM1995-K0</v>
          </cell>
          <cell r="B558" t="str">
            <v>SJ-HM1995</v>
          </cell>
        </row>
        <row r="559">
          <cell r="A559" t="str">
            <v>SJ-HM1995-W0</v>
          </cell>
          <cell r="B559" t="str">
            <v>SJ-HM1995</v>
          </cell>
        </row>
        <row r="560">
          <cell r="A560" t="str">
            <v>WJ-ZQ650-C1</v>
          </cell>
          <cell r="B560" t="str">
            <v>WJ-ZQ650</v>
          </cell>
        </row>
        <row r="561">
          <cell r="A561" t="str">
            <v>WJ-ZQ650-C10</v>
          </cell>
          <cell r="B561" t="str">
            <v>WJ-ZQ650</v>
          </cell>
        </row>
        <row r="562">
          <cell r="A562" t="str">
            <v>WJ-ZQ650-C11</v>
          </cell>
          <cell r="B562" t="str">
            <v>WJ-ZQ650</v>
          </cell>
        </row>
        <row r="563">
          <cell r="A563" t="str">
            <v>WJ-ZQ650-C3</v>
          </cell>
          <cell r="B563" t="str">
            <v>WJ-ZQ650</v>
          </cell>
        </row>
        <row r="564">
          <cell r="A564" t="str">
            <v>WJ-ZQ650-C4</v>
          </cell>
          <cell r="B564" t="str">
            <v>WJ-ZQ650</v>
          </cell>
        </row>
        <row r="565">
          <cell r="A565" t="str">
            <v>WJ-ZQ650-C5</v>
          </cell>
          <cell r="B565" t="str">
            <v>WJ-ZQ650</v>
          </cell>
        </row>
        <row r="566">
          <cell r="A566" t="str">
            <v>WJ-ZQ650-C6</v>
          </cell>
          <cell r="B566" t="str">
            <v>WJ-ZQ650</v>
          </cell>
        </row>
        <row r="567">
          <cell r="A567" t="str">
            <v>WJ-ZQ650-C7</v>
          </cell>
          <cell r="B567" t="str">
            <v>WJ-ZQ650</v>
          </cell>
        </row>
        <row r="568">
          <cell r="A568" t="str">
            <v>WJ-ZQ650-C8</v>
          </cell>
          <cell r="B568" t="str">
            <v>WJ-ZQ650</v>
          </cell>
        </row>
        <row r="569">
          <cell r="A569" t="str">
            <v>WJ-ZQ650-C9</v>
          </cell>
          <cell r="B569" t="str">
            <v>WJ-ZQ650</v>
          </cell>
        </row>
        <row r="570">
          <cell r="A570" t="str">
            <v>WT-ZQ921-G7-4XL</v>
          </cell>
          <cell r="B570" t="str">
            <v>WT-ZQ921</v>
          </cell>
        </row>
        <row r="571">
          <cell r="A571" t="str">
            <v>WT-ZQ921-K0-2XL</v>
          </cell>
          <cell r="B571" t="str">
            <v>WT-ZQ921</v>
          </cell>
        </row>
        <row r="572">
          <cell r="A572" t="str">
            <v>WT-ZQ921-K0-L</v>
          </cell>
          <cell r="B572" t="str">
            <v>WT-ZQ921</v>
          </cell>
        </row>
        <row r="573">
          <cell r="A573" t="str">
            <v>YF-YULQ001-B7-20</v>
          </cell>
          <cell r="B573" t="str">
            <v>YF-YULQ001</v>
          </cell>
        </row>
        <row r="574">
          <cell r="A574" t="str">
            <v>YF-YULQ002-B7-20</v>
          </cell>
          <cell r="B574" t="str">
            <v>YF-YULQ002</v>
          </cell>
        </row>
        <row r="575">
          <cell r="A575" t="str">
            <v>YF-YULQ003-W0-20</v>
          </cell>
          <cell r="B575" t="str">
            <v>YF-YULQ003</v>
          </cell>
        </row>
        <row r="576">
          <cell r="A576" t="str">
            <v>YF-YULQ007-PI-20</v>
          </cell>
          <cell r="B576" t="str">
            <v>YF-YULQ007</v>
          </cell>
        </row>
        <row r="577">
          <cell r="A577" t="str">
            <v>YF-YULQ161-B7-20</v>
          </cell>
          <cell r="B577" t="str">
            <v>YF-YULQ161</v>
          </cell>
        </row>
        <row r="578">
          <cell r="A578" t="str">
            <v>YF-YULQ162-B7-20</v>
          </cell>
          <cell r="B578" t="str">
            <v>YF-YULQ162</v>
          </cell>
        </row>
        <row r="579">
          <cell r="A579" t="str">
            <v>YF-YULQ601-PI-20</v>
          </cell>
          <cell r="B579" t="str">
            <v>YF-YULQ601</v>
          </cell>
        </row>
        <row r="580">
          <cell r="A580" t="str">
            <v>YF-YULQ602-PI-20</v>
          </cell>
          <cell r="B580" t="str">
            <v>YF-YULQ602</v>
          </cell>
        </row>
        <row r="581">
          <cell r="A581" t="str">
            <v>YF-YULQ904-B7-20</v>
          </cell>
          <cell r="B581" t="str">
            <v>YF-YULQ904</v>
          </cell>
        </row>
        <row r="582">
          <cell r="A582" t="str">
            <v>YF-YULQ905-B7-20</v>
          </cell>
          <cell r="B582" t="str">
            <v>YF-YULQ905</v>
          </cell>
        </row>
        <row r="583">
          <cell r="A583" t="str">
            <v>YL-FLQ58-PI-50</v>
          </cell>
          <cell r="B583" t="str">
            <v>YL-FLQ58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220</v>
          </cell>
          <cell r="D2">
            <v>266</v>
          </cell>
          <cell r="E2">
            <v>245</v>
          </cell>
          <cell r="F2">
            <v>233</v>
          </cell>
        </row>
        <row r="3">
          <cell r="A3" t="str">
            <v>DOLL-0601-PI-22</v>
          </cell>
          <cell r="B3" t="str">
            <v>DOLL-0601</v>
          </cell>
          <cell r="C3">
            <v>7</v>
          </cell>
          <cell r="D3">
            <v>9</v>
          </cell>
          <cell r="E3">
            <v>11</v>
          </cell>
          <cell r="F3">
            <v>8</v>
          </cell>
          <cell r="G3">
            <v>89.9899999999999</v>
          </cell>
        </row>
        <row r="4">
          <cell r="A4" t="str">
            <v>DOLL-020-PI-22</v>
          </cell>
          <cell r="B4" t="str">
            <v>DOLL-020</v>
          </cell>
          <cell r="C4">
            <v>10</v>
          </cell>
          <cell r="D4">
            <v>16</v>
          </cell>
          <cell r="E4">
            <v>5</v>
          </cell>
          <cell r="F4">
            <v>11</v>
          </cell>
          <cell r="G4">
            <v>89.9899999999999</v>
          </cell>
        </row>
        <row r="5">
          <cell r="A5" t="str">
            <v>DOLL-0605-PI-22</v>
          </cell>
          <cell r="B5" t="str">
            <v>DOLL-0605</v>
          </cell>
          <cell r="C5">
            <v>8</v>
          </cell>
          <cell r="D5">
            <v>7</v>
          </cell>
          <cell r="E5">
            <v>14</v>
          </cell>
          <cell r="F5">
            <v>18</v>
          </cell>
          <cell r="G5">
            <v>89.9899999999999</v>
          </cell>
        </row>
        <row r="6">
          <cell r="A6" t="str">
            <v>DO-YULQ070-PI-16</v>
          </cell>
          <cell r="B6" t="str">
            <v>DO-YULQ070</v>
          </cell>
          <cell r="C6">
            <v>3</v>
          </cell>
          <cell r="D6">
            <v>4</v>
          </cell>
          <cell r="E6">
            <v>1</v>
          </cell>
          <cell r="F6">
            <v>7</v>
          </cell>
          <cell r="G6">
            <v>79.99</v>
          </cell>
        </row>
        <row r="7">
          <cell r="A7" t="str">
            <v>DO-YULQ001-PI-22</v>
          </cell>
          <cell r="B7" t="str">
            <v>DO-YULQ001</v>
          </cell>
          <cell r="C7">
            <v>23</v>
          </cell>
          <cell r="D7">
            <v>24</v>
          </cell>
          <cell r="E7">
            <v>33</v>
          </cell>
          <cell r="F7">
            <v>45</v>
          </cell>
          <cell r="G7">
            <v>91.7659999999998</v>
          </cell>
        </row>
        <row r="8">
          <cell r="A8" t="str">
            <v>DO-YULQ100-B7-22</v>
          </cell>
          <cell r="B8" t="str">
            <v>DO-YULQ100</v>
          </cell>
          <cell r="C8">
            <v>10</v>
          </cell>
          <cell r="D8">
            <v>13</v>
          </cell>
          <cell r="E8">
            <v>10</v>
          </cell>
          <cell r="F8">
            <v>13</v>
          </cell>
          <cell r="G8">
            <v>89.9899999999999</v>
          </cell>
        </row>
        <row r="9">
          <cell r="A9" t="str">
            <v>DO-YULQ012-PI-22</v>
          </cell>
          <cell r="B9" t="str">
            <v>DO-YULQ012</v>
          </cell>
          <cell r="C9">
            <v>2</v>
          </cell>
          <cell r="D9">
            <v>2</v>
          </cell>
          <cell r="E9">
            <v>3</v>
          </cell>
          <cell r="F9">
            <v>3</v>
          </cell>
          <cell r="G9">
            <v>89.99</v>
          </cell>
        </row>
        <row r="10">
          <cell r="A10" t="str">
            <v>DO-YULQ708-W0-24</v>
          </cell>
          <cell r="B10" t="str">
            <v>DO-YULQ708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  <cell r="G10">
            <v>108.99</v>
          </cell>
        </row>
        <row r="11">
          <cell r="A11" t="str">
            <v>DO-YULQ107-PI-22</v>
          </cell>
          <cell r="B11" t="str">
            <v>DO-YULQ107</v>
          </cell>
          <cell r="C11">
            <v>1</v>
          </cell>
          <cell r="D11">
            <v>5</v>
          </cell>
          <cell r="E11">
            <v>2</v>
          </cell>
          <cell r="F11">
            <v>4</v>
          </cell>
          <cell r="G11">
            <v>89.99</v>
          </cell>
        </row>
        <row r="12">
          <cell r="A12" t="str">
            <v>DO-YULQ812-W0-18</v>
          </cell>
          <cell r="B12" t="str">
            <v>DO-YULQ812</v>
          </cell>
          <cell r="C12">
            <v>1</v>
          </cell>
          <cell r="D12">
            <v>5</v>
          </cell>
          <cell r="E12">
            <v>2</v>
          </cell>
          <cell r="F12">
            <v>2</v>
          </cell>
          <cell r="G12">
            <v>89.99</v>
          </cell>
        </row>
        <row r="13">
          <cell r="A13" t="str">
            <v>DO-YULQ700-PI-22</v>
          </cell>
          <cell r="B13" t="str">
            <v>DO-YULQ700</v>
          </cell>
          <cell r="C13">
            <v>1</v>
          </cell>
          <cell r="D13">
            <v>0</v>
          </cell>
          <cell r="E13">
            <v>4</v>
          </cell>
          <cell r="F13">
            <v>3</v>
          </cell>
          <cell r="G13">
            <v>99.99</v>
          </cell>
        </row>
        <row r="14">
          <cell r="A14" t="str">
            <v>DOLL-010-PI-22</v>
          </cell>
          <cell r="B14" t="str">
            <v>DOLL-010</v>
          </cell>
          <cell r="C14">
            <v>20</v>
          </cell>
          <cell r="D14">
            <v>25</v>
          </cell>
          <cell r="E14">
            <v>28</v>
          </cell>
          <cell r="F14">
            <v>10</v>
          </cell>
          <cell r="G14">
            <v>99.0381927710842</v>
          </cell>
        </row>
        <row r="15">
          <cell r="A15" t="str">
            <v>DOLLDRESS-003-PI-20</v>
          </cell>
          <cell r="B15" t="str">
            <v>DOLLDRESS-003</v>
          </cell>
          <cell r="C15">
            <v>1</v>
          </cell>
          <cell r="D15">
            <v>3</v>
          </cell>
          <cell r="E15">
            <v>3</v>
          </cell>
          <cell r="F15">
            <v>1</v>
          </cell>
          <cell r="G15">
            <v>21.99</v>
          </cell>
        </row>
        <row r="16">
          <cell r="A16" t="str">
            <v>DO-YULQ153-TW-20</v>
          </cell>
          <cell r="B16" t="str">
            <v>DO-YULQ153</v>
          </cell>
          <cell r="C16">
            <v>0</v>
          </cell>
          <cell r="D16">
            <v>0</v>
          </cell>
          <cell r="E16">
            <v>1</v>
          </cell>
          <cell r="F16">
            <v>1</v>
          </cell>
          <cell r="G16">
            <v>85.99</v>
          </cell>
        </row>
        <row r="17">
          <cell r="A17" t="str">
            <v>DO-YULQ159-R2-22</v>
          </cell>
          <cell r="B17" t="str">
            <v>DO-YULQ159</v>
          </cell>
          <cell r="C17">
            <v>0</v>
          </cell>
          <cell r="D17">
            <v>1</v>
          </cell>
          <cell r="E17">
            <v>1</v>
          </cell>
          <cell r="F17">
            <v>1</v>
          </cell>
          <cell r="G17">
            <v>99.6</v>
          </cell>
        </row>
        <row r="18">
          <cell r="A18" t="str">
            <v>YF-YULQ007-PI-20</v>
          </cell>
          <cell r="B18" t="str">
            <v>YF-YULQ007</v>
          </cell>
          <cell r="C18">
            <v>3</v>
          </cell>
          <cell r="D18">
            <v>12</v>
          </cell>
          <cell r="E18">
            <v>5</v>
          </cell>
          <cell r="F18">
            <v>11</v>
          </cell>
          <cell r="G18">
            <v>21.99</v>
          </cell>
        </row>
        <row r="19">
          <cell r="A19" t="str">
            <v>DOLL-7056-LGR-11</v>
          </cell>
          <cell r="B19" t="str">
            <v>DOLL-7056</v>
          </cell>
          <cell r="C19">
            <v>1</v>
          </cell>
          <cell r="D19">
            <v>4</v>
          </cell>
          <cell r="E19">
            <v>3</v>
          </cell>
          <cell r="F19">
            <v>2</v>
          </cell>
          <cell r="G19">
            <v>34.99</v>
          </cell>
        </row>
        <row r="20">
          <cell r="A20" t="str">
            <v>DO-YULQ150-PI-20</v>
          </cell>
          <cell r="B20" t="str">
            <v>DO-YULQ150</v>
          </cell>
          <cell r="C20">
            <v>3</v>
          </cell>
          <cell r="D20">
            <v>4</v>
          </cell>
          <cell r="E20">
            <v>2</v>
          </cell>
          <cell r="F20">
            <v>5</v>
          </cell>
          <cell r="G20">
            <v>85.99</v>
          </cell>
        </row>
        <row r="21">
          <cell r="A21" t="str">
            <v>DO-YULQ611-TW-22</v>
          </cell>
          <cell r="B21" t="str">
            <v>DO-YULQ611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 t="e">
            <v>#DIV/0!</v>
          </cell>
        </row>
        <row r="22">
          <cell r="A22" t="str">
            <v>DO-YULQ173-B7-22</v>
          </cell>
          <cell r="B22" t="str">
            <v>DO-YULQ173</v>
          </cell>
          <cell r="C22">
            <v>16</v>
          </cell>
          <cell r="D22">
            <v>9</v>
          </cell>
          <cell r="E22">
            <v>5</v>
          </cell>
          <cell r="F22">
            <v>9</v>
          </cell>
          <cell r="G22">
            <v>89.9899999999999</v>
          </cell>
        </row>
        <row r="23">
          <cell r="A23" t="str">
            <v>DOLL-0630-PI-22</v>
          </cell>
          <cell r="B23" t="str">
            <v>DOLL-0630</v>
          </cell>
          <cell r="C23">
            <v>2</v>
          </cell>
          <cell r="D23">
            <v>9</v>
          </cell>
          <cell r="E23">
            <v>1</v>
          </cell>
          <cell r="F23">
            <v>7</v>
          </cell>
          <cell r="G23">
            <v>89.99</v>
          </cell>
        </row>
        <row r="24">
          <cell r="A24" t="str">
            <v>DO-YULQ081-PI-10</v>
          </cell>
          <cell r="B24" t="str">
            <v>DO-YULQ081</v>
          </cell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37.99</v>
          </cell>
        </row>
        <row r="25">
          <cell r="A25" t="str">
            <v>DOLL-1613-PI-22</v>
          </cell>
          <cell r="B25" t="str">
            <v>DOLL-1613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89.6</v>
          </cell>
        </row>
        <row r="26">
          <cell r="A26" t="str">
            <v>DO-YULQ062-PI-22</v>
          </cell>
          <cell r="B26" t="str">
            <v>DO-YULQ062</v>
          </cell>
          <cell r="C26">
            <v>4</v>
          </cell>
          <cell r="D26">
            <v>3</v>
          </cell>
          <cell r="E26">
            <v>6</v>
          </cell>
          <cell r="F26">
            <v>4</v>
          </cell>
          <cell r="G26">
            <v>89.8723529411765</v>
          </cell>
        </row>
        <row r="27">
          <cell r="A27" t="str">
            <v>DOLL-004-PI-10</v>
          </cell>
          <cell r="B27" t="str">
            <v>DOLL-004</v>
          </cell>
          <cell r="C27">
            <v>5</v>
          </cell>
          <cell r="D27">
            <v>4</v>
          </cell>
          <cell r="E27">
            <v>2</v>
          </cell>
          <cell r="F27">
            <v>4</v>
          </cell>
          <cell r="G27">
            <v>32.99</v>
          </cell>
        </row>
        <row r="28">
          <cell r="A28" t="str">
            <v>YF-YULQ905-B7-20</v>
          </cell>
          <cell r="B28" t="str">
            <v>YF-YULQ905</v>
          </cell>
          <cell r="C28">
            <v>1</v>
          </cell>
          <cell r="D28">
            <v>1</v>
          </cell>
          <cell r="E28">
            <v>3</v>
          </cell>
          <cell r="F28">
            <v>4</v>
          </cell>
          <cell r="G28">
            <v>21.99</v>
          </cell>
        </row>
        <row r="29">
          <cell r="A29" t="str">
            <v>DO-YULQ332-LGR-20</v>
          </cell>
          <cell r="B29" t="str">
            <v>DO-YULQ332</v>
          </cell>
          <cell r="C29">
            <v>1</v>
          </cell>
          <cell r="D29">
            <v>2</v>
          </cell>
          <cell r="E29">
            <v>0</v>
          </cell>
          <cell r="F29">
            <v>1</v>
          </cell>
          <cell r="G29">
            <v>89.99</v>
          </cell>
        </row>
        <row r="30">
          <cell r="A30" t="str">
            <v>DO-YULQ123-FB-22</v>
          </cell>
          <cell r="B30" t="str">
            <v>DO-YULQ123</v>
          </cell>
          <cell r="C30">
            <v>6</v>
          </cell>
          <cell r="D30">
            <v>3</v>
          </cell>
          <cell r="E30">
            <v>6</v>
          </cell>
          <cell r="F30">
            <v>3</v>
          </cell>
          <cell r="G30">
            <v>89.99</v>
          </cell>
        </row>
        <row r="31">
          <cell r="A31" t="str">
            <v>DO-YULQ664-AX-16</v>
          </cell>
          <cell r="B31" t="str">
            <v>DO-YULQ664</v>
          </cell>
          <cell r="C31">
            <v>1</v>
          </cell>
          <cell r="D31">
            <v>3</v>
          </cell>
          <cell r="E31">
            <v>0</v>
          </cell>
          <cell r="F31">
            <v>2</v>
          </cell>
          <cell r="G31">
            <v>79.99</v>
          </cell>
        </row>
        <row r="32">
          <cell r="A32" t="str">
            <v>DO-YULQ061-LGR-22</v>
          </cell>
          <cell r="B32" t="str">
            <v>DO-YULQ061</v>
          </cell>
          <cell r="C32">
            <v>0</v>
          </cell>
          <cell r="D32">
            <v>1</v>
          </cell>
          <cell r="E32">
            <v>2</v>
          </cell>
          <cell r="F32">
            <v>2</v>
          </cell>
          <cell r="G32">
            <v>94.6</v>
          </cell>
        </row>
        <row r="33">
          <cell r="A33" t="str">
            <v>DO-YULQ985-B7-20</v>
          </cell>
          <cell r="B33" t="str">
            <v>DO-YULQ905</v>
          </cell>
          <cell r="C33">
            <v>1</v>
          </cell>
          <cell r="D33">
            <v>1</v>
          </cell>
          <cell r="E33">
            <v>0</v>
          </cell>
          <cell r="F33">
            <v>0</v>
          </cell>
          <cell r="G33">
            <v>106.99</v>
          </cell>
        </row>
        <row r="34">
          <cell r="A34" t="str">
            <v>DOLL-008-W0-22</v>
          </cell>
          <cell r="B34" t="str">
            <v>DOLL-008</v>
          </cell>
          <cell r="C34">
            <v>0</v>
          </cell>
          <cell r="D34">
            <v>0</v>
          </cell>
          <cell r="E34">
            <v>3</v>
          </cell>
          <cell r="F34">
            <v>4</v>
          </cell>
          <cell r="G34">
            <v>90.3142857142857</v>
          </cell>
        </row>
        <row r="35">
          <cell r="A35" t="str">
            <v>DO-YULQ200-PI-10</v>
          </cell>
          <cell r="B35" t="str">
            <v>DO-YULQ200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32.99</v>
          </cell>
        </row>
        <row r="36">
          <cell r="A36" t="str">
            <v>DOLL-1613-LB-22</v>
          </cell>
          <cell r="B36" t="str">
            <v>DOLL-1613</v>
          </cell>
          <cell r="C36">
            <v>0</v>
          </cell>
          <cell r="D36">
            <v>0</v>
          </cell>
          <cell r="E36">
            <v>1</v>
          </cell>
          <cell r="F36">
            <v>1</v>
          </cell>
          <cell r="G36">
            <v>89.795</v>
          </cell>
        </row>
        <row r="37">
          <cell r="A37" t="str">
            <v>DO-YULQ010-P0-22</v>
          </cell>
          <cell r="B37" t="str">
            <v>DO-YULQ010</v>
          </cell>
          <cell r="C37">
            <v>1</v>
          </cell>
          <cell r="D37">
            <v>2</v>
          </cell>
          <cell r="E37">
            <v>2</v>
          </cell>
          <cell r="F37">
            <v>1</v>
          </cell>
          <cell r="G37">
            <v>89.99</v>
          </cell>
        </row>
        <row r="38">
          <cell r="A38" t="str">
            <v>DOLL-AD011-PI-22</v>
          </cell>
          <cell r="B38" t="str">
            <v>DOLL-AD011</v>
          </cell>
          <cell r="C38">
            <v>1</v>
          </cell>
          <cell r="D38">
            <v>1</v>
          </cell>
          <cell r="E38">
            <v>1</v>
          </cell>
          <cell r="F38">
            <v>2</v>
          </cell>
          <cell r="G38">
            <v>99.6</v>
          </cell>
        </row>
        <row r="39">
          <cell r="A39" t="str">
            <v>DO-YULQ150-K0-22</v>
          </cell>
          <cell r="B39" t="str">
            <v>DO-YULQ150</v>
          </cell>
          <cell r="C39">
            <v>1</v>
          </cell>
          <cell r="D39">
            <v>0</v>
          </cell>
          <cell r="E39">
            <v>2</v>
          </cell>
          <cell r="F39">
            <v>2</v>
          </cell>
          <cell r="G39">
            <v>99.99</v>
          </cell>
        </row>
        <row r="40">
          <cell r="A40" t="str">
            <v>DOLL-9042-B0-22</v>
          </cell>
          <cell r="B40" t="str">
            <v>DOLL-9042</v>
          </cell>
          <cell r="C40">
            <v>0</v>
          </cell>
          <cell r="D40">
            <v>3</v>
          </cell>
          <cell r="E40">
            <v>3</v>
          </cell>
          <cell r="F40">
            <v>2</v>
          </cell>
          <cell r="G40">
            <v>89.99</v>
          </cell>
        </row>
        <row r="41">
          <cell r="A41" t="str">
            <v>YF-YULQ602-PI-20</v>
          </cell>
          <cell r="B41" t="str">
            <v>YF-YULQ602</v>
          </cell>
          <cell r="C41">
            <v>1</v>
          </cell>
          <cell r="D41">
            <v>4</v>
          </cell>
          <cell r="E41">
            <v>3</v>
          </cell>
          <cell r="F41">
            <v>2</v>
          </cell>
          <cell r="G41">
            <v>21.99</v>
          </cell>
        </row>
        <row r="42">
          <cell r="A42" t="str">
            <v>DO-YULQ604-PI-22</v>
          </cell>
          <cell r="B42" t="str">
            <v>DO-YULQ604</v>
          </cell>
          <cell r="C42">
            <v>1</v>
          </cell>
          <cell r="D42">
            <v>0</v>
          </cell>
          <cell r="E42">
            <v>0</v>
          </cell>
          <cell r="F42">
            <v>1</v>
          </cell>
          <cell r="G42">
            <v>89.99</v>
          </cell>
        </row>
        <row r="43">
          <cell r="A43" t="str">
            <v>DO-YULQ230-PI-16</v>
          </cell>
          <cell r="B43" t="str">
            <v>DO-YULQ230</v>
          </cell>
          <cell r="C43">
            <v>7</v>
          </cell>
          <cell r="D43">
            <v>8</v>
          </cell>
          <cell r="E43">
            <v>7</v>
          </cell>
          <cell r="F43">
            <v>7</v>
          </cell>
          <cell r="G43">
            <v>79.99</v>
          </cell>
        </row>
        <row r="44">
          <cell r="A44" t="str">
            <v>DOLLDRESS-003-R2-20</v>
          </cell>
          <cell r="B44" t="str">
            <v>DOLLDRESS-003</v>
          </cell>
          <cell r="C44">
            <v>9</v>
          </cell>
          <cell r="D44">
            <v>5</v>
          </cell>
          <cell r="E44">
            <v>3</v>
          </cell>
          <cell r="F44">
            <v>3</v>
          </cell>
          <cell r="G44">
            <v>21.99</v>
          </cell>
        </row>
        <row r="45">
          <cell r="A45" t="str">
            <v>YF-YULQ002-B7-20</v>
          </cell>
          <cell r="B45" t="str">
            <v>YF-YULQ002</v>
          </cell>
          <cell r="C45">
            <v>2</v>
          </cell>
          <cell r="D45">
            <v>1</v>
          </cell>
          <cell r="E45">
            <v>4</v>
          </cell>
          <cell r="F45">
            <v>2</v>
          </cell>
          <cell r="G45">
            <v>21.99</v>
          </cell>
        </row>
        <row r="46">
          <cell r="A46" t="str">
            <v>DO-YULQ163-B7-22</v>
          </cell>
          <cell r="B46" t="str">
            <v>DO-YULQ163</v>
          </cell>
          <cell r="C46">
            <v>3</v>
          </cell>
          <cell r="D46">
            <v>3</v>
          </cell>
          <cell r="E46">
            <v>1</v>
          </cell>
          <cell r="F46">
            <v>1</v>
          </cell>
          <cell r="G46">
            <v>89.99</v>
          </cell>
        </row>
        <row r="47">
          <cell r="A47" t="str">
            <v>DO-YULQ161-PI-16</v>
          </cell>
          <cell r="B47" t="str">
            <v>DO-YULQ161</v>
          </cell>
          <cell r="C47">
            <v>0</v>
          </cell>
          <cell r="D47">
            <v>0</v>
          </cell>
          <cell r="E47">
            <v>1</v>
          </cell>
          <cell r="F47">
            <v>0</v>
          </cell>
          <cell r="G47">
            <v>79.99</v>
          </cell>
        </row>
        <row r="48">
          <cell r="A48" t="str">
            <v>DO-YULQ006-B7-10</v>
          </cell>
          <cell r="B48" t="str">
            <v>DO-YULQ006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  <cell r="G48">
            <v>32.99</v>
          </cell>
        </row>
        <row r="49">
          <cell r="A49" t="str">
            <v>DO-YULQ605-PI-16</v>
          </cell>
          <cell r="B49" t="str">
            <v>DO-YULQ605</v>
          </cell>
          <cell r="C49">
            <v>0</v>
          </cell>
          <cell r="D49">
            <v>1</v>
          </cell>
          <cell r="E49">
            <v>0</v>
          </cell>
          <cell r="F49">
            <v>0</v>
          </cell>
          <cell r="G49">
            <v>79.99</v>
          </cell>
        </row>
        <row r="50">
          <cell r="A50" t="str">
            <v>DOLLDRESS-003-WO-M</v>
          </cell>
          <cell r="B50" t="str">
            <v>DOLLDRESS-003</v>
          </cell>
          <cell r="C50">
            <v>1</v>
          </cell>
          <cell r="D50">
            <v>0</v>
          </cell>
          <cell r="E50">
            <v>0</v>
          </cell>
          <cell r="F50">
            <v>1</v>
          </cell>
          <cell r="G50">
            <v>19.99</v>
          </cell>
        </row>
        <row r="51">
          <cell r="A51" t="str">
            <v>DO-YULQ161-B7-22</v>
          </cell>
          <cell r="B51" t="str">
            <v>DO-YULQ161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 t="e">
            <v>#DIV/0!</v>
          </cell>
        </row>
        <row r="52">
          <cell r="A52" t="str">
            <v>DO-YULQ610-R2-22</v>
          </cell>
          <cell r="B52" t="str">
            <v>DO-YULQ610</v>
          </cell>
          <cell r="C52">
            <v>1</v>
          </cell>
          <cell r="D52">
            <v>0</v>
          </cell>
          <cell r="E52">
            <v>1</v>
          </cell>
          <cell r="F52">
            <v>5</v>
          </cell>
          <cell r="G52">
            <v>89.99</v>
          </cell>
        </row>
        <row r="53">
          <cell r="A53" t="str">
            <v>DO-YULQ702-PI-22</v>
          </cell>
          <cell r="B53" t="str">
            <v>DO-YULQ702</v>
          </cell>
          <cell r="C53">
            <v>1</v>
          </cell>
          <cell r="D53">
            <v>3</v>
          </cell>
          <cell r="E53">
            <v>1</v>
          </cell>
          <cell r="F53">
            <v>1</v>
          </cell>
          <cell r="G53">
            <v>99.99</v>
          </cell>
        </row>
        <row r="54">
          <cell r="A54" t="str">
            <v>DO-YULQ516-B0-22</v>
          </cell>
          <cell r="B54" t="str">
            <v>DO-YULQ516</v>
          </cell>
          <cell r="C54">
            <v>0</v>
          </cell>
          <cell r="D54">
            <v>1</v>
          </cell>
          <cell r="E54">
            <v>0</v>
          </cell>
          <cell r="F54">
            <v>1</v>
          </cell>
          <cell r="G54">
            <v>89.99</v>
          </cell>
        </row>
        <row r="55">
          <cell r="A55" t="str">
            <v>DO-YULQ630-R2-15</v>
          </cell>
          <cell r="B55" t="str">
            <v>DO-YULQ630</v>
          </cell>
          <cell r="C55">
            <v>0</v>
          </cell>
          <cell r="D55">
            <v>1</v>
          </cell>
          <cell r="E55">
            <v>1</v>
          </cell>
          <cell r="F55">
            <v>1</v>
          </cell>
          <cell r="G55">
            <v>79.99</v>
          </cell>
        </row>
        <row r="56">
          <cell r="A56" t="str">
            <v>DOLL-005-WO-11</v>
          </cell>
          <cell r="B56" t="str">
            <v>DOLL-005</v>
          </cell>
          <cell r="C56">
            <v>2</v>
          </cell>
          <cell r="D56">
            <v>2</v>
          </cell>
          <cell r="E56">
            <v>0</v>
          </cell>
          <cell r="F56">
            <v>1</v>
          </cell>
          <cell r="G56">
            <v>28.19</v>
          </cell>
        </row>
        <row r="57">
          <cell r="A57" t="str">
            <v>DO-YULQ707-PI-24</v>
          </cell>
          <cell r="B57" t="str">
            <v>DO-YULQ707</v>
          </cell>
          <cell r="C57">
            <v>5</v>
          </cell>
          <cell r="D57">
            <v>2</v>
          </cell>
          <cell r="E57">
            <v>1</v>
          </cell>
          <cell r="F57">
            <v>1</v>
          </cell>
          <cell r="G57">
            <v>108.99</v>
          </cell>
        </row>
        <row r="58">
          <cell r="A58" t="str">
            <v>DO-YULQ063-PI-22</v>
          </cell>
          <cell r="B58" t="str">
            <v>DO-YULQ063</v>
          </cell>
          <cell r="C58">
            <v>0</v>
          </cell>
          <cell r="D58">
            <v>0</v>
          </cell>
          <cell r="E58">
            <v>0</v>
          </cell>
          <cell r="F58">
            <v>1</v>
          </cell>
          <cell r="G58">
            <v>90.99</v>
          </cell>
        </row>
        <row r="59">
          <cell r="A59" t="str">
            <v>DOLL-1630-R0-22</v>
          </cell>
          <cell r="B59" t="str">
            <v>DOLL-1630</v>
          </cell>
          <cell r="C59">
            <v>0</v>
          </cell>
          <cell r="D59">
            <v>1</v>
          </cell>
          <cell r="E59">
            <v>3</v>
          </cell>
          <cell r="F59">
            <v>1</v>
          </cell>
          <cell r="G59">
            <v>99.99</v>
          </cell>
        </row>
        <row r="60">
          <cell r="A60" t="str">
            <v>DO-YULQ021-W0-22</v>
          </cell>
          <cell r="B60" t="str">
            <v>DO-YULQ021</v>
          </cell>
          <cell r="C60">
            <v>0</v>
          </cell>
          <cell r="D60">
            <v>1</v>
          </cell>
          <cell r="E60">
            <v>0</v>
          </cell>
          <cell r="F60">
            <v>0</v>
          </cell>
          <cell r="G60">
            <v>99.99</v>
          </cell>
        </row>
        <row r="61">
          <cell r="A61" t="str">
            <v>DOLL-1613-LB-11</v>
          </cell>
          <cell r="B61" t="str">
            <v>DOLL-1613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  <cell r="G61">
            <v>29.99</v>
          </cell>
        </row>
        <row r="62">
          <cell r="A62" t="str">
            <v>DO-YULQ100-R0-10</v>
          </cell>
          <cell r="B62" t="str">
            <v>DO-YULQ100</v>
          </cell>
          <cell r="C62">
            <v>0</v>
          </cell>
          <cell r="D62">
            <v>1</v>
          </cell>
          <cell r="E62">
            <v>3</v>
          </cell>
          <cell r="F62">
            <v>0</v>
          </cell>
          <cell r="G62">
            <v>32.99</v>
          </cell>
        </row>
        <row r="63">
          <cell r="A63" t="str">
            <v>DOLL-1523-B7-22</v>
          </cell>
          <cell r="B63" t="str">
            <v>DOLL-1523</v>
          </cell>
          <cell r="C63">
            <v>1</v>
          </cell>
          <cell r="D63">
            <v>0</v>
          </cell>
          <cell r="E63">
            <v>0</v>
          </cell>
          <cell r="F63">
            <v>1</v>
          </cell>
          <cell r="G63">
            <v>83.445</v>
          </cell>
        </row>
        <row r="64">
          <cell r="A64" t="str">
            <v>DOLL-004-LB-10</v>
          </cell>
          <cell r="B64" t="str">
            <v>DOLL-004</v>
          </cell>
          <cell r="C64">
            <v>1</v>
          </cell>
          <cell r="D64">
            <v>0</v>
          </cell>
          <cell r="E64">
            <v>0</v>
          </cell>
          <cell r="F64">
            <v>0</v>
          </cell>
          <cell r="G64">
            <v>32.99</v>
          </cell>
        </row>
        <row r="65">
          <cell r="A65" t="str">
            <v>DO-YULQ638-PI-20</v>
          </cell>
          <cell r="B65" t="str">
            <v>DO-YULQ638</v>
          </cell>
          <cell r="C65">
            <v>0</v>
          </cell>
          <cell r="D65">
            <v>2</v>
          </cell>
          <cell r="E65">
            <v>0</v>
          </cell>
          <cell r="F65">
            <v>1</v>
          </cell>
          <cell r="G65">
            <v>99.6</v>
          </cell>
        </row>
        <row r="66">
          <cell r="A66" t="str">
            <v>DOLL-6089-B0-22</v>
          </cell>
          <cell r="B66" t="str">
            <v>DOLL-6089</v>
          </cell>
          <cell r="C66">
            <v>0</v>
          </cell>
          <cell r="D66">
            <v>0</v>
          </cell>
          <cell r="E66">
            <v>0</v>
          </cell>
          <cell r="F66">
            <v>1</v>
          </cell>
          <cell r="G66">
            <v>89.99</v>
          </cell>
        </row>
        <row r="67">
          <cell r="A67" t="str">
            <v>DO-YULQ203-P4-22</v>
          </cell>
          <cell r="B67" t="str">
            <v>DO-YULQ203</v>
          </cell>
          <cell r="C67">
            <v>0</v>
          </cell>
          <cell r="D67">
            <v>2</v>
          </cell>
          <cell r="E67">
            <v>2</v>
          </cell>
          <cell r="F67">
            <v>1</v>
          </cell>
          <cell r="G67">
            <v>89.99</v>
          </cell>
        </row>
        <row r="68">
          <cell r="A68" t="str">
            <v>DO-YULQ018-B0-18</v>
          </cell>
          <cell r="B68" t="str">
            <v>DO-YULQ018</v>
          </cell>
          <cell r="C68">
            <v>0</v>
          </cell>
          <cell r="D68">
            <v>0</v>
          </cell>
          <cell r="E68">
            <v>1</v>
          </cell>
          <cell r="F68">
            <v>1</v>
          </cell>
          <cell r="G68">
            <v>89.99</v>
          </cell>
        </row>
        <row r="69">
          <cell r="A69" t="str">
            <v>DOLLDRESS-003-R2-M</v>
          </cell>
          <cell r="B69" t="str">
            <v>DOLLDRESS-003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19.99</v>
          </cell>
        </row>
        <row r="70">
          <cell r="A70" t="str">
            <v>DOLL-007XM-WO-17</v>
          </cell>
          <cell r="B70" t="str">
            <v>DOLL-007</v>
          </cell>
          <cell r="C70">
            <v>1</v>
          </cell>
          <cell r="D70">
            <v>0</v>
          </cell>
          <cell r="E70">
            <v>1</v>
          </cell>
          <cell r="F70">
            <v>0</v>
          </cell>
          <cell r="G70">
            <v>79.99</v>
          </cell>
        </row>
        <row r="71">
          <cell r="A71" t="str">
            <v>DO-YULQ631-R2-22</v>
          </cell>
          <cell r="B71" t="str">
            <v>DO-YULQ631</v>
          </cell>
          <cell r="C71">
            <v>2</v>
          </cell>
          <cell r="D71">
            <v>0</v>
          </cell>
          <cell r="E71">
            <v>2</v>
          </cell>
          <cell r="F71">
            <v>0</v>
          </cell>
          <cell r="G71">
            <v>99.99</v>
          </cell>
        </row>
        <row r="72">
          <cell r="A72" t="str">
            <v>DOLLDRESS-003-WO-20</v>
          </cell>
          <cell r="B72" t="str">
            <v>DOLLDRESS-003</v>
          </cell>
          <cell r="C72">
            <v>0</v>
          </cell>
          <cell r="D72">
            <v>0</v>
          </cell>
          <cell r="E72">
            <v>1</v>
          </cell>
          <cell r="F72">
            <v>0</v>
          </cell>
          <cell r="G72">
            <v>21.99</v>
          </cell>
        </row>
        <row r="73">
          <cell r="A73" t="str">
            <v>DO-YULQ152-Z1-22</v>
          </cell>
          <cell r="B73" t="str">
            <v>DO-YULQ152</v>
          </cell>
          <cell r="C73">
            <v>1</v>
          </cell>
          <cell r="D73">
            <v>1</v>
          </cell>
          <cell r="E73">
            <v>3</v>
          </cell>
          <cell r="F73">
            <v>0</v>
          </cell>
          <cell r="G73">
            <v>89.99</v>
          </cell>
        </row>
        <row r="74">
          <cell r="A74" t="str">
            <v>DO-YULQ620-NZ-22</v>
          </cell>
          <cell r="B74" t="str">
            <v>DO-YULQ620</v>
          </cell>
          <cell r="C74">
            <v>3</v>
          </cell>
          <cell r="D74">
            <v>2</v>
          </cell>
          <cell r="E74">
            <v>3</v>
          </cell>
          <cell r="F74">
            <v>0</v>
          </cell>
          <cell r="G74">
            <v>80.24</v>
          </cell>
        </row>
        <row r="75">
          <cell r="A75" t="str">
            <v>DO-YULQ081-B7-10</v>
          </cell>
          <cell r="B75" t="str">
            <v>DO-YULQ081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 t="e">
            <v>#DIV/0!</v>
          </cell>
        </row>
        <row r="76">
          <cell r="A76" t="str">
            <v>DOLLDRESS-003-PI-M</v>
          </cell>
          <cell r="B76" t="str">
            <v>DOLLDRESS-003</v>
          </cell>
          <cell r="C76">
            <v>1</v>
          </cell>
          <cell r="D76">
            <v>0</v>
          </cell>
          <cell r="E76">
            <v>2</v>
          </cell>
          <cell r="F76">
            <v>0</v>
          </cell>
          <cell r="G76">
            <v>19.99</v>
          </cell>
        </row>
        <row r="77">
          <cell r="A77" t="str">
            <v>DO-YULQ071-B7-16</v>
          </cell>
          <cell r="B77" t="str">
            <v>DO-YULQ071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79.99</v>
          </cell>
        </row>
        <row r="78">
          <cell r="A78" t="str">
            <v>DO-YULQ018-P4-16</v>
          </cell>
          <cell r="B78" t="str">
            <v>DO-YULQ018</v>
          </cell>
          <cell r="C78">
            <v>0</v>
          </cell>
          <cell r="D78">
            <v>0</v>
          </cell>
          <cell r="E78">
            <v>1</v>
          </cell>
          <cell r="F78">
            <v>0</v>
          </cell>
          <cell r="G78">
            <v>79.99</v>
          </cell>
        </row>
        <row r="79">
          <cell r="A79" t="str">
            <v>DO-YULQ701-PI-22</v>
          </cell>
          <cell r="B79" t="str">
            <v>DO-YULQ701</v>
          </cell>
          <cell r="C79">
            <v>5</v>
          </cell>
          <cell r="D79">
            <v>3</v>
          </cell>
          <cell r="E79">
            <v>4</v>
          </cell>
          <cell r="F79">
            <v>0</v>
          </cell>
          <cell r="G79">
            <v>93.1566666666667</v>
          </cell>
        </row>
        <row r="80">
          <cell r="A80" t="str">
            <v>DO-YULQ153-B7-22</v>
          </cell>
          <cell r="B80" t="str">
            <v>DO-YULQ153</v>
          </cell>
          <cell r="C80">
            <v>4</v>
          </cell>
          <cell r="D80">
            <v>0</v>
          </cell>
          <cell r="E80">
            <v>1</v>
          </cell>
          <cell r="F80">
            <v>0</v>
          </cell>
          <cell r="G80">
            <v>99.99</v>
          </cell>
        </row>
        <row r="81">
          <cell r="A81" t="str">
            <v>DOLL-7056-BR-11</v>
          </cell>
          <cell r="B81" t="str">
            <v>DOLL-7056</v>
          </cell>
          <cell r="C81">
            <v>1</v>
          </cell>
          <cell r="D81">
            <v>1</v>
          </cell>
          <cell r="E81">
            <v>2</v>
          </cell>
          <cell r="F81">
            <v>0</v>
          </cell>
          <cell r="G81">
            <v>32.99</v>
          </cell>
        </row>
        <row r="82">
          <cell r="A82" t="str">
            <v>DO-YULQ620-PI-22</v>
          </cell>
          <cell r="B82" t="str">
            <v>DO-YULQ620</v>
          </cell>
          <cell r="C82">
            <v>0</v>
          </cell>
          <cell r="D82">
            <v>1</v>
          </cell>
          <cell r="E82">
            <v>5</v>
          </cell>
          <cell r="F82">
            <v>0</v>
          </cell>
          <cell r="G82">
            <v>81.49</v>
          </cell>
        </row>
        <row r="83">
          <cell r="A83" t="str">
            <v>DO-YULQ061-W0-22</v>
          </cell>
          <cell r="B83" t="str">
            <v>DO-YULQ061</v>
          </cell>
          <cell r="C83">
            <v>0</v>
          </cell>
          <cell r="D83">
            <v>0</v>
          </cell>
          <cell r="E83">
            <v>1</v>
          </cell>
          <cell r="F83">
            <v>0</v>
          </cell>
          <cell r="G83">
            <v>104.99</v>
          </cell>
        </row>
        <row r="84">
          <cell r="A84" t="str">
            <v>DO-YULQ010-PI-15</v>
          </cell>
          <cell r="B84" t="str">
            <v>DO-YULQ010</v>
          </cell>
          <cell r="C84">
            <v>3</v>
          </cell>
          <cell r="D84">
            <v>2</v>
          </cell>
          <cell r="E84">
            <v>3</v>
          </cell>
          <cell r="F84">
            <v>0</v>
          </cell>
          <cell r="G84">
            <v>79.99</v>
          </cell>
        </row>
        <row r="85">
          <cell r="A85" t="str">
            <v>DO-YULQ171-B0-22</v>
          </cell>
          <cell r="B85" t="str">
            <v>DO-YULQ171</v>
          </cell>
          <cell r="C85">
            <v>2</v>
          </cell>
          <cell r="D85">
            <v>0</v>
          </cell>
          <cell r="E85">
            <v>1</v>
          </cell>
          <cell r="F85">
            <v>0</v>
          </cell>
          <cell r="G85">
            <v>95.99</v>
          </cell>
        </row>
        <row r="86">
          <cell r="A86" t="str">
            <v>DO-YULQ058-SH-10</v>
          </cell>
          <cell r="B86" t="str">
            <v>DO-YULQ058</v>
          </cell>
          <cell r="C86">
            <v>1</v>
          </cell>
          <cell r="D86">
            <v>1</v>
          </cell>
          <cell r="E86">
            <v>2</v>
          </cell>
          <cell r="F86">
            <v>0</v>
          </cell>
          <cell r="G86">
            <v>32.99</v>
          </cell>
        </row>
        <row r="87">
          <cell r="A87" t="str">
            <v>DOLL-7056B-YO-11</v>
          </cell>
          <cell r="B87" t="str">
            <v>DOLL-7056</v>
          </cell>
          <cell r="C87">
            <v>1</v>
          </cell>
          <cell r="D87">
            <v>0</v>
          </cell>
          <cell r="E87">
            <v>1</v>
          </cell>
          <cell r="F87">
            <v>0</v>
          </cell>
          <cell r="G87">
            <v>32.99</v>
          </cell>
        </row>
        <row r="88">
          <cell r="A88" t="str">
            <v>DO-YULQ163-PI-22</v>
          </cell>
          <cell r="B88" t="str">
            <v>DO-YULQ163</v>
          </cell>
          <cell r="C88">
            <v>2</v>
          </cell>
          <cell r="D88">
            <v>1</v>
          </cell>
          <cell r="E88">
            <v>1</v>
          </cell>
          <cell r="F88">
            <v>0</v>
          </cell>
          <cell r="G88">
            <v>89.99</v>
          </cell>
        </row>
        <row r="89">
          <cell r="A89" t="str">
            <v>DO-YULQ071-PI-16</v>
          </cell>
          <cell r="B89" t="str">
            <v>DO-YULQ071</v>
          </cell>
          <cell r="C89">
            <v>0</v>
          </cell>
          <cell r="D89">
            <v>1</v>
          </cell>
          <cell r="E89">
            <v>1</v>
          </cell>
          <cell r="F89">
            <v>0</v>
          </cell>
          <cell r="G89">
            <v>79.99</v>
          </cell>
        </row>
        <row r="90">
          <cell r="A90" t="str">
            <v>YF-YULQ003-W0-20</v>
          </cell>
          <cell r="B90" t="str">
            <v>YF-YULQ003</v>
          </cell>
          <cell r="C90">
            <v>2</v>
          </cell>
          <cell r="D90">
            <v>0</v>
          </cell>
          <cell r="E90">
            <v>1</v>
          </cell>
          <cell r="F90">
            <v>0</v>
          </cell>
          <cell r="G90">
            <v>21.99</v>
          </cell>
        </row>
        <row r="91">
          <cell r="A91" t="str">
            <v>DO-YULQ705-GR-11</v>
          </cell>
          <cell r="B91" t="str">
            <v>DO-YULQ705</v>
          </cell>
          <cell r="C91">
            <v>1</v>
          </cell>
          <cell r="D91">
            <v>2</v>
          </cell>
          <cell r="E91">
            <v>1</v>
          </cell>
          <cell r="F91">
            <v>0</v>
          </cell>
          <cell r="G91">
            <v>34.99</v>
          </cell>
        </row>
        <row r="92">
          <cell r="A92" t="str">
            <v>DO-YULQ121-PI-22</v>
          </cell>
          <cell r="B92" t="str">
            <v>DO-YULQ121</v>
          </cell>
          <cell r="C92">
            <v>1</v>
          </cell>
          <cell r="D92">
            <v>0</v>
          </cell>
          <cell r="E92">
            <v>1</v>
          </cell>
          <cell r="F92">
            <v>0</v>
          </cell>
          <cell r="G92">
            <v>89.99</v>
          </cell>
        </row>
        <row r="93">
          <cell r="A93" t="str">
            <v>DOLL-9042-01R-22</v>
          </cell>
          <cell r="B93" t="str">
            <v>DOLL-9042</v>
          </cell>
          <cell r="C93">
            <v>0</v>
          </cell>
          <cell r="D93">
            <v>0</v>
          </cell>
          <cell r="E93">
            <v>1</v>
          </cell>
          <cell r="F93">
            <v>0</v>
          </cell>
          <cell r="G93">
            <v>79.99</v>
          </cell>
        </row>
        <row r="94">
          <cell r="A94" t="str">
            <v>DOLL-006-LB-11</v>
          </cell>
          <cell r="B94" t="str">
            <v>DOLL-006</v>
          </cell>
          <cell r="C94">
            <v>1</v>
          </cell>
          <cell r="D94">
            <v>2</v>
          </cell>
          <cell r="E94">
            <v>2</v>
          </cell>
          <cell r="F94">
            <v>0</v>
          </cell>
          <cell r="G94">
            <v>27.59</v>
          </cell>
        </row>
        <row r="95">
          <cell r="A95" t="str">
            <v>DOLL-006-PI-10</v>
          </cell>
          <cell r="B95" t="str">
            <v>DOLL-006</v>
          </cell>
          <cell r="C95">
            <v>3</v>
          </cell>
          <cell r="D95">
            <v>4</v>
          </cell>
          <cell r="E95">
            <v>2</v>
          </cell>
          <cell r="F95">
            <v>0</v>
          </cell>
          <cell r="G95">
            <v>26.99</v>
          </cell>
        </row>
        <row r="96">
          <cell r="A96" t="str">
            <v>DO-YULQ704-B0-24</v>
          </cell>
          <cell r="B96" t="str">
            <v>DO-YULQ704</v>
          </cell>
          <cell r="C96">
            <v>0</v>
          </cell>
          <cell r="D96">
            <v>0</v>
          </cell>
          <cell r="E96">
            <v>1</v>
          </cell>
          <cell r="F96">
            <v>0</v>
          </cell>
          <cell r="G96">
            <v>108.99</v>
          </cell>
        </row>
        <row r="97">
          <cell r="A97" t="str">
            <v>DOLL-004-LB-11</v>
          </cell>
          <cell r="B97" t="str">
            <v>DOLL-004</v>
          </cell>
          <cell r="C97">
            <v>0</v>
          </cell>
          <cell r="D97">
            <v>0</v>
          </cell>
          <cell r="E97">
            <v>1</v>
          </cell>
          <cell r="F97">
            <v>0</v>
          </cell>
          <cell r="G97">
            <v>32.99</v>
          </cell>
        </row>
        <row r="98">
          <cell r="A98" t="str">
            <v>YF-YULQ162-B7-20</v>
          </cell>
          <cell r="B98" t="str">
            <v>YF-YULQ162</v>
          </cell>
          <cell r="C98">
            <v>0</v>
          </cell>
          <cell r="D98">
            <v>0</v>
          </cell>
          <cell r="E98">
            <v>1</v>
          </cell>
          <cell r="F98">
            <v>0</v>
          </cell>
          <cell r="G98">
            <v>21.99</v>
          </cell>
        </row>
        <row r="99">
          <cell r="A99" t="str">
            <v>DO-YULQ162-PI-16</v>
          </cell>
          <cell r="B99" t="str">
            <v>DO-YULQ162</v>
          </cell>
          <cell r="C99">
            <v>0</v>
          </cell>
          <cell r="D99">
            <v>0</v>
          </cell>
          <cell r="E99">
            <v>1</v>
          </cell>
          <cell r="F99">
            <v>0</v>
          </cell>
          <cell r="G99">
            <v>85.99</v>
          </cell>
        </row>
        <row r="100">
          <cell r="A100" t="str">
            <v>DO-YULQ663-PI-15</v>
          </cell>
          <cell r="B100" t="str">
            <v>DO-YULQ663</v>
          </cell>
          <cell r="C100">
            <v>0</v>
          </cell>
          <cell r="D100">
            <v>1</v>
          </cell>
          <cell r="E100">
            <v>0</v>
          </cell>
          <cell r="F100">
            <v>0</v>
          </cell>
          <cell r="G100">
            <v>79.99</v>
          </cell>
        </row>
        <row r="101">
          <cell r="A101" t="str">
            <v>DO-YULQ111-PI-22</v>
          </cell>
          <cell r="B101" t="str">
            <v>DO-YULQ111</v>
          </cell>
          <cell r="C101">
            <v>1</v>
          </cell>
          <cell r="D101">
            <v>6</v>
          </cell>
          <cell r="E101">
            <v>0</v>
          </cell>
          <cell r="F101">
            <v>0</v>
          </cell>
          <cell r="G101">
            <v>82.5614285714286</v>
          </cell>
        </row>
        <row r="102">
          <cell r="A102" t="str">
            <v>DO-YULQ200-W0-10</v>
          </cell>
          <cell r="B102" t="str">
            <v>DO-YULQ200</v>
          </cell>
          <cell r="C102">
            <v>0</v>
          </cell>
          <cell r="D102">
            <v>2</v>
          </cell>
          <cell r="E102">
            <v>0</v>
          </cell>
          <cell r="F102">
            <v>0</v>
          </cell>
          <cell r="G102">
            <v>32.99</v>
          </cell>
        </row>
        <row r="103">
          <cell r="A103" t="str">
            <v>DO-YULQ058-BR-10</v>
          </cell>
          <cell r="B103" t="str">
            <v>DO-YULQ058</v>
          </cell>
          <cell r="C103">
            <v>0</v>
          </cell>
          <cell r="D103">
            <v>1</v>
          </cell>
          <cell r="E103">
            <v>0</v>
          </cell>
          <cell r="F103">
            <v>0</v>
          </cell>
          <cell r="G103">
            <v>32.99</v>
          </cell>
        </row>
        <row r="104">
          <cell r="A104" t="str">
            <v>DO-YULQ171-LGR-22</v>
          </cell>
          <cell r="B104" t="str">
            <v>DO-YULQ171</v>
          </cell>
          <cell r="C104">
            <v>2</v>
          </cell>
          <cell r="D104">
            <v>1</v>
          </cell>
          <cell r="E104">
            <v>0</v>
          </cell>
          <cell r="F104">
            <v>0</v>
          </cell>
          <cell r="G104">
            <v>89.6</v>
          </cell>
        </row>
        <row r="105">
          <cell r="A105" t="str">
            <v>DOLLDRESS-1612-GO-23</v>
          </cell>
          <cell r="B105" t="str">
            <v>DOLLDRESS-1612</v>
          </cell>
          <cell r="C105">
            <v>0</v>
          </cell>
          <cell r="D105">
            <v>1</v>
          </cell>
          <cell r="E105">
            <v>0</v>
          </cell>
          <cell r="F105">
            <v>0</v>
          </cell>
          <cell r="G105">
            <v>23.99</v>
          </cell>
        </row>
        <row r="106">
          <cell r="A106" t="str">
            <v>DO-YULQ161-PI-22</v>
          </cell>
          <cell r="B106" t="str">
            <v>DO-YULQ161</v>
          </cell>
          <cell r="C106">
            <v>0</v>
          </cell>
          <cell r="D106">
            <v>1</v>
          </cell>
          <cell r="E106">
            <v>0</v>
          </cell>
          <cell r="F106">
            <v>0</v>
          </cell>
          <cell r="G106">
            <v>89.99</v>
          </cell>
        </row>
        <row r="107">
          <cell r="A107" t="str">
            <v>DO-YULQ157-W0-22</v>
          </cell>
          <cell r="B107" t="str">
            <v>DO-YULQ157</v>
          </cell>
          <cell r="C107">
            <v>0</v>
          </cell>
          <cell r="D107">
            <v>1</v>
          </cell>
          <cell r="E107">
            <v>0</v>
          </cell>
          <cell r="F107">
            <v>0</v>
          </cell>
          <cell r="G107">
            <v>79.6</v>
          </cell>
        </row>
        <row r="108">
          <cell r="A108" t="str">
            <v>NZZH-FLQ52</v>
          </cell>
          <cell r="B108" t="str">
            <v>NZZH-FLQ52</v>
          </cell>
          <cell r="C108">
            <v>1</v>
          </cell>
          <cell r="D108">
            <v>0</v>
          </cell>
          <cell r="E108">
            <v>0</v>
          </cell>
          <cell r="F108">
            <v>0</v>
          </cell>
          <cell r="G108">
            <v>16.99</v>
          </cell>
        </row>
        <row r="109">
          <cell r="A109" t="str">
            <v>DO-YULQ605-PI-22</v>
          </cell>
          <cell r="B109" t="str">
            <v>DO-YULQ605</v>
          </cell>
          <cell r="C109">
            <v>0</v>
          </cell>
          <cell r="D109">
            <v>2</v>
          </cell>
          <cell r="E109">
            <v>0</v>
          </cell>
          <cell r="F109">
            <v>0</v>
          </cell>
          <cell r="G109">
            <v>79.99</v>
          </cell>
        </row>
        <row r="110">
          <cell r="A110" t="str">
            <v>DO-YULQ101-PI-22</v>
          </cell>
          <cell r="B110" t="str">
            <v>DO-YULQ101</v>
          </cell>
          <cell r="C110">
            <v>0</v>
          </cell>
          <cell r="D110">
            <v>3</v>
          </cell>
          <cell r="E110">
            <v>0</v>
          </cell>
          <cell r="F110">
            <v>0</v>
          </cell>
          <cell r="G110">
            <v>79.99</v>
          </cell>
        </row>
        <row r="111">
          <cell r="A111" t="str">
            <v>DO-YULQ232-W0-10</v>
          </cell>
          <cell r="B111" t="str">
            <v>DO-YULQ232</v>
          </cell>
          <cell r="C111">
            <v>3</v>
          </cell>
          <cell r="D111">
            <v>2</v>
          </cell>
          <cell r="E111">
            <v>0</v>
          </cell>
          <cell r="F111">
            <v>0</v>
          </cell>
          <cell r="G111">
            <v>32.99</v>
          </cell>
        </row>
        <row r="112">
          <cell r="A112" t="str">
            <v>DO-YULQ004-B7-10</v>
          </cell>
          <cell r="B112" t="str">
            <v>DO-YULQ004</v>
          </cell>
          <cell r="C112">
            <v>0</v>
          </cell>
          <cell r="D112">
            <v>1</v>
          </cell>
          <cell r="E112">
            <v>0</v>
          </cell>
          <cell r="F112">
            <v>0</v>
          </cell>
          <cell r="G112">
            <v>29.99</v>
          </cell>
        </row>
        <row r="113">
          <cell r="A113" t="str">
            <v>DOLL-0603-NZ-22</v>
          </cell>
          <cell r="B113" t="str">
            <v>DOLL-0603</v>
          </cell>
          <cell r="C113">
            <v>1</v>
          </cell>
          <cell r="D113">
            <v>2</v>
          </cell>
          <cell r="E113">
            <v>0</v>
          </cell>
          <cell r="F113">
            <v>0</v>
          </cell>
          <cell r="G113">
            <v>89.6</v>
          </cell>
        </row>
        <row r="114">
          <cell r="A114" t="str">
            <v>DO-YULQ703-PI-22</v>
          </cell>
          <cell r="B114" t="str">
            <v>DO-YULQ703</v>
          </cell>
          <cell r="C114">
            <v>0</v>
          </cell>
          <cell r="D114">
            <v>1</v>
          </cell>
          <cell r="E114">
            <v>0</v>
          </cell>
          <cell r="F114">
            <v>0</v>
          </cell>
          <cell r="G114">
            <v>89.99</v>
          </cell>
        </row>
        <row r="115">
          <cell r="A115" t="str">
            <v>DO-YULQ004-B7-11</v>
          </cell>
          <cell r="B115" t="str">
            <v>DO-YULQ004</v>
          </cell>
          <cell r="C115">
            <v>1</v>
          </cell>
          <cell r="D115">
            <v>1</v>
          </cell>
          <cell r="E115">
            <v>0</v>
          </cell>
          <cell r="F115">
            <v>0</v>
          </cell>
          <cell r="G115">
            <v>32.99</v>
          </cell>
        </row>
        <row r="116">
          <cell r="A116" t="str">
            <v>DO-YULQ115-R2-22</v>
          </cell>
          <cell r="B116" t="str">
            <v>DO-YULQ115</v>
          </cell>
          <cell r="C116">
            <v>0</v>
          </cell>
          <cell r="D116">
            <v>1</v>
          </cell>
          <cell r="E116">
            <v>0</v>
          </cell>
          <cell r="F116">
            <v>0</v>
          </cell>
          <cell r="G116">
            <v>89.6</v>
          </cell>
        </row>
        <row r="117">
          <cell r="A117" t="str">
            <v>DO-YULQ073-LGR-22</v>
          </cell>
          <cell r="B117" t="str">
            <v>DO-YULQ073</v>
          </cell>
          <cell r="C117">
            <v>2</v>
          </cell>
          <cell r="D117">
            <v>1</v>
          </cell>
          <cell r="E117">
            <v>0</v>
          </cell>
          <cell r="F117">
            <v>0</v>
          </cell>
          <cell r="G117">
            <v>89.99</v>
          </cell>
        </row>
        <row r="118">
          <cell r="A118" t="str">
            <v>DOLL-7056-0R-11</v>
          </cell>
          <cell r="B118" t="str">
            <v>DOLL-7056</v>
          </cell>
          <cell r="C118">
            <v>0</v>
          </cell>
          <cell r="D118">
            <v>1</v>
          </cell>
          <cell r="E118">
            <v>0</v>
          </cell>
          <cell r="F118">
            <v>0</v>
          </cell>
          <cell r="G118">
            <v>32.99</v>
          </cell>
        </row>
        <row r="119">
          <cell r="A119" t="str">
            <v>DO-YULQ172-BD-22</v>
          </cell>
          <cell r="B119" t="str">
            <v>DO-YULQ172</v>
          </cell>
          <cell r="C119">
            <v>1</v>
          </cell>
          <cell r="D119">
            <v>0</v>
          </cell>
          <cell r="E119">
            <v>0</v>
          </cell>
          <cell r="F119">
            <v>0</v>
          </cell>
          <cell r="G119">
            <v>79.99</v>
          </cell>
        </row>
        <row r="120">
          <cell r="A120" t="str">
            <v>DO-YULQ158-W0-22</v>
          </cell>
          <cell r="B120" t="str">
            <v>DO-YULQ158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99.6</v>
          </cell>
        </row>
        <row r="121">
          <cell r="A121" t="str">
            <v>DO-YULQ639-R2-22</v>
          </cell>
          <cell r="B121" t="str">
            <v>DO-YULQ639</v>
          </cell>
          <cell r="C121">
            <v>2</v>
          </cell>
          <cell r="D121">
            <v>0</v>
          </cell>
          <cell r="E121">
            <v>0</v>
          </cell>
          <cell r="F121">
            <v>0</v>
          </cell>
          <cell r="G121">
            <v>99.99</v>
          </cell>
        </row>
        <row r="122">
          <cell r="A122" t="str">
            <v>DO-YULQ639-LGR-22</v>
          </cell>
          <cell r="B122" t="str">
            <v>DO-YULQ639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99.99</v>
          </cell>
        </row>
        <row r="123">
          <cell r="A123" t="str">
            <v>DO-YULQ152-B7-22</v>
          </cell>
          <cell r="B123" t="str">
            <v>DO-YULQ152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 t="e">
            <v>#DIV/0!</v>
          </cell>
        </row>
        <row r="124">
          <cell r="A124" t="str">
            <v>DO-YULQ100-G0-10</v>
          </cell>
          <cell r="B124" t="str">
            <v>DO-YULQ100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 t="e">
            <v>#DIV/0!</v>
          </cell>
        </row>
        <row r="1177">
          <cell r="A1177" t="str">
            <v>DOLL-004-PI-10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DOLL-0601</v>
          </cell>
          <cell r="B2">
            <v>89.99</v>
          </cell>
        </row>
        <row r="3">
          <cell r="A3" t="str">
            <v>DOLL-020</v>
          </cell>
          <cell r="B3">
            <v>89.99</v>
          </cell>
        </row>
        <row r="4">
          <cell r="A4" t="str">
            <v>DOLL-0605</v>
          </cell>
          <cell r="B4">
            <v>89.99</v>
          </cell>
        </row>
        <row r="5">
          <cell r="A5" t="str">
            <v>DO-YULQ070</v>
          </cell>
          <cell r="B5">
            <v>79.99</v>
          </cell>
        </row>
        <row r="6">
          <cell r="A6" t="str">
            <v>DO-YULQ001</v>
          </cell>
          <cell r="B6">
            <v>91.766</v>
          </cell>
        </row>
        <row r="7">
          <cell r="A7" t="str">
            <v>DO-YULQ100</v>
          </cell>
          <cell r="B7">
            <v>85.43</v>
          </cell>
        </row>
        <row r="8">
          <cell r="A8" t="str">
            <v>DO-YULQ012</v>
          </cell>
          <cell r="B8">
            <v>89.99</v>
          </cell>
        </row>
        <row r="9">
          <cell r="A9" t="str">
            <v>DO-YULQ708</v>
          </cell>
          <cell r="B9">
            <v>108.99</v>
          </cell>
        </row>
        <row r="10">
          <cell r="A10" t="str">
            <v>DO-YULQ107</v>
          </cell>
          <cell r="B10">
            <v>89.99</v>
          </cell>
        </row>
        <row r="11">
          <cell r="A11" t="str">
            <v>DO-YULQ812</v>
          </cell>
          <cell r="B11">
            <v>89.99</v>
          </cell>
        </row>
        <row r="12">
          <cell r="A12" t="str">
            <v>DO-YULQ700</v>
          </cell>
          <cell r="B12">
            <v>99.99</v>
          </cell>
        </row>
        <row r="13">
          <cell r="A13" t="str">
            <v>DOLL-010</v>
          </cell>
          <cell r="B13">
            <v>99.0381927710842</v>
          </cell>
        </row>
        <row r="14">
          <cell r="A14" t="str">
            <v>DOLLDRESS-003</v>
          </cell>
          <cell r="B14">
            <v>21.6471428571429</v>
          </cell>
        </row>
        <row r="15">
          <cell r="A15" t="str">
            <v>DO-YULQ153</v>
          </cell>
          <cell r="B15">
            <v>95.99</v>
          </cell>
        </row>
        <row r="16">
          <cell r="A16" t="str">
            <v>DO-YULQ159</v>
          </cell>
          <cell r="B16">
            <v>99.6</v>
          </cell>
        </row>
        <row r="17">
          <cell r="A17" t="str">
            <v>YF-YULQ007</v>
          </cell>
          <cell r="B17">
            <v>21.99</v>
          </cell>
        </row>
        <row r="18">
          <cell r="A18" t="str">
            <v>DOLL-7056</v>
          </cell>
          <cell r="B18">
            <v>34.1664705882353</v>
          </cell>
        </row>
        <row r="19">
          <cell r="A19" t="str">
            <v>DO-YULQ150</v>
          </cell>
          <cell r="B19">
            <v>89.6742105263158</v>
          </cell>
        </row>
        <row r="20">
          <cell r="A20" t="str">
            <v>DO-YULQ611</v>
          </cell>
          <cell r="B20" t="e">
            <v>#DIV/0!</v>
          </cell>
        </row>
        <row r="21">
          <cell r="A21" t="str">
            <v>DO-YULQ173</v>
          </cell>
          <cell r="B21">
            <v>89.99</v>
          </cell>
        </row>
        <row r="22">
          <cell r="A22" t="str">
            <v>DOLL-0630</v>
          </cell>
          <cell r="B22">
            <v>89.99</v>
          </cell>
        </row>
        <row r="23">
          <cell r="A23" t="str">
            <v>DO-YULQ081</v>
          </cell>
          <cell r="B23">
            <v>37.99</v>
          </cell>
        </row>
        <row r="24">
          <cell r="A24" t="str">
            <v>DOLL-1613</v>
          </cell>
          <cell r="B24">
            <v>74.795</v>
          </cell>
        </row>
        <row r="25">
          <cell r="A25" t="str">
            <v>DO-YULQ062</v>
          </cell>
          <cell r="B25">
            <v>89.8723529411765</v>
          </cell>
        </row>
        <row r="26">
          <cell r="A26" t="str">
            <v>DOLL-004</v>
          </cell>
          <cell r="B26">
            <v>32.99</v>
          </cell>
        </row>
        <row r="27">
          <cell r="A27" t="str">
            <v>YF-YULQ905</v>
          </cell>
          <cell r="B27">
            <v>21.99</v>
          </cell>
        </row>
        <row r="28">
          <cell r="A28" t="str">
            <v>DO-YULQ332</v>
          </cell>
          <cell r="B28">
            <v>89.99</v>
          </cell>
        </row>
        <row r="29">
          <cell r="A29" t="str">
            <v>DO-YULQ123</v>
          </cell>
          <cell r="B29">
            <v>89.99</v>
          </cell>
        </row>
        <row r="30">
          <cell r="A30" t="str">
            <v>DO-YULQ664</v>
          </cell>
          <cell r="B30">
            <v>79.99</v>
          </cell>
        </row>
        <row r="31">
          <cell r="A31" t="str">
            <v>DO-YULQ061</v>
          </cell>
          <cell r="B31">
            <v>96.3316666666667</v>
          </cell>
        </row>
        <row r="32">
          <cell r="A32" t="str">
            <v>DO-YULQ905</v>
          </cell>
          <cell r="B32">
            <v>106.99</v>
          </cell>
        </row>
        <row r="33">
          <cell r="A33" t="str">
            <v>DOLL-008</v>
          </cell>
          <cell r="B33">
            <v>90.3142857142857</v>
          </cell>
        </row>
        <row r="34">
          <cell r="A34" t="str">
            <v>DO-YULQ200</v>
          </cell>
          <cell r="B34">
            <v>32.99</v>
          </cell>
        </row>
        <row r="35">
          <cell r="A35" t="str">
            <v>DO-YULQ010</v>
          </cell>
          <cell r="B35">
            <v>84.2757142857143</v>
          </cell>
        </row>
        <row r="36">
          <cell r="A36" t="str">
            <v>DOLL-AD011</v>
          </cell>
          <cell r="B36">
            <v>99.6</v>
          </cell>
        </row>
        <row r="37">
          <cell r="A37" t="str">
            <v>DOLL-9042</v>
          </cell>
          <cell r="B37">
            <v>88.8788888888889</v>
          </cell>
        </row>
        <row r="38">
          <cell r="A38" t="str">
            <v>YF-YULQ602</v>
          </cell>
          <cell r="B38">
            <v>21.99</v>
          </cell>
        </row>
        <row r="39">
          <cell r="A39" t="str">
            <v>DO-YULQ604</v>
          </cell>
          <cell r="B39">
            <v>89.99</v>
          </cell>
        </row>
        <row r="40">
          <cell r="A40" t="str">
            <v>DO-YULQ230</v>
          </cell>
          <cell r="B40">
            <v>79.99</v>
          </cell>
        </row>
        <row r="41">
          <cell r="A41" t="str">
            <v>YF-YULQ002</v>
          </cell>
          <cell r="B41">
            <v>21.99</v>
          </cell>
        </row>
        <row r="42">
          <cell r="A42" t="str">
            <v>DO-YULQ163</v>
          </cell>
          <cell r="B42">
            <v>89.99</v>
          </cell>
        </row>
        <row r="43">
          <cell r="A43" t="str">
            <v>DO-YULQ161</v>
          </cell>
          <cell r="B43">
            <v>84.99</v>
          </cell>
        </row>
        <row r="44">
          <cell r="A44" t="str">
            <v>DO-YULQ006</v>
          </cell>
          <cell r="B44">
            <v>32.99</v>
          </cell>
        </row>
        <row r="45">
          <cell r="A45" t="str">
            <v>DO-YULQ605</v>
          </cell>
          <cell r="B45">
            <v>79.99</v>
          </cell>
        </row>
        <row r="46">
          <cell r="A46" t="str">
            <v>DO-YULQ610</v>
          </cell>
          <cell r="B46">
            <v>89.99</v>
          </cell>
        </row>
        <row r="47">
          <cell r="A47" t="str">
            <v>DO-YULQ702</v>
          </cell>
          <cell r="B47">
            <v>99.99</v>
          </cell>
        </row>
        <row r="48">
          <cell r="A48" t="str">
            <v>DO-YULQ516</v>
          </cell>
          <cell r="B48">
            <v>89.99</v>
          </cell>
        </row>
        <row r="49">
          <cell r="A49" t="str">
            <v>DO-YULQ630</v>
          </cell>
          <cell r="B49">
            <v>79.99</v>
          </cell>
        </row>
        <row r="50">
          <cell r="A50" t="str">
            <v>DOLL-005</v>
          </cell>
          <cell r="B50">
            <v>28.19</v>
          </cell>
        </row>
        <row r="51">
          <cell r="A51" t="str">
            <v>DO-YULQ707</v>
          </cell>
          <cell r="B51">
            <v>108.99</v>
          </cell>
        </row>
        <row r="52">
          <cell r="A52" t="str">
            <v>DO-YULQ063</v>
          </cell>
          <cell r="B52">
            <v>90.99</v>
          </cell>
        </row>
        <row r="53">
          <cell r="A53" t="str">
            <v>DOLL-1630</v>
          </cell>
          <cell r="B53">
            <v>99.99</v>
          </cell>
        </row>
        <row r="54">
          <cell r="A54" t="str">
            <v>DO-YULQ021</v>
          </cell>
          <cell r="B54">
            <v>99.99</v>
          </cell>
        </row>
        <row r="55">
          <cell r="A55" t="str">
            <v>DOLL-1523</v>
          </cell>
          <cell r="B55">
            <v>83.445</v>
          </cell>
        </row>
        <row r="56">
          <cell r="A56" t="str">
            <v>DO-YULQ638</v>
          </cell>
          <cell r="B56">
            <v>99.6</v>
          </cell>
        </row>
        <row r="57">
          <cell r="A57" t="str">
            <v>DOLL-6089</v>
          </cell>
          <cell r="B57">
            <v>89.99</v>
          </cell>
        </row>
        <row r="58">
          <cell r="A58" t="str">
            <v>DO-YULQ203</v>
          </cell>
          <cell r="B58">
            <v>89.99</v>
          </cell>
        </row>
        <row r="59">
          <cell r="A59" t="str">
            <v>DO-YULQ018</v>
          </cell>
          <cell r="B59">
            <v>86.6566666666667</v>
          </cell>
        </row>
        <row r="60">
          <cell r="A60" t="str">
            <v>DOLL-007</v>
          </cell>
          <cell r="B60">
            <v>79.99</v>
          </cell>
        </row>
        <row r="61">
          <cell r="A61" t="str">
            <v>DO-YULQ631</v>
          </cell>
          <cell r="B61">
            <v>99.99</v>
          </cell>
        </row>
        <row r="62">
          <cell r="A62" t="str">
            <v>DO-YULQ152</v>
          </cell>
          <cell r="B62">
            <v>89.99</v>
          </cell>
        </row>
        <row r="63">
          <cell r="A63" t="str">
            <v>DO-YULQ620</v>
          </cell>
          <cell r="B63">
            <v>80.7757142857143</v>
          </cell>
        </row>
        <row r="64">
          <cell r="A64" t="str">
            <v>DO-YULQ071</v>
          </cell>
          <cell r="B64">
            <v>79.99</v>
          </cell>
        </row>
        <row r="65">
          <cell r="A65" t="str">
            <v>DO-YULQ701</v>
          </cell>
          <cell r="B65">
            <v>93.1566666666667</v>
          </cell>
        </row>
        <row r="66">
          <cell r="A66" t="str">
            <v>DO-YULQ171</v>
          </cell>
          <cell r="B66">
            <v>92.795</v>
          </cell>
        </row>
        <row r="67">
          <cell r="A67" t="str">
            <v>DO-YULQ058</v>
          </cell>
          <cell r="B67">
            <v>32.99</v>
          </cell>
        </row>
        <row r="68">
          <cell r="A68" t="str">
            <v>YF-YULQ003</v>
          </cell>
          <cell r="B68">
            <v>21.99</v>
          </cell>
        </row>
        <row r="69">
          <cell r="A69" t="str">
            <v>DO-YULQ705</v>
          </cell>
          <cell r="B69">
            <v>34.99</v>
          </cell>
        </row>
        <row r="70">
          <cell r="A70" t="str">
            <v>DO-YULQ121</v>
          </cell>
          <cell r="B70">
            <v>89.99</v>
          </cell>
        </row>
        <row r="71">
          <cell r="A71" t="str">
            <v>DOLL-006</v>
          </cell>
          <cell r="B71">
            <v>27.2042857142857</v>
          </cell>
        </row>
        <row r="72">
          <cell r="A72" t="str">
            <v>DO-YULQ704</v>
          </cell>
          <cell r="B72">
            <v>108.99</v>
          </cell>
        </row>
        <row r="73">
          <cell r="A73" t="str">
            <v>YF-YULQ162</v>
          </cell>
          <cell r="B73">
            <v>21.99</v>
          </cell>
        </row>
        <row r="74">
          <cell r="A74" t="str">
            <v>DO-YULQ162</v>
          </cell>
          <cell r="B74">
            <v>85.99</v>
          </cell>
        </row>
        <row r="75">
          <cell r="A75" t="str">
            <v>DO-YULQ663</v>
          </cell>
          <cell r="B75">
            <v>79.99</v>
          </cell>
        </row>
        <row r="76">
          <cell r="A76" t="str">
            <v>DO-YULQ111</v>
          </cell>
          <cell r="B76">
            <v>82.5614285714286</v>
          </cell>
        </row>
        <row r="77">
          <cell r="A77" t="str">
            <v>DOLLDRESS-1612</v>
          </cell>
          <cell r="B77">
            <v>23.99</v>
          </cell>
        </row>
        <row r="78">
          <cell r="A78" t="str">
            <v>DO-YULQ157</v>
          </cell>
          <cell r="B78">
            <v>79.6</v>
          </cell>
        </row>
        <row r="79">
          <cell r="A79" t="str">
            <v>NZZH-FLQ52</v>
          </cell>
          <cell r="B79">
            <v>16.99</v>
          </cell>
        </row>
        <row r="80">
          <cell r="A80" t="str">
            <v>DO-YULQ101</v>
          </cell>
          <cell r="B80">
            <v>79.99</v>
          </cell>
        </row>
        <row r="81">
          <cell r="A81" t="str">
            <v>DO-YULQ232</v>
          </cell>
          <cell r="B81">
            <v>32.99</v>
          </cell>
        </row>
        <row r="82">
          <cell r="A82" t="str">
            <v>DO-YULQ004</v>
          </cell>
          <cell r="B82">
            <v>31.99</v>
          </cell>
        </row>
        <row r="83">
          <cell r="A83" t="str">
            <v>DOLL-0603</v>
          </cell>
          <cell r="B83">
            <v>89.6</v>
          </cell>
        </row>
        <row r="84">
          <cell r="A84" t="str">
            <v>DO-YULQ703</v>
          </cell>
          <cell r="B84">
            <v>89.99</v>
          </cell>
        </row>
        <row r="85">
          <cell r="A85" t="str">
            <v>DO-YULQ115</v>
          </cell>
          <cell r="B85">
            <v>89.6</v>
          </cell>
        </row>
        <row r="86">
          <cell r="A86" t="str">
            <v>DO-YULQ073</v>
          </cell>
          <cell r="B86">
            <v>89.99</v>
          </cell>
        </row>
        <row r="87">
          <cell r="A87" t="str">
            <v>DO-YULQ172</v>
          </cell>
          <cell r="B87">
            <v>79.99</v>
          </cell>
        </row>
        <row r="88">
          <cell r="A88" t="str">
            <v>DO-YULQ158</v>
          </cell>
          <cell r="B88">
            <v>99.6</v>
          </cell>
        </row>
        <row r="89">
          <cell r="A89" t="str">
            <v>DO-YULQ639</v>
          </cell>
          <cell r="B89">
            <v>99.99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302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65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43262</v>
      </c>
      <c r="B2" t="e">
        <f>VLOOKUP(A2,#REF!,2,0)</f>
        <v>#REF!</v>
      </c>
      <c r="C2" t="e">
        <f>VLOOKUP(A2,'[3]子sku-父sku'!$A:$B,2,0)</f>
        <v>#N/A</v>
      </c>
      <c r="D2" s="31">
        <f>IFERROR(VLOOKUP(A2,[4]库存报告使用数据处理!$A:$C,3,0),0)</f>
        <v>0</v>
      </c>
      <c r="E2" s="31">
        <f>IFERROR(VLOOKUP(A2,[4]库存报告使用数据处理!$A:$D,4,0),0)</f>
        <v>0</v>
      </c>
      <c r="F2" s="31">
        <f>IFERROR(VLOOKUP(A2,[4]库存报告使用数据处理!$A:$E,5,0),0)</f>
        <v>0</v>
      </c>
      <c r="G2" s="31">
        <f>IFERROR(VLOOKUP(A2,[4]库存报告使用数据处理!$A:$F,6,0),0)</f>
        <v>0</v>
      </c>
      <c r="H2" s="32">
        <f>IFERROR(VLOOKUP(A2,[4]库存报告使用数据处理!$A:$G,7,0),0)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2018/7/2-2018/7/8</v>
      </c>
      <c r="E3" s="13" t="str">
        <f>TEXT(时间!$B$8,"yyyy/M/d")&amp;"-"&amp;TEXT(时间!$B$7,"yyyy/M/d")</f>
        <v>2018/6/25-2018/7/1</v>
      </c>
      <c r="F3" s="13" t="str">
        <f>TEXT(时间!$B$10,"yyyy/M/d")&amp;"-"&amp;TEXT(时间!$B$9,"yyyy/M/d")</f>
        <v>2018/6/18-2018/6/24</v>
      </c>
      <c r="G3" s="13" t="str">
        <f>TEXT(时间!$B$12,"yyyy/M/d")&amp;"-"&amp;TEXT(时间!$B$11,"yyyy/M/d")</f>
        <v>2018/6/11-2018/6/17</v>
      </c>
      <c r="I3" s="13"/>
      <c r="J3" s="13"/>
      <c r="K3" s="13"/>
      <c r="L3" s="13"/>
      <c r="M3" s="13"/>
      <c r="N3" s="13"/>
      <c r="O3" s="20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9" t="s">
        <v>28</v>
      </c>
      <c r="Q4" s="19" t="s">
        <v>29</v>
      </c>
      <c r="R4" s="19" t="s">
        <v>30</v>
      </c>
      <c r="S4" s="19" t="s">
        <v>31</v>
      </c>
      <c r="T4" s="19" t="s">
        <v>32</v>
      </c>
      <c r="U4" s="19" t="s">
        <v>33</v>
      </c>
      <c r="V4" s="19" t="s">
        <v>34</v>
      </c>
      <c r="W4" s="19" t="s">
        <v>35</v>
      </c>
      <c r="X4" s="19" t="s">
        <v>36</v>
      </c>
      <c r="Y4" s="19" t="s">
        <v>37</v>
      </c>
      <c r="Z4" s="19" t="s">
        <v>38</v>
      </c>
      <c r="AA4" s="19" t="s">
        <v>39</v>
      </c>
      <c r="AB4" s="19" t="s">
        <v>40</v>
      </c>
      <c r="AC4" s="19" t="s">
        <v>41</v>
      </c>
      <c r="AD4" s="19" t="s">
        <v>42</v>
      </c>
      <c r="AE4" s="19" t="s">
        <v>43</v>
      </c>
      <c r="AF4" s="19">
        <f>时间!$B$6</f>
        <v>43283</v>
      </c>
      <c r="AG4" s="19">
        <f>时间!$B$7</f>
        <v>43282</v>
      </c>
      <c r="AH4" s="19">
        <f>时间!$B$8</f>
        <v>43276</v>
      </c>
      <c r="AI4" s="19">
        <f>时间!$B$9</f>
        <v>43275</v>
      </c>
      <c r="AJ4" s="19">
        <f>时间!$B$6</f>
        <v>43283</v>
      </c>
      <c r="AK4" s="19">
        <f>时间!$B$7</f>
        <v>43282</v>
      </c>
      <c r="AL4" s="19">
        <f>时间!$B$8</f>
        <v>43276</v>
      </c>
      <c r="AM4" s="19">
        <f>时间!$B$9</f>
        <v>43275</v>
      </c>
      <c r="AN4" s="19">
        <f>时间!$B$6</f>
        <v>43283</v>
      </c>
      <c r="AO4" s="19">
        <f>时间!$B$7</f>
        <v>43282</v>
      </c>
      <c r="AP4" s="19">
        <f>时间!$B$8</f>
        <v>43276</v>
      </c>
      <c r="AQ4" s="19">
        <f>时间!$B$9</f>
        <v>43275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220</v>
      </c>
      <c r="E5" s="4">
        <f>SUM(E6:E170)</f>
        <v>266</v>
      </c>
      <c r="F5" s="4">
        <f>SUM(F6:F170)</f>
        <v>245</v>
      </c>
      <c r="G5" s="4">
        <f>SUM(G6:G170)</f>
        <v>233</v>
      </c>
      <c r="I5" s="4">
        <f t="shared" ref="I5:O5" si="4">SUM(I6:I170)</f>
        <v>2076</v>
      </c>
      <c r="J5" s="4">
        <f t="shared" si="4"/>
        <v>226</v>
      </c>
      <c r="K5" s="4">
        <f t="shared" si="4"/>
        <v>10</v>
      </c>
      <c r="L5" s="4">
        <f t="shared" si="4"/>
        <v>370</v>
      </c>
      <c r="M5" s="4">
        <f t="shared" si="4"/>
        <v>2682</v>
      </c>
      <c r="N5" s="4">
        <f t="shared" si="4"/>
        <v>43</v>
      </c>
      <c r="O5" s="4">
        <f t="shared" si="4"/>
        <v>444</v>
      </c>
      <c r="AB5" s="4">
        <f>SUM(AB6:AB170)</f>
        <v>1183.59</v>
      </c>
      <c r="AC5" s="4">
        <f>SUM(AC6:AC170)</f>
        <v>1378.11</v>
      </c>
      <c r="AD5" s="4">
        <f>SUM(AD6:AD170)</f>
        <v>1360.13</v>
      </c>
      <c r="AE5" s="4">
        <f>SUM(AE6:AE170)</f>
        <v>1296.83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19" t="s">
        <v>51</v>
      </c>
      <c r="B6" t="s">
        <v>52</v>
      </c>
      <c r="C6" t="s">
        <v>53</v>
      </c>
      <c r="D6" s="31">
        <v>23</v>
      </c>
      <c r="E6" s="31">
        <v>24</v>
      </c>
      <c r="F6" s="31">
        <v>33</v>
      </c>
      <c r="G6" s="31">
        <v>45</v>
      </c>
      <c r="H6" s="32">
        <v>91.7659999999998</v>
      </c>
      <c r="I6">
        <v>173</v>
      </c>
      <c r="J6" s="33">
        <v>0</v>
      </c>
      <c r="K6" s="33">
        <v>0</v>
      </c>
      <c r="L6" s="33">
        <v>53</v>
      </c>
      <c r="M6">
        <v>226</v>
      </c>
      <c r="N6">
        <v>5</v>
      </c>
      <c r="O6">
        <v>0</v>
      </c>
      <c r="P6">
        <v>121521</v>
      </c>
      <c r="Q6">
        <v>133645</v>
      </c>
      <c r="R6">
        <v>124021</v>
      </c>
      <c r="S6">
        <v>97349</v>
      </c>
      <c r="T6">
        <v>679</v>
      </c>
      <c r="U6">
        <v>816</v>
      </c>
      <c r="V6">
        <v>792</v>
      </c>
      <c r="W6">
        <v>722</v>
      </c>
      <c r="X6" s="23">
        <v>0.0055875116235054</v>
      </c>
      <c r="Y6" s="23">
        <v>0.00610572786112462</v>
      </c>
      <c r="Z6" s="23">
        <v>0.00638601527160723</v>
      </c>
      <c r="AA6" s="23">
        <v>0.00741661444904416</v>
      </c>
      <c r="AB6">
        <v>111.47</v>
      </c>
      <c r="AC6">
        <v>130.78</v>
      </c>
      <c r="AD6">
        <v>124.98</v>
      </c>
      <c r="AE6">
        <v>120.58</v>
      </c>
      <c r="AF6" s="23">
        <v>0.0528139151660794</v>
      </c>
      <c r="AG6" s="23">
        <v>0.0593811070185764</v>
      </c>
      <c r="AH6" s="23">
        <v>0.0412709797449244</v>
      </c>
      <c r="AI6" s="23">
        <v>0.0291998731072027</v>
      </c>
      <c r="AJ6">
        <v>0</v>
      </c>
      <c r="AK6">
        <v>1277</v>
      </c>
      <c r="AL6">
        <v>1411</v>
      </c>
      <c r="AM6">
        <v>1407</v>
      </c>
      <c r="AN6" s="23" t="s">
        <v>54</v>
      </c>
      <c r="AO6" s="23">
        <v>0.0187940485512921</v>
      </c>
      <c r="AP6" s="23">
        <v>0.0233876683203402</v>
      </c>
      <c r="AQ6" s="23">
        <v>0.0319829424307036</v>
      </c>
      <c r="AR6" s="35">
        <v>3.28571428571429</v>
      </c>
      <c r="AS6" s="35">
        <v>197.142857142857</v>
      </c>
      <c r="AT6" s="35">
        <v>28.8571428571429</v>
      </c>
      <c r="AU6" s="31">
        <f t="shared" si="3"/>
        <v>68</v>
      </c>
      <c r="AV6" s="36">
        <f>IFERROR(时间!$B$4+AU6,"上周无销量")</f>
        <v>43358</v>
      </c>
    </row>
    <row r="7" spans="1:48">
      <c r="A7" s="19" t="s">
        <v>55</v>
      </c>
      <c r="B7" t="s">
        <v>56</v>
      </c>
      <c r="C7" t="s">
        <v>57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2</v>
      </c>
      <c r="J7" s="33">
        <v>0</v>
      </c>
      <c r="K7" s="33">
        <v>0</v>
      </c>
      <c r="L7" s="33">
        <v>0</v>
      </c>
      <c r="M7">
        <v>2</v>
      </c>
      <c r="N7">
        <v>0</v>
      </c>
      <c r="O7">
        <v>2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68</v>
      </c>
      <c r="AL7">
        <v>21</v>
      </c>
      <c r="AM7">
        <v>8</v>
      </c>
      <c r="AN7" s="23" t="s">
        <v>54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2</v>
      </c>
      <c r="AU7" s="31" t="str">
        <f t="shared" si="3"/>
        <v>库存为2</v>
      </c>
      <c r="AV7" s="36" t="str">
        <f>IFERROR(时间!$B$4+AU7,"上周无销量")</f>
        <v>上周无销量</v>
      </c>
    </row>
    <row r="8" spans="1:48">
      <c r="A8" s="19" t="s">
        <v>58</v>
      </c>
      <c r="B8" t="s">
        <v>59</v>
      </c>
      <c r="C8" t="s">
        <v>60</v>
      </c>
      <c r="D8" s="31">
        <v>0</v>
      </c>
      <c r="E8" s="31">
        <v>1</v>
      </c>
      <c r="F8" s="31">
        <v>0</v>
      </c>
      <c r="G8" s="31">
        <v>0</v>
      </c>
      <c r="H8" s="32">
        <v>29.99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0</v>
      </c>
      <c r="AK8">
        <v>14</v>
      </c>
      <c r="AL8">
        <v>17</v>
      </c>
      <c r="AM8">
        <v>25</v>
      </c>
      <c r="AN8" s="23" t="s">
        <v>54</v>
      </c>
      <c r="AO8" s="23">
        <v>0.0714285714285714</v>
      </c>
      <c r="AP8" s="23">
        <v>0</v>
      </c>
      <c r="AQ8" s="23">
        <v>0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19" t="s">
        <v>61</v>
      </c>
      <c r="B9" t="s">
        <v>59</v>
      </c>
      <c r="C9" t="s">
        <v>60</v>
      </c>
      <c r="D9" s="31">
        <v>1</v>
      </c>
      <c r="E9" s="31">
        <v>1</v>
      </c>
      <c r="F9" s="31">
        <v>0</v>
      </c>
      <c r="G9" s="31">
        <v>0</v>
      </c>
      <c r="H9" s="32">
        <v>32.99</v>
      </c>
      <c r="I9">
        <v>5</v>
      </c>
      <c r="J9" s="33">
        <v>10</v>
      </c>
      <c r="K9" s="33">
        <v>0</v>
      </c>
      <c r="L9" s="33">
        <v>51</v>
      </c>
      <c r="M9">
        <v>66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14</v>
      </c>
      <c r="AL9">
        <v>17</v>
      </c>
      <c r="AM9">
        <v>25</v>
      </c>
      <c r="AN9" s="23" t="s">
        <v>54</v>
      </c>
      <c r="AO9" s="23">
        <v>0.0714285714285714</v>
      </c>
      <c r="AP9" s="23">
        <v>0</v>
      </c>
      <c r="AQ9" s="23">
        <v>0</v>
      </c>
      <c r="AR9" s="35">
        <v>0.142857142857143</v>
      </c>
      <c r="AS9" s="35">
        <v>8.57142857142857</v>
      </c>
      <c r="AT9" s="35">
        <v>57.4285714285714</v>
      </c>
      <c r="AU9" s="31">
        <f t="shared" si="3"/>
        <v>462</v>
      </c>
      <c r="AV9" s="36">
        <f>IFERROR(时间!$B$4+AU9,"上周无销量")</f>
        <v>43752</v>
      </c>
    </row>
    <row r="10" spans="1:48">
      <c r="A10" s="19" t="s">
        <v>62</v>
      </c>
      <c r="B10" t="s">
        <v>63</v>
      </c>
      <c r="C10" t="s">
        <v>60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23</v>
      </c>
      <c r="J10" s="33">
        <v>0</v>
      </c>
      <c r="K10" s="33">
        <v>0</v>
      </c>
      <c r="L10" s="33">
        <v>38</v>
      </c>
      <c r="M10">
        <v>61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7</v>
      </c>
      <c r="AL10">
        <v>7</v>
      </c>
      <c r="AM10">
        <v>9</v>
      </c>
      <c r="AN10" s="23" t="s">
        <v>54</v>
      </c>
      <c r="AO10" s="23">
        <v>0</v>
      </c>
      <c r="AP10" s="23">
        <v>0</v>
      </c>
      <c r="AQ10" s="23">
        <v>0</v>
      </c>
      <c r="AR10" s="35">
        <v>0</v>
      </c>
      <c r="AS10" s="35">
        <v>0</v>
      </c>
      <c r="AT10" s="35">
        <v>61</v>
      </c>
      <c r="AU10" s="31" t="str">
        <f t="shared" si="3"/>
        <v>库存为61</v>
      </c>
      <c r="AV10" s="36" t="str">
        <f>IFERROR(时间!$B$4+AU10,"上周无销量")</f>
        <v>上周无销量</v>
      </c>
    </row>
    <row r="11" spans="1:48">
      <c r="A11" s="19" t="s">
        <v>64</v>
      </c>
      <c r="B11" t="s">
        <v>65</v>
      </c>
      <c r="C11" t="s">
        <v>66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4</v>
      </c>
      <c r="J11" s="33">
        <v>0</v>
      </c>
      <c r="K11" s="33">
        <v>0</v>
      </c>
      <c r="L11" s="33">
        <v>0</v>
      </c>
      <c r="M11">
        <v>4</v>
      </c>
      <c r="N11">
        <v>0</v>
      </c>
      <c r="O11">
        <v>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0</v>
      </c>
      <c r="AK11">
        <v>5</v>
      </c>
      <c r="AL11">
        <v>6</v>
      </c>
      <c r="AM11">
        <v>1</v>
      </c>
      <c r="AN11" s="23" t="s">
        <v>54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4</v>
      </c>
      <c r="AU11" s="31" t="str">
        <f t="shared" si="3"/>
        <v>库存为4</v>
      </c>
      <c r="AV11" s="36" t="str">
        <f>IFERROR(时间!$B$4+AU11,"上周无销量")</f>
        <v>上周无销量</v>
      </c>
    </row>
    <row r="12" spans="1:48">
      <c r="A12" s="19" t="s">
        <v>67</v>
      </c>
      <c r="B12" t="s">
        <v>68</v>
      </c>
      <c r="C12" t="s">
        <v>69</v>
      </c>
      <c r="D12" s="31">
        <v>0</v>
      </c>
      <c r="E12" s="31">
        <v>0</v>
      </c>
      <c r="F12" s="31">
        <v>0</v>
      </c>
      <c r="G12" s="31">
        <v>1</v>
      </c>
      <c r="H12" s="32">
        <v>32.99</v>
      </c>
      <c r="I12">
        <v>1</v>
      </c>
      <c r="J12" s="33">
        <v>0</v>
      </c>
      <c r="K12" s="33">
        <v>0</v>
      </c>
      <c r="L12" s="33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11323</v>
      </c>
      <c r="S12">
        <v>19186</v>
      </c>
      <c r="T12">
        <v>0</v>
      </c>
      <c r="U12">
        <v>0</v>
      </c>
      <c r="V12">
        <v>62</v>
      </c>
      <c r="W12">
        <v>108</v>
      </c>
      <c r="X12" s="23" t="s">
        <v>54</v>
      </c>
      <c r="Y12" s="23" t="s">
        <v>54</v>
      </c>
      <c r="Z12" s="23">
        <v>0.00547558067649916</v>
      </c>
      <c r="AA12" s="23">
        <v>0.00562910455540498</v>
      </c>
      <c r="AB12">
        <v>0</v>
      </c>
      <c r="AC12">
        <v>0</v>
      </c>
      <c r="AD12">
        <v>8.39</v>
      </c>
      <c r="AE12">
        <v>14.09</v>
      </c>
      <c r="AF12" s="23" t="s">
        <v>54</v>
      </c>
      <c r="AG12" s="23" t="s">
        <v>54</v>
      </c>
      <c r="AH12" s="23" t="s">
        <v>70</v>
      </c>
      <c r="AI12" s="23">
        <v>0.427099120945741</v>
      </c>
      <c r="AJ12">
        <v>0</v>
      </c>
      <c r="AK12">
        <v>15</v>
      </c>
      <c r="AL12">
        <v>20</v>
      </c>
      <c r="AM12">
        <v>32</v>
      </c>
      <c r="AN12" s="23" t="s">
        <v>54</v>
      </c>
      <c r="AO12" s="23">
        <v>0</v>
      </c>
      <c r="AP12" s="23">
        <v>0</v>
      </c>
      <c r="AQ12" s="23">
        <v>0.03125</v>
      </c>
      <c r="AR12" s="35">
        <v>0</v>
      </c>
      <c r="AS12" s="35">
        <v>0</v>
      </c>
      <c r="AT12" s="35">
        <v>1</v>
      </c>
      <c r="AU12" s="31" t="str">
        <f t="shared" si="3"/>
        <v>库存为1</v>
      </c>
      <c r="AV12" s="36" t="str">
        <f>IFERROR(时间!$B$4+AU12,"上周无销量")</f>
        <v>上周无销量</v>
      </c>
    </row>
    <row r="13" spans="1:48">
      <c r="A13" s="19" t="s">
        <v>71</v>
      </c>
      <c r="B13" t="s">
        <v>68</v>
      </c>
      <c r="C13" t="s">
        <v>69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15</v>
      </c>
      <c r="AL13">
        <v>20</v>
      </c>
      <c r="AM13">
        <v>32</v>
      </c>
      <c r="AN13" s="23" t="s">
        <v>54</v>
      </c>
      <c r="AO13" s="23">
        <v>0</v>
      </c>
      <c r="AP13" s="23">
        <v>0</v>
      </c>
      <c r="AQ13" s="23">
        <v>0</v>
      </c>
      <c r="AR13" s="35">
        <v>0</v>
      </c>
      <c r="AS13" s="35">
        <v>0</v>
      </c>
      <c r="AT13" s="35">
        <v>0</v>
      </c>
      <c r="AU13" s="31" t="str">
        <f t="shared" si="3"/>
        <v>库存为0</v>
      </c>
      <c r="AV13" s="36" t="str">
        <f>IFERROR(时间!$B$4+AU13,"上周无销量")</f>
        <v>上周无销量</v>
      </c>
    </row>
    <row r="14" spans="1:48">
      <c r="A14" s="19" t="s">
        <v>72</v>
      </c>
      <c r="B14" t="s">
        <v>73</v>
      </c>
      <c r="C14" t="s">
        <v>69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3</v>
      </c>
      <c r="J14" s="33">
        <v>0</v>
      </c>
      <c r="K14" s="33">
        <v>0</v>
      </c>
      <c r="L14" s="33">
        <v>0</v>
      </c>
      <c r="M14">
        <v>3</v>
      </c>
      <c r="N14">
        <v>0</v>
      </c>
      <c r="O14">
        <v>3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11</v>
      </c>
      <c r="AL14">
        <v>12</v>
      </c>
      <c r="AM14">
        <v>9</v>
      </c>
      <c r="AN14" s="23" t="s">
        <v>54</v>
      </c>
      <c r="AO14" s="23">
        <v>0</v>
      </c>
      <c r="AP14" s="23">
        <v>0</v>
      </c>
      <c r="AQ14" s="23">
        <v>0</v>
      </c>
      <c r="AR14" s="35">
        <v>0</v>
      </c>
      <c r="AS14" s="35">
        <v>0</v>
      </c>
      <c r="AT14" s="35">
        <v>3</v>
      </c>
      <c r="AU14" s="31" t="str">
        <f t="shared" si="3"/>
        <v>库存为3</v>
      </c>
      <c r="AV14" s="36" t="str">
        <f>IFERROR(时间!$B$4+AU14,"上周无销量")</f>
        <v>上周无销量</v>
      </c>
    </row>
    <row r="15" spans="1:48">
      <c r="A15" s="19" t="s">
        <v>74</v>
      </c>
      <c r="B15" t="s">
        <v>73</v>
      </c>
      <c r="C15" t="s">
        <v>69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10</v>
      </c>
      <c r="J15" s="33">
        <v>0</v>
      </c>
      <c r="K15" s="33">
        <v>0</v>
      </c>
      <c r="L15" s="33">
        <v>0</v>
      </c>
      <c r="M15">
        <v>10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11</v>
      </c>
      <c r="AL15">
        <v>12</v>
      </c>
      <c r="AM15">
        <v>9</v>
      </c>
      <c r="AN15" s="23" t="s">
        <v>54</v>
      </c>
      <c r="AO15" s="23">
        <v>0</v>
      </c>
      <c r="AP15" s="23">
        <v>0</v>
      </c>
      <c r="AQ15" s="23">
        <v>0</v>
      </c>
      <c r="AR15" s="35">
        <v>0</v>
      </c>
      <c r="AS15" s="35">
        <v>0</v>
      </c>
      <c r="AT15" s="35">
        <v>10</v>
      </c>
      <c r="AU15" s="31" t="str">
        <f t="shared" si="3"/>
        <v>库存为10</v>
      </c>
      <c r="AV15" s="36" t="str">
        <f>IFERROR(时间!$B$4+AU15,"上周无销量")</f>
        <v>上周无销量</v>
      </c>
    </row>
    <row r="16" spans="1:48">
      <c r="A16" s="19" t="s">
        <v>75</v>
      </c>
      <c r="B16" t="s">
        <v>76</v>
      </c>
      <c r="C16" t="s">
        <v>77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12</v>
      </c>
      <c r="J16" s="33">
        <v>0</v>
      </c>
      <c r="K16" s="33">
        <v>0</v>
      </c>
      <c r="L16" s="33">
        <v>10</v>
      </c>
      <c r="M16">
        <v>22</v>
      </c>
      <c r="N16">
        <v>0</v>
      </c>
      <c r="O16">
        <v>7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5</v>
      </c>
      <c r="AL16">
        <v>9</v>
      </c>
      <c r="AM16">
        <v>7</v>
      </c>
      <c r="AN16" s="23" t="s">
        <v>54</v>
      </c>
      <c r="AO16" s="23">
        <v>0</v>
      </c>
      <c r="AP16" s="23">
        <v>0</v>
      </c>
      <c r="AQ16" s="23">
        <v>0</v>
      </c>
      <c r="AR16" s="35">
        <v>0</v>
      </c>
      <c r="AS16" s="35">
        <v>0</v>
      </c>
      <c r="AT16" s="35">
        <v>22</v>
      </c>
      <c r="AU16" s="31" t="str">
        <f t="shared" si="3"/>
        <v>库存为22</v>
      </c>
      <c r="AV16" s="36" t="str">
        <f>IFERROR(时间!$B$4+AU16,"上周无销量")</f>
        <v>上周无销量</v>
      </c>
    </row>
    <row r="17" spans="1:48">
      <c r="A17" s="19" t="s">
        <v>78</v>
      </c>
      <c r="B17" t="s">
        <v>79</v>
      </c>
      <c r="C17" t="s">
        <v>77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22</v>
      </c>
      <c r="J17" s="33">
        <v>0</v>
      </c>
      <c r="K17" s="33">
        <v>0</v>
      </c>
      <c r="L17" s="33">
        <v>0</v>
      </c>
      <c r="M17">
        <v>22</v>
      </c>
      <c r="N17">
        <v>0</v>
      </c>
      <c r="O17">
        <v>12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6</v>
      </c>
      <c r="AL17">
        <v>13</v>
      </c>
      <c r="AM17">
        <v>6</v>
      </c>
      <c r="AN17" s="23" t="s">
        <v>54</v>
      </c>
      <c r="AO17" s="23">
        <v>0</v>
      </c>
      <c r="AP17" s="23">
        <v>0</v>
      </c>
      <c r="AQ17" s="23">
        <v>0</v>
      </c>
      <c r="AR17" s="35">
        <v>0</v>
      </c>
      <c r="AS17" s="35">
        <v>0</v>
      </c>
      <c r="AT17" s="35">
        <v>22</v>
      </c>
      <c r="AU17" s="31" t="str">
        <f t="shared" si="3"/>
        <v>库存为22</v>
      </c>
      <c r="AV17" s="36" t="str">
        <f>IFERROR(时间!$B$4+AU17,"上周无销量")</f>
        <v>上周无销量</v>
      </c>
    </row>
    <row r="18" spans="1:48">
      <c r="A18" s="19" t="s">
        <v>80</v>
      </c>
      <c r="B18" t="s">
        <v>81</v>
      </c>
      <c r="C18" t="s">
        <v>82</v>
      </c>
      <c r="D18" s="31">
        <v>1</v>
      </c>
      <c r="E18" s="31">
        <v>2</v>
      </c>
      <c r="F18" s="31">
        <v>2</v>
      </c>
      <c r="G18" s="31">
        <v>1</v>
      </c>
      <c r="H18" s="32">
        <v>89.99</v>
      </c>
      <c r="I18">
        <v>10</v>
      </c>
      <c r="J18" s="33">
        <v>0</v>
      </c>
      <c r="K18" s="33">
        <v>0</v>
      </c>
      <c r="L18" s="33">
        <v>0</v>
      </c>
      <c r="M18">
        <v>10</v>
      </c>
      <c r="N18">
        <v>0</v>
      </c>
      <c r="O18">
        <v>0</v>
      </c>
      <c r="P18">
        <v>37724</v>
      </c>
      <c r="Q18">
        <v>26308</v>
      </c>
      <c r="R18">
        <v>50849</v>
      </c>
      <c r="S18">
        <v>45115</v>
      </c>
      <c r="T18">
        <v>260</v>
      </c>
      <c r="U18">
        <v>244</v>
      </c>
      <c r="V18">
        <v>298</v>
      </c>
      <c r="W18">
        <v>234</v>
      </c>
      <c r="X18" s="23">
        <v>0.00689216413953982</v>
      </c>
      <c r="Y18" s="23">
        <v>0.00927474532461609</v>
      </c>
      <c r="Z18" s="23">
        <v>0.00586048889850341</v>
      </c>
      <c r="AA18" s="23">
        <v>0.00518674498503824</v>
      </c>
      <c r="AB18">
        <v>35.66</v>
      </c>
      <c r="AC18">
        <v>33.78</v>
      </c>
      <c r="AD18">
        <v>40.38</v>
      </c>
      <c r="AE18">
        <v>32.02</v>
      </c>
      <c r="AF18" s="23">
        <v>0.396266251805756</v>
      </c>
      <c r="AG18" s="23">
        <v>0.187687520835648</v>
      </c>
      <c r="AH18" s="23">
        <v>0.224358262029114</v>
      </c>
      <c r="AI18" s="23">
        <v>0.355817313034782</v>
      </c>
      <c r="AJ18">
        <v>0</v>
      </c>
      <c r="AK18">
        <v>235</v>
      </c>
      <c r="AL18">
        <v>241</v>
      </c>
      <c r="AM18">
        <v>233</v>
      </c>
      <c r="AN18" s="23" t="s">
        <v>54</v>
      </c>
      <c r="AO18" s="23">
        <v>0.00851063829787234</v>
      </c>
      <c r="AP18" s="23">
        <v>0.00829875518672199</v>
      </c>
      <c r="AQ18" s="23">
        <v>0.00429184549356223</v>
      </c>
      <c r="AR18" s="35">
        <v>0.142857142857143</v>
      </c>
      <c r="AS18" s="35">
        <v>8.57142857142857</v>
      </c>
      <c r="AT18" s="35">
        <v>1.42857142857143</v>
      </c>
      <c r="AU18" s="31">
        <f t="shared" si="3"/>
        <v>70</v>
      </c>
      <c r="AV18" s="36">
        <f>IFERROR(时间!$B$4+AU18,"上周无销量")</f>
        <v>43360</v>
      </c>
    </row>
    <row r="19" spans="1:48">
      <c r="A19" s="19" t="s">
        <v>83</v>
      </c>
      <c r="B19" t="s">
        <v>84</v>
      </c>
      <c r="C19" t="s">
        <v>82</v>
      </c>
      <c r="D19" s="31">
        <v>3</v>
      </c>
      <c r="E19" s="31">
        <v>2</v>
      </c>
      <c r="F19" s="31">
        <v>3</v>
      </c>
      <c r="G19" s="31">
        <v>0</v>
      </c>
      <c r="H19" s="32">
        <v>79.99</v>
      </c>
      <c r="I19">
        <v>2</v>
      </c>
      <c r="J19" s="33">
        <v>0</v>
      </c>
      <c r="K19" s="33">
        <v>0</v>
      </c>
      <c r="L19" s="33">
        <v>2</v>
      </c>
      <c r="M19">
        <v>4</v>
      </c>
      <c r="N19">
        <v>0</v>
      </c>
      <c r="O19">
        <v>1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64</v>
      </c>
      <c r="AL19">
        <v>51</v>
      </c>
      <c r="AM19">
        <v>33</v>
      </c>
      <c r="AN19" s="23" t="s">
        <v>54</v>
      </c>
      <c r="AO19" s="23">
        <v>0.03125</v>
      </c>
      <c r="AP19" s="23">
        <v>0.0588235294117647</v>
      </c>
      <c r="AQ19" s="23">
        <v>0</v>
      </c>
      <c r="AR19" s="35">
        <v>0.428571428571429</v>
      </c>
      <c r="AS19" s="35">
        <v>25.7142857142857</v>
      </c>
      <c r="AT19" s="35">
        <v>-21.7142857142857</v>
      </c>
      <c r="AU19" s="31">
        <f t="shared" si="3"/>
        <v>9</v>
      </c>
      <c r="AV19" s="36">
        <f>IFERROR(时间!$B$4+AU19,"上周无销量")</f>
        <v>43299</v>
      </c>
    </row>
    <row r="20" spans="1:48">
      <c r="A20" s="19" t="s">
        <v>85</v>
      </c>
      <c r="B20" t="s">
        <v>86</v>
      </c>
      <c r="C20" t="s">
        <v>82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5</v>
      </c>
      <c r="J20" s="33">
        <v>0</v>
      </c>
      <c r="K20" s="33">
        <v>0</v>
      </c>
      <c r="L20" s="33">
        <v>0</v>
      </c>
      <c r="M20">
        <v>5</v>
      </c>
      <c r="N20">
        <v>0</v>
      </c>
      <c r="O20">
        <v>5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2</v>
      </c>
      <c r="AL20">
        <v>3</v>
      </c>
      <c r="AM20">
        <v>3</v>
      </c>
      <c r="AN20" s="23" t="s">
        <v>54</v>
      </c>
      <c r="AO20" s="23">
        <v>0</v>
      </c>
      <c r="AP20" s="23">
        <v>0</v>
      </c>
      <c r="AQ20" s="23">
        <v>0</v>
      </c>
      <c r="AR20" s="35">
        <v>0</v>
      </c>
      <c r="AS20" s="35">
        <v>0</v>
      </c>
      <c r="AT20" s="35">
        <v>5</v>
      </c>
      <c r="AU20" s="31" t="str">
        <f t="shared" si="3"/>
        <v>库存为5</v>
      </c>
      <c r="AV20" s="36" t="str">
        <f>IFERROR(时间!$B$4+AU20,"上周无销量")</f>
        <v>上周无销量</v>
      </c>
    </row>
    <row r="21" spans="1:48">
      <c r="A21" s="19" t="s">
        <v>87</v>
      </c>
      <c r="B21" t="s">
        <v>88</v>
      </c>
      <c r="C21" t="s">
        <v>89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23</v>
      </c>
      <c r="J21" s="33">
        <v>0</v>
      </c>
      <c r="K21" s="33">
        <v>0</v>
      </c>
      <c r="L21" s="33">
        <v>0</v>
      </c>
      <c r="M21">
        <v>23</v>
      </c>
      <c r="N21">
        <v>0</v>
      </c>
      <c r="O21">
        <v>23</v>
      </c>
      <c r="P21">
        <v>12201</v>
      </c>
      <c r="Q21">
        <v>13497</v>
      </c>
      <c r="R21">
        <v>20461</v>
      </c>
      <c r="S21">
        <v>19081</v>
      </c>
      <c r="T21">
        <v>35</v>
      </c>
      <c r="U21">
        <v>35</v>
      </c>
      <c r="V21">
        <v>58</v>
      </c>
      <c r="W21">
        <v>56</v>
      </c>
      <c r="X21" s="23">
        <v>0.00286861732644865</v>
      </c>
      <c r="Y21" s="23">
        <v>0.00259316885233756</v>
      </c>
      <c r="Z21" s="23">
        <v>0.00283466106250916</v>
      </c>
      <c r="AA21" s="23">
        <v>0.00293485666369687</v>
      </c>
      <c r="AB21">
        <v>4.87</v>
      </c>
      <c r="AC21">
        <v>5.1</v>
      </c>
      <c r="AD21">
        <v>7.74</v>
      </c>
      <c r="AE21">
        <v>7.74</v>
      </c>
      <c r="AF21" s="23" t="s">
        <v>90</v>
      </c>
      <c r="AG21" s="23" t="s">
        <v>91</v>
      </c>
      <c r="AH21" s="23" t="s">
        <v>92</v>
      </c>
      <c r="AI21" s="23" t="s">
        <v>92</v>
      </c>
      <c r="AJ21">
        <v>0</v>
      </c>
      <c r="AK21">
        <v>28</v>
      </c>
      <c r="AL21">
        <v>48</v>
      </c>
      <c r="AM21">
        <v>44</v>
      </c>
      <c r="AN21" s="23" t="s">
        <v>54</v>
      </c>
      <c r="AO21" s="23">
        <v>0</v>
      </c>
      <c r="AP21" s="23">
        <v>0</v>
      </c>
      <c r="AQ21" s="23">
        <v>0</v>
      </c>
      <c r="AR21" s="35">
        <v>0</v>
      </c>
      <c r="AS21" s="35">
        <v>0</v>
      </c>
      <c r="AT21" s="35">
        <v>23</v>
      </c>
      <c r="AU21" s="31" t="str">
        <f t="shared" si="3"/>
        <v>库存为23</v>
      </c>
      <c r="AV21" s="36" t="str">
        <f>IFERROR(时间!$B$4+AU21,"上周无销量")</f>
        <v>上周无销量</v>
      </c>
    </row>
    <row r="22" spans="1:48">
      <c r="A22" s="19" t="s">
        <v>93</v>
      </c>
      <c r="B22" t="s">
        <v>94</v>
      </c>
      <c r="C22" t="s">
        <v>95</v>
      </c>
      <c r="D22" s="31">
        <v>2</v>
      </c>
      <c r="E22" s="31">
        <v>2</v>
      </c>
      <c r="F22" s="31">
        <v>3</v>
      </c>
      <c r="G22" s="31">
        <v>3</v>
      </c>
      <c r="H22" s="32">
        <v>89.99</v>
      </c>
      <c r="I22">
        <v>11</v>
      </c>
      <c r="J22" s="33">
        <v>0</v>
      </c>
      <c r="K22" s="33">
        <v>0</v>
      </c>
      <c r="L22" s="33">
        <v>0</v>
      </c>
      <c r="M22">
        <v>11</v>
      </c>
      <c r="N22">
        <v>0</v>
      </c>
      <c r="O22">
        <v>0</v>
      </c>
      <c r="P22">
        <v>253</v>
      </c>
      <c r="Q22">
        <v>550</v>
      </c>
      <c r="R22">
        <v>610</v>
      </c>
      <c r="S22">
        <v>599</v>
      </c>
      <c r="T22">
        <v>0</v>
      </c>
      <c r="U22">
        <v>1</v>
      </c>
      <c r="V22">
        <v>3</v>
      </c>
      <c r="W22">
        <v>2</v>
      </c>
      <c r="X22" s="23">
        <v>0</v>
      </c>
      <c r="Y22" s="23">
        <v>0.00181818181818182</v>
      </c>
      <c r="Z22" s="23">
        <v>0.00491803278688525</v>
      </c>
      <c r="AA22" s="23">
        <v>0.00333889816360601</v>
      </c>
      <c r="AB22">
        <v>0</v>
      </c>
      <c r="AC22">
        <v>0.21</v>
      </c>
      <c r="AD22">
        <v>0.9</v>
      </c>
      <c r="AE22">
        <v>0.48</v>
      </c>
      <c r="AF22" s="23" t="s">
        <v>54</v>
      </c>
      <c r="AG22" s="23">
        <v>0.00116679631070119</v>
      </c>
      <c r="AH22" s="23">
        <v>0.00333370374486054</v>
      </c>
      <c r="AI22" s="23">
        <v>0.00177797533059229</v>
      </c>
      <c r="AJ22">
        <v>0</v>
      </c>
      <c r="AK22">
        <v>80</v>
      </c>
      <c r="AL22">
        <v>49</v>
      </c>
      <c r="AM22">
        <v>40</v>
      </c>
      <c r="AN22" s="23" t="s">
        <v>54</v>
      </c>
      <c r="AO22" s="23">
        <v>0.025</v>
      </c>
      <c r="AP22" s="23">
        <v>0.0612244897959184</v>
      </c>
      <c r="AQ22" s="23">
        <v>0.075</v>
      </c>
      <c r="AR22" s="35">
        <v>0.285714285714286</v>
      </c>
      <c r="AS22" s="35">
        <v>17.1428571428571</v>
      </c>
      <c r="AT22" s="35">
        <v>-6.14285714285714</v>
      </c>
      <c r="AU22" s="31">
        <f t="shared" si="3"/>
        <v>38</v>
      </c>
      <c r="AV22" s="36">
        <f>IFERROR(时间!$B$4+AU22,"上周无销量")</f>
        <v>43328</v>
      </c>
    </row>
    <row r="23" spans="1:48">
      <c r="A23" s="19" t="s">
        <v>96</v>
      </c>
      <c r="B23" t="s">
        <v>97</v>
      </c>
      <c r="C23" t="s">
        <v>98</v>
      </c>
      <c r="D23" s="31">
        <v>0</v>
      </c>
      <c r="E23" s="31">
        <v>0</v>
      </c>
      <c r="F23" s="31">
        <v>1</v>
      </c>
      <c r="G23" s="31">
        <v>1</v>
      </c>
      <c r="H23" s="32">
        <v>89.99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1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34</v>
      </c>
      <c r="AL23">
        <v>60</v>
      </c>
      <c r="AM23">
        <v>43</v>
      </c>
      <c r="AN23" s="23" t="s">
        <v>54</v>
      </c>
      <c r="AO23" s="23">
        <v>0</v>
      </c>
      <c r="AP23" s="23">
        <v>0.0166666666666667</v>
      </c>
      <c r="AQ23" s="23">
        <v>0.0232558139534884</v>
      </c>
      <c r="AR23" s="35">
        <v>0</v>
      </c>
      <c r="AS23" s="35">
        <v>0</v>
      </c>
      <c r="AT23" s="35">
        <v>6</v>
      </c>
      <c r="AU23" s="31" t="str">
        <f t="shared" si="3"/>
        <v>库存为6</v>
      </c>
      <c r="AV23" s="36" t="str">
        <f>IFERROR(时间!$B$4+AU23,"上周无销量")</f>
        <v>上周无销量</v>
      </c>
    </row>
    <row r="24" spans="1:48">
      <c r="A24" s="19" t="s">
        <v>99</v>
      </c>
      <c r="B24" t="s">
        <v>100</v>
      </c>
      <c r="C24" t="s">
        <v>98</v>
      </c>
      <c r="D24" s="31">
        <v>0</v>
      </c>
      <c r="E24" s="31">
        <v>0</v>
      </c>
      <c r="F24" s="31">
        <v>1</v>
      </c>
      <c r="G24" s="31">
        <v>0</v>
      </c>
      <c r="H24" s="32">
        <v>79.99</v>
      </c>
      <c r="I24">
        <v>15</v>
      </c>
      <c r="J24" s="33">
        <v>0</v>
      </c>
      <c r="K24" s="33">
        <v>0</v>
      </c>
      <c r="L24" s="33">
        <v>0</v>
      </c>
      <c r="M24">
        <v>15</v>
      </c>
      <c r="N24">
        <v>0</v>
      </c>
      <c r="O24">
        <v>15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8</v>
      </c>
      <c r="AL24">
        <v>10</v>
      </c>
      <c r="AM24">
        <v>1</v>
      </c>
      <c r="AN24" s="23" t="s">
        <v>54</v>
      </c>
      <c r="AO24" s="23">
        <v>0</v>
      </c>
      <c r="AP24" s="23">
        <v>0.1</v>
      </c>
      <c r="AQ24" s="23">
        <v>0</v>
      </c>
      <c r="AR24" s="35">
        <v>0</v>
      </c>
      <c r="AS24" s="35">
        <v>0</v>
      </c>
      <c r="AT24" s="35">
        <v>15</v>
      </c>
      <c r="AU24" s="31" t="str">
        <f t="shared" si="3"/>
        <v>库存为15</v>
      </c>
      <c r="AV24" s="36" t="str">
        <f>IFERROR(时间!$B$4+AU24,"上周无销量")</f>
        <v>上周无销量</v>
      </c>
    </row>
    <row r="25" spans="1:48">
      <c r="A25" s="19" t="s">
        <v>101</v>
      </c>
      <c r="B25" t="s">
        <v>102</v>
      </c>
      <c r="C25" t="s">
        <v>103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5</v>
      </c>
      <c r="J25" s="33">
        <v>0</v>
      </c>
      <c r="K25" s="33">
        <v>0</v>
      </c>
      <c r="L25" s="33">
        <v>0</v>
      </c>
      <c r="M25">
        <v>5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2</v>
      </c>
      <c r="AL25">
        <v>8</v>
      </c>
      <c r="AM25">
        <v>4</v>
      </c>
      <c r="AN25" s="23" t="s">
        <v>54</v>
      </c>
      <c r="AO25" s="23">
        <v>0</v>
      </c>
      <c r="AP25" s="23">
        <v>0</v>
      </c>
      <c r="AQ25" s="23">
        <v>0</v>
      </c>
      <c r="AR25" s="35">
        <v>0</v>
      </c>
      <c r="AS25" s="35">
        <v>0</v>
      </c>
      <c r="AT25" s="35">
        <v>5</v>
      </c>
      <c r="AU25" s="31" t="str">
        <f t="shared" si="3"/>
        <v>库存为5</v>
      </c>
      <c r="AV25" s="36" t="str">
        <f>IFERROR(时间!$B$4+AU25,"上周无销量")</f>
        <v>上周无销量</v>
      </c>
    </row>
    <row r="26" spans="1:48">
      <c r="A26" s="19" t="s">
        <v>104</v>
      </c>
      <c r="B26" t="s">
        <v>105</v>
      </c>
      <c r="C26" t="s">
        <v>103</v>
      </c>
      <c r="D26" s="31">
        <v>0</v>
      </c>
      <c r="E26" s="31">
        <v>1</v>
      </c>
      <c r="F26" s="31">
        <v>0</v>
      </c>
      <c r="G26" s="31">
        <v>0</v>
      </c>
      <c r="H26" s="32">
        <v>99.99</v>
      </c>
      <c r="I26">
        <v>8</v>
      </c>
      <c r="J26" s="33">
        <v>0</v>
      </c>
      <c r="K26" s="33">
        <v>0</v>
      </c>
      <c r="L26" s="33">
        <v>0</v>
      </c>
      <c r="M26">
        <v>8</v>
      </c>
      <c r="N26">
        <v>0</v>
      </c>
      <c r="O26">
        <v>3</v>
      </c>
      <c r="P26">
        <v>11758</v>
      </c>
      <c r="Q26">
        <v>40891</v>
      </c>
      <c r="R26">
        <v>20900</v>
      </c>
      <c r="S26">
        <v>24445</v>
      </c>
      <c r="T26">
        <v>36</v>
      </c>
      <c r="U26">
        <v>154</v>
      </c>
      <c r="V26">
        <v>125</v>
      </c>
      <c r="W26">
        <v>110</v>
      </c>
      <c r="X26" s="23">
        <v>0.00306174519476101</v>
      </c>
      <c r="Y26" s="23">
        <v>0.00376610990193441</v>
      </c>
      <c r="Z26" s="23">
        <v>0.00598086124401914</v>
      </c>
      <c r="AA26" s="23">
        <v>0.00449989772959705</v>
      </c>
      <c r="AB26">
        <v>6.01</v>
      </c>
      <c r="AC26">
        <v>39.83</v>
      </c>
      <c r="AD26">
        <v>33.08</v>
      </c>
      <c r="AE26">
        <v>29.09</v>
      </c>
      <c r="AF26" s="23" t="s">
        <v>106</v>
      </c>
      <c r="AG26" s="23">
        <v>0.398339833983398</v>
      </c>
      <c r="AH26" s="23" t="s">
        <v>107</v>
      </c>
      <c r="AI26" s="23" t="s">
        <v>108</v>
      </c>
      <c r="AJ26">
        <v>0</v>
      </c>
      <c r="AK26">
        <v>47</v>
      </c>
      <c r="AL26">
        <v>113</v>
      </c>
      <c r="AM26">
        <v>113</v>
      </c>
      <c r="AN26" s="23" t="s">
        <v>54</v>
      </c>
      <c r="AO26" s="23">
        <v>0.0212765957446809</v>
      </c>
      <c r="AP26" s="23">
        <v>0</v>
      </c>
      <c r="AQ26" s="23">
        <v>0</v>
      </c>
      <c r="AR26" s="35">
        <v>0</v>
      </c>
      <c r="AS26" s="35">
        <v>0</v>
      </c>
      <c r="AT26" s="35">
        <v>8</v>
      </c>
      <c r="AU26" s="31" t="str">
        <f t="shared" si="3"/>
        <v>库存为8</v>
      </c>
      <c r="AV26" s="36" t="str">
        <f>IFERROR(时间!$B$4+AU26,"上周无销量")</f>
        <v>上周无销量</v>
      </c>
    </row>
    <row r="27" spans="1:48">
      <c r="A27" s="19" t="s">
        <v>109</v>
      </c>
      <c r="B27" t="s">
        <v>110</v>
      </c>
      <c r="C27" t="s">
        <v>111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5</v>
      </c>
      <c r="J27" s="33">
        <v>0</v>
      </c>
      <c r="K27" s="33">
        <v>0</v>
      </c>
      <c r="L27" s="33">
        <v>0</v>
      </c>
      <c r="M27">
        <v>5</v>
      </c>
      <c r="N27">
        <v>0</v>
      </c>
      <c r="O27">
        <v>5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1</v>
      </c>
      <c r="AL27">
        <v>2</v>
      </c>
      <c r="AM27">
        <v>2</v>
      </c>
      <c r="AN27" s="23" t="s">
        <v>54</v>
      </c>
      <c r="AO27" s="23">
        <v>0</v>
      </c>
      <c r="AP27" s="23">
        <v>0</v>
      </c>
      <c r="AQ27" s="23">
        <v>0</v>
      </c>
      <c r="AR27" s="35">
        <v>0</v>
      </c>
      <c r="AS27" s="35">
        <v>0</v>
      </c>
      <c r="AT27" s="35">
        <v>5</v>
      </c>
      <c r="AU27" s="31" t="str">
        <f t="shared" si="3"/>
        <v>库存为5</v>
      </c>
      <c r="AV27" s="36" t="str">
        <f>IFERROR(时间!$B$4+AU27,"上周无销量")</f>
        <v>上周无销量</v>
      </c>
    </row>
    <row r="28" spans="1:48">
      <c r="A28" s="19" t="s">
        <v>112</v>
      </c>
      <c r="B28" t="s">
        <v>113</v>
      </c>
      <c r="C28" t="s">
        <v>114</v>
      </c>
      <c r="D28" s="31">
        <v>0</v>
      </c>
      <c r="E28" s="31">
        <v>1</v>
      </c>
      <c r="F28" s="31">
        <v>0</v>
      </c>
      <c r="G28" s="31">
        <v>0</v>
      </c>
      <c r="H28" s="32">
        <v>32.99</v>
      </c>
      <c r="I28">
        <v>12</v>
      </c>
      <c r="J28" s="33">
        <v>0</v>
      </c>
      <c r="K28" s="33">
        <v>0</v>
      </c>
      <c r="L28" s="33">
        <v>0</v>
      </c>
      <c r="M28">
        <v>12</v>
      </c>
      <c r="N28">
        <v>0</v>
      </c>
      <c r="O28">
        <v>10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30</v>
      </c>
      <c r="AL28">
        <v>36</v>
      </c>
      <c r="AM28">
        <v>15</v>
      </c>
      <c r="AN28" s="23" t="s">
        <v>54</v>
      </c>
      <c r="AO28" s="23">
        <v>0.0333333333333333</v>
      </c>
      <c r="AP28" s="23">
        <v>0</v>
      </c>
      <c r="AQ28" s="23">
        <v>0</v>
      </c>
      <c r="AR28" s="35">
        <v>0</v>
      </c>
      <c r="AS28" s="35">
        <v>0</v>
      </c>
      <c r="AT28" s="35">
        <v>12</v>
      </c>
      <c r="AU28" s="31" t="str">
        <f t="shared" si="3"/>
        <v>库存为12</v>
      </c>
      <c r="AV28" s="36" t="str">
        <f>IFERROR(时间!$B$4+AU28,"上周无销量")</f>
        <v>上周无销量</v>
      </c>
    </row>
    <row r="29" spans="1:48">
      <c r="A29" s="19" t="s">
        <v>115</v>
      </c>
      <c r="B29" t="s">
        <v>116</v>
      </c>
      <c r="C29" t="s">
        <v>114</v>
      </c>
      <c r="D29" s="31">
        <v>1</v>
      </c>
      <c r="E29" s="31">
        <v>1</v>
      </c>
      <c r="F29" s="31">
        <v>2</v>
      </c>
      <c r="G29" s="31">
        <v>0</v>
      </c>
      <c r="H29" s="32">
        <v>32.99</v>
      </c>
      <c r="I29">
        <v>10</v>
      </c>
      <c r="J29" s="33">
        <v>0</v>
      </c>
      <c r="K29" s="33">
        <v>0</v>
      </c>
      <c r="L29" s="33">
        <v>0</v>
      </c>
      <c r="M29">
        <v>10</v>
      </c>
      <c r="N29">
        <v>0</v>
      </c>
      <c r="O29">
        <v>7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0</v>
      </c>
      <c r="AK29">
        <v>76</v>
      </c>
      <c r="AL29">
        <v>80</v>
      </c>
      <c r="AM29">
        <v>26</v>
      </c>
      <c r="AN29" s="23" t="s">
        <v>54</v>
      </c>
      <c r="AO29" s="23">
        <v>0.0131578947368421</v>
      </c>
      <c r="AP29" s="23">
        <v>0.025</v>
      </c>
      <c r="AQ29" s="23">
        <v>0</v>
      </c>
      <c r="AR29" s="35">
        <v>0.142857142857143</v>
      </c>
      <c r="AS29" s="35">
        <v>8.57142857142857</v>
      </c>
      <c r="AT29" s="35">
        <v>1.42857142857143</v>
      </c>
      <c r="AU29" s="31">
        <f t="shared" si="3"/>
        <v>70</v>
      </c>
      <c r="AV29" s="36">
        <f>IFERROR(时间!$B$4+AU29,"上周无销量")</f>
        <v>43360</v>
      </c>
    </row>
    <row r="30" spans="1:48">
      <c r="A30" s="19" t="s">
        <v>117</v>
      </c>
      <c r="B30" t="s">
        <v>118</v>
      </c>
      <c r="C30" t="s">
        <v>119</v>
      </c>
      <c r="D30" s="31">
        <v>0</v>
      </c>
      <c r="E30" s="31">
        <v>1</v>
      </c>
      <c r="F30" s="31">
        <v>2</v>
      </c>
      <c r="G30" s="31">
        <v>2</v>
      </c>
      <c r="H30" s="32">
        <v>94.6</v>
      </c>
      <c r="I30">
        <v>14</v>
      </c>
      <c r="J30" s="33">
        <v>0</v>
      </c>
      <c r="K30" s="33">
        <v>0</v>
      </c>
      <c r="L30" s="33">
        <v>0</v>
      </c>
      <c r="M30">
        <v>14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83</v>
      </c>
      <c r="AL30">
        <v>108</v>
      </c>
      <c r="AM30">
        <v>98</v>
      </c>
      <c r="AN30" s="23" t="s">
        <v>54</v>
      </c>
      <c r="AO30" s="23">
        <v>0.0120481927710843</v>
      </c>
      <c r="AP30" s="23">
        <v>0.0185185185185185</v>
      </c>
      <c r="AQ30" s="23">
        <v>0.0204081632653061</v>
      </c>
      <c r="AR30" s="35">
        <v>0</v>
      </c>
      <c r="AS30" s="35">
        <v>0</v>
      </c>
      <c r="AT30" s="35">
        <v>14</v>
      </c>
      <c r="AU30" s="31" t="str">
        <f t="shared" si="3"/>
        <v>库存为14</v>
      </c>
      <c r="AV30" s="36" t="str">
        <f>IFERROR(时间!$B$4+AU30,"上周无销量")</f>
        <v>上周无销量</v>
      </c>
    </row>
    <row r="31" spans="1:48">
      <c r="A31" s="19" t="s">
        <v>120</v>
      </c>
      <c r="B31" t="s">
        <v>121</v>
      </c>
      <c r="C31" t="s">
        <v>119</v>
      </c>
      <c r="D31" s="31">
        <v>0</v>
      </c>
      <c r="E31" s="31">
        <v>0</v>
      </c>
      <c r="F31" s="31">
        <v>1</v>
      </c>
      <c r="G31" s="31">
        <v>0</v>
      </c>
      <c r="H31" s="32">
        <v>104.99</v>
      </c>
      <c r="I31">
        <v>3</v>
      </c>
      <c r="J31" s="33">
        <v>0</v>
      </c>
      <c r="K31" s="33">
        <v>0</v>
      </c>
      <c r="L31" s="33">
        <v>0</v>
      </c>
      <c r="M31">
        <v>3</v>
      </c>
      <c r="N31">
        <v>0</v>
      </c>
      <c r="O31">
        <v>3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54</v>
      </c>
      <c r="AL31">
        <v>70</v>
      </c>
      <c r="AM31">
        <v>30</v>
      </c>
      <c r="AN31" s="23" t="s">
        <v>54</v>
      </c>
      <c r="AO31" s="23">
        <v>0</v>
      </c>
      <c r="AP31" s="23">
        <v>0.0142857142857143</v>
      </c>
      <c r="AQ31" s="23">
        <v>0</v>
      </c>
      <c r="AR31" s="35">
        <v>0</v>
      </c>
      <c r="AS31" s="35">
        <v>0</v>
      </c>
      <c r="AT31" s="35">
        <v>3</v>
      </c>
      <c r="AU31" s="31" t="str">
        <f t="shared" si="3"/>
        <v>库存为3</v>
      </c>
      <c r="AV31" s="36" t="str">
        <f>IFERROR(时间!$B$4+AU31,"上周无销量")</f>
        <v>上周无销量</v>
      </c>
    </row>
    <row r="32" spans="1:48">
      <c r="A32" s="19" t="s">
        <v>122</v>
      </c>
      <c r="B32" t="s">
        <v>123</v>
      </c>
      <c r="C32" t="s">
        <v>124</v>
      </c>
      <c r="D32" s="31">
        <v>4</v>
      </c>
      <c r="E32" s="31">
        <v>3</v>
      </c>
      <c r="F32" s="31">
        <v>6</v>
      </c>
      <c r="G32" s="31">
        <v>4</v>
      </c>
      <c r="H32" s="32">
        <v>89.8723529411765</v>
      </c>
      <c r="I32">
        <v>0</v>
      </c>
      <c r="J32" s="33">
        <v>10</v>
      </c>
      <c r="K32" s="33">
        <v>0</v>
      </c>
      <c r="L32" s="33">
        <v>0</v>
      </c>
      <c r="M32">
        <v>10</v>
      </c>
      <c r="N32">
        <v>1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222</v>
      </c>
      <c r="AL32">
        <v>577</v>
      </c>
      <c r="AM32">
        <v>244</v>
      </c>
      <c r="AN32" s="23" t="s">
        <v>54</v>
      </c>
      <c r="AO32" s="23">
        <v>0.0135135135135135</v>
      </c>
      <c r="AP32" s="23">
        <v>0.0103986135181976</v>
      </c>
      <c r="AQ32" s="23">
        <v>0.0163934426229508</v>
      </c>
      <c r="AR32" s="35">
        <v>0.571428571428571</v>
      </c>
      <c r="AS32" s="35">
        <v>34.2857142857143</v>
      </c>
      <c r="AT32" s="35">
        <v>-24.2857142857143</v>
      </c>
      <c r="AU32" s="31">
        <f t="shared" si="3"/>
        <v>17</v>
      </c>
      <c r="AV32" s="36">
        <f>IFERROR(时间!$B$4+AU32,"上周无销量")</f>
        <v>43307</v>
      </c>
    </row>
    <row r="33" spans="1:48">
      <c r="A33" s="19" t="s">
        <v>125</v>
      </c>
      <c r="B33" t="s">
        <v>126</v>
      </c>
      <c r="C33" t="s">
        <v>127</v>
      </c>
      <c r="D33" s="31">
        <v>0</v>
      </c>
      <c r="E33" s="31">
        <v>0</v>
      </c>
      <c r="F33" s="31">
        <v>0</v>
      </c>
      <c r="G33" s="31">
        <v>1</v>
      </c>
      <c r="H33" s="32">
        <v>90.99</v>
      </c>
      <c r="I33">
        <v>8</v>
      </c>
      <c r="J33" s="33">
        <v>0</v>
      </c>
      <c r="K33" s="33">
        <v>0</v>
      </c>
      <c r="L33" s="33">
        <v>0</v>
      </c>
      <c r="M33">
        <v>8</v>
      </c>
      <c r="N33">
        <v>0</v>
      </c>
      <c r="O33">
        <v>0</v>
      </c>
      <c r="P33">
        <v>0</v>
      </c>
      <c r="Q33">
        <v>0</v>
      </c>
      <c r="R33">
        <v>0</v>
      </c>
      <c r="S33">
        <v>9459</v>
      </c>
      <c r="T33">
        <v>0</v>
      </c>
      <c r="U33">
        <v>0</v>
      </c>
      <c r="V33">
        <v>0</v>
      </c>
      <c r="W33">
        <v>54</v>
      </c>
      <c r="X33" s="23" t="s">
        <v>54</v>
      </c>
      <c r="Y33" s="23" t="s">
        <v>54</v>
      </c>
      <c r="Z33" s="23" t="s">
        <v>54</v>
      </c>
      <c r="AA33" s="23">
        <v>0.00570884871550904</v>
      </c>
      <c r="AB33">
        <v>0</v>
      </c>
      <c r="AC33">
        <v>0</v>
      </c>
      <c r="AD33">
        <v>0</v>
      </c>
      <c r="AE33">
        <v>12.8</v>
      </c>
      <c r="AF33" s="23" t="s">
        <v>54</v>
      </c>
      <c r="AG33" s="23" t="s">
        <v>54</v>
      </c>
      <c r="AH33" s="23" t="s">
        <v>54</v>
      </c>
      <c r="AI33" s="23">
        <v>0.140674799428509</v>
      </c>
      <c r="AJ33">
        <v>0</v>
      </c>
      <c r="AK33">
        <v>5</v>
      </c>
      <c r="AL33">
        <v>6</v>
      </c>
      <c r="AM33">
        <v>4</v>
      </c>
      <c r="AN33" s="23" t="s">
        <v>54</v>
      </c>
      <c r="AO33" s="23">
        <v>0</v>
      </c>
      <c r="AP33" s="23">
        <v>0</v>
      </c>
      <c r="AQ33" s="23">
        <v>0.25</v>
      </c>
      <c r="AR33" s="35">
        <v>0</v>
      </c>
      <c r="AS33" s="35">
        <v>0</v>
      </c>
      <c r="AT33" s="35">
        <v>8</v>
      </c>
      <c r="AU33" s="31" t="str">
        <f t="shared" si="3"/>
        <v>库存为8</v>
      </c>
      <c r="AV33" s="36" t="str">
        <f>IFERROR(时间!$B$4+AU33,"上周无销量")</f>
        <v>上周无销量</v>
      </c>
    </row>
    <row r="34" spans="1:48">
      <c r="A34" s="19" t="s">
        <v>128</v>
      </c>
      <c r="B34" t="s">
        <v>129</v>
      </c>
      <c r="C34" t="s">
        <v>130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8</v>
      </c>
      <c r="J34" s="33">
        <v>0</v>
      </c>
      <c r="K34" s="33">
        <v>0</v>
      </c>
      <c r="L34" s="33">
        <v>0</v>
      </c>
      <c r="M34">
        <v>8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32</v>
      </c>
      <c r="AL34">
        <v>28</v>
      </c>
      <c r="AM34">
        <v>30</v>
      </c>
      <c r="AN34" s="23" t="s">
        <v>54</v>
      </c>
      <c r="AO34" s="23">
        <v>0</v>
      </c>
      <c r="AP34" s="23">
        <v>0</v>
      </c>
      <c r="AQ34" s="23">
        <v>0</v>
      </c>
      <c r="AR34" s="35">
        <v>0</v>
      </c>
      <c r="AS34" s="35">
        <v>0</v>
      </c>
      <c r="AT34" s="35">
        <v>8</v>
      </c>
      <c r="AU34" s="31" t="str">
        <f t="shared" si="3"/>
        <v>库存为8</v>
      </c>
      <c r="AV34" s="36" t="str">
        <f>IFERROR(时间!$B$4+AU34,"上周无销量")</f>
        <v>上周无销量</v>
      </c>
    </row>
    <row r="35" spans="1:48">
      <c r="A35" s="19" t="s">
        <v>131</v>
      </c>
      <c r="B35" t="s">
        <v>132</v>
      </c>
      <c r="C35" t="s">
        <v>133</v>
      </c>
      <c r="D35" s="31">
        <v>3</v>
      </c>
      <c r="E35" s="31">
        <v>4</v>
      </c>
      <c r="F35" s="31">
        <v>1</v>
      </c>
      <c r="G35" s="31">
        <v>7</v>
      </c>
      <c r="H35" s="32">
        <v>79.99</v>
      </c>
      <c r="I35">
        <v>0</v>
      </c>
      <c r="J35" s="33">
        <v>15</v>
      </c>
      <c r="K35" s="33">
        <v>0</v>
      </c>
      <c r="L35" s="33">
        <v>0</v>
      </c>
      <c r="M35">
        <v>15</v>
      </c>
      <c r="N35">
        <v>0</v>
      </c>
      <c r="O35">
        <v>0</v>
      </c>
      <c r="P35">
        <v>28780</v>
      </c>
      <c r="Q35">
        <v>82101</v>
      </c>
      <c r="R35">
        <v>79179</v>
      </c>
      <c r="S35">
        <v>79504</v>
      </c>
      <c r="T35">
        <v>116</v>
      </c>
      <c r="U35">
        <v>196</v>
      </c>
      <c r="V35">
        <v>202</v>
      </c>
      <c r="W35">
        <v>184</v>
      </c>
      <c r="X35" s="23">
        <v>0.00403057678943711</v>
      </c>
      <c r="Y35" s="23">
        <v>0.00238730344331981</v>
      </c>
      <c r="Z35" s="23">
        <v>0.00255118150014524</v>
      </c>
      <c r="AA35" s="23">
        <v>0.00231434896357416</v>
      </c>
      <c r="AB35">
        <v>25.87</v>
      </c>
      <c r="AC35">
        <v>53.11</v>
      </c>
      <c r="AD35">
        <v>53.44</v>
      </c>
      <c r="AE35">
        <v>46.25</v>
      </c>
      <c r="AF35" s="23">
        <v>0.107805142309455</v>
      </c>
      <c r="AG35" s="23">
        <v>0.165989498687336</v>
      </c>
      <c r="AH35" s="23">
        <v>0.668083510438805</v>
      </c>
      <c r="AI35" s="23">
        <v>0.0825996106656189</v>
      </c>
      <c r="AJ35">
        <v>0</v>
      </c>
      <c r="AK35">
        <v>147</v>
      </c>
      <c r="AL35">
        <v>243</v>
      </c>
      <c r="AM35">
        <v>241</v>
      </c>
      <c r="AN35" s="23" t="s">
        <v>54</v>
      </c>
      <c r="AO35" s="23">
        <v>0.0272108843537415</v>
      </c>
      <c r="AP35" s="23">
        <v>0.00411522633744856</v>
      </c>
      <c r="AQ35" s="23">
        <v>0.029045643153527</v>
      </c>
      <c r="AR35" s="35">
        <v>0.428571428571429</v>
      </c>
      <c r="AS35" s="35">
        <v>25.7142857142857</v>
      </c>
      <c r="AT35" s="35">
        <v>-10.7142857142857</v>
      </c>
      <c r="AU35" s="31">
        <f t="shared" si="3"/>
        <v>35</v>
      </c>
      <c r="AV35" s="36">
        <f>IFERROR(时间!$B$4+AU35,"上周无销量")</f>
        <v>43325</v>
      </c>
    </row>
    <row r="36" spans="1:48">
      <c r="A36" s="19" t="s">
        <v>134</v>
      </c>
      <c r="B36" t="s">
        <v>135</v>
      </c>
      <c r="C36" t="s">
        <v>136</v>
      </c>
      <c r="D36" s="31">
        <v>0</v>
      </c>
      <c r="E36" s="31">
        <v>1</v>
      </c>
      <c r="F36" s="31">
        <v>0</v>
      </c>
      <c r="G36" s="31">
        <v>0</v>
      </c>
      <c r="H36" s="32">
        <v>79.99</v>
      </c>
      <c r="I36">
        <v>7</v>
      </c>
      <c r="J36" s="33">
        <v>0</v>
      </c>
      <c r="K36" s="33">
        <v>0</v>
      </c>
      <c r="L36" s="33">
        <v>0</v>
      </c>
      <c r="M36">
        <v>7</v>
      </c>
      <c r="N36">
        <v>0</v>
      </c>
      <c r="O36">
        <v>0</v>
      </c>
      <c r="P36">
        <v>5541</v>
      </c>
      <c r="Q36">
        <v>5797</v>
      </c>
      <c r="R36">
        <v>5843</v>
      </c>
      <c r="S36">
        <v>5848</v>
      </c>
      <c r="T36">
        <v>42</v>
      </c>
      <c r="U36">
        <v>53</v>
      </c>
      <c r="V36">
        <v>47</v>
      </c>
      <c r="W36">
        <v>58</v>
      </c>
      <c r="X36" s="23">
        <v>0.00757985923118571</v>
      </c>
      <c r="Y36" s="23">
        <v>0.00914265999654994</v>
      </c>
      <c r="Z36" s="23">
        <v>0.00804381310970392</v>
      </c>
      <c r="AA36" s="23">
        <v>0.00991792065663475</v>
      </c>
      <c r="AB36">
        <v>4.83</v>
      </c>
      <c r="AC36">
        <v>7.95</v>
      </c>
      <c r="AD36">
        <v>5.87</v>
      </c>
      <c r="AE36">
        <v>7.45</v>
      </c>
      <c r="AF36" s="23" t="s">
        <v>137</v>
      </c>
      <c r="AG36" s="23">
        <v>0.0993874234279285</v>
      </c>
      <c r="AH36" s="23" t="s">
        <v>138</v>
      </c>
      <c r="AI36" s="23" t="s">
        <v>139</v>
      </c>
      <c r="AJ36">
        <v>0</v>
      </c>
      <c r="AK36">
        <v>51</v>
      </c>
      <c r="AL36">
        <v>41</v>
      </c>
      <c r="AM36">
        <v>47</v>
      </c>
      <c r="AN36" s="23" t="s">
        <v>54</v>
      </c>
      <c r="AO36" s="23">
        <v>0.0196078431372549</v>
      </c>
      <c r="AP36" s="23">
        <v>0</v>
      </c>
      <c r="AQ36" s="23">
        <v>0</v>
      </c>
      <c r="AR36" s="35">
        <v>0</v>
      </c>
      <c r="AS36" s="35">
        <v>0</v>
      </c>
      <c r="AT36" s="35">
        <v>7</v>
      </c>
      <c r="AU36" s="31" t="str">
        <f t="shared" si="3"/>
        <v>库存为7</v>
      </c>
      <c r="AV36" s="36" t="str">
        <f>IFERROR(时间!$B$4+AU36,"上周无销量")</f>
        <v>上周无销量</v>
      </c>
    </row>
    <row r="37" spans="1:48">
      <c r="A37" s="19" t="s">
        <v>140</v>
      </c>
      <c r="B37" t="s">
        <v>141</v>
      </c>
      <c r="C37" t="s">
        <v>136</v>
      </c>
      <c r="D37" s="31">
        <v>0</v>
      </c>
      <c r="E37" s="31">
        <v>1</v>
      </c>
      <c r="F37" s="31">
        <v>1</v>
      </c>
      <c r="G37" s="31">
        <v>0</v>
      </c>
      <c r="H37" s="32">
        <v>79.99</v>
      </c>
      <c r="I37">
        <v>2</v>
      </c>
      <c r="J37" s="33">
        <v>5</v>
      </c>
      <c r="K37" s="33">
        <v>0</v>
      </c>
      <c r="L37" s="33">
        <v>0</v>
      </c>
      <c r="M37">
        <v>7</v>
      </c>
      <c r="N37">
        <v>0</v>
      </c>
      <c r="O37">
        <v>2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19</v>
      </c>
      <c r="AL37">
        <v>23</v>
      </c>
      <c r="AM37">
        <v>10</v>
      </c>
      <c r="AN37" s="23" t="s">
        <v>54</v>
      </c>
      <c r="AO37" s="23">
        <v>0.0526315789473684</v>
      </c>
      <c r="AP37" s="23">
        <v>0.0434782608695652</v>
      </c>
      <c r="AQ37" s="23">
        <v>0</v>
      </c>
      <c r="AR37" s="35">
        <v>0</v>
      </c>
      <c r="AS37" s="35">
        <v>0</v>
      </c>
      <c r="AT37" s="35">
        <v>7</v>
      </c>
      <c r="AU37" s="31" t="str">
        <f t="shared" si="3"/>
        <v>库存为7</v>
      </c>
      <c r="AV37" s="36" t="str">
        <f>IFERROR(时间!$B$4+AU37,"上周无销量")</f>
        <v>上周无销量</v>
      </c>
    </row>
    <row r="38" spans="1:48">
      <c r="A38" s="19" t="s">
        <v>142</v>
      </c>
      <c r="B38" t="s">
        <v>143</v>
      </c>
      <c r="C38" t="s">
        <v>144</v>
      </c>
      <c r="D38" s="31">
        <v>2</v>
      </c>
      <c r="E38" s="31">
        <v>1</v>
      </c>
      <c r="F38" s="31">
        <v>0</v>
      </c>
      <c r="G38" s="31">
        <v>0</v>
      </c>
      <c r="H38" s="32">
        <v>89.99</v>
      </c>
      <c r="I38">
        <v>2</v>
      </c>
      <c r="J38" s="33">
        <v>5</v>
      </c>
      <c r="K38" s="33">
        <v>0</v>
      </c>
      <c r="L38" s="33">
        <v>1</v>
      </c>
      <c r="M38">
        <v>8</v>
      </c>
      <c r="N38">
        <v>0</v>
      </c>
      <c r="O38">
        <v>0</v>
      </c>
      <c r="P38">
        <v>4380</v>
      </c>
      <c r="Q38">
        <v>5669</v>
      </c>
      <c r="R38">
        <v>8586</v>
      </c>
      <c r="S38">
        <v>5444</v>
      </c>
      <c r="T38">
        <v>35</v>
      </c>
      <c r="U38">
        <v>45</v>
      </c>
      <c r="V38">
        <v>87</v>
      </c>
      <c r="W38">
        <v>32</v>
      </c>
      <c r="X38" s="23">
        <v>0.00799086757990868</v>
      </c>
      <c r="Y38" s="23">
        <v>0.00793790792026812</v>
      </c>
      <c r="Z38" s="23">
        <v>0.0101327742837177</v>
      </c>
      <c r="AA38" s="23">
        <v>0.00587803085966201</v>
      </c>
      <c r="AB38">
        <v>4.66</v>
      </c>
      <c r="AC38">
        <v>6.2</v>
      </c>
      <c r="AD38">
        <v>11.45</v>
      </c>
      <c r="AE38">
        <v>4.22</v>
      </c>
      <c r="AF38" s="23">
        <v>0.0258917657517502</v>
      </c>
      <c r="AG38" s="23">
        <v>0.0688965440604512</v>
      </c>
      <c r="AH38" s="23" t="s">
        <v>145</v>
      </c>
      <c r="AI38" s="23" t="s">
        <v>146</v>
      </c>
      <c r="AJ38">
        <v>0</v>
      </c>
      <c r="AK38">
        <v>44</v>
      </c>
      <c r="AL38">
        <v>40</v>
      </c>
      <c r="AM38">
        <v>65</v>
      </c>
      <c r="AN38" s="23" t="s">
        <v>54</v>
      </c>
      <c r="AO38" s="23">
        <v>0.0227272727272727</v>
      </c>
      <c r="AP38" s="23">
        <v>0</v>
      </c>
      <c r="AQ38" s="23">
        <v>0</v>
      </c>
      <c r="AR38" s="35">
        <v>0.285714285714286</v>
      </c>
      <c r="AS38" s="35">
        <v>17.1428571428571</v>
      </c>
      <c r="AT38" s="35">
        <v>-9.14285714285714</v>
      </c>
      <c r="AU38" s="31">
        <f t="shared" si="3"/>
        <v>28</v>
      </c>
      <c r="AV38" s="36">
        <f>IFERROR(时间!$B$4+AU38,"上周无销量")</f>
        <v>43318</v>
      </c>
    </row>
    <row r="39" spans="1:48">
      <c r="A39" s="19" t="s">
        <v>147</v>
      </c>
      <c r="B39" t="s">
        <v>148</v>
      </c>
      <c r="C39" t="s">
        <v>149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10</v>
      </c>
      <c r="J39" s="33">
        <v>0</v>
      </c>
      <c r="K39" s="33">
        <v>0</v>
      </c>
      <c r="L39" s="33">
        <v>0</v>
      </c>
      <c r="M39">
        <v>10</v>
      </c>
      <c r="N39">
        <v>0</v>
      </c>
      <c r="O39">
        <v>5</v>
      </c>
      <c r="P39">
        <v>16001</v>
      </c>
      <c r="Q39">
        <v>10690</v>
      </c>
      <c r="R39">
        <v>5707</v>
      </c>
      <c r="S39">
        <v>8</v>
      </c>
      <c r="T39">
        <v>107</v>
      </c>
      <c r="U39">
        <v>79</v>
      </c>
      <c r="V39">
        <v>46</v>
      </c>
      <c r="W39">
        <v>0</v>
      </c>
      <c r="X39" s="23">
        <v>0.00668708205737141</v>
      </c>
      <c r="Y39" s="23">
        <v>0.00739008419083255</v>
      </c>
      <c r="Z39" s="23">
        <v>0.00806027685298756</v>
      </c>
      <c r="AA39" s="23">
        <v>0</v>
      </c>
      <c r="AB39">
        <v>19.03</v>
      </c>
      <c r="AC39">
        <v>14.25</v>
      </c>
      <c r="AD39">
        <v>7.86</v>
      </c>
      <c r="AE39">
        <v>0</v>
      </c>
      <c r="AF39" s="23" t="s">
        <v>150</v>
      </c>
      <c r="AG39" s="23" t="s">
        <v>151</v>
      </c>
      <c r="AH39" s="23" t="s">
        <v>152</v>
      </c>
      <c r="AI39" s="23" t="s">
        <v>54</v>
      </c>
      <c r="AJ39">
        <v>0</v>
      </c>
      <c r="AK39">
        <v>76</v>
      </c>
      <c r="AL39">
        <v>42</v>
      </c>
      <c r="AM39">
        <v>39</v>
      </c>
      <c r="AN39" s="23" t="s">
        <v>54</v>
      </c>
      <c r="AO39" s="23">
        <v>0</v>
      </c>
      <c r="AP39" s="23">
        <v>0</v>
      </c>
      <c r="AQ39" s="23">
        <v>0</v>
      </c>
      <c r="AR39" s="35">
        <v>0</v>
      </c>
      <c r="AS39" s="35">
        <v>0</v>
      </c>
      <c r="AT39" s="35">
        <v>10</v>
      </c>
      <c r="AU39" s="31" t="str">
        <f t="shared" si="3"/>
        <v>库存为10</v>
      </c>
      <c r="AV39" s="36" t="str">
        <f>IFERROR(时间!$B$4+AU39,"上周无销量")</f>
        <v>上周无销量</v>
      </c>
    </row>
    <row r="40" spans="1:48">
      <c r="A40" s="19" t="s">
        <v>153</v>
      </c>
      <c r="B40" t="s">
        <v>154</v>
      </c>
      <c r="C40" t="s">
        <v>149</v>
      </c>
      <c r="D40" s="31">
        <v>0</v>
      </c>
      <c r="E40" s="31">
        <v>1</v>
      </c>
      <c r="F40" s="31">
        <v>0</v>
      </c>
      <c r="G40" s="31">
        <v>1</v>
      </c>
      <c r="H40" s="32">
        <v>37.99</v>
      </c>
      <c r="I40">
        <v>5</v>
      </c>
      <c r="J40" s="33">
        <v>3</v>
      </c>
      <c r="K40" s="33">
        <v>0</v>
      </c>
      <c r="L40" s="33">
        <v>0</v>
      </c>
      <c r="M40">
        <v>8</v>
      </c>
      <c r="N40">
        <v>0</v>
      </c>
      <c r="O40">
        <v>2</v>
      </c>
      <c r="P40">
        <v>18863</v>
      </c>
      <c r="Q40">
        <v>29603</v>
      </c>
      <c r="R40">
        <v>13585</v>
      </c>
      <c r="S40">
        <v>6</v>
      </c>
      <c r="T40">
        <v>85</v>
      </c>
      <c r="U40">
        <v>131</v>
      </c>
      <c r="V40">
        <v>83</v>
      </c>
      <c r="W40">
        <v>0</v>
      </c>
      <c r="X40" s="23">
        <v>0.00450617611196522</v>
      </c>
      <c r="Y40" s="23">
        <v>0.00442522717292166</v>
      </c>
      <c r="Z40" s="23">
        <v>0.00610967979389032</v>
      </c>
      <c r="AA40" s="23">
        <v>0</v>
      </c>
      <c r="AB40">
        <v>14.71</v>
      </c>
      <c r="AC40">
        <v>22.83</v>
      </c>
      <c r="AD40">
        <v>15.55</v>
      </c>
      <c r="AE40">
        <v>0</v>
      </c>
      <c r="AF40" s="23" t="s">
        <v>155</v>
      </c>
      <c r="AG40" s="23">
        <v>0.600947617794156</v>
      </c>
      <c r="AH40" s="23" t="s">
        <v>156</v>
      </c>
      <c r="AI40" s="23" t="s">
        <v>54</v>
      </c>
      <c r="AJ40">
        <v>0</v>
      </c>
      <c r="AK40">
        <v>68</v>
      </c>
      <c r="AL40">
        <v>88</v>
      </c>
      <c r="AM40">
        <v>48</v>
      </c>
      <c r="AN40" s="23" t="s">
        <v>54</v>
      </c>
      <c r="AO40" s="23">
        <v>0.0147058823529412</v>
      </c>
      <c r="AP40" s="23">
        <v>0</v>
      </c>
      <c r="AQ40" s="23">
        <v>0.0208333333333333</v>
      </c>
      <c r="AR40" s="35">
        <v>0</v>
      </c>
      <c r="AS40" s="35">
        <v>0</v>
      </c>
      <c r="AT40" s="35">
        <v>8</v>
      </c>
      <c r="AU40" s="31" t="str">
        <f t="shared" si="3"/>
        <v>库存为8</v>
      </c>
      <c r="AV40" s="36" t="str">
        <f>IFERROR(时间!$B$4+AU40,"上周无销量")</f>
        <v>上周无销量</v>
      </c>
    </row>
    <row r="41" spans="1:48">
      <c r="A41" s="19" t="s">
        <v>157</v>
      </c>
      <c r="B41" t="s">
        <v>158</v>
      </c>
      <c r="C41" t="s">
        <v>159</v>
      </c>
      <c r="D41" s="31">
        <v>10</v>
      </c>
      <c r="E41" s="31">
        <v>13</v>
      </c>
      <c r="F41" s="31">
        <v>10</v>
      </c>
      <c r="G41" s="31">
        <v>13</v>
      </c>
      <c r="H41" s="32">
        <v>89.9899999999999</v>
      </c>
      <c r="I41">
        <v>80</v>
      </c>
      <c r="J41" s="33">
        <v>0</v>
      </c>
      <c r="K41" s="33">
        <v>0</v>
      </c>
      <c r="L41" s="33">
        <v>24</v>
      </c>
      <c r="M41">
        <v>104</v>
      </c>
      <c r="N41">
        <v>0</v>
      </c>
      <c r="O41">
        <v>0</v>
      </c>
      <c r="P41">
        <v>0</v>
      </c>
      <c r="Q41">
        <v>0</v>
      </c>
      <c r="R41">
        <v>78189</v>
      </c>
      <c r="S41">
        <v>130413</v>
      </c>
      <c r="T41">
        <v>0</v>
      </c>
      <c r="U41">
        <v>0</v>
      </c>
      <c r="V41">
        <v>498</v>
      </c>
      <c r="W41">
        <v>975</v>
      </c>
      <c r="X41" s="23" t="s">
        <v>54</v>
      </c>
      <c r="Y41" s="23" t="s">
        <v>54</v>
      </c>
      <c r="Z41" s="23">
        <v>0.00636918236580593</v>
      </c>
      <c r="AA41" s="23">
        <v>0.0074762485335051</v>
      </c>
      <c r="AB41">
        <v>0</v>
      </c>
      <c r="AC41">
        <v>0</v>
      </c>
      <c r="AD41">
        <v>61.21</v>
      </c>
      <c r="AE41">
        <v>120.02</v>
      </c>
      <c r="AF41" s="23" t="s">
        <v>54</v>
      </c>
      <c r="AG41" s="23" t="s">
        <v>54</v>
      </c>
      <c r="AH41" s="23">
        <v>0.0680186687409713</v>
      </c>
      <c r="AI41" s="23">
        <v>0.102592595758503</v>
      </c>
      <c r="AJ41">
        <v>0</v>
      </c>
      <c r="AK41">
        <v>1252</v>
      </c>
      <c r="AL41">
        <v>990</v>
      </c>
      <c r="AM41">
        <v>1342</v>
      </c>
      <c r="AN41" s="23" t="s">
        <v>54</v>
      </c>
      <c r="AO41" s="23">
        <v>0.0103833865814696</v>
      </c>
      <c r="AP41" s="23">
        <v>0.0101010101010101</v>
      </c>
      <c r="AQ41" s="23">
        <v>0.00968703427719821</v>
      </c>
      <c r="AR41" s="35">
        <v>1.42857142857143</v>
      </c>
      <c r="AS41" s="35">
        <v>85.7142857142857</v>
      </c>
      <c r="AT41" s="35">
        <v>18.2857142857143</v>
      </c>
      <c r="AU41" s="31">
        <f t="shared" si="3"/>
        <v>72</v>
      </c>
      <c r="AV41" s="36">
        <f>IFERROR(时间!$B$4+AU41,"上周无销量")</f>
        <v>43362</v>
      </c>
    </row>
    <row r="42" spans="1:48">
      <c r="A42" s="19" t="s">
        <v>160</v>
      </c>
      <c r="B42" t="s">
        <v>161</v>
      </c>
      <c r="C42" t="s">
        <v>159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4</v>
      </c>
      <c r="J42" s="33">
        <v>0</v>
      </c>
      <c r="K42" s="33">
        <v>0</v>
      </c>
      <c r="L42" s="33">
        <v>0</v>
      </c>
      <c r="M42">
        <v>4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14</v>
      </c>
      <c r="AL42">
        <v>12</v>
      </c>
      <c r="AM42">
        <v>27</v>
      </c>
      <c r="AN42" s="23" t="s">
        <v>54</v>
      </c>
      <c r="AO42" s="23">
        <v>0</v>
      </c>
      <c r="AP42" s="23">
        <v>0</v>
      </c>
      <c r="AQ42" s="23">
        <v>0</v>
      </c>
      <c r="AR42" s="35">
        <v>0</v>
      </c>
      <c r="AS42" s="35">
        <v>0</v>
      </c>
      <c r="AT42" s="35">
        <v>4</v>
      </c>
      <c r="AU42" s="31" t="str">
        <f t="shared" si="3"/>
        <v>库存为4</v>
      </c>
      <c r="AV42" s="36" t="str">
        <f>IFERROR(时间!$B$4+AU42,"上周无销量")</f>
        <v>上周无销量</v>
      </c>
    </row>
    <row r="43" spans="1:48">
      <c r="A43" s="19" t="s">
        <v>162</v>
      </c>
      <c r="B43" t="s">
        <v>163</v>
      </c>
      <c r="C43" t="s">
        <v>159</v>
      </c>
      <c r="D43" s="31">
        <v>0</v>
      </c>
      <c r="E43" s="31">
        <v>1</v>
      </c>
      <c r="F43" s="31">
        <v>3</v>
      </c>
      <c r="G43" s="31">
        <v>0</v>
      </c>
      <c r="H43" s="32">
        <v>32.99</v>
      </c>
      <c r="I43">
        <v>8</v>
      </c>
      <c r="J43" s="33">
        <v>0</v>
      </c>
      <c r="K43" s="33">
        <v>0</v>
      </c>
      <c r="L43" s="33">
        <v>0</v>
      </c>
      <c r="M43">
        <v>8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 s="23" t="s">
        <v>54</v>
      </c>
      <c r="Y43" s="23" t="s">
        <v>54</v>
      </c>
      <c r="Z43" s="23" t="s">
        <v>54</v>
      </c>
      <c r="AA43" s="23" t="s">
        <v>54</v>
      </c>
      <c r="AB43">
        <v>0</v>
      </c>
      <c r="AC43">
        <v>0</v>
      </c>
      <c r="AD43">
        <v>0</v>
      </c>
      <c r="AE43">
        <v>0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69</v>
      </c>
      <c r="AL43">
        <v>56</v>
      </c>
      <c r="AM43">
        <v>60</v>
      </c>
      <c r="AN43" s="23" t="s">
        <v>54</v>
      </c>
      <c r="AO43" s="23">
        <v>0.0144927536231884</v>
      </c>
      <c r="AP43" s="23">
        <v>0.0535714285714286</v>
      </c>
      <c r="AQ43" s="23">
        <v>0</v>
      </c>
      <c r="AR43" s="35">
        <v>0</v>
      </c>
      <c r="AS43" s="35">
        <v>0</v>
      </c>
      <c r="AT43" s="35">
        <v>8</v>
      </c>
      <c r="AU43" s="31" t="str">
        <f t="shared" si="3"/>
        <v>库存为8</v>
      </c>
      <c r="AV43" s="36" t="str">
        <f>IFERROR(时间!$B$4+AU43,"上周无销量")</f>
        <v>上周无销量</v>
      </c>
    </row>
    <row r="44" spans="1:48">
      <c r="A44" s="19" t="s">
        <v>164</v>
      </c>
      <c r="B44" t="s">
        <v>165</v>
      </c>
      <c r="C44" t="s">
        <v>166</v>
      </c>
      <c r="D44" s="31">
        <v>0</v>
      </c>
      <c r="E44" s="31">
        <v>3</v>
      </c>
      <c r="F44" s="31">
        <v>0</v>
      </c>
      <c r="G44" s="31">
        <v>0</v>
      </c>
      <c r="H44" s="32">
        <v>79.99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>
        <v>19602</v>
      </c>
      <c r="Q44">
        <v>14346</v>
      </c>
      <c r="R44">
        <v>0</v>
      </c>
      <c r="S44">
        <v>0</v>
      </c>
      <c r="T44">
        <v>105</v>
      </c>
      <c r="U44">
        <v>115</v>
      </c>
      <c r="V44">
        <v>0</v>
      </c>
      <c r="W44">
        <v>0</v>
      </c>
      <c r="X44" s="23">
        <v>0.00535659626568717</v>
      </c>
      <c r="Y44" s="23">
        <v>0.00801617175519309</v>
      </c>
      <c r="Z44" s="23" t="s">
        <v>54</v>
      </c>
      <c r="AA44" s="23" t="s">
        <v>54</v>
      </c>
      <c r="AB44">
        <v>17.39</v>
      </c>
      <c r="AC44">
        <v>20.61</v>
      </c>
      <c r="AD44">
        <v>0</v>
      </c>
      <c r="AE44">
        <v>0</v>
      </c>
      <c r="AF44" s="23" t="s">
        <v>167</v>
      </c>
      <c r="AG44" s="23">
        <v>0.0858857357169646</v>
      </c>
      <c r="AH44" s="23" t="s">
        <v>54</v>
      </c>
      <c r="AI44" s="23" t="s">
        <v>54</v>
      </c>
      <c r="AJ44">
        <v>0</v>
      </c>
      <c r="AK44">
        <v>123</v>
      </c>
      <c r="AL44">
        <v>80</v>
      </c>
      <c r="AM44">
        <v>4</v>
      </c>
      <c r="AN44" s="23" t="s">
        <v>54</v>
      </c>
      <c r="AO44" s="23">
        <v>0.024390243902439</v>
      </c>
      <c r="AP44" s="23">
        <v>0</v>
      </c>
      <c r="AQ44" s="23">
        <v>0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19" t="s">
        <v>168</v>
      </c>
      <c r="B45" t="s">
        <v>169</v>
      </c>
      <c r="C45" t="s">
        <v>170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7</v>
      </c>
      <c r="J45" s="33">
        <v>0</v>
      </c>
      <c r="K45" s="33">
        <v>0</v>
      </c>
      <c r="L45" s="33">
        <v>0</v>
      </c>
      <c r="M45">
        <v>7</v>
      </c>
      <c r="N45">
        <v>0</v>
      </c>
      <c r="O45">
        <v>7</v>
      </c>
      <c r="P45">
        <v>11916</v>
      </c>
      <c r="Q45">
        <v>25713</v>
      </c>
      <c r="R45">
        <v>41026</v>
      </c>
      <c r="S45">
        <v>21407</v>
      </c>
      <c r="T45">
        <v>55</v>
      </c>
      <c r="U45">
        <v>99</v>
      </c>
      <c r="V45">
        <v>170</v>
      </c>
      <c r="W45">
        <v>104</v>
      </c>
      <c r="X45" s="23">
        <v>0.00461564283316549</v>
      </c>
      <c r="Y45" s="23">
        <v>0.00385019250962548</v>
      </c>
      <c r="Z45" s="23">
        <v>0.00414371374250475</v>
      </c>
      <c r="AA45" s="23">
        <v>0.00485822394543841</v>
      </c>
      <c r="AB45">
        <v>7.45</v>
      </c>
      <c r="AC45">
        <v>14.6</v>
      </c>
      <c r="AD45">
        <v>24.64</v>
      </c>
      <c r="AE45">
        <v>15.12</v>
      </c>
      <c r="AF45" s="23" t="s">
        <v>139</v>
      </c>
      <c r="AG45" s="23" t="s">
        <v>171</v>
      </c>
      <c r="AH45" s="23" t="s">
        <v>172</v>
      </c>
      <c r="AI45" s="23" t="s">
        <v>173</v>
      </c>
      <c r="AJ45">
        <v>0</v>
      </c>
      <c r="AK45">
        <v>34</v>
      </c>
      <c r="AL45">
        <v>54</v>
      </c>
      <c r="AM45">
        <v>106</v>
      </c>
      <c r="AN45" s="23" t="s">
        <v>54</v>
      </c>
      <c r="AO45" s="23">
        <v>0</v>
      </c>
      <c r="AP45" s="23">
        <v>0</v>
      </c>
      <c r="AQ45" s="23">
        <v>0</v>
      </c>
      <c r="AR45" s="35">
        <v>0</v>
      </c>
      <c r="AS45" s="35">
        <v>0</v>
      </c>
      <c r="AT45" s="35">
        <v>7</v>
      </c>
      <c r="AU45" s="31" t="str">
        <f t="shared" si="3"/>
        <v>库存为7</v>
      </c>
      <c r="AV45" s="36" t="str">
        <f>IFERROR(时间!$B$4+AU45,"上周无销量")</f>
        <v>上周无销量</v>
      </c>
    </row>
    <row r="46" spans="1:48">
      <c r="A46" s="19" t="s">
        <v>174</v>
      </c>
      <c r="B46" t="s">
        <v>175</v>
      </c>
      <c r="C46" t="s">
        <v>176</v>
      </c>
      <c r="D46" s="31">
        <v>1</v>
      </c>
      <c r="E46" s="31">
        <v>5</v>
      </c>
      <c r="F46" s="31">
        <v>2</v>
      </c>
      <c r="G46" s="31">
        <v>4</v>
      </c>
      <c r="H46" s="32">
        <v>89.99</v>
      </c>
      <c r="I46">
        <v>12</v>
      </c>
      <c r="J46" s="33">
        <v>10</v>
      </c>
      <c r="K46" s="33">
        <v>0</v>
      </c>
      <c r="L46" s="33">
        <v>0</v>
      </c>
      <c r="M46">
        <v>22</v>
      </c>
      <c r="N46">
        <v>1</v>
      </c>
      <c r="O46">
        <v>0</v>
      </c>
      <c r="P46">
        <v>27566</v>
      </c>
      <c r="Q46">
        <v>109409</v>
      </c>
      <c r="R46">
        <v>99909</v>
      </c>
      <c r="S46">
        <v>103421</v>
      </c>
      <c r="T46">
        <v>95</v>
      </c>
      <c r="U46">
        <v>347</v>
      </c>
      <c r="V46">
        <v>289</v>
      </c>
      <c r="W46">
        <v>279</v>
      </c>
      <c r="X46" s="23">
        <v>0.00344627439599507</v>
      </c>
      <c r="Y46" s="23">
        <v>0.0031715855185588</v>
      </c>
      <c r="Z46" s="23">
        <v>0.0028926322953888</v>
      </c>
      <c r="AA46" s="23">
        <v>0.00269771129654519</v>
      </c>
      <c r="AB46">
        <v>22.6</v>
      </c>
      <c r="AC46">
        <v>98.76</v>
      </c>
      <c r="AD46">
        <v>79.5</v>
      </c>
      <c r="AE46">
        <v>78.78</v>
      </c>
      <c r="AF46" s="23">
        <v>0.251139015446161</v>
      </c>
      <c r="AG46" s="23">
        <v>0.219491054561618</v>
      </c>
      <c r="AH46" s="23">
        <v>0.441715746194022</v>
      </c>
      <c r="AI46" s="23">
        <v>0.218857650850094</v>
      </c>
      <c r="AJ46">
        <v>0</v>
      </c>
      <c r="AK46">
        <v>109</v>
      </c>
      <c r="AL46">
        <v>245</v>
      </c>
      <c r="AM46">
        <v>233</v>
      </c>
      <c r="AN46" s="23" t="s">
        <v>54</v>
      </c>
      <c r="AO46" s="23">
        <v>0.0458715596330275</v>
      </c>
      <c r="AP46" s="23">
        <v>0.00816326530612245</v>
      </c>
      <c r="AQ46" s="23">
        <v>0.0171673819742489</v>
      </c>
      <c r="AR46" s="35">
        <v>0.142857142857143</v>
      </c>
      <c r="AS46" s="35">
        <v>8.57142857142857</v>
      </c>
      <c r="AT46" s="35">
        <v>13.4285714285714</v>
      </c>
      <c r="AU46" s="31">
        <f t="shared" si="3"/>
        <v>154</v>
      </c>
      <c r="AV46" s="36">
        <f>IFERROR(时间!$B$4+AU46,"上周无销量")</f>
        <v>43444</v>
      </c>
    </row>
    <row r="47" spans="1:48">
      <c r="A47" s="19" t="s">
        <v>177</v>
      </c>
      <c r="B47" t="s">
        <v>178</v>
      </c>
      <c r="C47" t="s">
        <v>179</v>
      </c>
      <c r="D47" s="31">
        <v>1</v>
      </c>
      <c r="E47" s="31">
        <v>6</v>
      </c>
      <c r="F47" s="31">
        <v>0</v>
      </c>
      <c r="G47" s="31">
        <v>0</v>
      </c>
      <c r="H47" s="32">
        <v>82.5614285714286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>
        <v>31775</v>
      </c>
      <c r="Q47">
        <v>8734</v>
      </c>
      <c r="R47">
        <v>0</v>
      </c>
      <c r="S47">
        <v>0</v>
      </c>
      <c r="T47">
        <v>189</v>
      </c>
      <c r="U47">
        <v>92</v>
      </c>
      <c r="V47">
        <v>0</v>
      </c>
      <c r="W47">
        <v>0</v>
      </c>
      <c r="X47" s="23">
        <v>0.00594807238394965</v>
      </c>
      <c r="Y47" s="23">
        <v>0.0105335470574765</v>
      </c>
      <c r="Z47" s="23" t="s">
        <v>54</v>
      </c>
      <c r="AA47" s="23" t="s">
        <v>54</v>
      </c>
      <c r="AB47">
        <v>30.97</v>
      </c>
      <c r="AC47">
        <v>13.86</v>
      </c>
      <c r="AD47">
        <v>0</v>
      </c>
      <c r="AE47">
        <v>0</v>
      </c>
      <c r="AF47" s="23">
        <v>0.375114633260083</v>
      </c>
      <c r="AG47" s="23">
        <v>0.0279791670271486</v>
      </c>
      <c r="AH47" s="23" t="s">
        <v>54</v>
      </c>
      <c r="AI47" s="23" t="s">
        <v>54</v>
      </c>
      <c r="AJ47">
        <v>0</v>
      </c>
      <c r="AK47">
        <v>194</v>
      </c>
      <c r="AL47">
        <v>68</v>
      </c>
      <c r="AM47">
        <v>2</v>
      </c>
      <c r="AN47" s="23" t="s">
        <v>54</v>
      </c>
      <c r="AO47" s="23">
        <v>0.0309278350515464</v>
      </c>
      <c r="AP47" s="23">
        <v>0</v>
      </c>
      <c r="AQ47" s="23">
        <v>0</v>
      </c>
      <c r="AR47" s="35">
        <v>0.142857142857143</v>
      </c>
      <c r="AS47" s="35">
        <v>8.57142857142857</v>
      </c>
      <c r="AT47" s="35">
        <v>-8.57142857142857</v>
      </c>
      <c r="AU47" s="31">
        <f t="shared" si="3"/>
        <v>0</v>
      </c>
      <c r="AV47" s="36">
        <f>IFERROR(时间!$B$4+AU47,"上周无销量")</f>
        <v>43290</v>
      </c>
    </row>
    <row r="48" spans="1:48">
      <c r="A48" s="19" t="s">
        <v>180</v>
      </c>
      <c r="B48" t="s">
        <v>181</v>
      </c>
      <c r="C48" t="s">
        <v>179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30</v>
      </c>
      <c r="J48" s="33">
        <v>0</v>
      </c>
      <c r="K48" s="33">
        <v>0</v>
      </c>
      <c r="L48" s="33">
        <v>20</v>
      </c>
      <c r="M48">
        <v>50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6</v>
      </c>
      <c r="AL48">
        <v>2</v>
      </c>
      <c r="AM48">
        <v>1</v>
      </c>
      <c r="AN48" s="23" t="s">
        <v>54</v>
      </c>
      <c r="AO48" s="23">
        <v>0</v>
      </c>
      <c r="AP48" s="23">
        <v>0</v>
      </c>
      <c r="AQ48" s="23">
        <v>0</v>
      </c>
      <c r="AR48" s="35">
        <v>0</v>
      </c>
      <c r="AS48" s="35">
        <v>0</v>
      </c>
      <c r="AT48" s="35">
        <v>50</v>
      </c>
      <c r="AU48" s="31" t="str">
        <f t="shared" si="3"/>
        <v>库存为50</v>
      </c>
      <c r="AV48" s="36" t="str">
        <f>IFERROR(时间!$B$4+AU48,"上周无销量")</f>
        <v>上周无销量</v>
      </c>
    </row>
    <row r="49" spans="1:48">
      <c r="A49" s="19" t="s">
        <v>182</v>
      </c>
      <c r="B49" t="s">
        <v>183</v>
      </c>
      <c r="C49" t="s">
        <v>184</v>
      </c>
      <c r="D49" s="31">
        <v>0</v>
      </c>
      <c r="E49" s="31">
        <v>1</v>
      </c>
      <c r="F49" s="31">
        <v>0</v>
      </c>
      <c r="G49" s="31">
        <v>0</v>
      </c>
      <c r="H49" s="32">
        <v>89.6</v>
      </c>
      <c r="I49">
        <v>4</v>
      </c>
      <c r="J49" s="33">
        <v>0</v>
      </c>
      <c r="K49" s="33">
        <v>0</v>
      </c>
      <c r="L49" s="33">
        <v>0</v>
      </c>
      <c r="M49">
        <v>4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19</v>
      </c>
      <c r="AL49">
        <v>18</v>
      </c>
      <c r="AM49">
        <v>13</v>
      </c>
      <c r="AN49" s="23" t="s">
        <v>54</v>
      </c>
      <c r="AO49" s="23">
        <v>0.0526315789473684</v>
      </c>
      <c r="AP49" s="23">
        <v>0</v>
      </c>
      <c r="AQ49" s="23">
        <v>0</v>
      </c>
      <c r="AR49" s="35">
        <v>0</v>
      </c>
      <c r="AS49" s="35">
        <v>0</v>
      </c>
      <c r="AT49" s="35">
        <v>4</v>
      </c>
      <c r="AU49" s="31" t="str">
        <f t="shared" si="3"/>
        <v>库存为4</v>
      </c>
      <c r="AV49" s="36" t="str">
        <f>IFERROR(时间!$B$4+AU49,"上周无销量")</f>
        <v>上周无销量</v>
      </c>
    </row>
    <row r="50" spans="1:48">
      <c r="A50" s="19" t="s">
        <v>185</v>
      </c>
      <c r="B50" t="s">
        <v>186</v>
      </c>
      <c r="C50" t="s">
        <v>187</v>
      </c>
      <c r="D50" s="31">
        <v>1</v>
      </c>
      <c r="E50" s="31">
        <v>0</v>
      </c>
      <c r="F50" s="31">
        <v>1</v>
      </c>
      <c r="G50" s="31">
        <v>0</v>
      </c>
      <c r="H50" s="32">
        <v>89.99</v>
      </c>
      <c r="I50">
        <v>4</v>
      </c>
      <c r="J50" s="33">
        <v>0</v>
      </c>
      <c r="K50" s="33">
        <v>0</v>
      </c>
      <c r="L50" s="33">
        <v>5</v>
      </c>
      <c r="M50">
        <v>9</v>
      </c>
      <c r="N50">
        <v>0</v>
      </c>
      <c r="O50">
        <v>0</v>
      </c>
      <c r="P50">
        <v>10862</v>
      </c>
      <c r="Q50">
        <v>15420</v>
      </c>
      <c r="R50">
        <v>14538</v>
      </c>
      <c r="S50">
        <v>15704</v>
      </c>
      <c r="T50">
        <v>128</v>
      </c>
      <c r="U50">
        <v>135</v>
      </c>
      <c r="V50">
        <v>196</v>
      </c>
      <c r="W50">
        <v>170</v>
      </c>
      <c r="X50" s="23">
        <v>0.0117842018044559</v>
      </c>
      <c r="Y50" s="23">
        <v>0.00875486381322957</v>
      </c>
      <c r="Z50" s="23">
        <v>0.0134819094786078</v>
      </c>
      <c r="AA50" s="23">
        <v>0.010825267447784</v>
      </c>
      <c r="AB50">
        <v>16.5</v>
      </c>
      <c r="AC50">
        <v>17.65</v>
      </c>
      <c r="AD50">
        <v>24.04</v>
      </c>
      <c r="AE50">
        <v>23.03</v>
      </c>
      <c r="AF50" s="23">
        <v>0.18335370596733</v>
      </c>
      <c r="AG50" s="23" t="s">
        <v>188</v>
      </c>
      <c r="AH50" s="23">
        <v>0.267140793421491</v>
      </c>
      <c r="AI50" s="23" t="s">
        <v>189</v>
      </c>
      <c r="AJ50">
        <v>0</v>
      </c>
      <c r="AK50">
        <v>124</v>
      </c>
      <c r="AL50">
        <v>129</v>
      </c>
      <c r="AM50">
        <v>147</v>
      </c>
      <c r="AN50" s="23" t="s">
        <v>54</v>
      </c>
      <c r="AO50" s="23">
        <v>0</v>
      </c>
      <c r="AP50" s="23">
        <v>0.00775193798449612</v>
      </c>
      <c r="AQ50" s="23">
        <v>0</v>
      </c>
      <c r="AR50" s="35">
        <v>0.142857142857143</v>
      </c>
      <c r="AS50" s="35">
        <v>8.57142857142857</v>
      </c>
      <c r="AT50" s="35">
        <v>0.428571428571429</v>
      </c>
      <c r="AU50" s="31">
        <f t="shared" si="3"/>
        <v>63</v>
      </c>
      <c r="AV50" s="36">
        <f>IFERROR(时间!$B$4+AU50,"上周无销量")</f>
        <v>43353</v>
      </c>
    </row>
    <row r="51" spans="1:48">
      <c r="A51" s="19" t="s">
        <v>190</v>
      </c>
      <c r="B51" t="s">
        <v>191</v>
      </c>
      <c r="C51" t="s">
        <v>192</v>
      </c>
      <c r="D51" s="31">
        <v>6</v>
      </c>
      <c r="E51" s="31">
        <v>3</v>
      </c>
      <c r="F51" s="31">
        <v>6</v>
      </c>
      <c r="G51" s="31">
        <v>3</v>
      </c>
      <c r="H51" s="32">
        <v>89.99</v>
      </c>
      <c r="I51">
        <v>5</v>
      </c>
      <c r="J51" s="33">
        <v>5</v>
      </c>
      <c r="K51" s="33">
        <v>0</v>
      </c>
      <c r="L51" s="33">
        <v>2</v>
      </c>
      <c r="M51">
        <v>12</v>
      </c>
      <c r="N51">
        <v>1</v>
      </c>
      <c r="O51">
        <v>0</v>
      </c>
      <c r="P51">
        <v>30106</v>
      </c>
      <c r="Q51">
        <v>27626</v>
      </c>
      <c r="R51">
        <v>18699</v>
      </c>
      <c r="S51">
        <v>16854</v>
      </c>
      <c r="T51">
        <v>317</v>
      </c>
      <c r="U51">
        <v>320</v>
      </c>
      <c r="V51">
        <v>263</v>
      </c>
      <c r="W51">
        <v>235</v>
      </c>
      <c r="X51" s="23">
        <v>0.0105294625656015</v>
      </c>
      <c r="Y51" s="23">
        <v>0.0115832911025845</v>
      </c>
      <c r="Z51" s="23">
        <v>0.0140649232579282</v>
      </c>
      <c r="AA51" s="23">
        <v>0.0139432775602231</v>
      </c>
      <c r="AB51">
        <v>43.45</v>
      </c>
      <c r="AC51">
        <v>46.23</v>
      </c>
      <c r="AD51">
        <v>38.64</v>
      </c>
      <c r="AE51">
        <v>32.9</v>
      </c>
      <c r="AF51" s="23">
        <v>0.0804719042856614</v>
      </c>
      <c r="AG51" s="23">
        <v>0.17124124902767</v>
      </c>
      <c r="AH51" s="23">
        <v>0.0715635070563396</v>
      </c>
      <c r="AI51" s="23">
        <v>0.121865392451013</v>
      </c>
      <c r="AJ51">
        <v>0</v>
      </c>
      <c r="AK51">
        <v>393</v>
      </c>
      <c r="AL51">
        <v>356</v>
      </c>
      <c r="AM51">
        <v>238</v>
      </c>
      <c r="AN51" s="23" t="s">
        <v>54</v>
      </c>
      <c r="AO51" s="23">
        <v>0.00763358778625954</v>
      </c>
      <c r="AP51" s="23">
        <v>0.0168539325842697</v>
      </c>
      <c r="AQ51" s="23">
        <v>0.0126050420168067</v>
      </c>
      <c r="AR51" s="35">
        <v>0.857142857142857</v>
      </c>
      <c r="AS51" s="35">
        <v>51.4285714285714</v>
      </c>
      <c r="AT51" s="35">
        <v>-39.4285714285714</v>
      </c>
      <c r="AU51" s="31">
        <f t="shared" si="3"/>
        <v>14</v>
      </c>
      <c r="AV51" s="36">
        <f>IFERROR(时间!$B$4+AU51,"上周无销量")</f>
        <v>43304</v>
      </c>
    </row>
    <row r="52" spans="1:48">
      <c r="A52" s="19" t="s">
        <v>193</v>
      </c>
      <c r="B52" t="s">
        <v>194</v>
      </c>
      <c r="C52" t="s">
        <v>192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3</v>
      </c>
      <c r="J52" s="33">
        <v>0</v>
      </c>
      <c r="K52" s="33">
        <v>0</v>
      </c>
      <c r="L52" s="33">
        <v>0</v>
      </c>
      <c r="M52">
        <v>3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2</v>
      </c>
      <c r="AM52">
        <v>0</v>
      </c>
      <c r="AN52" s="23" t="s">
        <v>54</v>
      </c>
      <c r="AO52" s="23" t="s">
        <v>54</v>
      </c>
      <c r="AP52" s="23">
        <v>0</v>
      </c>
      <c r="AQ52" s="23" t="s">
        <v>54</v>
      </c>
      <c r="AR52" s="35">
        <v>0</v>
      </c>
      <c r="AS52" s="35">
        <v>0</v>
      </c>
      <c r="AT52" s="35">
        <v>3</v>
      </c>
      <c r="AU52" s="31" t="str">
        <f t="shared" si="3"/>
        <v>库存为3</v>
      </c>
      <c r="AV52" s="36" t="str">
        <f>IFERROR(时间!$B$4+AU52,"上周无销量")</f>
        <v>上周无销量</v>
      </c>
    </row>
    <row r="53" spans="1:48">
      <c r="A53" s="19" t="s">
        <v>195</v>
      </c>
      <c r="B53" t="s">
        <v>196</v>
      </c>
      <c r="C53" t="s">
        <v>197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10</v>
      </c>
      <c r="J53" s="33">
        <v>0</v>
      </c>
      <c r="K53" s="33">
        <v>0</v>
      </c>
      <c r="L53" s="33">
        <v>0</v>
      </c>
      <c r="M53">
        <v>10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6</v>
      </c>
      <c r="AL53">
        <v>5</v>
      </c>
      <c r="AM53">
        <v>1</v>
      </c>
      <c r="AN53" s="23" t="s">
        <v>54</v>
      </c>
      <c r="AO53" s="23">
        <v>0</v>
      </c>
      <c r="AP53" s="23">
        <v>0</v>
      </c>
      <c r="AQ53" s="23">
        <v>0</v>
      </c>
      <c r="AR53" s="35">
        <v>0</v>
      </c>
      <c r="AS53" s="35">
        <v>0</v>
      </c>
      <c r="AT53" s="35">
        <v>10</v>
      </c>
      <c r="AU53" s="31" t="str">
        <f t="shared" si="3"/>
        <v>库存为10</v>
      </c>
      <c r="AV53" s="36" t="str">
        <f>IFERROR(时间!$B$4+AU53,"上周无销量")</f>
        <v>上周无销量</v>
      </c>
    </row>
    <row r="54" spans="1:48">
      <c r="A54" s="19" t="s">
        <v>198</v>
      </c>
      <c r="B54" t="s">
        <v>199</v>
      </c>
      <c r="C54" t="s">
        <v>197</v>
      </c>
      <c r="D54" s="31">
        <v>1</v>
      </c>
      <c r="E54" s="31">
        <v>0</v>
      </c>
      <c r="F54" s="31">
        <v>2</v>
      </c>
      <c r="G54" s="31">
        <v>2</v>
      </c>
      <c r="H54" s="32">
        <v>99.99</v>
      </c>
      <c r="I54">
        <v>3</v>
      </c>
      <c r="J54" s="33">
        <v>6</v>
      </c>
      <c r="K54" s="33">
        <v>0</v>
      </c>
      <c r="L54" s="33">
        <v>0</v>
      </c>
      <c r="M54">
        <v>9</v>
      </c>
      <c r="N54">
        <v>0</v>
      </c>
      <c r="O54">
        <v>0</v>
      </c>
      <c r="P54">
        <v>0</v>
      </c>
      <c r="Q54">
        <v>11711</v>
      </c>
      <c r="R54">
        <v>25764</v>
      </c>
      <c r="S54">
        <v>20587</v>
      </c>
      <c r="T54">
        <v>0</v>
      </c>
      <c r="U54">
        <v>43</v>
      </c>
      <c r="V54">
        <v>87</v>
      </c>
      <c r="W54">
        <v>67</v>
      </c>
      <c r="X54" s="23" t="s">
        <v>54</v>
      </c>
      <c r="Y54" s="23">
        <v>0.00367176159166595</v>
      </c>
      <c r="Z54" s="23">
        <v>0.00337680484396833</v>
      </c>
      <c r="AA54" s="23">
        <v>0.0032544809831447</v>
      </c>
      <c r="AB54">
        <v>0</v>
      </c>
      <c r="AC54">
        <v>5.4</v>
      </c>
      <c r="AD54">
        <v>12.97</v>
      </c>
      <c r="AE54">
        <v>9.54</v>
      </c>
      <c r="AF54" s="23" t="s">
        <v>54</v>
      </c>
      <c r="AG54" s="23" t="s">
        <v>200</v>
      </c>
      <c r="AH54" s="23">
        <v>0.0648564856485649</v>
      </c>
      <c r="AI54" s="23">
        <v>0.0477047704770477</v>
      </c>
      <c r="AJ54">
        <v>0</v>
      </c>
      <c r="AK54">
        <v>0</v>
      </c>
      <c r="AL54">
        <v>31</v>
      </c>
      <c r="AM54">
        <v>80</v>
      </c>
      <c r="AN54" s="23" t="s">
        <v>54</v>
      </c>
      <c r="AO54" s="23" t="s">
        <v>54</v>
      </c>
      <c r="AP54" s="23">
        <v>0.0645161290322581</v>
      </c>
      <c r="AQ54" s="23">
        <v>0.025</v>
      </c>
      <c r="AR54" s="35">
        <v>0.142857142857143</v>
      </c>
      <c r="AS54" s="35">
        <v>8.57142857142857</v>
      </c>
      <c r="AT54" s="35">
        <v>0.428571428571429</v>
      </c>
      <c r="AU54" s="31">
        <f t="shared" si="3"/>
        <v>63</v>
      </c>
      <c r="AV54" s="36">
        <f>IFERROR(时间!$B$4+AU54,"上周无销量")</f>
        <v>43353</v>
      </c>
    </row>
    <row r="55" spans="1:48">
      <c r="A55" s="19" t="s">
        <v>201</v>
      </c>
      <c r="B55" t="s">
        <v>202</v>
      </c>
      <c r="C55" t="s">
        <v>197</v>
      </c>
      <c r="D55" s="31">
        <v>3</v>
      </c>
      <c r="E55" s="31">
        <v>4</v>
      </c>
      <c r="F55" s="31">
        <v>2</v>
      </c>
      <c r="G55" s="31">
        <v>5</v>
      </c>
      <c r="H55" s="32">
        <v>85.99</v>
      </c>
      <c r="I55">
        <v>3</v>
      </c>
      <c r="J55" s="33">
        <v>25</v>
      </c>
      <c r="K55" s="33">
        <v>0</v>
      </c>
      <c r="L55" s="33">
        <v>0</v>
      </c>
      <c r="M55">
        <v>28</v>
      </c>
      <c r="N55">
        <v>0</v>
      </c>
      <c r="O55">
        <v>0</v>
      </c>
      <c r="P55">
        <v>57795</v>
      </c>
      <c r="Q55">
        <v>19602</v>
      </c>
      <c r="R55">
        <v>29278</v>
      </c>
      <c r="S55">
        <v>24030</v>
      </c>
      <c r="T55">
        <v>431</v>
      </c>
      <c r="U55">
        <v>274</v>
      </c>
      <c r="V55">
        <v>450</v>
      </c>
      <c r="W55">
        <v>312</v>
      </c>
      <c r="X55" s="23">
        <v>0.00745739250800242</v>
      </c>
      <c r="Y55" s="23">
        <v>0.013978165493317</v>
      </c>
      <c r="Z55" s="23">
        <v>0.0153699023157319</v>
      </c>
      <c r="AA55" s="23">
        <v>0.0129837702871411</v>
      </c>
      <c r="AB55">
        <v>59</v>
      </c>
      <c r="AC55">
        <v>35.92</v>
      </c>
      <c r="AD55">
        <v>58.93</v>
      </c>
      <c r="AE55">
        <v>39.19</v>
      </c>
      <c r="AF55" s="23">
        <v>0.228708764585029</v>
      </c>
      <c r="AG55" s="23">
        <v>0.104430747761368</v>
      </c>
      <c r="AH55" s="23">
        <v>0.342656122804977</v>
      </c>
      <c r="AI55" s="23">
        <v>0.091150133736481</v>
      </c>
      <c r="AJ55">
        <v>0</v>
      </c>
      <c r="AK55">
        <v>437</v>
      </c>
      <c r="AL55">
        <v>264</v>
      </c>
      <c r="AM55">
        <v>312</v>
      </c>
      <c r="AN55" s="23" t="s">
        <v>54</v>
      </c>
      <c r="AO55" s="23">
        <v>0.0091533180778032</v>
      </c>
      <c r="AP55" s="23">
        <v>0.00757575757575758</v>
      </c>
      <c r="AQ55" s="23">
        <v>0.016025641025641</v>
      </c>
      <c r="AR55" s="35">
        <v>0.428571428571429</v>
      </c>
      <c r="AS55" s="35">
        <v>25.7142857142857</v>
      </c>
      <c r="AT55" s="35">
        <v>2.28571428571429</v>
      </c>
      <c r="AU55" s="31">
        <f t="shared" si="3"/>
        <v>65</v>
      </c>
      <c r="AV55" s="36">
        <f>IFERROR(时间!$B$4+AU55,"上周无销量")</f>
        <v>43355</v>
      </c>
    </row>
    <row r="56" spans="1:48">
      <c r="A56" s="19" t="s">
        <v>203</v>
      </c>
      <c r="B56" t="s">
        <v>204</v>
      </c>
      <c r="C56" t="s">
        <v>205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3</v>
      </c>
      <c r="J56" s="33">
        <v>0</v>
      </c>
      <c r="K56" s="33">
        <v>0</v>
      </c>
      <c r="L56" s="33">
        <v>0</v>
      </c>
      <c r="M56">
        <v>3</v>
      </c>
      <c r="N56">
        <v>0</v>
      </c>
      <c r="O56">
        <v>0</v>
      </c>
      <c r="P56">
        <v>16898</v>
      </c>
      <c r="Q56">
        <v>7029</v>
      </c>
      <c r="R56">
        <v>3404</v>
      </c>
      <c r="S56">
        <v>3049</v>
      </c>
      <c r="T56">
        <v>41</v>
      </c>
      <c r="U56">
        <v>53</v>
      </c>
      <c r="V56">
        <v>36</v>
      </c>
      <c r="W56">
        <v>28</v>
      </c>
      <c r="X56" s="23">
        <v>0.00242632264173275</v>
      </c>
      <c r="Y56" s="23">
        <v>0.00754019063878219</v>
      </c>
      <c r="Z56" s="23">
        <v>0.0105757931844888</v>
      </c>
      <c r="AA56" s="23">
        <v>0.00918333879960643</v>
      </c>
      <c r="AB56">
        <v>5.98</v>
      </c>
      <c r="AC56">
        <v>6.92</v>
      </c>
      <c r="AD56">
        <v>5.19</v>
      </c>
      <c r="AE56">
        <v>3.65</v>
      </c>
      <c r="AF56" s="23" t="s">
        <v>206</v>
      </c>
      <c r="AG56" s="23" t="s">
        <v>207</v>
      </c>
      <c r="AH56" s="23" t="s">
        <v>208</v>
      </c>
      <c r="AI56" s="23" t="s">
        <v>209</v>
      </c>
      <c r="AJ56">
        <v>0</v>
      </c>
      <c r="AK56">
        <v>20</v>
      </c>
      <c r="AL56">
        <v>33</v>
      </c>
      <c r="AM56">
        <v>16</v>
      </c>
      <c r="AN56" s="23" t="s">
        <v>54</v>
      </c>
      <c r="AO56" s="23">
        <v>0</v>
      </c>
      <c r="AP56" s="23">
        <v>0</v>
      </c>
      <c r="AQ56" s="23">
        <v>0</v>
      </c>
      <c r="AR56" s="35">
        <v>0</v>
      </c>
      <c r="AS56" s="35">
        <v>0</v>
      </c>
      <c r="AT56" s="35">
        <v>3</v>
      </c>
      <c r="AU56" s="31" t="str">
        <f t="shared" si="3"/>
        <v>库存为3</v>
      </c>
      <c r="AV56" s="36" t="str">
        <f>IFERROR(时间!$B$4+AU56,"上周无销量")</f>
        <v>上周无销量</v>
      </c>
    </row>
    <row r="57" spans="1:48">
      <c r="A57" s="19" t="s">
        <v>210</v>
      </c>
      <c r="B57" t="s">
        <v>211</v>
      </c>
      <c r="C57" t="s">
        <v>212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3</v>
      </c>
      <c r="J57" s="33">
        <v>0</v>
      </c>
      <c r="K57" s="33">
        <v>0</v>
      </c>
      <c r="L57" s="33">
        <v>0</v>
      </c>
      <c r="M57">
        <v>3</v>
      </c>
      <c r="N57">
        <v>0</v>
      </c>
      <c r="O57">
        <v>3</v>
      </c>
      <c r="P57">
        <v>4074</v>
      </c>
      <c r="Q57">
        <v>2760</v>
      </c>
      <c r="R57">
        <v>3351</v>
      </c>
      <c r="S57">
        <v>2159</v>
      </c>
      <c r="T57">
        <v>23</v>
      </c>
      <c r="U57">
        <v>11</v>
      </c>
      <c r="V57">
        <v>23</v>
      </c>
      <c r="W57">
        <v>10</v>
      </c>
      <c r="X57" s="23">
        <v>0.00564555719194894</v>
      </c>
      <c r="Y57" s="23">
        <v>0.00398550724637681</v>
      </c>
      <c r="Z57" s="23">
        <v>0.00686362279916443</v>
      </c>
      <c r="AA57" s="23">
        <v>0.00463177396943029</v>
      </c>
      <c r="AB57">
        <v>2.69</v>
      </c>
      <c r="AC57">
        <v>1.38</v>
      </c>
      <c r="AD57">
        <v>2.79</v>
      </c>
      <c r="AE57">
        <v>1.32</v>
      </c>
      <c r="AF57" s="23" t="s">
        <v>213</v>
      </c>
      <c r="AG57" s="23" t="s">
        <v>214</v>
      </c>
      <c r="AH57" s="23" t="s">
        <v>215</v>
      </c>
      <c r="AI57" s="23" t="s">
        <v>216</v>
      </c>
      <c r="AJ57">
        <v>0</v>
      </c>
      <c r="AK57">
        <v>17</v>
      </c>
      <c r="AL57">
        <v>6</v>
      </c>
      <c r="AM57">
        <v>7</v>
      </c>
      <c r="AN57" s="23" t="s">
        <v>54</v>
      </c>
      <c r="AO57" s="23">
        <v>0</v>
      </c>
      <c r="AP57" s="23">
        <v>0</v>
      </c>
      <c r="AQ57" s="23">
        <v>0</v>
      </c>
      <c r="AR57" s="35">
        <v>0</v>
      </c>
      <c r="AS57" s="35">
        <v>0</v>
      </c>
      <c r="AT57" s="35">
        <v>3</v>
      </c>
      <c r="AU57" s="31" t="str">
        <f t="shared" si="3"/>
        <v>库存为3</v>
      </c>
      <c r="AV57" s="36" t="str">
        <f>IFERROR(时间!$B$4+AU57,"上周无销量")</f>
        <v>上周无销量</v>
      </c>
    </row>
    <row r="58" spans="1:48">
      <c r="A58" s="19" t="s">
        <v>217</v>
      </c>
      <c r="B58" t="s">
        <v>218</v>
      </c>
      <c r="C58" t="s">
        <v>212</v>
      </c>
      <c r="D58" s="31">
        <v>1</v>
      </c>
      <c r="E58" s="31">
        <v>1</v>
      </c>
      <c r="F58" s="31">
        <v>3</v>
      </c>
      <c r="G58" s="31">
        <v>0</v>
      </c>
      <c r="H58" s="32">
        <v>89.99</v>
      </c>
      <c r="I58">
        <v>5</v>
      </c>
      <c r="J58" s="33">
        <v>2</v>
      </c>
      <c r="K58" s="33">
        <v>0</v>
      </c>
      <c r="L58" s="33">
        <v>0</v>
      </c>
      <c r="M58">
        <v>7</v>
      </c>
      <c r="N58">
        <v>1</v>
      </c>
      <c r="O58">
        <v>0</v>
      </c>
      <c r="P58">
        <v>4527</v>
      </c>
      <c r="Q58">
        <v>2980</v>
      </c>
      <c r="R58">
        <v>5966</v>
      </c>
      <c r="S58">
        <v>5146</v>
      </c>
      <c r="T58">
        <v>40</v>
      </c>
      <c r="U58">
        <v>50</v>
      </c>
      <c r="V58">
        <v>55</v>
      </c>
      <c r="W58">
        <v>48</v>
      </c>
      <c r="X58" s="23">
        <v>0.00883587364700685</v>
      </c>
      <c r="Y58" s="23">
        <v>0.0167785234899329</v>
      </c>
      <c r="Z58" s="23">
        <v>0.00921890714046262</v>
      </c>
      <c r="AA58" s="23">
        <v>0.00932763311309755</v>
      </c>
      <c r="AB58">
        <v>4.68</v>
      </c>
      <c r="AC58">
        <v>7.1</v>
      </c>
      <c r="AD58">
        <v>7.01</v>
      </c>
      <c r="AE58">
        <v>6.64</v>
      </c>
      <c r="AF58" s="23">
        <v>0.0520057784198244</v>
      </c>
      <c r="AG58" s="23">
        <v>0.0788976552950328</v>
      </c>
      <c r="AH58" s="23">
        <v>0.0259658480571915</v>
      </c>
      <c r="AI58" s="23" t="s">
        <v>219</v>
      </c>
      <c r="AJ58">
        <v>0</v>
      </c>
      <c r="AK58">
        <v>77</v>
      </c>
      <c r="AL58">
        <v>53</v>
      </c>
      <c r="AM58">
        <v>82</v>
      </c>
      <c r="AN58" s="23" t="s">
        <v>54</v>
      </c>
      <c r="AO58" s="23">
        <v>0.012987012987013</v>
      </c>
      <c r="AP58" s="23">
        <v>0.0566037735849057</v>
      </c>
      <c r="AQ58" s="23">
        <v>0</v>
      </c>
      <c r="AR58" s="35">
        <v>0.142857142857143</v>
      </c>
      <c r="AS58" s="35">
        <v>8.57142857142857</v>
      </c>
      <c r="AT58" s="35">
        <v>-1.57142857142857</v>
      </c>
      <c r="AU58" s="31">
        <f t="shared" si="3"/>
        <v>49</v>
      </c>
      <c r="AV58" s="36">
        <f>IFERROR(时间!$B$4+AU58,"上周无销量")</f>
        <v>43339</v>
      </c>
    </row>
    <row r="59" spans="1:48">
      <c r="A59" s="19" t="s">
        <v>220</v>
      </c>
      <c r="B59" t="s">
        <v>221</v>
      </c>
      <c r="C59" t="s">
        <v>222</v>
      </c>
      <c r="D59" s="31">
        <v>4</v>
      </c>
      <c r="E59" s="31">
        <v>0</v>
      </c>
      <c r="F59" s="31">
        <v>1</v>
      </c>
      <c r="G59" s="31">
        <v>0</v>
      </c>
      <c r="H59" s="32">
        <v>99.99</v>
      </c>
      <c r="I59">
        <v>4</v>
      </c>
      <c r="J59" s="33">
        <v>0</v>
      </c>
      <c r="K59" s="33">
        <v>0</v>
      </c>
      <c r="L59" s="33">
        <v>0</v>
      </c>
      <c r="M59">
        <v>4</v>
      </c>
      <c r="N59">
        <v>0</v>
      </c>
      <c r="O59">
        <v>0</v>
      </c>
      <c r="P59">
        <v>7031</v>
      </c>
      <c r="Q59">
        <v>8266</v>
      </c>
      <c r="R59">
        <v>10481</v>
      </c>
      <c r="S59">
        <v>6295</v>
      </c>
      <c r="T59">
        <v>61</v>
      </c>
      <c r="U59">
        <v>53</v>
      </c>
      <c r="V59">
        <v>88</v>
      </c>
      <c r="W59">
        <v>48</v>
      </c>
      <c r="X59" s="23">
        <v>0.00867586403072109</v>
      </c>
      <c r="Y59" s="23">
        <v>0.00641180740382289</v>
      </c>
      <c r="Z59" s="23">
        <v>0.00839614540597271</v>
      </c>
      <c r="AA59" s="23">
        <v>0.00762509928514694</v>
      </c>
      <c r="AB59">
        <v>8.23</v>
      </c>
      <c r="AC59">
        <v>6.96</v>
      </c>
      <c r="AD59">
        <v>10.63</v>
      </c>
      <c r="AE59">
        <v>5.84</v>
      </c>
      <c r="AF59" s="23">
        <v>0.0205770577057706</v>
      </c>
      <c r="AG59" s="23" t="s">
        <v>223</v>
      </c>
      <c r="AH59" s="23">
        <v>0.106310631063106</v>
      </c>
      <c r="AI59" s="23" t="s">
        <v>224</v>
      </c>
      <c r="AJ59">
        <v>0</v>
      </c>
      <c r="AK59">
        <v>65</v>
      </c>
      <c r="AL59">
        <v>65</v>
      </c>
      <c r="AM59">
        <v>85</v>
      </c>
      <c r="AN59" s="23" t="s">
        <v>54</v>
      </c>
      <c r="AO59" s="23">
        <v>0</v>
      </c>
      <c r="AP59" s="23">
        <v>0.0153846153846154</v>
      </c>
      <c r="AQ59" s="23">
        <v>0</v>
      </c>
      <c r="AR59" s="35">
        <v>0.571428571428571</v>
      </c>
      <c r="AS59" s="35">
        <v>34.2857142857143</v>
      </c>
      <c r="AT59" s="35">
        <v>-30.2857142857143</v>
      </c>
      <c r="AU59" s="31">
        <f t="shared" si="3"/>
        <v>7</v>
      </c>
      <c r="AV59" s="36">
        <f>IFERROR(时间!$B$4+AU59,"上周无销量")</f>
        <v>43297</v>
      </c>
    </row>
    <row r="60" spans="1:48">
      <c r="A60" s="19" t="s">
        <v>225</v>
      </c>
      <c r="B60" t="s">
        <v>226</v>
      </c>
      <c r="C60" t="s">
        <v>222</v>
      </c>
      <c r="D60" s="31">
        <v>0</v>
      </c>
      <c r="E60" s="31">
        <v>0</v>
      </c>
      <c r="F60" s="31">
        <v>1</v>
      </c>
      <c r="G60" s="31">
        <v>1</v>
      </c>
      <c r="H60" s="32">
        <v>85.99</v>
      </c>
      <c r="I60">
        <v>2</v>
      </c>
      <c r="J60" s="33">
        <v>0</v>
      </c>
      <c r="K60" s="33">
        <v>0</v>
      </c>
      <c r="L60" s="33">
        <v>0</v>
      </c>
      <c r="M60">
        <v>2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46</v>
      </c>
      <c r="AL60">
        <v>21</v>
      </c>
      <c r="AM60">
        <v>9</v>
      </c>
      <c r="AN60" s="23" t="s">
        <v>54</v>
      </c>
      <c r="AO60" s="23">
        <v>0</v>
      </c>
      <c r="AP60" s="23">
        <v>0.0476190476190476</v>
      </c>
      <c r="AQ60" s="23">
        <v>0.111111111111111</v>
      </c>
      <c r="AR60" s="35">
        <v>0</v>
      </c>
      <c r="AS60" s="35">
        <v>0</v>
      </c>
      <c r="AT60" s="35">
        <v>2</v>
      </c>
      <c r="AU60" s="31" t="str">
        <f t="shared" si="3"/>
        <v>库存为2</v>
      </c>
      <c r="AV60" s="36" t="str">
        <f>IFERROR(时间!$B$4+AU60,"上周无销量")</f>
        <v>上周无销量</v>
      </c>
    </row>
    <row r="61" spans="1:48">
      <c r="A61" s="19" t="s">
        <v>227</v>
      </c>
      <c r="B61" t="s">
        <v>228</v>
      </c>
      <c r="C61" t="s">
        <v>229</v>
      </c>
      <c r="D61" s="31">
        <v>0</v>
      </c>
      <c r="E61" s="31">
        <v>1</v>
      </c>
      <c r="F61" s="31">
        <v>0</v>
      </c>
      <c r="G61" s="31">
        <v>0</v>
      </c>
      <c r="H61" s="32">
        <v>79.6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>
        <v>753</v>
      </c>
      <c r="Q61">
        <v>5972</v>
      </c>
      <c r="R61">
        <v>5079</v>
      </c>
      <c r="S61">
        <v>4558</v>
      </c>
      <c r="T61">
        <v>8</v>
      </c>
      <c r="U61">
        <v>70</v>
      </c>
      <c r="V61">
        <v>43</v>
      </c>
      <c r="W61">
        <v>28</v>
      </c>
      <c r="X61" s="23">
        <v>0.0106241699867198</v>
      </c>
      <c r="Y61" s="23">
        <v>0.0117213663764233</v>
      </c>
      <c r="Z61" s="23">
        <v>0.00846623351053357</v>
      </c>
      <c r="AA61" s="23">
        <v>0.00614304519526108</v>
      </c>
      <c r="AB61">
        <v>1.36</v>
      </c>
      <c r="AC61">
        <v>9.93</v>
      </c>
      <c r="AD61">
        <v>5.92</v>
      </c>
      <c r="AE61">
        <v>3.83</v>
      </c>
      <c r="AF61" s="23" t="s">
        <v>230</v>
      </c>
      <c r="AG61" s="23">
        <v>0.124748743718593</v>
      </c>
      <c r="AH61" s="23" t="s">
        <v>231</v>
      </c>
      <c r="AI61" s="23" t="s">
        <v>232</v>
      </c>
      <c r="AJ61">
        <v>0</v>
      </c>
      <c r="AK61">
        <v>57</v>
      </c>
      <c r="AL61">
        <v>56</v>
      </c>
      <c r="AM61">
        <v>39</v>
      </c>
      <c r="AN61" s="23" t="s">
        <v>54</v>
      </c>
      <c r="AO61" s="23">
        <v>0.0175438596491228</v>
      </c>
      <c r="AP61" s="23">
        <v>0</v>
      </c>
      <c r="AQ61" s="23">
        <v>0</v>
      </c>
      <c r="AR61" s="35">
        <v>0</v>
      </c>
      <c r="AS61" s="35">
        <v>0</v>
      </c>
      <c r="AT61" s="35">
        <v>0</v>
      </c>
      <c r="AU61" s="31" t="str">
        <f t="shared" si="3"/>
        <v>库存为0</v>
      </c>
      <c r="AV61" s="36" t="str">
        <f>IFERROR(时间!$B$4+AU61,"上周无销量")</f>
        <v>上周无销量</v>
      </c>
    </row>
    <row r="62" spans="1:48">
      <c r="A62" s="19" t="s">
        <v>233</v>
      </c>
      <c r="B62" t="s">
        <v>228</v>
      </c>
      <c r="C62" t="s">
        <v>234</v>
      </c>
      <c r="D62" s="31">
        <v>1</v>
      </c>
      <c r="E62" s="31">
        <v>0</v>
      </c>
      <c r="F62" s="31">
        <v>0</v>
      </c>
      <c r="G62" s="31">
        <v>0</v>
      </c>
      <c r="H62" s="32">
        <v>99.6</v>
      </c>
      <c r="I62">
        <v>4</v>
      </c>
      <c r="J62" s="33">
        <v>0</v>
      </c>
      <c r="K62" s="33">
        <v>0</v>
      </c>
      <c r="L62" s="33">
        <v>0</v>
      </c>
      <c r="M62">
        <v>4</v>
      </c>
      <c r="N62">
        <v>0</v>
      </c>
      <c r="O62">
        <v>4</v>
      </c>
      <c r="P62">
        <v>7694</v>
      </c>
      <c r="Q62">
        <v>0</v>
      </c>
      <c r="R62">
        <v>1432</v>
      </c>
      <c r="S62">
        <v>2107</v>
      </c>
      <c r="T62">
        <v>66</v>
      </c>
      <c r="U62">
        <v>0</v>
      </c>
      <c r="V62">
        <v>14</v>
      </c>
      <c r="W62">
        <v>21</v>
      </c>
      <c r="X62" s="23">
        <v>0.00857811281518066</v>
      </c>
      <c r="Y62" s="23" t="s">
        <v>54</v>
      </c>
      <c r="Z62" s="23">
        <v>0.00977653631284916</v>
      </c>
      <c r="AA62" s="23">
        <v>0.00996677740863787</v>
      </c>
      <c r="AB62">
        <v>9.51</v>
      </c>
      <c r="AC62">
        <v>0</v>
      </c>
      <c r="AD62">
        <v>2.18</v>
      </c>
      <c r="AE62">
        <v>2.9</v>
      </c>
      <c r="AF62" s="23">
        <v>0.0954819277108434</v>
      </c>
      <c r="AG62" s="23" t="s">
        <v>54</v>
      </c>
      <c r="AH62" s="23" t="s">
        <v>235</v>
      </c>
      <c r="AI62" s="23" t="s">
        <v>236</v>
      </c>
      <c r="AJ62">
        <v>0</v>
      </c>
      <c r="AK62">
        <v>57</v>
      </c>
      <c r="AL62">
        <v>56</v>
      </c>
      <c r="AM62">
        <v>39</v>
      </c>
      <c r="AN62" s="23" t="s">
        <v>54</v>
      </c>
      <c r="AO62" s="23">
        <v>0</v>
      </c>
      <c r="AP62" s="23">
        <v>0</v>
      </c>
      <c r="AQ62" s="23">
        <v>0</v>
      </c>
      <c r="AR62" s="35">
        <v>0.142857142857143</v>
      </c>
      <c r="AS62" s="35">
        <v>8.57142857142857</v>
      </c>
      <c r="AT62" s="35">
        <v>-4.57142857142857</v>
      </c>
      <c r="AU62" s="31">
        <f t="shared" si="3"/>
        <v>28</v>
      </c>
      <c r="AV62" s="36">
        <f>IFERROR(时间!$B$4+AU62,"上周无销量")</f>
        <v>43318</v>
      </c>
    </row>
    <row r="63" spans="1:48">
      <c r="A63" s="19" t="s">
        <v>237</v>
      </c>
      <c r="B63" t="s">
        <v>238</v>
      </c>
      <c r="C63" t="s">
        <v>239</v>
      </c>
      <c r="D63" s="31">
        <v>0</v>
      </c>
      <c r="E63" s="31">
        <v>1</v>
      </c>
      <c r="F63" s="31">
        <v>1</v>
      </c>
      <c r="G63" s="31">
        <v>1</v>
      </c>
      <c r="H63" s="32">
        <v>99.6</v>
      </c>
      <c r="I63">
        <v>27</v>
      </c>
      <c r="J63" s="33">
        <v>0</v>
      </c>
      <c r="K63" s="33">
        <v>0</v>
      </c>
      <c r="L63" s="33">
        <v>0</v>
      </c>
      <c r="M63">
        <v>27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23</v>
      </c>
      <c r="AL63">
        <v>43</v>
      </c>
      <c r="AM63">
        <v>61</v>
      </c>
      <c r="AN63" s="23" t="s">
        <v>54</v>
      </c>
      <c r="AO63" s="23">
        <v>0.0434782608695652</v>
      </c>
      <c r="AP63" s="23">
        <v>0.0232558139534884</v>
      </c>
      <c r="AQ63" s="23">
        <v>0.0163934426229508</v>
      </c>
      <c r="AR63" s="35">
        <v>0</v>
      </c>
      <c r="AS63" s="35">
        <v>0</v>
      </c>
      <c r="AT63" s="35">
        <v>27</v>
      </c>
      <c r="AU63" s="31" t="str">
        <f t="shared" si="3"/>
        <v>库存为27</v>
      </c>
      <c r="AV63" s="36" t="str">
        <f>IFERROR(时间!$B$4+AU63,"上周无销量")</f>
        <v>上周无销量</v>
      </c>
    </row>
    <row r="64" spans="1:48">
      <c r="A64" s="19" t="s">
        <v>240</v>
      </c>
      <c r="B64" t="s">
        <v>241</v>
      </c>
      <c r="C64" t="s">
        <v>242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5</v>
      </c>
      <c r="J64" s="33">
        <v>0</v>
      </c>
      <c r="K64" s="33">
        <v>0</v>
      </c>
      <c r="L64" s="33">
        <v>0</v>
      </c>
      <c r="M64">
        <v>5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4</v>
      </c>
      <c r="AL64">
        <v>10</v>
      </c>
      <c r="AM64">
        <v>1</v>
      </c>
      <c r="AN64" s="23" t="s">
        <v>54</v>
      </c>
      <c r="AO64" s="23">
        <v>0</v>
      </c>
      <c r="AP64" s="23">
        <v>0</v>
      </c>
      <c r="AQ64" s="23">
        <v>0</v>
      </c>
      <c r="AR64" s="35">
        <v>0</v>
      </c>
      <c r="AS64" s="35">
        <v>0</v>
      </c>
      <c r="AT64" s="35">
        <v>5</v>
      </c>
      <c r="AU64" s="31" t="str">
        <f t="shared" si="3"/>
        <v>库存为5</v>
      </c>
      <c r="AV64" s="36" t="str">
        <f>IFERROR(时间!$B$4+AU64,"上周无销量")</f>
        <v>上周无销量</v>
      </c>
    </row>
    <row r="65" spans="1:48">
      <c r="A65" s="19" t="s">
        <v>243</v>
      </c>
      <c r="B65" t="s">
        <v>244</v>
      </c>
      <c r="C65" t="s">
        <v>242</v>
      </c>
      <c r="D65" s="31">
        <v>0</v>
      </c>
      <c r="E65" s="31">
        <v>0</v>
      </c>
      <c r="F65" s="31">
        <v>1</v>
      </c>
      <c r="G65" s="31">
        <v>0</v>
      </c>
      <c r="H65" s="32">
        <v>79.99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>
        <v>0</v>
      </c>
      <c r="Q65">
        <v>12047</v>
      </c>
      <c r="R65">
        <v>18266</v>
      </c>
      <c r="S65">
        <v>12086</v>
      </c>
      <c r="T65">
        <v>0</v>
      </c>
      <c r="U65">
        <v>82</v>
      </c>
      <c r="V65">
        <v>118</v>
      </c>
      <c r="W65">
        <v>61</v>
      </c>
      <c r="X65" s="23" t="s">
        <v>54</v>
      </c>
      <c r="Y65" s="23">
        <v>0.00680667386071221</v>
      </c>
      <c r="Z65" s="23">
        <v>0.0064600897842987</v>
      </c>
      <c r="AA65" s="23">
        <v>0.00504716200562634</v>
      </c>
      <c r="AB65">
        <v>0</v>
      </c>
      <c r="AC65">
        <v>21.9</v>
      </c>
      <c r="AD65">
        <v>34.28</v>
      </c>
      <c r="AE65">
        <v>15.48</v>
      </c>
      <c r="AF65" s="23" t="s">
        <v>54</v>
      </c>
      <c r="AG65" s="23" t="s">
        <v>245</v>
      </c>
      <c r="AH65" s="23">
        <v>0.42855356919615</v>
      </c>
      <c r="AI65" s="23" t="s">
        <v>246</v>
      </c>
      <c r="AJ65">
        <v>0</v>
      </c>
      <c r="AK65">
        <v>0</v>
      </c>
      <c r="AL65">
        <v>54</v>
      </c>
      <c r="AM65">
        <v>79</v>
      </c>
      <c r="AN65" s="23" t="s">
        <v>54</v>
      </c>
      <c r="AO65" s="23" t="s">
        <v>54</v>
      </c>
      <c r="AP65" s="23">
        <v>0.0185185185185185</v>
      </c>
      <c r="AQ65" s="23">
        <v>0</v>
      </c>
      <c r="AR65" s="35">
        <v>0</v>
      </c>
      <c r="AS65" s="35">
        <v>0</v>
      </c>
      <c r="AT65" s="35">
        <v>0</v>
      </c>
      <c r="AU65" s="31" t="str">
        <f t="shared" si="3"/>
        <v>库存为0</v>
      </c>
      <c r="AV65" s="36" t="str">
        <f>IFERROR(时间!$B$4+AU65,"上周无销量")</f>
        <v>上周无销量</v>
      </c>
    </row>
    <row r="66" spans="1:48">
      <c r="A66" s="19" t="s">
        <v>247</v>
      </c>
      <c r="B66" t="s">
        <v>248</v>
      </c>
      <c r="C66" t="s">
        <v>242</v>
      </c>
      <c r="D66" s="31">
        <v>0</v>
      </c>
      <c r="E66" s="31">
        <v>1</v>
      </c>
      <c r="F66" s="31">
        <v>0</v>
      </c>
      <c r="G66" s="31">
        <v>0</v>
      </c>
      <c r="H66" s="32">
        <v>89.99</v>
      </c>
      <c r="I66">
        <v>1</v>
      </c>
      <c r="J66" s="33">
        <v>0</v>
      </c>
      <c r="K66" s="33">
        <v>0</v>
      </c>
      <c r="L66" s="33">
        <v>0</v>
      </c>
      <c r="M66">
        <v>1</v>
      </c>
      <c r="N66">
        <v>0</v>
      </c>
      <c r="O66">
        <v>1</v>
      </c>
      <c r="P66">
        <v>37334</v>
      </c>
      <c r="Q66">
        <v>36453</v>
      </c>
      <c r="R66">
        <v>55325</v>
      </c>
      <c r="S66">
        <v>47428</v>
      </c>
      <c r="T66">
        <v>129</v>
      </c>
      <c r="U66">
        <v>138</v>
      </c>
      <c r="V66">
        <v>215</v>
      </c>
      <c r="W66">
        <v>183</v>
      </c>
      <c r="X66" s="23">
        <v>0.00345529544115284</v>
      </c>
      <c r="Y66" s="23">
        <v>0.00378569665048144</v>
      </c>
      <c r="Z66" s="23">
        <v>0.00388612742882964</v>
      </c>
      <c r="AA66" s="23">
        <v>0.00385848022265328</v>
      </c>
      <c r="AB66">
        <v>21.16</v>
      </c>
      <c r="AC66">
        <v>21.92</v>
      </c>
      <c r="AD66">
        <v>34.37</v>
      </c>
      <c r="AE66">
        <v>28.85</v>
      </c>
      <c r="AF66" s="23" t="s">
        <v>249</v>
      </c>
      <c r="AG66" s="23">
        <v>0.243582620291143</v>
      </c>
      <c r="AH66" s="23" t="s">
        <v>250</v>
      </c>
      <c r="AI66" s="23" t="s">
        <v>251</v>
      </c>
      <c r="AJ66">
        <v>0</v>
      </c>
      <c r="AK66">
        <v>142</v>
      </c>
      <c r="AL66">
        <v>117</v>
      </c>
      <c r="AM66">
        <v>167</v>
      </c>
      <c r="AN66" s="23" t="s">
        <v>54</v>
      </c>
      <c r="AO66" s="23">
        <v>0.00704225352112676</v>
      </c>
      <c r="AP66" s="23">
        <v>0</v>
      </c>
      <c r="AQ66" s="23">
        <v>0</v>
      </c>
      <c r="AR66" s="35">
        <v>0</v>
      </c>
      <c r="AS66" s="35">
        <v>0</v>
      </c>
      <c r="AT66" s="35">
        <v>1</v>
      </c>
      <c r="AU66" s="31" t="str">
        <f t="shared" si="3"/>
        <v>库存为1</v>
      </c>
      <c r="AV66" s="36" t="str">
        <f>IFERROR(时间!$B$4+AU66,"上周无销量")</f>
        <v>上周无销量</v>
      </c>
    </row>
    <row r="67" spans="1:48">
      <c r="A67" s="19" t="s">
        <v>252</v>
      </c>
      <c r="B67" t="s">
        <v>253</v>
      </c>
      <c r="C67" t="s">
        <v>254</v>
      </c>
      <c r="D67" s="31">
        <v>0</v>
      </c>
      <c r="E67" s="31">
        <v>0</v>
      </c>
      <c r="F67" s="31">
        <v>1</v>
      </c>
      <c r="G67" s="31">
        <v>0</v>
      </c>
      <c r="H67" s="32">
        <v>85.99</v>
      </c>
      <c r="I67">
        <v>5</v>
      </c>
      <c r="J67" s="33">
        <v>0</v>
      </c>
      <c r="K67" s="33">
        <v>0</v>
      </c>
      <c r="L67" s="33">
        <v>0</v>
      </c>
      <c r="M67">
        <v>5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10</v>
      </c>
      <c r="AL67">
        <v>20</v>
      </c>
      <c r="AM67">
        <v>11</v>
      </c>
      <c r="AN67" s="23" t="s">
        <v>54</v>
      </c>
      <c r="AO67" s="23">
        <v>0</v>
      </c>
      <c r="AP67" s="23">
        <v>0.05</v>
      </c>
      <c r="AQ67" s="23">
        <v>0</v>
      </c>
      <c r="AR67" s="35">
        <v>0</v>
      </c>
      <c r="AS67" s="35">
        <v>0</v>
      </c>
      <c r="AT67" s="35">
        <v>5</v>
      </c>
      <c r="AU67" s="31" t="str">
        <f t="shared" si="3"/>
        <v>库存为5</v>
      </c>
      <c r="AV67" s="36" t="str">
        <f>IFERROR(时间!$B$4+AU67,"上周无销量")</f>
        <v>上周无销量</v>
      </c>
    </row>
    <row r="68" spans="1:48">
      <c r="A68" s="19" t="s">
        <v>255</v>
      </c>
      <c r="B68" t="s">
        <v>256</v>
      </c>
      <c r="C68" t="s">
        <v>257</v>
      </c>
      <c r="D68" s="31">
        <v>3</v>
      </c>
      <c r="E68" s="31">
        <v>3</v>
      </c>
      <c r="F68" s="31">
        <v>1</v>
      </c>
      <c r="G68" s="31">
        <v>1</v>
      </c>
      <c r="H68" s="32">
        <v>89.99</v>
      </c>
      <c r="I68">
        <v>2</v>
      </c>
      <c r="J68" s="33">
        <v>0</v>
      </c>
      <c r="K68" s="33">
        <v>0</v>
      </c>
      <c r="L68" s="33">
        <v>0</v>
      </c>
      <c r="M68">
        <v>2</v>
      </c>
      <c r="N68">
        <v>0</v>
      </c>
      <c r="O68">
        <v>0</v>
      </c>
      <c r="P68">
        <v>6856</v>
      </c>
      <c r="Q68">
        <v>13960</v>
      </c>
      <c r="R68">
        <v>23104</v>
      </c>
      <c r="S68">
        <v>14101</v>
      </c>
      <c r="T68">
        <v>67</v>
      </c>
      <c r="U68">
        <v>82</v>
      </c>
      <c r="V68">
        <v>125</v>
      </c>
      <c r="W68">
        <v>112</v>
      </c>
      <c r="X68" s="23">
        <v>0.00977246207701284</v>
      </c>
      <c r="Y68" s="23">
        <v>0.00587392550143266</v>
      </c>
      <c r="Z68" s="23">
        <v>0.00541031855955679</v>
      </c>
      <c r="AA68" s="23">
        <v>0.00794269909935466</v>
      </c>
      <c r="AB68">
        <v>8.03</v>
      </c>
      <c r="AC68">
        <v>9.72</v>
      </c>
      <c r="AD68">
        <v>15.55</v>
      </c>
      <c r="AE68">
        <v>13.88</v>
      </c>
      <c r="AF68" s="23">
        <v>0.0297440456347002</v>
      </c>
      <c r="AG68" s="23">
        <v>0.0360040004444938</v>
      </c>
      <c r="AH68" s="23">
        <v>0.172796977441938</v>
      </c>
      <c r="AI68" s="23">
        <v>0.154239359928881</v>
      </c>
      <c r="AJ68">
        <v>0</v>
      </c>
      <c r="AK68">
        <v>112</v>
      </c>
      <c r="AL68">
        <v>115</v>
      </c>
      <c r="AM68">
        <v>91</v>
      </c>
      <c r="AN68" s="23" t="s">
        <v>54</v>
      </c>
      <c r="AO68" s="23">
        <v>0.0267857142857143</v>
      </c>
      <c r="AP68" s="23">
        <v>0.00869565217391304</v>
      </c>
      <c r="AQ68" s="23">
        <v>0.010989010989011</v>
      </c>
      <c r="AR68" s="35">
        <v>0.428571428571429</v>
      </c>
      <c r="AS68" s="35">
        <v>25.7142857142857</v>
      </c>
      <c r="AT68" s="35">
        <v>-23.7142857142857</v>
      </c>
      <c r="AU68" s="31">
        <f t="shared" si="3"/>
        <v>4</v>
      </c>
      <c r="AV68" s="36">
        <f>IFERROR(时间!$B$4+AU68,"上周无销量")</f>
        <v>43294</v>
      </c>
    </row>
    <row r="69" spans="1:48">
      <c r="A69" s="19" t="s">
        <v>258</v>
      </c>
      <c r="B69" t="s">
        <v>248</v>
      </c>
      <c r="C69" t="s">
        <v>257</v>
      </c>
      <c r="D69" s="31">
        <v>2</v>
      </c>
      <c r="E69" s="31">
        <v>1</v>
      </c>
      <c r="F69" s="31">
        <v>1</v>
      </c>
      <c r="G69" s="31">
        <v>0</v>
      </c>
      <c r="H69" s="32">
        <v>89.99</v>
      </c>
      <c r="I69">
        <v>6</v>
      </c>
      <c r="J69" s="33">
        <v>0</v>
      </c>
      <c r="K69" s="33">
        <v>0</v>
      </c>
      <c r="L69" s="33">
        <v>0</v>
      </c>
      <c r="M69">
        <v>6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142</v>
      </c>
      <c r="AL69">
        <v>117</v>
      </c>
      <c r="AM69">
        <v>167</v>
      </c>
      <c r="AN69" s="23" t="s">
        <v>54</v>
      </c>
      <c r="AO69" s="23">
        <v>0.00704225352112676</v>
      </c>
      <c r="AP69" s="23">
        <v>0.00854700854700855</v>
      </c>
      <c r="AQ69" s="23">
        <v>0</v>
      </c>
      <c r="AR69" s="35">
        <v>0.285714285714286</v>
      </c>
      <c r="AS69" s="35">
        <v>17.1428571428571</v>
      </c>
      <c r="AT69" s="35">
        <v>-11.1428571428571</v>
      </c>
      <c r="AU69" s="31">
        <f t="shared" ref="AU69:AU132" si="5">IF(AR69="","库存为"&amp;M69,IF(AS69=0,"库存为"&amp;M69,INT(M69/AR69)))</f>
        <v>21</v>
      </c>
      <c r="AV69" s="36">
        <f>IFERROR(时间!$B$4+AU69,"上周无销量")</f>
        <v>43311</v>
      </c>
    </row>
    <row r="70" spans="1:48">
      <c r="A70" s="19" t="s">
        <v>259</v>
      </c>
      <c r="B70" t="s">
        <v>260</v>
      </c>
      <c r="C70" t="s">
        <v>261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5</v>
      </c>
      <c r="J70" s="33">
        <v>0</v>
      </c>
      <c r="K70" s="33">
        <v>0</v>
      </c>
      <c r="L70" s="33">
        <v>0</v>
      </c>
      <c r="M70">
        <v>5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5</v>
      </c>
      <c r="AL70">
        <v>3</v>
      </c>
      <c r="AM70">
        <v>2</v>
      </c>
      <c r="AN70" s="23" t="s">
        <v>54</v>
      </c>
      <c r="AO70" s="23">
        <v>0</v>
      </c>
      <c r="AP70" s="23">
        <v>0</v>
      </c>
      <c r="AQ70" s="23">
        <v>0</v>
      </c>
      <c r="AR70" s="35">
        <v>0</v>
      </c>
      <c r="AS70" s="35">
        <v>0</v>
      </c>
      <c r="AT70" s="35">
        <v>5</v>
      </c>
      <c r="AU70" s="31" t="str">
        <f t="shared" si="5"/>
        <v>库存为5</v>
      </c>
      <c r="AV70" s="36" t="str">
        <f>IFERROR(时间!$B$4+AU70,"上周无销量")</f>
        <v>上周无销量</v>
      </c>
    </row>
    <row r="71" spans="1:48">
      <c r="A71" s="19" t="s">
        <v>262</v>
      </c>
      <c r="B71" t="s">
        <v>263</v>
      </c>
      <c r="C71" t="s">
        <v>261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5</v>
      </c>
      <c r="J71" s="33">
        <v>0</v>
      </c>
      <c r="K71" s="33">
        <v>0</v>
      </c>
      <c r="L71" s="33">
        <v>0</v>
      </c>
      <c r="M71">
        <v>5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3</v>
      </c>
      <c r="AL71">
        <v>3</v>
      </c>
      <c r="AM71">
        <v>2</v>
      </c>
      <c r="AN71" s="23" t="s">
        <v>54</v>
      </c>
      <c r="AO71" s="23">
        <v>0</v>
      </c>
      <c r="AP71" s="23">
        <v>0</v>
      </c>
      <c r="AQ71" s="23">
        <v>0</v>
      </c>
      <c r="AR71" s="35">
        <v>0</v>
      </c>
      <c r="AS71" s="35">
        <v>0</v>
      </c>
      <c r="AT71" s="35">
        <v>5</v>
      </c>
      <c r="AU71" s="31" t="str">
        <f t="shared" si="5"/>
        <v>库存为5</v>
      </c>
      <c r="AV71" s="36" t="str">
        <f>IFERROR(时间!$B$4+AU71,"上周无销量")</f>
        <v>上周无销量</v>
      </c>
    </row>
    <row r="72" spans="1:48">
      <c r="A72" s="19" t="s">
        <v>264</v>
      </c>
      <c r="B72" t="s">
        <v>265</v>
      </c>
      <c r="C72" t="s">
        <v>266</v>
      </c>
      <c r="D72" s="31">
        <v>2</v>
      </c>
      <c r="E72" s="31">
        <v>0</v>
      </c>
      <c r="F72" s="31">
        <v>1</v>
      </c>
      <c r="G72" s="31">
        <v>0</v>
      </c>
      <c r="H72" s="32">
        <v>95.99</v>
      </c>
      <c r="I72">
        <v>6</v>
      </c>
      <c r="J72" s="33">
        <v>0</v>
      </c>
      <c r="K72" s="33">
        <v>0</v>
      </c>
      <c r="L72" s="33">
        <v>0</v>
      </c>
      <c r="M72">
        <v>6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42</v>
      </c>
      <c r="AL72">
        <v>36</v>
      </c>
      <c r="AM72">
        <v>16</v>
      </c>
      <c r="AN72" s="23" t="s">
        <v>54</v>
      </c>
      <c r="AO72" s="23">
        <v>0</v>
      </c>
      <c r="AP72" s="23">
        <v>0.0277777777777778</v>
      </c>
      <c r="AQ72" s="23">
        <v>0</v>
      </c>
      <c r="AR72" s="35">
        <v>0.285714285714286</v>
      </c>
      <c r="AS72" s="35">
        <v>17.1428571428571</v>
      </c>
      <c r="AT72" s="35">
        <v>-11.1428571428571</v>
      </c>
      <c r="AU72" s="31">
        <f t="shared" si="5"/>
        <v>21</v>
      </c>
      <c r="AV72" s="36">
        <f>IFERROR(时间!$B$4+AU72,"上周无销量")</f>
        <v>43311</v>
      </c>
    </row>
    <row r="73" spans="1:48">
      <c r="A73" s="19" t="s">
        <v>267</v>
      </c>
      <c r="B73" t="s">
        <v>268</v>
      </c>
      <c r="C73" t="s">
        <v>266</v>
      </c>
      <c r="D73" s="31">
        <v>2</v>
      </c>
      <c r="E73" s="31">
        <v>1</v>
      </c>
      <c r="F73" s="31">
        <v>0</v>
      </c>
      <c r="G73" s="31">
        <v>0</v>
      </c>
      <c r="H73" s="32">
        <v>89.6</v>
      </c>
      <c r="I73">
        <v>4</v>
      </c>
      <c r="J73" s="33">
        <v>3</v>
      </c>
      <c r="K73" s="33">
        <v>0</v>
      </c>
      <c r="L73" s="33">
        <v>0</v>
      </c>
      <c r="M73">
        <v>7</v>
      </c>
      <c r="N73">
        <v>1</v>
      </c>
      <c r="O73">
        <v>0</v>
      </c>
      <c r="P73">
        <v>9772</v>
      </c>
      <c r="Q73">
        <v>7260</v>
      </c>
      <c r="R73">
        <v>8932</v>
      </c>
      <c r="S73">
        <v>6815</v>
      </c>
      <c r="T73">
        <v>65</v>
      </c>
      <c r="U73">
        <v>46</v>
      </c>
      <c r="V73">
        <v>54</v>
      </c>
      <c r="W73">
        <v>55</v>
      </c>
      <c r="X73" s="23">
        <v>0.0066516577977896</v>
      </c>
      <c r="Y73" s="23">
        <v>0.00633608815426997</v>
      </c>
      <c r="Z73" s="23">
        <v>0.00604567845947156</v>
      </c>
      <c r="AA73" s="23">
        <v>0.00807043286867205</v>
      </c>
      <c r="AB73">
        <v>8.48</v>
      </c>
      <c r="AC73">
        <v>6.16</v>
      </c>
      <c r="AD73">
        <v>8.07</v>
      </c>
      <c r="AE73">
        <v>7.19</v>
      </c>
      <c r="AF73" s="23">
        <v>0.0473214285714286</v>
      </c>
      <c r="AG73" s="23">
        <v>0.06875</v>
      </c>
      <c r="AH73" s="23" t="s">
        <v>269</v>
      </c>
      <c r="AI73" s="23" t="s">
        <v>270</v>
      </c>
      <c r="AJ73">
        <v>0</v>
      </c>
      <c r="AK73">
        <v>63</v>
      </c>
      <c r="AL73">
        <v>37</v>
      </c>
      <c r="AM73">
        <v>40</v>
      </c>
      <c r="AN73" s="23" t="s">
        <v>54</v>
      </c>
      <c r="AO73" s="23">
        <v>0.0158730158730159</v>
      </c>
      <c r="AP73" s="23">
        <v>0</v>
      </c>
      <c r="AQ73" s="23">
        <v>0</v>
      </c>
      <c r="AR73" s="35">
        <v>0.285714285714286</v>
      </c>
      <c r="AS73" s="35">
        <v>17.1428571428571</v>
      </c>
      <c r="AT73" s="35">
        <v>-10.1428571428571</v>
      </c>
      <c r="AU73" s="31">
        <f t="shared" si="5"/>
        <v>24</v>
      </c>
      <c r="AV73" s="36">
        <f>IFERROR(时间!$B$4+AU73,"上周无销量")</f>
        <v>43314</v>
      </c>
    </row>
    <row r="74" spans="1:48">
      <c r="A74" s="19" t="s">
        <v>271</v>
      </c>
      <c r="B74" t="s">
        <v>272</v>
      </c>
      <c r="C74" t="s">
        <v>273</v>
      </c>
      <c r="D74" s="31">
        <v>1</v>
      </c>
      <c r="E74" s="31">
        <v>0</v>
      </c>
      <c r="F74" s="31">
        <v>0</v>
      </c>
      <c r="G74" s="31">
        <v>0</v>
      </c>
      <c r="H74" s="32">
        <v>79.99</v>
      </c>
      <c r="I74">
        <v>6</v>
      </c>
      <c r="J74" s="33">
        <v>0</v>
      </c>
      <c r="K74" s="33">
        <v>0</v>
      </c>
      <c r="L74" s="33">
        <v>0</v>
      </c>
      <c r="M74">
        <v>6</v>
      </c>
      <c r="N74">
        <v>0</v>
      </c>
      <c r="O74">
        <v>6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0</v>
      </c>
      <c r="AK74">
        <v>2</v>
      </c>
      <c r="AL74">
        <v>8</v>
      </c>
      <c r="AM74">
        <v>5</v>
      </c>
      <c r="AN74" s="23" t="s">
        <v>54</v>
      </c>
      <c r="AO74" s="23">
        <v>0</v>
      </c>
      <c r="AP74" s="23">
        <v>0</v>
      </c>
      <c r="AQ74" s="23">
        <v>0</v>
      </c>
      <c r="AR74" s="35">
        <v>0.142857142857143</v>
      </c>
      <c r="AS74" s="35">
        <v>8.57142857142857</v>
      </c>
      <c r="AT74" s="35">
        <v>-2.57142857142857</v>
      </c>
      <c r="AU74" s="31">
        <f t="shared" si="5"/>
        <v>42</v>
      </c>
      <c r="AV74" s="36">
        <f>IFERROR(时间!$B$4+AU74,"上周无销量")</f>
        <v>43332</v>
      </c>
    </row>
    <row r="75" spans="1:48">
      <c r="A75" s="19" t="s">
        <v>274</v>
      </c>
      <c r="B75" t="s">
        <v>275</v>
      </c>
      <c r="C75" t="s">
        <v>276</v>
      </c>
      <c r="D75" s="31">
        <v>16</v>
      </c>
      <c r="E75" s="31">
        <v>9</v>
      </c>
      <c r="F75" s="31">
        <v>5</v>
      </c>
      <c r="G75" s="31">
        <v>9</v>
      </c>
      <c r="H75" s="32">
        <v>89.9899999999999</v>
      </c>
      <c r="I75">
        <v>8</v>
      </c>
      <c r="J75" s="33">
        <v>20</v>
      </c>
      <c r="K75" s="33">
        <v>0</v>
      </c>
      <c r="L75" s="33">
        <v>0</v>
      </c>
      <c r="M75">
        <v>28</v>
      </c>
      <c r="N75">
        <v>1</v>
      </c>
      <c r="O75">
        <v>0</v>
      </c>
      <c r="P75">
        <v>49973</v>
      </c>
      <c r="Q75">
        <v>28227</v>
      </c>
      <c r="R75">
        <v>4419</v>
      </c>
      <c r="S75">
        <v>62</v>
      </c>
      <c r="T75">
        <v>390</v>
      </c>
      <c r="U75">
        <v>387</v>
      </c>
      <c r="V75">
        <v>92</v>
      </c>
      <c r="W75">
        <v>0</v>
      </c>
      <c r="X75" s="23">
        <v>0.00780421427570888</v>
      </c>
      <c r="Y75" s="23">
        <v>0.0137102773939845</v>
      </c>
      <c r="Z75" s="23">
        <v>0.0208191898619597</v>
      </c>
      <c r="AA75" s="23">
        <v>0</v>
      </c>
      <c r="AB75">
        <v>51.75</v>
      </c>
      <c r="AC75">
        <v>54.46</v>
      </c>
      <c r="AD75">
        <v>12.08</v>
      </c>
      <c r="AE75">
        <v>0</v>
      </c>
      <c r="AF75" s="23">
        <v>0.0359414934992777</v>
      </c>
      <c r="AG75" s="23">
        <v>0.0672420392389279</v>
      </c>
      <c r="AH75" s="23">
        <v>0.0268474274919436</v>
      </c>
      <c r="AI75" s="23" t="s">
        <v>54</v>
      </c>
      <c r="AJ75">
        <v>0</v>
      </c>
      <c r="AK75">
        <v>708</v>
      </c>
      <c r="AL75">
        <v>515</v>
      </c>
      <c r="AM75">
        <v>230</v>
      </c>
      <c r="AN75" s="23" t="s">
        <v>54</v>
      </c>
      <c r="AO75" s="23">
        <v>0.0127118644067797</v>
      </c>
      <c r="AP75" s="23">
        <v>0.00970873786407767</v>
      </c>
      <c r="AQ75" s="23">
        <v>0.0391304347826087</v>
      </c>
      <c r="AR75" s="35">
        <v>2.28571428571429</v>
      </c>
      <c r="AS75" s="35">
        <v>137.142857142857</v>
      </c>
      <c r="AT75" s="35">
        <v>-109.142857142857</v>
      </c>
      <c r="AU75" s="31">
        <f t="shared" si="5"/>
        <v>12</v>
      </c>
      <c r="AV75" s="36">
        <f>IFERROR(时间!$B$4+AU75,"上周无销量")</f>
        <v>43302</v>
      </c>
    </row>
    <row r="76" spans="1:48">
      <c r="A76" s="19" t="s">
        <v>277</v>
      </c>
      <c r="B76" t="s">
        <v>278</v>
      </c>
      <c r="C76" t="s">
        <v>279</v>
      </c>
      <c r="D76" s="31">
        <v>0</v>
      </c>
      <c r="E76" s="31">
        <v>0</v>
      </c>
      <c r="F76" s="31">
        <v>0</v>
      </c>
      <c r="G76" s="31">
        <v>1</v>
      </c>
      <c r="H76" s="32">
        <v>32.99</v>
      </c>
      <c r="I76">
        <v>14</v>
      </c>
      <c r="J76" s="33">
        <v>0</v>
      </c>
      <c r="K76" s="33">
        <v>0</v>
      </c>
      <c r="L76" s="33">
        <v>0</v>
      </c>
      <c r="M76">
        <v>14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24</v>
      </c>
      <c r="AL76">
        <v>33</v>
      </c>
      <c r="AM76">
        <v>34</v>
      </c>
      <c r="AN76" s="23" t="s">
        <v>54</v>
      </c>
      <c r="AO76" s="23">
        <v>0</v>
      </c>
      <c r="AP76" s="23">
        <v>0</v>
      </c>
      <c r="AQ76" s="23">
        <v>0.0294117647058824</v>
      </c>
      <c r="AR76" s="35">
        <v>0</v>
      </c>
      <c r="AS76" s="35">
        <v>0</v>
      </c>
      <c r="AT76" s="35">
        <v>14</v>
      </c>
      <c r="AU76" s="31" t="str">
        <f t="shared" si="5"/>
        <v>库存为14</v>
      </c>
      <c r="AV76" s="36" t="str">
        <f>IFERROR(时间!$B$4+AU76,"上周无销量")</f>
        <v>上周无销量</v>
      </c>
    </row>
    <row r="77" spans="1:48">
      <c r="A77" s="19" t="s">
        <v>280</v>
      </c>
      <c r="B77" t="s">
        <v>281</v>
      </c>
      <c r="C77" t="s">
        <v>279</v>
      </c>
      <c r="D77" s="31">
        <v>0</v>
      </c>
      <c r="E77" s="31">
        <v>2</v>
      </c>
      <c r="F77" s="31">
        <v>0</v>
      </c>
      <c r="G77" s="31">
        <v>0</v>
      </c>
      <c r="H77" s="32">
        <v>32.99</v>
      </c>
      <c r="I77">
        <v>7</v>
      </c>
      <c r="J77" s="33">
        <v>5</v>
      </c>
      <c r="K77" s="33">
        <v>0</v>
      </c>
      <c r="L77" s="33">
        <v>0</v>
      </c>
      <c r="M77">
        <v>12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27</v>
      </c>
      <c r="AL77">
        <v>35</v>
      </c>
      <c r="AM77">
        <v>23</v>
      </c>
      <c r="AN77" s="23" t="s">
        <v>54</v>
      </c>
      <c r="AO77" s="23">
        <v>0.0740740740740741</v>
      </c>
      <c r="AP77" s="23">
        <v>0</v>
      </c>
      <c r="AQ77" s="23">
        <v>0</v>
      </c>
      <c r="AR77" s="35">
        <v>0</v>
      </c>
      <c r="AS77" s="35">
        <v>0</v>
      </c>
      <c r="AT77" s="35">
        <v>12</v>
      </c>
      <c r="AU77" s="31" t="str">
        <f t="shared" si="5"/>
        <v>库存为12</v>
      </c>
      <c r="AV77" s="36" t="str">
        <f>IFERROR(时间!$B$4+AU77,"上周无销量")</f>
        <v>上周无销量</v>
      </c>
    </row>
    <row r="78" spans="1:48">
      <c r="A78" s="19" t="s">
        <v>282</v>
      </c>
      <c r="B78" t="s">
        <v>283</v>
      </c>
      <c r="C78" t="s">
        <v>284</v>
      </c>
      <c r="D78" s="31">
        <v>0</v>
      </c>
      <c r="E78" s="31">
        <v>2</v>
      </c>
      <c r="F78" s="31">
        <v>2</v>
      </c>
      <c r="G78" s="31">
        <v>1</v>
      </c>
      <c r="H78" s="32">
        <v>89.99</v>
      </c>
      <c r="I78">
        <v>10</v>
      </c>
      <c r="J78" s="33">
        <v>5</v>
      </c>
      <c r="K78" s="33">
        <v>0</v>
      </c>
      <c r="L78" s="33">
        <v>0</v>
      </c>
      <c r="M78">
        <v>15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7</v>
      </c>
      <c r="AL78">
        <v>15</v>
      </c>
      <c r="AM78">
        <v>14</v>
      </c>
      <c r="AN78" s="23" t="s">
        <v>54</v>
      </c>
      <c r="AO78" s="23">
        <v>0.285714285714286</v>
      </c>
      <c r="AP78" s="23">
        <v>0.133333333333333</v>
      </c>
      <c r="AQ78" s="23">
        <v>0.0714285714285714</v>
      </c>
      <c r="AR78" s="35">
        <v>0</v>
      </c>
      <c r="AS78" s="35">
        <v>0</v>
      </c>
      <c r="AT78" s="35">
        <v>15</v>
      </c>
      <c r="AU78" s="31" t="str">
        <f t="shared" si="5"/>
        <v>库存为15</v>
      </c>
      <c r="AV78" s="36" t="str">
        <f>IFERROR(时间!$B$4+AU78,"上周无销量")</f>
        <v>上周无销量</v>
      </c>
    </row>
    <row r="79" spans="1:48">
      <c r="A79" s="19" t="s">
        <v>285</v>
      </c>
      <c r="B79" t="s">
        <v>286</v>
      </c>
      <c r="C79" t="s">
        <v>287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3</v>
      </c>
      <c r="J79" s="33">
        <v>0</v>
      </c>
      <c r="K79" s="33">
        <v>0</v>
      </c>
      <c r="L79" s="33">
        <v>0</v>
      </c>
      <c r="M79">
        <v>3</v>
      </c>
      <c r="N79">
        <v>0</v>
      </c>
      <c r="O79">
        <v>3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2</v>
      </c>
      <c r="AL79">
        <v>1</v>
      </c>
      <c r="AM79">
        <v>1</v>
      </c>
      <c r="AN79" s="23" t="s">
        <v>54</v>
      </c>
      <c r="AO79" s="23">
        <v>0</v>
      </c>
      <c r="AP79" s="23">
        <v>0</v>
      </c>
      <c r="AQ79" s="23">
        <v>0</v>
      </c>
      <c r="AR79" s="35">
        <v>0</v>
      </c>
      <c r="AS79" s="35">
        <v>0</v>
      </c>
      <c r="AT79" s="35">
        <v>3</v>
      </c>
      <c r="AU79" s="31" t="str">
        <f t="shared" si="5"/>
        <v>库存为3</v>
      </c>
      <c r="AV79" s="36" t="str">
        <f>IFERROR(时间!$B$4+AU79,"上周无销量")</f>
        <v>上周无销量</v>
      </c>
    </row>
    <row r="80" spans="1:48">
      <c r="A80" s="19" t="s">
        <v>288</v>
      </c>
      <c r="B80" t="s">
        <v>289</v>
      </c>
      <c r="C80" t="s">
        <v>290</v>
      </c>
      <c r="D80" s="31">
        <v>7</v>
      </c>
      <c r="E80" s="31">
        <v>8</v>
      </c>
      <c r="F80" s="31">
        <v>7</v>
      </c>
      <c r="G80" s="31">
        <v>7</v>
      </c>
      <c r="H80" s="32">
        <v>79.99</v>
      </c>
      <c r="I80">
        <v>18</v>
      </c>
      <c r="J80" s="33">
        <v>7</v>
      </c>
      <c r="K80" s="33">
        <v>0</v>
      </c>
      <c r="L80" s="33">
        <v>1</v>
      </c>
      <c r="M80">
        <v>26</v>
      </c>
      <c r="N80">
        <v>2</v>
      </c>
      <c r="O80">
        <v>0</v>
      </c>
      <c r="P80">
        <v>41794</v>
      </c>
      <c r="Q80">
        <v>98217</v>
      </c>
      <c r="R80">
        <v>99016</v>
      </c>
      <c r="S80">
        <v>84480</v>
      </c>
      <c r="T80">
        <v>164</v>
      </c>
      <c r="U80">
        <v>269</v>
      </c>
      <c r="V80">
        <v>271</v>
      </c>
      <c r="W80">
        <v>203</v>
      </c>
      <c r="X80" s="23">
        <v>0.00392400823084653</v>
      </c>
      <c r="Y80" s="23">
        <v>0.00273883339951332</v>
      </c>
      <c r="Z80" s="23">
        <v>0.00273693140502545</v>
      </c>
      <c r="AA80" s="23">
        <v>0.00240293560606061</v>
      </c>
      <c r="AB80">
        <v>28.21</v>
      </c>
      <c r="AC80">
        <v>58.3</v>
      </c>
      <c r="AD80">
        <v>57.72</v>
      </c>
      <c r="AE80">
        <v>42.77</v>
      </c>
      <c r="AF80" s="23">
        <v>0.0503812976622078</v>
      </c>
      <c r="AG80" s="23">
        <v>0.0911051381422678</v>
      </c>
      <c r="AH80" s="23">
        <v>0.103084314110692</v>
      </c>
      <c r="AI80" s="23">
        <v>0.0763845480685086</v>
      </c>
      <c r="AJ80">
        <v>0</v>
      </c>
      <c r="AK80">
        <v>285</v>
      </c>
      <c r="AL80">
        <v>362</v>
      </c>
      <c r="AM80">
        <v>324</v>
      </c>
      <c r="AN80" s="23" t="s">
        <v>54</v>
      </c>
      <c r="AO80" s="23">
        <v>0.0280701754385965</v>
      </c>
      <c r="AP80" s="23">
        <v>0.0193370165745856</v>
      </c>
      <c r="AQ80" s="23">
        <v>0.0216049382716049</v>
      </c>
      <c r="AR80" s="35">
        <v>1</v>
      </c>
      <c r="AS80" s="35">
        <v>60</v>
      </c>
      <c r="AT80" s="35">
        <v>-34</v>
      </c>
      <c r="AU80" s="31">
        <f t="shared" si="5"/>
        <v>26</v>
      </c>
      <c r="AV80" s="36">
        <f>IFERROR(时间!$B$4+AU80,"上周无销量")</f>
        <v>43316</v>
      </c>
    </row>
    <row r="81" spans="1:48">
      <c r="A81" s="19" t="s">
        <v>291</v>
      </c>
      <c r="B81" t="s">
        <v>292</v>
      </c>
      <c r="C81" t="s">
        <v>293</v>
      </c>
      <c r="D81" s="31">
        <v>3</v>
      </c>
      <c r="E81" s="31">
        <v>2</v>
      </c>
      <c r="F81" s="31">
        <v>0</v>
      </c>
      <c r="G81" s="31">
        <v>0</v>
      </c>
      <c r="H81" s="32">
        <v>32.99</v>
      </c>
      <c r="I81">
        <v>0</v>
      </c>
      <c r="J81" s="33">
        <v>10</v>
      </c>
      <c r="K81" s="33">
        <v>0</v>
      </c>
      <c r="L81" s="33">
        <v>0</v>
      </c>
      <c r="M81">
        <v>10</v>
      </c>
      <c r="N81">
        <v>0</v>
      </c>
      <c r="O81">
        <v>0</v>
      </c>
      <c r="P81">
        <v>5288</v>
      </c>
      <c r="Q81">
        <v>0</v>
      </c>
      <c r="R81">
        <v>0</v>
      </c>
      <c r="S81">
        <v>0</v>
      </c>
      <c r="T81">
        <v>64</v>
      </c>
      <c r="U81">
        <v>0</v>
      </c>
      <c r="V81">
        <v>0</v>
      </c>
      <c r="W81">
        <v>0</v>
      </c>
      <c r="X81" s="23">
        <v>0.0121028744326778</v>
      </c>
      <c r="Y81" s="23" t="s">
        <v>54</v>
      </c>
      <c r="Z81" s="23" t="s">
        <v>54</v>
      </c>
      <c r="AA81" s="23" t="s">
        <v>54</v>
      </c>
      <c r="AB81">
        <v>10.83</v>
      </c>
      <c r="AC81">
        <v>0</v>
      </c>
      <c r="AD81">
        <v>0</v>
      </c>
      <c r="AE81">
        <v>0</v>
      </c>
      <c r="AF81" s="23">
        <v>0.109427099120946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s">
        <v>54</v>
      </c>
      <c r="AO81" s="23" t="s">
        <v>54</v>
      </c>
      <c r="AP81" s="23" t="s">
        <v>54</v>
      </c>
      <c r="AQ81" s="23" t="s">
        <v>54</v>
      </c>
      <c r="AR81" s="35">
        <v>0.428571428571429</v>
      </c>
      <c r="AS81" s="35">
        <v>25.7142857142857</v>
      </c>
      <c r="AT81" s="35">
        <v>-15.7142857142857</v>
      </c>
      <c r="AU81" s="31">
        <f t="shared" si="5"/>
        <v>23</v>
      </c>
      <c r="AV81" s="36">
        <f>IFERROR(时间!$B$4+AU81,"上周无销量")</f>
        <v>43313</v>
      </c>
    </row>
    <row r="82" spans="1:48">
      <c r="A82" s="19" t="s">
        <v>294</v>
      </c>
      <c r="B82" t="s">
        <v>295</v>
      </c>
      <c r="C82" t="s">
        <v>296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5</v>
      </c>
      <c r="J82" s="33">
        <v>0</v>
      </c>
      <c r="K82" s="33">
        <v>0</v>
      </c>
      <c r="L82" s="33">
        <v>0</v>
      </c>
      <c r="M82">
        <v>5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0</v>
      </c>
      <c r="AN82" s="23" t="s">
        <v>54</v>
      </c>
      <c r="AO82" s="23" t="s">
        <v>54</v>
      </c>
      <c r="AP82" s="23" t="s">
        <v>54</v>
      </c>
      <c r="AQ82" s="23" t="s">
        <v>54</v>
      </c>
      <c r="AR82" s="35">
        <v>0</v>
      </c>
      <c r="AS82" s="35">
        <v>0</v>
      </c>
      <c r="AT82" s="35">
        <v>5</v>
      </c>
      <c r="AU82" s="31" t="str">
        <f t="shared" si="5"/>
        <v>库存为5</v>
      </c>
      <c r="AV82" s="36" t="str">
        <f>IFERROR(时间!$B$4+AU82,"上周无销量")</f>
        <v>上周无销量</v>
      </c>
    </row>
    <row r="83" spans="1:48">
      <c r="A83" s="19" t="s">
        <v>297</v>
      </c>
      <c r="B83" t="s">
        <v>298</v>
      </c>
      <c r="C83" t="s">
        <v>299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6</v>
      </c>
      <c r="J83" s="33">
        <v>0</v>
      </c>
      <c r="K83" s="33">
        <v>0</v>
      </c>
      <c r="L83" s="33">
        <v>0</v>
      </c>
      <c r="M83">
        <v>6</v>
      </c>
      <c r="N83">
        <v>0</v>
      </c>
      <c r="O83">
        <v>6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3</v>
      </c>
      <c r="AL83">
        <v>5</v>
      </c>
      <c r="AM83">
        <v>15</v>
      </c>
      <c r="AN83" s="23" t="s">
        <v>54</v>
      </c>
      <c r="AO83" s="23">
        <v>0</v>
      </c>
      <c r="AP83" s="23">
        <v>0</v>
      </c>
      <c r="AQ83" s="23">
        <v>0</v>
      </c>
      <c r="AR83" s="35">
        <v>0</v>
      </c>
      <c r="AS83" s="35">
        <v>0</v>
      </c>
      <c r="AT83" s="35">
        <v>6</v>
      </c>
      <c r="AU83" s="31" t="str">
        <f t="shared" si="5"/>
        <v>库存为6</v>
      </c>
      <c r="AV83" s="36" t="str">
        <f>IFERROR(时间!$B$4+AU83,"上周无销量")</f>
        <v>上周无销量</v>
      </c>
    </row>
    <row r="84" spans="1:48">
      <c r="A84" s="19" t="s">
        <v>300</v>
      </c>
      <c r="B84" t="s">
        <v>301</v>
      </c>
      <c r="C84" t="s">
        <v>302</v>
      </c>
      <c r="D84" s="31">
        <v>1</v>
      </c>
      <c r="E84" s="31">
        <v>2</v>
      </c>
      <c r="F84" s="31">
        <v>0</v>
      </c>
      <c r="G84" s="31">
        <v>1</v>
      </c>
      <c r="H84" s="32">
        <v>89.99</v>
      </c>
      <c r="I84">
        <v>5</v>
      </c>
      <c r="J84" s="33">
        <v>0</v>
      </c>
      <c r="K84" s="33">
        <v>0</v>
      </c>
      <c r="L84" s="33">
        <v>0</v>
      </c>
      <c r="M84">
        <v>5</v>
      </c>
      <c r="N84">
        <v>0</v>
      </c>
      <c r="O84">
        <v>0</v>
      </c>
      <c r="P84">
        <v>0</v>
      </c>
      <c r="Q84">
        <v>0</v>
      </c>
      <c r="R84">
        <v>318</v>
      </c>
      <c r="S84">
        <v>4108</v>
      </c>
      <c r="T84">
        <v>0</v>
      </c>
      <c r="U84">
        <v>0</v>
      </c>
      <c r="V84">
        <v>5</v>
      </c>
      <c r="W84">
        <v>37</v>
      </c>
      <c r="X84" s="23" t="s">
        <v>54</v>
      </c>
      <c r="Y84" s="23" t="s">
        <v>54</v>
      </c>
      <c r="Z84" s="23">
        <v>0.0157232704402516</v>
      </c>
      <c r="AA84" s="23">
        <v>0.00900681596884128</v>
      </c>
      <c r="AB84">
        <v>0</v>
      </c>
      <c r="AC84">
        <v>0</v>
      </c>
      <c r="AD84">
        <v>1.18</v>
      </c>
      <c r="AE84">
        <v>10.6</v>
      </c>
      <c r="AF84" s="23" t="s">
        <v>54</v>
      </c>
      <c r="AG84" s="23" t="s">
        <v>54</v>
      </c>
      <c r="AH84" s="23" t="s">
        <v>303</v>
      </c>
      <c r="AI84" s="23">
        <v>0.117790865651739</v>
      </c>
      <c r="AJ84">
        <v>0</v>
      </c>
      <c r="AK84">
        <v>16</v>
      </c>
      <c r="AL84">
        <v>13</v>
      </c>
      <c r="AM84">
        <v>22</v>
      </c>
      <c r="AN84" s="23" t="s">
        <v>54</v>
      </c>
      <c r="AO84" s="23">
        <v>0.125</v>
      </c>
      <c r="AP84" s="23">
        <v>0</v>
      </c>
      <c r="AQ84" s="23">
        <v>0.0454545454545455</v>
      </c>
      <c r="AR84" s="35">
        <v>0.142857142857143</v>
      </c>
      <c r="AS84" s="35">
        <v>8.57142857142857</v>
      </c>
      <c r="AT84" s="35">
        <v>-3.57142857142857</v>
      </c>
      <c r="AU84" s="31">
        <f t="shared" si="5"/>
        <v>35</v>
      </c>
      <c r="AV84" s="36">
        <f>IFERROR(时间!$B$4+AU84,"上周无销量")</f>
        <v>43325</v>
      </c>
    </row>
    <row r="85" spans="1:48">
      <c r="A85" s="19" t="s">
        <v>304</v>
      </c>
      <c r="B85" t="s">
        <v>305</v>
      </c>
      <c r="C85" t="s">
        <v>306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10</v>
      </c>
      <c r="J85" s="33">
        <v>0</v>
      </c>
      <c r="K85" s="33">
        <v>0</v>
      </c>
      <c r="L85" s="33">
        <v>0</v>
      </c>
      <c r="M85">
        <v>10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4</v>
      </c>
      <c r="AL85">
        <v>10</v>
      </c>
      <c r="AM85">
        <v>22</v>
      </c>
      <c r="AN85" s="23" t="s">
        <v>54</v>
      </c>
      <c r="AO85" s="23">
        <v>0</v>
      </c>
      <c r="AP85" s="23">
        <v>0</v>
      </c>
      <c r="AQ85" s="23">
        <v>0</v>
      </c>
      <c r="AR85" s="35">
        <v>0</v>
      </c>
      <c r="AS85" s="35">
        <v>0</v>
      </c>
      <c r="AT85" s="35">
        <v>10</v>
      </c>
      <c r="AU85" s="31" t="str">
        <f t="shared" si="5"/>
        <v>库存为10</v>
      </c>
      <c r="AV85" s="36" t="str">
        <f>IFERROR(时间!$B$4+AU85,"上周无销量")</f>
        <v>上周无销量</v>
      </c>
    </row>
    <row r="86" spans="1:48">
      <c r="A86" s="19" t="s">
        <v>307</v>
      </c>
      <c r="B86" t="s">
        <v>308</v>
      </c>
      <c r="C86" t="s">
        <v>309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3</v>
      </c>
      <c r="J86" s="33">
        <v>0</v>
      </c>
      <c r="K86" s="33">
        <v>0</v>
      </c>
      <c r="L86" s="33">
        <v>0</v>
      </c>
      <c r="M86">
        <v>3</v>
      </c>
      <c r="N86">
        <v>0</v>
      </c>
      <c r="O86">
        <v>0</v>
      </c>
      <c r="P86">
        <v>708</v>
      </c>
      <c r="Q86">
        <v>1148</v>
      </c>
      <c r="R86">
        <v>1228</v>
      </c>
      <c r="S86">
        <v>2440</v>
      </c>
      <c r="T86">
        <v>0</v>
      </c>
      <c r="U86">
        <v>1</v>
      </c>
      <c r="V86">
        <v>2</v>
      </c>
      <c r="W86">
        <v>2</v>
      </c>
      <c r="X86" s="23">
        <v>0</v>
      </c>
      <c r="Y86" s="23">
        <v>0.000871080139372822</v>
      </c>
      <c r="Z86" s="23">
        <v>0.00162866449511401</v>
      </c>
      <c r="AA86" s="23">
        <v>0.000819672131147541</v>
      </c>
      <c r="AB86">
        <v>0</v>
      </c>
      <c r="AC86">
        <v>0.2</v>
      </c>
      <c r="AD86">
        <v>0.2</v>
      </c>
      <c r="AE86">
        <v>0.28</v>
      </c>
      <c r="AF86" s="23" t="s">
        <v>54</v>
      </c>
      <c r="AG86" s="23" t="s">
        <v>310</v>
      </c>
      <c r="AH86" s="23" t="s">
        <v>310</v>
      </c>
      <c r="AI86" s="23" t="s">
        <v>311</v>
      </c>
      <c r="AJ86">
        <v>0</v>
      </c>
      <c r="AK86">
        <v>10</v>
      </c>
      <c r="AL86">
        <v>6</v>
      </c>
      <c r="AM86">
        <v>7</v>
      </c>
      <c r="AN86" s="23" t="s">
        <v>54</v>
      </c>
      <c r="AO86" s="23">
        <v>0</v>
      </c>
      <c r="AP86" s="23">
        <v>0</v>
      </c>
      <c r="AQ86" s="23">
        <v>0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19" t="s">
        <v>312</v>
      </c>
      <c r="B87" t="s">
        <v>313</v>
      </c>
      <c r="C87" t="s">
        <v>314</v>
      </c>
      <c r="D87" s="31">
        <v>0</v>
      </c>
      <c r="E87" s="31">
        <v>1</v>
      </c>
      <c r="F87" s="31">
        <v>0</v>
      </c>
      <c r="G87" s="31">
        <v>1</v>
      </c>
      <c r="H87" s="32">
        <v>89.99</v>
      </c>
      <c r="I87">
        <v>9</v>
      </c>
      <c r="J87" s="33">
        <v>0</v>
      </c>
      <c r="K87" s="33">
        <v>0</v>
      </c>
      <c r="L87" s="33">
        <v>0</v>
      </c>
      <c r="M87">
        <v>9</v>
      </c>
      <c r="N87">
        <v>0</v>
      </c>
      <c r="O87">
        <v>0</v>
      </c>
      <c r="P87">
        <v>256</v>
      </c>
      <c r="Q87">
        <v>50</v>
      </c>
      <c r="R87">
        <v>20</v>
      </c>
      <c r="S87">
        <v>6687</v>
      </c>
      <c r="T87">
        <v>4</v>
      </c>
      <c r="U87">
        <v>1</v>
      </c>
      <c r="V87">
        <v>1</v>
      </c>
      <c r="W87">
        <v>83</v>
      </c>
      <c r="X87" s="23">
        <v>0.015625</v>
      </c>
      <c r="Y87" s="23">
        <v>0.02</v>
      </c>
      <c r="Z87" s="23">
        <v>0.05</v>
      </c>
      <c r="AA87" s="23">
        <v>0.0124121429639599</v>
      </c>
      <c r="AB87">
        <v>0.4</v>
      </c>
      <c r="AC87">
        <v>0.15</v>
      </c>
      <c r="AD87">
        <v>0.03</v>
      </c>
      <c r="AE87">
        <v>10.46</v>
      </c>
      <c r="AF87" s="23" t="s">
        <v>315</v>
      </c>
      <c r="AG87" s="23">
        <v>0.00166685187243027</v>
      </c>
      <c r="AH87" s="23" t="s">
        <v>316</v>
      </c>
      <c r="AI87" s="23">
        <v>0.116235137237471</v>
      </c>
      <c r="AJ87">
        <v>0</v>
      </c>
      <c r="AK87">
        <v>9</v>
      </c>
      <c r="AL87">
        <v>21</v>
      </c>
      <c r="AM87">
        <v>17</v>
      </c>
      <c r="AN87" s="23" t="s">
        <v>54</v>
      </c>
      <c r="AO87" s="23">
        <v>0.111111111111111</v>
      </c>
      <c r="AP87" s="23">
        <v>0</v>
      </c>
      <c r="AQ87" s="23">
        <v>0.0588235294117647</v>
      </c>
      <c r="AR87" s="35">
        <v>0</v>
      </c>
      <c r="AS87" s="35">
        <v>0</v>
      </c>
      <c r="AT87" s="35">
        <v>9</v>
      </c>
      <c r="AU87" s="31" t="str">
        <f t="shared" si="5"/>
        <v>库存为9</v>
      </c>
      <c r="AV87" s="36" t="str">
        <f>IFERROR(时间!$B$4+AU87,"上周无销量")</f>
        <v>上周无销量</v>
      </c>
    </row>
    <row r="88" spans="1:48">
      <c r="A88" s="19" t="s">
        <v>317</v>
      </c>
      <c r="B88" t="s">
        <v>318</v>
      </c>
      <c r="C88" t="s">
        <v>319</v>
      </c>
      <c r="D88" s="31">
        <v>1</v>
      </c>
      <c r="E88" s="31">
        <v>0</v>
      </c>
      <c r="F88" s="31">
        <v>0</v>
      </c>
      <c r="G88" s="31">
        <v>1</v>
      </c>
      <c r="H88" s="32">
        <v>89.99</v>
      </c>
      <c r="I88">
        <v>24</v>
      </c>
      <c r="J88" s="33">
        <v>0</v>
      </c>
      <c r="K88" s="33">
        <v>0</v>
      </c>
      <c r="L88" s="33">
        <v>0</v>
      </c>
      <c r="M88">
        <v>24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78</v>
      </c>
      <c r="AL88">
        <v>166</v>
      </c>
      <c r="AM88">
        <v>26</v>
      </c>
      <c r="AN88" s="23" t="s">
        <v>54</v>
      </c>
      <c r="AO88" s="23">
        <v>0</v>
      </c>
      <c r="AP88" s="23">
        <v>0</v>
      </c>
      <c r="AQ88" s="23">
        <v>0.0384615384615385</v>
      </c>
      <c r="AR88" s="35">
        <v>0.142857142857143</v>
      </c>
      <c r="AS88" s="35">
        <v>8.57142857142857</v>
      </c>
      <c r="AT88" s="35">
        <v>15.4285714285714</v>
      </c>
      <c r="AU88" s="31">
        <f t="shared" si="5"/>
        <v>168</v>
      </c>
      <c r="AV88" s="36">
        <f>IFERROR(时间!$B$4+AU88,"上周无销量")</f>
        <v>43458</v>
      </c>
    </row>
    <row r="89" spans="1:48">
      <c r="A89" s="19" t="s">
        <v>320</v>
      </c>
      <c r="B89" t="s">
        <v>321</v>
      </c>
      <c r="C89" t="s">
        <v>322</v>
      </c>
      <c r="D89" s="31">
        <v>0</v>
      </c>
      <c r="E89" s="31">
        <v>1</v>
      </c>
      <c r="F89" s="31">
        <v>0</v>
      </c>
      <c r="G89" s="31">
        <v>0</v>
      </c>
      <c r="H89" s="32">
        <v>79.99</v>
      </c>
      <c r="I89">
        <v>1</v>
      </c>
      <c r="J89" s="33">
        <v>0</v>
      </c>
      <c r="K89" s="33">
        <v>0</v>
      </c>
      <c r="L89" s="33">
        <v>0</v>
      </c>
      <c r="M89">
        <v>1</v>
      </c>
      <c r="N89">
        <v>0</v>
      </c>
      <c r="O89">
        <v>1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3</v>
      </c>
      <c r="AL89">
        <v>11</v>
      </c>
      <c r="AM89">
        <v>19</v>
      </c>
      <c r="AN89" s="23" t="s">
        <v>54</v>
      </c>
      <c r="AO89" s="23">
        <v>0.333333333333333</v>
      </c>
      <c r="AP89" s="23">
        <v>0</v>
      </c>
      <c r="AQ89" s="23">
        <v>0</v>
      </c>
      <c r="AR89" s="35">
        <v>0</v>
      </c>
      <c r="AS89" s="35">
        <v>0</v>
      </c>
      <c r="AT89" s="35">
        <v>1</v>
      </c>
      <c r="AU89" s="31" t="str">
        <f t="shared" si="5"/>
        <v>库存为1</v>
      </c>
      <c r="AV89" s="36" t="str">
        <f>IFERROR(时间!$B$4+AU89,"上周无销量")</f>
        <v>上周无销量</v>
      </c>
    </row>
    <row r="90" spans="1:48">
      <c r="A90" s="19" t="s">
        <v>323</v>
      </c>
      <c r="B90" t="s">
        <v>324</v>
      </c>
      <c r="C90" t="s">
        <v>322</v>
      </c>
      <c r="D90" s="31">
        <v>0</v>
      </c>
      <c r="E90" s="31">
        <v>2</v>
      </c>
      <c r="F90" s="31">
        <v>0</v>
      </c>
      <c r="G90" s="31">
        <v>0</v>
      </c>
      <c r="H90" s="32">
        <v>79.99</v>
      </c>
      <c r="I90">
        <v>4</v>
      </c>
      <c r="J90" s="33">
        <v>0</v>
      </c>
      <c r="K90" s="33">
        <v>0</v>
      </c>
      <c r="L90" s="33">
        <v>0</v>
      </c>
      <c r="M90">
        <v>4</v>
      </c>
      <c r="N90">
        <v>0</v>
      </c>
      <c r="O90">
        <v>0</v>
      </c>
      <c r="P90">
        <v>5295</v>
      </c>
      <c r="Q90">
        <v>4483</v>
      </c>
      <c r="R90">
        <v>1693</v>
      </c>
      <c r="S90">
        <v>2009</v>
      </c>
      <c r="T90">
        <v>55</v>
      </c>
      <c r="U90">
        <v>50</v>
      </c>
      <c r="V90">
        <v>25</v>
      </c>
      <c r="W90">
        <v>37</v>
      </c>
      <c r="X90" s="23">
        <v>0.0103871576959396</v>
      </c>
      <c r="Y90" s="23">
        <v>0.011153245594468</v>
      </c>
      <c r="Z90" s="23">
        <v>0.0147666863555818</v>
      </c>
      <c r="AA90" s="23">
        <v>0.0184171229467397</v>
      </c>
      <c r="AB90">
        <v>5.94</v>
      </c>
      <c r="AC90">
        <v>5.99</v>
      </c>
      <c r="AD90">
        <v>3.05</v>
      </c>
      <c r="AE90">
        <v>4.68</v>
      </c>
      <c r="AF90" s="23" t="s">
        <v>325</v>
      </c>
      <c r="AG90" s="23">
        <v>0.0374421802725341</v>
      </c>
      <c r="AH90" s="23" t="s">
        <v>326</v>
      </c>
      <c r="AI90" s="23" t="s">
        <v>327</v>
      </c>
      <c r="AJ90">
        <v>0</v>
      </c>
      <c r="AK90">
        <v>75</v>
      </c>
      <c r="AL90">
        <v>48</v>
      </c>
      <c r="AM90">
        <v>28</v>
      </c>
      <c r="AN90" s="23" t="s">
        <v>54</v>
      </c>
      <c r="AO90" s="23">
        <v>0.0266666666666667</v>
      </c>
      <c r="AP90" s="23">
        <v>0</v>
      </c>
      <c r="AQ90" s="23">
        <v>0</v>
      </c>
      <c r="AR90" s="35">
        <v>0</v>
      </c>
      <c r="AS90" s="35">
        <v>0</v>
      </c>
      <c r="AT90" s="35">
        <v>4</v>
      </c>
      <c r="AU90" s="31" t="str">
        <f t="shared" si="5"/>
        <v>库存为4</v>
      </c>
      <c r="AV90" s="36" t="str">
        <f>IFERROR(时间!$B$4+AU90,"上周无销量")</f>
        <v>上周无销量</v>
      </c>
    </row>
    <row r="91" spans="1:48">
      <c r="A91" s="19" t="s">
        <v>328</v>
      </c>
      <c r="B91" t="s">
        <v>329</v>
      </c>
      <c r="C91" t="s">
        <v>330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5</v>
      </c>
      <c r="J91" s="33">
        <v>0</v>
      </c>
      <c r="K91" s="33">
        <v>0</v>
      </c>
      <c r="L91" s="33">
        <v>0</v>
      </c>
      <c r="M91">
        <v>5</v>
      </c>
      <c r="N91">
        <v>0</v>
      </c>
      <c r="O91">
        <v>0</v>
      </c>
      <c r="P91">
        <v>1128</v>
      </c>
      <c r="Q91">
        <v>821</v>
      </c>
      <c r="R91">
        <v>1057</v>
      </c>
      <c r="S91">
        <v>1483</v>
      </c>
      <c r="T91">
        <v>12</v>
      </c>
      <c r="U91">
        <v>5</v>
      </c>
      <c r="V91">
        <v>3</v>
      </c>
      <c r="W91">
        <v>11</v>
      </c>
      <c r="X91" s="23">
        <v>0.0106382978723404</v>
      </c>
      <c r="Y91" s="23">
        <v>0.00609013398294762</v>
      </c>
      <c r="Z91" s="23">
        <v>0.00283822138126774</v>
      </c>
      <c r="AA91" s="23">
        <v>0.0074173971679029</v>
      </c>
      <c r="AB91">
        <v>1.62</v>
      </c>
      <c r="AC91">
        <v>0.52</v>
      </c>
      <c r="AD91">
        <v>0.37</v>
      </c>
      <c r="AE91">
        <v>1.38</v>
      </c>
      <c r="AF91" s="23" t="s">
        <v>331</v>
      </c>
      <c r="AG91" s="23" t="s">
        <v>332</v>
      </c>
      <c r="AH91" s="23" t="s">
        <v>333</v>
      </c>
      <c r="AI91" s="23" t="s">
        <v>214</v>
      </c>
      <c r="AJ91">
        <v>0</v>
      </c>
      <c r="AK91">
        <v>13</v>
      </c>
      <c r="AL91">
        <v>9</v>
      </c>
      <c r="AM91">
        <v>4</v>
      </c>
      <c r="AN91" s="23" t="s">
        <v>54</v>
      </c>
      <c r="AO91" s="23">
        <v>0</v>
      </c>
      <c r="AP91" s="23">
        <v>0</v>
      </c>
      <c r="AQ91" s="23">
        <v>0</v>
      </c>
      <c r="AR91" s="35">
        <v>0</v>
      </c>
      <c r="AS91" s="35">
        <v>0</v>
      </c>
      <c r="AT91" s="35">
        <v>5</v>
      </c>
      <c r="AU91" s="31" t="str">
        <f t="shared" si="5"/>
        <v>库存为5</v>
      </c>
      <c r="AV91" s="36" t="str">
        <f>IFERROR(时间!$B$4+AU91,"上周无销量")</f>
        <v>上周无销量</v>
      </c>
    </row>
    <row r="92" spans="1:48">
      <c r="A92" s="19" t="s">
        <v>334</v>
      </c>
      <c r="B92" t="s">
        <v>335</v>
      </c>
      <c r="C92" t="s">
        <v>336</v>
      </c>
      <c r="D92" s="31">
        <v>1</v>
      </c>
      <c r="E92" s="31">
        <v>0</v>
      </c>
      <c r="F92" s="31">
        <v>1</v>
      </c>
      <c r="G92" s="31">
        <v>5</v>
      </c>
      <c r="H92" s="32">
        <v>89.99</v>
      </c>
      <c r="I92">
        <v>8</v>
      </c>
      <c r="J92" s="33">
        <v>0</v>
      </c>
      <c r="K92" s="33">
        <v>10</v>
      </c>
      <c r="L92" s="33">
        <v>0</v>
      </c>
      <c r="M92">
        <v>18</v>
      </c>
      <c r="N92">
        <v>0</v>
      </c>
      <c r="O92">
        <v>0</v>
      </c>
      <c r="P92">
        <v>65749</v>
      </c>
      <c r="Q92">
        <v>19177</v>
      </c>
      <c r="R92">
        <v>53141</v>
      </c>
      <c r="S92">
        <v>22105</v>
      </c>
      <c r="T92">
        <v>391</v>
      </c>
      <c r="U92">
        <v>127</v>
      </c>
      <c r="V92">
        <v>374</v>
      </c>
      <c r="W92">
        <v>134</v>
      </c>
      <c r="X92" s="23">
        <v>0.00594685850735372</v>
      </c>
      <c r="Y92" s="23">
        <v>0.00662251655629139</v>
      </c>
      <c r="Z92" s="23">
        <v>0.00703788035603395</v>
      </c>
      <c r="AA92" s="23">
        <v>0.00606197692829677</v>
      </c>
      <c r="AB92">
        <v>55.45</v>
      </c>
      <c r="AC92">
        <v>18.35</v>
      </c>
      <c r="AD92">
        <v>50.48</v>
      </c>
      <c r="AE92">
        <v>19.68</v>
      </c>
      <c r="AF92" s="23">
        <v>0.61617957550839</v>
      </c>
      <c r="AG92" s="23" t="s">
        <v>337</v>
      </c>
      <c r="AH92" s="23">
        <v>0.560951216801867</v>
      </c>
      <c r="AI92" s="23">
        <v>0.0437381931325703</v>
      </c>
      <c r="AJ92">
        <v>0</v>
      </c>
      <c r="AK92">
        <v>399</v>
      </c>
      <c r="AL92">
        <v>92</v>
      </c>
      <c r="AM92">
        <v>330</v>
      </c>
      <c r="AN92" s="23" t="s">
        <v>54</v>
      </c>
      <c r="AO92" s="23">
        <v>0</v>
      </c>
      <c r="AP92" s="23">
        <v>0.0108695652173913</v>
      </c>
      <c r="AQ92" s="23">
        <v>0.0151515151515152</v>
      </c>
      <c r="AR92" s="35">
        <v>0.142857142857143</v>
      </c>
      <c r="AS92" s="35">
        <v>8.57142857142857</v>
      </c>
      <c r="AT92" s="35">
        <v>9.42857142857143</v>
      </c>
      <c r="AU92" s="31">
        <f t="shared" si="5"/>
        <v>126</v>
      </c>
      <c r="AV92" s="36">
        <f>IFERROR(时间!$B$4+AU92,"上周无销量")</f>
        <v>43416</v>
      </c>
    </row>
    <row r="93" spans="1:48">
      <c r="A93" s="19" t="s">
        <v>338</v>
      </c>
      <c r="B93" t="s">
        <v>339</v>
      </c>
      <c r="C93" t="s">
        <v>340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8</v>
      </c>
      <c r="J93" s="33">
        <v>0</v>
      </c>
      <c r="K93" s="33">
        <v>0</v>
      </c>
      <c r="L93" s="33">
        <v>0</v>
      </c>
      <c r="M93">
        <v>8</v>
      </c>
      <c r="N93">
        <v>0</v>
      </c>
      <c r="O93">
        <v>0</v>
      </c>
      <c r="P93">
        <v>0</v>
      </c>
      <c r="Q93">
        <v>0</v>
      </c>
      <c r="R93">
        <v>0</v>
      </c>
      <c r="S93">
        <v>23122</v>
      </c>
      <c r="T93">
        <v>0</v>
      </c>
      <c r="U93">
        <v>0</v>
      </c>
      <c r="V93">
        <v>0</v>
      </c>
      <c r="W93">
        <v>141</v>
      </c>
      <c r="X93" s="23" t="s">
        <v>54</v>
      </c>
      <c r="Y93" s="23" t="s">
        <v>54</v>
      </c>
      <c r="Z93" s="23" t="s">
        <v>54</v>
      </c>
      <c r="AA93" s="23">
        <v>0.00609808840065738</v>
      </c>
      <c r="AB93">
        <v>0</v>
      </c>
      <c r="AC93">
        <v>0</v>
      </c>
      <c r="AD93">
        <v>0</v>
      </c>
      <c r="AE93">
        <v>21.41</v>
      </c>
      <c r="AF93" s="23" t="s">
        <v>54</v>
      </c>
      <c r="AG93" s="23" t="s">
        <v>54</v>
      </c>
      <c r="AH93" s="23" t="s">
        <v>54</v>
      </c>
      <c r="AI93" s="23" t="s">
        <v>341</v>
      </c>
      <c r="AJ93">
        <v>0</v>
      </c>
      <c r="AK93">
        <v>24</v>
      </c>
      <c r="AL93">
        <v>22</v>
      </c>
      <c r="AM93">
        <v>18</v>
      </c>
      <c r="AN93" s="23" t="s">
        <v>54</v>
      </c>
      <c r="AO93" s="23">
        <v>0</v>
      </c>
      <c r="AP93" s="23">
        <v>0</v>
      </c>
      <c r="AQ93" s="23">
        <v>0</v>
      </c>
      <c r="AR93" s="35">
        <v>0</v>
      </c>
      <c r="AS93" s="35">
        <v>0</v>
      </c>
      <c r="AT93" s="35">
        <v>8</v>
      </c>
      <c r="AU93" s="31" t="str">
        <f t="shared" si="5"/>
        <v>库存为8</v>
      </c>
      <c r="AV93" s="36" t="str">
        <f>IFERROR(时间!$B$4+AU93,"上周无销量")</f>
        <v>上周无销量</v>
      </c>
    </row>
    <row r="94" spans="1:48">
      <c r="A94" s="19" t="s">
        <v>342</v>
      </c>
      <c r="B94" t="s">
        <v>343</v>
      </c>
      <c r="C94" t="s">
        <v>344</v>
      </c>
      <c r="D94" s="31">
        <v>3</v>
      </c>
      <c r="E94" s="31">
        <v>2</v>
      </c>
      <c r="F94" s="31">
        <v>3</v>
      </c>
      <c r="G94" s="31">
        <v>0</v>
      </c>
      <c r="H94" s="32">
        <v>80.24</v>
      </c>
      <c r="I94">
        <v>0</v>
      </c>
      <c r="J94" s="33">
        <v>5</v>
      </c>
      <c r="K94" s="33">
        <v>0</v>
      </c>
      <c r="L94" s="33">
        <v>0</v>
      </c>
      <c r="M94">
        <v>5</v>
      </c>
      <c r="N94">
        <v>0</v>
      </c>
      <c r="O94">
        <v>0</v>
      </c>
      <c r="P94">
        <v>41367</v>
      </c>
      <c r="Q94">
        <v>24569</v>
      </c>
      <c r="R94">
        <v>0</v>
      </c>
      <c r="S94">
        <v>0</v>
      </c>
      <c r="T94">
        <v>251</v>
      </c>
      <c r="U94">
        <v>197</v>
      </c>
      <c r="V94">
        <v>0</v>
      </c>
      <c r="W94">
        <v>0</v>
      </c>
      <c r="X94" s="23">
        <v>0.00606763845577393</v>
      </c>
      <c r="Y94" s="23">
        <v>0.00801823436037283</v>
      </c>
      <c r="Z94" s="23" t="s">
        <v>54</v>
      </c>
      <c r="AA94" s="23" t="s">
        <v>54</v>
      </c>
      <c r="AB94">
        <v>42.83</v>
      </c>
      <c r="AC94">
        <v>30.69</v>
      </c>
      <c r="AD94">
        <v>0</v>
      </c>
      <c r="AE94">
        <v>0</v>
      </c>
      <c r="AF94" s="23">
        <v>0.17792455965437</v>
      </c>
      <c r="AG94" s="23">
        <v>0.191238783649053</v>
      </c>
      <c r="AH94" s="23" t="s">
        <v>54</v>
      </c>
      <c r="AI94" s="23" t="s">
        <v>54</v>
      </c>
      <c r="AJ94">
        <v>0</v>
      </c>
      <c r="AK94">
        <v>203</v>
      </c>
      <c r="AL94">
        <v>122</v>
      </c>
      <c r="AM94">
        <v>1</v>
      </c>
      <c r="AN94" s="23" t="s">
        <v>54</v>
      </c>
      <c r="AO94" s="23">
        <v>0.00985221674876847</v>
      </c>
      <c r="AP94" s="23">
        <v>0.0245901639344262</v>
      </c>
      <c r="AQ94" s="23">
        <v>0</v>
      </c>
      <c r="AR94" s="35">
        <v>0.428571428571429</v>
      </c>
      <c r="AS94" s="35">
        <v>25.7142857142857</v>
      </c>
      <c r="AT94" s="35">
        <v>-20.7142857142857</v>
      </c>
      <c r="AU94" s="31">
        <f t="shared" si="5"/>
        <v>11</v>
      </c>
      <c r="AV94" s="36">
        <f>IFERROR(时间!$B$4+AU94,"上周无销量")</f>
        <v>43301</v>
      </c>
    </row>
    <row r="95" spans="1:48">
      <c r="A95" s="19" t="s">
        <v>345</v>
      </c>
      <c r="B95" t="s">
        <v>346</v>
      </c>
      <c r="C95" t="s">
        <v>344</v>
      </c>
      <c r="D95" s="31">
        <v>0</v>
      </c>
      <c r="E95" s="31">
        <v>1</v>
      </c>
      <c r="F95" s="31">
        <v>5</v>
      </c>
      <c r="G95" s="31">
        <v>0</v>
      </c>
      <c r="H95" s="32">
        <v>81.49</v>
      </c>
      <c r="I95">
        <v>5</v>
      </c>
      <c r="J95" s="33">
        <v>0</v>
      </c>
      <c r="K95" s="33">
        <v>0</v>
      </c>
      <c r="L95" s="33">
        <v>0</v>
      </c>
      <c r="M95">
        <v>5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82</v>
      </c>
      <c r="AL95">
        <v>115</v>
      </c>
      <c r="AM95">
        <v>23</v>
      </c>
      <c r="AN95" s="23" t="s">
        <v>54</v>
      </c>
      <c r="AO95" s="23">
        <v>0.0121951219512195</v>
      </c>
      <c r="AP95" s="23">
        <v>0.0434782608695652</v>
      </c>
      <c r="AQ95" s="23">
        <v>0</v>
      </c>
      <c r="AR95" s="35">
        <v>0</v>
      </c>
      <c r="AS95" s="35">
        <v>0</v>
      </c>
      <c r="AT95" s="35">
        <v>5</v>
      </c>
      <c r="AU95" s="31" t="str">
        <f t="shared" si="5"/>
        <v>库存为5</v>
      </c>
      <c r="AV95" s="36" t="str">
        <f>IFERROR(时间!$B$4+AU95,"上周无销量")</f>
        <v>上周无销量</v>
      </c>
    </row>
    <row r="96" spans="1:48">
      <c r="A96" s="19" t="s">
        <v>347</v>
      </c>
      <c r="B96" t="s">
        <v>348</v>
      </c>
      <c r="C96" t="s">
        <v>349</v>
      </c>
      <c r="D96" s="31">
        <v>0</v>
      </c>
      <c r="E96" s="31">
        <v>1</v>
      </c>
      <c r="F96" s="31">
        <v>1</v>
      </c>
      <c r="G96" s="31">
        <v>1</v>
      </c>
      <c r="H96" s="32">
        <v>79.99</v>
      </c>
      <c r="I96">
        <v>17</v>
      </c>
      <c r="J96" s="33">
        <v>0</v>
      </c>
      <c r="K96" s="33">
        <v>0</v>
      </c>
      <c r="L96" s="33">
        <v>0</v>
      </c>
      <c r="M96">
        <v>17</v>
      </c>
      <c r="N96">
        <v>0</v>
      </c>
      <c r="O96">
        <v>17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26</v>
      </c>
      <c r="AL96">
        <v>22</v>
      </c>
      <c r="AM96">
        <v>35</v>
      </c>
      <c r="AN96" s="23" t="s">
        <v>54</v>
      </c>
      <c r="AO96" s="23">
        <v>0.0384615384615385</v>
      </c>
      <c r="AP96" s="23">
        <v>0.0454545454545455</v>
      </c>
      <c r="AQ96" s="23">
        <v>0.0285714285714286</v>
      </c>
      <c r="AR96" s="35">
        <v>0</v>
      </c>
      <c r="AS96" s="35">
        <v>0</v>
      </c>
      <c r="AT96" s="35">
        <v>17</v>
      </c>
      <c r="AU96" s="31" t="str">
        <f t="shared" si="5"/>
        <v>库存为17</v>
      </c>
      <c r="AV96" s="36" t="str">
        <f>IFERROR(时间!$B$4+AU96,"上周无销量")</f>
        <v>上周无销量</v>
      </c>
    </row>
    <row r="97" spans="1:48">
      <c r="A97" s="19" t="s">
        <v>350</v>
      </c>
      <c r="B97" t="s">
        <v>351</v>
      </c>
      <c r="C97" t="s">
        <v>352</v>
      </c>
      <c r="D97" s="31">
        <v>2</v>
      </c>
      <c r="E97" s="31">
        <v>0</v>
      </c>
      <c r="F97" s="31">
        <v>2</v>
      </c>
      <c r="G97" s="31">
        <v>0</v>
      </c>
      <c r="H97" s="32">
        <v>99.99</v>
      </c>
      <c r="I97">
        <v>5</v>
      </c>
      <c r="J97" s="33">
        <v>0</v>
      </c>
      <c r="K97" s="33">
        <v>0</v>
      </c>
      <c r="L97" s="33">
        <v>0</v>
      </c>
      <c r="M97">
        <v>5</v>
      </c>
      <c r="N97">
        <v>1</v>
      </c>
      <c r="O97">
        <v>0</v>
      </c>
      <c r="P97">
        <v>5362</v>
      </c>
      <c r="Q97">
        <v>3265</v>
      </c>
      <c r="R97">
        <v>3167</v>
      </c>
      <c r="S97">
        <v>648</v>
      </c>
      <c r="T97">
        <v>43</v>
      </c>
      <c r="U97">
        <v>30</v>
      </c>
      <c r="V97">
        <v>41</v>
      </c>
      <c r="W97">
        <v>5</v>
      </c>
      <c r="X97" s="23">
        <v>0.00801939574785528</v>
      </c>
      <c r="Y97" s="23">
        <v>0.00918836140888208</v>
      </c>
      <c r="Z97" s="23">
        <v>0.0129460056836123</v>
      </c>
      <c r="AA97" s="23">
        <v>0.00771604938271605</v>
      </c>
      <c r="AB97">
        <v>4.83</v>
      </c>
      <c r="AC97">
        <v>3.7</v>
      </c>
      <c r="AD97">
        <v>4.88</v>
      </c>
      <c r="AE97">
        <v>0.47</v>
      </c>
      <c r="AF97" s="23">
        <v>0.0241524152415242</v>
      </c>
      <c r="AG97" s="23" t="s">
        <v>353</v>
      </c>
      <c r="AH97" s="23">
        <v>0.0244024402440244</v>
      </c>
      <c r="AI97" s="23" t="s">
        <v>354</v>
      </c>
      <c r="AJ97">
        <v>0</v>
      </c>
      <c r="AK97">
        <v>74</v>
      </c>
      <c r="AL97">
        <v>99</v>
      </c>
      <c r="AM97">
        <v>96</v>
      </c>
      <c r="AN97" s="23" t="s">
        <v>54</v>
      </c>
      <c r="AO97" s="23">
        <v>0</v>
      </c>
      <c r="AP97" s="23">
        <v>0.0202020202020202</v>
      </c>
      <c r="AQ97" s="23">
        <v>0</v>
      </c>
      <c r="AR97" s="35">
        <v>0.285714285714286</v>
      </c>
      <c r="AS97" s="35">
        <v>17.1428571428571</v>
      </c>
      <c r="AT97" s="35">
        <v>-12.1428571428571</v>
      </c>
      <c r="AU97" s="31">
        <f t="shared" si="5"/>
        <v>17</v>
      </c>
      <c r="AV97" s="36">
        <f>IFERROR(时间!$B$4+AU97,"上周无销量")</f>
        <v>43307</v>
      </c>
    </row>
    <row r="98" spans="1:48">
      <c r="A98" s="19" t="s">
        <v>355</v>
      </c>
      <c r="B98" t="s">
        <v>356</v>
      </c>
      <c r="C98" t="s">
        <v>357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22</v>
      </c>
      <c r="J98" s="33">
        <v>0</v>
      </c>
      <c r="K98" s="33">
        <v>0</v>
      </c>
      <c r="L98" s="33">
        <v>20</v>
      </c>
      <c r="M98">
        <v>42</v>
      </c>
      <c r="N98">
        <v>0</v>
      </c>
      <c r="O98">
        <v>3</v>
      </c>
      <c r="P98">
        <v>0</v>
      </c>
      <c r="Q98">
        <v>2</v>
      </c>
      <c r="R98">
        <v>2</v>
      </c>
      <c r="S98">
        <v>0</v>
      </c>
      <c r="T98">
        <v>0</v>
      </c>
      <c r="U98">
        <v>0</v>
      </c>
      <c r="V98">
        <v>0</v>
      </c>
      <c r="W98">
        <v>0</v>
      </c>
      <c r="X98" s="23" t="s">
        <v>54</v>
      </c>
      <c r="Y98" s="23">
        <v>0</v>
      </c>
      <c r="Z98" s="23">
        <v>0</v>
      </c>
      <c r="AA98" s="23" t="s">
        <v>54</v>
      </c>
      <c r="AB98">
        <v>0</v>
      </c>
      <c r="AC98">
        <v>0</v>
      </c>
      <c r="AD98">
        <v>0</v>
      </c>
      <c r="AE98">
        <v>0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52</v>
      </c>
      <c r="AL98">
        <v>25</v>
      </c>
      <c r="AM98">
        <v>29</v>
      </c>
      <c r="AN98" s="23" t="s">
        <v>54</v>
      </c>
      <c r="AO98" s="23">
        <v>0</v>
      </c>
      <c r="AP98" s="23">
        <v>0</v>
      </c>
      <c r="AQ98" s="23">
        <v>0</v>
      </c>
      <c r="AR98" s="35">
        <v>0</v>
      </c>
      <c r="AS98" s="35">
        <v>0</v>
      </c>
      <c r="AT98" s="35">
        <v>42</v>
      </c>
      <c r="AU98" s="31" t="str">
        <f t="shared" si="5"/>
        <v>库存为42</v>
      </c>
      <c r="AV98" s="36" t="str">
        <f>IFERROR(时间!$B$4+AU98,"上周无销量")</f>
        <v>上周无销量</v>
      </c>
    </row>
    <row r="99" spans="1:48">
      <c r="A99" s="19" t="s">
        <v>358</v>
      </c>
      <c r="B99" t="s">
        <v>359</v>
      </c>
      <c r="C99" t="s">
        <v>357</v>
      </c>
      <c r="D99" s="31">
        <v>0</v>
      </c>
      <c r="E99" s="31">
        <v>2</v>
      </c>
      <c r="F99" s="31">
        <v>0</v>
      </c>
      <c r="G99" s="31">
        <v>1</v>
      </c>
      <c r="H99" s="32">
        <v>99.6</v>
      </c>
      <c r="I99">
        <v>19</v>
      </c>
      <c r="J99" s="33">
        <v>0</v>
      </c>
      <c r="K99" s="33">
        <v>0</v>
      </c>
      <c r="L99" s="33">
        <v>19</v>
      </c>
      <c r="M99">
        <v>38</v>
      </c>
      <c r="N99">
        <v>0</v>
      </c>
      <c r="O99">
        <v>0</v>
      </c>
      <c r="P99">
        <v>5</v>
      </c>
      <c r="Q99">
        <v>10</v>
      </c>
      <c r="R99">
        <v>10</v>
      </c>
      <c r="S99">
        <v>7</v>
      </c>
      <c r="T99">
        <v>0</v>
      </c>
      <c r="U99">
        <v>1</v>
      </c>
      <c r="V99">
        <v>0</v>
      </c>
      <c r="W99">
        <v>0</v>
      </c>
      <c r="X99" s="23">
        <v>0</v>
      </c>
      <c r="Y99" s="23">
        <v>0.1</v>
      </c>
      <c r="Z99" s="23">
        <v>0</v>
      </c>
      <c r="AA99" s="23">
        <v>0</v>
      </c>
      <c r="AB99">
        <v>0</v>
      </c>
      <c r="AC99">
        <v>0.33</v>
      </c>
      <c r="AD99">
        <v>0</v>
      </c>
      <c r="AE99">
        <v>0</v>
      </c>
      <c r="AF99" s="23" t="s">
        <v>54</v>
      </c>
      <c r="AG99" s="23">
        <v>0.0016566265060241</v>
      </c>
      <c r="AH99" s="23" t="s">
        <v>54</v>
      </c>
      <c r="AI99" s="23" t="s">
        <v>54</v>
      </c>
      <c r="AJ99">
        <v>0</v>
      </c>
      <c r="AK99">
        <v>38</v>
      </c>
      <c r="AL99">
        <v>35</v>
      </c>
      <c r="AM99">
        <v>77</v>
      </c>
      <c r="AN99" s="23" t="s">
        <v>54</v>
      </c>
      <c r="AO99" s="23">
        <v>0.0526315789473684</v>
      </c>
      <c r="AP99" s="23">
        <v>0</v>
      </c>
      <c r="AQ99" s="23">
        <v>0.012987012987013</v>
      </c>
      <c r="AR99" s="35">
        <v>0</v>
      </c>
      <c r="AS99" s="35">
        <v>0</v>
      </c>
      <c r="AT99" s="35">
        <v>38</v>
      </c>
      <c r="AU99" s="31" t="str">
        <f t="shared" si="5"/>
        <v>库存为38</v>
      </c>
      <c r="AV99" s="36" t="str">
        <f>IFERROR(时间!$B$4+AU99,"上周无销量")</f>
        <v>上周无销量</v>
      </c>
    </row>
    <row r="100" spans="1:48">
      <c r="A100" s="19" t="s">
        <v>360</v>
      </c>
      <c r="B100" t="s">
        <v>361</v>
      </c>
      <c r="C100" t="s">
        <v>362</v>
      </c>
      <c r="D100" s="31">
        <v>1</v>
      </c>
      <c r="E100" s="31">
        <v>0</v>
      </c>
      <c r="F100" s="31">
        <v>0</v>
      </c>
      <c r="G100" s="31">
        <v>0</v>
      </c>
      <c r="H100" s="32">
        <v>99.99</v>
      </c>
      <c r="I100">
        <v>2</v>
      </c>
      <c r="J100" s="33">
        <v>2</v>
      </c>
      <c r="K100" s="33">
        <v>0</v>
      </c>
      <c r="L100" s="33">
        <v>0</v>
      </c>
      <c r="M100">
        <v>4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5">
        <v>0.142857142857143</v>
      </c>
      <c r="AS100" s="35">
        <v>8.57142857142857</v>
      </c>
      <c r="AT100" s="35">
        <v>-4.57142857142857</v>
      </c>
      <c r="AU100" s="31">
        <f t="shared" si="5"/>
        <v>28</v>
      </c>
      <c r="AV100" s="36">
        <f>IFERROR(时间!$B$4+AU100,"上周无销量")</f>
        <v>43318</v>
      </c>
    </row>
    <row r="101" spans="1:48">
      <c r="A101" s="19" t="s">
        <v>363</v>
      </c>
      <c r="B101" t="s">
        <v>364</v>
      </c>
      <c r="C101" t="s">
        <v>362</v>
      </c>
      <c r="D101" s="31">
        <v>2</v>
      </c>
      <c r="E101" s="31">
        <v>0</v>
      </c>
      <c r="F101" s="31">
        <v>0</v>
      </c>
      <c r="G101" s="31">
        <v>0</v>
      </c>
      <c r="H101" s="32">
        <v>99.99</v>
      </c>
      <c r="I101">
        <v>1</v>
      </c>
      <c r="J101" s="33">
        <v>5</v>
      </c>
      <c r="K101" s="33">
        <v>0</v>
      </c>
      <c r="L101" s="33">
        <v>0</v>
      </c>
      <c r="M101">
        <v>6</v>
      </c>
      <c r="N101">
        <v>0</v>
      </c>
      <c r="O101">
        <v>1</v>
      </c>
      <c r="P101">
        <v>0</v>
      </c>
      <c r="Q101">
        <v>6</v>
      </c>
      <c r="R101">
        <v>3</v>
      </c>
      <c r="S101">
        <v>0</v>
      </c>
      <c r="T101">
        <v>0</v>
      </c>
      <c r="U101">
        <v>0</v>
      </c>
      <c r="V101">
        <v>0</v>
      </c>
      <c r="W101">
        <v>0</v>
      </c>
      <c r="X101" s="23" t="s">
        <v>54</v>
      </c>
      <c r="Y101" s="23">
        <v>0</v>
      </c>
      <c r="Z101" s="23">
        <v>0</v>
      </c>
      <c r="AA101" s="23" t="s">
        <v>54</v>
      </c>
      <c r="AB101">
        <v>0</v>
      </c>
      <c r="AC101">
        <v>0</v>
      </c>
      <c r="AD101">
        <v>0</v>
      </c>
      <c r="AE101">
        <v>0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12</v>
      </c>
      <c r="AL101">
        <v>15</v>
      </c>
      <c r="AM101">
        <v>9</v>
      </c>
      <c r="AN101" s="23" t="s">
        <v>54</v>
      </c>
      <c r="AO101" s="23">
        <v>0</v>
      </c>
      <c r="AP101" s="23">
        <v>0</v>
      </c>
      <c r="AQ101" s="23">
        <v>0</v>
      </c>
      <c r="AR101" s="35">
        <v>0.285714285714286</v>
      </c>
      <c r="AS101" s="35">
        <v>17.1428571428571</v>
      </c>
      <c r="AT101" s="35">
        <v>-11.1428571428571</v>
      </c>
      <c r="AU101" s="31">
        <f t="shared" si="5"/>
        <v>21</v>
      </c>
      <c r="AV101" s="36">
        <f>IFERROR(时间!$B$4+AU101,"上周无销量")</f>
        <v>43311</v>
      </c>
    </row>
    <row r="102" spans="1:48">
      <c r="A102" s="19" t="s">
        <v>365</v>
      </c>
      <c r="B102" t="s">
        <v>366</v>
      </c>
      <c r="C102" t="s">
        <v>367</v>
      </c>
      <c r="D102" s="31">
        <v>0</v>
      </c>
      <c r="E102" s="31">
        <v>1</v>
      </c>
      <c r="F102" s="31">
        <v>0</v>
      </c>
      <c r="G102" s="31">
        <v>0</v>
      </c>
      <c r="H102" s="32">
        <v>79.99</v>
      </c>
      <c r="I102">
        <v>11</v>
      </c>
      <c r="J102" s="33">
        <v>0</v>
      </c>
      <c r="K102" s="33">
        <v>0</v>
      </c>
      <c r="L102" s="33">
        <v>0</v>
      </c>
      <c r="M102">
        <v>11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4</v>
      </c>
      <c r="AL102">
        <v>7</v>
      </c>
      <c r="AM102">
        <v>14</v>
      </c>
      <c r="AN102" s="23" t="s">
        <v>54</v>
      </c>
      <c r="AO102" s="23">
        <v>0.25</v>
      </c>
      <c r="AP102" s="23">
        <v>0</v>
      </c>
      <c r="AQ102" s="23">
        <v>0</v>
      </c>
      <c r="AR102" s="35">
        <v>0</v>
      </c>
      <c r="AS102" s="35">
        <v>0</v>
      </c>
      <c r="AT102" s="35">
        <v>11</v>
      </c>
      <c r="AU102" s="31" t="str">
        <f t="shared" si="5"/>
        <v>库存为11</v>
      </c>
      <c r="AV102" s="36" t="str">
        <f>IFERROR(时间!$B$4+AU102,"上周无销量")</f>
        <v>上周无销量</v>
      </c>
    </row>
    <row r="103" spans="1:48">
      <c r="A103" s="19" t="s">
        <v>368</v>
      </c>
      <c r="B103" t="s">
        <v>369</v>
      </c>
      <c r="C103" t="s">
        <v>370</v>
      </c>
      <c r="D103" s="31">
        <v>1</v>
      </c>
      <c r="E103" s="31">
        <v>3</v>
      </c>
      <c r="F103" s="31">
        <v>0</v>
      </c>
      <c r="G103" s="31">
        <v>2</v>
      </c>
      <c r="H103" s="32">
        <v>79.99</v>
      </c>
      <c r="I103">
        <v>7</v>
      </c>
      <c r="J103" s="33">
        <v>2</v>
      </c>
      <c r="K103" s="33">
        <v>0</v>
      </c>
      <c r="L103" s="33">
        <v>0</v>
      </c>
      <c r="M103">
        <v>9</v>
      </c>
      <c r="N103">
        <v>0</v>
      </c>
      <c r="O103">
        <v>0</v>
      </c>
      <c r="P103">
        <v>5474</v>
      </c>
      <c r="Q103">
        <v>7373</v>
      </c>
      <c r="R103">
        <v>6285</v>
      </c>
      <c r="S103">
        <v>4719</v>
      </c>
      <c r="T103">
        <v>43</v>
      </c>
      <c r="U103">
        <v>67</v>
      </c>
      <c r="V103">
        <v>70</v>
      </c>
      <c r="W103">
        <v>50</v>
      </c>
      <c r="X103" s="23">
        <v>0.00785531603945926</v>
      </c>
      <c r="Y103" s="23">
        <v>0.0090872100908721</v>
      </c>
      <c r="Z103" s="23">
        <v>0.0111376292760541</v>
      </c>
      <c r="AA103" s="23">
        <v>0.0105954651409197</v>
      </c>
      <c r="AB103">
        <v>5.92</v>
      </c>
      <c r="AC103">
        <v>10.41</v>
      </c>
      <c r="AD103">
        <v>10.23</v>
      </c>
      <c r="AE103">
        <v>6.89</v>
      </c>
      <c r="AF103" s="23">
        <v>0.0740092511563945</v>
      </c>
      <c r="AG103" s="23">
        <v>0.0433804225528191</v>
      </c>
      <c r="AH103" s="23" t="s">
        <v>371</v>
      </c>
      <c r="AI103" s="23">
        <v>0.0430678834854357</v>
      </c>
      <c r="AJ103">
        <v>0</v>
      </c>
      <c r="AK103">
        <v>48</v>
      </c>
      <c r="AL103">
        <v>49</v>
      </c>
      <c r="AM103">
        <v>64</v>
      </c>
      <c r="AN103" s="23" t="s">
        <v>54</v>
      </c>
      <c r="AO103" s="23">
        <v>0.0625</v>
      </c>
      <c r="AP103" s="23">
        <v>0</v>
      </c>
      <c r="AQ103" s="23">
        <v>0.03125</v>
      </c>
      <c r="AR103" s="35">
        <v>0.142857142857143</v>
      </c>
      <c r="AS103" s="35">
        <v>8.57142857142857</v>
      </c>
      <c r="AT103" s="35">
        <v>0.428571428571429</v>
      </c>
      <c r="AU103" s="31">
        <f t="shared" si="5"/>
        <v>63</v>
      </c>
      <c r="AV103" s="36">
        <f>IFERROR(时间!$B$4+AU103,"上周无销量")</f>
        <v>43353</v>
      </c>
    </row>
    <row r="104" spans="1:48">
      <c r="A104" s="19" t="s">
        <v>372</v>
      </c>
      <c r="B104" t="s">
        <v>373</v>
      </c>
      <c r="C104" t="s">
        <v>374</v>
      </c>
      <c r="D104" s="31">
        <v>1</v>
      </c>
      <c r="E104" s="31">
        <v>0</v>
      </c>
      <c r="F104" s="31">
        <v>4</v>
      </c>
      <c r="G104" s="31">
        <v>3</v>
      </c>
      <c r="H104" s="32">
        <v>99.99</v>
      </c>
      <c r="I104">
        <v>8</v>
      </c>
      <c r="J104" s="33">
        <v>0</v>
      </c>
      <c r="K104" s="33">
        <v>0</v>
      </c>
      <c r="L104" s="33">
        <v>0</v>
      </c>
      <c r="M104">
        <v>8</v>
      </c>
      <c r="N104">
        <v>1</v>
      </c>
      <c r="O104">
        <v>0</v>
      </c>
      <c r="P104">
        <v>82771</v>
      </c>
      <c r="Q104">
        <v>79221</v>
      </c>
      <c r="R104">
        <v>89676</v>
      </c>
      <c r="S104">
        <v>46372</v>
      </c>
      <c r="T104">
        <v>538</v>
      </c>
      <c r="U104">
        <v>655</v>
      </c>
      <c r="V104">
        <v>745</v>
      </c>
      <c r="W104">
        <v>334</v>
      </c>
      <c r="X104" s="23">
        <v>0.00649986106244941</v>
      </c>
      <c r="Y104" s="23">
        <v>0.00826800974489087</v>
      </c>
      <c r="Z104" s="23">
        <v>0.00830768544538115</v>
      </c>
      <c r="AA104" s="23">
        <v>0.00720262227206073</v>
      </c>
      <c r="AB104">
        <v>80.08</v>
      </c>
      <c r="AC104">
        <v>97.36</v>
      </c>
      <c r="AD104">
        <v>115.02</v>
      </c>
      <c r="AE104">
        <v>52.13</v>
      </c>
      <c r="AF104" s="23">
        <v>0.800880088008801</v>
      </c>
      <c r="AG104" s="23" t="s">
        <v>375</v>
      </c>
      <c r="AH104" s="23">
        <v>0.287578757875788</v>
      </c>
      <c r="AI104" s="23">
        <v>0.173784045071174</v>
      </c>
      <c r="AJ104">
        <v>0</v>
      </c>
      <c r="AK104">
        <v>709</v>
      </c>
      <c r="AL104">
        <v>823</v>
      </c>
      <c r="AM104">
        <v>618</v>
      </c>
      <c r="AN104" s="23" t="s">
        <v>54</v>
      </c>
      <c r="AO104" s="23">
        <v>0</v>
      </c>
      <c r="AP104" s="23">
        <v>0.00486026731470231</v>
      </c>
      <c r="AQ104" s="23">
        <v>0.00485436893203883</v>
      </c>
      <c r="AR104" s="35">
        <v>0.142857142857143</v>
      </c>
      <c r="AS104" s="35">
        <v>8.57142857142857</v>
      </c>
      <c r="AT104" s="35">
        <v>-0.571428571428571</v>
      </c>
      <c r="AU104" s="31">
        <f t="shared" si="5"/>
        <v>56</v>
      </c>
      <c r="AV104" s="36">
        <f>IFERROR(时间!$B$4+AU104,"上周无销量")</f>
        <v>43346</v>
      </c>
    </row>
    <row r="105" spans="1:48">
      <c r="A105" s="19" t="s">
        <v>376</v>
      </c>
      <c r="B105" t="s">
        <v>377</v>
      </c>
      <c r="C105" t="s">
        <v>378</v>
      </c>
      <c r="D105" s="31">
        <v>5</v>
      </c>
      <c r="E105" s="31">
        <v>3</v>
      </c>
      <c r="F105" s="31">
        <v>4</v>
      </c>
      <c r="G105" s="31">
        <v>0</v>
      </c>
      <c r="H105" s="32">
        <v>93.1566666666667</v>
      </c>
      <c r="I105">
        <v>0</v>
      </c>
      <c r="J105" s="33">
        <v>5</v>
      </c>
      <c r="K105" s="33">
        <v>0</v>
      </c>
      <c r="L105" s="33">
        <v>0</v>
      </c>
      <c r="M105">
        <v>5</v>
      </c>
      <c r="N105">
        <v>0</v>
      </c>
      <c r="O105">
        <v>0</v>
      </c>
      <c r="P105">
        <v>36905</v>
      </c>
      <c r="Q105">
        <v>27411</v>
      </c>
      <c r="R105">
        <v>20407</v>
      </c>
      <c r="S105">
        <v>19902</v>
      </c>
      <c r="T105">
        <v>140</v>
      </c>
      <c r="U105">
        <v>185</v>
      </c>
      <c r="V105">
        <v>205</v>
      </c>
      <c r="W105">
        <v>200</v>
      </c>
      <c r="X105" s="23">
        <v>0.00379352391274895</v>
      </c>
      <c r="Y105" s="23">
        <v>0.00674911531866769</v>
      </c>
      <c r="Z105" s="23">
        <v>0.0100455725976381</v>
      </c>
      <c r="AA105" s="23">
        <v>0.0100492412822832</v>
      </c>
      <c r="AB105">
        <v>20.48</v>
      </c>
      <c r="AC105">
        <v>31.33</v>
      </c>
      <c r="AD105">
        <v>30.62</v>
      </c>
      <c r="AE105">
        <v>30.27</v>
      </c>
      <c r="AF105" s="23">
        <v>0.0439689412101478</v>
      </c>
      <c r="AG105" s="23">
        <v>0.112105055998855</v>
      </c>
      <c r="AH105" s="23">
        <v>0.0821733996493362</v>
      </c>
      <c r="AI105" s="23" t="s">
        <v>379</v>
      </c>
      <c r="AJ105">
        <v>0</v>
      </c>
      <c r="AK105">
        <v>180</v>
      </c>
      <c r="AL105">
        <v>221</v>
      </c>
      <c r="AM105">
        <v>169</v>
      </c>
      <c r="AN105" s="23" t="s">
        <v>54</v>
      </c>
      <c r="AO105" s="23">
        <v>0.0166666666666667</v>
      </c>
      <c r="AP105" s="23">
        <v>0.0180995475113122</v>
      </c>
      <c r="AQ105" s="23">
        <v>0</v>
      </c>
      <c r="AR105" s="35">
        <v>0.714285714285714</v>
      </c>
      <c r="AS105" s="35">
        <v>42.8571428571429</v>
      </c>
      <c r="AT105" s="35">
        <v>-37.8571428571429</v>
      </c>
      <c r="AU105" s="31">
        <f t="shared" si="5"/>
        <v>7</v>
      </c>
      <c r="AV105" s="36">
        <f>IFERROR(时间!$B$4+AU105,"上周无销量")</f>
        <v>43297</v>
      </c>
    </row>
    <row r="106" spans="1:48">
      <c r="A106" s="19" t="s">
        <v>380</v>
      </c>
      <c r="B106" t="s">
        <v>381</v>
      </c>
      <c r="C106" t="s">
        <v>382</v>
      </c>
      <c r="D106" s="31">
        <v>1</v>
      </c>
      <c r="E106" s="31">
        <v>3</v>
      </c>
      <c r="F106" s="31">
        <v>1</v>
      </c>
      <c r="G106" s="31">
        <v>1</v>
      </c>
      <c r="H106" s="32">
        <v>99.99</v>
      </c>
      <c r="I106">
        <v>2</v>
      </c>
      <c r="J106" s="33">
        <v>0</v>
      </c>
      <c r="K106" s="33">
        <v>0</v>
      </c>
      <c r="L106" s="33">
        <v>0</v>
      </c>
      <c r="M106">
        <v>2</v>
      </c>
      <c r="N106">
        <v>0</v>
      </c>
      <c r="O106">
        <v>0</v>
      </c>
      <c r="P106">
        <v>10568</v>
      </c>
      <c r="Q106">
        <v>7099</v>
      </c>
      <c r="R106">
        <v>8953</v>
      </c>
      <c r="S106">
        <v>8042</v>
      </c>
      <c r="T106">
        <v>99</v>
      </c>
      <c r="U106">
        <v>105</v>
      </c>
      <c r="V106">
        <v>136</v>
      </c>
      <c r="W106">
        <v>124</v>
      </c>
      <c r="X106" s="23">
        <v>0.00936790310370931</v>
      </c>
      <c r="Y106" s="23">
        <v>0.0147908156078321</v>
      </c>
      <c r="Z106" s="23">
        <v>0.0151904389590082</v>
      </c>
      <c r="AA106" s="23">
        <v>0.0154190499875653</v>
      </c>
      <c r="AB106">
        <v>11.48</v>
      </c>
      <c r="AC106">
        <v>12.13</v>
      </c>
      <c r="AD106">
        <v>15.24</v>
      </c>
      <c r="AE106">
        <v>13.51</v>
      </c>
      <c r="AF106" s="23">
        <v>0.114811481148115</v>
      </c>
      <c r="AG106" s="23">
        <v>0.0404373770710404</v>
      </c>
      <c r="AH106" s="23">
        <v>0.152415241524152</v>
      </c>
      <c r="AI106" s="23">
        <v>0.135113511351135</v>
      </c>
      <c r="AJ106">
        <v>0</v>
      </c>
      <c r="AK106">
        <v>181</v>
      </c>
      <c r="AL106">
        <v>109</v>
      </c>
      <c r="AM106">
        <v>108</v>
      </c>
      <c r="AN106" s="23" t="s">
        <v>54</v>
      </c>
      <c r="AO106" s="23">
        <v>0.0165745856353591</v>
      </c>
      <c r="AP106" s="23">
        <v>0.00917431192660551</v>
      </c>
      <c r="AQ106" s="23">
        <v>0.00925925925925926</v>
      </c>
      <c r="AR106" s="35">
        <v>0.142857142857143</v>
      </c>
      <c r="AS106" s="35">
        <v>8.57142857142857</v>
      </c>
      <c r="AT106" s="35">
        <v>-6.57142857142857</v>
      </c>
      <c r="AU106" s="31">
        <f t="shared" si="5"/>
        <v>14</v>
      </c>
      <c r="AV106" s="36">
        <f>IFERROR(时间!$B$4+AU106,"上周无销量")</f>
        <v>43304</v>
      </c>
    </row>
    <row r="107" spans="1:48">
      <c r="A107" s="19" t="s">
        <v>383</v>
      </c>
      <c r="B107" t="s">
        <v>384</v>
      </c>
      <c r="C107" t="s">
        <v>385</v>
      </c>
      <c r="D107" s="31">
        <v>0</v>
      </c>
      <c r="E107" s="31">
        <v>1</v>
      </c>
      <c r="F107" s="31">
        <v>0</v>
      </c>
      <c r="G107" s="31">
        <v>0</v>
      </c>
      <c r="H107" s="32">
        <v>89.99</v>
      </c>
      <c r="I107">
        <v>8</v>
      </c>
      <c r="J107" s="33">
        <v>0</v>
      </c>
      <c r="K107" s="33">
        <v>0</v>
      </c>
      <c r="L107" s="33">
        <v>0</v>
      </c>
      <c r="M107">
        <v>8</v>
      </c>
      <c r="N107">
        <v>0</v>
      </c>
      <c r="O107">
        <v>0</v>
      </c>
      <c r="P107">
        <v>17223</v>
      </c>
      <c r="Q107">
        <v>12588</v>
      </c>
      <c r="R107">
        <v>16354</v>
      </c>
      <c r="S107">
        <v>8049</v>
      </c>
      <c r="T107">
        <v>59</v>
      </c>
      <c r="U107">
        <v>58</v>
      </c>
      <c r="V107">
        <v>108</v>
      </c>
      <c r="W107">
        <v>57</v>
      </c>
      <c r="X107" s="23">
        <v>0.00342565174475991</v>
      </c>
      <c r="Y107" s="23">
        <v>0.0046075627581824</v>
      </c>
      <c r="Z107" s="23">
        <v>0.00660388895683013</v>
      </c>
      <c r="AA107" s="23">
        <v>0.00708162504658964</v>
      </c>
      <c r="AB107">
        <v>7.62</v>
      </c>
      <c r="AC107">
        <v>8.89</v>
      </c>
      <c r="AD107">
        <v>16.27</v>
      </c>
      <c r="AE107">
        <v>9.37</v>
      </c>
      <c r="AF107" s="23" t="s">
        <v>386</v>
      </c>
      <c r="AG107" s="23">
        <v>0.098788754306034</v>
      </c>
      <c r="AH107" s="23" t="s">
        <v>387</v>
      </c>
      <c r="AI107" s="23" t="s">
        <v>388</v>
      </c>
      <c r="AJ107">
        <v>0</v>
      </c>
      <c r="AK107">
        <v>59</v>
      </c>
      <c r="AL107">
        <v>78</v>
      </c>
      <c r="AM107">
        <v>105</v>
      </c>
      <c r="AN107" s="23" t="s">
        <v>54</v>
      </c>
      <c r="AO107" s="23">
        <v>0.0169491525423729</v>
      </c>
      <c r="AP107" s="23">
        <v>0</v>
      </c>
      <c r="AQ107" s="23">
        <v>0</v>
      </c>
      <c r="AR107" s="35">
        <v>0</v>
      </c>
      <c r="AS107" s="35">
        <v>0</v>
      </c>
      <c r="AT107" s="35">
        <v>8</v>
      </c>
      <c r="AU107" s="31" t="str">
        <f t="shared" si="5"/>
        <v>库存为8</v>
      </c>
      <c r="AV107" s="36" t="str">
        <f>IFERROR(时间!$B$4+AU107,"上周无销量")</f>
        <v>上周无销量</v>
      </c>
    </row>
    <row r="108" spans="1:48">
      <c r="A108" s="19" t="s">
        <v>389</v>
      </c>
      <c r="B108" t="s">
        <v>390</v>
      </c>
      <c r="C108" t="s">
        <v>391</v>
      </c>
      <c r="D108" s="31">
        <v>0</v>
      </c>
      <c r="E108" s="31">
        <v>0</v>
      </c>
      <c r="F108" s="31">
        <v>1</v>
      </c>
      <c r="G108" s="31">
        <v>0</v>
      </c>
      <c r="H108" s="32">
        <v>108.99</v>
      </c>
      <c r="I108">
        <v>4</v>
      </c>
      <c r="J108" s="33">
        <v>0</v>
      </c>
      <c r="K108" s="33">
        <v>0</v>
      </c>
      <c r="L108" s="33">
        <v>0</v>
      </c>
      <c r="M108">
        <v>4</v>
      </c>
      <c r="N108">
        <v>0</v>
      </c>
      <c r="O108">
        <v>0</v>
      </c>
      <c r="P108">
        <v>488</v>
      </c>
      <c r="Q108">
        <v>141</v>
      </c>
      <c r="R108">
        <v>55</v>
      </c>
      <c r="S108">
        <v>58</v>
      </c>
      <c r="T108">
        <v>7</v>
      </c>
      <c r="U108">
        <v>5</v>
      </c>
      <c r="V108">
        <v>0</v>
      </c>
      <c r="W108">
        <v>0</v>
      </c>
      <c r="X108" s="23">
        <v>0.014344262295082</v>
      </c>
      <c r="Y108" s="23">
        <v>0.0354609929078014</v>
      </c>
      <c r="Z108" s="23">
        <v>0</v>
      </c>
      <c r="AA108" s="23">
        <v>0</v>
      </c>
      <c r="AB108">
        <v>1.92</v>
      </c>
      <c r="AC108">
        <v>0.5</v>
      </c>
      <c r="AD108">
        <v>0</v>
      </c>
      <c r="AE108">
        <v>0</v>
      </c>
      <c r="AF108" s="23" t="s">
        <v>392</v>
      </c>
      <c r="AG108" s="23" t="s">
        <v>393</v>
      </c>
      <c r="AH108" s="23" t="s">
        <v>54</v>
      </c>
      <c r="AI108" s="23" t="s">
        <v>54</v>
      </c>
      <c r="AJ108">
        <v>0</v>
      </c>
      <c r="AK108">
        <v>6</v>
      </c>
      <c r="AL108">
        <v>10</v>
      </c>
      <c r="AM108">
        <v>8</v>
      </c>
      <c r="AN108" s="23" t="s">
        <v>54</v>
      </c>
      <c r="AO108" s="23">
        <v>0</v>
      </c>
      <c r="AP108" s="23">
        <v>0.1</v>
      </c>
      <c r="AQ108" s="23">
        <v>0</v>
      </c>
      <c r="AR108" s="35">
        <v>0</v>
      </c>
      <c r="AS108" s="35">
        <v>0</v>
      </c>
      <c r="AT108" s="35">
        <v>4</v>
      </c>
      <c r="AU108" s="31" t="str">
        <f t="shared" si="5"/>
        <v>库存为4</v>
      </c>
      <c r="AV108" s="36" t="str">
        <f>IFERROR(时间!$B$4+AU108,"上周无销量")</f>
        <v>上周无销量</v>
      </c>
    </row>
    <row r="109" spans="1:48">
      <c r="A109" s="19" t="s">
        <v>394</v>
      </c>
      <c r="B109" t="s">
        <v>395</v>
      </c>
      <c r="C109" t="s">
        <v>396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8</v>
      </c>
      <c r="J109" s="33">
        <v>0</v>
      </c>
      <c r="K109" s="33">
        <v>0</v>
      </c>
      <c r="L109" s="33">
        <v>0</v>
      </c>
      <c r="M109">
        <v>8</v>
      </c>
      <c r="N109">
        <v>0</v>
      </c>
      <c r="O109">
        <v>7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12</v>
      </c>
      <c r="AL109">
        <v>7</v>
      </c>
      <c r="AM109">
        <v>11</v>
      </c>
      <c r="AN109" s="23" t="s">
        <v>54</v>
      </c>
      <c r="AO109" s="23">
        <v>0</v>
      </c>
      <c r="AP109" s="23">
        <v>0</v>
      </c>
      <c r="AQ109" s="23">
        <v>0</v>
      </c>
      <c r="AR109" s="35">
        <v>0</v>
      </c>
      <c r="AS109" s="35">
        <v>0</v>
      </c>
      <c r="AT109" s="35">
        <v>8</v>
      </c>
      <c r="AU109" s="31" t="str">
        <f t="shared" si="5"/>
        <v>库存为8</v>
      </c>
      <c r="AV109" s="36" t="str">
        <f>IFERROR(时间!$B$4+AU109,"上周无销量")</f>
        <v>上周无销量</v>
      </c>
    </row>
    <row r="110" spans="1:48">
      <c r="A110" s="19" t="s">
        <v>397</v>
      </c>
      <c r="B110" t="s">
        <v>398</v>
      </c>
      <c r="C110" t="s">
        <v>396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14</v>
      </c>
      <c r="J110" s="33">
        <v>0</v>
      </c>
      <c r="K110" s="33">
        <v>0</v>
      </c>
      <c r="L110" s="33">
        <v>0</v>
      </c>
      <c r="M110">
        <v>14</v>
      </c>
      <c r="N110">
        <v>1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9</v>
      </c>
      <c r="AL110">
        <v>15</v>
      </c>
      <c r="AM110">
        <v>21</v>
      </c>
      <c r="AN110" s="23" t="s">
        <v>54</v>
      </c>
      <c r="AO110" s="23">
        <v>0</v>
      </c>
      <c r="AP110" s="23">
        <v>0</v>
      </c>
      <c r="AQ110" s="23">
        <v>0</v>
      </c>
      <c r="AR110" s="35">
        <v>0</v>
      </c>
      <c r="AS110" s="35">
        <v>0</v>
      </c>
      <c r="AT110" s="35">
        <v>14</v>
      </c>
      <c r="AU110" s="31" t="str">
        <f t="shared" si="5"/>
        <v>库存为14</v>
      </c>
      <c r="AV110" s="36" t="str">
        <f>IFERROR(时间!$B$4+AU110,"上周无销量")</f>
        <v>上周无销量</v>
      </c>
    </row>
    <row r="111" spans="1:48">
      <c r="A111" s="19" t="s">
        <v>399</v>
      </c>
      <c r="B111" t="s">
        <v>400</v>
      </c>
      <c r="C111" t="s">
        <v>396</v>
      </c>
      <c r="D111" s="31">
        <v>1</v>
      </c>
      <c r="E111" s="31">
        <v>2</v>
      </c>
      <c r="F111" s="31">
        <v>1</v>
      </c>
      <c r="G111" s="31">
        <v>0</v>
      </c>
      <c r="H111" s="32">
        <v>34.99</v>
      </c>
      <c r="I111">
        <v>17</v>
      </c>
      <c r="J111" s="33">
        <v>0</v>
      </c>
      <c r="K111" s="33">
        <v>0</v>
      </c>
      <c r="L111" s="33">
        <v>0</v>
      </c>
      <c r="M111">
        <v>17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60</v>
      </c>
      <c r="AL111">
        <v>58</v>
      </c>
      <c r="AM111">
        <v>66</v>
      </c>
      <c r="AN111" s="23" t="s">
        <v>54</v>
      </c>
      <c r="AO111" s="23">
        <v>0.0333333333333333</v>
      </c>
      <c r="AP111" s="23">
        <v>0.0172413793103448</v>
      </c>
      <c r="AQ111" s="23">
        <v>0</v>
      </c>
      <c r="AR111" s="35">
        <v>0.142857142857143</v>
      </c>
      <c r="AS111" s="35">
        <v>8.57142857142857</v>
      </c>
      <c r="AT111" s="35">
        <v>8.42857142857143</v>
      </c>
      <c r="AU111" s="31">
        <f t="shared" si="5"/>
        <v>119</v>
      </c>
      <c r="AV111" s="36">
        <f>IFERROR(时间!$B$4+AU111,"上周无销量")</f>
        <v>43409</v>
      </c>
    </row>
    <row r="112" spans="1:48">
      <c r="A112" s="19" t="s">
        <v>401</v>
      </c>
      <c r="B112" t="s">
        <v>402</v>
      </c>
      <c r="C112" t="s">
        <v>396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3</v>
      </c>
      <c r="J112" s="33">
        <v>0</v>
      </c>
      <c r="K112" s="33">
        <v>0</v>
      </c>
      <c r="L112" s="33">
        <v>0</v>
      </c>
      <c r="M112">
        <v>3</v>
      </c>
      <c r="N112">
        <v>0</v>
      </c>
      <c r="O112">
        <v>0</v>
      </c>
      <c r="P112">
        <v>423</v>
      </c>
      <c r="Q112">
        <v>221</v>
      </c>
      <c r="R112">
        <v>56</v>
      </c>
      <c r="S112">
        <v>60</v>
      </c>
      <c r="T112">
        <v>4</v>
      </c>
      <c r="U112">
        <v>2</v>
      </c>
      <c r="V112">
        <v>0</v>
      </c>
      <c r="W112">
        <v>0</v>
      </c>
      <c r="X112" s="23">
        <v>0.00945626477541371</v>
      </c>
      <c r="Y112" s="23">
        <v>0.00904977375565611</v>
      </c>
      <c r="Z112" s="23">
        <v>0</v>
      </c>
      <c r="AA112" s="23">
        <v>0</v>
      </c>
      <c r="AB112">
        <v>2.14</v>
      </c>
      <c r="AC112">
        <v>0.25</v>
      </c>
      <c r="AD112">
        <v>0</v>
      </c>
      <c r="AE112">
        <v>0</v>
      </c>
      <c r="AF112" s="23" t="s">
        <v>403</v>
      </c>
      <c r="AG112" s="23" t="s">
        <v>404</v>
      </c>
      <c r="AH112" s="23" t="s">
        <v>54</v>
      </c>
      <c r="AI112" s="23" t="s">
        <v>54</v>
      </c>
      <c r="AJ112">
        <v>0</v>
      </c>
      <c r="AK112">
        <v>4</v>
      </c>
      <c r="AL112">
        <v>5</v>
      </c>
      <c r="AM112">
        <v>2</v>
      </c>
      <c r="AN112" s="23" t="s">
        <v>54</v>
      </c>
      <c r="AO112" s="23">
        <v>0</v>
      </c>
      <c r="AP112" s="23">
        <v>0</v>
      </c>
      <c r="AQ112" s="23">
        <v>0</v>
      </c>
      <c r="AR112" s="35">
        <v>0</v>
      </c>
      <c r="AS112" s="35">
        <v>0</v>
      </c>
      <c r="AT112" s="35">
        <v>3</v>
      </c>
      <c r="AU112" s="31" t="str">
        <f t="shared" si="5"/>
        <v>库存为3</v>
      </c>
      <c r="AV112" s="36" t="str">
        <f>IFERROR(时间!$B$4+AU112,"上周无销量")</f>
        <v>上周无销量</v>
      </c>
    </row>
    <row r="113" spans="1:48">
      <c r="A113" s="19" t="s">
        <v>405</v>
      </c>
      <c r="B113" t="s">
        <v>406</v>
      </c>
      <c r="C113" t="s">
        <v>407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3</v>
      </c>
      <c r="J113" s="33">
        <v>0</v>
      </c>
      <c r="K113" s="33">
        <v>0</v>
      </c>
      <c r="L113" s="33">
        <v>0</v>
      </c>
      <c r="M113">
        <v>3</v>
      </c>
      <c r="N113">
        <v>0</v>
      </c>
      <c r="O113">
        <v>0</v>
      </c>
      <c r="P113">
        <v>235</v>
      </c>
      <c r="Q113">
        <v>39</v>
      </c>
      <c r="R113">
        <v>3</v>
      </c>
      <c r="S113">
        <v>3</v>
      </c>
      <c r="T113">
        <v>1</v>
      </c>
      <c r="U113">
        <v>0</v>
      </c>
      <c r="V113">
        <v>0</v>
      </c>
      <c r="W113">
        <v>0</v>
      </c>
      <c r="X113" s="23">
        <v>0.00425531914893617</v>
      </c>
      <c r="Y113" s="23">
        <v>0</v>
      </c>
      <c r="Z113" s="23">
        <v>0</v>
      </c>
      <c r="AA113" s="23">
        <v>0</v>
      </c>
      <c r="AB113">
        <v>0.27</v>
      </c>
      <c r="AC113">
        <v>0</v>
      </c>
      <c r="AD113">
        <v>0</v>
      </c>
      <c r="AE113">
        <v>0</v>
      </c>
      <c r="AF113" s="23" t="s">
        <v>408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3</v>
      </c>
      <c r="AM113">
        <v>6</v>
      </c>
      <c r="AN113" s="23" t="s">
        <v>54</v>
      </c>
      <c r="AO113" s="23" t="s">
        <v>54</v>
      </c>
      <c r="AP113" s="23">
        <v>0</v>
      </c>
      <c r="AQ113" s="23">
        <v>0</v>
      </c>
      <c r="AR113" s="35">
        <v>0</v>
      </c>
      <c r="AS113" s="35">
        <v>0</v>
      </c>
      <c r="AT113" s="35">
        <v>3</v>
      </c>
      <c r="AU113" s="31" t="str">
        <f t="shared" si="5"/>
        <v>库存为3</v>
      </c>
      <c r="AV113" s="36" t="str">
        <f>IFERROR(时间!$B$4+AU113,"上周无销量")</f>
        <v>上周无销量</v>
      </c>
    </row>
    <row r="114" spans="1:48">
      <c r="A114" s="19" t="s">
        <v>409</v>
      </c>
      <c r="B114" t="s">
        <v>410</v>
      </c>
      <c r="C114" t="s">
        <v>411</v>
      </c>
      <c r="D114" s="31">
        <v>5</v>
      </c>
      <c r="E114" s="31">
        <v>2</v>
      </c>
      <c r="F114" s="31">
        <v>1</v>
      </c>
      <c r="G114" s="31">
        <v>1</v>
      </c>
      <c r="H114" s="32">
        <v>108.99</v>
      </c>
      <c r="I114">
        <v>3</v>
      </c>
      <c r="J114" s="33">
        <v>9</v>
      </c>
      <c r="K114" s="33">
        <v>0</v>
      </c>
      <c r="L114" s="33">
        <v>0</v>
      </c>
      <c r="M114">
        <v>12</v>
      </c>
      <c r="N114">
        <v>0</v>
      </c>
      <c r="O114">
        <v>0</v>
      </c>
      <c r="P114">
        <v>9021</v>
      </c>
      <c r="Q114">
        <v>10190</v>
      </c>
      <c r="R114">
        <v>0</v>
      </c>
      <c r="S114">
        <v>4938</v>
      </c>
      <c r="T114">
        <v>29</v>
      </c>
      <c r="U114">
        <v>59</v>
      </c>
      <c r="V114">
        <v>0</v>
      </c>
      <c r="W114">
        <v>44</v>
      </c>
      <c r="X114" s="23">
        <v>0.00321472120607471</v>
      </c>
      <c r="Y114" s="23">
        <v>0.00578999018645731</v>
      </c>
      <c r="Z114" s="23" t="s">
        <v>54</v>
      </c>
      <c r="AA114" s="23">
        <v>0.00891049007695423</v>
      </c>
      <c r="AB114">
        <v>4.02</v>
      </c>
      <c r="AC114">
        <v>11.27</v>
      </c>
      <c r="AD114">
        <v>0</v>
      </c>
      <c r="AE114">
        <v>10.08</v>
      </c>
      <c r="AF114" s="23">
        <v>0.00737682356179466</v>
      </c>
      <c r="AG114" s="23">
        <v>0.0517019910083494</v>
      </c>
      <c r="AH114" s="23" t="s">
        <v>54</v>
      </c>
      <c r="AI114" s="23">
        <v>0.092485549132948</v>
      </c>
      <c r="AJ114">
        <v>0</v>
      </c>
      <c r="AK114">
        <v>59</v>
      </c>
      <c r="AL114">
        <v>75</v>
      </c>
      <c r="AM114">
        <v>8</v>
      </c>
      <c r="AN114" s="23" t="s">
        <v>54</v>
      </c>
      <c r="AO114" s="23">
        <v>0.0338983050847458</v>
      </c>
      <c r="AP114" s="23">
        <v>0.0133333333333333</v>
      </c>
      <c r="AQ114" s="23">
        <v>0.125</v>
      </c>
      <c r="AR114" s="35">
        <v>0.714285714285714</v>
      </c>
      <c r="AS114" s="35">
        <v>42.8571428571429</v>
      </c>
      <c r="AT114" s="35">
        <v>-30.8571428571429</v>
      </c>
      <c r="AU114" s="31">
        <f t="shared" si="5"/>
        <v>16</v>
      </c>
      <c r="AV114" s="36">
        <f>IFERROR(时间!$B$4+AU114,"上周无销量")</f>
        <v>43306</v>
      </c>
    </row>
    <row r="115" spans="1:48">
      <c r="A115" s="19" t="s">
        <v>412</v>
      </c>
      <c r="B115" t="s">
        <v>413</v>
      </c>
      <c r="C115" t="s">
        <v>414</v>
      </c>
      <c r="D115" s="31">
        <v>0</v>
      </c>
      <c r="E115" s="31">
        <v>0</v>
      </c>
      <c r="F115" s="31">
        <v>0</v>
      </c>
      <c r="G115" s="31">
        <v>1</v>
      </c>
      <c r="H115" s="32">
        <v>108.99</v>
      </c>
      <c r="I115">
        <v>7</v>
      </c>
      <c r="J115" s="33">
        <v>0</v>
      </c>
      <c r="K115" s="33">
        <v>0</v>
      </c>
      <c r="L115" s="33">
        <v>0</v>
      </c>
      <c r="M115">
        <v>7</v>
      </c>
      <c r="N115">
        <v>0</v>
      </c>
      <c r="O115">
        <v>0</v>
      </c>
      <c r="P115">
        <v>0</v>
      </c>
      <c r="Q115">
        <v>0</v>
      </c>
      <c r="R115">
        <v>34</v>
      </c>
      <c r="S115">
        <v>5590</v>
      </c>
      <c r="T115">
        <v>0</v>
      </c>
      <c r="U115">
        <v>0</v>
      </c>
      <c r="V115">
        <v>0</v>
      </c>
      <c r="W115">
        <v>47</v>
      </c>
      <c r="X115" s="23" t="s">
        <v>54</v>
      </c>
      <c r="Y115" s="23" t="s">
        <v>54</v>
      </c>
      <c r="Z115" s="23">
        <v>0</v>
      </c>
      <c r="AA115" s="23">
        <v>0.00840787119856887</v>
      </c>
      <c r="AB115">
        <v>0</v>
      </c>
      <c r="AC115">
        <v>0</v>
      </c>
      <c r="AD115">
        <v>0</v>
      </c>
      <c r="AE115">
        <v>11.51</v>
      </c>
      <c r="AF115" s="23" t="s">
        <v>54</v>
      </c>
      <c r="AG115" s="23" t="s">
        <v>54</v>
      </c>
      <c r="AH115" s="23" t="s">
        <v>54</v>
      </c>
      <c r="AI115" s="23">
        <v>0.105606018900817</v>
      </c>
      <c r="AJ115">
        <v>0</v>
      </c>
      <c r="AK115">
        <v>9</v>
      </c>
      <c r="AL115">
        <v>0</v>
      </c>
      <c r="AM115">
        <v>0</v>
      </c>
      <c r="AN115" s="23" t="s">
        <v>54</v>
      </c>
      <c r="AO115" s="23">
        <v>0</v>
      </c>
      <c r="AP115" s="23" t="s">
        <v>54</v>
      </c>
      <c r="AQ115" s="23" t="s">
        <v>54</v>
      </c>
      <c r="AR115" s="35">
        <v>0</v>
      </c>
      <c r="AS115" s="35">
        <v>0</v>
      </c>
      <c r="AT115" s="35">
        <v>7</v>
      </c>
      <c r="AU115" s="31" t="str">
        <f t="shared" si="5"/>
        <v>库存为7</v>
      </c>
      <c r="AV115" s="36" t="str">
        <f>IFERROR(时间!$B$4+AU115,"上周无销量")</f>
        <v>上周无销量</v>
      </c>
    </row>
    <row r="116" spans="1:48">
      <c r="A116" s="19" t="s">
        <v>415</v>
      </c>
      <c r="B116" t="s">
        <v>416</v>
      </c>
      <c r="C116" t="s">
        <v>417</v>
      </c>
      <c r="D116" s="31">
        <v>1</v>
      </c>
      <c r="E116" s="31">
        <v>5</v>
      </c>
      <c r="F116" s="31">
        <v>2</v>
      </c>
      <c r="G116" s="31">
        <v>2</v>
      </c>
      <c r="H116" s="32">
        <v>89.99</v>
      </c>
      <c r="I116">
        <v>12</v>
      </c>
      <c r="J116" s="33">
        <v>7</v>
      </c>
      <c r="K116" s="33">
        <v>0</v>
      </c>
      <c r="L116" s="33">
        <v>0</v>
      </c>
      <c r="M116">
        <v>19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48696</v>
      </c>
      <c r="T116">
        <v>0</v>
      </c>
      <c r="U116">
        <v>0</v>
      </c>
      <c r="V116">
        <v>0</v>
      </c>
      <c r="W116">
        <v>336</v>
      </c>
      <c r="X116" s="23" t="s">
        <v>54</v>
      </c>
      <c r="Y116" s="23" t="s">
        <v>54</v>
      </c>
      <c r="Z116" s="23" t="s">
        <v>54</v>
      </c>
      <c r="AA116" s="23">
        <v>0.00689995071463775</v>
      </c>
      <c r="AB116">
        <v>0</v>
      </c>
      <c r="AC116">
        <v>0</v>
      </c>
      <c r="AD116">
        <v>0</v>
      </c>
      <c r="AE116">
        <v>46.6</v>
      </c>
      <c r="AF116" s="23" t="s">
        <v>54</v>
      </c>
      <c r="AG116" s="23" t="s">
        <v>54</v>
      </c>
      <c r="AH116" s="23" t="s">
        <v>54</v>
      </c>
      <c r="AI116" s="23">
        <v>0.258917657517502</v>
      </c>
      <c r="AJ116">
        <v>0</v>
      </c>
      <c r="AK116">
        <v>82</v>
      </c>
      <c r="AL116">
        <v>47</v>
      </c>
      <c r="AM116">
        <v>120</v>
      </c>
      <c r="AN116" s="23" t="s">
        <v>54</v>
      </c>
      <c r="AO116" s="23">
        <v>0.0609756097560976</v>
      </c>
      <c r="AP116" s="23">
        <v>0.0425531914893617</v>
      </c>
      <c r="AQ116" s="23">
        <v>0.0166666666666667</v>
      </c>
      <c r="AR116" s="35">
        <v>0.142857142857143</v>
      </c>
      <c r="AS116" s="35">
        <v>8.57142857142857</v>
      </c>
      <c r="AT116" s="35">
        <v>10.4285714285714</v>
      </c>
      <c r="AU116" s="31">
        <f t="shared" si="5"/>
        <v>133</v>
      </c>
      <c r="AV116" s="36">
        <f>IFERROR(时间!$B$4+AU116,"上周无销量")</f>
        <v>43423</v>
      </c>
    </row>
    <row r="117" spans="1:48">
      <c r="A117" s="19" t="s">
        <v>418</v>
      </c>
      <c r="B117" t="s">
        <v>419</v>
      </c>
      <c r="C117" t="s">
        <v>420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8</v>
      </c>
      <c r="J117" s="33">
        <v>0</v>
      </c>
      <c r="K117" s="33">
        <v>0</v>
      </c>
      <c r="L117" s="33">
        <v>0</v>
      </c>
      <c r="M117">
        <v>8</v>
      </c>
      <c r="N117">
        <v>0</v>
      </c>
      <c r="O117">
        <v>8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21</v>
      </c>
      <c r="AL117">
        <v>29</v>
      </c>
      <c r="AM117">
        <v>8</v>
      </c>
      <c r="AN117" s="23" t="s">
        <v>54</v>
      </c>
      <c r="AO117" s="23">
        <v>0</v>
      </c>
      <c r="AP117" s="23">
        <v>0</v>
      </c>
      <c r="AQ117" s="23">
        <v>0</v>
      </c>
      <c r="AR117" s="35">
        <v>0</v>
      </c>
      <c r="AS117" s="35">
        <v>0</v>
      </c>
      <c r="AT117" s="35">
        <v>8</v>
      </c>
      <c r="AU117" s="31" t="str">
        <f t="shared" si="5"/>
        <v>库存为8</v>
      </c>
      <c r="AV117" s="36" t="str">
        <f>IFERROR(时间!$B$4+AU117,"上周无销量")</f>
        <v>上周无销量</v>
      </c>
    </row>
    <row r="118" spans="1:48">
      <c r="A118" s="19" t="s">
        <v>421</v>
      </c>
      <c r="B118" t="s">
        <v>422</v>
      </c>
      <c r="C118" t="s">
        <v>420</v>
      </c>
      <c r="D118" s="31">
        <v>1</v>
      </c>
      <c r="E118" s="31">
        <v>1</v>
      </c>
      <c r="F118" s="31">
        <v>0</v>
      </c>
      <c r="G118" s="31">
        <v>0</v>
      </c>
      <c r="H118" s="32">
        <v>106.99</v>
      </c>
      <c r="I118">
        <v>11</v>
      </c>
      <c r="J118" s="33">
        <v>0</v>
      </c>
      <c r="K118" s="33">
        <v>0</v>
      </c>
      <c r="L118" s="33">
        <v>0</v>
      </c>
      <c r="M118">
        <v>11</v>
      </c>
      <c r="N118">
        <v>0</v>
      </c>
      <c r="O118">
        <v>0</v>
      </c>
      <c r="P118">
        <v>4</v>
      </c>
      <c r="Q118">
        <v>2</v>
      </c>
      <c r="R118">
        <v>1</v>
      </c>
      <c r="S118">
        <v>35658</v>
      </c>
      <c r="T118">
        <v>0</v>
      </c>
      <c r="U118">
        <v>0</v>
      </c>
      <c r="V118">
        <v>0</v>
      </c>
      <c r="W118">
        <v>185</v>
      </c>
      <c r="X118" s="23">
        <v>0</v>
      </c>
      <c r="Y118" s="23">
        <v>0</v>
      </c>
      <c r="Z118" s="23">
        <v>0</v>
      </c>
      <c r="AA118" s="23">
        <v>0.00518817656626844</v>
      </c>
      <c r="AB118">
        <v>0</v>
      </c>
      <c r="AC118">
        <v>0</v>
      </c>
      <c r="AD118">
        <v>0</v>
      </c>
      <c r="AE118">
        <v>24.18</v>
      </c>
      <c r="AF118" s="23" t="s">
        <v>54</v>
      </c>
      <c r="AG118" s="23" t="s">
        <v>54</v>
      </c>
      <c r="AH118" s="23" t="s">
        <v>54</v>
      </c>
      <c r="AI118" s="23" t="s">
        <v>423</v>
      </c>
      <c r="AJ118">
        <v>0</v>
      </c>
      <c r="AK118">
        <v>40</v>
      </c>
      <c r="AL118">
        <v>37</v>
      </c>
      <c r="AM118">
        <v>27</v>
      </c>
      <c r="AN118" s="23" t="s">
        <v>54</v>
      </c>
      <c r="AO118" s="23">
        <v>0.025</v>
      </c>
      <c r="AP118" s="23">
        <v>0</v>
      </c>
      <c r="AQ118" s="23">
        <v>0</v>
      </c>
      <c r="AR118" s="35">
        <v>0.142857142857143</v>
      </c>
      <c r="AS118" s="35">
        <v>8.57142857142857</v>
      </c>
      <c r="AT118" s="35">
        <v>2.42857142857143</v>
      </c>
      <c r="AU118" s="31">
        <f t="shared" si="5"/>
        <v>77</v>
      </c>
      <c r="AV118" s="36">
        <f>IFERROR(时间!$B$4+AU118,"上周无销量")</f>
        <v>43367</v>
      </c>
    </row>
    <row r="119" spans="1:48">
      <c r="A119" s="19" t="s">
        <v>424</v>
      </c>
      <c r="B119" t="s">
        <v>425</v>
      </c>
      <c r="C119" t="s">
        <v>426</v>
      </c>
      <c r="D119" s="31">
        <v>1</v>
      </c>
      <c r="E119" s="31">
        <v>0</v>
      </c>
      <c r="F119" s="31">
        <v>0</v>
      </c>
      <c r="G119" s="31">
        <v>0</v>
      </c>
      <c r="H119" s="32">
        <v>32.99</v>
      </c>
      <c r="I119">
        <v>13</v>
      </c>
      <c r="J119" s="33">
        <v>0</v>
      </c>
      <c r="K119" s="33">
        <v>0</v>
      </c>
      <c r="L119" s="33">
        <v>0</v>
      </c>
      <c r="M119">
        <v>13</v>
      </c>
      <c r="N119">
        <v>0</v>
      </c>
      <c r="O119">
        <v>13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47</v>
      </c>
      <c r="AL119">
        <v>38</v>
      </c>
      <c r="AM119">
        <v>25</v>
      </c>
      <c r="AN119" s="23" t="s">
        <v>54</v>
      </c>
      <c r="AO119" s="23">
        <v>0</v>
      </c>
      <c r="AP119" s="23">
        <v>0</v>
      </c>
      <c r="AQ119" s="23">
        <v>0</v>
      </c>
      <c r="AR119" s="35">
        <v>0.142857142857143</v>
      </c>
      <c r="AS119" s="35">
        <v>8.57142857142857</v>
      </c>
      <c r="AT119" s="35">
        <v>4.42857142857143</v>
      </c>
      <c r="AU119" s="31">
        <f t="shared" si="5"/>
        <v>91</v>
      </c>
      <c r="AV119" s="36">
        <f>IFERROR(时间!$B$4+AU119,"上周无销量")</f>
        <v>43381</v>
      </c>
    </row>
    <row r="120" spans="1:48">
      <c r="A120" s="19" t="s">
        <v>427</v>
      </c>
      <c r="B120" t="s">
        <v>425</v>
      </c>
      <c r="C120" t="s">
        <v>426</v>
      </c>
      <c r="D120" s="31">
        <v>0</v>
      </c>
      <c r="E120" s="31">
        <v>0</v>
      </c>
      <c r="F120" s="31">
        <v>1</v>
      </c>
      <c r="G120" s="31">
        <v>0</v>
      </c>
      <c r="H120" s="32">
        <v>32.99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47</v>
      </c>
      <c r="AL120">
        <v>38</v>
      </c>
      <c r="AM120">
        <v>25</v>
      </c>
      <c r="AN120" s="23" t="s">
        <v>54</v>
      </c>
      <c r="AO120" s="23">
        <v>0</v>
      </c>
      <c r="AP120" s="23">
        <v>0.0263157894736842</v>
      </c>
      <c r="AQ120" s="23">
        <v>0</v>
      </c>
      <c r="AR120" s="35">
        <v>0</v>
      </c>
      <c r="AS120" s="35">
        <v>0</v>
      </c>
      <c r="AT120" s="35">
        <v>0</v>
      </c>
      <c r="AU120" s="31" t="str">
        <f t="shared" si="5"/>
        <v>库存为0</v>
      </c>
      <c r="AV120" s="36" t="str">
        <f>IFERROR(时间!$B$4+AU120,"上周无销量")</f>
        <v>上周无销量</v>
      </c>
    </row>
    <row r="121" spans="1:48">
      <c r="A121" s="19" t="s">
        <v>428</v>
      </c>
      <c r="B121" t="s">
        <v>429</v>
      </c>
      <c r="C121" t="s">
        <v>426</v>
      </c>
      <c r="D121" s="31">
        <v>5</v>
      </c>
      <c r="E121" s="31">
        <v>4</v>
      </c>
      <c r="F121" s="31">
        <v>2</v>
      </c>
      <c r="G121" s="31">
        <v>4</v>
      </c>
      <c r="H121" s="32">
        <v>32.99</v>
      </c>
      <c r="I121">
        <v>16</v>
      </c>
      <c r="J121" s="33">
        <v>0</v>
      </c>
      <c r="K121" s="33">
        <v>0</v>
      </c>
      <c r="L121" s="33">
        <v>0</v>
      </c>
      <c r="M121">
        <v>16</v>
      </c>
      <c r="N121">
        <v>0</v>
      </c>
      <c r="O121">
        <v>0</v>
      </c>
      <c r="P121">
        <v>0</v>
      </c>
      <c r="Q121">
        <v>0</v>
      </c>
      <c r="R121">
        <v>1</v>
      </c>
      <c r="S121">
        <v>178</v>
      </c>
      <c r="T121">
        <v>0</v>
      </c>
      <c r="U121">
        <v>0</v>
      </c>
      <c r="V121">
        <v>0</v>
      </c>
      <c r="W121">
        <v>0</v>
      </c>
      <c r="X121" s="23" t="s">
        <v>54</v>
      </c>
      <c r="Y121" s="23" t="s">
        <v>54</v>
      </c>
      <c r="Z121" s="23">
        <v>0</v>
      </c>
      <c r="AA121" s="23">
        <v>0</v>
      </c>
      <c r="AB121">
        <v>0</v>
      </c>
      <c r="AC121">
        <v>0</v>
      </c>
      <c r="AD121">
        <v>0</v>
      </c>
      <c r="AE121">
        <v>0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155</v>
      </c>
      <c r="AL121">
        <v>92</v>
      </c>
      <c r="AM121">
        <v>131</v>
      </c>
      <c r="AN121" s="23" t="s">
        <v>54</v>
      </c>
      <c r="AO121" s="23">
        <v>0.0258064516129032</v>
      </c>
      <c r="AP121" s="23">
        <v>0.0217391304347826</v>
      </c>
      <c r="AQ121" s="23">
        <v>0.0305343511450382</v>
      </c>
      <c r="AR121" s="35">
        <v>0.714285714285714</v>
      </c>
      <c r="AS121" s="35">
        <v>42.8571428571429</v>
      </c>
      <c r="AT121" s="35">
        <v>-26.8571428571429</v>
      </c>
      <c r="AU121" s="31">
        <f t="shared" si="5"/>
        <v>22</v>
      </c>
      <c r="AV121" s="36">
        <f>IFERROR(时间!$B$4+AU121,"上周无销量")</f>
        <v>43312</v>
      </c>
    </row>
    <row r="122" spans="1:48">
      <c r="A122" s="19" t="s">
        <v>430</v>
      </c>
      <c r="B122" t="s">
        <v>431</v>
      </c>
      <c r="C122" t="s">
        <v>432</v>
      </c>
      <c r="D122" s="31">
        <v>2</v>
      </c>
      <c r="E122" s="31">
        <v>2</v>
      </c>
      <c r="F122" s="31">
        <v>0</v>
      </c>
      <c r="G122" s="31">
        <v>1</v>
      </c>
      <c r="H122" s="32">
        <v>28.19</v>
      </c>
      <c r="I122">
        <v>13</v>
      </c>
      <c r="J122" s="33">
        <v>0</v>
      </c>
      <c r="K122" s="33">
        <v>0</v>
      </c>
      <c r="L122" s="33">
        <v>0</v>
      </c>
      <c r="M122">
        <v>13</v>
      </c>
      <c r="N122">
        <v>0</v>
      </c>
      <c r="O122">
        <v>10</v>
      </c>
      <c r="P122">
        <v>84141</v>
      </c>
      <c r="Q122">
        <v>56796</v>
      </c>
      <c r="R122">
        <v>0</v>
      </c>
      <c r="S122">
        <v>0</v>
      </c>
      <c r="T122">
        <v>374</v>
      </c>
      <c r="U122">
        <v>242</v>
      </c>
      <c r="V122">
        <v>0</v>
      </c>
      <c r="W122">
        <v>0</v>
      </c>
      <c r="X122" s="23">
        <v>0.00444491983694037</v>
      </c>
      <c r="Y122" s="23">
        <v>0.0042608634410874</v>
      </c>
      <c r="Z122" s="23" t="s">
        <v>54</v>
      </c>
      <c r="AA122" s="23" t="s">
        <v>54</v>
      </c>
      <c r="AB122">
        <v>65.2</v>
      </c>
      <c r="AC122">
        <v>42.21</v>
      </c>
      <c r="AD122">
        <v>0</v>
      </c>
      <c r="AE122">
        <v>0</v>
      </c>
      <c r="AF122" s="23">
        <v>1.15643845335225</v>
      </c>
      <c r="AG122" s="23">
        <v>0.748669741042923</v>
      </c>
      <c r="AH122" s="23" t="s">
        <v>54</v>
      </c>
      <c r="AI122" s="23" t="s">
        <v>54</v>
      </c>
      <c r="AJ122">
        <v>0</v>
      </c>
      <c r="AK122">
        <v>287</v>
      </c>
      <c r="AL122">
        <v>216</v>
      </c>
      <c r="AM122">
        <v>21</v>
      </c>
      <c r="AN122" s="23" t="s">
        <v>54</v>
      </c>
      <c r="AO122" s="23">
        <v>0.00696864111498258</v>
      </c>
      <c r="AP122" s="23">
        <v>0</v>
      </c>
      <c r="AQ122" s="23">
        <v>0.0476190476190476</v>
      </c>
      <c r="AR122" s="35">
        <v>0.285714285714286</v>
      </c>
      <c r="AS122" s="35">
        <v>17.1428571428571</v>
      </c>
      <c r="AT122" s="35">
        <v>-4.14285714285714</v>
      </c>
      <c r="AU122" s="31">
        <f t="shared" si="5"/>
        <v>45</v>
      </c>
      <c r="AV122" s="36">
        <f>IFERROR(时间!$B$4+AU122,"上周无销量")</f>
        <v>43335</v>
      </c>
    </row>
    <row r="123" spans="1:48">
      <c r="A123" s="19" t="s">
        <v>433</v>
      </c>
      <c r="B123" t="s">
        <v>434</v>
      </c>
      <c r="C123" t="s">
        <v>435</v>
      </c>
      <c r="D123" s="31">
        <v>1</v>
      </c>
      <c r="E123" s="31">
        <v>2</v>
      </c>
      <c r="F123" s="31">
        <v>2</v>
      </c>
      <c r="G123" s="31">
        <v>0</v>
      </c>
      <c r="H123" s="32">
        <v>27.59</v>
      </c>
      <c r="I123">
        <v>14</v>
      </c>
      <c r="J123" s="33">
        <v>0</v>
      </c>
      <c r="K123" s="33">
        <v>0</v>
      </c>
      <c r="L123" s="33">
        <v>0</v>
      </c>
      <c r="M123">
        <v>14</v>
      </c>
      <c r="N123">
        <v>0</v>
      </c>
      <c r="O123">
        <v>14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127</v>
      </c>
      <c r="AL123">
        <v>71</v>
      </c>
      <c r="AM123">
        <v>12</v>
      </c>
      <c r="AN123" s="23" t="s">
        <v>54</v>
      </c>
      <c r="AO123" s="23">
        <v>0.015748031496063</v>
      </c>
      <c r="AP123" s="23">
        <v>0.028169014084507</v>
      </c>
      <c r="AQ123" s="23">
        <v>0</v>
      </c>
      <c r="AR123" s="35">
        <v>0.142857142857143</v>
      </c>
      <c r="AS123" s="35">
        <v>8.57142857142857</v>
      </c>
      <c r="AT123" s="35">
        <v>5.42857142857143</v>
      </c>
      <c r="AU123" s="31">
        <f t="shared" si="5"/>
        <v>98</v>
      </c>
      <c r="AV123" s="36">
        <f>IFERROR(时间!$B$4+AU123,"上周无销量")</f>
        <v>43388</v>
      </c>
    </row>
    <row r="124" spans="1:48">
      <c r="A124" s="19" t="s">
        <v>436</v>
      </c>
      <c r="B124" t="s">
        <v>437</v>
      </c>
      <c r="C124" t="s">
        <v>435</v>
      </c>
      <c r="D124" s="31">
        <v>3</v>
      </c>
      <c r="E124" s="31">
        <v>4</v>
      </c>
      <c r="F124" s="31">
        <v>2</v>
      </c>
      <c r="G124" s="31">
        <v>0</v>
      </c>
      <c r="H124" s="32">
        <v>26.99</v>
      </c>
      <c r="I124">
        <v>23</v>
      </c>
      <c r="J124" s="33">
        <v>0</v>
      </c>
      <c r="K124" s="33">
        <v>0</v>
      </c>
      <c r="L124" s="33">
        <v>0</v>
      </c>
      <c r="M124">
        <v>23</v>
      </c>
      <c r="N124">
        <v>0</v>
      </c>
      <c r="O124">
        <v>5</v>
      </c>
      <c r="P124">
        <v>55106</v>
      </c>
      <c r="Q124">
        <v>26899</v>
      </c>
      <c r="R124">
        <v>0</v>
      </c>
      <c r="S124">
        <v>0</v>
      </c>
      <c r="T124">
        <v>305</v>
      </c>
      <c r="U124">
        <v>278</v>
      </c>
      <c r="V124">
        <v>0</v>
      </c>
      <c r="W124">
        <v>0</v>
      </c>
      <c r="X124" s="23">
        <v>0.00553478750045367</v>
      </c>
      <c r="Y124" s="23">
        <v>0.0103349566898398</v>
      </c>
      <c r="Z124" s="23" t="s">
        <v>54</v>
      </c>
      <c r="AA124" s="23" t="s">
        <v>54</v>
      </c>
      <c r="AB124">
        <v>52.42</v>
      </c>
      <c r="AC124">
        <v>49.92</v>
      </c>
      <c r="AD124">
        <v>0</v>
      </c>
      <c r="AE124">
        <v>0</v>
      </c>
      <c r="AF124" s="23">
        <v>0.64740027170557</v>
      </c>
      <c r="AG124" s="23">
        <v>0.462393479066321</v>
      </c>
      <c r="AH124" s="23" t="s">
        <v>54</v>
      </c>
      <c r="AI124" s="23" t="s">
        <v>54</v>
      </c>
      <c r="AJ124">
        <v>0</v>
      </c>
      <c r="AK124">
        <v>326</v>
      </c>
      <c r="AL124">
        <v>224</v>
      </c>
      <c r="AM124">
        <v>26</v>
      </c>
      <c r="AN124" s="23" t="s">
        <v>54</v>
      </c>
      <c r="AO124" s="23">
        <v>0.0122699386503067</v>
      </c>
      <c r="AP124" s="23">
        <v>0.00892857142857143</v>
      </c>
      <c r="AQ124" s="23">
        <v>0</v>
      </c>
      <c r="AR124" s="35">
        <v>0.428571428571429</v>
      </c>
      <c r="AS124" s="35">
        <v>25.7142857142857</v>
      </c>
      <c r="AT124" s="35">
        <v>-2.71428571428571</v>
      </c>
      <c r="AU124" s="31">
        <f t="shared" si="5"/>
        <v>53</v>
      </c>
      <c r="AV124" s="36">
        <f>IFERROR(时间!$B$4+AU124,"上周无销量")</f>
        <v>43343</v>
      </c>
    </row>
    <row r="125" spans="1:48">
      <c r="A125" s="19" t="s">
        <v>438</v>
      </c>
      <c r="B125" t="s">
        <v>439</v>
      </c>
      <c r="C125" t="s">
        <v>440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12</v>
      </c>
      <c r="J125" s="33">
        <v>0</v>
      </c>
      <c r="K125" s="33">
        <v>0</v>
      </c>
      <c r="L125" s="33">
        <v>0</v>
      </c>
      <c r="M125">
        <v>12</v>
      </c>
      <c r="N125">
        <v>0</v>
      </c>
      <c r="O125">
        <v>12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7</v>
      </c>
      <c r="AL125">
        <v>19</v>
      </c>
      <c r="AM125">
        <v>18</v>
      </c>
      <c r="AN125" s="23" t="s">
        <v>54</v>
      </c>
      <c r="AO125" s="23">
        <v>0</v>
      </c>
      <c r="AP125" s="23">
        <v>0</v>
      </c>
      <c r="AQ125" s="23">
        <v>0</v>
      </c>
      <c r="AR125" s="35">
        <v>0</v>
      </c>
      <c r="AS125" s="35">
        <v>0</v>
      </c>
      <c r="AT125" s="35">
        <v>12</v>
      </c>
      <c r="AU125" s="31" t="str">
        <f t="shared" si="5"/>
        <v>库存为12</v>
      </c>
      <c r="AV125" s="36" t="str">
        <f>IFERROR(时间!$B$4+AU125,"上周无销量")</f>
        <v>上周无销量</v>
      </c>
    </row>
    <row r="126" spans="1:48">
      <c r="A126" s="19" t="s">
        <v>441</v>
      </c>
      <c r="B126" t="s">
        <v>442</v>
      </c>
      <c r="C126" t="s">
        <v>440</v>
      </c>
      <c r="D126" s="31">
        <v>1</v>
      </c>
      <c r="E126" s="31">
        <v>0</v>
      </c>
      <c r="F126" s="31">
        <v>1</v>
      </c>
      <c r="G126" s="31">
        <v>0</v>
      </c>
      <c r="H126" s="32">
        <v>79.99</v>
      </c>
      <c r="I126">
        <v>14</v>
      </c>
      <c r="J126" s="33">
        <v>0</v>
      </c>
      <c r="K126" s="33">
        <v>0</v>
      </c>
      <c r="L126" s="33">
        <v>0</v>
      </c>
      <c r="M126">
        <v>14</v>
      </c>
      <c r="N126">
        <v>0</v>
      </c>
      <c r="O126">
        <v>14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26</v>
      </c>
      <c r="AL126">
        <v>39</v>
      </c>
      <c r="AM126">
        <v>39</v>
      </c>
      <c r="AN126" s="23" t="s">
        <v>54</v>
      </c>
      <c r="AO126" s="23">
        <v>0</v>
      </c>
      <c r="AP126" s="23">
        <v>0.0256410256410256</v>
      </c>
      <c r="AQ126" s="23">
        <v>0</v>
      </c>
      <c r="AR126" s="35">
        <v>0.142857142857143</v>
      </c>
      <c r="AS126" s="35">
        <v>8.57142857142857</v>
      </c>
      <c r="AT126" s="35">
        <v>5.42857142857143</v>
      </c>
      <c r="AU126" s="31">
        <f t="shared" si="5"/>
        <v>98</v>
      </c>
      <c r="AV126" s="36">
        <f>IFERROR(时间!$B$4+AU126,"上周无销量")</f>
        <v>43388</v>
      </c>
    </row>
    <row r="127" spans="1:48">
      <c r="A127" s="19" t="s">
        <v>443</v>
      </c>
      <c r="B127" t="s">
        <v>444</v>
      </c>
      <c r="C127" t="s">
        <v>445</v>
      </c>
      <c r="D127" s="31">
        <v>0</v>
      </c>
      <c r="E127" s="31">
        <v>0</v>
      </c>
      <c r="F127" s="31">
        <v>3</v>
      </c>
      <c r="G127" s="31">
        <v>4</v>
      </c>
      <c r="H127" s="32">
        <v>90.3142857142857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>
        <v>20591</v>
      </c>
      <c r="Q127">
        <v>8072</v>
      </c>
      <c r="R127">
        <v>24646</v>
      </c>
      <c r="S127">
        <v>15828</v>
      </c>
      <c r="T127">
        <v>225</v>
      </c>
      <c r="U127">
        <v>61</v>
      </c>
      <c r="V127">
        <v>235</v>
      </c>
      <c r="W127">
        <v>176</v>
      </c>
      <c r="X127" s="23">
        <v>0.0109271040745957</v>
      </c>
      <c r="Y127" s="23">
        <v>0.00755698711595639</v>
      </c>
      <c r="Z127" s="23">
        <v>0.00953501582406881</v>
      </c>
      <c r="AA127" s="23">
        <v>0.0111195350012636</v>
      </c>
      <c r="AB127">
        <v>29.26</v>
      </c>
      <c r="AC127">
        <v>8.21</v>
      </c>
      <c r="AD127">
        <v>30.51</v>
      </c>
      <c r="AE127">
        <v>23.95</v>
      </c>
      <c r="AF127" s="23" t="s">
        <v>446</v>
      </c>
      <c r="AG127" s="23" t="s">
        <v>447</v>
      </c>
      <c r="AH127" s="23">
        <v>0.112606770009491</v>
      </c>
      <c r="AI127" s="23">
        <v>0.0662962670041126</v>
      </c>
      <c r="AJ127">
        <v>0</v>
      </c>
      <c r="AK127">
        <v>171</v>
      </c>
      <c r="AL127">
        <v>70</v>
      </c>
      <c r="AM127">
        <v>210</v>
      </c>
      <c r="AN127" s="23" t="s">
        <v>54</v>
      </c>
      <c r="AO127" s="23">
        <v>0</v>
      </c>
      <c r="AP127" s="23">
        <v>0.0428571428571429</v>
      </c>
      <c r="AQ127" s="23">
        <v>0.019047619047619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19" t="s">
        <v>448</v>
      </c>
      <c r="B128" t="s">
        <v>449</v>
      </c>
      <c r="C128" t="s">
        <v>450</v>
      </c>
      <c r="D128" s="31">
        <v>20</v>
      </c>
      <c r="E128" s="31">
        <v>25</v>
      </c>
      <c r="F128" s="31">
        <v>28</v>
      </c>
      <c r="G128" s="31">
        <v>10</v>
      </c>
      <c r="H128" s="32">
        <v>99.0381927710842</v>
      </c>
      <c r="I128">
        <v>242</v>
      </c>
      <c r="J128" s="33">
        <v>0</v>
      </c>
      <c r="K128" s="33">
        <v>0</v>
      </c>
      <c r="L128" s="33">
        <v>0</v>
      </c>
      <c r="M128">
        <v>242</v>
      </c>
      <c r="N128">
        <v>5</v>
      </c>
      <c r="O128">
        <v>0</v>
      </c>
      <c r="P128">
        <v>45908</v>
      </c>
      <c r="Q128">
        <v>61140</v>
      </c>
      <c r="R128">
        <v>54356</v>
      </c>
      <c r="S128">
        <v>51386</v>
      </c>
      <c r="T128">
        <v>267</v>
      </c>
      <c r="U128">
        <v>390</v>
      </c>
      <c r="V128">
        <v>386</v>
      </c>
      <c r="W128">
        <v>355</v>
      </c>
      <c r="X128" s="23">
        <v>0.00581597978565827</v>
      </c>
      <c r="Y128" s="23">
        <v>0.00637880274779195</v>
      </c>
      <c r="Z128" s="23">
        <v>0.00710133195967327</v>
      </c>
      <c r="AA128" s="23">
        <v>0.00690849647763982</v>
      </c>
      <c r="AB128">
        <v>35.53</v>
      </c>
      <c r="AC128">
        <v>54.45</v>
      </c>
      <c r="AD128">
        <v>55.08</v>
      </c>
      <c r="AE128">
        <v>52.1</v>
      </c>
      <c r="AF128" s="23">
        <v>0.0179375244064296</v>
      </c>
      <c r="AG128" s="23">
        <v>0.0219915159905452</v>
      </c>
      <c r="AH128" s="23">
        <v>0.0198624672169623</v>
      </c>
      <c r="AI128" s="23">
        <v>0.0526059680030949</v>
      </c>
      <c r="AJ128">
        <v>0</v>
      </c>
      <c r="AK128">
        <v>1147</v>
      </c>
      <c r="AL128">
        <v>1112</v>
      </c>
      <c r="AM128">
        <v>1016</v>
      </c>
      <c r="AN128" s="23" t="s">
        <v>54</v>
      </c>
      <c r="AO128" s="23">
        <v>0.021795989537925</v>
      </c>
      <c r="AP128" s="23">
        <v>0.0251798561151079</v>
      </c>
      <c r="AQ128" s="23">
        <v>0.00984251968503937</v>
      </c>
      <c r="AR128" s="35">
        <v>2.85714285714286</v>
      </c>
      <c r="AS128" s="35">
        <v>171.428571428571</v>
      </c>
      <c r="AT128" s="35">
        <v>70.5714285714286</v>
      </c>
      <c r="AU128" s="31">
        <f t="shared" si="5"/>
        <v>84</v>
      </c>
      <c r="AV128" s="36">
        <f>IFERROR(时间!$B$4+AU128,"上周无销量")</f>
        <v>43374</v>
      </c>
    </row>
    <row r="129" spans="1:48">
      <c r="A129" s="19" t="s">
        <v>451</v>
      </c>
      <c r="B129" t="s">
        <v>452</v>
      </c>
      <c r="C129" t="s">
        <v>453</v>
      </c>
      <c r="D129" s="31">
        <v>10</v>
      </c>
      <c r="E129" s="31">
        <v>16</v>
      </c>
      <c r="F129" s="31">
        <v>5</v>
      </c>
      <c r="G129" s="31">
        <v>11</v>
      </c>
      <c r="H129" s="32">
        <v>89.9899999999999</v>
      </c>
      <c r="I129">
        <v>39</v>
      </c>
      <c r="J129" s="33">
        <v>4</v>
      </c>
      <c r="K129" s="33">
        <v>0</v>
      </c>
      <c r="L129" s="33">
        <v>10</v>
      </c>
      <c r="M129">
        <v>53</v>
      </c>
      <c r="N129">
        <v>1</v>
      </c>
      <c r="O129">
        <v>0</v>
      </c>
      <c r="P129">
        <v>30176</v>
      </c>
      <c r="Q129">
        <v>38382</v>
      </c>
      <c r="R129">
        <v>48403</v>
      </c>
      <c r="S129">
        <v>45702</v>
      </c>
      <c r="T129">
        <v>266</v>
      </c>
      <c r="U129">
        <v>359</v>
      </c>
      <c r="V129">
        <v>440</v>
      </c>
      <c r="W129">
        <v>496</v>
      </c>
      <c r="X129" s="23">
        <v>0.00881495227995758</v>
      </c>
      <c r="Y129" s="23">
        <v>0.00935334271272993</v>
      </c>
      <c r="Z129" s="23">
        <v>0.00909034563973308</v>
      </c>
      <c r="AA129" s="23">
        <v>0.0108529167213689</v>
      </c>
      <c r="AB129">
        <v>37.47</v>
      </c>
      <c r="AC129">
        <v>48.67</v>
      </c>
      <c r="AD129">
        <v>61.77</v>
      </c>
      <c r="AE129">
        <v>69.7</v>
      </c>
      <c r="AF129" s="23">
        <v>0.0416379597733082</v>
      </c>
      <c r="AG129" s="23">
        <v>0.0338023669296589</v>
      </c>
      <c r="AH129" s="23">
        <v>0.137281920213357</v>
      </c>
      <c r="AI129" s="23">
        <v>0.0704118639444788</v>
      </c>
      <c r="AJ129">
        <v>0</v>
      </c>
      <c r="AK129">
        <v>617</v>
      </c>
      <c r="AL129">
        <v>631</v>
      </c>
      <c r="AM129">
        <v>718</v>
      </c>
      <c r="AN129" s="23" t="s">
        <v>54</v>
      </c>
      <c r="AO129" s="23">
        <v>0.0259319286871961</v>
      </c>
      <c r="AP129" s="23">
        <v>0.00792393026941363</v>
      </c>
      <c r="AQ129" s="23">
        <v>0.0153203342618384</v>
      </c>
      <c r="AR129" s="35">
        <v>1.42857142857143</v>
      </c>
      <c r="AS129" s="35">
        <v>85.7142857142857</v>
      </c>
      <c r="AT129" s="35">
        <v>-32.7142857142857</v>
      </c>
      <c r="AU129" s="31">
        <f t="shared" si="5"/>
        <v>37</v>
      </c>
      <c r="AV129" s="36">
        <f>IFERROR(时间!$B$4+AU129,"上周无销量")</f>
        <v>43327</v>
      </c>
    </row>
    <row r="130" spans="1:48">
      <c r="A130" s="19" t="s">
        <v>454</v>
      </c>
      <c r="B130" t="s">
        <v>455</v>
      </c>
      <c r="C130" t="s">
        <v>456</v>
      </c>
      <c r="D130" s="31">
        <v>7</v>
      </c>
      <c r="E130" s="31">
        <v>9</v>
      </c>
      <c r="F130" s="31">
        <v>11</v>
      </c>
      <c r="G130" s="31">
        <v>8</v>
      </c>
      <c r="H130" s="32">
        <v>89.9899999999999</v>
      </c>
      <c r="I130">
        <v>58</v>
      </c>
      <c r="J130" s="33">
        <v>0</v>
      </c>
      <c r="K130" s="33">
        <v>0</v>
      </c>
      <c r="L130" s="33">
        <v>20</v>
      </c>
      <c r="M130">
        <v>78</v>
      </c>
      <c r="N130">
        <v>3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405</v>
      </c>
      <c r="AL130">
        <v>410</v>
      </c>
      <c r="AM130">
        <v>419</v>
      </c>
      <c r="AN130" s="23" t="s">
        <v>54</v>
      </c>
      <c r="AO130" s="23">
        <v>0.0222222222222222</v>
      </c>
      <c r="AP130" s="23">
        <v>0.0268292682926829</v>
      </c>
      <c r="AQ130" s="23">
        <v>0.0190930787589499</v>
      </c>
      <c r="AR130" s="35">
        <v>1</v>
      </c>
      <c r="AS130" s="35">
        <v>60</v>
      </c>
      <c r="AT130" s="35">
        <v>18</v>
      </c>
      <c r="AU130" s="31">
        <f t="shared" si="5"/>
        <v>78</v>
      </c>
      <c r="AV130" s="36">
        <f>IFERROR(时间!$B$4+AU130,"上周无销量")</f>
        <v>43368</v>
      </c>
    </row>
    <row r="131" spans="1:48">
      <c r="A131" s="19" t="s">
        <v>457</v>
      </c>
      <c r="B131" t="s">
        <v>458</v>
      </c>
      <c r="C131" t="s">
        <v>459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1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50</v>
      </c>
      <c r="AL131">
        <v>46</v>
      </c>
      <c r="AM131">
        <v>45</v>
      </c>
      <c r="AN131" s="23" t="s">
        <v>54</v>
      </c>
      <c r="AO131" s="23">
        <v>0</v>
      </c>
      <c r="AP131" s="23">
        <v>0</v>
      </c>
      <c r="AQ131" s="23">
        <v>0</v>
      </c>
      <c r="AR131" s="35">
        <v>0</v>
      </c>
      <c r="AS131" s="35">
        <v>0</v>
      </c>
      <c r="AT131" s="35">
        <v>0</v>
      </c>
      <c r="AU131" s="31" t="str">
        <f t="shared" si="5"/>
        <v>库存为0</v>
      </c>
      <c r="AV131" s="36" t="str">
        <f>IFERROR(时间!$B$4+AU131,"上周无销量")</f>
        <v>上周无销量</v>
      </c>
    </row>
    <row r="132" spans="1:48">
      <c r="A132" s="19" t="s">
        <v>460</v>
      </c>
      <c r="B132" t="s">
        <v>458</v>
      </c>
      <c r="C132" t="s">
        <v>461</v>
      </c>
      <c r="D132" s="31">
        <v>1</v>
      </c>
      <c r="E132" s="31">
        <v>2</v>
      </c>
      <c r="F132" s="31">
        <v>0</v>
      </c>
      <c r="G132" s="31">
        <v>0</v>
      </c>
      <c r="H132" s="32">
        <v>89.6</v>
      </c>
      <c r="I132">
        <v>49</v>
      </c>
      <c r="J132" s="33">
        <v>0</v>
      </c>
      <c r="K132" s="33">
        <v>0</v>
      </c>
      <c r="L132" s="33">
        <v>0</v>
      </c>
      <c r="M132">
        <v>49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50</v>
      </c>
      <c r="AL132">
        <v>46</v>
      </c>
      <c r="AM132">
        <v>45</v>
      </c>
      <c r="AN132" s="23" t="s">
        <v>54</v>
      </c>
      <c r="AO132" s="23">
        <v>0.04</v>
      </c>
      <c r="AP132" s="23">
        <v>0</v>
      </c>
      <c r="AQ132" s="23">
        <v>0</v>
      </c>
      <c r="AR132" s="35">
        <v>0.142857142857143</v>
      </c>
      <c r="AS132" s="35">
        <v>8.57142857142857</v>
      </c>
      <c r="AT132" s="35">
        <v>40.4285714285714</v>
      </c>
      <c r="AU132" s="31">
        <f t="shared" si="5"/>
        <v>343</v>
      </c>
      <c r="AV132" s="36">
        <f>IFERROR(时间!$B$4+AU132,"上周无销量")</f>
        <v>43633</v>
      </c>
    </row>
    <row r="133" spans="1:48">
      <c r="A133" s="19" t="s">
        <v>462</v>
      </c>
      <c r="B133" t="s">
        <v>463</v>
      </c>
      <c r="C133" t="s">
        <v>464</v>
      </c>
      <c r="D133" s="31">
        <v>8</v>
      </c>
      <c r="E133" s="31">
        <v>7</v>
      </c>
      <c r="F133" s="31">
        <v>14</v>
      </c>
      <c r="G133" s="31">
        <v>18</v>
      </c>
      <c r="H133" s="32">
        <v>89.9899999999999</v>
      </c>
      <c r="I133">
        <v>72</v>
      </c>
      <c r="J133" s="33">
        <v>0</v>
      </c>
      <c r="K133" s="33">
        <v>0</v>
      </c>
      <c r="L133" s="33">
        <v>25</v>
      </c>
      <c r="M133">
        <v>97</v>
      </c>
      <c r="N133">
        <v>4</v>
      </c>
      <c r="O133">
        <v>0</v>
      </c>
      <c r="P133">
        <v>100057</v>
      </c>
      <c r="Q133">
        <v>114056</v>
      </c>
      <c r="R133">
        <v>90404</v>
      </c>
      <c r="S133">
        <v>88684</v>
      </c>
      <c r="T133">
        <v>502</v>
      </c>
      <c r="U133">
        <v>650</v>
      </c>
      <c r="V133">
        <v>575</v>
      </c>
      <c r="W133">
        <v>558</v>
      </c>
      <c r="X133" s="23">
        <v>0.00501714023006886</v>
      </c>
      <c r="Y133" s="23">
        <v>0.00569895489934769</v>
      </c>
      <c r="Z133" s="23">
        <v>0.00636033803813991</v>
      </c>
      <c r="AA133" s="23">
        <v>0.0062920030670696</v>
      </c>
      <c r="AB133">
        <v>69.96</v>
      </c>
      <c r="AC133">
        <v>90.23</v>
      </c>
      <c r="AD133">
        <v>81.29</v>
      </c>
      <c r="AE133">
        <v>77.77</v>
      </c>
      <c r="AF133" s="23">
        <v>0.0971774641626848</v>
      </c>
      <c r="AG133" s="23">
        <v>0.143238137570841</v>
      </c>
      <c r="AH133" s="23">
        <v>0.064523042242789</v>
      </c>
      <c r="AI133" s="23">
        <v>0.0480115074514453</v>
      </c>
      <c r="AJ133">
        <v>0</v>
      </c>
      <c r="AK133">
        <v>769</v>
      </c>
      <c r="AL133">
        <v>816</v>
      </c>
      <c r="AM133">
        <v>717</v>
      </c>
      <c r="AN133" s="23" t="s">
        <v>54</v>
      </c>
      <c r="AO133" s="23">
        <v>0.00910273081924577</v>
      </c>
      <c r="AP133" s="23">
        <v>0.017156862745098</v>
      </c>
      <c r="AQ133" s="23">
        <v>0.0251046025104603</v>
      </c>
      <c r="AR133" s="35">
        <v>1.14285714285714</v>
      </c>
      <c r="AS133" s="35">
        <v>68.5714285714286</v>
      </c>
      <c r="AT133" s="35">
        <v>28.4285714285714</v>
      </c>
      <c r="AU133" s="31">
        <f t="shared" ref="AU133:AU165" si="6">IF(AR133="","库存为"&amp;M133,IF(AS133=0,"库存为"&amp;M133,INT(M133/AR133)))</f>
        <v>84</v>
      </c>
      <c r="AV133" s="36">
        <f>IFERROR(时间!$B$4+AU133,"上周无销量")</f>
        <v>43374</v>
      </c>
    </row>
    <row r="134" spans="1:48">
      <c r="A134" s="19" t="s">
        <v>465</v>
      </c>
      <c r="B134" t="s">
        <v>466</v>
      </c>
      <c r="C134" t="s">
        <v>467</v>
      </c>
      <c r="D134" s="31">
        <v>2</v>
      </c>
      <c r="E134" s="31">
        <v>9</v>
      </c>
      <c r="F134" s="31">
        <v>1</v>
      </c>
      <c r="G134" s="31">
        <v>7</v>
      </c>
      <c r="H134" s="32">
        <v>89.99</v>
      </c>
      <c r="I134">
        <v>52</v>
      </c>
      <c r="J134" s="33">
        <v>0</v>
      </c>
      <c r="K134" s="33">
        <v>0</v>
      </c>
      <c r="L134" s="33">
        <v>27</v>
      </c>
      <c r="M134">
        <v>79</v>
      </c>
      <c r="N134">
        <v>0</v>
      </c>
      <c r="O134">
        <v>0</v>
      </c>
      <c r="P134">
        <v>37826</v>
      </c>
      <c r="Q134">
        <v>52332</v>
      </c>
      <c r="R134">
        <v>59869</v>
      </c>
      <c r="S134">
        <v>51301</v>
      </c>
      <c r="T134">
        <v>188</v>
      </c>
      <c r="U134">
        <v>262</v>
      </c>
      <c r="V134">
        <v>307</v>
      </c>
      <c r="W134">
        <v>334</v>
      </c>
      <c r="X134" s="23">
        <v>0.00497012636810659</v>
      </c>
      <c r="Y134" s="23">
        <v>0.0050064969808148</v>
      </c>
      <c r="Z134" s="23">
        <v>0.00512786249979121</v>
      </c>
      <c r="AA134" s="23">
        <v>0.00651059433539307</v>
      </c>
      <c r="AB134">
        <v>25.34</v>
      </c>
      <c r="AC134">
        <v>34.94</v>
      </c>
      <c r="AD134">
        <v>40.47</v>
      </c>
      <c r="AE134">
        <v>42.97</v>
      </c>
      <c r="AF134" s="23">
        <v>0.140793421491277</v>
      </c>
      <c r="AG134" s="23">
        <v>0.0431405958686768</v>
      </c>
      <c r="AH134" s="23">
        <v>0.449716635181687</v>
      </c>
      <c r="AI134" s="23">
        <v>0.0682139285317416</v>
      </c>
      <c r="AJ134">
        <v>0</v>
      </c>
      <c r="AK134">
        <v>264</v>
      </c>
      <c r="AL134">
        <v>265</v>
      </c>
      <c r="AM134">
        <v>334</v>
      </c>
      <c r="AN134" s="23" t="s">
        <v>54</v>
      </c>
      <c r="AO134" s="23">
        <v>0.0340909090909091</v>
      </c>
      <c r="AP134" s="23">
        <v>0.00377358490566038</v>
      </c>
      <c r="AQ134" s="23">
        <v>0.0209580838323353</v>
      </c>
      <c r="AR134" s="35">
        <v>0.285714285714286</v>
      </c>
      <c r="AS134" s="35">
        <v>17.1428571428571</v>
      </c>
      <c r="AT134" s="35">
        <v>61.8571428571429</v>
      </c>
      <c r="AU134" s="31">
        <f t="shared" si="6"/>
        <v>276</v>
      </c>
      <c r="AV134" s="36">
        <f>IFERROR(时间!$B$4+AU134,"上周无销量")</f>
        <v>43566</v>
      </c>
    </row>
    <row r="135" spans="1:48">
      <c r="A135" s="19" t="s">
        <v>468</v>
      </c>
      <c r="B135" t="s">
        <v>469</v>
      </c>
      <c r="C135" t="s">
        <v>470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7</v>
      </c>
      <c r="J135" s="33">
        <v>0</v>
      </c>
      <c r="K135" s="33">
        <v>0</v>
      </c>
      <c r="L135" s="33">
        <v>0</v>
      </c>
      <c r="M135">
        <v>7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4</v>
      </c>
      <c r="AL135">
        <v>1</v>
      </c>
      <c r="AM135">
        <v>4</v>
      </c>
      <c r="AN135" s="23" t="s">
        <v>54</v>
      </c>
      <c r="AO135" s="23">
        <v>0</v>
      </c>
      <c r="AP135" s="23">
        <v>0</v>
      </c>
      <c r="AQ135" s="23">
        <v>0</v>
      </c>
      <c r="AR135" s="35">
        <v>0</v>
      </c>
      <c r="AS135" s="35">
        <v>0</v>
      </c>
      <c r="AT135" s="35">
        <v>7</v>
      </c>
      <c r="AU135" s="31" t="str">
        <f t="shared" si="6"/>
        <v>库存为7</v>
      </c>
      <c r="AV135" s="36" t="str">
        <f>IFERROR(时间!$B$4+AU135,"上周无销量")</f>
        <v>上周无销量</v>
      </c>
    </row>
    <row r="136" spans="1:48">
      <c r="A136" s="19" t="s">
        <v>471</v>
      </c>
      <c r="B136" t="s">
        <v>472</v>
      </c>
      <c r="C136" t="s">
        <v>473</v>
      </c>
      <c r="D136" s="31">
        <v>1</v>
      </c>
      <c r="E136" s="31">
        <v>0</v>
      </c>
      <c r="F136" s="31">
        <v>0</v>
      </c>
      <c r="G136" s="31">
        <v>1</v>
      </c>
      <c r="H136" s="32">
        <v>83.445</v>
      </c>
      <c r="I136">
        <v>16</v>
      </c>
      <c r="J136" s="33">
        <v>0</v>
      </c>
      <c r="K136" s="33">
        <v>0</v>
      </c>
      <c r="L136" s="33">
        <v>0</v>
      </c>
      <c r="M136">
        <v>16</v>
      </c>
      <c r="N136">
        <v>0</v>
      </c>
      <c r="O136">
        <v>6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36</v>
      </c>
      <c r="AL136">
        <v>14</v>
      </c>
      <c r="AM136">
        <v>18</v>
      </c>
      <c r="AN136" s="23" t="s">
        <v>54</v>
      </c>
      <c r="AO136" s="23">
        <v>0</v>
      </c>
      <c r="AP136" s="23">
        <v>0</v>
      </c>
      <c r="AQ136" s="23">
        <v>0.0555555555555556</v>
      </c>
      <c r="AR136" s="35">
        <v>0.142857142857143</v>
      </c>
      <c r="AS136" s="35">
        <v>8.57142857142857</v>
      </c>
      <c r="AT136" s="35">
        <v>7.42857142857143</v>
      </c>
      <c r="AU136" s="31">
        <f t="shared" si="6"/>
        <v>112</v>
      </c>
      <c r="AV136" s="36">
        <f>IFERROR(时间!$B$4+AU136,"上周无销量")</f>
        <v>43402</v>
      </c>
    </row>
    <row r="137" spans="1:48">
      <c r="A137" s="19" t="s">
        <v>474</v>
      </c>
      <c r="B137" t="s">
        <v>475</v>
      </c>
      <c r="C137" t="s">
        <v>476</v>
      </c>
      <c r="D137" s="31">
        <v>0</v>
      </c>
      <c r="E137" s="31">
        <v>0</v>
      </c>
      <c r="F137" s="31">
        <v>0</v>
      </c>
      <c r="G137" s="31">
        <v>1</v>
      </c>
      <c r="H137" s="32">
        <v>29.99</v>
      </c>
      <c r="I137">
        <v>10</v>
      </c>
      <c r="J137" s="33">
        <v>0</v>
      </c>
      <c r="K137" s="33">
        <v>0</v>
      </c>
      <c r="L137" s="33">
        <v>0</v>
      </c>
      <c r="M137">
        <v>10</v>
      </c>
      <c r="N137">
        <v>0</v>
      </c>
      <c r="O137">
        <v>10</v>
      </c>
      <c r="P137">
        <v>7436</v>
      </c>
      <c r="Q137">
        <v>9732</v>
      </c>
      <c r="R137">
        <v>6685</v>
      </c>
      <c r="S137">
        <v>4191</v>
      </c>
      <c r="T137">
        <v>96</v>
      </c>
      <c r="U137">
        <v>96</v>
      </c>
      <c r="V137">
        <v>71</v>
      </c>
      <c r="W137">
        <v>27</v>
      </c>
      <c r="X137" s="23">
        <v>0.0129101667563206</v>
      </c>
      <c r="Y137" s="23">
        <v>0.00986436498150432</v>
      </c>
      <c r="Z137" s="23">
        <v>0.0106207928197457</v>
      </c>
      <c r="AA137" s="23">
        <v>0.00644237652111668</v>
      </c>
      <c r="AB137">
        <v>17.15</v>
      </c>
      <c r="AC137">
        <v>16.13</v>
      </c>
      <c r="AD137">
        <v>11.27</v>
      </c>
      <c r="AE137">
        <v>4.26</v>
      </c>
      <c r="AF137" s="23" t="s">
        <v>477</v>
      </c>
      <c r="AG137" s="23" t="s">
        <v>478</v>
      </c>
      <c r="AH137" s="23" t="s">
        <v>479</v>
      </c>
      <c r="AI137" s="23">
        <v>0.142047349116372</v>
      </c>
      <c r="AJ137">
        <v>0</v>
      </c>
      <c r="AK137">
        <v>82</v>
      </c>
      <c r="AL137">
        <v>50</v>
      </c>
      <c r="AM137">
        <v>44</v>
      </c>
      <c r="AN137" s="23" t="s">
        <v>54</v>
      </c>
      <c r="AO137" s="23">
        <v>0</v>
      </c>
      <c r="AP137" s="23">
        <v>0</v>
      </c>
      <c r="AQ137" s="23">
        <v>0.0227272727272727</v>
      </c>
      <c r="AR137" s="35">
        <v>0</v>
      </c>
      <c r="AS137" s="35">
        <v>0</v>
      </c>
      <c r="AT137" s="35">
        <v>10</v>
      </c>
      <c r="AU137" s="31" t="str">
        <f t="shared" si="6"/>
        <v>库存为10</v>
      </c>
      <c r="AV137" s="36" t="str">
        <f>IFERROR(时间!$B$4+AU137,"上周无销量")</f>
        <v>上周无销量</v>
      </c>
    </row>
    <row r="138" spans="1:48">
      <c r="A138" s="19" t="s">
        <v>480</v>
      </c>
      <c r="B138" t="s">
        <v>481</v>
      </c>
      <c r="C138" t="s">
        <v>476</v>
      </c>
      <c r="D138" s="31">
        <v>0</v>
      </c>
      <c r="E138" s="31">
        <v>0</v>
      </c>
      <c r="F138" s="31">
        <v>1</v>
      </c>
      <c r="G138" s="31">
        <v>1</v>
      </c>
      <c r="H138" s="32">
        <v>89.795</v>
      </c>
      <c r="I138">
        <v>21</v>
      </c>
      <c r="J138" s="33">
        <v>0</v>
      </c>
      <c r="K138" s="33">
        <v>0</v>
      </c>
      <c r="L138" s="33">
        <v>0</v>
      </c>
      <c r="M138">
        <v>21</v>
      </c>
      <c r="N138">
        <v>0</v>
      </c>
      <c r="O138">
        <v>21</v>
      </c>
      <c r="P138">
        <v>0</v>
      </c>
      <c r="Q138">
        <v>30</v>
      </c>
      <c r="R138">
        <v>152</v>
      </c>
      <c r="S138">
        <v>145</v>
      </c>
      <c r="T138">
        <v>0</v>
      </c>
      <c r="U138">
        <v>0</v>
      </c>
      <c r="V138">
        <v>0</v>
      </c>
      <c r="W138">
        <v>0</v>
      </c>
      <c r="X138" s="23" t="s">
        <v>54</v>
      </c>
      <c r="Y138" s="23">
        <v>0</v>
      </c>
      <c r="Z138" s="23">
        <v>0</v>
      </c>
      <c r="AA138" s="23">
        <v>0</v>
      </c>
      <c r="AB138">
        <v>0</v>
      </c>
      <c r="AC138">
        <v>0</v>
      </c>
      <c r="AD138">
        <v>0</v>
      </c>
      <c r="AE138">
        <v>0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53</v>
      </c>
      <c r="AL138">
        <v>45</v>
      </c>
      <c r="AM138">
        <v>49</v>
      </c>
      <c r="AN138" s="23" t="s">
        <v>54</v>
      </c>
      <c r="AO138" s="23">
        <v>0</v>
      </c>
      <c r="AP138" s="23">
        <v>0.0222222222222222</v>
      </c>
      <c r="AQ138" s="23">
        <v>0.0204081632653061</v>
      </c>
      <c r="AR138" s="35">
        <v>0</v>
      </c>
      <c r="AS138" s="35">
        <v>0</v>
      </c>
      <c r="AT138" s="35">
        <v>21</v>
      </c>
      <c r="AU138" s="31" t="str">
        <f t="shared" si="6"/>
        <v>库存为21</v>
      </c>
      <c r="AV138" s="36" t="str">
        <f>IFERROR(时间!$B$4+AU138,"上周无销量")</f>
        <v>上周无销量</v>
      </c>
    </row>
    <row r="139" spans="1:48">
      <c r="A139" s="19" t="s">
        <v>482</v>
      </c>
      <c r="B139" t="s">
        <v>483</v>
      </c>
      <c r="C139" t="s">
        <v>476</v>
      </c>
      <c r="D139" s="31">
        <v>0</v>
      </c>
      <c r="E139" s="31">
        <v>0</v>
      </c>
      <c r="F139" s="31">
        <v>0</v>
      </c>
      <c r="G139" s="31">
        <v>1</v>
      </c>
      <c r="H139" s="32">
        <v>89.6</v>
      </c>
      <c r="I139">
        <v>34</v>
      </c>
      <c r="J139" s="33">
        <v>0</v>
      </c>
      <c r="K139" s="33">
        <v>0</v>
      </c>
      <c r="L139" s="33">
        <v>0</v>
      </c>
      <c r="M139">
        <v>34</v>
      </c>
      <c r="N139">
        <v>0</v>
      </c>
      <c r="O139">
        <v>33</v>
      </c>
      <c r="P139">
        <v>353</v>
      </c>
      <c r="Q139">
        <v>1211</v>
      </c>
      <c r="R139">
        <v>1941</v>
      </c>
      <c r="S139">
        <v>1778</v>
      </c>
      <c r="T139">
        <v>2</v>
      </c>
      <c r="U139">
        <v>6</v>
      </c>
      <c r="V139">
        <v>4</v>
      </c>
      <c r="W139">
        <v>7</v>
      </c>
      <c r="X139" s="23">
        <v>0.0056657223796034</v>
      </c>
      <c r="Y139" s="23">
        <v>0.00495458298926507</v>
      </c>
      <c r="Z139" s="23">
        <v>0.0020607934054611</v>
      </c>
      <c r="AA139" s="23">
        <v>0.00393700787401575</v>
      </c>
      <c r="AB139">
        <v>0.23</v>
      </c>
      <c r="AC139">
        <v>0.59</v>
      </c>
      <c r="AD139">
        <v>0.68</v>
      </c>
      <c r="AE139">
        <v>1.03</v>
      </c>
      <c r="AF139" s="23" t="s">
        <v>484</v>
      </c>
      <c r="AG139" s="23" t="s">
        <v>485</v>
      </c>
      <c r="AH139" s="23" t="s">
        <v>486</v>
      </c>
      <c r="AI139" s="23">
        <v>0.0114955357142857</v>
      </c>
      <c r="AJ139">
        <v>0</v>
      </c>
      <c r="AK139">
        <v>91</v>
      </c>
      <c r="AL139">
        <v>16</v>
      </c>
      <c r="AM139">
        <v>21</v>
      </c>
      <c r="AN139" s="23" t="s">
        <v>54</v>
      </c>
      <c r="AO139" s="23">
        <v>0</v>
      </c>
      <c r="AP139" s="23">
        <v>0</v>
      </c>
      <c r="AQ139" s="23">
        <v>0.0476190476190476</v>
      </c>
      <c r="AR139" s="35">
        <v>0</v>
      </c>
      <c r="AS139" s="35">
        <v>0</v>
      </c>
      <c r="AT139" s="35">
        <v>34</v>
      </c>
      <c r="AU139" s="31" t="str">
        <f t="shared" si="6"/>
        <v>库存为34</v>
      </c>
      <c r="AV139" s="36" t="str">
        <f>IFERROR(时间!$B$4+AU139,"上周无销量")</f>
        <v>上周无销量</v>
      </c>
    </row>
    <row r="140" spans="1:48">
      <c r="A140" s="19" t="s">
        <v>487</v>
      </c>
      <c r="B140" t="s">
        <v>488</v>
      </c>
      <c r="C140" t="s">
        <v>489</v>
      </c>
      <c r="D140" s="31">
        <v>0</v>
      </c>
      <c r="E140" s="31">
        <v>1</v>
      </c>
      <c r="F140" s="31">
        <v>3</v>
      </c>
      <c r="G140" s="31">
        <v>1</v>
      </c>
      <c r="H140" s="32">
        <v>99.99</v>
      </c>
      <c r="I140">
        <v>12</v>
      </c>
      <c r="J140" s="33">
        <v>1</v>
      </c>
      <c r="K140" s="33">
        <v>0</v>
      </c>
      <c r="L140" s="33">
        <v>0</v>
      </c>
      <c r="M140">
        <v>13</v>
      </c>
      <c r="N140">
        <v>0</v>
      </c>
      <c r="O140">
        <v>0</v>
      </c>
      <c r="P140">
        <v>1</v>
      </c>
      <c r="Q140">
        <v>5</v>
      </c>
      <c r="R140">
        <v>1</v>
      </c>
      <c r="S140">
        <v>2</v>
      </c>
      <c r="T140">
        <v>0</v>
      </c>
      <c r="U140">
        <v>0</v>
      </c>
      <c r="V140">
        <v>0</v>
      </c>
      <c r="W140">
        <v>0</v>
      </c>
      <c r="X140" s="23">
        <v>0</v>
      </c>
      <c r="Y140" s="23">
        <v>0</v>
      </c>
      <c r="Z140" s="23">
        <v>0</v>
      </c>
      <c r="AA140" s="23">
        <v>0</v>
      </c>
      <c r="AB140">
        <v>0</v>
      </c>
      <c r="AC140">
        <v>0</v>
      </c>
      <c r="AD140">
        <v>0</v>
      </c>
      <c r="AE140">
        <v>0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99</v>
      </c>
      <c r="AL140">
        <v>75</v>
      </c>
      <c r="AM140">
        <v>119</v>
      </c>
      <c r="AN140" s="23" t="s">
        <v>54</v>
      </c>
      <c r="AO140" s="23">
        <v>0.0101010101010101</v>
      </c>
      <c r="AP140" s="23">
        <v>0.04</v>
      </c>
      <c r="AQ140" s="23">
        <v>0.00840336134453781</v>
      </c>
      <c r="AR140" s="35">
        <v>0</v>
      </c>
      <c r="AS140" s="35">
        <v>0</v>
      </c>
      <c r="AT140" s="35">
        <v>13</v>
      </c>
      <c r="AU140" s="31" t="str">
        <f t="shared" si="6"/>
        <v>库存为13</v>
      </c>
      <c r="AV140" s="36" t="str">
        <f>IFERROR(时间!$B$4+AU140,"上周无销量")</f>
        <v>上周无销量</v>
      </c>
    </row>
    <row r="141" spans="1:48">
      <c r="A141" s="19" t="s">
        <v>490</v>
      </c>
      <c r="B141" t="s">
        <v>491</v>
      </c>
      <c r="C141" t="s">
        <v>492</v>
      </c>
      <c r="D141" s="31">
        <v>0</v>
      </c>
      <c r="E141" s="31">
        <v>0</v>
      </c>
      <c r="F141" s="31">
        <v>0</v>
      </c>
      <c r="G141" s="31">
        <v>1</v>
      </c>
      <c r="H141" s="32">
        <v>89.99</v>
      </c>
      <c r="I141">
        <v>16</v>
      </c>
      <c r="J141" s="33">
        <v>0</v>
      </c>
      <c r="K141" s="33">
        <v>0</v>
      </c>
      <c r="L141" s="33">
        <v>0</v>
      </c>
      <c r="M141">
        <v>16</v>
      </c>
      <c r="N141">
        <v>0</v>
      </c>
      <c r="O141">
        <v>1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4</v>
      </c>
      <c r="AL141">
        <v>8</v>
      </c>
      <c r="AM141">
        <v>6</v>
      </c>
      <c r="AN141" s="23" t="s">
        <v>54</v>
      </c>
      <c r="AO141" s="23">
        <v>0</v>
      </c>
      <c r="AP141" s="23">
        <v>0</v>
      </c>
      <c r="AQ141" s="23">
        <v>0.166666666666667</v>
      </c>
      <c r="AR141" s="35">
        <v>0</v>
      </c>
      <c r="AS141" s="35">
        <v>0</v>
      </c>
      <c r="AT141" s="35">
        <v>16</v>
      </c>
      <c r="AU141" s="31" t="str">
        <f t="shared" si="6"/>
        <v>库存为16</v>
      </c>
      <c r="AV141" s="36" t="str">
        <f>IFERROR(时间!$B$4+AU141,"上周无销量")</f>
        <v>上周无销量</v>
      </c>
    </row>
    <row r="142" spans="1:48">
      <c r="A142" s="19" t="s">
        <v>493</v>
      </c>
      <c r="B142" t="s">
        <v>494</v>
      </c>
      <c r="C142" t="s">
        <v>495</v>
      </c>
      <c r="D142" s="31">
        <v>0</v>
      </c>
      <c r="E142" s="31">
        <v>1</v>
      </c>
      <c r="F142" s="31">
        <v>0</v>
      </c>
      <c r="G142" s="31">
        <v>0</v>
      </c>
      <c r="H142" s="32">
        <v>32.99</v>
      </c>
      <c r="I142">
        <v>10</v>
      </c>
      <c r="J142" s="33">
        <v>0</v>
      </c>
      <c r="K142" s="33">
        <v>0</v>
      </c>
      <c r="L142" s="33">
        <v>1</v>
      </c>
      <c r="M142">
        <v>11</v>
      </c>
      <c r="N142">
        <v>0</v>
      </c>
      <c r="O142">
        <v>6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109</v>
      </c>
      <c r="AL142">
        <v>69</v>
      </c>
      <c r="AM142">
        <v>51</v>
      </c>
      <c r="AN142" s="23" t="s">
        <v>54</v>
      </c>
      <c r="AO142" s="23">
        <v>0.00917431192660551</v>
      </c>
      <c r="AP142" s="23">
        <v>0</v>
      </c>
      <c r="AQ142" s="23">
        <v>0</v>
      </c>
      <c r="AR142" s="35">
        <v>0</v>
      </c>
      <c r="AS142" s="35">
        <v>0</v>
      </c>
      <c r="AT142" s="35">
        <v>11</v>
      </c>
      <c r="AU142" s="31" t="str">
        <f t="shared" si="6"/>
        <v>库存为11</v>
      </c>
      <c r="AV142" s="36" t="str">
        <f>IFERROR(时间!$B$4+AU142,"上周无销量")</f>
        <v>上周无销量</v>
      </c>
    </row>
    <row r="143" spans="1:48">
      <c r="A143" s="19" t="s">
        <v>496</v>
      </c>
      <c r="B143" t="s">
        <v>497</v>
      </c>
      <c r="C143" t="s">
        <v>495</v>
      </c>
      <c r="D143" s="31">
        <v>1</v>
      </c>
      <c r="E143" s="31">
        <v>1</v>
      </c>
      <c r="F143" s="31">
        <v>2</v>
      </c>
      <c r="G143" s="31">
        <v>0</v>
      </c>
      <c r="H143" s="32">
        <v>32.99</v>
      </c>
      <c r="I143">
        <v>11</v>
      </c>
      <c r="J143" s="33">
        <v>0</v>
      </c>
      <c r="K143" s="33">
        <v>0</v>
      </c>
      <c r="L143" s="33">
        <v>0</v>
      </c>
      <c r="M143">
        <v>11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95</v>
      </c>
      <c r="AL143">
        <v>81</v>
      </c>
      <c r="AM143">
        <v>52</v>
      </c>
      <c r="AN143" s="23" t="s">
        <v>54</v>
      </c>
      <c r="AO143" s="23">
        <v>0.0105263157894737</v>
      </c>
      <c r="AP143" s="23">
        <v>0.0246913580246914</v>
      </c>
      <c r="AQ143" s="23">
        <v>0</v>
      </c>
      <c r="AR143" s="35">
        <v>0.142857142857143</v>
      </c>
      <c r="AS143" s="35">
        <v>8.57142857142857</v>
      </c>
      <c r="AT143" s="35">
        <v>2.42857142857143</v>
      </c>
      <c r="AU143" s="31">
        <f t="shared" si="6"/>
        <v>77</v>
      </c>
      <c r="AV143" s="36">
        <f>IFERROR(时间!$B$4+AU143,"上周无销量")</f>
        <v>43367</v>
      </c>
    </row>
    <row r="144" spans="1:48">
      <c r="A144" s="19" t="s">
        <v>498</v>
      </c>
      <c r="B144" t="s">
        <v>499</v>
      </c>
      <c r="C144" t="s">
        <v>495</v>
      </c>
      <c r="D144" s="31">
        <v>1</v>
      </c>
      <c r="E144" s="31">
        <v>4</v>
      </c>
      <c r="F144" s="31">
        <v>3</v>
      </c>
      <c r="G144" s="31">
        <v>2</v>
      </c>
      <c r="H144" s="32">
        <v>34.99</v>
      </c>
      <c r="I144">
        <v>26</v>
      </c>
      <c r="J144" s="33">
        <v>20</v>
      </c>
      <c r="K144" s="33">
        <v>0</v>
      </c>
      <c r="L144" s="33">
        <v>33</v>
      </c>
      <c r="M144">
        <v>79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183</v>
      </c>
      <c r="AL144">
        <v>169</v>
      </c>
      <c r="AM144">
        <v>175</v>
      </c>
      <c r="AN144" s="23" t="s">
        <v>54</v>
      </c>
      <c r="AO144" s="23">
        <v>0.0218579234972678</v>
      </c>
      <c r="AP144" s="23">
        <v>0.0177514792899408</v>
      </c>
      <c r="AQ144" s="23">
        <v>0.0114285714285714</v>
      </c>
      <c r="AR144" s="35">
        <v>0.142857142857143</v>
      </c>
      <c r="AS144" s="35">
        <v>8.57142857142857</v>
      </c>
      <c r="AT144" s="35">
        <v>70.4285714285714</v>
      </c>
      <c r="AU144" s="31">
        <f t="shared" si="6"/>
        <v>553</v>
      </c>
      <c r="AV144" s="36">
        <f>IFERROR(时间!$B$4+AU144,"上周无销量")</f>
        <v>43843</v>
      </c>
    </row>
    <row r="145" spans="1:48">
      <c r="A145" s="19" t="s">
        <v>500</v>
      </c>
      <c r="B145" t="s">
        <v>494</v>
      </c>
      <c r="C145" t="s">
        <v>495</v>
      </c>
      <c r="D145" s="31">
        <v>1</v>
      </c>
      <c r="E145" s="31">
        <v>0</v>
      </c>
      <c r="F145" s="31">
        <v>1</v>
      </c>
      <c r="G145" s="31">
        <v>0</v>
      </c>
      <c r="H145" s="32">
        <v>32.99</v>
      </c>
      <c r="I145">
        <v>10</v>
      </c>
      <c r="J145" s="33">
        <v>0</v>
      </c>
      <c r="K145" s="33">
        <v>0</v>
      </c>
      <c r="L145" s="33">
        <v>0</v>
      </c>
      <c r="M145">
        <v>10</v>
      </c>
      <c r="N145">
        <v>0</v>
      </c>
      <c r="O145">
        <v>10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109</v>
      </c>
      <c r="AL145">
        <v>69</v>
      </c>
      <c r="AM145">
        <v>51</v>
      </c>
      <c r="AN145" s="23" t="s">
        <v>54</v>
      </c>
      <c r="AO145" s="23">
        <v>0</v>
      </c>
      <c r="AP145" s="23">
        <v>0.0144927536231884</v>
      </c>
      <c r="AQ145" s="23">
        <v>0</v>
      </c>
      <c r="AR145" s="35">
        <v>0.142857142857143</v>
      </c>
      <c r="AS145" s="35">
        <v>8.57142857142857</v>
      </c>
      <c r="AT145" s="35">
        <v>1.42857142857143</v>
      </c>
      <c r="AU145" s="31">
        <f t="shared" si="6"/>
        <v>70</v>
      </c>
      <c r="AV145" s="36">
        <f>IFERROR(时间!$B$4+AU145,"上周无销量")</f>
        <v>43360</v>
      </c>
    </row>
    <row r="146" spans="1:48">
      <c r="A146" s="19" t="s">
        <v>501</v>
      </c>
      <c r="B146" t="s">
        <v>502</v>
      </c>
      <c r="C146" t="s">
        <v>503</v>
      </c>
      <c r="D146" s="31">
        <v>0</v>
      </c>
      <c r="E146" s="31">
        <v>0</v>
      </c>
      <c r="F146" s="31">
        <v>1</v>
      </c>
      <c r="G146" s="31">
        <v>0</v>
      </c>
      <c r="H146" s="32">
        <v>79.99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64</v>
      </c>
      <c r="AL146">
        <v>69</v>
      </c>
      <c r="AM146">
        <v>68</v>
      </c>
      <c r="AN146" s="23" t="s">
        <v>54</v>
      </c>
      <c r="AO146" s="23">
        <v>0</v>
      </c>
      <c r="AP146" s="23">
        <v>0.0144927536231884</v>
      </c>
      <c r="AQ146" s="23">
        <v>0</v>
      </c>
      <c r="AR146" s="35">
        <v>0</v>
      </c>
      <c r="AS146" s="35">
        <v>0</v>
      </c>
      <c r="AT146" s="35">
        <v>0</v>
      </c>
      <c r="AU146" s="31" t="str">
        <f t="shared" si="6"/>
        <v>库存为0</v>
      </c>
      <c r="AV146" s="36" t="str">
        <f>IFERROR(时间!$B$4+AU146,"上周无销量")</f>
        <v>上周无销量</v>
      </c>
    </row>
    <row r="147" spans="1:48">
      <c r="A147" s="19" t="s">
        <v>504</v>
      </c>
      <c r="B147" t="s">
        <v>502</v>
      </c>
      <c r="C147" t="s">
        <v>503</v>
      </c>
      <c r="D147" s="31">
        <v>0</v>
      </c>
      <c r="E147" s="31">
        <v>3</v>
      </c>
      <c r="F147" s="31">
        <v>3</v>
      </c>
      <c r="G147" s="31">
        <v>2</v>
      </c>
      <c r="H147" s="32">
        <v>89.99</v>
      </c>
      <c r="I147">
        <v>60</v>
      </c>
      <c r="J147" s="33">
        <v>0</v>
      </c>
      <c r="K147" s="33">
        <v>0</v>
      </c>
      <c r="L147" s="33">
        <v>2</v>
      </c>
      <c r="M147">
        <v>62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64</v>
      </c>
      <c r="AL147">
        <v>69</v>
      </c>
      <c r="AM147">
        <v>68</v>
      </c>
      <c r="AN147" s="23" t="s">
        <v>54</v>
      </c>
      <c r="AO147" s="23">
        <v>0.046875</v>
      </c>
      <c r="AP147" s="23">
        <v>0.0434782608695652</v>
      </c>
      <c r="AQ147" s="23">
        <v>0.0294117647058824</v>
      </c>
      <c r="AR147" s="35">
        <v>0</v>
      </c>
      <c r="AS147" s="35">
        <v>0</v>
      </c>
      <c r="AT147" s="35">
        <v>62</v>
      </c>
      <c r="AU147" s="31" t="str">
        <f t="shared" si="6"/>
        <v>库存为62</v>
      </c>
      <c r="AV147" s="36" t="str">
        <f>IFERROR(时间!$B$4+AU147,"上周无销量")</f>
        <v>上周无销量</v>
      </c>
    </row>
    <row r="148" spans="1:48">
      <c r="A148" s="19" t="s">
        <v>505</v>
      </c>
      <c r="B148" t="s">
        <v>506</v>
      </c>
      <c r="C148" t="s">
        <v>507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12</v>
      </c>
      <c r="J148" s="33">
        <v>0</v>
      </c>
      <c r="K148" s="33">
        <v>0</v>
      </c>
      <c r="L148" s="33">
        <v>0</v>
      </c>
      <c r="M148">
        <v>12</v>
      </c>
      <c r="N148">
        <v>0</v>
      </c>
      <c r="O148">
        <v>12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14</v>
      </c>
      <c r="AL148">
        <v>22</v>
      </c>
      <c r="AM148">
        <v>9</v>
      </c>
      <c r="AN148" s="23" t="s">
        <v>54</v>
      </c>
      <c r="AO148" s="23">
        <v>0</v>
      </c>
      <c r="AP148" s="23">
        <v>0</v>
      </c>
      <c r="AQ148" s="23">
        <v>0</v>
      </c>
      <c r="AR148" s="35">
        <v>0</v>
      </c>
      <c r="AS148" s="35">
        <v>0</v>
      </c>
      <c r="AT148" s="35">
        <v>12</v>
      </c>
      <c r="AU148" s="31" t="str">
        <f t="shared" si="6"/>
        <v>库存为12</v>
      </c>
      <c r="AV148" s="36" t="str">
        <f>IFERROR(时间!$B$4+AU148,"上周无销量")</f>
        <v>上周无销量</v>
      </c>
    </row>
    <row r="149" spans="1:48">
      <c r="A149" s="19" t="s">
        <v>508</v>
      </c>
      <c r="B149" t="s">
        <v>506</v>
      </c>
      <c r="C149" t="s">
        <v>507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14</v>
      </c>
      <c r="AL149">
        <v>22</v>
      </c>
      <c r="AM149">
        <v>9</v>
      </c>
      <c r="AN149" s="23" t="s">
        <v>54</v>
      </c>
      <c r="AO149" s="23">
        <v>0</v>
      </c>
      <c r="AP149" s="23">
        <v>0</v>
      </c>
      <c r="AQ149" s="23">
        <v>0</v>
      </c>
      <c r="AR149" s="35">
        <v>0</v>
      </c>
      <c r="AS149" s="35">
        <v>0</v>
      </c>
      <c r="AT149" s="35">
        <v>0</v>
      </c>
      <c r="AU149" s="31" t="str">
        <f t="shared" si="6"/>
        <v>库存为0</v>
      </c>
      <c r="AV149" s="36" t="str">
        <f>IFERROR(时间!$B$4+AU149,"上周无销量")</f>
        <v>上周无销量</v>
      </c>
    </row>
    <row r="150" spans="1:48">
      <c r="A150" s="19" t="s">
        <v>509</v>
      </c>
      <c r="B150" t="s">
        <v>510</v>
      </c>
      <c r="C150" t="s">
        <v>511</v>
      </c>
      <c r="D150" s="31">
        <v>1</v>
      </c>
      <c r="E150" s="31">
        <v>1</v>
      </c>
      <c r="F150" s="31">
        <v>1</v>
      </c>
      <c r="G150" s="31">
        <v>2</v>
      </c>
      <c r="H150" s="32">
        <v>99.6</v>
      </c>
      <c r="I150">
        <v>36</v>
      </c>
      <c r="J150" s="33">
        <v>0</v>
      </c>
      <c r="K150" s="33">
        <v>0</v>
      </c>
      <c r="L150" s="33">
        <v>0</v>
      </c>
      <c r="M150">
        <v>36</v>
      </c>
      <c r="N150">
        <v>1</v>
      </c>
      <c r="O150">
        <v>0</v>
      </c>
      <c r="P150">
        <v>24189</v>
      </c>
      <c r="Q150">
        <v>30268</v>
      </c>
      <c r="R150">
        <v>25914</v>
      </c>
      <c r="S150">
        <v>21913</v>
      </c>
      <c r="T150">
        <v>135</v>
      </c>
      <c r="U150">
        <v>208</v>
      </c>
      <c r="V150">
        <v>192</v>
      </c>
      <c r="W150">
        <v>193</v>
      </c>
      <c r="X150" s="23">
        <v>0.0055810492372566</v>
      </c>
      <c r="Y150" s="23">
        <v>0.00687194396722611</v>
      </c>
      <c r="Z150" s="23">
        <v>0.00740912248205603</v>
      </c>
      <c r="AA150" s="23">
        <v>0.0088075571578515</v>
      </c>
      <c r="AB150">
        <v>20.65</v>
      </c>
      <c r="AC150">
        <v>28.87</v>
      </c>
      <c r="AD150">
        <v>26.13</v>
      </c>
      <c r="AE150">
        <v>25.9</v>
      </c>
      <c r="AF150" s="23">
        <v>0.207329317269076</v>
      </c>
      <c r="AG150" s="23">
        <v>0.289859437751004</v>
      </c>
      <c r="AH150" s="23">
        <v>0.262349397590361</v>
      </c>
      <c r="AI150" s="23">
        <v>0.130020080321285</v>
      </c>
      <c r="AJ150">
        <v>0</v>
      </c>
      <c r="AK150">
        <v>146</v>
      </c>
      <c r="AL150">
        <v>177</v>
      </c>
      <c r="AM150">
        <v>132</v>
      </c>
      <c r="AN150" s="23" t="s">
        <v>54</v>
      </c>
      <c r="AO150" s="23">
        <v>0.00684931506849315</v>
      </c>
      <c r="AP150" s="23">
        <v>0.00564971751412429</v>
      </c>
      <c r="AQ150" s="23">
        <v>0.0151515151515152</v>
      </c>
      <c r="AR150" s="35">
        <v>0.142857142857143</v>
      </c>
      <c r="AS150" s="35">
        <v>8.57142857142857</v>
      </c>
      <c r="AT150" s="35">
        <v>27.4285714285714</v>
      </c>
      <c r="AU150" s="31">
        <f t="shared" si="6"/>
        <v>252</v>
      </c>
      <c r="AV150" s="36">
        <f>IFERROR(时间!$B$4+AU150,"上周无销量")</f>
        <v>43542</v>
      </c>
    </row>
    <row r="151" spans="1:48">
      <c r="A151" s="19" t="s">
        <v>512</v>
      </c>
      <c r="B151" t="s">
        <v>513</v>
      </c>
      <c r="C151" t="s">
        <v>514</v>
      </c>
      <c r="D151" s="31">
        <v>1</v>
      </c>
      <c r="E151" s="31">
        <v>3</v>
      </c>
      <c r="F151" s="31">
        <v>3</v>
      </c>
      <c r="G151" s="31">
        <v>1</v>
      </c>
      <c r="H151" s="32">
        <v>21.99</v>
      </c>
      <c r="I151">
        <v>26</v>
      </c>
      <c r="J151" s="33">
        <v>0</v>
      </c>
      <c r="K151" s="33">
        <v>0</v>
      </c>
      <c r="L151" s="33">
        <v>0</v>
      </c>
      <c r="M151">
        <v>26</v>
      </c>
      <c r="N151">
        <v>10</v>
      </c>
      <c r="O151">
        <v>26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26</v>
      </c>
      <c r="AL151">
        <v>33</v>
      </c>
      <c r="AM151">
        <v>14</v>
      </c>
      <c r="AN151" s="23" t="s">
        <v>54</v>
      </c>
      <c r="AO151" s="23">
        <v>0.115384615384615</v>
      </c>
      <c r="AP151" s="23">
        <v>0.0909090909090909</v>
      </c>
      <c r="AQ151" s="23">
        <v>0.0714285714285714</v>
      </c>
      <c r="AR151" s="35">
        <v>0.142857142857143</v>
      </c>
      <c r="AS151" s="35">
        <v>8.57142857142857</v>
      </c>
      <c r="AT151" s="35">
        <v>17.4285714285714</v>
      </c>
      <c r="AU151" s="31">
        <f t="shared" si="6"/>
        <v>182</v>
      </c>
      <c r="AV151" s="36">
        <f>IFERROR(时间!$B$4+AU151,"上周无销量")</f>
        <v>43472</v>
      </c>
    </row>
    <row r="152" spans="1:48">
      <c r="A152" s="19" t="s">
        <v>515</v>
      </c>
      <c r="B152" t="s">
        <v>516</v>
      </c>
      <c r="C152" t="s">
        <v>514</v>
      </c>
      <c r="D152" s="31">
        <v>1</v>
      </c>
      <c r="E152" s="31">
        <v>0</v>
      </c>
      <c r="F152" s="31">
        <v>2</v>
      </c>
      <c r="G152" s="31">
        <v>0</v>
      </c>
      <c r="H152" s="32">
        <v>19.99</v>
      </c>
      <c r="I152">
        <v>14</v>
      </c>
      <c r="J152" s="33">
        <v>0</v>
      </c>
      <c r="K152" s="33">
        <v>0</v>
      </c>
      <c r="L152" s="33">
        <v>0</v>
      </c>
      <c r="M152">
        <v>14</v>
      </c>
      <c r="N152">
        <v>0</v>
      </c>
      <c r="O152">
        <v>14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7</v>
      </c>
      <c r="AL152">
        <v>5</v>
      </c>
      <c r="AM152">
        <v>1</v>
      </c>
      <c r="AN152" s="23" t="s">
        <v>54</v>
      </c>
      <c r="AO152" s="23">
        <v>0</v>
      </c>
      <c r="AP152" s="23">
        <v>0.4</v>
      </c>
      <c r="AQ152" s="23">
        <v>0</v>
      </c>
      <c r="AR152" s="35">
        <v>0.142857142857143</v>
      </c>
      <c r="AS152" s="35">
        <v>8.57142857142857</v>
      </c>
      <c r="AT152" s="35">
        <v>5.42857142857143</v>
      </c>
      <c r="AU152" s="31">
        <f t="shared" si="6"/>
        <v>98</v>
      </c>
      <c r="AV152" s="36">
        <f>IFERROR(时间!$B$4+AU152,"上周无销量")</f>
        <v>43388</v>
      </c>
    </row>
    <row r="153" spans="1:48">
      <c r="A153" s="19" t="s">
        <v>517</v>
      </c>
      <c r="B153" t="s">
        <v>518</v>
      </c>
      <c r="C153" t="s">
        <v>514</v>
      </c>
      <c r="D153" s="31">
        <v>9</v>
      </c>
      <c r="E153" s="31">
        <v>5</v>
      </c>
      <c r="F153" s="31">
        <v>3</v>
      </c>
      <c r="G153" s="31">
        <v>3</v>
      </c>
      <c r="H153" s="32">
        <v>21.99</v>
      </c>
      <c r="I153">
        <v>11</v>
      </c>
      <c r="J153" s="33">
        <v>0</v>
      </c>
      <c r="K153" s="33">
        <v>0</v>
      </c>
      <c r="L153" s="33">
        <v>1</v>
      </c>
      <c r="M153">
        <v>12</v>
      </c>
      <c r="N153">
        <v>0</v>
      </c>
      <c r="O153">
        <v>13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73</v>
      </c>
      <c r="AL153">
        <v>48</v>
      </c>
      <c r="AM153">
        <v>33</v>
      </c>
      <c r="AN153" s="23" t="s">
        <v>54</v>
      </c>
      <c r="AO153" s="23">
        <v>0.0684931506849315</v>
      </c>
      <c r="AP153" s="23">
        <v>0.0625</v>
      </c>
      <c r="AQ153" s="23">
        <v>0.0909090909090909</v>
      </c>
      <c r="AR153" s="35">
        <v>1.28571428571429</v>
      </c>
      <c r="AS153" s="35">
        <v>77.1428571428572</v>
      </c>
      <c r="AT153" s="35">
        <v>-65.1428571428572</v>
      </c>
      <c r="AU153" s="31">
        <f t="shared" si="6"/>
        <v>9</v>
      </c>
      <c r="AV153" s="36">
        <f>IFERROR(时间!$B$4+AU153,"上周无销量")</f>
        <v>43299</v>
      </c>
    </row>
    <row r="154" spans="1:48">
      <c r="A154" s="19" t="s">
        <v>519</v>
      </c>
      <c r="B154" t="s">
        <v>520</v>
      </c>
      <c r="C154" t="s">
        <v>514</v>
      </c>
      <c r="D154" s="31">
        <v>0</v>
      </c>
      <c r="E154" s="31">
        <v>0</v>
      </c>
      <c r="F154" s="31">
        <v>1</v>
      </c>
      <c r="G154" s="31">
        <v>0</v>
      </c>
      <c r="H154" s="32">
        <v>19.99</v>
      </c>
      <c r="I154">
        <v>16</v>
      </c>
      <c r="J154" s="33">
        <v>0</v>
      </c>
      <c r="K154" s="33">
        <v>0</v>
      </c>
      <c r="L154" s="33">
        <v>0</v>
      </c>
      <c r="M154">
        <v>16</v>
      </c>
      <c r="N154">
        <v>0</v>
      </c>
      <c r="O154">
        <v>16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3</v>
      </c>
      <c r="AL154">
        <v>6</v>
      </c>
      <c r="AM154">
        <v>1</v>
      </c>
      <c r="AN154" s="23" t="s">
        <v>54</v>
      </c>
      <c r="AO154" s="23">
        <v>0</v>
      </c>
      <c r="AP154" s="23">
        <v>0.166666666666667</v>
      </c>
      <c r="AQ154" s="23">
        <v>0</v>
      </c>
      <c r="AR154" s="35">
        <v>0</v>
      </c>
      <c r="AS154" s="35">
        <v>0</v>
      </c>
      <c r="AT154" s="35">
        <v>16</v>
      </c>
      <c r="AU154" s="31" t="str">
        <f t="shared" si="6"/>
        <v>库存为16</v>
      </c>
      <c r="AV154" s="36" t="str">
        <f>IFERROR(时间!$B$4+AU154,"上周无销量")</f>
        <v>上周无销量</v>
      </c>
    </row>
    <row r="155" spans="1:48">
      <c r="A155" s="19" t="s">
        <v>521</v>
      </c>
      <c r="B155" t="s">
        <v>522</v>
      </c>
      <c r="C155" t="s">
        <v>514</v>
      </c>
      <c r="D155" s="31">
        <v>0</v>
      </c>
      <c r="E155" s="31">
        <v>0</v>
      </c>
      <c r="F155" s="31">
        <v>1</v>
      </c>
      <c r="G155" s="31">
        <v>0</v>
      </c>
      <c r="H155" s="32">
        <v>21.99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15</v>
      </c>
      <c r="AL155">
        <v>19</v>
      </c>
      <c r="AM155">
        <v>20</v>
      </c>
      <c r="AN155" s="23" t="s">
        <v>54</v>
      </c>
      <c r="AO155" s="23">
        <v>0</v>
      </c>
      <c r="AP155" s="23">
        <v>0.0526315789473684</v>
      </c>
      <c r="AQ155" s="23">
        <v>0</v>
      </c>
      <c r="AR155" s="35">
        <v>0</v>
      </c>
      <c r="AS155" s="35">
        <v>0</v>
      </c>
      <c r="AT155" s="35">
        <v>0</v>
      </c>
      <c r="AU155" s="31" t="str">
        <f t="shared" si="6"/>
        <v>库存为0</v>
      </c>
      <c r="AV155" s="36" t="str">
        <f>IFERROR(时间!$B$4+AU155,"上周无销量")</f>
        <v>上周无销量</v>
      </c>
    </row>
    <row r="156" spans="1:48">
      <c r="A156" s="19" t="s">
        <v>523</v>
      </c>
      <c r="B156" t="s">
        <v>524</v>
      </c>
      <c r="C156" t="s">
        <v>514</v>
      </c>
      <c r="D156" s="31">
        <v>1</v>
      </c>
      <c r="E156" s="31">
        <v>0</v>
      </c>
      <c r="F156" s="31">
        <v>0</v>
      </c>
      <c r="G156" s="31">
        <v>1</v>
      </c>
      <c r="H156" s="32">
        <v>19.99</v>
      </c>
      <c r="I156">
        <v>4</v>
      </c>
      <c r="J156" s="33">
        <v>0</v>
      </c>
      <c r="K156" s="33">
        <v>0</v>
      </c>
      <c r="L156" s="33">
        <v>0</v>
      </c>
      <c r="M156">
        <v>4</v>
      </c>
      <c r="N156">
        <v>0</v>
      </c>
      <c r="O156">
        <v>4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6</v>
      </c>
      <c r="AL156">
        <v>3</v>
      </c>
      <c r="AM156">
        <v>2</v>
      </c>
      <c r="AN156" s="23" t="s">
        <v>54</v>
      </c>
      <c r="AO156" s="23">
        <v>0</v>
      </c>
      <c r="AP156" s="23">
        <v>0</v>
      </c>
      <c r="AQ156" s="23">
        <v>0.5</v>
      </c>
      <c r="AR156" s="35">
        <v>0.142857142857143</v>
      </c>
      <c r="AS156" s="35">
        <v>8.57142857142857</v>
      </c>
      <c r="AT156" s="35">
        <v>-4.57142857142857</v>
      </c>
      <c r="AU156" s="31">
        <f t="shared" si="6"/>
        <v>28</v>
      </c>
      <c r="AV156" s="36">
        <f>IFERROR(时间!$B$4+AU156,"上周无销量")</f>
        <v>43318</v>
      </c>
    </row>
    <row r="157" spans="1:48">
      <c r="A157" s="19" t="s">
        <v>525</v>
      </c>
      <c r="B157" t="s">
        <v>526</v>
      </c>
      <c r="C157" t="s">
        <v>527</v>
      </c>
      <c r="D157" s="31">
        <v>0</v>
      </c>
      <c r="E157" s="31">
        <v>1</v>
      </c>
      <c r="F157" s="31">
        <v>0</v>
      </c>
      <c r="G157" s="31">
        <v>0</v>
      </c>
      <c r="H157" s="32">
        <v>23.99</v>
      </c>
      <c r="I157">
        <v>2</v>
      </c>
      <c r="J157" s="33">
        <v>0</v>
      </c>
      <c r="K157" s="33">
        <v>0</v>
      </c>
      <c r="L157" s="33">
        <v>0</v>
      </c>
      <c r="M157">
        <v>2</v>
      </c>
      <c r="N157">
        <v>0</v>
      </c>
      <c r="O157">
        <v>2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2</v>
      </c>
      <c r="AL157">
        <v>2</v>
      </c>
      <c r="AM157">
        <v>3</v>
      </c>
      <c r="AN157" s="23" t="s">
        <v>54</v>
      </c>
      <c r="AO157" s="23">
        <v>0.5</v>
      </c>
      <c r="AP157" s="23">
        <v>0</v>
      </c>
      <c r="AQ157" s="23">
        <v>0</v>
      </c>
      <c r="AR157" s="35">
        <v>0</v>
      </c>
      <c r="AS157" s="35">
        <v>0</v>
      </c>
      <c r="AT157" s="35">
        <v>2</v>
      </c>
      <c r="AU157" s="31" t="str">
        <f t="shared" si="6"/>
        <v>库存为2</v>
      </c>
      <c r="AV157" s="36" t="str">
        <f>IFERROR(时间!$B$4+AU157,"上周无销量")</f>
        <v>上周无销量</v>
      </c>
    </row>
    <row r="158" spans="1:48">
      <c r="A158" s="19" t="s">
        <v>528</v>
      </c>
      <c r="B158" t="s">
        <v>529</v>
      </c>
      <c r="C158" t="s">
        <v>528</v>
      </c>
      <c r="D158" s="31">
        <v>1</v>
      </c>
      <c r="E158" s="31">
        <v>0</v>
      </c>
      <c r="F158" s="31">
        <v>0</v>
      </c>
      <c r="G158" s="31">
        <v>0</v>
      </c>
      <c r="H158" s="32">
        <v>16.99</v>
      </c>
      <c r="I158">
        <v>14</v>
      </c>
      <c r="J158" s="33">
        <v>0</v>
      </c>
      <c r="K158" s="33">
        <v>0</v>
      </c>
      <c r="L158" s="33">
        <v>0</v>
      </c>
      <c r="M158">
        <v>14</v>
      </c>
      <c r="N158">
        <v>0</v>
      </c>
      <c r="O158">
        <v>14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12</v>
      </c>
      <c r="AL158">
        <v>14</v>
      </c>
      <c r="AM158">
        <v>14</v>
      </c>
      <c r="AN158" s="23" t="s">
        <v>54</v>
      </c>
      <c r="AO158" s="23">
        <v>0</v>
      </c>
      <c r="AP158" s="23">
        <v>0</v>
      </c>
      <c r="AQ158" s="23">
        <v>0</v>
      </c>
      <c r="AR158" s="35">
        <v>0.142857142857143</v>
      </c>
      <c r="AS158" s="35">
        <v>8.57142857142857</v>
      </c>
      <c r="AT158" s="35">
        <v>5.42857142857143</v>
      </c>
      <c r="AU158" s="31">
        <f t="shared" si="6"/>
        <v>98</v>
      </c>
      <c r="AV158" s="36">
        <f>IFERROR(时间!$B$4+AU158,"上周无销量")</f>
        <v>43388</v>
      </c>
    </row>
    <row r="159" spans="1:48">
      <c r="A159" s="19" t="s">
        <v>530</v>
      </c>
      <c r="B159" t="s">
        <v>531</v>
      </c>
      <c r="C159" t="s">
        <v>532</v>
      </c>
      <c r="D159" s="31">
        <v>2</v>
      </c>
      <c r="E159" s="31">
        <v>1</v>
      </c>
      <c r="F159" s="31">
        <v>4</v>
      </c>
      <c r="G159" s="31">
        <v>2</v>
      </c>
      <c r="H159" s="32">
        <v>21.99</v>
      </c>
      <c r="I159">
        <v>13</v>
      </c>
      <c r="J159" s="33">
        <v>0</v>
      </c>
      <c r="K159" s="33">
        <v>0</v>
      </c>
      <c r="L159" s="33">
        <v>0</v>
      </c>
      <c r="M159">
        <v>13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18</v>
      </c>
      <c r="AL159">
        <v>16</v>
      </c>
      <c r="AM159">
        <v>21</v>
      </c>
      <c r="AN159" s="23" t="s">
        <v>54</v>
      </c>
      <c r="AO159" s="23">
        <v>0.0555555555555556</v>
      </c>
      <c r="AP159" s="23">
        <v>0.25</v>
      </c>
      <c r="AQ159" s="23">
        <v>0.0952380952380952</v>
      </c>
      <c r="AR159" s="35">
        <v>0.285714285714286</v>
      </c>
      <c r="AS159" s="35">
        <v>17.1428571428571</v>
      </c>
      <c r="AT159" s="35">
        <v>-4.14285714285714</v>
      </c>
      <c r="AU159" s="31">
        <f t="shared" si="6"/>
        <v>45</v>
      </c>
      <c r="AV159" s="36">
        <f>IFERROR(时间!$B$4+AU159,"上周无销量")</f>
        <v>43335</v>
      </c>
    </row>
    <row r="160" spans="1:48">
      <c r="A160" s="19" t="s">
        <v>533</v>
      </c>
      <c r="B160" t="s">
        <v>522</v>
      </c>
      <c r="C160" t="s">
        <v>534</v>
      </c>
      <c r="D160" s="31">
        <v>2</v>
      </c>
      <c r="E160" s="31">
        <v>0</v>
      </c>
      <c r="F160" s="31">
        <v>1</v>
      </c>
      <c r="G160" s="31">
        <v>0</v>
      </c>
      <c r="H160" s="32">
        <v>21.99</v>
      </c>
      <c r="I160">
        <v>5</v>
      </c>
      <c r="J160" s="33">
        <v>0</v>
      </c>
      <c r="K160" s="33">
        <v>0</v>
      </c>
      <c r="L160" s="33">
        <v>0</v>
      </c>
      <c r="M160">
        <v>5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15</v>
      </c>
      <c r="AL160">
        <v>19</v>
      </c>
      <c r="AM160">
        <v>20</v>
      </c>
      <c r="AN160" s="23" t="s">
        <v>54</v>
      </c>
      <c r="AO160" s="23">
        <v>0</v>
      </c>
      <c r="AP160" s="23">
        <v>0.0526315789473684</v>
      </c>
      <c r="AQ160" s="23">
        <v>0</v>
      </c>
      <c r="AR160" s="35">
        <v>0.285714285714286</v>
      </c>
      <c r="AS160" s="35">
        <v>17.1428571428571</v>
      </c>
      <c r="AT160" s="35">
        <v>-12.1428571428571</v>
      </c>
      <c r="AU160" s="31">
        <f t="shared" si="6"/>
        <v>17</v>
      </c>
      <c r="AV160" s="36">
        <f>IFERROR(时间!$B$4+AU160,"上周无销量")</f>
        <v>43307</v>
      </c>
    </row>
    <row r="161" spans="1:48">
      <c r="A161" s="19" t="s">
        <v>535</v>
      </c>
      <c r="B161" t="s">
        <v>536</v>
      </c>
      <c r="C161" t="s">
        <v>537</v>
      </c>
      <c r="D161" s="31">
        <v>3</v>
      </c>
      <c r="E161" s="31">
        <v>12</v>
      </c>
      <c r="F161" s="31">
        <v>5</v>
      </c>
      <c r="G161" s="31">
        <v>11</v>
      </c>
      <c r="H161" s="32">
        <v>21.99</v>
      </c>
      <c r="I161">
        <v>0</v>
      </c>
      <c r="J161" s="33">
        <v>20</v>
      </c>
      <c r="K161" s="33">
        <v>0</v>
      </c>
      <c r="L161" s="33">
        <v>5</v>
      </c>
      <c r="M161">
        <v>25</v>
      </c>
      <c r="N161">
        <v>1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115</v>
      </c>
      <c r="AL161">
        <v>95</v>
      </c>
      <c r="AM161">
        <v>107</v>
      </c>
      <c r="AN161" s="23" t="s">
        <v>54</v>
      </c>
      <c r="AO161" s="23">
        <v>0.104347826086957</v>
      </c>
      <c r="AP161" s="23">
        <v>0.0526315789473684</v>
      </c>
      <c r="AQ161" s="23">
        <v>0.102803738317757</v>
      </c>
      <c r="AR161" s="35">
        <v>0.428571428571429</v>
      </c>
      <c r="AS161" s="35">
        <v>25.7142857142857</v>
      </c>
      <c r="AT161" s="35">
        <v>-0.714285714285712</v>
      </c>
      <c r="AU161" s="31">
        <f t="shared" si="6"/>
        <v>58</v>
      </c>
      <c r="AV161" s="36">
        <f>IFERROR(时间!$B$4+AU161,"上周无销量")</f>
        <v>43348</v>
      </c>
    </row>
    <row r="162" spans="1:48">
      <c r="A162" s="19" t="s">
        <v>538</v>
      </c>
      <c r="B162" t="s">
        <v>539</v>
      </c>
      <c r="C162" t="s">
        <v>540</v>
      </c>
      <c r="D162" s="31">
        <v>0</v>
      </c>
      <c r="E162" s="31">
        <v>0</v>
      </c>
      <c r="F162" s="31">
        <v>1</v>
      </c>
      <c r="G162" s="31">
        <v>0</v>
      </c>
      <c r="H162" s="32">
        <v>21.99</v>
      </c>
      <c r="I162">
        <v>12</v>
      </c>
      <c r="J162" s="33">
        <v>0</v>
      </c>
      <c r="K162" s="33">
        <v>0</v>
      </c>
      <c r="L162" s="33">
        <v>0</v>
      </c>
      <c r="M162">
        <v>12</v>
      </c>
      <c r="N162">
        <v>0</v>
      </c>
      <c r="O162">
        <v>12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7</v>
      </c>
      <c r="AL162">
        <v>6</v>
      </c>
      <c r="AM162">
        <v>12</v>
      </c>
      <c r="AN162" s="23" t="s">
        <v>54</v>
      </c>
      <c r="AO162" s="23">
        <v>0</v>
      </c>
      <c r="AP162" s="23">
        <v>0.166666666666667</v>
      </c>
      <c r="AQ162" s="23">
        <v>0</v>
      </c>
      <c r="AR162" s="35">
        <v>0</v>
      </c>
      <c r="AS162" s="35">
        <v>0</v>
      </c>
      <c r="AT162" s="35">
        <v>12</v>
      </c>
      <c r="AU162" s="31" t="str">
        <f t="shared" si="6"/>
        <v>库存为12</v>
      </c>
      <c r="AV162" s="36" t="str">
        <f>IFERROR(时间!$B$4+AU162,"上周无销量")</f>
        <v>上周无销量</v>
      </c>
    </row>
    <row r="163" spans="1:48">
      <c r="A163" s="19" t="s">
        <v>541</v>
      </c>
      <c r="B163" t="s">
        <v>542</v>
      </c>
      <c r="C163" t="s">
        <v>543</v>
      </c>
      <c r="D163" s="31">
        <v>1</v>
      </c>
      <c r="E163" s="31">
        <v>4</v>
      </c>
      <c r="F163" s="31">
        <v>3</v>
      </c>
      <c r="G163" s="31">
        <v>2</v>
      </c>
      <c r="H163" s="32">
        <v>21.99</v>
      </c>
      <c r="I163">
        <v>10</v>
      </c>
      <c r="J163" s="33">
        <v>0</v>
      </c>
      <c r="K163" s="33">
        <v>0</v>
      </c>
      <c r="L163" s="33">
        <v>0</v>
      </c>
      <c r="M163">
        <v>10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37</v>
      </c>
      <c r="AL163">
        <v>29</v>
      </c>
      <c r="AM163">
        <v>13</v>
      </c>
      <c r="AN163" s="23" t="s">
        <v>54</v>
      </c>
      <c r="AO163" s="23">
        <v>0.108108108108108</v>
      </c>
      <c r="AP163" s="23">
        <v>0.103448275862069</v>
      </c>
      <c r="AQ163" s="23">
        <v>0.153846153846154</v>
      </c>
      <c r="AR163" s="35">
        <v>0.142857142857143</v>
      </c>
      <c r="AS163" s="35">
        <v>8.57142857142857</v>
      </c>
      <c r="AT163" s="35">
        <v>1.42857142857143</v>
      </c>
      <c r="AU163" s="31">
        <f t="shared" si="6"/>
        <v>70</v>
      </c>
      <c r="AV163" s="36">
        <f>IFERROR(时间!$B$4+AU163,"上周无销量")</f>
        <v>43360</v>
      </c>
    </row>
    <row r="164" spans="1:48">
      <c r="A164" s="19" t="s">
        <v>544</v>
      </c>
      <c r="B164" t="s">
        <v>545</v>
      </c>
      <c r="C164" t="s">
        <v>546</v>
      </c>
      <c r="D164" s="31">
        <v>1</v>
      </c>
      <c r="E164" s="31">
        <v>1</v>
      </c>
      <c r="F164" s="31">
        <v>3</v>
      </c>
      <c r="G164" s="31">
        <v>4</v>
      </c>
      <c r="H164" s="32">
        <v>21.99</v>
      </c>
      <c r="I164">
        <v>14</v>
      </c>
      <c r="J164" s="33">
        <v>0</v>
      </c>
      <c r="K164" s="33">
        <v>0</v>
      </c>
      <c r="L164" s="33">
        <v>0</v>
      </c>
      <c r="M164">
        <v>14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19</v>
      </c>
      <c r="AL164">
        <v>14</v>
      </c>
      <c r="AM164">
        <v>39</v>
      </c>
      <c r="AN164" s="23" t="s">
        <v>54</v>
      </c>
      <c r="AO164" s="23">
        <v>0.0526315789473684</v>
      </c>
      <c r="AP164" s="23">
        <v>0.214285714285714</v>
      </c>
      <c r="AQ164" s="23">
        <v>0.102564102564103</v>
      </c>
      <c r="AR164" s="35">
        <v>0.142857142857143</v>
      </c>
      <c r="AS164" s="35">
        <v>8.57142857142857</v>
      </c>
      <c r="AT164" s="35">
        <v>5.42857142857143</v>
      </c>
      <c r="AU164" s="31">
        <f t="shared" si="6"/>
        <v>98</v>
      </c>
      <c r="AV164" s="36">
        <f>IFERROR(时间!$B$4+AU164,"上周无销量")</f>
        <v>43388</v>
      </c>
    </row>
    <row r="165" spans="1:48">
      <c r="A165" s="38" t="s">
        <v>547</v>
      </c>
      <c r="B165" t="s">
        <v>256</v>
      </c>
      <c r="C165" t="s">
        <v>242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112</v>
      </c>
      <c r="AL165">
        <v>115</v>
      </c>
      <c r="AM165">
        <v>91</v>
      </c>
      <c r="AN165" s="23" t="s">
        <v>54</v>
      </c>
      <c r="AO165" s="23">
        <v>0</v>
      </c>
      <c r="AP165" s="23">
        <v>0</v>
      </c>
      <c r="AQ165" s="23">
        <v>0</v>
      </c>
      <c r="AR165" s="35">
        <v>0</v>
      </c>
      <c r="AS165" s="35">
        <v>0</v>
      </c>
      <c r="AT165" s="35">
        <v>0</v>
      </c>
      <c r="AU165" s="31" t="str">
        <f t="shared" si="6"/>
        <v>库存为0</v>
      </c>
      <c r="AV165" s="36" t="str">
        <f>IFERROR(时间!$B$4+AU165,"上周无销量")</f>
        <v>上周无销量</v>
      </c>
    </row>
    <row r="166" spans="1:48">
      <c r="A166" s="39"/>
      <c r="D166" s="31"/>
      <c r="E166" s="31"/>
      <c r="F166" s="31"/>
      <c r="G166" s="31"/>
      <c r="H166" s="32"/>
      <c r="J166" s="33"/>
      <c r="K166" s="33"/>
      <c r="L166" s="33"/>
      <c r="X166" s="23"/>
      <c r="Y166" s="23"/>
      <c r="Z166" s="23"/>
      <c r="AA166" s="23"/>
      <c r="AF166" s="23"/>
      <c r="AG166" s="23"/>
      <c r="AH166" s="23"/>
      <c r="AI166" s="23"/>
      <c r="AN166" s="23"/>
      <c r="AO166" s="23"/>
      <c r="AP166" s="23"/>
      <c r="AQ166" s="23"/>
      <c r="AR166" s="35"/>
      <c r="AS166" s="35"/>
      <c r="AT166" s="35"/>
      <c r="AU166" s="31"/>
      <c r="AV166" s="36"/>
    </row>
    <row r="167" spans="1:48">
      <c r="A167" s="38"/>
      <c r="D167" s="31"/>
      <c r="E167" s="31"/>
      <c r="F167" s="31"/>
      <c r="G167" s="31"/>
      <c r="H167" s="32"/>
      <c r="J167" s="33"/>
      <c r="K167" s="33"/>
      <c r="L167" s="33"/>
      <c r="X167" s="23"/>
      <c r="Y167" s="23"/>
      <c r="Z167" s="23"/>
      <c r="AA167" s="23"/>
      <c r="AF167" s="23"/>
      <c r="AG167" s="23"/>
      <c r="AH167" s="23"/>
      <c r="AI167" s="23"/>
      <c r="AN167" s="23"/>
      <c r="AO167" s="23"/>
      <c r="AP167" s="23"/>
      <c r="AQ167" s="23"/>
      <c r="AR167" s="35"/>
      <c r="AS167" s="35"/>
      <c r="AT167" s="35"/>
      <c r="AU167" s="31"/>
      <c r="AV167" s="36"/>
    </row>
    <row r="168" ht="14" customHeight="1" spans="1:48">
      <c r="A168" s="39"/>
      <c r="D168" s="31"/>
      <c r="E168" s="31"/>
      <c r="F168" s="31"/>
      <c r="G168" s="31"/>
      <c r="H168" s="32"/>
      <c r="J168" s="33"/>
      <c r="K168" s="33"/>
      <c r="L168" s="33"/>
      <c r="X168" s="23"/>
      <c r="Y168" s="23"/>
      <c r="Z168" s="23"/>
      <c r="AA168" s="23"/>
      <c r="AF168" s="23"/>
      <c r="AG168" s="23"/>
      <c r="AH168" s="23"/>
      <c r="AI168" s="23"/>
      <c r="AN168" s="23"/>
      <c r="AO168" s="23"/>
      <c r="AP168" s="23"/>
      <c r="AQ168" s="23"/>
      <c r="AR168" s="35"/>
      <c r="AS168" s="35"/>
      <c r="AT168" s="35"/>
      <c r="AU168" s="31"/>
      <c r="AV168" s="36"/>
    </row>
    <row r="169" spans="1:48">
      <c r="A169" s="39"/>
      <c r="D169" s="31"/>
      <c r="E169" s="31"/>
      <c r="F169" s="31"/>
      <c r="G169" s="31"/>
      <c r="H169" s="32"/>
      <c r="J169" s="33"/>
      <c r="K169" s="33"/>
      <c r="L169" s="33"/>
      <c r="X169" s="23"/>
      <c r="Y169" s="23"/>
      <c r="Z169" s="23"/>
      <c r="AA169" s="23"/>
      <c r="AF169" s="23"/>
      <c r="AG169" s="23"/>
      <c r="AH169" s="23"/>
      <c r="AI169" s="23"/>
      <c r="AN169" s="23"/>
      <c r="AO169" s="23"/>
      <c r="AP169" s="23"/>
      <c r="AQ169" s="23"/>
      <c r="AR169" s="35"/>
      <c r="AS169" s="35"/>
      <c r="AT169" s="35"/>
      <c r="AU169" s="31"/>
      <c r="AV169" s="36"/>
    </row>
    <row r="170" spans="1:48">
      <c r="A170" s="39"/>
      <c r="D170" s="31"/>
      <c r="E170" s="31"/>
      <c r="F170" s="31"/>
      <c r="G170" s="31"/>
      <c r="H170" s="32"/>
      <c r="J170" s="33"/>
      <c r="K170" s="33"/>
      <c r="L170" s="33"/>
      <c r="X170" s="23"/>
      <c r="Y170" s="23"/>
      <c r="Z170" s="23"/>
      <c r="AA170" s="23"/>
      <c r="AF170" s="23"/>
      <c r="AG170" s="23"/>
      <c r="AH170" s="23"/>
      <c r="AI170" s="23"/>
      <c r="AN170" s="23"/>
      <c r="AO170" s="23"/>
      <c r="AP170" s="23"/>
      <c r="AQ170" s="23"/>
      <c r="AR170" s="35"/>
      <c r="AS170" s="35"/>
      <c r="AT170" s="35"/>
      <c r="AU170" s="31"/>
      <c r="AV170" s="36"/>
    </row>
    <row r="171" spans="1:48">
      <c r="A171" s="40"/>
      <c r="D171" s="31"/>
      <c r="E171" s="31"/>
      <c r="F171" s="31"/>
      <c r="G171" s="31"/>
      <c r="H171" s="32"/>
      <c r="J171" s="33"/>
      <c r="K171" s="33"/>
      <c r="L171" s="33"/>
      <c r="X171" s="23"/>
      <c r="Y171" s="23"/>
      <c r="Z171" s="23"/>
      <c r="AA171" s="23"/>
      <c r="AF171" s="23"/>
      <c r="AG171" s="23"/>
      <c r="AH171" s="23"/>
      <c r="AI171" s="23"/>
      <c r="AN171" s="23"/>
      <c r="AO171" s="23"/>
      <c r="AP171" s="23"/>
      <c r="AQ171" s="23"/>
      <c r="AR171" s="35"/>
      <c r="AS171" s="35"/>
      <c r="AT171" s="35"/>
      <c r="AU171" s="31"/>
      <c r="AV171" s="36"/>
    </row>
    <row r="172" spans="1:48">
      <c r="A172" s="40"/>
      <c r="D172" s="31"/>
      <c r="E172" s="31"/>
      <c r="F172" s="31"/>
      <c r="G172" s="31"/>
      <c r="H172" s="32"/>
      <c r="J172" s="33"/>
      <c r="K172" s="33"/>
      <c r="L172" s="33"/>
      <c r="X172" s="23"/>
      <c r="Y172" s="23"/>
      <c r="Z172" s="23"/>
      <c r="AA172" s="23"/>
      <c r="AF172" s="23"/>
      <c r="AG172" s="23"/>
      <c r="AH172" s="23"/>
      <c r="AI172" s="23"/>
      <c r="AN172" s="23"/>
      <c r="AO172" s="23"/>
      <c r="AP172" s="23"/>
      <c r="AQ172" s="23"/>
      <c r="AR172" s="35"/>
      <c r="AS172" s="35"/>
      <c r="AT172" s="35"/>
      <c r="AU172" s="31"/>
      <c r="AV172" s="36"/>
    </row>
    <row r="173" spans="1:48">
      <c r="A173" s="40"/>
      <c r="D173" s="31"/>
      <c r="E173" s="31"/>
      <c r="F173" s="31"/>
      <c r="G173" s="31"/>
      <c r="H173" s="32"/>
      <c r="J173" s="33"/>
      <c r="K173" s="33"/>
      <c r="L173" s="33"/>
      <c r="X173" s="23"/>
      <c r="Y173" s="23"/>
      <c r="Z173" s="23"/>
      <c r="AA173" s="23"/>
      <c r="AF173" s="23"/>
      <c r="AG173" s="23"/>
      <c r="AH173" s="23"/>
      <c r="AI173" s="23"/>
      <c r="AN173" s="23"/>
      <c r="AO173" s="23"/>
      <c r="AP173" s="23"/>
      <c r="AQ173" s="23"/>
      <c r="AR173" s="35"/>
      <c r="AS173" s="35"/>
      <c r="AT173" s="35"/>
      <c r="AU173" s="31"/>
      <c r="AV173" s="36"/>
    </row>
    <row r="174" spans="1:48">
      <c r="A174" s="40"/>
      <c r="D174" s="31"/>
      <c r="E174" s="31"/>
      <c r="F174" s="31"/>
      <c r="G174" s="31"/>
      <c r="H174" s="32"/>
      <c r="J174" s="33"/>
      <c r="K174" s="33"/>
      <c r="L174" s="33"/>
      <c r="X174" s="23"/>
      <c r="Y174" s="23"/>
      <c r="Z174" s="23"/>
      <c r="AA174" s="23"/>
      <c r="AF174" s="23"/>
      <c r="AG174" s="23"/>
      <c r="AH174" s="23"/>
      <c r="AI174" s="23"/>
      <c r="AN174" s="23"/>
      <c r="AO174" s="23"/>
      <c r="AP174" s="23"/>
      <c r="AQ174" s="23"/>
      <c r="AR174" s="35"/>
      <c r="AS174" s="35"/>
      <c r="AT174" s="35"/>
      <c r="AU174" s="31"/>
      <c r="AV174" s="36"/>
    </row>
    <row r="175" spans="1:48">
      <c r="A175" s="40"/>
      <c r="D175" s="31"/>
      <c r="E175" s="31"/>
      <c r="F175" s="31"/>
      <c r="G175" s="31"/>
      <c r="H175" s="32"/>
      <c r="J175" s="33"/>
      <c r="K175" s="33"/>
      <c r="L175" s="33"/>
      <c r="X175" s="23"/>
      <c r="Y175" s="23"/>
      <c r="Z175" s="23"/>
      <c r="AA175" s="23"/>
      <c r="AF175" s="23"/>
      <c r="AG175" s="23"/>
      <c r="AH175" s="23"/>
      <c r="AI175" s="23"/>
      <c r="AN175" s="23"/>
      <c r="AO175" s="23"/>
      <c r="AP175" s="23"/>
      <c r="AQ175" s="23"/>
      <c r="AR175" s="35"/>
      <c r="AS175" s="35"/>
      <c r="AT175" s="35"/>
      <c r="AU175" s="31"/>
      <c r="AV175" s="36"/>
    </row>
    <row r="176" spans="1:48">
      <c r="A176" s="40"/>
      <c r="D176" s="31"/>
      <c r="E176" s="31"/>
      <c r="F176" s="31"/>
      <c r="G176" s="31"/>
      <c r="H176" s="32"/>
      <c r="J176" s="33"/>
      <c r="K176" s="33"/>
      <c r="L176" s="33"/>
      <c r="X176" s="23"/>
      <c r="Y176" s="23"/>
      <c r="Z176" s="23"/>
      <c r="AA176" s="23"/>
      <c r="AF176" s="23"/>
      <c r="AG176" s="23"/>
      <c r="AH176" s="23"/>
      <c r="AI176" s="23"/>
      <c r="AN176" s="23"/>
      <c r="AO176" s="23"/>
      <c r="AP176" s="23"/>
      <c r="AQ176" s="23"/>
      <c r="AR176" s="35"/>
      <c r="AS176" s="35"/>
      <c r="AT176" s="35"/>
      <c r="AU176" s="31"/>
      <c r="AV176" s="36"/>
    </row>
    <row r="177" spans="1:48">
      <c r="A177" s="40"/>
      <c r="D177" s="31"/>
      <c r="E177" s="31"/>
      <c r="F177" s="31"/>
      <c r="G177" s="31"/>
      <c r="H177" s="32"/>
      <c r="J177" s="33"/>
      <c r="K177" s="33"/>
      <c r="L177" s="33"/>
      <c r="X177" s="23"/>
      <c r="Y177" s="23"/>
      <c r="Z177" s="23"/>
      <c r="AA177" s="23"/>
      <c r="AF177" s="23"/>
      <c r="AG177" s="23"/>
      <c r="AH177" s="23"/>
      <c r="AI177" s="23"/>
      <c r="AN177" s="23"/>
      <c r="AO177" s="23"/>
      <c r="AP177" s="23"/>
      <c r="AQ177" s="23"/>
      <c r="AR177" s="35"/>
      <c r="AS177" s="35"/>
      <c r="AT177" s="35"/>
      <c r="AU177" s="31"/>
      <c r="AV177" s="36"/>
    </row>
    <row r="178" spans="1:48">
      <c r="A178" s="40"/>
      <c r="D178" s="31"/>
      <c r="E178" s="31"/>
      <c r="F178" s="31"/>
      <c r="G178" s="31"/>
      <c r="H178" s="32"/>
      <c r="J178" s="33"/>
      <c r="K178" s="33"/>
      <c r="L178" s="33"/>
      <c r="X178" s="23"/>
      <c r="Y178" s="23"/>
      <c r="Z178" s="23"/>
      <c r="AA178" s="23"/>
      <c r="AF178" s="23"/>
      <c r="AG178" s="23"/>
      <c r="AH178" s="23"/>
      <c r="AI178" s="23"/>
      <c r="AN178" s="23"/>
      <c r="AO178" s="23"/>
      <c r="AP178" s="23"/>
      <c r="AQ178" s="23"/>
      <c r="AR178" s="35"/>
      <c r="AS178" s="35"/>
      <c r="AT178" s="35"/>
      <c r="AU178" s="31"/>
      <c r="AV178" s="36"/>
    </row>
    <row r="179" spans="1:48">
      <c r="A179" s="40"/>
      <c r="D179" s="31"/>
      <c r="E179" s="31"/>
      <c r="F179" s="31"/>
      <c r="G179" s="31"/>
      <c r="H179" s="32"/>
      <c r="J179" s="33"/>
      <c r="K179" s="33"/>
      <c r="L179" s="33"/>
      <c r="X179" s="23"/>
      <c r="Y179" s="23"/>
      <c r="Z179" s="23"/>
      <c r="AA179" s="23"/>
      <c r="AF179" s="23"/>
      <c r="AG179" s="23"/>
      <c r="AH179" s="23"/>
      <c r="AI179" s="23"/>
      <c r="AN179" s="23"/>
      <c r="AO179" s="23"/>
      <c r="AP179" s="23"/>
      <c r="AQ179" s="23"/>
      <c r="AR179" s="35"/>
      <c r="AS179" s="35"/>
      <c r="AT179" s="35"/>
      <c r="AU179" s="31"/>
      <c r="AV179" s="36"/>
    </row>
    <row r="180" spans="1:48">
      <c r="A180" s="40"/>
      <c r="D180" s="31"/>
      <c r="E180" s="31"/>
      <c r="F180" s="31"/>
      <c r="G180" s="31"/>
      <c r="H180" s="32"/>
      <c r="J180" s="33"/>
      <c r="K180" s="33"/>
      <c r="L180" s="33"/>
      <c r="X180" s="23"/>
      <c r="Y180" s="23"/>
      <c r="Z180" s="23"/>
      <c r="AA180" s="23"/>
      <c r="AF180" s="23"/>
      <c r="AG180" s="23"/>
      <c r="AH180" s="23"/>
      <c r="AI180" s="23"/>
      <c r="AN180" s="23"/>
      <c r="AO180" s="23"/>
      <c r="AP180" s="23"/>
      <c r="AQ180" s="23"/>
      <c r="AR180" s="35"/>
      <c r="AS180" s="35"/>
      <c r="AT180" s="35"/>
      <c r="AU180" s="31"/>
      <c r="AV180" s="36"/>
    </row>
    <row r="181" spans="1:48">
      <c r="A181" s="40"/>
      <c r="D181" s="31"/>
      <c r="E181" s="31"/>
      <c r="F181" s="31"/>
      <c r="G181" s="31"/>
      <c r="H181" s="32"/>
      <c r="J181" s="33"/>
      <c r="K181" s="33"/>
      <c r="L181" s="33"/>
      <c r="X181" s="23"/>
      <c r="Y181" s="23"/>
      <c r="Z181" s="23"/>
      <c r="AA181" s="23"/>
      <c r="AF181" s="23"/>
      <c r="AG181" s="23"/>
      <c r="AH181" s="23"/>
      <c r="AI181" s="23"/>
      <c r="AN181" s="23"/>
      <c r="AO181" s="23"/>
      <c r="AP181" s="23"/>
      <c r="AQ181" s="23"/>
      <c r="AR181" s="35"/>
      <c r="AS181" s="35"/>
      <c r="AT181" s="35"/>
      <c r="AU181" s="31"/>
      <c r="AV181" s="36"/>
    </row>
    <row r="182" spans="1:48">
      <c r="A182" s="40"/>
      <c r="D182" s="31"/>
      <c r="E182" s="31"/>
      <c r="F182" s="31"/>
      <c r="G182" s="31"/>
      <c r="H182" s="32"/>
      <c r="J182" s="33"/>
      <c r="K182" s="33"/>
      <c r="L182" s="33"/>
      <c r="X182" s="23"/>
      <c r="Y182" s="23"/>
      <c r="Z182" s="23"/>
      <c r="AA182" s="23"/>
      <c r="AF182" s="23"/>
      <c r="AG182" s="23"/>
      <c r="AH182" s="23"/>
      <c r="AI182" s="23"/>
      <c r="AN182" s="23"/>
      <c r="AO182" s="23"/>
      <c r="AP182" s="23"/>
      <c r="AQ182" s="23"/>
      <c r="AR182" s="35"/>
      <c r="AS182" s="35"/>
      <c r="AT182" s="35"/>
      <c r="AU182" s="31"/>
      <c r="AV182" s="36"/>
    </row>
    <row r="183" spans="1:48">
      <c r="A183" s="40"/>
      <c r="D183" s="31"/>
      <c r="E183" s="31"/>
      <c r="F183" s="31"/>
      <c r="G183" s="31"/>
      <c r="H183" s="32"/>
      <c r="J183" s="33"/>
      <c r="K183" s="33"/>
      <c r="L183" s="33"/>
      <c r="X183" s="23"/>
      <c r="Y183" s="23"/>
      <c r="Z183" s="23"/>
      <c r="AA183" s="23"/>
      <c r="AF183" s="23"/>
      <c r="AG183" s="23"/>
      <c r="AH183" s="23"/>
      <c r="AI183" s="23"/>
      <c r="AN183" s="23"/>
      <c r="AO183" s="23"/>
      <c r="AP183" s="23"/>
      <c r="AQ183" s="23"/>
      <c r="AR183" s="35"/>
      <c r="AS183" s="35"/>
      <c r="AT183" s="35"/>
      <c r="AU183" s="31"/>
      <c r="AV183" s="36"/>
    </row>
    <row r="184" spans="1:48">
      <c r="A184" s="40"/>
      <c r="D184" s="31"/>
      <c r="E184" s="31"/>
      <c r="F184" s="31"/>
      <c r="G184" s="31"/>
      <c r="H184" s="32"/>
      <c r="J184" s="33"/>
      <c r="K184" s="33"/>
      <c r="L184" s="33"/>
      <c r="X184" s="23"/>
      <c r="Y184" s="23"/>
      <c r="Z184" s="23"/>
      <c r="AA184" s="23"/>
      <c r="AF184" s="23"/>
      <c r="AG184" s="23"/>
      <c r="AH184" s="23"/>
      <c r="AI184" s="23"/>
      <c r="AN184" s="23"/>
      <c r="AO184" s="23"/>
      <c r="AP184" s="23"/>
      <c r="AQ184" s="23"/>
      <c r="AR184" s="35"/>
      <c r="AS184" s="35"/>
      <c r="AT184" s="35"/>
      <c r="AU184" s="31"/>
      <c r="AV184" s="36"/>
    </row>
    <row r="185" spans="1:48">
      <c r="A185" s="40"/>
      <c r="D185" s="31"/>
      <c r="E185" s="31"/>
      <c r="F185" s="31"/>
      <c r="G185" s="31"/>
      <c r="H185" s="32"/>
      <c r="J185" s="33"/>
      <c r="K185" s="33"/>
      <c r="L185" s="33"/>
      <c r="X185" s="23"/>
      <c r="Y185" s="23"/>
      <c r="Z185" s="23"/>
      <c r="AA185" s="23"/>
      <c r="AF185" s="23"/>
      <c r="AG185" s="23"/>
      <c r="AH185" s="23"/>
      <c r="AI185" s="23"/>
      <c r="AN185" s="23"/>
      <c r="AO185" s="23"/>
      <c r="AP185" s="23"/>
      <c r="AQ185" s="23"/>
      <c r="AR185" s="35"/>
      <c r="AS185" s="35"/>
      <c r="AT185" s="35"/>
      <c r="AU185" s="31"/>
      <c r="AV185" s="36"/>
    </row>
    <row r="186" spans="1:48">
      <c r="A186" s="40"/>
      <c r="D186" s="31"/>
      <c r="E186" s="31"/>
      <c r="F186" s="31"/>
      <c r="G186" s="31"/>
      <c r="H186" s="32"/>
      <c r="J186" s="33"/>
      <c r="K186" s="33"/>
      <c r="L186" s="33"/>
      <c r="X186" s="23"/>
      <c r="Y186" s="23"/>
      <c r="Z186" s="23"/>
      <c r="AA186" s="23"/>
      <c r="AF186" s="23"/>
      <c r="AG186" s="23"/>
      <c r="AH186" s="23"/>
      <c r="AI186" s="23"/>
      <c r="AN186" s="23"/>
      <c r="AO186" s="23"/>
      <c r="AP186" s="23"/>
      <c r="AQ186" s="23"/>
      <c r="AR186" s="35"/>
      <c r="AS186" s="35"/>
      <c r="AT186" s="35"/>
      <c r="AU186" s="31"/>
      <c r="AV186" s="36"/>
    </row>
    <row r="187" spans="1:48">
      <c r="A187" s="40"/>
      <c r="D187" s="31"/>
      <c r="E187" s="31"/>
      <c r="F187" s="31"/>
      <c r="G187" s="31"/>
      <c r="H187" s="32"/>
      <c r="J187" s="33"/>
      <c r="K187" s="33"/>
      <c r="L187" s="33"/>
      <c r="X187" s="23"/>
      <c r="Y187" s="23"/>
      <c r="Z187" s="23"/>
      <c r="AA187" s="23"/>
      <c r="AF187" s="23"/>
      <c r="AG187" s="23"/>
      <c r="AH187" s="23"/>
      <c r="AI187" s="23"/>
      <c r="AN187" s="23"/>
      <c r="AO187" s="23"/>
      <c r="AP187" s="23"/>
      <c r="AQ187" s="23"/>
      <c r="AR187" s="35"/>
      <c r="AS187" s="35"/>
      <c r="AT187" s="35"/>
      <c r="AU187" s="31"/>
      <c r="AV187" s="36"/>
    </row>
    <row r="188" spans="1:48">
      <c r="A188" s="40"/>
      <c r="D188" s="31"/>
      <c r="E188" s="31"/>
      <c r="F188" s="31"/>
      <c r="G188" s="31"/>
      <c r="H188" s="32"/>
      <c r="J188" s="33"/>
      <c r="K188" s="33"/>
      <c r="L188" s="33"/>
      <c r="X188" s="23"/>
      <c r="Y188" s="23"/>
      <c r="Z188" s="23"/>
      <c r="AA188" s="23"/>
      <c r="AF188" s="23"/>
      <c r="AG188" s="23"/>
      <c r="AH188" s="23"/>
      <c r="AI188" s="23"/>
      <c r="AN188" s="23"/>
      <c r="AO188" s="23"/>
      <c r="AP188" s="23"/>
      <c r="AQ188" s="23"/>
      <c r="AR188" s="35"/>
      <c r="AS188" s="35"/>
      <c r="AT188" s="35"/>
      <c r="AU188" s="31"/>
      <c r="AV188" s="36"/>
    </row>
    <row r="189" spans="1:48">
      <c r="A189" s="40"/>
      <c r="D189" s="31"/>
      <c r="E189" s="31"/>
      <c r="F189" s="31"/>
      <c r="G189" s="31"/>
      <c r="H189" s="32"/>
      <c r="J189" s="33"/>
      <c r="K189" s="33"/>
      <c r="L189" s="33"/>
      <c r="X189" s="23"/>
      <c r="Y189" s="23"/>
      <c r="Z189" s="23"/>
      <c r="AA189" s="23"/>
      <c r="AF189" s="23"/>
      <c r="AG189" s="23"/>
      <c r="AH189" s="23"/>
      <c r="AI189" s="23"/>
      <c r="AN189" s="23"/>
      <c r="AO189" s="23"/>
      <c r="AP189" s="23"/>
      <c r="AQ189" s="23"/>
      <c r="AR189" s="35"/>
      <c r="AS189" s="35"/>
      <c r="AT189" s="35"/>
      <c r="AU189" s="31"/>
      <c r="AV189" s="36"/>
    </row>
    <row r="190" spans="1:48">
      <c r="A190" s="40"/>
      <c r="D190" s="31"/>
      <c r="E190" s="31"/>
      <c r="F190" s="31"/>
      <c r="G190" s="31"/>
      <c r="H190" s="32"/>
      <c r="J190" s="33"/>
      <c r="K190" s="33"/>
      <c r="L190" s="33"/>
      <c r="X190" s="23"/>
      <c r="Y190" s="23"/>
      <c r="Z190" s="23"/>
      <c r="AA190" s="23"/>
      <c r="AF190" s="23"/>
      <c r="AG190" s="23"/>
      <c r="AH190" s="23"/>
      <c r="AI190" s="23"/>
      <c r="AN190" s="23"/>
      <c r="AO190" s="23"/>
      <c r="AP190" s="23"/>
      <c r="AQ190" s="23"/>
      <c r="AR190" s="35"/>
      <c r="AS190" s="35"/>
      <c r="AT190" s="35"/>
      <c r="AU190" s="31"/>
      <c r="AV190" s="36"/>
    </row>
    <row r="191" spans="1:48">
      <c r="A191" s="40"/>
      <c r="D191" s="31"/>
      <c r="E191" s="31"/>
      <c r="F191" s="31"/>
      <c r="G191" s="31"/>
      <c r="H191" s="32"/>
      <c r="J191" s="33"/>
      <c r="K191" s="33"/>
      <c r="L191" s="33"/>
      <c r="X191" s="23"/>
      <c r="Y191" s="23"/>
      <c r="Z191" s="23"/>
      <c r="AA191" s="23"/>
      <c r="AF191" s="23"/>
      <c r="AG191" s="23"/>
      <c r="AH191" s="23"/>
      <c r="AI191" s="23"/>
      <c r="AN191" s="23"/>
      <c r="AO191" s="23"/>
      <c r="AP191" s="23"/>
      <c r="AQ191" s="23"/>
      <c r="AR191" s="35"/>
      <c r="AS191" s="35"/>
      <c r="AT191" s="35"/>
      <c r="AU191" s="31"/>
      <c r="AV191" s="36"/>
    </row>
    <row r="192" spans="1:48">
      <c r="A192" s="40"/>
      <c r="D192" s="31"/>
      <c r="E192" s="31"/>
      <c r="F192" s="31"/>
      <c r="G192" s="31"/>
      <c r="H192" s="32"/>
      <c r="J192" s="33"/>
      <c r="K192" s="33"/>
      <c r="L192" s="33"/>
      <c r="X192" s="23"/>
      <c r="Y192" s="23"/>
      <c r="Z192" s="23"/>
      <c r="AA192" s="23"/>
      <c r="AF192" s="23"/>
      <c r="AG192" s="23"/>
      <c r="AH192" s="23"/>
      <c r="AI192" s="23"/>
      <c r="AN192" s="23"/>
      <c r="AO192" s="23"/>
      <c r="AP192" s="23"/>
      <c r="AQ192" s="23"/>
      <c r="AR192" s="35"/>
      <c r="AS192" s="35"/>
      <c r="AT192" s="35"/>
      <c r="AU192" s="31"/>
      <c r="AV192" s="36"/>
    </row>
    <row r="193" spans="1:48">
      <c r="A193" s="40"/>
      <c r="D193" s="31"/>
      <c r="E193" s="31"/>
      <c r="F193" s="31"/>
      <c r="G193" s="31"/>
      <c r="H193" s="32"/>
      <c r="J193" s="33"/>
      <c r="K193" s="33"/>
      <c r="L193" s="33"/>
      <c r="X193" s="23"/>
      <c r="Y193" s="23"/>
      <c r="Z193" s="23"/>
      <c r="AA193" s="23"/>
      <c r="AF193" s="23"/>
      <c r="AG193" s="23"/>
      <c r="AH193" s="23"/>
      <c r="AI193" s="23"/>
      <c r="AN193" s="23"/>
      <c r="AO193" s="23"/>
      <c r="AP193" s="23"/>
      <c r="AQ193" s="23"/>
      <c r="AR193" s="35"/>
      <c r="AS193" s="35"/>
      <c r="AT193" s="35"/>
      <c r="AU193" s="31"/>
      <c r="AV193" s="36"/>
    </row>
    <row r="194" spans="1:48">
      <c r="A194" s="40"/>
      <c r="D194" s="31"/>
      <c r="E194" s="31"/>
      <c r="F194" s="31"/>
      <c r="G194" s="31"/>
      <c r="H194" s="32"/>
      <c r="J194" s="33"/>
      <c r="K194" s="33"/>
      <c r="L194" s="33"/>
      <c r="X194" s="23"/>
      <c r="Y194" s="23"/>
      <c r="Z194" s="23"/>
      <c r="AA194" s="23"/>
      <c r="AF194" s="23"/>
      <c r="AG194" s="23"/>
      <c r="AH194" s="23"/>
      <c r="AI194" s="23"/>
      <c r="AN194" s="23"/>
      <c r="AO194" s="23"/>
      <c r="AP194" s="23"/>
      <c r="AQ194" s="23"/>
      <c r="AR194" s="35"/>
      <c r="AS194" s="35"/>
      <c r="AT194" s="35"/>
      <c r="AU194" s="31"/>
      <c r="AV194" s="36"/>
    </row>
    <row r="195" spans="1:48">
      <c r="A195" s="40"/>
      <c r="D195" s="31"/>
      <c r="E195" s="31"/>
      <c r="F195" s="31"/>
      <c r="G195" s="31"/>
      <c r="H195" s="32"/>
      <c r="J195" s="33"/>
      <c r="K195" s="33"/>
      <c r="L195" s="33"/>
      <c r="X195" s="23"/>
      <c r="Y195" s="23"/>
      <c r="Z195" s="23"/>
      <c r="AA195" s="23"/>
      <c r="AF195" s="23"/>
      <c r="AG195" s="23"/>
      <c r="AH195" s="23"/>
      <c r="AI195" s="23"/>
      <c r="AN195" s="23"/>
      <c r="AO195" s="23"/>
      <c r="AP195" s="23"/>
      <c r="AQ195" s="23"/>
      <c r="AR195" s="35"/>
      <c r="AS195" s="35"/>
      <c r="AT195" s="35"/>
      <c r="AU195" s="31"/>
      <c r="AV195" s="36"/>
    </row>
    <row r="196" spans="1:48">
      <c r="A196" s="40"/>
      <c r="D196" s="31"/>
      <c r="E196" s="31"/>
      <c r="F196" s="31"/>
      <c r="G196" s="31"/>
      <c r="H196" s="32"/>
      <c r="J196" s="33"/>
      <c r="K196" s="33"/>
      <c r="L196" s="33"/>
      <c r="X196" s="23"/>
      <c r="Y196" s="23"/>
      <c r="Z196" s="23"/>
      <c r="AA196" s="23"/>
      <c r="AF196" s="23"/>
      <c r="AG196" s="23"/>
      <c r="AH196" s="23"/>
      <c r="AI196" s="23"/>
      <c r="AN196" s="23"/>
      <c r="AO196" s="23"/>
      <c r="AP196" s="23"/>
      <c r="AQ196" s="23"/>
      <c r="AR196" s="35"/>
      <c r="AS196" s="35"/>
      <c r="AT196" s="35"/>
      <c r="AU196" s="31"/>
      <c r="AV196" s="36"/>
    </row>
    <row r="197" spans="1:48">
      <c r="A197" s="40"/>
      <c r="D197" s="31"/>
      <c r="E197" s="31"/>
      <c r="F197" s="31"/>
      <c r="G197" s="31"/>
      <c r="H197" s="32"/>
      <c r="J197" s="33"/>
      <c r="K197" s="33"/>
      <c r="L197" s="33"/>
      <c r="X197" s="23"/>
      <c r="Y197" s="23"/>
      <c r="Z197" s="23"/>
      <c r="AA197" s="23"/>
      <c r="AF197" s="23"/>
      <c r="AG197" s="23"/>
      <c r="AH197" s="23"/>
      <c r="AI197" s="23"/>
      <c r="AN197" s="23"/>
      <c r="AO197" s="23"/>
      <c r="AP197" s="23"/>
      <c r="AQ197" s="23"/>
      <c r="AR197" s="35"/>
      <c r="AS197" s="35"/>
      <c r="AT197" s="35"/>
      <c r="AU197" s="31"/>
      <c r="AV197" s="36"/>
    </row>
    <row r="198" spans="1:48">
      <c r="A198" s="40"/>
      <c r="D198" s="31"/>
      <c r="E198" s="31"/>
      <c r="F198" s="31"/>
      <c r="G198" s="31"/>
      <c r="H198" s="32"/>
      <c r="J198" s="33"/>
      <c r="K198" s="33"/>
      <c r="L198" s="33"/>
      <c r="X198" s="23"/>
      <c r="Y198" s="23"/>
      <c r="Z198" s="23"/>
      <c r="AA198" s="23"/>
      <c r="AF198" s="23"/>
      <c r="AG198" s="23"/>
      <c r="AH198" s="23"/>
      <c r="AI198" s="23"/>
      <c r="AN198" s="23"/>
      <c r="AO198" s="23"/>
      <c r="AP198" s="23"/>
      <c r="AQ198" s="23"/>
      <c r="AR198" s="35"/>
      <c r="AS198" s="35"/>
      <c r="AT198" s="35"/>
      <c r="AU198" s="31"/>
      <c r="AV198" s="36"/>
    </row>
    <row r="199" spans="1:48">
      <c r="A199" s="40"/>
      <c r="D199" s="31"/>
      <c r="E199" s="31"/>
      <c r="F199" s="31"/>
      <c r="G199" s="31"/>
      <c r="H199" s="32"/>
      <c r="J199" s="33"/>
      <c r="K199" s="33"/>
      <c r="L199" s="33"/>
      <c r="X199" s="23"/>
      <c r="Y199" s="23"/>
      <c r="Z199" s="23"/>
      <c r="AA199" s="23"/>
      <c r="AF199" s="23"/>
      <c r="AG199" s="23"/>
      <c r="AH199" s="23"/>
      <c r="AI199" s="23"/>
      <c r="AN199" s="23"/>
      <c r="AO199" s="23"/>
      <c r="AP199" s="23"/>
      <c r="AQ199" s="23"/>
      <c r="AR199" s="35"/>
      <c r="AS199" s="35"/>
      <c r="AT199" s="35"/>
      <c r="AU199" s="31"/>
      <c r="AV199" s="36"/>
    </row>
    <row r="200" spans="1:48">
      <c r="A200" s="40"/>
      <c r="D200" s="31"/>
      <c r="E200" s="31"/>
      <c r="F200" s="31"/>
      <c r="G200" s="31"/>
      <c r="H200" s="32"/>
      <c r="J200" s="33"/>
      <c r="K200" s="33"/>
      <c r="L200" s="33"/>
      <c r="X200" s="23"/>
      <c r="Y200" s="23"/>
      <c r="Z200" s="23"/>
      <c r="AA200" s="23"/>
      <c r="AF200" s="23"/>
      <c r="AG200" s="23"/>
      <c r="AH200" s="23"/>
      <c r="AI200" s="23"/>
      <c r="AN200" s="23"/>
      <c r="AO200" s="23"/>
      <c r="AP200" s="23"/>
      <c r="AQ200" s="23"/>
      <c r="AR200" s="35"/>
      <c r="AS200" s="35"/>
      <c r="AT200" s="35"/>
      <c r="AU200" s="31"/>
      <c r="AV200" s="36"/>
    </row>
    <row r="201" spans="1:48">
      <c r="A201" s="40"/>
      <c r="D201" s="31"/>
      <c r="E201" s="31"/>
      <c r="F201" s="31"/>
      <c r="G201" s="31"/>
      <c r="H201" s="32"/>
      <c r="J201" s="33"/>
      <c r="K201" s="33"/>
      <c r="L201" s="33"/>
      <c r="X201" s="23"/>
      <c r="Y201" s="23"/>
      <c r="Z201" s="23"/>
      <c r="AA201" s="23"/>
      <c r="AF201" s="23"/>
      <c r="AG201" s="23"/>
      <c r="AH201" s="23"/>
      <c r="AI201" s="23"/>
      <c r="AN201" s="23"/>
      <c r="AO201" s="23"/>
      <c r="AP201" s="23"/>
      <c r="AQ201" s="23"/>
      <c r="AR201" s="35"/>
      <c r="AS201" s="35"/>
      <c r="AT201" s="35"/>
      <c r="AU201" s="31"/>
      <c r="AV201" s="36"/>
    </row>
    <row r="202" spans="1:48">
      <c r="A202" s="40"/>
      <c r="D202" s="31"/>
      <c r="E202" s="31"/>
      <c r="F202" s="31"/>
      <c r="G202" s="31"/>
      <c r="H202" s="32"/>
      <c r="J202" s="33"/>
      <c r="K202" s="33"/>
      <c r="L202" s="33"/>
      <c r="X202" s="23"/>
      <c r="Y202" s="23"/>
      <c r="Z202" s="23"/>
      <c r="AA202" s="23"/>
      <c r="AF202" s="23"/>
      <c r="AG202" s="23"/>
      <c r="AH202" s="23"/>
      <c r="AI202" s="23"/>
      <c r="AN202" s="23"/>
      <c r="AO202" s="23"/>
      <c r="AP202" s="23"/>
      <c r="AQ202" s="23"/>
      <c r="AR202" s="35"/>
      <c r="AS202" s="35"/>
      <c r="AT202" s="35"/>
      <c r="AU202" s="31"/>
      <c r="AV202" s="36"/>
    </row>
    <row r="203" spans="1:48">
      <c r="A203" s="40"/>
      <c r="D203" s="31"/>
      <c r="E203" s="31"/>
      <c r="F203" s="31"/>
      <c r="G203" s="31"/>
      <c r="H203" s="32"/>
      <c r="J203" s="33"/>
      <c r="K203" s="33"/>
      <c r="L203" s="33"/>
      <c r="X203" s="23"/>
      <c r="Y203" s="23"/>
      <c r="Z203" s="23"/>
      <c r="AA203" s="23"/>
      <c r="AF203" s="23"/>
      <c r="AG203" s="23"/>
      <c r="AH203" s="23"/>
      <c r="AI203" s="23"/>
      <c r="AN203" s="23"/>
      <c r="AO203" s="23"/>
      <c r="AP203" s="23"/>
      <c r="AQ203" s="23"/>
      <c r="AR203" s="35"/>
      <c r="AS203" s="35"/>
      <c r="AT203" s="35"/>
      <c r="AU203" s="31"/>
      <c r="AV203" s="36"/>
    </row>
    <row r="204" spans="1:48">
      <c r="A204" s="40"/>
      <c r="D204" s="31"/>
      <c r="E204" s="31"/>
      <c r="F204" s="31"/>
      <c r="G204" s="31"/>
      <c r="H204" s="32"/>
      <c r="J204" s="33"/>
      <c r="K204" s="33"/>
      <c r="L204" s="33"/>
      <c r="X204" s="23"/>
      <c r="Y204" s="23"/>
      <c r="Z204" s="23"/>
      <c r="AA204" s="23"/>
      <c r="AF204" s="23"/>
      <c r="AG204" s="23"/>
      <c r="AH204" s="23"/>
      <c r="AI204" s="23"/>
      <c r="AN204" s="23"/>
      <c r="AO204" s="23"/>
      <c r="AP204" s="23"/>
      <c r="AQ204" s="23"/>
      <c r="AR204" s="35"/>
      <c r="AS204" s="35"/>
      <c r="AT204" s="35"/>
      <c r="AU204" s="31"/>
      <c r="AV204" s="36"/>
    </row>
    <row r="205" spans="1:48">
      <c r="A205" s="40"/>
      <c r="D205" s="31"/>
      <c r="E205" s="31"/>
      <c r="F205" s="31"/>
      <c r="G205" s="31"/>
      <c r="H205" s="32"/>
      <c r="J205" s="33"/>
      <c r="K205" s="33"/>
      <c r="L205" s="33"/>
      <c r="X205" s="23"/>
      <c r="Y205" s="23"/>
      <c r="Z205" s="23"/>
      <c r="AA205" s="23"/>
      <c r="AF205" s="23"/>
      <c r="AG205" s="23"/>
      <c r="AH205" s="23"/>
      <c r="AI205" s="23"/>
      <c r="AN205" s="23"/>
      <c r="AO205" s="23"/>
      <c r="AP205" s="23"/>
      <c r="AQ205" s="23"/>
      <c r="AR205" s="35"/>
      <c r="AS205" s="35"/>
      <c r="AT205" s="35"/>
      <c r="AU205" s="31"/>
      <c r="AV205" s="36"/>
    </row>
    <row r="206" spans="1:48">
      <c r="A206" s="40"/>
      <c r="D206" s="31"/>
      <c r="E206" s="31"/>
      <c r="F206" s="31"/>
      <c r="G206" s="31"/>
      <c r="H206" s="32"/>
      <c r="J206" s="33"/>
      <c r="K206" s="33"/>
      <c r="L206" s="33"/>
      <c r="X206" s="23"/>
      <c r="Y206" s="23"/>
      <c r="Z206" s="23"/>
      <c r="AA206" s="23"/>
      <c r="AF206" s="23"/>
      <c r="AG206" s="23"/>
      <c r="AH206" s="23"/>
      <c r="AI206" s="23"/>
      <c r="AN206" s="23"/>
      <c r="AO206" s="23"/>
      <c r="AP206" s="23"/>
      <c r="AQ206" s="23"/>
      <c r="AR206" s="35"/>
      <c r="AS206" s="35"/>
      <c r="AT206" s="35"/>
      <c r="AU206" s="31"/>
      <c r="AV206" s="36"/>
    </row>
    <row r="207" spans="1:48">
      <c r="A207" s="40"/>
      <c r="D207" s="31"/>
      <c r="E207" s="31"/>
      <c r="F207" s="31"/>
      <c r="G207" s="31"/>
      <c r="H207" s="32"/>
      <c r="J207" s="33"/>
      <c r="K207" s="33"/>
      <c r="L207" s="33"/>
      <c r="X207" s="23"/>
      <c r="Y207" s="23"/>
      <c r="Z207" s="23"/>
      <c r="AA207" s="23"/>
      <c r="AF207" s="23"/>
      <c r="AG207" s="23"/>
      <c r="AH207" s="23"/>
      <c r="AI207" s="23"/>
      <c r="AN207" s="23"/>
      <c r="AO207" s="23"/>
      <c r="AP207" s="23"/>
      <c r="AQ207" s="23"/>
      <c r="AR207" s="35"/>
      <c r="AS207" s="35"/>
      <c r="AT207" s="35"/>
      <c r="AU207" s="31"/>
      <c r="AV207" s="36"/>
    </row>
    <row r="208" spans="1:48">
      <c r="A208" s="40"/>
      <c r="D208" s="31"/>
      <c r="E208" s="31"/>
      <c r="F208" s="31"/>
      <c r="G208" s="31"/>
      <c r="H208" s="32"/>
      <c r="J208" s="33"/>
      <c r="K208" s="33"/>
      <c r="L208" s="33"/>
      <c r="X208" s="23"/>
      <c r="Y208" s="23"/>
      <c r="Z208" s="23"/>
      <c r="AA208" s="23"/>
      <c r="AF208" s="23"/>
      <c r="AG208" s="23"/>
      <c r="AH208" s="23"/>
      <c r="AI208" s="23"/>
      <c r="AN208" s="23"/>
      <c r="AO208" s="23"/>
      <c r="AP208" s="23"/>
      <c r="AQ208" s="23"/>
      <c r="AR208" s="35"/>
      <c r="AS208" s="35"/>
      <c r="AT208" s="35"/>
      <c r="AU208" s="31"/>
      <c r="AV208" s="36"/>
    </row>
    <row r="209" spans="1:48">
      <c r="A209" s="40"/>
      <c r="D209" s="31"/>
      <c r="E209" s="31"/>
      <c r="F209" s="31"/>
      <c r="G209" s="31"/>
      <c r="H209" s="32"/>
      <c r="J209" s="33"/>
      <c r="K209" s="33"/>
      <c r="L209" s="33"/>
      <c r="X209" s="23"/>
      <c r="Y209" s="23"/>
      <c r="Z209" s="23"/>
      <c r="AA209" s="23"/>
      <c r="AF209" s="23"/>
      <c r="AG209" s="23"/>
      <c r="AH209" s="23"/>
      <c r="AI209" s="23"/>
      <c r="AN209" s="23"/>
      <c r="AO209" s="23"/>
      <c r="AP209" s="23"/>
      <c r="AQ209" s="23"/>
      <c r="AR209" s="35"/>
      <c r="AS209" s="35"/>
      <c r="AT209" s="35"/>
      <c r="AU209" s="31"/>
      <c r="AV209" s="36"/>
    </row>
    <row r="210" spans="1:48">
      <c r="A210" s="40"/>
      <c r="D210" s="31"/>
      <c r="E210" s="31"/>
      <c r="F210" s="31"/>
      <c r="G210" s="31"/>
      <c r="H210" s="32"/>
      <c r="J210" s="33"/>
      <c r="K210" s="33"/>
      <c r="L210" s="33"/>
      <c r="X210" s="23"/>
      <c r="Y210" s="23"/>
      <c r="Z210" s="23"/>
      <c r="AA210" s="23"/>
      <c r="AF210" s="23"/>
      <c r="AG210" s="23"/>
      <c r="AH210" s="23"/>
      <c r="AI210" s="23"/>
      <c r="AN210" s="23"/>
      <c r="AO210" s="23"/>
      <c r="AP210" s="23"/>
      <c r="AQ210" s="23"/>
      <c r="AR210" s="35"/>
      <c r="AS210" s="35"/>
      <c r="AT210" s="35"/>
      <c r="AU210" s="31"/>
      <c r="AV210" s="36"/>
    </row>
    <row r="211" spans="1:48">
      <c r="A211" s="40"/>
      <c r="D211" s="31"/>
      <c r="E211" s="31"/>
      <c r="F211" s="31"/>
      <c r="G211" s="31"/>
      <c r="H211" s="32"/>
      <c r="J211" s="33"/>
      <c r="K211" s="33"/>
      <c r="L211" s="33"/>
      <c r="X211" s="23"/>
      <c r="Y211" s="23"/>
      <c r="Z211" s="23"/>
      <c r="AA211" s="23"/>
      <c r="AF211" s="23"/>
      <c r="AG211" s="23"/>
      <c r="AH211" s="23"/>
      <c r="AI211" s="23"/>
      <c r="AN211" s="23"/>
      <c r="AO211" s="23"/>
      <c r="AP211" s="23"/>
      <c r="AQ211" s="23"/>
      <c r="AR211" s="35"/>
      <c r="AS211" s="35"/>
      <c r="AT211" s="35"/>
      <c r="AU211" s="31"/>
      <c r="AV211" s="36"/>
    </row>
    <row r="212" spans="1:48">
      <c r="A212" s="40"/>
      <c r="D212" s="31"/>
      <c r="E212" s="31"/>
      <c r="F212" s="31"/>
      <c r="G212" s="31"/>
      <c r="H212" s="32"/>
      <c r="J212" s="33"/>
      <c r="K212" s="33"/>
      <c r="L212" s="33"/>
      <c r="X212" s="23"/>
      <c r="Y212" s="23"/>
      <c r="Z212" s="23"/>
      <c r="AA212" s="23"/>
      <c r="AF212" s="23"/>
      <c r="AG212" s="23"/>
      <c r="AH212" s="23"/>
      <c r="AI212" s="23"/>
      <c r="AN212" s="23"/>
      <c r="AO212" s="23"/>
      <c r="AP212" s="23"/>
      <c r="AQ212" s="23"/>
      <c r="AR212" s="35"/>
      <c r="AS212" s="35"/>
      <c r="AT212" s="35"/>
      <c r="AU212" s="31"/>
      <c r="AV212" s="36"/>
    </row>
    <row r="213" spans="1:48">
      <c r="A213" s="40"/>
      <c r="D213" s="31"/>
      <c r="E213" s="31"/>
      <c r="F213" s="31"/>
      <c r="G213" s="31"/>
      <c r="H213" s="32"/>
      <c r="J213" s="33"/>
      <c r="K213" s="33"/>
      <c r="L213" s="33"/>
      <c r="X213" s="23"/>
      <c r="Y213" s="23"/>
      <c r="Z213" s="23"/>
      <c r="AA213" s="23"/>
      <c r="AF213" s="23"/>
      <c r="AG213" s="23"/>
      <c r="AH213" s="23"/>
      <c r="AI213" s="23"/>
      <c r="AN213" s="23"/>
      <c r="AO213" s="23"/>
      <c r="AP213" s="23"/>
      <c r="AQ213" s="23"/>
      <c r="AR213" s="35"/>
      <c r="AS213" s="35"/>
      <c r="AT213" s="35"/>
      <c r="AU213" s="31"/>
      <c r="AV213" s="36"/>
    </row>
    <row r="214" spans="1:48">
      <c r="A214" s="40"/>
      <c r="D214" s="31"/>
      <c r="E214" s="31"/>
      <c r="F214" s="31"/>
      <c r="G214" s="31"/>
      <c r="H214" s="32"/>
      <c r="J214" s="33"/>
      <c r="K214" s="33"/>
      <c r="L214" s="33"/>
      <c r="X214" s="23"/>
      <c r="Y214" s="23"/>
      <c r="Z214" s="23"/>
      <c r="AA214" s="23"/>
      <c r="AF214" s="23"/>
      <c r="AG214" s="23"/>
      <c r="AH214" s="23"/>
      <c r="AI214" s="23"/>
      <c r="AN214" s="23"/>
      <c r="AO214" s="23"/>
      <c r="AP214" s="23"/>
      <c r="AQ214" s="23"/>
      <c r="AR214" s="35"/>
      <c r="AS214" s="35"/>
      <c r="AT214" s="35"/>
      <c r="AU214" s="31"/>
      <c r="AV214" s="36"/>
    </row>
    <row r="215" spans="1:48">
      <c r="A215" s="40"/>
      <c r="D215" s="31"/>
      <c r="E215" s="31"/>
      <c r="F215" s="31"/>
      <c r="G215" s="31"/>
      <c r="H215" s="32"/>
      <c r="J215" s="33"/>
      <c r="K215" s="33"/>
      <c r="L215" s="33"/>
      <c r="X215" s="23"/>
      <c r="Y215" s="23"/>
      <c r="Z215" s="23"/>
      <c r="AA215" s="23"/>
      <c r="AF215" s="23"/>
      <c r="AG215" s="23"/>
      <c r="AH215" s="23"/>
      <c r="AI215" s="23"/>
      <c r="AN215" s="23"/>
      <c r="AO215" s="23"/>
      <c r="AP215" s="23"/>
      <c r="AQ215" s="23"/>
      <c r="AR215" s="35"/>
      <c r="AS215" s="35"/>
      <c r="AT215" s="35"/>
      <c r="AU215" s="31"/>
      <c r="AV215" s="36"/>
    </row>
    <row r="216" spans="1:48">
      <c r="A216" s="40"/>
      <c r="D216" s="31"/>
      <c r="E216" s="31"/>
      <c r="F216" s="31"/>
      <c r="G216" s="31"/>
      <c r="H216" s="32"/>
      <c r="J216" s="33"/>
      <c r="K216" s="33"/>
      <c r="L216" s="33"/>
      <c r="X216" s="23"/>
      <c r="Y216" s="23"/>
      <c r="Z216" s="23"/>
      <c r="AA216" s="23"/>
      <c r="AF216" s="23"/>
      <c r="AG216" s="23"/>
      <c r="AH216" s="23"/>
      <c r="AI216" s="23"/>
      <c r="AN216" s="23"/>
      <c r="AO216" s="23"/>
      <c r="AP216" s="23"/>
      <c r="AQ216" s="23"/>
      <c r="AR216" s="35"/>
      <c r="AS216" s="35"/>
      <c r="AT216" s="35"/>
      <c r="AU216" s="31"/>
      <c r="AV216" s="36"/>
    </row>
    <row r="217" spans="1:48">
      <c r="A217" s="40"/>
      <c r="D217" s="31"/>
      <c r="E217" s="31"/>
      <c r="F217" s="31"/>
      <c r="G217" s="31"/>
      <c r="H217" s="32"/>
      <c r="J217" s="33"/>
      <c r="K217" s="33"/>
      <c r="L217" s="33"/>
      <c r="X217" s="23"/>
      <c r="Y217" s="23"/>
      <c r="Z217" s="23"/>
      <c r="AA217" s="23"/>
      <c r="AF217" s="23"/>
      <c r="AG217" s="23"/>
      <c r="AH217" s="23"/>
      <c r="AI217" s="23"/>
      <c r="AN217" s="23"/>
      <c r="AO217" s="23"/>
      <c r="AP217" s="23"/>
      <c r="AQ217" s="23"/>
      <c r="AR217" s="35"/>
      <c r="AS217" s="35"/>
      <c r="AT217" s="35"/>
      <c r="AU217" s="31"/>
      <c r="AV217" s="36"/>
    </row>
    <row r="218" spans="1:48">
      <c r="A218" s="40"/>
      <c r="D218" s="31"/>
      <c r="E218" s="31"/>
      <c r="F218" s="31"/>
      <c r="G218" s="31"/>
      <c r="H218" s="32"/>
      <c r="J218" s="33"/>
      <c r="K218" s="33"/>
      <c r="L218" s="33"/>
      <c r="X218" s="23"/>
      <c r="Y218" s="23"/>
      <c r="Z218" s="23"/>
      <c r="AA218" s="23"/>
      <c r="AF218" s="23"/>
      <c r="AG218" s="23"/>
      <c r="AH218" s="23"/>
      <c r="AI218" s="23"/>
      <c r="AN218" s="23"/>
      <c r="AO218" s="23"/>
      <c r="AP218" s="23"/>
      <c r="AQ218" s="23"/>
      <c r="AR218" s="35"/>
      <c r="AS218" s="35"/>
      <c r="AT218" s="35"/>
      <c r="AU218" s="31"/>
      <c r="AV218" s="36"/>
    </row>
    <row r="219" spans="1:48">
      <c r="A219" s="40"/>
      <c r="D219" s="31"/>
      <c r="E219" s="31"/>
      <c r="F219" s="31"/>
      <c r="G219" s="31"/>
      <c r="H219" s="32"/>
      <c r="J219" s="33"/>
      <c r="K219" s="33"/>
      <c r="L219" s="33"/>
      <c r="X219" s="23"/>
      <c r="Y219" s="23"/>
      <c r="Z219" s="23"/>
      <c r="AA219" s="23"/>
      <c r="AF219" s="23"/>
      <c r="AG219" s="23"/>
      <c r="AH219" s="23"/>
      <c r="AI219" s="23"/>
      <c r="AN219" s="23"/>
      <c r="AO219" s="23"/>
      <c r="AP219" s="23"/>
      <c r="AQ219" s="23"/>
      <c r="AR219" s="35"/>
      <c r="AS219" s="35"/>
      <c r="AT219" s="35"/>
      <c r="AU219" s="31"/>
      <c r="AV219" s="36"/>
    </row>
    <row r="220" spans="1:48">
      <c r="A220" s="40"/>
      <c r="D220" s="31"/>
      <c r="E220" s="31"/>
      <c r="F220" s="31"/>
      <c r="G220" s="31"/>
      <c r="H220" s="32"/>
      <c r="J220" s="33"/>
      <c r="K220" s="33"/>
      <c r="L220" s="33"/>
      <c r="X220" s="23"/>
      <c r="Y220" s="23"/>
      <c r="Z220" s="23"/>
      <c r="AA220" s="23"/>
      <c r="AF220" s="23"/>
      <c r="AG220" s="23"/>
      <c r="AH220" s="23"/>
      <c r="AI220" s="23"/>
      <c r="AN220" s="23"/>
      <c r="AO220" s="23"/>
      <c r="AP220" s="23"/>
      <c r="AQ220" s="23"/>
      <c r="AR220" s="35"/>
      <c r="AS220" s="35"/>
      <c r="AT220" s="35"/>
      <c r="AU220" s="31"/>
      <c r="AV220" s="36"/>
    </row>
    <row r="221" spans="1:48">
      <c r="A221" s="40"/>
      <c r="D221" s="31"/>
      <c r="E221" s="31"/>
      <c r="F221" s="31"/>
      <c r="G221" s="31"/>
      <c r="H221" s="32"/>
      <c r="J221" s="33"/>
      <c r="K221" s="33"/>
      <c r="L221" s="33"/>
      <c r="X221" s="23"/>
      <c r="Y221" s="23"/>
      <c r="Z221" s="23"/>
      <c r="AA221" s="23"/>
      <c r="AF221" s="23"/>
      <c r="AG221" s="23"/>
      <c r="AH221" s="23"/>
      <c r="AI221" s="23"/>
      <c r="AN221" s="23"/>
      <c r="AO221" s="23"/>
      <c r="AP221" s="23"/>
      <c r="AQ221" s="23"/>
      <c r="AR221" s="35"/>
      <c r="AS221" s="35"/>
      <c r="AT221" s="35"/>
      <c r="AU221" s="31"/>
      <c r="AV221" s="36"/>
    </row>
    <row r="222" spans="1:48">
      <c r="A222" s="40"/>
      <c r="D222" s="31"/>
      <c r="E222" s="31"/>
      <c r="F222" s="31"/>
      <c r="G222" s="31"/>
      <c r="H222" s="32"/>
      <c r="J222" s="33"/>
      <c r="K222" s="33"/>
      <c r="L222" s="33"/>
      <c r="X222" s="23"/>
      <c r="Y222" s="23"/>
      <c r="Z222" s="23"/>
      <c r="AA222" s="23"/>
      <c r="AF222" s="23"/>
      <c r="AG222" s="23"/>
      <c r="AH222" s="23"/>
      <c r="AI222" s="23"/>
      <c r="AN222" s="23"/>
      <c r="AO222" s="23"/>
      <c r="AP222" s="23"/>
      <c r="AQ222" s="23"/>
      <c r="AR222" s="35"/>
      <c r="AS222" s="35"/>
      <c r="AT222" s="35"/>
      <c r="AU222" s="31"/>
      <c r="AV222" s="36"/>
    </row>
    <row r="223" spans="1:48">
      <c r="A223" s="40"/>
      <c r="D223" s="31"/>
      <c r="E223" s="31"/>
      <c r="F223" s="31"/>
      <c r="G223" s="31"/>
      <c r="H223" s="32"/>
      <c r="J223" s="33"/>
      <c r="K223" s="33"/>
      <c r="L223" s="33"/>
      <c r="X223" s="23"/>
      <c r="Y223" s="23"/>
      <c r="Z223" s="23"/>
      <c r="AA223" s="23"/>
      <c r="AF223" s="23"/>
      <c r="AG223" s="23"/>
      <c r="AH223" s="23"/>
      <c r="AI223" s="23"/>
      <c r="AN223" s="23"/>
      <c r="AO223" s="23"/>
      <c r="AP223" s="23"/>
      <c r="AQ223" s="23"/>
      <c r="AR223" s="35"/>
      <c r="AS223" s="35"/>
      <c r="AT223" s="35"/>
      <c r="AU223" s="31"/>
      <c r="AV223" s="36"/>
    </row>
    <row r="224" spans="1:48">
      <c r="A224" s="40"/>
      <c r="D224" s="31"/>
      <c r="E224" s="31"/>
      <c r="F224" s="31"/>
      <c r="G224" s="31"/>
      <c r="H224" s="32"/>
      <c r="J224" s="33"/>
      <c r="K224" s="33"/>
      <c r="L224" s="33"/>
      <c r="X224" s="23"/>
      <c r="Y224" s="23"/>
      <c r="Z224" s="23"/>
      <c r="AA224" s="23"/>
      <c r="AF224" s="23"/>
      <c r="AG224" s="23"/>
      <c r="AH224" s="23"/>
      <c r="AI224" s="23"/>
      <c r="AN224" s="23"/>
      <c r="AO224" s="23"/>
      <c r="AP224" s="23"/>
      <c r="AQ224" s="23"/>
      <c r="AR224" s="35"/>
      <c r="AS224" s="35"/>
      <c r="AT224" s="35"/>
      <c r="AU224" s="31"/>
      <c r="AV224" s="36"/>
    </row>
    <row r="225" spans="1:48">
      <c r="A225" s="40"/>
      <c r="D225" s="31"/>
      <c r="E225" s="31"/>
      <c r="F225" s="31"/>
      <c r="G225" s="31"/>
      <c r="H225" s="32"/>
      <c r="J225" s="33"/>
      <c r="K225" s="33"/>
      <c r="L225" s="33"/>
      <c r="X225" s="23"/>
      <c r="Y225" s="23"/>
      <c r="Z225" s="23"/>
      <c r="AA225" s="23"/>
      <c r="AF225" s="23"/>
      <c r="AG225" s="23"/>
      <c r="AH225" s="23"/>
      <c r="AI225" s="23"/>
      <c r="AN225" s="23"/>
      <c r="AO225" s="23"/>
      <c r="AP225" s="23"/>
      <c r="AQ225" s="23"/>
      <c r="AR225" s="35"/>
      <c r="AS225" s="35"/>
      <c r="AT225" s="35"/>
      <c r="AU225" s="31"/>
      <c r="AV225" s="36"/>
    </row>
    <row r="226" spans="1:48">
      <c r="A226" s="40"/>
      <c r="D226" s="31"/>
      <c r="E226" s="31"/>
      <c r="F226" s="31"/>
      <c r="G226" s="31"/>
      <c r="H226" s="32"/>
      <c r="J226" s="33"/>
      <c r="K226" s="33"/>
      <c r="L226" s="33"/>
      <c r="X226" s="23"/>
      <c r="Y226" s="23"/>
      <c r="Z226" s="23"/>
      <c r="AA226" s="23"/>
      <c r="AF226" s="23"/>
      <c r="AG226" s="23"/>
      <c r="AH226" s="23"/>
      <c r="AI226" s="23"/>
      <c r="AN226" s="23"/>
      <c r="AO226" s="23"/>
      <c r="AP226" s="23"/>
      <c r="AQ226" s="23"/>
      <c r="AR226" s="35"/>
      <c r="AS226" s="35"/>
      <c r="AT226" s="35"/>
      <c r="AU226" s="31"/>
      <c r="AV226" s="36"/>
    </row>
    <row r="227" spans="1:48">
      <c r="A227" s="40"/>
      <c r="D227" s="31"/>
      <c r="E227" s="31"/>
      <c r="F227" s="31"/>
      <c r="G227" s="31"/>
      <c r="H227" s="32"/>
      <c r="J227" s="33"/>
      <c r="K227" s="33"/>
      <c r="L227" s="33"/>
      <c r="X227" s="23"/>
      <c r="Y227" s="23"/>
      <c r="Z227" s="23"/>
      <c r="AA227" s="23"/>
      <c r="AF227" s="23"/>
      <c r="AG227" s="23"/>
      <c r="AH227" s="23"/>
      <c r="AI227" s="23"/>
      <c r="AN227" s="23"/>
      <c r="AO227" s="23"/>
      <c r="AP227" s="23"/>
      <c r="AQ227" s="23"/>
      <c r="AR227" s="35"/>
      <c r="AS227" s="35"/>
      <c r="AT227" s="35"/>
      <c r="AU227" s="31"/>
      <c r="AV227" s="36"/>
    </row>
    <row r="228" spans="1:48">
      <c r="A228" s="40"/>
      <c r="D228" s="31"/>
      <c r="E228" s="31"/>
      <c r="F228" s="31"/>
      <c r="G228" s="31"/>
      <c r="H228" s="32"/>
      <c r="J228" s="33"/>
      <c r="K228" s="33"/>
      <c r="L228" s="33"/>
      <c r="X228" s="23"/>
      <c r="Y228" s="23"/>
      <c r="Z228" s="23"/>
      <c r="AA228" s="23"/>
      <c r="AF228" s="23"/>
      <c r="AG228" s="23"/>
      <c r="AH228" s="23"/>
      <c r="AI228" s="23"/>
      <c r="AN228" s="23"/>
      <c r="AO228" s="23"/>
      <c r="AP228" s="23"/>
      <c r="AQ228" s="23"/>
      <c r="AR228" s="35"/>
      <c r="AS228" s="35"/>
      <c r="AT228" s="35"/>
      <c r="AU228" s="31"/>
      <c r="AV228" s="36"/>
    </row>
    <row r="229" spans="1:48">
      <c r="A229" s="40"/>
      <c r="D229" s="31"/>
      <c r="E229" s="31"/>
      <c r="F229" s="31"/>
      <c r="G229" s="31"/>
      <c r="H229" s="32"/>
      <c r="J229" s="33"/>
      <c r="K229" s="33"/>
      <c r="L229" s="33"/>
      <c r="X229" s="23"/>
      <c r="Y229" s="23"/>
      <c r="Z229" s="23"/>
      <c r="AA229" s="23"/>
      <c r="AF229" s="23"/>
      <c r="AG229" s="23"/>
      <c r="AH229" s="23"/>
      <c r="AI229" s="23"/>
      <c r="AN229" s="23"/>
      <c r="AO229" s="23"/>
      <c r="AP229" s="23"/>
      <c r="AQ229" s="23"/>
      <c r="AR229" s="35"/>
      <c r="AS229" s="35"/>
      <c r="AT229" s="35"/>
      <c r="AU229" s="31"/>
      <c r="AV229" s="36"/>
    </row>
    <row r="230" spans="1:48">
      <c r="A230" s="40"/>
      <c r="D230" s="31"/>
      <c r="E230" s="31"/>
      <c r="F230" s="31"/>
      <c r="G230" s="31"/>
      <c r="H230" s="32"/>
      <c r="J230" s="33"/>
      <c r="K230" s="33"/>
      <c r="L230" s="33"/>
      <c r="X230" s="23"/>
      <c r="Y230" s="23"/>
      <c r="Z230" s="23"/>
      <c r="AA230" s="23"/>
      <c r="AF230" s="23"/>
      <c r="AG230" s="23"/>
      <c r="AH230" s="23"/>
      <c r="AI230" s="23"/>
      <c r="AN230" s="23"/>
      <c r="AO230" s="23"/>
      <c r="AP230" s="23"/>
      <c r="AQ230" s="23"/>
      <c r="AR230" s="35"/>
      <c r="AS230" s="35"/>
      <c r="AT230" s="35"/>
      <c r="AU230" s="31"/>
      <c r="AV230" s="36"/>
    </row>
    <row r="231" spans="1:48">
      <c r="A231" s="40"/>
      <c r="D231" s="31"/>
      <c r="E231" s="31"/>
      <c r="F231" s="31"/>
      <c r="G231" s="31"/>
      <c r="H231" s="32"/>
      <c r="J231" s="33"/>
      <c r="K231" s="33"/>
      <c r="L231" s="33"/>
      <c r="X231" s="23"/>
      <c r="Y231" s="23"/>
      <c r="Z231" s="23"/>
      <c r="AA231" s="23"/>
      <c r="AF231" s="23"/>
      <c r="AG231" s="23"/>
      <c r="AH231" s="23"/>
      <c r="AI231" s="23"/>
      <c r="AN231" s="23"/>
      <c r="AO231" s="23"/>
      <c r="AP231" s="23"/>
      <c r="AQ231" s="23"/>
      <c r="AR231" s="35"/>
      <c r="AS231" s="35"/>
      <c r="AT231" s="35"/>
      <c r="AU231" s="31"/>
      <c r="AV231" s="36"/>
    </row>
    <row r="232" spans="1:48">
      <c r="A232" s="40"/>
      <c r="D232" s="31"/>
      <c r="E232" s="31"/>
      <c r="F232" s="31"/>
      <c r="G232" s="31"/>
      <c r="H232" s="32"/>
      <c r="J232" s="33"/>
      <c r="K232" s="33"/>
      <c r="L232" s="33"/>
      <c r="X232" s="23"/>
      <c r="Y232" s="23"/>
      <c r="Z232" s="23"/>
      <c r="AA232" s="23"/>
      <c r="AF232" s="23"/>
      <c r="AG232" s="23"/>
      <c r="AH232" s="23"/>
      <c r="AI232" s="23"/>
      <c r="AN232" s="23"/>
      <c r="AO232" s="23"/>
      <c r="AP232" s="23"/>
      <c r="AQ232" s="23"/>
      <c r="AR232" s="35"/>
      <c r="AS232" s="35"/>
      <c r="AT232" s="35"/>
      <c r="AU232" s="31"/>
      <c r="AV232" s="36"/>
    </row>
    <row r="233" spans="1:48">
      <c r="A233" s="40"/>
      <c r="D233" s="31"/>
      <c r="E233" s="31"/>
      <c r="F233" s="31"/>
      <c r="G233" s="31"/>
      <c r="H233" s="32"/>
      <c r="J233" s="33"/>
      <c r="K233" s="33"/>
      <c r="L233" s="33"/>
      <c r="X233" s="23"/>
      <c r="Y233" s="23"/>
      <c r="Z233" s="23"/>
      <c r="AA233" s="23"/>
      <c r="AF233" s="23"/>
      <c r="AG233" s="23"/>
      <c r="AH233" s="23"/>
      <c r="AI233" s="23"/>
      <c r="AN233" s="23"/>
      <c r="AO233" s="23"/>
      <c r="AP233" s="23"/>
      <c r="AQ233" s="23"/>
      <c r="AR233" s="35"/>
      <c r="AS233" s="35"/>
      <c r="AT233" s="35"/>
      <c r="AU233" s="31"/>
      <c r="AV233" s="36"/>
    </row>
    <row r="234" spans="1:48">
      <c r="A234" s="40"/>
      <c r="D234" s="31"/>
      <c r="E234" s="31"/>
      <c r="F234" s="31"/>
      <c r="G234" s="31"/>
      <c r="H234" s="32"/>
      <c r="J234" s="33"/>
      <c r="K234" s="33"/>
      <c r="L234" s="33"/>
      <c r="X234" s="23"/>
      <c r="Y234" s="23"/>
      <c r="Z234" s="23"/>
      <c r="AA234" s="23"/>
      <c r="AF234" s="23"/>
      <c r="AG234" s="23"/>
      <c r="AH234" s="23"/>
      <c r="AI234" s="23"/>
      <c r="AN234" s="23"/>
      <c r="AO234" s="23"/>
      <c r="AP234" s="23"/>
      <c r="AQ234" s="23"/>
      <c r="AR234" s="35"/>
      <c r="AS234" s="35"/>
      <c r="AT234" s="35"/>
      <c r="AU234" s="31"/>
      <c r="AV234" s="36"/>
    </row>
    <row r="235" spans="1:48">
      <c r="A235" s="40"/>
      <c r="D235" s="31"/>
      <c r="E235" s="31"/>
      <c r="F235" s="31"/>
      <c r="G235" s="31"/>
      <c r="H235" s="32"/>
      <c r="J235" s="33"/>
      <c r="K235" s="33"/>
      <c r="L235" s="33"/>
      <c r="X235" s="23"/>
      <c r="Y235" s="23"/>
      <c r="Z235" s="23"/>
      <c r="AA235" s="23"/>
      <c r="AF235" s="23"/>
      <c r="AG235" s="23"/>
      <c r="AH235" s="23"/>
      <c r="AI235" s="23"/>
      <c r="AN235" s="23"/>
      <c r="AO235" s="23"/>
      <c r="AP235" s="23"/>
      <c r="AQ235" s="23"/>
      <c r="AR235" s="35"/>
      <c r="AS235" s="35"/>
      <c r="AT235" s="35"/>
      <c r="AU235" s="31"/>
      <c r="AV235" s="36"/>
    </row>
    <row r="236" spans="1:48">
      <c r="A236" s="40"/>
      <c r="D236" s="31"/>
      <c r="E236" s="31"/>
      <c r="F236" s="31"/>
      <c r="G236" s="31"/>
      <c r="H236" s="32"/>
      <c r="J236" s="33"/>
      <c r="K236" s="33"/>
      <c r="L236" s="33"/>
      <c r="X236" s="23"/>
      <c r="Y236" s="23"/>
      <c r="Z236" s="23"/>
      <c r="AA236" s="23"/>
      <c r="AF236" s="23"/>
      <c r="AG236" s="23"/>
      <c r="AH236" s="23"/>
      <c r="AI236" s="23"/>
      <c r="AN236" s="23"/>
      <c r="AO236" s="23"/>
      <c r="AP236" s="23"/>
      <c r="AQ236" s="23"/>
      <c r="AR236" s="35"/>
      <c r="AS236" s="35"/>
      <c r="AT236" s="35"/>
      <c r="AU236" s="31"/>
      <c r="AV236" s="36"/>
    </row>
    <row r="237" spans="1:48">
      <c r="A237" s="40"/>
      <c r="D237" s="31"/>
      <c r="E237" s="31"/>
      <c r="F237" s="31"/>
      <c r="G237" s="31"/>
      <c r="H237" s="32"/>
      <c r="J237" s="33"/>
      <c r="K237" s="33"/>
      <c r="L237" s="33"/>
      <c r="X237" s="23"/>
      <c r="Y237" s="23"/>
      <c r="Z237" s="23"/>
      <c r="AA237" s="23"/>
      <c r="AF237" s="23"/>
      <c r="AG237" s="23"/>
      <c r="AH237" s="23"/>
      <c r="AI237" s="23"/>
      <c r="AN237" s="23"/>
      <c r="AO237" s="23"/>
      <c r="AP237" s="23"/>
      <c r="AQ237" s="23"/>
      <c r="AR237" s="35"/>
      <c r="AS237" s="35"/>
      <c r="AT237" s="35"/>
      <c r="AU237" s="31"/>
      <c r="AV237" s="36"/>
    </row>
    <row r="238" spans="1:48">
      <c r="A238" s="40"/>
      <c r="D238" s="31"/>
      <c r="E238" s="31"/>
      <c r="F238" s="31"/>
      <c r="G238" s="31"/>
      <c r="H238" s="32"/>
      <c r="J238" s="33"/>
      <c r="K238" s="33"/>
      <c r="L238" s="33"/>
      <c r="X238" s="23"/>
      <c r="Y238" s="23"/>
      <c r="Z238" s="23"/>
      <c r="AA238" s="23"/>
      <c r="AF238" s="23"/>
      <c r="AG238" s="23"/>
      <c r="AH238" s="23"/>
      <c r="AI238" s="23"/>
      <c r="AN238" s="23"/>
      <c r="AO238" s="23"/>
      <c r="AP238" s="23"/>
      <c r="AQ238" s="23"/>
      <c r="AR238" s="35"/>
      <c r="AS238" s="35"/>
      <c r="AT238" s="35"/>
      <c r="AU238" s="31"/>
      <c r="AV238" s="36"/>
    </row>
    <row r="239" spans="1:48">
      <c r="A239" s="40"/>
      <c r="D239" s="31"/>
      <c r="E239" s="31"/>
      <c r="F239" s="31"/>
      <c r="G239" s="31"/>
      <c r="H239" s="32"/>
      <c r="J239" s="33"/>
      <c r="K239" s="33"/>
      <c r="L239" s="33"/>
      <c r="X239" s="23"/>
      <c r="Y239" s="23"/>
      <c r="Z239" s="23"/>
      <c r="AA239" s="23"/>
      <c r="AF239" s="23"/>
      <c r="AG239" s="23"/>
      <c r="AH239" s="23"/>
      <c r="AI239" s="23"/>
      <c r="AN239" s="23"/>
      <c r="AO239" s="23"/>
      <c r="AP239" s="23"/>
      <c r="AQ239" s="23"/>
      <c r="AR239" s="35"/>
      <c r="AS239" s="35"/>
      <c r="AT239" s="35"/>
      <c r="AU239" s="31"/>
      <c r="AV239" s="36"/>
    </row>
    <row r="240" spans="1:48">
      <c r="A240" s="40"/>
      <c r="D240" s="31"/>
      <c r="E240" s="31"/>
      <c r="F240" s="31"/>
      <c r="G240" s="31"/>
      <c r="H240" s="32"/>
      <c r="J240" s="33"/>
      <c r="K240" s="33"/>
      <c r="L240" s="33"/>
      <c r="X240" s="23"/>
      <c r="Y240" s="23"/>
      <c r="Z240" s="23"/>
      <c r="AA240" s="23"/>
      <c r="AF240" s="23"/>
      <c r="AG240" s="23"/>
      <c r="AH240" s="23"/>
      <c r="AI240" s="23"/>
      <c r="AN240" s="23"/>
      <c r="AO240" s="23"/>
      <c r="AP240" s="23"/>
      <c r="AQ240" s="23"/>
      <c r="AR240" s="35"/>
      <c r="AS240" s="35"/>
      <c r="AT240" s="35"/>
      <c r="AU240" s="31"/>
      <c r="AV240" s="36"/>
    </row>
    <row r="241" spans="1:48">
      <c r="A241" s="40"/>
      <c r="D241" s="31"/>
      <c r="E241" s="31"/>
      <c r="F241" s="31"/>
      <c r="G241" s="31"/>
      <c r="H241" s="32"/>
      <c r="J241" s="33"/>
      <c r="K241" s="33"/>
      <c r="L241" s="33"/>
      <c r="X241" s="23"/>
      <c r="Y241" s="23"/>
      <c r="Z241" s="23"/>
      <c r="AA241" s="23"/>
      <c r="AF241" s="23"/>
      <c r="AG241" s="23"/>
      <c r="AH241" s="23"/>
      <c r="AI241" s="23"/>
      <c r="AN241" s="23"/>
      <c r="AO241" s="23"/>
      <c r="AP241" s="23"/>
      <c r="AQ241" s="23"/>
      <c r="AR241" s="35"/>
      <c r="AS241" s="35"/>
      <c r="AT241" s="35"/>
      <c r="AU241" s="31"/>
      <c r="AV241" s="36"/>
    </row>
    <row r="242" spans="1:48">
      <c r="A242" s="40"/>
      <c r="D242" s="31"/>
      <c r="E242" s="31"/>
      <c r="F242" s="31"/>
      <c r="G242" s="31"/>
      <c r="H242" s="32"/>
      <c r="J242" s="33"/>
      <c r="K242" s="33"/>
      <c r="L242" s="33"/>
      <c r="X242" s="23"/>
      <c r="Y242" s="23"/>
      <c r="Z242" s="23"/>
      <c r="AA242" s="23"/>
      <c r="AF242" s="23"/>
      <c r="AG242" s="23"/>
      <c r="AH242" s="23"/>
      <c r="AI242" s="23"/>
      <c r="AN242" s="23"/>
      <c r="AO242" s="23"/>
      <c r="AP242" s="23"/>
      <c r="AQ242" s="23"/>
      <c r="AR242" s="35"/>
      <c r="AS242" s="35"/>
      <c r="AT242" s="35"/>
      <c r="AU242" s="31"/>
      <c r="AV242" s="36"/>
    </row>
    <row r="243" spans="1:48">
      <c r="A243" s="40"/>
      <c r="D243" s="31"/>
      <c r="E243" s="31"/>
      <c r="F243" s="31"/>
      <c r="G243" s="31"/>
      <c r="H243" s="32"/>
      <c r="J243" s="33"/>
      <c r="K243" s="33"/>
      <c r="L243" s="33"/>
      <c r="X243" s="23"/>
      <c r="Y243" s="23"/>
      <c r="Z243" s="23"/>
      <c r="AA243" s="23"/>
      <c r="AF243" s="23"/>
      <c r="AG243" s="23"/>
      <c r="AH243" s="23"/>
      <c r="AI243" s="23"/>
      <c r="AN243" s="23"/>
      <c r="AO243" s="23"/>
      <c r="AP243" s="23"/>
      <c r="AQ243" s="23"/>
      <c r="AR243" s="35"/>
      <c r="AS243" s="35"/>
      <c r="AT243" s="35"/>
      <c r="AU243" s="31"/>
      <c r="AV243" s="36"/>
    </row>
    <row r="244" spans="1:48">
      <c r="A244" s="40"/>
      <c r="D244" s="31"/>
      <c r="E244" s="31"/>
      <c r="F244" s="31"/>
      <c r="G244" s="31"/>
      <c r="H244" s="32"/>
      <c r="J244" s="33"/>
      <c r="K244" s="33"/>
      <c r="L244" s="33"/>
      <c r="X244" s="23"/>
      <c r="Y244" s="23"/>
      <c r="Z244" s="23"/>
      <c r="AA244" s="23"/>
      <c r="AF244" s="23"/>
      <c r="AG244" s="23"/>
      <c r="AH244" s="23"/>
      <c r="AI244" s="23"/>
      <c r="AN244" s="23"/>
      <c r="AO244" s="23"/>
      <c r="AP244" s="23"/>
      <c r="AQ244" s="23"/>
      <c r="AR244" s="35"/>
      <c r="AS244" s="35"/>
      <c r="AT244" s="35"/>
      <c r="AU244" s="31"/>
      <c r="AV244" s="36"/>
    </row>
    <row r="245" spans="1:48">
      <c r="A245" s="40"/>
      <c r="D245" s="31"/>
      <c r="E245" s="31"/>
      <c r="F245" s="31"/>
      <c r="G245" s="31"/>
      <c r="H245" s="32"/>
      <c r="J245" s="33"/>
      <c r="K245" s="33"/>
      <c r="L245" s="33"/>
      <c r="X245" s="23"/>
      <c r="Y245" s="23"/>
      <c r="Z245" s="23"/>
      <c r="AA245" s="23"/>
      <c r="AF245" s="23"/>
      <c r="AG245" s="23"/>
      <c r="AH245" s="23"/>
      <c r="AI245" s="23"/>
      <c r="AN245" s="23"/>
      <c r="AO245" s="23"/>
      <c r="AP245" s="23"/>
      <c r="AQ245" s="23"/>
      <c r="AR245" s="35"/>
      <c r="AS245" s="35"/>
      <c r="AT245" s="35"/>
      <c r="AU245" s="31"/>
      <c r="AV245" s="36"/>
    </row>
    <row r="246" spans="1:48">
      <c r="A246" s="40"/>
      <c r="D246" s="31"/>
      <c r="E246" s="31"/>
      <c r="F246" s="31"/>
      <c r="G246" s="31"/>
      <c r="H246" s="32"/>
      <c r="J246" s="33"/>
      <c r="K246" s="33"/>
      <c r="L246" s="33"/>
      <c r="X246" s="23"/>
      <c r="Y246" s="23"/>
      <c r="Z246" s="23"/>
      <c r="AA246" s="23"/>
      <c r="AF246" s="23"/>
      <c r="AG246" s="23"/>
      <c r="AH246" s="23"/>
      <c r="AI246" s="23"/>
      <c r="AN246" s="23"/>
      <c r="AO246" s="23"/>
      <c r="AP246" s="23"/>
      <c r="AQ246" s="23"/>
      <c r="AR246" s="35"/>
      <c r="AS246" s="35"/>
      <c r="AT246" s="35"/>
      <c r="AU246" s="31"/>
      <c r="AV246" s="36"/>
    </row>
    <row r="247" spans="1:48">
      <c r="A247" s="40"/>
      <c r="D247" s="31"/>
      <c r="E247" s="31"/>
      <c r="F247" s="31"/>
      <c r="G247" s="31"/>
      <c r="H247" s="32"/>
      <c r="J247" s="33"/>
      <c r="K247" s="33"/>
      <c r="L247" s="33"/>
      <c r="X247" s="23"/>
      <c r="Y247" s="23"/>
      <c r="Z247" s="23"/>
      <c r="AA247" s="23"/>
      <c r="AF247" s="23"/>
      <c r="AG247" s="23"/>
      <c r="AH247" s="23"/>
      <c r="AI247" s="23"/>
      <c r="AN247" s="23"/>
      <c r="AO247" s="23"/>
      <c r="AP247" s="23"/>
      <c r="AQ247" s="23"/>
      <c r="AR247" s="35"/>
      <c r="AS247" s="35"/>
      <c r="AT247" s="35"/>
      <c r="AU247" s="31"/>
      <c r="AV247" s="36"/>
    </row>
    <row r="248" spans="1:48">
      <c r="A248" s="40"/>
      <c r="D248" s="31"/>
      <c r="E248" s="31"/>
      <c r="F248" s="31"/>
      <c r="G248" s="31"/>
      <c r="H248" s="32"/>
      <c r="J248" s="33"/>
      <c r="K248" s="33"/>
      <c r="L248" s="33"/>
      <c r="X248" s="23"/>
      <c r="Y248" s="23"/>
      <c r="Z248" s="23"/>
      <c r="AA248" s="23"/>
      <c r="AF248" s="23"/>
      <c r="AG248" s="23"/>
      <c r="AH248" s="23"/>
      <c r="AI248" s="23"/>
      <c r="AN248" s="23"/>
      <c r="AO248" s="23"/>
      <c r="AP248" s="23"/>
      <c r="AQ248" s="23"/>
      <c r="AR248" s="35"/>
      <c r="AS248" s="35"/>
      <c r="AT248" s="35"/>
      <c r="AU248" s="31"/>
      <c r="AV248" s="36"/>
    </row>
    <row r="249" spans="1:48">
      <c r="A249" s="40"/>
      <c r="D249" s="31"/>
      <c r="E249" s="31"/>
      <c r="F249" s="31"/>
      <c r="G249" s="31"/>
      <c r="H249" s="32"/>
      <c r="J249" s="33"/>
      <c r="K249" s="33"/>
      <c r="L249" s="33"/>
      <c r="X249" s="23"/>
      <c r="Y249" s="23"/>
      <c r="Z249" s="23"/>
      <c r="AA249" s="23"/>
      <c r="AF249" s="23"/>
      <c r="AG249" s="23"/>
      <c r="AH249" s="23"/>
      <c r="AI249" s="23"/>
      <c r="AN249" s="23"/>
      <c r="AO249" s="23"/>
      <c r="AP249" s="23"/>
      <c r="AQ249" s="23"/>
      <c r="AR249" s="35"/>
      <c r="AS249" s="35"/>
      <c r="AT249" s="35"/>
      <c r="AU249" s="31"/>
      <c r="AV249" s="36"/>
    </row>
    <row r="250" spans="1:48">
      <c r="A250" s="40"/>
      <c r="D250" s="31"/>
      <c r="E250" s="31"/>
      <c r="F250" s="31"/>
      <c r="G250" s="31"/>
      <c r="H250" s="32"/>
      <c r="J250" s="33"/>
      <c r="K250" s="33"/>
      <c r="L250" s="33"/>
      <c r="X250" s="23"/>
      <c r="Y250" s="23"/>
      <c r="Z250" s="23"/>
      <c r="AA250" s="23"/>
      <c r="AF250" s="23"/>
      <c r="AG250" s="23"/>
      <c r="AH250" s="23"/>
      <c r="AI250" s="23"/>
      <c r="AN250" s="23"/>
      <c r="AO250" s="23"/>
      <c r="AP250" s="23"/>
      <c r="AQ250" s="23"/>
      <c r="AR250" s="35"/>
      <c r="AS250" s="35"/>
      <c r="AT250" s="35"/>
      <c r="AU250" s="31"/>
      <c r="AV250" s="36"/>
    </row>
    <row r="251" spans="1:48">
      <c r="A251" s="40"/>
      <c r="D251" s="31"/>
      <c r="E251" s="31"/>
      <c r="F251" s="31"/>
      <c r="G251" s="31"/>
      <c r="H251" s="32"/>
      <c r="J251" s="33"/>
      <c r="K251" s="33"/>
      <c r="L251" s="33"/>
      <c r="X251" s="23"/>
      <c r="Y251" s="23"/>
      <c r="Z251" s="23"/>
      <c r="AA251" s="23"/>
      <c r="AF251" s="23"/>
      <c r="AG251" s="23"/>
      <c r="AH251" s="23"/>
      <c r="AI251" s="23"/>
      <c r="AN251" s="23"/>
      <c r="AO251" s="23"/>
      <c r="AP251" s="23"/>
      <c r="AQ251" s="23"/>
      <c r="AR251" s="35"/>
      <c r="AS251" s="35"/>
      <c r="AT251" s="35"/>
      <c r="AU251" s="31"/>
      <c r="AV251" s="36"/>
    </row>
    <row r="252" spans="1:48">
      <c r="A252" s="40"/>
      <c r="D252" s="31"/>
      <c r="E252" s="31"/>
      <c r="F252" s="31"/>
      <c r="G252" s="31"/>
      <c r="H252" s="32"/>
      <c r="J252" s="33"/>
      <c r="K252" s="33"/>
      <c r="L252" s="33"/>
      <c r="X252" s="23"/>
      <c r="Y252" s="23"/>
      <c r="Z252" s="23"/>
      <c r="AA252" s="23"/>
      <c r="AF252" s="23"/>
      <c r="AG252" s="23"/>
      <c r="AH252" s="23"/>
      <c r="AI252" s="23"/>
      <c r="AN252" s="23"/>
      <c r="AO252" s="23"/>
      <c r="AP252" s="23"/>
      <c r="AQ252" s="23"/>
      <c r="AR252" s="35"/>
      <c r="AS252" s="35"/>
      <c r="AT252" s="35"/>
      <c r="AU252" s="31"/>
      <c r="AV252" s="36"/>
    </row>
    <row r="253" spans="1:48">
      <c r="A253" s="40"/>
      <c r="D253" s="31"/>
      <c r="E253" s="31"/>
      <c r="F253" s="31"/>
      <c r="G253" s="31"/>
      <c r="H253" s="32"/>
      <c r="J253" s="33"/>
      <c r="K253" s="33"/>
      <c r="L253" s="33"/>
      <c r="X253" s="23"/>
      <c r="Y253" s="23"/>
      <c r="Z253" s="23"/>
      <c r="AA253" s="23"/>
      <c r="AF253" s="23"/>
      <c r="AG253" s="23"/>
      <c r="AH253" s="23"/>
      <c r="AI253" s="23"/>
      <c r="AN253" s="23"/>
      <c r="AO253" s="23"/>
      <c r="AP253" s="23"/>
      <c r="AQ253" s="23"/>
      <c r="AR253" s="35"/>
      <c r="AS253" s="35"/>
      <c r="AT253" s="35"/>
      <c r="AU253" s="31"/>
      <c r="AV253" s="36"/>
    </row>
    <row r="254" spans="1:48">
      <c r="A254" s="40"/>
      <c r="D254" s="31"/>
      <c r="E254" s="31"/>
      <c r="F254" s="31"/>
      <c r="G254" s="31"/>
      <c r="H254" s="32"/>
      <c r="J254" s="33"/>
      <c r="K254" s="33"/>
      <c r="L254" s="33"/>
      <c r="X254" s="23"/>
      <c r="Y254" s="23"/>
      <c r="Z254" s="23"/>
      <c r="AA254" s="23"/>
      <c r="AF254" s="23"/>
      <c r="AG254" s="23"/>
      <c r="AH254" s="23"/>
      <c r="AI254" s="23"/>
      <c r="AN254" s="23"/>
      <c r="AO254" s="23"/>
      <c r="AP254" s="23"/>
      <c r="AQ254" s="23"/>
      <c r="AR254" s="35"/>
      <c r="AS254" s="35"/>
      <c r="AT254" s="35"/>
      <c r="AU254" s="31"/>
      <c r="AV254" s="36"/>
    </row>
    <row r="255" spans="1:48">
      <c r="A255" s="40"/>
      <c r="D255" s="31"/>
      <c r="E255" s="31"/>
      <c r="F255" s="31"/>
      <c r="G255" s="31"/>
      <c r="H255" s="32"/>
      <c r="J255" s="33"/>
      <c r="K255" s="33"/>
      <c r="L255" s="33"/>
      <c r="X255" s="23"/>
      <c r="Y255" s="23"/>
      <c r="Z255" s="23"/>
      <c r="AA255" s="23"/>
      <c r="AF255" s="23"/>
      <c r="AG255" s="23"/>
      <c r="AH255" s="23"/>
      <c r="AI255" s="23"/>
      <c r="AN255" s="23"/>
      <c r="AO255" s="23"/>
      <c r="AP255" s="23"/>
      <c r="AQ255" s="23"/>
      <c r="AR255" s="35"/>
      <c r="AS255" s="35"/>
      <c r="AT255" s="35"/>
      <c r="AU255" s="31"/>
      <c r="AV255" s="36"/>
    </row>
    <row r="256" spans="1:48">
      <c r="A256" s="40"/>
      <c r="D256" s="31"/>
      <c r="E256" s="31"/>
      <c r="F256" s="31"/>
      <c r="G256" s="31"/>
      <c r="H256" s="32"/>
      <c r="J256" s="33"/>
      <c r="K256" s="33"/>
      <c r="L256" s="33"/>
      <c r="X256" s="23"/>
      <c r="Y256" s="23"/>
      <c r="Z256" s="23"/>
      <c r="AA256" s="23"/>
      <c r="AF256" s="23"/>
      <c r="AG256" s="23"/>
      <c r="AH256" s="23"/>
      <c r="AI256" s="23"/>
      <c r="AN256" s="23"/>
      <c r="AO256" s="23"/>
      <c r="AP256" s="23"/>
      <c r="AQ256" s="23"/>
      <c r="AR256" s="35"/>
      <c r="AS256" s="35"/>
      <c r="AT256" s="35"/>
      <c r="AU256" s="31"/>
      <c r="AV256" s="36"/>
    </row>
    <row r="257" spans="1:48">
      <c r="A257" s="40"/>
      <c r="D257" s="31"/>
      <c r="E257" s="31"/>
      <c r="F257" s="31"/>
      <c r="G257" s="31"/>
      <c r="H257" s="32"/>
      <c r="J257" s="33"/>
      <c r="K257" s="33"/>
      <c r="L257" s="33"/>
      <c r="X257" s="23"/>
      <c r="Y257" s="23"/>
      <c r="Z257" s="23"/>
      <c r="AA257" s="23"/>
      <c r="AF257" s="23"/>
      <c r="AG257" s="23"/>
      <c r="AH257" s="23"/>
      <c r="AI257" s="23"/>
      <c r="AN257" s="23"/>
      <c r="AO257" s="23"/>
      <c r="AP257" s="23"/>
      <c r="AQ257" s="23"/>
      <c r="AR257" s="35"/>
      <c r="AS257" s="35"/>
      <c r="AT257" s="35"/>
      <c r="AU257" s="31"/>
      <c r="AV257" s="36"/>
    </row>
    <row r="258" spans="1:48">
      <c r="A258" s="40"/>
      <c r="D258" s="31"/>
      <c r="E258" s="31"/>
      <c r="F258" s="31"/>
      <c r="G258" s="31"/>
      <c r="H258" s="32"/>
      <c r="J258" s="33"/>
      <c r="K258" s="33"/>
      <c r="L258" s="33"/>
      <c r="X258" s="23"/>
      <c r="Y258" s="23"/>
      <c r="Z258" s="23"/>
      <c r="AA258" s="23"/>
      <c r="AF258" s="23"/>
      <c r="AG258" s="23"/>
      <c r="AH258" s="23"/>
      <c r="AI258" s="23"/>
      <c r="AN258" s="23"/>
      <c r="AO258" s="23"/>
      <c r="AP258" s="23"/>
      <c r="AQ258" s="23"/>
      <c r="AR258" s="35"/>
      <c r="AS258" s="35"/>
      <c r="AT258" s="35"/>
      <c r="AU258" s="31"/>
      <c r="AV258" s="36"/>
    </row>
    <row r="259" spans="1:48">
      <c r="A259" s="40"/>
      <c r="D259" s="31"/>
      <c r="E259" s="31"/>
      <c r="F259" s="31"/>
      <c r="G259" s="31"/>
      <c r="H259" s="32"/>
      <c r="J259" s="33"/>
      <c r="K259" s="33"/>
      <c r="L259" s="33"/>
      <c r="X259" s="23"/>
      <c r="Y259" s="23"/>
      <c r="Z259" s="23"/>
      <c r="AA259" s="23"/>
      <c r="AF259" s="23"/>
      <c r="AG259" s="23"/>
      <c r="AH259" s="23"/>
      <c r="AI259" s="23"/>
      <c r="AN259" s="23"/>
      <c r="AO259" s="23"/>
      <c r="AP259" s="23"/>
      <c r="AQ259" s="23"/>
      <c r="AR259" s="35"/>
      <c r="AS259" s="35"/>
      <c r="AT259" s="35"/>
      <c r="AU259" s="31"/>
      <c r="AV259" s="36"/>
    </row>
    <row r="260" spans="1:48">
      <c r="A260" s="40"/>
      <c r="D260" s="31"/>
      <c r="E260" s="31"/>
      <c r="F260" s="31"/>
      <c r="G260" s="31"/>
      <c r="H260" s="32"/>
      <c r="J260" s="33"/>
      <c r="K260" s="33"/>
      <c r="L260" s="33"/>
      <c r="X260" s="23"/>
      <c r="Y260" s="23"/>
      <c r="Z260" s="23"/>
      <c r="AA260" s="23"/>
      <c r="AF260" s="23"/>
      <c r="AG260" s="23"/>
      <c r="AH260" s="23"/>
      <c r="AI260" s="23"/>
      <c r="AN260" s="23"/>
      <c r="AO260" s="23"/>
      <c r="AP260" s="23"/>
      <c r="AQ260" s="23"/>
      <c r="AR260" s="35"/>
      <c r="AS260" s="35"/>
      <c r="AT260" s="35"/>
      <c r="AU260" s="31"/>
      <c r="AV260" s="36"/>
    </row>
    <row r="261" spans="1:48">
      <c r="A261" s="40"/>
      <c r="D261" s="31"/>
      <c r="E261" s="31"/>
      <c r="F261" s="31"/>
      <c r="G261" s="31"/>
      <c r="H261" s="32"/>
      <c r="J261" s="33"/>
      <c r="K261" s="33"/>
      <c r="L261" s="33"/>
      <c r="X261" s="23"/>
      <c r="Y261" s="23"/>
      <c r="Z261" s="23"/>
      <c r="AA261" s="23"/>
      <c r="AF261" s="23"/>
      <c r="AG261" s="23"/>
      <c r="AH261" s="23"/>
      <c r="AI261" s="23"/>
      <c r="AN261" s="23"/>
      <c r="AO261" s="23"/>
      <c r="AP261" s="23"/>
      <c r="AQ261" s="23"/>
      <c r="AR261" s="35"/>
      <c r="AS261" s="35"/>
      <c r="AT261" s="35"/>
      <c r="AU261" s="31"/>
      <c r="AV261" s="36"/>
    </row>
    <row r="262" spans="1:48">
      <c r="A262" s="40"/>
      <c r="D262" s="31"/>
      <c r="E262" s="31"/>
      <c r="F262" s="31"/>
      <c r="G262" s="31"/>
      <c r="H262" s="32"/>
      <c r="J262" s="33"/>
      <c r="K262" s="33"/>
      <c r="L262" s="33"/>
      <c r="X262" s="23"/>
      <c r="Y262" s="23"/>
      <c r="Z262" s="23"/>
      <c r="AA262" s="23"/>
      <c r="AF262" s="23"/>
      <c r="AG262" s="23"/>
      <c r="AH262" s="23"/>
      <c r="AI262" s="23"/>
      <c r="AN262" s="23"/>
      <c r="AO262" s="23"/>
      <c r="AP262" s="23"/>
      <c r="AQ262" s="23"/>
      <c r="AR262" s="35"/>
      <c r="AS262" s="35"/>
      <c r="AT262" s="35"/>
      <c r="AU262" s="31"/>
      <c r="AV262" s="36"/>
    </row>
    <row r="263" spans="1:48">
      <c r="A263" s="40"/>
      <c r="D263" s="31"/>
      <c r="E263" s="31"/>
      <c r="F263" s="31"/>
      <c r="G263" s="31"/>
      <c r="H263" s="32"/>
      <c r="J263" s="33"/>
      <c r="K263" s="33"/>
      <c r="L263" s="33"/>
      <c r="X263" s="23"/>
      <c r="Y263" s="23"/>
      <c r="Z263" s="23"/>
      <c r="AA263" s="23"/>
      <c r="AF263" s="23"/>
      <c r="AG263" s="23"/>
      <c r="AH263" s="23"/>
      <c r="AI263" s="23"/>
      <c r="AN263" s="23"/>
      <c r="AO263" s="23"/>
      <c r="AP263" s="23"/>
      <c r="AQ263" s="23"/>
      <c r="AR263" s="35"/>
      <c r="AS263" s="35"/>
      <c r="AT263" s="35"/>
      <c r="AU263" s="31"/>
      <c r="AV263" s="36"/>
    </row>
    <row r="264" spans="1:48">
      <c r="A264" s="40"/>
      <c r="D264" s="31"/>
      <c r="E264" s="31"/>
      <c r="F264" s="31"/>
      <c r="G264" s="31"/>
      <c r="H264" s="32"/>
      <c r="J264" s="33"/>
      <c r="K264" s="33"/>
      <c r="L264" s="33"/>
      <c r="X264" s="23"/>
      <c r="Y264" s="23"/>
      <c r="Z264" s="23"/>
      <c r="AA264" s="23"/>
      <c r="AF264" s="23"/>
      <c r="AG264" s="23"/>
      <c r="AH264" s="23"/>
      <c r="AI264" s="23"/>
      <c r="AN264" s="23"/>
      <c r="AO264" s="23"/>
      <c r="AP264" s="23"/>
      <c r="AQ264" s="23"/>
      <c r="AR264" s="35"/>
      <c r="AS264" s="35"/>
      <c r="AT264" s="35"/>
      <c r="AU264" s="31"/>
      <c r="AV264" s="36"/>
    </row>
    <row r="265" spans="1:48">
      <c r="A265" s="40"/>
      <c r="D265" s="31"/>
      <c r="E265" s="31"/>
      <c r="F265" s="31"/>
      <c r="G265" s="31"/>
      <c r="H265" s="32"/>
      <c r="J265" s="33"/>
      <c r="K265" s="33"/>
      <c r="L265" s="33"/>
      <c r="X265" s="23"/>
      <c r="Y265" s="23"/>
      <c r="Z265" s="23"/>
      <c r="AA265" s="23"/>
      <c r="AF265" s="23"/>
      <c r="AG265" s="23"/>
      <c r="AH265" s="23"/>
      <c r="AI265" s="23"/>
      <c r="AN265" s="23"/>
      <c r="AO265" s="23"/>
      <c r="AP265" s="23"/>
      <c r="AQ265" s="23"/>
      <c r="AR265" s="35"/>
      <c r="AS265" s="35"/>
      <c r="AT265" s="35"/>
      <c r="AU265" s="31"/>
      <c r="AV265" s="36"/>
    </row>
    <row r="266" spans="1:48">
      <c r="A266" s="40"/>
      <c r="D266" s="31"/>
      <c r="E266" s="31"/>
      <c r="F266" s="31"/>
      <c r="G266" s="31"/>
      <c r="H266" s="32"/>
      <c r="J266" s="33"/>
      <c r="K266" s="33"/>
      <c r="L266" s="33"/>
      <c r="X266" s="23"/>
      <c r="Y266" s="23"/>
      <c r="Z266" s="23"/>
      <c r="AA266" s="23"/>
      <c r="AF266" s="23"/>
      <c r="AG266" s="23"/>
      <c r="AH266" s="23"/>
      <c r="AI266" s="23"/>
      <c r="AN266" s="23"/>
      <c r="AO266" s="23"/>
      <c r="AP266" s="23"/>
      <c r="AQ266" s="23"/>
      <c r="AR266" s="35"/>
      <c r="AS266" s="35"/>
      <c r="AT266" s="35"/>
      <c r="AU266" s="31"/>
      <c r="AV266" s="36"/>
    </row>
    <row r="267" spans="1:48">
      <c r="A267" s="40"/>
      <c r="D267" s="31"/>
      <c r="E267" s="31"/>
      <c r="F267" s="31"/>
      <c r="G267" s="31"/>
      <c r="H267" s="32"/>
      <c r="J267" s="33"/>
      <c r="K267" s="33"/>
      <c r="L267" s="33"/>
      <c r="X267" s="23"/>
      <c r="Y267" s="23"/>
      <c r="Z267" s="23"/>
      <c r="AA267" s="23"/>
      <c r="AF267" s="23"/>
      <c r="AG267" s="23"/>
      <c r="AH267" s="23"/>
      <c r="AI267" s="23"/>
      <c r="AN267" s="23"/>
      <c r="AO267" s="23"/>
      <c r="AP267" s="23"/>
      <c r="AQ267" s="23"/>
      <c r="AR267" s="35"/>
      <c r="AS267" s="35"/>
      <c r="AT267" s="35"/>
      <c r="AU267" s="31"/>
      <c r="AV267" s="36"/>
    </row>
    <row r="268" spans="1:48">
      <c r="A268" s="40"/>
      <c r="D268" s="31"/>
      <c r="E268" s="31"/>
      <c r="F268" s="31"/>
      <c r="G268" s="31"/>
      <c r="H268" s="32"/>
      <c r="J268" s="33"/>
      <c r="K268" s="33"/>
      <c r="L268" s="33"/>
      <c r="X268" s="23"/>
      <c r="Y268" s="23"/>
      <c r="Z268" s="23"/>
      <c r="AA268" s="23"/>
      <c r="AF268" s="23"/>
      <c r="AG268" s="23"/>
      <c r="AH268" s="23"/>
      <c r="AI268" s="23"/>
      <c r="AN268" s="23"/>
      <c r="AO268" s="23"/>
      <c r="AP268" s="23"/>
      <c r="AQ268" s="23"/>
      <c r="AR268" s="35"/>
      <c r="AS268" s="35"/>
      <c r="AT268" s="35"/>
      <c r="AU268" s="31"/>
      <c r="AV268" s="36"/>
    </row>
    <row r="269" spans="1:48">
      <c r="A269" s="40"/>
      <c r="D269" s="31"/>
      <c r="E269" s="31"/>
      <c r="F269" s="31"/>
      <c r="G269" s="31"/>
      <c r="H269" s="32"/>
      <c r="J269" s="33"/>
      <c r="K269" s="33"/>
      <c r="L269" s="33"/>
      <c r="X269" s="23"/>
      <c r="Y269" s="23"/>
      <c r="Z269" s="23"/>
      <c r="AA269" s="23"/>
      <c r="AF269" s="23"/>
      <c r="AG269" s="23"/>
      <c r="AH269" s="23"/>
      <c r="AI269" s="23"/>
      <c r="AN269" s="23"/>
      <c r="AO269" s="23"/>
      <c r="AP269" s="23"/>
      <c r="AQ269" s="23"/>
      <c r="AR269" s="35"/>
      <c r="AS269" s="35"/>
      <c r="AT269" s="35"/>
      <c r="AU269" s="31"/>
      <c r="AV269" s="36"/>
    </row>
    <row r="270" spans="1:48">
      <c r="A270" s="40"/>
      <c r="D270" s="31"/>
      <c r="E270" s="31"/>
      <c r="F270" s="31"/>
      <c r="G270" s="31"/>
      <c r="H270" s="32"/>
      <c r="J270" s="33"/>
      <c r="K270" s="33"/>
      <c r="L270" s="33"/>
      <c r="X270" s="23"/>
      <c r="Y270" s="23"/>
      <c r="Z270" s="23"/>
      <c r="AA270" s="23"/>
      <c r="AF270" s="23"/>
      <c r="AG270" s="23"/>
      <c r="AH270" s="23"/>
      <c r="AI270" s="23"/>
      <c r="AN270" s="23"/>
      <c r="AO270" s="23"/>
      <c r="AP270" s="23"/>
      <c r="AQ270" s="23"/>
      <c r="AR270" s="35"/>
      <c r="AS270" s="35"/>
      <c r="AT270" s="35"/>
      <c r="AU270" s="31"/>
      <c r="AV270" s="36"/>
    </row>
    <row r="271" spans="1:48">
      <c r="A271" s="40"/>
      <c r="D271" s="31"/>
      <c r="E271" s="31"/>
      <c r="F271" s="31"/>
      <c r="G271" s="31"/>
      <c r="H271" s="32"/>
      <c r="J271" s="33"/>
      <c r="K271" s="33"/>
      <c r="L271" s="33"/>
      <c r="X271" s="23"/>
      <c r="Y271" s="23"/>
      <c r="Z271" s="23"/>
      <c r="AA271" s="23"/>
      <c r="AF271" s="23"/>
      <c r="AG271" s="23"/>
      <c r="AH271" s="23"/>
      <c r="AI271" s="23"/>
      <c r="AN271" s="23"/>
      <c r="AO271" s="23"/>
      <c r="AP271" s="23"/>
      <c r="AQ271" s="23"/>
      <c r="AR271" s="35"/>
      <c r="AS271" s="35"/>
      <c r="AT271" s="35"/>
      <c r="AU271" s="31"/>
      <c r="AV271" s="36"/>
    </row>
    <row r="272" spans="1:48">
      <c r="A272" s="40"/>
      <c r="D272" s="31"/>
      <c r="E272" s="31"/>
      <c r="F272" s="31"/>
      <c r="G272" s="31"/>
      <c r="H272" s="32"/>
      <c r="J272" s="33"/>
      <c r="K272" s="33"/>
      <c r="L272" s="33"/>
      <c r="X272" s="23"/>
      <c r="Y272" s="23"/>
      <c r="Z272" s="23"/>
      <c r="AA272" s="23"/>
      <c r="AF272" s="23"/>
      <c r="AG272" s="23"/>
      <c r="AH272" s="23"/>
      <c r="AI272" s="23"/>
      <c r="AN272" s="23"/>
      <c r="AO272" s="23"/>
      <c r="AP272" s="23"/>
      <c r="AQ272" s="23"/>
      <c r="AR272" s="35"/>
      <c r="AS272" s="35"/>
      <c r="AT272" s="35"/>
      <c r="AU272" s="31"/>
      <c r="AV272" s="36"/>
    </row>
    <row r="273" spans="1:48">
      <c r="A273" s="40"/>
      <c r="D273" s="31"/>
      <c r="E273" s="31"/>
      <c r="F273" s="31"/>
      <c r="G273" s="31"/>
      <c r="H273" s="32"/>
      <c r="J273" s="33"/>
      <c r="K273" s="33"/>
      <c r="L273" s="33"/>
      <c r="X273" s="23"/>
      <c r="Y273" s="23"/>
      <c r="Z273" s="23"/>
      <c r="AA273" s="23"/>
      <c r="AF273" s="23"/>
      <c r="AG273" s="23"/>
      <c r="AH273" s="23"/>
      <c r="AI273" s="23"/>
      <c r="AN273" s="23"/>
      <c r="AO273" s="23"/>
      <c r="AP273" s="23"/>
      <c r="AQ273" s="23"/>
      <c r="AR273" s="35"/>
      <c r="AS273" s="35"/>
      <c r="AT273" s="35"/>
      <c r="AU273" s="31"/>
      <c r="AV273" s="36"/>
    </row>
    <row r="274" spans="1:48">
      <c r="A274" s="40"/>
      <c r="D274" s="31"/>
      <c r="E274" s="31"/>
      <c r="F274" s="31"/>
      <c r="G274" s="31"/>
      <c r="H274" s="32"/>
      <c r="J274" s="33"/>
      <c r="K274" s="33"/>
      <c r="L274" s="33"/>
      <c r="X274" s="23"/>
      <c r="Y274" s="23"/>
      <c r="Z274" s="23"/>
      <c r="AA274" s="23"/>
      <c r="AF274" s="23"/>
      <c r="AG274" s="23"/>
      <c r="AH274" s="23"/>
      <c r="AI274" s="23"/>
      <c r="AN274" s="23"/>
      <c r="AO274" s="23"/>
      <c r="AP274" s="23"/>
      <c r="AQ274" s="23"/>
      <c r="AR274" s="35"/>
      <c r="AS274" s="35"/>
      <c r="AT274" s="35"/>
      <c r="AU274" s="31"/>
      <c r="AV274" s="36"/>
    </row>
    <row r="275" spans="1:48">
      <c r="A275" s="40"/>
      <c r="D275" s="31"/>
      <c r="E275" s="31"/>
      <c r="F275" s="31"/>
      <c r="G275" s="31"/>
      <c r="H275" s="32"/>
      <c r="J275" s="33"/>
      <c r="K275" s="33"/>
      <c r="L275" s="33"/>
      <c r="X275" s="23"/>
      <c r="Y275" s="23"/>
      <c r="Z275" s="23"/>
      <c r="AA275" s="23"/>
      <c r="AF275" s="23"/>
      <c r="AG275" s="23"/>
      <c r="AH275" s="23"/>
      <c r="AI275" s="23"/>
      <c r="AN275" s="23"/>
      <c r="AO275" s="23"/>
      <c r="AP275" s="23"/>
      <c r="AQ275" s="23"/>
      <c r="AR275" s="35"/>
      <c r="AS275" s="35"/>
      <c r="AT275" s="35"/>
      <c r="AU275" s="31"/>
      <c r="AV275" s="36"/>
    </row>
    <row r="276" spans="1:48">
      <c r="A276" s="40"/>
      <c r="D276" s="31"/>
      <c r="E276" s="31"/>
      <c r="F276" s="31"/>
      <c r="G276" s="31"/>
      <c r="H276" s="32"/>
      <c r="J276" s="33"/>
      <c r="K276" s="33"/>
      <c r="L276" s="33"/>
      <c r="X276" s="23"/>
      <c r="Y276" s="23"/>
      <c r="Z276" s="23"/>
      <c r="AA276" s="23"/>
      <c r="AF276" s="23"/>
      <c r="AG276" s="23"/>
      <c r="AH276" s="23"/>
      <c r="AI276" s="23"/>
      <c r="AN276" s="23"/>
      <c r="AO276" s="23"/>
      <c r="AP276" s="23"/>
      <c r="AQ276" s="23"/>
      <c r="AR276" s="35"/>
      <c r="AS276" s="35"/>
      <c r="AT276" s="35"/>
      <c r="AU276" s="31"/>
      <c r="AV276" s="36"/>
    </row>
    <row r="277" spans="1:48">
      <c r="A277" s="40"/>
      <c r="D277" s="31"/>
      <c r="E277" s="31"/>
      <c r="F277" s="31"/>
      <c r="G277" s="31"/>
      <c r="H277" s="32"/>
      <c r="J277" s="33"/>
      <c r="K277" s="33"/>
      <c r="L277" s="33"/>
      <c r="X277" s="23"/>
      <c r="Y277" s="23"/>
      <c r="Z277" s="23"/>
      <c r="AA277" s="23"/>
      <c r="AF277" s="23"/>
      <c r="AG277" s="23"/>
      <c r="AH277" s="23"/>
      <c r="AI277" s="23"/>
      <c r="AN277" s="23"/>
      <c r="AO277" s="23"/>
      <c r="AP277" s="23"/>
      <c r="AQ277" s="23"/>
      <c r="AR277" s="35"/>
      <c r="AS277" s="35"/>
      <c r="AT277" s="35"/>
      <c r="AU277" s="31"/>
      <c r="AV277" s="36"/>
    </row>
    <row r="278" spans="1:48">
      <c r="A278" s="40"/>
      <c r="D278" s="31"/>
      <c r="E278" s="31"/>
      <c r="F278" s="31"/>
      <c r="G278" s="31"/>
      <c r="H278" s="32"/>
      <c r="J278" s="33"/>
      <c r="K278" s="33"/>
      <c r="L278" s="33"/>
      <c r="X278" s="23"/>
      <c r="Y278" s="23"/>
      <c r="Z278" s="23"/>
      <c r="AA278" s="23"/>
      <c r="AF278" s="23"/>
      <c r="AG278" s="23"/>
      <c r="AH278" s="23"/>
      <c r="AI278" s="23"/>
      <c r="AN278" s="23"/>
      <c r="AO278" s="23"/>
      <c r="AP278" s="23"/>
      <c r="AQ278" s="23"/>
      <c r="AR278" s="35"/>
      <c r="AS278" s="35"/>
      <c r="AT278" s="35"/>
      <c r="AU278" s="31"/>
      <c r="AV278" s="36"/>
    </row>
    <row r="279" spans="1:48">
      <c r="A279" s="40"/>
      <c r="D279" s="31"/>
      <c r="E279" s="31"/>
      <c r="F279" s="31"/>
      <c r="G279" s="31"/>
      <c r="H279" s="32"/>
      <c r="J279" s="33"/>
      <c r="K279" s="33"/>
      <c r="L279" s="33"/>
      <c r="X279" s="23"/>
      <c r="Y279" s="23"/>
      <c r="Z279" s="23"/>
      <c r="AA279" s="23"/>
      <c r="AF279" s="23"/>
      <c r="AG279" s="23"/>
      <c r="AH279" s="23"/>
      <c r="AI279" s="23"/>
      <c r="AN279" s="23"/>
      <c r="AO279" s="23"/>
      <c r="AP279" s="23"/>
      <c r="AQ279" s="23"/>
      <c r="AR279" s="35"/>
      <c r="AS279" s="35"/>
      <c r="AT279" s="35"/>
      <c r="AU279" s="31"/>
      <c r="AV279" s="36"/>
    </row>
    <row r="280" spans="1:48">
      <c r="A280" s="40"/>
      <c r="D280" s="31"/>
      <c r="E280" s="31"/>
      <c r="F280" s="31"/>
      <c r="G280" s="31"/>
      <c r="H280" s="32"/>
      <c r="J280" s="33"/>
      <c r="K280" s="33"/>
      <c r="L280" s="33"/>
      <c r="X280" s="23"/>
      <c r="Y280" s="23"/>
      <c r="Z280" s="23"/>
      <c r="AA280" s="23"/>
      <c r="AF280" s="23"/>
      <c r="AG280" s="23"/>
      <c r="AH280" s="23"/>
      <c r="AI280" s="23"/>
      <c r="AN280" s="23"/>
      <c r="AO280" s="23"/>
      <c r="AP280" s="23"/>
      <c r="AQ280" s="23"/>
      <c r="AR280" s="35"/>
      <c r="AS280" s="35"/>
      <c r="AT280" s="35"/>
      <c r="AU280" s="31"/>
      <c r="AV280" s="36"/>
    </row>
    <row r="281" spans="1:48">
      <c r="A281" s="40"/>
      <c r="D281" s="31"/>
      <c r="E281" s="31"/>
      <c r="F281" s="31"/>
      <c r="G281" s="31"/>
      <c r="H281" s="32"/>
      <c r="J281" s="33"/>
      <c r="K281" s="33"/>
      <c r="L281" s="33"/>
      <c r="X281" s="23"/>
      <c r="Y281" s="23"/>
      <c r="Z281" s="23"/>
      <c r="AA281" s="23"/>
      <c r="AF281" s="23"/>
      <c r="AG281" s="23"/>
      <c r="AH281" s="23"/>
      <c r="AI281" s="23"/>
      <c r="AN281" s="23"/>
      <c r="AO281" s="23"/>
      <c r="AP281" s="23"/>
      <c r="AQ281" s="23"/>
      <c r="AR281" s="35"/>
      <c r="AS281" s="35"/>
      <c r="AT281" s="35"/>
      <c r="AU281" s="31"/>
      <c r="AV281" s="36"/>
    </row>
    <row r="282" spans="1:48">
      <c r="A282" s="40"/>
      <c r="D282" s="31"/>
      <c r="E282" s="31"/>
      <c r="F282" s="31"/>
      <c r="G282" s="31"/>
      <c r="H282" s="32"/>
      <c r="J282" s="33"/>
      <c r="K282" s="33"/>
      <c r="L282" s="33"/>
      <c r="X282" s="23"/>
      <c r="Y282" s="23"/>
      <c r="Z282" s="23"/>
      <c r="AA282" s="23"/>
      <c r="AF282" s="23"/>
      <c r="AG282" s="23"/>
      <c r="AH282" s="23"/>
      <c r="AI282" s="23"/>
      <c r="AN282" s="23"/>
      <c r="AO282" s="23"/>
      <c r="AP282" s="23"/>
      <c r="AQ282" s="23"/>
      <c r="AR282" s="35"/>
      <c r="AS282" s="35"/>
      <c r="AT282" s="35"/>
      <c r="AU282" s="31"/>
      <c r="AV282" s="36"/>
    </row>
    <row r="283" spans="1:48">
      <c r="A283" s="40"/>
      <c r="D283" s="31"/>
      <c r="E283" s="31"/>
      <c r="F283" s="31"/>
      <c r="G283" s="31"/>
      <c r="H283" s="32"/>
      <c r="J283" s="33"/>
      <c r="K283" s="33"/>
      <c r="L283" s="33"/>
      <c r="X283" s="23"/>
      <c r="Y283" s="23"/>
      <c r="Z283" s="23"/>
      <c r="AA283" s="23"/>
      <c r="AF283" s="23"/>
      <c r="AG283" s="23"/>
      <c r="AH283" s="23"/>
      <c r="AI283" s="23"/>
      <c r="AN283" s="23"/>
      <c r="AO283" s="23"/>
      <c r="AP283" s="23"/>
      <c r="AQ283" s="23"/>
      <c r="AR283" s="35"/>
      <c r="AS283" s="35"/>
      <c r="AT283" s="35"/>
      <c r="AU283" s="31"/>
      <c r="AV283" s="36"/>
    </row>
    <row r="284" spans="1:48">
      <c r="A284" s="40"/>
      <c r="D284" s="31"/>
      <c r="E284" s="31"/>
      <c r="F284" s="31"/>
      <c r="G284" s="31"/>
      <c r="H284" s="32"/>
      <c r="J284" s="33"/>
      <c r="K284" s="33"/>
      <c r="L284" s="33"/>
      <c r="X284" s="23"/>
      <c r="Y284" s="23"/>
      <c r="Z284" s="23"/>
      <c r="AA284" s="23"/>
      <c r="AF284" s="23"/>
      <c r="AG284" s="23"/>
      <c r="AH284" s="23"/>
      <c r="AI284" s="23"/>
      <c r="AN284" s="23"/>
      <c r="AO284" s="23"/>
      <c r="AP284" s="23"/>
      <c r="AQ284" s="23"/>
      <c r="AR284" s="35"/>
      <c r="AS284" s="35"/>
      <c r="AT284" s="35"/>
      <c r="AU284" s="31"/>
      <c r="AV284" s="36"/>
    </row>
    <row r="285" spans="1:48">
      <c r="A285" s="40"/>
      <c r="D285" s="31"/>
      <c r="E285" s="31"/>
      <c r="F285" s="31"/>
      <c r="G285" s="31"/>
      <c r="H285" s="32"/>
      <c r="J285" s="33"/>
      <c r="K285" s="33"/>
      <c r="L285" s="33"/>
      <c r="X285" s="23"/>
      <c r="Y285" s="23"/>
      <c r="Z285" s="23"/>
      <c r="AA285" s="23"/>
      <c r="AF285" s="23"/>
      <c r="AG285" s="23"/>
      <c r="AH285" s="23"/>
      <c r="AI285" s="23"/>
      <c r="AN285" s="23"/>
      <c r="AO285" s="23"/>
      <c r="AP285" s="23"/>
      <c r="AQ285" s="23"/>
      <c r="AR285" s="35"/>
      <c r="AS285" s="35"/>
      <c r="AT285" s="35"/>
      <c r="AU285" s="31"/>
      <c r="AV285" s="36"/>
    </row>
    <row r="286" spans="1:48">
      <c r="A286" s="40"/>
      <c r="D286" s="31"/>
      <c r="E286" s="31"/>
      <c r="F286" s="31"/>
      <c r="G286" s="31"/>
      <c r="H286" s="32"/>
      <c r="J286" s="33"/>
      <c r="K286" s="33"/>
      <c r="L286" s="33"/>
      <c r="X286" s="23"/>
      <c r="Y286" s="23"/>
      <c r="Z286" s="23"/>
      <c r="AA286" s="23"/>
      <c r="AF286" s="23"/>
      <c r="AG286" s="23"/>
      <c r="AH286" s="23"/>
      <c r="AI286" s="23"/>
      <c r="AN286" s="23"/>
      <c r="AO286" s="23"/>
      <c r="AP286" s="23"/>
      <c r="AQ286" s="23"/>
      <c r="AR286" s="35"/>
      <c r="AS286" s="35"/>
      <c r="AT286" s="35"/>
      <c r="AU286" s="31"/>
      <c r="AV286" s="36"/>
    </row>
    <row r="287" spans="1:48">
      <c r="A287" s="40"/>
      <c r="D287" s="31"/>
      <c r="E287" s="31"/>
      <c r="F287" s="31"/>
      <c r="G287" s="31"/>
      <c r="H287" s="32"/>
      <c r="J287" s="33"/>
      <c r="K287" s="33"/>
      <c r="L287" s="33"/>
      <c r="X287" s="23"/>
      <c r="Y287" s="23"/>
      <c r="Z287" s="23"/>
      <c r="AA287" s="23"/>
      <c r="AF287" s="23"/>
      <c r="AG287" s="23"/>
      <c r="AH287" s="23"/>
      <c r="AI287" s="23"/>
      <c r="AN287" s="23"/>
      <c r="AO287" s="23"/>
      <c r="AP287" s="23"/>
      <c r="AQ287" s="23"/>
      <c r="AR287" s="35"/>
      <c r="AS287" s="35"/>
      <c r="AT287" s="35"/>
      <c r="AU287" s="31"/>
      <c r="AV287" s="36"/>
    </row>
    <row r="288" spans="1:48">
      <c r="A288" s="40"/>
      <c r="D288" s="31"/>
      <c r="E288" s="31"/>
      <c r="F288" s="31"/>
      <c r="G288" s="31"/>
      <c r="H288" s="32"/>
      <c r="J288" s="33"/>
      <c r="K288" s="33"/>
      <c r="L288" s="33"/>
      <c r="X288" s="23"/>
      <c r="Y288" s="23"/>
      <c r="Z288" s="23"/>
      <c r="AA288" s="23"/>
      <c r="AF288" s="23"/>
      <c r="AG288" s="23"/>
      <c r="AH288" s="23"/>
      <c r="AI288" s="23"/>
      <c r="AN288" s="23"/>
      <c r="AO288" s="23"/>
      <c r="AP288" s="23"/>
      <c r="AQ288" s="23"/>
      <c r="AR288" s="35"/>
      <c r="AS288" s="35"/>
      <c r="AT288" s="35"/>
      <c r="AU288" s="31"/>
      <c r="AV288" s="36"/>
    </row>
    <row r="289" spans="1:48">
      <c r="A289" s="40"/>
      <c r="D289" s="31"/>
      <c r="E289" s="31"/>
      <c r="F289" s="31"/>
      <c r="G289" s="31"/>
      <c r="H289" s="32"/>
      <c r="J289" s="33"/>
      <c r="K289" s="33"/>
      <c r="L289" s="33"/>
      <c r="X289" s="23"/>
      <c r="Y289" s="23"/>
      <c r="Z289" s="23"/>
      <c r="AA289" s="23"/>
      <c r="AF289" s="23"/>
      <c r="AG289" s="23"/>
      <c r="AH289" s="23"/>
      <c r="AI289" s="23"/>
      <c r="AN289" s="23"/>
      <c r="AO289" s="23"/>
      <c r="AP289" s="23"/>
      <c r="AQ289" s="23"/>
      <c r="AR289" s="35"/>
      <c r="AS289" s="35"/>
      <c r="AT289" s="35"/>
      <c r="AU289" s="31"/>
      <c r="AV289" s="36"/>
    </row>
    <row r="290" spans="1:48">
      <c r="A290" s="40"/>
      <c r="D290" s="31"/>
      <c r="E290" s="31"/>
      <c r="F290" s="31"/>
      <c r="G290" s="31"/>
      <c r="H290" s="32"/>
      <c r="J290" s="33"/>
      <c r="K290" s="33"/>
      <c r="L290" s="33"/>
      <c r="X290" s="23"/>
      <c r="Y290" s="23"/>
      <c r="Z290" s="23"/>
      <c r="AA290" s="23"/>
      <c r="AF290" s="23"/>
      <c r="AG290" s="23"/>
      <c r="AH290" s="23"/>
      <c r="AI290" s="23"/>
      <c r="AN290" s="23"/>
      <c r="AO290" s="23"/>
      <c r="AP290" s="23"/>
      <c r="AQ290" s="23"/>
      <c r="AR290" s="35"/>
      <c r="AS290" s="35"/>
      <c r="AT290" s="35"/>
      <c r="AU290" s="31"/>
      <c r="AV290" s="36"/>
    </row>
    <row r="291" spans="1:48">
      <c r="A291" s="40"/>
      <c r="D291" s="31"/>
      <c r="E291" s="31"/>
      <c r="F291" s="31"/>
      <c r="G291" s="31"/>
      <c r="H291" s="32"/>
      <c r="J291" s="33"/>
      <c r="K291" s="33"/>
      <c r="L291" s="33"/>
      <c r="X291" s="23"/>
      <c r="Y291" s="23"/>
      <c r="Z291" s="23"/>
      <c r="AA291" s="23"/>
      <c r="AF291" s="23"/>
      <c r="AG291" s="23"/>
      <c r="AH291" s="23"/>
      <c r="AI291" s="23"/>
      <c r="AN291" s="23"/>
      <c r="AO291" s="23"/>
      <c r="AP291" s="23"/>
      <c r="AQ291" s="23"/>
      <c r="AR291" s="35"/>
      <c r="AS291" s="35"/>
      <c r="AT291" s="35"/>
      <c r="AU291" s="31"/>
      <c r="AV291" s="36"/>
    </row>
    <row r="292" spans="1:48">
      <c r="A292" s="40"/>
      <c r="D292" s="31"/>
      <c r="E292" s="31"/>
      <c r="F292" s="31"/>
      <c r="G292" s="31"/>
      <c r="H292" s="32"/>
      <c r="J292" s="33"/>
      <c r="K292" s="33"/>
      <c r="L292" s="33"/>
      <c r="X292" s="23"/>
      <c r="Y292" s="23"/>
      <c r="Z292" s="23"/>
      <c r="AA292" s="23"/>
      <c r="AF292" s="23"/>
      <c r="AG292" s="23"/>
      <c r="AH292" s="23"/>
      <c r="AI292" s="23"/>
      <c r="AN292" s="23"/>
      <c r="AO292" s="23"/>
      <c r="AP292" s="23"/>
      <c r="AQ292" s="23"/>
      <c r="AR292" s="35"/>
      <c r="AS292" s="35"/>
      <c r="AT292" s="35"/>
      <c r="AU292" s="31"/>
      <c r="AV292" s="36"/>
    </row>
    <row r="293" spans="1:48">
      <c r="A293" s="40"/>
      <c r="D293" s="31"/>
      <c r="E293" s="31"/>
      <c r="F293" s="31"/>
      <c r="G293" s="31"/>
      <c r="H293" s="32"/>
      <c r="J293" s="33"/>
      <c r="K293" s="33"/>
      <c r="L293" s="33"/>
      <c r="X293" s="23"/>
      <c r="Y293" s="23"/>
      <c r="Z293" s="23"/>
      <c r="AA293" s="23"/>
      <c r="AF293" s="23"/>
      <c r="AG293" s="23"/>
      <c r="AH293" s="23"/>
      <c r="AI293" s="23"/>
      <c r="AN293" s="23"/>
      <c r="AO293" s="23"/>
      <c r="AP293" s="23"/>
      <c r="AQ293" s="23"/>
      <c r="AR293" s="35"/>
      <c r="AS293" s="35"/>
      <c r="AT293" s="35"/>
      <c r="AU293" s="31"/>
      <c r="AV293" s="36"/>
    </row>
    <row r="294" spans="1:48">
      <c r="A294" s="40"/>
      <c r="D294" s="31"/>
      <c r="E294" s="31"/>
      <c r="F294" s="31"/>
      <c r="G294" s="31"/>
      <c r="H294" s="32"/>
      <c r="J294" s="33"/>
      <c r="K294" s="33"/>
      <c r="L294" s="33"/>
      <c r="X294" s="23"/>
      <c r="Y294" s="23"/>
      <c r="Z294" s="23"/>
      <c r="AA294" s="23"/>
      <c r="AF294" s="23"/>
      <c r="AG294" s="23"/>
      <c r="AH294" s="23"/>
      <c r="AI294" s="23"/>
      <c r="AN294" s="23"/>
      <c r="AO294" s="23"/>
      <c r="AP294" s="23"/>
      <c r="AQ294" s="23"/>
      <c r="AR294" s="35"/>
      <c r="AS294" s="35"/>
      <c r="AT294" s="35"/>
      <c r="AU294" s="31"/>
      <c r="AV294" s="36"/>
    </row>
    <row r="295" spans="1:48">
      <c r="A295" s="40"/>
      <c r="D295" s="31"/>
      <c r="E295" s="31"/>
      <c r="F295" s="31"/>
      <c r="G295" s="31"/>
      <c r="H295" s="32"/>
      <c r="J295" s="33"/>
      <c r="K295" s="33"/>
      <c r="L295" s="33"/>
      <c r="X295" s="23"/>
      <c r="Y295" s="23"/>
      <c r="Z295" s="23"/>
      <c r="AA295" s="23"/>
      <c r="AF295" s="23"/>
      <c r="AG295" s="23"/>
      <c r="AH295" s="23"/>
      <c r="AI295" s="23"/>
      <c r="AN295" s="23"/>
      <c r="AO295" s="23"/>
      <c r="AP295" s="23"/>
      <c r="AQ295" s="23"/>
      <c r="AR295" s="35"/>
      <c r="AS295" s="35"/>
      <c r="AT295" s="35"/>
      <c r="AU295" s="31"/>
      <c r="AV295" s="36"/>
    </row>
    <row r="296" spans="1:48">
      <c r="A296" s="40"/>
      <c r="D296" s="31"/>
      <c r="E296" s="31"/>
      <c r="F296" s="31"/>
      <c r="G296" s="31"/>
      <c r="H296" s="32"/>
      <c r="J296" s="33"/>
      <c r="K296" s="33"/>
      <c r="L296" s="33"/>
      <c r="X296" s="23"/>
      <c r="Y296" s="23"/>
      <c r="Z296" s="23"/>
      <c r="AA296" s="23"/>
      <c r="AF296" s="23"/>
      <c r="AG296" s="23"/>
      <c r="AH296" s="23"/>
      <c r="AI296" s="23"/>
      <c r="AN296" s="23"/>
      <c r="AO296" s="23"/>
      <c r="AP296" s="23"/>
      <c r="AQ296" s="23"/>
      <c r="AR296" s="35"/>
      <c r="AS296" s="35"/>
      <c r="AT296" s="35"/>
      <c r="AU296" s="31"/>
      <c r="AV296" s="36"/>
    </row>
    <row r="297" spans="1:48">
      <c r="A297" s="40"/>
      <c r="D297" s="31"/>
      <c r="E297" s="31"/>
      <c r="F297" s="31"/>
      <c r="G297" s="31"/>
      <c r="H297" s="32"/>
      <c r="J297" s="33"/>
      <c r="K297" s="33"/>
      <c r="L297" s="33"/>
      <c r="X297" s="23"/>
      <c r="Y297" s="23"/>
      <c r="Z297" s="23"/>
      <c r="AA297" s="23"/>
      <c r="AF297" s="23"/>
      <c r="AG297" s="23"/>
      <c r="AH297" s="23"/>
      <c r="AI297" s="23"/>
      <c r="AN297" s="23"/>
      <c r="AO297" s="23"/>
      <c r="AP297" s="23"/>
      <c r="AQ297" s="23"/>
      <c r="AR297" s="35"/>
      <c r="AS297" s="35"/>
      <c r="AT297" s="35"/>
      <c r="AU297" s="31"/>
      <c r="AV297" s="36"/>
    </row>
    <row r="298" spans="1:48">
      <c r="A298" s="40"/>
      <c r="D298" s="31"/>
      <c r="E298" s="31"/>
      <c r="F298" s="31"/>
      <c r="G298" s="31"/>
      <c r="H298" s="32"/>
      <c r="J298" s="33"/>
      <c r="K298" s="33"/>
      <c r="L298" s="33"/>
      <c r="X298" s="23"/>
      <c r="Y298" s="23"/>
      <c r="Z298" s="23"/>
      <c r="AA298" s="23"/>
      <c r="AF298" s="23"/>
      <c r="AG298" s="23"/>
      <c r="AH298" s="23"/>
      <c r="AI298" s="23"/>
      <c r="AN298" s="23"/>
      <c r="AO298" s="23"/>
      <c r="AP298" s="23"/>
      <c r="AQ298" s="23"/>
      <c r="AR298" s="35"/>
      <c r="AS298" s="35"/>
      <c r="AT298" s="35"/>
      <c r="AU298" s="31"/>
      <c r="AV298" s="36"/>
    </row>
    <row r="299" spans="1:48">
      <c r="A299" s="40"/>
      <c r="D299" s="31"/>
      <c r="E299" s="31"/>
      <c r="F299" s="31"/>
      <c r="G299" s="31"/>
      <c r="H299" s="32"/>
      <c r="J299" s="33"/>
      <c r="K299" s="33"/>
      <c r="L299" s="33"/>
      <c r="X299" s="23"/>
      <c r="Y299" s="23"/>
      <c r="Z299" s="23"/>
      <c r="AA299" s="23"/>
      <c r="AF299" s="23"/>
      <c r="AG299" s="23"/>
      <c r="AH299" s="23"/>
      <c r="AI299" s="23"/>
      <c r="AN299" s="23"/>
      <c r="AO299" s="23"/>
      <c r="AP299" s="23"/>
      <c r="AQ299" s="23"/>
      <c r="AR299" s="35"/>
      <c r="AS299" s="35"/>
      <c r="AT299" s="35"/>
      <c r="AU299" s="31"/>
      <c r="AV299" s="36"/>
    </row>
    <row r="300" spans="1:48">
      <c r="A300" s="40"/>
      <c r="D300" s="31"/>
      <c r="E300" s="31"/>
      <c r="F300" s="31"/>
      <c r="G300" s="31"/>
      <c r="H300" s="32"/>
      <c r="J300" s="33"/>
      <c r="K300" s="33"/>
      <c r="L300" s="33"/>
      <c r="X300" s="23"/>
      <c r="Y300" s="23"/>
      <c r="Z300" s="23"/>
      <c r="AA300" s="23"/>
      <c r="AF300" s="23"/>
      <c r="AG300" s="23"/>
      <c r="AH300" s="23"/>
      <c r="AI300" s="23"/>
      <c r="AN300" s="23"/>
      <c r="AO300" s="23"/>
      <c r="AP300" s="23"/>
      <c r="AQ300" s="23"/>
      <c r="AR300" s="35"/>
      <c r="AS300" s="35"/>
      <c r="AT300" s="35"/>
      <c r="AU300" s="31"/>
      <c r="AV300" s="36"/>
    </row>
    <row r="301" spans="1:48">
      <c r="A301" s="40"/>
      <c r="D301" s="31"/>
      <c r="E301" s="31"/>
      <c r="F301" s="31"/>
      <c r="G301" s="31"/>
      <c r="H301" s="32"/>
      <c r="J301" s="33"/>
      <c r="K301" s="33"/>
      <c r="L301" s="33"/>
      <c r="X301" s="23"/>
      <c r="Y301" s="23"/>
      <c r="Z301" s="23"/>
      <c r="AA301" s="23"/>
      <c r="AF301" s="23"/>
      <c r="AG301" s="23"/>
      <c r="AH301" s="23"/>
      <c r="AI301" s="23"/>
      <c r="AN301" s="23"/>
      <c r="AO301" s="23"/>
      <c r="AP301" s="23"/>
      <c r="AQ301" s="23"/>
      <c r="AR301" s="35"/>
      <c r="AS301" s="35"/>
      <c r="AT301" s="35"/>
      <c r="AU301" s="31"/>
      <c r="AV301" s="36"/>
    </row>
    <row r="302" spans="1:48">
      <c r="A302" s="40"/>
      <c r="D302" s="31"/>
      <c r="E302" s="31"/>
      <c r="F302" s="31"/>
      <c r="G302" s="31"/>
      <c r="H302" s="32"/>
      <c r="J302" s="33"/>
      <c r="K302" s="33"/>
      <c r="L302" s="33"/>
      <c r="X302" s="23"/>
      <c r="Y302" s="23"/>
      <c r="Z302" s="23"/>
      <c r="AA302" s="23"/>
      <c r="AF302" s="23"/>
      <c r="AG302" s="23"/>
      <c r="AH302" s="23"/>
      <c r="AI302" s="23"/>
      <c r="AN302" s="23"/>
      <c r="AO302" s="23"/>
      <c r="AP302" s="23"/>
      <c r="AQ302" s="23"/>
      <c r="AR302" s="35"/>
      <c r="AS302" s="35"/>
      <c r="AT302" s="35"/>
      <c r="AU302" s="31"/>
      <c r="AV302" s="36"/>
    </row>
    <row r="303" spans="1:48">
      <c r="A303" s="40"/>
      <c r="D303" s="31"/>
      <c r="E303" s="31"/>
      <c r="F303" s="31"/>
      <c r="G303" s="31"/>
      <c r="H303" s="32"/>
      <c r="J303" s="33"/>
      <c r="K303" s="33"/>
      <c r="L303" s="33"/>
      <c r="X303" s="23"/>
      <c r="Y303" s="23"/>
      <c r="Z303" s="23"/>
      <c r="AA303" s="23"/>
      <c r="AF303" s="23"/>
      <c r="AG303" s="23"/>
      <c r="AH303" s="23"/>
      <c r="AI303" s="23"/>
      <c r="AN303" s="23"/>
      <c r="AO303" s="23"/>
      <c r="AP303" s="23"/>
      <c r="AQ303" s="23"/>
      <c r="AR303" s="35"/>
      <c r="AS303" s="35"/>
      <c r="AT303" s="35"/>
      <c r="AU303" s="31"/>
      <c r="AV303" s="36"/>
    </row>
    <row r="304" spans="1:48">
      <c r="A304" s="40"/>
      <c r="D304" s="31"/>
      <c r="E304" s="31"/>
      <c r="F304" s="31"/>
      <c r="G304" s="31"/>
      <c r="H304" s="32"/>
      <c r="J304" s="33"/>
      <c r="K304" s="33"/>
      <c r="L304" s="33"/>
      <c r="X304" s="23"/>
      <c r="Y304" s="23"/>
      <c r="Z304" s="23"/>
      <c r="AA304" s="23"/>
      <c r="AF304" s="23"/>
      <c r="AG304" s="23"/>
      <c r="AH304" s="23"/>
      <c r="AI304" s="23"/>
      <c r="AN304" s="23"/>
      <c r="AO304" s="23"/>
      <c r="AP304" s="23"/>
      <c r="AQ304" s="23"/>
      <c r="AR304" s="35"/>
      <c r="AS304" s="35"/>
      <c r="AT304" s="35"/>
      <c r="AU304" s="31"/>
      <c r="AV304" s="36"/>
    </row>
    <row r="305" spans="1:48">
      <c r="A305" s="40"/>
      <c r="D305" s="31"/>
      <c r="E305" s="31"/>
      <c r="F305" s="31"/>
      <c r="G305" s="31"/>
      <c r="H305" s="32"/>
      <c r="J305" s="33"/>
      <c r="K305" s="33"/>
      <c r="L305" s="33"/>
      <c r="X305" s="23"/>
      <c r="Y305" s="23"/>
      <c r="Z305" s="23"/>
      <c r="AA305" s="23"/>
      <c r="AF305" s="23"/>
      <c r="AG305" s="23"/>
      <c r="AH305" s="23"/>
      <c r="AI305" s="23"/>
      <c r="AN305" s="23"/>
      <c r="AO305" s="23"/>
      <c r="AP305" s="23"/>
      <c r="AQ305" s="23"/>
      <c r="AR305" s="35"/>
      <c r="AS305" s="35"/>
      <c r="AT305" s="35"/>
      <c r="AU305" s="31"/>
      <c r="AV305" s="36"/>
    </row>
    <row r="306" spans="1:48">
      <c r="A306" s="40"/>
      <c r="D306" s="31"/>
      <c r="E306" s="31"/>
      <c r="F306" s="31"/>
      <c r="G306" s="31"/>
      <c r="H306" s="32"/>
      <c r="J306" s="33"/>
      <c r="K306" s="33"/>
      <c r="L306" s="33"/>
      <c r="X306" s="23"/>
      <c r="Y306" s="23"/>
      <c r="Z306" s="23"/>
      <c r="AA306" s="23"/>
      <c r="AF306" s="23"/>
      <c r="AG306" s="23"/>
      <c r="AH306" s="23"/>
      <c r="AI306" s="23"/>
      <c r="AN306" s="23"/>
      <c r="AO306" s="23"/>
      <c r="AP306" s="23"/>
      <c r="AQ306" s="23"/>
      <c r="AR306" s="35"/>
      <c r="AS306" s="35"/>
      <c r="AT306" s="35"/>
      <c r="AU306" s="31"/>
      <c r="AV306" s="36"/>
    </row>
    <row r="307" spans="1:48">
      <c r="A307" s="40"/>
      <c r="D307" s="31"/>
      <c r="E307" s="31"/>
      <c r="F307" s="31"/>
      <c r="G307" s="31"/>
      <c r="H307" s="32"/>
      <c r="J307" s="33"/>
      <c r="K307" s="33"/>
      <c r="L307" s="33"/>
      <c r="X307" s="23"/>
      <c r="Y307" s="23"/>
      <c r="Z307" s="23"/>
      <c r="AA307" s="23"/>
      <c r="AF307" s="23"/>
      <c r="AG307" s="23"/>
      <c r="AH307" s="23"/>
      <c r="AI307" s="23"/>
      <c r="AN307" s="23"/>
      <c r="AO307" s="23"/>
      <c r="AP307" s="23"/>
      <c r="AQ307" s="23"/>
      <c r="AR307" s="35"/>
      <c r="AS307" s="35"/>
      <c r="AT307" s="35"/>
      <c r="AU307" s="31"/>
      <c r="AV307" s="36"/>
    </row>
    <row r="308" spans="1:48">
      <c r="A308" s="40"/>
      <c r="D308" s="31"/>
      <c r="E308" s="31"/>
      <c r="F308" s="31"/>
      <c r="G308" s="31"/>
      <c r="H308" s="32"/>
      <c r="J308" s="33"/>
      <c r="K308" s="33"/>
      <c r="L308" s="33"/>
      <c r="X308" s="23"/>
      <c r="Y308" s="23"/>
      <c r="Z308" s="23"/>
      <c r="AA308" s="23"/>
      <c r="AF308" s="23"/>
      <c r="AG308" s="23"/>
      <c r="AH308" s="23"/>
      <c r="AI308" s="23"/>
      <c r="AN308" s="23"/>
      <c r="AO308" s="23"/>
      <c r="AP308" s="23"/>
      <c r="AQ308" s="23"/>
      <c r="AR308" s="35"/>
      <c r="AS308" s="35"/>
      <c r="AT308" s="35"/>
      <c r="AU308" s="31"/>
      <c r="AV308" s="36"/>
    </row>
    <row r="309" spans="1:48">
      <c r="A309" s="40"/>
      <c r="D309" s="31"/>
      <c r="E309" s="31"/>
      <c r="F309" s="31"/>
      <c r="G309" s="31"/>
      <c r="H309" s="32"/>
      <c r="J309" s="33"/>
      <c r="K309" s="33"/>
      <c r="L309" s="33"/>
      <c r="X309" s="23"/>
      <c r="Y309" s="23"/>
      <c r="Z309" s="23"/>
      <c r="AA309" s="23"/>
      <c r="AF309" s="23"/>
      <c r="AG309" s="23"/>
      <c r="AH309" s="23"/>
      <c r="AI309" s="23"/>
      <c r="AN309" s="23"/>
      <c r="AO309" s="23"/>
      <c r="AP309" s="23"/>
      <c r="AQ309" s="23"/>
      <c r="AR309" s="35"/>
      <c r="AS309" s="35"/>
      <c r="AT309" s="35"/>
      <c r="AU309" s="31"/>
      <c r="AV309" s="36"/>
    </row>
    <row r="310" spans="1:48">
      <c r="A310" s="40"/>
      <c r="D310" s="31"/>
      <c r="E310" s="31"/>
      <c r="F310" s="31"/>
      <c r="G310" s="31"/>
      <c r="H310" s="32"/>
      <c r="J310" s="33"/>
      <c r="K310" s="33"/>
      <c r="L310" s="33"/>
      <c r="X310" s="23"/>
      <c r="Y310" s="23"/>
      <c r="Z310" s="23"/>
      <c r="AA310" s="23"/>
      <c r="AF310" s="23"/>
      <c r="AG310" s="23"/>
      <c r="AH310" s="23"/>
      <c r="AI310" s="23"/>
      <c r="AN310" s="23"/>
      <c r="AO310" s="23"/>
      <c r="AP310" s="23"/>
      <c r="AQ310" s="23"/>
      <c r="AR310" s="35"/>
      <c r="AS310" s="35"/>
      <c r="AT310" s="35"/>
      <c r="AU310" s="31"/>
      <c r="AV310" s="36"/>
    </row>
    <row r="311" spans="1:48">
      <c r="A311" s="40"/>
      <c r="D311" s="31"/>
      <c r="E311" s="31"/>
      <c r="F311" s="31"/>
      <c r="G311" s="31"/>
      <c r="H311" s="32"/>
      <c r="J311" s="33"/>
      <c r="K311" s="33"/>
      <c r="L311" s="33"/>
      <c r="X311" s="23"/>
      <c r="Y311" s="23"/>
      <c r="Z311" s="23"/>
      <c r="AA311" s="23"/>
      <c r="AF311" s="23"/>
      <c r="AG311" s="23"/>
      <c r="AH311" s="23"/>
      <c r="AI311" s="23"/>
      <c r="AN311" s="23"/>
      <c r="AO311" s="23"/>
      <c r="AP311" s="23"/>
      <c r="AQ311" s="23"/>
      <c r="AR311" s="35"/>
      <c r="AS311" s="35"/>
      <c r="AT311" s="35"/>
      <c r="AU311" s="31"/>
      <c r="AV311" s="36"/>
    </row>
    <row r="312" spans="1:48">
      <c r="A312" s="40"/>
      <c r="D312" s="31"/>
      <c r="E312" s="31"/>
      <c r="F312" s="31"/>
      <c r="G312" s="31"/>
      <c r="H312" s="32"/>
      <c r="J312" s="33"/>
      <c r="K312" s="33"/>
      <c r="L312" s="33"/>
      <c r="X312" s="23"/>
      <c r="Y312" s="23"/>
      <c r="Z312" s="23"/>
      <c r="AA312" s="23"/>
      <c r="AF312" s="23"/>
      <c r="AG312" s="23"/>
      <c r="AH312" s="23"/>
      <c r="AI312" s="23"/>
      <c r="AN312" s="23"/>
      <c r="AO312" s="23"/>
      <c r="AP312" s="23"/>
      <c r="AQ312" s="23"/>
      <c r="AR312" s="35"/>
      <c r="AS312" s="35"/>
      <c r="AT312" s="35"/>
      <c r="AU312" s="31"/>
      <c r="AV312" s="36"/>
    </row>
    <row r="313" spans="1:48">
      <c r="A313" s="40"/>
      <c r="D313" s="31"/>
      <c r="E313" s="31"/>
      <c r="F313" s="31"/>
      <c r="G313" s="31"/>
      <c r="H313" s="32"/>
      <c r="J313" s="33"/>
      <c r="K313" s="33"/>
      <c r="L313" s="33"/>
      <c r="X313" s="23"/>
      <c r="Y313" s="23"/>
      <c r="Z313" s="23"/>
      <c r="AA313" s="23"/>
      <c r="AF313" s="23"/>
      <c r="AG313" s="23"/>
      <c r="AH313" s="23"/>
      <c r="AI313" s="23"/>
      <c r="AN313" s="23"/>
      <c r="AO313" s="23"/>
      <c r="AP313" s="23"/>
      <c r="AQ313" s="23"/>
      <c r="AR313" s="35"/>
      <c r="AS313" s="35"/>
      <c r="AT313" s="35"/>
      <c r="AU313" s="31"/>
      <c r="AV313" s="36"/>
    </row>
    <row r="314" spans="1:48">
      <c r="A314" s="40"/>
      <c r="D314" s="31"/>
      <c r="E314" s="31"/>
      <c r="F314" s="31"/>
      <c r="G314" s="31"/>
      <c r="H314" s="32"/>
      <c r="J314" s="33"/>
      <c r="K314" s="33"/>
      <c r="L314" s="33"/>
      <c r="X314" s="23"/>
      <c r="Y314" s="23"/>
      <c r="Z314" s="23"/>
      <c r="AA314" s="23"/>
      <c r="AF314" s="23"/>
      <c r="AG314" s="23"/>
      <c r="AH314" s="23"/>
      <c r="AI314" s="23"/>
      <c r="AN314" s="23"/>
      <c r="AO314" s="23"/>
      <c r="AP314" s="23"/>
      <c r="AQ314" s="23"/>
      <c r="AR314" s="35"/>
      <c r="AS314" s="35"/>
      <c r="AT314" s="35"/>
      <c r="AU314" s="31"/>
      <c r="AV314" s="36"/>
    </row>
    <row r="315" spans="1:48">
      <c r="A315" s="40"/>
      <c r="D315" s="31"/>
      <c r="E315" s="31"/>
      <c r="F315" s="31"/>
      <c r="G315" s="31"/>
      <c r="H315" s="32"/>
      <c r="J315" s="33"/>
      <c r="K315" s="33"/>
      <c r="L315" s="33"/>
      <c r="X315" s="23"/>
      <c r="Y315" s="23"/>
      <c r="Z315" s="23"/>
      <c r="AA315" s="23"/>
      <c r="AF315" s="23"/>
      <c r="AG315" s="23"/>
      <c r="AH315" s="23"/>
      <c r="AI315" s="23"/>
      <c r="AN315" s="23"/>
      <c r="AO315" s="23"/>
      <c r="AP315" s="23"/>
      <c r="AQ315" s="23"/>
      <c r="AR315" s="35"/>
      <c r="AS315" s="35"/>
      <c r="AT315" s="35"/>
      <c r="AU315" s="31"/>
      <c r="AV315" s="36"/>
    </row>
    <row r="316" spans="1:48">
      <c r="A316" s="40"/>
      <c r="D316" s="31"/>
      <c r="E316" s="31"/>
      <c r="F316" s="31"/>
      <c r="G316" s="31"/>
      <c r="H316" s="32"/>
      <c r="J316" s="33"/>
      <c r="K316" s="33"/>
      <c r="L316" s="33"/>
      <c r="X316" s="23"/>
      <c r="Y316" s="23"/>
      <c r="Z316" s="23"/>
      <c r="AA316" s="23"/>
      <c r="AF316" s="23"/>
      <c r="AG316" s="23"/>
      <c r="AH316" s="23"/>
      <c r="AI316" s="23"/>
      <c r="AN316" s="23"/>
      <c r="AO316" s="23"/>
      <c r="AP316" s="23"/>
      <c r="AQ316" s="23"/>
      <c r="AR316" s="35"/>
      <c r="AS316" s="35"/>
      <c r="AT316" s="35"/>
      <c r="AU316" s="31"/>
      <c r="AV316" s="36"/>
    </row>
    <row r="317" spans="1:48">
      <c r="A317" s="40"/>
      <c r="D317" s="31"/>
      <c r="E317" s="31"/>
      <c r="F317" s="31"/>
      <c r="G317" s="31"/>
      <c r="H317" s="32"/>
      <c r="J317" s="33"/>
      <c r="K317" s="33"/>
      <c r="L317" s="33"/>
      <c r="X317" s="23"/>
      <c r="Y317" s="23"/>
      <c r="Z317" s="23"/>
      <c r="AA317" s="23"/>
      <c r="AF317" s="23"/>
      <c r="AG317" s="23"/>
      <c r="AH317" s="23"/>
      <c r="AI317" s="23"/>
      <c r="AN317" s="23"/>
      <c r="AO317" s="23"/>
      <c r="AP317" s="23"/>
      <c r="AQ317" s="23"/>
      <c r="AR317" s="35"/>
      <c r="AS317" s="35"/>
      <c r="AT317" s="35"/>
      <c r="AU317" s="31"/>
      <c r="AV317" s="36"/>
    </row>
    <row r="318" spans="1:48">
      <c r="A318" s="40"/>
      <c r="D318" s="31"/>
      <c r="E318" s="31"/>
      <c r="F318" s="31"/>
      <c r="G318" s="31"/>
      <c r="H318" s="32"/>
      <c r="J318" s="33"/>
      <c r="K318" s="33"/>
      <c r="L318" s="33"/>
      <c r="X318" s="23"/>
      <c r="Y318" s="23"/>
      <c r="Z318" s="23"/>
      <c r="AA318" s="23"/>
      <c r="AF318" s="23"/>
      <c r="AG318" s="23"/>
      <c r="AH318" s="23"/>
      <c r="AI318" s="23"/>
      <c r="AN318" s="23"/>
      <c r="AO318" s="23"/>
      <c r="AP318" s="23"/>
      <c r="AQ318" s="23"/>
      <c r="AR318" s="35"/>
      <c r="AS318" s="35"/>
      <c r="AT318" s="35"/>
      <c r="AU318" s="31"/>
      <c r="AV318" s="36"/>
    </row>
    <row r="319" spans="1:48">
      <c r="A319" s="40"/>
      <c r="D319" s="31"/>
      <c r="E319" s="31"/>
      <c r="F319" s="31"/>
      <c r="G319" s="31"/>
      <c r="H319" s="32"/>
      <c r="J319" s="33"/>
      <c r="K319" s="33"/>
      <c r="L319" s="33"/>
      <c r="X319" s="23"/>
      <c r="Y319" s="23"/>
      <c r="Z319" s="23"/>
      <c r="AA319" s="23"/>
      <c r="AF319" s="23"/>
      <c r="AG319" s="23"/>
      <c r="AH319" s="23"/>
      <c r="AI319" s="23"/>
      <c r="AN319" s="23"/>
      <c r="AO319" s="23"/>
      <c r="AP319" s="23"/>
      <c r="AQ319" s="23"/>
      <c r="AR319" s="35"/>
      <c r="AS319" s="35"/>
      <c r="AT319" s="35"/>
      <c r="AU319" s="31"/>
      <c r="AV319" s="36"/>
    </row>
    <row r="320" spans="1:48">
      <c r="A320" s="40"/>
      <c r="D320" s="31"/>
      <c r="E320" s="31"/>
      <c r="F320" s="31"/>
      <c r="G320" s="31"/>
      <c r="H320" s="32"/>
      <c r="J320" s="33"/>
      <c r="K320" s="33"/>
      <c r="L320" s="33"/>
      <c r="X320" s="23"/>
      <c r="Y320" s="23"/>
      <c r="Z320" s="23"/>
      <c r="AA320" s="23"/>
      <c r="AF320" s="23"/>
      <c r="AG320" s="23"/>
      <c r="AH320" s="23"/>
      <c r="AI320" s="23"/>
      <c r="AN320" s="23"/>
      <c r="AO320" s="23"/>
      <c r="AP320" s="23"/>
      <c r="AQ320" s="23"/>
      <c r="AR320" s="35"/>
      <c r="AS320" s="35"/>
      <c r="AT320" s="35"/>
      <c r="AU320" s="31"/>
      <c r="AV320" s="36"/>
    </row>
    <row r="321" spans="1:48">
      <c r="A321" s="40"/>
      <c r="D321" s="31"/>
      <c r="E321" s="31"/>
      <c r="F321" s="31"/>
      <c r="G321" s="31"/>
      <c r="H321" s="32"/>
      <c r="J321" s="33"/>
      <c r="K321" s="33"/>
      <c r="L321" s="33"/>
      <c r="X321" s="23"/>
      <c r="Y321" s="23"/>
      <c r="Z321" s="23"/>
      <c r="AA321" s="23"/>
      <c r="AF321" s="23"/>
      <c r="AG321" s="23"/>
      <c r="AH321" s="23"/>
      <c r="AI321" s="23"/>
      <c r="AN321" s="23"/>
      <c r="AO321" s="23"/>
      <c r="AP321" s="23"/>
      <c r="AQ321" s="23"/>
      <c r="AR321" s="35"/>
      <c r="AS321" s="35"/>
      <c r="AT321" s="35"/>
      <c r="AU321" s="31"/>
      <c r="AV321" s="36"/>
    </row>
    <row r="322" spans="1:48">
      <c r="A322" s="40"/>
      <c r="D322" s="31"/>
      <c r="E322" s="31"/>
      <c r="F322" s="31"/>
      <c r="G322" s="31"/>
      <c r="H322" s="32"/>
      <c r="J322" s="33"/>
      <c r="K322" s="33"/>
      <c r="L322" s="33"/>
      <c r="X322" s="23"/>
      <c r="Y322" s="23"/>
      <c r="Z322" s="23"/>
      <c r="AA322" s="23"/>
      <c r="AF322" s="23"/>
      <c r="AG322" s="23"/>
      <c r="AH322" s="23"/>
      <c r="AI322" s="23"/>
      <c r="AN322" s="23"/>
      <c r="AO322" s="23"/>
      <c r="AP322" s="23"/>
      <c r="AQ322" s="23"/>
      <c r="AR322" s="35"/>
      <c r="AS322" s="35"/>
      <c r="AT322" s="35"/>
      <c r="AU322" s="31"/>
      <c r="AV322" s="36"/>
    </row>
    <row r="323" spans="1:48">
      <c r="A323" s="40"/>
      <c r="D323" s="31"/>
      <c r="E323" s="31"/>
      <c r="F323" s="31"/>
      <c r="G323" s="31"/>
      <c r="H323" s="32"/>
      <c r="J323" s="33"/>
      <c r="K323" s="33"/>
      <c r="L323" s="33"/>
      <c r="X323" s="23"/>
      <c r="Y323" s="23"/>
      <c r="Z323" s="23"/>
      <c r="AA323" s="23"/>
      <c r="AF323" s="23"/>
      <c r="AG323" s="23"/>
      <c r="AH323" s="23"/>
      <c r="AI323" s="23"/>
      <c r="AN323" s="23"/>
      <c r="AO323" s="23"/>
      <c r="AP323" s="23"/>
      <c r="AQ323" s="23"/>
      <c r="AR323" s="35"/>
      <c r="AS323" s="35"/>
      <c r="AT323" s="35"/>
      <c r="AU323" s="31"/>
      <c r="AV323" s="36"/>
    </row>
    <row r="324" spans="1:48">
      <c r="A324" s="40"/>
      <c r="D324" s="31"/>
      <c r="E324" s="31"/>
      <c r="F324" s="31"/>
      <c r="G324" s="31"/>
      <c r="H324" s="32"/>
      <c r="J324" s="33"/>
      <c r="K324" s="33"/>
      <c r="L324" s="33"/>
      <c r="X324" s="23"/>
      <c r="Y324" s="23"/>
      <c r="Z324" s="23"/>
      <c r="AA324" s="23"/>
      <c r="AF324" s="23"/>
      <c r="AG324" s="23"/>
      <c r="AH324" s="23"/>
      <c r="AI324" s="23"/>
      <c r="AN324" s="23"/>
      <c r="AO324" s="23"/>
      <c r="AP324" s="23"/>
      <c r="AQ324" s="23"/>
      <c r="AR324" s="35"/>
      <c r="AS324" s="35"/>
      <c r="AT324" s="35"/>
      <c r="AU324" s="31"/>
      <c r="AV324" s="36"/>
    </row>
    <row r="325" spans="1:48">
      <c r="A325" s="40"/>
      <c r="D325" s="31"/>
      <c r="E325" s="31"/>
      <c r="F325" s="31"/>
      <c r="G325" s="31"/>
      <c r="H325" s="32"/>
      <c r="J325" s="33"/>
      <c r="K325" s="33"/>
      <c r="L325" s="33"/>
      <c r="X325" s="23"/>
      <c r="Y325" s="23"/>
      <c r="Z325" s="23"/>
      <c r="AA325" s="23"/>
      <c r="AF325" s="23"/>
      <c r="AG325" s="23"/>
      <c r="AH325" s="23"/>
      <c r="AI325" s="23"/>
      <c r="AN325" s="23"/>
      <c r="AO325" s="23"/>
      <c r="AP325" s="23"/>
      <c r="AQ325" s="23"/>
      <c r="AR325" s="35"/>
      <c r="AS325" s="35"/>
      <c r="AT325" s="35"/>
      <c r="AU325" s="31"/>
      <c r="AV325" s="36"/>
    </row>
    <row r="326" spans="1:48">
      <c r="A326" s="40"/>
      <c r="D326" s="31"/>
      <c r="E326" s="31"/>
      <c r="F326" s="31"/>
      <c r="G326" s="31"/>
      <c r="H326" s="32"/>
      <c r="J326" s="33"/>
      <c r="K326" s="33"/>
      <c r="L326" s="33"/>
      <c r="X326" s="23"/>
      <c r="Y326" s="23"/>
      <c r="Z326" s="23"/>
      <c r="AA326" s="23"/>
      <c r="AF326" s="23"/>
      <c r="AG326" s="23"/>
      <c r="AH326" s="23"/>
      <c r="AI326" s="23"/>
      <c r="AN326" s="23"/>
      <c r="AO326" s="23"/>
      <c r="AP326" s="23"/>
      <c r="AQ326" s="23"/>
      <c r="AR326" s="35"/>
      <c r="AS326" s="35"/>
      <c r="AT326" s="35"/>
      <c r="AU326" s="31"/>
      <c r="AV326" s="36"/>
    </row>
    <row r="327" spans="1:48">
      <c r="A327" s="40"/>
      <c r="D327" s="31"/>
      <c r="E327" s="31"/>
      <c r="F327" s="31"/>
      <c r="G327" s="31"/>
      <c r="H327" s="32"/>
      <c r="J327" s="33"/>
      <c r="K327" s="33"/>
      <c r="L327" s="33"/>
      <c r="X327" s="23"/>
      <c r="Y327" s="23"/>
      <c r="Z327" s="23"/>
      <c r="AA327" s="23"/>
      <c r="AF327" s="23"/>
      <c r="AG327" s="23"/>
      <c r="AH327" s="23"/>
      <c r="AI327" s="23"/>
      <c r="AN327" s="23"/>
      <c r="AO327" s="23"/>
      <c r="AP327" s="23"/>
      <c r="AQ327" s="23"/>
      <c r="AR327" s="35"/>
      <c r="AS327" s="35"/>
      <c r="AT327" s="35"/>
      <c r="AU327" s="31"/>
      <c r="AV327" s="36"/>
    </row>
    <row r="328" spans="1:48">
      <c r="A328" s="40"/>
      <c r="D328" s="31"/>
      <c r="E328" s="31"/>
      <c r="F328" s="31"/>
      <c r="G328" s="31"/>
      <c r="H328" s="32"/>
      <c r="J328" s="33"/>
      <c r="K328" s="33"/>
      <c r="L328" s="33"/>
      <c r="X328" s="23"/>
      <c r="Y328" s="23"/>
      <c r="Z328" s="23"/>
      <c r="AA328" s="23"/>
      <c r="AF328" s="23"/>
      <c r="AG328" s="23"/>
      <c r="AH328" s="23"/>
      <c r="AI328" s="23"/>
      <c r="AN328" s="23"/>
      <c r="AO328" s="23"/>
      <c r="AP328" s="23"/>
      <c r="AQ328" s="23"/>
      <c r="AR328" s="35"/>
      <c r="AS328" s="35"/>
      <c r="AT328" s="35"/>
      <c r="AU328" s="31"/>
      <c r="AV328" s="36"/>
    </row>
    <row r="329" spans="1:48">
      <c r="A329" s="40"/>
      <c r="D329" s="31"/>
      <c r="E329" s="31"/>
      <c r="F329" s="31"/>
      <c r="G329" s="31"/>
      <c r="H329" s="32"/>
      <c r="J329" s="33"/>
      <c r="K329" s="33"/>
      <c r="L329" s="33"/>
      <c r="X329" s="23"/>
      <c r="Y329" s="23"/>
      <c r="Z329" s="23"/>
      <c r="AA329" s="23"/>
      <c r="AF329" s="23"/>
      <c r="AG329" s="23"/>
      <c r="AH329" s="23"/>
      <c r="AI329" s="23"/>
      <c r="AN329" s="23"/>
      <c r="AO329" s="23"/>
      <c r="AP329" s="23"/>
      <c r="AQ329" s="23"/>
      <c r="AR329" s="35"/>
      <c r="AS329" s="35"/>
      <c r="AT329" s="35"/>
      <c r="AU329" s="31"/>
      <c r="AV329" s="36"/>
    </row>
    <row r="330" spans="1:48">
      <c r="A330" s="40"/>
      <c r="D330" s="31"/>
      <c r="E330" s="31"/>
      <c r="F330" s="31"/>
      <c r="G330" s="31"/>
      <c r="H330" s="32"/>
      <c r="J330" s="33"/>
      <c r="K330" s="33"/>
      <c r="L330" s="33"/>
      <c r="X330" s="23"/>
      <c r="Y330" s="23"/>
      <c r="Z330" s="23"/>
      <c r="AA330" s="23"/>
      <c r="AF330" s="23"/>
      <c r="AG330" s="23"/>
      <c r="AH330" s="23"/>
      <c r="AI330" s="23"/>
      <c r="AN330" s="23"/>
      <c r="AO330" s="23"/>
      <c r="AP330" s="23"/>
      <c r="AQ330" s="23"/>
      <c r="AR330" s="35"/>
      <c r="AS330" s="35"/>
      <c r="AT330" s="35"/>
      <c r="AU330" s="31"/>
      <c r="AV330" s="36"/>
    </row>
    <row r="331" spans="1:48">
      <c r="A331" s="40"/>
      <c r="D331" s="31"/>
      <c r="E331" s="31"/>
      <c r="F331" s="31"/>
      <c r="G331" s="31"/>
      <c r="H331" s="32"/>
      <c r="J331" s="33"/>
      <c r="K331" s="33"/>
      <c r="L331" s="33"/>
      <c r="X331" s="23"/>
      <c r="Y331" s="23"/>
      <c r="Z331" s="23"/>
      <c r="AA331" s="23"/>
      <c r="AF331" s="23"/>
      <c r="AG331" s="23"/>
      <c r="AH331" s="23"/>
      <c r="AI331" s="23"/>
      <c r="AN331" s="23"/>
      <c r="AO331" s="23"/>
      <c r="AP331" s="23"/>
      <c r="AQ331" s="23"/>
      <c r="AR331" s="35"/>
      <c r="AS331" s="35"/>
      <c r="AT331" s="35"/>
      <c r="AU331" s="31"/>
      <c r="AV331" s="36"/>
    </row>
    <row r="332" spans="1:48">
      <c r="A332" s="40"/>
      <c r="D332" s="31"/>
      <c r="E332" s="31"/>
      <c r="F332" s="31"/>
      <c r="G332" s="31"/>
      <c r="H332" s="32"/>
      <c r="J332" s="33"/>
      <c r="K332" s="33"/>
      <c r="L332" s="33"/>
      <c r="X332" s="23"/>
      <c r="Y332" s="23"/>
      <c r="Z332" s="23"/>
      <c r="AA332" s="23"/>
      <c r="AF332" s="23"/>
      <c r="AG332" s="23"/>
      <c r="AH332" s="23"/>
      <c r="AI332" s="23"/>
      <c r="AN332" s="23"/>
      <c r="AO332" s="23"/>
      <c r="AP332" s="23"/>
      <c r="AQ332" s="23"/>
      <c r="AR332" s="35"/>
      <c r="AS332" s="35"/>
      <c r="AT332" s="35"/>
      <c r="AU332" s="31"/>
      <c r="AV332" s="36"/>
    </row>
    <row r="333" spans="1:48">
      <c r="A333" s="40"/>
      <c r="D333" s="31"/>
      <c r="E333" s="31"/>
      <c r="F333" s="31"/>
      <c r="G333" s="31"/>
      <c r="H333" s="32"/>
      <c r="J333" s="33"/>
      <c r="K333" s="33"/>
      <c r="L333" s="33"/>
      <c r="X333" s="23"/>
      <c r="Y333" s="23"/>
      <c r="Z333" s="23"/>
      <c r="AA333" s="23"/>
      <c r="AF333" s="23"/>
      <c r="AG333" s="23"/>
      <c r="AH333" s="23"/>
      <c r="AI333" s="23"/>
      <c r="AN333" s="23"/>
      <c r="AO333" s="23"/>
      <c r="AP333" s="23"/>
      <c r="AQ333" s="23"/>
      <c r="AR333" s="35"/>
      <c r="AS333" s="35"/>
      <c r="AT333" s="35"/>
      <c r="AU333" s="31"/>
      <c r="AV333" s="36"/>
    </row>
    <row r="334" spans="1:48">
      <c r="A334" s="40"/>
      <c r="D334" s="31"/>
      <c r="E334" s="31"/>
      <c r="F334" s="31"/>
      <c r="G334" s="31"/>
      <c r="H334" s="32"/>
      <c r="J334" s="33"/>
      <c r="K334" s="33"/>
      <c r="L334" s="33"/>
      <c r="X334" s="23"/>
      <c r="Y334" s="23"/>
      <c r="Z334" s="23"/>
      <c r="AA334" s="23"/>
      <c r="AF334" s="23"/>
      <c r="AG334" s="23"/>
      <c r="AH334" s="23"/>
      <c r="AI334" s="23"/>
      <c r="AN334" s="23"/>
      <c r="AO334" s="23"/>
      <c r="AP334" s="23"/>
      <c r="AQ334" s="23"/>
      <c r="AR334" s="35"/>
      <c r="AS334" s="35"/>
      <c r="AT334" s="35"/>
      <c r="AU334" s="31"/>
      <c r="AV334" s="36"/>
    </row>
    <row r="335" spans="1:48">
      <c r="A335" s="40"/>
      <c r="D335" s="31"/>
      <c r="E335" s="31"/>
      <c r="F335" s="31"/>
      <c r="G335" s="31"/>
      <c r="H335" s="32"/>
      <c r="J335" s="33"/>
      <c r="K335" s="33"/>
      <c r="L335" s="33"/>
      <c r="X335" s="23"/>
      <c r="Y335" s="23"/>
      <c r="Z335" s="23"/>
      <c r="AA335" s="23"/>
      <c r="AF335" s="23"/>
      <c r="AG335" s="23"/>
      <c r="AH335" s="23"/>
      <c r="AI335" s="23"/>
      <c r="AN335" s="23"/>
      <c r="AO335" s="23"/>
      <c r="AP335" s="23"/>
      <c r="AQ335" s="23"/>
      <c r="AR335" s="35"/>
      <c r="AS335" s="35"/>
      <c r="AT335" s="35"/>
      <c r="AU335" s="31"/>
      <c r="AV335" s="36"/>
    </row>
    <row r="336" spans="1:48">
      <c r="A336" s="40"/>
      <c r="D336" s="31"/>
      <c r="E336" s="31"/>
      <c r="F336" s="31"/>
      <c r="G336" s="31"/>
      <c r="H336" s="32"/>
      <c r="J336" s="33"/>
      <c r="K336" s="33"/>
      <c r="L336" s="33"/>
      <c r="X336" s="23"/>
      <c r="Y336" s="23"/>
      <c r="Z336" s="23"/>
      <c r="AA336" s="23"/>
      <c r="AF336" s="23"/>
      <c r="AG336" s="23"/>
      <c r="AH336" s="23"/>
      <c r="AI336" s="23"/>
      <c r="AN336" s="23"/>
      <c r="AO336" s="23"/>
      <c r="AP336" s="23"/>
      <c r="AQ336" s="23"/>
      <c r="AR336" s="35"/>
      <c r="AS336" s="35"/>
      <c r="AT336" s="35"/>
      <c r="AU336" s="31"/>
      <c r="AV336" s="36"/>
    </row>
    <row r="337" spans="1:48">
      <c r="A337" s="40"/>
      <c r="D337" s="31"/>
      <c r="E337" s="31"/>
      <c r="F337" s="31"/>
      <c r="G337" s="31"/>
      <c r="H337" s="32"/>
      <c r="J337" s="33"/>
      <c r="K337" s="33"/>
      <c r="L337" s="33"/>
      <c r="X337" s="23"/>
      <c r="Y337" s="23"/>
      <c r="Z337" s="23"/>
      <c r="AA337" s="23"/>
      <c r="AF337" s="23"/>
      <c r="AG337" s="23"/>
      <c r="AH337" s="23"/>
      <c r="AI337" s="23"/>
      <c r="AN337" s="23"/>
      <c r="AO337" s="23"/>
      <c r="AP337" s="23"/>
      <c r="AQ337" s="23"/>
      <c r="AR337" s="35"/>
      <c r="AS337" s="35"/>
      <c r="AT337" s="35"/>
      <c r="AU337" s="31"/>
      <c r="AV337" s="36"/>
    </row>
    <row r="338" spans="1:48">
      <c r="A338" s="40"/>
      <c r="D338" s="31"/>
      <c r="E338" s="31"/>
      <c r="F338" s="31"/>
      <c r="G338" s="31"/>
      <c r="H338" s="32"/>
      <c r="J338" s="33"/>
      <c r="K338" s="33"/>
      <c r="L338" s="33"/>
      <c r="X338" s="23"/>
      <c r="Y338" s="23"/>
      <c r="Z338" s="23"/>
      <c r="AA338" s="23"/>
      <c r="AF338" s="23"/>
      <c r="AG338" s="23"/>
      <c r="AH338" s="23"/>
      <c r="AI338" s="23"/>
      <c r="AN338" s="23"/>
      <c r="AO338" s="23"/>
      <c r="AP338" s="23"/>
      <c r="AQ338" s="23"/>
      <c r="AR338" s="35"/>
      <c r="AS338" s="35"/>
      <c r="AT338" s="35"/>
      <c r="AU338" s="31"/>
      <c r="AV338" s="36"/>
    </row>
    <row r="339" spans="1:48">
      <c r="A339" s="40"/>
      <c r="D339" s="31"/>
      <c r="E339" s="31"/>
      <c r="F339" s="31"/>
      <c r="G339" s="31"/>
      <c r="H339" s="32"/>
      <c r="J339" s="33"/>
      <c r="K339" s="33"/>
      <c r="L339" s="33"/>
      <c r="X339" s="23"/>
      <c r="Y339" s="23"/>
      <c r="Z339" s="23"/>
      <c r="AA339" s="23"/>
      <c r="AF339" s="23"/>
      <c r="AG339" s="23"/>
      <c r="AH339" s="23"/>
      <c r="AI339" s="23"/>
      <c r="AN339" s="23"/>
      <c r="AO339" s="23"/>
      <c r="AP339" s="23"/>
      <c r="AQ339" s="23"/>
      <c r="AR339" s="35"/>
      <c r="AS339" s="35"/>
      <c r="AT339" s="35"/>
      <c r="AU339" s="31"/>
      <c r="AV339" s="36"/>
    </row>
    <row r="340" spans="1:48">
      <c r="A340" s="40"/>
      <c r="D340" s="31"/>
      <c r="E340" s="31"/>
      <c r="F340" s="31"/>
      <c r="G340" s="31"/>
      <c r="H340" s="32"/>
      <c r="J340" s="33"/>
      <c r="K340" s="33"/>
      <c r="L340" s="33"/>
      <c r="X340" s="23"/>
      <c r="Y340" s="23"/>
      <c r="Z340" s="23"/>
      <c r="AA340" s="23"/>
      <c r="AF340" s="23"/>
      <c r="AG340" s="23"/>
      <c r="AH340" s="23"/>
      <c r="AI340" s="23"/>
      <c r="AN340" s="23"/>
      <c r="AO340" s="23"/>
      <c r="AP340" s="23"/>
      <c r="AQ340" s="23"/>
      <c r="AR340" s="35"/>
      <c r="AS340" s="35"/>
      <c r="AT340" s="35"/>
      <c r="AU340" s="31"/>
      <c r="AV340" s="36"/>
    </row>
    <row r="341" spans="1:48">
      <c r="A341" s="40"/>
      <c r="D341" s="31"/>
      <c r="E341" s="31"/>
      <c r="F341" s="31"/>
      <c r="G341" s="31"/>
      <c r="H341" s="32"/>
      <c r="J341" s="33"/>
      <c r="K341" s="33"/>
      <c r="L341" s="33"/>
      <c r="X341" s="23"/>
      <c r="Y341" s="23"/>
      <c r="Z341" s="23"/>
      <c r="AA341" s="23"/>
      <c r="AF341" s="23"/>
      <c r="AG341" s="23"/>
      <c r="AH341" s="23"/>
      <c r="AI341" s="23"/>
      <c r="AN341" s="23"/>
      <c r="AO341" s="23"/>
      <c r="AP341" s="23"/>
      <c r="AQ341" s="23"/>
      <c r="AR341" s="35"/>
      <c r="AS341" s="35"/>
      <c r="AT341" s="35"/>
      <c r="AU341" s="31"/>
      <c r="AV341" s="36"/>
    </row>
    <row r="342" spans="1:48">
      <c r="A342" s="40"/>
      <c r="D342" s="31"/>
      <c r="E342" s="31"/>
      <c r="F342" s="31"/>
      <c r="G342" s="31"/>
      <c r="H342" s="32"/>
      <c r="J342" s="33"/>
      <c r="K342" s="33"/>
      <c r="L342" s="33"/>
      <c r="X342" s="23"/>
      <c r="Y342" s="23"/>
      <c r="Z342" s="23"/>
      <c r="AA342" s="23"/>
      <c r="AF342" s="23"/>
      <c r="AG342" s="23"/>
      <c r="AH342" s="23"/>
      <c r="AI342" s="23"/>
      <c r="AN342" s="23"/>
      <c r="AO342" s="23"/>
      <c r="AP342" s="23"/>
      <c r="AQ342" s="23"/>
      <c r="AR342" s="35"/>
      <c r="AS342" s="35"/>
      <c r="AT342" s="35"/>
      <c r="AU342" s="31"/>
      <c r="AV342" s="36"/>
    </row>
    <row r="343" spans="1:48">
      <c r="A343" s="40"/>
      <c r="D343" s="31"/>
      <c r="E343" s="31"/>
      <c r="F343" s="31"/>
      <c r="G343" s="31"/>
      <c r="H343" s="32"/>
      <c r="J343" s="33"/>
      <c r="K343" s="33"/>
      <c r="L343" s="33"/>
      <c r="X343" s="23"/>
      <c r="Y343" s="23"/>
      <c r="Z343" s="23"/>
      <c r="AA343" s="23"/>
      <c r="AF343" s="23"/>
      <c r="AG343" s="23"/>
      <c r="AH343" s="23"/>
      <c r="AI343" s="23"/>
      <c r="AN343" s="23"/>
      <c r="AO343" s="23"/>
      <c r="AP343" s="23"/>
      <c r="AQ343" s="23"/>
      <c r="AR343" s="35"/>
      <c r="AS343" s="35"/>
      <c r="AT343" s="35"/>
      <c r="AU343" s="31"/>
      <c r="AV343" s="36"/>
    </row>
    <row r="344" spans="1:48">
      <c r="A344" s="40"/>
      <c r="D344" s="31"/>
      <c r="E344" s="31"/>
      <c r="F344" s="31"/>
      <c r="G344" s="31"/>
      <c r="H344" s="32"/>
      <c r="J344" s="33"/>
      <c r="K344" s="33"/>
      <c r="L344" s="33"/>
      <c r="X344" s="23"/>
      <c r="Y344" s="23"/>
      <c r="Z344" s="23"/>
      <c r="AA344" s="23"/>
      <c r="AF344" s="23"/>
      <c r="AG344" s="23"/>
      <c r="AH344" s="23"/>
      <c r="AI344" s="23"/>
      <c r="AN344" s="23"/>
      <c r="AO344" s="23"/>
      <c r="AP344" s="23"/>
      <c r="AQ344" s="23"/>
      <c r="AR344" s="35"/>
      <c r="AS344" s="35"/>
      <c r="AT344" s="35"/>
      <c r="AU344" s="31"/>
      <c r="AV344" s="36"/>
    </row>
    <row r="345" spans="1:48">
      <c r="A345" s="40"/>
      <c r="D345" s="31"/>
      <c r="E345" s="31"/>
      <c r="F345" s="31"/>
      <c r="G345" s="31"/>
      <c r="H345" s="32"/>
      <c r="J345" s="33"/>
      <c r="K345" s="33"/>
      <c r="L345" s="33"/>
      <c r="X345" s="23"/>
      <c r="Y345" s="23"/>
      <c r="Z345" s="23"/>
      <c r="AA345" s="23"/>
      <c r="AF345" s="23"/>
      <c r="AG345" s="23"/>
      <c r="AH345" s="23"/>
      <c r="AI345" s="23"/>
      <c r="AN345" s="23"/>
      <c r="AO345" s="23"/>
      <c r="AP345" s="23"/>
      <c r="AQ345" s="23"/>
      <c r="AR345" s="35"/>
      <c r="AS345" s="35"/>
      <c r="AT345" s="35"/>
      <c r="AU345" s="31"/>
      <c r="AV345" s="36"/>
    </row>
    <row r="346" spans="1:48">
      <c r="A346" s="40"/>
      <c r="D346" s="31"/>
      <c r="E346" s="31"/>
      <c r="F346" s="31"/>
      <c r="G346" s="31"/>
      <c r="H346" s="32"/>
      <c r="J346" s="33"/>
      <c r="K346" s="33"/>
      <c r="L346" s="33"/>
      <c r="X346" s="23"/>
      <c r="Y346" s="23"/>
      <c r="Z346" s="23"/>
      <c r="AA346" s="23"/>
      <c r="AF346" s="23"/>
      <c r="AG346" s="23"/>
      <c r="AH346" s="23"/>
      <c r="AI346" s="23"/>
      <c r="AN346" s="23"/>
      <c r="AO346" s="23"/>
      <c r="AP346" s="23"/>
      <c r="AQ346" s="23"/>
      <c r="AR346" s="35"/>
      <c r="AS346" s="35"/>
      <c r="AT346" s="35"/>
      <c r="AU346" s="31"/>
      <c r="AV346" s="36"/>
    </row>
    <row r="347" spans="1:48">
      <c r="A347" s="40"/>
      <c r="D347" s="31"/>
      <c r="E347" s="31"/>
      <c r="F347" s="31"/>
      <c r="G347" s="31"/>
      <c r="H347" s="32"/>
      <c r="J347" s="33"/>
      <c r="K347" s="33"/>
      <c r="L347" s="33"/>
      <c r="X347" s="23"/>
      <c r="Y347" s="23"/>
      <c r="Z347" s="23"/>
      <c r="AA347" s="23"/>
      <c r="AF347" s="23"/>
      <c r="AG347" s="23"/>
      <c r="AH347" s="23"/>
      <c r="AI347" s="23"/>
      <c r="AN347" s="23"/>
      <c r="AO347" s="23"/>
      <c r="AP347" s="23"/>
      <c r="AQ347" s="23"/>
      <c r="AR347" s="35"/>
      <c r="AS347" s="35"/>
      <c r="AT347" s="35"/>
      <c r="AU347" s="31"/>
      <c r="AV347" s="36"/>
    </row>
    <row r="348" spans="1:48">
      <c r="A348" s="40"/>
      <c r="D348" s="31"/>
      <c r="E348" s="31"/>
      <c r="F348" s="31"/>
      <c r="G348" s="31"/>
      <c r="H348" s="32"/>
      <c r="J348" s="33"/>
      <c r="K348" s="33"/>
      <c r="L348" s="33"/>
      <c r="X348" s="23"/>
      <c r="Y348" s="23"/>
      <c r="Z348" s="23"/>
      <c r="AA348" s="23"/>
      <c r="AF348" s="23"/>
      <c r="AG348" s="23"/>
      <c r="AH348" s="23"/>
      <c r="AI348" s="23"/>
      <c r="AN348" s="23"/>
      <c r="AO348" s="23"/>
      <c r="AP348" s="23"/>
      <c r="AQ348" s="23"/>
      <c r="AR348" s="35"/>
      <c r="AS348" s="35"/>
      <c r="AT348" s="35"/>
      <c r="AU348" s="31"/>
      <c r="AV348" s="36"/>
    </row>
    <row r="349" spans="1:48">
      <c r="A349" s="40"/>
      <c r="D349" s="31"/>
      <c r="E349" s="31"/>
      <c r="F349" s="31"/>
      <c r="G349" s="31"/>
      <c r="H349" s="32"/>
      <c r="J349" s="33"/>
      <c r="K349" s="33"/>
      <c r="L349" s="33"/>
      <c r="X349" s="23"/>
      <c r="Y349" s="23"/>
      <c r="Z349" s="23"/>
      <c r="AA349" s="23"/>
      <c r="AF349" s="23"/>
      <c r="AG349" s="23"/>
      <c r="AH349" s="23"/>
      <c r="AI349" s="23"/>
      <c r="AN349" s="23"/>
      <c r="AO349" s="23"/>
      <c r="AP349" s="23"/>
      <c r="AQ349" s="23"/>
      <c r="AR349" s="35"/>
      <c r="AS349" s="35"/>
      <c r="AT349" s="35"/>
      <c r="AU349" s="31"/>
      <c r="AV349" s="36"/>
    </row>
    <row r="350" spans="1:48">
      <c r="A350" s="40"/>
      <c r="D350" s="31"/>
      <c r="E350" s="31"/>
      <c r="F350" s="31"/>
      <c r="G350" s="31"/>
      <c r="H350" s="32"/>
      <c r="J350" s="33"/>
      <c r="K350" s="33"/>
      <c r="L350" s="33"/>
      <c r="X350" s="23"/>
      <c r="Y350" s="23"/>
      <c r="Z350" s="23"/>
      <c r="AA350" s="23"/>
      <c r="AF350" s="23"/>
      <c r="AG350" s="23"/>
      <c r="AH350" s="23"/>
      <c r="AI350" s="23"/>
      <c r="AN350" s="23"/>
      <c r="AO350" s="23"/>
      <c r="AP350" s="23"/>
      <c r="AQ350" s="23"/>
      <c r="AR350" s="35"/>
      <c r="AS350" s="35"/>
      <c r="AT350" s="35"/>
      <c r="AU350" s="31"/>
      <c r="AV350" s="36"/>
    </row>
    <row r="351" spans="1:48">
      <c r="A351" s="40"/>
      <c r="D351" s="31"/>
      <c r="E351" s="31"/>
      <c r="F351" s="31"/>
      <c r="G351" s="31"/>
      <c r="H351" s="32"/>
      <c r="J351" s="33"/>
      <c r="K351" s="33"/>
      <c r="L351" s="33"/>
      <c r="X351" s="23"/>
      <c r="Y351" s="23"/>
      <c r="Z351" s="23"/>
      <c r="AA351" s="23"/>
      <c r="AF351" s="23"/>
      <c r="AG351" s="23"/>
      <c r="AH351" s="23"/>
      <c r="AI351" s="23"/>
      <c r="AN351" s="23"/>
      <c r="AO351" s="23"/>
      <c r="AP351" s="23"/>
      <c r="AQ351" s="23"/>
      <c r="AR351" s="35"/>
      <c r="AS351" s="35"/>
      <c r="AT351" s="35"/>
      <c r="AU351" s="31"/>
      <c r="AV351" s="36"/>
    </row>
    <row r="352" spans="1:48">
      <c r="A352" s="40"/>
      <c r="D352" s="31"/>
      <c r="E352" s="31"/>
      <c r="F352" s="31"/>
      <c r="G352" s="31"/>
      <c r="H352" s="32"/>
      <c r="J352" s="33"/>
      <c r="K352" s="33"/>
      <c r="L352" s="33"/>
      <c r="X352" s="23"/>
      <c r="Y352" s="23"/>
      <c r="Z352" s="23"/>
      <c r="AA352" s="23"/>
      <c r="AF352" s="23"/>
      <c r="AG352" s="23"/>
      <c r="AH352" s="23"/>
      <c r="AI352" s="23"/>
      <c r="AN352" s="23"/>
      <c r="AO352" s="23"/>
      <c r="AP352" s="23"/>
      <c r="AQ352" s="23"/>
      <c r="AR352" s="35"/>
      <c r="AS352" s="35"/>
      <c r="AT352" s="35"/>
      <c r="AU352" s="31"/>
      <c r="AV352" s="36"/>
    </row>
    <row r="353" spans="1:48">
      <c r="A353" s="40"/>
      <c r="D353" s="31"/>
      <c r="E353" s="31"/>
      <c r="F353" s="31"/>
      <c r="G353" s="31"/>
      <c r="H353" s="32"/>
      <c r="J353" s="33"/>
      <c r="K353" s="33"/>
      <c r="L353" s="33"/>
      <c r="X353" s="23"/>
      <c r="Y353" s="23"/>
      <c r="Z353" s="23"/>
      <c r="AA353" s="23"/>
      <c r="AF353" s="23"/>
      <c r="AG353" s="23"/>
      <c r="AH353" s="23"/>
      <c r="AI353" s="23"/>
      <c r="AN353" s="23"/>
      <c r="AO353" s="23"/>
      <c r="AP353" s="23"/>
      <c r="AQ353" s="23"/>
      <c r="AR353" s="35"/>
      <c r="AS353" s="35"/>
      <c r="AT353" s="35"/>
      <c r="AU353" s="31"/>
      <c r="AV353" s="36"/>
    </row>
    <row r="354" spans="1:48">
      <c r="A354" s="40"/>
      <c r="D354" s="31"/>
      <c r="E354" s="31"/>
      <c r="F354" s="31"/>
      <c r="G354" s="31"/>
      <c r="H354" s="32"/>
      <c r="J354" s="33"/>
      <c r="K354" s="33"/>
      <c r="L354" s="33"/>
      <c r="X354" s="23"/>
      <c r="Y354" s="23"/>
      <c r="Z354" s="23"/>
      <c r="AA354" s="23"/>
      <c r="AF354" s="23"/>
      <c r="AG354" s="23"/>
      <c r="AH354" s="23"/>
      <c r="AI354" s="23"/>
      <c r="AN354" s="23"/>
      <c r="AO354" s="23"/>
      <c r="AP354" s="23"/>
      <c r="AQ354" s="23"/>
      <c r="AR354" s="35"/>
      <c r="AS354" s="35"/>
      <c r="AT354" s="35"/>
      <c r="AU354" s="31"/>
      <c r="AV354" s="36"/>
    </row>
    <row r="355" spans="1:48">
      <c r="A355" s="40"/>
      <c r="D355" s="31"/>
      <c r="E355" s="31"/>
      <c r="F355" s="31"/>
      <c r="G355" s="31"/>
      <c r="H355" s="32"/>
      <c r="J355" s="33"/>
      <c r="K355" s="33"/>
      <c r="L355" s="33"/>
      <c r="X355" s="23"/>
      <c r="Y355" s="23"/>
      <c r="Z355" s="23"/>
      <c r="AA355" s="23"/>
      <c r="AF355" s="23"/>
      <c r="AG355" s="23"/>
      <c r="AH355" s="23"/>
      <c r="AI355" s="23"/>
      <c r="AN355" s="23"/>
      <c r="AO355" s="23"/>
      <c r="AP355" s="23"/>
      <c r="AQ355" s="23"/>
      <c r="AR355" s="35"/>
      <c r="AS355" s="35"/>
      <c r="AT355" s="35"/>
      <c r="AU355" s="31"/>
      <c r="AV355" s="36"/>
    </row>
    <row r="356" spans="1:48">
      <c r="A356" s="40"/>
      <c r="D356" s="31"/>
      <c r="E356" s="31"/>
      <c r="F356" s="31"/>
      <c r="G356" s="31"/>
      <c r="H356" s="32"/>
      <c r="J356" s="33"/>
      <c r="K356" s="33"/>
      <c r="L356" s="33"/>
      <c r="X356" s="23"/>
      <c r="Y356" s="23"/>
      <c r="Z356" s="23"/>
      <c r="AA356" s="23"/>
      <c r="AF356" s="23"/>
      <c r="AG356" s="23"/>
      <c r="AH356" s="23"/>
      <c r="AI356" s="23"/>
      <c r="AN356" s="23"/>
      <c r="AO356" s="23"/>
      <c r="AP356" s="23"/>
      <c r="AQ356" s="23"/>
      <c r="AR356" s="35"/>
      <c r="AS356" s="35"/>
      <c r="AT356" s="35"/>
      <c r="AU356" s="31"/>
      <c r="AV356" s="36"/>
    </row>
    <row r="357" spans="1:48">
      <c r="A357" s="40"/>
      <c r="D357" s="31"/>
      <c r="E357" s="31"/>
      <c r="F357" s="31"/>
      <c r="G357" s="31"/>
      <c r="H357" s="32"/>
      <c r="J357" s="33"/>
      <c r="K357" s="33"/>
      <c r="L357" s="33"/>
      <c r="X357" s="23"/>
      <c r="Y357" s="23"/>
      <c r="Z357" s="23"/>
      <c r="AA357" s="23"/>
      <c r="AF357" s="23"/>
      <c r="AG357" s="23"/>
      <c r="AH357" s="23"/>
      <c r="AI357" s="23"/>
      <c r="AN357" s="23"/>
      <c r="AO357" s="23"/>
      <c r="AP357" s="23"/>
      <c r="AQ357" s="23"/>
      <c r="AR357" s="35"/>
      <c r="AS357" s="35"/>
      <c r="AT357" s="35"/>
      <c r="AU357" s="31"/>
      <c r="AV357" s="36"/>
    </row>
    <row r="358" spans="1:48">
      <c r="A358" s="40"/>
      <c r="D358" s="31"/>
      <c r="E358" s="31"/>
      <c r="F358" s="31"/>
      <c r="G358" s="31"/>
      <c r="H358" s="32"/>
      <c r="J358" s="33"/>
      <c r="K358" s="33"/>
      <c r="L358" s="33"/>
      <c r="X358" s="23"/>
      <c r="Y358" s="23"/>
      <c r="Z358" s="23"/>
      <c r="AA358" s="23"/>
      <c r="AF358" s="23"/>
      <c r="AG358" s="23"/>
      <c r="AH358" s="23"/>
      <c r="AI358" s="23"/>
      <c r="AN358" s="23"/>
      <c r="AO358" s="23"/>
      <c r="AP358" s="23"/>
      <c r="AQ358" s="23"/>
      <c r="AR358" s="35"/>
      <c r="AS358" s="35"/>
      <c r="AT358" s="35"/>
      <c r="AU358" s="31"/>
      <c r="AV358" s="36"/>
    </row>
    <row r="359" spans="1:48">
      <c r="A359" s="40"/>
      <c r="D359" s="31"/>
      <c r="E359" s="31"/>
      <c r="F359" s="31"/>
      <c r="G359" s="31"/>
      <c r="H359" s="32"/>
      <c r="J359" s="33"/>
      <c r="K359" s="33"/>
      <c r="L359" s="33"/>
      <c r="X359" s="23"/>
      <c r="Y359" s="23"/>
      <c r="Z359" s="23"/>
      <c r="AA359" s="23"/>
      <c r="AF359" s="23"/>
      <c r="AG359" s="23"/>
      <c r="AH359" s="23"/>
      <c r="AI359" s="23"/>
      <c r="AN359" s="23"/>
      <c r="AO359" s="23"/>
      <c r="AP359" s="23"/>
      <c r="AQ359" s="23"/>
      <c r="AR359" s="35"/>
      <c r="AS359" s="35"/>
      <c r="AT359" s="35"/>
      <c r="AU359" s="31"/>
      <c r="AV359" s="36"/>
    </row>
    <row r="360" spans="1:48">
      <c r="A360" s="40"/>
      <c r="D360" s="31"/>
      <c r="E360" s="31"/>
      <c r="F360" s="31"/>
      <c r="G360" s="31"/>
      <c r="H360" s="32"/>
      <c r="J360" s="33"/>
      <c r="K360" s="33"/>
      <c r="L360" s="33"/>
      <c r="X360" s="23"/>
      <c r="Y360" s="23"/>
      <c r="Z360" s="23"/>
      <c r="AA360" s="23"/>
      <c r="AF360" s="23"/>
      <c r="AG360" s="23"/>
      <c r="AH360" s="23"/>
      <c r="AI360" s="23"/>
      <c r="AN360" s="23"/>
      <c r="AO360" s="23"/>
      <c r="AP360" s="23"/>
      <c r="AQ360" s="23"/>
      <c r="AR360" s="35"/>
      <c r="AS360" s="35"/>
      <c r="AT360" s="35"/>
      <c r="AU360" s="31"/>
      <c r="AV360" s="36"/>
    </row>
    <row r="361" spans="1:48">
      <c r="A361" s="40"/>
      <c r="D361" s="31"/>
      <c r="E361" s="31"/>
      <c r="F361" s="31"/>
      <c r="G361" s="31"/>
      <c r="H361" s="32"/>
      <c r="J361" s="33"/>
      <c r="K361" s="33"/>
      <c r="L361" s="33"/>
      <c r="X361" s="23"/>
      <c r="Y361" s="23"/>
      <c r="Z361" s="23"/>
      <c r="AA361" s="23"/>
      <c r="AF361" s="23"/>
      <c r="AG361" s="23"/>
      <c r="AH361" s="23"/>
      <c r="AI361" s="23"/>
      <c r="AN361" s="23"/>
      <c r="AO361" s="23"/>
      <c r="AP361" s="23"/>
      <c r="AQ361" s="23"/>
      <c r="AR361" s="35"/>
      <c r="AS361" s="35"/>
      <c r="AT361" s="35"/>
      <c r="AU361" s="31"/>
      <c r="AV361" s="36"/>
    </row>
    <row r="362" spans="1:48">
      <c r="A362" s="40"/>
      <c r="D362" s="31"/>
      <c r="E362" s="31"/>
      <c r="F362" s="31"/>
      <c r="G362" s="31"/>
      <c r="H362" s="32"/>
      <c r="J362" s="33"/>
      <c r="K362" s="33"/>
      <c r="L362" s="33"/>
      <c r="X362" s="23"/>
      <c r="Y362" s="23"/>
      <c r="Z362" s="23"/>
      <c r="AA362" s="23"/>
      <c r="AF362" s="23"/>
      <c r="AG362" s="23"/>
      <c r="AH362" s="23"/>
      <c r="AI362" s="23"/>
      <c r="AN362" s="23"/>
      <c r="AO362" s="23"/>
      <c r="AP362" s="23"/>
      <c r="AQ362" s="23"/>
      <c r="AR362" s="35"/>
      <c r="AS362" s="35"/>
      <c r="AT362" s="35"/>
      <c r="AU362" s="31"/>
      <c r="AV362" s="36"/>
    </row>
    <row r="363" spans="1:48">
      <c r="A363" s="40"/>
      <c r="D363" s="31"/>
      <c r="E363" s="31"/>
      <c r="F363" s="31"/>
      <c r="G363" s="31"/>
      <c r="H363" s="32"/>
      <c r="J363" s="33"/>
      <c r="K363" s="33"/>
      <c r="L363" s="33"/>
      <c r="X363" s="23"/>
      <c r="Y363" s="23"/>
      <c r="Z363" s="23"/>
      <c r="AA363" s="23"/>
      <c r="AF363" s="23"/>
      <c r="AG363" s="23"/>
      <c r="AH363" s="23"/>
      <c r="AI363" s="23"/>
      <c r="AN363" s="23"/>
      <c r="AO363" s="23"/>
      <c r="AP363" s="23"/>
      <c r="AQ363" s="23"/>
      <c r="AR363" s="35"/>
      <c r="AS363" s="35"/>
      <c r="AT363" s="35"/>
      <c r="AU363" s="31"/>
      <c r="AV363" s="36"/>
    </row>
    <row r="364" spans="1:48">
      <c r="A364" s="40"/>
      <c r="D364" s="31"/>
      <c r="E364" s="31"/>
      <c r="F364" s="31"/>
      <c r="G364" s="31"/>
      <c r="H364" s="32"/>
      <c r="J364" s="33"/>
      <c r="K364" s="33"/>
      <c r="L364" s="33"/>
      <c r="X364" s="23"/>
      <c r="Y364" s="23"/>
      <c r="Z364" s="23"/>
      <c r="AA364" s="23"/>
      <c r="AF364" s="23"/>
      <c r="AG364" s="23"/>
      <c r="AH364" s="23"/>
      <c r="AI364" s="23"/>
      <c r="AN364" s="23"/>
      <c r="AO364" s="23"/>
      <c r="AP364" s="23"/>
      <c r="AQ364" s="23"/>
      <c r="AR364" s="35"/>
      <c r="AS364" s="35"/>
      <c r="AT364" s="35"/>
      <c r="AU364" s="31"/>
      <c r="AV364" s="36"/>
    </row>
    <row r="365" spans="1:48">
      <c r="A365" s="40"/>
      <c r="D365" s="31"/>
      <c r="E365" s="31"/>
      <c r="F365" s="31"/>
      <c r="G365" s="31"/>
      <c r="H365" s="32"/>
      <c r="J365" s="33"/>
      <c r="K365" s="33"/>
      <c r="L365" s="33"/>
      <c r="X365" s="23"/>
      <c r="Y365" s="23"/>
      <c r="Z365" s="23"/>
      <c r="AA365" s="23"/>
      <c r="AF365" s="23"/>
      <c r="AG365" s="23"/>
      <c r="AH365" s="23"/>
      <c r="AI365" s="23"/>
      <c r="AN365" s="23"/>
      <c r="AO365" s="23"/>
      <c r="AP365" s="23"/>
      <c r="AQ365" s="23"/>
      <c r="AR365" s="35"/>
      <c r="AS365" s="35"/>
      <c r="AT365" s="35"/>
      <c r="AU365" s="31"/>
      <c r="AV365" s="36"/>
    </row>
    <row r="366" spans="1:48">
      <c r="A366" s="40"/>
      <c r="D366" s="31"/>
      <c r="E366" s="31"/>
      <c r="F366" s="31"/>
      <c r="G366" s="31"/>
      <c r="H366" s="32"/>
      <c r="J366" s="33"/>
      <c r="K366" s="33"/>
      <c r="L366" s="33"/>
      <c r="X366" s="23"/>
      <c r="Y366" s="23"/>
      <c r="Z366" s="23"/>
      <c r="AA366" s="23"/>
      <c r="AF366" s="23"/>
      <c r="AG366" s="23"/>
      <c r="AH366" s="23"/>
      <c r="AI366" s="23"/>
      <c r="AN366" s="23"/>
      <c r="AO366" s="23"/>
      <c r="AP366" s="23"/>
      <c r="AQ366" s="23"/>
      <c r="AR366" s="35"/>
      <c r="AS366" s="35"/>
      <c r="AT366" s="35"/>
      <c r="AU366" s="31"/>
      <c r="AV366" s="36"/>
    </row>
    <row r="367" spans="1:48">
      <c r="A367" s="40"/>
      <c r="D367" s="31"/>
      <c r="E367" s="31"/>
      <c r="F367" s="31"/>
      <c r="G367" s="31"/>
      <c r="H367" s="32"/>
      <c r="J367" s="33"/>
      <c r="K367" s="33"/>
      <c r="L367" s="33"/>
      <c r="X367" s="23"/>
      <c r="Y367" s="23"/>
      <c r="Z367" s="23"/>
      <c r="AA367" s="23"/>
      <c r="AF367" s="23"/>
      <c r="AG367" s="23"/>
      <c r="AH367" s="23"/>
      <c r="AI367" s="23"/>
      <c r="AN367" s="23"/>
      <c r="AO367" s="23"/>
      <c r="AP367" s="23"/>
      <c r="AQ367" s="23"/>
      <c r="AR367" s="35"/>
      <c r="AS367" s="35"/>
      <c r="AT367" s="35"/>
      <c r="AU367" s="31"/>
      <c r="AV367" s="36"/>
    </row>
    <row r="368" spans="1:48">
      <c r="A368" s="40"/>
      <c r="D368" s="31"/>
      <c r="E368" s="31"/>
      <c r="F368" s="31"/>
      <c r="G368" s="31"/>
      <c r="H368" s="32"/>
      <c r="J368" s="33"/>
      <c r="K368" s="33"/>
      <c r="L368" s="33"/>
      <c r="X368" s="23"/>
      <c r="Y368" s="23"/>
      <c r="Z368" s="23"/>
      <c r="AA368" s="23"/>
      <c r="AF368" s="23"/>
      <c r="AG368" s="23"/>
      <c r="AH368" s="23"/>
      <c r="AI368" s="23"/>
      <c r="AN368" s="23"/>
      <c r="AO368" s="23"/>
      <c r="AP368" s="23"/>
      <c r="AQ368" s="23"/>
      <c r="AR368" s="35"/>
      <c r="AS368" s="35"/>
      <c r="AT368" s="35"/>
      <c r="AU368" s="31"/>
      <c r="AV368" s="36"/>
    </row>
    <row r="369" spans="1:48">
      <c r="A369" s="40"/>
      <c r="D369" s="31"/>
      <c r="E369" s="31"/>
      <c r="F369" s="31"/>
      <c r="G369" s="31"/>
      <c r="H369" s="32"/>
      <c r="J369" s="33"/>
      <c r="K369" s="33"/>
      <c r="L369" s="33"/>
      <c r="X369" s="23"/>
      <c r="Y369" s="23"/>
      <c r="Z369" s="23"/>
      <c r="AA369" s="23"/>
      <c r="AF369" s="23"/>
      <c r="AG369" s="23"/>
      <c r="AH369" s="23"/>
      <c r="AI369" s="23"/>
      <c r="AN369" s="23"/>
      <c r="AO369" s="23"/>
      <c r="AP369" s="23"/>
      <c r="AQ369" s="23"/>
      <c r="AR369" s="35"/>
      <c r="AS369" s="35"/>
      <c r="AT369" s="35"/>
      <c r="AU369" s="31"/>
      <c r="AV369" s="36"/>
    </row>
    <row r="370" spans="1:48">
      <c r="A370" s="40"/>
      <c r="D370" s="31"/>
      <c r="E370" s="31"/>
      <c r="F370" s="31"/>
      <c r="G370" s="31"/>
      <c r="H370" s="32"/>
      <c r="J370" s="33"/>
      <c r="K370" s="33"/>
      <c r="L370" s="33"/>
      <c r="X370" s="23"/>
      <c r="Y370" s="23"/>
      <c r="Z370" s="23"/>
      <c r="AA370" s="23"/>
      <c r="AF370" s="23"/>
      <c r="AG370" s="23"/>
      <c r="AH370" s="23"/>
      <c r="AI370" s="23"/>
      <c r="AN370" s="23"/>
      <c r="AO370" s="23"/>
      <c r="AP370" s="23"/>
      <c r="AQ370" s="23"/>
      <c r="AR370" s="35"/>
      <c r="AS370" s="35"/>
      <c r="AT370" s="35"/>
      <c r="AU370" s="31"/>
      <c r="AV370" s="36"/>
    </row>
    <row r="371" spans="1:48">
      <c r="A371" s="40"/>
      <c r="D371" s="31"/>
      <c r="E371" s="31"/>
      <c r="F371" s="31"/>
      <c r="G371" s="31"/>
      <c r="H371" s="32"/>
      <c r="J371" s="33"/>
      <c r="K371" s="33"/>
      <c r="L371" s="33"/>
      <c r="X371" s="23"/>
      <c r="Y371" s="23"/>
      <c r="Z371" s="23"/>
      <c r="AA371" s="23"/>
      <c r="AF371" s="23"/>
      <c r="AG371" s="23"/>
      <c r="AH371" s="23"/>
      <c r="AI371" s="23"/>
      <c r="AN371" s="23"/>
      <c r="AO371" s="23"/>
      <c r="AP371" s="23"/>
      <c r="AQ371" s="23"/>
      <c r="AR371" s="35"/>
      <c r="AS371" s="35"/>
      <c r="AT371" s="35"/>
      <c r="AU371" s="31"/>
      <c r="AV371" s="36"/>
    </row>
    <row r="372" spans="1:48">
      <c r="A372" s="40"/>
      <c r="D372" s="31"/>
      <c r="E372" s="31"/>
      <c r="F372" s="31"/>
      <c r="G372" s="31"/>
      <c r="H372" s="32"/>
      <c r="J372" s="33"/>
      <c r="K372" s="33"/>
      <c r="L372" s="33"/>
      <c r="X372" s="23"/>
      <c r="Y372" s="23"/>
      <c r="Z372" s="23"/>
      <c r="AA372" s="23"/>
      <c r="AF372" s="23"/>
      <c r="AG372" s="23"/>
      <c r="AH372" s="23"/>
      <c r="AI372" s="23"/>
      <c r="AN372" s="23"/>
      <c r="AO372" s="23"/>
      <c r="AP372" s="23"/>
      <c r="AQ372" s="23"/>
      <c r="AR372" s="35"/>
      <c r="AS372" s="35"/>
      <c r="AT372" s="35"/>
      <c r="AU372" s="31"/>
      <c r="AV372" s="36"/>
    </row>
    <row r="373" spans="1:48">
      <c r="A373" s="40"/>
      <c r="D373" s="31"/>
      <c r="E373" s="31"/>
      <c r="F373" s="31"/>
      <c r="G373" s="31"/>
      <c r="H373" s="32"/>
      <c r="J373" s="33"/>
      <c r="K373" s="33"/>
      <c r="L373" s="33"/>
      <c r="X373" s="23"/>
      <c r="Y373" s="23"/>
      <c r="Z373" s="23"/>
      <c r="AA373" s="23"/>
      <c r="AF373" s="23"/>
      <c r="AG373" s="23"/>
      <c r="AH373" s="23"/>
      <c r="AI373" s="23"/>
      <c r="AN373" s="23"/>
      <c r="AO373" s="23"/>
      <c r="AP373" s="23"/>
      <c r="AQ373" s="23"/>
      <c r="AR373" s="35"/>
      <c r="AS373" s="35"/>
      <c r="AT373" s="35"/>
      <c r="AU373" s="31"/>
      <c r="AV373" s="36"/>
    </row>
    <row r="374" spans="1:48">
      <c r="A374" s="40"/>
      <c r="D374" s="31"/>
      <c r="E374" s="31"/>
      <c r="F374" s="31"/>
      <c r="G374" s="31"/>
      <c r="H374" s="32"/>
      <c r="J374" s="33"/>
      <c r="K374" s="33"/>
      <c r="L374" s="33"/>
      <c r="X374" s="23"/>
      <c r="Y374" s="23"/>
      <c r="Z374" s="23"/>
      <c r="AA374" s="23"/>
      <c r="AF374" s="23"/>
      <c r="AG374" s="23"/>
      <c r="AH374" s="23"/>
      <c r="AI374" s="23"/>
      <c r="AN374" s="23"/>
      <c r="AO374" s="23"/>
      <c r="AP374" s="23"/>
      <c r="AQ374" s="23"/>
      <c r="AR374" s="35"/>
      <c r="AS374" s="35"/>
      <c r="AT374" s="35"/>
      <c r="AU374" s="31"/>
      <c r="AV374" s="36"/>
    </row>
    <row r="375" spans="1:48">
      <c r="A375" s="40"/>
      <c r="D375" s="31"/>
      <c r="E375" s="31"/>
      <c r="F375" s="31"/>
      <c r="G375" s="31"/>
      <c r="H375" s="32"/>
      <c r="J375" s="33"/>
      <c r="K375" s="33"/>
      <c r="L375" s="33"/>
      <c r="X375" s="23"/>
      <c r="Y375" s="23"/>
      <c r="Z375" s="23"/>
      <c r="AA375" s="23"/>
      <c r="AF375" s="23"/>
      <c r="AG375" s="23"/>
      <c r="AH375" s="23"/>
      <c r="AI375" s="23"/>
      <c r="AN375" s="23"/>
      <c r="AO375" s="23"/>
      <c r="AP375" s="23"/>
      <c r="AQ375" s="23"/>
      <c r="AR375" s="35"/>
      <c r="AS375" s="35"/>
      <c r="AT375" s="35"/>
      <c r="AU375" s="31"/>
      <c r="AV375" s="36"/>
    </row>
    <row r="376" spans="1:48">
      <c r="A376" s="40"/>
      <c r="D376" s="31"/>
      <c r="E376" s="31"/>
      <c r="F376" s="31"/>
      <c r="G376" s="31"/>
      <c r="H376" s="32"/>
      <c r="J376" s="33"/>
      <c r="K376" s="33"/>
      <c r="L376" s="33"/>
      <c r="X376" s="23"/>
      <c r="Y376" s="23"/>
      <c r="Z376" s="23"/>
      <c r="AA376" s="23"/>
      <c r="AF376" s="23"/>
      <c r="AG376" s="23"/>
      <c r="AH376" s="23"/>
      <c r="AI376" s="23"/>
      <c r="AN376" s="23"/>
      <c r="AO376" s="23"/>
      <c r="AP376" s="23"/>
      <c r="AQ376" s="23"/>
      <c r="AR376" s="35"/>
      <c r="AS376" s="35"/>
      <c r="AT376" s="35"/>
      <c r="AU376" s="31"/>
      <c r="AV376" s="36"/>
    </row>
    <row r="377" spans="1:48">
      <c r="A377" s="40"/>
      <c r="D377" s="31"/>
      <c r="E377" s="31"/>
      <c r="F377" s="31"/>
      <c r="G377" s="31"/>
      <c r="H377" s="32"/>
      <c r="J377" s="33"/>
      <c r="K377" s="33"/>
      <c r="L377" s="33"/>
      <c r="X377" s="23"/>
      <c r="Y377" s="23"/>
      <c r="Z377" s="23"/>
      <c r="AA377" s="23"/>
      <c r="AF377" s="23"/>
      <c r="AG377" s="23"/>
      <c r="AH377" s="23"/>
      <c r="AI377" s="23"/>
      <c r="AN377" s="23"/>
      <c r="AO377" s="23"/>
      <c r="AP377" s="23"/>
      <c r="AQ377" s="23"/>
      <c r="AR377" s="35"/>
      <c r="AS377" s="35"/>
      <c r="AT377" s="35"/>
      <c r="AU377" s="31"/>
      <c r="AV377" s="36"/>
    </row>
    <row r="378" spans="1:48">
      <c r="A378" s="40"/>
      <c r="D378" s="31"/>
      <c r="E378" s="31"/>
      <c r="F378" s="31"/>
      <c r="G378" s="31"/>
      <c r="H378" s="32"/>
      <c r="J378" s="33"/>
      <c r="K378" s="33"/>
      <c r="L378" s="33"/>
      <c r="X378" s="23"/>
      <c r="Y378" s="23"/>
      <c r="Z378" s="23"/>
      <c r="AA378" s="23"/>
      <c r="AF378" s="23"/>
      <c r="AG378" s="23"/>
      <c r="AH378" s="23"/>
      <c r="AI378" s="23"/>
      <c r="AN378" s="23"/>
      <c r="AO378" s="23"/>
      <c r="AP378" s="23"/>
      <c r="AQ378" s="23"/>
      <c r="AR378" s="35"/>
      <c r="AS378" s="35"/>
      <c r="AT378" s="35"/>
      <c r="AU378" s="31"/>
      <c r="AV378" s="36"/>
    </row>
    <row r="379" spans="1:48">
      <c r="A379" s="40"/>
      <c r="D379" s="31"/>
      <c r="E379" s="31"/>
      <c r="F379" s="31"/>
      <c r="G379" s="31"/>
      <c r="H379" s="32"/>
      <c r="J379" s="33"/>
      <c r="K379" s="33"/>
      <c r="L379" s="33"/>
      <c r="X379" s="23"/>
      <c r="Y379" s="23"/>
      <c r="Z379" s="23"/>
      <c r="AA379" s="23"/>
      <c r="AF379" s="23"/>
      <c r="AG379" s="23"/>
      <c r="AH379" s="23"/>
      <c r="AI379" s="23"/>
      <c r="AN379" s="23"/>
      <c r="AO379" s="23"/>
      <c r="AP379" s="23"/>
      <c r="AQ379" s="23"/>
      <c r="AR379" s="35"/>
      <c r="AS379" s="35"/>
      <c r="AT379" s="35"/>
      <c r="AU379" s="31"/>
      <c r="AV379" s="36"/>
    </row>
    <row r="380" spans="1:48">
      <c r="A380" s="40"/>
      <c r="D380" s="31"/>
      <c r="E380" s="31"/>
      <c r="F380" s="31"/>
      <c r="G380" s="31"/>
      <c r="H380" s="32"/>
      <c r="J380" s="33"/>
      <c r="K380" s="33"/>
      <c r="L380" s="33"/>
      <c r="X380" s="23"/>
      <c r="Y380" s="23"/>
      <c r="Z380" s="23"/>
      <c r="AA380" s="23"/>
      <c r="AF380" s="23"/>
      <c r="AG380" s="23"/>
      <c r="AH380" s="23"/>
      <c r="AI380" s="23"/>
      <c r="AN380" s="23"/>
      <c r="AO380" s="23"/>
      <c r="AP380" s="23"/>
      <c r="AQ380" s="23"/>
      <c r="AR380" s="35"/>
      <c r="AS380" s="35"/>
      <c r="AT380" s="35"/>
      <c r="AU380" s="31"/>
      <c r="AV380" s="36"/>
    </row>
    <row r="381" spans="1:48">
      <c r="A381" s="40"/>
      <c r="D381" s="31"/>
      <c r="E381" s="31"/>
      <c r="F381" s="31"/>
      <c r="G381" s="31"/>
      <c r="H381" s="32"/>
      <c r="J381" s="33"/>
      <c r="K381" s="33"/>
      <c r="L381" s="33"/>
      <c r="X381" s="23"/>
      <c r="Y381" s="23"/>
      <c r="Z381" s="23"/>
      <c r="AA381" s="23"/>
      <c r="AF381" s="23"/>
      <c r="AG381" s="23"/>
      <c r="AH381" s="23"/>
      <c r="AI381" s="23"/>
      <c r="AN381" s="23"/>
      <c r="AO381" s="23"/>
      <c r="AP381" s="23"/>
      <c r="AQ381" s="23"/>
      <c r="AR381" s="35"/>
      <c r="AS381" s="35"/>
      <c r="AT381" s="35"/>
      <c r="AU381" s="31"/>
      <c r="AV381" s="36"/>
    </row>
    <row r="382" spans="1:48">
      <c r="A382" s="40"/>
      <c r="D382" s="31"/>
      <c r="E382" s="31"/>
      <c r="F382" s="31"/>
      <c r="G382" s="31"/>
      <c r="H382" s="32"/>
      <c r="J382" s="33"/>
      <c r="K382" s="33"/>
      <c r="L382" s="33"/>
      <c r="X382" s="23"/>
      <c r="Y382" s="23"/>
      <c r="Z382" s="23"/>
      <c r="AA382" s="23"/>
      <c r="AF382" s="23"/>
      <c r="AG382" s="23"/>
      <c r="AH382" s="23"/>
      <c r="AI382" s="23"/>
      <c r="AN382" s="23"/>
      <c r="AO382" s="23"/>
      <c r="AP382" s="23"/>
      <c r="AQ382" s="23"/>
      <c r="AR382" s="35"/>
      <c r="AS382" s="35"/>
      <c r="AT382" s="35"/>
      <c r="AU382" s="31"/>
      <c r="AV382" s="36"/>
    </row>
    <row r="383" spans="1:48">
      <c r="A383" s="40"/>
      <c r="D383" s="31"/>
      <c r="E383" s="31"/>
      <c r="F383" s="31"/>
      <c r="G383" s="31"/>
      <c r="H383" s="32"/>
      <c r="J383" s="33"/>
      <c r="K383" s="33"/>
      <c r="L383" s="33"/>
      <c r="X383" s="23"/>
      <c r="Y383" s="23"/>
      <c r="Z383" s="23"/>
      <c r="AA383" s="23"/>
      <c r="AF383" s="23"/>
      <c r="AG383" s="23"/>
      <c r="AH383" s="23"/>
      <c r="AI383" s="23"/>
      <c r="AN383" s="23"/>
      <c r="AO383" s="23"/>
      <c r="AP383" s="23"/>
      <c r="AQ383" s="23"/>
      <c r="AR383" s="35"/>
      <c r="AS383" s="35"/>
      <c r="AT383" s="35"/>
      <c r="AU383" s="31"/>
      <c r="AV383" s="36"/>
    </row>
    <row r="384" spans="1:48">
      <c r="A384" s="40"/>
      <c r="D384" s="31"/>
      <c r="E384" s="31"/>
      <c r="F384" s="31"/>
      <c r="G384" s="31"/>
      <c r="H384" s="32"/>
      <c r="J384" s="33"/>
      <c r="K384" s="33"/>
      <c r="L384" s="33"/>
      <c r="X384" s="23"/>
      <c r="Y384" s="23"/>
      <c r="Z384" s="23"/>
      <c r="AA384" s="23"/>
      <c r="AF384" s="23"/>
      <c r="AG384" s="23"/>
      <c r="AH384" s="23"/>
      <c r="AI384" s="23"/>
      <c r="AN384" s="23"/>
      <c r="AO384" s="23"/>
      <c r="AP384" s="23"/>
      <c r="AQ384" s="23"/>
      <c r="AR384" s="35"/>
      <c r="AS384" s="35"/>
      <c r="AT384" s="35"/>
      <c r="AU384" s="31"/>
      <c r="AV384" s="36"/>
    </row>
    <row r="385" spans="1:48">
      <c r="A385" s="40"/>
      <c r="D385" s="31"/>
      <c r="E385" s="31"/>
      <c r="F385" s="31"/>
      <c r="G385" s="31"/>
      <c r="H385" s="32"/>
      <c r="J385" s="33"/>
      <c r="K385" s="33"/>
      <c r="L385" s="33"/>
      <c r="X385" s="23"/>
      <c r="Y385" s="23"/>
      <c r="Z385" s="23"/>
      <c r="AA385" s="23"/>
      <c r="AF385" s="23"/>
      <c r="AG385" s="23"/>
      <c r="AH385" s="23"/>
      <c r="AI385" s="23"/>
      <c r="AN385" s="23"/>
      <c r="AO385" s="23"/>
      <c r="AP385" s="23"/>
      <c r="AQ385" s="23"/>
      <c r="AR385" s="35"/>
      <c r="AS385" s="35"/>
      <c r="AT385" s="35"/>
      <c r="AU385" s="31"/>
      <c r="AV385" s="36"/>
    </row>
    <row r="386" spans="1:48">
      <c r="A386" s="40"/>
      <c r="D386" s="31"/>
      <c r="E386" s="31"/>
      <c r="F386" s="31"/>
      <c r="G386" s="31"/>
      <c r="H386" s="32"/>
      <c r="J386" s="33"/>
      <c r="K386" s="33"/>
      <c r="L386" s="33"/>
      <c r="X386" s="23"/>
      <c r="Y386" s="23"/>
      <c r="Z386" s="23"/>
      <c r="AA386" s="23"/>
      <c r="AF386" s="23"/>
      <c r="AG386" s="23"/>
      <c r="AH386" s="23"/>
      <c r="AI386" s="23"/>
      <c r="AN386" s="23"/>
      <c r="AO386" s="23"/>
      <c r="AP386" s="23"/>
      <c r="AQ386" s="23"/>
      <c r="AR386" s="35"/>
      <c r="AS386" s="35"/>
      <c r="AT386" s="35"/>
      <c r="AU386" s="31"/>
      <c r="AV386" s="36"/>
    </row>
    <row r="387" spans="1:48">
      <c r="A387" s="40"/>
      <c r="D387" s="31"/>
      <c r="E387" s="31"/>
      <c r="F387" s="31"/>
      <c r="G387" s="31"/>
      <c r="H387" s="32"/>
      <c r="J387" s="33"/>
      <c r="K387" s="33"/>
      <c r="L387" s="33"/>
      <c r="X387" s="23"/>
      <c r="Y387" s="23"/>
      <c r="Z387" s="23"/>
      <c r="AA387" s="23"/>
      <c r="AF387" s="23"/>
      <c r="AG387" s="23"/>
      <c r="AH387" s="23"/>
      <c r="AI387" s="23"/>
      <c r="AN387" s="23"/>
      <c r="AO387" s="23"/>
      <c r="AP387" s="23"/>
      <c r="AQ387" s="23"/>
      <c r="AR387" s="35"/>
      <c r="AS387" s="35"/>
      <c r="AT387" s="35"/>
      <c r="AU387" s="31"/>
      <c r="AV387" s="36"/>
    </row>
    <row r="388" spans="1:48">
      <c r="A388" s="40"/>
      <c r="D388" s="31"/>
      <c r="E388" s="31"/>
      <c r="F388" s="31"/>
      <c r="G388" s="31"/>
      <c r="H388" s="32"/>
      <c r="J388" s="33"/>
      <c r="K388" s="33"/>
      <c r="L388" s="33"/>
      <c r="X388" s="23"/>
      <c r="Y388" s="23"/>
      <c r="Z388" s="23"/>
      <c r="AA388" s="23"/>
      <c r="AF388" s="23"/>
      <c r="AG388" s="23"/>
      <c r="AH388" s="23"/>
      <c r="AI388" s="23"/>
      <c r="AN388" s="23"/>
      <c r="AO388" s="23"/>
      <c r="AP388" s="23"/>
      <c r="AQ388" s="23"/>
      <c r="AR388" s="35"/>
      <c r="AS388" s="35"/>
      <c r="AT388" s="35"/>
      <c r="AU388" s="31"/>
      <c r="AV388" s="36"/>
    </row>
    <row r="389" spans="1:48">
      <c r="A389" s="40"/>
      <c r="D389" s="31"/>
      <c r="E389" s="31"/>
      <c r="F389" s="31"/>
      <c r="G389" s="31"/>
      <c r="H389" s="32"/>
      <c r="J389" s="33"/>
      <c r="K389" s="33"/>
      <c r="L389" s="33"/>
      <c r="X389" s="23"/>
      <c r="Y389" s="23"/>
      <c r="Z389" s="23"/>
      <c r="AA389" s="23"/>
      <c r="AF389" s="23"/>
      <c r="AG389" s="23"/>
      <c r="AH389" s="23"/>
      <c r="AI389" s="23"/>
      <c r="AN389" s="23"/>
      <c r="AO389" s="23"/>
      <c r="AP389" s="23"/>
      <c r="AQ389" s="23"/>
      <c r="AR389" s="35"/>
      <c r="AS389" s="35"/>
      <c r="AT389" s="35"/>
      <c r="AU389" s="31"/>
      <c r="AV389" s="36"/>
    </row>
    <row r="390" spans="1:48">
      <c r="A390" s="40"/>
      <c r="D390" s="31"/>
      <c r="E390" s="31"/>
      <c r="F390" s="31"/>
      <c r="G390" s="31"/>
      <c r="H390" s="32"/>
      <c r="J390" s="33"/>
      <c r="K390" s="33"/>
      <c r="L390" s="33"/>
      <c r="X390" s="23"/>
      <c r="Y390" s="23"/>
      <c r="Z390" s="23"/>
      <c r="AA390" s="23"/>
      <c r="AF390" s="23"/>
      <c r="AG390" s="23"/>
      <c r="AH390" s="23"/>
      <c r="AI390" s="23"/>
      <c r="AN390" s="23"/>
      <c r="AO390" s="23"/>
      <c r="AP390" s="23"/>
      <c r="AQ390" s="23"/>
      <c r="AR390" s="35"/>
      <c r="AS390" s="35"/>
      <c r="AT390" s="35"/>
      <c r="AU390" s="31"/>
      <c r="AV390" s="36"/>
    </row>
    <row r="391" spans="1:48">
      <c r="A391" s="40"/>
      <c r="D391" s="31"/>
      <c r="E391" s="31"/>
      <c r="F391" s="31"/>
      <c r="G391" s="31"/>
      <c r="H391" s="32"/>
      <c r="J391" s="33"/>
      <c r="K391" s="33"/>
      <c r="L391" s="33"/>
      <c r="X391" s="23"/>
      <c r="Y391" s="23"/>
      <c r="Z391" s="23"/>
      <c r="AA391" s="23"/>
      <c r="AF391" s="23"/>
      <c r="AG391" s="23"/>
      <c r="AH391" s="23"/>
      <c r="AI391" s="23"/>
      <c r="AN391" s="23"/>
      <c r="AO391" s="23"/>
      <c r="AP391" s="23"/>
      <c r="AQ391" s="23"/>
      <c r="AR391" s="35"/>
      <c r="AS391" s="35"/>
      <c r="AT391" s="35"/>
      <c r="AU391" s="31"/>
      <c r="AV391" s="36"/>
    </row>
    <row r="392" spans="1:48">
      <c r="A392" s="40"/>
      <c r="D392" s="31"/>
      <c r="E392" s="31"/>
      <c r="F392" s="31"/>
      <c r="G392" s="31"/>
      <c r="H392" s="32"/>
      <c r="J392" s="33"/>
      <c r="K392" s="33"/>
      <c r="L392" s="33"/>
      <c r="X392" s="23"/>
      <c r="Y392" s="23"/>
      <c r="Z392" s="23"/>
      <c r="AA392" s="23"/>
      <c r="AF392" s="23"/>
      <c r="AG392" s="23"/>
      <c r="AH392" s="23"/>
      <c r="AI392" s="23"/>
      <c r="AN392" s="23"/>
      <c r="AO392" s="23"/>
      <c r="AP392" s="23"/>
      <c r="AQ392" s="23"/>
      <c r="AR392" s="35"/>
      <c r="AS392" s="35"/>
      <c r="AT392" s="35"/>
      <c r="AU392" s="31"/>
      <c r="AV392" s="36"/>
    </row>
    <row r="393" spans="1:48">
      <c r="A393" s="40"/>
      <c r="D393" s="31"/>
      <c r="E393" s="31"/>
      <c r="F393" s="31"/>
      <c r="G393" s="31"/>
      <c r="H393" s="32"/>
      <c r="J393" s="33"/>
      <c r="K393" s="33"/>
      <c r="L393" s="33"/>
      <c r="X393" s="23"/>
      <c r="Y393" s="23"/>
      <c r="Z393" s="23"/>
      <c r="AA393" s="23"/>
      <c r="AF393" s="23"/>
      <c r="AG393" s="23"/>
      <c r="AH393" s="23"/>
      <c r="AI393" s="23"/>
      <c r="AN393" s="23"/>
      <c r="AO393" s="23"/>
      <c r="AP393" s="23"/>
      <c r="AQ393" s="23"/>
      <c r="AR393" s="35"/>
      <c r="AS393" s="35"/>
      <c r="AT393" s="35"/>
      <c r="AU393" s="31"/>
      <c r="AV393" s="36"/>
    </row>
    <row r="394" spans="1:48">
      <c r="A394" s="40"/>
      <c r="D394" s="31"/>
      <c r="E394" s="31"/>
      <c r="F394" s="31"/>
      <c r="G394" s="31"/>
      <c r="H394" s="32"/>
      <c r="J394" s="33"/>
      <c r="K394" s="33"/>
      <c r="L394" s="33"/>
      <c r="X394" s="23"/>
      <c r="Y394" s="23"/>
      <c r="Z394" s="23"/>
      <c r="AA394" s="23"/>
      <c r="AF394" s="23"/>
      <c r="AG394" s="23"/>
      <c r="AH394" s="23"/>
      <c r="AI394" s="23"/>
      <c r="AN394" s="23"/>
      <c r="AO394" s="23"/>
      <c r="AP394" s="23"/>
      <c r="AQ394" s="23"/>
      <c r="AR394" s="35"/>
      <c r="AS394" s="35"/>
      <c r="AT394" s="35"/>
      <c r="AU394" s="31"/>
      <c r="AV394" s="36"/>
    </row>
    <row r="395" spans="1:48">
      <c r="A395" s="40"/>
      <c r="D395" s="31"/>
      <c r="E395" s="31"/>
      <c r="F395" s="31"/>
      <c r="G395" s="31"/>
      <c r="H395" s="32"/>
      <c r="J395" s="33"/>
      <c r="K395" s="33"/>
      <c r="L395" s="33"/>
      <c r="X395" s="23"/>
      <c r="Y395" s="23"/>
      <c r="Z395" s="23"/>
      <c r="AA395" s="23"/>
      <c r="AF395" s="23"/>
      <c r="AG395" s="23"/>
      <c r="AH395" s="23"/>
      <c r="AI395" s="23"/>
      <c r="AN395" s="23"/>
      <c r="AO395" s="23"/>
      <c r="AP395" s="23"/>
      <c r="AQ395" s="23"/>
      <c r="AR395" s="35"/>
      <c r="AS395" s="35"/>
      <c r="AT395" s="35"/>
      <c r="AU395" s="31"/>
      <c r="AV395" s="36"/>
    </row>
    <row r="396" spans="1:48">
      <c r="A396" s="40"/>
      <c r="D396" s="31"/>
      <c r="E396" s="31"/>
      <c r="F396" s="31"/>
      <c r="G396" s="31"/>
      <c r="H396" s="32"/>
      <c r="J396" s="33"/>
      <c r="K396" s="33"/>
      <c r="L396" s="33"/>
      <c r="X396" s="23"/>
      <c r="Y396" s="23"/>
      <c r="Z396" s="23"/>
      <c r="AA396" s="23"/>
      <c r="AF396" s="23"/>
      <c r="AG396" s="23"/>
      <c r="AH396" s="23"/>
      <c r="AI396" s="23"/>
      <c r="AN396" s="23"/>
      <c r="AO396" s="23"/>
      <c r="AP396" s="23"/>
      <c r="AQ396" s="23"/>
      <c r="AR396" s="35"/>
      <c r="AS396" s="35"/>
      <c r="AT396" s="35"/>
      <c r="AU396" s="31"/>
      <c r="AV396" s="36"/>
    </row>
    <row r="397" spans="1:48">
      <c r="A397" s="40"/>
      <c r="D397" s="31"/>
      <c r="E397" s="31"/>
      <c r="F397" s="31"/>
      <c r="G397" s="31"/>
      <c r="H397" s="32"/>
      <c r="J397" s="33"/>
      <c r="K397" s="33"/>
      <c r="L397" s="33"/>
      <c r="X397" s="23"/>
      <c r="Y397" s="23"/>
      <c r="Z397" s="23"/>
      <c r="AA397" s="23"/>
      <c r="AF397" s="23"/>
      <c r="AG397" s="23"/>
      <c r="AH397" s="23"/>
      <c r="AI397" s="23"/>
      <c r="AN397" s="23"/>
      <c r="AO397" s="23"/>
      <c r="AP397" s="23"/>
      <c r="AQ397" s="23"/>
      <c r="AR397" s="35"/>
      <c r="AS397" s="35"/>
      <c r="AT397" s="35"/>
      <c r="AU397" s="31"/>
      <c r="AV397" s="36"/>
    </row>
    <row r="398" spans="1:48">
      <c r="A398" s="40"/>
      <c r="D398" s="31"/>
      <c r="E398" s="31"/>
      <c r="F398" s="31"/>
      <c r="G398" s="31"/>
      <c r="H398" s="32"/>
      <c r="J398" s="33"/>
      <c r="K398" s="33"/>
      <c r="L398" s="33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5"/>
      <c r="AS398" s="35"/>
      <c r="AT398" s="35"/>
      <c r="AU398" s="31"/>
      <c r="AV398" s="36"/>
    </row>
    <row r="399" spans="1:48">
      <c r="A399" s="40"/>
      <c r="D399" s="31"/>
      <c r="E399" s="31"/>
      <c r="F399" s="31"/>
      <c r="G399" s="31"/>
      <c r="H399" s="32"/>
      <c r="J399" s="33"/>
      <c r="K399" s="33"/>
      <c r="L399" s="33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5"/>
      <c r="AS399" s="35"/>
      <c r="AT399" s="35"/>
      <c r="AU399" s="31"/>
      <c r="AV399" s="36"/>
    </row>
    <row r="400" spans="1:48">
      <c r="A400" s="40"/>
      <c r="D400" s="31"/>
      <c r="E400" s="31"/>
      <c r="F400" s="31"/>
      <c r="G400" s="31"/>
      <c r="H400" s="32"/>
      <c r="J400" s="33"/>
      <c r="K400" s="33"/>
      <c r="L400" s="33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5"/>
      <c r="AS400" s="35"/>
      <c r="AT400" s="35"/>
      <c r="AU400" s="31"/>
      <c r="AV400" s="36"/>
    </row>
    <row r="401" spans="1:48">
      <c r="A401" s="40"/>
      <c r="D401" s="31"/>
      <c r="E401" s="31"/>
      <c r="F401" s="31"/>
      <c r="G401" s="31"/>
      <c r="H401" s="32"/>
      <c r="J401" s="33"/>
      <c r="K401" s="33"/>
      <c r="L401" s="33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5"/>
      <c r="AS401" s="35"/>
      <c r="AT401" s="35"/>
      <c r="AU401" s="31"/>
      <c r="AV401" s="36"/>
    </row>
    <row r="402" spans="1:48">
      <c r="A402" s="40"/>
      <c r="D402" s="31"/>
      <c r="E402" s="31"/>
      <c r="F402" s="31"/>
      <c r="G402" s="31"/>
      <c r="H402" s="32"/>
      <c r="J402" s="33"/>
      <c r="K402" s="33"/>
      <c r="L402" s="33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5"/>
      <c r="AS402" s="35"/>
      <c r="AT402" s="35"/>
      <c r="AU402" s="31"/>
      <c r="AV402" s="36"/>
    </row>
    <row r="403" spans="1:48">
      <c r="A403" s="40"/>
      <c r="D403" s="31"/>
      <c r="E403" s="31"/>
      <c r="F403" s="31"/>
      <c r="G403" s="31"/>
      <c r="H403" s="32"/>
      <c r="J403" s="33"/>
      <c r="K403" s="33"/>
      <c r="L403" s="33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5"/>
      <c r="AS403" s="35"/>
      <c r="AT403" s="35"/>
      <c r="AU403" s="31"/>
      <c r="AV403" s="36"/>
    </row>
    <row r="404" spans="1:48">
      <c r="A404" s="40"/>
      <c r="D404" s="31"/>
      <c r="E404" s="31"/>
      <c r="F404" s="31"/>
      <c r="G404" s="31"/>
      <c r="H404" s="32"/>
      <c r="J404" s="33"/>
      <c r="K404" s="33"/>
      <c r="L404" s="33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5"/>
      <c r="AS404" s="35"/>
      <c r="AT404" s="35"/>
      <c r="AU404" s="31"/>
      <c r="AV404" s="36"/>
    </row>
    <row r="405" spans="1:48">
      <c r="A405" s="40"/>
      <c r="D405" s="31"/>
      <c r="E405" s="31"/>
      <c r="F405" s="31"/>
      <c r="G405" s="31"/>
      <c r="H405" s="32"/>
      <c r="J405" s="33"/>
      <c r="K405" s="33"/>
      <c r="L405" s="33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5"/>
      <c r="AS405" s="35"/>
      <c r="AT405" s="35"/>
      <c r="AU405" s="31"/>
      <c r="AV405" s="36"/>
    </row>
    <row r="406" spans="1:48">
      <c r="A406" s="40"/>
      <c r="D406" s="31"/>
      <c r="E406" s="31"/>
      <c r="F406" s="31"/>
      <c r="G406" s="31"/>
      <c r="H406" s="32"/>
      <c r="J406" s="33"/>
      <c r="K406" s="33"/>
      <c r="L406" s="33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5"/>
      <c r="AS406" s="35"/>
      <c r="AT406" s="35"/>
      <c r="AU406" s="31"/>
      <c r="AV406" s="36"/>
    </row>
    <row r="407" spans="1:48">
      <c r="A407" s="40"/>
      <c r="D407" s="31"/>
      <c r="E407" s="31"/>
      <c r="F407" s="31"/>
      <c r="G407" s="31"/>
      <c r="H407" s="32"/>
      <c r="J407" s="33"/>
      <c r="K407" s="33"/>
      <c r="L407" s="33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5"/>
      <c r="AS407" s="35"/>
      <c r="AT407" s="35"/>
      <c r="AU407" s="31"/>
      <c r="AV407" s="36"/>
    </row>
    <row r="408" spans="1:48">
      <c r="A408" s="40"/>
      <c r="D408" s="31"/>
      <c r="E408" s="31"/>
      <c r="F408" s="31"/>
      <c r="G408" s="31"/>
      <c r="H408" s="32"/>
      <c r="J408" s="33"/>
      <c r="K408" s="33"/>
      <c r="L408" s="33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5"/>
      <c r="AS408" s="35"/>
      <c r="AT408" s="35"/>
      <c r="AU408" s="31"/>
      <c r="AV408" s="36"/>
    </row>
    <row r="409" spans="1:48">
      <c r="A409" s="40"/>
      <c r="D409" s="31"/>
      <c r="E409" s="31"/>
      <c r="F409" s="31"/>
      <c r="G409" s="31"/>
      <c r="H409" s="32"/>
      <c r="J409" s="33"/>
      <c r="K409" s="33"/>
      <c r="L409" s="33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5"/>
      <c r="AS409" s="35"/>
      <c r="AT409" s="35"/>
      <c r="AU409" s="31"/>
      <c r="AV409" s="36"/>
    </row>
    <row r="410" spans="1:48">
      <c r="A410" s="40"/>
      <c r="D410" s="31"/>
      <c r="E410" s="31"/>
      <c r="F410" s="31"/>
      <c r="G410" s="31"/>
      <c r="H410" s="32"/>
      <c r="J410" s="33"/>
      <c r="K410" s="33"/>
      <c r="L410" s="33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5"/>
      <c r="AS410" s="35"/>
      <c r="AT410" s="35"/>
      <c r="AU410" s="31"/>
      <c r="AV410" s="36"/>
    </row>
    <row r="411" spans="1:48">
      <c r="A411" s="40"/>
      <c r="D411" s="31"/>
      <c r="E411" s="31"/>
      <c r="F411" s="31"/>
      <c r="G411" s="31"/>
      <c r="H411" s="32"/>
      <c r="J411" s="33"/>
      <c r="K411" s="33"/>
      <c r="L411" s="33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5"/>
      <c r="AS411" s="35"/>
      <c r="AT411" s="35"/>
      <c r="AU411" s="31"/>
      <c r="AV411" s="36"/>
    </row>
    <row r="412" spans="1:48">
      <c r="A412" s="40"/>
      <c r="D412" s="31"/>
      <c r="E412" s="31"/>
      <c r="F412" s="31"/>
      <c r="G412" s="31"/>
      <c r="H412" s="32"/>
      <c r="J412" s="33"/>
      <c r="K412" s="33"/>
      <c r="L412" s="33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5"/>
      <c r="AS412" s="35"/>
      <c r="AT412" s="35"/>
      <c r="AU412" s="31"/>
      <c r="AV412" s="36"/>
    </row>
    <row r="413" spans="1:48">
      <c r="A413" s="40"/>
      <c r="D413" s="31"/>
      <c r="E413" s="31"/>
      <c r="F413" s="31"/>
      <c r="G413" s="31"/>
      <c r="H413" s="32"/>
      <c r="J413" s="33"/>
      <c r="K413" s="33"/>
      <c r="L413" s="33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5"/>
      <c r="AS413" s="35"/>
      <c r="AT413" s="35"/>
      <c r="AU413" s="31"/>
      <c r="AV413" s="36"/>
    </row>
    <row r="414" spans="1:48">
      <c r="A414" s="40"/>
      <c r="D414" s="31"/>
      <c r="E414" s="31"/>
      <c r="F414" s="31"/>
      <c r="G414" s="31"/>
      <c r="H414" s="32"/>
      <c r="J414" s="33"/>
      <c r="K414" s="33"/>
      <c r="L414" s="33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5"/>
      <c r="AS414" s="35"/>
      <c r="AT414" s="35"/>
      <c r="AU414" s="31"/>
      <c r="AV414" s="36"/>
    </row>
    <row r="415" spans="1:48">
      <c r="A415" s="40"/>
      <c r="D415" s="31"/>
      <c r="E415" s="31"/>
      <c r="F415" s="31"/>
      <c r="G415" s="31"/>
      <c r="H415" s="32"/>
      <c r="J415" s="33"/>
      <c r="K415" s="33"/>
      <c r="L415" s="33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5"/>
      <c r="AS415" s="35"/>
      <c r="AT415" s="35"/>
      <c r="AU415" s="31"/>
      <c r="AV415" s="36"/>
    </row>
    <row r="416" spans="1:48">
      <c r="A416" s="40"/>
      <c r="D416" s="31"/>
      <c r="E416" s="31"/>
      <c r="F416" s="31"/>
      <c r="G416" s="31"/>
      <c r="H416" s="32"/>
      <c r="J416" s="33"/>
      <c r="K416" s="33"/>
      <c r="L416" s="33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5"/>
      <c r="AS416" s="35"/>
      <c r="AT416" s="35"/>
      <c r="AU416" s="31"/>
      <c r="AV416" s="36"/>
    </row>
    <row r="417" spans="1:48">
      <c r="A417" s="40"/>
      <c r="D417" s="31"/>
      <c r="E417" s="31"/>
      <c r="F417" s="31"/>
      <c r="G417" s="31"/>
      <c r="H417" s="32"/>
      <c r="J417" s="33"/>
      <c r="K417" s="33"/>
      <c r="L417" s="33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5"/>
      <c r="AS417" s="35"/>
      <c r="AT417" s="35"/>
      <c r="AU417" s="31"/>
      <c r="AV417" s="36"/>
    </row>
    <row r="418" spans="1:48">
      <c r="A418" s="40"/>
      <c r="D418" s="31"/>
      <c r="E418" s="31"/>
      <c r="F418" s="31"/>
      <c r="G418" s="31"/>
      <c r="H418" s="32"/>
      <c r="J418" s="33"/>
      <c r="K418" s="33"/>
      <c r="L418" s="33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5"/>
      <c r="AS418" s="35"/>
      <c r="AT418" s="35"/>
      <c r="AU418" s="31"/>
      <c r="AV418" s="36"/>
    </row>
    <row r="419" spans="1:48">
      <c r="A419" s="40"/>
      <c r="D419" s="31"/>
      <c r="E419" s="31"/>
      <c r="F419" s="31"/>
      <c r="G419" s="31"/>
      <c r="H419" s="32"/>
      <c r="J419" s="33"/>
      <c r="K419" s="33"/>
      <c r="L419" s="33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5"/>
      <c r="AS419" s="35"/>
      <c r="AT419" s="35"/>
      <c r="AU419" s="31"/>
      <c r="AV419" s="36"/>
    </row>
    <row r="420" spans="1:48">
      <c r="A420" s="40"/>
      <c r="D420" s="31"/>
      <c r="E420" s="31"/>
      <c r="F420" s="31"/>
      <c r="G420" s="31"/>
      <c r="H420" s="32"/>
      <c r="J420" s="33"/>
      <c r="K420" s="33"/>
      <c r="L420" s="33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5"/>
      <c r="AS420" s="35"/>
      <c r="AT420" s="35"/>
      <c r="AU420" s="31"/>
      <c r="AV420" s="36"/>
    </row>
    <row r="421" spans="1:48">
      <c r="A421" s="40"/>
      <c r="D421" s="31"/>
      <c r="E421" s="31"/>
      <c r="F421" s="31"/>
      <c r="G421" s="31"/>
      <c r="H421" s="32"/>
      <c r="J421" s="33"/>
      <c r="K421" s="33"/>
      <c r="L421" s="33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5"/>
      <c r="AS421" s="35"/>
      <c r="AT421" s="35"/>
      <c r="AU421" s="31"/>
      <c r="AV421" s="36"/>
    </row>
    <row r="422" spans="1:48">
      <c r="A422" s="40"/>
      <c r="D422" s="31"/>
      <c r="E422" s="31"/>
      <c r="F422" s="31"/>
      <c r="G422" s="31"/>
      <c r="H422" s="32"/>
      <c r="J422" s="33"/>
      <c r="K422" s="33"/>
      <c r="L422" s="33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5"/>
      <c r="AS422" s="35"/>
      <c r="AT422" s="35"/>
      <c r="AU422" s="31"/>
      <c r="AV422" s="36"/>
    </row>
    <row r="423" spans="1:48">
      <c r="A423" s="40"/>
      <c r="D423" s="31"/>
      <c r="E423" s="31"/>
      <c r="F423" s="31"/>
      <c r="G423" s="31"/>
      <c r="H423" s="32"/>
      <c r="J423" s="33"/>
      <c r="K423" s="33"/>
      <c r="L423" s="33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5"/>
      <c r="AS423" s="35"/>
      <c r="AT423" s="35"/>
      <c r="AU423" s="31"/>
      <c r="AV423" s="36"/>
    </row>
    <row r="424" spans="1:48">
      <c r="A424" s="40"/>
      <c r="D424" s="31"/>
      <c r="E424" s="31"/>
      <c r="F424" s="31"/>
      <c r="G424" s="31"/>
      <c r="H424" s="32"/>
      <c r="J424" s="33"/>
      <c r="K424" s="33"/>
      <c r="L424" s="33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5"/>
      <c r="AS424" s="35"/>
      <c r="AT424" s="35"/>
      <c r="AU424" s="31"/>
      <c r="AV424" s="36"/>
    </row>
    <row r="425" spans="1:48">
      <c r="A425" s="40"/>
      <c r="D425" s="31"/>
      <c r="E425" s="31"/>
      <c r="F425" s="31"/>
      <c r="G425" s="31"/>
      <c r="H425" s="32"/>
      <c r="J425" s="33"/>
      <c r="K425" s="33"/>
      <c r="L425" s="33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5"/>
      <c r="AS425" s="35"/>
      <c r="AT425" s="35"/>
      <c r="AU425" s="31"/>
      <c r="AV425" s="36"/>
    </row>
    <row r="426" spans="1:48">
      <c r="A426" s="40"/>
      <c r="D426" s="31"/>
      <c r="E426" s="31"/>
      <c r="F426" s="31"/>
      <c r="G426" s="31"/>
      <c r="H426" s="32"/>
      <c r="J426" s="33"/>
      <c r="K426" s="33"/>
      <c r="L426" s="33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5"/>
      <c r="AS426" s="35"/>
      <c r="AT426" s="35"/>
      <c r="AU426" s="31"/>
      <c r="AV426" s="36"/>
    </row>
    <row r="427" spans="1:48">
      <c r="A427" s="40"/>
      <c r="D427" s="31"/>
      <c r="E427" s="31"/>
      <c r="F427" s="31"/>
      <c r="G427" s="31"/>
      <c r="H427" s="32"/>
      <c r="J427" s="33"/>
      <c r="K427" s="33"/>
      <c r="L427" s="33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5"/>
      <c r="AS427" s="35"/>
      <c r="AT427" s="35"/>
      <c r="AU427" s="31"/>
      <c r="AV427" s="36"/>
    </row>
    <row r="428" spans="1:48">
      <c r="A428" s="40"/>
      <c r="D428" s="31"/>
      <c r="E428" s="31"/>
      <c r="F428" s="31"/>
      <c r="G428" s="31"/>
      <c r="H428" s="32"/>
      <c r="J428" s="33"/>
      <c r="K428" s="33"/>
      <c r="L428" s="33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5"/>
      <c r="AS428" s="35"/>
      <c r="AT428" s="35"/>
      <c r="AU428" s="31"/>
      <c r="AV428" s="36"/>
    </row>
    <row r="429" spans="1:48">
      <c r="A429" s="40"/>
      <c r="D429" s="31"/>
      <c r="E429" s="31"/>
      <c r="F429" s="31"/>
      <c r="G429" s="31"/>
      <c r="H429" s="32"/>
      <c r="J429" s="33"/>
      <c r="K429" s="33"/>
      <c r="L429" s="33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5"/>
      <c r="AS429" s="35"/>
      <c r="AT429" s="35"/>
      <c r="AU429" s="31"/>
      <c r="AV429" s="36"/>
    </row>
    <row r="430" spans="1:48">
      <c r="A430" s="40"/>
      <c r="D430" s="31"/>
      <c r="E430" s="31"/>
      <c r="F430" s="31"/>
      <c r="G430" s="31"/>
      <c r="H430" s="32"/>
      <c r="J430" s="33"/>
      <c r="K430" s="33"/>
      <c r="L430" s="33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5"/>
      <c r="AS430" s="35"/>
      <c r="AT430" s="35"/>
      <c r="AU430" s="31"/>
      <c r="AV430" s="36"/>
    </row>
    <row r="431" spans="1:48">
      <c r="A431" s="40"/>
      <c r="D431" s="31"/>
      <c r="E431" s="31"/>
      <c r="F431" s="31"/>
      <c r="G431" s="31"/>
      <c r="H431" s="32"/>
      <c r="J431" s="33"/>
      <c r="K431" s="33"/>
      <c r="L431" s="33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5"/>
      <c r="AS431" s="35"/>
      <c r="AT431" s="35"/>
      <c r="AU431" s="31"/>
      <c r="AV431" s="36"/>
    </row>
    <row r="432" spans="1:48">
      <c r="A432" s="40"/>
      <c r="D432" s="31"/>
      <c r="E432" s="31"/>
      <c r="F432" s="31"/>
      <c r="G432" s="31"/>
      <c r="H432" s="32"/>
      <c r="J432" s="33"/>
      <c r="K432" s="33"/>
      <c r="L432" s="33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5"/>
      <c r="AS432" s="35"/>
      <c r="AT432" s="35"/>
      <c r="AU432" s="31"/>
      <c r="AV432" s="36"/>
    </row>
    <row r="433" spans="1:48">
      <c r="A433" s="40"/>
      <c r="D433" s="31"/>
      <c r="E433" s="31"/>
      <c r="F433" s="31"/>
      <c r="G433" s="31"/>
      <c r="H433" s="32"/>
      <c r="J433" s="33"/>
      <c r="K433" s="33"/>
      <c r="L433" s="33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5"/>
      <c r="AS433" s="35"/>
      <c r="AT433" s="35"/>
      <c r="AU433" s="31"/>
      <c r="AV433" s="36"/>
    </row>
    <row r="434" spans="1:48">
      <c r="A434" s="40"/>
      <c r="D434" s="31"/>
      <c r="E434" s="31"/>
      <c r="F434" s="31"/>
      <c r="G434" s="31"/>
      <c r="H434" s="32"/>
      <c r="J434" s="33"/>
      <c r="K434" s="33"/>
      <c r="L434" s="33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5"/>
      <c r="AS434" s="35"/>
      <c r="AT434" s="35"/>
      <c r="AU434" s="31"/>
      <c r="AV434" s="36"/>
    </row>
    <row r="435" spans="1:48">
      <c r="A435" s="40"/>
      <c r="D435" s="31"/>
      <c r="E435" s="31"/>
      <c r="F435" s="31"/>
      <c r="G435" s="31"/>
      <c r="H435" s="32"/>
      <c r="J435" s="33"/>
      <c r="K435" s="33"/>
      <c r="L435" s="33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5"/>
      <c r="AS435" s="35"/>
      <c r="AT435" s="35"/>
      <c r="AU435" s="31"/>
      <c r="AV435" s="36"/>
    </row>
    <row r="436" spans="1:48">
      <c r="A436" s="40"/>
      <c r="D436" s="31"/>
      <c r="E436" s="31"/>
      <c r="F436" s="31"/>
      <c r="G436" s="31"/>
      <c r="H436" s="32"/>
      <c r="J436" s="33"/>
      <c r="K436" s="33"/>
      <c r="L436" s="33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5"/>
      <c r="AS436" s="35"/>
      <c r="AT436" s="35"/>
      <c r="AU436" s="31"/>
      <c r="AV436" s="36"/>
    </row>
    <row r="437" spans="1:48">
      <c r="A437" s="40"/>
      <c r="D437" s="31"/>
      <c r="E437" s="31"/>
      <c r="F437" s="31"/>
      <c r="G437" s="31"/>
      <c r="H437" s="32"/>
      <c r="J437" s="33"/>
      <c r="K437" s="33"/>
      <c r="L437" s="33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5"/>
      <c r="AS437" s="35"/>
      <c r="AT437" s="35"/>
      <c r="AU437" s="31"/>
      <c r="AV437" s="36"/>
    </row>
    <row r="438" spans="1:48">
      <c r="A438" s="40"/>
      <c r="D438" s="31"/>
      <c r="E438" s="31"/>
      <c r="F438" s="31"/>
      <c r="G438" s="31"/>
      <c r="H438" s="32"/>
      <c r="J438" s="33"/>
      <c r="K438" s="33"/>
      <c r="L438" s="33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5"/>
      <c r="AS438" s="35"/>
      <c r="AT438" s="35"/>
      <c r="AU438" s="31"/>
      <c r="AV438" s="36"/>
    </row>
    <row r="439" spans="1:48">
      <c r="A439" s="40"/>
      <c r="D439" s="31"/>
      <c r="E439" s="31"/>
      <c r="F439" s="31"/>
      <c r="G439" s="31"/>
      <c r="H439" s="32"/>
      <c r="J439" s="33"/>
      <c r="K439" s="33"/>
      <c r="L439" s="33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5"/>
      <c r="AS439" s="35"/>
      <c r="AT439" s="35"/>
      <c r="AU439" s="31"/>
      <c r="AV439" s="36"/>
    </row>
    <row r="440" spans="1:48">
      <c r="A440" s="40"/>
      <c r="D440" s="31"/>
      <c r="E440" s="31"/>
      <c r="F440" s="31"/>
      <c r="G440" s="31"/>
      <c r="H440" s="32"/>
      <c r="J440" s="33"/>
      <c r="K440" s="33"/>
      <c r="L440" s="33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5"/>
      <c r="AS440" s="35"/>
      <c r="AT440" s="35"/>
      <c r="AU440" s="31"/>
      <c r="AV440" s="36"/>
    </row>
    <row r="441" spans="1:48">
      <c r="A441" s="40"/>
      <c r="D441" s="31"/>
      <c r="E441" s="31"/>
      <c r="F441" s="31"/>
      <c r="G441" s="31"/>
      <c r="H441" s="32"/>
      <c r="J441" s="33"/>
      <c r="K441" s="33"/>
      <c r="L441" s="33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5"/>
      <c r="AS441" s="35"/>
      <c r="AT441" s="35"/>
      <c r="AU441" s="31"/>
      <c r="AV441" s="36"/>
    </row>
    <row r="442" spans="1:48">
      <c r="A442" s="40"/>
      <c r="D442" s="31"/>
      <c r="E442" s="31"/>
      <c r="F442" s="31"/>
      <c r="G442" s="31"/>
      <c r="H442" s="32"/>
      <c r="J442" s="33"/>
      <c r="K442" s="33"/>
      <c r="L442" s="33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5"/>
      <c r="AS442" s="35"/>
      <c r="AT442" s="35"/>
      <c r="AU442" s="31"/>
      <c r="AV442" s="36"/>
    </row>
    <row r="443" spans="1:48">
      <c r="A443" s="40"/>
      <c r="D443" s="31"/>
      <c r="E443" s="31"/>
      <c r="F443" s="31"/>
      <c r="G443" s="31"/>
      <c r="H443" s="32"/>
      <c r="J443" s="33"/>
      <c r="K443" s="33"/>
      <c r="L443" s="33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5"/>
      <c r="AS443" s="35"/>
      <c r="AT443" s="35"/>
      <c r="AU443" s="31"/>
      <c r="AV443" s="36"/>
    </row>
    <row r="444" spans="1:48">
      <c r="A444" s="40"/>
      <c r="D444" s="31"/>
      <c r="E444" s="31"/>
      <c r="F444" s="31"/>
      <c r="G444" s="31"/>
      <c r="H444" s="32"/>
      <c r="J444" s="33"/>
      <c r="K444" s="33"/>
      <c r="L444" s="33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5"/>
      <c r="AS444" s="35"/>
      <c r="AT444" s="35"/>
      <c r="AU444" s="31"/>
      <c r="AV444" s="36"/>
    </row>
    <row r="445" spans="1:48">
      <c r="A445" s="40"/>
      <c r="D445" s="31"/>
      <c r="E445" s="31"/>
      <c r="F445" s="31"/>
      <c r="G445" s="31"/>
      <c r="H445" s="32"/>
      <c r="J445" s="33"/>
      <c r="K445" s="33"/>
      <c r="L445" s="33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5"/>
      <c r="AS445" s="35"/>
      <c r="AT445" s="35"/>
      <c r="AU445" s="31"/>
      <c r="AV445" s="36"/>
    </row>
    <row r="446" spans="1:48">
      <c r="A446" s="40"/>
      <c r="D446" s="31"/>
      <c r="E446" s="31"/>
      <c r="F446" s="31"/>
      <c r="G446" s="31"/>
      <c r="H446" s="32"/>
      <c r="J446" s="33"/>
      <c r="K446" s="33"/>
      <c r="L446" s="33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5"/>
      <c r="AS446" s="35"/>
      <c r="AT446" s="35"/>
      <c r="AU446" s="31"/>
      <c r="AV446" s="36"/>
    </row>
    <row r="447" spans="1:48">
      <c r="A447" s="40"/>
      <c r="D447" s="31"/>
      <c r="E447" s="31"/>
      <c r="F447" s="31"/>
      <c r="G447" s="31"/>
      <c r="H447" s="32"/>
      <c r="J447" s="33"/>
      <c r="K447" s="33"/>
      <c r="L447" s="33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5"/>
      <c r="AS447" s="35"/>
      <c r="AT447" s="35"/>
      <c r="AU447" s="31"/>
      <c r="AV447" s="36"/>
    </row>
    <row r="448" spans="1:48">
      <c r="A448" s="40"/>
      <c r="D448" s="31"/>
      <c r="E448" s="31"/>
      <c r="F448" s="31"/>
      <c r="G448" s="31"/>
      <c r="H448" s="32"/>
      <c r="J448" s="33"/>
      <c r="K448" s="33"/>
      <c r="L448" s="33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5"/>
      <c r="AS448" s="35"/>
      <c r="AT448" s="35"/>
      <c r="AU448" s="31"/>
      <c r="AV448" s="36"/>
    </row>
    <row r="449" spans="1:48">
      <c r="A449" s="40"/>
      <c r="D449" s="31"/>
      <c r="E449" s="31"/>
      <c r="F449" s="31"/>
      <c r="G449" s="31"/>
      <c r="H449" s="32"/>
      <c r="J449" s="33"/>
      <c r="K449" s="33"/>
      <c r="L449" s="33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5"/>
      <c r="AS449" s="35"/>
      <c r="AT449" s="35"/>
      <c r="AU449" s="31"/>
      <c r="AV449" s="36"/>
    </row>
    <row r="450" spans="1:48">
      <c r="A450" s="40"/>
      <c r="D450" s="31"/>
      <c r="E450" s="31"/>
      <c r="F450" s="31"/>
      <c r="G450" s="31"/>
      <c r="H450" s="32"/>
      <c r="J450" s="33"/>
      <c r="K450" s="33"/>
      <c r="L450" s="33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5"/>
      <c r="AS450" s="35"/>
      <c r="AT450" s="35"/>
      <c r="AU450" s="31"/>
      <c r="AV450" s="36"/>
    </row>
    <row r="451" spans="1:48">
      <c r="A451" s="40"/>
      <c r="D451" s="31"/>
      <c r="E451" s="31"/>
      <c r="F451" s="31"/>
      <c r="G451" s="31"/>
      <c r="H451" s="32"/>
      <c r="J451" s="33"/>
      <c r="K451" s="33"/>
      <c r="L451" s="33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5"/>
      <c r="AS451" s="35"/>
      <c r="AT451" s="35"/>
      <c r="AU451" s="31"/>
      <c r="AV451" s="36"/>
    </row>
    <row r="452" spans="1:48">
      <c r="A452" s="40"/>
      <c r="D452" s="31"/>
      <c r="E452" s="31"/>
      <c r="F452" s="31"/>
      <c r="G452" s="31"/>
      <c r="H452" s="32"/>
      <c r="J452" s="33"/>
      <c r="K452" s="33"/>
      <c r="L452" s="33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5"/>
      <c r="AS452" s="35"/>
      <c r="AT452" s="35"/>
      <c r="AU452" s="31"/>
      <c r="AV452" s="36"/>
    </row>
    <row r="453" spans="1:48">
      <c r="A453" s="40"/>
      <c r="D453" s="31"/>
      <c r="E453" s="31"/>
      <c r="F453" s="31"/>
      <c r="G453" s="31"/>
      <c r="H453" s="32"/>
      <c r="J453" s="33"/>
      <c r="K453" s="33"/>
      <c r="L453" s="33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5"/>
      <c r="AS453" s="35"/>
      <c r="AT453" s="35"/>
      <c r="AU453" s="31"/>
      <c r="AV453" s="36"/>
    </row>
    <row r="454" spans="1:48">
      <c r="A454" s="40"/>
      <c r="D454" s="31"/>
      <c r="E454" s="31"/>
      <c r="F454" s="31"/>
      <c r="G454" s="31"/>
      <c r="H454" s="32"/>
      <c r="J454" s="33"/>
      <c r="K454" s="33"/>
      <c r="L454" s="33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5"/>
      <c r="AS454" s="35"/>
      <c r="AT454" s="35"/>
      <c r="AU454" s="31"/>
      <c r="AV454" s="36"/>
    </row>
    <row r="455" spans="1:48">
      <c r="A455" s="40"/>
      <c r="D455" s="31"/>
      <c r="E455" s="31"/>
      <c r="F455" s="31"/>
      <c r="G455" s="31"/>
      <c r="H455" s="32"/>
      <c r="J455" s="33"/>
      <c r="K455" s="33"/>
      <c r="L455" s="33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5"/>
      <c r="AS455" s="35"/>
      <c r="AT455" s="35"/>
      <c r="AU455" s="31"/>
      <c r="AV455" s="36"/>
    </row>
    <row r="456" spans="1:48">
      <c r="A456" s="40"/>
      <c r="D456" s="31"/>
      <c r="E456" s="31"/>
      <c r="F456" s="31"/>
      <c r="G456" s="31"/>
      <c r="H456" s="32"/>
      <c r="J456" s="33"/>
      <c r="K456" s="33"/>
      <c r="L456" s="33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5"/>
      <c r="AS456" s="35"/>
      <c r="AT456" s="35"/>
      <c r="AU456" s="31"/>
      <c r="AV456" s="36"/>
    </row>
    <row r="457" spans="1:48">
      <c r="A457" s="40"/>
      <c r="D457" s="31"/>
      <c r="E457" s="31"/>
      <c r="F457" s="31"/>
      <c r="G457" s="31"/>
      <c r="H457" s="32"/>
      <c r="J457" s="33"/>
      <c r="K457" s="33"/>
      <c r="L457" s="33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5"/>
      <c r="AS457" s="35"/>
      <c r="AT457" s="35"/>
      <c r="AU457" s="31"/>
      <c r="AV457" s="36"/>
    </row>
    <row r="458" spans="1:48">
      <c r="A458" s="40"/>
      <c r="D458" s="31"/>
      <c r="E458" s="31"/>
      <c r="F458" s="31"/>
      <c r="G458" s="31"/>
      <c r="H458" s="32"/>
      <c r="J458" s="33"/>
      <c r="K458" s="33"/>
      <c r="L458" s="33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5"/>
      <c r="AS458" s="35"/>
      <c r="AT458" s="35"/>
      <c r="AU458" s="31"/>
      <c r="AV458" s="36"/>
    </row>
    <row r="459" spans="1:48">
      <c r="A459" s="40"/>
      <c r="D459" s="31"/>
      <c r="E459" s="31"/>
      <c r="F459" s="31"/>
      <c r="G459" s="31"/>
      <c r="H459" s="32"/>
      <c r="J459" s="33"/>
      <c r="K459" s="33"/>
      <c r="L459" s="33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5"/>
      <c r="AS459" s="35"/>
      <c r="AT459" s="35"/>
      <c r="AU459" s="31"/>
      <c r="AV459" s="36"/>
    </row>
    <row r="460" spans="1:48">
      <c r="A460" s="40"/>
      <c r="D460" s="31"/>
      <c r="E460" s="31"/>
      <c r="F460" s="31"/>
      <c r="G460" s="31"/>
      <c r="H460" s="32"/>
      <c r="J460" s="33"/>
      <c r="K460" s="33"/>
      <c r="L460" s="33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5"/>
      <c r="AS460" s="35"/>
      <c r="AT460" s="35"/>
      <c r="AU460" s="31"/>
      <c r="AV460" s="36"/>
    </row>
    <row r="461" spans="1:48">
      <c r="A461" s="40"/>
      <c r="D461" s="31"/>
      <c r="E461" s="31"/>
      <c r="F461" s="31"/>
      <c r="G461" s="31"/>
      <c r="H461" s="32"/>
      <c r="J461" s="33"/>
      <c r="K461" s="33"/>
      <c r="L461" s="33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5"/>
      <c r="AS461" s="35"/>
      <c r="AT461" s="35"/>
      <c r="AU461" s="31"/>
      <c r="AV461" s="36"/>
    </row>
    <row r="462" spans="1:48">
      <c r="A462" s="40"/>
      <c r="D462" s="31"/>
      <c r="E462" s="31"/>
      <c r="F462" s="31"/>
      <c r="G462" s="31"/>
      <c r="H462" s="32"/>
      <c r="J462" s="33"/>
      <c r="K462" s="33"/>
      <c r="L462" s="33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5"/>
      <c r="AS462" s="35"/>
      <c r="AT462" s="35"/>
      <c r="AU462" s="31"/>
      <c r="AV462" s="36"/>
    </row>
    <row r="463" spans="1:48">
      <c r="A463" s="40"/>
      <c r="D463" s="31"/>
      <c r="E463" s="31"/>
      <c r="F463" s="31"/>
      <c r="G463" s="31"/>
      <c r="H463" s="32"/>
      <c r="J463" s="33"/>
      <c r="K463" s="33"/>
      <c r="L463" s="33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5"/>
      <c r="AS463" s="35"/>
      <c r="AT463" s="35"/>
      <c r="AU463" s="31"/>
      <c r="AV463" s="36"/>
    </row>
    <row r="464" spans="1:48">
      <c r="A464" s="40"/>
      <c r="D464" s="31"/>
      <c r="E464" s="31"/>
      <c r="F464" s="31"/>
      <c r="G464" s="31"/>
      <c r="H464" s="32"/>
      <c r="J464" s="33"/>
      <c r="K464" s="33"/>
      <c r="L464" s="33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5"/>
      <c r="AS464" s="35"/>
      <c r="AT464" s="35"/>
      <c r="AU464" s="31"/>
      <c r="AV464" s="36"/>
    </row>
    <row r="465" spans="1:48">
      <c r="A465" s="40"/>
      <c r="D465" s="31"/>
      <c r="E465" s="31"/>
      <c r="F465" s="31"/>
      <c r="G465" s="31"/>
      <c r="H465" s="32"/>
      <c r="J465" s="33"/>
      <c r="K465" s="33"/>
      <c r="L465" s="33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5"/>
      <c r="AS465" s="35"/>
      <c r="AT465" s="35"/>
      <c r="AU465" s="31"/>
      <c r="AV465" s="36"/>
    </row>
    <row r="466" spans="1:48">
      <c r="A466" s="40"/>
      <c r="D466" s="31"/>
      <c r="E466" s="31"/>
      <c r="F466" s="31"/>
      <c r="G466" s="31"/>
      <c r="H466" s="32"/>
      <c r="J466" s="33"/>
      <c r="K466" s="33"/>
      <c r="L466" s="33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5"/>
      <c r="AS466" s="35"/>
      <c r="AT466" s="35"/>
      <c r="AU466" s="31"/>
      <c r="AV466" s="36"/>
    </row>
    <row r="467" spans="1:48">
      <c r="A467" s="40"/>
      <c r="D467" s="31"/>
      <c r="E467" s="31"/>
      <c r="F467" s="31"/>
      <c r="G467" s="31"/>
      <c r="H467" s="32"/>
      <c r="J467" s="33"/>
      <c r="K467" s="33"/>
      <c r="L467" s="33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5"/>
      <c r="AS467" s="35"/>
      <c r="AT467" s="35"/>
      <c r="AU467" s="31"/>
      <c r="AV467" s="36"/>
    </row>
    <row r="468" spans="1:48">
      <c r="A468" s="40"/>
      <c r="D468" s="31"/>
      <c r="E468" s="31"/>
      <c r="F468" s="31"/>
      <c r="G468" s="31"/>
      <c r="H468" s="32"/>
      <c r="J468" s="33"/>
      <c r="K468" s="33"/>
      <c r="L468" s="33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5"/>
      <c r="AS468" s="35"/>
      <c r="AT468" s="35"/>
      <c r="AU468" s="31"/>
      <c r="AV468" s="36"/>
    </row>
    <row r="469" spans="1:48">
      <c r="A469" s="40"/>
      <c r="D469" s="31"/>
      <c r="E469" s="31"/>
      <c r="F469" s="31"/>
      <c r="G469" s="31"/>
      <c r="H469" s="32"/>
      <c r="J469" s="33"/>
      <c r="K469" s="33"/>
      <c r="L469" s="33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5"/>
      <c r="AS469" s="35"/>
      <c r="AT469" s="35"/>
      <c r="AU469" s="31"/>
      <c r="AV469" s="36"/>
    </row>
    <row r="470" spans="1:48">
      <c r="A470" s="40"/>
      <c r="D470" s="31"/>
      <c r="E470" s="31"/>
      <c r="F470" s="31"/>
      <c r="G470" s="31"/>
      <c r="H470" s="32"/>
      <c r="J470" s="33"/>
      <c r="K470" s="33"/>
      <c r="L470" s="33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5"/>
      <c r="AS470" s="35"/>
      <c r="AT470" s="35"/>
      <c r="AU470" s="31"/>
      <c r="AV470" s="36"/>
    </row>
    <row r="471" spans="1:48">
      <c r="A471" s="40"/>
      <c r="D471" s="31"/>
      <c r="E471" s="31"/>
      <c r="F471" s="31"/>
      <c r="G471" s="31"/>
      <c r="H471" s="32"/>
      <c r="J471" s="33"/>
      <c r="K471" s="33"/>
      <c r="L471" s="33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5"/>
      <c r="AS471" s="35"/>
      <c r="AT471" s="35"/>
      <c r="AU471" s="31"/>
      <c r="AV471" s="36"/>
    </row>
    <row r="472" spans="1:48">
      <c r="A472" s="40"/>
      <c r="D472" s="31"/>
      <c r="E472" s="31"/>
      <c r="F472" s="31"/>
      <c r="G472" s="31"/>
      <c r="H472" s="32"/>
      <c r="J472" s="33"/>
      <c r="K472" s="33"/>
      <c r="L472" s="33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5"/>
      <c r="AS472" s="35"/>
      <c r="AT472" s="35"/>
      <c r="AU472" s="31"/>
      <c r="AV472" s="36"/>
    </row>
    <row r="473" spans="1:48">
      <c r="A473" s="40"/>
      <c r="D473" s="31"/>
      <c r="E473" s="31"/>
      <c r="F473" s="31"/>
      <c r="G473" s="31"/>
      <c r="H473" s="32"/>
      <c r="J473" s="33"/>
      <c r="K473" s="33"/>
      <c r="L473" s="33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5"/>
      <c r="AS473" s="35"/>
      <c r="AT473" s="35"/>
      <c r="AU473" s="31"/>
      <c r="AV473" s="36"/>
    </row>
    <row r="474" spans="1:48">
      <c r="A474" s="40"/>
      <c r="D474" s="31"/>
      <c r="E474" s="31"/>
      <c r="F474" s="31"/>
      <c r="G474" s="31"/>
      <c r="H474" s="32"/>
      <c r="J474" s="33"/>
      <c r="K474" s="33"/>
      <c r="L474" s="33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5"/>
      <c r="AS474" s="35"/>
      <c r="AT474" s="35"/>
      <c r="AU474" s="31"/>
      <c r="AV474" s="36"/>
    </row>
    <row r="475" spans="1:48">
      <c r="A475" s="40"/>
      <c r="D475" s="31"/>
      <c r="E475" s="31"/>
      <c r="F475" s="31"/>
      <c r="G475" s="31"/>
      <c r="H475" s="32"/>
      <c r="J475" s="33"/>
      <c r="K475" s="33"/>
      <c r="L475" s="33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5"/>
      <c r="AS475" s="35"/>
      <c r="AT475" s="35"/>
      <c r="AU475" s="31"/>
      <c r="AV475" s="36"/>
    </row>
    <row r="476" spans="1:48">
      <c r="A476" s="40"/>
      <c r="D476" s="31"/>
      <c r="E476" s="31"/>
      <c r="F476" s="31"/>
      <c r="G476" s="31"/>
      <c r="H476" s="32"/>
      <c r="J476" s="33"/>
      <c r="K476" s="33"/>
      <c r="L476" s="33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5"/>
      <c r="AS476" s="35"/>
      <c r="AT476" s="35"/>
      <c r="AU476" s="31"/>
      <c r="AV476" s="36"/>
    </row>
    <row r="477" spans="1:48">
      <c r="A477" s="40"/>
      <c r="D477" s="31"/>
      <c r="E477" s="31"/>
      <c r="F477" s="31"/>
      <c r="G477" s="31"/>
      <c r="H477" s="32"/>
      <c r="J477" s="33"/>
      <c r="K477" s="33"/>
      <c r="L477" s="33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5"/>
      <c r="AS477" s="35"/>
      <c r="AT477" s="35"/>
      <c r="AU477" s="31"/>
      <c r="AV477" s="36"/>
    </row>
    <row r="478" spans="1:48">
      <c r="A478" s="40"/>
      <c r="D478" s="31"/>
      <c r="E478" s="31"/>
      <c r="F478" s="31"/>
      <c r="G478" s="31"/>
      <c r="H478" s="32"/>
      <c r="J478" s="33"/>
      <c r="K478" s="33"/>
      <c r="L478" s="33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5"/>
      <c r="AS478" s="35"/>
      <c r="AT478" s="35"/>
      <c r="AU478" s="31"/>
      <c r="AV478" s="36"/>
    </row>
    <row r="479" spans="1:48">
      <c r="A479" s="40"/>
      <c r="D479" s="31"/>
      <c r="E479" s="31"/>
      <c r="F479" s="31"/>
      <c r="G479" s="31"/>
      <c r="H479" s="32"/>
      <c r="J479" s="33"/>
      <c r="K479" s="33"/>
      <c r="L479" s="33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5"/>
      <c r="AS479" s="35"/>
      <c r="AT479" s="35"/>
      <c r="AU479" s="31"/>
      <c r="AV479" s="36"/>
    </row>
    <row r="480" spans="1:48">
      <c r="A480" s="40"/>
      <c r="D480" s="31"/>
      <c r="E480" s="31"/>
      <c r="F480" s="31"/>
      <c r="G480" s="31"/>
      <c r="H480" s="32"/>
      <c r="J480" s="33"/>
      <c r="K480" s="33"/>
      <c r="L480" s="33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5"/>
      <c r="AS480" s="35"/>
      <c r="AT480" s="35"/>
      <c r="AU480" s="31"/>
      <c r="AV480" s="36"/>
    </row>
    <row r="481" spans="1:48">
      <c r="A481" s="40"/>
      <c r="D481" s="31"/>
      <c r="E481" s="31"/>
      <c r="F481" s="31"/>
      <c r="G481" s="31"/>
      <c r="H481" s="32"/>
      <c r="J481" s="33"/>
      <c r="K481" s="33"/>
      <c r="L481" s="33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5"/>
      <c r="AS481" s="35"/>
      <c r="AT481" s="35"/>
      <c r="AU481" s="31"/>
      <c r="AV481" s="36"/>
    </row>
    <row r="482" spans="1:48">
      <c r="A482" s="40"/>
      <c r="D482" s="31"/>
      <c r="E482" s="31"/>
      <c r="F482" s="31"/>
      <c r="G482" s="31"/>
      <c r="H482" s="32"/>
      <c r="J482" s="33"/>
      <c r="K482" s="33"/>
      <c r="L482" s="33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5"/>
      <c r="AS482" s="35"/>
      <c r="AT482" s="35"/>
      <c r="AU482" s="31"/>
      <c r="AV482" s="36"/>
    </row>
    <row r="483" spans="1:48">
      <c r="A483" s="40"/>
      <c r="D483" s="31"/>
      <c r="E483" s="31"/>
      <c r="F483" s="31"/>
      <c r="G483" s="31"/>
      <c r="H483" s="32"/>
      <c r="J483" s="33"/>
      <c r="K483" s="33"/>
      <c r="L483" s="33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5"/>
      <c r="AS483" s="35"/>
      <c r="AT483" s="35"/>
      <c r="AU483" s="31"/>
      <c r="AV483" s="36"/>
    </row>
    <row r="484" spans="1:48">
      <c r="A484" s="40"/>
      <c r="D484" s="31"/>
      <c r="E484" s="31"/>
      <c r="F484" s="31"/>
      <c r="G484" s="31"/>
      <c r="H484" s="32"/>
      <c r="J484" s="33"/>
      <c r="K484" s="33"/>
      <c r="L484" s="33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5"/>
      <c r="AS484" s="35"/>
      <c r="AT484" s="35"/>
      <c r="AU484" s="31"/>
      <c r="AV484" s="36"/>
    </row>
    <row r="485" spans="1:48">
      <c r="A485" s="40"/>
      <c r="D485" s="31"/>
      <c r="E485" s="31"/>
      <c r="F485" s="31"/>
      <c r="G485" s="31"/>
      <c r="H485" s="32"/>
      <c r="J485" s="33"/>
      <c r="K485" s="33"/>
      <c r="L485" s="33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5"/>
      <c r="AS485" s="35"/>
      <c r="AT485" s="35"/>
      <c r="AU485" s="31"/>
      <c r="AV485" s="36"/>
    </row>
    <row r="486" spans="1:48">
      <c r="A486" s="40"/>
      <c r="D486" s="31"/>
      <c r="E486" s="31"/>
      <c r="F486" s="31"/>
      <c r="G486" s="31"/>
      <c r="H486" s="32"/>
      <c r="J486" s="33"/>
      <c r="K486" s="33"/>
      <c r="L486" s="33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5"/>
      <c r="AS486" s="35"/>
      <c r="AT486" s="35"/>
      <c r="AU486" s="31"/>
      <c r="AV486" s="36"/>
    </row>
    <row r="487" spans="1:48">
      <c r="A487" s="40"/>
      <c r="D487" s="31"/>
      <c r="E487" s="31"/>
      <c r="F487" s="31"/>
      <c r="G487" s="31"/>
      <c r="H487" s="32"/>
      <c r="J487" s="33"/>
      <c r="K487" s="33"/>
      <c r="L487" s="33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5"/>
      <c r="AS487" s="35"/>
      <c r="AT487" s="35"/>
      <c r="AU487" s="31"/>
      <c r="AV487" s="36"/>
    </row>
    <row r="488" spans="1:48">
      <c r="A488" s="40"/>
      <c r="D488" s="31"/>
      <c r="E488" s="31"/>
      <c r="F488" s="31"/>
      <c r="G488" s="31"/>
      <c r="H488" s="32"/>
      <c r="J488" s="33"/>
      <c r="K488" s="33"/>
      <c r="L488" s="33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5"/>
      <c r="AS488" s="35"/>
      <c r="AT488" s="35"/>
      <c r="AU488" s="31"/>
      <c r="AV488" s="36"/>
    </row>
    <row r="489" spans="1:48">
      <c r="A489" s="40"/>
      <c r="D489" s="31"/>
      <c r="E489" s="31"/>
      <c r="F489" s="31"/>
      <c r="G489" s="31"/>
      <c r="H489" s="32"/>
      <c r="J489" s="33"/>
      <c r="K489" s="33"/>
      <c r="L489" s="33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5"/>
      <c r="AS489" s="35"/>
      <c r="AT489" s="35"/>
      <c r="AU489" s="31"/>
      <c r="AV489" s="36"/>
    </row>
    <row r="490" spans="1:48">
      <c r="A490" s="40"/>
      <c r="D490" s="31"/>
      <c r="E490" s="31"/>
      <c r="F490" s="31"/>
      <c r="G490" s="31"/>
      <c r="H490" s="32"/>
      <c r="J490" s="33"/>
      <c r="K490" s="33"/>
      <c r="L490" s="33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5"/>
      <c r="AS490" s="35"/>
      <c r="AT490" s="35"/>
      <c r="AU490" s="31"/>
      <c r="AV490" s="36"/>
    </row>
    <row r="491" spans="1:48">
      <c r="A491" s="40"/>
      <c r="D491" s="31"/>
      <c r="E491" s="31"/>
      <c r="F491" s="31"/>
      <c r="G491" s="31"/>
      <c r="H491" s="32"/>
      <c r="J491" s="33"/>
      <c r="K491" s="33"/>
      <c r="L491" s="33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5"/>
      <c r="AS491" s="35"/>
      <c r="AT491" s="35"/>
      <c r="AU491" s="31"/>
      <c r="AV491" s="36"/>
    </row>
    <row r="492" spans="1:48">
      <c r="A492" s="40"/>
      <c r="D492" s="31"/>
      <c r="E492" s="31"/>
      <c r="F492" s="31"/>
      <c r="G492" s="31"/>
      <c r="H492" s="32"/>
      <c r="J492" s="33"/>
      <c r="K492" s="33"/>
      <c r="L492" s="33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5"/>
      <c r="AS492" s="35"/>
      <c r="AT492" s="35"/>
      <c r="AU492" s="31"/>
      <c r="AV492" s="36"/>
    </row>
    <row r="493" spans="1:48">
      <c r="A493" s="40"/>
      <c r="D493" s="31"/>
      <c r="E493" s="31"/>
      <c r="F493" s="31"/>
      <c r="G493" s="31"/>
      <c r="H493" s="32"/>
      <c r="J493" s="33"/>
      <c r="K493" s="33"/>
      <c r="L493" s="33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5"/>
      <c r="AS493" s="35"/>
      <c r="AT493" s="35"/>
      <c r="AU493" s="31"/>
      <c r="AV493" s="36"/>
    </row>
    <row r="494" spans="1:48">
      <c r="A494" s="40"/>
      <c r="D494" s="31"/>
      <c r="E494" s="31"/>
      <c r="F494" s="31"/>
      <c r="G494" s="31"/>
      <c r="H494" s="32"/>
      <c r="J494" s="33"/>
      <c r="K494" s="33"/>
      <c r="L494" s="33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5"/>
      <c r="AS494" s="35"/>
      <c r="AT494" s="35"/>
      <c r="AU494" s="31"/>
      <c r="AV494" s="36"/>
    </row>
    <row r="495" spans="1:48">
      <c r="A495" s="40"/>
      <c r="D495" s="31"/>
      <c r="E495" s="31"/>
      <c r="F495" s="31"/>
      <c r="G495" s="31"/>
      <c r="H495" s="32"/>
      <c r="J495" s="33"/>
      <c r="K495" s="33"/>
      <c r="L495" s="33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5"/>
      <c r="AS495" s="35"/>
      <c r="AT495" s="35"/>
      <c r="AU495" s="31"/>
      <c r="AV495" s="36"/>
    </row>
    <row r="496" spans="1:48">
      <c r="A496" s="40"/>
      <c r="D496" s="31"/>
      <c r="E496" s="31"/>
      <c r="F496" s="31"/>
      <c r="G496" s="31"/>
      <c r="H496" s="32"/>
      <c r="J496" s="33"/>
      <c r="K496" s="33"/>
      <c r="L496" s="33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5"/>
      <c r="AS496" s="35"/>
      <c r="AT496" s="35"/>
      <c r="AU496" s="31"/>
      <c r="AV496" s="36"/>
    </row>
    <row r="497" spans="1:48">
      <c r="A497" s="40"/>
      <c r="D497" s="31"/>
      <c r="E497" s="31"/>
      <c r="F497" s="31"/>
      <c r="G497" s="31"/>
      <c r="H497" s="32"/>
      <c r="J497" s="33"/>
      <c r="K497" s="33"/>
      <c r="L497" s="33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5"/>
      <c r="AS497" s="35"/>
      <c r="AT497" s="35"/>
      <c r="AU497" s="31"/>
      <c r="AV497" s="36"/>
    </row>
    <row r="498" spans="1:48">
      <c r="A498" s="40"/>
      <c r="D498" s="31"/>
      <c r="E498" s="31"/>
      <c r="F498" s="31"/>
      <c r="G498" s="31"/>
      <c r="H498" s="32"/>
      <c r="J498" s="33"/>
      <c r="K498" s="33"/>
      <c r="L498" s="33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5"/>
      <c r="AS498" s="35"/>
      <c r="AT498" s="35"/>
      <c r="AU498" s="31"/>
      <c r="AV498" s="36"/>
    </row>
    <row r="499" spans="1:48">
      <c r="A499" s="40"/>
      <c r="D499" s="31"/>
      <c r="E499" s="31"/>
      <c r="F499" s="31"/>
      <c r="G499" s="31"/>
      <c r="H499" s="32"/>
      <c r="J499" s="33"/>
      <c r="K499" s="33"/>
      <c r="L499" s="33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5"/>
      <c r="AS499" s="35"/>
      <c r="AT499" s="35"/>
      <c r="AU499" s="31"/>
      <c r="AV499" s="36"/>
    </row>
    <row r="500" spans="1:48">
      <c r="A500" s="40"/>
      <c r="D500" s="31"/>
      <c r="E500" s="31"/>
      <c r="F500" s="31"/>
      <c r="G500" s="31"/>
      <c r="H500" s="32"/>
      <c r="J500" s="33"/>
      <c r="K500" s="33"/>
      <c r="L500" s="33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5"/>
      <c r="AS500" s="35"/>
      <c r="AT500" s="35"/>
      <c r="AU500" s="31"/>
      <c r="AV500" s="36"/>
    </row>
    <row r="501" spans="1:48">
      <c r="A501" s="40"/>
      <c r="D501" s="31"/>
      <c r="E501" s="31"/>
      <c r="F501" s="31"/>
      <c r="G501" s="31"/>
      <c r="H501" s="32"/>
      <c r="J501" s="33"/>
      <c r="K501" s="33"/>
      <c r="L501" s="33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5"/>
      <c r="AS501" s="35"/>
      <c r="AT501" s="35"/>
      <c r="AU501" s="31"/>
      <c r="AV501" s="36"/>
    </row>
    <row r="502" spans="1:48">
      <c r="A502" s="40"/>
      <c r="D502" s="31"/>
      <c r="E502" s="31"/>
      <c r="F502" s="31"/>
      <c r="G502" s="31"/>
      <c r="H502" s="32"/>
      <c r="J502" s="33"/>
      <c r="K502" s="33"/>
      <c r="L502" s="33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5"/>
      <c r="AS502" s="35"/>
      <c r="AT502" s="35"/>
      <c r="AU502" s="31"/>
      <c r="AV502" s="36"/>
    </row>
    <row r="503" spans="1:48">
      <c r="A503" s="40"/>
      <c r="D503" s="31"/>
      <c r="E503" s="31"/>
      <c r="F503" s="31"/>
      <c r="G503" s="31"/>
      <c r="H503" s="32"/>
      <c r="J503" s="33"/>
      <c r="K503" s="33"/>
      <c r="L503" s="33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5"/>
      <c r="AS503" s="35"/>
      <c r="AT503" s="35"/>
      <c r="AU503" s="31"/>
      <c r="AV503" s="36"/>
    </row>
    <row r="504" spans="1:48">
      <c r="A504" s="40"/>
      <c r="D504" s="31"/>
      <c r="E504" s="31"/>
      <c r="F504" s="31"/>
      <c r="G504" s="31"/>
      <c r="H504" s="32"/>
      <c r="J504" s="33"/>
      <c r="K504" s="33"/>
      <c r="L504" s="33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5"/>
      <c r="AS504" s="35"/>
      <c r="AT504" s="35"/>
      <c r="AU504" s="31"/>
      <c r="AV504" s="36"/>
    </row>
    <row r="505" spans="1:48">
      <c r="A505" s="40"/>
      <c r="D505" s="31"/>
      <c r="E505" s="31"/>
      <c r="F505" s="31"/>
      <c r="G505" s="31"/>
      <c r="H505" s="32"/>
      <c r="J505" s="33"/>
      <c r="K505" s="33"/>
      <c r="L505" s="33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5"/>
      <c r="AS505" s="35"/>
      <c r="AT505" s="35"/>
      <c r="AU505" s="31"/>
      <c r="AV505" s="36"/>
    </row>
    <row r="506" spans="1:48">
      <c r="A506" s="40"/>
      <c r="D506" s="31"/>
      <c r="E506" s="31"/>
      <c r="F506" s="31"/>
      <c r="G506" s="31"/>
      <c r="H506" s="32"/>
      <c r="J506" s="33"/>
      <c r="K506" s="33"/>
      <c r="L506" s="33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5"/>
      <c r="AS506" s="35"/>
      <c r="AT506" s="35"/>
      <c r="AU506" s="31"/>
      <c r="AV506" s="36"/>
    </row>
    <row r="507" spans="1:48">
      <c r="A507" s="40"/>
      <c r="D507" s="31"/>
      <c r="E507" s="31"/>
      <c r="F507" s="31"/>
      <c r="G507" s="31"/>
      <c r="H507" s="32"/>
      <c r="J507" s="33"/>
      <c r="K507" s="33"/>
      <c r="L507" s="33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5"/>
      <c r="AS507" s="35"/>
      <c r="AT507" s="35"/>
      <c r="AU507" s="31"/>
      <c r="AV507" s="36"/>
    </row>
    <row r="508" spans="1:48">
      <c r="A508" s="40"/>
      <c r="D508" s="31"/>
      <c r="E508" s="31"/>
      <c r="F508" s="31"/>
      <c r="G508" s="31"/>
      <c r="H508" s="32"/>
      <c r="J508" s="33"/>
      <c r="K508" s="33"/>
      <c r="L508" s="33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5"/>
      <c r="AS508" s="35"/>
      <c r="AT508" s="35"/>
      <c r="AU508" s="31"/>
      <c r="AV508" s="36"/>
    </row>
    <row r="509" spans="1:48">
      <c r="A509" s="40"/>
      <c r="D509" s="31"/>
      <c r="E509" s="31"/>
      <c r="F509" s="31"/>
      <c r="G509" s="31"/>
      <c r="H509" s="32"/>
      <c r="J509" s="33"/>
      <c r="K509" s="33"/>
      <c r="L509" s="33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5"/>
      <c r="AS509" s="35"/>
      <c r="AT509" s="35"/>
      <c r="AU509" s="31"/>
      <c r="AV509" s="36"/>
    </row>
    <row r="510" spans="1:48">
      <c r="A510" s="40"/>
      <c r="D510" s="31"/>
      <c r="E510" s="31"/>
      <c r="F510" s="31"/>
      <c r="G510" s="31"/>
      <c r="H510" s="32"/>
      <c r="J510" s="33"/>
      <c r="K510" s="33"/>
      <c r="L510" s="33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5"/>
      <c r="AS510" s="35"/>
      <c r="AT510" s="35"/>
      <c r="AU510" s="31"/>
      <c r="AV510" s="36"/>
    </row>
    <row r="511" spans="1:47">
      <c r="A511" s="19"/>
      <c r="D511" s="31"/>
      <c r="E511" s="31"/>
      <c r="F511" s="31"/>
      <c r="G511" s="31"/>
      <c r="H511" s="32"/>
      <c r="J511" s="33"/>
      <c r="K511" s="33"/>
      <c r="L511" s="33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5"/>
      <c r="AS511" s="35"/>
      <c r="AT511" s="35"/>
      <c r="AU511" s="31"/>
    </row>
    <row r="512" spans="1:47">
      <c r="A512" s="19"/>
      <c r="D512" s="31"/>
      <c r="E512" s="31"/>
      <c r="F512" s="31"/>
      <c r="G512" s="31"/>
      <c r="H512" s="32"/>
      <c r="J512" s="33"/>
      <c r="K512" s="33"/>
      <c r="L512" s="33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5"/>
      <c r="AS512" s="35"/>
      <c r="AT512" s="35"/>
      <c r="AU512" s="31"/>
    </row>
    <row r="513" spans="1:47">
      <c r="A513" s="19"/>
      <c r="D513" s="31"/>
      <c r="E513" s="31"/>
      <c r="F513" s="31"/>
      <c r="G513" s="31"/>
      <c r="H513" s="32"/>
      <c r="J513" s="33"/>
      <c r="K513" s="33"/>
      <c r="L513" s="33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5"/>
      <c r="AS513" s="35"/>
      <c r="AT513" s="35"/>
      <c r="AU513" s="31"/>
    </row>
    <row r="514" spans="1:47">
      <c r="A514" s="19"/>
      <c r="D514" s="31"/>
      <c r="E514" s="31"/>
      <c r="F514" s="31"/>
      <c r="G514" s="31"/>
      <c r="H514" s="32"/>
      <c r="J514" s="33"/>
      <c r="K514" s="33"/>
      <c r="L514" s="33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5"/>
      <c r="AS514" s="35"/>
      <c r="AT514" s="35"/>
      <c r="AU514" s="31"/>
    </row>
    <row r="515" spans="1:47">
      <c r="A515" s="19"/>
      <c r="D515" s="31"/>
      <c r="E515" s="31"/>
      <c r="F515" s="31"/>
      <c r="G515" s="31"/>
      <c r="H515" s="32"/>
      <c r="J515" s="33"/>
      <c r="K515" s="33"/>
      <c r="L515" s="33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5"/>
      <c r="AS515" s="35"/>
      <c r="AT515" s="35"/>
      <c r="AU515" s="31"/>
    </row>
    <row r="516" spans="1:47">
      <c r="A516" s="19"/>
      <c r="D516" s="31"/>
      <c r="E516" s="31"/>
      <c r="F516" s="31"/>
      <c r="G516" s="31"/>
      <c r="H516" s="32"/>
      <c r="J516" s="33"/>
      <c r="K516" s="33"/>
      <c r="L516" s="33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5"/>
      <c r="AS516" s="35"/>
      <c r="AT516" s="35"/>
      <c r="AU516" s="31"/>
    </row>
    <row r="517" spans="1:47">
      <c r="A517" s="19"/>
      <c r="D517" s="31"/>
      <c r="E517" s="31"/>
      <c r="F517" s="31"/>
      <c r="G517" s="31"/>
      <c r="H517" s="32"/>
      <c r="J517" s="33"/>
      <c r="K517" s="33"/>
      <c r="L517" s="33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5"/>
      <c r="AS517" s="35"/>
      <c r="AT517" s="35"/>
      <c r="AU517" s="31"/>
    </row>
    <row r="518" spans="1:47">
      <c r="A518" s="19"/>
      <c r="D518" s="31"/>
      <c r="E518" s="31"/>
      <c r="F518" s="31"/>
      <c r="G518" s="31"/>
      <c r="H518" s="32"/>
      <c r="J518" s="33"/>
      <c r="K518" s="33"/>
      <c r="L518" s="33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5"/>
      <c r="AS518" s="35"/>
      <c r="AT518" s="35"/>
      <c r="AU518" s="31"/>
    </row>
    <row r="519" spans="1:47">
      <c r="A519" s="19"/>
      <c r="D519" s="31"/>
      <c r="E519" s="31"/>
      <c r="F519" s="31"/>
      <c r="G519" s="31"/>
      <c r="H519" s="32"/>
      <c r="J519" s="33"/>
      <c r="K519" s="33"/>
      <c r="L519" s="33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5"/>
      <c r="AS519" s="35"/>
      <c r="AT519" s="35"/>
      <c r="AU519" s="31"/>
    </row>
    <row r="520" spans="1:47">
      <c r="A520" s="19"/>
      <c r="D520" s="31"/>
      <c r="E520" s="31"/>
      <c r="F520" s="31"/>
      <c r="G520" s="31"/>
      <c r="H520" s="32"/>
      <c r="J520" s="33"/>
      <c r="K520" s="33"/>
      <c r="L520" s="33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5"/>
      <c r="AS520" s="35"/>
      <c r="AT520" s="35"/>
      <c r="AU520" s="31"/>
    </row>
    <row r="521" spans="1:47">
      <c r="A521" s="19"/>
      <c r="D521" s="31"/>
      <c r="E521" s="31"/>
      <c r="F521" s="31"/>
      <c r="G521" s="31"/>
      <c r="H521" s="32"/>
      <c r="J521" s="33"/>
      <c r="K521" s="33"/>
      <c r="L521" s="33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5"/>
      <c r="AS521" s="35"/>
      <c r="AT521" s="35"/>
      <c r="AU521" s="31"/>
    </row>
    <row r="522" spans="1:47">
      <c r="A522" s="19"/>
      <c r="D522" s="31"/>
      <c r="E522" s="31"/>
      <c r="F522" s="31"/>
      <c r="G522" s="31"/>
      <c r="H522" s="32"/>
      <c r="J522" s="33"/>
      <c r="K522" s="33"/>
      <c r="L522" s="33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5"/>
      <c r="AS522" s="35"/>
      <c r="AT522" s="35"/>
      <c r="AU522" s="31"/>
    </row>
    <row r="523" spans="1:47">
      <c r="A523" s="19"/>
      <c r="D523" s="31"/>
      <c r="E523" s="31"/>
      <c r="F523" s="31"/>
      <c r="G523" s="31"/>
      <c r="H523" s="32"/>
      <c r="J523" s="33"/>
      <c r="K523" s="33"/>
      <c r="L523" s="33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5"/>
      <c r="AS523" s="35"/>
      <c r="AT523" s="35"/>
      <c r="AU523" s="31"/>
    </row>
    <row r="524" spans="1:47">
      <c r="A524" s="19"/>
      <c r="D524" s="31"/>
      <c r="E524" s="31"/>
      <c r="F524" s="31"/>
      <c r="G524" s="31"/>
      <c r="H524" s="32"/>
      <c r="J524" s="33"/>
      <c r="K524" s="33"/>
      <c r="L524" s="33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5"/>
      <c r="AS524" s="35"/>
      <c r="AT524" s="35"/>
      <c r="AU524" s="31"/>
    </row>
    <row r="525" spans="1:47">
      <c r="A525" s="19"/>
      <c r="D525" s="31"/>
      <c r="E525" s="31"/>
      <c r="F525" s="31"/>
      <c r="G525" s="31"/>
      <c r="H525" s="32"/>
      <c r="J525" s="33"/>
      <c r="K525" s="33"/>
      <c r="L525" s="33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5"/>
      <c r="AS525" s="35"/>
      <c r="AT525" s="35"/>
      <c r="AU525" s="31"/>
    </row>
    <row r="526" spans="1:47">
      <c r="A526" s="19"/>
      <c r="D526" s="31"/>
      <c r="E526" s="31"/>
      <c r="F526" s="31"/>
      <c r="G526" s="31"/>
      <c r="H526" s="32"/>
      <c r="J526" s="33"/>
      <c r="K526" s="33"/>
      <c r="L526" s="33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5"/>
      <c r="AS526" s="35"/>
      <c r="AT526" s="35"/>
      <c r="AU526" s="31"/>
    </row>
    <row r="527" spans="1:47">
      <c r="A527" s="19"/>
      <c r="D527" s="31"/>
      <c r="E527" s="31"/>
      <c r="F527" s="31"/>
      <c r="G527" s="31"/>
      <c r="H527" s="32"/>
      <c r="J527" s="33"/>
      <c r="K527" s="33"/>
      <c r="L527" s="33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5"/>
      <c r="AS527" s="35"/>
      <c r="AT527" s="35"/>
      <c r="AU527" s="31"/>
    </row>
    <row r="528" spans="1:47">
      <c r="A528" s="19"/>
      <c r="D528" s="31"/>
      <c r="E528" s="31"/>
      <c r="F528" s="31"/>
      <c r="G528" s="31"/>
      <c r="H528" s="32"/>
      <c r="J528" s="33"/>
      <c r="K528" s="33"/>
      <c r="L528" s="33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5"/>
      <c r="AS528" s="35"/>
      <c r="AT528" s="35"/>
      <c r="AU528" s="31"/>
    </row>
    <row r="529" spans="1:47">
      <c r="A529" s="19"/>
      <c r="D529" s="31"/>
      <c r="E529" s="31"/>
      <c r="F529" s="31"/>
      <c r="G529" s="31"/>
      <c r="H529" s="32"/>
      <c r="J529" s="33"/>
      <c r="K529" s="33"/>
      <c r="L529" s="33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5"/>
      <c r="AS529" s="35"/>
      <c r="AT529" s="35"/>
      <c r="AU529" s="31"/>
    </row>
    <row r="530" spans="1:47">
      <c r="A530" s="19"/>
      <c r="D530" s="31"/>
      <c r="E530" s="31"/>
      <c r="F530" s="31"/>
      <c r="G530" s="31"/>
      <c r="H530" s="32"/>
      <c r="J530" s="33"/>
      <c r="K530" s="33"/>
      <c r="L530" s="33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5"/>
      <c r="AS530" s="35"/>
      <c r="AT530" s="35"/>
      <c r="AU530" s="31"/>
    </row>
    <row r="531" spans="1:47">
      <c r="A531" s="19"/>
      <c r="D531" s="31"/>
      <c r="E531" s="31"/>
      <c r="F531" s="31"/>
      <c r="G531" s="31"/>
      <c r="H531" s="32"/>
      <c r="J531" s="33"/>
      <c r="K531" s="33"/>
      <c r="L531" s="33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5"/>
      <c r="AS531" s="35"/>
      <c r="AT531" s="35"/>
      <c r="AU531" s="31"/>
    </row>
    <row r="532" spans="1:47">
      <c r="A532" s="19"/>
      <c r="D532" s="31"/>
      <c r="E532" s="31"/>
      <c r="F532" s="31"/>
      <c r="G532" s="31"/>
      <c r="H532" s="32"/>
      <c r="J532" s="33"/>
      <c r="K532" s="33"/>
      <c r="L532" s="33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5"/>
      <c r="AS532" s="35"/>
      <c r="AT532" s="35"/>
      <c r="AU532" s="31"/>
    </row>
    <row r="533" spans="1:47">
      <c r="A533" s="19"/>
      <c r="D533" s="31"/>
      <c r="E533" s="31"/>
      <c r="F533" s="31"/>
      <c r="G533" s="31"/>
      <c r="H533" s="32"/>
      <c r="J533" s="33"/>
      <c r="K533" s="33"/>
      <c r="L533" s="33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5"/>
      <c r="AS533" s="35"/>
      <c r="AT533" s="35"/>
      <c r="AU533" s="31"/>
    </row>
    <row r="534" spans="1:47">
      <c r="A534" s="19"/>
      <c r="D534" s="31"/>
      <c r="E534" s="31"/>
      <c r="F534" s="31"/>
      <c r="G534" s="31"/>
      <c r="H534" s="32"/>
      <c r="J534" s="33"/>
      <c r="K534" s="33"/>
      <c r="L534" s="33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5"/>
      <c r="AS534" s="35"/>
      <c r="AT534" s="35"/>
      <c r="AU534" s="31"/>
    </row>
    <row r="535" spans="1:47">
      <c r="A535" s="19"/>
      <c r="D535" s="31"/>
      <c r="E535" s="31"/>
      <c r="F535" s="31"/>
      <c r="G535" s="31"/>
      <c r="H535" s="32"/>
      <c r="J535" s="33"/>
      <c r="K535" s="33"/>
      <c r="L535" s="33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5"/>
      <c r="AS535" s="35"/>
      <c r="AT535" s="35"/>
      <c r="AU535" s="31"/>
    </row>
    <row r="536" spans="1:47">
      <c r="A536" s="19"/>
      <c r="D536" s="31"/>
      <c r="E536" s="31"/>
      <c r="F536" s="31"/>
      <c r="G536" s="31"/>
      <c r="H536" s="32"/>
      <c r="J536" s="33"/>
      <c r="K536" s="33"/>
      <c r="L536" s="33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5"/>
      <c r="AS536" s="35"/>
      <c r="AT536" s="35"/>
      <c r="AU536" s="31"/>
    </row>
    <row r="537" spans="1:47">
      <c r="A537" s="19"/>
      <c r="D537" s="31"/>
      <c r="E537" s="31"/>
      <c r="F537" s="31"/>
      <c r="G537" s="31"/>
      <c r="H537" s="32"/>
      <c r="J537" s="33"/>
      <c r="K537" s="33"/>
      <c r="L537" s="33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5"/>
      <c r="AS537" s="35"/>
      <c r="AT537" s="35"/>
      <c r="AU537" s="31"/>
    </row>
    <row r="538" spans="1:47">
      <c r="A538" s="19"/>
      <c r="D538" s="31"/>
      <c r="E538" s="31"/>
      <c r="F538" s="31"/>
      <c r="G538" s="31"/>
      <c r="H538" s="32"/>
      <c r="J538" s="33"/>
      <c r="K538" s="33"/>
      <c r="L538" s="33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5"/>
      <c r="AS538" s="35"/>
      <c r="AT538" s="35"/>
      <c r="AU538" s="31"/>
    </row>
    <row r="539" spans="1:47">
      <c r="A539" s="19"/>
      <c r="D539" s="31"/>
      <c r="E539" s="31"/>
      <c r="F539" s="31"/>
      <c r="G539" s="31"/>
      <c r="H539" s="32"/>
      <c r="J539" s="33"/>
      <c r="K539" s="33"/>
      <c r="L539" s="33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5"/>
      <c r="AS539" s="35"/>
      <c r="AT539" s="35"/>
      <c r="AU539" s="31"/>
    </row>
    <row r="540" spans="1:47">
      <c r="A540" s="19"/>
      <c r="D540" s="31"/>
      <c r="E540" s="31"/>
      <c r="F540" s="31"/>
      <c r="G540" s="31"/>
      <c r="H540" s="32"/>
      <c r="J540" s="33"/>
      <c r="K540" s="33"/>
      <c r="L540" s="33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5"/>
      <c r="AS540" s="35"/>
      <c r="AT540" s="35"/>
      <c r="AU540" s="31"/>
    </row>
    <row r="541" spans="1:47">
      <c r="A541" s="19"/>
      <c r="D541" s="31"/>
      <c r="E541" s="31"/>
      <c r="F541" s="31"/>
      <c r="G541" s="31"/>
      <c r="H541" s="32"/>
      <c r="J541" s="33"/>
      <c r="K541" s="33"/>
      <c r="L541" s="33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5"/>
      <c r="AS541" s="35"/>
      <c r="AT541" s="35"/>
      <c r="AU541" s="31"/>
    </row>
    <row r="542" spans="1:47">
      <c r="A542" s="19"/>
      <c r="D542" s="31"/>
      <c r="E542" s="31"/>
      <c r="F542" s="31"/>
      <c r="G542" s="31"/>
      <c r="H542" s="32"/>
      <c r="J542" s="33"/>
      <c r="K542" s="33"/>
      <c r="L542" s="33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5"/>
      <c r="AS542" s="35"/>
      <c r="AT542" s="35"/>
      <c r="AU542" s="31"/>
    </row>
    <row r="543" spans="1:47">
      <c r="A543" s="19"/>
      <c r="D543" s="31"/>
      <c r="E543" s="31"/>
      <c r="F543" s="31"/>
      <c r="G543" s="31"/>
      <c r="H543" s="32"/>
      <c r="J543" s="33"/>
      <c r="K543" s="33"/>
      <c r="L543" s="33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5"/>
      <c r="AS543" s="35"/>
      <c r="AT543" s="35"/>
      <c r="AU543" s="31"/>
    </row>
    <row r="544" spans="1:47">
      <c r="A544" s="19"/>
      <c r="D544" s="31"/>
      <c r="E544" s="31"/>
      <c r="F544" s="31"/>
      <c r="G544" s="31"/>
      <c r="H544" s="32"/>
      <c r="J544" s="33"/>
      <c r="K544" s="33"/>
      <c r="L544" s="33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5"/>
      <c r="AS544" s="35"/>
      <c r="AT544" s="35"/>
      <c r="AU544" s="31"/>
    </row>
    <row r="545" spans="1:47">
      <c r="A545" s="19"/>
      <c r="D545" s="31"/>
      <c r="E545" s="31"/>
      <c r="F545" s="31"/>
      <c r="G545" s="31"/>
      <c r="H545" s="32"/>
      <c r="J545" s="33"/>
      <c r="K545" s="33"/>
      <c r="L545" s="33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5"/>
      <c r="AS545" s="35"/>
      <c r="AT545" s="35"/>
      <c r="AU545" s="31"/>
    </row>
    <row r="546" spans="1:47">
      <c r="A546" s="19"/>
      <c r="D546" s="31"/>
      <c r="E546" s="31"/>
      <c r="F546" s="31"/>
      <c r="G546" s="31"/>
      <c r="H546" s="32"/>
      <c r="J546" s="33"/>
      <c r="K546" s="33"/>
      <c r="L546" s="33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5"/>
      <c r="AS546" s="35"/>
      <c r="AT546" s="35"/>
      <c r="AU546" s="31"/>
    </row>
    <row r="547" spans="1:47">
      <c r="A547" s="19"/>
      <c r="D547" s="31"/>
      <c r="E547" s="31"/>
      <c r="F547" s="31"/>
      <c r="G547" s="31"/>
      <c r="H547" s="32"/>
      <c r="J547" s="33"/>
      <c r="K547" s="33"/>
      <c r="L547" s="33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5"/>
      <c r="AS547" s="35"/>
      <c r="AT547" s="35"/>
      <c r="AU547" s="31"/>
    </row>
    <row r="548" spans="1:47">
      <c r="A548" s="19"/>
      <c r="D548" s="31"/>
      <c r="E548" s="31"/>
      <c r="F548" s="31"/>
      <c r="G548" s="31"/>
      <c r="H548" s="32"/>
      <c r="J548" s="33"/>
      <c r="K548" s="33"/>
      <c r="L548" s="33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5"/>
      <c r="AS548" s="35"/>
      <c r="AT548" s="35"/>
      <c r="AU548" s="31"/>
    </row>
    <row r="549" spans="1:47">
      <c r="A549" s="19"/>
      <c r="D549" s="31"/>
      <c r="E549" s="31"/>
      <c r="F549" s="31"/>
      <c r="G549" s="31"/>
      <c r="H549" s="32"/>
      <c r="J549" s="33"/>
      <c r="K549" s="33"/>
      <c r="L549" s="33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5"/>
      <c r="AS549" s="35"/>
      <c r="AT549" s="35"/>
      <c r="AU549" s="31"/>
    </row>
    <row r="550" spans="1:47">
      <c r="A550" s="19"/>
      <c r="D550" s="31"/>
      <c r="E550" s="31"/>
      <c r="F550" s="31"/>
      <c r="G550" s="31"/>
      <c r="H550" s="32"/>
      <c r="J550" s="33"/>
      <c r="K550" s="33"/>
      <c r="L550" s="33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5"/>
      <c r="AS550" s="35"/>
      <c r="AT550" s="35"/>
      <c r="AU550" s="31"/>
    </row>
    <row r="551" spans="1:47">
      <c r="A551" s="19"/>
      <c r="D551" s="31"/>
      <c r="E551" s="31"/>
      <c r="F551" s="31"/>
      <c r="G551" s="31"/>
      <c r="H551" s="32"/>
      <c r="J551" s="33"/>
      <c r="K551" s="33"/>
      <c r="L551" s="33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5"/>
      <c r="AS551" s="35"/>
      <c r="AT551" s="35"/>
      <c r="AU551" s="31"/>
    </row>
    <row r="552" spans="1:47">
      <c r="A552" s="19"/>
      <c r="D552" s="31"/>
      <c r="E552" s="31"/>
      <c r="F552" s="31"/>
      <c r="G552" s="31"/>
      <c r="H552" s="32"/>
      <c r="J552" s="33"/>
      <c r="K552" s="33"/>
      <c r="L552" s="33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5"/>
      <c r="AS552" s="35"/>
      <c r="AT552" s="35"/>
      <c r="AU552" s="31"/>
    </row>
    <row r="553" spans="1:47">
      <c r="A553" s="19"/>
      <c r="D553" s="31"/>
      <c r="E553" s="31"/>
      <c r="F553" s="31"/>
      <c r="G553" s="31"/>
      <c r="H553" s="32"/>
      <c r="J553" s="33"/>
      <c r="K553" s="33"/>
      <c r="L553" s="33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5"/>
      <c r="AS553" s="35"/>
      <c r="AT553" s="35"/>
      <c r="AU553" s="31"/>
    </row>
    <row r="554" spans="1:47">
      <c r="A554" s="19"/>
      <c r="D554" s="31"/>
      <c r="E554" s="31"/>
      <c r="F554" s="31"/>
      <c r="G554" s="31"/>
      <c r="H554" s="32"/>
      <c r="J554" s="33"/>
      <c r="K554" s="33"/>
      <c r="L554" s="33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5"/>
      <c r="AS554" s="35"/>
      <c r="AT554" s="35"/>
      <c r="AU554" s="31"/>
    </row>
    <row r="555" spans="1:47">
      <c r="A555" s="19"/>
      <c r="D555" s="31"/>
      <c r="E555" s="31"/>
      <c r="F555" s="31"/>
      <c r="G555" s="31"/>
      <c r="H555" s="32"/>
      <c r="J555" s="33"/>
      <c r="K555" s="33"/>
      <c r="L555" s="33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5"/>
      <c r="AS555" s="35"/>
      <c r="AT555" s="35"/>
      <c r="AU555" s="31"/>
    </row>
    <row r="556" spans="1:47">
      <c r="A556" s="19"/>
      <c r="D556" s="31"/>
      <c r="E556" s="31"/>
      <c r="F556" s="31"/>
      <c r="G556" s="31"/>
      <c r="H556" s="32"/>
      <c r="J556" s="33"/>
      <c r="K556" s="33"/>
      <c r="L556" s="33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5"/>
      <c r="AS556" s="35"/>
      <c r="AT556" s="35"/>
      <c r="AU556" s="31"/>
    </row>
    <row r="557" spans="1:47">
      <c r="A557" s="19"/>
      <c r="D557" s="31"/>
      <c r="E557" s="31"/>
      <c r="F557" s="31"/>
      <c r="G557" s="31"/>
      <c r="H557" s="32"/>
      <c r="J557" s="33"/>
      <c r="K557" s="33"/>
      <c r="L557" s="33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5"/>
      <c r="AS557" s="35"/>
      <c r="AT557" s="35"/>
      <c r="AU557" s="31"/>
    </row>
    <row r="558" spans="1:47">
      <c r="A558" s="19"/>
      <c r="D558" s="31"/>
      <c r="E558" s="31"/>
      <c r="F558" s="31"/>
      <c r="G558" s="31"/>
      <c r="H558" s="32"/>
      <c r="J558" s="33"/>
      <c r="K558" s="33"/>
      <c r="L558" s="33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5"/>
      <c r="AS558" s="35"/>
      <c r="AT558" s="35"/>
      <c r="AU558" s="31"/>
    </row>
    <row r="559" spans="1:47">
      <c r="A559" s="19"/>
      <c r="D559" s="31"/>
      <c r="E559" s="31"/>
      <c r="F559" s="31"/>
      <c r="G559" s="31"/>
      <c r="H559" s="32"/>
      <c r="J559" s="33"/>
      <c r="K559" s="33"/>
      <c r="L559" s="33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5"/>
      <c r="AS559" s="35"/>
      <c r="AT559" s="35"/>
      <c r="AU559" s="31"/>
    </row>
    <row r="560" spans="1:47">
      <c r="A560" s="19"/>
      <c r="D560" s="31"/>
      <c r="E560" s="31"/>
      <c r="F560" s="31"/>
      <c r="G560" s="31"/>
      <c r="H560" s="32"/>
      <c r="J560" s="33"/>
      <c r="K560" s="33"/>
      <c r="L560" s="33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5"/>
      <c r="AS560" s="35"/>
      <c r="AT560" s="35"/>
      <c r="AU560" s="31"/>
    </row>
    <row r="561" spans="1:47">
      <c r="A561" s="19"/>
      <c r="D561" s="31"/>
      <c r="E561" s="31"/>
      <c r="F561" s="31"/>
      <c r="G561" s="31"/>
      <c r="H561" s="32"/>
      <c r="J561" s="33"/>
      <c r="K561" s="33"/>
      <c r="L561" s="33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5"/>
      <c r="AS561" s="35"/>
      <c r="AT561" s="35"/>
      <c r="AU561" s="31"/>
    </row>
    <row r="562" spans="1:47">
      <c r="A562" s="19"/>
      <c r="D562" s="31"/>
      <c r="E562" s="31"/>
      <c r="F562" s="31"/>
      <c r="G562" s="31"/>
      <c r="H562" s="32"/>
      <c r="J562" s="33"/>
      <c r="K562" s="33"/>
      <c r="L562" s="33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5"/>
      <c r="AS562" s="35"/>
      <c r="AT562" s="35"/>
      <c r="AU562" s="31"/>
    </row>
    <row r="563" spans="1:47">
      <c r="A563" s="19"/>
      <c r="D563" s="31"/>
      <c r="E563" s="31"/>
      <c r="F563" s="31"/>
      <c r="G563" s="31"/>
      <c r="H563" s="32"/>
      <c r="J563" s="33"/>
      <c r="K563" s="33"/>
      <c r="L563" s="33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5"/>
      <c r="AS563" s="35"/>
      <c r="AT563" s="35"/>
      <c r="AU563" s="31"/>
    </row>
    <row r="564" spans="1:47">
      <c r="A564" s="19"/>
      <c r="D564" s="31"/>
      <c r="E564" s="31"/>
      <c r="F564" s="31"/>
      <c r="G564" s="31"/>
      <c r="H564" s="32"/>
      <c r="J564" s="33"/>
      <c r="K564" s="33"/>
      <c r="L564" s="33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5"/>
      <c r="AS564" s="35"/>
      <c r="AT564" s="35"/>
      <c r="AU564" s="31"/>
    </row>
    <row r="565" spans="1:47">
      <c r="A565" s="19"/>
      <c r="D565" s="31"/>
      <c r="E565" s="31"/>
      <c r="F565" s="31"/>
      <c r="G565" s="31"/>
      <c r="H565" s="32"/>
      <c r="J565" s="33"/>
      <c r="K565" s="33"/>
      <c r="L565" s="33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5"/>
      <c r="AS565" s="35"/>
      <c r="AT565" s="35"/>
      <c r="AU565" s="31"/>
    </row>
    <row r="566" spans="1:47">
      <c r="A566" s="19"/>
      <c r="D566" s="31"/>
      <c r="E566" s="31"/>
      <c r="F566" s="31"/>
      <c r="G566" s="31"/>
      <c r="H566" s="32"/>
      <c r="J566" s="33"/>
      <c r="K566" s="33"/>
      <c r="L566" s="33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5"/>
      <c r="AS566" s="35"/>
      <c r="AT566" s="35"/>
      <c r="AU566" s="31"/>
    </row>
    <row r="567" spans="1:47">
      <c r="A567" s="19"/>
      <c r="D567" s="31"/>
      <c r="E567" s="31"/>
      <c r="F567" s="31"/>
      <c r="G567" s="31"/>
      <c r="H567" s="32"/>
      <c r="J567" s="33"/>
      <c r="K567" s="33"/>
      <c r="L567" s="33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5"/>
      <c r="AS567" s="35"/>
      <c r="AT567" s="35"/>
      <c r="AU567" s="31"/>
    </row>
    <row r="568" spans="1:47">
      <c r="A568" s="19"/>
      <c r="D568" s="31"/>
      <c r="E568" s="31"/>
      <c r="F568" s="31"/>
      <c r="G568" s="31"/>
      <c r="H568" s="32"/>
      <c r="J568" s="33"/>
      <c r="K568" s="33"/>
      <c r="L568" s="33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5"/>
      <c r="AS568" s="35"/>
      <c r="AT568" s="35"/>
      <c r="AU568" s="31"/>
    </row>
    <row r="569" spans="1:47">
      <c r="A569" s="19"/>
      <c r="D569" s="31"/>
      <c r="E569" s="31"/>
      <c r="F569" s="31"/>
      <c r="G569" s="31"/>
      <c r="H569" s="32"/>
      <c r="J569" s="33"/>
      <c r="K569" s="33"/>
      <c r="L569" s="33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5"/>
      <c r="AS569" s="35"/>
      <c r="AT569" s="35"/>
      <c r="AU569" s="31"/>
    </row>
    <row r="570" spans="1:47">
      <c r="A570" s="19"/>
      <c r="D570" s="31"/>
      <c r="E570" s="31"/>
      <c r="F570" s="31"/>
      <c r="G570" s="31"/>
      <c r="H570" s="32"/>
      <c r="J570" s="33"/>
      <c r="K570" s="33"/>
      <c r="L570" s="33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5"/>
      <c r="AS570" s="35"/>
      <c r="AT570" s="35"/>
      <c r="AU570" s="31"/>
    </row>
    <row r="571" spans="1:47">
      <c r="A571" s="19"/>
      <c r="D571" s="31"/>
      <c r="E571" s="31"/>
      <c r="F571" s="31"/>
      <c r="G571" s="31"/>
      <c r="H571" s="32"/>
      <c r="J571" s="33"/>
      <c r="K571" s="33"/>
      <c r="L571" s="33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5"/>
      <c r="AS571" s="35"/>
      <c r="AT571" s="35"/>
      <c r="AU571" s="31"/>
    </row>
    <row r="572" spans="1:47">
      <c r="A572" s="19"/>
      <c r="D572" s="31"/>
      <c r="E572" s="31"/>
      <c r="F572" s="31"/>
      <c r="G572" s="31"/>
      <c r="H572" s="32"/>
      <c r="J572" s="33"/>
      <c r="K572" s="33"/>
      <c r="L572" s="33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5"/>
      <c r="AS572" s="35"/>
      <c r="AT572" s="35"/>
      <c r="AU572" s="31"/>
    </row>
    <row r="573" spans="1:47">
      <c r="A573" s="19"/>
      <c r="D573" s="31"/>
      <c r="E573" s="31"/>
      <c r="F573" s="31"/>
      <c r="G573" s="31"/>
      <c r="H573" s="32"/>
      <c r="J573" s="33"/>
      <c r="K573" s="33"/>
      <c r="L573" s="33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5"/>
      <c r="AS573" s="35"/>
      <c r="AT573" s="35"/>
      <c r="AU573" s="31"/>
    </row>
    <row r="574" spans="1:47">
      <c r="A574" s="19"/>
      <c r="D574" s="31"/>
      <c r="E574" s="31"/>
      <c r="F574" s="31"/>
      <c r="G574" s="31"/>
      <c r="H574" s="32"/>
      <c r="J574" s="33"/>
      <c r="K574" s="33"/>
      <c r="L574" s="33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5"/>
      <c r="AS574" s="35"/>
      <c r="AT574" s="35"/>
      <c r="AU574" s="31"/>
    </row>
    <row r="575" spans="1:47">
      <c r="A575" s="19"/>
      <c r="D575" s="31"/>
      <c r="E575" s="31"/>
      <c r="F575" s="31"/>
      <c r="G575" s="31"/>
      <c r="H575" s="32"/>
      <c r="J575" s="33"/>
      <c r="K575" s="33"/>
      <c r="L575" s="33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5"/>
      <c r="AS575" s="35"/>
      <c r="AT575" s="35"/>
      <c r="AU575" s="31"/>
    </row>
    <row r="576" spans="1:47">
      <c r="A576" s="19"/>
      <c r="D576" s="31"/>
      <c r="E576" s="31"/>
      <c r="F576" s="31"/>
      <c r="G576" s="31"/>
      <c r="H576" s="32"/>
      <c r="J576" s="33"/>
      <c r="K576" s="33"/>
      <c r="L576" s="33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5"/>
      <c r="AS576" s="35"/>
      <c r="AT576" s="35"/>
      <c r="AU576" s="31"/>
    </row>
    <row r="577" spans="1:47">
      <c r="A577" s="19"/>
      <c r="D577" s="31"/>
      <c r="E577" s="31"/>
      <c r="F577" s="31"/>
      <c r="G577" s="31"/>
      <c r="H577" s="32"/>
      <c r="J577" s="33"/>
      <c r="K577" s="33"/>
      <c r="L577" s="33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5"/>
      <c r="AS577" s="35"/>
      <c r="AT577" s="35"/>
      <c r="AU577" s="31"/>
    </row>
    <row r="578" spans="1:47">
      <c r="A578" s="19"/>
      <c r="D578" s="31"/>
      <c r="E578" s="31"/>
      <c r="F578" s="31"/>
      <c r="G578" s="31"/>
      <c r="H578" s="32"/>
      <c r="J578" s="33"/>
      <c r="K578" s="33"/>
      <c r="L578" s="33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5"/>
      <c r="AS578" s="35"/>
      <c r="AT578" s="35"/>
      <c r="AU578" s="31"/>
    </row>
    <row r="579" spans="1:47">
      <c r="A579" s="19"/>
      <c r="D579" s="31"/>
      <c r="E579" s="31"/>
      <c r="F579" s="31"/>
      <c r="G579" s="31"/>
      <c r="H579" s="32"/>
      <c r="J579" s="33"/>
      <c r="K579" s="33"/>
      <c r="L579" s="33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5"/>
      <c r="AS579" s="35"/>
      <c r="AT579" s="35"/>
      <c r="AU579" s="31"/>
    </row>
    <row r="580" spans="1:47">
      <c r="A580" s="19"/>
      <c r="D580" s="31"/>
      <c r="E580" s="31"/>
      <c r="F580" s="31"/>
      <c r="G580" s="31"/>
      <c r="H580" s="32"/>
      <c r="J580" s="33"/>
      <c r="K580" s="33"/>
      <c r="L580" s="33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5"/>
      <c r="AS580" s="35"/>
      <c r="AT580" s="35"/>
      <c r="AU580" s="31"/>
    </row>
    <row r="581" spans="1:47">
      <c r="A581" s="19"/>
      <c r="D581" s="31"/>
      <c r="E581" s="31"/>
      <c r="F581" s="31"/>
      <c r="G581" s="31"/>
      <c r="H581" s="32"/>
      <c r="J581" s="33"/>
      <c r="K581" s="33"/>
      <c r="L581" s="33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5"/>
      <c r="AS581" s="35"/>
      <c r="AT581" s="35"/>
      <c r="AU581" s="31"/>
    </row>
    <row r="582" spans="1:47">
      <c r="A582" s="19"/>
      <c r="D582" s="31"/>
      <c r="E582" s="31"/>
      <c r="F582" s="31"/>
      <c r="G582" s="31"/>
      <c r="H582" s="32"/>
      <c r="J582" s="33"/>
      <c r="K582" s="33"/>
      <c r="L582" s="33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5"/>
      <c r="AS582" s="35"/>
      <c r="AT582" s="35"/>
      <c r="AU582" s="31"/>
    </row>
    <row r="583" spans="4:47">
      <c r="D583" s="31"/>
      <c r="E583" s="31"/>
      <c r="F583" s="31"/>
      <c r="G583" s="31"/>
      <c r="H583" s="32"/>
      <c r="J583" s="33"/>
      <c r="K583" s="33"/>
      <c r="L583" s="33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5"/>
      <c r="AS583" s="35"/>
      <c r="AT583" s="35"/>
      <c r="AU583" s="31"/>
    </row>
    <row r="584" spans="4:47">
      <c r="D584" s="31"/>
      <c r="E584" s="31"/>
      <c r="F584" s="31"/>
      <c r="G584" s="31"/>
      <c r="H584" s="32"/>
      <c r="J584" s="33"/>
      <c r="K584" s="33"/>
      <c r="L584" s="33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5"/>
      <c r="AS584" s="35"/>
      <c r="AT584" s="35"/>
      <c r="AU584" s="31"/>
    </row>
    <row r="585" spans="4:47">
      <c r="D585" s="31"/>
      <c r="E585" s="31"/>
      <c r="F585" s="31"/>
      <c r="G585" s="31"/>
      <c r="H585" s="32"/>
      <c r="J585" s="33"/>
      <c r="K585" s="33"/>
      <c r="L585" s="33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5"/>
      <c r="AS585" s="35"/>
      <c r="AT585" s="35"/>
      <c r="AU585" s="31"/>
    </row>
    <row r="586" spans="4:47">
      <c r="D586" s="31"/>
      <c r="E586" s="31"/>
      <c r="F586" s="31"/>
      <c r="G586" s="31"/>
      <c r="H586" s="32"/>
      <c r="J586" s="33"/>
      <c r="K586" s="33"/>
      <c r="L586" s="33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5"/>
      <c r="AS586" s="35"/>
      <c r="AT586" s="35"/>
      <c r="AU586" s="31"/>
    </row>
    <row r="587" spans="4:47">
      <c r="D587" s="31"/>
      <c r="E587" s="31"/>
      <c r="F587" s="31"/>
      <c r="G587" s="31"/>
      <c r="H587" s="32"/>
      <c r="J587" s="33"/>
      <c r="K587" s="33"/>
      <c r="L587" s="33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5"/>
      <c r="AS587" s="35"/>
      <c r="AT587" s="35"/>
      <c r="AU587" s="31"/>
    </row>
    <row r="588" spans="4:47">
      <c r="D588" s="31"/>
      <c r="E588" s="31"/>
      <c r="F588" s="31"/>
      <c r="G588" s="31"/>
      <c r="H588" s="32"/>
      <c r="J588" s="33"/>
      <c r="K588" s="33"/>
      <c r="L588" s="33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5"/>
      <c r="AS588" s="35"/>
      <c r="AT588" s="35"/>
      <c r="AU588" s="31"/>
    </row>
    <row r="589" spans="4:47">
      <c r="D589" s="31"/>
      <c r="E589" s="31"/>
      <c r="F589" s="31"/>
      <c r="G589" s="31"/>
      <c r="H589" s="32"/>
      <c r="J589" s="33"/>
      <c r="K589" s="33"/>
      <c r="L589" s="33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5"/>
      <c r="AS589" s="35"/>
      <c r="AT589" s="35"/>
      <c r="AU589" s="31"/>
    </row>
    <row r="590" spans="4:47">
      <c r="D590" s="31"/>
      <c r="E590" s="31"/>
      <c r="F590" s="31"/>
      <c r="G590" s="31"/>
      <c r="H590" s="32"/>
      <c r="J590" s="33"/>
      <c r="K590" s="33"/>
      <c r="L590" s="33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5"/>
      <c r="AS590" s="35"/>
      <c r="AT590" s="35"/>
      <c r="AU590" s="31"/>
    </row>
    <row r="591" spans="4:47">
      <c r="D591" s="31"/>
      <c r="E591" s="31"/>
      <c r="F591" s="31"/>
      <c r="G591" s="31"/>
      <c r="H591" s="32"/>
      <c r="J591" s="33"/>
      <c r="K591" s="33"/>
      <c r="L591" s="33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5"/>
      <c r="AS591" s="35"/>
      <c r="AT591" s="35"/>
      <c r="AU591" s="31"/>
    </row>
    <row r="592" spans="4:47">
      <c r="D592" s="31"/>
      <c r="E592" s="31"/>
      <c r="F592" s="31"/>
      <c r="G592" s="31"/>
      <c r="H592" s="32"/>
      <c r="J592" s="33"/>
      <c r="K592" s="33"/>
      <c r="L592" s="33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5"/>
      <c r="AS592" s="35"/>
      <c r="AT592" s="35"/>
      <c r="AU592" s="31"/>
    </row>
    <row r="593" spans="4:47">
      <c r="D593" s="31"/>
      <c r="E593" s="31"/>
      <c r="F593" s="31"/>
      <c r="G593" s="31"/>
      <c r="H593" s="32"/>
      <c r="J593" s="33"/>
      <c r="K593" s="33"/>
      <c r="L593" s="33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5"/>
      <c r="AS593" s="35"/>
      <c r="AT593" s="35"/>
      <c r="AU593" s="31"/>
    </row>
    <row r="594" spans="4:47">
      <c r="D594" s="31"/>
      <c r="E594" s="31"/>
      <c r="F594" s="31"/>
      <c r="G594" s="31"/>
      <c r="H594" s="32"/>
      <c r="J594" s="33"/>
      <c r="K594" s="33"/>
      <c r="L594" s="33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5"/>
      <c r="AS594" s="35"/>
      <c r="AT594" s="35"/>
      <c r="AU594" s="31"/>
    </row>
    <row r="595" spans="4:47">
      <c r="D595" s="31"/>
      <c r="E595" s="31"/>
      <c r="F595" s="31"/>
      <c r="G595" s="31"/>
      <c r="H595" s="32"/>
      <c r="J595" s="33"/>
      <c r="K595" s="33"/>
      <c r="L595" s="33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5"/>
      <c r="AS595" s="35"/>
      <c r="AT595" s="35"/>
      <c r="AU595" s="31"/>
    </row>
    <row r="596" spans="4:47">
      <c r="D596" s="31"/>
      <c r="E596" s="31"/>
      <c r="F596" s="31"/>
      <c r="G596" s="31"/>
      <c r="H596" s="32"/>
      <c r="J596" s="33"/>
      <c r="K596" s="33"/>
      <c r="L596" s="33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5"/>
      <c r="AS596" s="35"/>
      <c r="AT596" s="35"/>
      <c r="AU596" s="31"/>
    </row>
    <row r="597" spans="4:47">
      <c r="D597" s="31"/>
      <c r="E597" s="31"/>
      <c r="F597" s="31"/>
      <c r="G597" s="31"/>
      <c r="H597" s="32"/>
      <c r="J597" s="33"/>
      <c r="K597" s="33"/>
      <c r="L597" s="33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5"/>
      <c r="AS597" s="35"/>
      <c r="AT597" s="35"/>
      <c r="AU597" s="31"/>
    </row>
    <row r="598" spans="4:47">
      <c r="D598" s="31"/>
      <c r="E598" s="31"/>
      <c r="F598" s="31"/>
      <c r="G598" s="31"/>
      <c r="H598" s="32"/>
      <c r="J598" s="33"/>
      <c r="K598" s="33"/>
      <c r="L598" s="33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5"/>
      <c r="AS598" s="35"/>
      <c r="AT598" s="35"/>
      <c r="AU598" s="31"/>
    </row>
    <row r="599" spans="4:47">
      <c r="D599" s="31"/>
      <c r="E599" s="31"/>
      <c r="F599" s="31"/>
      <c r="G599" s="31"/>
      <c r="H599" s="32"/>
      <c r="J599" s="33"/>
      <c r="K599" s="33"/>
      <c r="L599" s="33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5"/>
      <c r="AS599" s="35"/>
      <c r="AT599" s="35"/>
      <c r="AU599" s="31"/>
    </row>
    <row r="600" spans="4:47">
      <c r="D600" s="31"/>
      <c r="E600" s="31"/>
      <c r="F600" s="31"/>
      <c r="G600" s="31"/>
      <c r="H600" s="32"/>
      <c r="J600" s="33"/>
      <c r="K600" s="33"/>
      <c r="L600" s="33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5"/>
      <c r="AS600" s="35"/>
      <c r="AT600" s="35"/>
      <c r="AU600" s="31"/>
    </row>
    <row r="601" spans="4:47">
      <c r="D601" s="31"/>
      <c r="E601" s="31"/>
      <c r="F601" s="31"/>
      <c r="G601" s="31"/>
      <c r="H601" s="32"/>
      <c r="J601" s="33"/>
      <c r="K601" s="33"/>
      <c r="L601" s="33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5"/>
      <c r="AS601" s="35"/>
      <c r="AT601" s="35"/>
      <c r="AU601" s="31"/>
    </row>
    <row r="602" spans="4:47">
      <c r="D602" s="31"/>
      <c r="E602" s="31"/>
      <c r="F602" s="31"/>
      <c r="G602" s="31"/>
      <c r="H602" s="32"/>
      <c r="J602" s="33"/>
      <c r="K602" s="33"/>
      <c r="L602" s="33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5"/>
      <c r="AS602" s="35"/>
      <c r="AT602" s="35"/>
      <c r="AU602" s="31"/>
    </row>
    <row r="603" spans="4:47">
      <c r="D603" s="31"/>
      <c r="E603" s="31"/>
      <c r="F603" s="31"/>
      <c r="G603" s="31"/>
      <c r="H603" s="32"/>
      <c r="J603" s="33"/>
      <c r="K603" s="33"/>
      <c r="L603" s="33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5"/>
      <c r="AS603" s="35"/>
      <c r="AT603" s="35"/>
      <c r="AU603" s="31"/>
    </row>
    <row r="604" spans="4:47">
      <c r="D604" s="31"/>
      <c r="E604" s="31"/>
      <c r="F604" s="31"/>
      <c r="G604" s="31"/>
      <c r="H604" s="32"/>
      <c r="J604" s="33"/>
      <c r="K604" s="33"/>
      <c r="L604" s="33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5"/>
      <c r="AS604" s="35"/>
      <c r="AT604" s="35"/>
      <c r="AU604" s="31"/>
    </row>
    <row r="605" spans="4:47">
      <c r="D605" s="31"/>
      <c r="E605" s="31"/>
      <c r="F605" s="31"/>
      <c r="G605" s="31"/>
      <c r="H605" s="32"/>
      <c r="J605" s="33"/>
      <c r="K605" s="33"/>
      <c r="L605" s="33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5"/>
      <c r="AS605" s="35"/>
      <c r="AT605" s="35"/>
      <c r="AU605" s="31"/>
    </row>
    <row r="606" spans="4:47">
      <c r="D606" s="31"/>
      <c r="E606" s="31"/>
      <c r="F606" s="31"/>
      <c r="G606" s="31"/>
      <c r="H606" s="32"/>
      <c r="J606" s="33"/>
      <c r="K606" s="33"/>
      <c r="L606" s="33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5"/>
      <c r="AS606" s="35"/>
      <c r="AT606" s="35"/>
      <c r="AU606" s="31"/>
    </row>
    <row r="607" spans="4:47">
      <c r="D607" s="31"/>
      <c r="E607" s="31"/>
      <c r="F607" s="31"/>
      <c r="G607" s="31"/>
      <c r="H607" s="32"/>
      <c r="J607" s="33"/>
      <c r="K607" s="33"/>
      <c r="L607" s="33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5"/>
      <c r="AS607" s="35"/>
      <c r="AT607" s="35"/>
      <c r="AU607" s="31"/>
    </row>
    <row r="608" spans="4:47">
      <c r="D608" s="31"/>
      <c r="E608" s="31"/>
      <c r="F608" s="31"/>
      <c r="G608" s="31"/>
      <c r="H608" s="32"/>
      <c r="J608" s="33"/>
      <c r="K608" s="33"/>
      <c r="L608" s="33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5"/>
      <c r="AS608" s="35"/>
      <c r="AT608" s="35"/>
      <c r="AU608" s="31"/>
    </row>
    <row r="609" spans="4:47">
      <c r="D609" s="31"/>
      <c r="E609" s="31"/>
      <c r="F609" s="31"/>
      <c r="G609" s="31"/>
      <c r="H609" s="32"/>
      <c r="J609" s="33"/>
      <c r="K609" s="33"/>
      <c r="L609" s="33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5"/>
      <c r="AS609" s="35"/>
      <c r="AT609" s="35"/>
      <c r="AU609" s="31"/>
    </row>
    <row r="610" spans="4:47">
      <c r="D610" s="31"/>
      <c r="E610" s="31"/>
      <c r="F610" s="31"/>
      <c r="G610" s="31"/>
      <c r="H610" s="32"/>
      <c r="J610" s="33"/>
      <c r="K610" s="33"/>
      <c r="L610" s="33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5"/>
      <c r="AS610" s="35"/>
      <c r="AT610" s="35"/>
      <c r="AU610" s="31"/>
    </row>
    <row r="611" spans="4:47">
      <c r="D611" s="31"/>
      <c r="E611" s="31"/>
      <c r="F611" s="31"/>
      <c r="G611" s="31"/>
      <c r="H611" s="32"/>
      <c r="J611" s="33"/>
      <c r="K611" s="33"/>
      <c r="L611" s="33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5"/>
      <c r="AS611" s="35"/>
      <c r="AT611" s="35"/>
      <c r="AU611" s="31"/>
    </row>
    <row r="612" spans="4:47">
      <c r="D612" s="31"/>
      <c r="E612" s="31"/>
      <c r="F612" s="31"/>
      <c r="G612" s="31"/>
      <c r="H612" s="32"/>
      <c r="J612" s="33"/>
      <c r="K612" s="33"/>
      <c r="L612" s="33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5"/>
      <c r="AS612" s="35"/>
      <c r="AT612" s="35"/>
      <c r="AU612" s="31"/>
    </row>
    <row r="613" spans="4:47">
      <c r="D613" s="31"/>
      <c r="E613" s="31"/>
      <c r="F613" s="31"/>
      <c r="G613" s="31"/>
      <c r="H613" s="32"/>
      <c r="J613" s="33"/>
      <c r="K613" s="33"/>
      <c r="L613" s="33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5"/>
      <c r="AS613" s="35"/>
      <c r="AT613" s="35"/>
      <c r="AU613" s="31"/>
    </row>
    <row r="614" spans="4:47">
      <c r="D614" s="31"/>
      <c r="E614" s="31"/>
      <c r="F614" s="31"/>
      <c r="G614" s="31"/>
      <c r="H614" s="32"/>
      <c r="J614" s="33"/>
      <c r="K614" s="33"/>
      <c r="L614" s="33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5"/>
      <c r="AS614" s="35"/>
      <c r="AT614" s="35"/>
      <c r="AU614" s="31"/>
    </row>
    <row r="615" spans="4:47">
      <c r="D615" s="31"/>
      <c r="E615" s="31"/>
      <c r="F615" s="31"/>
      <c r="G615" s="31"/>
      <c r="H615" s="32"/>
      <c r="J615" s="33"/>
      <c r="K615" s="33"/>
      <c r="L615" s="33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5"/>
      <c r="AS615" s="35"/>
      <c r="AT615" s="35"/>
      <c r="AU615" s="31"/>
    </row>
    <row r="616" spans="4:47">
      <c r="D616" s="31"/>
      <c r="E616" s="31"/>
      <c r="F616" s="31"/>
      <c r="G616" s="31"/>
      <c r="H616" s="32"/>
      <c r="J616" s="33"/>
      <c r="K616" s="33"/>
      <c r="L616" s="33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5"/>
      <c r="AS616" s="35"/>
      <c r="AT616" s="35"/>
      <c r="AU616" s="31"/>
    </row>
    <row r="617" spans="4:47">
      <c r="D617" s="31"/>
      <c r="E617" s="31"/>
      <c r="F617" s="31"/>
      <c r="G617" s="31"/>
      <c r="H617" s="32"/>
      <c r="J617" s="33"/>
      <c r="K617" s="33"/>
      <c r="L617" s="33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5"/>
      <c r="AS617" s="35"/>
      <c r="AT617" s="35"/>
      <c r="AU617" s="31"/>
    </row>
    <row r="618" spans="4:47">
      <c r="D618" s="31"/>
      <c r="E618" s="31"/>
      <c r="F618" s="31"/>
      <c r="G618" s="31"/>
      <c r="H618" s="32"/>
      <c r="J618" s="33"/>
      <c r="K618" s="33"/>
      <c r="L618" s="33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5"/>
      <c r="AS618" s="35"/>
      <c r="AT618" s="35"/>
      <c r="AU618" s="31"/>
    </row>
    <row r="619" spans="4:47">
      <c r="D619" s="31"/>
      <c r="E619" s="31"/>
      <c r="F619" s="31"/>
      <c r="G619" s="31"/>
      <c r="H619" s="32"/>
      <c r="J619" s="33"/>
      <c r="K619" s="33"/>
      <c r="L619" s="33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5"/>
      <c r="AS619" s="35"/>
      <c r="AT619" s="35"/>
      <c r="AU619" s="31"/>
    </row>
    <row r="620" spans="4:47">
      <c r="D620" s="31"/>
      <c r="E620" s="31"/>
      <c r="F620" s="31"/>
      <c r="G620" s="31"/>
      <c r="H620" s="32"/>
      <c r="J620" s="33"/>
      <c r="K620" s="33"/>
      <c r="L620" s="33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5"/>
      <c r="AS620" s="35"/>
      <c r="AT620" s="35"/>
      <c r="AU620" s="31"/>
    </row>
    <row r="621" spans="4:47">
      <c r="D621" s="31"/>
      <c r="E621" s="31"/>
      <c r="F621" s="31"/>
      <c r="G621" s="31"/>
      <c r="H621" s="32"/>
      <c r="J621" s="33"/>
      <c r="K621" s="33"/>
      <c r="L621" s="33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5"/>
      <c r="AS621" s="35"/>
      <c r="AT621" s="35"/>
      <c r="AU621" s="31"/>
    </row>
    <row r="622" spans="4:47">
      <c r="D622" s="31"/>
      <c r="E622" s="31"/>
      <c r="F622" s="31"/>
      <c r="G622" s="31"/>
      <c r="H622" s="32"/>
      <c r="J622" s="33"/>
      <c r="K622" s="33"/>
      <c r="L622" s="33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5"/>
      <c r="AS622" s="35"/>
      <c r="AT622" s="35"/>
      <c r="AU622" s="31"/>
    </row>
    <row r="623" spans="4:47">
      <c r="D623" s="31"/>
      <c r="E623" s="31"/>
      <c r="F623" s="31"/>
      <c r="G623" s="31"/>
      <c r="H623" s="32"/>
      <c r="J623" s="33"/>
      <c r="K623" s="33"/>
      <c r="L623" s="33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5"/>
      <c r="AS623" s="35"/>
      <c r="AT623" s="35"/>
      <c r="AU623" s="31"/>
    </row>
    <row r="624" spans="4:47">
      <c r="D624" s="31"/>
      <c r="E624" s="31"/>
      <c r="F624" s="31"/>
      <c r="G624" s="31"/>
      <c r="H624" s="32"/>
      <c r="J624" s="33"/>
      <c r="K624" s="33"/>
      <c r="L624" s="33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5"/>
      <c r="AS624" s="35"/>
      <c r="AT624" s="35"/>
      <c r="AU624" s="31"/>
    </row>
    <row r="625" spans="4:47">
      <c r="D625" s="31"/>
      <c r="E625" s="31"/>
      <c r="F625" s="31"/>
      <c r="G625" s="31"/>
      <c r="H625" s="32"/>
      <c r="J625" s="33"/>
      <c r="K625" s="33"/>
      <c r="L625" s="33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5"/>
      <c r="AS625" s="35"/>
      <c r="AT625" s="35"/>
      <c r="AU625" s="31"/>
    </row>
    <row r="626" spans="4:47">
      <c r="D626" s="31"/>
      <c r="E626" s="31"/>
      <c r="F626" s="31"/>
      <c r="G626" s="31"/>
      <c r="H626" s="32"/>
      <c r="J626" s="33"/>
      <c r="K626" s="33"/>
      <c r="L626" s="33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5"/>
      <c r="AS626" s="35"/>
      <c r="AT626" s="35"/>
      <c r="AU626" s="31"/>
    </row>
    <row r="627" spans="4:47">
      <c r="D627" s="31"/>
      <c r="E627" s="31"/>
      <c r="F627" s="31"/>
      <c r="G627" s="31"/>
      <c r="H627" s="32"/>
      <c r="J627" s="33"/>
      <c r="K627" s="33"/>
      <c r="L627" s="33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5"/>
      <c r="AS627" s="35"/>
      <c r="AT627" s="35"/>
      <c r="AU627" s="31"/>
    </row>
    <row r="628" spans="4:47">
      <c r="D628" s="31"/>
      <c r="E628" s="31"/>
      <c r="F628" s="31"/>
      <c r="G628" s="31"/>
      <c r="H628" s="32"/>
      <c r="J628" s="33"/>
      <c r="K628" s="33"/>
      <c r="L628" s="33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5"/>
      <c r="AS628" s="35"/>
      <c r="AT628" s="35"/>
      <c r="AU628" s="31"/>
    </row>
    <row r="629" spans="4:47">
      <c r="D629" s="31"/>
      <c r="E629" s="31"/>
      <c r="F629" s="31"/>
      <c r="G629" s="31"/>
      <c r="H629" s="32"/>
      <c r="J629" s="33"/>
      <c r="K629" s="33"/>
      <c r="L629" s="33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5"/>
      <c r="AS629" s="35"/>
      <c r="AT629" s="35"/>
      <c r="AU629" s="31"/>
    </row>
    <row r="630" spans="4:47">
      <c r="D630" s="31"/>
      <c r="E630" s="31"/>
      <c r="F630" s="31"/>
      <c r="G630" s="31"/>
      <c r="H630" s="32"/>
      <c r="J630" s="33"/>
      <c r="K630" s="33"/>
      <c r="L630" s="33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5"/>
      <c r="AS630" s="35"/>
      <c r="AT630" s="35"/>
      <c r="AU630" s="31"/>
    </row>
    <row r="631" spans="4:47"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</row>
    <row r="632" spans="4:47"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</row>
    <row r="633" spans="4:47"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</row>
    <row r="634" spans="4:47"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</row>
    <row r="635" spans="4:47"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</row>
    <row r="636" spans="4:47"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</row>
    <row r="637" spans="4:47"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</row>
    <row r="638" spans="4:47"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</row>
    <row r="639" spans="4:47"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</row>
    <row r="640" spans="4:47"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</row>
    <row r="641" spans="4:47"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</row>
    <row r="642" spans="4:47"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</row>
    <row r="643" spans="4:47"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</row>
    <row r="644" spans="4:47"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</row>
    <row r="645" spans="4:47"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</row>
    <row r="646" spans="4:47"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</row>
    <row r="647" spans="4:47"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</row>
    <row r="648" spans="4:47"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</row>
    <row r="649" spans="4:47"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</row>
    <row r="650" spans="4:47"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</row>
    <row r="651" spans="4:47"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</row>
    <row r="652" spans="4:47"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</row>
    <row r="653" spans="4:47"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</row>
    <row r="654" spans="4:47"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</row>
    <row r="655" spans="4:47"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</row>
    <row r="656" spans="4:47"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</row>
    <row r="657" spans="4:47"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</row>
    <row r="658" spans="4:47"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</row>
    <row r="659" spans="4:47"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</row>
    <row r="660" spans="4:47"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</row>
    <row r="661" spans="4:47"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</row>
    <row r="662" spans="4:47"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</row>
    <row r="663" spans="4:47"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</row>
    <row r="664" spans="4:47"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</row>
    <row r="665" spans="4:47"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</row>
    <row r="666" spans="4:47"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</row>
    <row r="667" spans="4:47"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</row>
    <row r="668" spans="4:47"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</row>
    <row r="669" spans="4:47"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</row>
    <row r="670" spans="4:47"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</row>
    <row r="671" spans="4:47"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</row>
    <row r="672" spans="4:47"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</row>
    <row r="673" spans="4:47"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</row>
    <row r="674" spans="4:47"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</row>
    <row r="675" spans="4:47"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</row>
    <row r="676" spans="4:47"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</row>
    <row r="677" spans="4:47"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</row>
    <row r="678" spans="4:47"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</row>
    <row r="679" spans="4:47"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</row>
    <row r="680" spans="4:47"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</row>
    <row r="681" spans="4:47"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</row>
    <row r="682" spans="4:47"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</row>
    <row r="683" spans="4:47"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</row>
    <row r="684" spans="4:47"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</row>
    <row r="685" spans="4:47"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</row>
    <row r="686" spans="4:47"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</row>
    <row r="687" spans="4:47"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</row>
    <row r="688" spans="4:47"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</row>
    <row r="689" spans="4:47"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</row>
    <row r="690" spans="4:47"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</row>
    <row r="691" spans="4:47"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</row>
    <row r="692" spans="4:47"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</row>
    <row r="693" spans="4:47"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</row>
    <row r="694" spans="4:47"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</row>
    <row r="695" spans="4:47"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</row>
    <row r="696" spans="4:47"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</row>
    <row r="697" spans="4:47"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</row>
    <row r="698" spans="4:47"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</row>
    <row r="699" spans="4:47"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</row>
    <row r="700" spans="4:47"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</row>
    <row r="701" spans="4:47"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</row>
    <row r="702" spans="4:47"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</row>
    <row r="703" spans="4:47"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</row>
    <row r="704" spans="4:47"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</row>
    <row r="705" spans="4:47"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</row>
    <row r="706" spans="4:47"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</row>
    <row r="707" spans="4:47"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</row>
    <row r="708" spans="4:47"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</row>
    <row r="709" spans="4:47"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</row>
    <row r="710" spans="4:47"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</row>
    <row r="711" spans="4:47"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</row>
    <row r="712" spans="4:47"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</row>
    <row r="713" spans="4:47"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</row>
    <row r="714" spans="4:47"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</row>
    <row r="715" spans="4:47"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</row>
    <row r="716" spans="4:47"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</row>
    <row r="717" spans="4:47"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</row>
    <row r="718" spans="4:47"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</row>
    <row r="719" spans="4:47"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</row>
    <row r="720" spans="4:47"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</row>
    <row r="721" spans="4:47"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</row>
    <row r="722" spans="4:47"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</row>
    <row r="723" spans="4:47"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</row>
    <row r="724" spans="4:47"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</row>
    <row r="725" spans="4:47"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</row>
    <row r="726" spans="4:47"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</row>
    <row r="727" spans="4:47"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</row>
    <row r="728" spans="4:47"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</row>
    <row r="729" spans="4:47"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</row>
    <row r="730" spans="4:47"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</row>
    <row r="731" spans="4:47"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</row>
    <row r="732" spans="4:47"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</row>
    <row r="733" spans="4:47"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</row>
    <row r="734" spans="4:47"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</row>
    <row r="735" spans="4:47"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</row>
    <row r="736" spans="4:47"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</row>
    <row r="737" spans="4:47"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</row>
    <row r="738" spans="4:47"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</row>
    <row r="739" spans="4:47"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</row>
    <row r="740" spans="4:47"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</row>
    <row r="741" spans="4:47"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</row>
    <row r="742" spans="4:47"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</row>
    <row r="743" spans="4:47"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</row>
    <row r="744" spans="4:47"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</row>
    <row r="745" spans="4:47"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</row>
    <row r="746" spans="4:47"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</row>
    <row r="747" spans="4:47"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</row>
    <row r="748" spans="4:47"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</row>
    <row r="749" spans="4:47"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</row>
    <row r="750" spans="4:47"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</row>
    <row r="751" spans="4:47"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</row>
    <row r="752" spans="4:47"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</row>
    <row r="753" spans="4:47"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</row>
    <row r="754" spans="4:47"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</row>
    <row r="755" spans="4:47"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</row>
    <row r="756" spans="4:47"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</row>
    <row r="757" spans="4:47"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</row>
    <row r="758" spans="4:47"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</row>
    <row r="759" spans="4:47"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</row>
    <row r="760" spans="4:47"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</row>
    <row r="761" spans="4:47"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</row>
    <row r="762" spans="4:47"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</row>
    <row r="763" spans="4:47"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</row>
    <row r="764" spans="4:47"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</row>
    <row r="765" spans="4:47"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</row>
    <row r="766" spans="4:47"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</row>
    <row r="767" spans="4:47"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</row>
    <row r="768" spans="4:47"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</row>
    <row r="769" spans="4:47"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</row>
    <row r="770" spans="4:47"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</row>
    <row r="771" spans="4:47"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</row>
    <row r="772" spans="4:47"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</row>
    <row r="773" spans="4:47"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</row>
    <row r="774" spans="4:47"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</row>
    <row r="775" spans="4:47"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</row>
    <row r="776" spans="4:47"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</row>
    <row r="777" spans="4:47"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</row>
    <row r="778" spans="4:47"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</row>
    <row r="779" spans="4:47"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</row>
    <row r="780" spans="4:47"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</row>
    <row r="781" spans="4:47"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</row>
    <row r="782" spans="4:47"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</row>
    <row r="783" spans="4:47"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</row>
    <row r="784" spans="4:47"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</row>
    <row r="785" spans="4:47"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</row>
    <row r="786" spans="4:47"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</row>
    <row r="787" spans="4:47"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</row>
    <row r="788" spans="4:47"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</row>
    <row r="789" spans="4:47"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</row>
    <row r="790" spans="4:47"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</row>
    <row r="791" spans="4:47"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</row>
    <row r="792" spans="4:47"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</row>
    <row r="793" spans="4:47"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</row>
    <row r="794" spans="4:47"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</row>
    <row r="795" spans="4:47"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</row>
    <row r="796" spans="4:47"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</row>
    <row r="797" spans="4:47"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</row>
    <row r="798" spans="4:47"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</row>
    <row r="799" spans="4:47"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</row>
    <row r="800" spans="4:47"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</row>
    <row r="801" spans="4:47"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</row>
    <row r="802" spans="4:47"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</row>
    <row r="803" spans="4:47"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</row>
    <row r="804" spans="4:47"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</row>
    <row r="805" spans="4:47"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</row>
    <row r="806" spans="4:47"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</row>
    <row r="807" spans="4:47"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</row>
    <row r="808" spans="4:47"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</row>
    <row r="809" spans="4:47"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</row>
    <row r="810" spans="4:47"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</row>
    <row r="811" spans="4:47"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</row>
    <row r="812" spans="4:47"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</row>
    <row r="813" spans="4:47"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</row>
    <row r="814" spans="4:47"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</row>
    <row r="815" spans="4:47"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</row>
    <row r="816" spans="4:47"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</row>
    <row r="817" spans="4:47"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</row>
    <row r="818" spans="4:47"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</row>
    <row r="819" spans="4:47"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</row>
    <row r="820" spans="4:47"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</row>
    <row r="821" spans="4:47"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</row>
    <row r="822" spans="4:47"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</row>
    <row r="823" spans="1:47">
      <c r="A823" s="40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</row>
    <row r="824" spans="1:47">
      <c r="A824" s="40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</row>
    <row r="825" spans="1:47">
      <c r="A825" s="40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</row>
    <row r="826" spans="1:47">
      <c r="A826" s="40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</row>
    <row r="827" spans="1:47">
      <c r="A827" s="40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</row>
    <row r="828" spans="1:47">
      <c r="A828" s="40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</row>
    <row r="829" spans="1:47">
      <c r="A829" s="40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</row>
    <row r="830" spans="1:47">
      <c r="A830" s="40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</row>
    <row r="831" spans="1:47">
      <c r="A831" s="40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</row>
    <row r="832" spans="1:47">
      <c r="A832" s="40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</row>
    <row r="833" spans="1:47">
      <c r="A833" s="40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</row>
    <row r="834" spans="1:47">
      <c r="A834" s="40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</row>
    <row r="835" spans="1:47">
      <c r="A835" s="40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</row>
    <row r="836" spans="1:47">
      <c r="A836" s="40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</row>
    <row r="837" spans="1:47">
      <c r="A837" s="40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</row>
    <row r="838" spans="1:47">
      <c r="A838" s="40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</row>
    <row r="839" spans="1:47">
      <c r="A839" s="40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</row>
    <row r="840" spans="1:47">
      <c r="A840" s="40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</row>
    <row r="841" spans="1:47">
      <c r="A841" s="40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</row>
    <row r="842" spans="1:47">
      <c r="A842" s="40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</row>
    <row r="843" spans="1:47">
      <c r="A843" s="40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</row>
    <row r="844" spans="1:47">
      <c r="A844" s="40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</row>
    <row r="845" spans="1:47">
      <c r="A845" s="40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</row>
    <row r="846" spans="1:47">
      <c r="A846" s="40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</row>
    <row r="847" spans="1:47">
      <c r="A847" s="40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</row>
    <row r="848" spans="1:47">
      <c r="A848" s="40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</row>
    <row r="849" spans="1:47">
      <c r="A849" s="40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</row>
    <row r="850" spans="1:47">
      <c r="A850" s="40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</row>
    <row r="851" spans="1:47">
      <c r="A851" s="40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</row>
    <row r="852" spans="1:47">
      <c r="A852" s="40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</row>
    <row r="853" spans="1:47">
      <c r="A853" s="40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</row>
    <row r="854" spans="1:47">
      <c r="A854" s="40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</row>
    <row r="855" spans="1:47">
      <c r="A855" s="40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</row>
    <row r="856" spans="1:47">
      <c r="A856" s="40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</row>
    <row r="857" spans="1:47">
      <c r="A857" s="40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</row>
    <row r="858" spans="1:47">
      <c r="A858" s="40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</row>
    <row r="859" spans="1:47">
      <c r="A859" s="40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</row>
    <row r="860" spans="1:47">
      <c r="A860" s="40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</row>
    <row r="861" spans="1:47">
      <c r="A861" s="40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</row>
    <row r="862" spans="1:47">
      <c r="A862" s="40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</row>
    <row r="863" spans="1:47">
      <c r="A863" s="40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</row>
    <row r="864" spans="1:47">
      <c r="A864" s="40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</row>
    <row r="865" spans="1:47">
      <c r="A865" s="40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</row>
    <row r="866" spans="1:47">
      <c r="A866" s="40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</row>
    <row r="867" spans="1:47">
      <c r="A867" s="40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</row>
    <row r="868" spans="1:47">
      <c r="A868" s="40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</row>
    <row r="869" spans="1:47">
      <c r="A869" s="40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</row>
    <row r="870" spans="1:47">
      <c r="A870" s="40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</row>
    <row r="871" spans="1:47">
      <c r="A871" s="40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</row>
    <row r="872" spans="1:47">
      <c r="A872" s="40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</row>
    <row r="873" spans="1:47">
      <c r="A873" s="40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</row>
    <row r="874" spans="1:47">
      <c r="A874" s="40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</row>
    <row r="875" spans="1:47">
      <c r="A875" s="40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</row>
    <row r="876" spans="1:47">
      <c r="A876" s="40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</row>
    <row r="877" spans="1:47">
      <c r="A877" s="40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</row>
    <row r="878" spans="1:47">
      <c r="A878" s="40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</row>
    <row r="879" spans="1:47">
      <c r="A879" s="40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</row>
    <row r="880" spans="1:47">
      <c r="A880" s="40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</row>
    <row r="881" spans="1:47">
      <c r="A881" s="40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</row>
    <row r="882" spans="1:47">
      <c r="A882" s="40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</row>
    <row r="883" spans="1:47">
      <c r="A883" s="40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</row>
    <row r="884" spans="1:47">
      <c r="A884" s="40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</row>
    <row r="885" spans="1:47">
      <c r="A885" s="40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</row>
    <row r="886" spans="1:47">
      <c r="A886" s="40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</row>
    <row r="887" spans="1:47">
      <c r="A887" s="40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</row>
    <row r="888" spans="1:47">
      <c r="A888" s="40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</row>
    <row r="889" spans="1:47">
      <c r="A889" s="40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</row>
    <row r="890" spans="1:47">
      <c r="A890" s="40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</row>
    <row r="891" spans="1:47">
      <c r="A891" s="40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</row>
    <row r="892" spans="1:47">
      <c r="A892" s="40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</row>
    <row r="893" spans="1:47">
      <c r="A893" s="40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</row>
    <row r="894" spans="1:47">
      <c r="A894" s="40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</row>
    <row r="895" spans="1:47">
      <c r="A895" s="40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</row>
    <row r="896" spans="1:47">
      <c r="A896" s="40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</row>
    <row r="897" spans="1:47">
      <c r="A897" s="40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</row>
    <row r="898" spans="1:47">
      <c r="A898" s="40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</row>
    <row r="899" spans="1:47">
      <c r="A899" s="40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</row>
    <row r="900" spans="1:47">
      <c r="A900" s="40"/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</row>
    <row r="901" spans="1:47">
      <c r="A901" s="40"/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</row>
    <row r="902" spans="1:47">
      <c r="A902" s="40"/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</row>
    <row r="903" spans="1:47">
      <c r="A903" s="40"/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</row>
    <row r="904" spans="1:47">
      <c r="A904" s="40"/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</row>
    <row r="905" spans="1:47">
      <c r="A905" s="19"/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</row>
    <row r="906" spans="1:47">
      <c r="A906" s="19"/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</row>
    <row r="907" spans="1:47">
      <c r="A907" s="19"/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</row>
    <row r="908" spans="1:47">
      <c r="A908" s="19"/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</row>
    <row r="909" spans="1:47">
      <c r="A909" s="19"/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</row>
    <row r="910" spans="1:47">
      <c r="A910" s="19"/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</row>
    <row r="911" spans="1:47">
      <c r="A911" s="19"/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</row>
    <row r="912" spans="1:47">
      <c r="A912" s="19"/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</row>
    <row r="913" spans="1:47">
      <c r="A913" s="19"/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</row>
    <row r="914" spans="1:47">
      <c r="A914" s="19"/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</row>
    <row r="915" spans="1:47">
      <c r="A915" s="19"/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</row>
    <row r="916" spans="1:47">
      <c r="A916" s="19"/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</row>
    <row r="917" spans="4:47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</row>
    <row r="918" spans="4:47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</row>
    <row r="919" spans="4:47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</row>
    <row r="920" spans="4:47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</row>
    <row r="921" spans="4:47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</row>
    <row r="922" spans="4:47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</row>
    <row r="923" spans="4:47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</row>
    <row r="924" spans="4:47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</row>
    <row r="925" spans="4:47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</row>
    <row r="926" spans="4:47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</row>
    <row r="927" spans="4:47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</row>
    <row r="928" spans="4:47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</row>
    <row r="929" spans="4:47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</row>
    <row r="930" spans="4:47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</row>
    <row r="931" spans="4:47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</row>
    <row r="932" spans="4:47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</row>
    <row r="933" spans="4:47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</row>
    <row r="934" spans="4:47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</row>
    <row r="935" spans="4:47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</row>
    <row r="936" spans="4:47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</row>
    <row r="937" spans="4:47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</row>
    <row r="938" spans="4:47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</row>
    <row r="939" spans="4:47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</row>
    <row r="940" spans="4:47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</row>
    <row r="941" spans="4:47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</row>
    <row r="942" spans="4:47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</row>
    <row r="943" spans="4:47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</row>
    <row r="944" spans="4:47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</row>
    <row r="945" spans="4:47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</row>
    <row r="946" spans="4:47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</row>
    <row r="947" spans="4:47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</row>
    <row r="948" spans="4:47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</row>
    <row r="949" spans="4:47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</row>
    <row r="950" spans="4:47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</row>
    <row r="951" spans="4:47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</row>
    <row r="952" spans="4:47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</row>
    <row r="953" spans="4:47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</row>
    <row r="954" spans="4:47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</row>
    <row r="955" spans="4:47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</row>
    <row r="956" spans="4:47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</row>
    <row r="957" spans="4:47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</row>
    <row r="958" spans="4:47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</row>
    <row r="959" spans="4:47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</row>
    <row r="960" spans="4:47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</row>
    <row r="961" spans="4:47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</row>
    <row r="962" spans="4:47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</row>
    <row r="963" spans="4:47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</row>
    <row r="964" spans="4:47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</row>
    <row r="965" spans="4:47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</row>
    <row r="966" spans="4:47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</row>
    <row r="967" spans="4:47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</row>
    <row r="968" spans="4:47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</row>
    <row r="969" spans="4:47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</row>
    <row r="970" spans="4:47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</row>
    <row r="971" spans="4:47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</row>
    <row r="972" spans="4:47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</row>
    <row r="973" spans="4:47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</row>
    <row r="974" spans="4:47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</row>
    <row r="975" spans="4:47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</row>
    <row r="976" spans="4:47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</row>
    <row r="977" spans="4:47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</row>
    <row r="978" spans="4:47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</row>
    <row r="979" spans="4:47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</row>
    <row r="980" spans="4:47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</row>
    <row r="981" spans="4:47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</row>
    <row r="982" spans="4:47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</row>
    <row r="983" spans="4:47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</row>
    <row r="984" spans="4:47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</row>
    <row r="985" spans="4:47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</row>
    <row r="986" spans="4:47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</row>
    <row r="987" spans="4:47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</row>
    <row r="988" spans="4:47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</row>
    <row r="989" spans="4:47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</row>
    <row r="990" spans="4:47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</row>
    <row r="991" spans="4:47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</row>
    <row r="992" spans="4:47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</row>
    <row r="993" spans="4:47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</row>
    <row r="994" spans="4:47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</row>
    <row r="995" spans="4:47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</row>
    <row r="996" spans="4:47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</row>
    <row r="997" spans="4:47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</row>
    <row r="998" spans="4:47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</row>
    <row r="999" spans="4:47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</row>
    <row r="1000" spans="4:47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</row>
    <row r="1001" spans="4:47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</row>
    <row r="1002" spans="4:47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</row>
    <row r="1003" spans="4:47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</row>
    <row r="1004" spans="4:47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</row>
    <row r="1005" spans="4:47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</row>
    <row r="1006" spans="4:47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</row>
    <row r="1007" spans="4:47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</row>
    <row r="1008" spans="4:47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</row>
    <row r="1009" spans="4:47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</row>
    <row r="1010" spans="4:47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</row>
    <row r="1011" spans="4:47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</row>
    <row r="1012" spans="4:47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</row>
    <row r="1013" spans="4:47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</row>
    <row r="1014" spans="4:47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</row>
    <row r="1015" spans="4:47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</row>
    <row r="1016" spans="4:47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</row>
    <row r="1017" spans="4:47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</row>
    <row r="1018" spans="4:47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</row>
    <row r="1019" spans="4:47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</row>
    <row r="1020" spans="4:47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</row>
    <row r="1021" spans="4:47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</row>
    <row r="1022" spans="4:47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</row>
    <row r="1023" spans="4:47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</row>
    <row r="1024" spans="4:47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</row>
    <row r="1025" spans="4:47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</row>
    <row r="1026" spans="4:47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</row>
    <row r="1027" spans="4:47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</row>
    <row r="1028" spans="4:47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</row>
    <row r="1029" spans="4:47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</row>
    <row r="1030" spans="4:47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</row>
    <row r="1031" spans="4:47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</row>
    <row r="1032" spans="4:47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</row>
    <row r="1033" spans="4:47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</row>
    <row r="1034" spans="4:47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</row>
    <row r="1035" spans="4:47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</row>
    <row r="1036" spans="4:47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</row>
    <row r="1037" spans="4:47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</row>
    <row r="1038" spans="4:47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</row>
    <row r="1039" spans="4:47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</row>
    <row r="1040" spans="4:47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</row>
    <row r="1041" spans="4:47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</row>
    <row r="1042" spans="4:47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</row>
    <row r="1043" spans="4:47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</row>
    <row r="1044" spans="4:47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</row>
    <row r="1045" spans="4:47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</row>
    <row r="1046" spans="4:47"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</row>
    <row r="1047" spans="4:47"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</row>
    <row r="1048" spans="4:47"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</row>
    <row r="1049" spans="4:47"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</row>
    <row r="1050" spans="4:47"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</row>
    <row r="1051" spans="4:47"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</row>
    <row r="1052" spans="4:47"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</row>
    <row r="1053" spans="4:47"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</row>
    <row r="1054" spans="4:47"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</row>
    <row r="1055" spans="4:47"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</row>
    <row r="1056" spans="4:47"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</row>
    <row r="1057" spans="4:47"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</row>
    <row r="1058" spans="4:47"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</row>
    <row r="1059" spans="4:47"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</row>
    <row r="1060" spans="4:47"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</row>
    <row r="1061" spans="4:47"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</row>
    <row r="1062" spans="4:47"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</row>
    <row r="1063" spans="4:47"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</row>
    <row r="1064" spans="4:47"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</row>
    <row r="1065" spans="4:47"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</row>
    <row r="1066" spans="4:47"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</row>
    <row r="1067" spans="4:47"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</row>
    <row r="1068" spans="4:47"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</row>
    <row r="1069" spans="4:47"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</row>
    <row r="1070" spans="4:47"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</row>
    <row r="1071" spans="4:47"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</row>
    <row r="1072" spans="4:47"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</row>
    <row r="1073" spans="4:47"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</row>
    <row r="1074" spans="4:47"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</row>
    <row r="1075" spans="4:47"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</row>
    <row r="1076" spans="4:47"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</row>
    <row r="1077" spans="4:47"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</row>
    <row r="1078" spans="4:47"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</row>
    <row r="1079" spans="4:47"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</row>
    <row r="1080" spans="4:47"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</row>
    <row r="1081" spans="4:47"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</row>
    <row r="1082" spans="4:47"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</row>
    <row r="1083" spans="4:47"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</row>
    <row r="1084" spans="4:47"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</row>
    <row r="1085" spans="4:47"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</row>
    <row r="1086" spans="4:47"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</row>
    <row r="1087" spans="4:47"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</row>
    <row r="1088" spans="4:47"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</row>
    <row r="1089" spans="4:47"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</row>
    <row r="1090" spans="4:47"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</row>
    <row r="1091" spans="4:47"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</row>
    <row r="1092" spans="4:47"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</row>
    <row r="1093" spans="4:47"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</row>
    <row r="1094" spans="4:47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</row>
    <row r="1095" spans="4:47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</row>
    <row r="1096" spans="4:47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</row>
    <row r="1097" spans="4:47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</row>
    <row r="1098" spans="4:47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</row>
    <row r="1099" spans="4:47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</row>
    <row r="1100" spans="4:47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</row>
    <row r="1101" spans="4:47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</row>
    <row r="1102" spans="4:47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</row>
    <row r="1103" spans="4:47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</row>
    <row r="1104" spans="4:47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</row>
    <row r="1105" spans="4:47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</row>
    <row r="1106" spans="4:47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</row>
    <row r="1107" spans="4:47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</row>
    <row r="1108" spans="4:47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</row>
    <row r="1109" spans="4:47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</row>
    <row r="1110" spans="4:47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</row>
    <row r="1111" spans="4:47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</row>
    <row r="1112" spans="4:47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</row>
    <row r="1113" spans="4:47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</row>
    <row r="1114" spans="4:47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</row>
    <row r="1115" spans="4:47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</row>
    <row r="1116" spans="4:47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</row>
    <row r="1117" spans="4:47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</row>
    <row r="1118" spans="4:47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</row>
    <row r="1119" spans="4:47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</row>
    <row r="1120" spans="4:47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</row>
    <row r="1121" spans="4:47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</row>
    <row r="1122" spans="4:47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</row>
    <row r="1123" spans="4:47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</row>
    <row r="1124" spans="4:47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</row>
    <row r="1125" spans="4:47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</row>
    <row r="1126" spans="4:47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</row>
    <row r="1127" spans="4:47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</row>
    <row r="1128" spans="4:47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</row>
    <row r="1129" spans="4:47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</row>
    <row r="1130" spans="4:47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</row>
    <row r="1131" spans="4:47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</row>
    <row r="1132" spans="4:47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</row>
    <row r="1133" spans="4:47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</row>
    <row r="1134" spans="4:47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</row>
    <row r="1135" spans="4:47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</row>
    <row r="1136" spans="4:47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</row>
    <row r="1137" spans="4:47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</row>
    <row r="1138" spans="4:47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</row>
    <row r="1139" spans="4:47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</row>
    <row r="1140" spans="4:47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</row>
    <row r="1141" spans="4:47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</row>
    <row r="1142" spans="4:47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</row>
    <row r="1143" spans="4:47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</row>
    <row r="1144" spans="4:47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</row>
    <row r="1145" spans="4:47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</row>
    <row r="1146" spans="4:47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</row>
    <row r="1147" spans="4:47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</row>
    <row r="1148" spans="4:47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</row>
    <row r="1149" spans="4:47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</row>
    <row r="1150" spans="4:47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</row>
    <row r="1151" spans="4:47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</row>
    <row r="1152" spans="4:47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</row>
    <row r="1153" spans="4:47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</row>
    <row r="1154" spans="4:47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</row>
    <row r="1155" spans="4:47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</row>
    <row r="1156" spans="4:47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</row>
    <row r="1157" spans="4:47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</row>
    <row r="1158" spans="4:47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</row>
    <row r="1159" spans="4:47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</row>
    <row r="1160" spans="4:47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</row>
    <row r="1161" spans="4:47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</row>
    <row r="1162" spans="4:47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</row>
    <row r="1163" spans="4:47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</row>
    <row r="1164" spans="4:47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</row>
    <row r="1165" spans="4:47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</row>
    <row r="1166" spans="4:47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</row>
    <row r="1167" spans="4:47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</row>
    <row r="1168" spans="4:47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</row>
    <row r="1169" spans="4:47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</row>
    <row r="1170" spans="4:47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</row>
    <row r="1171" spans="4:47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</row>
    <row r="1172" spans="4:47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</row>
    <row r="1173" spans="4:47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</row>
    <row r="1174" spans="4:47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</row>
    <row r="1175" spans="4:47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</row>
    <row r="1176" spans="4:47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</row>
    <row r="1177" spans="4:47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</row>
    <row r="1178" spans="4:47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</row>
    <row r="1179" spans="4:47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</row>
    <row r="1180" spans="4:47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</row>
    <row r="1181" spans="4:47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</row>
    <row r="1182" spans="4:47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</row>
    <row r="1183" spans="4:47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</row>
    <row r="1184" spans="4:47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</row>
    <row r="1185" spans="4:47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</row>
    <row r="1186" spans="4:47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</row>
    <row r="1187" spans="4:47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</row>
    <row r="1188" spans="4:47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</row>
    <row r="1189" spans="4:47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</row>
    <row r="1190" spans="4:47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</row>
    <row r="1191" spans="4:47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</row>
    <row r="1192" spans="4:47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</row>
    <row r="1193" spans="4:47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</row>
    <row r="1194" spans="4:47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</row>
    <row r="1195" spans="4:47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</row>
    <row r="1196" spans="4:47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</row>
    <row r="1197" spans="4:47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</row>
    <row r="1198" spans="4:47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</row>
    <row r="1199" spans="4:47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</row>
    <row r="1200" spans="4:47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</row>
    <row r="1201" spans="4:47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</row>
    <row r="1202" spans="4:47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</row>
    <row r="1203" spans="4:47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</row>
    <row r="1204" spans="4:47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</row>
    <row r="1205" spans="4:47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</row>
    <row r="1206" spans="4:47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</row>
    <row r="1207" spans="4:47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</row>
    <row r="1208" spans="4:47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</row>
    <row r="1209" spans="4:47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</row>
    <row r="1210" spans="4:47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</row>
    <row r="1211" spans="4:47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</row>
    <row r="1212" spans="4:47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</row>
    <row r="1213" spans="4:47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</row>
    <row r="1214" spans="4:47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</row>
    <row r="1215" spans="4:47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</row>
    <row r="1216" spans="4:47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</row>
    <row r="1217" spans="4:47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</row>
    <row r="1218" spans="4:47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</row>
    <row r="1219" spans="4:47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</row>
    <row r="1220" spans="4:47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</row>
    <row r="1221" spans="4:47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</row>
    <row r="1222" spans="4:47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</row>
    <row r="1223" spans="4:47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</row>
    <row r="1224" spans="4:47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</row>
    <row r="1225" spans="4:47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</row>
    <row r="1226" spans="4:47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</row>
    <row r="1227" spans="4:47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</row>
    <row r="1228" spans="4:47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</row>
    <row r="1229" spans="4:47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</row>
    <row r="1230" spans="4:47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</row>
    <row r="1231" spans="4:47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</row>
    <row r="1232" spans="4:47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</row>
    <row r="1233" spans="4:47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</row>
    <row r="1234" spans="4:47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</row>
    <row r="1235" spans="4:47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</row>
    <row r="1236" spans="4:47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</row>
    <row r="1237" spans="4:47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</row>
    <row r="1238" spans="4:47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</row>
    <row r="1239" spans="4:47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</row>
    <row r="1240" spans="4:47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</row>
    <row r="1241" spans="4:47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</row>
    <row r="1242" spans="4:47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</row>
    <row r="1243" spans="4:47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</row>
    <row r="1244" spans="4:47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</row>
    <row r="1245" spans="4:47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</row>
    <row r="1246" spans="4:47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</row>
    <row r="1247" spans="4:47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</row>
    <row r="1248" spans="4:47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</row>
    <row r="1249" spans="4:47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</row>
    <row r="1250" spans="4:47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</row>
    <row r="1251" spans="4:47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</row>
    <row r="1252" spans="4:47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</row>
    <row r="1253" spans="4:47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</row>
    <row r="1254" spans="4:47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</row>
    <row r="1255" spans="4:47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</row>
    <row r="1256" spans="4:47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</row>
    <row r="1257" spans="4:47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</row>
    <row r="1258" spans="4:47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</row>
    <row r="1259" spans="4:47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</row>
    <row r="1260" spans="4:47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</row>
    <row r="1261" spans="4:47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</row>
    <row r="1262" spans="4:47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</row>
    <row r="1263" spans="4:47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</row>
    <row r="1264" spans="4:47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</row>
    <row r="1265" spans="4:47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</row>
    <row r="1266" spans="4:47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</row>
    <row r="1267" spans="4:47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</row>
    <row r="1268" spans="4:47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</row>
    <row r="1269" spans="4:47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</row>
    <row r="1270" spans="4:47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</row>
    <row r="1271" spans="4:47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</row>
    <row r="1272" spans="4:47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</row>
    <row r="1273" spans="4:47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</row>
    <row r="1274" spans="4:47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</row>
    <row r="1275" spans="4:47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</row>
    <row r="1276" spans="4:47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</row>
    <row r="1277" spans="4:47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</row>
    <row r="1278" spans="4:47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</row>
    <row r="1279" spans="4:47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</row>
    <row r="1280" spans="4:47"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</row>
    <row r="1281" spans="4:47"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</row>
    <row r="1282" spans="4:47"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</row>
    <row r="1283" spans="4:47"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</row>
    <row r="1284" spans="1:47">
      <c r="A1284" s="41"/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</row>
    <row r="1285" spans="1:47">
      <c r="A1285" s="41"/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</row>
    <row r="1286" spans="1:47">
      <c r="A1286" s="41"/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</row>
    <row r="1287" spans="1:47">
      <c r="A1287" s="41"/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</row>
    <row r="1288" spans="1:47">
      <c r="A1288" s="41"/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</row>
    <row r="1289" spans="1:47">
      <c r="A1289" s="41"/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</row>
    <row r="1290" spans="1:47">
      <c r="A1290" s="41"/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</row>
    <row r="1291" spans="1:47">
      <c r="A1291" s="41"/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</row>
    <row r="1292" spans="1:47">
      <c r="A1292" s="41"/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</row>
    <row r="1293" spans="1:47">
      <c r="A1293" s="41"/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</row>
    <row r="1294" spans="1:47">
      <c r="A1294" s="41"/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</row>
    <row r="1295" spans="1:47">
      <c r="A1295" s="41"/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</row>
    <row r="1296" spans="1:47">
      <c r="A1296" s="41"/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</row>
    <row r="1297" spans="1:47">
      <c r="A1297" s="19"/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</row>
    <row r="1298" spans="1:47">
      <c r="A1298" s="19"/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</row>
    <row r="1299" spans="1:47">
      <c r="A1299" s="19"/>
      <c r="D1299" s="31"/>
      <c r="E1299" s="31"/>
      <c r="F1299" s="31"/>
      <c r="G1299" s="31"/>
      <c r="H1299" s="32"/>
      <c r="J1299" s="33"/>
      <c r="K1299" s="33"/>
      <c r="L1299" s="33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5"/>
      <c r="AS1299" s="35"/>
      <c r="AT1299" s="35"/>
      <c r="AU1299" s="31"/>
    </row>
    <row r="1300" spans="1:47">
      <c r="A1300" s="19"/>
      <c r="D1300" s="31"/>
      <c r="E1300" s="31"/>
      <c r="F1300" s="31"/>
      <c r="G1300" s="31"/>
      <c r="H1300" s="32"/>
      <c r="J1300" s="33"/>
      <c r="K1300" s="33"/>
      <c r="L1300" s="33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5"/>
      <c r="AS1300" s="35"/>
      <c r="AT1300" s="35"/>
      <c r="AU1300" s="31"/>
    </row>
    <row r="1301" spans="1:47">
      <c r="A1301" s="19"/>
      <c r="D1301" s="31"/>
      <c r="E1301" s="31"/>
      <c r="F1301" s="31"/>
      <c r="G1301" s="31"/>
      <c r="H1301" s="32"/>
      <c r="J1301" s="33"/>
      <c r="K1301" s="33"/>
      <c r="L1301" s="33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5"/>
      <c r="AS1301" s="35"/>
      <c r="AT1301" s="35"/>
      <c r="AU1301" s="31"/>
    </row>
    <row r="1302" spans="1:47">
      <c r="A1302" s="19"/>
      <c r="D1302" s="31"/>
      <c r="E1302" s="31"/>
      <c r="F1302" s="31"/>
      <c r="G1302" s="31"/>
      <c r="H1302" s="32"/>
      <c r="J1302" s="33"/>
      <c r="K1302" s="33"/>
      <c r="L1302" s="33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5"/>
      <c r="AS1302" s="35"/>
      <c r="AT1302" s="35"/>
      <c r="AU1302" s="31"/>
    </row>
  </sheetData>
  <autoFilter ref="A6:AV165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999" operator="lessThan">
      <formula>20</formula>
    </cfRule>
    <cfRule type="cellIs" dxfId="1" priority="1998" operator="greaterThan">
      <formula>120</formula>
    </cfRule>
    <cfRule type="containsText" dxfId="2" priority="1997" operator="between" text="库存为">
      <formula>NOT(ISERROR(SEARCH("库存为",AU2)))</formula>
    </cfRule>
  </conditionalFormatting>
  <conditionalFormatting sqref="AU6">
    <cfRule type="cellIs" dxfId="0" priority="480" operator="lessThan">
      <formula>20</formula>
    </cfRule>
    <cfRule type="cellIs" dxfId="1" priority="320" operator="greaterThan">
      <formula>120</formula>
    </cfRule>
    <cfRule type="containsText" dxfId="2" priority="160" operator="between" text="库存为">
      <formula>NOT(ISERROR(SEARCH("库存为",AU6)))</formula>
    </cfRule>
  </conditionalFormatting>
  <conditionalFormatting sqref="AU7">
    <cfRule type="cellIs" dxfId="0" priority="479" operator="lessThan">
      <formula>20</formula>
    </cfRule>
    <cfRule type="cellIs" dxfId="1" priority="319" operator="greaterThan">
      <formula>120</formula>
    </cfRule>
    <cfRule type="containsText" dxfId="2" priority="159" operator="between" text="库存为">
      <formula>NOT(ISERROR(SEARCH("库存为",AU7)))</formula>
    </cfRule>
  </conditionalFormatting>
  <conditionalFormatting sqref="AU8">
    <cfRule type="cellIs" dxfId="0" priority="478" operator="lessThan">
      <formula>20</formula>
    </cfRule>
    <cfRule type="cellIs" dxfId="1" priority="318" operator="greaterThan">
      <formula>120</formula>
    </cfRule>
    <cfRule type="containsText" dxfId="2" priority="158" operator="between" text="库存为">
      <formula>NOT(ISERROR(SEARCH("库存为",AU8)))</formula>
    </cfRule>
  </conditionalFormatting>
  <conditionalFormatting sqref="AU9">
    <cfRule type="cellIs" dxfId="0" priority="477" operator="lessThan">
      <formula>20</formula>
    </cfRule>
    <cfRule type="cellIs" dxfId="1" priority="317" operator="greaterThan">
      <formula>120</formula>
    </cfRule>
    <cfRule type="containsText" dxfId="2" priority="157" operator="between" text="库存为">
      <formula>NOT(ISERROR(SEARCH("库存为",AU9)))</formula>
    </cfRule>
  </conditionalFormatting>
  <conditionalFormatting sqref="AU10">
    <cfRule type="cellIs" dxfId="0" priority="476" operator="lessThan">
      <formula>20</formula>
    </cfRule>
    <cfRule type="cellIs" dxfId="1" priority="316" operator="greaterThan">
      <formula>120</formula>
    </cfRule>
    <cfRule type="containsText" dxfId="2" priority="156" operator="between" text="库存为">
      <formula>NOT(ISERROR(SEARCH("库存为",AU10)))</formula>
    </cfRule>
  </conditionalFormatting>
  <conditionalFormatting sqref="AU11">
    <cfRule type="cellIs" dxfId="0" priority="475" operator="lessThan">
      <formula>20</formula>
    </cfRule>
    <cfRule type="cellIs" dxfId="1" priority="315" operator="greaterThan">
      <formula>120</formula>
    </cfRule>
    <cfRule type="containsText" dxfId="2" priority="155" operator="between" text="库存为">
      <formula>NOT(ISERROR(SEARCH("库存为",AU11)))</formula>
    </cfRule>
  </conditionalFormatting>
  <conditionalFormatting sqref="AU12">
    <cfRule type="cellIs" dxfId="0" priority="474" operator="lessThan">
      <formula>20</formula>
    </cfRule>
    <cfRule type="cellIs" dxfId="1" priority="314" operator="greaterThan">
      <formula>120</formula>
    </cfRule>
    <cfRule type="containsText" dxfId="2" priority="154" operator="between" text="库存为">
      <formula>NOT(ISERROR(SEARCH("库存为",AU12)))</formula>
    </cfRule>
  </conditionalFormatting>
  <conditionalFormatting sqref="AU13">
    <cfRule type="cellIs" dxfId="0" priority="473" operator="lessThan">
      <formula>20</formula>
    </cfRule>
    <cfRule type="cellIs" dxfId="1" priority="313" operator="greaterThan">
      <formula>120</formula>
    </cfRule>
    <cfRule type="containsText" dxfId="2" priority="153" operator="between" text="库存为">
      <formula>NOT(ISERROR(SEARCH("库存为",AU13)))</formula>
    </cfRule>
  </conditionalFormatting>
  <conditionalFormatting sqref="AU14">
    <cfRule type="cellIs" dxfId="0" priority="472" operator="lessThan">
      <formula>20</formula>
    </cfRule>
    <cfRule type="cellIs" dxfId="1" priority="312" operator="greaterThan">
      <formula>120</formula>
    </cfRule>
    <cfRule type="containsText" dxfId="2" priority="152" operator="between" text="库存为">
      <formula>NOT(ISERROR(SEARCH("库存为",AU14)))</formula>
    </cfRule>
  </conditionalFormatting>
  <conditionalFormatting sqref="AU15">
    <cfRule type="cellIs" dxfId="0" priority="471" operator="lessThan">
      <formula>20</formula>
    </cfRule>
    <cfRule type="cellIs" dxfId="1" priority="311" operator="greaterThan">
      <formula>120</formula>
    </cfRule>
    <cfRule type="containsText" dxfId="2" priority="151" operator="between" text="库存为">
      <formula>NOT(ISERROR(SEARCH("库存为",AU15)))</formula>
    </cfRule>
  </conditionalFormatting>
  <conditionalFormatting sqref="AU16">
    <cfRule type="cellIs" dxfId="0" priority="470" operator="lessThan">
      <formula>20</formula>
    </cfRule>
    <cfRule type="cellIs" dxfId="1" priority="310" operator="greaterThan">
      <formula>120</formula>
    </cfRule>
    <cfRule type="containsText" dxfId="2" priority="150" operator="between" text="库存为">
      <formula>NOT(ISERROR(SEARCH("库存为",AU16)))</formula>
    </cfRule>
  </conditionalFormatting>
  <conditionalFormatting sqref="AU17">
    <cfRule type="cellIs" dxfId="0" priority="469" operator="lessThan">
      <formula>20</formula>
    </cfRule>
    <cfRule type="cellIs" dxfId="1" priority="309" operator="greaterThan">
      <formula>120</formula>
    </cfRule>
    <cfRule type="containsText" dxfId="2" priority="149" operator="between" text="库存为">
      <formula>NOT(ISERROR(SEARCH("库存为",AU17)))</formula>
    </cfRule>
  </conditionalFormatting>
  <conditionalFormatting sqref="AU18">
    <cfRule type="cellIs" dxfId="0" priority="468" operator="lessThan">
      <formula>20</formula>
    </cfRule>
    <cfRule type="cellIs" dxfId="1" priority="308" operator="greaterThan">
      <formula>120</formula>
    </cfRule>
    <cfRule type="containsText" dxfId="2" priority="148" operator="between" text="库存为">
      <formula>NOT(ISERROR(SEARCH("库存为",AU18)))</formula>
    </cfRule>
  </conditionalFormatting>
  <conditionalFormatting sqref="AU19">
    <cfRule type="cellIs" dxfId="0" priority="467" operator="lessThan">
      <formula>20</formula>
    </cfRule>
    <cfRule type="cellIs" dxfId="1" priority="307" operator="greaterThan">
      <formula>120</formula>
    </cfRule>
    <cfRule type="containsText" dxfId="2" priority="147" operator="between" text="库存为">
      <formula>NOT(ISERROR(SEARCH("库存为",AU19)))</formula>
    </cfRule>
  </conditionalFormatting>
  <conditionalFormatting sqref="AU20">
    <cfRule type="cellIs" dxfId="0" priority="466" operator="lessThan">
      <formula>20</formula>
    </cfRule>
    <cfRule type="cellIs" dxfId="1" priority="306" operator="greaterThan">
      <formula>120</formula>
    </cfRule>
    <cfRule type="containsText" dxfId="2" priority="146" operator="between" text="库存为">
      <formula>NOT(ISERROR(SEARCH("库存为",AU20)))</formula>
    </cfRule>
  </conditionalFormatting>
  <conditionalFormatting sqref="AU21">
    <cfRule type="cellIs" dxfId="0" priority="465" operator="lessThan">
      <formula>20</formula>
    </cfRule>
    <cfRule type="cellIs" dxfId="1" priority="305" operator="greaterThan">
      <formula>120</formula>
    </cfRule>
    <cfRule type="containsText" dxfId="2" priority="145" operator="between" text="库存为">
      <formula>NOT(ISERROR(SEARCH("库存为",AU21)))</formula>
    </cfRule>
  </conditionalFormatting>
  <conditionalFormatting sqref="AU22">
    <cfRule type="cellIs" dxfId="0" priority="464" operator="lessThan">
      <formula>20</formula>
    </cfRule>
    <cfRule type="cellIs" dxfId="1" priority="304" operator="greaterThan">
      <formula>120</formula>
    </cfRule>
    <cfRule type="containsText" dxfId="2" priority="144" operator="between" text="库存为">
      <formula>NOT(ISERROR(SEARCH("库存为",AU22)))</formula>
    </cfRule>
  </conditionalFormatting>
  <conditionalFormatting sqref="AU23">
    <cfRule type="cellIs" dxfId="0" priority="463" operator="lessThan">
      <formula>20</formula>
    </cfRule>
    <cfRule type="cellIs" dxfId="1" priority="303" operator="greaterThan">
      <formula>120</formula>
    </cfRule>
    <cfRule type="containsText" dxfId="2" priority="143" operator="between" text="库存为">
      <formula>NOT(ISERROR(SEARCH("库存为",AU23)))</formula>
    </cfRule>
  </conditionalFormatting>
  <conditionalFormatting sqref="AU24">
    <cfRule type="cellIs" dxfId="0" priority="462" operator="lessThan">
      <formula>20</formula>
    </cfRule>
    <cfRule type="cellIs" dxfId="1" priority="302" operator="greaterThan">
      <formula>120</formula>
    </cfRule>
    <cfRule type="containsText" dxfId="2" priority="142" operator="between" text="库存为">
      <formula>NOT(ISERROR(SEARCH("库存为",AU24)))</formula>
    </cfRule>
  </conditionalFormatting>
  <conditionalFormatting sqref="AU25">
    <cfRule type="cellIs" dxfId="0" priority="461" operator="lessThan">
      <formula>20</formula>
    </cfRule>
    <cfRule type="cellIs" dxfId="1" priority="301" operator="greaterThan">
      <formula>120</formula>
    </cfRule>
    <cfRule type="containsText" dxfId="2" priority="141" operator="between" text="库存为">
      <formula>NOT(ISERROR(SEARCH("库存为",AU25)))</formula>
    </cfRule>
  </conditionalFormatting>
  <conditionalFormatting sqref="AU26">
    <cfRule type="cellIs" dxfId="0" priority="460" operator="lessThan">
      <formula>20</formula>
    </cfRule>
    <cfRule type="cellIs" dxfId="1" priority="300" operator="greaterThan">
      <formula>120</formula>
    </cfRule>
    <cfRule type="containsText" dxfId="2" priority="140" operator="between" text="库存为">
      <formula>NOT(ISERROR(SEARCH("库存为",AU26)))</formula>
    </cfRule>
  </conditionalFormatting>
  <conditionalFormatting sqref="AU27">
    <cfRule type="cellIs" dxfId="0" priority="459" operator="lessThan">
      <formula>20</formula>
    </cfRule>
    <cfRule type="cellIs" dxfId="1" priority="299" operator="greaterThan">
      <formula>120</formula>
    </cfRule>
    <cfRule type="containsText" dxfId="2" priority="139" operator="between" text="库存为">
      <formula>NOT(ISERROR(SEARCH("库存为",AU27)))</formula>
    </cfRule>
  </conditionalFormatting>
  <conditionalFormatting sqref="AU28">
    <cfRule type="cellIs" dxfId="0" priority="458" operator="lessThan">
      <formula>20</formula>
    </cfRule>
    <cfRule type="cellIs" dxfId="1" priority="298" operator="greaterThan">
      <formula>120</formula>
    </cfRule>
    <cfRule type="containsText" dxfId="2" priority="138" operator="between" text="库存为">
      <formula>NOT(ISERROR(SEARCH("库存为",AU28)))</formula>
    </cfRule>
  </conditionalFormatting>
  <conditionalFormatting sqref="AU29">
    <cfRule type="cellIs" dxfId="0" priority="457" operator="lessThan">
      <formula>20</formula>
    </cfRule>
    <cfRule type="cellIs" dxfId="1" priority="297" operator="greaterThan">
      <formula>120</formula>
    </cfRule>
    <cfRule type="containsText" dxfId="2" priority="137" operator="between" text="库存为">
      <formula>NOT(ISERROR(SEARCH("库存为",AU29)))</formula>
    </cfRule>
  </conditionalFormatting>
  <conditionalFormatting sqref="AU30">
    <cfRule type="cellIs" dxfId="0" priority="456" operator="lessThan">
      <formula>20</formula>
    </cfRule>
    <cfRule type="cellIs" dxfId="1" priority="296" operator="greaterThan">
      <formula>120</formula>
    </cfRule>
    <cfRule type="containsText" dxfId="2" priority="136" operator="between" text="库存为">
      <formula>NOT(ISERROR(SEARCH("库存为",AU30)))</formula>
    </cfRule>
  </conditionalFormatting>
  <conditionalFormatting sqref="AU31">
    <cfRule type="cellIs" dxfId="0" priority="455" operator="lessThan">
      <formula>20</formula>
    </cfRule>
    <cfRule type="cellIs" dxfId="1" priority="295" operator="greaterThan">
      <formula>120</formula>
    </cfRule>
    <cfRule type="containsText" dxfId="2" priority="135" operator="between" text="库存为">
      <formula>NOT(ISERROR(SEARCH("库存为",AU31)))</formula>
    </cfRule>
  </conditionalFormatting>
  <conditionalFormatting sqref="AU32">
    <cfRule type="cellIs" dxfId="0" priority="454" operator="lessThan">
      <formula>20</formula>
    </cfRule>
    <cfRule type="cellIs" dxfId="1" priority="294" operator="greaterThan">
      <formula>120</formula>
    </cfRule>
    <cfRule type="containsText" dxfId="2" priority="134" operator="between" text="库存为">
      <formula>NOT(ISERROR(SEARCH("库存为",AU32)))</formula>
    </cfRule>
  </conditionalFormatting>
  <conditionalFormatting sqref="AU33">
    <cfRule type="cellIs" dxfId="0" priority="453" operator="lessThan">
      <formula>20</formula>
    </cfRule>
    <cfRule type="cellIs" dxfId="1" priority="293" operator="greaterThan">
      <formula>120</formula>
    </cfRule>
    <cfRule type="containsText" dxfId="2" priority="133" operator="between" text="库存为">
      <formula>NOT(ISERROR(SEARCH("库存为",AU33)))</formula>
    </cfRule>
  </conditionalFormatting>
  <conditionalFormatting sqref="AU34">
    <cfRule type="cellIs" dxfId="0" priority="452" operator="lessThan">
      <formula>20</formula>
    </cfRule>
    <cfRule type="cellIs" dxfId="1" priority="292" operator="greaterThan">
      <formula>120</formula>
    </cfRule>
    <cfRule type="containsText" dxfId="2" priority="132" operator="between" text="库存为">
      <formula>NOT(ISERROR(SEARCH("库存为",AU34)))</formula>
    </cfRule>
  </conditionalFormatting>
  <conditionalFormatting sqref="AU35">
    <cfRule type="cellIs" dxfId="0" priority="451" operator="lessThan">
      <formula>20</formula>
    </cfRule>
    <cfRule type="cellIs" dxfId="1" priority="291" operator="greaterThan">
      <formula>120</formula>
    </cfRule>
    <cfRule type="containsText" dxfId="2" priority="131" operator="between" text="库存为">
      <formula>NOT(ISERROR(SEARCH("库存为",AU35)))</formula>
    </cfRule>
  </conditionalFormatting>
  <conditionalFormatting sqref="AU36">
    <cfRule type="cellIs" dxfId="0" priority="450" operator="lessThan">
      <formula>20</formula>
    </cfRule>
    <cfRule type="cellIs" dxfId="1" priority="290" operator="greaterThan">
      <formula>120</formula>
    </cfRule>
    <cfRule type="containsText" dxfId="2" priority="130" operator="between" text="库存为">
      <formula>NOT(ISERROR(SEARCH("库存为",AU36)))</formula>
    </cfRule>
  </conditionalFormatting>
  <conditionalFormatting sqref="AU37">
    <cfRule type="cellIs" dxfId="0" priority="449" operator="lessThan">
      <formula>20</formula>
    </cfRule>
    <cfRule type="cellIs" dxfId="1" priority="289" operator="greaterThan">
      <formula>120</formula>
    </cfRule>
    <cfRule type="containsText" dxfId="2" priority="129" operator="between" text="库存为">
      <formula>NOT(ISERROR(SEARCH("库存为",AU37)))</formula>
    </cfRule>
  </conditionalFormatting>
  <conditionalFormatting sqref="AU38">
    <cfRule type="cellIs" dxfId="0" priority="448" operator="lessThan">
      <formula>20</formula>
    </cfRule>
    <cfRule type="cellIs" dxfId="1" priority="288" operator="greaterThan">
      <formula>120</formula>
    </cfRule>
    <cfRule type="containsText" dxfId="2" priority="128" operator="between" text="库存为">
      <formula>NOT(ISERROR(SEARCH("库存为",AU38)))</formula>
    </cfRule>
  </conditionalFormatting>
  <conditionalFormatting sqref="AU39">
    <cfRule type="cellIs" dxfId="0" priority="447" operator="lessThan">
      <formula>20</formula>
    </cfRule>
    <cfRule type="cellIs" dxfId="1" priority="287" operator="greaterThan">
      <formula>120</formula>
    </cfRule>
    <cfRule type="containsText" dxfId="2" priority="127" operator="between" text="库存为">
      <formula>NOT(ISERROR(SEARCH("库存为",AU39)))</formula>
    </cfRule>
  </conditionalFormatting>
  <conditionalFormatting sqref="AU40">
    <cfRule type="cellIs" dxfId="0" priority="446" operator="lessThan">
      <formula>20</formula>
    </cfRule>
    <cfRule type="cellIs" dxfId="1" priority="286" operator="greaterThan">
      <formula>120</formula>
    </cfRule>
    <cfRule type="containsText" dxfId="2" priority="126" operator="between" text="库存为">
      <formula>NOT(ISERROR(SEARCH("库存为",AU40)))</formula>
    </cfRule>
  </conditionalFormatting>
  <conditionalFormatting sqref="AU41">
    <cfRule type="cellIs" dxfId="0" priority="445" operator="lessThan">
      <formula>20</formula>
    </cfRule>
    <cfRule type="cellIs" dxfId="1" priority="285" operator="greaterThan">
      <formula>120</formula>
    </cfRule>
    <cfRule type="containsText" dxfId="2" priority="125" operator="between" text="库存为">
      <formula>NOT(ISERROR(SEARCH("库存为",AU41)))</formula>
    </cfRule>
  </conditionalFormatting>
  <conditionalFormatting sqref="AU42">
    <cfRule type="cellIs" dxfId="0" priority="444" operator="lessThan">
      <formula>20</formula>
    </cfRule>
    <cfRule type="cellIs" dxfId="1" priority="284" operator="greaterThan">
      <formula>120</formula>
    </cfRule>
    <cfRule type="containsText" dxfId="2" priority="124" operator="between" text="库存为">
      <formula>NOT(ISERROR(SEARCH("库存为",AU42)))</formula>
    </cfRule>
  </conditionalFormatting>
  <conditionalFormatting sqref="AU43">
    <cfRule type="cellIs" dxfId="0" priority="443" operator="lessThan">
      <formula>20</formula>
    </cfRule>
    <cfRule type="cellIs" dxfId="1" priority="283" operator="greaterThan">
      <formula>120</formula>
    </cfRule>
    <cfRule type="containsText" dxfId="2" priority="123" operator="between" text="库存为">
      <formula>NOT(ISERROR(SEARCH("库存为",AU43)))</formula>
    </cfRule>
  </conditionalFormatting>
  <conditionalFormatting sqref="AU44">
    <cfRule type="cellIs" dxfId="0" priority="442" operator="lessThan">
      <formula>20</formula>
    </cfRule>
    <cfRule type="cellIs" dxfId="1" priority="282" operator="greaterThan">
      <formula>120</formula>
    </cfRule>
    <cfRule type="containsText" dxfId="2" priority="122" operator="between" text="库存为">
      <formula>NOT(ISERROR(SEARCH("库存为",AU44)))</formula>
    </cfRule>
  </conditionalFormatting>
  <conditionalFormatting sqref="AU45">
    <cfRule type="cellIs" dxfId="0" priority="441" operator="lessThan">
      <formula>20</formula>
    </cfRule>
    <cfRule type="cellIs" dxfId="1" priority="281" operator="greaterThan">
      <formula>120</formula>
    </cfRule>
    <cfRule type="containsText" dxfId="2" priority="121" operator="between" text="库存为">
      <formula>NOT(ISERROR(SEARCH("库存为",AU45)))</formula>
    </cfRule>
  </conditionalFormatting>
  <conditionalFormatting sqref="AU46">
    <cfRule type="cellIs" dxfId="0" priority="440" operator="lessThan">
      <formula>20</formula>
    </cfRule>
    <cfRule type="cellIs" dxfId="1" priority="280" operator="greaterThan">
      <formula>120</formula>
    </cfRule>
    <cfRule type="containsText" dxfId="2" priority="120" operator="between" text="库存为">
      <formula>NOT(ISERROR(SEARCH("库存为",AU46)))</formula>
    </cfRule>
  </conditionalFormatting>
  <conditionalFormatting sqref="AU47">
    <cfRule type="cellIs" dxfId="0" priority="439" operator="lessThan">
      <formula>20</formula>
    </cfRule>
    <cfRule type="cellIs" dxfId="1" priority="279" operator="greaterThan">
      <formula>120</formula>
    </cfRule>
    <cfRule type="containsText" dxfId="2" priority="119" operator="between" text="库存为">
      <formula>NOT(ISERROR(SEARCH("库存为",AU47)))</formula>
    </cfRule>
  </conditionalFormatting>
  <conditionalFormatting sqref="AU48">
    <cfRule type="cellIs" dxfId="0" priority="438" operator="lessThan">
      <formula>20</formula>
    </cfRule>
    <cfRule type="cellIs" dxfId="1" priority="278" operator="greaterThan">
      <formula>120</formula>
    </cfRule>
    <cfRule type="containsText" dxfId="2" priority="118" operator="between" text="库存为">
      <formula>NOT(ISERROR(SEARCH("库存为",AU48)))</formula>
    </cfRule>
  </conditionalFormatting>
  <conditionalFormatting sqref="AU49">
    <cfRule type="cellIs" dxfId="0" priority="437" operator="lessThan">
      <formula>20</formula>
    </cfRule>
    <cfRule type="cellIs" dxfId="1" priority="277" operator="greaterThan">
      <formula>120</formula>
    </cfRule>
    <cfRule type="containsText" dxfId="2" priority="117" operator="between" text="库存为">
      <formula>NOT(ISERROR(SEARCH("库存为",AU49)))</formula>
    </cfRule>
  </conditionalFormatting>
  <conditionalFormatting sqref="AU50">
    <cfRule type="cellIs" dxfId="0" priority="436" operator="lessThan">
      <formula>20</formula>
    </cfRule>
    <cfRule type="cellIs" dxfId="1" priority="276" operator="greaterThan">
      <formula>120</formula>
    </cfRule>
    <cfRule type="containsText" dxfId="2" priority="116" operator="between" text="库存为">
      <formula>NOT(ISERROR(SEARCH("库存为",AU50)))</formula>
    </cfRule>
  </conditionalFormatting>
  <conditionalFormatting sqref="AU51">
    <cfRule type="cellIs" dxfId="0" priority="435" operator="lessThan">
      <formula>20</formula>
    </cfRule>
    <cfRule type="cellIs" dxfId="1" priority="275" operator="greaterThan">
      <formula>120</formula>
    </cfRule>
    <cfRule type="containsText" dxfId="2" priority="115" operator="between" text="库存为">
      <formula>NOT(ISERROR(SEARCH("库存为",AU51)))</formula>
    </cfRule>
  </conditionalFormatting>
  <conditionalFormatting sqref="AU52">
    <cfRule type="cellIs" dxfId="0" priority="434" operator="lessThan">
      <formula>20</formula>
    </cfRule>
    <cfRule type="cellIs" dxfId="1" priority="274" operator="greaterThan">
      <formula>120</formula>
    </cfRule>
    <cfRule type="containsText" dxfId="2" priority="114" operator="between" text="库存为">
      <formula>NOT(ISERROR(SEARCH("库存为",AU52)))</formula>
    </cfRule>
  </conditionalFormatting>
  <conditionalFormatting sqref="AU53">
    <cfRule type="cellIs" dxfId="0" priority="433" operator="lessThan">
      <formula>20</formula>
    </cfRule>
    <cfRule type="cellIs" dxfId="1" priority="273" operator="greaterThan">
      <formula>120</formula>
    </cfRule>
    <cfRule type="containsText" dxfId="2" priority="113" operator="between" text="库存为">
      <formula>NOT(ISERROR(SEARCH("库存为",AU53)))</formula>
    </cfRule>
  </conditionalFormatting>
  <conditionalFormatting sqref="AU54">
    <cfRule type="cellIs" dxfId="0" priority="432" operator="lessThan">
      <formula>20</formula>
    </cfRule>
    <cfRule type="cellIs" dxfId="1" priority="272" operator="greaterThan">
      <formula>120</formula>
    </cfRule>
    <cfRule type="containsText" dxfId="2" priority="112" operator="between" text="库存为">
      <formula>NOT(ISERROR(SEARCH("库存为",AU54)))</formula>
    </cfRule>
  </conditionalFormatting>
  <conditionalFormatting sqref="AU55">
    <cfRule type="cellIs" dxfId="0" priority="431" operator="lessThan">
      <formula>20</formula>
    </cfRule>
    <cfRule type="cellIs" dxfId="1" priority="271" operator="greaterThan">
      <formula>120</formula>
    </cfRule>
    <cfRule type="containsText" dxfId="2" priority="111" operator="between" text="库存为">
      <formula>NOT(ISERROR(SEARCH("库存为",AU55)))</formula>
    </cfRule>
  </conditionalFormatting>
  <conditionalFormatting sqref="AU56">
    <cfRule type="cellIs" dxfId="0" priority="430" operator="lessThan">
      <formula>20</formula>
    </cfRule>
    <cfRule type="cellIs" dxfId="1" priority="270" operator="greaterThan">
      <formula>120</formula>
    </cfRule>
    <cfRule type="containsText" dxfId="2" priority="110" operator="between" text="库存为">
      <formula>NOT(ISERROR(SEARCH("库存为",AU56)))</formula>
    </cfRule>
  </conditionalFormatting>
  <conditionalFormatting sqref="AU57">
    <cfRule type="cellIs" dxfId="0" priority="429" operator="lessThan">
      <formula>20</formula>
    </cfRule>
    <cfRule type="cellIs" dxfId="1" priority="269" operator="greaterThan">
      <formula>120</formula>
    </cfRule>
    <cfRule type="containsText" dxfId="2" priority="109" operator="between" text="库存为">
      <formula>NOT(ISERROR(SEARCH("库存为",AU57)))</formula>
    </cfRule>
  </conditionalFormatting>
  <conditionalFormatting sqref="AU58">
    <cfRule type="cellIs" dxfId="0" priority="428" operator="lessThan">
      <formula>20</formula>
    </cfRule>
    <cfRule type="cellIs" dxfId="1" priority="268" operator="greaterThan">
      <formula>120</formula>
    </cfRule>
    <cfRule type="containsText" dxfId="2" priority="108" operator="between" text="库存为">
      <formula>NOT(ISERROR(SEARCH("库存为",AU58)))</formula>
    </cfRule>
  </conditionalFormatting>
  <conditionalFormatting sqref="AU59">
    <cfRule type="cellIs" dxfId="0" priority="427" operator="lessThan">
      <formula>20</formula>
    </cfRule>
    <cfRule type="cellIs" dxfId="1" priority="267" operator="greaterThan">
      <formula>120</formula>
    </cfRule>
    <cfRule type="containsText" dxfId="2" priority="107" operator="between" text="库存为">
      <formula>NOT(ISERROR(SEARCH("库存为",AU59)))</formula>
    </cfRule>
  </conditionalFormatting>
  <conditionalFormatting sqref="AU60">
    <cfRule type="cellIs" dxfId="0" priority="426" operator="lessThan">
      <formula>20</formula>
    </cfRule>
    <cfRule type="cellIs" dxfId="1" priority="266" operator="greaterThan">
      <formula>120</formula>
    </cfRule>
    <cfRule type="containsText" dxfId="2" priority="106" operator="between" text="库存为">
      <formula>NOT(ISERROR(SEARCH("库存为",AU60)))</formula>
    </cfRule>
  </conditionalFormatting>
  <conditionalFormatting sqref="AU61">
    <cfRule type="cellIs" dxfId="0" priority="425" operator="lessThan">
      <formula>20</formula>
    </cfRule>
    <cfRule type="cellIs" dxfId="1" priority="265" operator="greaterThan">
      <formula>120</formula>
    </cfRule>
    <cfRule type="containsText" dxfId="2" priority="105" operator="between" text="库存为">
      <formula>NOT(ISERROR(SEARCH("库存为",AU61)))</formula>
    </cfRule>
  </conditionalFormatting>
  <conditionalFormatting sqref="AU62">
    <cfRule type="cellIs" dxfId="0" priority="424" operator="lessThan">
      <formula>20</formula>
    </cfRule>
    <cfRule type="cellIs" dxfId="1" priority="264" operator="greaterThan">
      <formula>120</formula>
    </cfRule>
    <cfRule type="containsText" dxfId="2" priority="104" operator="between" text="库存为">
      <formula>NOT(ISERROR(SEARCH("库存为",AU62)))</formula>
    </cfRule>
  </conditionalFormatting>
  <conditionalFormatting sqref="AU63">
    <cfRule type="cellIs" dxfId="0" priority="423" operator="lessThan">
      <formula>20</formula>
    </cfRule>
    <cfRule type="cellIs" dxfId="1" priority="263" operator="greaterThan">
      <formula>120</formula>
    </cfRule>
    <cfRule type="containsText" dxfId="2" priority="103" operator="between" text="库存为">
      <formula>NOT(ISERROR(SEARCH("库存为",AU63)))</formula>
    </cfRule>
  </conditionalFormatting>
  <conditionalFormatting sqref="AU64">
    <cfRule type="cellIs" dxfId="0" priority="422" operator="lessThan">
      <formula>20</formula>
    </cfRule>
    <cfRule type="cellIs" dxfId="1" priority="262" operator="greaterThan">
      <formula>120</formula>
    </cfRule>
    <cfRule type="containsText" dxfId="2" priority="102" operator="between" text="库存为">
      <formula>NOT(ISERROR(SEARCH("库存为",AU64)))</formula>
    </cfRule>
  </conditionalFormatting>
  <conditionalFormatting sqref="AU65">
    <cfRule type="cellIs" dxfId="0" priority="421" operator="lessThan">
      <formula>20</formula>
    </cfRule>
    <cfRule type="cellIs" dxfId="1" priority="261" operator="greaterThan">
      <formula>120</formula>
    </cfRule>
    <cfRule type="containsText" dxfId="2" priority="101" operator="between" text="库存为">
      <formula>NOT(ISERROR(SEARCH("库存为",AU65)))</formula>
    </cfRule>
  </conditionalFormatting>
  <conditionalFormatting sqref="AU66">
    <cfRule type="cellIs" dxfId="0" priority="420" operator="lessThan">
      <formula>20</formula>
    </cfRule>
    <cfRule type="cellIs" dxfId="1" priority="260" operator="greaterThan">
      <formula>120</formula>
    </cfRule>
    <cfRule type="containsText" dxfId="2" priority="100" operator="between" text="库存为">
      <formula>NOT(ISERROR(SEARCH("库存为",AU66)))</formula>
    </cfRule>
  </conditionalFormatting>
  <conditionalFormatting sqref="AU67">
    <cfRule type="cellIs" dxfId="0" priority="419" operator="lessThan">
      <formula>20</formula>
    </cfRule>
    <cfRule type="cellIs" dxfId="1" priority="259" operator="greaterThan">
      <formula>120</formula>
    </cfRule>
    <cfRule type="containsText" dxfId="2" priority="99" operator="between" text="库存为">
      <formula>NOT(ISERROR(SEARCH("库存为",AU67)))</formula>
    </cfRule>
  </conditionalFormatting>
  <conditionalFormatting sqref="AU68">
    <cfRule type="cellIs" dxfId="0" priority="418" operator="lessThan">
      <formula>20</formula>
    </cfRule>
    <cfRule type="cellIs" dxfId="1" priority="258" operator="greaterThan">
      <formula>120</formula>
    </cfRule>
    <cfRule type="containsText" dxfId="2" priority="98" operator="between" text="库存为">
      <formula>NOT(ISERROR(SEARCH("库存为",AU68)))</formula>
    </cfRule>
  </conditionalFormatting>
  <conditionalFormatting sqref="AU69">
    <cfRule type="cellIs" dxfId="0" priority="417" operator="lessThan">
      <formula>20</formula>
    </cfRule>
    <cfRule type="cellIs" dxfId="1" priority="257" operator="greaterThan">
      <formula>120</formula>
    </cfRule>
    <cfRule type="containsText" dxfId="2" priority="97" operator="between" text="库存为">
      <formula>NOT(ISERROR(SEARCH("库存为",AU69)))</formula>
    </cfRule>
  </conditionalFormatting>
  <conditionalFormatting sqref="AU70">
    <cfRule type="cellIs" dxfId="0" priority="416" operator="lessThan">
      <formula>20</formula>
    </cfRule>
    <cfRule type="cellIs" dxfId="1" priority="256" operator="greaterThan">
      <formula>120</formula>
    </cfRule>
    <cfRule type="containsText" dxfId="2" priority="96" operator="between" text="库存为">
      <formula>NOT(ISERROR(SEARCH("库存为",AU70)))</formula>
    </cfRule>
  </conditionalFormatting>
  <conditionalFormatting sqref="AU71">
    <cfRule type="cellIs" dxfId="0" priority="415" operator="lessThan">
      <formula>20</formula>
    </cfRule>
    <cfRule type="cellIs" dxfId="1" priority="255" operator="greaterThan">
      <formula>120</formula>
    </cfRule>
    <cfRule type="containsText" dxfId="2" priority="95" operator="between" text="库存为">
      <formula>NOT(ISERROR(SEARCH("库存为",AU71)))</formula>
    </cfRule>
  </conditionalFormatting>
  <conditionalFormatting sqref="AU72">
    <cfRule type="cellIs" dxfId="0" priority="414" operator="lessThan">
      <formula>20</formula>
    </cfRule>
    <cfRule type="cellIs" dxfId="1" priority="254" operator="greaterThan">
      <formula>120</formula>
    </cfRule>
    <cfRule type="containsText" dxfId="2" priority="94" operator="between" text="库存为">
      <formula>NOT(ISERROR(SEARCH("库存为",AU72)))</formula>
    </cfRule>
  </conditionalFormatting>
  <conditionalFormatting sqref="AU73">
    <cfRule type="cellIs" dxfId="0" priority="413" operator="lessThan">
      <formula>20</formula>
    </cfRule>
    <cfRule type="cellIs" dxfId="1" priority="253" operator="greaterThan">
      <formula>120</formula>
    </cfRule>
    <cfRule type="containsText" dxfId="2" priority="93" operator="between" text="库存为">
      <formula>NOT(ISERROR(SEARCH("库存为",AU73)))</formula>
    </cfRule>
  </conditionalFormatting>
  <conditionalFormatting sqref="AU74">
    <cfRule type="cellIs" dxfId="0" priority="412" operator="lessThan">
      <formula>20</formula>
    </cfRule>
    <cfRule type="cellIs" dxfId="1" priority="252" operator="greaterThan">
      <formula>120</formula>
    </cfRule>
    <cfRule type="containsText" dxfId="2" priority="92" operator="between" text="库存为">
      <formula>NOT(ISERROR(SEARCH("库存为",AU74)))</formula>
    </cfRule>
  </conditionalFormatting>
  <conditionalFormatting sqref="AU75">
    <cfRule type="cellIs" dxfId="0" priority="411" operator="lessThan">
      <formula>20</formula>
    </cfRule>
    <cfRule type="cellIs" dxfId="1" priority="251" operator="greaterThan">
      <formula>120</formula>
    </cfRule>
    <cfRule type="containsText" dxfId="2" priority="91" operator="between" text="库存为">
      <formula>NOT(ISERROR(SEARCH("库存为",AU75)))</formula>
    </cfRule>
  </conditionalFormatting>
  <conditionalFormatting sqref="AU76">
    <cfRule type="cellIs" dxfId="0" priority="410" operator="lessThan">
      <formula>20</formula>
    </cfRule>
    <cfRule type="cellIs" dxfId="1" priority="250" operator="greaterThan">
      <formula>120</formula>
    </cfRule>
    <cfRule type="containsText" dxfId="2" priority="90" operator="between" text="库存为">
      <formula>NOT(ISERROR(SEARCH("库存为",AU76)))</formula>
    </cfRule>
  </conditionalFormatting>
  <conditionalFormatting sqref="AU77">
    <cfRule type="cellIs" dxfId="0" priority="409" operator="lessThan">
      <formula>20</formula>
    </cfRule>
    <cfRule type="cellIs" dxfId="1" priority="249" operator="greaterThan">
      <formula>120</formula>
    </cfRule>
    <cfRule type="containsText" dxfId="2" priority="89" operator="between" text="库存为">
      <formula>NOT(ISERROR(SEARCH("库存为",AU77)))</formula>
    </cfRule>
  </conditionalFormatting>
  <conditionalFormatting sqref="AU78">
    <cfRule type="cellIs" dxfId="0" priority="408" operator="lessThan">
      <formula>20</formula>
    </cfRule>
    <cfRule type="cellIs" dxfId="1" priority="248" operator="greaterThan">
      <formula>120</formula>
    </cfRule>
    <cfRule type="containsText" dxfId="2" priority="88" operator="between" text="库存为">
      <formula>NOT(ISERROR(SEARCH("库存为",AU78)))</formula>
    </cfRule>
  </conditionalFormatting>
  <conditionalFormatting sqref="AU79">
    <cfRule type="cellIs" dxfId="0" priority="407" operator="lessThan">
      <formula>20</formula>
    </cfRule>
    <cfRule type="cellIs" dxfId="1" priority="247" operator="greaterThan">
      <formula>120</formula>
    </cfRule>
    <cfRule type="containsText" dxfId="2" priority="87" operator="between" text="库存为">
      <formula>NOT(ISERROR(SEARCH("库存为",AU79)))</formula>
    </cfRule>
  </conditionalFormatting>
  <conditionalFormatting sqref="AU80">
    <cfRule type="cellIs" dxfId="0" priority="406" operator="lessThan">
      <formula>20</formula>
    </cfRule>
    <cfRule type="cellIs" dxfId="1" priority="246" operator="greaterThan">
      <formula>120</formula>
    </cfRule>
    <cfRule type="containsText" dxfId="2" priority="86" operator="between" text="库存为">
      <formula>NOT(ISERROR(SEARCH("库存为",AU80)))</formula>
    </cfRule>
  </conditionalFormatting>
  <conditionalFormatting sqref="AU81">
    <cfRule type="cellIs" dxfId="0" priority="405" operator="lessThan">
      <formula>20</formula>
    </cfRule>
    <cfRule type="cellIs" dxfId="1" priority="245" operator="greaterThan">
      <formula>120</formula>
    </cfRule>
    <cfRule type="containsText" dxfId="2" priority="85" operator="between" text="库存为">
      <formula>NOT(ISERROR(SEARCH("库存为",AU81)))</formula>
    </cfRule>
  </conditionalFormatting>
  <conditionalFormatting sqref="AU82">
    <cfRule type="cellIs" dxfId="0" priority="404" operator="lessThan">
      <formula>20</formula>
    </cfRule>
    <cfRule type="cellIs" dxfId="1" priority="244" operator="greaterThan">
      <formula>120</formula>
    </cfRule>
    <cfRule type="containsText" dxfId="2" priority="84" operator="between" text="库存为">
      <formula>NOT(ISERROR(SEARCH("库存为",AU82)))</formula>
    </cfRule>
  </conditionalFormatting>
  <conditionalFormatting sqref="AU83">
    <cfRule type="cellIs" dxfId="0" priority="403" operator="lessThan">
      <formula>20</formula>
    </cfRule>
    <cfRule type="cellIs" dxfId="1" priority="243" operator="greaterThan">
      <formula>120</formula>
    </cfRule>
    <cfRule type="containsText" dxfId="2" priority="83" operator="between" text="库存为">
      <formula>NOT(ISERROR(SEARCH("库存为",AU83)))</formula>
    </cfRule>
  </conditionalFormatting>
  <conditionalFormatting sqref="AU84">
    <cfRule type="cellIs" dxfId="0" priority="402" operator="lessThan">
      <formula>20</formula>
    </cfRule>
    <cfRule type="cellIs" dxfId="1" priority="242" operator="greaterThan">
      <formula>120</formula>
    </cfRule>
    <cfRule type="containsText" dxfId="2" priority="82" operator="between" text="库存为">
      <formula>NOT(ISERROR(SEARCH("库存为",AU84)))</formula>
    </cfRule>
  </conditionalFormatting>
  <conditionalFormatting sqref="AU85">
    <cfRule type="cellIs" dxfId="0" priority="401" operator="lessThan">
      <formula>20</formula>
    </cfRule>
    <cfRule type="cellIs" dxfId="1" priority="241" operator="greaterThan">
      <formula>120</formula>
    </cfRule>
    <cfRule type="containsText" dxfId="2" priority="81" operator="between" text="库存为">
      <formula>NOT(ISERROR(SEARCH("库存为",AU85)))</formula>
    </cfRule>
  </conditionalFormatting>
  <conditionalFormatting sqref="AU86">
    <cfRule type="cellIs" dxfId="0" priority="400" operator="lessThan">
      <formula>20</formula>
    </cfRule>
    <cfRule type="cellIs" dxfId="1" priority="240" operator="greaterThan">
      <formula>120</formula>
    </cfRule>
    <cfRule type="containsText" dxfId="2" priority="80" operator="between" text="库存为">
      <formula>NOT(ISERROR(SEARCH("库存为",AU86)))</formula>
    </cfRule>
  </conditionalFormatting>
  <conditionalFormatting sqref="AU87">
    <cfRule type="cellIs" dxfId="0" priority="399" operator="lessThan">
      <formula>20</formula>
    </cfRule>
    <cfRule type="cellIs" dxfId="1" priority="239" operator="greaterThan">
      <formula>120</formula>
    </cfRule>
    <cfRule type="containsText" dxfId="2" priority="79" operator="between" text="库存为">
      <formula>NOT(ISERROR(SEARCH("库存为",AU87)))</formula>
    </cfRule>
  </conditionalFormatting>
  <conditionalFormatting sqref="AU88">
    <cfRule type="cellIs" dxfId="0" priority="398" operator="lessThan">
      <formula>20</formula>
    </cfRule>
    <cfRule type="cellIs" dxfId="1" priority="238" operator="greaterThan">
      <formula>120</formula>
    </cfRule>
    <cfRule type="containsText" dxfId="2" priority="78" operator="between" text="库存为">
      <formula>NOT(ISERROR(SEARCH("库存为",AU88)))</formula>
    </cfRule>
  </conditionalFormatting>
  <conditionalFormatting sqref="AU89">
    <cfRule type="cellIs" dxfId="0" priority="397" operator="lessThan">
      <formula>20</formula>
    </cfRule>
    <cfRule type="cellIs" dxfId="1" priority="237" operator="greaterThan">
      <formula>120</formula>
    </cfRule>
    <cfRule type="containsText" dxfId="2" priority="77" operator="between" text="库存为">
      <formula>NOT(ISERROR(SEARCH("库存为",AU89)))</formula>
    </cfRule>
  </conditionalFormatting>
  <conditionalFormatting sqref="AU90">
    <cfRule type="cellIs" dxfId="0" priority="396" operator="lessThan">
      <formula>20</formula>
    </cfRule>
    <cfRule type="cellIs" dxfId="1" priority="236" operator="greaterThan">
      <formula>120</formula>
    </cfRule>
    <cfRule type="containsText" dxfId="2" priority="76" operator="between" text="库存为">
      <formula>NOT(ISERROR(SEARCH("库存为",AU90)))</formula>
    </cfRule>
  </conditionalFormatting>
  <conditionalFormatting sqref="AU91">
    <cfRule type="cellIs" dxfId="0" priority="395" operator="lessThan">
      <formula>20</formula>
    </cfRule>
    <cfRule type="cellIs" dxfId="1" priority="235" operator="greaterThan">
      <formula>120</formula>
    </cfRule>
    <cfRule type="containsText" dxfId="2" priority="75" operator="between" text="库存为">
      <formula>NOT(ISERROR(SEARCH("库存为",AU91)))</formula>
    </cfRule>
  </conditionalFormatting>
  <conditionalFormatting sqref="AU92">
    <cfRule type="cellIs" dxfId="0" priority="394" operator="lessThan">
      <formula>20</formula>
    </cfRule>
    <cfRule type="cellIs" dxfId="1" priority="234" operator="greaterThan">
      <formula>120</formula>
    </cfRule>
    <cfRule type="containsText" dxfId="2" priority="74" operator="between" text="库存为">
      <formula>NOT(ISERROR(SEARCH("库存为",AU92)))</formula>
    </cfRule>
  </conditionalFormatting>
  <conditionalFormatting sqref="AU93">
    <cfRule type="cellIs" dxfId="0" priority="393" operator="lessThan">
      <formula>20</formula>
    </cfRule>
    <cfRule type="cellIs" dxfId="1" priority="233" operator="greaterThan">
      <formula>120</formula>
    </cfRule>
    <cfRule type="containsText" dxfId="2" priority="73" operator="between" text="库存为">
      <formula>NOT(ISERROR(SEARCH("库存为",AU93)))</formula>
    </cfRule>
  </conditionalFormatting>
  <conditionalFormatting sqref="AU94">
    <cfRule type="cellIs" dxfId="0" priority="392" operator="lessThan">
      <formula>20</formula>
    </cfRule>
    <cfRule type="cellIs" dxfId="1" priority="232" operator="greaterThan">
      <formula>120</formula>
    </cfRule>
    <cfRule type="containsText" dxfId="2" priority="72" operator="between" text="库存为">
      <formula>NOT(ISERROR(SEARCH("库存为",AU94)))</formula>
    </cfRule>
  </conditionalFormatting>
  <conditionalFormatting sqref="AU95">
    <cfRule type="cellIs" dxfId="0" priority="391" operator="lessThan">
      <formula>20</formula>
    </cfRule>
    <cfRule type="cellIs" dxfId="1" priority="231" operator="greaterThan">
      <formula>120</formula>
    </cfRule>
    <cfRule type="containsText" dxfId="2" priority="71" operator="between" text="库存为">
      <formula>NOT(ISERROR(SEARCH("库存为",AU95)))</formula>
    </cfRule>
  </conditionalFormatting>
  <conditionalFormatting sqref="AU96">
    <cfRule type="cellIs" dxfId="0" priority="390" operator="lessThan">
      <formula>20</formula>
    </cfRule>
    <cfRule type="cellIs" dxfId="1" priority="230" operator="greaterThan">
      <formula>120</formula>
    </cfRule>
    <cfRule type="containsText" dxfId="2" priority="70" operator="between" text="库存为">
      <formula>NOT(ISERROR(SEARCH("库存为",AU96)))</formula>
    </cfRule>
  </conditionalFormatting>
  <conditionalFormatting sqref="AU97">
    <cfRule type="cellIs" dxfId="0" priority="389" operator="lessThan">
      <formula>20</formula>
    </cfRule>
    <cfRule type="cellIs" dxfId="1" priority="229" operator="greaterThan">
      <formula>120</formula>
    </cfRule>
    <cfRule type="containsText" dxfId="2" priority="69" operator="between" text="库存为">
      <formula>NOT(ISERROR(SEARCH("库存为",AU97)))</formula>
    </cfRule>
  </conditionalFormatting>
  <conditionalFormatting sqref="AU98">
    <cfRule type="cellIs" dxfId="0" priority="388" operator="lessThan">
      <formula>20</formula>
    </cfRule>
    <cfRule type="cellIs" dxfId="1" priority="228" operator="greaterThan">
      <formula>120</formula>
    </cfRule>
    <cfRule type="containsText" dxfId="2" priority="68" operator="between" text="库存为">
      <formula>NOT(ISERROR(SEARCH("库存为",AU98)))</formula>
    </cfRule>
  </conditionalFormatting>
  <conditionalFormatting sqref="AU99">
    <cfRule type="cellIs" dxfId="0" priority="387" operator="lessThan">
      <formula>20</formula>
    </cfRule>
    <cfRule type="cellIs" dxfId="1" priority="227" operator="greaterThan">
      <formula>120</formula>
    </cfRule>
    <cfRule type="containsText" dxfId="2" priority="67" operator="between" text="库存为">
      <formula>NOT(ISERROR(SEARCH("库存为",AU99)))</formula>
    </cfRule>
  </conditionalFormatting>
  <conditionalFormatting sqref="AU100">
    <cfRule type="cellIs" dxfId="0" priority="386" operator="lessThan">
      <formula>20</formula>
    </cfRule>
    <cfRule type="cellIs" dxfId="1" priority="226" operator="greaterThan">
      <formula>120</formula>
    </cfRule>
    <cfRule type="containsText" dxfId="2" priority="66" operator="between" text="库存为">
      <formula>NOT(ISERROR(SEARCH("库存为",AU100)))</formula>
    </cfRule>
  </conditionalFormatting>
  <conditionalFormatting sqref="AU101">
    <cfRule type="cellIs" dxfId="0" priority="385" operator="lessThan">
      <formula>20</formula>
    </cfRule>
    <cfRule type="cellIs" dxfId="1" priority="225" operator="greaterThan">
      <formula>120</formula>
    </cfRule>
    <cfRule type="containsText" dxfId="2" priority="65" operator="between" text="库存为">
      <formula>NOT(ISERROR(SEARCH("库存为",AU101)))</formula>
    </cfRule>
  </conditionalFormatting>
  <conditionalFormatting sqref="AU102">
    <cfRule type="cellIs" dxfId="0" priority="384" operator="lessThan">
      <formula>20</formula>
    </cfRule>
    <cfRule type="cellIs" dxfId="1" priority="224" operator="greaterThan">
      <formula>120</formula>
    </cfRule>
    <cfRule type="containsText" dxfId="2" priority="64" operator="between" text="库存为">
      <formula>NOT(ISERROR(SEARCH("库存为",AU102)))</formula>
    </cfRule>
  </conditionalFormatting>
  <conditionalFormatting sqref="AU103">
    <cfRule type="cellIs" dxfId="0" priority="383" operator="lessThan">
      <formula>20</formula>
    </cfRule>
    <cfRule type="cellIs" dxfId="1" priority="223" operator="greaterThan">
      <formula>120</formula>
    </cfRule>
    <cfRule type="containsText" dxfId="2" priority="63" operator="between" text="库存为">
      <formula>NOT(ISERROR(SEARCH("库存为",AU103)))</formula>
    </cfRule>
  </conditionalFormatting>
  <conditionalFormatting sqref="AU104">
    <cfRule type="cellIs" dxfId="0" priority="382" operator="lessThan">
      <formula>20</formula>
    </cfRule>
    <cfRule type="cellIs" dxfId="1" priority="222" operator="greaterThan">
      <formula>120</formula>
    </cfRule>
    <cfRule type="containsText" dxfId="2" priority="62" operator="between" text="库存为">
      <formula>NOT(ISERROR(SEARCH("库存为",AU104)))</formula>
    </cfRule>
  </conditionalFormatting>
  <conditionalFormatting sqref="AU105">
    <cfRule type="cellIs" dxfId="0" priority="381" operator="lessThan">
      <formula>20</formula>
    </cfRule>
    <cfRule type="cellIs" dxfId="1" priority="221" operator="greaterThan">
      <formula>120</formula>
    </cfRule>
    <cfRule type="containsText" dxfId="2" priority="61" operator="between" text="库存为">
      <formula>NOT(ISERROR(SEARCH("库存为",AU105)))</formula>
    </cfRule>
  </conditionalFormatting>
  <conditionalFormatting sqref="AU106">
    <cfRule type="cellIs" dxfId="0" priority="380" operator="lessThan">
      <formula>20</formula>
    </cfRule>
    <cfRule type="cellIs" dxfId="1" priority="220" operator="greaterThan">
      <formula>120</formula>
    </cfRule>
    <cfRule type="containsText" dxfId="2" priority="60" operator="between" text="库存为">
      <formula>NOT(ISERROR(SEARCH("库存为",AU106)))</formula>
    </cfRule>
  </conditionalFormatting>
  <conditionalFormatting sqref="AU107">
    <cfRule type="cellIs" dxfId="0" priority="379" operator="lessThan">
      <formula>20</formula>
    </cfRule>
    <cfRule type="cellIs" dxfId="1" priority="219" operator="greaterThan">
      <formula>120</formula>
    </cfRule>
    <cfRule type="containsText" dxfId="2" priority="59" operator="between" text="库存为">
      <formula>NOT(ISERROR(SEARCH("库存为",AU107)))</formula>
    </cfRule>
  </conditionalFormatting>
  <conditionalFormatting sqref="AU108">
    <cfRule type="cellIs" dxfId="0" priority="378" operator="lessThan">
      <formula>20</formula>
    </cfRule>
    <cfRule type="cellIs" dxfId="1" priority="218" operator="greaterThan">
      <formula>120</formula>
    </cfRule>
    <cfRule type="containsText" dxfId="2" priority="58" operator="between" text="库存为">
      <formula>NOT(ISERROR(SEARCH("库存为",AU108)))</formula>
    </cfRule>
  </conditionalFormatting>
  <conditionalFormatting sqref="AU109">
    <cfRule type="cellIs" dxfId="0" priority="377" operator="lessThan">
      <formula>20</formula>
    </cfRule>
    <cfRule type="cellIs" dxfId="1" priority="217" operator="greaterThan">
      <formula>120</formula>
    </cfRule>
    <cfRule type="containsText" dxfId="2" priority="57" operator="between" text="库存为">
      <formula>NOT(ISERROR(SEARCH("库存为",AU109)))</formula>
    </cfRule>
  </conditionalFormatting>
  <conditionalFormatting sqref="AU110">
    <cfRule type="cellIs" dxfId="0" priority="376" operator="lessThan">
      <formula>20</formula>
    </cfRule>
    <cfRule type="cellIs" dxfId="1" priority="216" operator="greaterThan">
      <formula>120</formula>
    </cfRule>
    <cfRule type="containsText" dxfId="2" priority="56" operator="between" text="库存为">
      <formula>NOT(ISERROR(SEARCH("库存为",AU110)))</formula>
    </cfRule>
  </conditionalFormatting>
  <conditionalFormatting sqref="AU111">
    <cfRule type="cellIs" dxfId="0" priority="375" operator="lessThan">
      <formula>20</formula>
    </cfRule>
    <cfRule type="cellIs" dxfId="1" priority="215" operator="greaterThan">
      <formula>120</formula>
    </cfRule>
    <cfRule type="containsText" dxfId="2" priority="55" operator="between" text="库存为">
      <formula>NOT(ISERROR(SEARCH("库存为",AU111)))</formula>
    </cfRule>
  </conditionalFormatting>
  <conditionalFormatting sqref="AU112">
    <cfRule type="cellIs" dxfId="0" priority="374" operator="lessThan">
      <formula>20</formula>
    </cfRule>
    <cfRule type="cellIs" dxfId="1" priority="214" operator="greaterThan">
      <formula>120</formula>
    </cfRule>
    <cfRule type="containsText" dxfId="2" priority="54" operator="between" text="库存为">
      <formula>NOT(ISERROR(SEARCH("库存为",AU112)))</formula>
    </cfRule>
  </conditionalFormatting>
  <conditionalFormatting sqref="AU113">
    <cfRule type="cellIs" dxfId="0" priority="373" operator="lessThan">
      <formula>20</formula>
    </cfRule>
    <cfRule type="cellIs" dxfId="1" priority="213" operator="greaterThan">
      <formula>120</formula>
    </cfRule>
    <cfRule type="containsText" dxfId="2" priority="53" operator="between" text="库存为">
      <formula>NOT(ISERROR(SEARCH("库存为",AU113)))</formula>
    </cfRule>
  </conditionalFormatting>
  <conditionalFormatting sqref="AU114">
    <cfRule type="cellIs" dxfId="0" priority="372" operator="lessThan">
      <formula>20</formula>
    </cfRule>
    <cfRule type="cellIs" dxfId="1" priority="212" operator="greaterThan">
      <formula>120</formula>
    </cfRule>
    <cfRule type="containsText" dxfId="2" priority="52" operator="between" text="库存为">
      <formula>NOT(ISERROR(SEARCH("库存为",AU114)))</formula>
    </cfRule>
  </conditionalFormatting>
  <conditionalFormatting sqref="AU115">
    <cfRule type="cellIs" dxfId="0" priority="371" operator="lessThan">
      <formula>20</formula>
    </cfRule>
    <cfRule type="cellIs" dxfId="1" priority="211" operator="greaterThan">
      <formula>120</formula>
    </cfRule>
    <cfRule type="containsText" dxfId="2" priority="51" operator="between" text="库存为">
      <formula>NOT(ISERROR(SEARCH("库存为",AU115)))</formula>
    </cfRule>
  </conditionalFormatting>
  <conditionalFormatting sqref="AU116">
    <cfRule type="cellIs" dxfId="0" priority="370" operator="lessThan">
      <formula>20</formula>
    </cfRule>
    <cfRule type="cellIs" dxfId="1" priority="210" operator="greaterThan">
      <formula>120</formula>
    </cfRule>
    <cfRule type="containsText" dxfId="2" priority="50" operator="between" text="库存为">
      <formula>NOT(ISERROR(SEARCH("库存为",AU116)))</formula>
    </cfRule>
  </conditionalFormatting>
  <conditionalFormatting sqref="AU117">
    <cfRule type="cellIs" dxfId="0" priority="369" operator="lessThan">
      <formula>20</formula>
    </cfRule>
    <cfRule type="cellIs" dxfId="1" priority="209" operator="greaterThan">
      <formula>120</formula>
    </cfRule>
    <cfRule type="containsText" dxfId="2" priority="49" operator="between" text="库存为">
      <formula>NOT(ISERROR(SEARCH("库存为",AU117)))</formula>
    </cfRule>
  </conditionalFormatting>
  <conditionalFormatting sqref="AU118">
    <cfRule type="cellIs" dxfId="0" priority="368" operator="lessThan">
      <formula>20</formula>
    </cfRule>
    <cfRule type="cellIs" dxfId="1" priority="208" operator="greaterThan">
      <formula>120</formula>
    </cfRule>
    <cfRule type="containsText" dxfId="2" priority="48" operator="between" text="库存为">
      <formula>NOT(ISERROR(SEARCH("库存为",AU118)))</formula>
    </cfRule>
  </conditionalFormatting>
  <conditionalFormatting sqref="AU119">
    <cfRule type="cellIs" dxfId="0" priority="367" operator="lessThan">
      <formula>20</formula>
    </cfRule>
    <cfRule type="cellIs" dxfId="1" priority="207" operator="greaterThan">
      <formula>120</formula>
    </cfRule>
    <cfRule type="containsText" dxfId="2" priority="47" operator="between" text="库存为">
      <formula>NOT(ISERROR(SEARCH("库存为",AU119)))</formula>
    </cfRule>
  </conditionalFormatting>
  <conditionalFormatting sqref="AU120">
    <cfRule type="cellIs" dxfId="0" priority="366" operator="lessThan">
      <formula>20</formula>
    </cfRule>
    <cfRule type="cellIs" dxfId="1" priority="206" operator="greaterThan">
      <formula>120</formula>
    </cfRule>
    <cfRule type="containsText" dxfId="2" priority="46" operator="between" text="库存为">
      <formula>NOT(ISERROR(SEARCH("库存为",AU120)))</formula>
    </cfRule>
  </conditionalFormatting>
  <conditionalFormatting sqref="AU121">
    <cfRule type="cellIs" dxfId="0" priority="365" operator="lessThan">
      <formula>20</formula>
    </cfRule>
    <cfRule type="cellIs" dxfId="1" priority="205" operator="greaterThan">
      <formula>120</formula>
    </cfRule>
    <cfRule type="containsText" dxfId="2" priority="45" operator="between" text="库存为">
      <formula>NOT(ISERROR(SEARCH("库存为",AU121)))</formula>
    </cfRule>
  </conditionalFormatting>
  <conditionalFormatting sqref="AU122">
    <cfRule type="cellIs" dxfId="0" priority="364" operator="lessThan">
      <formula>20</formula>
    </cfRule>
    <cfRule type="cellIs" dxfId="1" priority="204" operator="greaterThan">
      <formula>120</formula>
    </cfRule>
    <cfRule type="containsText" dxfId="2" priority="44" operator="between" text="库存为">
      <formula>NOT(ISERROR(SEARCH("库存为",AU122)))</formula>
    </cfRule>
  </conditionalFormatting>
  <conditionalFormatting sqref="AU123">
    <cfRule type="cellIs" dxfId="0" priority="363" operator="lessThan">
      <formula>20</formula>
    </cfRule>
    <cfRule type="cellIs" dxfId="1" priority="203" operator="greaterThan">
      <formula>120</formula>
    </cfRule>
    <cfRule type="containsText" dxfId="2" priority="43" operator="between" text="库存为">
      <formula>NOT(ISERROR(SEARCH("库存为",AU123)))</formula>
    </cfRule>
  </conditionalFormatting>
  <conditionalFormatting sqref="AU124">
    <cfRule type="cellIs" dxfId="0" priority="362" operator="lessThan">
      <formula>20</formula>
    </cfRule>
    <cfRule type="cellIs" dxfId="1" priority="202" operator="greaterThan">
      <formula>120</formula>
    </cfRule>
    <cfRule type="containsText" dxfId="2" priority="42" operator="between" text="库存为">
      <formula>NOT(ISERROR(SEARCH("库存为",AU124)))</formula>
    </cfRule>
  </conditionalFormatting>
  <conditionalFormatting sqref="AU125">
    <cfRule type="cellIs" dxfId="0" priority="361" operator="lessThan">
      <formula>20</formula>
    </cfRule>
    <cfRule type="cellIs" dxfId="1" priority="201" operator="greaterThan">
      <formula>120</formula>
    </cfRule>
    <cfRule type="containsText" dxfId="2" priority="41" operator="between" text="库存为">
      <formula>NOT(ISERROR(SEARCH("库存为",AU125)))</formula>
    </cfRule>
  </conditionalFormatting>
  <conditionalFormatting sqref="AU126">
    <cfRule type="cellIs" dxfId="0" priority="360" operator="lessThan">
      <formula>20</formula>
    </cfRule>
    <cfRule type="cellIs" dxfId="1" priority="200" operator="greaterThan">
      <formula>120</formula>
    </cfRule>
    <cfRule type="containsText" dxfId="2" priority="40" operator="between" text="库存为">
      <formula>NOT(ISERROR(SEARCH("库存为",AU126)))</formula>
    </cfRule>
  </conditionalFormatting>
  <conditionalFormatting sqref="AU127">
    <cfRule type="cellIs" dxfId="0" priority="359" operator="lessThan">
      <formula>20</formula>
    </cfRule>
    <cfRule type="cellIs" dxfId="1" priority="199" operator="greaterThan">
      <formula>120</formula>
    </cfRule>
    <cfRule type="containsText" dxfId="2" priority="39" operator="between" text="库存为">
      <formula>NOT(ISERROR(SEARCH("库存为",AU127)))</formula>
    </cfRule>
  </conditionalFormatting>
  <conditionalFormatting sqref="AU128">
    <cfRule type="cellIs" dxfId="0" priority="358" operator="lessThan">
      <formula>20</formula>
    </cfRule>
    <cfRule type="cellIs" dxfId="1" priority="198" operator="greaterThan">
      <formula>120</formula>
    </cfRule>
    <cfRule type="containsText" dxfId="2" priority="38" operator="between" text="库存为">
      <formula>NOT(ISERROR(SEARCH("库存为",AU128)))</formula>
    </cfRule>
  </conditionalFormatting>
  <conditionalFormatting sqref="AU129">
    <cfRule type="cellIs" dxfId="0" priority="357" operator="lessThan">
      <formula>20</formula>
    </cfRule>
    <cfRule type="cellIs" dxfId="1" priority="197" operator="greaterThan">
      <formula>120</formula>
    </cfRule>
    <cfRule type="containsText" dxfId="2" priority="37" operator="between" text="库存为">
      <formula>NOT(ISERROR(SEARCH("库存为",AU129)))</formula>
    </cfRule>
  </conditionalFormatting>
  <conditionalFormatting sqref="AU130">
    <cfRule type="cellIs" dxfId="0" priority="356" operator="lessThan">
      <formula>20</formula>
    </cfRule>
    <cfRule type="cellIs" dxfId="1" priority="196" operator="greaterThan">
      <formula>120</formula>
    </cfRule>
    <cfRule type="containsText" dxfId="2" priority="36" operator="between" text="库存为">
      <formula>NOT(ISERROR(SEARCH("库存为",AU130)))</formula>
    </cfRule>
  </conditionalFormatting>
  <conditionalFormatting sqref="AU131">
    <cfRule type="cellIs" dxfId="0" priority="355" operator="lessThan">
      <formula>20</formula>
    </cfRule>
    <cfRule type="cellIs" dxfId="1" priority="195" operator="greaterThan">
      <formula>120</formula>
    </cfRule>
    <cfRule type="containsText" dxfId="2" priority="35" operator="between" text="库存为">
      <formula>NOT(ISERROR(SEARCH("库存为",AU131)))</formula>
    </cfRule>
  </conditionalFormatting>
  <conditionalFormatting sqref="AU132">
    <cfRule type="cellIs" dxfId="0" priority="354" operator="lessThan">
      <formula>20</formula>
    </cfRule>
    <cfRule type="cellIs" dxfId="1" priority="194" operator="greaterThan">
      <formula>120</formula>
    </cfRule>
    <cfRule type="containsText" dxfId="2" priority="34" operator="between" text="库存为">
      <formula>NOT(ISERROR(SEARCH("库存为",AU132)))</formula>
    </cfRule>
  </conditionalFormatting>
  <conditionalFormatting sqref="AU133">
    <cfRule type="cellIs" dxfId="0" priority="353" operator="lessThan">
      <formula>20</formula>
    </cfRule>
    <cfRule type="cellIs" dxfId="1" priority="193" operator="greaterThan">
      <formula>120</formula>
    </cfRule>
    <cfRule type="containsText" dxfId="2" priority="33" operator="between" text="库存为">
      <formula>NOT(ISERROR(SEARCH("库存为",AU133)))</formula>
    </cfRule>
  </conditionalFormatting>
  <conditionalFormatting sqref="AU134">
    <cfRule type="cellIs" dxfId="0" priority="352" operator="lessThan">
      <formula>20</formula>
    </cfRule>
    <cfRule type="cellIs" dxfId="1" priority="192" operator="greaterThan">
      <formula>120</formula>
    </cfRule>
    <cfRule type="containsText" dxfId="2" priority="32" operator="between" text="库存为">
      <formula>NOT(ISERROR(SEARCH("库存为",AU134)))</formula>
    </cfRule>
  </conditionalFormatting>
  <conditionalFormatting sqref="AU135">
    <cfRule type="cellIs" dxfId="0" priority="351" operator="lessThan">
      <formula>20</formula>
    </cfRule>
    <cfRule type="cellIs" dxfId="1" priority="191" operator="greaterThan">
      <formula>120</formula>
    </cfRule>
    <cfRule type="containsText" dxfId="2" priority="31" operator="between" text="库存为">
      <formula>NOT(ISERROR(SEARCH("库存为",AU135)))</formula>
    </cfRule>
  </conditionalFormatting>
  <conditionalFormatting sqref="AU136">
    <cfRule type="cellIs" dxfId="0" priority="350" operator="lessThan">
      <formula>20</formula>
    </cfRule>
    <cfRule type="cellIs" dxfId="1" priority="190" operator="greaterThan">
      <formula>120</formula>
    </cfRule>
    <cfRule type="containsText" dxfId="2" priority="30" operator="between" text="库存为">
      <formula>NOT(ISERROR(SEARCH("库存为",AU136)))</formula>
    </cfRule>
  </conditionalFormatting>
  <conditionalFormatting sqref="AU137">
    <cfRule type="cellIs" dxfId="0" priority="349" operator="lessThan">
      <formula>20</formula>
    </cfRule>
    <cfRule type="cellIs" dxfId="1" priority="189" operator="greaterThan">
      <formula>120</formula>
    </cfRule>
    <cfRule type="containsText" dxfId="2" priority="29" operator="between" text="库存为">
      <formula>NOT(ISERROR(SEARCH("库存为",AU137)))</formula>
    </cfRule>
  </conditionalFormatting>
  <conditionalFormatting sqref="AU138">
    <cfRule type="cellIs" dxfId="0" priority="348" operator="lessThan">
      <formula>20</formula>
    </cfRule>
    <cfRule type="cellIs" dxfId="1" priority="188" operator="greaterThan">
      <formula>120</formula>
    </cfRule>
    <cfRule type="containsText" dxfId="2" priority="28" operator="between" text="库存为">
      <formula>NOT(ISERROR(SEARCH("库存为",AU138)))</formula>
    </cfRule>
  </conditionalFormatting>
  <conditionalFormatting sqref="AU139">
    <cfRule type="cellIs" dxfId="0" priority="347" operator="lessThan">
      <formula>20</formula>
    </cfRule>
    <cfRule type="cellIs" dxfId="1" priority="187" operator="greaterThan">
      <formula>120</formula>
    </cfRule>
    <cfRule type="containsText" dxfId="2" priority="27" operator="between" text="库存为">
      <formula>NOT(ISERROR(SEARCH("库存为",AU139)))</formula>
    </cfRule>
  </conditionalFormatting>
  <conditionalFormatting sqref="AU140">
    <cfRule type="cellIs" dxfId="0" priority="346" operator="lessThan">
      <formula>20</formula>
    </cfRule>
    <cfRule type="cellIs" dxfId="1" priority="186" operator="greaterThan">
      <formula>120</formula>
    </cfRule>
    <cfRule type="containsText" dxfId="2" priority="26" operator="between" text="库存为">
      <formula>NOT(ISERROR(SEARCH("库存为",AU140)))</formula>
    </cfRule>
  </conditionalFormatting>
  <conditionalFormatting sqref="AU141">
    <cfRule type="cellIs" dxfId="0" priority="345" operator="lessThan">
      <formula>20</formula>
    </cfRule>
    <cfRule type="cellIs" dxfId="1" priority="185" operator="greaterThan">
      <formula>120</formula>
    </cfRule>
    <cfRule type="containsText" dxfId="2" priority="25" operator="between" text="库存为">
      <formula>NOT(ISERROR(SEARCH("库存为",AU141)))</formula>
    </cfRule>
  </conditionalFormatting>
  <conditionalFormatting sqref="AU142">
    <cfRule type="cellIs" dxfId="0" priority="344" operator="lessThan">
      <formula>20</formula>
    </cfRule>
    <cfRule type="cellIs" dxfId="1" priority="184" operator="greaterThan">
      <formula>120</formula>
    </cfRule>
    <cfRule type="containsText" dxfId="2" priority="24" operator="between" text="库存为">
      <formula>NOT(ISERROR(SEARCH("库存为",AU142)))</formula>
    </cfRule>
  </conditionalFormatting>
  <conditionalFormatting sqref="AU143">
    <cfRule type="cellIs" dxfId="0" priority="343" operator="lessThan">
      <formula>20</formula>
    </cfRule>
    <cfRule type="cellIs" dxfId="1" priority="183" operator="greaterThan">
      <formula>120</formula>
    </cfRule>
    <cfRule type="containsText" dxfId="2" priority="23" operator="between" text="库存为">
      <formula>NOT(ISERROR(SEARCH("库存为",AU143)))</formula>
    </cfRule>
  </conditionalFormatting>
  <conditionalFormatting sqref="AU144">
    <cfRule type="cellIs" dxfId="0" priority="342" operator="lessThan">
      <formula>20</formula>
    </cfRule>
    <cfRule type="cellIs" dxfId="1" priority="182" operator="greaterThan">
      <formula>120</formula>
    </cfRule>
    <cfRule type="containsText" dxfId="2" priority="22" operator="between" text="库存为">
      <formula>NOT(ISERROR(SEARCH("库存为",AU144)))</formula>
    </cfRule>
  </conditionalFormatting>
  <conditionalFormatting sqref="AU145">
    <cfRule type="cellIs" dxfId="0" priority="341" operator="lessThan">
      <formula>20</formula>
    </cfRule>
    <cfRule type="cellIs" dxfId="1" priority="181" operator="greaterThan">
      <formula>120</formula>
    </cfRule>
    <cfRule type="containsText" dxfId="2" priority="21" operator="between" text="库存为">
      <formula>NOT(ISERROR(SEARCH("库存为",AU145)))</formula>
    </cfRule>
  </conditionalFormatting>
  <conditionalFormatting sqref="AU146">
    <cfRule type="cellIs" dxfId="0" priority="340" operator="lessThan">
      <formula>20</formula>
    </cfRule>
    <cfRule type="cellIs" dxfId="1" priority="180" operator="greaterThan">
      <formula>120</formula>
    </cfRule>
    <cfRule type="containsText" dxfId="2" priority="20" operator="between" text="库存为">
      <formula>NOT(ISERROR(SEARCH("库存为",AU146)))</formula>
    </cfRule>
  </conditionalFormatting>
  <conditionalFormatting sqref="AU147">
    <cfRule type="cellIs" dxfId="0" priority="339" operator="lessThan">
      <formula>20</formula>
    </cfRule>
    <cfRule type="cellIs" dxfId="1" priority="179" operator="greaterThan">
      <formula>120</formula>
    </cfRule>
    <cfRule type="containsText" dxfId="2" priority="19" operator="between" text="库存为">
      <formula>NOT(ISERROR(SEARCH("库存为",AU147)))</formula>
    </cfRule>
  </conditionalFormatting>
  <conditionalFormatting sqref="AU148">
    <cfRule type="cellIs" dxfId="0" priority="338" operator="lessThan">
      <formula>20</formula>
    </cfRule>
    <cfRule type="cellIs" dxfId="1" priority="178" operator="greaterThan">
      <formula>120</formula>
    </cfRule>
    <cfRule type="containsText" dxfId="2" priority="18" operator="between" text="库存为">
      <formula>NOT(ISERROR(SEARCH("库存为",AU148)))</formula>
    </cfRule>
  </conditionalFormatting>
  <conditionalFormatting sqref="AU149">
    <cfRule type="cellIs" dxfId="0" priority="337" operator="lessThan">
      <formula>20</formula>
    </cfRule>
    <cfRule type="cellIs" dxfId="1" priority="177" operator="greaterThan">
      <formula>120</formula>
    </cfRule>
    <cfRule type="containsText" dxfId="2" priority="17" operator="between" text="库存为">
      <formula>NOT(ISERROR(SEARCH("库存为",AU149)))</formula>
    </cfRule>
  </conditionalFormatting>
  <conditionalFormatting sqref="AU150">
    <cfRule type="cellIs" dxfId="0" priority="336" operator="lessThan">
      <formula>20</formula>
    </cfRule>
    <cfRule type="cellIs" dxfId="1" priority="176" operator="greaterThan">
      <formula>120</formula>
    </cfRule>
    <cfRule type="containsText" dxfId="2" priority="16" operator="between" text="库存为">
      <formula>NOT(ISERROR(SEARCH("库存为",AU150)))</formula>
    </cfRule>
  </conditionalFormatting>
  <conditionalFormatting sqref="AU151">
    <cfRule type="cellIs" dxfId="0" priority="335" operator="lessThan">
      <formula>20</formula>
    </cfRule>
    <cfRule type="cellIs" dxfId="1" priority="175" operator="greaterThan">
      <formula>120</formula>
    </cfRule>
    <cfRule type="containsText" dxfId="2" priority="15" operator="between" text="库存为">
      <formula>NOT(ISERROR(SEARCH("库存为",AU151)))</formula>
    </cfRule>
  </conditionalFormatting>
  <conditionalFormatting sqref="AU152">
    <cfRule type="cellIs" dxfId="0" priority="334" operator="lessThan">
      <formula>20</formula>
    </cfRule>
    <cfRule type="cellIs" dxfId="1" priority="174" operator="greaterThan">
      <formula>120</formula>
    </cfRule>
    <cfRule type="containsText" dxfId="2" priority="14" operator="between" text="库存为">
      <formula>NOT(ISERROR(SEARCH("库存为",AU152)))</formula>
    </cfRule>
  </conditionalFormatting>
  <conditionalFormatting sqref="AU153">
    <cfRule type="cellIs" dxfId="0" priority="333" operator="lessThan">
      <formula>20</formula>
    </cfRule>
    <cfRule type="cellIs" dxfId="1" priority="173" operator="greaterThan">
      <formula>120</formula>
    </cfRule>
    <cfRule type="containsText" dxfId="2" priority="13" operator="between" text="库存为">
      <formula>NOT(ISERROR(SEARCH("库存为",AU153)))</formula>
    </cfRule>
  </conditionalFormatting>
  <conditionalFormatting sqref="AU154">
    <cfRule type="cellIs" dxfId="0" priority="332" operator="lessThan">
      <formula>20</formula>
    </cfRule>
    <cfRule type="cellIs" dxfId="1" priority="172" operator="greaterThan">
      <formula>120</formula>
    </cfRule>
    <cfRule type="containsText" dxfId="2" priority="12" operator="between" text="库存为">
      <formula>NOT(ISERROR(SEARCH("库存为",AU154)))</formula>
    </cfRule>
  </conditionalFormatting>
  <conditionalFormatting sqref="AU155">
    <cfRule type="cellIs" dxfId="0" priority="331" operator="lessThan">
      <formula>20</formula>
    </cfRule>
    <cfRule type="cellIs" dxfId="1" priority="171" operator="greaterThan">
      <formula>120</formula>
    </cfRule>
    <cfRule type="containsText" dxfId="2" priority="11" operator="between" text="库存为">
      <formula>NOT(ISERROR(SEARCH("库存为",AU155)))</formula>
    </cfRule>
  </conditionalFormatting>
  <conditionalFormatting sqref="AU156">
    <cfRule type="cellIs" dxfId="0" priority="330" operator="lessThan">
      <formula>20</formula>
    </cfRule>
    <cfRule type="cellIs" dxfId="1" priority="170" operator="greaterThan">
      <formula>120</formula>
    </cfRule>
    <cfRule type="containsText" dxfId="2" priority="10" operator="between" text="库存为">
      <formula>NOT(ISERROR(SEARCH("库存为",AU156)))</formula>
    </cfRule>
  </conditionalFormatting>
  <conditionalFormatting sqref="AU157">
    <cfRule type="cellIs" dxfId="0" priority="329" operator="lessThan">
      <formula>20</formula>
    </cfRule>
    <cfRule type="cellIs" dxfId="1" priority="169" operator="greaterThan">
      <formula>120</formula>
    </cfRule>
    <cfRule type="containsText" dxfId="2" priority="9" operator="between" text="库存为">
      <formula>NOT(ISERROR(SEARCH("库存为",AU157)))</formula>
    </cfRule>
  </conditionalFormatting>
  <conditionalFormatting sqref="AU158">
    <cfRule type="cellIs" dxfId="0" priority="328" operator="lessThan">
      <formula>20</formula>
    </cfRule>
    <cfRule type="cellIs" dxfId="1" priority="168" operator="greaterThan">
      <formula>120</formula>
    </cfRule>
    <cfRule type="containsText" dxfId="2" priority="8" operator="between" text="库存为">
      <formula>NOT(ISERROR(SEARCH("库存为",AU158)))</formula>
    </cfRule>
  </conditionalFormatting>
  <conditionalFormatting sqref="AU159">
    <cfRule type="cellIs" dxfId="0" priority="327" operator="lessThan">
      <formula>20</formula>
    </cfRule>
    <cfRule type="cellIs" dxfId="1" priority="167" operator="greaterThan">
      <formula>120</formula>
    </cfRule>
    <cfRule type="containsText" dxfId="2" priority="7" operator="between" text="库存为">
      <formula>NOT(ISERROR(SEARCH("库存为",AU159)))</formula>
    </cfRule>
  </conditionalFormatting>
  <conditionalFormatting sqref="AU160">
    <cfRule type="cellIs" dxfId="0" priority="326" operator="lessThan">
      <formula>20</formula>
    </cfRule>
    <cfRule type="cellIs" dxfId="1" priority="166" operator="greaterThan">
      <formula>120</formula>
    </cfRule>
    <cfRule type="containsText" dxfId="2" priority="6" operator="between" text="库存为">
      <formula>NOT(ISERROR(SEARCH("库存为",AU160)))</formula>
    </cfRule>
  </conditionalFormatting>
  <conditionalFormatting sqref="AU161">
    <cfRule type="cellIs" dxfId="0" priority="325" operator="lessThan">
      <formula>20</formula>
    </cfRule>
    <cfRule type="cellIs" dxfId="1" priority="165" operator="greaterThan">
      <formula>120</formula>
    </cfRule>
    <cfRule type="containsText" dxfId="2" priority="5" operator="between" text="库存为">
      <formula>NOT(ISERROR(SEARCH("库存为",AU161)))</formula>
    </cfRule>
  </conditionalFormatting>
  <conditionalFormatting sqref="AU162">
    <cfRule type="cellIs" dxfId="0" priority="324" operator="lessThan">
      <formula>20</formula>
    </cfRule>
    <cfRule type="cellIs" dxfId="1" priority="164" operator="greaterThan">
      <formula>120</formula>
    </cfRule>
    <cfRule type="containsText" dxfId="2" priority="4" operator="between" text="库存为">
      <formula>NOT(ISERROR(SEARCH("库存为",AU162)))</formula>
    </cfRule>
  </conditionalFormatting>
  <conditionalFormatting sqref="AU163">
    <cfRule type="cellIs" dxfId="0" priority="323" operator="lessThan">
      <formula>20</formula>
    </cfRule>
    <cfRule type="cellIs" dxfId="1" priority="163" operator="greaterThan">
      <formula>120</formula>
    </cfRule>
    <cfRule type="containsText" dxfId="2" priority="3" operator="between" text="库存为">
      <formula>NOT(ISERROR(SEARCH("库存为",AU163)))</formula>
    </cfRule>
  </conditionalFormatting>
  <conditionalFormatting sqref="AU164">
    <cfRule type="cellIs" dxfId="0" priority="322" operator="lessThan">
      <formula>20</formula>
    </cfRule>
    <cfRule type="cellIs" dxfId="1" priority="162" operator="greaterThan">
      <formula>120</formula>
    </cfRule>
    <cfRule type="containsText" dxfId="2" priority="2" operator="between" text="库存为">
      <formula>NOT(ISERROR(SEARCH("库存为",AU164)))</formula>
    </cfRule>
  </conditionalFormatting>
  <conditionalFormatting sqref="AU165">
    <cfRule type="cellIs" dxfId="0" priority="321" operator="lessThan">
      <formula>20</formula>
    </cfRule>
    <cfRule type="cellIs" dxfId="1" priority="161" operator="greaterThan">
      <formula>120</formula>
    </cfRule>
    <cfRule type="containsText" dxfId="2" priority="1" operator="between" text="库存为">
      <formula>NOT(ISERROR(SEARCH("库存为",AU165)))</formula>
    </cfRule>
  </conditionalFormatting>
  <conditionalFormatting sqref="AU166">
    <cfRule type="cellIs" dxfId="0" priority="1835" operator="lessThan">
      <formula>20</formula>
    </cfRule>
    <cfRule type="cellIs" dxfId="1" priority="1330" operator="greaterThan">
      <formula>120</formula>
    </cfRule>
    <cfRule type="containsText" dxfId="2" priority="825" operator="between" text="库存为">
      <formula>NOT(ISERROR(SEARCH("库存为",AU166)))</formula>
    </cfRule>
  </conditionalFormatting>
  <conditionalFormatting sqref="AU167">
    <cfRule type="cellIs" dxfId="0" priority="1834" operator="lessThan">
      <formula>20</formula>
    </cfRule>
    <cfRule type="cellIs" dxfId="1" priority="1329" operator="greaterThan">
      <formula>120</formula>
    </cfRule>
    <cfRule type="containsText" dxfId="2" priority="824" operator="between" text="库存为">
      <formula>NOT(ISERROR(SEARCH("库存为",AU167)))</formula>
    </cfRule>
  </conditionalFormatting>
  <conditionalFormatting sqref="AU168">
    <cfRule type="cellIs" dxfId="0" priority="1833" operator="lessThan">
      <formula>20</formula>
    </cfRule>
    <cfRule type="cellIs" dxfId="1" priority="1328" operator="greaterThan">
      <formula>120</formula>
    </cfRule>
    <cfRule type="containsText" dxfId="2" priority="823" operator="between" text="库存为">
      <formula>NOT(ISERROR(SEARCH("库存为",AU168)))</formula>
    </cfRule>
  </conditionalFormatting>
  <conditionalFormatting sqref="AU169">
    <cfRule type="cellIs" dxfId="0" priority="1832" operator="lessThan">
      <formula>20</formula>
    </cfRule>
    <cfRule type="cellIs" dxfId="1" priority="1327" operator="greaterThan">
      <formula>120</formula>
    </cfRule>
    <cfRule type="containsText" dxfId="2" priority="822" operator="between" text="库存为">
      <formula>NOT(ISERROR(SEARCH("库存为",AU169)))</formula>
    </cfRule>
  </conditionalFormatting>
  <conditionalFormatting sqref="AU170">
    <cfRule type="cellIs" dxfId="0" priority="1831" operator="lessThan">
      <formula>20</formula>
    </cfRule>
    <cfRule type="cellIs" dxfId="1" priority="1326" operator="greaterThan">
      <formula>120</formula>
    </cfRule>
    <cfRule type="containsText" dxfId="2" priority="821" operator="between" text="库存为">
      <formula>NOT(ISERROR(SEARCH("库存为",AU170)))</formula>
    </cfRule>
  </conditionalFormatting>
  <conditionalFormatting sqref="AU171">
    <cfRule type="cellIs" dxfId="0" priority="1830" operator="lessThan">
      <formula>20</formula>
    </cfRule>
    <cfRule type="cellIs" dxfId="1" priority="1325" operator="greaterThan">
      <formula>120</formula>
    </cfRule>
    <cfRule type="containsText" dxfId="2" priority="820" operator="between" text="库存为">
      <formula>NOT(ISERROR(SEARCH("库存为",AU171)))</formula>
    </cfRule>
  </conditionalFormatting>
  <conditionalFormatting sqref="AU172">
    <cfRule type="cellIs" dxfId="0" priority="1829" operator="lessThan">
      <formula>20</formula>
    </cfRule>
    <cfRule type="cellIs" dxfId="1" priority="1324" operator="greaterThan">
      <formula>120</formula>
    </cfRule>
    <cfRule type="containsText" dxfId="2" priority="819" operator="between" text="库存为">
      <formula>NOT(ISERROR(SEARCH("库存为",AU172)))</formula>
    </cfRule>
  </conditionalFormatting>
  <conditionalFormatting sqref="AU173">
    <cfRule type="cellIs" dxfId="0" priority="1828" operator="lessThan">
      <formula>20</formula>
    </cfRule>
    <cfRule type="cellIs" dxfId="1" priority="1323" operator="greaterThan">
      <formula>120</formula>
    </cfRule>
    <cfRule type="containsText" dxfId="2" priority="818" operator="between" text="库存为">
      <formula>NOT(ISERROR(SEARCH("库存为",AU173)))</formula>
    </cfRule>
  </conditionalFormatting>
  <conditionalFormatting sqref="AU174">
    <cfRule type="cellIs" dxfId="0" priority="1827" operator="lessThan">
      <formula>20</formula>
    </cfRule>
    <cfRule type="cellIs" dxfId="1" priority="1322" operator="greaterThan">
      <formula>120</formula>
    </cfRule>
    <cfRule type="containsText" dxfId="2" priority="817" operator="between" text="库存为">
      <formula>NOT(ISERROR(SEARCH("库存为",AU174)))</formula>
    </cfRule>
  </conditionalFormatting>
  <conditionalFormatting sqref="AU175">
    <cfRule type="cellIs" dxfId="0" priority="1826" operator="lessThan">
      <formula>20</formula>
    </cfRule>
    <cfRule type="cellIs" dxfId="1" priority="1321" operator="greaterThan">
      <formula>120</formula>
    </cfRule>
    <cfRule type="containsText" dxfId="2" priority="816" operator="between" text="库存为">
      <formula>NOT(ISERROR(SEARCH("库存为",AU175)))</formula>
    </cfRule>
  </conditionalFormatting>
  <conditionalFormatting sqref="AU176">
    <cfRule type="cellIs" dxfId="0" priority="1825" operator="lessThan">
      <formula>20</formula>
    </cfRule>
    <cfRule type="cellIs" dxfId="1" priority="1320" operator="greaterThan">
      <formula>120</formula>
    </cfRule>
    <cfRule type="containsText" dxfId="2" priority="815" operator="between" text="库存为">
      <formula>NOT(ISERROR(SEARCH("库存为",AU176)))</formula>
    </cfRule>
  </conditionalFormatting>
  <conditionalFormatting sqref="AU177">
    <cfRule type="cellIs" dxfId="0" priority="1824" operator="lessThan">
      <formula>20</formula>
    </cfRule>
    <cfRule type="cellIs" dxfId="1" priority="1319" operator="greaterThan">
      <formula>120</formula>
    </cfRule>
    <cfRule type="containsText" dxfId="2" priority="814" operator="between" text="库存为">
      <formula>NOT(ISERROR(SEARCH("库存为",AU177)))</formula>
    </cfRule>
  </conditionalFormatting>
  <conditionalFormatting sqref="AU178">
    <cfRule type="cellIs" dxfId="0" priority="1823" operator="lessThan">
      <formula>20</formula>
    </cfRule>
    <cfRule type="cellIs" dxfId="1" priority="1318" operator="greaterThan">
      <formula>120</formula>
    </cfRule>
    <cfRule type="containsText" dxfId="2" priority="813" operator="between" text="库存为">
      <formula>NOT(ISERROR(SEARCH("库存为",AU178)))</formula>
    </cfRule>
  </conditionalFormatting>
  <conditionalFormatting sqref="AU179">
    <cfRule type="cellIs" dxfId="0" priority="1822" operator="lessThan">
      <formula>20</formula>
    </cfRule>
    <cfRule type="cellIs" dxfId="1" priority="1317" operator="greaterThan">
      <formula>120</formula>
    </cfRule>
    <cfRule type="containsText" dxfId="2" priority="812" operator="between" text="库存为">
      <formula>NOT(ISERROR(SEARCH("库存为",AU179)))</formula>
    </cfRule>
  </conditionalFormatting>
  <conditionalFormatting sqref="AU180">
    <cfRule type="cellIs" dxfId="0" priority="1821" operator="lessThan">
      <formula>20</formula>
    </cfRule>
    <cfRule type="cellIs" dxfId="1" priority="1316" operator="greaterThan">
      <formula>120</formula>
    </cfRule>
    <cfRule type="containsText" dxfId="2" priority="811" operator="between" text="库存为">
      <formula>NOT(ISERROR(SEARCH("库存为",AU180)))</formula>
    </cfRule>
  </conditionalFormatting>
  <conditionalFormatting sqref="AU181">
    <cfRule type="cellIs" dxfId="0" priority="1820" operator="lessThan">
      <formula>20</formula>
    </cfRule>
    <cfRule type="cellIs" dxfId="1" priority="1315" operator="greaterThan">
      <formula>120</formula>
    </cfRule>
    <cfRule type="containsText" dxfId="2" priority="810" operator="between" text="库存为">
      <formula>NOT(ISERROR(SEARCH("库存为",AU181)))</formula>
    </cfRule>
  </conditionalFormatting>
  <conditionalFormatting sqref="AU182">
    <cfRule type="cellIs" dxfId="0" priority="1819" operator="lessThan">
      <formula>20</formula>
    </cfRule>
    <cfRule type="cellIs" dxfId="1" priority="1314" operator="greaterThan">
      <formula>120</formula>
    </cfRule>
    <cfRule type="containsText" dxfId="2" priority="809" operator="between" text="库存为">
      <formula>NOT(ISERROR(SEARCH("库存为",AU182)))</formula>
    </cfRule>
  </conditionalFormatting>
  <conditionalFormatting sqref="AU183">
    <cfRule type="cellIs" dxfId="0" priority="1818" operator="lessThan">
      <formula>20</formula>
    </cfRule>
    <cfRule type="cellIs" dxfId="1" priority="1313" operator="greaterThan">
      <formula>120</formula>
    </cfRule>
    <cfRule type="containsText" dxfId="2" priority="808" operator="between" text="库存为">
      <formula>NOT(ISERROR(SEARCH("库存为",AU183)))</formula>
    </cfRule>
  </conditionalFormatting>
  <conditionalFormatting sqref="AU184">
    <cfRule type="cellIs" dxfId="0" priority="1817" operator="lessThan">
      <formula>20</formula>
    </cfRule>
    <cfRule type="cellIs" dxfId="1" priority="1312" operator="greaterThan">
      <formula>120</formula>
    </cfRule>
    <cfRule type="containsText" dxfId="2" priority="807" operator="between" text="库存为">
      <formula>NOT(ISERROR(SEARCH("库存为",AU184)))</formula>
    </cfRule>
  </conditionalFormatting>
  <conditionalFormatting sqref="AU185">
    <cfRule type="cellIs" dxfId="0" priority="1816" operator="lessThan">
      <formula>20</formula>
    </cfRule>
    <cfRule type="cellIs" dxfId="1" priority="1311" operator="greaterThan">
      <formula>120</formula>
    </cfRule>
    <cfRule type="containsText" dxfId="2" priority="806" operator="between" text="库存为">
      <formula>NOT(ISERROR(SEARCH("库存为",AU185)))</formula>
    </cfRule>
  </conditionalFormatting>
  <conditionalFormatting sqref="AU186">
    <cfRule type="cellIs" dxfId="0" priority="1815" operator="lessThan">
      <formula>20</formula>
    </cfRule>
    <cfRule type="cellIs" dxfId="1" priority="1310" operator="greaterThan">
      <formula>120</formula>
    </cfRule>
    <cfRule type="containsText" dxfId="2" priority="805" operator="between" text="库存为">
      <formula>NOT(ISERROR(SEARCH("库存为",AU186)))</formula>
    </cfRule>
  </conditionalFormatting>
  <conditionalFormatting sqref="AU187">
    <cfRule type="cellIs" dxfId="0" priority="1814" operator="lessThan">
      <formula>20</formula>
    </cfRule>
    <cfRule type="cellIs" dxfId="1" priority="1309" operator="greaterThan">
      <formula>120</formula>
    </cfRule>
    <cfRule type="containsText" dxfId="2" priority="804" operator="between" text="库存为">
      <formula>NOT(ISERROR(SEARCH("库存为",AU187)))</formula>
    </cfRule>
  </conditionalFormatting>
  <conditionalFormatting sqref="AU188">
    <cfRule type="cellIs" dxfId="0" priority="1813" operator="lessThan">
      <formula>20</formula>
    </cfRule>
    <cfRule type="cellIs" dxfId="1" priority="1308" operator="greaterThan">
      <formula>120</formula>
    </cfRule>
    <cfRule type="containsText" dxfId="2" priority="803" operator="between" text="库存为">
      <formula>NOT(ISERROR(SEARCH("库存为",AU188)))</formula>
    </cfRule>
  </conditionalFormatting>
  <conditionalFormatting sqref="AU189">
    <cfRule type="cellIs" dxfId="0" priority="1812" operator="lessThan">
      <formula>20</formula>
    </cfRule>
    <cfRule type="cellIs" dxfId="1" priority="1307" operator="greaterThan">
      <formula>120</formula>
    </cfRule>
    <cfRule type="containsText" dxfId="2" priority="802" operator="between" text="库存为">
      <formula>NOT(ISERROR(SEARCH("库存为",AU189)))</formula>
    </cfRule>
  </conditionalFormatting>
  <conditionalFormatting sqref="AU190">
    <cfRule type="cellIs" dxfId="0" priority="1811" operator="lessThan">
      <formula>20</formula>
    </cfRule>
    <cfRule type="cellIs" dxfId="1" priority="1306" operator="greaterThan">
      <formula>120</formula>
    </cfRule>
    <cfRule type="containsText" dxfId="2" priority="801" operator="between" text="库存为">
      <formula>NOT(ISERROR(SEARCH("库存为",AU190)))</formula>
    </cfRule>
  </conditionalFormatting>
  <conditionalFormatting sqref="AU191">
    <cfRule type="cellIs" dxfId="0" priority="1810" operator="lessThan">
      <formula>20</formula>
    </cfRule>
    <cfRule type="cellIs" dxfId="1" priority="1305" operator="greaterThan">
      <formula>120</formula>
    </cfRule>
    <cfRule type="containsText" dxfId="2" priority="800" operator="between" text="库存为">
      <formula>NOT(ISERROR(SEARCH("库存为",AU191)))</formula>
    </cfRule>
  </conditionalFormatting>
  <conditionalFormatting sqref="AU192">
    <cfRule type="cellIs" dxfId="0" priority="1809" operator="lessThan">
      <formula>20</formula>
    </cfRule>
    <cfRule type="cellIs" dxfId="1" priority="1304" operator="greaterThan">
      <formula>120</formula>
    </cfRule>
    <cfRule type="containsText" dxfId="2" priority="799" operator="between" text="库存为">
      <formula>NOT(ISERROR(SEARCH("库存为",AU192)))</formula>
    </cfRule>
  </conditionalFormatting>
  <conditionalFormatting sqref="AU193">
    <cfRule type="cellIs" dxfId="0" priority="1808" operator="lessThan">
      <formula>20</formula>
    </cfRule>
    <cfRule type="cellIs" dxfId="1" priority="1303" operator="greaterThan">
      <formula>120</formula>
    </cfRule>
    <cfRule type="containsText" dxfId="2" priority="798" operator="between" text="库存为">
      <formula>NOT(ISERROR(SEARCH("库存为",AU193)))</formula>
    </cfRule>
  </conditionalFormatting>
  <conditionalFormatting sqref="AU194">
    <cfRule type="cellIs" dxfId="0" priority="1807" operator="lessThan">
      <formula>20</formula>
    </cfRule>
    <cfRule type="cellIs" dxfId="1" priority="1302" operator="greaterThan">
      <formula>120</formula>
    </cfRule>
    <cfRule type="containsText" dxfId="2" priority="797" operator="between" text="库存为">
      <formula>NOT(ISERROR(SEARCH("库存为",AU194)))</formula>
    </cfRule>
  </conditionalFormatting>
  <conditionalFormatting sqref="AU195">
    <cfRule type="cellIs" dxfId="0" priority="1806" operator="lessThan">
      <formula>20</formula>
    </cfRule>
    <cfRule type="cellIs" dxfId="1" priority="1301" operator="greaterThan">
      <formula>120</formula>
    </cfRule>
    <cfRule type="containsText" dxfId="2" priority="796" operator="between" text="库存为">
      <formula>NOT(ISERROR(SEARCH("库存为",AU195)))</formula>
    </cfRule>
  </conditionalFormatting>
  <conditionalFormatting sqref="AU196">
    <cfRule type="cellIs" dxfId="0" priority="1805" operator="lessThan">
      <formula>20</formula>
    </cfRule>
    <cfRule type="cellIs" dxfId="1" priority="1300" operator="greaterThan">
      <formula>120</formula>
    </cfRule>
    <cfRule type="containsText" dxfId="2" priority="795" operator="between" text="库存为">
      <formula>NOT(ISERROR(SEARCH("库存为",AU196)))</formula>
    </cfRule>
  </conditionalFormatting>
  <conditionalFormatting sqref="AU197">
    <cfRule type="cellIs" dxfId="0" priority="1804" operator="lessThan">
      <formula>20</formula>
    </cfRule>
    <cfRule type="cellIs" dxfId="1" priority="1299" operator="greaterThan">
      <formula>120</formula>
    </cfRule>
    <cfRule type="containsText" dxfId="2" priority="794" operator="between" text="库存为">
      <formula>NOT(ISERROR(SEARCH("库存为",AU197)))</formula>
    </cfRule>
  </conditionalFormatting>
  <conditionalFormatting sqref="AU198">
    <cfRule type="cellIs" dxfId="0" priority="1803" operator="lessThan">
      <formula>20</formula>
    </cfRule>
    <cfRule type="cellIs" dxfId="1" priority="1298" operator="greaterThan">
      <formula>120</formula>
    </cfRule>
    <cfRule type="containsText" dxfId="2" priority="793" operator="between" text="库存为">
      <formula>NOT(ISERROR(SEARCH("库存为",AU198)))</formula>
    </cfRule>
  </conditionalFormatting>
  <conditionalFormatting sqref="AU199">
    <cfRule type="cellIs" dxfId="0" priority="1802" operator="lessThan">
      <formula>20</formula>
    </cfRule>
    <cfRule type="cellIs" dxfId="1" priority="1297" operator="greaterThan">
      <formula>120</formula>
    </cfRule>
    <cfRule type="containsText" dxfId="2" priority="792" operator="between" text="库存为">
      <formula>NOT(ISERROR(SEARCH("库存为",AU199)))</formula>
    </cfRule>
  </conditionalFormatting>
  <conditionalFormatting sqref="AU200">
    <cfRule type="cellIs" dxfId="0" priority="1801" operator="lessThan">
      <formula>20</formula>
    </cfRule>
    <cfRule type="cellIs" dxfId="1" priority="1296" operator="greaterThan">
      <formula>120</formula>
    </cfRule>
    <cfRule type="containsText" dxfId="2" priority="791" operator="between" text="库存为">
      <formula>NOT(ISERROR(SEARCH("库存为",AU200)))</formula>
    </cfRule>
  </conditionalFormatting>
  <conditionalFormatting sqref="AU201">
    <cfRule type="cellIs" dxfId="0" priority="1800" operator="lessThan">
      <formula>20</formula>
    </cfRule>
    <cfRule type="cellIs" dxfId="1" priority="1295" operator="greaterThan">
      <formula>120</formula>
    </cfRule>
    <cfRule type="containsText" dxfId="2" priority="790" operator="between" text="库存为">
      <formula>NOT(ISERROR(SEARCH("库存为",AU201)))</formula>
    </cfRule>
  </conditionalFormatting>
  <conditionalFormatting sqref="AU202">
    <cfRule type="cellIs" dxfId="0" priority="1799" operator="lessThan">
      <formula>20</formula>
    </cfRule>
    <cfRule type="cellIs" dxfId="1" priority="1294" operator="greaterThan">
      <formula>120</formula>
    </cfRule>
    <cfRule type="containsText" dxfId="2" priority="789" operator="between" text="库存为">
      <formula>NOT(ISERROR(SEARCH("库存为",AU202)))</formula>
    </cfRule>
  </conditionalFormatting>
  <conditionalFormatting sqref="AU203">
    <cfRule type="cellIs" dxfId="0" priority="1798" operator="lessThan">
      <formula>20</formula>
    </cfRule>
    <cfRule type="cellIs" dxfId="1" priority="1293" operator="greaterThan">
      <formula>120</formula>
    </cfRule>
    <cfRule type="containsText" dxfId="2" priority="788" operator="between" text="库存为">
      <formula>NOT(ISERROR(SEARCH("库存为",AU203)))</formula>
    </cfRule>
  </conditionalFormatting>
  <conditionalFormatting sqref="AU204">
    <cfRule type="cellIs" dxfId="0" priority="1797" operator="lessThan">
      <formula>20</formula>
    </cfRule>
    <cfRule type="cellIs" dxfId="1" priority="1292" operator="greaterThan">
      <formula>120</formula>
    </cfRule>
    <cfRule type="containsText" dxfId="2" priority="787" operator="between" text="库存为">
      <formula>NOT(ISERROR(SEARCH("库存为",AU204)))</formula>
    </cfRule>
  </conditionalFormatting>
  <conditionalFormatting sqref="AU205">
    <cfRule type="cellIs" dxfId="0" priority="1796" operator="lessThan">
      <formula>20</formula>
    </cfRule>
    <cfRule type="cellIs" dxfId="1" priority="1291" operator="greaterThan">
      <formula>120</formula>
    </cfRule>
    <cfRule type="containsText" dxfId="2" priority="786" operator="between" text="库存为">
      <formula>NOT(ISERROR(SEARCH("库存为",AU205)))</formula>
    </cfRule>
  </conditionalFormatting>
  <conditionalFormatting sqref="AU206">
    <cfRule type="cellIs" dxfId="0" priority="1795" operator="lessThan">
      <formula>20</formula>
    </cfRule>
    <cfRule type="cellIs" dxfId="1" priority="1290" operator="greaterThan">
      <formula>120</formula>
    </cfRule>
    <cfRule type="containsText" dxfId="2" priority="785" operator="between" text="库存为">
      <formula>NOT(ISERROR(SEARCH("库存为",AU206)))</formula>
    </cfRule>
  </conditionalFormatting>
  <conditionalFormatting sqref="AU207">
    <cfRule type="cellIs" dxfId="0" priority="1794" operator="lessThan">
      <formula>20</formula>
    </cfRule>
    <cfRule type="cellIs" dxfId="1" priority="1289" operator="greaterThan">
      <formula>120</formula>
    </cfRule>
    <cfRule type="containsText" dxfId="2" priority="784" operator="between" text="库存为">
      <formula>NOT(ISERROR(SEARCH("库存为",AU207)))</formula>
    </cfRule>
  </conditionalFormatting>
  <conditionalFormatting sqref="AU208">
    <cfRule type="cellIs" dxfId="0" priority="1793" operator="lessThan">
      <formula>20</formula>
    </cfRule>
    <cfRule type="cellIs" dxfId="1" priority="1288" operator="greaterThan">
      <formula>120</formula>
    </cfRule>
    <cfRule type="containsText" dxfId="2" priority="783" operator="between" text="库存为">
      <formula>NOT(ISERROR(SEARCH("库存为",AU208)))</formula>
    </cfRule>
  </conditionalFormatting>
  <conditionalFormatting sqref="AU209">
    <cfRule type="cellIs" dxfId="0" priority="1792" operator="lessThan">
      <formula>20</formula>
    </cfRule>
    <cfRule type="cellIs" dxfId="1" priority="1287" operator="greaterThan">
      <formula>120</formula>
    </cfRule>
    <cfRule type="containsText" dxfId="2" priority="782" operator="between" text="库存为">
      <formula>NOT(ISERROR(SEARCH("库存为",AU209)))</formula>
    </cfRule>
  </conditionalFormatting>
  <conditionalFormatting sqref="AU210">
    <cfRule type="cellIs" dxfId="0" priority="1791" operator="lessThan">
      <formula>20</formula>
    </cfRule>
    <cfRule type="cellIs" dxfId="1" priority="1286" operator="greaterThan">
      <formula>120</formula>
    </cfRule>
    <cfRule type="containsText" dxfId="2" priority="781" operator="between" text="库存为">
      <formula>NOT(ISERROR(SEARCH("库存为",AU210)))</formula>
    </cfRule>
  </conditionalFormatting>
  <conditionalFormatting sqref="AU211">
    <cfRule type="cellIs" dxfId="0" priority="1790" operator="lessThan">
      <formula>20</formula>
    </cfRule>
    <cfRule type="cellIs" dxfId="1" priority="1285" operator="greaterThan">
      <formula>120</formula>
    </cfRule>
    <cfRule type="containsText" dxfId="2" priority="780" operator="between" text="库存为">
      <formula>NOT(ISERROR(SEARCH("库存为",AU211)))</formula>
    </cfRule>
  </conditionalFormatting>
  <conditionalFormatting sqref="AU212">
    <cfRule type="cellIs" dxfId="0" priority="1789" operator="lessThan">
      <formula>20</formula>
    </cfRule>
    <cfRule type="cellIs" dxfId="1" priority="1284" operator="greaterThan">
      <formula>120</formula>
    </cfRule>
    <cfRule type="containsText" dxfId="2" priority="779" operator="between" text="库存为">
      <formula>NOT(ISERROR(SEARCH("库存为",AU212)))</formula>
    </cfRule>
  </conditionalFormatting>
  <conditionalFormatting sqref="AU213">
    <cfRule type="cellIs" dxfId="0" priority="1788" operator="lessThan">
      <formula>20</formula>
    </cfRule>
    <cfRule type="cellIs" dxfId="1" priority="1283" operator="greaterThan">
      <formula>120</formula>
    </cfRule>
    <cfRule type="containsText" dxfId="2" priority="778" operator="between" text="库存为">
      <formula>NOT(ISERROR(SEARCH("库存为",AU213)))</formula>
    </cfRule>
  </conditionalFormatting>
  <conditionalFormatting sqref="AU214">
    <cfRule type="cellIs" dxfId="0" priority="1787" operator="lessThan">
      <formula>20</formula>
    </cfRule>
    <cfRule type="cellIs" dxfId="1" priority="1282" operator="greaterThan">
      <formula>120</formula>
    </cfRule>
    <cfRule type="containsText" dxfId="2" priority="777" operator="between" text="库存为">
      <formula>NOT(ISERROR(SEARCH("库存为",AU214)))</formula>
    </cfRule>
  </conditionalFormatting>
  <conditionalFormatting sqref="AU215">
    <cfRule type="cellIs" dxfId="0" priority="1786" operator="lessThan">
      <formula>20</formula>
    </cfRule>
    <cfRule type="cellIs" dxfId="1" priority="1281" operator="greaterThan">
      <formula>120</formula>
    </cfRule>
    <cfRule type="containsText" dxfId="2" priority="776" operator="between" text="库存为">
      <formula>NOT(ISERROR(SEARCH("库存为",AU215)))</formula>
    </cfRule>
  </conditionalFormatting>
  <conditionalFormatting sqref="AU216">
    <cfRule type="cellIs" dxfId="0" priority="1785" operator="lessThan">
      <formula>20</formula>
    </cfRule>
    <cfRule type="cellIs" dxfId="1" priority="1280" operator="greaterThan">
      <formula>120</formula>
    </cfRule>
    <cfRule type="containsText" dxfId="2" priority="775" operator="between" text="库存为">
      <formula>NOT(ISERROR(SEARCH("库存为",AU216)))</formula>
    </cfRule>
  </conditionalFormatting>
  <conditionalFormatting sqref="AU217">
    <cfRule type="cellIs" dxfId="0" priority="1784" operator="lessThan">
      <formula>20</formula>
    </cfRule>
    <cfRule type="cellIs" dxfId="1" priority="1279" operator="greaterThan">
      <formula>120</formula>
    </cfRule>
    <cfRule type="containsText" dxfId="2" priority="774" operator="between" text="库存为">
      <formula>NOT(ISERROR(SEARCH("库存为",AU217)))</formula>
    </cfRule>
  </conditionalFormatting>
  <conditionalFormatting sqref="AU218">
    <cfRule type="cellIs" dxfId="0" priority="1783" operator="lessThan">
      <formula>20</formula>
    </cfRule>
    <cfRule type="cellIs" dxfId="1" priority="1278" operator="greaterThan">
      <formula>120</formula>
    </cfRule>
    <cfRule type="containsText" dxfId="2" priority="773" operator="between" text="库存为">
      <formula>NOT(ISERROR(SEARCH("库存为",AU218)))</formula>
    </cfRule>
  </conditionalFormatting>
  <conditionalFormatting sqref="AU219">
    <cfRule type="cellIs" dxfId="0" priority="1782" operator="lessThan">
      <formula>20</formula>
    </cfRule>
    <cfRule type="cellIs" dxfId="1" priority="1277" operator="greaterThan">
      <formula>120</formula>
    </cfRule>
    <cfRule type="containsText" dxfId="2" priority="772" operator="between" text="库存为">
      <formula>NOT(ISERROR(SEARCH("库存为",AU219)))</formula>
    </cfRule>
  </conditionalFormatting>
  <conditionalFormatting sqref="AU220">
    <cfRule type="cellIs" dxfId="0" priority="1781" operator="lessThan">
      <formula>20</formula>
    </cfRule>
    <cfRule type="cellIs" dxfId="1" priority="1276" operator="greaterThan">
      <formula>120</formula>
    </cfRule>
    <cfRule type="containsText" dxfId="2" priority="771" operator="between" text="库存为">
      <formula>NOT(ISERROR(SEARCH("库存为",AU220)))</formula>
    </cfRule>
  </conditionalFormatting>
  <conditionalFormatting sqref="AU221">
    <cfRule type="cellIs" dxfId="0" priority="1780" operator="lessThan">
      <formula>20</formula>
    </cfRule>
    <cfRule type="cellIs" dxfId="1" priority="1275" operator="greaterThan">
      <formula>120</formula>
    </cfRule>
    <cfRule type="containsText" dxfId="2" priority="770" operator="between" text="库存为">
      <formula>NOT(ISERROR(SEARCH("库存为",AU221)))</formula>
    </cfRule>
  </conditionalFormatting>
  <conditionalFormatting sqref="AU222">
    <cfRule type="cellIs" dxfId="0" priority="1779" operator="lessThan">
      <formula>20</formula>
    </cfRule>
    <cfRule type="cellIs" dxfId="1" priority="1274" operator="greaterThan">
      <formula>120</formula>
    </cfRule>
    <cfRule type="containsText" dxfId="2" priority="769" operator="between" text="库存为">
      <formula>NOT(ISERROR(SEARCH("库存为",AU222)))</formula>
    </cfRule>
  </conditionalFormatting>
  <conditionalFormatting sqref="AU223">
    <cfRule type="cellIs" dxfId="0" priority="1778" operator="lessThan">
      <formula>20</formula>
    </cfRule>
    <cfRule type="cellIs" dxfId="1" priority="1273" operator="greaterThan">
      <formula>120</formula>
    </cfRule>
    <cfRule type="containsText" dxfId="2" priority="768" operator="between" text="库存为">
      <formula>NOT(ISERROR(SEARCH("库存为",AU223)))</formula>
    </cfRule>
  </conditionalFormatting>
  <conditionalFormatting sqref="AU224">
    <cfRule type="cellIs" dxfId="0" priority="1777" operator="lessThan">
      <formula>20</formula>
    </cfRule>
    <cfRule type="cellIs" dxfId="1" priority="1272" operator="greaterThan">
      <formula>120</formula>
    </cfRule>
    <cfRule type="containsText" dxfId="2" priority="767" operator="between" text="库存为">
      <formula>NOT(ISERROR(SEARCH("库存为",AU224)))</formula>
    </cfRule>
  </conditionalFormatting>
  <conditionalFormatting sqref="AU225">
    <cfRule type="cellIs" dxfId="0" priority="1776" operator="lessThan">
      <formula>20</formula>
    </cfRule>
    <cfRule type="cellIs" dxfId="1" priority="1271" operator="greaterThan">
      <formula>120</formula>
    </cfRule>
    <cfRule type="containsText" dxfId="2" priority="766" operator="between" text="库存为">
      <formula>NOT(ISERROR(SEARCH("库存为",AU225)))</formula>
    </cfRule>
  </conditionalFormatting>
  <conditionalFormatting sqref="AU226">
    <cfRule type="cellIs" dxfId="0" priority="1775" operator="lessThan">
      <formula>20</formula>
    </cfRule>
    <cfRule type="cellIs" dxfId="1" priority="1270" operator="greaterThan">
      <formula>120</formula>
    </cfRule>
    <cfRule type="containsText" dxfId="2" priority="765" operator="between" text="库存为">
      <formula>NOT(ISERROR(SEARCH("库存为",AU226)))</formula>
    </cfRule>
  </conditionalFormatting>
  <conditionalFormatting sqref="AU227">
    <cfRule type="cellIs" dxfId="0" priority="1774" operator="lessThan">
      <formula>20</formula>
    </cfRule>
    <cfRule type="cellIs" dxfId="1" priority="1269" operator="greaterThan">
      <formula>120</formula>
    </cfRule>
    <cfRule type="containsText" dxfId="2" priority="764" operator="between" text="库存为">
      <formula>NOT(ISERROR(SEARCH("库存为",AU227)))</formula>
    </cfRule>
  </conditionalFormatting>
  <conditionalFormatting sqref="AU228">
    <cfRule type="cellIs" dxfId="0" priority="1773" operator="lessThan">
      <formula>20</formula>
    </cfRule>
    <cfRule type="cellIs" dxfId="1" priority="1268" operator="greaterThan">
      <formula>120</formula>
    </cfRule>
    <cfRule type="containsText" dxfId="2" priority="763" operator="between" text="库存为">
      <formula>NOT(ISERROR(SEARCH("库存为",AU228)))</formula>
    </cfRule>
  </conditionalFormatting>
  <conditionalFormatting sqref="AU229">
    <cfRule type="cellIs" dxfId="0" priority="1772" operator="lessThan">
      <formula>20</formula>
    </cfRule>
    <cfRule type="cellIs" dxfId="1" priority="1267" operator="greaterThan">
      <formula>120</formula>
    </cfRule>
    <cfRule type="containsText" dxfId="2" priority="762" operator="between" text="库存为">
      <formula>NOT(ISERROR(SEARCH("库存为",AU229)))</formula>
    </cfRule>
  </conditionalFormatting>
  <conditionalFormatting sqref="AU230">
    <cfRule type="cellIs" dxfId="0" priority="1771" operator="lessThan">
      <formula>20</formula>
    </cfRule>
    <cfRule type="cellIs" dxfId="1" priority="1266" operator="greaterThan">
      <formula>120</formula>
    </cfRule>
    <cfRule type="containsText" dxfId="2" priority="761" operator="between" text="库存为">
      <formula>NOT(ISERROR(SEARCH("库存为",AU230)))</formula>
    </cfRule>
  </conditionalFormatting>
  <conditionalFormatting sqref="AU231">
    <cfRule type="cellIs" dxfId="0" priority="1770" operator="lessThan">
      <formula>20</formula>
    </cfRule>
    <cfRule type="cellIs" dxfId="1" priority="1265" operator="greaterThan">
      <formula>120</formula>
    </cfRule>
    <cfRule type="containsText" dxfId="2" priority="760" operator="between" text="库存为">
      <formula>NOT(ISERROR(SEARCH("库存为",AU231)))</formula>
    </cfRule>
  </conditionalFormatting>
  <conditionalFormatting sqref="AU232">
    <cfRule type="cellIs" dxfId="0" priority="1769" operator="lessThan">
      <formula>20</formula>
    </cfRule>
    <cfRule type="cellIs" dxfId="1" priority="1264" operator="greaterThan">
      <formula>120</formula>
    </cfRule>
    <cfRule type="containsText" dxfId="2" priority="759" operator="between" text="库存为">
      <formula>NOT(ISERROR(SEARCH("库存为",AU232)))</formula>
    </cfRule>
  </conditionalFormatting>
  <conditionalFormatting sqref="AU233">
    <cfRule type="cellIs" dxfId="0" priority="1768" operator="lessThan">
      <formula>20</formula>
    </cfRule>
    <cfRule type="cellIs" dxfId="1" priority="1263" operator="greaterThan">
      <formula>120</formula>
    </cfRule>
    <cfRule type="containsText" dxfId="2" priority="758" operator="between" text="库存为">
      <formula>NOT(ISERROR(SEARCH("库存为",AU233)))</formula>
    </cfRule>
  </conditionalFormatting>
  <conditionalFormatting sqref="AU234">
    <cfRule type="cellIs" dxfId="0" priority="1767" operator="lessThan">
      <formula>20</formula>
    </cfRule>
    <cfRule type="cellIs" dxfId="1" priority="1262" operator="greaterThan">
      <formula>120</formula>
    </cfRule>
    <cfRule type="containsText" dxfId="2" priority="757" operator="between" text="库存为">
      <formula>NOT(ISERROR(SEARCH("库存为",AU234)))</formula>
    </cfRule>
  </conditionalFormatting>
  <conditionalFormatting sqref="AU235">
    <cfRule type="cellIs" dxfId="0" priority="1766" operator="lessThan">
      <formula>20</formula>
    </cfRule>
    <cfRule type="cellIs" dxfId="1" priority="1261" operator="greaterThan">
      <formula>120</formula>
    </cfRule>
    <cfRule type="containsText" dxfId="2" priority="756" operator="between" text="库存为">
      <formula>NOT(ISERROR(SEARCH("库存为",AU235)))</formula>
    </cfRule>
  </conditionalFormatting>
  <conditionalFormatting sqref="AU236">
    <cfRule type="cellIs" dxfId="0" priority="1765" operator="lessThan">
      <formula>20</formula>
    </cfRule>
    <cfRule type="cellIs" dxfId="1" priority="1260" operator="greaterThan">
      <formula>120</formula>
    </cfRule>
    <cfRule type="containsText" dxfId="2" priority="755" operator="between" text="库存为">
      <formula>NOT(ISERROR(SEARCH("库存为",AU236)))</formula>
    </cfRule>
  </conditionalFormatting>
  <conditionalFormatting sqref="AU237">
    <cfRule type="cellIs" dxfId="0" priority="1764" operator="lessThan">
      <formula>20</formula>
    </cfRule>
    <cfRule type="cellIs" dxfId="1" priority="1259" operator="greaterThan">
      <formula>120</formula>
    </cfRule>
    <cfRule type="containsText" dxfId="2" priority="754" operator="between" text="库存为">
      <formula>NOT(ISERROR(SEARCH("库存为",AU237)))</formula>
    </cfRule>
  </conditionalFormatting>
  <conditionalFormatting sqref="AU238">
    <cfRule type="cellIs" dxfId="0" priority="1763" operator="lessThan">
      <formula>20</formula>
    </cfRule>
    <cfRule type="cellIs" dxfId="1" priority="1258" operator="greaterThan">
      <formula>120</formula>
    </cfRule>
    <cfRule type="containsText" dxfId="2" priority="753" operator="between" text="库存为">
      <formula>NOT(ISERROR(SEARCH("库存为",AU238)))</formula>
    </cfRule>
  </conditionalFormatting>
  <conditionalFormatting sqref="AU239">
    <cfRule type="cellIs" dxfId="0" priority="1762" operator="lessThan">
      <formula>20</formula>
    </cfRule>
    <cfRule type="cellIs" dxfId="1" priority="1257" operator="greaterThan">
      <formula>120</formula>
    </cfRule>
    <cfRule type="containsText" dxfId="2" priority="752" operator="between" text="库存为">
      <formula>NOT(ISERROR(SEARCH("库存为",AU239)))</formula>
    </cfRule>
  </conditionalFormatting>
  <conditionalFormatting sqref="AU240">
    <cfRule type="cellIs" dxfId="0" priority="1761" operator="lessThan">
      <formula>20</formula>
    </cfRule>
    <cfRule type="cellIs" dxfId="1" priority="1256" operator="greaterThan">
      <formula>120</formula>
    </cfRule>
    <cfRule type="containsText" dxfId="2" priority="751" operator="between" text="库存为">
      <formula>NOT(ISERROR(SEARCH("库存为",AU240)))</formula>
    </cfRule>
  </conditionalFormatting>
  <conditionalFormatting sqref="AU241">
    <cfRule type="cellIs" dxfId="0" priority="1760" operator="lessThan">
      <formula>20</formula>
    </cfRule>
    <cfRule type="cellIs" dxfId="1" priority="1255" operator="greaterThan">
      <formula>120</formula>
    </cfRule>
    <cfRule type="containsText" dxfId="2" priority="750" operator="between" text="库存为">
      <formula>NOT(ISERROR(SEARCH("库存为",AU241)))</formula>
    </cfRule>
  </conditionalFormatting>
  <conditionalFormatting sqref="AU242">
    <cfRule type="cellIs" dxfId="0" priority="1759" operator="lessThan">
      <formula>20</formula>
    </cfRule>
    <cfRule type="cellIs" dxfId="1" priority="1254" operator="greaterThan">
      <formula>120</formula>
    </cfRule>
    <cfRule type="containsText" dxfId="2" priority="749" operator="between" text="库存为">
      <formula>NOT(ISERROR(SEARCH("库存为",AU242)))</formula>
    </cfRule>
  </conditionalFormatting>
  <conditionalFormatting sqref="AU243">
    <cfRule type="cellIs" dxfId="0" priority="1758" operator="lessThan">
      <formula>20</formula>
    </cfRule>
    <cfRule type="cellIs" dxfId="1" priority="1253" operator="greaterThan">
      <formula>120</formula>
    </cfRule>
    <cfRule type="containsText" dxfId="2" priority="748" operator="between" text="库存为">
      <formula>NOT(ISERROR(SEARCH("库存为",AU243)))</formula>
    </cfRule>
  </conditionalFormatting>
  <conditionalFormatting sqref="AU244">
    <cfRule type="cellIs" dxfId="0" priority="1757" operator="lessThan">
      <formula>20</formula>
    </cfRule>
    <cfRule type="cellIs" dxfId="1" priority="1252" operator="greaterThan">
      <formula>120</formula>
    </cfRule>
    <cfRule type="containsText" dxfId="2" priority="747" operator="between" text="库存为">
      <formula>NOT(ISERROR(SEARCH("库存为",AU244)))</formula>
    </cfRule>
  </conditionalFormatting>
  <conditionalFormatting sqref="AU245">
    <cfRule type="cellIs" dxfId="0" priority="1756" operator="lessThan">
      <formula>20</formula>
    </cfRule>
    <cfRule type="cellIs" dxfId="1" priority="1251" operator="greaterThan">
      <formula>120</formula>
    </cfRule>
    <cfRule type="containsText" dxfId="2" priority="746" operator="between" text="库存为">
      <formula>NOT(ISERROR(SEARCH("库存为",AU245)))</formula>
    </cfRule>
  </conditionalFormatting>
  <conditionalFormatting sqref="AU246">
    <cfRule type="cellIs" dxfId="0" priority="1755" operator="lessThan">
      <formula>20</formula>
    </cfRule>
    <cfRule type="cellIs" dxfId="1" priority="1250" operator="greaterThan">
      <formula>120</formula>
    </cfRule>
    <cfRule type="containsText" dxfId="2" priority="745" operator="between" text="库存为">
      <formula>NOT(ISERROR(SEARCH("库存为",AU246)))</formula>
    </cfRule>
  </conditionalFormatting>
  <conditionalFormatting sqref="AU247">
    <cfRule type="cellIs" dxfId="0" priority="1754" operator="lessThan">
      <formula>20</formula>
    </cfRule>
    <cfRule type="cellIs" dxfId="1" priority="1249" operator="greaterThan">
      <formula>120</formula>
    </cfRule>
    <cfRule type="containsText" dxfId="2" priority="744" operator="between" text="库存为">
      <formula>NOT(ISERROR(SEARCH("库存为",AU247)))</formula>
    </cfRule>
  </conditionalFormatting>
  <conditionalFormatting sqref="AU248">
    <cfRule type="cellIs" dxfId="0" priority="1753" operator="lessThan">
      <formula>20</formula>
    </cfRule>
    <cfRule type="cellIs" dxfId="1" priority="1248" operator="greaterThan">
      <formula>120</formula>
    </cfRule>
    <cfRule type="containsText" dxfId="2" priority="743" operator="between" text="库存为">
      <formula>NOT(ISERROR(SEARCH("库存为",AU248)))</formula>
    </cfRule>
  </conditionalFormatting>
  <conditionalFormatting sqref="AU249">
    <cfRule type="cellIs" dxfId="0" priority="1752" operator="lessThan">
      <formula>20</formula>
    </cfRule>
    <cfRule type="cellIs" dxfId="1" priority="1247" operator="greaterThan">
      <formula>120</formula>
    </cfRule>
    <cfRule type="containsText" dxfId="2" priority="742" operator="between" text="库存为">
      <formula>NOT(ISERROR(SEARCH("库存为",AU249)))</formula>
    </cfRule>
  </conditionalFormatting>
  <conditionalFormatting sqref="AU250">
    <cfRule type="cellIs" dxfId="0" priority="1751" operator="lessThan">
      <formula>20</formula>
    </cfRule>
    <cfRule type="cellIs" dxfId="1" priority="1246" operator="greaterThan">
      <formula>120</formula>
    </cfRule>
    <cfRule type="containsText" dxfId="2" priority="741" operator="between" text="库存为">
      <formula>NOT(ISERROR(SEARCH("库存为",AU250)))</formula>
    </cfRule>
  </conditionalFormatting>
  <conditionalFormatting sqref="AU251">
    <cfRule type="cellIs" dxfId="0" priority="1750" operator="lessThan">
      <formula>20</formula>
    </cfRule>
    <cfRule type="cellIs" dxfId="1" priority="1245" operator="greaterThan">
      <formula>120</formula>
    </cfRule>
    <cfRule type="containsText" dxfId="2" priority="740" operator="between" text="库存为">
      <formula>NOT(ISERROR(SEARCH("库存为",AU251)))</formula>
    </cfRule>
  </conditionalFormatting>
  <conditionalFormatting sqref="AU252">
    <cfRule type="cellIs" dxfId="0" priority="1749" operator="lessThan">
      <formula>20</formula>
    </cfRule>
    <cfRule type="cellIs" dxfId="1" priority="1244" operator="greaterThan">
      <formula>120</formula>
    </cfRule>
    <cfRule type="containsText" dxfId="2" priority="739" operator="between" text="库存为">
      <formula>NOT(ISERROR(SEARCH("库存为",AU252)))</formula>
    </cfRule>
  </conditionalFormatting>
  <conditionalFormatting sqref="AU253">
    <cfRule type="cellIs" dxfId="0" priority="1748" operator="lessThan">
      <formula>20</formula>
    </cfRule>
    <cfRule type="cellIs" dxfId="1" priority="1243" operator="greaterThan">
      <formula>120</formula>
    </cfRule>
    <cfRule type="containsText" dxfId="2" priority="738" operator="between" text="库存为">
      <formula>NOT(ISERROR(SEARCH("库存为",AU253)))</formula>
    </cfRule>
  </conditionalFormatting>
  <conditionalFormatting sqref="AU254">
    <cfRule type="cellIs" dxfId="0" priority="1747" operator="lessThan">
      <formula>20</formula>
    </cfRule>
    <cfRule type="cellIs" dxfId="1" priority="1242" operator="greaterThan">
      <formula>120</formula>
    </cfRule>
    <cfRule type="containsText" dxfId="2" priority="737" operator="between" text="库存为">
      <formula>NOT(ISERROR(SEARCH("库存为",AU254)))</formula>
    </cfRule>
  </conditionalFormatting>
  <conditionalFormatting sqref="AU255">
    <cfRule type="cellIs" dxfId="0" priority="1746" operator="lessThan">
      <formula>20</formula>
    </cfRule>
    <cfRule type="cellIs" dxfId="1" priority="1241" operator="greaterThan">
      <formula>120</formula>
    </cfRule>
    <cfRule type="containsText" dxfId="2" priority="736" operator="between" text="库存为">
      <formula>NOT(ISERROR(SEARCH("库存为",AU255)))</formula>
    </cfRule>
  </conditionalFormatting>
  <conditionalFormatting sqref="AU256">
    <cfRule type="cellIs" dxfId="0" priority="1745" operator="lessThan">
      <formula>20</formula>
    </cfRule>
    <cfRule type="cellIs" dxfId="1" priority="1240" operator="greaterThan">
      <formula>120</formula>
    </cfRule>
    <cfRule type="containsText" dxfId="2" priority="735" operator="between" text="库存为">
      <formula>NOT(ISERROR(SEARCH("库存为",AU256)))</formula>
    </cfRule>
  </conditionalFormatting>
  <conditionalFormatting sqref="AU257">
    <cfRule type="cellIs" dxfId="0" priority="1744" operator="lessThan">
      <formula>20</formula>
    </cfRule>
    <cfRule type="cellIs" dxfId="1" priority="1239" operator="greaterThan">
      <formula>120</formula>
    </cfRule>
    <cfRule type="containsText" dxfId="2" priority="734" operator="between" text="库存为">
      <formula>NOT(ISERROR(SEARCH("库存为",AU257)))</formula>
    </cfRule>
  </conditionalFormatting>
  <conditionalFormatting sqref="AU258">
    <cfRule type="cellIs" dxfId="0" priority="1743" operator="lessThan">
      <formula>20</formula>
    </cfRule>
    <cfRule type="cellIs" dxfId="1" priority="1238" operator="greaterThan">
      <formula>120</formula>
    </cfRule>
    <cfRule type="containsText" dxfId="2" priority="733" operator="between" text="库存为">
      <formula>NOT(ISERROR(SEARCH("库存为",AU258)))</formula>
    </cfRule>
  </conditionalFormatting>
  <conditionalFormatting sqref="AU259">
    <cfRule type="cellIs" dxfId="0" priority="1742" operator="lessThan">
      <formula>20</formula>
    </cfRule>
    <cfRule type="cellIs" dxfId="1" priority="1237" operator="greaterThan">
      <formula>120</formula>
    </cfRule>
    <cfRule type="containsText" dxfId="2" priority="732" operator="between" text="库存为">
      <formula>NOT(ISERROR(SEARCH("库存为",AU259)))</formula>
    </cfRule>
  </conditionalFormatting>
  <conditionalFormatting sqref="AU260">
    <cfRule type="cellIs" dxfId="0" priority="1741" operator="lessThan">
      <formula>20</formula>
    </cfRule>
    <cfRule type="cellIs" dxfId="1" priority="1236" operator="greaterThan">
      <formula>120</formula>
    </cfRule>
    <cfRule type="containsText" dxfId="2" priority="731" operator="between" text="库存为">
      <formula>NOT(ISERROR(SEARCH("库存为",AU260)))</formula>
    </cfRule>
  </conditionalFormatting>
  <conditionalFormatting sqref="AU261">
    <cfRule type="cellIs" dxfId="0" priority="1740" operator="lessThan">
      <formula>20</formula>
    </cfRule>
    <cfRule type="cellIs" dxfId="1" priority="1235" operator="greaterThan">
      <formula>120</formula>
    </cfRule>
    <cfRule type="containsText" dxfId="2" priority="730" operator="between" text="库存为">
      <formula>NOT(ISERROR(SEARCH("库存为",AU261)))</formula>
    </cfRule>
  </conditionalFormatting>
  <conditionalFormatting sqref="AU262">
    <cfRule type="cellIs" dxfId="0" priority="1739" operator="lessThan">
      <formula>20</formula>
    </cfRule>
    <cfRule type="cellIs" dxfId="1" priority="1234" operator="greaterThan">
      <formula>120</formula>
    </cfRule>
    <cfRule type="containsText" dxfId="2" priority="729" operator="between" text="库存为">
      <formula>NOT(ISERROR(SEARCH("库存为",AU262)))</formula>
    </cfRule>
  </conditionalFormatting>
  <conditionalFormatting sqref="AU263">
    <cfRule type="cellIs" dxfId="0" priority="1738" operator="lessThan">
      <formula>20</formula>
    </cfRule>
    <cfRule type="cellIs" dxfId="1" priority="1233" operator="greaterThan">
      <formula>120</formula>
    </cfRule>
    <cfRule type="containsText" dxfId="2" priority="728" operator="between" text="库存为">
      <formula>NOT(ISERROR(SEARCH("库存为",AU263)))</formula>
    </cfRule>
  </conditionalFormatting>
  <conditionalFormatting sqref="AU264">
    <cfRule type="cellIs" dxfId="0" priority="1737" operator="lessThan">
      <formula>20</formula>
    </cfRule>
    <cfRule type="cellIs" dxfId="1" priority="1232" operator="greaterThan">
      <formula>120</formula>
    </cfRule>
    <cfRule type="containsText" dxfId="2" priority="727" operator="between" text="库存为">
      <formula>NOT(ISERROR(SEARCH("库存为",AU264)))</formula>
    </cfRule>
  </conditionalFormatting>
  <conditionalFormatting sqref="AU265">
    <cfRule type="cellIs" dxfId="0" priority="1736" operator="lessThan">
      <formula>20</formula>
    </cfRule>
    <cfRule type="cellIs" dxfId="1" priority="1231" operator="greaterThan">
      <formula>120</formula>
    </cfRule>
    <cfRule type="containsText" dxfId="2" priority="726" operator="between" text="库存为">
      <formula>NOT(ISERROR(SEARCH("库存为",AU265)))</formula>
    </cfRule>
  </conditionalFormatting>
  <conditionalFormatting sqref="AU266">
    <cfRule type="cellIs" dxfId="0" priority="1735" operator="lessThan">
      <formula>20</formula>
    </cfRule>
    <cfRule type="cellIs" dxfId="1" priority="1230" operator="greaterThan">
      <formula>120</formula>
    </cfRule>
    <cfRule type="containsText" dxfId="2" priority="725" operator="between" text="库存为">
      <formula>NOT(ISERROR(SEARCH("库存为",AU266)))</formula>
    </cfRule>
  </conditionalFormatting>
  <conditionalFormatting sqref="AU267">
    <cfRule type="cellIs" dxfId="0" priority="1734" operator="lessThan">
      <formula>20</formula>
    </cfRule>
    <cfRule type="cellIs" dxfId="1" priority="1229" operator="greaterThan">
      <formula>120</formula>
    </cfRule>
    <cfRule type="containsText" dxfId="2" priority="724" operator="between" text="库存为">
      <formula>NOT(ISERROR(SEARCH("库存为",AU267)))</formula>
    </cfRule>
  </conditionalFormatting>
  <conditionalFormatting sqref="AU268">
    <cfRule type="cellIs" dxfId="0" priority="1733" operator="lessThan">
      <formula>20</formula>
    </cfRule>
    <cfRule type="cellIs" dxfId="1" priority="1228" operator="greaterThan">
      <formula>120</formula>
    </cfRule>
    <cfRule type="containsText" dxfId="2" priority="723" operator="between" text="库存为">
      <formula>NOT(ISERROR(SEARCH("库存为",AU268)))</formula>
    </cfRule>
  </conditionalFormatting>
  <conditionalFormatting sqref="AU269">
    <cfRule type="cellIs" dxfId="0" priority="1732" operator="lessThan">
      <formula>20</formula>
    </cfRule>
    <cfRule type="cellIs" dxfId="1" priority="1227" operator="greaterThan">
      <formula>120</formula>
    </cfRule>
    <cfRule type="containsText" dxfId="2" priority="722" operator="between" text="库存为">
      <formula>NOT(ISERROR(SEARCH("库存为",AU269)))</formula>
    </cfRule>
  </conditionalFormatting>
  <conditionalFormatting sqref="AU270">
    <cfRule type="cellIs" dxfId="0" priority="1731" operator="lessThan">
      <formula>20</formula>
    </cfRule>
    <cfRule type="cellIs" dxfId="1" priority="1226" operator="greaterThan">
      <formula>120</formula>
    </cfRule>
    <cfRule type="containsText" dxfId="2" priority="721" operator="between" text="库存为">
      <formula>NOT(ISERROR(SEARCH("库存为",AU270)))</formula>
    </cfRule>
  </conditionalFormatting>
  <conditionalFormatting sqref="AU271">
    <cfRule type="cellIs" dxfId="0" priority="1730" operator="lessThan">
      <formula>20</formula>
    </cfRule>
    <cfRule type="cellIs" dxfId="1" priority="1225" operator="greaterThan">
      <formula>120</formula>
    </cfRule>
    <cfRule type="containsText" dxfId="2" priority="720" operator="between" text="库存为">
      <formula>NOT(ISERROR(SEARCH("库存为",AU271)))</formula>
    </cfRule>
  </conditionalFormatting>
  <conditionalFormatting sqref="AU272">
    <cfRule type="cellIs" dxfId="0" priority="1729" operator="lessThan">
      <formula>20</formula>
    </cfRule>
    <cfRule type="cellIs" dxfId="1" priority="1224" operator="greaterThan">
      <formula>120</formula>
    </cfRule>
    <cfRule type="containsText" dxfId="2" priority="719" operator="between" text="库存为">
      <formula>NOT(ISERROR(SEARCH("库存为",AU272)))</formula>
    </cfRule>
  </conditionalFormatting>
  <conditionalFormatting sqref="AU273">
    <cfRule type="cellIs" dxfId="0" priority="1728" operator="lessThan">
      <formula>20</formula>
    </cfRule>
    <cfRule type="cellIs" dxfId="1" priority="1223" operator="greaterThan">
      <formula>120</formula>
    </cfRule>
    <cfRule type="containsText" dxfId="2" priority="718" operator="between" text="库存为">
      <formula>NOT(ISERROR(SEARCH("库存为",AU273)))</formula>
    </cfRule>
  </conditionalFormatting>
  <conditionalFormatting sqref="AU274">
    <cfRule type="cellIs" dxfId="0" priority="1727" operator="lessThan">
      <formula>20</formula>
    </cfRule>
    <cfRule type="cellIs" dxfId="1" priority="1222" operator="greaterThan">
      <formula>120</formula>
    </cfRule>
    <cfRule type="containsText" dxfId="2" priority="717" operator="between" text="库存为">
      <formula>NOT(ISERROR(SEARCH("库存为",AU274)))</formula>
    </cfRule>
  </conditionalFormatting>
  <conditionalFormatting sqref="AU275">
    <cfRule type="cellIs" dxfId="0" priority="1726" operator="lessThan">
      <formula>20</formula>
    </cfRule>
    <cfRule type="cellIs" dxfId="1" priority="1221" operator="greaterThan">
      <formula>120</formula>
    </cfRule>
    <cfRule type="containsText" dxfId="2" priority="716" operator="between" text="库存为">
      <formula>NOT(ISERROR(SEARCH("库存为",AU275)))</formula>
    </cfRule>
  </conditionalFormatting>
  <conditionalFormatting sqref="AU276">
    <cfRule type="cellIs" dxfId="0" priority="1725" operator="lessThan">
      <formula>20</formula>
    </cfRule>
    <cfRule type="cellIs" dxfId="1" priority="1220" operator="greaterThan">
      <formula>120</formula>
    </cfRule>
    <cfRule type="containsText" dxfId="2" priority="715" operator="between" text="库存为">
      <formula>NOT(ISERROR(SEARCH("库存为",AU276)))</formula>
    </cfRule>
  </conditionalFormatting>
  <conditionalFormatting sqref="AU277">
    <cfRule type="cellIs" dxfId="0" priority="1724" operator="lessThan">
      <formula>20</formula>
    </cfRule>
    <cfRule type="cellIs" dxfId="1" priority="1219" operator="greaterThan">
      <formula>120</formula>
    </cfRule>
    <cfRule type="containsText" dxfId="2" priority="714" operator="between" text="库存为">
      <formula>NOT(ISERROR(SEARCH("库存为",AU277)))</formula>
    </cfRule>
  </conditionalFormatting>
  <conditionalFormatting sqref="AU278">
    <cfRule type="cellIs" dxfId="0" priority="1723" operator="lessThan">
      <formula>20</formula>
    </cfRule>
    <cfRule type="cellIs" dxfId="1" priority="1218" operator="greaterThan">
      <formula>120</formula>
    </cfRule>
    <cfRule type="containsText" dxfId="2" priority="713" operator="between" text="库存为">
      <formula>NOT(ISERROR(SEARCH("库存为",AU278)))</formula>
    </cfRule>
  </conditionalFormatting>
  <conditionalFormatting sqref="AU279">
    <cfRule type="cellIs" dxfId="0" priority="1722" operator="lessThan">
      <formula>20</formula>
    </cfRule>
    <cfRule type="cellIs" dxfId="1" priority="1217" operator="greaterThan">
      <formula>120</formula>
    </cfRule>
    <cfRule type="containsText" dxfId="2" priority="712" operator="between" text="库存为">
      <formula>NOT(ISERROR(SEARCH("库存为",AU279)))</formula>
    </cfRule>
  </conditionalFormatting>
  <conditionalFormatting sqref="AU280">
    <cfRule type="cellIs" dxfId="0" priority="1721" operator="lessThan">
      <formula>20</formula>
    </cfRule>
    <cfRule type="cellIs" dxfId="1" priority="1216" operator="greaterThan">
      <formula>120</formula>
    </cfRule>
    <cfRule type="containsText" dxfId="2" priority="711" operator="between" text="库存为">
      <formula>NOT(ISERROR(SEARCH("库存为",AU280)))</formula>
    </cfRule>
  </conditionalFormatting>
  <conditionalFormatting sqref="AU281">
    <cfRule type="cellIs" dxfId="0" priority="1720" operator="lessThan">
      <formula>20</formula>
    </cfRule>
    <cfRule type="cellIs" dxfId="1" priority="1215" operator="greaterThan">
      <formula>120</formula>
    </cfRule>
    <cfRule type="containsText" dxfId="2" priority="710" operator="between" text="库存为">
      <formula>NOT(ISERROR(SEARCH("库存为",AU281)))</formula>
    </cfRule>
  </conditionalFormatting>
  <conditionalFormatting sqref="AU282">
    <cfRule type="cellIs" dxfId="0" priority="1719" operator="lessThan">
      <formula>20</formula>
    </cfRule>
    <cfRule type="cellIs" dxfId="1" priority="1214" operator="greaterThan">
      <formula>120</formula>
    </cfRule>
    <cfRule type="containsText" dxfId="2" priority="709" operator="between" text="库存为">
      <formula>NOT(ISERROR(SEARCH("库存为",AU282)))</formula>
    </cfRule>
  </conditionalFormatting>
  <conditionalFormatting sqref="AU283">
    <cfRule type="cellIs" dxfId="0" priority="1718" operator="lessThan">
      <formula>20</formula>
    </cfRule>
    <cfRule type="cellIs" dxfId="1" priority="1213" operator="greaterThan">
      <formula>120</formula>
    </cfRule>
    <cfRule type="containsText" dxfId="2" priority="708" operator="between" text="库存为">
      <formula>NOT(ISERROR(SEARCH("库存为",AU283)))</formula>
    </cfRule>
  </conditionalFormatting>
  <conditionalFormatting sqref="AU284">
    <cfRule type="cellIs" dxfId="0" priority="1717" operator="lessThan">
      <formula>20</formula>
    </cfRule>
    <cfRule type="cellIs" dxfId="1" priority="1212" operator="greaterThan">
      <formula>120</formula>
    </cfRule>
    <cfRule type="containsText" dxfId="2" priority="707" operator="between" text="库存为">
      <formula>NOT(ISERROR(SEARCH("库存为",AU284)))</formula>
    </cfRule>
  </conditionalFormatting>
  <conditionalFormatting sqref="AU285">
    <cfRule type="cellIs" dxfId="0" priority="1716" operator="lessThan">
      <formula>20</formula>
    </cfRule>
    <cfRule type="cellIs" dxfId="1" priority="1211" operator="greaterThan">
      <formula>120</formula>
    </cfRule>
    <cfRule type="containsText" dxfId="2" priority="706" operator="between" text="库存为">
      <formula>NOT(ISERROR(SEARCH("库存为",AU285)))</formula>
    </cfRule>
  </conditionalFormatting>
  <conditionalFormatting sqref="AU286">
    <cfRule type="cellIs" dxfId="0" priority="1715" operator="lessThan">
      <formula>20</formula>
    </cfRule>
    <cfRule type="cellIs" dxfId="1" priority="1210" operator="greaterThan">
      <formula>120</formula>
    </cfRule>
    <cfRule type="containsText" dxfId="2" priority="705" operator="between" text="库存为">
      <formula>NOT(ISERROR(SEARCH("库存为",AU286)))</formula>
    </cfRule>
  </conditionalFormatting>
  <conditionalFormatting sqref="AU287">
    <cfRule type="cellIs" dxfId="0" priority="1714" operator="lessThan">
      <formula>20</formula>
    </cfRule>
    <cfRule type="cellIs" dxfId="1" priority="1209" operator="greaterThan">
      <formula>120</formula>
    </cfRule>
    <cfRule type="containsText" dxfId="2" priority="704" operator="between" text="库存为">
      <formula>NOT(ISERROR(SEARCH("库存为",AU287)))</formula>
    </cfRule>
  </conditionalFormatting>
  <conditionalFormatting sqref="AU288">
    <cfRule type="cellIs" dxfId="0" priority="1713" operator="lessThan">
      <formula>20</formula>
    </cfRule>
    <cfRule type="cellIs" dxfId="1" priority="1208" operator="greaterThan">
      <formula>120</formula>
    </cfRule>
    <cfRule type="containsText" dxfId="2" priority="703" operator="between" text="库存为">
      <formula>NOT(ISERROR(SEARCH("库存为",AU288)))</formula>
    </cfRule>
  </conditionalFormatting>
  <conditionalFormatting sqref="AU289">
    <cfRule type="cellIs" dxfId="0" priority="1712" operator="lessThan">
      <formula>20</formula>
    </cfRule>
    <cfRule type="cellIs" dxfId="1" priority="1207" operator="greaterThan">
      <formula>120</formula>
    </cfRule>
    <cfRule type="containsText" dxfId="2" priority="702" operator="between" text="库存为">
      <formula>NOT(ISERROR(SEARCH("库存为",AU289)))</formula>
    </cfRule>
  </conditionalFormatting>
  <conditionalFormatting sqref="AU290">
    <cfRule type="cellIs" dxfId="0" priority="1711" operator="lessThan">
      <formula>20</formula>
    </cfRule>
    <cfRule type="cellIs" dxfId="1" priority="1206" operator="greaterThan">
      <formula>120</formula>
    </cfRule>
    <cfRule type="containsText" dxfId="2" priority="701" operator="between" text="库存为">
      <formula>NOT(ISERROR(SEARCH("库存为",AU290)))</formula>
    </cfRule>
  </conditionalFormatting>
  <conditionalFormatting sqref="AU291">
    <cfRule type="cellIs" dxfId="0" priority="1710" operator="lessThan">
      <formula>20</formula>
    </cfRule>
    <cfRule type="cellIs" dxfId="1" priority="1205" operator="greaterThan">
      <formula>120</formula>
    </cfRule>
    <cfRule type="containsText" dxfId="2" priority="700" operator="between" text="库存为">
      <formula>NOT(ISERROR(SEARCH("库存为",AU291)))</formula>
    </cfRule>
  </conditionalFormatting>
  <conditionalFormatting sqref="AU292">
    <cfRule type="cellIs" dxfId="0" priority="1709" operator="lessThan">
      <formula>20</formula>
    </cfRule>
    <cfRule type="cellIs" dxfId="1" priority="1204" operator="greaterThan">
      <formula>120</formula>
    </cfRule>
    <cfRule type="containsText" dxfId="2" priority="699" operator="between" text="库存为">
      <formula>NOT(ISERROR(SEARCH("库存为",AU292)))</formula>
    </cfRule>
  </conditionalFormatting>
  <conditionalFormatting sqref="AU293">
    <cfRule type="cellIs" dxfId="0" priority="1708" operator="lessThan">
      <formula>20</formula>
    </cfRule>
    <cfRule type="cellIs" dxfId="1" priority="1203" operator="greaterThan">
      <formula>120</formula>
    </cfRule>
    <cfRule type="containsText" dxfId="2" priority="698" operator="between" text="库存为">
      <formula>NOT(ISERROR(SEARCH("库存为",AU293)))</formula>
    </cfRule>
  </conditionalFormatting>
  <conditionalFormatting sqref="AU294">
    <cfRule type="cellIs" dxfId="0" priority="1707" operator="lessThan">
      <formula>20</formula>
    </cfRule>
    <cfRule type="cellIs" dxfId="1" priority="1202" operator="greaterThan">
      <formula>120</formula>
    </cfRule>
    <cfRule type="containsText" dxfId="2" priority="697" operator="between" text="库存为">
      <formula>NOT(ISERROR(SEARCH("库存为",AU294)))</formula>
    </cfRule>
  </conditionalFormatting>
  <conditionalFormatting sqref="AU295">
    <cfRule type="cellIs" dxfId="0" priority="1706" operator="lessThan">
      <formula>20</formula>
    </cfRule>
    <cfRule type="cellIs" dxfId="1" priority="1201" operator="greaterThan">
      <formula>120</formula>
    </cfRule>
    <cfRule type="containsText" dxfId="2" priority="696" operator="between" text="库存为">
      <formula>NOT(ISERROR(SEARCH("库存为",AU295)))</formula>
    </cfRule>
  </conditionalFormatting>
  <conditionalFormatting sqref="AU296">
    <cfRule type="cellIs" dxfId="0" priority="1705" operator="lessThan">
      <formula>20</formula>
    </cfRule>
    <cfRule type="cellIs" dxfId="1" priority="1200" operator="greaterThan">
      <formula>120</formula>
    </cfRule>
    <cfRule type="containsText" dxfId="2" priority="695" operator="between" text="库存为">
      <formula>NOT(ISERROR(SEARCH("库存为",AU296)))</formula>
    </cfRule>
  </conditionalFormatting>
  <conditionalFormatting sqref="AU297">
    <cfRule type="cellIs" dxfId="0" priority="1704" operator="lessThan">
      <formula>20</formula>
    </cfRule>
    <cfRule type="cellIs" dxfId="1" priority="1199" operator="greaterThan">
      <formula>120</formula>
    </cfRule>
    <cfRule type="containsText" dxfId="2" priority="694" operator="between" text="库存为">
      <formula>NOT(ISERROR(SEARCH("库存为",AU297)))</formula>
    </cfRule>
  </conditionalFormatting>
  <conditionalFormatting sqref="AU298">
    <cfRule type="cellIs" dxfId="0" priority="1703" operator="lessThan">
      <formula>20</formula>
    </cfRule>
    <cfRule type="cellIs" dxfId="1" priority="1198" operator="greaterThan">
      <formula>120</formula>
    </cfRule>
    <cfRule type="containsText" dxfId="2" priority="693" operator="between" text="库存为">
      <formula>NOT(ISERROR(SEARCH("库存为",AU298)))</formula>
    </cfRule>
  </conditionalFormatting>
  <conditionalFormatting sqref="AU299">
    <cfRule type="cellIs" dxfId="0" priority="1702" operator="lessThan">
      <formula>20</formula>
    </cfRule>
    <cfRule type="cellIs" dxfId="1" priority="1197" operator="greaterThan">
      <formula>120</formula>
    </cfRule>
    <cfRule type="containsText" dxfId="2" priority="692" operator="between" text="库存为">
      <formula>NOT(ISERROR(SEARCH("库存为",AU299)))</formula>
    </cfRule>
  </conditionalFormatting>
  <conditionalFormatting sqref="AU300">
    <cfRule type="cellIs" dxfId="0" priority="1701" operator="lessThan">
      <formula>20</formula>
    </cfRule>
    <cfRule type="cellIs" dxfId="1" priority="1196" operator="greaterThan">
      <formula>120</formula>
    </cfRule>
    <cfRule type="containsText" dxfId="2" priority="691" operator="between" text="库存为">
      <formula>NOT(ISERROR(SEARCH("库存为",AU300)))</formula>
    </cfRule>
  </conditionalFormatting>
  <conditionalFormatting sqref="AU301">
    <cfRule type="cellIs" dxfId="0" priority="1700" operator="lessThan">
      <formula>20</formula>
    </cfRule>
    <cfRule type="cellIs" dxfId="1" priority="1195" operator="greaterThan">
      <formula>120</formula>
    </cfRule>
    <cfRule type="containsText" dxfId="2" priority="690" operator="between" text="库存为">
      <formula>NOT(ISERROR(SEARCH("库存为",AU301)))</formula>
    </cfRule>
  </conditionalFormatting>
  <conditionalFormatting sqref="AU302">
    <cfRule type="cellIs" dxfId="0" priority="1699" operator="lessThan">
      <formula>20</formula>
    </cfRule>
    <cfRule type="cellIs" dxfId="1" priority="1194" operator="greaterThan">
      <formula>120</formula>
    </cfRule>
    <cfRule type="containsText" dxfId="2" priority="689" operator="between" text="库存为">
      <formula>NOT(ISERROR(SEARCH("库存为",AU302)))</formula>
    </cfRule>
  </conditionalFormatting>
  <conditionalFormatting sqref="AU303">
    <cfRule type="cellIs" dxfId="0" priority="1698" operator="lessThan">
      <formula>20</formula>
    </cfRule>
    <cfRule type="cellIs" dxfId="1" priority="1193" operator="greaterThan">
      <formula>120</formula>
    </cfRule>
    <cfRule type="containsText" dxfId="2" priority="688" operator="between" text="库存为">
      <formula>NOT(ISERROR(SEARCH("库存为",AU303)))</formula>
    </cfRule>
  </conditionalFormatting>
  <conditionalFormatting sqref="AU304">
    <cfRule type="cellIs" dxfId="0" priority="1697" operator="lessThan">
      <formula>20</formula>
    </cfRule>
    <cfRule type="cellIs" dxfId="1" priority="1192" operator="greaterThan">
      <formula>120</formula>
    </cfRule>
    <cfRule type="containsText" dxfId="2" priority="687" operator="between" text="库存为">
      <formula>NOT(ISERROR(SEARCH("库存为",AU304)))</formula>
    </cfRule>
  </conditionalFormatting>
  <conditionalFormatting sqref="AU305">
    <cfRule type="cellIs" dxfId="0" priority="1696" operator="lessThan">
      <formula>20</formula>
    </cfRule>
    <cfRule type="cellIs" dxfId="1" priority="1191" operator="greaterThan">
      <formula>120</formula>
    </cfRule>
    <cfRule type="containsText" dxfId="2" priority="686" operator="between" text="库存为">
      <formula>NOT(ISERROR(SEARCH("库存为",AU305)))</formula>
    </cfRule>
  </conditionalFormatting>
  <conditionalFormatting sqref="AU306">
    <cfRule type="cellIs" dxfId="0" priority="1695" operator="lessThan">
      <formula>20</formula>
    </cfRule>
    <cfRule type="cellIs" dxfId="1" priority="1190" operator="greaterThan">
      <formula>120</formula>
    </cfRule>
    <cfRule type="containsText" dxfId="2" priority="685" operator="between" text="库存为">
      <formula>NOT(ISERROR(SEARCH("库存为",AU306)))</formula>
    </cfRule>
  </conditionalFormatting>
  <conditionalFormatting sqref="AU307">
    <cfRule type="cellIs" dxfId="0" priority="1694" operator="lessThan">
      <formula>20</formula>
    </cfRule>
    <cfRule type="cellIs" dxfId="1" priority="1189" operator="greaterThan">
      <formula>120</formula>
    </cfRule>
    <cfRule type="containsText" dxfId="2" priority="684" operator="between" text="库存为">
      <formula>NOT(ISERROR(SEARCH("库存为",AU307)))</formula>
    </cfRule>
  </conditionalFormatting>
  <conditionalFormatting sqref="AU308">
    <cfRule type="cellIs" dxfId="0" priority="1693" operator="lessThan">
      <formula>20</formula>
    </cfRule>
    <cfRule type="cellIs" dxfId="1" priority="1188" operator="greaterThan">
      <formula>120</formula>
    </cfRule>
    <cfRule type="containsText" dxfId="2" priority="683" operator="between" text="库存为">
      <formula>NOT(ISERROR(SEARCH("库存为",AU308)))</formula>
    </cfRule>
  </conditionalFormatting>
  <conditionalFormatting sqref="AU309">
    <cfRule type="cellIs" dxfId="0" priority="1692" operator="lessThan">
      <formula>20</formula>
    </cfRule>
    <cfRule type="cellIs" dxfId="1" priority="1187" operator="greaterThan">
      <formula>120</formula>
    </cfRule>
    <cfRule type="containsText" dxfId="2" priority="682" operator="between" text="库存为">
      <formula>NOT(ISERROR(SEARCH("库存为",AU309)))</formula>
    </cfRule>
  </conditionalFormatting>
  <conditionalFormatting sqref="AU310">
    <cfRule type="cellIs" dxfId="0" priority="1691" operator="lessThan">
      <formula>20</formula>
    </cfRule>
    <cfRule type="cellIs" dxfId="1" priority="1186" operator="greaterThan">
      <formula>120</formula>
    </cfRule>
    <cfRule type="containsText" dxfId="2" priority="681" operator="between" text="库存为">
      <formula>NOT(ISERROR(SEARCH("库存为",AU310)))</formula>
    </cfRule>
  </conditionalFormatting>
  <conditionalFormatting sqref="AU311">
    <cfRule type="cellIs" dxfId="0" priority="1690" operator="lessThan">
      <formula>20</formula>
    </cfRule>
    <cfRule type="cellIs" dxfId="1" priority="1185" operator="greaterThan">
      <formula>120</formula>
    </cfRule>
    <cfRule type="containsText" dxfId="2" priority="680" operator="between" text="库存为">
      <formula>NOT(ISERROR(SEARCH("库存为",AU311)))</formula>
    </cfRule>
  </conditionalFormatting>
  <conditionalFormatting sqref="AU312">
    <cfRule type="cellIs" dxfId="0" priority="1689" operator="lessThan">
      <formula>20</formula>
    </cfRule>
    <cfRule type="cellIs" dxfId="1" priority="1184" operator="greaterThan">
      <formula>120</formula>
    </cfRule>
    <cfRule type="containsText" dxfId="2" priority="679" operator="between" text="库存为">
      <formula>NOT(ISERROR(SEARCH("库存为",AU312)))</formula>
    </cfRule>
  </conditionalFormatting>
  <conditionalFormatting sqref="AU313">
    <cfRule type="cellIs" dxfId="0" priority="1688" operator="lessThan">
      <formula>20</formula>
    </cfRule>
    <cfRule type="cellIs" dxfId="1" priority="1183" operator="greaterThan">
      <formula>120</formula>
    </cfRule>
    <cfRule type="containsText" dxfId="2" priority="678" operator="between" text="库存为">
      <formula>NOT(ISERROR(SEARCH("库存为",AU313)))</formula>
    </cfRule>
  </conditionalFormatting>
  <conditionalFormatting sqref="AU314">
    <cfRule type="cellIs" dxfId="0" priority="1687" operator="lessThan">
      <formula>20</formula>
    </cfRule>
    <cfRule type="cellIs" dxfId="1" priority="1182" operator="greaterThan">
      <formula>120</formula>
    </cfRule>
    <cfRule type="containsText" dxfId="2" priority="677" operator="between" text="库存为">
      <formula>NOT(ISERROR(SEARCH("库存为",AU314)))</formula>
    </cfRule>
  </conditionalFormatting>
  <conditionalFormatting sqref="AU315">
    <cfRule type="cellIs" dxfId="0" priority="1686" operator="lessThan">
      <formula>20</formula>
    </cfRule>
    <cfRule type="cellIs" dxfId="1" priority="1181" operator="greaterThan">
      <formula>120</formula>
    </cfRule>
    <cfRule type="containsText" dxfId="2" priority="676" operator="between" text="库存为">
      <formula>NOT(ISERROR(SEARCH("库存为",AU315)))</formula>
    </cfRule>
  </conditionalFormatting>
  <conditionalFormatting sqref="AU316">
    <cfRule type="cellIs" dxfId="0" priority="1685" operator="lessThan">
      <formula>20</formula>
    </cfRule>
    <cfRule type="cellIs" dxfId="1" priority="1180" operator="greaterThan">
      <formula>120</formula>
    </cfRule>
    <cfRule type="containsText" dxfId="2" priority="675" operator="between" text="库存为">
      <formula>NOT(ISERROR(SEARCH("库存为",AU316)))</formula>
    </cfRule>
  </conditionalFormatting>
  <conditionalFormatting sqref="AU317">
    <cfRule type="cellIs" dxfId="0" priority="1684" operator="lessThan">
      <formula>20</formula>
    </cfRule>
    <cfRule type="cellIs" dxfId="1" priority="1179" operator="greaterThan">
      <formula>120</formula>
    </cfRule>
    <cfRule type="containsText" dxfId="2" priority="674" operator="between" text="库存为">
      <formula>NOT(ISERROR(SEARCH("库存为",AU317)))</formula>
    </cfRule>
  </conditionalFormatting>
  <conditionalFormatting sqref="AU318">
    <cfRule type="cellIs" dxfId="0" priority="1683" operator="lessThan">
      <formula>20</formula>
    </cfRule>
    <cfRule type="cellIs" dxfId="1" priority="1178" operator="greaterThan">
      <formula>120</formula>
    </cfRule>
    <cfRule type="containsText" dxfId="2" priority="673" operator="between" text="库存为">
      <formula>NOT(ISERROR(SEARCH("库存为",AU318)))</formula>
    </cfRule>
  </conditionalFormatting>
  <conditionalFormatting sqref="AU319">
    <cfRule type="cellIs" dxfId="0" priority="1682" operator="lessThan">
      <formula>20</formula>
    </cfRule>
    <cfRule type="cellIs" dxfId="1" priority="1177" operator="greaterThan">
      <formula>120</formula>
    </cfRule>
    <cfRule type="containsText" dxfId="2" priority="672" operator="between" text="库存为">
      <formula>NOT(ISERROR(SEARCH("库存为",AU319)))</formula>
    </cfRule>
  </conditionalFormatting>
  <conditionalFormatting sqref="AU320">
    <cfRule type="cellIs" dxfId="0" priority="1681" operator="lessThan">
      <formula>20</formula>
    </cfRule>
    <cfRule type="cellIs" dxfId="1" priority="1176" operator="greaterThan">
      <formula>120</formula>
    </cfRule>
    <cfRule type="containsText" dxfId="2" priority="671" operator="between" text="库存为">
      <formula>NOT(ISERROR(SEARCH("库存为",AU320)))</formula>
    </cfRule>
  </conditionalFormatting>
  <conditionalFormatting sqref="AU321">
    <cfRule type="cellIs" dxfId="0" priority="1680" operator="lessThan">
      <formula>20</formula>
    </cfRule>
    <cfRule type="cellIs" dxfId="1" priority="1175" operator="greaterThan">
      <formula>120</formula>
    </cfRule>
    <cfRule type="containsText" dxfId="2" priority="670" operator="between" text="库存为">
      <formula>NOT(ISERROR(SEARCH("库存为",AU321)))</formula>
    </cfRule>
  </conditionalFormatting>
  <conditionalFormatting sqref="AU322">
    <cfRule type="cellIs" dxfId="0" priority="1679" operator="lessThan">
      <formula>20</formula>
    </cfRule>
    <cfRule type="cellIs" dxfId="1" priority="1174" operator="greaterThan">
      <formula>120</formula>
    </cfRule>
    <cfRule type="containsText" dxfId="2" priority="669" operator="between" text="库存为">
      <formula>NOT(ISERROR(SEARCH("库存为",AU322)))</formula>
    </cfRule>
  </conditionalFormatting>
  <conditionalFormatting sqref="AU323">
    <cfRule type="cellIs" dxfId="0" priority="1678" operator="lessThan">
      <formula>20</formula>
    </cfRule>
    <cfRule type="cellIs" dxfId="1" priority="1173" operator="greaterThan">
      <formula>120</formula>
    </cfRule>
    <cfRule type="containsText" dxfId="2" priority="668" operator="between" text="库存为">
      <formula>NOT(ISERROR(SEARCH("库存为",AU323)))</formula>
    </cfRule>
  </conditionalFormatting>
  <conditionalFormatting sqref="AU324">
    <cfRule type="cellIs" dxfId="0" priority="1677" operator="lessThan">
      <formula>20</formula>
    </cfRule>
    <cfRule type="cellIs" dxfId="1" priority="1172" operator="greaterThan">
      <formula>120</formula>
    </cfRule>
    <cfRule type="containsText" dxfId="2" priority="667" operator="between" text="库存为">
      <formula>NOT(ISERROR(SEARCH("库存为",AU324)))</formula>
    </cfRule>
  </conditionalFormatting>
  <conditionalFormatting sqref="AU325">
    <cfRule type="cellIs" dxfId="0" priority="1676" operator="lessThan">
      <formula>20</formula>
    </cfRule>
    <cfRule type="cellIs" dxfId="1" priority="1171" operator="greaterThan">
      <formula>120</formula>
    </cfRule>
    <cfRule type="containsText" dxfId="2" priority="666" operator="between" text="库存为">
      <formula>NOT(ISERROR(SEARCH("库存为",AU325)))</formula>
    </cfRule>
  </conditionalFormatting>
  <conditionalFormatting sqref="AU326">
    <cfRule type="cellIs" dxfId="0" priority="1675" operator="lessThan">
      <formula>20</formula>
    </cfRule>
    <cfRule type="cellIs" dxfId="1" priority="1170" operator="greaterThan">
      <formula>120</formula>
    </cfRule>
    <cfRule type="containsText" dxfId="2" priority="665" operator="between" text="库存为">
      <formula>NOT(ISERROR(SEARCH("库存为",AU326)))</formula>
    </cfRule>
  </conditionalFormatting>
  <conditionalFormatting sqref="AU327">
    <cfRule type="cellIs" dxfId="0" priority="1674" operator="lessThan">
      <formula>20</formula>
    </cfRule>
    <cfRule type="cellIs" dxfId="1" priority="1169" operator="greaterThan">
      <formula>120</formula>
    </cfRule>
    <cfRule type="containsText" dxfId="2" priority="664" operator="between" text="库存为">
      <formula>NOT(ISERROR(SEARCH("库存为",AU327)))</formula>
    </cfRule>
  </conditionalFormatting>
  <conditionalFormatting sqref="AU328">
    <cfRule type="cellIs" dxfId="0" priority="1673" operator="lessThan">
      <formula>20</formula>
    </cfRule>
    <cfRule type="cellIs" dxfId="1" priority="1168" operator="greaterThan">
      <formula>120</formula>
    </cfRule>
    <cfRule type="containsText" dxfId="2" priority="663" operator="between" text="库存为">
      <formula>NOT(ISERROR(SEARCH("库存为",AU328)))</formula>
    </cfRule>
  </conditionalFormatting>
  <conditionalFormatting sqref="AU329">
    <cfRule type="cellIs" dxfId="0" priority="1672" operator="lessThan">
      <formula>20</formula>
    </cfRule>
    <cfRule type="cellIs" dxfId="1" priority="1167" operator="greaterThan">
      <formula>120</formula>
    </cfRule>
    <cfRule type="containsText" dxfId="2" priority="662" operator="between" text="库存为">
      <formula>NOT(ISERROR(SEARCH("库存为",AU329)))</formula>
    </cfRule>
  </conditionalFormatting>
  <conditionalFormatting sqref="AU330">
    <cfRule type="cellIs" dxfId="0" priority="1671" operator="lessThan">
      <formula>20</formula>
    </cfRule>
    <cfRule type="cellIs" dxfId="1" priority="1166" operator="greaterThan">
      <formula>120</formula>
    </cfRule>
    <cfRule type="containsText" dxfId="2" priority="661" operator="between" text="库存为">
      <formula>NOT(ISERROR(SEARCH("库存为",AU330)))</formula>
    </cfRule>
  </conditionalFormatting>
  <conditionalFormatting sqref="AU331">
    <cfRule type="cellIs" dxfId="0" priority="1670" operator="lessThan">
      <formula>20</formula>
    </cfRule>
    <cfRule type="cellIs" dxfId="1" priority="1165" operator="greaterThan">
      <formula>120</formula>
    </cfRule>
    <cfRule type="containsText" dxfId="2" priority="660" operator="between" text="库存为">
      <formula>NOT(ISERROR(SEARCH("库存为",AU331)))</formula>
    </cfRule>
  </conditionalFormatting>
  <conditionalFormatting sqref="AU332">
    <cfRule type="cellIs" dxfId="0" priority="1669" operator="lessThan">
      <formula>20</formula>
    </cfRule>
    <cfRule type="cellIs" dxfId="1" priority="1164" operator="greaterThan">
      <formula>120</formula>
    </cfRule>
    <cfRule type="containsText" dxfId="2" priority="659" operator="between" text="库存为">
      <formula>NOT(ISERROR(SEARCH("库存为",AU332)))</formula>
    </cfRule>
  </conditionalFormatting>
  <conditionalFormatting sqref="AU333">
    <cfRule type="cellIs" dxfId="0" priority="1668" operator="lessThan">
      <formula>20</formula>
    </cfRule>
    <cfRule type="cellIs" dxfId="1" priority="1163" operator="greaterThan">
      <formula>120</formula>
    </cfRule>
    <cfRule type="containsText" dxfId="2" priority="658" operator="between" text="库存为">
      <formula>NOT(ISERROR(SEARCH("库存为",AU333)))</formula>
    </cfRule>
  </conditionalFormatting>
  <conditionalFormatting sqref="AU334">
    <cfRule type="cellIs" dxfId="0" priority="1667" operator="lessThan">
      <formula>20</formula>
    </cfRule>
    <cfRule type="cellIs" dxfId="1" priority="1162" operator="greaterThan">
      <formula>120</formula>
    </cfRule>
    <cfRule type="containsText" dxfId="2" priority="657" operator="between" text="库存为">
      <formula>NOT(ISERROR(SEARCH("库存为",AU334)))</formula>
    </cfRule>
  </conditionalFormatting>
  <conditionalFormatting sqref="AU335">
    <cfRule type="cellIs" dxfId="0" priority="1666" operator="lessThan">
      <formula>20</formula>
    </cfRule>
    <cfRule type="cellIs" dxfId="1" priority="1161" operator="greaterThan">
      <formula>120</formula>
    </cfRule>
    <cfRule type="containsText" dxfId="2" priority="656" operator="between" text="库存为">
      <formula>NOT(ISERROR(SEARCH("库存为",AU335)))</formula>
    </cfRule>
  </conditionalFormatting>
  <conditionalFormatting sqref="AU336">
    <cfRule type="cellIs" dxfId="0" priority="1665" operator="lessThan">
      <formula>20</formula>
    </cfRule>
    <cfRule type="cellIs" dxfId="1" priority="1160" operator="greaterThan">
      <formula>120</formula>
    </cfRule>
    <cfRule type="containsText" dxfId="2" priority="655" operator="between" text="库存为">
      <formula>NOT(ISERROR(SEARCH("库存为",AU336)))</formula>
    </cfRule>
  </conditionalFormatting>
  <conditionalFormatting sqref="AU337">
    <cfRule type="cellIs" dxfId="0" priority="1664" operator="lessThan">
      <formula>20</formula>
    </cfRule>
    <cfRule type="cellIs" dxfId="1" priority="1159" operator="greaterThan">
      <formula>120</formula>
    </cfRule>
    <cfRule type="containsText" dxfId="2" priority="654" operator="between" text="库存为">
      <formula>NOT(ISERROR(SEARCH("库存为",AU337)))</formula>
    </cfRule>
  </conditionalFormatting>
  <conditionalFormatting sqref="AU338">
    <cfRule type="cellIs" dxfId="0" priority="1663" operator="lessThan">
      <formula>20</formula>
    </cfRule>
    <cfRule type="cellIs" dxfId="1" priority="1158" operator="greaterThan">
      <formula>120</formula>
    </cfRule>
    <cfRule type="containsText" dxfId="2" priority="653" operator="between" text="库存为">
      <formula>NOT(ISERROR(SEARCH("库存为",AU338)))</formula>
    </cfRule>
  </conditionalFormatting>
  <conditionalFormatting sqref="AU339">
    <cfRule type="cellIs" dxfId="0" priority="1662" operator="lessThan">
      <formula>20</formula>
    </cfRule>
    <cfRule type="cellIs" dxfId="1" priority="1157" operator="greaterThan">
      <formula>120</formula>
    </cfRule>
    <cfRule type="containsText" dxfId="2" priority="652" operator="between" text="库存为">
      <formula>NOT(ISERROR(SEARCH("库存为",AU339)))</formula>
    </cfRule>
  </conditionalFormatting>
  <conditionalFormatting sqref="AU340">
    <cfRule type="cellIs" dxfId="0" priority="1661" operator="lessThan">
      <formula>20</formula>
    </cfRule>
    <cfRule type="cellIs" dxfId="1" priority="1156" operator="greaterThan">
      <formula>120</formula>
    </cfRule>
    <cfRule type="containsText" dxfId="2" priority="651" operator="between" text="库存为">
      <formula>NOT(ISERROR(SEARCH("库存为",AU340)))</formula>
    </cfRule>
  </conditionalFormatting>
  <conditionalFormatting sqref="AU341">
    <cfRule type="cellIs" dxfId="0" priority="1660" operator="lessThan">
      <formula>20</formula>
    </cfRule>
    <cfRule type="cellIs" dxfId="1" priority="1155" operator="greaterThan">
      <formula>120</formula>
    </cfRule>
    <cfRule type="containsText" dxfId="2" priority="650" operator="between" text="库存为">
      <formula>NOT(ISERROR(SEARCH("库存为",AU341)))</formula>
    </cfRule>
  </conditionalFormatting>
  <conditionalFormatting sqref="AU342">
    <cfRule type="cellIs" dxfId="0" priority="1659" operator="lessThan">
      <formula>20</formula>
    </cfRule>
    <cfRule type="cellIs" dxfId="1" priority="1154" operator="greaterThan">
      <formula>120</formula>
    </cfRule>
    <cfRule type="containsText" dxfId="2" priority="649" operator="between" text="库存为">
      <formula>NOT(ISERROR(SEARCH("库存为",AU342)))</formula>
    </cfRule>
  </conditionalFormatting>
  <conditionalFormatting sqref="AU343">
    <cfRule type="cellIs" dxfId="0" priority="1658" operator="lessThan">
      <formula>20</formula>
    </cfRule>
    <cfRule type="cellIs" dxfId="1" priority="1153" operator="greaterThan">
      <formula>120</formula>
    </cfRule>
    <cfRule type="containsText" dxfId="2" priority="648" operator="between" text="库存为">
      <formula>NOT(ISERROR(SEARCH("库存为",AU343)))</formula>
    </cfRule>
  </conditionalFormatting>
  <conditionalFormatting sqref="AU344">
    <cfRule type="cellIs" dxfId="0" priority="1657" operator="lessThan">
      <formula>20</formula>
    </cfRule>
    <cfRule type="cellIs" dxfId="1" priority="1152" operator="greaterThan">
      <formula>120</formula>
    </cfRule>
    <cfRule type="containsText" dxfId="2" priority="647" operator="between" text="库存为">
      <formula>NOT(ISERROR(SEARCH("库存为",AU344)))</formula>
    </cfRule>
  </conditionalFormatting>
  <conditionalFormatting sqref="AU345">
    <cfRule type="cellIs" dxfId="0" priority="1656" operator="lessThan">
      <formula>20</formula>
    </cfRule>
    <cfRule type="cellIs" dxfId="1" priority="1151" operator="greaterThan">
      <formula>120</formula>
    </cfRule>
    <cfRule type="containsText" dxfId="2" priority="646" operator="between" text="库存为">
      <formula>NOT(ISERROR(SEARCH("库存为",AU345)))</formula>
    </cfRule>
  </conditionalFormatting>
  <conditionalFormatting sqref="AU346">
    <cfRule type="cellIs" dxfId="0" priority="1655" operator="lessThan">
      <formula>20</formula>
    </cfRule>
    <cfRule type="cellIs" dxfId="1" priority="1150" operator="greaterThan">
      <formula>120</formula>
    </cfRule>
    <cfRule type="containsText" dxfId="2" priority="645" operator="between" text="库存为">
      <formula>NOT(ISERROR(SEARCH("库存为",AU346)))</formula>
    </cfRule>
  </conditionalFormatting>
  <conditionalFormatting sqref="AU347">
    <cfRule type="cellIs" dxfId="0" priority="1654" operator="lessThan">
      <formula>20</formula>
    </cfRule>
    <cfRule type="cellIs" dxfId="1" priority="1149" operator="greaterThan">
      <formula>120</formula>
    </cfRule>
    <cfRule type="containsText" dxfId="2" priority="644" operator="between" text="库存为">
      <formula>NOT(ISERROR(SEARCH("库存为",AU347)))</formula>
    </cfRule>
  </conditionalFormatting>
  <conditionalFormatting sqref="AU348">
    <cfRule type="cellIs" dxfId="0" priority="1653" operator="lessThan">
      <formula>20</formula>
    </cfRule>
    <cfRule type="cellIs" dxfId="1" priority="1148" operator="greaterThan">
      <formula>120</formula>
    </cfRule>
    <cfRule type="containsText" dxfId="2" priority="643" operator="between" text="库存为">
      <formula>NOT(ISERROR(SEARCH("库存为",AU348)))</formula>
    </cfRule>
  </conditionalFormatting>
  <conditionalFormatting sqref="AU349">
    <cfRule type="cellIs" dxfId="0" priority="1652" operator="lessThan">
      <formula>20</formula>
    </cfRule>
    <cfRule type="cellIs" dxfId="1" priority="1147" operator="greaterThan">
      <formula>120</formula>
    </cfRule>
    <cfRule type="containsText" dxfId="2" priority="642" operator="between" text="库存为">
      <formula>NOT(ISERROR(SEARCH("库存为",AU349)))</formula>
    </cfRule>
  </conditionalFormatting>
  <conditionalFormatting sqref="AU350">
    <cfRule type="cellIs" dxfId="0" priority="1651" operator="lessThan">
      <formula>20</formula>
    </cfRule>
    <cfRule type="cellIs" dxfId="1" priority="1146" operator="greaterThan">
      <formula>120</formula>
    </cfRule>
    <cfRule type="containsText" dxfId="2" priority="641" operator="between" text="库存为">
      <formula>NOT(ISERROR(SEARCH("库存为",AU350)))</formula>
    </cfRule>
  </conditionalFormatting>
  <conditionalFormatting sqref="AU351">
    <cfRule type="cellIs" dxfId="0" priority="1650" operator="lessThan">
      <formula>20</formula>
    </cfRule>
    <cfRule type="cellIs" dxfId="1" priority="1145" operator="greaterThan">
      <formula>120</formula>
    </cfRule>
    <cfRule type="containsText" dxfId="2" priority="640" operator="between" text="库存为">
      <formula>NOT(ISERROR(SEARCH("库存为",AU351)))</formula>
    </cfRule>
  </conditionalFormatting>
  <conditionalFormatting sqref="AU352">
    <cfRule type="cellIs" dxfId="0" priority="1649" operator="lessThan">
      <formula>20</formula>
    </cfRule>
    <cfRule type="cellIs" dxfId="1" priority="1144" operator="greaterThan">
      <formula>120</formula>
    </cfRule>
    <cfRule type="containsText" dxfId="2" priority="639" operator="between" text="库存为">
      <formula>NOT(ISERROR(SEARCH("库存为",AU352)))</formula>
    </cfRule>
  </conditionalFormatting>
  <conditionalFormatting sqref="AU353">
    <cfRule type="cellIs" dxfId="0" priority="1648" operator="lessThan">
      <formula>20</formula>
    </cfRule>
    <cfRule type="cellIs" dxfId="1" priority="1143" operator="greaterThan">
      <formula>120</formula>
    </cfRule>
    <cfRule type="containsText" dxfId="2" priority="638" operator="between" text="库存为">
      <formula>NOT(ISERROR(SEARCH("库存为",AU353)))</formula>
    </cfRule>
  </conditionalFormatting>
  <conditionalFormatting sqref="AU354">
    <cfRule type="cellIs" dxfId="0" priority="1647" operator="lessThan">
      <formula>20</formula>
    </cfRule>
    <cfRule type="cellIs" dxfId="1" priority="1142" operator="greaterThan">
      <formula>120</formula>
    </cfRule>
    <cfRule type="containsText" dxfId="2" priority="637" operator="between" text="库存为">
      <formula>NOT(ISERROR(SEARCH("库存为",AU354)))</formula>
    </cfRule>
  </conditionalFormatting>
  <conditionalFormatting sqref="AU355">
    <cfRule type="cellIs" dxfId="0" priority="1646" operator="lessThan">
      <formula>20</formula>
    </cfRule>
    <cfRule type="cellIs" dxfId="1" priority="1141" operator="greaterThan">
      <formula>120</formula>
    </cfRule>
    <cfRule type="containsText" dxfId="2" priority="636" operator="between" text="库存为">
      <formula>NOT(ISERROR(SEARCH("库存为",AU355)))</formula>
    </cfRule>
  </conditionalFormatting>
  <conditionalFormatting sqref="AU356">
    <cfRule type="cellIs" dxfId="0" priority="1645" operator="lessThan">
      <formula>20</formula>
    </cfRule>
    <cfRule type="cellIs" dxfId="1" priority="1140" operator="greaterThan">
      <formula>120</formula>
    </cfRule>
    <cfRule type="containsText" dxfId="2" priority="635" operator="between" text="库存为">
      <formula>NOT(ISERROR(SEARCH("库存为",AU356)))</formula>
    </cfRule>
  </conditionalFormatting>
  <conditionalFormatting sqref="AU357">
    <cfRule type="cellIs" dxfId="0" priority="1644" operator="lessThan">
      <formula>20</formula>
    </cfRule>
    <cfRule type="cellIs" dxfId="1" priority="1139" operator="greaterThan">
      <formula>120</formula>
    </cfRule>
    <cfRule type="containsText" dxfId="2" priority="634" operator="between" text="库存为">
      <formula>NOT(ISERROR(SEARCH("库存为",AU357)))</formula>
    </cfRule>
  </conditionalFormatting>
  <conditionalFormatting sqref="AU358">
    <cfRule type="cellIs" dxfId="0" priority="1643" operator="lessThan">
      <formula>20</formula>
    </cfRule>
    <cfRule type="cellIs" dxfId="1" priority="1138" operator="greaterThan">
      <formula>120</formula>
    </cfRule>
    <cfRule type="containsText" dxfId="2" priority="633" operator="between" text="库存为">
      <formula>NOT(ISERROR(SEARCH("库存为",AU358)))</formula>
    </cfRule>
  </conditionalFormatting>
  <conditionalFormatting sqref="AU359">
    <cfRule type="cellIs" dxfId="0" priority="1642" operator="lessThan">
      <formula>20</formula>
    </cfRule>
    <cfRule type="cellIs" dxfId="1" priority="1137" operator="greaterThan">
      <formula>120</formula>
    </cfRule>
    <cfRule type="containsText" dxfId="2" priority="632" operator="between" text="库存为">
      <formula>NOT(ISERROR(SEARCH("库存为",AU359)))</formula>
    </cfRule>
  </conditionalFormatting>
  <conditionalFormatting sqref="AU360">
    <cfRule type="cellIs" dxfId="0" priority="1641" operator="lessThan">
      <formula>20</formula>
    </cfRule>
    <cfRule type="cellIs" dxfId="1" priority="1136" operator="greaterThan">
      <formula>120</formula>
    </cfRule>
    <cfRule type="containsText" dxfId="2" priority="631" operator="between" text="库存为">
      <formula>NOT(ISERROR(SEARCH("库存为",AU360)))</formula>
    </cfRule>
  </conditionalFormatting>
  <conditionalFormatting sqref="AU361">
    <cfRule type="cellIs" dxfId="0" priority="1640" operator="lessThan">
      <formula>20</formula>
    </cfRule>
    <cfRule type="cellIs" dxfId="1" priority="1135" operator="greaterThan">
      <formula>120</formula>
    </cfRule>
    <cfRule type="containsText" dxfId="2" priority="630" operator="between" text="库存为">
      <formula>NOT(ISERROR(SEARCH("库存为",AU361)))</formula>
    </cfRule>
  </conditionalFormatting>
  <conditionalFormatting sqref="AU362">
    <cfRule type="cellIs" dxfId="0" priority="1639" operator="lessThan">
      <formula>20</formula>
    </cfRule>
    <cfRule type="cellIs" dxfId="1" priority="1134" operator="greaterThan">
      <formula>120</formula>
    </cfRule>
    <cfRule type="containsText" dxfId="2" priority="629" operator="between" text="库存为">
      <formula>NOT(ISERROR(SEARCH("库存为",AU362)))</formula>
    </cfRule>
  </conditionalFormatting>
  <conditionalFormatting sqref="AU363">
    <cfRule type="cellIs" dxfId="0" priority="1638" operator="lessThan">
      <formula>20</formula>
    </cfRule>
    <cfRule type="cellIs" dxfId="1" priority="1133" operator="greaterThan">
      <formula>120</formula>
    </cfRule>
    <cfRule type="containsText" dxfId="2" priority="628" operator="between" text="库存为">
      <formula>NOT(ISERROR(SEARCH("库存为",AU363)))</formula>
    </cfRule>
  </conditionalFormatting>
  <conditionalFormatting sqref="AU364">
    <cfRule type="cellIs" dxfId="0" priority="1637" operator="lessThan">
      <formula>20</formula>
    </cfRule>
    <cfRule type="cellIs" dxfId="1" priority="1132" operator="greaterThan">
      <formula>120</formula>
    </cfRule>
    <cfRule type="containsText" dxfId="2" priority="627" operator="between" text="库存为">
      <formula>NOT(ISERROR(SEARCH("库存为",AU364)))</formula>
    </cfRule>
  </conditionalFormatting>
  <conditionalFormatting sqref="AU365">
    <cfRule type="cellIs" dxfId="0" priority="1636" operator="lessThan">
      <formula>20</formula>
    </cfRule>
    <cfRule type="cellIs" dxfId="1" priority="1131" operator="greaterThan">
      <formula>120</formula>
    </cfRule>
    <cfRule type="containsText" dxfId="2" priority="626" operator="between" text="库存为">
      <formula>NOT(ISERROR(SEARCH("库存为",AU365)))</formula>
    </cfRule>
  </conditionalFormatting>
  <conditionalFormatting sqref="AU366">
    <cfRule type="cellIs" dxfId="0" priority="1635" operator="lessThan">
      <formula>20</formula>
    </cfRule>
    <cfRule type="cellIs" dxfId="1" priority="1130" operator="greaterThan">
      <formula>120</formula>
    </cfRule>
    <cfRule type="containsText" dxfId="2" priority="625" operator="between" text="库存为">
      <formula>NOT(ISERROR(SEARCH("库存为",AU366)))</formula>
    </cfRule>
  </conditionalFormatting>
  <conditionalFormatting sqref="AU367">
    <cfRule type="cellIs" dxfId="0" priority="1634" operator="lessThan">
      <formula>20</formula>
    </cfRule>
    <cfRule type="cellIs" dxfId="1" priority="1129" operator="greaterThan">
      <formula>120</formula>
    </cfRule>
    <cfRule type="containsText" dxfId="2" priority="624" operator="between" text="库存为">
      <formula>NOT(ISERROR(SEARCH("库存为",AU367)))</formula>
    </cfRule>
  </conditionalFormatting>
  <conditionalFormatting sqref="AU368">
    <cfRule type="cellIs" dxfId="0" priority="1633" operator="lessThan">
      <formula>20</formula>
    </cfRule>
    <cfRule type="cellIs" dxfId="1" priority="1128" operator="greaterThan">
      <formula>120</formula>
    </cfRule>
    <cfRule type="containsText" dxfId="2" priority="623" operator="between" text="库存为">
      <formula>NOT(ISERROR(SEARCH("库存为",AU368)))</formula>
    </cfRule>
  </conditionalFormatting>
  <conditionalFormatting sqref="AU369">
    <cfRule type="cellIs" dxfId="0" priority="1632" operator="lessThan">
      <formula>20</formula>
    </cfRule>
    <cfRule type="cellIs" dxfId="1" priority="1127" operator="greaterThan">
      <formula>120</formula>
    </cfRule>
    <cfRule type="containsText" dxfId="2" priority="622" operator="between" text="库存为">
      <formula>NOT(ISERROR(SEARCH("库存为",AU369)))</formula>
    </cfRule>
  </conditionalFormatting>
  <conditionalFormatting sqref="AU370">
    <cfRule type="cellIs" dxfId="0" priority="1631" operator="lessThan">
      <formula>20</formula>
    </cfRule>
    <cfRule type="cellIs" dxfId="1" priority="1126" operator="greaterThan">
      <formula>120</formula>
    </cfRule>
    <cfRule type="containsText" dxfId="2" priority="621" operator="between" text="库存为">
      <formula>NOT(ISERROR(SEARCH("库存为",AU370)))</formula>
    </cfRule>
  </conditionalFormatting>
  <conditionalFormatting sqref="AU371">
    <cfRule type="cellIs" dxfId="0" priority="1630" operator="lessThan">
      <formula>20</formula>
    </cfRule>
    <cfRule type="cellIs" dxfId="1" priority="1125" operator="greaterThan">
      <formula>120</formula>
    </cfRule>
    <cfRule type="containsText" dxfId="2" priority="620" operator="between" text="库存为">
      <formula>NOT(ISERROR(SEARCH("库存为",AU371)))</formula>
    </cfRule>
  </conditionalFormatting>
  <conditionalFormatting sqref="AU372">
    <cfRule type="cellIs" dxfId="0" priority="1629" operator="lessThan">
      <formula>20</formula>
    </cfRule>
    <cfRule type="cellIs" dxfId="1" priority="1124" operator="greaterThan">
      <formula>120</formula>
    </cfRule>
    <cfRule type="containsText" dxfId="2" priority="619" operator="between" text="库存为">
      <formula>NOT(ISERROR(SEARCH("库存为",AU372)))</formula>
    </cfRule>
  </conditionalFormatting>
  <conditionalFormatting sqref="AU373">
    <cfRule type="cellIs" dxfId="0" priority="1628" operator="lessThan">
      <formula>20</formula>
    </cfRule>
    <cfRule type="cellIs" dxfId="1" priority="1123" operator="greaterThan">
      <formula>120</formula>
    </cfRule>
    <cfRule type="containsText" dxfId="2" priority="618" operator="between" text="库存为">
      <formula>NOT(ISERROR(SEARCH("库存为",AU373)))</formula>
    </cfRule>
  </conditionalFormatting>
  <conditionalFormatting sqref="AU374">
    <cfRule type="cellIs" dxfId="0" priority="1627" operator="lessThan">
      <formula>20</formula>
    </cfRule>
    <cfRule type="cellIs" dxfId="1" priority="1122" operator="greaterThan">
      <formula>120</formula>
    </cfRule>
    <cfRule type="containsText" dxfId="2" priority="617" operator="between" text="库存为">
      <formula>NOT(ISERROR(SEARCH("库存为",AU374)))</formula>
    </cfRule>
  </conditionalFormatting>
  <conditionalFormatting sqref="AU375">
    <cfRule type="cellIs" dxfId="0" priority="1626" operator="lessThan">
      <formula>20</formula>
    </cfRule>
    <cfRule type="cellIs" dxfId="1" priority="1121" operator="greaterThan">
      <formula>120</formula>
    </cfRule>
    <cfRule type="containsText" dxfId="2" priority="616" operator="between" text="库存为">
      <formula>NOT(ISERROR(SEARCH("库存为",AU375)))</formula>
    </cfRule>
  </conditionalFormatting>
  <conditionalFormatting sqref="AU376">
    <cfRule type="cellIs" dxfId="0" priority="1625" operator="lessThan">
      <formula>20</formula>
    </cfRule>
    <cfRule type="cellIs" dxfId="1" priority="1120" operator="greaterThan">
      <formula>120</formula>
    </cfRule>
    <cfRule type="containsText" dxfId="2" priority="615" operator="between" text="库存为">
      <formula>NOT(ISERROR(SEARCH("库存为",AU376)))</formula>
    </cfRule>
  </conditionalFormatting>
  <conditionalFormatting sqref="AU377">
    <cfRule type="cellIs" dxfId="0" priority="1624" operator="lessThan">
      <formula>20</formula>
    </cfRule>
    <cfRule type="cellIs" dxfId="1" priority="1119" operator="greaterThan">
      <formula>120</formula>
    </cfRule>
    <cfRule type="containsText" dxfId="2" priority="614" operator="between" text="库存为">
      <formula>NOT(ISERROR(SEARCH("库存为",AU377)))</formula>
    </cfRule>
  </conditionalFormatting>
  <conditionalFormatting sqref="AU378">
    <cfRule type="cellIs" dxfId="0" priority="1623" operator="lessThan">
      <formula>20</formula>
    </cfRule>
    <cfRule type="cellIs" dxfId="1" priority="1118" operator="greaterThan">
      <formula>120</formula>
    </cfRule>
    <cfRule type="containsText" dxfId="2" priority="613" operator="between" text="库存为">
      <formula>NOT(ISERROR(SEARCH("库存为",AU378)))</formula>
    </cfRule>
  </conditionalFormatting>
  <conditionalFormatting sqref="AU379">
    <cfRule type="cellIs" dxfId="0" priority="1622" operator="lessThan">
      <formula>20</formula>
    </cfRule>
    <cfRule type="cellIs" dxfId="1" priority="1117" operator="greaterThan">
      <formula>120</formula>
    </cfRule>
    <cfRule type="containsText" dxfId="2" priority="612" operator="between" text="库存为">
      <formula>NOT(ISERROR(SEARCH("库存为",AU379)))</formula>
    </cfRule>
  </conditionalFormatting>
  <conditionalFormatting sqref="AU380">
    <cfRule type="cellIs" dxfId="0" priority="1621" operator="lessThan">
      <formula>20</formula>
    </cfRule>
    <cfRule type="cellIs" dxfId="1" priority="1116" operator="greaterThan">
      <formula>120</formula>
    </cfRule>
    <cfRule type="containsText" dxfId="2" priority="611" operator="between" text="库存为">
      <formula>NOT(ISERROR(SEARCH("库存为",AU380)))</formula>
    </cfRule>
  </conditionalFormatting>
  <conditionalFormatting sqref="AU381">
    <cfRule type="cellIs" dxfId="0" priority="1620" operator="lessThan">
      <formula>20</formula>
    </cfRule>
    <cfRule type="cellIs" dxfId="1" priority="1115" operator="greaterThan">
      <formula>120</formula>
    </cfRule>
    <cfRule type="containsText" dxfId="2" priority="610" operator="between" text="库存为">
      <formula>NOT(ISERROR(SEARCH("库存为",AU381)))</formula>
    </cfRule>
  </conditionalFormatting>
  <conditionalFormatting sqref="AU382">
    <cfRule type="cellIs" dxfId="0" priority="1619" operator="lessThan">
      <formula>20</formula>
    </cfRule>
    <cfRule type="cellIs" dxfId="1" priority="1114" operator="greaterThan">
      <formula>120</formula>
    </cfRule>
    <cfRule type="containsText" dxfId="2" priority="609" operator="between" text="库存为">
      <formula>NOT(ISERROR(SEARCH("库存为",AU382)))</formula>
    </cfRule>
  </conditionalFormatting>
  <conditionalFormatting sqref="AU383">
    <cfRule type="cellIs" dxfId="0" priority="1618" operator="lessThan">
      <formula>20</formula>
    </cfRule>
    <cfRule type="cellIs" dxfId="1" priority="1113" operator="greaterThan">
      <formula>120</formula>
    </cfRule>
    <cfRule type="containsText" dxfId="2" priority="608" operator="between" text="库存为">
      <formula>NOT(ISERROR(SEARCH("库存为",AU383)))</formula>
    </cfRule>
  </conditionalFormatting>
  <conditionalFormatting sqref="AU384">
    <cfRule type="cellIs" dxfId="0" priority="1617" operator="lessThan">
      <formula>20</formula>
    </cfRule>
    <cfRule type="cellIs" dxfId="1" priority="1112" operator="greaterThan">
      <formula>120</formula>
    </cfRule>
    <cfRule type="containsText" dxfId="2" priority="607" operator="between" text="库存为">
      <formula>NOT(ISERROR(SEARCH("库存为",AU384)))</formula>
    </cfRule>
  </conditionalFormatting>
  <conditionalFormatting sqref="AU385">
    <cfRule type="cellIs" dxfId="0" priority="1616" operator="lessThan">
      <formula>20</formula>
    </cfRule>
    <cfRule type="cellIs" dxfId="1" priority="1111" operator="greaterThan">
      <formula>120</formula>
    </cfRule>
    <cfRule type="containsText" dxfId="2" priority="606" operator="between" text="库存为">
      <formula>NOT(ISERROR(SEARCH("库存为",AU385)))</formula>
    </cfRule>
  </conditionalFormatting>
  <conditionalFormatting sqref="AU386">
    <cfRule type="cellIs" dxfId="0" priority="1615" operator="lessThan">
      <formula>20</formula>
    </cfRule>
    <cfRule type="cellIs" dxfId="1" priority="1110" operator="greaterThan">
      <formula>120</formula>
    </cfRule>
    <cfRule type="containsText" dxfId="2" priority="605" operator="between" text="库存为">
      <formula>NOT(ISERROR(SEARCH("库存为",AU386)))</formula>
    </cfRule>
  </conditionalFormatting>
  <conditionalFormatting sqref="AU387">
    <cfRule type="cellIs" dxfId="0" priority="1614" operator="lessThan">
      <formula>20</formula>
    </cfRule>
    <cfRule type="cellIs" dxfId="1" priority="1109" operator="greaterThan">
      <formula>120</formula>
    </cfRule>
    <cfRule type="containsText" dxfId="2" priority="604" operator="between" text="库存为">
      <formula>NOT(ISERROR(SEARCH("库存为",AU387)))</formula>
    </cfRule>
  </conditionalFormatting>
  <conditionalFormatting sqref="AU388">
    <cfRule type="cellIs" dxfId="0" priority="1613" operator="lessThan">
      <formula>20</formula>
    </cfRule>
    <cfRule type="cellIs" dxfId="1" priority="1108" operator="greaterThan">
      <formula>120</formula>
    </cfRule>
    <cfRule type="containsText" dxfId="2" priority="603" operator="between" text="库存为">
      <formula>NOT(ISERROR(SEARCH("库存为",AU388)))</formula>
    </cfRule>
  </conditionalFormatting>
  <conditionalFormatting sqref="AU389">
    <cfRule type="cellIs" dxfId="0" priority="1612" operator="lessThan">
      <formula>20</formula>
    </cfRule>
    <cfRule type="cellIs" dxfId="1" priority="1107" operator="greaterThan">
      <formula>120</formula>
    </cfRule>
    <cfRule type="containsText" dxfId="2" priority="602" operator="between" text="库存为">
      <formula>NOT(ISERROR(SEARCH("库存为",AU389)))</formula>
    </cfRule>
  </conditionalFormatting>
  <conditionalFormatting sqref="AU390">
    <cfRule type="cellIs" dxfId="0" priority="1611" operator="lessThan">
      <formula>20</formula>
    </cfRule>
    <cfRule type="cellIs" dxfId="1" priority="1106" operator="greaterThan">
      <formula>120</formula>
    </cfRule>
    <cfRule type="containsText" dxfId="2" priority="601" operator="between" text="库存为">
      <formula>NOT(ISERROR(SEARCH("库存为",AU390)))</formula>
    </cfRule>
  </conditionalFormatting>
  <conditionalFormatting sqref="AU391">
    <cfRule type="cellIs" dxfId="0" priority="1610" operator="lessThan">
      <formula>20</formula>
    </cfRule>
    <cfRule type="cellIs" dxfId="1" priority="1105" operator="greaterThan">
      <formula>120</formula>
    </cfRule>
    <cfRule type="containsText" dxfId="2" priority="600" operator="between" text="库存为">
      <formula>NOT(ISERROR(SEARCH("库存为",AU391)))</formula>
    </cfRule>
  </conditionalFormatting>
  <conditionalFormatting sqref="AU392">
    <cfRule type="cellIs" dxfId="0" priority="1609" operator="lessThan">
      <formula>20</formula>
    </cfRule>
    <cfRule type="cellIs" dxfId="1" priority="1104" operator="greaterThan">
      <formula>120</formula>
    </cfRule>
    <cfRule type="containsText" dxfId="2" priority="599" operator="between" text="库存为">
      <formula>NOT(ISERROR(SEARCH("库存为",AU392)))</formula>
    </cfRule>
  </conditionalFormatting>
  <conditionalFormatting sqref="AU393">
    <cfRule type="cellIs" dxfId="0" priority="1608" operator="lessThan">
      <formula>20</formula>
    </cfRule>
    <cfRule type="cellIs" dxfId="1" priority="1103" operator="greaterThan">
      <formula>120</formula>
    </cfRule>
    <cfRule type="containsText" dxfId="2" priority="598" operator="between" text="库存为">
      <formula>NOT(ISERROR(SEARCH("库存为",AU393)))</formula>
    </cfRule>
  </conditionalFormatting>
  <conditionalFormatting sqref="AU394">
    <cfRule type="cellIs" dxfId="0" priority="1607" operator="lessThan">
      <formula>20</formula>
    </cfRule>
    <cfRule type="cellIs" dxfId="1" priority="1102" operator="greaterThan">
      <formula>120</formula>
    </cfRule>
    <cfRule type="containsText" dxfId="2" priority="597" operator="between" text="库存为">
      <formula>NOT(ISERROR(SEARCH("库存为",AU394)))</formula>
    </cfRule>
  </conditionalFormatting>
  <conditionalFormatting sqref="AU395">
    <cfRule type="cellIs" dxfId="0" priority="1606" operator="lessThan">
      <formula>20</formula>
    </cfRule>
    <cfRule type="cellIs" dxfId="1" priority="1101" operator="greaterThan">
      <formula>120</formula>
    </cfRule>
    <cfRule type="containsText" dxfId="2" priority="596" operator="between" text="库存为">
      <formula>NOT(ISERROR(SEARCH("库存为",AU395)))</formula>
    </cfRule>
  </conditionalFormatting>
  <conditionalFormatting sqref="AU396">
    <cfRule type="cellIs" dxfId="0" priority="1605" operator="lessThan">
      <formula>20</formula>
    </cfRule>
    <cfRule type="cellIs" dxfId="1" priority="1100" operator="greaterThan">
      <formula>120</formula>
    </cfRule>
    <cfRule type="containsText" dxfId="2" priority="595" operator="between" text="库存为">
      <formula>NOT(ISERROR(SEARCH("库存为",AU396)))</formula>
    </cfRule>
  </conditionalFormatting>
  <conditionalFormatting sqref="AU397">
    <cfRule type="cellIs" dxfId="0" priority="1604" operator="lessThan">
      <formula>20</formula>
    </cfRule>
    <cfRule type="cellIs" dxfId="1" priority="1099" operator="greaterThan">
      <formula>120</formula>
    </cfRule>
    <cfRule type="containsText" dxfId="2" priority="594" operator="between" text="库存为">
      <formula>NOT(ISERROR(SEARCH("库存为",AU397)))</formula>
    </cfRule>
  </conditionalFormatting>
  <conditionalFormatting sqref="AU398">
    <cfRule type="cellIs" dxfId="0" priority="1603" operator="lessThan">
      <formula>20</formula>
    </cfRule>
    <cfRule type="cellIs" dxfId="1" priority="1098" operator="greaterThan">
      <formula>120</formula>
    </cfRule>
    <cfRule type="containsText" dxfId="2" priority="593" operator="between" text="库存为">
      <formula>NOT(ISERROR(SEARCH("库存为",AU398)))</formula>
    </cfRule>
  </conditionalFormatting>
  <conditionalFormatting sqref="AU399">
    <cfRule type="cellIs" dxfId="0" priority="1602" operator="lessThan">
      <formula>20</formula>
    </cfRule>
    <cfRule type="cellIs" dxfId="1" priority="1097" operator="greaterThan">
      <formula>120</formula>
    </cfRule>
    <cfRule type="containsText" dxfId="2" priority="592" operator="between" text="库存为">
      <formula>NOT(ISERROR(SEARCH("库存为",AU399)))</formula>
    </cfRule>
  </conditionalFormatting>
  <conditionalFormatting sqref="AU400">
    <cfRule type="cellIs" dxfId="0" priority="1601" operator="lessThan">
      <formula>20</formula>
    </cfRule>
    <cfRule type="cellIs" dxfId="1" priority="1096" operator="greaterThan">
      <formula>120</formula>
    </cfRule>
    <cfRule type="containsText" dxfId="2" priority="591" operator="between" text="库存为">
      <formula>NOT(ISERROR(SEARCH("库存为",AU400)))</formula>
    </cfRule>
  </conditionalFormatting>
  <conditionalFormatting sqref="AU401">
    <cfRule type="cellIs" dxfId="0" priority="1600" operator="lessThan">
      <formula>20</formula>
    </cfRule>
    <cfRule type="cellIs" dxfId="1" priority="1095" operator="greaterThan">
      <formula>120</formula>
    </cfRule>
    <cfRule type="containsText" dxfId="2" priority="590" operator="between" text="库存为">
      <formula>NOT(ISERROR(SEARCH("库存为",AU401)))</formula>
    </cfRule>
  </conditionalFormatting>
  <conditionalFormatting sqref="AU402">
    <cfRule type="cellIs" dxfId="0" priority="1599" operator="lessThan">
      <formula>20</formula>
    </cfRule>
    <cfRule type="cellIs" dxfId="1" priority="1094" operator="greaterThan">
      <formula>120</formula>
    </cfRule>
    <cfRule type="containsText" dxfId="2" priority="589" operator="between" text="库存为">
      <formula>NOT(ISERROR(SEARCH("库存为",AU402)))</formula>
    </cfRule>
  </conditionalFormatting>
  <conditionalFormatting sqref="AU403">
    <cfRule type="cellIs" dxfId="0" priority="1598" operator="lessThan">
      <formula>20</formula>
    </cfRule>
    <cfRule type="cellIs" dxfId="1" priority="1093" operator="greaterThan">
      <formula>120</formula>
    </cfRule>
    <cfRule type="containsText" dxfId="2" priority="588" operator="between" text="库存为">
      <formula>NOT(ISERROR(SEARCH("库存为",AU403)))</formula>
    </cfRule>
  </conditionalFormatting>
  <conditionalFormatting sqref="AU404">
    <cfRule type="cellIs" dxfId="0" priority="1597" operator="lessThan">
      <formula>20</formula>
    </cfRule>
    <cfRule type="cellIs" dxfId="1" priority="1092" operator="greaterThan">
      <formula>120</formula>
    </cfRule>
    <cfRule type="containsText" dxfId="2" priority="587" operator="between" text="库存为">
      <formula>NOT(ISERROR(SEARCH("库存为",AU404)))</formula>
    </cfRule>
  </conditionalFormatting>
  <conditionalFormatting sqref="AU405">
    <cfRule type="cellIs" dxfId="0" priority="1596" operator="lessThan">
      <formula>20</formula>
    </cfRule>
    <cfRule type="cellIs" dxfId="1" priority="1091" operator="greaterThan">
      <formula>120</formula>
    </cfRule>
    <cfRule type="containsText" dxfId="2" priority="586" operator="between" text="库存为">
      <formula>NOT(ISERROR(SEARCH("库存为",AU405)))</formula>
    </cfRule>
  </conditionalFormatting>
  <conditionalFormatting sqref="AU406">
    <cfRule type="cellIs" dxfId="0" priority="1595" operator="lessThan">
      <formula>20</formula>
    </cfRule>
    <cfRule type="cellIs" dxfId="1" priority="1090" operator="greaterThan">
      <formula>120</formula>
    </cfRule>
    <cfRule type="containsText" dxfId="2" priority="585" operator="between" text="库存为">
      <formula>NOT(ISERROR(SEARCH("库存为",AU406)))</formula>
    </cfRule>
  </conditionalFormatting>
  <conditionalFormatting sqref="AU407">
    <cfRule type="cellIs" dxfId="0" priority="1594" operator="lessThan">
      <formula>20</formula>
    </cfRule>
    <cfRule type="cellIs" dxfId="1" priority="1089" operator="greaterThan">
      <formula>120</formula>
    </cfRule>
    <cfRule type="containsText" dxfId="2" priority="584" operator="between" text="库存为">
      <formula>NOT(ISERROR(SEARCH("库存为",AU407)))</formula>
    </cfRule>
  </conditionalFormatting>
  <conditionalFormatting sqref="AU408">
    <cfRule type="cellIs" dxfId="0" priority="1593" operator="lessThan">
      <formula>20</formula>
    </cfRule>
    <cfRule type="cellIs" dxfId="1" priority="1088" operator="greaterThan">
      <formula>120</formula>
    </cfRule>
    <cfRule type="containsText" dxfId="2" priority="583" operator="between" text="库存为">
      <formula>NOT(ISERROR(SEARCH("库存为",AU408)))</formula>
    </cfRule>
  </conditionalFormatting>
  <conditionalFormatting sqref="AU409">
    <cfRule type="cellIs" dxfId="0" priority="1592" operator="lessThan">
      <formula>20</formula>
    </cfRule>
    <cfRule type="cellIs" dxfId="1" priority="1087" operator="greaterThan">
      <formula>120</formula>
    </cfRule>
    <cfRule type="containsText" dxfId="2" priority="582" operator="between" text="库存为">
      <formula>NOT(ISERROR(SEARCH("库存为",AU409)))</formula>
    </cfRule>
  </conditionalFormatting>
  <conditionalFormatting sqref="AU410">
    <cfRule type="cellIs" dxfId="0" priority="1591" operator="lessThan">
      <formula>20</formula>
    </cfRule>
    <cfRule type="cellIs" dxfId="1" priority="1086" operator="greaterThan">
      <formula>120</formula>
    </cfRule>
    <cfRule type="containsText" dxfId="2" priority="581" operator="between" text="库存为">
      <formula>NOT(ISERROR(SEARCH("库存为",AU410)))</formula>
    </cfRule>
  </conditionalFormatting>
  <conditionalFormatting sqref="AU411">
    <cfRule type="cellIs" dxfId="0" priority="1590" operator="lessThan">
      <formula>20</formula>
    </cfRule>
    <cfRule type="cellIs" dxfId="1" priority="1085" operator="greaterThan">
      <formula>120</formula>
    </cfRule>
    <cfRule type="containsText" dxfId="2" priority="580" operator="between" text="库存为">
      <formula>NOT(ISERROR(SEARCH("库存为",AU411)))</formula>
    </cfRule>
  </conditionalFormatting>
  <conditionalFormatting sqref="AU412">
    <cfRule type="cellIs" dxfId="0" priority="1589" operator="lessThan">
      <formula>20</formula>
    </cfRule>
    <cfRule type="cellIs" dxfId="1" priority="1084" operator="greaterThan">
      <formula>120</formula>
    </cfRule>
    <cfRule type="containsText" dxfId="2" priority="579" operator="between" text="库存为">
      <formula>NOT(ISERROR(SEARCH("库存为",AU412)))</formula>
    </cfRule>
  </conditionalFormatting>
  <conditionalFormatting sqref="AU413">
    <cfRule type="cellIs" dxfId="0" priority="1588" operator="lessThan">
      <formula>20</formula>
    </cfRule>
    <cfRule type="cellIs" dxfId="1" priority="1083" operator="greaterThan">
      <formula>120</formula>
    </cfRule>
    <cfRule type="containsText" dxfId="2" priority="578" operator="between" text="库存为">
      <formula>NOT(ISERROR(SEARCH("库存为",AU413)))</formula>
    </cfRule>
  </conditionalFormatting>
  <conditionalFormatting sqref="AU414">
    <cfRule type="cellIs" dxfId="0" priority="1587" operator="lessThan">
      <formula>20</formula>
    </cfRule>
    <cfRule type="cellIs" dxfId="1" priority="1082" operator="greaterThan">
      <formula>120</formula>
    </cfRule>
    <cfRule type="containsText" dxfId="2" priority="577" operator="between" text="库存为">
      <formula>NOT(ISERROR(SEARCH("库存为",AU414)))</formula>
    </cfRule>
  </conditionalFormatting>
  <conditionalFormatting sqref="AU415">
    <cfRule type="cellIs" dxfId="0" priority="1586" operator="lessThan">
      <formula>20</formula>
    </cfRule>
    <cfRule type="cellIs" dxfId="1" priority="1081" operator="greaterThan">
      <formula>120</formula>
    </cfRule>
    <cfRule type="containsText" dxfId="2" priority="576" operator="between" text="库存为">
      <formula>NOT(ISERROR(SEARCH("库存为",AU415)))</formula>
    </cfRule>
  </conditionalFormatting>
  <conditionalFormatting sqref="AU416">
    <cfRule type="cellIs" dxfId="0" priority="1585" operator="lessThan">
      <formula>20</formula>
    </cfRule>
    <cfRule type="cellIs" dxfId="1" priority="1080" operator="greaterThan">
      <formula>120</formula>
    </cfRule>
    <cfRule type="containsText" dxfId="2" priority="575" operator="between" text="库存为">
      <formula>NOT(ISERROR(SEARCH("库存为",AU416)))</formula>
    </cfRule>
  </conditionalFormatting>
  <conditionalFormatting sqref="AU417">
    <cfRule type="cellIs" dxfId="0" priority="1584" operator="lessThan">
      <formula>20</formula>
    </cfRule>
    <cfRule type="cellIs" dxfId="1" priority="1079" operator="greaterThan">
      <formula>120</formula>
    </cfRule>
    <cfRule type="containsText" dxfId="2" priority="574" operator="between" text="库存为">
      <formula>NOT(ISERROR(SEARCH("库存为",AU417)))</formula>
    </cfRule>
  </conditionalFormatting>
  <conditionalFormatting sqref="AU418">
    <cfRule type="cellIs" dxfId="0" priority="1583" operator="lessThan">
      <formula>20</formula>
    </cfRule>
    <cfRule type="cellIs" dxfId="1" priority="1078" operator="greaterThan">
      <formula>120</formula>
    </cfRule>
    <cfRule type="containsText" dxfId="2" priority="573" operator="between" text="库存为">
      <formula>NOT(ISERROR(SEARCH("库存为",AU418)))</formula>
    </cfRule>
  </conditionalFormatting>
  <conditionalFormatting sqref="AU419">
    <cfRule type="cellIs" dxfId="0" priority="1582" operator="lessThan">
      <formula>20</formula>
    </cfRule>
    <cfRule type="cellIs" dxfId="1" priority="1077" operator="greaterThan">
      <formula>120</formula>
    </cfRule>
    <cfRule type="containsText" dxfId="2" priority="572" operator="between" text="库存为">
      <formula>NOT(ISERROR(SEARCH("库存为",AU419)))</formula>
    </cfRule>
  </conditionalFormatting>
  <conditionalFormatting sqref="AU420">
    <cfRule type="cellIs" dxfId="0" priority="1581" operator="lessThan">
      <formula>20</formula>
    </cfRule>
    <cfRule type="cellIs" dxfId="1" priority="1076" operator="greaterThan">
      <formula>120</formula>
    </cfRule>
    <cfRule type="containsText" dxfId="2" priority="571" operator="between" text="库存为">
      <formula>NOT(ISERROR(SEARCH("库存为",AU420)))</formula>
    </cfRule>
  </conditionalFormatting>
  <conditionalFormatting sqref="AU421">
    <cfRule type="cellIs" dxfId="0" priority="1580" operator="lessThan">
      <formula>20</formula>
    </cfRule>
    <cfRule type="cellIs" dxfId="1" priority="1075" operator="greaterThan">
      <formula>120</formula>
    </cfRule>
    <cfRule type="containsText" dxfId="2" priority="570" operator="between" text="库存为">
      <formula>NOT(ISERROR(SEARCH("库存为",AU421)))</formula>
    </cfRule>
  </conditionalFormatting>
  <conditionalFormatting sqref="AU422">
    <cfRule type="cellIs" dxfId="0" priority="1579" operator="lessThan">
      <formula>20</formula>
    </cfRule>
    <cfRule type="cellIs" dxfId="1" priority="1074" operator="greaterThan">
      <formula>120</formula>
    </cfRule>
    <cfRule type="containsText" dxfId="2" priority="569" operator="between" text="库存为">
      <formula>NOT(ISERROR(SEARCH("库存为",AU422)))</formula>
    </cfRule>
  </conditionalFormatting>
  <conditionalFormatting sqref="AU423">
    <cfRule type="cellIs" dxfId="0" priority="1578" operator="lessThan">
      <formula>20</formula>
    </cfRule>
    <cfRule type="cellIs" dxfId="1" priority="1073" operator="greaterThan">
      <formula>120</formula>
    </cfRule>
    <cfRule type="containsText" dxfId="2" priority="568" operator="between" text="库存为">
      <formula>NOT(ISERROR(SEARCH("库存为",AU423)))</formula>
    </cfRule>
  </conditionalFormatting>
  <conditionalFormatting sqref="AU424">
    <cfRule type="cellIs" dxfId="0" priority="1577" operator="lessThan">
      <formula>20</formula>
    </cfRule>
    <cfRule type="cellIs" dxfId="1" priority="1072" operator="greaterThan">
      <formula>120</formula>
    </cfRule>
    <cfRule type="containsText" dxfId="2" priority="567" operator="between" text="库存为">
      <formula>NOT(ISERROR(SEARCH("库存为",AU424)))</formula>
    </cfRule>
  </conditionalFormatting>
  <conditionalFormatting sqref="AU425">
    <cfRule type="cellIs" dxfId="0" priority="1576" operator="lessThan">
      <formula>20</formula>
    </cfRule>
    <cfRule type="cellIs" dxfId="1" priority="1071" operator="greaterThan">
      <formula>120</formula>
    </cfRule>
    <cfRule type="containsText" dxfId="2" priority="566" operator="between" text="库存为">
      <formula>NOT(ISERROR(SEARCH("库存为",AU425)))</formula>
    </cfRule>
  </conditionalFormatting>
  <conditionalFormatting sqref="AU426">
    <cfRule type="cellIs" dxfId="0" priority="1575" operator="lessThan">
      <formula>20</formula>
    </cfRule>
    <cfRule type="cellIs" dxfId="1" priority="1070" operator="greaterThan">
      <formula>120</formula>
    </cfRule>
    <cfRule type="containsText" dxfId="2" priority="565" operator="between" text="库存为">
      <formula>NOT(ISERROR(SEARCH("库存为",AU426)))</formula>
    </cfRule>
  </conditionalFormatting>
  <conditionalFormatting sqref="AU427">
    <cfRule type="cellIs" dxfId="0" priority="1574" operator="lessThan">
      <formula>20</formula>
    </cfRule>
    <cfRule type="cellIs" dxfId="1" priority="1069" operator="greaterThan">
      <formula>120</formula>
    </cfRule>
    <cfRule type="containsText" dxfId="2" priority="564" operator="between" text="库存为">
      <formula>NOT(ISERROR(SEARCH("库存为",AU427)))</formula>
    </cfRule>
  </conditionalFormatting>
  <conditionalFormatting sqref="AU428">
    <cfRule type="cellIs" dxfId="0" priority="1573" operator="lessThan">
      <formula>20</formula>
    </cfRule>
    <cfRule type="cellIs" dxfId="1" priority="1068" operator="greaterThan">
      <formula>120</formula>
    </cfRule>
    <cfRule type="containsText" dxfId="2" priority="563" operator="between" text="库存为">
      <formula>NOT(ISERROR(SEARCH("库存为",AU428)))</formula>
    </cfRule>
  </conditionalFormatting>
  <conditionalFormatting sqref="AU429">
    <cfRule type="cellIs" dxfId="0" priority="1572" operator="lessThan">
      <formula>20</formula>
    </cfRule>
    <cfRule type="cellIs" dxfId="1" priority="1067" operator="greaterThan">
      <formula>120</formula>
    </cfRule>
    <cfRule type="containsText" dxfId="2" priority="562" operator="between" text="库存为">
      <formula>NOT(ISERROR(SEARCH("库存为",AU429)))</formula>
    </cfRule>
  </conditionalFormatting>
  <conditionalFormatting sqref="AU430">
    <cfRule type="cellIs" dxfId="0" priority="1571" operator="lessThan">
      <formula>20</formula>
    </cfRule>
    <cfRule type="cellIs" dxfId="1" priority="1066" operator="greaterThan">
      <formula>120</formula>
    </cfRule>
    <cfRule type="containsText" dxfId="2" priority="561" operator="between" text="库存为">
      <formula>NOT(ISERROR(SEARCH("库存为",AU430)))</formula>
    </cfRule>
  </conditionalFormatting>
  <conditionalFormatting sqref="AU431">
    <cfRule type="cellIs" dxfId="0" priority="1570" operator="lessThan">
      <formula>20</formula>
    </cfRule>
    <cfRule type="cellIs" dxfId="1" priority="1065" operator="greaterThan">
      <formula>120</formula>
    </cfRule>
    <cfRule type="containsText" dxfId="2" priority="560" operator="between" text="库存为">
      <formula>NOT(ISERROR(SEARCH("库存为",AU431)))</formula>
    </cfRule>
  </conditionalFormatting>
  <conditionalFormatting sqref="AU432">
    <cfRule type="cellIs" dxfId="0" priority="1569" operator="lessThan">
      <formula>20</formula>
    </cfRule>
    <cfRule type="cellIs" dxfId="1" priority="1064" operator="greaterThan">
      <formula>120</formula>
    </cfRule>
    <cfRule type="containsText" dxfId="2" priority="559" operator="between" text="库存为">
      <formula>NOT(ISERROR(SEARCH("库存为",AU432)))</formula>
    </cfRule>
  </conditionalFormatting>
  <conditionalFormatting sqref="AU433">
    <cfRule type="cellIs" dxfId="0" priority="1568" operator="lessThan">
      <formula>20</formula>
    </cfRule>
    <cfRule type="cellIs" dxfId="1" priority="1063" operator="greaterThan">
      <formula>120</formula>
    </cfRule>
    <cfRule type="containsText" dxfId="2" priority="558" operator="between" text="库存为">
      <formula>NOT(ISERROR(SEARCH("库存为",AU433)))</formula>
    </cfRule>
  </conditionalFormatting>
  <conditionalFormatting sqref="AU434">
    <cfRule type="cellIs" dxfId="0" priority="1567" operator="lessThan">
      <formula>20</formula>
    </cfRule>
    <cfRule type="cellIs" dxfId="1" priority="1062" operator="greaterThan">
      <formula>120</formula>
    </cfRule>
    <cfRule type="containsText" dxfId="2" priority="557" operator="between" text="库存为">
      <formula>NOT(ISERROR(SEARCH("库存为",AU434)))</formula>
    </cfRule>
  </conditionalFormatting>
  <conditionalFormatting sqref="AU435">
    <cfRule type="cellIs" dxfId="0" priority="1566" operator="lessThan">
      <formula>20</formula>
    </cfRule>
    <cfRule type="cellIs" dxfId="1" priority="1061" operator="greaterThan">
      <formula>120</formula>
    </cfRule>
    <cfRule type="containsText" dxfId="2" priority="556" operator="between" text="库存为">
      <formula>NOT(ISERROR(SEARCH("库存为",AU435)))</formula>
    </cfRule>
  </conditionalFormatting>
  <conditionalFormatting sqref="AU436">
    <cfRule type="cellIs" dxfId="0" priority="1565" operator="lessThan">
      <formula>20</formula>
    </cfRule>
    <cfRule type="cellIs" dxfId="1" priority="1060" operator="greaterThan">
      <formula>120</formula>
    </cfRule>
    <cfRule type="containsText" dxfId="2" priority="555" operator="between" text="库存为">
      <formula>NOT(ISERROR(SEARCH("库存为",AU436)))</formula>
    </cfRule>
  </conditionalFormatting>
  <conditionalFormatting sqref="AU437">
    <cfRule type="cellIs" dxfId="0" priority="1564" operator="lessThan">
      <formula>20</formula>
    </cfRule>
    <cfRule type="cellIs" dxfId="1" priority="1059" operator="greaterThan">
      <formula>120</formula>
    </cfRule>
    <cfRule type="containsText" dxfId="2" priority="554" operator="between" text="库存为">
      <formula>NOT(ISERROR(SEARCH("库存为",AU437)))</formula>
    </cfRule>
  </conditionalFormatting>
  <conditionalFormatting sqref="AU438">
    <cfRule type="cellIs" dxfId="0" priority="1563" operator="lessThan">
      <formula>20</formula>
    </cfRule>
    <cfRule type="cellIs" dxfId="1" priority="1058" operator="greaterThan">
      <formula>120</formula>
    </cfRule>
    <cfRule type="containsText" dxfId="2" priority="553" operator="between" text="库存为">
      <formula>NOT(ISERROR(SEARCH("库存为",AU438)))</formula>
    </cfRule>
  </conditionalFormatting>
  <conditionalFormatting sqref="AU439">
    <cfRule type="cellIs" dxfId="0" priority="1562" operator="lessThan">
      <formula>20</formula>
    </cfRule>
    <cfRule type="cellIs" dxfId="1" priority="1057" operator="greaterThan">
      <formula>120</formula>
    </cfRule>
    <cfRule type="containsText" dxfId="2" priority="552" operator="between" text="库存为">
      <formula>NOT(ISERROR(SEARCH("库存为",AU439)))</formula>
    </cfRule>
  </conditionalFormatting>
  <conditionalFormatting sqref="AU440">
    <cfRule type="cellIs" dxfId="0" priority="1561" operator="lessThan">
      <formula>20</formula>
    </cfRule>
    <cfRule type="cellIs" dxfId="1" priority="1056" operator="greaterThan">
      <formula>120</formula>
    </cfRule>
    <cfRule type="containsText" dxfId="2" priority="551" operator="between" text="库存为">
      <formula>NOT(ISERROR(SEARCH("库存为",AU440)))</formula>
    </cfRule>
  </conditionalFormatting>
  <conditionalFormatting sqref="AU441">
    <cfRule type="cellIs" dxfId="0" priority="1560" operator="lessThan">
      <formula>20</formula>
    </cfRule>
    <cfRule type="cellIs" dxfId="1" priority="1055" operator="greaterThan">
      <formula>120</formula>
    </cfRule>
    <cfRule type="containsText" dxfId="2" priority="550" operator="between" text="库存为">
      <formula>NOT(ISERROR(SEARCH("库存为",AU441)))</formula>
    </cfRule>
  </conditionalFormatting>
  <conditionalFormatting sqref="AU442">
    <cfRule type="cellIs" dxfId="0" priority="1559" operator="lessThan">
      <formula>20</formula>
    </cfRule>
    <cfRule type="cellIs" dxfId="1" priority="1054" operator="greaterThan">
      <formula>120</formula>
    </cfRule>
    <cfRule type="containsText" dxfId="2" priority="549" operator="between" text="库存为">
      <formula>NOT(ISERROR(SEARCH("库存为",AU442)))</formula>
    </cfRule>
  </conditionalFormatting>
  <conditionalFormatting sqref="AU443">
    <cfRule type="cellIs" dxfId="0" priority="1558" operator="lessThan">
      <formula>20</formula>
    </cfRule>
    <cfRule type="cellIs" dxfId="1" priority="1053" operator="greaterThan">
      <formula>120</formula>
    </cfRule>
    <cfRule type="containsText" dxfId="2" priority="548" operator="between" text="库存为">
      <formula>NOT(ISERROR(SEARCH("库存为",AU443)))</formula>
    </cfRule>
  </conditionalFormatting>
  <conditionalFormatting sqref="AU444">
    <cfRule type="cellIs" dxfId="0" priority="1557" operator="lessThan">
      <formula>20</formula>
    </cfRule>
    <cfRule type="cellIs" dxfId="1" priority="1052" operator="greaterThan">
      <formula>120</formula>
    </cfRule>
    <cfRule type="containsText" dxfId="2" priority="547" operator="between" text="库存为">
      <formula>NOT(ISERROR(SEARCH("库存为",AU444)))</formula>
    </cfRule>
  </conditionalFormatting>
  <conditionalFormatting sqref="AU445">
    <cfRule type="cellIs" dxfId="0" priority="1556" operator="lessThan">
      <formula>20</formula>
    </cfRule>
    <cfRule type="cellIs" dxfId="1" priority="1051" operator="greaterThan">
      <formula>120</formula>
    </cfRule>
    <cfRule type="containsText" dxfId="2" priority="546" operator="between" text="库存为">
      <formula>NOT(ISERROR(SEARCH("库存为",AU445)))</formula>
    </cfRule>
  </conditionalFormatting>
  <conditionalFormatting sqref="AU446">
    <cfRule type="cellIs" dxfId="0" priority="1555" operator="lessThan">
      <formula>20</formula>
    </cfRule>
    <cfRule type="cellIs" dxfId="1" priority="1050" operator="greaterThan">
      <formula>120</formula>
    </cfRule>
    <cfRule type="containsText" dxfId="2" priority="545" operator="between" text="库存为">
      <formula>NOT(ISERROR(SEARCH("库存为",AU446)))</formula>
    </cfRule>
  </conditionalFormatting>
  <conditionalFormatting sqref="AU447">
    <cfRule type="cellIs" dxfId="0" priority="1554" operator="lessThan">
      <formula>20</formula>
    </cfRule>
    <cfRule type="cellIs" dxfId="1" priority="1049" operator="greaterThan">
      <formula>120</formula>
    </cfRule>
    <cfRule type="containsText" dxfId="2" priority="544" operator="between" text="库存为">
      <formula>NOT(ISERROR(SEARCH("库存为",AU447)))</formula>
    </cfRule>
  </conditionalFormatting>
  <conditionalFormatting sqref="AU448">
    <cfRule type="cellIs" dxfId="0" priority="1553" operator="lessThan">
      <formula>20</formula>
    </cfRule>
    <cfRule type="cellIs" dxfId="1" priority="1048" operator="greaterThan">
      <formula>120</formula>
    </cfRule>
    <cfRule type="containsText" dxfId="2" priority="543" operator="between" text="库存为">
      <formula>NOT(ISERROR(SEARCH("库存为",AU448)))</formula>
    </cfRule>
  </conditionalFormatting>
  <conditionalFormatting sqref="AU449">
    <cfRule type="cellIs" dxfId="0" priority="1552" operator="lessThan">
      <formula>20</formula>
    </cfRule>
    <cfRule type="cellIs" dxfId="1" priority="1047" operator="greaterThan">
      <formula>120</formula>
    </cfRule>
    <cfRule type="containsText" dxfId="2" priority="542" operator="between" text="库存为">
      <formula>NOT(ISERROR(SEARCH("库存为",AU449)))</formula>
    </cfRule>
  </conditionalFormatting>
  <conditionalFormatting sqref="AU450">
    <cfRule type="cellIs" dxfId="0" priority="1551" operator="lessThan">
      <formula>20</formula>
    </cfRule>
    <cfRule type="cellIs" dxfId="1" priority="1046" operator="greaterThan">
      <formula>120</formula>
    </cfRule>
    <cfRule type="containsText" dxfId="2" priority="541" operator="between" text="库存为">
      <formula>NOT(ISERROR(SEARCH("库存为",AU450)))</formula>
    </cfRule>
  </conditionalFormatting>
  <conditionalFormatting sqref="AU451">
    <cfRule type="cellIs" dxfId="0" priority="1550" operator="lessThan">
      <formula>20</formula>
    </cfRule>
    <cfRule type="cellIs" dxfId="1" priority="1045" operator="greaterThan">
      <formula>120</formula>
    </cfRule>
    <cfRule type="containsText" dxfId="2" priority="540" operator="between" text="库存为">
      <formula>NOT(ISERROR(SEARCH("库存为",AU451)))</formula>
    </cfRule>
  </conditionalFormatting>
  <conditionalFormatting sqref="AU452">
    <cfRule type="cellIs" dxfId="0" priority="1549" operator="lessThan">
      <formula>20</formula>
    </cfRule>
    <cfRule type="cellIs" dxfId="1" priority="1044" operator="greaterThan">
      <formula>120</formula>
    </cfRule>
    <cfRule type="containsText" dxfId="2" priority="539" operator="between" text="库存为">
      <formula>NOT(ISERROR(SEARCH("库存为",AU452)))</formula>
    </cfRule>
  </conditionalFormatting>
  <conditionalFormatting sqref="AU453">
    <cfRule type="cellIs" dxfId="0" priority="1548" operator="lessThan">
      <formula>20</formula>
    </cfRule>
    <cfRule type="cellIs" dxfId="1" priority="1043" operator="greaterThan">
      <formula>120</formula>
    </cfRule>
    <cfRule type="containsText" dxfId="2" priority="538" operator="between" text="库存为">
      <formula>NOT(ISERROR(SEARCH("库存为",AU453)))</formula>
    </cfRule>
  </conditionalFormatting>
  <conditionalFormatting sqref="AU454">
    <cfRule type="cellIs" dxfId="0" priority="1547" operator="lessThan">
      <formula>20</formula>
    </cfRule>
    <cfRule type="cellIs" dxfId="1" priority="1042" operator="greaterThan">
      <formula>120</formula>
    </cfRule>
    <cfRule type="containsText" dxfId="2" priority="537" operator="between" text="库存为">
      <formula>NOT(ISERROR(SEARCH("库存为",AU454)))</formula>
    </cfRule>
  </conditionalFormatting>
  <conditionalFormatting sqref="AU455">
    <cfRule type="cellIs" dxfId="0" priority="1546" operator="lessThan">
      <formula>20</formula>
    </cfRule>
    <cfRule type="cellIs" dxfId="1" priority="1041" operator="greaterThan">
      <formula>120</formula>
    </cfRule>
    <cfRule type="containsText" dxfId="2" priority="536" operator="between" text="库存为">
      <formula>NOT(ISERROR(SEARCH("库存为",AU455)))</formula>
    </cfRule>
  </conditionalFormatting>
  <conditionalFormatting sqref="AU456">
    <cfRule type="cellIs" dxfId="0" priority="1545" operator="lessThan">
      <formula>20</formula>
    </cfRule>
    <cfRule type="cellIs" dxfId="1" priority="1040" operator="greaterThan">
      <formula>120</formula>
    </cfRule>
    <cfRule type="containsText" dxfId="2" priority="535" operator="between" text="库存为">
      <formula>NOT(ISERROR(SEARCH("库存为",AU456)))</formula>
    </cfRule>
  </conditionalFormatting>
  <conditionalFormatting sqref="AU457">
    <cfRule type="cellIs" dxfId="0" priority="1544" operator="lessThan">
      <formula>20</formula>
    </cfRule>
    <cfRule type="cellIs" dxfId="1" priority="1039" operator="greaterThan">
      <formula>120</formula>
    </cfRule>
    <cfRule type="containsText" dxfId="2" priority="534" operator="between" text="库存为">
      <formula>NOT(ISERROR(SEARCH("库存为",AU457)))</formula>
    </cfRule>
  </conditionalFormatting>
  <conditionalFormatting sqref="AU458">
    <cfRule type="cellIs" dxfId="0" priority="1543" operator="lessThan">
      <formula>20</formula>
    </cfRule>
    <cfRule type="cellIs" dxfId="1" priority="1038" operator="greaterThan">
      <formula>120</formula>
    </cfRule>
    <cfRule type="containsText" dxfId="2" priority="533" operator="between" text="库存为">
      <formula>NOT(ISERROR(SEARCH("库存为",AU458)))</formula>
    </cfRule>
  </conditionalFormatting>
  <conditionalFormatting sqref="AU459">
    <cfRule type="cellIs" dxfId="0" priority="1542" operator="lessThan">
      <formula>20</formula>
    </cfRule>
    <cfRule type="cellIs" dxfId="1" priority="1037" operator="greaterThan">
      <formula>120</formula>
    </cfRule>
    <cfRule type="containsText" dxfId="2" priority="532" operator="between" text="库存为">
      <formula>NOT(ISERROR(SEARCH("库存为",AU459)))</formula>
    </cfRule>
  </conditionalFormatting>
  <conditionalFormatting sqref="AU460">
    <cfRule type="cellIs" dxfId="0" priority="1541" operator="lessThan">
      <formula>20</formula>
    </cfRule>
    <cfRule type="cellIs" dxfId="1" priority="1036" operator="greaterThan">
      <formula>120</formula>
    </cfRule>
    <cfRule type="containsText" dxfId="2" priority="531" operator="between" text="库存为">
      <formula>NOT(ISERROR(SEARCH("库存为",AU460)))</formula>
    </cfRule>
  </conditionalFormatting>
  <conditionalFormatting sqref="AU461">
    <cfRule type="cellIs" dxfId="0" priority="1540" operator="lessThan">
      <formula>20</formula>
    </cfRule>
    <cfRule type="cellIs" dxfId="1" priority="1035" operator="greaterThan">
      <formula>120</formula>
    </cfRule>
    <cfRule type="containsText" dxfId="2" priority="530" operator="between" text="库存为">
      <formula>NOT(ISERROR(SEARCH("库存为",AU461)))</formula>
    </cfRule>
  </conditionalFormatting>
  <conditionalFormatting sqref="AU462">
    <cfRule type="cellIs" dxfId="0" priority="1539" operator="lessThan">
      <formula>20</formula>
    </cfRule>
    <cfRule type="cellIs" dxfId="1" priority="1034" operator="greaterThan">
      <formula>120</formula>
    </cfRule>
    <cfRule type="containsText" dxfId="2" priority="529" operator="between" text="库存为">
      <formula>NOT(ISERROR(SEARCH("库存为",AU462)))</formula>
    </cfRule>
  </conditionalFormatting>
  <conditionalFormatting sqref="AU463">
    <cfRule type="cellIs" dxfId="0" priority="1538" operator="lessThan">
      <formula>20</formula>
    </cfRule>
    <cfRule type="cellIs" dxfId="1" priority="1033" operator="greaterThan">
      <formula>120</formula>
    </cfRule>
    <cfRule type="containsText" dxfId="2" priority="528" operator="between" text="库存为">
      <formula>NOT(ISERROR(SEARCH("库存为",AU463)))</formula>
    </cfRule>
  </conditionalFormatting>
  <conditionalFormatting sqref="AU464">
    <cfRule type="cellIs" dxfId="0" priority="1537" operator="lessThan">
      <formula>20</formula>
    </cfRule>
    <cfRule type="cellIs" dxfId="1" priority="1032" operator="greaterThan">
      <formula>120</formula>
    </cfRule>
    <cfRule type="containsText" dxfId="2" priority="527" operator="between" text="库存为">
      <formula>NOT(ISERROR(SEARCH("库存为",AU464)))</formula>
    </cfRule>
  </conditionalFormatting>
  <conditionalFormatting sqref="AU465">
    <cfRule type="cellIs" dxfId="0" priority="1536" operator="lessThan">
      <formula>20</formula>
    </cfRule>
    <cfRule type="cellIs" dxfId="1" priority="1031" operator="greaterThan">
      <formula>120</formula>
    </cfRule>
    <cfRule type="containsText" dxfId="2" priority="526" operator="between" text="库存为">
      <formula>NOT(ISERROR(SEARCH("库存为",AU465)))</formula>
    </cfRule>
  </conditionalFormatting>
  <conditionalFormatting sqref="AU466">
    <cfRule type="cellIs" dxfId="0" priority="1535" operator="lessThan">
      <formula>20</formula>
    </cfRule>
    <cfRule type="cellIs" dxfId="1" priority="1030" operator="greaterThan">
      <formula>120</formula>
    </cfRule>
    <cfRule type="containsText" dxfId="2" priority="525" operator="between" text="库存为">
      <formula>NOT(ISERROR(SEARCH("库存为",AU466)))</formula>
    </cfRule>
  </conditionalFormatting>
  <conditionalFormatting sqref="AU467">
    <cfRule type="cellIs" dxfId="0" priority="1534" operator="lessThan">
      <formula>20</formula>
    </cfRule>
    <cfRule type="cellIs" dxfId="1" priority="1029" operator="greaterThan">
      <formula>120</formula>
    </cfRule>
    <cfRule type="containsText" dxfId="2" priority="524" operator="between" text="库存为">
      <formula>NOT(ISERROR(SEARCH("库存为",AU467)))</formula>
    </cfRule>
  </conditionalFormatting>
  <conditionalFormatting sqref="AU468">
    <cfRule type="cellIs" dxfId="0" priority="1533" operator="lessThan">
      <formula>20</formula>
    </cfRule>
    <cfRule type="cellIs" dxfId="1" priority="1028" operator="greaterThan">
      <formula>120</formula>
    </cfRule>
    <cfRule type="containsText" dxfId="2" priority="523" operator="between" text="库存为">
      <formula>NOT(ISERROR(SEARCH("库存为",AU468)))</formula>
    </cfRule>
  </conditionalFormatting>
  <conditionalFormatting sqref="AU469">
    <cfRule type="cellIs" dxfId="0" priority="1532" operator="lessThan">
      <formula>20</formula>
    </cfRule>
    <cfRule type="cellIs" dxfId="1" priority="1027" operator="greaterThan">
      <formula>120</formula>
    </cfRule>
    <cfRule type="containsText" dxfId="2" priority="522" operator="between" text="库存为">
      <formula>NOT(ISERROR(SEARCH("库存为",AU469)))</formula>
    </cfRule>
  </conditionalFormatting>
  <conditionalFormatting sqref="AU470">
    <cfRule type="cellIs" dxfId="0" priority="1531" operator="lessThan">
      <formula>20</formula>
    </cfRule>
    <cfRule type="cellIs" dxfId="1" priority="1026" operator="greaterThan">
      <formula>120</formula>
    </cfRule>
    <cfRule type="containsText" dxfId="2" priority="521" operator="between" text="库存为">
      <formula>NOT(ISERROR(SEARCH("库存为",AU470)))</formula>
    </cfRule>
  </conditionalFormatting>
  <conditionalFormatting sqref="AU471">
    <cfRule type="cellIs" dxfId="0" priority="1530" operator="lessThan">
      <formula>20</formula>
    </cfRule>
    <cfRule type="cellIs" dxfId="1" priority="1025" operator="greaterThan">
      <formula>120</formula>
    </cfRule>
    <cfRule type="containsText" dxfId="2" priority="520" operator="between" text="库存为">
      <formula>NOT(ISERROR(SEARCH("库存为",AU471)))</formula>
    </cfRule>
  </conditionalFormatting>
  <conditionalFormatting sqref="AU472">
    <cfRule type="cellIs" dxfId="0" priority="1529" operator="lessThan">
      <formula>20</formula>
    </cfRule>
    <cfRule type="cellIs" dxfId="1" priority="1024" operator="greaterThan">
      <formula>120</formula>
    </cfRule>
    <cfRule type="containsText" dxfId="2" priority="519" operator="between" text="库存为">
      <formula>NOT(ISERROR(SEARCH("库存为",AU472)))</formula>
    </cfRule>
  </conditionalFormatting>
  <conditionalFormatting sqref="AU473">
    <cfRule type="cellIs" dxfId="0" priority="1528" operator="lessThan">
      <formula>20</formula>
    </cfRule>
    <cfRule type="cellIs" dxfId="1" priority="1023" operator="greaterThan">
      <formula>120</formula>
    </cfRule>
    <cfRule type="containsText" dxfId="2" priority="518" operator="between" text="库存为">
      <formula>NOT(ISERROR(SEARCH("库存为",AU473)))</formula>
    </cfRule>
  </conditionalFormatting>
  <conditionalFormatting sqref="AU474">
    <cfRule type="cellIs" dxfId="0" priority="1527" operator="lessThan">
      <formula>20</formula>
    </cfRule>
    <cfRule type="cellIs" dxfId="1" priority="1022" operator="greaterThan">
      <formula>120</formula>
    </cfRule>
    <cfRule type="containsText" dxfId="2" priority="517" operator="between" text="库存为">
      <formula>NOT(ISERROR(SEARCH("库存为",AU474)))</formula>
    </cfRule>
  </conditionalFormatting>
  <conditionalFormatting sqref="AU475">
    <cfRule type="cellIs" dxfId="0" priority="1526" operator="lessThan">
      <formula>20</formula>
    </cfRule>
    <cfRule type="cellIs" dxfId="1" priority="1021" operator="greaterThan">
      <formula>120</formula>
    </cfRule>
    <cfRule type="containsText" dxfId="2" priority="516" operator="between" text="库存为">
      <formula>NOT(ISERROR(SEARCH("库存为",AU475)))</formula>
    </cfRule>
  </conditionalFormatting>
  <conditionalFormatting sqref="AU476">
    <cfRule type="cellIs" dxfId="0" priority="1525" operator="lessThan">
      <formula>20</formula>
    </cfRule>
    <cfRule type="cellIs" dxfId="1" priority="1020" operator="greaterThan">
      <formula>120</formula>
    </cfRule>
    <cfRule type="containsText" dxfId="2" priority="515" operator="between" text="库存为">
      <formula>NOT(ISERROR(SEARCH("库存为",AU476)))</formula>
    </cfRule>
  </conditionalFormatting>
  <conditionalFormatting sqref="AU477">
    <cfRule type="cellIs" dxfId="0" priority="1524" operator="lessThan">
      <formula>20</formula>
    </cfRule>
    <cfRule type="cellIs" dxfId="1" priority="1019" operator="greaterThan">
      <formula>120</formula>
    </cfRule>
    <cfRule type="containsText" dxfId="2" priority="514" operator="between" text="库存为">
      <formula>NOT(ISERROR(SEARCH("库存为",AU477)))</formula>
    </cfRule>
  </conditionalFormatting>
  <conditionalFormatting sqref="AU478">
    <cfRule type="cellIs" dxfId="0" priority="1523" operator="lessThan">
      <formula>20</formula>
    </cfRule>
    <cfRule type="cellIs" dxfId="1" priority="1018" operator="greaterThan">
      <formula>120</formula>
    </cfRule>
    <cfRule type="containsText" dxfId="2" priority="513" operator="between" text="库存为">
      <formula>NOT(ISERROR(SEARCH("库存为",AU478)))</formula>
    </cfRule>
  </conditionalFormatting>
  <conditionalFormatting sqref="AU479">
    <cfRule type="cellIs" dxfId="0" priority="1522" operator="lessThan">
      <formula>20</formula>
    </cfRule>
    <cfRule type="cellIs" dxfId="1" priority="1017" operator="greaterThan">
      <formula>120</formula>
    </cfRule>
    <cfRule type="containsText" dxfId="2" priority="512" operator="between" text="库存为">
      <formula>NOT(ISERROR(SEARCH("库存为",AU479)))</formula>
    </cfRule>
  </conditionalFormatting>
  <conditionalFormatting sqref="AU480">
    <cfRule type="cellIs" dxfId="0" priority="1521" operator="lessThan">
      <formula>20</formula>
    </cfRule>
    <cfRule type="cellIs" dxfId="1" priority="1016" operator="greaterThan">
      <formula>120</formula>
    </cfRule>
    <cfRule type="containsText" dxfId="2" priority="511" operator="between" text="库存为">
      <formula>NOT(ISERROR(SEARCH("库存为",AU480)))</formula>
    </cfRule>
  </conditionalFormatting>
  <conditionalFormatting sqref="AU481">
    <cfRule type="cellIs" dxfId="0" priority="1520" operator="lessThan">
      <formula>20</formula>
    </cfRule>
    <cfRule type="cellIs" dxfId="1" priority="1015" operator="greaterThan">
      <formula>120</formula>
    </cfRule>
    <cfRule type="containsText" dxfId="2" priority="510" operator="between" text="库存为">
      <formula>NOT(ISERROR(SEARCH("库存为",AU481)))</formula>
    </cfRule>
  </conditionalFormatting>
  <conditionalFormatting sqref="AU482">
    <cfRule type="cellIs" dxfId="0" priority="1519" operator="lessThan">
      <formula>20</formula>
    </cfRule>
    <cfRule type="cellIs" dxfId="1" priority="1014" operator="greaterThan">
      <formula>120</formula>
    </cfRule>
    <cfRule type="containsText" dxfId="2" priority="509" operator="between" text="库存为">
      <formula>NOT(ISERROR(SEARCH("库存为",AU482)))</formula>
    </cfRule>
  </conditionalFormatting>
  <conditionalFormatting sqref="AU483">
    <cfRule type="cellIs" dxfId="0" priority="1518" operator="lessThan">
      <formula>20</formula>
    </cfRule>
    <cfRule type="cellIs" dxfId="1" priority="1013" operator="greaterThan">
      <formula>120</formula>
    </cfRule>
    <cfRule type="containsText" dxfId="2" priority="508" operator="between" text="库存为">
      <formula>NOT(ISERROR(SEARCH("库存为",AU483)))</formula>
    </cfRule>
  </conditionalFormatting>
  <conditionalFormatting sqref="AU484">
    <cfRule type="cellIs" dxfId="0" priority="1517" operator="lessThan">
      <formula>20</formula>
    </cfRule>
    <cfRule type="cellIs" dxfId="1" priority="1012" operator="greaterThan">
      <formula>120</formula>
    </cfRule>
    <cfRule type="containsText" dxfId="2" priority="507" operator="between" text="库存为">
      <formula>NOT(ISERROR(SEARCH("库存为",AU484)))</formula>
    </cfRule>
  </conditionalFormatting>
  <conditionalFormatting sqref="AU485">
    <cfRule type="cellIs" dxfId="0" priority="1516" operator="lessThan">
      <formula>20</formula>
    </cfRule>
    <cfRule type="cellIs" dxfId="1" priority="1011" operator="greaterThan">
      <formula>120</formula>
    </cfRule>
    <cfRule type="containsText" dxfId="2" priority="506" operator="between" text="库存为">
      <formula>NOT(ISERROR(SEARCH("库存为",AU485)))</formula>
    </cfRule>
  </conditionalFormatting>
  <conditionalFormatting sqref="AU486">
    <cfRule type="cellIs" dxfId="0" priority="1515" operator="lessThan">
      <formula>20</formula>
    </cfRule>
    <cfRule type="cellIs" dxfId="1" priority="1010" operator="greaterThan">
      <formula>120</formula>
    </cfRule>
    <cfRule type="containsText" dxfId="2" priority="505" operator="between" text="库存为">
      <formula>NOT(ISERROR(SEARCH("库存为",AU486)))</formula>
    </cfRule>
  </conditionalFormatting>
  <conditionalFormatting sqref="AU487">
    <cfRule type="cellIs" dxfId="0" priority="1514" operator="lessThan">
      <formula>20</formula>
    </cfRule>
    <cfRule type="cellIs" dxfId="1" priority="1009" operator="greaterThan">
      <formula>120</formula>
    </cfRule>
    <cfRule type="containsText" dxfId="2" priority="504" operator="between" text="库存为">
      <formula>NOT(ISERROR(SEARCH("库存为",AU487)))</formula>
    </cfRule>
  </conditionalFormatting>
  <conditionalFormatting sqref="AU488">
    <cfRule type="cellIs" dxfId="0" priority="1513" operator="lessThan">
      <formula>20</formula>
    </cfRule>
    <cfRule type="cellIs" dxfId="1" priority="1008" operator="greaterThan">
      <formula>120</formula>
    </cfRule>
    <cfRule type="containsText" dxfId="2" priority="503" operator="between" text="库存为">
      <formula>NOT(ISERROR(SEARCH("库存为",AU488)))</formula>
    </cfRule>
  </conditionalFormatting>
  <conditionalFormatting sqref="AU489">
    <cfRule type="cellIs" dxfId="0" priority="1512" operator="lessThan">
      <formula>20</formula>
    </cfRule>
    <cfRule type="cellIs" dxfId="1" priority="1007" operator="greaterThan">
      <formula>120</formula>
    </cfRule>
    <cfRule type="containsText" dxfId="2" priority="502" operator="between" text="库存为">
      <formula>NOT(ISERROR(SEARCH("库存为",AU489)))</formula>
    </cfRule>
  </conditionalFormatting>
  <conditionalFormatting sqref="AU490">
    <cfRule type="cellIs" dxfId="0" priority="1511" operator="lessThan">
      <formula>20</formula>
    </cfRule>
    <cfRule type="cellIs" dxfId="1" priority="1006" operator="greaterThan">
      <formula>120</formula>
    </cfRule>
    <cfRule type="containsText" dxfId="2" priority="501" operator="between" text="库存为">
      <formula>NOT(ISERROR(SEARCH("库存为",AU490)))</formula>
    </cfRule>
  </conditionalFormatting>
  <conditionalFormatting sqref="AU491">
    <cfRule type="cellIs" dxfId="0" priority="1510" operator="lessThan">
      <formula>20</formula>
    </cfRule>
    <cfRule type="cellIs" dxfId="1" priority="1005" operator="greaterThan">
      <formula>120</formula>
    </cfRule>
    <cfRule type="containsText" dxfId="2" priority="500" operator="between" text="库存为">
      <formula>NOT(ISERROR(SEARCH("库存为",AU491)))</formula>
    </cfRule>
  </conditionalFormatting>
  <conditionalFormatting sqref="AU492">
    <cfRule type="cellIs" dxfId="0" priority="1509" operator="lessThan">
      <formula>20</formula>
    </cfRule>
    <cfRule type="cellIs" dxfId="1" priority="1004" operator="greaterThan">
      <formula>120</formula>
    </cfRule>
    <cfRule type="containsText" dxfId="2" priority="499" operator="between" text="库存为">
      <formula>NOT(ISERROR(SEARCH("库存为",AU492)))</formula>
    </cfRule>
  </conditionalFormatting>
  <conditionalFormatting sqref="AU493">
    <cfRule type="cellIs" dxfId="0" priority="1508" operator="lessThan">
      <formula>20</formula>
    </cfRule>
    <cfRule type="cellIs" dxfId="1" priority="1003" operator="greaterThan">
      <formula>120</formula>
    </cfRule>
    <cfRule type="containsText" dxfId="2" priority="498" operator="between" text="库存为">
      <formula>NOT(ISERROR(SEARCH("库存为",AU493)))</formula>
    </cfRule>
  </conditionalFormatting>
  <conditionalFormatting sqref="AU494">
    <cfRule type="cellIs" dxfId="0" priority="1507" operator="lessThan">
      <formula>20</formula>
    </cfRule>
    <cfRule type="cellIs" dxfId="1" priority="1002" operator="greaterThan">
      <formula>120</formula>
    </cfRule>
    <cfRule type="containsText" dxfId="2" priority="497" operator="between" text="库存为">
      <formula>NOT(ISERROR(SEARCH("库存为",AU494)))</formula>
    </cfRule>
  </conditionalFormatting>
  <conditionalFormatting sqref="AU495">
    <cfRule type="cellIs" dxfId="0" priority="1506" operator="lessThan">
      <formula>20</formula>
    </cfRule>
    <cfRule type="cellIs" dxfId="1" priority="1001" operator="greaterThan">
      <formula>120</formula>
    </cfRule>
    <cfRule type="containsText" dxfId="2" priority="496" operator="between" text="库存为">
      <formula>NOT(ISERROR(SEARCH("库存为",AU495)))</formula>
    </cfRule>
  </conditionalFormatting>
  <conditionalFormatting sqref="AU496">
    <cfRule type="cellIs" dxfId="0" priority="1505" operator="lessThan">
      <formula>20</formula>
    </cfRule>
    <cfRule type="cellIs" dxfId="1" priority="1000" operator="greaterThan">
      <formula>120</formula>
    </cfRule>
    <cfRule type="containsText" dxfId="2" priority="495" operator="between" text="库存为">
      <formula>NOT(ISERROR(SEARCH("库存为",AU496)))</formula>
    </cfRule>
  </conditionalFormatting>
  <conditionalFormatting sqref="AU497">
    <cfRule type="cellIs" dxfId="0" priority="1504" operator="lessThan">
      <formula>20</formula>
    </cfRule>
    <cfRule type="cellIs" dxfId="1" priority="999" operator="greaterThan">
      <formula>120</formula>
    </cfRule>
    <cfRule type="containsText" dxfId="2" priority="494" operator="between" text="库存为">
      <formula>NOT(ISERROR(SEARCH("库存为",AU497)))</formula>
    </cfRule>
  </conditionalFormatting>
  <conditionalFormatting sqref="AU498">
    <cfRule type="cellIs" dxfId="0" priority="1503" operator="lessThan">
      <formula>20</formula>
    </cfRule>
    <cfRule type="cellIs" dxfId="1" priority="998" operator="greaterThan">
      <formula>120</formula>
    </cfRule>
    <cfRule type="containsText" dxfId="2" priority="493" operator="between" text="库存为">
      <formula>NOT(ISERROR(SEARCH("库存为",AU498)))</formula>
    </cfRule>
  </conditionalFormatting>
  <conditionalFormatting sqref="AU499">
    <cfRule type="cellIs" dxfId="0" priority="1502" operator="lessThan">
      <formula>20</formula>
    </cfRule>
    <cfRule type="cellIs" dxfId="1" priority="997" operator="greaterThan">
      <formula>120</formula>
    </cfRule>
    <cfRule type="containsText" dxfId="2" priority="492" operator="between" text="库存为">
      <formula>NOT(ISERROR(SEARCH("库存为",AU499)))</formula>
    </cfRule>
  </conditionalFormatting>
  <conditionalFormatting sqref="AU500">
    <cfRule type="cellIs" dxfId="0" priority="1501" operator="lessThan">
      <formula>20</formula>
    </cfRule>
    <cfRule type="cellIs" dxfId="1" priority="996" operator="greaterThan">
      <formula>120</formula>
    </cfRule>
    <cfRule type="containsText" dxfId="2" priority="491" operator="between" text="库存为">
      <formula>NOT(ISERROR(SEARCH("库存为",AU500)))</formula>
    </cfRule>
  </conditionalFormatting>
  <conditionalFormatting sqref="AU501">
    <cfRule type="cellIs" dxfId="0" priority="1500" operator="lessThan">
      <formula>20</formula>
    </cfRule>
    <cfRule type="cellIs" dxfId="1" priority="995" operator="greaterThan">
      <formula>120</formula>
    </cfRule>
    <cfRule type="containsText" dxfId="2" priority="490" operator="between" text="库存为">
      <formula>NOT(ISERROR(SEARCH("库存为",AU501)))</formula>
    </cfRule>
  </conditionalFormatting>
  <conditionalFormatting sqref="AU502">
    <cfRule type="cellIs" dxfId="0" priority="1499" operator="lessThan">
      <formula>20</formula>
    </cfRule>
    <cfRule type="cellIs" dxfId="1" priority="994" operator="greaterThan">
      <formula>120</formula>
    </cfRule>
    <cfRule type="containsText" dxfId="2" priority="489" operator="between" text="库存为">
      <formula>NOT(ISERROR(SEARCH("库存为",AU502)))</formula>
    </cfRule>
  </conditionalFormatting>
  <conditionalFormatting sqref="AU503">
    <cfRule type="cellIs" dxfId="0" priority="1498" operator="lessThan">
      <formula>20</formula>
    </cfRule>
    <cfRule type="cellIs" dxfId="1" priority="993" operator="greaterThan">
      <formula>120</formula>
    </cfRule>
    <cfRule type="containsText" dxfId="2" priority="488" operator="between" text="库存为">
      <formula>NOT(ISERROR(SEARCH("库存为",AU503)))</formula>
    </cfRule>
  </conditionalFormatting>
  <conditionalFormatting sqref="AU504">
    <cfRule type="cellIs" dxfId="0" priority="1497" operator="lessThan">
      <formula>20</formula>
    </cfRule>
    <cfRule type="cellIs" dxfId="1" priority="992" operator="greaterThan">
      <formula>120</formula>
    </cfRule>
    <cfRule type="containsText" dxfId="2" priority="487" operator="between" text="库存为">
      <formula>NOT(ISERROR(SEARCH("库存为",AU504)))</formula>
    </cfRule>
  </conditionalFormatting>
  <conditionalFormatting sqref="AU505">
    <cfRule type="cellIs" dxfId="0" priority="1496" operator="lessThan">
      <formula>20</formula>
    </cfRule>
    <cfRule type="cellIs" dxfId="1" priority="991" operator="greaterThan">
      <formula>120</formula>
    </cfRule>
    <cfRule type="containsText" dxfId="2" priority="486" operator="between" text="库存为">
      <formula>NOT(ISERROR(SEARCH("库存为",AU505)))</formula>
    </cfRule>
  </conditionalFormatting>
  <conditionalFormatting sqref="AU506">
    <cfRule type="cellIs" dxfId="0" priority="1495" operator="lessThan">
      <formula>20</formula>
    </cfRule>
    <cfRule type="cellIs" dxfId="1" priority="990" operator="greaterThan">
      <formula>120</formula>
    </cfRule>
    <cfRule type="containsText" dxfId="2" priority="485" operator="between" text="库存为">
      <formula>NOT(ISERROR(SEARCH("库存为",AU506)))</formula>
    </cfRule>
  </conditionalFormatting>
  <conditionalFormatting sqref="AU507">
    <cfRule type="cellIs" dxfId="0" priority="1494" operator="lessThan">
      <formula>20</formula>
    </cfRule>
    <cfRule type="cellIs" dxfId="1" priority="989" operator="greaterThan">
      <formula>120</formula>
    </cfRule>
    <cfRule type="containsText" dxfId="2" priority="484" operator="between" text="库存为">
      <formula>NOT(ISERROR(SEARCH("库存为",AU507)))</formula>
    </cfRule>
  </conditionalFormatting>
  <conditionalFormatting sqref="AU508">
    <cfRule type="cellIs" dxfId="0" priority="1493" operator="lessThan">
      <formula>20</formula>
    </cfRule>
    <cfRule type="cellIs" dxfId="1" priority="988" operator="greaterThan">
      <formula>120</formula>
    </cfRule>
    <cfRule type="containsText" dxfId="2" priority="483" operator="between" text="库存为">
      <formula>NOT(ISERROR(SEARCH("库存为",AU508)))</formula>
    </cfRule>
  </conditionalFormatting>
  <conditionalFormatting sqref="AU509">
    <cfRule type="cellIs" dxfId="0" priority="1492" operator="lessThan">
      <formula>20</formula>
    </cfRule>
    <cfRule type="cellIs" dxfId="1" priority="987" operator="greaterThan">
      <formula>120</formula>
    </cfRule>
    <cfRule type="containsText" dxfId="2" priority="482" operator="between" text="库存为">
      <formula>NOT(ISERROR(SEARCH("库存为",AU509)))</formula>
    </cfRule>
  </conditionalFormatting>
  <conditionalFormatting sqref="AU510">
    <cfRule type="cellIs" dxfId="0" priority="1491" operator="lessThan">
      <formula>20</formula>
    </cfRule>
    <cfRule type="cellIs" dxfId="1" priority="986" operator="greaterThan">
      <formula>120</formula>
    </cfRule>
    <cfRule type="containsText" dxfId="2" priority="481" operator="between" text="库存为">
      <formula>NOT(ISERROR(SEARCH("库存为",AU510)))</formula>
    </cfRule>
  </conditionalFormatting>
  <conditionalFormatting sqref="A166:A170">
    <cfRule type="duplicateValues" dxfId="3" priority="1996"/>
  </conditionalFormatting>
  <conditionalFormatting sqref="AU511:AU1302">
    <cfRule type="containsText" dxfId="2" priority="2009" operator="between" text="库存为">
      <formula>NOT(ISERROR(SEARCH("库存为",AU511)))</formula>
    </cfRule>
    <cfRule type="cellIs" dxfId="1" priority="2010" operator="greaterThan">
      <formula>120</formula>
    </cfRule>
    <cfRule type="cellIs" dxfId="0" priority="201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12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548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549</v>
      </c>
      <c r="AI1" s="10"/>
      <c r="AJ1" s="10"/>
      <c r="AK1" s="10"/>
      <c r="AL1" s="10" t="s">
        <v>550</v>
      </c>
      <c r="AM1" s="10"/>
      <c r="AN1" s="10"/>
      <c r="AO1" s="10"/>
      <c r="AP1" s="10" t="s">
        <v>10</v>
      </c>
      <c r="AQ1" s="24"/>
      <c r="AR1" s="24"/>
      <c r="AS1" s="10"/>
      <c r="AT1" s="10"/>
    </row>
    <row r="2" hidden="1" spans="1:46">
      <c r="A2" s="11">
        <f>时间!$B$1</f>
        <v>43262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2018/7/2-2018/7/8</v>
      </c>
      <c r="C3" s="13" t="str">
        <f>TEXT(时间!$B$8,"yyyy/M/d")&amp;"-"&amp;TEXT(时间!$B$7,"yyyy/M/d")</f>
        <v>2018/6/25-2018/7/1</v>
      </c>
      <c r="D3" s="13" t="str">
        <f>TEXT(时间!$B$10,"yyyy/M/d")&amp;"-"&amp;TEXT(时间!$B$9,"yyyy/M/d")</f>
        <v>2018/6/18-2018/6/24</v>
      </c>
      <c r="E3" s="13" t="str">
        <f>TEXT(时间!$B$12,"yyyy/M/d")&amp;"-"&amp;TEXT(时间!$B$11,"yyyy/M/d")</f>
        <v>2018/6/11-2018/6/17</v>
      </c>
      <c r="F3" s="14"/>
      <c r="G3" s="15"/>
      <c r="H3" s="15"/>
      <c r="I3" s="15"/>
      <c r="J3" s="15"/>
      <c r="K3" s="15"/>
      <c r="L3" s="15"/>
      <c r="M3" s="20" t="s">
        <v>551</v>
      </c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5"/>
      <c r="AR3" s="25"/>
      <c r="AS3" s="21"/>
      <c r="AT3" s="21"/>
    </row>
    <row r="4" spans="1:46">
      <c r="A4" s="5" t="s">
        <v>15</v>
      </c>
      <c r="B4" s="5" t="s">
        <v>552</v>
      </c>
      <c r="C4" s="5" t="s">
        <v>553</v>
      </c>
      <c r="D4" s="5" t="s">
        <v>554</v>
      </c>
      <c r="E4" s="5" t="s">
        <v>555</v>
      </c>
      <c r="F4" s="6" t="s">
        <v>20</v>
      </c>
      <c r="G4" t="s">
        <v>21</v>
      </c>
      <c r="H4" t="s">
        <v>22</v>
      </c>
      <c r="I4" t="s">
        <v>556</v>
      </c>
      <c r="J4" t="s">
        <v>24</v>
      </c>
      <c r="K4" t="s">
        <v>25</v>
      </c>
      <c r="L4" t="s">
        <v>26</v>
      </c>
      <c r="M4" t="s">
        <v>27</v>
      </c>
      <c r="N4" s="19" t="s">
        <v>28</v>
      </c>
      <c r="O4" s="19" t="s">
        <v>29</v>
      </c>
      <c r="P4" s="19" t="s">
        <v>30</v>
      </c>
      <c r="Q4" s="19" t="s">
        <v>31</v>
      </c>
      <c r="R4" s="19" t="s">
        <v>32</v>
      </c>
      <c r="S4" s="19" t="s">
        <v>33</v>
      </c>
      <c r="T4" s="19" t="s">
        <v>34</v>
      </c>
      <c r="U4" s="19" t="s">
        <v>35</v>
      </c>
      <c r="V4" s="19" t="s">
        <v>36</v>
      </c>
      <c r="W4" s="19" t="s">
        <v>37</v>
      </c>
      <c r="X4" s="19" t="s">
        <v>38</v>
      </c>
      <c r="Y4" s="19" t="s">
        <v>39</v>
      </c>
      <c r="Z4" s="19" t="s">
        <v>40</v>
      </c>
      <c r="AA4" s="19" t="s">
        <v>41</v>
      </c>
      <c r="AB4" s="19" t="s">
        <v>42</v>
      </c>
      <c r="AC4" s="19" t="s">
        <v>43</v>
      </c>
      <c r="AD4" s="19">
        <f>时间!$B$6</f>
        <v>43283</v>
      </c>
      <c r="AE4" s="19">
        <f>时间!$B$7</f>
        <v>43282</v>
      </c>
      <c r="AF4" s="19">
        <f>时间!$B$8</f>
        <v>43276</v>
      </c>
      <c r="AG4" s="19">
        <f>时间!$B$9</f>
        <v>43275</v>
      </c>
      <c r="AH4" s="19">
        <f>时间!$B$6</f>
        <v>43283</v>
      </c>
      <c r="AI4" s="19">
        <f>时间!$B$7</f>
        <v>43282</v>
      </c>
      <c r="AJ4" s="19">
        <f>时间!$B$8</f>
        <v>43276</v>
      </c>
      <c r="AK4" s="19">
        <f>时间!$B$9</f>
        <v>43275</v>
      </c>
      <c r="AL4" s="19">
        <f>时间!$B$6</f>
        <v>43283</v>
      </c>
      <c r="AM4" s="19">
        <f>时间!$B$7</f>
        <v>43282</v>
      </c>
      <c r="AN4" s="19">
        <f>时间!$B$8</f>
        <v>43276</v>
      </c>
      <c r="AO4" s="19">
        <f>时间!$B$9</f>
        <v>43275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220</v>
      </c>
      <c r="C5" s="16">
        <f t="shared" si="14"/>
        <v>266</v>
      </c>
      <c r="D5" s="16">
        <f t="shared" si="14"/>
        <v>245</v>
      </c>
      <c r="E5" s="16">
        <f t="shared" si="14"/>
        <v>233</v>
      </c>
      <c r="F5" s="17"/>
      <c r="G5" s="4">
        <f t="shared" si="14"/>
        <v>2076</v>
      </c>
      <c r="H5" s="4">
        <f t="shared" si="14"/>
        <v>226</v>
      </c>
      <c r="I5" s="4">
        <f t="shared" si="14"/>
        <v>10</v>
      </c>
      <c r="J5" s="4">
        <f t="shared" si="14"/>
        <v>370</v>
      </c>
      <c r="K5" s="4">
        <f t="shared" si="14"/>
        <v>2682</v>
      </c>
      <c r="L5" s="4">
        <f t="shared" si="14"/>
        <v>43</v>
      </c>
      <c r="M5" s="4">
        <f t="shared" si="14"/>
        <v>444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SUM(Z6:Z9995)</f>
        <v>1183.59</v>
      </c>
      <c r="AA5" s="4">
        <f>SUM(AA6:AA9995)</f>
        <v>1378.11</v>
      </c>
      <c r="AB5" s="4">
        <f>SUM(AB6:AB9995)</f>
        <v>1360.13</v>
      </c>
      <c r="AC5" s="4">
        <f>SUM(AC6:AC9995)</f>
        <v>1296.83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s="18" t="s">
        <v>53</v>
      </c>
      <c r="B6" s="5">
        <f>SUMIF('库存（子SKU）'!$C:$C,$A6,'库存（子SKU）'!D:D)</f>
        <v>23</v>
      </c>
      <c r="C6" s="5">
        <f>SUMIF('库存（子SKU）'!$C:$C,$A6,'库存（子SKU）'!E:E)</f>
        <v>24</v>
      </c>
      <c r="D6" s="5">
        <f>SUMIF('库存（子SKU）'!$C:$C,$A6,'库存（子SKU）'!F:F)</f>
        <v>33</v>
      </c>
      <c r="E6" s="5">
        <f>SUMIF('库存（子SKU）'!$C:$C,$A6,'库存（子SKU）'!G:G)</f>
        <v>45</v>
      </c>
      <c r="F6" s="6">
        <v>91.766</v>
      </c>
      <c r="G6">
        <f>SUMIF('库存（子SKU）'!$C:$C,$A6,'库存（子SKU）'!I:I)</f>
        <v>173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53</v>
      </c>
      <c r="K6">
        <f t="shared" si="0"/>
        <v>226</v>
      </c>
      <c r="L6">
        <f>SUMIF('库存（子SKU）'!$C:$C,$A6,'库存（子SKU）'!N:N)</f>
        <v>5</v>
      </c>
      <c r="M6">
        <f>SUMIF('库存（子SKU）'!$C:$C,$A6,'库存（子SKU）'!O:O)</f>
        <v>0</v>
      </c>
      <c r="N6">
        <f>SUMIF('库存（子SKU）'!$C:$C,$A6,'库存（子SKU）'!P:P)</f>
        <v>121521</v>
      </c>
      <c r="O6">
        <f>SUMIF('库存（子SKU）'!$C:$C,$A6,'库存（子SKU）'!Q:Q)</f>
        <v>133645</v>
      </c>
      <c r="P6">
        <f>SUMIF('库存（子SKU）'!$C:$C,$A6,'库存（子SKU）'!R:R)</f>
        <v>124021</v>
      </c>
      <c r="Q6">
        <f>SUMIF('库存（子SKU）'!$C:$C,$A6,'库存（子SKU）'!S:S)</f>
        <v>97349</v>
      </c>
      <c r="R6">
        <f>SUMIF('库存（子SKU）'!$C:$C,$A6,'库存（子SKU）'!T:T)</f>
        <v>679</v>
      </c>
      <c r="S6">
        <f>SUMIF('库存（子SKU）'!$C:$C,$A6,'库存（子SKU）'!U:U)</f>
        <v>816</v>
      </c>
      <c r="T6">
        <f>SUMIF('库存（子SKU）'!$C:$C,$A6,'库存（子SKU）'!V:V)</f>
        <v>792</v>
      </c>
      <c r="U6">
        <f>SUMIF('库存（子SKU）'!$C:$C,$A6,'库存（子SKU）'!W:W)</f>
        <v>722</v>
      </c>
      <c r="V6" s="23">
        <f t="shared" ref="V6:V69" si="15">IFERROR(R6/N6,"")</f>
        <v>0.0055875116235054</v>
      </c>
      <c r="W6" s="23">
        <f t="shared" ref="W6:W69" si="16">IFERROR(S6/O6,"")</f>
        <v>0.00610572786112462</v>
      </c>
      <c r="X6" s="23">
        <f t="shared" ref="X6:X69" si="17">IFERROR(T6/P6,"")</f>
        <v>0.00638601527160723</v>
      </c>
      <c r="Y6" s="23">
        <f t="shared" ref="Y6:Y69" si="18">IFERROR(U6/Q6,"")</f>
        <v>0.00741661444904416</v>
      </c>
      <c r="Z6">
        <f>SUMIF('库存（子SKU）'!$C:$C,$A6,'库存（子SKU）'!AB:AB)</f>
        <v>111.47</v>
      </c>
      <c r="AA6">
        <f>SUMIF('库存（子SKU）'!$C:$C,$A6,'库存（子SKU）'!AC:AC)</f>
        <v>130.78</v>
      </c>
      <c r="AB6">
        <f>SUMIF('库存（子SKU）'!$C:$C,$A6,'库存（子SKU）'!AD:AD)</f>
        <v>124.98</v>
      </c>
      <c r="AC6">
        <f>SUMIF('库存（子SKU）'!$C:$C,$A6,'库存（子SKU）'!AE:AE)</f>
        <v>120.58</v>
      </c>
      <c r="AD6" s="23">
        <f t="shared" si="2"/>
        <v>0.0528139151660793</v>
      </c>
      <c r="AE6" s="23">
        <f t="shared" si="3"/>
        <v>0.0593811070185762</v>
      </c>
      <c r="AF6" s="23">
        <f t="shared" si="4"/>
        <v>0.0412709797449243</v>
      </c>
      <c r="AG6" s="23">
        <f t="shared" si="5"/>
        <v>0.0291998731072026</v>
      </c>
      <c r="AH6">
        <f>SUMIF('库存（子SKU）'!$C:$C,$A6,'库存（子SKU）'!AJ:AJ)</f>
        <v>0</v>
      </c>
      <c r="AI6">
        <f>SUMIF('库存（子SKU）'!$C:$C,$A6,'库存（子SKU）'!AK:AK)</f>
        <v>1277</v>
      </c>
      <c r="AJ6">
        <f>SUMIF('库存（子SKU）'!$C:$C,$A6,'库存（子SKU）'!AL:AL)</f>
        <v>1411</v>
      </c>
      <c r="AK6">
        <f>SUMIF('库存（子SKU）'!$C:$C,$A6,'库存（子SKU）'!AM:AM)</f>
        <v>1407</v>
      </c>
      <c r="AL6" s="23" t="str">
        <f t="shared" si="6"/>
        <v/>
      </c>
      <c r="AM6" s="23">
        <f t="shared" si="7"/>
        <v>0.0187940485512921</v>
      </c>
      <c r="AN6" s="23">
        <f t="shared" si="8"/>
        <v>0.0233876683203402</v>
      </c>
      <c r="AO6" s="23">
        <f t="shared" si="9"/>
        <v>0.0319829424307036</v>
      </c>
      <c r="AP6" s="7">
        <f t="shared" si="10"/>
        <v>3.28571428571429</v>
      </c>
      <c r="AQ6" s="7">
        <f t="shared" si="11"/>
        <v>197.142857142857</v>
      </c>
      <c r="AR6" s="7">
        <f t="shared" si="12"/>
        <v>28.8571428571429</v>
      </c>
      <c r="AS6">
        <f t="shared" si="13"/>
        <v>68</v>
      </c>
      <c r="AT6" s="2">
        <f>IFERROR(时间!$B$4+AS6,"上周无销量")</f>
        <v>43358</v>
      </c>
    </row>
    <row r="7" spans="1:46">
      <c r="A7" s="18" t="s">
        <v>57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2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2</v>
      </c>
      <c r="L7">
        <f>SUMIF('库存（子SKU）'!$C:$C,$A7,'库存（子SKU）'!N:N)</f>
        <v>0</v>
      </c>
      <c r="M7">
        <f>SUMIF('库存（子SKU）'!$C:$C,$A7,'库存（子SKU）'!O:O)</f>
        <v>2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68</v>
      </c>
      <c r="AJ7">
        <f>SUMIF('库存（子SKU）'!$C:$C,$A7,'库存（子SKU）'!AL:AL)</f>
        <v>21</v>
      </c>
      <c r="AK7">
        <f>SUMIF('库存（子SKU）'!$C:$C,$A7,'库存（子SKU）'!AM:AM)</f>
        <v>8</v>
      </c>
      <c r="AL7" s="23" t="str">
        <f t="shared" si="6"/>
        <v/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2</v>
      </c>
      <c r="AS7" t="str">
        <f t="shared" si="13"/>
        <v>库存为2</v>
      </c>
      <c r="AT7" s="2" t="str">
        <f>IFERROR(时间!$B$4+AS7,"上周无销量")</f>
        <v>上周无销量</v>
      </c>
    </row>
    <row r="8" spans="1:46">
      <c r="A8" s="18" t="s">
        <v>60</v>
      </c>
      <c r="B8" s="5">
        <f>SUMIF('库存（子SKU）'!$C:$C,$A8,'库存（子SKU）'!D:D)</f>
        <v>1</v>
      </c>
      <c r="C8" s="5">
        <f>SUMIF('库存（子SKU）'!$C:$C,$A8,'库存（子SKU）'!E:E)</f>
        <v>2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>
        <v>31.99</v>
      </c>
      <c r="G8">
        <f>SUMIF('库存（子SKU）'!$C:$C,$A8,'库存（子SKU）'!I:I)</f>
        <v>28</v>
      </c>
      <c r="H8">
        <f>SUMIF('库存（子SKU）'!$C:$C,$A8,'库存（子SKU）'!J:J)</f>
        <v>10</v>
      </c>
      <c r="I8">
        <f>SUMIF('库存（子SKU）'!$C:$C,$A8,'库存（子SKU）'!K:K)</f>
        <v>0</v>
      </c>
      <c r="J8">
        <f>SUMIF('库存（子SKU）'!$C:$C,$A8,'库存（子SKU）'!L:L)</f>
        <v>89</v>
      </c>
      <c r="K8">
        <f t="shared" si="0"/>
        <v>127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>
        <f t="shared" si="2"/>
        <v>0</v>
      </c>
      <c r="AE8" s="23">
        <f t="shared" si="3"/>
        <v>0</v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35</v>
      </c>
      <c r="AJ8">
        <f>SUMIF('库存（子SKU）'!$C:$C,$A8,'库存（子SKU）'!AL:AL)</f>
        <v>41</v>
      </c>
      <c r="AK8">
        <f>SUMIF('库存（子SKU）'!$C:$C,$A8,'库存（子SKU）'!AM:AM)</f>
        <v>59</v>
      </c>
      <c r="AL8" s="23" t="str">
        <f t="shared" si="6"/>
        <v/>
      </c>
      <c r="AM8" s="23">
        <f t="shared" si="7"/>
        <v>0.0571428571428571</v>
      </c>
      <c r="AN8" s="23">
        <f t="shared" si="8"/>
        <v>0</v>
      </c>
      <c r="AO8" s="23">
        <f t="shared" si="9"/>
        <v>0</v>
      </c>
      <c r="AP8" s="7">
        <f t="shared" si="10"/>
        <v>0.142857142857143</v>
      </c>
      <c r="AQ8" s="7">
        <f t="shared" si="11"/>
        <v>8.57142857142857</v>
      </c>
      <c r="AR8" s="7">
        <f t="shared" si="12"/>
        <v>118.428571428571</v>
      </c>
      <c r="AS8">
        <f t="shared" si="13"/>
        <v>889</v>
      </c>
      <c r="AT8" s="2">
        <f>IFERROR(时间!$B$4+AS8,"上周无销量")</f>
        <v>44179</v>
      </c>
    </row>
    <row r="9" spans="1:46">
      <c r="A9" s="18" t="s">
        <v>66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">
        <v>54</v>
      </c>
      <c r="G9">
        <f>SUMIF('库存（子SKU）'!$C:$C,$A9,'库存（子SKU）'!I:I)</f>
        <v>4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</v>
      </c>
      <c r="L9">
        <f>SUMIF('库存（子SKU）'!$C:$C,$A9,'库存（子SKU）'!N:N)</f>
        <v>0</v>
      </c>
      <c r="M9">
        <f>SUMIF('库存（子SKU）'!$C:$C,$A9,'库存（子SKU）'!O:O)</f>
        <v>4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5</v>
      </c>
      <c r="AJ9">
        <f>SUMIF('库存（子SKU）'!$C:$C,$A9,'库存（子SKU）'!AL:AL)</f>
        <v>6</v>
      </c>
      <c r="AK9">
        <f>SUMIF('库存（子SKU）'!$C:$C,$A9,'库存（子SKU）'!AM:AM)</f>
        <v>1</v>
      </c>
      <c r="AL9" s="23" t="str">
        <f t="shared" si="6"/>
        <v/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4</v>
      </c>
      <c r="AS9" t="str">
        <f t="shared" si="13"/>
        <v>库存为4</v>
      </c>
      <c r="AT9" s="2" t="str">
        <f>IFERROR(时间!$B$4+AS9,"上周无销量")</f>
        <v>上周无销量</v>
      </c>
    </row>
    <row r="10" spans="1:46">
      <c r="A10" s="18" t="s">
        <v>69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1</v>
      </c>
      <c r="F10" s="6">
        <v>32.99</v>
      </c>
      <c r="G10">
        <f>SUMIF('库存（子SKU）'!$C:$C,$A10,'库存（子SKU）'!I:I)</f>
        <v>14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14</v>
      </c>
      <c r="L10">
        <f>SUMIF('库存（子SKU）'!$C:$C,$A10,'库存（子SKU）'!N:N)</f>
        <v>0</v>
      </c>
      <c r="M10">
        <f>SUMIF('库存（子SKU）'!$C:$C,$A10,'库存（子SKU）'!O:O)</f>
        <v>3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11323</v>
      </c>
      <c r="Q10">
        <f>SUMIF('库存（子SKU）'!$C:$C,$A10,'库存（子SKU）'!S:S)</f>
        <v>19186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62</v>
      </c>
      <c r="U10">
        <f>SUMIF('库存（子SKU）'!$C:$C,$A10,'库存（子SKU）'!W:W)</f>
        <v>108</v>
      </c>
      <c r="V10" s="23" t="str">
        <f t="shared" si="15"/>
        <v/>
      </c>
      <c r="W10" s="23" t="str">
        <f t="shared" si="16"/>
        <v/>
      </c>
      <c r="X10" s="23">
        <f t="shared" si="17"/>
        <v>0.00547558067649916</v>
      </c>
      <c r="Y10" s="23">
        <f t="shared" si="18"/>
        <v>0.00562910455540498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8.39</v>
      </c>
      <c r="AC10">
        <f>SUMIF('库存（子SKU）'!$C:$C,$A10,'库存（子SKU）'!AE:AE)</f>
        <v>14.09</v>
      </c>
      <c r="AD10" s="23" t="str">
        <f t="shared" si="2"/>
        <v/>
      </c>
      <c r="AE10" s="23" t="str">
        <f t="shared" si="3"/>
        <v/>
      </c>
      <c r="AF10" s="23" t="str">
        <f t="shared" si="4"/>
        <v>无销量广告费为8.39</v>
      </c>
      <c r="AG10" s="23">
        <f t="shared" si="5"/>
        <v>0.427099120945741</v>
      </c>
      <c r="AH10">
        <f>SUMIF('库存（子SKU）'!$C:$C,$A10,'库存（子SKU）'!AJ:AJ)</f>
        <v>0</v>
      </c>
      <c r="AI10">
        <f>SUMIF('库存（子SKU）'!$C:$C,$A10,'库存（子SKU）'!AK:AK)</f>
        <v>52</v>
      </c>
      <c r="AJ10">
        <f>SUMIF('库存（子SKU）'!$C:$C,$A10,'库存（子SKU）'!AL:AL)</f>
        <v>64</v>
      </c>
      <c r="AK10">
        <f>SUMIF('库存（子SKU）'!$C:$C,$A10,'库存（子SKU）'!AM:AM)</f>
        <v>82</v>
      </c>
      <c r="AL10" s="23" t="str">
        <f t="shared" si="6"/>
        <v/>
      </c>
      <c r="AM10" s="23">
        <f t="shared" si="7"/>
        <v>0</v>
      </c>
      <c r="AN10" s="23">
        <f t="shared" si="8"/>
        <v>0</v>
      </c>
      <c r="AO10" s="23">
        <f t="shared" si="9"/>
        <v>0.0121951219512195</v>
      </c>
      <c r="AP10" s="7">
        <f t="shared" si="10"/>
        <v>0</v>
      </c>
      <c r="AQ10" s="7">
        <f t="shared" si="11"/>
        <v>0</v>
      </c>
      <c r="AR10" s="7">
        <f t="shared" si="12"/>
        <v>14</v>
      </c>
      <c r="AS10" t="str">
        <f t="shared" si="13"/>
        <v>库存为14</v>
      </c>
      <c r="AT10" s="2" t="str">
        <f>IFERROR(时间!$B$4+AS10,"上周无销量")</f>
        <v>上周无销量</v>
      </c>
    </row>
    <row r="11" spans="1:46">
      <c r="A11" s="19" t="s">
        <v>77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34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10</v>
      </c>
      <c r="K11">
        <f t="shared" si="0"/>
        <v>44</v>
      </c>
      <c r="L11">
        <f>SUMIF('库存（子SKU）'!$C:$C,$A11,'库存（子SKU）'!N:N)</f>
        <v>0</v>
      </c>
      <c r="M11">
        <f>SUMIF('库存（子SKU）'!$C:$C,$A11,'库存（子SKU）'!O:O)</f>
        <v>19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11</v>
      </c>
      <c r="AJ11">
        <f>SUMIF('库存（子SKU）'!$C:$C,$A11,'库存（子SKU）'!AL:AL)</f>
        <v>22</v>
      </c>
      <c r="AK11">
        <f>SUMIF('库存（子SKU）'!$C:$C,$A11,'库存（子SKU）'!AM:AM)</f>
        <v>13</v>
      </c>
      <c r="AL11" s="23" t="str">
        <f t="shared" si="6"/>
        <v/>
      </c>
      <c r="AM11" s="23">
        <f t="shared" si="7"/>
        <v>0</v>
      </c>
      <c r="AN11" s="23">
        <f t="shared" si="8"/>
        <v>0</v>
      </c>
      <c r="AO11" s="23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44</v>
      </c>
      <c r="AS11" t="str">
        <f t="shared" si="13"/>
        <v>库存为44</v>
      </c>
      <c r="AT11" s="2" t="str">
        <f>IFERROR(时间!$B$4+AS11,"上周无销量")</f>
        <v>上周无销量</v>
      </c>
    </row>
    <row r="12" spans="1:46">
      <c r="A12" t="s">
        <v>82</v>
      </c>
      <c r="B12" s="5">
        <f>SUMIF('库存（子SKU）'!$C:$C,$A12,'库存（子SKU）'!D:D)</f>
        <v>4</v>
      </c>
      <c r="C12" s="5">
        <f>SUMIF('库存（子SKU）'!$C:$C,$A12,'库存（子SKU）'!E:E)</f>
        <v>4</v>
      </c>
      <c r="D12" s="5">
        <f>SUMIF('库存（子SKU）'!$C:$C,$A12,'库存（子SKU）'!F:F)</f>
        <v>5</v>
      </c>
      <c r="E12" s="5">
        <f>SUMIF('库存（子SKU）'!$C:$C,$A12,'库存（子SKU）'!G:G)</f>
        <v>1</v>
      </c>
      <c r="F12" s="6">
        <v>84.2757142857143</v>
      </c>
      <c r="G12">
        <f>SUMIF('库存（子SKU）'!$C:$C,$A12,'库存（子SKU）'!I:I)</f>
        <v>17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2</v>
      </c>
      <c r="K12">
        <f t="shared" si="0"/>
        <v>19</v>
      </c>
      <c r="L12">
        <f>SUMIF('库存（子SKU）'!$C:$C,$A12,'库存（子SKU）'!N:N)</f>
        <v>0</v>
      </c>
      <c r="M12">
        <f>SUMIF('库存（子SKU）'!$C:$C,$A12,'库存（子SKU）'!O:O)</f>
        <v>6</v>
      </c>
      <c r="N12">
        <f>SUMIF('库存（子SKU）'!$C:$C,$A12,'库存（子SKU）'!P:P)</f>
        <v>37724</v>
      </c>
      <c r="O12">
        <f>SUMIF('库存（子SKU）'!$C:$C,$A12,'库存（子SKU）'!Q:Q)</f>
        <v>26308</v>
      </c>
      <c r="P12">
        <f>SUMIF('库存（子SKU）'!$C:$C,$A12,'库存（子SKU）'!R:R)</f>
        <v>50849</v>
      </c>
      <c r="Q12">
        <f>SUMIF('库存（子SKU）'!$C:$C,$A12,'库存（子SKU）'!S:S)</f>
        <v>45115</v>
      </c>
      <c r="R12">
        <f>SUMIF('库存（子SKU）'!$C:$C,$A12,'库存（子SKU）'!T:T)</f>
        <v>260</v>
      </c>
      <c r="S12">
        <f>SUMIF('库存（子SKU）'!$C:$C,$A12,'库存（子SKU）'!U:U)</f>
        <v>244</v>
      </c>
      <c r="T12">
        <f>SUMIF('库存（子SKU）'!$C:$C,$A12,'库存（子SKU）'!V:V)</f>
        <v>298</v>
      </c>
      <c r="U12">
        <f>SUMIF('库存（子SKU）'!$C:$C,$A12,'库存（子SKU）'!W:W)</f>
        <v>234</v>
      </c>
      <c r="V12" s="23">
        <f t="shared" si="15"/>
        <v>0.00689216413953982</v>
      </c>
      <c r="W12" s="23">
        <f t="shared" si="16"/>
        <v>0.00927474532461609</v>
      </c>
      <c r="X12" s="23">
        <f t="shared" si="17"/>
        <v>0.00586048889850341</v>
      </c>
      <c r="Y12" s="23">
        <f t="shared" si="18"/>
        <v>0.00518674498503824</v>
      </c>
      <c r="Z12">
        <f>SUMIF('库存（子SKU）'!$C:$C,$A12,'库存（子SKU）'!AB:AB)</f>
        <v>35.66</v>
      </c>
      <c r="AA12">
        <f>SUMIF('库存（子SKU）'!$C:$C,$A12,'库存（子SKU）'!AC:AC)</f>
        <v>33.78</v>
      </c>
      <c r="AB12">
        <f>SUMIF('库存（子SKU）'!$C:$C,$A12,'库存（子SKU）'!AD:AD)</f>
        <v>40.38</v>
      </c>
      <c r="AC12">
        <f>SUMIF('库存（子SKU）'!$C:$C,$A12,'库存（子SKU）'!AE:AE)</f>
        <v>32.02</v>
      </c>
      <c r="AD12" s="23">
        <f t="shared" si="2"/>
        <v>0.105783737053549</v>
      </c>
      <c r="AE12" s="23">
        <f t="shared" si="3"/>
        <v>0.100206804197108</v>
      </c>
      <c r="AF12" s="23">
        <f t="shared" si="4"/>
        <v>0.0958283186140728</v>
      </c>
      <c r="AG12" s="23">
        <f t="shared" si="5"/>
        <v>0.379943383113251</v>
      </c>
      <c r="AH12">
        <f>SUMIF('库存（子SKU）'!$C:$C,$A12,'库存（子SKU）'!AJ:AJ)</f>
        <v>0</v>
      </c>
      <c r="AI12">
        <f>SUMIF('库存（子SKU）'!$C:$C,$A12,'库存（子SKU）'!AK:AK)</f>
        <v>301</v>
      </c>
      <c r="AJ12">
        <f>SUMIF('库存（子SKU）'!$C:$C,$A12,'库存（子SKU）'!AL:AL)</f>
        <v>295</v>
      </c>
      <c r="AK12">
        <f>SUMIF('库存（子SKU）'!$C:$C,$A12,'库存（子SKU）'!AM:AM)</f>
        <v>269</v>
      </c>
      <c r="AL12" s="23" t="str">
        <f t="shared" si="6"/>
        <v/>
      </c>
      <c r="AM12" s="23">
        <f t="shared" si="7"/>
        <v>0.0132890365448505</v>
      </c>
      <c r="AN12" s="23">
        <f t="shared" si="8"/>
        <v>0.0169491525423729</v>
      </c>
      <c r="AO12" s="23">
        <f t="shared" si="9"/>
        <v>0.00371747211895911</v>
      </c>
      <c r="AP12" s="7">
        <f t="shared" si="10"/>
        <v>0.571428571428571</v>
      </c>
      <c r="AQ12" s="7">
        <f t="shared" si="11"/>
        <v>34.2857142857143</v>
      </c>
      <c r="AR12" s="7">
        <f t="shared" si="12"/>
        <v>-15.2857142857143</v>
      </c>
      <c r="AS12">
        <f t="shared" si="13"/>
        <v>33</v>
      </c>
      <c r="AT12" s="2">
        <f>IFERROR(时间!$B$4+AS12,"上周无销量")</f>
        <v>43323</v>
      </c>
    </row>
    <row r="13" spans="1:46">
      <c r="A13" t="s">
        <v>89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54</v>
      </c>
      <c r="G13">
        <f>SUMIF('库存（子SKU）'!$C:$C,$A13,'库存（子SKU）'!I:I)</f>
        <v>23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23</v>
      </c>
      <c r="L13">
        <f>SUMIF('库存（子SKU）'!$C:$C,$A13,'库存（子SKU）'!N:N)</f>
        <v>0</v>
      </c>
      <c r="M13">
        <f>SUMIF('库存（子SKU）'!$C:$C,$A13,'库存（子SKU）'!O:O)</f>
        <v>23</v>
      </c>
      <c r="N13">
        <f>SUMIF('库存（子SKU）'!$C:$C,$A13,'库存（子SKU）'!P:P)</f>
        <v>12201</v>
      </c>
      <c r="O13">
        <f>SUMIF('库存（子SKU）'!$C:$C,$A13,'库存（子SKU）'!Q:Q)</f>
        <v>13497</v>
      </c>
      <c r="P13">
        <f>SUMIF('库存（子SKU）'!$C:$C,$A13,'库存（子SKU）'!R:R)</f>
        <v>20461</v>
      </c>
      <c r="Q13">
        <f>SUMIF('库存（子SKU）'!$C:$C,$A13,'库存（子SKU）'!S:S)</f>
        <v>19081</v>
      </c>
      <c r="R13">
        <f>SUMIF('库存（子SKU）'!$C:$C,$A13,'库存（子SKU）'!T:T)</f>
        <v>35</v>
      </c>
      <c r="S13">
        <f>SUMIF('库存（子SKU）'!$C:$C,$A13,'库存（子SKU）'!U:U)</f>
        <v>35</v>
      </c>
      <c r="T13">
        <f>SUMIF('库存（子SKU）'!$C:$C,$A13,'库存（子SKU）'!V:V)</f>
        <v>58</v>
      </c>
      <c r="U13">
        <f>SUMIF('库存（子SKU）'!$C:$C,$A13,'库存（子SKU）'!W:W)</f>
        <v>56</v>
      </c>
      <c r="V13" s="23">
        <f t="shared" si="15"/>
        <v>0.00286861732644865</v>
      </c>
      <c r="W13" s="23">
        <f t="shared" si="16"/>
        <v>0.00259316885233756</v>
      </c>
      <c r="X13" s="23">
        <f t="shared" si="17"/>
        <v>0.00283466106250916</v>
      </c>
      <c r="Y13" s="23">
        <f t="shared" si="18"/>
        <v>0.00293485666369687</v>
      </c>
      <c r="Z13">
        <f>SUMIF('库存（子SKU）'!$C:$C,$A13,'库存（子SKU）'!AB:AB)</f>
        <v>4.87</v>
      </c>
      <c r="AA13">
        <f>SUMIF('库存（子SKU）'!$C:$C,$A13,'库存（子SKU）'!AC:AC)</f>
        <v>5.1</v>
      </c>
      <c r="AB13">
        <f>SUMIF('库存（子SKU）'!$C:$C,$A13,'库存（子SKU）'!AD:AD)</f>
        <v>7.74</v>
      </c>
      <c r="AC13">
        <f>SUMIF('库存（子SKU）'!$C:$C,$A13,'库存（子SKU）'!AE:AE)</f>
        <v>7.74</v>
      </c>
      <c r="AD13" s="23" t="str">
        <f t="shared" si="2"/>
        <v>无销量广告费为4.87</v>
      </c>
      <c r="AE13" s="23" t="str">
        <f t="shared" si="3"/>
        <v>无销量广告费为5.1</v>
      </c>
      <c r="AF13" s="23" t="str">
        <f t="shared" si="4"/>
        <v>无销量广告费为7.74</v>
      </c>
      <c r="AG13" s="23" t="str">
        <f t="shared" si="5"/>
        <v>无销量广告费为7.74</v>
      </c>
      <c r="AH13">
        <f>SUMIF('库存（子SKU）'!$C:$C,$A13,'库存（子SKU）'!AJ:AJ)</f>
        <v>0</v>
      </c>
      <c r="AI13">
        <f>SUMIF('库存（子SKU）'!$C:$C,$A13,'库存（子SKU）'!AK:AK)</f>
        <v>28</v>
      </c>
      <c r="AJ13">
        <f>SUMIF('库存（子SKU）'!$C:$C,$A13,'库存（子SKU）'!AL:AL)</f>
        <v>48</v>
      </c>
      <c r="AK13">
        <f>SUMIF('库存（子SKU）'!$C:$C,$A13,'库存（子SKU）'!AM:AM)</f>
        <v>44</v>
      </c>
      <c r="AL13" s="23" t="str">
        <f t="shared" si="6"/>
        <v/>
      </c>
      <c r="AM13" s="23">
        <f t="shared" si="7"/>
        <v>0</v>
      </c>
      <c r="AN13" s="23">
        <f t="shared" si="8"/>
        <v>0</v>
      </c>
      <c r="AO13" s="23">
        <f t="shared" si="9"/>
        <v>0</v>
      </c>
      <c r="AP13" s="7">
        <f t="shared" si="10"/>
        <v>0</v>
      </c>
      <c r="AQ13" s="7">
        <f t="shared" si="11"/>
        <v>0</v>
      </c>
      <c r="AR13" s="7">
        <f t="shared" si="12"/>
        <v>23</v>
      </c>
      <c r="AS13" t="str">
        <f t="shared" si="13"/>
        <v>库存为23</v>
      </c>
      <c r="AT13" s="2" t="str">
        <f>IFERROR(时间!$B$4+AS13,"上周无销量")</f>
        <v>上周无销量</v>
      </c>
    </row>
    <row r="14" spans="1:46">
      <c r="A14" t="s">
        <v>95</v>
      </c>
      <c r="B14" s="5">
        <f>SUMIF('库存（子SKU）'!$C:$C,$A14,'库存（子SKU）'!D:D)</f>
        <v>2</v>
      </c>
      <c r="C14" s="5">
        <f>SUMIF('库存（子SKU）'!$C:$C,$A14,'库存（子SKU）'!E:E)</f>
        <v>2</v>
      </c>
      <c r="D14" s="5">
        <f>SUMIF('库存（子SKU）'!$C:$C,$A14,'库存（子SKU）'!F:F)</f>
        <v>3</v>
      </c>
      <c r="E14" s="5">
        <f>SUMIF('库存（子SKU）'!$C:$C,$A14,'库存（子SKU）'!G:G)</f>
        <v>3</v>
      </c>
      <c r="F14" s="6">
        <v>89.99</v>
      </c>
      <c r="G14">
        <f>SUMIF('库存（子SKU）'!$C:$C,$A14,'库存（子SKU）'!I:I)</f>
        <v>11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11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253</v>
      </c>
      <c r="O14">
        <f>SUMIF('库存（子SKU）'!$C:$C,$A14,'库存（子SKU）'!Q:Q)</f>
        <v>550</v>
      </c>
      <c r="P14">
        <f>SUMIF('库存（子SKU）'!$C:$C,$A14,'库存（子SKU）'!R:R)</f>
        <v>610</v>
      </c>
      <c r="Q14">
        <f>SUMIF('库存（子SKU）'!$C:$C,$A14,'库存（子SKU）'!S:S)</f>
        <v>599</v>
      </c>
      <c r="R14">
        <f>SUMIF('库存（子SKU）'!$C:$C,$A14,'库存（子SKU）'!T:T)</f>
        <v>0</v>
      </c>
      <c r="S14">
        <f>SUMIF('库存（子SKU）'!$C:$C,$A14,'库存（子SKU）'!U:U)</f>
        <v>1</v>
      </c>
      <c r="T14">
        <f>SUMIF('库存（子SKU）'!$C:$C,$A14,'库存（子SKU）'!V:V)</f>
        <v>3</v>
      </c>
      <c r="U14">
        <f>SUMIF('库存（子SKU）'!$C:$C,$A14,'库存（子SKU）'!W:W)</f>
        <v>2</v>
      </c>
      <c r="V14" s="23">
        <f t="shared" si="15"/>
        <v>0</v>
      </c>
      <c r="W14" s="23">
        <f t="shared" si="16"/>
        <v>0.00181818181818182</v>
      </c>
      <c r="X14" s="23">
        <f t="shared" si="17"/>
        <v>0.00491803278688525</v>
      </c>
      <c r="Y14" s="23">
        <f t="shared" si="18"/>
        <v>0.00333889816360601</v>
      </c>
      <c r="Z14">
        <f>SUMIF('库存（子SKU）'!$C:$C,$A14,'库存（子SKU）'!AB:AB)</f>
        <v>0</v>
      </c>
      <c r="AA14">
        <f>SUMIF('库存（子SKU）'!$C:$C,$A14,'库存（子SKU）'!AC:AC)</f>
        <v>0.21</v>
      </c>
      <c r="AB14">
        <f>SUMIF('库存（子SKU）'!$C:$C,$A14,'库存（子SKU）'!AD:AD)</f>
        <v>0.9</v>
      </c>
      <c r="AC14">
        <f>SUMIF('库存（子SKU）'!$C:$C,$A14,'库存（子SKU）'!AE:AE)</f>
        <v>0.48</v>
      </c>
      <c r="AD14" s="23">
        <f t="shared" si="2"/>
        <v>0</v>
      </c>
      <c r="AE14" s="23">
        <f t="shared" si="3"/>
        <v>0.00116679631070119</v>
      </c>
      <c r="AF14" s="23">
        <f t="shared" si="4"/>
        <v>0.00333370374486054</v>
      </c>
      <c r="AG14" s="23">
        <f t="shared" si="5"/>
        <v>0.00177797533059229</v>
      </c>
      <c r="AH14">
        <f>SUMIF('库存（子SKU）'!$C:$C,$A14,'库存（子SKU）'!AJ:AJ)</f>
        <v>0</v>
      </c>
      <c r="AI14">
        <f>SUMIF('库存（子SKU）'!$C:$C,$A14,'库存（子SKU）'!AK:AK)</f>
        <v>80</v>
      </c>
      <c r="AJ14">
        <f>SUMIF('库存（子SKU）'!$C:$C,$A14,'库存（子SKU）'!AL:AL)</f>
        <v>49</v>
      </c>
      <c r="AK14">
        <f>SUMIF('库存（子SKU）'!$C:$C,$A14,'库存（子SKU）'!AM:AM)</f>
        <v>40</v>
      </c>
      <c r="AL14" s="23" t="str">
        <f t="shared" si="6"/>
        <v/>
      </c>
      <c r="AM14" s="23">
        <f t="shared" si="7"/>
        <v>0.025</v>
      </c>
      <c r="AN14" s="23">
        <f t="shared" si="8"/>
        <v>0.0612244897959184</v>
      </c>
      <c r="AO14" s="23">
        <f t="shared" si="9"/>
        <v>0.075</v>
      </c>
      <c r="AP14" s="7">
        <f t="shared" si="10"/>
        <v>0.285714285714286</v>
      </c>
      <c r="AQ14" s="7">
        <f t="shared" si="11"/>
        <v>17.1428571428571</v>
      </c>
      <c r="AR14" s="7">
        <f t="shared" si="12"/>
        <v>-6.14285714285714</v>
      </c>
      <c r="AS14">
        <f t="shared" si="13"/>
        <v>38</v>
      </c>
      <c r="AT14" s="2">
        <f>IFERROR(时间!$B$4+AS14,"上周无销量")</f>
        <v>43328</v>
      </c>
    </row>
    <row r="15" spans="1:46">
      <c r="A15" t="s">
        <v>98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2</v>
      </c>
      <c r="E15" s="5">
        <f>SUMIF('库存（子SKU）'!$C:$C,$A15,'库存（子SKU）'!G:G)</f>
        <v>1</v>
      </c>
      <c r="F15" s="6">
        <v>86.6566666666667</v>
      </c>
      <c r="G15">
        <f>SUMIF('库存（子SKU）'!$C:$C,$A15,'库存（子SKU）'!I:I)</f>
        <v>21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21</v>
      </c>
      <c r="L15">
        <f>SUMIF('库存（子SKU）'!$C:$C,$A15,'库存（子SKU）'!N:N)</f>
        <v>1</v>
      </c>
      <c r="M15">
        <f>SUMIF('库存（子SKU）'!$C:$C,$A15,'库存（子SKU）'!O:O)</f>
        <v>15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0</v>
      </c>
      <c r="AI15">
        <f>SUMIF('库存（子SKU）'!$C:$C,$A15,'库存（子SKU）'!AK:AK)</f>
        <v>42</v>
      </c>
      <c r="AJ15">
        <f>SUMIF('库存（子SKU）'!$C:$C,$A15,'库存（子SKU）'!AL:AL)</f>
        <v>70</v>
      </c>
      <c r="AK15">
        <f>SUMIF('库存（子SKU）'!$C:$C,$A15,'库存（子SKU）'!AM:AM)</f>
        <v>44</v>
      </c>
      <c r="AL15" s="23" t="str">
        <f t="shared" si="6"/>
        <v/>
      </c>
      <c r="AM15" s="23">
        <f t="shared" si="7"/>
        <v>0</v>
      </c>
      <c r="AN15" s="23">
        <f t="shared" si="8"/>
        <v>0.0285714285714286</v>
      </c>
      <c r="AO15" s="23">
        <f t="shared" si="9"/>
        <v>0.0227272727272727</v>
      </c>
      <c r="AP15" s="7">
        <f t="shared" si="10"/>
        <v>0</v>
      </c>
      <c r="AQ15" s="7">
        <f t="shared" si="11"/>
        <v>0</v>
      </c>
      <c r="AR15" s="7">
        <f t="shared" si="12"/>
        <v>21</v>
      </c>
      <c r="AS15" t="str">
        <f t="shared" si="13"/>
        <v>库存为21</v>
      </c>
      <c r="AT15" s="2" t="str">
        <f>IFERROR(时间!$B$4+AS15,"上周无销量")</f>
        <v>上周无销量</v>
      </c>
    </row>
    <row r="16" spans="1:46">
      <c r="A16" t="s">
        <v>103</v>
      </c>
      <c r="B16" s="5">
        <f>SUMIF('库存（子SKU）'!$C:$C,$A16,'库存（子SKU）'!D:D)</f>
        <v>0</v>
      </c>
      <c r="C16" s="5">
        <f>SUMIF('库存（子SKU）'!$C:$C,$A16,'库存（子SKU）'!E:E)</f>
        <v>1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>
        <v>99.99</v>
      </c>
      <c r="G16">
        <f>SUMIF('库存（子SKU）'!$C:$C,$A16,'库存（子SKU）'!I:I)</f>
        <v>13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13</v>
      </c>
      <c r="L16">
        <f>SUMIF('库存（子SKU）'!$C:$C,$A16,'库存（子SKU）'!N:N)</f>
        <v>0</v>
      </c>
      <c r="M16">
        <f>SUMIF('库存（子SKU）'!$C:$C,$A16,'库存（子SKU）'!O:O)</f>
        <v>3</v>
      </c>
      <c r="N16">
        <f>SUMIF('库存（子SKU）'!$C:$C,$A16,'库存（子SKU）'!P:P)</f>
        <v>11758</v>
      </c>
      <c r="O16">
        <f>SUMIF('库存（子SKU）'!$C:$C,$A16,'库存（子SKU）'!Q:Q)</f>
        <v>40891</v>
      </c>
      <c r="P16">
        <f>SUMIF('库存（子SKU）'!$C:$C,$A16,'库存（子SKU）'!R:R)</f>
        <v>20900</v>
      </c>
      <c r="Q16">
        <f>SUMIF('库存（子SKU）'!$C:$C,$A16,'库存（子SKU）'!S:S)</f>
        <v>24445</v>
      </c>
      <c r="R16">
        <f>SUMIF('库存（子SKU）'!$C:$C,$A16,'库存（子SKU）'!T:T)</f>
        <v>36</v>
      </c>
      <c r="S16">
        <f>SUMIF('库存（子SKU）'!$C:$C,$A16,'库存（子SKU）'!U:U)</f>
        <v>154</v>
      </c>
      <c r="T16">
        <f>SUMIF('库存（子SKU）'!$C:$C,$A16,'库存（子SKU）'!V:V)</f>
        <v>125</v>
      </c>
      <c r="U16">
        <f>SUMIF('库存（子SKU）'!$C:$C,$A16,'库存（子SKU）'!W:W)</f>
        <v>110</v>
      </c>
      <c r="V16" s="23">
        <f t="shared" si="15"/>
        <v>0.00306174519476101</v>
      </c>
      <c r="W16" s="23">
        <f t="shared" si="16"/>
        <v>0.00376610990193441</v>
      </c>
      <c r="X16" s="23">
        <f t="shared" si="17"/>
        <v>0.00598086124401914</v>
      </c>
      <c r="Y16" s="23">
        <f t="shared" si="18"/>
        <v>0.00449989772959705</v>
      </c>
      <c r="Z16">
        <f>SUMIF('库存（子SKU）'!$C:$C,$A16,'库存（子SKU）'!AB:AB)</f>
        <v>6.01</v>
      </c>
      <c r="AA16">
        <f>SUMIF('库存（子SKU）'!$C:$C,$A16,'库存（子SKU）'!AC:AC)</f>
        <v>39.83</v>
      </c>
      <c r="AB16">
        <f>SUMIF('库存（子SKU）'!$C:$C,$A16,'库存（子SKU）'!AD:AD)</f>
        <v>33.08</v>
      </c>
      <c r="AC16">
        <f>SUMIF('库存（子SKU）'!$C:$C,$A16,'库存（子SKU）'!AE:AE)</f>
        <v>29.09</v>
      </c>
      <c r="AD16" s="23" t="str">
        <f t="shared" si="2"/>
        <v>无销量广告费为6.01</v>
      </c>
      <c r="AE16" s="23">
        <f t="shared" si="3"/>
        <v>0.398339833983398</v>
      </c>
      <c r="AF16" s="23" t="str">
        <f t="shared" si="4"/>
        <v>无销量广告费为33.08</v>
      </c>
      <c r="AG16" s="23" t="str">
        <f t="shared" si="5"/>
        <v>无销量广告费为29.09</v>
      </c>
      <c r="AH16">
        <f>SUMIF('库存（子SKU）'!$C:$C,$A16,'库存（子SKU）'!AJ:AJ)</f>
        <v>0</v>
      </c>
      <c r="AI16">
        <f>SUMIF('库存（子SKU）'!$C:$C,$A16,'库存（子SKU）'!AK:AK)</f>
        <v>49</v>
      </c>
      <c r="AJ16">
        <f>SUMIF('库存（子SKU）'!$C:$C,$A16,'库存（子SKU）'!AL:AL)</f>
        <v>121</v>
      </c>
      <c r="AK16">
        <f>SUMIF('库存（子SKU）'!$C:$C,$A16,'库存（子SKU）'!AM:AM)</f>
        <v>117</v>
      </c>
      <c r="AL16" s="23" t="str">
        <f t="shared" si="6"/>
        <v/>
      </c>
      <c r="AM16" s="23">
        <f t="shared" si="7"/>
        <v>0.0204081632653061</v>
      </c>
      <c r="AN16" s="23">
        <f t="shared" si="8"/>
        <v>0</v>
      </c>
      <c r="AO16" s="23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13</v>
      </c>
      <c r="AS16" t="str">
        <f t="shared" si="13"/>
        <v>库存为13</v>
      </c>
      <c r="AT16" s="2" t="str">
        <f>IFERROR(时间!$B$4+AS16,"上周无销量")</f>
        <v>上周无销量</v>
      </c>
    </row>
    <row r="17" spans="1:46">
      <c r="A17" t="s">
        <v>111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54</v>
      </c>
      <c r="G17">
        <f>SUMIF('库存（子SKU）'!$C:$C,$A17,'库存（子SKU）'!I:I)</f>
        <v>5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5</v>
      </c>
      <c r="L17">
        <f>SUMIF('库存（子SKU）'!$C:$C,$A17,'库存（子SKU）'!N:N)</f>
        <v>0</v>
      </c>
      <c r="M17">
        <f>SUMIF('库存（子SKU）'!$C:$C,$A17,'库存（子SKU）'!O:O)</f>
        <v>5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1</v>
      </c>
      <c r="AJ17">
        <f>SUMIF('库存（子SKU）'!$C:$C,$A17,'库存（子SKU）'!AL:AL)</f>
        <v>2</v>
      </c>
      <c r="AK17">
        <f>SUMIF('库存（子SKU）'!$C:$C,$A17,'库存（子SKU）'!AM:AM)</f>
        <v>2</v>
      </c>
      <c r="AL17" s="23" t="str">
        <f t="shared" si="6"/>
        <v/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5</v>
      </c>
      <c r="AS17" t="str">
        <f t="shared" si="13"/>
        <v>库存为5</v>
      </c>
      <c r="AT17" s="2" t="str">
        <f>IFERROR(时间!$B$4+AS17,"上周无销量")</f>
        <v>上周无销量</v>
      </c>
    </row>
    <row r="18" spans="1:46">
      <c r="A18" t="s">
        <v>114</v>
      </c>
      <c r="B18" s="5">
        <f>SUMIF('库存（子SKU）'!$C:$C,$A18,'库存（子SKU）'!D:D)</f>
        <v>1</v>
      </c>
      <c r="C18" s="5">
        <f>SUMIF('库存（子SKU）'!$C:$C,$A18,'库存（子SKU）'!E:E)</f>
        <v>2</v>
      </c>
      <c r="D18" s="5">
        <f>SUMIF('库存（子SKU）'!$C:$C,$A18,'库存（子SKU）'!F:F)</f>
        <v>2</v>
      </c>
      <c r="E18" s="5">
        <f>SUMIF('库存（子SKU）'!$C:$C,$A18,'库存（子SKU）'!G:G)</f>
        <v>0</v>
      </c>
      <c r="F18" s="6">
        <v>32.99</v>
      </c>
      <c r="G18">
        <f>SUMIF('库存（子SKU）'!$C:$C,$A18,'库存（子SKU）'!I:I)</f>
        <v>22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22</v>
      </c>
      <c r="L18">
        <f>SUMIF('库存（子SKU）'!$C:$C,$A18,'库存（子SKU）'!N:N)</f>
        <v>0</v>
      </c>
      <c r="M18">
        <f>SUMIF('库存（子SKU）'!$C:$C,$A18,'库存（子SKU）'!O:O)</f>
        <v>17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>
        <f t="shared" si="2"/>
        <v>0</v>
      </c>
      <c r="AE18" s="23">
        <f t="shared" si="3"/>
        <v>0</v>
      </c>
      <c r="AF18" s="23">
        <f t="shared" si="4"/>
        <v>0</v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106</v>
      </c>
      <c r="AJ18">
        <f>SUMIF('库存（子SKU）'!$C:$C,$A18,'库存（子SKU）'!AL:AL)</f>
        <v>116</v>
      </c>
      <c r="AK18">
        <f>SUMIF('库存（子SKU）'!$C:$C,$A18,'库存（子SKU）'!AM:AM)</f>
        <v>41</v>
      </c>
      <c r="AL18" s="23" t="str">
        <f t="shared" si="6"/>
        <v/>
      </c>
      <c r="AM18" s="23">
        <f t="shared" si="7"/>
        <v>0.0188679245283019</v>
      </c>
      <c r="AN18" s="23">
        <f t="shared" si="8"/>
        <v>0.0172413793103448</v>
      </c>
      <c r="AO18" s="23">
        <f t="shared" si="9"/>
        <v>0</v>
      </c>
      <c r="AP18" s="7">
        <f t="shared" si="10"/>
        <v>0.142857142857143</v>
      </c>
      <c r="AQ18" s="7">
        <f t="shared" si="11"/>
        <v>8.57142857142857</v>
      </c>
      <c r="AR18" s="7">
        <f t="shared" si="12"/>
        <v>13.4285714285714</v>
      </c>
      <c r="AS18">
        <f t="shared" si="13"/>
        <v>154</v>
      </c>
      <c r="AT18" s="2">
        <f>IFERROR(时间!$B$4+AS18,"上周无销量")</f>
        <v>43444</v>
      </c>
    </row>
    <row r="19" spans="1:46">
      <c r="A19" t="s">
        <v>119</v>
      </c>
      <c r="B19" s="5">
        <f>SUMIF('库存（子SKU）'!$C:$C,$A19,'库存（子SKU）'!D:D)</f>
        <v>0</v>
      </c>
      <c r="C19" s="5">
        <f>SUMIF('库存（子SKU）'!$C:$C,$A19,'库存（子SKU）'!E:E)</f>
        <v>1</v>
      </c>
      <c r="D19" s="5">
        <f>SUMIF('库存（子SKU）'!$C:$C,$A19,'库存（子SKU）'!F:F)</f>
        <v>3</v>
      </c>
      <c r="E19" s="5">
        <f>SUMIF('库存（子SKU）'!$C:$C,$A19,'库存（子SKU）'!G:G)</f>
        <v>2</v>
      </c>
      <c r="F19" s="6">
        <v>96.3316666666667</v>
      </c>
      <c r="G19">
        <f>SUMIF('库存（子SKU）'!$C:$C,$A19,'库存（子SKU）'!I:I)</f>
        <v>17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17</v>
      </c>
      <c r="L19">
        <f>SUMIF('库存（子SKU）'!$C:$C,$A19,'库存（子SKU）'!N:N)</f>
        <v>0</v>
      </c>
      <c r="M19">
        <f>SUMIF('库存（子SKU）'!$C:$C,$A19,'库存（子SKU）'!O:O)</f>
        <v>3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>
        <f t="shared" si="3"/>
        <v>0</v>
      </c>
      <c r="AF19" s="23">
        <f t="shared" si="4"/>
        <v>0</v>
      </c>
      <c r="AG19" s="23">
        <f t="shared" si="5"/>
        <v>0</v>
      </c>
      <c r="AH19">
        <f>SUMIF('库存（子SKU）'!$C:$C,$A19,'库存（子SKU）'!AJ:AJ)</f>
        <v>0</v>
      </c>
      <c r="AI19">
        <f>SUMIF('库存（子SKU）'!$C:$C,$A19,'库存（子SKU）'!AK:AK)</f>
        <v>137</v>
      </c>
      <c r="AJ19">
        <f>SUMIF('库存（子SKU）'!$C:$C,$A19,'库存（子SKU）'!AL:AL)</f>
        <v>178</v>
      </c>
      <c r="AK19">
        <f>SUMIF('库存（子SKU）'!$C:$C,$A19,'库存（子SKU）'!AM:AM)</f>
        <v>128</v>
      </c>
      <c r="AL19" s="23" t="str">
        <f t="shared" si="6"/>
        <v/>
      </c>
      <c r="AM19" s="23">
        <f t="shared" si="7"/>
        <v>0.0072992700729927</v>
      </c>
      <c r="AN19" s="23">
        <f t="shared" si="8"/>
        <v>0.0168539325842697</v>
      </c>
      <c r="AO19" s="23">
        <f t="shared" si="9"/>
        <v>0.015625</v>
      </c>
      <c r="AP19" s="7">
        <f t="shared" si="10"/>
        <v>0</v>
      </c>
      <c r="AQ19" s="7">
        <f t="shared" si="11"/>
        <v>0</v>
      </c>
      <c r="AR19" s="7">
        <f t="shared" si="12"/>
        <v>17</v>
      </c>
      <c r="AS19" t="str">
        <f t="shared" si="13"/>
        <v>库存为17</v>
      </c>
      <c r="AT19" s="2" t="str">
        <f>IFERROR(时间!$B$4+AS19,"上周无销量")</f>
        <v>上周无销量</v>
      </c>
    </row>
    <row r="20" spans="1:46">
      <c r="A20" t="s">
        <v>124</v>
      </c>
      <c r="B20" s="5">
        <f>SUMIF('库存（子SKU）'!$C:$C,$A20,'库存（子SKU）'!D:D)</f>
        <v>4</v>
      </c>
      <c r="C20" s="5">
        <f>SUMIF('库存（子SKU）'!$C:$C,$A20,'库存（子SKU）'!E:E)</f>
        <v>3</v>
      </c>
      <c r="D20" s="5">
        <f>SUMIF('库存（子SKU）'!$C:$C,$A20,'库存（子SKU）'!F:F)</f>
        <v>6</v>
      </c>
      <c r="E20" s="5">
        <f>SUMIF('库存（子SKU）'!$C:$C,$A20,'库存（子SKU）'!G:G)</f>
        <v>4</v>
      </c>
      <c r="F20" s="6">
        <v>89.8723529411765</v>
      </c>
      <c r="G20">
        <f>SUMIF('库存（子SKU）'!$C:$C,$A20,'库存（子SKU）'!I:I)</f>
        <v>0</v>
      </c>
      <c r="H20">
        <f>SUMIF('库存（子SKU）'!$C:$C,$A20,'库存（子SKU）'!J:J)</f>
        <v>10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10</v>
      </c>
      <c r="L20">
        <f>SUMIF('库存（子SKU）'!$C:$C,$A20,'库存（子SKU）'!N:N)</f>
        <v>1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>
        <f t="shared" si="2"/>
        <v>0</v>
      </c>
      <c r="AE20" s="23">
        <f t="shared" si="3"/>
        <v>0</v>
      </c>
      <c r="AF20" s="23">
        <f t="shared" si="4"/>
        <v>0</v>
      </c>
      <c r="AG20" s="23">
        <f t="shared" si="5"/>
        <v>0</v>
      </c>
      <c r="AH20">
        <f>SUMIF('库存（子SKU）'!$C:$C,$A20,'库存（子SKU）'!AJ:AJ)</f>
        <v>0</v>
      </c>
      <c r="AI20">
        <f>SUMIF('库存（子SKU）'!$C:$C,$A20,'库存（子SKU）'!AK:AK)</f>
        <v>222</v>
      </c>
      <c r="AJ20">
        <f>SUMIF('库存（子SKU）'!$C:$C,$A20,'库存（子SKU）'!AL:AL)</f>
        <v>577</v>
      </c>
      <c r="AK20">
        <f>SUMIF('库存（子SKU）'!$C:$C,$A20,'库存（子SKU）'!AM:AM)</f>
        <v>244</v>
      </c>
      <c r="AL20" s="23" t="str">
        <f t="shared" si="6"/>
        <v/>
      </c>
      <c r="AM20" s="23">
        <f t="shared" si="7"/>
        <v>0.0135135135135135</v>
      </c>
      <c r="AN20" s="23">
        <f t="shared" si="8"/>
        <v>0.0103986135181976</v>
      </c>
      <c r="AO20" s="23">
        <f t="shared" si="9"/>
        <v>0.0163934426229508</v>
      </c>
      <c r="AP20" s="7">
        <f t="shared" si="10"/>
        <v>0.571428571428571</v>
      </c>
      <c r="AQ20" s="7">
        <f t="shared" si="11"/>
        <v>34.2857142857143</v>
      </c>
      <c r="AR20" s="7">
        <f t="shared" si="12"/>
        <v>-24.2857142857143</v>
      </c>
      <c r="AS20">
        <f t="shared" si="13"/>
        <v>17</v>
      </c>
      <c r="AT20" s="2">
        <f>IFERROR(时间!$B$4+AS20,"上周无销量")</f>
        <v>43307</v>
      </c>
    </row>
    <row r="21" spans="1:46">
      <c r="A21" t="s">
        <v>127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1</v>
      </c>
      <c r="F21" s="6">
        <v>90.99</v>
      </c>
      <c r="G21">
        <f>SUMIF('库存（子SKU）'!$C:$C,$A21,'库存（子SKU）'!I:I)</f>
        <v>8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8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9459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54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>
        <f t="shared" si="18"/>
        <v>0.00570884871550904</v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12.8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>
        <f t="shared" si="5"/>
        <v>0.140674799428509</v>
      </c>
      <c r="AH21">
        <f>SUMIF('库存（子SKU）'!$C:$C,$A21,'库存（子SKU）'!AJ:AJ)</f>
        <v>0</v>
      </c>
      <c r="AI21">
        <f>SUMIF('库存（子SKU）'!$C:$C,$A21,'库存（子SKU）'!AK:AK)</f>
        <v>5</v>
      </c>
      <c r="AJ21">
        <f>SUMIF('库存（子SKU）'!$C:$C,$A21,'库存（子SKU）'!AL:AL)</f>
        <v>6</v>
      </c>
      <c r="AK21">
        <f>SUMIF('库存（子SKU）'!$C:$C,$A21,'库存（子SKU）'!AM:AM)</f>
        <v>4</v>
      </c>
      <c r="AL21" s="23" t="str">
        <f t="shared" si="6"/>
        <v/>
      </c>
      <c r="AM21" s="23">
        <f t="shared" si="7"/>
        <v>0</v>
      </c>
      <c r="AN21" s="23">
        <f t="shared" si="8"/>
        <v>0</v>
      </c>
      <c r="AO21" s="23">
        <f t="shared" si="9"/>
        <v>0.25</v>
      </c>
      <c r="AP21" s="7">
        <f t="shared" si="10"/>
        <v>0</v>
      </c>
      <c r="AQ21" s="7">
        <f t="shared" si="11"/>
        <v>0</v>
      </c>
      <c r="AR21" s="7">
        <f t="shared" si="12"/>
        <v>8</v>
      </c>
      <c r="AS21" t="str">
        <f t="shared" si="13"/>
        <v>库存为8</v>
      </c>
      <c r="AT21" s="2" t="str">
        <f>IFERROR(时间!$B$4+AS21,"上周无销量")</f>
        <v>上周无销量</v>
      </c>
    </row>
    <row r="22" spans="1:46">
      <c r="A22" t="s">
        <v>130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54</v>
      </c>
      <c r="G22">
        <f>SUMIF('库存（子SKU）'!$C:$C,$A22,'库存（子SKU）'!I:I)</f>
        <v>8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8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32</v>
      </c>
      <c r="AJ22">
        <f>SUMIF('库存（子SKU）'!$C:$C,$A22,'库存（子SKU）'!AL:AL)</f>
        <v>28</v>
      </c>
      <c r="AK22">
        <f>SUMIF('库存（子SKU）'!$C:$C,$A22,'库存（子SKU）'!AM:AM)</f>
        <v>30</v>
      </c>
      <c r="AL22" s="23" t="str">
        <f t="shared" si="6"/>
        <v/>
      </c>
      <c r="AM22" s="23">
        <f t="shared" si="7"/>
        <v>0</v>
      </c>
      <c r="AN22" s="23">
        <f t="shared" si="8"/>
        <v>0</v>
      </c>
      <c r="AO22" s="23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8</v>
      </c>
      <c r="AS22" t="str">
        <f t="shared" si="13"/>
        <v>库存为8</v>
      </c>
      <c r="AT22" s="2" t="str">
        <f>IFERROR(时间!$B$4+AS22,"上周无销量")</f>
        <v>上周无销量</v>
      </c>
    </row>
    <row r="23" spans="1:46">
      <c r="A23" t="s">
        <v>133</v>
      </c>
      <c r="B23" s="5">
        <f>SUMIF('库存（子SKU）'!$C:$C,$A23,'库存（子SKU）'!D:D)</f>
        <v>3</v>
      </c>
      <c r="C23" s="5">
        <f>SUMIF('库存（子SKU）'!$C:$C,$A23,'库存（子SKU）'!E:E)</f>
        <v>4</v>
      </c>
      <c r="D23" s="5">
        <f>SUMIF('库存（子SKU）'!$C:$C,$A23,'库存（子SKU）'!F:F)</f>
        <v>1</v>
      </c>
      <c r="E23" s="5">
        <f>SUMIF('库存（子SKU）'!$C:$C,$A23,'库存（子SKU）'!G:G)</f>
        <v>7</v>
      </c>
      <c r="F23" s="6">
        <v>79.99</v>
      </c>
      <c r="G23">
        <f>SUMIF('库存（子SKU）'!$C:$C,$A23,'库存（子SKU）'!I:I)</f>
        <v>0</v>
      </c>
      <c r="H23">
        <f>SUMIF('库存（子SKU）'!$C:$C,$A23,'库存（子SKU）'!J:J)</f>
        <v>15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15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28780</v>
      </c>
      <c r="O23">
        <f>SUMIF('库存（子SKU）'!$C:$C,$A23,'库存（子SKU）'!Q:Q)</f>
        <v>82101</v>
      </c>
      <c r="P23">
        <f>SUMIF('库存（子SKU）'!$C:$C,$A23,'库存（子SKU）'!R:R)</f>
        <v>79179</v>
      </c>
      <c r="Q23">
        <f>SUMIF('库存（子SKU）'!$C:$C,$A23,'库存（子SKU）'!S:S)</f>
        <v>79504</v>
      </c>
      <c r="R23">
        <f>SUMIF('库存（子SKU）'!$C:$C,$A23,'库存（子SKU）'!T:T)</f>
        <v>116</v>
      </c>
      <c r="S23">
        <f>SUMIF('库存（子SKU）'!$C:$C,$A23,'库存（子SKU）'!U:U)</f>
        <v>196</v>
      </c>
      <c r="T23">
        <f>SUMIF('库存（子SKU）'!$C:$C,$A23,'库存（子SKU）'!V:V)</f>
        <v>202</v>
      </c>
      <c r="U23">
        <f>SUMIF('库存（子SKU）'!$C:$C,$A23,'库存（子SKU）'!W:W)</f>
        <v>184</v>
      </c>
      <c r="V23" s="23">
        <f t="shared" si="15"/>
        <v>0.00403057678943711</v>
      </c>
      <c r="W23" s="23">
        <f t="shared" si="16"/>
        <v>0.00238730344331981</v>
      </c>
      <c r="X23" s="23">
        <f t="shared" si="17"/>
        <v>0.00255118150014524</v>
      </c>
      <c r="Y23" s="23">
        <f t="shared" si="18"/>
        <v>0.00231434896357416</v>
      </c>
      <c r="Z23">
        <f>SUMIF('库存（子SKU）'!$C:$C,$A23,'库存（子SKU）'!AB:AB)</f>
        <v>25.87</v>
      </c>
      <c r="AA23">
        <f>SUMIF('库存（子SKU）'!$C:$C,$A23,'库存（子SKU）'!AC:AC)</f>
        <v>53.11</v>
      </c>
      <c r="AB23">
        <f>SUMIF('库存（子SKU）'!$C:$C,$A23,'库存（子SKU）'!AD:AD)</f>
        <v>53.44</v>
      </c>
      <c r="AC23">
        <f>SUMIF('库存（子SKU）'!$C:$C,$A23,'库存（子SKU）'!AE:AE)</f>
        <v>46.25</v>
      </c>
      <c r="AD23" s="23">
        <f t="shared" si="2"/>
        <v>0.107805142309455</v>
      </c>
      <c r="AE23" s="23">
        <f t="shared" si="3"/>
        <v>0.165989498687336</v>
      </c>
      <c r="AF23" s="23">
        <f t="shared" si="4"/>
        <v>0.668083510438805</v>
      </c>
      <c r="AG23" s="23">
        <f t="shared" si="5"/>
        <v>0.0825996106656189</v>
      </c>
      <c r="AH23">
        <f>SUMIF('库存（子SKU）'!$C:$C,$A23,'库存（子SKU）'!AJ:AJ)</f>
        <v>0</v>
      </c>
      <c r="AI23">
        <f>SUMIF('库存（子SKU）'!$C:$C,$A23,'库存（子SKU）'!AK:AK)</f>
        <v>147</v>
      </c>
      <c r="AJ23">
        <f>SUMIF('库存（子SKU）'!$C:$C,$A23,'库存（子SKU）'!AL:AL)</f>
        <v>243</v>
      </c>
      <c r="AK23">
        <f>SUMIF('库存（子SKU）'!$C:$C,$A23,'库存（子SKU）'!AM:AM)</f>
        <v>241</v>
      </c>
      <c r="AL23" s="23" t="str">
        <f t="shared" si="6"/>
        <v/>
      </c>
      <c r="AM23" s="23">
        <f t="shared" si="7"/>
        <v>0.0272108843537415</v>
      </c>
      <c r="AN23" s="23">
        <f t="shared" si="8"/>
        <v>0.00411522633744856</v>
      </c>
      <c r="AO23" s="23">
        <f t="shared" si="9"/>
        <v>0.029045643153527</v>
      </c>
      <c r="AP23" s="7">
        <f t="shared" si="10"/>
        <v>0.428571428571429</v>
      </c>
      <c r="AQ23" s="7">
        <f t="shared" si="11"/>
        <v>25.7142857142857</v>
      </c>
      <c r="AR23" s="7">
        <f t="shared" si="12"/>
        <v>-10.7142857142857</v>
      </c>
      <c r="AS23">
        <f t="shared" si="13"/>
        <v>35</v>
      </c>
      <c r="AT23" s="2">
        <f>IFERROR(时间!$B$4+AS23,"上周无销量")</f>
        <v>43325</v>
      </c>
    </row>
    <row r="24" spans="1:46">
      <c r="A24" t="s">
        <v>136</v>
      </c>
      <c r="B24" s="5">
        <f>SUMIF('库存（子SKU）'!$C:$C,$A24,'库存（子SKU）'!D:D)</f>
        <v>0</v>
      </c>
      <c r="C24" s="5">
        <f>SUMIF('库存（子SKU）'!$C:$C,$A24,'库存（子SKU）'!E:E)</f>
        <v>2</v>
      </c>
      <c r="D24" s="5">
        <f>SUMIF('库存（子SKU）'!$C:$C,$A24,'库存（子SKU）'!F:F)</f>
        <v>1</v>
      </c>
      <c r="E24" s="5">
        <f>SUMIF('库存（子SKU）'!$C:$C,$A24,'库存（子SKU）'!G:G)</f>
        <v>0</v>
      </c>
      <c r="F24" s="6">
        <v>79.99</v>
      </c>
      <c r="G24">
        <f>SUMIF('库存（子SKU）'!$C:$C,$A24,'库存（子SKU）'!I:I)</f>
        <v>9</v>
      </c>
      <c r="H24">
        <f>SUMIF('库存（子SKU）'!$C:$C,$A24,'库存（子SKU）'!J:J)</f>
        <v>5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14</v>
      </c>
      <c r="L24">
        <f>SUMIF('库存（子SKU）'!$C:$C,$A24,'库存（子SKU）'!N:N)</f>
        <v>0</v>
      </c>
      <c r="M24">
        <f>SUMIF('库存（子SKU）'!$C:$C,$A24,'库存（子SKU）'!O:O)</f>
        <v>2</v>
      </c>
      <c r="N24">
        <f>SUMIF('库存（子SKU）'!$C:$C,$A24,'库存（子SKU）'!P:P)</f>
        <v>5541</v>
      </c>
      <c r="O24">
        <f>SUMIF('库存（子SKU）'!$C:$C,$A24,'库存（子SKU）'!Q:Q)</f>
        <v>5797</v>
      </c>
      <c r="P24">
        <f>SUMIF('库存（子SKU）'!$C:$C,$A24,'库存（子SKU）'!R:R)</f>
        <v>5843</v>
      </c>
      <c r="Q24">
        <f>SUMIF('库存（子SKU）'!$C:$C,$A24,'库存（子SKU）'!S:S)</f>
        <v>5848</v>
      </c>
      <c r="R24">
        <f>SUMIF('库存（子SKU）'!$C:$C,$A24,'库存（子SKU）'!T:T)</f>
        <v>42</v>
      </c>
      <c r="S24">
        <f>SUMIF('库存（子SKU）'!$C:$C,$A24,'库存（子SKU）'!U:U)</f>
        <v>53</v>
      </c>
      <c r="T24">
        <f>SUMIF('库存（子SKU）'!$C:$C,$A24,'库存（子SKU）'!V:V)</f>
        <v>47</v>
      </c>
      <c r="U24">
        <f>SUMIF('库存（子SKU）'!$C:$C,$A24,'库存（子SKU）'!W:W)</f>
        <v>58</v>
      </c>
      <c r="V24" s="23">
        <f t="shared" si="15"/>
        <v>0.00757985923118571</v>
      </c>
      <c r="W24" s="23">
        <f t="shared" si="16"/>
        <v>0.00914265999654994</v>
      </c>
      <c r="X24" s="23">
        <f t="shared" si="17"/>
        <v>0.00804381310970392</v>
      </c>
      <c r="Y24" s="23">
        <f t="shared" si="18"/>
        <v>0.00991792065663475</v>
      </c>
      <c r="Z24">
        <f>SUMIF('库存（子SKU）'!$C:$C,$A24,'库存（子SKU）'!AB:AB)</f>
        <v>4.83</v>
      </c>
      <c r="AA24">
        <f>SUMIF('库存（子SKU）'!$C:$C,$A24,'库存（子SKU）'!AC:AC)</f>
        <v>7.95</v>
      </c>
      <c r="AB24">
        <f>SUMIF('库存（子SKU）'!$C:$C,$A24,'库存（子SKU）'!AD:AD)</f>
        <v>5.87</v>
      </c>
      <c r="AC24">
        <f>SUMIF('库存（子SKU）'!$C:$C,$A24,'库存（子SKU）'!AE:AE)</f>
        <v>7.45</v>
      </c>
      <c r="AD24" s="23" t="str">
        <f t="shared" si="2"/>
        <v>无销量广告费为4.83</v>
      </c>
      <c r="AE24" s="23">
        <f t="shared" si="3"/>
        <v>0.0496937117139643</v>
      </c>
      <c r="AF24" s="23">
        <f t="shared" si="4"/>
        <v>0.0733841730216277</v>
      </c>
      <c r="AG24" s="23" t="str">
        <f t="shared" si="5"/>
        <v>无销量广告费为7.45</v>
      </c>
      <c r="AH24">
        <f>SUMIF('库存（子SKU）'!$C:$C,$A24,'库存（子SKU）'!AJ:AJ)</f>
        <v>0</v>
      </c>
      <c r="AI24">
        <f>SUMIF('库存（子SKU）'!$C:$C,$A24,'库存（子SKU）'!AK:AK)</f>
        <v>70</v>
      </c>
      <c r="AJ24">
        <f>SUMIF('库存（子SKU）'!$C:$C,$A24,'库存（子SKU）'!AL:AL)</f>
        <v>64</v>
      </c>
      <c r="AK24">
        <f>SUMIF('库存（子SKU）'!$C:$C,$A24,'库存（子SKU）'!AM:AM)</f>
        <v>57</v>
      </c>
      <c r="AL24" s="23" t="str">
        <f t="shared" si="6"/>
        <v/>
      </c>
      <c r="AM24" s="23">
        <f t="shared" si="7"/>
        <v>0.0285714285714286</v>
      </c>
      <c r="AN24" s="23">
        <f t="shared" si="8"/>
        <v>0.015625</v>
      </c>
      <c r="AO24" s="23">
        <f t="shared" si="9"/>
        <v>0</v>
      </c>
      <c r="AP24" s="7">
        <f t="shared" si="10"/>
        <v>0</v>
      </c>
      <c r="AQ24" s="7">
        <f t="shared" si="11"/>
        <v>0</v>
      </c>
      <c r="AR24" s="7">
        <f t="shared" si="12"/>
        <v>14</v>
      </c>
      <c r="AS24" t="str">
        <f t="shared" si="13"/>
        <v>库存为14</v>
      </c>
      <c r="AT24" s="2" t="str">
        <f>IFERROR(时间!$B$4+AS24,"上周无销量")</f>
        <v>上周无销量</v>
      </c>
    </row>
    <row r="25" spans="1:46">
      <c r="A25" t="s">
        <v>144</v>
      </c>
      <c r="B25" s="5">
        <f>SUMIF('库存（子SKU）'!$C:$C,$A25,'库存（子SKU）'!D:D)</f>
        <v>2</v>
      </c>
      <c r="C25" s="5">
        <f>SUMIF('库存（子SKU）'!$C:$C,$A25,'库存（子SKU）'!E:E)</f>
        <v>1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>
        <v>89.99</v>
      </c>
      <c r="G25">
        <f>SUMIF('库存（子SKU）'!$C:$C,$A25,'库存（子SKU）'!I:I)</f>
        <v>2</v>
      </c>
      <c r="H25">
        <f>SUMIF('库存（子SKU）'!$C:$C,$A25,'库存（子SKU）'!J:J)</f>
        <v>5</v>
      </c>
      <c r="I25">
        <f>SUMIF('库存（子SKU）'!$C:$C,$A25,'库存（子SKU）'!K:K)</f>
        <v>0</v>
      </c>
      <c r="J25">
        <f>SUMIF('库存（子SKU）'!$C:$C,$A25,'库存（子SKU）'!L:L)</f>
        <v>1</v>
      </c>
      <c r="K25">
        <f t="shared" si="0"/>
        <v>8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4380</v>
      </c>
      <c r="O25">
        <f>SUMIF('库存（子SKU）'!$C:$C,$A25,'库存（子SKU）'!Q:Q)</f>
        <v>5669</v>
      </c>
      <c r="P25">
        <f>SUMIF('库存（子SKU）'!$C:$C,$A25,'库存（子SKU）'!R:R)</f>
        <v>8586</v>
      </c>
      <c r="Q25">
        <f>SUMIF('库存（子SKU）'!$C:$C,$A25,'库存（子SKU）'!S:S)</f>
        <v>5444</v>
      </c>
      <c r="R25">
        <f>SUMIF('库存（子SKU）'!$C:$C,$A25,'库存（子SKU）'!T:T)</f>
        <v>35</v>
      </c>
      <c r="S25">
        <f>SUMIF('库存（子SKU）'!$C:$C,$A25,'库存（子SKU）'!U:U)</f>
        <v>45</v>
      </c>
      <c r="T25">
        <f>SUMIF('库存（子SKU）'!$C:$C,$A25,'库存（子SKU）'!V:V)</f>
        <v>87</v>
      </c>
      <c r="U25">
        <f>SUMIF('库存（子SKU）'!$C:$C,$A25,'库存（子SKU）'!W:W)</f>
        <v>32</v>
      </c>
      <c r="V25" s="23">
        <f t="shared" si="15"/>
        <v>0.00799086757990868</v>
      </c>
      <c r="W25" s="23">
        <f t="shared" si="16"/>
        <v>0.00793790792026812</v>
      </c>
      <c r="X25" s="23">
        <f t="shared" si="17"/>
        <v>0.0101327742837177</v>
      </c>
      <c r="Y25" s="23">
        <f t="shared" si="18"/>
        <v>0.00587803085966201</v>
      </c>
      <c r="Z25">
        <f>SUMIF('库存（子SKU）'!$C:$C,$A25,'库存（子SKU）'!AB:AB)</f>
        <v>4.66</v>
      </c>
      <c r="AA25">
        <f>SUMIF('库存（子SKU）'!$C:$C,$A25,'库存（子SKU）'!AC:AC)</f>
        <v>6.2</v>
      </c>
      <c r="AB25">
        <f>SUMIF('库存（子SKU）'!$C:$C,$A25,'库存（子SKU）'!AD:AD)</f>
        <v>11.45</v>
      </c>
      <c r="AC25">
        <f>SUMIF('库存（子SKU）'!$C:$C,$A25,'库存（子SKU）'!AE:AE)</f>
        <v>4.22</v>
      </c>
      <c r="AD25" s="23">
        <f t="shared" si="2"/>
        <v>0.0258917657517502</v>
      </c>
      <c r="AE25" s="23">
        <f t="shared" si="3"/>
        <v>0.0688965440604512</v>
      </c>
      <c r="AF25" s="23" t="str">
        <f t="shared" si="4"/>
        <v>无销量广告费为11.45</v>
      </c>
      <c r="AG25" s="23" t="str">
        <f t="shared" si="5"/>
        <v>无销量广告费为4.22</v>
      </c>
      <c r="AH25">
        <f>SUMIF('库存（子SKU）'!$C:$C,$A25,'库存（子SKU）'!AJ:AJ)</f>
        <v>0</v>
      </c>
      <c r="AI25">
        <f>SUMIF('库存（子SKU）'!$C:$C,$A25,'库存（子SKU）'!AK:AK)</f>
        <v>44</v>
      </c>
      <c r="AJ25">
        <f>SUMIF('库存（子SKU）'!$C:$C,$A25,'库存（子SKU）'!AL:AL)</f>
        <v>40</v>
      </c>
      <c r="AK25">
        <f>SUMIF('库存（子SKU）'!$C:$C,$A25,'库存（子SKU）'!AM:AM)</f>
        <v>65</v>
      </c>
      <c r="AL25" s="23" t="str">
        <f t="shared" si="6"/>
        <v/>
      </c>
      <c r="AM25" s="23">
        <f t="shared" si="7"/>
        <v>0.0227272727272727</v>
      </c>
      <c r="AN25" s="23">
        <f t="shared" si="8"/>
        <v>0</v>
      </c>
      <c r="AO25" s="23">
        <f t="shared" si="9"/>
        <v>0</v>
      </c>
      <c r="AP25" s="7">
        <f t="shared" si="10"/>
        <v>0.285714285714286</v>
      </c>
      <c r="AQ25" s="7">
        <f t="shared" si="11"/>
        <v>17.1428571428571</v>
      </c>
      <c r="AR25" s="7">
        <f t="shared" si="12"/>
        <v>-9.14285714285714</v>
      </c>
      <c r="AS25">
        <f t="shared" si="13"/>
        <v>28</v>
      </c>
      <c r="AT25" s="2">
        <f>IFERROR(时间!$B$4+AS25,"上周无销量")</f>
        <v>43318</v>
      </c>
    </row>
    <row r="26" spans="1:46">
      <c r="A26" t="s">
        <v>149</v>
      </c>
      <c r="B26" s="5">
        <f>SUMIF('库存（子SKU）'!$C:$C,$A26,'库存（子SKU）'!D:D)</f>
        <v>0</v>
      </c>
      <c r="C26" s="5">
        <f>SUMIF('库存（子SKU）'!$C:$C,$A26,'库存（子SKU）'!E:E)</f>
        <v>1</v>
      </c>
      <c r="D26" s="5">
        <f>SUMIF('库存（子SKU）'!$C:$C,$A26,'库存（子SKU）'!F:F)</f>
        <v>0</v>
      </c>
      <c r="E26" s="5">
        <f>SUMIF('库存（子SKU）'!$C:$C,$A26,'库存（子SKU）'!G:G)</f>
        <v>1</v>
      </c>
      <c r="F26" s="6">
        <v>37.99</v>
      </c>
      <c r="G26">
        <f>SUMIF('库存（子SKU）'!$C:$C,$A26,'库存（子SKU）'!I:I)</f>
        <v>15</v>
      </c>
      <c r="H26">
        <f>SUMIF('库存（子SKU）'!$C:$C,$A26,'库存（子SKU）'!J:J)</f>
        <v>3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18</v>
      </c>
      <c r="L26">
        <f>SUMIF('库存（子SKU）'!$C:$C,$A26,'库存（子SKU）'!N:N)</f>
        <v>0</v>
      </c>
      <c r="M26">
        <f>SUMIF('库存（子SKU）'!$C:$C,$A26,'库存（子SKU）'!O:O)</f>
        <v>7</v>
      </c>
      <c r="N26">
        <f>SUMIF('库存（子SKU）'!$C:$C,$A26,'库存（子SKU）'!P:P)</f>
        <v>34864</v>
      </c>
      <c r="O26">
        <f>SUMIF('库存（子SKU）'!$C:$C,$A26,'库存（子SKU）'!Q:Q)</f>
        <v>40293</v>
      </c>
      <c r="P26">
        <f>SUMIF('库存（子SKU）'!$C:$C,$A26,'库存（子SKU）'!R:R)</f>
        <v>19292</v>
      </c>
      <c r="Q26">
        <f>SUMIF('库存（子SKU）'!$C:$C,$A26,'库存（子SKU）'!S:S)</f>
        <v>14</v>
      </c>
      <c r="R26">
        <f>SUMIF('库存（子SKU）'!$C:$C,$A26,'库存（子SKU）'!T:T)</f>
        <v>192</v>
      </c>
      <c r="S26">
        <f>SUMIF('库存（子SKU）'!$C:$C,$A26,'库存（子SKU）'!U:U)</f>
        <v>210</v>
      </c>
      <c r="T26">
        <f>SUMIF('库存（子SKU）'!$C:$C,$A26,'库存（子SKU）'!V:V)</f>
        <v>129</v>
      </c>
      <c r="U26">
        <f>SUMIF('库存（子SKU）'!$C:$C,$A26,'库存（子SKU）'!W:W)</f>
        <v>0</v>
      </c>
      <c r="V26" s="23">
        <f t="shared" si="15"/>
        <v>0.00550711335474988</v>
      </c>
      <c r="W26" s="23">
        <f t="shared" si="16"/>
        <v>0.00521182339364158</v>
      </c>
      <c r="X26" s="23">
        <f t="shared" si="17"/>
        <v>0.0066867095168982</v>
      </c>
      <c r="Y26" s="23">
        <f t="shared" si="18"/>
        <v>0</v>
      </c>
      <c r="Z26">
        <f>SUMIF('库存（子SKU）'!$C:$C,$A26,'库存（子SKU）'!AB:AB)</f>
        <v>33.74</v>
      </c>
      <c r="AA26">
        <f>SUMIF('库存（子SKU）'!$C:$C,$A26,'库存（子SKU）'!AC:AC)</f>
        <v>37.08</v>
      </c>
      <c r="AB26">
        <f>SUMIF('库存（子SKU）'!$C:$C,$A26,'库存（子SKU）'!AD:AD)</f>
        <v>23.41</v>
      </c>
      <c r="AC26">
        <f>SUMIF('库存（子SKU）'!$C:$C,$A26,'库存（子SKU）'!AE:AE)</f>
        <v>0</v>
      </c>
      <c r="AD26" s="23" t="str">
        <f t="shared" si="2"/>
        <v>无销量广告费为33.74</v>
      </c>
      <c r="AE26" s="23">
        <f t="shared" si="3"/>
        <v>0.976046327981048</v>
      </c>
      <c r="AF26" s="23" t="str">
        <f t="shared" si="4"/>
        <v>无销量广告费为23.41</v>
      </c>
      <c r="AG26" s="23">
        <f t="shared" si="5"/>
        <v>0</v>
      </c>
      <c r="AH26">
        <f>SUMIF('库存（子SKU）'!$C:$C,$A26,'库存（子SKU）'!AJ:AJ)</f>
        <v>0</v>
      </c>
      <c r="AI26">
        <f>SUMIF('库存（子SKU）'!$C:$C,$A26,'库存（子SKU）'!AK:AK)</f>
        <v>144</v>
      </c>
      <c r="AJ26">
        <f>SUMIF('库存（子SKU）'!$C:$C,$A26,'库存（子SKU）'!AL:AL)</f>
        <v>130</v>
      </c>
      <c r="AK26">
        <f>SUMIF('库存（子SKU）'!$C:$C,$A26,'库存（子SKU）'!AM:AM)</f>
        <v>87</v>
      </c>
      <c r="AL26" s="23" t="str">
        <f t="shared" si="6"/>
        <v/>
      </c>
      <c r="AM26" s="23">
        <f t="shared" si="7"/>
        <v>0.00694444444444444</v>
      </c>
      <c r="AN26" s="23">
        <f t="shared" si="8"/>
        <v>0</v>
      </c>
      <c r="AO26" s="23">
        <f t="shared" si="9"/>
        <v>0.0114942528735632</v>
      </c>
      <c r="AP26" s="7">
        <f t="shared" si="10"/>
        <v>0</v>
      </c>
      <c r="AQ26" s="7">
        <f t="shared" si="11"/>
        <v>0</v>
      </c>
      <c r="AR26" s="7">
        <f t="shared" si="12"/>
        <v>18</v>
      </c>
      <c r="AS26" t="str">
        <f t="shared" si="13"/>
        <v>库存为18</v>
      </c>
      <c r="AT26" s="2" t="str">
        <f>IFERROR(时间!$B$4+AS26,"上周无销量")</f>
        <v>上周无销量</v>
      </c>
    </row>
    <row r="27" spans="1:46">
      <c r="A27" t="s">
        <v>159</v>
      </c>
      <c r="B27" s="5">
        <f>SUMIF('库存（子SKU）'!$C:$C,$A27,'库存（子SKU）'!D:D)</f>
        <v>10</v>
      </c>
      <c r="C27" s="5">
        <f>SUMIF('库存（子SKU）'!$C:$C,$A27,'库存（子SKU）'!E:E)</f>
        <v>14</v>
      </c>
      <c r="D27" s="5">
        <f>SUMIF('库存（子SKU）'!$C:$C,$A27,'库存（子SKU）'!F:F)</f>
        <v>13</v>
      </c>
      <c r="E27" s="5">
        <f>SUMIF('库存（子SKU）'!$C:$C,$A27,'库存（子SKU）'!G:G)</f>
        <v>13</v>
      </c>
      <c r="F27" s="6">
        <v>85.43</v>
      </c>
      <c r="G27">
        <f>SUMIF('库存（子SKU）'!$C:$C,$A27,'库存（子SKU）'!I:I)</f>
        <v>92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24</v>
      </c>
      <c r="K27">
        <f t="shared" si="0"/>
        <v>116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78189</v>
      </c>
      <c r="Q27">
        <f>SUMIF('库存（子SKU）'!$C:$C,$A27,'库存（子SKU）'!S:S)</f>
        <v>130413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498</v>
      </c>
      <c r="U27">
        <f>SUMIF('库存（子SKU）'!$C:$C,$A27,'库存（子SKU）'!W:W)</f>
        <v>975</v>
      </c>
      <c r="V27" s="23" t="str">
        <f t="shared" si="15"/>
        <v/>
      </c>
      <c r="W27" s="23" t="str">
        <f t="shared" si="16"/>
        <v/>
      </c>
      <c r="X27" s="23">
        <f t="shared" si="17"/>
        <v>0.00636918236580593</v>
      </c>
      <c r="Y27" s="23">
        <f t="shared" si="18"/>
        <v>0.0074762485335051</v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61.21</v>
      </c>
      <c r="AC27">
        <f>SUMIF('库存（子SKU）'!$C:$C,$A27,'库存（子SKU）'!AE:AE)</f>
        <v>120.02</v>
      </c>
      <c r="AD27" s="23">
        <f t="shared" si="2"/>
        <v>0</v>
      </c>
      <c r="AE27" s="23">
        <f t="shared" si="3"/>
        <v>0</v>
      </c>
      <c r="AF27" s="23">
        <f t="shared" si="4"/>
        <v>0.0551148488641173</v>
      </c>
      <c r="AG27" s="23">
        <f t="shared" si="5"/>
        <v>0.108068684212896</v>
      </c>
      <c r="AH27">
        <f>SUMIF('库存（子SKU）'!$C:$C,$A27,'库存（子SKU）'!AJ:AJ)</f>
        <v>0</v>
      </c>
      <c r="AI27">
        <f>SUMIF('库存（子SKU）'!$C:$C,$A27,'库存（子SKU）'!AK:AK)</f>
        <v>1335</v>
      </c>
      <c r="AJ27">
        <f>SUMIF('库存（子SKU）'!$C:$C,$A27,'库存（子SKU）'!AL:AL)</f>
        <v>1058</v>
      </c>
      <c r="AK27">
        <f>SUMIF('库存（子SKU）'!$C:$C,$A27,'库存（子SKU）'!AM:AM)</f>
        <v>1429</v>
      </c>
      <c r="AL27" s="23" t="str">
        <f t="shared" si="6"/>
        <v/>
      </c>
      <c r="AM27" s="23">
        <f t="shared" si="7"/>
        <v>0.0104868913857678</v>
      </c>
      <c r="AN27" s="23">
        <f t="shared" si="8"/>
        <v>0.0122873345935728</v>
      </c>
      <c r="AO27" s="23">
        <f t="shared" si="9"/>
        <v>0.00909727081875437</v>
      </c>
      <c r="AP27" s="7">
        <f t="shared" si="10"/>
        <v>1.42857142857143</v>
      </c>
      <c r="AQ27" s="7">
        <f t="shared" si="11"/>
        <v>85.7142857142857</v>
      </c>
      <c r="AR27" s="7">
        <f t="shared" si="12"/>
        <v>30.2857142857143</v>
      </c>
      <c r="AS27">
        <f t="shared" si="13"/>
        <v>81</v>
      </c>
      <c r="AT27" s="2">
        <f>IFERROR(时间!$B$4+AS27,"上周无销量")</f>
        <v>43371</v>
      </c>
    </row>
    <row r="28" spans="1:46">
      <c r="A28" t="s">
        <v>166</v>
      </c>
      <c r="B28" s="5">
        <f>SUMIF('库存（子SKU）'!$C:$C,$A28,'库存（子SKU）'!D:D)</f>
        <v>0</v>
      </c>
      <c r="C28" s="5">
        <f>SUMIF('库存（子SKU）'!$C:$C,$A28,'库存（子SKU）'!E:E)</f>
        <v>3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>
        <v>79.99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19602</v>
      </c>
      <c r="O28">
        <f>SUMIF('库存（子SKU）'!$C:$C,$A28,'库存（子SKU）'!Q:Q)</f>
        <v>14346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105</v>
      </c>
      <c r="S28">
        <f>SUMIF('库存（子SKU）'!$C:$C,$A28,'库存（子SKU）'!U:U)</f>
        <v>115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>
        <f t="shared" si="15"/>
        <v>0.00535659626568717</v>
      </c>
      <c r="W28" s="23">
        <f t="shared" si="16"/>
        <v>0.00801617175519309</v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17.39</v>
      </c>
      <c r="AA28">
        <f>SUMIF('库存（子SKU）'!$C:$C,$A28,'库存（子SKU）'!AC:AC)</f>
        <v>20.61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>无销量广告费为17.39</v>
      </c>
      <c r="AE28" s="23">
        <f t="shared" si="3"/>
        <v>0.0858857357169646</v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123</v>
      </c>
      <c r="AJ28">
        <f>SUMIF('库存（子SKU）'!$C:$C,$A28,'库存（子SKU）'!AL:AL)</f>
        <v>80</v>
      </c>
      <c r="AK28">
        <f>SUMIF('库存（子SKU）'!$C:$C,$A28,'库存（子SKU）'!AM:AM)</f>
        <v>4</v>
      </c>
      <c r="AL28" s="23" t="str">
        <f t="shared" si="6"/>
        <v/>
      </c>
      <c r="AM28" s="23">
        <f t="shared" si="7"/>
        <v>0.024390243902439</v>
      </c>
      <c r="AN28" s="23">
        <f t="shared" si="8"/>
        <v>0</v>
      </c>
      <c r="AO28" s="23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0</v>
      </c>
      <c r="AS28" t="str">
        <f t="shared" si="13"/>
        <v>库存为0</v>
      </c>
      <c r="AT28" s="2" t="str">
        <f>IFERROR(时间!$B$4+AS28,"上周无销量")</f>
        <v>上周无销量</v>
      </c>
    </row>
    <row r="29" spans="1:46">
      <c r="A29" t="s">
        <v>170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54</v>
      </c>
      <c r="G29">
        <f>SUMIF('库存（子SKU）'!$C:$C,$A29,'库存（子SKU）'!I:I)</f>
        <v>7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7</v>
      </c>
      <c r="L29">
        <f>SUMIF('库存（子SKU）'!$C:$C,$A29,'库存（子SKU）'!N:N)</f>
        <v>0</v>
      </c>
      <c r="M29">
        <f>SUMIF('库存（子SKU）'!$C:$C,$A29,'库存（子SKU）'!O:O)</f>
        <v>7</v>
      </c>
      <c r="N29">
        <f>SUMIF('库存（子SKU）'!$C:$C,$A29,'库存（子SKU）'!P:P)</f>
        <v>11916</v>
      </c>
      <c r="O29">
        <f>SUMIF('库存（子SKU）'!$C:$C,$A29,'库存（子SKU）'!Q:Q)</f>
        <v>25713</v>
      </c>
      <c r="P29">
        <f>SUMIF('库存（子SKU）'!$C:$C,$A29,'库存（子SKU）'!R:R)</f>
        <v>41026</v>
      </c>
      <c r="Q29">
        <f>SUMIF('库存（子SKU）'!$C:$C,$A29,'库存（子SKU）'!S:S)</f>
        <v>21407</v>
      </c>
      <c r="R29">
        <f>SUMIF('库存（子SKU）'!$C:$C,$A29,'库存（子SKU）'!T:T)</f>
        <v>55</v>
      </c>
      <c r="S29">
        <f>SUMIF('库存（子SKU）'!$C:$C,$A29,'库存（子SKU）'!U:U)</f>
        <v>99</v>
      </c>
      <c r="T29">
        <f>SUMIF('库存（子SKU）'!$C:$C,$A29,'库存（子SKU）'!V:V)</f>
        <v>170</v>
      </c>
      <c r="U29">
        <f>SUMIF('库存（子SKU）'!$C:$C,$A29,'库存（子SKU）'!W:W)</f>
        <v>104</v>
      </c>
      <c r="V29" s="23">
        <f t="shared" si="15"/>
        <v>0.00461564283316549</v>
      </c>
      <c r="W29" s="23">
        <f t="shared" si="16"/>
        <v>0.00385019250962548</v>
      </c>
      <c r="X29" s="23">
        <f t="shared" si="17"/>
        <v>0.00414371374250475</v>
      </c>
      <c r="Y29" s="23">
        <f t="shared" si="18"/>
        <v>0.00485822394543841</v>
      </c>
      <c r="Z29">
        <f>SUMIF('库存（子SKU）'!$C:$C,$A29,'库存（子SKU）'!AB:AB)</f>
        <v>7.45</v>
      </c>
      <c r="AA29">
        <f>SUMIF('库存（子SKU）'!$C:$C,$A29,'库存（子SKU）'!AC:AC)</f>
        <v>14.6</v>
      </c>
      <c r="AB29">
        <f>SUMIF('库存（子SKU）'!$C:$C,$A29,'库存（子SKU）'!AD:AD)</f>
        <v>24.64</v>
      </c>
      <c r="AC29">
        <f>SUMIF('库存（子SKU）'!$C:$C,$A29,'库存（子SKU）'!AE:AE)</f>
        <v>15.12</v>
      </c>
      <c r="AD29" s="23" t="str">
        <f t="shared" si="2"/>
        <v>无销量广告费为7.45</v>
      </c>
      <c r="AE29" s="23" t="str">
        <f t="shared" si="3"/>
        <v>无销量广告费为14.6</v>
      </c>
      <c r="AF29" s="23" t="str">
        <f t="shared" si="4"/>
        <v>无销量广告费为24.64</v>
      </c>
      <c r="AG29" s="23" t="str">
        <f t="shared" si="5"/>
        <v>无销量广告费为15.12</v>
      </c>
      <c r="AH29">
        <f>SUMIF('库存（子SKU）'!$C:$C,$A29,'库存（子SKU）'!AJ:AJ)</f>
        <v>0</v>
      </c>
      <c r="AI29">
        <f>SUMIF('库存（子SKU）'!$C:$C,$A29,'库存（子SKU）'!AK:AK)</f>
        <v>34</v>
      </c>
      <c r="AJ29">
        <f>SUMIF('库存（子SKU）'!$C:$C,$A29,'库存（子SKU）'!AL:AL)</f>
        <v>54</v>
      </c>
      <c r="AK29">
        <f>SUMIF('库存（子SKU）'!$C:$C,$A29,'库存（子SKU）'!AM:AM)</f>
        <v>106</v>
      </c>
      <c r="AL29" s="23" t="str">
        <f t="shared" si="6"/>
        <v/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7</v>
      </c>
      <c r="AS29" t="str">
        <f t="shared" si="13"/>
        <v>库存为7</v>
      </c>
      <c r="AT29" s="2" t="str">
        <f>IFERROR(时间!$B$4+AS29,"上周无销量")</f>
        <v>上周无销量</v>
      </c>
    </row>
    <row r="30" spans="1:46">
      <c r="A30" t="s">
        <v>176</v>
      </c>
      <c r="B30" s="5">
        <f>SUMIF('库存（子SKU）'!$C:$C,$A30,'库存（子SKU）'!D:D)</f>
        <v>1</v>
      </c>
      <c r="C30" s="5">
        <f>SUMIF('库存（子SKU）'!$C:$C,$A30,'库存（子SKU）'!E:E)</f>
        <v>5</v>
      </c>
      <c r="D30" s="5">
        <f>SUMIF('库存（子SKU）'!$C:$C,$A30,'库存（子SKU）'!F:F)</f>
        <v>2</v>
      </c>
      <c r="E30" s="5">
        <f>SUMIF('库存（子SKU）'!$C:$C,$A30,'库存（子SKU）'!G:G)</f>
        <v>4</v>
      </c>
      <c r="F30" s="6">
        <v>89.99</v>
      </c>
      <c r="G30">
        <f>SUMIF('库存（子SKU）'!$C:$C,$A30,'库存（子SKU）'!I:I)</f>
        <v>12</v>
      </c>
      <c r="H30">
        <f>SUMIF('库存（子SKU）'!$C:$C,$A30,'库存（子SKU）'!J:J)</f>
        <v>10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22</v>
      </c>
      <c r="L30">
        <f>SUMIF('库存（子SKU）'!$C:$C,$A30,'库存（子SKU）'!N:N)</f>
        <v>1</v>
      </c>
      <c r="M30">
        <f>SUMIF('库存（子SKU）'!$C:$C,$A30,'库存（子SKU）'!O:O)</f>
        <v>0</v>
      </c>
      <c r="N30">
        <f>SUMIF('库存（子SKU）'!$C:$C,$A30,'库存（子SKU）'!P:P)</f>
        <v>27566</v>
      </c>
      <c r="O30">
        <f>SUMIF('库存（子SKU）'!$C:$C,$A30,'库存（子SKU）'!Q:Q)</f>
        <v>109409</v>
      </c>
      <c r="P30">
        <f>SUMIF('库存（子SKU）'!$C:$C,$A30,'库存（子SKU）'!R:R)</f>
        <v>99909</v>
      </c>
      <c r="Q30">
        <f>SUMIF('库存（子SKU）'!$C:$C,$A30,'库存（子SKU）'!S:S)</f>
        <v>103421</v>
      </c>
      <c r="R30">
        <f>SUMIF('库存（子SKU）'!$C:$C,$A30,'库存（子SKU）'!T:T)</f>
        <v>95</v>
      </c>
      <c r="S30">
        <f>SUMIF('库存（子SKU）'!$C:$C,$A30,'库存（子SKU）'!U:U)</f>
        <v>347</v>
      </c>
      <c r="T30">
        <f>SUMIF('库存（子SKU）'!$C:$C,$A30,'库存（子SKU）'!V:V)</f>
        <v>289</v>
      </c>
      <c r="U30">
        <f>SUMIF('库存（子SKU）'!$C:$C,$A30,'库存（子SKU）'!W:W)</f>
        <v>279</v>
      </c>
      <c r="V30" s="23">
        <f t="shared" si="15"/>
        <v>0.00344627439599507</v>
      </c>
      <c r="W30" s="23">
        <f t="shared" si="16"/>
        <v>0.0031715855185588</v>
      </c>
      <c r="X30" s="23">
        <f t="shared" si="17"/>
        <v>0.0028926322953888</v>
      </c>
      <c r="Y30" s="23">
        <f t="shared" si="18"/>
        <v>0.00269771129654519</v>
      </c>
      <c r="Z30">
        <f>SUMIF('库存（子SKU）'!$C:$C,$A30,'库存（子SKU）'!AB:AB)</f>
        <v>22.6</v>
      </c>
      <c r="AA30">
        <f>SUMIF('库存（子SKU）'!$C:$C,$A30,'库存（子SKU）'!AC:AC)</f>
        <v>98.76</v>
      </c>
      <c r="AB30">
        <f>SUMIF('库存（子SKU）'!$C:$C,$A30,'库存（子SKU）'!AD:AD)</f>
        <v>79.5</v>
      </c>
      <c r="AC30">
        <f>SUMIF('库存（子SKU）'!$C:$C,$A30,'库存（子SKU）'!AE:AE)</f>
        <v>78.78</v>
      </c>
      <c r="AD30" s="23">
        <f t="shared" si="2"/>
        <v>0.251139015446161</v>
      </c>
      <c r="AE30" s="23">
        <f t="shared" si="3"/>
        <v>0.219491054561618</v>
      </c>
      <c r="AF30" s="23">
        <f t="shared" si="4"/>
        <v>0.441715746194022</v>
      </c>
      <c r="AG30" s="23">
        <f t="shared" si="5"/>
        <v>0.218857650850094</v>
      </c>
      <c r="AH30">
        <f>SUMIF('库存（子SKU）'!$C:$C,$A30,'库存（子SKU）'!AJ:AJ)</f>
        <v>0</v>
      </c>
      <c r="AI30">
        <f>SUMIF('库存（子SKU）'!$C:$C,$A30,'库存（子SKU）'!AK:AK)</f>
        <v>109</v>
      </c>
      <c r="AJ30">
        <f>SUMIF('库存（子SKU）'!$C:$C,$A30,'库存（子SKU）'!AL:AL)</f>
        <v>245</v>
      </c>
      <c r="AK30">
        <f>SUMIF('库存（子SKU）'!$C:$C,$A30,'库存（子SKU）'!AM:AM)</f>
        <v>233</v>
      </c>
      <c r="AL30" s="23" t="str">
        <f t="shared" si="6"/>
        <v/>
      </c>
      <c r="AM30" s="23">
        <f t="shared" si="7"/>
        <v>0.0458715596330275</v>
      </c>
      <c r="AN30" s="23">
        <f t="shared" si="8"/>
        <v>0.00816326530612245</v>
      </c>
      <c r="AO30" s="23">
        <f t="shared" si="9"/>
        <v>0.0171673819742489</v>
      </c>
      <c r="AP30" s="7">
        <f t="shared" si="10"/>
        <v>0.142857142857143</v>
      </c>
      <c r="AQ30" s="7">
        <f t="shared" si="11"/>
        <v>8.57142857142857</v>
      </c>
      <c r="AR30" s="7">
        <f t="shared" si="12"/>
        <v>13.4285714285714</v>
      </c>
      <c r="AS30">
        <f t="shared" si="13"/>
        <v>154</v>
      </c>
      <c r="AT30" s="2">
        <f>IFERROR(时间!$B$4+AS30,"上周无销量")</f>
        <v>43444</v>
      </c>
    </row>
    <row r="31" spans="1:46">
      <c r="A31" t="s">
        <v>179</v>
      </c>
      <c r="B31" s="5">
        <f>SUMIF('库存（子SKU）'!$C:$C,$A31,'库存（子SKU）'!D:D)</f>
        <v>1</v>
      </c>
      <c r="C31" s="5">
        <f>SUMIF('库存（子SKU）'!$C:$C,$A31,'库存（子SKU）'!E:E)</f>
        <v>6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>
        <v>82.5614285714286</v>
      </c>
      <c r="G31">
        <f>SUMIF('库存（子SKU）'!$C:$C,$A31,'库存（子SKU）'!I:I)</f>
        <v>30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20</v>
      </c>
      <c r="K31">
        <f t="shared" si="0"/>
        <v>50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31775</v>
      </c>
      <c r="O31">
        <f>SUMIF('库存（子SKU）'!$C:$C,$A31,'库存（子SKU）'!Q:Q)</f>
        <v>8734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189</v>
      </c>
      <c r="S31">
        <f>SUMIF('库存（子SKU）'!$C:$C,$A31,'库存（子SKU）'!U:U)</f>
        <v>92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>
        <f t="shared" si="15"/>
        <v>0.00594807238394965</v>
      </c>
      <c r="W31" s="23">
        <f t="shared" si="16"/>
        <v>0.0105335470574765</v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30.97</v>
      </c>
      <c r="AA31">
        <f>SUMIF('库存（子SKU）'!$C:$C,$A31,'库存（子SKU）'!AC:AC)</f>
        <v>13.86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>
        <f t="shared" si="2"/>
        <v>0.375114633260083</v>
      </c>
      <c r="AE31" s="23">
        <f t="shared" si="3"/>
        <v>0.0279791670271486</v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200</v>
      </c>
      <c r="AJ31">
        <f>SUMIF('库存（子SKU）'!$C:$C,$A31,'库存（子SKU）'!AL:AL)</f>
        <v>70</v>
      </c>
      <c r="AK31">
        <f>SUMIF('库存（子SKU）'!$C:$C,$A31,'库存（子SKU）'!AM:AM)</f>
        <v>3</v>
      </c>
      <c r="AL31" s="23" t="str">
        <f t="shared" si="6"/>
        <v/>
      </c>
      <c r="AM31" s="23">
        <f t="shared" si="7"/>
        <v>0.03</v>
      </c>
      <c r="AN31" s="23">
        <f t="shared" si="8"/>
        <v>0</v>
      </c>
      <c r="AO31" s="23">
        <f t="shared" si="9"/>
        <v>0</v>
      </c>
      <c r="AP31" s="7">
        <f t="shared" si="10"/>
        <v>0.142857142857143</v>
      </c>
      <c r="AQ31" s="7">
        <f t="shared" si="11"/>
        <v>8.57142857142857</v>
      </c>
      <c r="AR31" s="7">
        <f t="shared" si="12"/>
        <v>41.4285714285714</v>
      </c>
      <c r="AS31">
        <f t="shared" si="13"/>
        <v>350</v>
      </c>
      <c r="AT31" s="2">
        <f>IFERROR(时间!$B$4+AS31,"上周无销量")</f>
        <v>43640</v>
      </c>
    </row>
    <row r="32" spans="1:46">
      <c r="A32" t="s">
        <v>184</v>
      </c>
      <c r="B32" s="5">
        <f>SUMIF('库存（子SKU）'!$C:$C,$A32,'库存（子SKU）'!D:D)</f>
        <v>0</v>
      </c>
      <c r="C32" s="5">
        <f>SUMIF('库存（子SKU）'!$C:$C,$A32,'库存（子SKU）'!E:E)</f>
        <v>1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>
        <v>89.6</v>
      </c>
      <c r="G32">
        <f>SUMIF('库存（子SKU）'!$C:$C,$A32,'库存（子SKU）'!I:I)</f>
        <v>4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4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>
        <f t="shared" si="3"/>
        <v>0</v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19</v>
      </c>
      <c r="AJ32">
        <f>SUMIF('库存（子SKU）'!$C:$C,$A32,'库存（子SKU）'!AL:AL)</f>
        <v>18</v>
      </c>
      <c r="AK32">
        <f>SUMIF('库存（子SKU）'!$C:$C,$A32,'库存（子SKU）'!AM:AM)</f>
        <v>13</v>
      </c>
      <c r="AL32" s="23" t="str">
        <f t="shared" si="6"/>
        <v/>
      </c>
      <c r="AM32" s="23">
        <f t="shared" si="7"/>
        <v>0.0526315789473684</v>
      </c>
      <c r="AN32" s="23">
        <f t="shared" si="8"/>
        <v>0</v>
      </c>
      <c r="AO32" s="23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4</v>
      </c>
      <c r="AS32" t="str">
        <f t="shared" si="13"/>
        <v>库存为4</v>
      </c>
      <c r="AT32" s="2" t="str">
        <f>IFERROR(时间!$B$4+AS32,"上周无销量")</f>
        <v>上周无销量</v>
      </c>
    </row>
    <row r="33" spans="1:46">
      <c r="A33" t="s">
        <v>187</v>
      </c>
      <c r="B33" s="5">
        <f>SUMIF('库存（子SKU）'!$C:$C,$A33,'库存（子SKU）'!D:D)</f>
        <v>1</v>
      </c>
      <c r="C33" s="5">
        <f>SUMIF('库存（子SKU）'!$C:$C,$A33,'库存（子SKU）'!E:E)</f>
        <v>0</v>
      </c>
      <c r="D33" s="5">
        <f>SUMIF('库存（子SKU）'!$C:$C,$A33,'库存（子SKU）'!F:F)</f>
        <v>1</v>
      </c>
      <c r="E33" s="5">
        <f>SUMIF('库存（子SKU）'!$C:$C,$A33,'库存（子SKU）'!G:G)</f>
        <v>0</v>
      </c>
      <c r="F33" s="6">
        <v>89.99</v>
      </c>
      <c r="G33">
        <f>SUMIF('库存（子SKU）'!$C:$C,$A33,'库存（子SKU）'!I:I)</f>
        <v>4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5</v>
      </c>
      <c r="K33">
        <f t="shared" si="0"/>
        <v>9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10862</v>
      </c>
      <c r="O33">
        <f>SUMIF('库存（子SKU）'!$C:$C,$A33,'库存（子SKU）'!Q:Q)</f>
        <v>15420</v>
      </c>
      <c r="P33">
        <f>SUMIF('库存（子SKU）'!$C:$C,$A33,'库存（子SKU）'!R:R)</f>
        <v>14538</v>
      </c>
      <c r="Q33">
        <f>SUMIF('库存（子SKU）'!$C:$C,$A33,'库存（子SKU）'!S:S)</f>
        <v>15704</v>
      </c>
      <c r="R33">
        <f>SUMIF('库存（子SKU）'!$C:$C,$A33,'库存（子SKU）'!T:T)</f>
        <v>128</v>
      </c>
      <c r="S33">
        <f>SUMIF('库存（子SKU）'!$C:$C,$A33,'库存（子SKU）'!U:U)</f>
        <v>135</v>
      </c>
      <c r="T33">
        <f>SUMIF('库存（子SKU）'!$C:$C,$A33,'库存（子SKU）'!V:V)</f>
        <v>196</v>
      </c>
      <c r="U33">
        <f>SUMIF('库存（子SKU）'!$C:$C,$A33,'库存（子SKU）'!W:W)</f>
        <v>170</v>
      </c>
      <c r="V33" s="23">
        <f t="shared" si="15"/>
        <v>0.0117842018044559</v>
      </c>
      <c r="W33" s="23">
        <f t="shared" si="16"/>
        <v>0.00875486381322957</v>
      </c>
      <c r="X33" s="23">
        <f t="shared" si="17"/>
        <v>0.0134819094786078</v>
      </c>
      <c r="Y33" s="23">
        <f t="shared" si="18"/>
        <v>0.010825267447784</v>
      </c>
      <c r="Z33">
        <f>SUMIF('库存（子SKU）'!$C:$C,$A33,'库存（子SKU）'!AB:AB)</f>
        <v>16.5</v>
      </c>
      <c r="AA33">
        <f>SUMIF('库存（子SKU）'!$C:$C,$A33,'库存（子SKU）'!AC:AC)</f>
        <v>17.65</v>
      </c>
      <c r="AB33">
        <f>SUMIF('库存（子SKU）'!$C:$C,$A33,'库存（子SKU）'!AD:AD)</f>
        <v>24.04</v>
      </c>
      <c r="AC33">
        <f>SUMIF('库存（子SKU）'!$C:$C,$A33,'库存（子SKU）'!AE:AE)</f>
        <v>23.03</v>
      </c>
      <c r="AD33" s="23">
        <f t="shared" si="2"/>
        <v>0.18335370596733</v>
      </c>
      <c r="AE33" s="23" t="str">
        <f t="shared" si="3"/>
        <v>无销量广告费为17.65</v>
      </c>
      <c r="AF33" s="23">
        <f t="shared" si="4"/>
        <v>0.267140793421491</v>
      </c>
      <c r="AG33" s="23" t="str">
        <f t="shared" si="5"/>
        <v>无销量广告费为23.03</v>
      </c>
      <c r="AH33">
        <f>SUMIF('库存（子SKU）'!$C:$C,$A33,'库存（子SKU）'!AJ:AJ)</f>
        <v>0</v>
      </c>
      <c r="AI33">
        <f>SUMIF('库存（子SKU）'!$C:$C,$A33,'库存（子SKU）'!AK:AK)</f>
        <v>124</v>
      </c>
      <c r="AJ33">
        <f>SUMIF('库存（子SKU）'!$C:$C,$A33,'库存（子SKU）'!AL:AL)</f>
        <v>129</v>
      </c>
      <c r="AK33">
        <f>SUMIF('库存（子SKU）'!$C:$C,$A33,'库存（子SKU）'!AM:AM)</f>
        <v>147</v>
      </c>
      <c r="AL33" s="23" t="str">
        <f t="shared" si="6"/>
        <v/>
      </c>
      <c r="AM33" s="23">
        <f t="shared" si="7"/>
        <v>0</v>
      </c>
      <c r="AN33" s="23">
        <f t="shared" si="8"/>
        <v>0.00775193798449612</v>
      </c>
      <c r="AO33" s="23">
        <f t="shared" si="9"/>
        <v>0</v>
      </c>
      <c r="AP33" s="7">
        <f t="shared" si="10"/>
        <v>0.142857142857143</v>
      </c>
      <c r="AQ33" s="7">
        <f t="shared" si="11"/>
        <v>8.57142857142857</v>
      </c>
      <c r="AR33" s="7">
        <f t="shared" si="12"/>
        <v>0.428571428571429</v>
      </c>
      <c r="AS33">
        <f t="shared" si="13"/>
        <v>63</v>
      </c>
      <c r="AT33" s="2">
        <f>IFERROR(时间!$B$4+AS33,"上周无销量")</f>
        <v>43353</v>
      </c>
    </row>
    <row r="34" spans="1:46">
      <c r="A34" t="s">
        <v>192</v>
      </c>
      <c r="B34" s="5">
        <f>SUMIF('库存（子SKU）'!$C:$C,$A34,'库存（子SKU）'!D:D)</f>
        <v>6</v>
      </c>
      <c r="C34" s="5">
        <f>SUMIF('库存（子SKU）'!$C:$C,$A34,'库存（子SKU）'!E:E)</f>
        <v>3</v>
      </c>
      <c r="D34" s="5">
        <f>SUMIF('库存（子SKU）'!$C:$C,$A34,'库存（子SKU）'!F:F)</f>
        <v>6</v>
      </c>
      <c r="E34" s="5">
        <f>SUMIF('库存（子SKU）'!$C:$C,$A34,'库存（子SKU）'!G:G)</f>
        <v>3</v>
      </c>
      <c r="F34" s="6">
        <v>89.99</v>
      </c>
      <c r="G34">
        <f>SUMIF('库存（子SKU）'!$C:$C,$A34,'库存（子SKU）'!I:I)</f>
        <v>8</v>
      </c>
      <c r="H34">
        <f>SUMIF('库存（子SKU）'!$C:$C,$A34,'库存（子SKU）'!J:J)</f>
        <v>5</v>
      </c>
      <c r="I34">
        <f>SUMIF('库存（子SKU）'!$C:$C,$A34,'库存（子SKU）'!K:K)</f>
        <v>0</v>
      </c>
      <c r="J34">
        <f>SUMIF('库存（子SKU）'!$C:$C,$A34,'库存（子SKU）'!L:L)</f>
        <v>2</v>
      </c>
      <c r="K34">
        <f t="shared" si="0"/>
        <v>15</v>
      </c>
      <c r="L34">
        <f>SUMIF('库存（子SKU）'!$C:$C,$A34,'库存（子SKU）'!N:N)</f>
        <v>1</v>
      </c>
      <c r="M34">
        <f>SUMIF('库存（子SKU）'!$C:$C,$A34,'库存（子SKU）'!O:O)</f>
        <v>0</v>
      </c>
      <c r="N34">
        <f>SUMIF('库存（子SKU）'!$C:$C,$A34,'库存（子SKU）'!P:P)</f>
        <v>30106</v>
      </c>
      <c r="O34">
        <f>SUMIF('库存（子SKU）'!$C:$C,$A34,'库存（子SKU）'!Q:Q)</f>
        <v>27626</v>
      </c>
      <c r="P34">
        <f>SUMIF('库存（子SKU）'!$C:$C,$A34,'库存（子SKU）'!R:R)</f>
        <v>18699</v>
      </c>
      <c r="Q34">
        <f>SUMIF('库存（子SKU）'!$C:$C,$A34,'库存（子SKU）'!S:S)</f>
        <v>16854</v>
      </c>
      <c r="R34">
        <f>SUMIF('库存（子SKU）'!$C:$C,$A34,'库存（子SKU）'!T:T)</f>
        <v>317</v>
      </c>
      <c r="S34">
        <f>SUMIF('库存（子SKU）'!$C:$C,$A34,'库存（子SKU）'!U:U)</f>
        <v>320</v>
      </c>
      <c r="T34">
        <f>SUMIF('库存（子SKU）'!$C:$C,$A34,'库存（子SKU）'!V:V)</f>
        <v>263</v>
      </c>
      <c r="U34">
        <f>SUMIF('库存（子SKU）'!$C:$C,$A34,'库存（子SKU）'!W:W)</f>
        <v>235</v>
      </c>
      <c r="V34" s="23">
        <f t="shared" si="15"/>
        <v>0.0105294625656015</v>
      </c>
      <c r="W34" s="23">
        <f t="shared" si="16"/>
        <v>0.0115832911025845</v>
      </c>
      <c r="X34" s="23">
        <f t="shared" si="17"/>
        <v>0.0140649232579282</v>
      </c>
      <c r="Y34" s="23">
        <f t="shared" si="18"/>
        <v>0.0139432775602231</v>
      </c>
      <c r="Z34">
        <f>SUMIF('库存（子SKU）'!$C:$C,$A34,'库存（子SKU）'!AB:AB)</f>
        <v>43.45</v>
      </c>
      <c r="AA34">
        <f>SUMIF('库存（子SKU）'!$C:$C,$A34,'库存（子SKU）'!AC:AC)</f>
        <v>46.23</v>
      </c>
      <c r="AB34">
        <f>SUMIF('库存（子SKU）'!$C:$C,$A34,'库存（子SKU）'!AD:AD)</f>
        <v>38.64</v>
      </c>
      <c r="AC34">
        <f>SUMIF('库存（子SKU）'!$C:$C,$A34,'库存（子SKU）'!AE:AE)</f>
        <v>32.9</v>
      </c>
      <c r="AD34" s="23">
        <f t="shared" si="2"/>
        <v>0.0804719042856614</v>
      </c>
      <c r="AE34" s="23">
        <f t="shared" si="3"/>
        <v>0.17124124902767</v>
      </c>
      <c r="AF34" s="23">
        <f t="shared" si="4"/>
        <v>0.0715635070563396</v>
      </c>
      <c r="AG34" s="23">
        <f t="shared" si="5"/>
        <v>0.121865392451013</v>
      </c>
      <c r="AH34">
        <f>SUMIF('库存（子SKU）'!$C:$C,$A34,'库存（子SKU）'!AJ:AJ)</f>
        <v>0</v>
      </c>
      <c r="AI34">
        <f>SUMIF('库存（子SKU）'!$C:$C,$A34,'库存（子SKU）'!AK:AK)</f>
        <v>393</v>
      </c>
      <c r="AJ34">
        <f>SUMIF('库存（子SKU）'!$C:$C,$A34,'库存（子SKU）'!AL:AL)</f>
        <v>358</v>
      </c>
      <c r="AK34">
        <f>SUMIF('库存（子SKU）'!$C:$C,$A34,'库存（子SKU）'!AM:AM)</f>
        <v>238</v>
      </c>
      <c r="AL34" s="23" t="str">
        <f t="shared" si="6"/>
        <v/>
      </c>
      <c r="AM34" s="23">
        <f t="shared" si="7"/>
        <v>0.00763358778625954</v>
      </c>
      <c r="AN34" s="23">
        <f t="shared" si="8"/>
        <v>0.0167597765363128</v>
      </c>
      <c r="AO34" s="23">
        <f t="shared" si="9"/>
        <v>0.0126050420168067</v>
      </c>
      <c r="AP34" s="7">
        <f t="shared" si="10"/>
        <v>0.857142857142857</v>
      </c>
      <c r="AQ34" s="7">
        <f t="shared" si="11"/>
        <v>51.4285714285714</v>
      </c>
      <c r="AR34" s="7">
        <f t="shared" si="12"/>
        <v>-36.4285714285714</v>
      </c>
      <c r="AS34">
        <f t="shared" si="13"/>
        <v>17</v>
      </c>
      <c r="AT34" s="2">
        <f>IFERROR(时间!$B$4+AS34,"上周无销量")</f>
        <v>43307</v>
      </c>
    </row>
    <row r="35" spans="1:46">
      <c r="A35" t="s">
        <v>197</v>
      </c>
      <c r="B35" s="5">
        <f>SUMIF('库存（子SKU）'!$C:$C,$A35,'库存（子SKU）'!D:D)</f>
        <v>4</v>
      </c>
      <c r="C35" s="5">
        <f>SUMIF('库存（子SKU）'!$C:$C,$A35,'库存（子SKU）'!E:E)</f>
        <v>4</v>
      </c>
      <c r="D35" s="5">
        <f>SUMIF('库存（子SKU）'!$C:$C,$A35,'库存（子SKU）'!F:F)</f>
        <v>4</v>
      </c>
      <c r="E35" s="5">
        <f>SUMIF('库存（子SKU）'!$C:$C,$A35,'库存（子SKU）'!G:G)</f>
        <v>7</v>
      </c>
      <c r="F35" s="6">
        <v>89.6742105263158</v>
      </c>
      <c r="G35">
        <f>SUMIF('库存（子SKU）'!$C:$C,$A35,'库存（子SKU）'!I:I)</f>
        <v>16</v>
      </c>
      <c r="H35">
        <f>SUMIF('库存（子SKU）'!$C:$C,$A35,'库存（子SKU）'!J:J)</f>
        <v>31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47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57795</v>
      </c>
      <c r="O35">
        <f>SUMIF('库存（子SKU）'!$C:$C,$A35,'库存（子SKU）'!Q:Q)</f>
        <v>31313</v>
      </c>
      <c r="P35">
        <f>SUMIF('库存（子SKU）'!$C:$C,$A35,'库存（子SKU）'!R:R)</f>
        <v>55042</v>
      </c>
      <c r="Q35">
        <f>SUMIF('库存（子SKU）'!$C:$C,$A35,'库存（子SKU）'!S:S)</f>
        <v>44617</v>
      </c>
      <c r="R35">
        <f>SUMIF('库存（子SKU）'!$C:$C,$A35,'库存（子SKU）'!T:T)</f>
        <v>431</v>
      </c>
      <c r="S35">
        <f>SUMIF('库存（子SKU）'!$C:$C,$A35,'库存（子SKU）'!U:U)</f>
        <v>317</v>
      </c>
      <c r="T35">
        <f>SUMIF('库存（子SKU）'!$C:$C,$A35,'库存（子SKU）'!V:V)</f>
        <v>537</v>
      </c>
      <c r="U35">
        <f>SUMIF('库存（子SKU）'!$C:$C,$A35,'库存（子SKU）'!W:W)</f>
        <v>379</v>
      </c>
      <c r="V35" s="23">
        <f t="shared" si="15"/>
        <v>0.00745739250800242</v>
      </c>
      <c r="W35" s="23">
        <f t="shared" si="16"/>
        <v>0.0101235908408648</v>
      </c>
      <c r="X35" s="23">
        <f t="shared" si="17"/>
        <v>0.00975618618509502</v>
      </c>
      <c r="Y35" s="23">
        <f t="shared" si="18"/>
        <v>0.00849452002599906</v>
      </c>
      <c r="Z35">
        <f>SUMIF('库存（子SKU）'!$C:$C,$A35,'库存（子SKU）'!AB:AB)</f>
        <v>59</v>
      </c>
      <c r="AA35">
        <f>SUMIF('库存（子SKU）'!$C:$C,$A35,'库存（子SKU）'!AC:AC)</f>
        <v>41.32</v>
      </c>
      <c r="AB35">
        <f>SUMIF('库存（子SKU）'!$C:$C,$A35,'库存（子SKU）'!AD:AD)</f>
        <v>71.9</v>
      </c>
      <c r="AC35">
        <f>SUMIF('库存（子SKU）'!$C:$C,$A35,'库存（子SKU）'!AE:AE)</f>
        <v>48.73</v>
      </c>
      <c r="AD35" s="23">
        <f t="shared" si="2"/>
        <v>0.164484302827193</v>
      </c>
      <c r="AE35" s="23">
        <f t="shared" si="3"/>
        <v>0.115194769369824</v>
      </c>
      <c r="AF35" s="23">
        <f t="shared" si="4"/>
        <v>0.20044781988602</v>
      </c>
      <c r="AG35" s="23">
        <f t="shared" si="5"/>
        <v>0.0776302186612021</v>
      </c>
      <c r="AH35">
        <f>SUMIF('库存（子SKU）'!$C:$C,$A35,'库存（子SKU）'!AJ:AJ)</f>
        <v>0</v>
      </c>
      <c r="AI35">
        <f>SUMIF('库存（子SKU）'!$C:$C,$A35,'库存（子SKU）'!AK:AK)</f>
        <v>443</v>
      </c>
      <c r="AJ35">
        <f>SUMIF('库存（子SKU）'!$C:$C,$A35,'库存（子SKU）'!AL:AL)</f>
        <v>300</v>
      </c>
      <c r="AK35">
        <f>SUMIF('库存（子SKU）'!$C:$C,$A35,'库存（子SKU）'!AM:AM)</f>
        <v>393</v>
      </c>
      <c r="AL35" s="23" t="str">
        <f t="shared" si="6"/>
        <v/>
      </c>
      <c r="AM35" s="23">
        <f t="shared" si="7"/>
        <v>0.0090293453724605</v>
      </c>
      <c r="AN35" s="23">
        <f t="shared" si="8"/>
        <v>0.0133333333333333</v>
      </c>
      <c r="AO35" s="23">
        <f t="shared" si="9"/>
        <v>0.0178117048346056</v>
      </c>
      <c r="AP35" s="7">
        <f t="shared" si="10"/>
        <v>0.571428571428571</v>
      </c>
      <c r="AQ35" s="7">
        <f t="shared" si="11"/>
        <v>34.2857142857143</v>
      </c>
      <c r="AR35" s="7">
        <f t="shared" si="12"/>
        <v>12.7142857142857</v>
      </c>
      <c r="AS35">
        <f t="shared" si="13"/>
        <v>82</v>
      </c>
      <c r="AT35" s="2">
        <f>IFERROR(时间!$B$4+AS35,"上周无销量")</f>
        <v>43372</v>
      </c>
    </row>
    <row r="36" spans="1:46">
      <c r="A36" t="s">
        <v>205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">
        <v>54</v>
      </c>
      <c r="G36">
        <f>SUMIF('库存（子SKU）'!$C:$C,$A36,'库存（子SKU）'!I:I)</f>
        <v>3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3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16898</v>
      </c>
      <c r="O36">
        <f>SUMIF('库存（子SKU）'!$C:$C,$A36,'库存（子SKU）'!Q:Q)</f>
        <v>7029</v>
      </c>
      <c r="P36">
        <f>SUMIF('库存（子SKU）'!$C:$C,$A36,'库存（子SKU）'!R:R)</f>
        <v>3404</v>
      </c>
      <c r="Q36">
        <f>SUMIF('库存（子SKU）'!$C:$C,$A36,'库存（子SKU）'!S:S)</f>
        <v>3049</v>
      </c>
      <c r="R36">
        <f>SUMIF('库存（子SKU）'!$C:$C,$A36,'库存（子SKU）'!T:T)</f>
        <v>41</v>
      </c>
      <c r="S36">
        <f>SUMIF('库存（子SKU）'!$C:$C,$A36,'库存（子SKU）'!U:U)</f>
        <v>53</v>
      </c>
      <c r="T36">
        <f>SUMIF('库存（子SKU）'!$C:$C,$A36,'库存（子SKU）'!V:V)</f>
        <v>36</v>
      </c>
      <c r="U36">
        <f>SUMIF('库存（子SKU）'!$C:$C,$A36,'库存（子SKU）'!W:W)</f>
        <v>28</v>
      </c>
      <c r="V36" s="23">
        <f t="shared" si="15"/>
        <v>0.00242632264173275</v>
      </c>
      <c r="W36" s="23">
        <f t="shared" si="16"/>
        <v>0.00754019063878219</v>
      </c>
      <c r="X36" s="23">
        <f t="shared" si="17"/>
        <v>0.0105757931844888</v>
      </c>
      <c r="Y36" s="23">
        <f t="shared" si="18"/>
        <v>0.00918333879960643</v>
      </c>
      <c r="Z36">
        <f>SUMIF('库存（子SKU）'!$C:$C,$A36,'库存（子SKU）'!AB:AB)</f>
        <v>5.98</v>
      </c>
      <c r="AA36">
        <f>SUMIF('库存（子SKU）'!$C:$C,$A36,'库存（子SKU）'!AC:AC)</f>
        <v>6.92</v>
      </c>
      <c r="AB36">
        <f>SUMIF('库存（子SKU）'!$C:$C,$A36,'库存（子SKU）'!AD:AD)</f>
        <v>5.19</v>
      </c>
      <c r="AC36">
        <f>SUMIF('库存（子SKU）'!$C:$C,$A36,'库存（子SKU）'!AE:AE)</f>
        <v>3.65</v>
      </c>
      <c r="AD36" s="23" t="str">
        <f t="shared" si="2"/>
        <v>无销量广告费为5.98</v>
      </c>
      <c r="AE36" s="23" t="str">
        <f t="shared" si="3"/>
        <v>无销量广告费为6.92</v>
      </c>
      <c r="AF36" s="23" t="str">
        <f t="shared" si="4"/>
        <v>无销量广告费为5.19</v>
      </c>
      <c r="AG36" s="23" t="str">
        <f t="shared" si="5"/>
        <v>无销量广告费为3.65</v>
      </c>
      <c r="AH36">
        <f>SUMIF('库存（子SKU）'!$C:$C,$A36,'库存（子SKU）'!AJ:AJ)</f>
        <v>0</v>
      </c>
      <c r="AI36">
        <f>SUMIF('库存（子SKU）'!$C:$C,$A36,'库存（子SKU）'!AK:AK)</f>
        <v>20</v>
      </c>
      <c r="AJ36">
        <f>SUMIF('库存（子SKU）'!$C:$C,$A36,'库存（子SKU）'!AL:AL)</f>
        <v>33</v>
      </c>
      <c r="AK36">
        <f>SUMIF('库存（子SKU）'!$C:$C,$A36,'库存（子SKU）'!AM:AM)</f>
        <v>16</v>
      </c>
      <c r="AL36" s="23" t="str">
        <f t="shared" si="6"/>
        <v/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7">
        <f t="shared" si="10"/>
        <v>0</v>
      </c>
      <c r="AQ36" s="7">
        <f t="shared" si="11"/>
        <v>0</v>
      </c>
      <c r="AR36" s="7">
        <f t="shared" si="12"/>
        <v>3</v>
      </c>
      <c r="AS36" t="str">
        <f t="shared" si="13"/>
        <v>库存为3</v>
      </c>
      <c r="AT36" s="2" t="str">
        <f>IFERROR(时间!$B$4+AS36,"上周无销量")</f>
        <v>上周无销量</v>
      </c>
    </row>
    <row r="37" spans="1:46">
      <c r="A37" t="s">
        <v>212</v>
      </c>
      <c r="B37" s="5">
        <f>SUMIF('库存（子SKU）'!$C:$C,$A37,'库存（子SKU）'!D:D)</f>
        <v>1</v>
      </c>
      <c r="C37" s="5">
        <f>SUMIF('库存（子SKU）'!$C:$C,$A37,'库存（子SKU）'!E:E)</f>
        <v>1</v>
      </c>
      <c r="D37" s="5">
        <f>SUMIF('库存（子SKU）'!$C:$C,$A37,'库存（子SKU）'!F:F)</f>
        <v>3</v>
      </c>
      <c r="E37" s="5">
        <f>SUMIF('库存（子SKU）'!$C:$C,$A37,'库存（子SKU）'!G:G)</f>
        <v>0</v>
      </c>
      <c r="F37" s="6">
        <v>89.99</v>
      </c>
      <c r="G37">
        <f>SUMIF('库存（子SKU）'!$C:$C,$A37,'库存（子SKU）'!I:I)</f>
        <v>8</v>
      </c>
      <c r="H37">
        <f>SUMIF('库存（子SKU）'!$C:$C,$A37,'库存（子SKU）'!J:J)</f>
        <v>2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10</v>
      </c>
      <c r="L37">
        <f>SUMIF('库存（子SKU）'!$C:$C,$A37,'库存（子SKU）'!N:N)</f>
        <v>1</v>
      </c>
      <c r="M37">
        <f>SUMIF('库存（子SKU）'!$C:$C,$A37,'库存（子SKU）'!O:O)</f>
        <v>3</v>
      </c>
      <c r="N37">
        <f>SUMIF('库存（子SKU）'!$C:$C,$A37,'库存（子SKU）'!P:P)</f>
        <v>8601</v>
      </c>
      <c r="O37">
        <f>SUMIF('库存（子SKU）'!$C:$C,$A37,'库存（子SKU）'!Q:Q)</f>
        <v>5740</v>
      </c>
      <c r="P37">
        <f>SUMIF('库存（子SKU）'!$C:$C,$A37,'库存（子SKU）'!R:R)</f>
        <v>9317</v>
      </c>
      <c r="Q37">
        <f>SUMIF('库存（子SKU）'!$C:$C,$A37,'库存（子SKU）'!S:S)</f>
        <v>7305</v>
      </c>
      <c r="R37">
        <f>SUMIF('库存（子SKU）'!$C:$C,$A37,'库存（子SKU）'!T:T)</f>
        <v>63</v>
      </c>
      <c r="S37">
        <f>SUMIF('库存（子SKU）'!$C:$C,$A37,'库存（子SKU）'!U:U)</f>
        <v>61</v>
      </c>
      <c r="T37">
        <f>SUMIF('库存（子SKU）'!$C:$C,$A37,'库存（子SKU）'!V:V)</f>
        <v>78</v>
      </c>
      <c r="U37">
        <f>SUMIF('库存（子SKU）'!$C:$C,$A37,'库存（子SKU）'!W:W)</f>
        <v>58</v>
      </c>
      <c r="V37" s="23">
        <f t="shared" si="15"/>
        <v>0.00732472968259505</v>
      </c>
      <c r="W37" s="23">
        <f t="shared" si="16"/>
        <v>0.0106271777003484</v>
      </c>
      <c r="X37" s="23">
        <f t="shared" si="17"/>
        <v>0.00837179349576044</v>
      </c>
      <c r="Y37" s="23">
        <f t="shared" si="18"/>
        <v>0.00793976728268309</v>
      </c>
      <c r="Z37">
        <f>SUMIF('库存（子SKU）'!$C:$C,$A37,'库存（子SKU）'!AB:AB)</f>
        <v>7.37</v>
      </c>
      <c r="AA37">
        <f>SUMIF('库存（子SKU）'!$C:$C,$A37,'库存（子SKU）'!AC:AC)</f>
        <v>8.48</v>
      </c>
      <c r="AB37">
        <f>SUMIF('库存（子SKU）'!$C:$C,$A37,'库存（子SKU）'!AD:AD)</f>
        <v>9.8</v>
      </c>
      <c r="AC37">
        <f>SUMIF('库存（子SKU）'!$C:$C,$A37,'库存（子SKU）'!AE:AE)</f>
        <v>7.96</v>
      </c>
      <c r="AD37" s="23">
        <f t="shared" si="2"/>
        <v>0.0818979886654073</v>
      </c>
      <c r="AE37" s="23">
        <f t="shared" si="3"/>
        <v>0.0942326925213913</v>
      </c>
      <c r="AF37" s="23">
        <f t="shared" si="4"/>
        <v>0.0363003296662592</v>
      </c>
      <c r="AG37" s="23" t="str">
        <f t="shared" si="5"/>
        <v>无销量广告费为7.96</v>
      </c>
      <c r="AH37">
        <f>SUMIF('库存（子SKU）'!$C:$C,$A37,'库存（子SKU）'!AJ:AJ)</f>
        <v>0</v>
      </c>
      <c r="AI37">
        <f>SUMIF('库存（子SKU）'!$C:$C,$A37,'库存（子SKU）'!AK:AK)</f>
        <v>94</v>
      </c>
      <c r="AJ37">
        <f>SUMIF('库存（子SKU）'!$C:$C,$A37,'库存（子SKU）'!AL:AL)</f>
        <v>59</v>
      </c>
      <c r="AK37">
        <f>SUMIF('库存（子SKU）'!$C:$C,$A37,'库存（子SKU）'!AM:AM)</f>
        <v>89</v>
      </c>
      <c r="AL37" s="23" t="str">
        <f t="shared" si="6"/>
        <v/>
      </c>
      <c r="AM37" s="23">
        <f t="shared" si="7"/>
        <v>0.0106382978723404</v>
      </c>
      <c r="AN37" s="23">
        <f t="shared" si="8"/>
        <v>0.0508474576271186</v>
      </c>
      <c r="AO37" s="23">
        <f t="shared" si="9"/>
        <v>0</v>
      </c>
      <c r="AP37" s="7">
        <f t="shared" si="10"/>
        <v>0.142857142857143</v>
      </c>
      <c r="AQ37" s="7">
        <f t="shared" si="11"/>
        <v>8.57142857142857</v>
      </c>
      <c r="AR37" s="7">
        <f t="shared" si="12"/>
        <v>1.42857142857143</v>
      </c>
      <c r="AS37">
        <f t="shared" si="13"/>
        <v>70</v>
      </c>
      <c r="AT37" s="2">
        <f>IFERROR(时间!$B$4+AS37,"上周无销量")</f>
        <v>43360</v>
      </c>
    </row>
    <row r="38" spans="1:46">
      <c r="A38" t="s">
        <v>222</v>
      </c>
      <c r="B38" s="5">
        <f>SUMIF('库存（子SKU）'!$C:$C,$A38,'库存（子SKU）'!D:D)</f>
        <v>4</v>
      </c>
      <c r="C38" s="5">
        <f>SUMIF('库存（子SKU）'!$C:$C,$A38,'库存（子SKU）'!E:E)</f>
        <v>0</v>
      </c>
      <c r="D38" s="5">
        <f>SUMIF('库存（子SKU）'!$C:$C,$A38,'库存（子SKU）'!F:F)</f>
        <v>2</v>
      </c>
      <c r="E38" s="5">
        <f>SUMIF('库存（子SKU）'!$C:$C,$A38,'库存（子SKU）'!G:G)</f>
        <v>1</v>
      </c>
      <c r="F38" s="6">
        <v>95.99</v>
      </c>
      <c r="G38">
        <f>SUMIF('库存（子SKU）'!$C:$C,$A38,'库存（子SKU）'!I:I)</f>
        <v>6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6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7031</v>
      </c>
      <c r="O38">
        <f>SUMIF('库存（子SKU）'!$C:$C,$A38,'库存（子SKU）'!Q:Q)</f>
        <v>8266</v>
      </c>
      <c r="P38">
        <f>SUMIF('库存（子SKU）'!$C:$C,$A38,'库存（子SKU）'!R:R)</f>
        <v>10481</v>
      </c>
      <c r="Q38">
        <f>SUMIF('库存（子SKU）'!$C:$C,$A38,'库存（子SKU）'!S:S)</f>
        <v>6295</v>
      </c>
      <c r="R38">
        <f>SUMIF('库存（子SKU）'!$C:$C,$A38,'库存（子SKU）'!T:T)</f>
        <v>61</v>
      </c>
      <c r="S38">
        <f>SUMIF('库存（子SKU）'!$C:$C,$A38,'库存（子SKU）'!U:U)</f>
        <v>53</v>
      </c>
      <c r="T38">
        <f>SUMIF('库存（子SKU）'!$C:$C,$A38,'库存（子SKU）'!V:V)</f>
        <v>88</v>
      </c>
      <c r="U38">
        <f>SUMIF('库存（子SKU）'!$C:$C,$A38,'库存（子SKU）'!W:W)</f>
        <v>48</v>
      </c>
      <c r="V38" s="23">
        <f t="shared" si="15"/>
        <v>0.00867586403072109</v>
      </c>
      <c r="W38" s="23">
        <f t="shared" si="16"/>
        <v>0.00641180740382289</v>
      </c>
      <c r="X38" s="23">
        <f t="shared" si="17"/>
        <v>0.00839614540597271</v>
      </c>
      <c r="Y38" s="23">
        <f t="shared" si="18"/>
        <v>0.00762509928514694</v>
      </c>
      <c r="Z38">
        <f>SUMIF('库存（子SKU）'!$C:$C,$A38,'库存（子SKU）'!AB:AB)</f>
        <v>8.23</v>
      </c>
      <c r="AA38">
        <f>SUMIF('库存（子SKU）'!$C:$C,$A38,'库存（子SKU）'!AC:AC)</f>
        <v>6.96</v>
      </c>
      <c r="AB38">
        <f>SUMIF('库存（子SKU）'!$C:$C,$A38,'库存（子SKU）'!AD:AD)</f>
        <v>10.63</v>
      </c>
      <c r="AC38">
        <f>SUMIF('库存（子SKU）'!$C:$C,$A38,'库存（子SKU）'!AE:AE)</f>
        <v>5.84</v>
      </c>
      <c r="AD38" s="23">
        <f t="shared" si="2"/>
        <v>0.0214345244296281</v>
      </c>
      <c r="AE38" s="23" t="str">
        <f t="shared" si="3"/>
        <v>无销量广告费为6.96</v>
      </c>
      <c r="AF38" s="23">
        <f t="shared" si="4"/>
        <v>0.0553703510782373</v>
      </c>
      <c r="AG38" s="23">
        <f t="shared" si="5"/>
        <v>0.0608396707990416</v>
      </c>
      <c r="AH38">
        <f>SUMIF('库存（子SKU）'!$C:$C,$A38,'库存（子SKU）'!AJ:AJ)</f>
        <v>0</v>
      </c>
      <c r="AI38">
        <f>SUMIF('库存（子SKU）'!$C:$C,$A38,'库存（子SKU）'!AK:AK)</f>
        <v>111</v>
      </c>
      <c r="AJ38">
        <f>SUMIF('库存（子SKU）'!$C:$C,$A38,'库存（子SKU）'!AL:AL)</f>
        <v>86</v>
      </c>
      <c r="AK38">
        <f>SUMIF('库存（子SKU）'!$C:$C,$A38,'库存（子SKU）'!AM:AM)</f>
        <v>94</v>
      </c>
      <c r="AL38" s="23" t="str">
        <f t="shared" si="6"/>
        <v/>
      </c>
      <c r="AM38" s="23">
        <f t="shared" si="7"/>
        <v>0</v>
      </c>
      <c r="AN38" s="23">
        <f t="shared" si="8"/>
        <v>0.0232558139534884</v>
      </c>
      <c r="AO38" s="23">
        <f t="shared" si="9"/>
        <v>0.0106382978723404</v>
      </c>
      <c r="AP38" s="7">
        <f t="shared" si="10"/>
        <v>0.571428571428571</v>
      </c>
      <c r="AQ38" s="7">
        <f t="shared" si="11"/>
        <v>34.2857142857143</v>
      </c>
      <c r="AR38" s="7">
        <f t="shared" si="12"/>
        <v>-28.2857142857143</v>
      </c>
      <c r="AS38">
        <f t="shared" si="13"/>
        <v>10</v>
      </c>
      <c r="AT38" s="2">
        <f>IFERROR(时间!$B$4+AS38,"上周无销量")</f>
        <v>43300</v>
      </c>
    </row>
    <row r="39" spans="1:46">
      <c r="A39" t="s">
        <v>229</v>
      </c>
      <c r="B39" s="5">
        <f>SUMIF('库存（子SKU）'!$C:$C,$A39,'库存（子SKU）'!D:D)</f>
        <v>0</v>
      </c>
      <c r="C39" s="5">
        <f>SUMIF('库存（子SKU）'!$C:$C,$A39,'库存（子SKU）'!E:E)</f>
        <v>1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v>79.6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753</v>
      </c>
      <c r="O39">
        <f>SUMIF('库存（子SKU）'!$C:$C,$A39,'库存（子SKU）'!Q:Q)</f>
        <v>5972</v>
      </c>
      <c r="P39">
        <f>SUMIF('库存（子SKU）'!$C:$C,$A39,'库存（子SKU）'!R:R)</f>
        <v>5079</v>
      </c>
      <c r="Q39">
        <f>SUMIF('库存（子SKU）'!$C:$C,$A39,'库存（子SKU）'!S:S)</f>
        <v>4558</v>
      </c>
      <c r="R39">
        <f>SUMIF('库存（子SKU）'!$C:$C,$A39,'库存（子SKU）'!T:T)</f>
        <v>8</v>
      </c>
      <c r="S39">
        <f>SUMIF('库存（子SKU）'!$C:$C,$A39,'库存（子SKU）'!U:U)</f>
        <v>70</v>
      </c>
      <c r="T39">
        <f>SUMIF('库存（子SKU）'!$C:$C,$A39,'库存（子SKU）'!V:V)</f>
        <v>43</v>
      </c>
      <c r="U39">
        <f>SUMIF('库存（子SKU）'!$C:$C,$A39,'库存（子SKU）'!W:W)</f>
        <v>28</v>
      </c>
      <c r="V39" s="23">
        <f t="shared" si="15"/>
        <v>0.0106241699867198</v>
      </c>
      <c r="W39" s="23">
        <f t="shared" si="16"/>
        <v>0.0117213663764233</v>
      </c>
      <c r="X39" s="23">
        <f t="shared" si="17"/>
        <v>0.00846623351053357</v>
      </c>
      <c r="Y39" s="23">
        <f t="shared" si="18"/>
        <v>0.00614304519526108</v>
      </c>
      <c r="Z39">
        <f>SUMIF('库存（子SKU）'!$C:$C,$A39,'库存（子SKU）'!AB:AB)</f>
        <v>1.36</v>
      </c>
      <c r="AA39">
        <f>SUMIF('库存（子SKU）'!$C:$C,$A39,'库存（子SKU）'!AC:AC)</f>
        <v>9.93</v>
      </c>
      <c r="AB39">
        <f>SUMIF('库存（子SKU）'!$C:$C,$A39,'库存（子SKU）'!AD:AD)</f>
        <v>5.92</v>
      </c>
      <c r="AC39">
        <f>SUMIF('库存（子SKU）'!$C:$C,$A39,'库存（子SKU）'!AE:AE)</f>
        <v>3.83</v>
      </c>
      <c r="AD39" s="23" t="str">
        <f t="shared" si="2"/>
        <v>无销量广告费为1.36</v>
      </c>
      <c r="AE39" s="23">
        <f t="shared" si="3"/>
        <v>0.124748743718593</v>
      </c>
      <c r="AF39" s="23" t="str">
        <f t="shared" si="4"/>
        <v>无销量广告费为5.92</v>
      </c>
      <c r="AG39" s="23" t="str">
        <f t="shared" si="5"/>
        <v>无销量广告费为3.83</v>
      </c>
      <c r="AH39">
        <f>SUMIF('库存（子SKU）'!$C:$C,$A39,'库存（子SKU）'!AJ:AJ)</f>
        <v>0</v>
      </c>
      <c r="AI39">
        <f>SUMIF('库存（子SKU）'!$C:$C,$A39,'库存（子SKU）'!AK:AK)</f>
        <v>57</v>
      </c>
      <c r="AJ39">
        <f>SUMIF('库存（子SKU）'!$C:$C,$A39,'库存（子SKU）'!AL:AL)</f>
        <v>56</v>
      </c>
      <c r="AK39">
        <f>SUMIF('库存（子SKU）'!$C:$C,$A39,'库存（子SKU）'!AM:AM)</f>
        <v>39</v>
      </c>
      <c r="AL39" s="23" t="str">
        <f t="shared" si="6"/>
        <v/>
      </c>
      <c r="AM39" s="23">
        <f t="shared" si="7"/>
        <v>0.0175438596491228</v>
      </c>
      <c r="AN39" s="23">
        <f t="shared" si="8"/>
        <v>0</v>
      </c>
      <c r="AO39" s="23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0</v>
      </c>
      <c r="AS39" t="str">
        <f t="shared" si="13"/>
        <v>库存为0</v>
      </c>
      <c r="AT39" s="2" t="str">
        <f>IFERROR(时间!$B$4+AS39,"上周无销量")</f>
        <v>上周无销量</v>
      </c>
    </row>
    <row r="40" spans="1:46">
      <c r="A40" t="s">
        <v>234</v>
      </c>
      <c r="B40" s="5">
        <f>SUMIF('库存（子SKU）'!$C:$C,$A40,'库存（子SKU）'!D:D)</f>
        <v>1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>
        <v>99.6</v>
      </c>
      <c r="G40">
        <f>SUMIF('库存（子SKU）'!$C:$C,$A40,'库存（子SKU）'!I:I)</f>
        <v>4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4</v>
      </c>
      <c r="L40">
        <f>SUMIF('库存（子SKU）'!$C:$C,$A40,'库存（子SKU）'!N:N)</f>
        <v>0</v>
      </c>
      <c r="M40">
        <f>SUMIF('库存（子SKU）'!$C:$C,$A40,'库存（子SKU）'!O:O)</f>
        <v>4</v>
      </c>
      <c r="N40">
        <f>SUMIF('库存（子SKU）'!$C:$C,$A40,'库存（子SKU）'!P:P)</f>
        <v>7694</v>
      </c>
      <c r="O40">
        <f>SUMIF('库存（子SKU）'!$C:$C,$A40,'库存（子SKU）'!Q:Q)</f>
        <v>0</v>
      </c>
      <c r="P40">
        <f>SUMIF('库存（子SKU）'!$C:$C,$A40,'库存（子SKU）'!R:R)</f>
        <v>1432</v>
      </c>
      <c r="Q40">
        <f>SUMIF('库存（子SKU）'!$C:$C,$A40,'库存（子SKU）'!S:S)</f>
        <v>2107</v>
      </c>
      <c r="R40">
        <f>SUMIF('库存（子SKU）'!$C:$C,$A40,'库存（子SKU）'!T:T)</f>
        <v>66</v>
      </c>
      <c r="S40">
        <f>SUMIF('库存（子SKU）'!$C:$C,$A40,'库存（子SKU）'!U:U)</f>
        <v>0</v>
      </c>
      <c r="T40">
        <f>SUMIF('库存（子SKU）'!$C:$C,$A40,'库存（子SKU）'!V:V)</f>
        <v>14</v>
      </c>
      <c r="U40">
        <f>SUMIF('库存（子SKU）'!$C:$C,$A40,'库存（子SKU）'!W:W)</f>
        <v>21</v>
      </c>
      <c r="V40" s="23">
        <f t="shared" si="15"/>
        <v>0.00857811281518066</v>
      </c>
      <c r="W40" s="23" t="str">
        <f t="shared" si="16"/>
        <v/>
      </c>
      <c r="X40" s="23">
        <f t="shared" si="17"/>
        <v>0.00977653631284916</v>
      </c>
      <c r="Y40" s="23">
        <f t="shared" si="18"/>
        <v>0.00996677740863787</v>
      </c>
      <c r="Z40">
        <f>SUMIF('库存（子SKU）'!$C:$C,$A40,'库存（子SKU）'!AB:AB)</f>
        <v>9.51</v>
      </c>
      <c r="AA40">
        <f>SUMIF('库存（子SKU）'!$C:$C,$A40,'库存（子SKU）'!AC:AC)</f>
        <v>0</v>
      </c>
      <c r="AB40">
        <f>SUMIF('库存（子SKU）'!$C:$C,$A40,'库存（子SKU）'!AD:AD)</f>
        <v>2.18</v>
      </c>
      <c r="AC40">
        <f>SUMIF('库存（子SKU）'!$C:$C,$A40,'库存（子SKU）'!AE:AE)</f>
        <v>2.9</v>
      </c>
      <c r="AD40" s="23">
        <f t="shared" si="2"/>
        <v>0.0954819277108434</v>
      </c>
      <c r="AE40" s="23" t="str">
        <f t="shared" si="3"/>
        <v/>
      </c>
      <c r="AF40" s="23" t="str">
        <f t="shared" si="4"/>
        <v>无销量广告费为2.18</v>
      </c>
      <c r="AG40" s="23" t="str">
        <f t="shared" si="5"/>
        <v>无销量广告费为2.9</v>
      </c>
      <c r="AH40">
        <f>SUMIF('库存（子SKU）'!$C:$C,$A40,'库存（子SKU）'!AJ:AJ)</f>
        <v>0</v>
      </c>
      <c r="AI40">
        <f>SUMIF('库存（子SKU）'!$C:$C,$A40,'库存（子SKU）'!AK:AK)</f>
        <v>57</v>
      </c>
      <c r="AJ40">
        <f>SUMIF('库存（子SKU）'!$C:$C,$A40,'库存（子SKU）'!AL:AL)</f>
        <v>56</v>
      </c>
      <c r="AK40">
        <f>SUMIF('库存（子SKU）'!$C:$C,$A40,'库存（子SKU）'!AM:AM)</f>
        <v>39</v>
      </c>
      <c r="AL40" s="23" t="str">
        <f t="shared" si="6"/>
        <v/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7">
        <f t="shared" si="10"/>
        <v>0.142857142857143</v>
      </c>
      <c r="AQ40" s="7">
        <f t="shared" si="11"/>
        <v>8.57142857142857</v>
      </c>
      <c r="AR40" s="7">
        <f t="shared" si="12"/>
        <v>-4.57142857142857</v>
      </c>
      <c r="AS40">
        <f t="shared" si="13"/>
        <v>28</v>
      </c>
      <c r="AT40" s="2">
        <f>IFERROR(时间!$B$4+AS40,"上周无销量")</f>
        <v>43318</v>
      </c>
    </row>
    <row r="41" spans="1:46">
      <c r="A41" t="s">
        <v>239</v>
      </c>
      <c r="B41" s="5">
        <f>SUMIF('库存（子SKU）'!$C:$C,$A41,'库存（子SKU）'!D:D)</f>
        <v>0</v>
      </c>
      <c r="C41" s="5">
        <f>SUMIF('库存（子SKU）'!$C:$C,$A41,'库存（子SKU）'!E:E)</f>
        <v>1</v>
      </c>
      <c r="D41" s="5">
        <f>SUMIF('库存（子SKU）'!$C:$C,$A41,'库存（子SKU）'!F:F)</f>
        <v>1</v>
      </c>
      <c r="E41" s="5">
        <f>SUMIF('库存（子SKU）'!$C:$C,$A41,'库存（子SKU）'!G:G)</f>
        <v>1</v>
      </c>
      <c r="F41" s="6">
        <v>99.6</v>
      </c>
      <c r="G41">
        <f>SUMIF('库存（子SKU）'!$C:$C,$A41,'库存（子SKU）'!I:I)</f>
        <v>27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27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>
        <f t="shared" si="3"/>
        <v>0</v>
      </c>
      <c r="AF41" s="23">
        <f t="shared" si="4"/>
        <v>0</v>
      </c>
      <c r="AG41" s="23">
        <f t="shared" si="5"/>
        <v>0</v>
      </c>
      <c r="AH41">
        <f>SUMIF('库存（子SKU）'!$C:$C,$A41,'库存（子SKU）'!AJ:AJ)</f>
        <v>0</v>
      </c>
      <c r="AI41">
        <f>SUMIF('库存（子SKU）'!$C:$C,$A41,'库存（子SKU）'!AK:AK)</f>
        <v>23</v>
      </c>
      <c r="AJ41">
        <f>SUMIF('库存（子SKU）'!$C:$C,$A41,'库存（子SKU）'!AL:AL)</f>
        <v>43</v>
      </c>
      <c r="AK41">
        <f>SUMIF('库存（子SKU）'!$C:$C,$A41,'库存（子SKU）'!AM:AM)</f>
        <v>61</v>
      </c>
      <c r="AL41" s="23" t="str">
        <f t="shared" si="6"/>
        <v/>
      </c>
      <c r="AM41" s="23">
        <f t="shared" si="7"/>
        <v>0.0434782608695652</v>
      </c>
      <c r="AN41" s="23">
        <f t="shared" si="8"/>
        <v>0.0232558139534884</v>
      </c>
      <c r="AO41" s="23">
        <f t="shared" si="9"/>
        <v>0.0163934426229508</v>
      </c>
      <c r="AP41" s="7">
        <f t="shared" si="10"/>
        <v>0</v>
      </c>
      <c r="AQ41" s="7">
        <f t="shared" si="11"/>
        <v>0</v>
      </c>
      <c r="AR41" s="7">
        <f t="shared" si="12"/>
        <v>27</v>
      </c>
      <c r="AS41" t="str">
        <f t="shared" si="13"/>
        <v>库存为27</v>
      </c>
      <c r="AT41" s="2" t="str">
        <f>IFERROR(时间!$B$4+AS41,"上周无销量")</f>
        <v>上周无销量</v>
      </c>
    </row>
    <row r="42" spans="1:46">
      <c r="A42" t="s">
        <v>242</v>
      </c>
      <c r="B42" s="5">
        <f>SUMIF('库存（子SKU）'!$C:$C,$A42,'库存（子SKU）'!D:D)</f>
        <v>0</v>
      </c>
      <c r="C42" s="5">
        <f>SUMIF('库存（子SKU）'!$C:$C,$A42,'库存（子SKU）'!E:E)</f>
        <v>1</v>
      </c>
      <c r="D42" s="5">
        <f>SUMIF('库存（子SKU）'!$C:$C,$A42,'库存（子SKU）'!F:F)</f>
        <v>1</v>
      </c>
      <c r="E42" s="5">
        <f>SUMIF('库存（子SKU）'!$C:$C,$A42,'库存（子SKU）'!G:G)</f>
        <v>0</v>
      </c>
      <c r="F42" s="6">
        <v>84.99</v>
      </c>
      <c r="G42">
        <f>SUMIF('库存（子SKU）'!$C:$C,$A42,'库存（子SKU）'!I:I)</f>
        <v>6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6</v>
      </c>
      <c r="L42">
        <f>SUMIF('库存（子SKU）'!$C:$C,$A42,'库存（子SKU）'!N:N)</f>
        <v>0</v>
      </c>
      <c r="M42">
        <f>SUMIF('库存（子SKU）'!$C:$C,$A42,'库存（子SKU）'!O:O)</f>
        <v>1</v>
      </c>
      <c r="N42">
        <f>SUMIF('库存（子SKU）'!$C:$C,$A42,'库存（子SKU）'!P:P)</f>
        <v>37334</v>
      </c>
      <c r="O42">
        <f>SUMIF('库存（子SKU）'!$C:$C,$A42,'库存（子SKU）'!Q:Q)</f>
        <v>48500</v>
      </c>
      <c r="P42">
        <f>SUMIF('库存（子SKU）'!$C:$C,$A42,'库存（子SKU）'!R:R)</f>
        <v>73591</v>
      </c>
      <c r="Q42">
        <f>SUMIF('库存（子SKU）'!$C:$C,$A42,'库存（子SKU）'!S:S)</f>
        <v>59514</v>
      </c>
      <c r="R42">
        <f>SUMIF('库存（子SKU）'!$C:$C,$A42,'库存（子SKU）'!T:T)</f>
        <v>129</v>
      </c>
      <c r="S42">
        <f>SUMIF('库存（子SKU）'!$C:$C,$A42,'库存（子SKU）'!U:U)</f>
        <v>220</v>
      </c>
      <c r="T42">
        <f>SUMIF('库存（子SKU）'!$C:$C,$A42,'库存（子SKU）'!V:V)</f>
        <v>333</v>
      </c>
      <c r="U42">
        <f>SUMIF('库存（子SKU）'!$C:$C,$A42,'库存（子SKU）'!W:W)</f>
        <v>244</v>
      </c>
      <c r="V42" s="23">
        <f t="shared" si="15"/>
        <v>0.00345529544115284</v>
      </c>
      <c r="W42" s="23">
        <f t="shared" si="16"/>
        <v>0.0045360824742268</v>
      </c>
      <c r="X42" s="23">
        <f t="shared" si="17"/>
        <v>0.00452500985174818</v>
      </c>
      <c r="Y42" s="23">
        <f t="shared" si="18"/>
        <v>0.00409987565950869</v>
      </c>
      <c r="Z42">
        <f>SUMIF('库存（子SKU）'!$C:$C,$A42,'库存（子SKU）'!AB:AB)</f>
        <v>21.16</v>
      </c>
      <c r="AA42">
        <f>SUMIF('库存（子SKU）'!$C:$C,$A42,'库存（子SKU）'!AC:AC)</f>
        <v>43.82</v>
      </c>
      <c r="AB42">
        <f>SUMIF('库存（子SKU）'!$C:$C,$A42,'库存（子SKU）'!AD:AD)</f>
        <v>68.65</v>
      </c>
      <c r="AC42">
        <f>SUMIF('库存（子SKU）'!$C:$C,$A42,'库存（子SKU）'!AE:AE)</f>
        <v>44.33</v>
      </c>
      <c r="AD42" s="23" t="str">
        <f t="shared" si="2"/>
        <v>无销量广告费为21.16</v>
      </c>
      <c r="AE42" s="23">
        <f t="shared" si="3"/>
        <v>0.515590069419932</v>
      </c>
      <c r="AF42" s="23">
        <f t="shared" si="4"/>
        <v>0.807742087304389</v>
      </c>
      <c r="AG42" s="23" t="str">
        <f t="shared" si="5"/>
        <v>无销量广告费为44.33</v>
      </c>
      <c r="AH42">
        <f>SUMIF('库存（子SKU）'!$C:$C,$A42,'库存（子SKU）'!AJ:AJ)</f>
        <v>0</v>
      </c>
      <c r="AI42">
        <f>SUMIF('库存（子SKU）'!$C:$C,$A42,'库存（子SKU）'!AK:AK)</f>
        <v>258</v>
      </c>
      <c r="AJ42">
        <f>SUMIF('库存（子SKU）'!$C:$C,$A42,'库存（子SKU）'!AL:AL)</f>
        <v>296</v>
      </c>
      <c r="AK42">
        <f>SUMIF('库存（子SKU）'!$C:$C,$A42,'库存（子SKU）'!AM:AM)</f>
        <v>338</v>
      </c>
      <c r="AL42" s="23" t="str">
        <f t="shared" si="6"/>
        <v/>
      </c>
      <c r="AM42" s="23">
        <f t="shared" si="7"/>
        <v>0.00387596899224806</v>
      </c>
      <c r="AN42" s="23">
        <f t="shared" si="8"/>
        <v>0.00337837837837838</v>
      </c>
      <c r="AO42" s="23">
        <f t="shared" si="9"/>
        <v>0</v>
      </c>
      <c r="AP42" s="7">
        <f t="shared" si="10"/>
        <v>0</v>
      </c>
      <c r="AQ42" s="7">
        <f t="shared" si="11"/>
        <v>0</v>
      </c>
      <c r="AR42" s="7">
        <f t="shared" si="12"/>
        <v>6</v>
      </c>
      <c r="AS42" t="str">
        <f t="shared" si="13"/>
        <v>库存为6</v>
      </c>
      <c r="AT42" s="2" t="str">
        <f>IFERROR(时间!$B$4+AS42,"上周无销量")</f>
        <v>上周无销量</v>
      </c>
    </row>
    <row r="43" spans="1:46">
      <c r="A43" t="s">
        <v>254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1</v>
      </c>
      <c r="E43" s="5">
        <f>SUMIF('库存（子SKU）'!$C:$C,$A43,'库存（子SKU）'!G:G)</f>
        <v>0</v>
      </c>
      <c r="F43" s="6">
        <v>85.99</v>
      </c>
      <c r="G43">
        <f>SUMIF('库存（子SKU）'!$C:$C,$A43,'库存（子SKU）'!I:I)</f>
        <v>5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5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>
        <f t="shared" si="4"/>
        <v>0</v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10</v>
      </c>
      <c r="AJ43">
        <f>SUMIF('库存（子SKU）'!$C:$C,$A43,'库存（子SKU）'!AL:AL)</f>
        <v>20</v>
      </c>
      <c r="AK43">
        <f>SUMIF('库存（子SKU）'!$C:$C,$A43,'库存（子SKU）'!AM:AM)</f>
        <v>11</v>
      </c>
      <c r="AL43" s="23" t="str">
        <f t="shared" si="6"/>
        <v/>
      </c>
      <c r="AM43" s="23">
        <f t="shared" si="7"/>
        <v>0</v>
      </c>
      <c r="AN43" s="23">
        <f t="shared" si="8"/>
        <v>0.05</v>
      </c>
      <c r="AO43" s="23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5</v>
      </c>
      <c r="AS43" t="str">
        <f t="shared" si="13"/>
        <v>库存为5</v>
      </c>
      <c r="AT43" s="2" t="str">
        <f>IFERROR(时间!$B$4+AS43,"上周无销量")</f>
        <v>上周无销量</v>
      </c>
    </row>
    <row r="44" spans="1:46">
      <c r="A44" t="s">
        <v>257</v>
      </c>
      <c r="B44" s="5">
        <f>SUMIF('库存（子SKU）'!$C:$C,$A44,'库存（子SKU）'!D:D)</f>
        <v>5</v>
      </c>
      <c r="C44" s="5">
        <f>SUMIF('库存（子SKU）'!$C:$C,$A44,'库存（子SKU）'!E:E)</f>
        <v>4</v>
      </c>
      <c r="D44" s="5">
        <f>SUMIF('库存（子SKU）'!$C:$C,$A44,'库存（子SKU）'!F:F)</f>
        <v>2</v>
      </c>
      <c r="E44" s="5">
        <f>SUMIF('库存（子SKU）'!$C:$C,$A44,'库存（子SKU）'!G:G)</f>
        <v>1</v>
      </c>
      <c r="F44" s="6">
        <v>89.99</v>
      </c>
      <c r="G44">
        <f>SUMIF('库存（子SKU）'!$C:$C,$A44,'库存（子SKU）'!I:I)</f>
        <v>8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8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6856</v>
      </c>
      <c r="O44">
        <f>SUMIF('库存（子SKU）'!$C:$C,$A44,'库存（子SKU）'!Q:Q)</f>
        <v>13960</v>
      </c>
      <c r="P44">
        <f>SUMIF('库存（子SKU）'!$C:$C,$A44,'库存（子SKU）'!R:R)</f>
        <v>23104</v>
      </c>
      <c r="Q44">
        <f>SUMIF('库存（子SKU）'!$C:$C,$A44,'库存（子SKU）'!S:S)</f>
        <v>14101</v>
      </c>
      <c r="R44">
        <f>SUMIF('库存（子SKU）'!$C:$C,$A44,'库存（子SKU）'!T:T)</f>
        <v>67</v>
      </c>
      <c r="S44">
        <f>SUMIF('库存（子SKU）'!$C:$C,$A44,'库存（子SKU）'!U:U)</f>
        <v>82</v>
      </c>
      <c r="T44">
        <f>SUMIF('库存（子SKU）'!$C:$C,$A44,'库存（子SKU）'!V:V)</f>
        <v>125</v>
      </c>
      <c r="U44">
        <f>SUMIF('库存（子SKU）'!$C:$C,$A44,'库存（子SKU）'!W:W)</f>
        <v>112</v>
      </c>
      <c r="V44" s="23">
        <f t="shared" si="15"/>
        <v>0.00977246207701284</v>
      </c>
      <c r="W44" s="23">
        <f t="shared" si="16"/>
        <v>0.00587392550143266</v>
      </c>
      <c r="X44" s="23">
        <f t="shared" si="17"/>
        <v>0.00541031855955679</v>
      </c>
      <c r="Y44" s="23">
        <f t="shared" si="18"/>
        <v>0.00794269909935466</v>
      </c>
      <c r="Z44">
        <f>SUMIF('库存（子SKU）'!$C:$C,$A44,'库存（子SKU）'!AB:AB)</f>
        <v>8.03</v>
      </c>
      <c r="AA44">
        <f>SUMIF('库存（子SKU）'!$C:$C,$A44,'库存（子SKU）'!AC:AC)</f>
        <v>9.72</v>
      </c>
      <c r="AB44">
        <f>SUMIF('库存（子SKU）'!$C:$C,$A44,'库存（子SKU）'!AD:AD)</f>
        <v>15.55</v>
      </c>
      <c r="AC44">
        <f>SUMIF('库存（子SKU）'!$C:$C,$A44,'库存（子SKU）'!AE:AE)</f>
        <v>13.88</v>
      </c>
      <c r="AD44" s="23">
        <f t="shared" si="2"/>
        <v>0.0178464273808201</v>
      </c>
      <c r="AE44" s="23">
        <f t="shared" si="3"/>
        <v>0.0270030003333704</v>
      </c>
      <c r="AF44" s="23">
        <f t="shared" si="4"/>
        <v>0.086398488720969</v>
      </c>
      <c r="AG44" s="23">
        <f t="shared" si="5"/>
        <v>0.154239359928881</v>
      </c>
      <c r="AH44">
        <f>SUMIF('库存（子SKU）'!$C:$C,$A44,'库存（子SKU）'!AJ:AJ)</f>
        <v>0</v>
      </c>
      <c r="AI44">
        <f>SUMIF('库存（子SKU）'!$C:$C,$A44,'库存（子SKU）'!AK:AK)</f>
        <v>254</v>
      </c>
      <c r="AJ44">
        <f>SUMIF('库存（子SKU）'!$C:$C,$A44,'库存（子SKU）'!AL:AL)</f>
        <v>232</v>
      </c>
      <c r="AK44">
        <f>SUMIF('库存（子SKU）'!$C:$C,$A44,'库存（子SKU）'!AM:AM)</f>
        <v>258</v>
      </c>
      <c r="AL44" s="23" t="str">
        <f t="shared" si="6"/>
        <v/>
      </c>
      <c r="AM44" s="23">
        <f t="shared" si="7"/>
        <v>0.015748031496063</v>
      </c>
      <c r="AN44" s="23">
        <f t="shared" si="8"/>
        <v>0.00862068965517241</v>
      </c>
      <c r="AO44" s="23">
        <f t="shared" si="9"/>
        <v>0.00387596899224806</v>
      </c>
      <c r="AP44" s="7">
        <f t="shared" si="10"/>
        <v>0.714285714285714</v>
      </c>
      <c r="AQ44" s="7">
        <f t="shared" si="11"/>
        <v>42.8571428571429</v>
      </c>
      <c r="AR44" s="7">
        <f t="shared" si="12"/>
        <v>-34.8571428571429</v>
      </c>
      <c r="AS44">
        <f t="shared" si="13"/>
        <v>11</v>
      </c>
      <c r="AT44" s="2">
        <f>IFERROR(时间!$B$4+AS44,"上周无销量")</f>
        <v>43301</v>
      </c>
    </row>
    <row r="45" spans="1:46">
      <c r="A45" t="s">
        <v>261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54</v>
      </c>
      <c r="G45">
        <f>SUMIF('库存（子SKU）'!$C:$C,$A45,'库存（子SKU）'!I:I)</f>
        <v>10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10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8</v>
      </c>
      <c r="AJ45">
        <f>SUMIF('库存（子SKU）'!$C:$C,$A45,'库存（子SKU）'!AL:AL)</f>
        <v>6</v>
      </c>
      <c r="AK45">
        <f>SUMIF('库存（子SKU）'!$C:$C,$A45,'库存（子SKU）'!AM:AM)</f>
        <v>4</v>
      </c>
      <c r="AL45" s="23" t="str">
        <f t="shared" si="6"/>
        <v/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10</v>
      </c>
      <c r="AS45" t="str">
        <f t="shared" si="13"/>
        <v>库存为10</v>
      </c>
      <c r="AT45" s="2" t="str">
        <f>IFERROR(时间!$B$4+AS45,"上周无销量")</f>
        <v>上周无销量</v>
      </c>
    </row>
    <row r="46" spans="1:46">
      <c r="A46" t="s">
        <v>266</v>
      </c>
      <c r="B46" s="5">
        <f>SUMIF('库存（子SKU）'!$C:$C,$A46,'库存（子SKU）'!D:D)</f>
        <v>4</v>
      </c>
      <c r="C46" s="5">
        <f>SUMIF('库存（子SKU）'!$C:$C,$A46,'库存（子SKU）'!E:E)</f>
        <v>1</v>
      </c>
      <c r="D46" s="5">
        <f>SUMIF('库存（子SKU）'!$C:$C,$A46,'库存（子SKU）'!F:F)</f>
        <v>1</v>
      </c>
      <c r="E46" s="5">
        <f>SUMIF('库存（子SKU）'!$C:$C,$A46,'库存（子SKU）'!G:G)</f>
        <v>0</v>
      </c>
      <c r="F46" s="6">
        <v>92.795</v>
      </c>
      <c r="G46">
        <f>SUMIF('库存（子SKU）'!$C:$C,$A46,'库存（子SKU）'!I:I)</f>
        <v>10</v>
      </c>
      <c r="H46">
        <f>SUMIF('库存（子SKU）'!$C:$C,$A46,'库存（子SKU）'!J:J)</f>
        <v>3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13</v>
      </c>
      <c r="L46">
        <f>SUMIF('库存（子SKU）'!$C:$C,$A46,'库存（子SKU）'!N:N)</f>
        <v>1</v>
      </c>
      <c r="M46">
        <f>SUMIF('库存（子SKU）'!$C:$C,$A46,'库存（子SKU）'!O:O)</f>
        <v>0</v>
      </c>
      <c r="N46">
        <f>SUMIF('库存（子SKU）'!$C:$C,$A46,'库存（子SKU）'!P:P)</f>
        <v>9772</v>
      </c>
      <c r="O46">
        <f>SUMIF('库存（子SKU）'!$C:$C,$A46,'库存（子SKU）'!Q:Q)</f>
        <v>7260</v>
      </c>
      <c r="P46">
        <f>SUMIF('库存（子SKU）'!$C:$C,$A46,'库存（子SKU）'!R:R)</f>
        <v>8932</v>
      </c>
      <c r="Q46">
        <f>SUMIF('库存（子SKU）'!$C:$C,$A46,'库存（子SKU）'!S:S)</f>
        <v>6815</v>
      </c>
      <c r="R46">
        <f>SUMIF('库存（子SKU）'!$C:$C,$A46,'库存（子SKU）'!T:T)</f>
        <v>65</v>
      </c>
      <c r="S46">
        <f>SUMIF('库存（子SKU）'!$C:$C,$A46,'库存（子SKU）'!U:U)</f>
        <v>46</v>
      </c>
      <c r="T46">
        <f>SUMIF('库存（子SKU）'!$C:$C,$A46,'库存（子SKU）'!V:V)</f>
        <v>54</v>
      </c>
      <c r="U46">
        <f>SUMIF('库存（子SKU）'!$C:$C,$A46,'库存（子SKU）'!W:W)</f>
        <v>55</v>
      </c>
      <c r="V46" s="23">
        <f t="shared" si="15"/>
        <v>0.0066516577977896</v>
      </c>
      <c r="W46" s="23">
        <f t="shared" si="16"/>
        <v>0.00633608815426997</v>
      </c>
      <c r="X46" s="23">
        <f t="shared" si="17"/>
        <v>0.00604567845947156</v>
      </c>
      <c r="Y46" s="23">
        <f t="shared" si="18"/>
        <v>0.00807043286867205</v>
      </c>
      <c r="Z46">
        <f>SUMIF('库存（子SKU）'!$C:$C,$A46,'库存（子SKU）'!AB:AB)</f>
        <v>8.48</v>
      </c>
      <c r="AA46">
        <f>SUMIF('库存（子SKU）'!$C:$C,$A46,'库存（子SKU）'!AC:AC)</f>
        <v>6.16</v>
      </c>
      <c r="AB46">
        <f>SUMIF('库存（子SKU）'!$C:$C,$A46,'库存（子SKU）'!AD:AD)</f>
        <v>8.07</v>
      </c>
      <c r="AC46">
        <f>SUMIF('库存（子SKU）'!$C:$C,$A46,'库存（子SKU）'!AE:AE)</f>
        <v>7.19</v>
      </c>
      <c r="AD46" s="23">
        <f t="shared" si="2"/>
        <v>0.0228460585160838</v>
      </c>
      <c r="AE46" s="23">
        <f t="shared" si="3"/>
        <v>0.0663828870089983</v>
      </c>
      <c r="AF46" s="23">
        <f t="shared" si="4"/>
        <v>0.0869658925588663</v>
      </c>
      <c r="AG46" s="23" t="str">
        <f t="shared" si="5"/>
        <v>无销量广告费为7.19</v>
      </c>
      <c r="AH46">
        <f>SUMIF('库存（子SKU）'!$C:$C,$A46,'库存（子SKU）'!AJ:AJ)</f>
        <v>0</v>
      </c>
      <c r="AI46">
        <f>SUMIF('库存（子SKU）'!$C:$C,$A46,'库存（子SKU）'!AK:AK)</f>
        <v>105</v>
      </c>
      <c r="AJ46">
        <f>SUMIF('库存（子SKU）'!$C:$C,$A46,'库存（子SKU）'!AL:AL)</f>
        <v>73</v>
      </c>
      <c r="AK46">
        <f>SUMIF('库存（子SKU）'!$C:$C,$A46,'库存（子SKU）'!AM:AM)</f>
        <v>56</v>
      </c>
      <c r="AL46" s="23" t="str">
        <f t="shared" si="6"/>
        <v/>
      </c>
      <c r="AM46" s="23">
        <f t="shared" si="7"/>
        <v>0.00952380952380952</v>
      </c>
      <c r="AN46" s="23">
        <f t="shared" si="8"/>
        <v>0.0136986301369863</v>
      </c>
      <c r="AO46" s="23">
        <f t="shared" si="9"/>
        <v>0</v>
      </c>
      <c r="AP46" s="7">
        <f t="shared" si="10"/>
        <v>0.571428571428571</v>
      </c>
      <c r="AQ46" s="7">
        <f t="shared" si="11"/>
        <v>34.2857142857143</v>
      </c>
      <c r="AR46" s="7">
        <f t="shared" si="12"/>
        <v>-21.2857142857143</v>
      </c>
      <c r="AS46">
        <f t="shared" si="13"/>
        <v>22</v>
      </c>
      <c r="AT46" s="2">
        <f>IFERROR(时间!$B$4+AS46,"上周无销量")</f>
        <v>43312</v>
      </c>
    </row>
    <row r="47" spans="1:46">
      <c r="A47" t="s">
        <v>273</v>
      </c>
      <c r="B47" s="5">
        <f>SUMIF('库存（子SKU）'!$C:$C,$A47,'库存（子SKU）'!D:D)</f>
        <v>1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>
        <v>79.99</v>
      </c>
      <c r="G47">
        <f>SUMIF('库存（子SKU）'!$C:$C,$A47,'库存（子SKU）'!I:I)</f>
        <v>6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6</v>
      </c>
      <c r="L47">
        <f>SUMIF('库存（子SKU）'!$C:$C,$A47,'库存（子SKU）'!N:N)</f>
        <v>0</v>
      </c>
      <c r="M47">
        <f>SUMIF('库存（子SKU）'!$C:$C,$A47,'库存（子SKU）'!O:O)</f>
        <v>6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>
        <f t="shared" si="2"/>
        <v>0</v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2</v>
      </c>
      <c r="AJ47">
        <f>SUMIF('库存（子SKU）'!$C:$C,$A47,'库存（子SKU）'!AL:AL)</f>
        <v>8</v>
      </c>
      <c r="AK47">
        <f>SUMIF('库存（子SKU）'!$C:$C,$A47,'库存（子SKU）'!AM:AM)</f>
        <v>5</v>
      </c>
      <c r="AL47" s="23" t="str">
        <f t="shared" si="6"/>
        <v/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7">
        <f t="shared" si="10"/>
        <v>0.142857142857143</v>
      </c>
      <c r="AQ47" s="7">
        <f t="shared" si="11"/>
        <v>8.57142857142857</v>
      </c>
      <c r="AR47" s="7">
        <f t="shared" si="12"/>
        <v>-2.57142857142857</v>
      </c>
      <c r="AS47">
        <f t="shared" si="13"/>
        <v>42</v>
      </c>
      <c r="AT47" s="2">
        <f>IFERROR(时间!$B$4+AS47,"上周无销量")</f>
        <v>43332</v>
      </c>
    </row>
    <row r="48" spans="1:46">
      <c r="A48" t="s">
        <v>276</v>
      </c>
      <c r="B48" s="5">
        <f>SUMIF('库存（子SKU）'!$C:$C,$A48,'库存（子SKU）'!D:D)</f>
        <v>16</v>
      </c>
      <c r="C48" s="5">
        <f>SUMIF('库存（子SKU）'!$C:$C,$A48,'库存（子SKU）'!E:E)</f>
        <v>9</v>
      </c>
      <c r="D48" s="5">
        <f>SUMIF('库存（子SKU）'!$C:$C,$A48,'库存（子SKU）'!F:F)</f>
        <v>5</v>
      </c>
      <c r="E48" s="5">
        <f>SUMIF('库存（子SKU）'!$C:$C,$A48,'库存（子SKU）'!G:G)</f>
        <v>9</v>
      </c>
      <c r="F48" s="6">
        <v>89.99</v>
      </c>
      <c r="G48">
        <f>SUMIF('库存（子SKU）'!$C:$C,$A48,'库存（子SKU）'!I:I)</f>
        <v>8</v>
      </c>
      <c r="H48">
        <f>SUMIF('库存（子SKU）'!$C:$C,$A48,'库存（子SKU）'!J:J)</f>
        <v>20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28</v>
      </c>
      <c r="L48">
        <f>SUMIF('库存（子SKU）'!$C:$C,$A48,'库存（子SKU）'!N:N)</f>
        <v>1</v>
      </c>
      <c r="M48">
        <f>SUMIF('库存（子SKU）'!$C:$C,$A48,'库存（子SKU）'!O:O)</f>
        <v>0</v>
      </c>
      <c r="N48">
        <f>SUMIF('库存（子SKU）'!$C:$C,$A48,'库存（子SKU）'!P:P)</f>
        <v>49973</v>
      </c>
      <c r="O48">
        <f>SUMIF('库存（子SKU）'!$C:$C,$A48,'库存（子SKU）'!Q:Q)</f>
        <v>28227</v>
      </c>
      <c r="P48">
        <f>SUMIF('库存（子SKU）'!$C:$C,$A48,'库存（子SKU）'!R:R)</f>
        <v>4419</v>
      </c>
      <c r="Q48">
        <f>SUMIF('库存（子SKU）'!$C:$C,$A48,'库存（子SKU）'!S:S)</f>
        <v>62</v>
      </c>
      <c r="R48">
        <f>SUMIF('库存（子SKU）'!$C:$C,$A48,'库存（子SKU）'!T:T)</f>
        <v>390</v>
      </c>
      <c r="S48">
        <f>SUMIF('库存（子SKU）'!$C:$C,$A48,'库存（子SKU）'!U:U)</f>
        <v>387</v>
      </c>
      <c r="T48">
        <f>SUMIF('库存（子SKU）'!$C:$C,$A48,'库存（子SKU）'!V:V)</f>
        <v>92</v>
      </c>
      <c r="U48">
        <f>SUMIF('库存（子SKU）'!$C:$C,$A48,'库存（子SKU）'!W:W)</f>
        <v>0</v>
      </c>
      <c r="V48" s="23">
        <f t="shared" si="15"/>
        <v>0.00780421427570888</v>
      </c>
      <c r="W48" s="23">
        <f t="shared" si="16"/>
        <v>0.0137102773939845</v>
      </c>
      <c r="X48" s="23">
        <f t="shared" si="17"/>
        <v>0.0208191898619597</v>
      </c>
      <c r="Y48" s="23">
        <f t="shared" si="18"/>
        <v>0</v>
      </c>
      <c r="Z48">
        <f>SUMIF('库存（子SKU）'!$C:$C,$A48,'库存（子SKU）'!AB:AB)</f>
        <v>51.75</v>
      </c>
      <c r="AA48">
        <f>SUMIF('库存（子SKU）'!$C:$C,$A48,'库存（子SKU）'!AC:AC)</f>
        <v>54.46</v>
      </c>
      <c r="AB48">
        <f>SUMIF('库存（子SKU）'!$C:$C,$A48,'库存（子SKU）'!AD:AD)</f>
        <v>12.08</v>
      </c>
      <c r="AC48">
        <f>SUMIF('库存（子SKU）'!$C:$C,$A48,'库存（子SKU）'!AE:AE)</f>
        <v>0</v>
      </c>
      <c r="AD48" s="23">
        <f t="shared" si="2"/>
        <v>0.0359414934992777</v>
      </c>
      <c r="AE48" s="23">
        <f t="shared" si="3"/>
        <v>0.0672420392389278</v>
      </c>
      <c r="AF48" s="23">
        <f t="shared" si="4"/>
        <v>0.0268474274919435</v>
      </c>
      <c r="AG48" s="23">
        <f t="shared" si="5"/>
        <v>0</v>
      </c>
      <c r="AH48">
        <f>SUMIF('库存（子SKU）'!$C:$C,$A48,'库存（子SKU）'!AJ:AJ)</f>
        <v>0</v>
      </c>
      <c r="AI48">
        <f>SUMIF('库存（子SKU）'!$C:$C,$A48,'库存（子SKU）'!AK:AK)</f>
        <v>708</v>
      </c>
      <c r="AJ48">
        <f>SUMIF('库存（子SKU）'!$C:$C,$A48,'库存（子SKU）'!AL:AL)</f>
        <v>515</v>
      </c>
      <c r="AK48">
        <f>SUMIF('库存（子SKU）'!$C:$C,$A48,'库存（子SKU）'!AM:AM)</f>
        <v>230</v>
      </c>
      <c r="AL48" s="23" t="str">
        <f t="shared" si="6"/>
        <v/>
      </c>
      <c r="AM48" s="23">
        <f t="shared" si="7"/>
        <v>0.0127118644067797</v>
      </c>
      <c r="AN48" s="23">
        <f t="shared" si="8"/>
        <v>0.00970873786407767</v>
      </c>
      <c r="AO48" s="23">
        <f t="shared" si="9"/>
        <v>0.0391304347826087</v>
      </c>
      <c r="AP48" s="7">
        <f t="shared" si="10"/>
        <v>2.28571428571429</v>
      </c>
      <c r="AQ48" s="7">
        <f t="shared" si="11"/>
        <v>137.142857142857</v>
      </c>
      <c r="AR48" s="7">
        <f t="shared" si="12"/>
        <v>-109.142857142857</v>
      </c>
      <c r="AS48">
        <f t="shared" si="13"/>
        <v>12</v>
      </c>
      <c r="AT48" s="2">
        <f>IFERROR(时间!$B$4+AS48,"上周无销量")</f>
        <v>43302</v>
      </c>
    </row>
    <row r="49" spans="1:46">
      <c r="A49" t="s">
        <v>279</v>
      </c>
      <c r="B49" s="5">
        <f>SUMIF('库存（子SKU）'!$C:$C,$A49,'库存（子SKU）'!D:D)</f>
        <v>0</v>
      </c>
      <c r="C49" s="5">
        <f>SUMIF('库存（子SKU）'!$C:$C,$A49,'库存（子SKU）'!E:E)</f>
        <v>2</v>
      </c>
      <c r="D49" s="5">
        <f>SUMIF('库存（子SKU）'!$C:$C,$A49,'库存（子SKU）'!F:F)</f>
        <v>0</v>
      </c>
      <c r="E49" s="5">
        <f>SUMIF('库存（子SKU）'!$C:$C,$A49,'库存（子SKU）'!G:G)</f>
        <v>1</v>
      </c>
      <c r="F49" s="6">
        <v>32.99</v>
      </c>
      <c r="G49">
        <f>SUMIF('库存（子SKU）'!$C:$C,$A49,'库存（子SKU）'!I:I)</f>
        <v>21</v>
      </c>
      <c r="H49">
        <f>SUMIF('库存（子SKU）'!$C:$C,$A49,'库存（子SKU）'!J:J)</f>
        <v>5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26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>
        <f t="shared" si="3"/>
        <v>0</v>
      </c>
      <c r="AF49" s="23" t="str">
        <f t="shared" si="4"/>
        <v/>
      </c>
      <c r="AG49" s="23">
        <f t="shared" si="5"/>
        <v>0</v>
      </c>
      <c r="AH49">
        <f>SUMIF('库存（子SKU）'!$C:$C,$A49,'库存（子SKU）'!AJ:AJ)</f>
        <v>0</v>
      </c>
      <c r="AI49">
        <f>SUMIF('库存（子SKU）'!$C:$C,$A49,'库存（子SKU）'!AK:AK)</f>
        <v>51</v>
      </c>
      <c r="AJ49">
        <f>SUMIF('库存（子SKU）'!$C:$C,$A49,'库存（子SKU）'!AL:AL)</f>
        <v>68</v>
      </c>
      <c r="AK49">
        <f>SUMIF('库存（子SKU）'!$C:$C,$A49,'库存（子SKU）'!AM:AM)</f>
        <v>57</v>
      </c>
      <c r="AL49" s="23" t="str">
        <f t="shared" si="6"/>
        <v/>
      </c>
      <c r="AM49" s="23">
        <f t="shared" si="7"/>
        <v>0.0392156862745098</v>
      </c>
      <c r="AN49" s="23">
        <f t="shared" si="8"/>
        <v>0</v>
      </c>
      <c r="AO49" s="23">
        <f t="shared" si="9"/>
        <v>0.0175438596491228</v>
      </c>
      <c r="AP49" s="7">
        <f t="shared" si="10"/>
        <v>0</v>
      </c>
      <c r="AQ49" s="7">
        <f t="shared" si="11"/>
        <v>0</v>
      </c>
      <c r="AR49" s="7">
        <f t="shared" si="12"/>
        <v>26</v>
      </c>
      <c r="AS49" t="str">
        <f t="shared" si="13"/>
        <v>库存为26</v>
      </c>
      <c r="AT49" s="2" t="str">
        <f>IFERROR(时间!$B$4+AS49,"上周无销量")</f>
        <v>上周无销量</v>
      </c>
    </row>
    <row r="50" spans="1:46">
      <c r="A50" t="s">
        <v>284</v>
      </c>
      <c r="B50" s="5">
        <f>SUMIF('库存（子SKU）'!$C:$C,$A50,'库存（子SKU）'!D:D)</f>
        <v>0</v>
      </c>
      <c r="C50" s="5">
        <f>SUMIF('库存（子SKU）'!$C:$C,$A50,'库存（子SKU）'!E:E)</f>
        <v>2</v>
      </c>
      <c r="D50" s="5">
        <f>SUMIF('库存（子SKU）'!$C:$C,$A50,'库存（子SKU）'!F:F)</f>
        <v>2</v>
      </c>
      <c r="E50" s="5">
        <f>SUMIF('库存（子SKU）'!$C:$C,$A50,'库存（子SKU）'!G:G)</f>
        <v>1</v>
      </c>
      <c r="F50" s="6">
        <v>89.99</v>
      </c>
      <c r="G50">
        <f>SUMIF('库存（子SKU）'!$C:$C,$A50,'库存（子SKU）'!I:I)</f>
        <v>10</v>
      </c>
      <c r="H50">
        <f>SUMIF('库存（子SKU）'!$C:$C,$A50,'库存（子SKU）'!J:J)</f>
        <v>5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15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>
        <f t="shared" si="3"/>
        <v>0</v>
      </c>
      <c r="AF50" s="23">
        <f t="shared" si="4"/>
        <v>0</v>
      </c>
      <c r="AG50" s="23">
        <f t="shared" si="5"/>
        <v>0</v>
      </c>
      <c r="AH50">
        <f>SUMIF('库存（子SKU）'!$C:$C,$A50,'库存（子SKU）'!AJ:AJ)</f>
        <v>0</v>
      </c>
      <c r="AI50">
        <f>SUMIF('库存（子SKU）'!$C:$C,$A50,'库存（子SKU）'!AK:AK)</f>
        <v>7</v>
      </c>
      <c r="AJ50">
        <f>SUMIF('库存（子SKU）'!$C:$C,$A50,'库存（子SKU）'!AL:AL)</f>
        <v>15</v>
      </c>
      <c r="AK50">
        <f>SUMIF('库存（子SKU）'!$C:$C,$A50,'库存（子SKU）'!AM:AM)</f>
        <v>14</v>
      </c>
      <c r="AL50" s="23" t="str">
        <f t="shared" si="6"/>
        <v/>
      </c>
      <c r="AM50" s="23">
        <f t="shared" si="7"/>
        <v>0.285714285714286</v>
      </c>
      <c r="AN50" s="23">
        <f t="shared" si="8"/>
        <v>0.133333333333333</v>
      </c>
      <c r="AO50" s="23">
        <f t="shared" si="9"/>
        <v>0.0714285714285714</v>
      </c>
      <c r="AP50" s="7">
        <f t="shared" si="10"/>
        <v>0</v>
      </c>
      <c r="AQ50" s="7">
        <f t="shared" si="11"/>
        <v>0</v>
      </c>
      <c r="AR50" s="7">
        <f t="shared" si="12"/>
        <v>15</v>
      </c>
      <c r="AS50" t="str">
        <f t="shared" si="13"/>
        <v>库存为15</v>
      </c>
      <c r="AT50" s="2" t="str">
        <f>IFERROR(时间!$B$4+AS50,"上周无销量")</f>
        <v>上周无销量</v>
      </c>
    </row>
    <row r="51" spans="1:46">
      <c r="A51" t="s">
        <v>287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54</v>
      </c>
      <c r="G51">
        <f>SUMIF('库存（子SKU）'!$C:$C,$A51,'库存（子SKU）'!I:I)</f>
        <v>3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3</v>
      </c>
      <c r="L51">
        <f>SUMIF('库存（子SKU）'!$C:$C,$A51,'库存（子SKU）'!N:N)</f>
        <v>0</v>
      </c>
      <c r="M51">
        <f>SUMIF('库存（子SKU）'!$C:$C,$A51,'库存（子SKU）'!O:O)</f>
        <v>3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2</v>
      </c>
      <c r="AJ51">
        <f>SUMIF('库存（子SKU）'!$C:$C,$A51,'库存（子SKU）'!AL:AL)</f>
        <v>1</v>
      </c>
      <c r="AK51">
        <f>SUMIF('库存（子SKU）'!$C:$C,$A51,'库存（子SKU）'!AM:AM)</f>
        <v>1</v>
      </c>
      <c r="AL51" s="23" t="str">
        <f t="shared" si="6"/>
        <v/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3</v>
      </c>
      <c r="AS51" t="str">
        <f t="shared" si="13"/>
        <v>库存为3</v>
      </c>
      <c r="AT51" s="2" t="str">
        <f>IFERROR(时间!$B$4+AS51,"上周无销量")</f>
        <v>上周无销量</v>
      </c>
    </row>
    <row r="52" spans="1:46">
      <c r="A52" t="s">
        <v>290</v>
      </c>
      <c r="B52" s="5">
        <f>SUMIF('库存（子SKU）'!$C:$C,$A52,'库存（子SKU）'!D:D)</f>
        <v>7</v>
      </c>
      <c r="C52" s="5">
        <f>SUMIF('库存（子SKU）'!$C:$C,$A52,'库存（子SKU）'!E:E)</f>
        <v>8</v>
      </c>
      <c r="D52" s="5">
        <f>SUMIF('库存（子SKU）'!$C:$C,$A52,'库存（子SKU）'!F:F)</f>
        <v>7</v>
      </c>
      <c r="E52" s="5">
        <f>SUMIF('库存（子SKU）'!$C:$C,$A52,'库存（子SKU）'!G:G)</f>
        <v>7</v>
      </c>
      <c r="F52" s="6">
        <v>79.99</v>
      </c>
      <c r="G52">
        <f>SUMIF('库存（子SKU）'!$C:$C,$A52,'库存（子SKU）'!I:I)</f>
        <v>18</v>
      </c>
      <c r="H52">
        <f>SUMIF('库存（子SKU）'!$C:$C,$A52,'库存（子SKU）'!J:J)</f>
        <v>7</v>
      </c>
      <c r="I52">
        <f>SUMIF('库存（子SKU）'!$C:$C,$A52,'库存（子SKU）'!K:K)</f>
        <v>0</v>
      </c>
      <c r="J52">
        <f>SUMIF('库存（子SKU）'!$C:$C,$A52,'库存（子SKU）'!L:L)</f>
        <v>1</v>
      </c>
      <c r="K52">
        <f t="shared" si="0"/>
        <v>26</v>
      </c>
      <c r="L52">
        <f>SUMIF('库存（子SKU）'!$C:$C,$A52,'库存（子SKU）'!N:N)</f>
        <v>2</v>
      </c>
      <c r="M52">
        <f>SUMIF('库存（子SKU）'!$C:$C,$A52,'库存（子SKU）'!O:O)</f>
        <v>0</v>
      </c>
      <c r="N52">
        <f>SUMIF('库存（子SKU）'!$C:$C,$A52,'库存（子SKU）'!P:P)</f>
        <v>41794</v>
      </c>
      <c r="O52">
        <f>SUMIF('库存（子SKU）'!$C:$C,$A52,'库存（子SKU）'!Q:Q)</f>
        <v>98217</v>
      </c>
      <c r="P52">
        <f>SUMIF('库存（子SKU）'!$C:$C,$A52,'库存（子SKU）'!R:R)</f>
        <v>99016</v>
      </c>
      <c r="Q52">
        <f>SUMIF('库存（子SKU）'!$C:$C,$A52,'库存（子SKU）'!S:S)</f>
        <v>84480</v>
      </c>
      <c r="R52">
        <f>SUMIF('库存（子SKU）'!$C:$C,$A52,'库存（子SKU）'!T:T)</f>
        <v>164</v>
      </c>
      <c r="S52">
        <f>SUMIF('库存（子SKU）'!$C:$C,$A52,'库存（子SKU）'!U:U)</f>
        <v>269</v>
      </c>
      <c r="T52">
        <f>SUMIF('库存（子SKU）'!$C:$C,$A52,'库存（子SKU）'!V:V)</f>
        <v>271</v>
      </c>
      <c r="U52">
        <f>SUMIF('库存（子SKU）'!$C:$C,$A52,'库存（子SKU）'!W:W)</f>
        <v>203</v>
      </c>
      <c r="V52" s="23">
        <f t="shared" si="15"/>
        <v>0.00392400823084653</v>
      </c>
      <c r="W52" s="23">
        <f t="shared" si="16"/>
        <v>0.00273883339951332</v>
      </c>
      <c r="X52" s="23">
        <f t="shared" si="17"/>
        <v>0.00273693140502545</v>
      </c>
      <c r="Y52" s="23">
        <f t="shared" si="18"/>
        <v>0.00240293560606061</v>
      </c>
      <c r="Z52">
        <f>SUMIF('库存（子SKU）'!$C:$C,$A52,'库存（子SKU）'!AB:AB)</f>
        <v>28.21</v>
      </c>
      <c r="AA52">
        <f>SUMIF('库存（子SKU）'!$C:$C,$A52,'库存（子SKU）'!AC:AC)</f>
        <v>58.3</v>
      </c>
      <c r="AB52">
        <f>SUMIF('库存（子SKU）'!$C:$C,$A52,'库存（子SKU）'!AD:AD)</f>
        <v>57.72</v>
      </c>
      <c r="AC52">
        <f>SUMIF('库存（子SKU）'!$C:$C,$A52,'库存（子SKU）'!AE:AE)</f>
        <v>42.77</v>
      </c>
      <c r="AD52" s="23">
        <f t="shared" si="2"/>
        <v>0.0503812976622078</v>
      </c>
      <c r="AE52" s="23">
        <f t="shared" si="3"/>
        <v>0.0911051381422678</v>
      </c>
      <c r="AF52" s="23">
        <f t="shared" si="4"/>
        <v>0.103084314110692</v>
      </c>
      <c r="AG52" s="23">
        <f t="shared" si="5"/>
        <v>0.0763845480685086</v>
      </c>
      <c r="AH52">
        <f>SUMIF('库存（子SKU）'!$C:$C,$A52,'库存（子SKU）'!AJ:AJ)</f>
        <v>0</v>
      </c>
      <c r="AI52">
        <f>SUMIF('库存（子SKU）'!$C:$C,$A52,'库存（子SKU）'!AK:AK)</f>
        <v>285</v>
      </c>
      <c r="AJ52">
        <f>SUMIF('库存（子SKU）'!$C:$C,$A52,'库存（子SKU）'!AL:AL)</f>
        <v>362</v>
      </c>
      <c r="AK52">
        <f>SUMIF('库存（子SKU）'!$C:$C,$A52,'库存（子SKU）'!AM:AM)</f>
        <v>324</v>
      </c>
      <c r="AL52" s="23" t="str">
        <f t="shared" si="6"/>
        <v/>
      </c>
      <c r="AM52" s="23">
        <f t="shared" si="7"/>
        <v>0.0280701754385965</v>
      </c>
      <c r="AN52" s="23">
        <f t="shared" si="8"/>
        <v>0.0193370165745856</v>
      </c>
      <c r="AO52" s="23">
        <f t="shared" si="9"/>
        <v>0.0216049382716049</v>
      </c>
      <c r="AP52" s="7">
        <f t="shared" si="10"/>
        <v>1</v>
      </c>
      <c r="AQ52" s="7">
        <f t="shared" si="11"/>
        <v>60</v>
      </c>
      <c r="AR52" s="7">
        <f t="shared" si="12"/>
        <v>-34</v>
      </c>
      <c r="AS52">
        <f t="shared" si="13"/>
        <v>26</v>
      </c>
      <c r="AT52" s="2">
        <f>IFERROR(时间!$B$4+AS52,"上周无销量")</f>
        <v>43316</v>
      </c>
    </row>
    <row r="53" spans="1:46">
      <c r="A53" t="s">
        <v>293</v>
      </c>
      <c r="B53" s="5">
        <f>SUMIF('库存（子SKU）'!$C:$C,$A53,'库存（子SKU）'!D:D)</f>
        <v>3</v>
      </c>
      <c r="C53" s="5">
        <f>SUMIF('库存（子SKU）'!$C:$C,$A53,'库存（子SKU）'!E:E)</f>
        <v>2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>
        <v>32.99</v>
      </c>
      <c r="G53">
        <f>SUMIF('库存（子SKU）'!$C:$C,$A53,'库存（子SKU）'!I:I)</f>
        <v>0</v>
      </c>
      <c r="H53">
        <f>SUMIF('库存（子SKU）'!$C:$C,$A53,'库存（子SKU）'!J:J)</f>
        <v>10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5288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64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>
        <f t="shared" si="15"/>
        <v>0.0121028744326778</v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10.83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>
        <f t="shared" si="2"/>
        <v>0.109427099120946</v>
      </c>
      <c r="AE53" s="23">
        <f t="shared" si="3"/>
        <v>0</v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7">
        <f t="shared" si="10"/>
        <v>0.428571428571429</v>
      </c>
      <c r="AQ53" s="7">
        <f t="shared" si="11"/>
        <v>25.7142857142857</v>
      </c>
      <c r="AR53" s="7">
        <f t="shared" si="12"/>
        <v>-15.7142857142857</v>
      </c>
      <c r="AS53">
        <f t="shared" si="13"/>
        <v>23</v>
      </c>
      <c r="AT53" s="2">
        <f>IFERROR(时间!$B$4+AS53,"上周无销量")</f>
        <v>43313</v>
      </c>
    </row>
    <row r="54" spans="1:46">
      <c r="A54" t="s">
        <v>296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54</v>
      </c>
      <c r="G54">
        <f>SUMIF('库存（子SKU）'!$C:$C,$A54,'库存（子SKU）'!I:I)</f>
        <v>5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 t="str">
        <f t="shared" si="6"/>
        <v/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5</v>
      </c>
      <c r="AS54" t="str">
        <f t="shared" si="13"/>
        <v>库存为5</v>
      </c>
      <c r="AT54" s="2" t="str">
        <f>IFERROR(时间!$B$4+AS54,"上周无销量")</f>
        <v>上周无销量</v>
      </c>
    </row>
    <row r="55" spans="1:46">
      <c r="A55" t="s">
        <v>299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54</v>
      </c>
      <c r="G55">
        <f>SUMIF('库存（子SKU）'!$C:$C,$A55,'库存（子SKU）'!I:I)</f>
        <v>6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6</v>
      </c>
      <c r="L55">
        <f>SUMIF('库存（子SKU）'!$C:$C,$A55,'库存（子SKU）'!N:N)</f>
        <v>0</v>
      </c>
      <c r="M55">
        <f>SUMIF('库存（子SKU）'!$C:$C,$A55,'库存（子SKU）'!O:O)</f>
        <v>6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3</v>
      </c>
      <c r="AJ55">
        <f>SUMIF('库存（子SKU）'!$C:$C,$A55,'库存（子SKU）'!AL:AL)</f>
        <v>5</v>
      </c>
      <c r="AK55">
        <f>SUMIF('库存（子SKU）'!$C:$C,$A55,'库存（子SKU）'!AM:AM)</f>
        <v>15</v>
      </c>
      <c r="AL55" s="23" t="str">
        <f t="shared" si="6"/>
        <v/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6</v>
      </c>
      <c r="AS55" t="str">
        <f t="shared" si="13"/>
        <v>库存为6</v>
      </c>
      <c r="AT55" s="2" t="str">
        <f>IFERROR(时间!$B$4+AS55,"上周无销量")</f>
        <v>上周无销量</v>
      </c>
    </row>
    <row r="56" spans="1:46">
      <c r="A56" t="s">
        <v>302</v>
      </c>
      <c r="B56" s="5">
        <f>SUMIF('库存（子SKU）'!$C:$C,$A56,'库存（子SKU）'!D:D)</f>
        <v>1</v>
      </c>
      <c r="C56" s="5">
        <f>SUMIF('库存（子SKU）'!$C:$C,$A56,'库存（子SKU）'!E:E)</f>
        <v>2</v>
      </c>
      <c r="D56" s="5">
        <f>SUMIF('库存（子SKU）'!$C:$C,$A56,'库存（子SKU）'!F:F)</f>
        <v>0</v>
      </c>
      <c r="E56" s="5">
        <f>SUMIF('库存（子SKU）'!$C:$C,$A56,'库存（子SKU）'!G:G)</f>
        <v>1</v>
      </c>
      <c r="F56" s="6">
        <v>89.99</v>
      </c>
      <c r="G56">
        <f>SUMIF('库存（子SKU）'!$C:$C,$A56,'库存（子SKU）'!I:I)</f>
        <v>5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5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318</v>
      </c>
      <c r="Q56">
        <f>SUMIF('库存（子SKU）'!$C:$C,$A56,'库存（子SKU）'!S:S)</f>
        <v>4108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5</v>
      </c>
      <c r="U56">
        <f>SUMIF('库存（子SKU）'!$C:$C,$A56,'库存（子SKU）'!W:W)</f>
        <v>37</v>
      </c>
      <c r="V56" s="23" t="str">
        <f t="shared" si="15"/>
        <v/>
      </c>
      <c r="W56" s="23" t="str">
        <f t="shared" si="16"/>
        <v/>
      </c>
      <c r="X56" s="23">
        <f t="shared" si="17"/>
        <v>0.0157232704402516</v>
      </c>
      <c r="Y56" s="23">
        <f t="shared" si="18"/>
        <v>0.00900681596884128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1.18</v>
      </c>
      <c r="AC56">
        <f>SUMIF('库存（子SKU）'!$C:$C,$A56,'库存（子SKU）'!AE:AE)</f>
        <v>10.6</v>
      </c>
      <c r="AD56" s="23">
        <f t="shared" si="2"/>
        <v>0</v>
      </c>
      <c r="AE56" s="23">
        <f t="shared" si="3"/>
        <v>0</v>
      </c>
      <c r="AF56" s="23" t="str">
        <f t="shared" si="4"/>
        <v>无销量广告费为1.18</v>
      </c>
      <c r="AG56" s="23">
        <f t="shared" si="5"/>
        <v>0.117790865651739</v>
      </c>
      <c r="AH56">
        <f>SUMIF('库存（子SKU）'!$C:$C,$A56,'库存（子SKU）'!AJ:AJ)</f>
        <v>0</v>
      </c>
      <c r="AI56">
        <f>SUMIF('库存（子SKU）'!$C:$C,$A56,'库存（子SKU）'!AK:AK)</f>
        <v>16</v>
      </c>
      <c r="AJ56">
        <f>SUMIF('库存（子SKU）'!$C:$C,$A56,'库存（子SKU）'!AL:AL)</f>
        <v>13</v>
      </c>
      <c r="AK56">
        <f>SUMIF('库存（子SKU）'!$C:$C,$A56,'库存（子SKU）'!AM:AM)</f>
        <v>22</v>
      </c>
      <c r="AL56" s="23" t="str">
        <f t="shared" si="6"/>
        <v/>
      </c>
      <c r="AM56" s="23">
        <f t="shared" si="7"/>
        <v>0.125</v>
      </c>
      <c r="AN56" s="23">
        <f t="shared" si="8"/>
        <v>0</v>
      </c>
      <c r="AO56" s="23">
        <f t="shared" si="9"/>
        <v>0.0454545454545455</v>
      </c>
      <c r="AP56" s="7">
        <f t="shared" si="10"/>
        <v>0.142857142857143</v>
      </c>
      <c r="AQ56" s="7">
        <f t="shared" si="11"/>
        <v>8.57142857142857</v>
      </c>
      <c r="AR56" s="7">
        <f t="shared" si="12"/>
        <v>-3.57142857142857</v>
      </c>
      <c r="AS56">
        <f t="shared" si="13"/>
        <v>35</v>
      </c>
      <c r="AT56" s="2">
        <f>IFERROR(时间!$B$4+AS56,"上周无销量")</f>
        <v>43325</v>
      </c>
    </row>
    <row r="57" spans="1:46">
      <c r="A57" t="s">
        <v>306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54</v>
      </c>
      <c r="G57">
        <f>SUMIF('库存（子SKU）'!$C:$C,$A57,'库存（子SKU）'!I:I)</f>
        <v>10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4</v>
      </c>
      <c r="AJ57">
        <f>SUMIF('库存（子SKU）'!$C:$C,$A57,'库存（子SKU）'!AL:AL)</f>
        <v>10</v>
      </c>
      <c r="AK57">
        <f>SUMIF('库存（子SKU）'!$C:$C,$A57,'库存（子SKU）'!AM:AM)</f>
        <v>22</v>
      </c>
      <c r="AL57" s="23" t="str">
        <f t="shared" si="6"/>
        <v/>
      </c>
      <c r="AM57" s="23">
        <f t="shared" si="7"/>
        <v>0</v>
      </c>
      <c r="AN57" s="23">
        <f t="shared" si="8"/>
        <v>0</v>
      </c>
      <c r="AO57" s="23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10</v>
      </c>
      <c r="AS57" t="str">
        <f t="shared" si="13"/>
        <v>库存为10</v>
      </c>
      <c r="AT57" s="2" t="str">
        <f>IFERROR(时间!$B$4+AS57,"上周无销量")</f>
        <v>上周无销量</v>
      </c>
    </row>
    <row r="58" spans="1:46">
      <c r="A58" t="s">
        <v>309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54</v>
      </c>
      <c r="G58">
        <f>SUMIF('库存（子SKU）'!$C:$C,$A58,'库存（子SKU）'!I:I)</f>
        <v>3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3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708</v>
      </c>
      <c r="O58">
        <f>SUMIF('库存（子SKU）'!$C:$C,$A58,'库存（子SKU）'!Q:Q)</f>
        <v>1148</v>
      </c>
      <c r="P58">
        <f>SUMIF('库存（子SKU）'!$C:$C,$A58,'库存（子SKU）'!R:R)</f>
        <v>1228</v>
      </c>
      <c r="Q58">
        <f>SUMIF('库存（子SKU）'!$C:$C,$A58,'库存（子SKU）'!S:S)</f>
        <v>2440</v>
      </c>
      <c r="R58">
        <f>SUMIF('库存（子SKU）'!$C:$C,$A58,'库存（子SKU）'!T:T)</f>
        <v>0</v>
      </c>
      <c r="S58">
        <f>SUMIF('库存（子SKU）'!$C:$C,$A58,'库存（子SKU）'!U:U)</f>
        <v>1</v>
      </c>
      <c r="T58">
        <f>SUMIF('库存（子SKU）'!$C:$C,$A58,'库存（子SKU）'!V:V)</f>
        <v>2</v>
      </c>
      <c r="U58">
        <f>SUMIF('库存（子SKU）'!$C:$C,$A58,'库存（子SKU）'!W:W)</f>
        <v>2</v>
      </c>
      <c r="V58" s="23">
        <f t="shared" si="15"/>
        <v>0</v>
      </c>
      <c r="W58" s="23">
        <f t="shared" si="16"/>
        <v>0.000871080139372822</v>
      </c>
      <c r="X58" s="23">
        <f t="shared" si="17"/>
        <v>0.00162866449511401</v>
      </c>
      <c r="Y58" s="23">
        <f t="shared" si="18"/>
        <v>0.000819672131147541</v>
      </c>
      <c r="Z58">
        <f>SUMIF('库存（子SKU）'!$C:$C,$A58,'库存（子SKU）'!AB:AB)</f>
        <v>0</v>
      </c>
      <c r="AA58">
        <f>SUMIF('库存（子SKU）'!$C:$C,$A58,'库存（子SKU）'!AC:AC)</f>
        <v>0.2</v>
      </c>
      <c r="AB58">
        <f>SUMIF('库存（子SKU）'!$C:$C,$A58,'库存（子SKU）'!AD:AD)</f>
        <v>0.2</v>
      </c>
      <c r="AC58">
        <f>SUMIF('库存（子SKU）'!$C:$C,$A58,'库存（子SKU）'!AE:AE)</f>
        <v>0.28</v>
      </c>
      <c r="AD58" s="23" t="str">
        <f t="shared" si="2"/>
        <v/>
      </c>
      <c r="AE58" s="23" t="str">
        <f t="shared" si="3"/>
        <v>无销量广告费为0.2</v>
      </c>
      <c r="AF58" s="23" t="str">
        <f t="shared" si="4"/>
        <v>无销量广告费为0.2</v>
      </c>
      <c r="AG58" s="23" t="str">
        <f t="shared" si="5"/>
        <v>无销量广告费为0.28</v>
      </c>
      <c r="AH58">
        <f>SUMIF('库存（子SKU）'!$C:$C,$A58,'库存（子SKU）'!AJ:AJ)</f>
        <v>0</v>
      </c>
      <c r="AI58">
        <f>SUMIF('库存（子SKU）'!$C:$C,$A58,'库存（子SKU）'!AK:AK)</f>
        <v>10</v>
      </c>
      <c r="AJ58">
        <f>SUMIF('库存（子SKU）'!$C:$C,$A58,'库存（子SKU）'!AL:AL)</f>
        <v>6</v>
      </c>
      <c r="AK58">
        <f>SUMIF('库存（子SKU）'!$C:$C,$A58,'库存（子SKU）'!AM:AM)</f>
        <v>7</v>
      </c>
      <c r="AL58" s="23" t="str">
        <f t="shared" si="6"/>
        <v/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3</v>
      </c>
      <c r="AS58" t="str">
        <f t="shared" si="13"/>
        <v>库存为3</v>
      </c>
      <c r="AT58" s="2" t="str">
        <f>IFERROR(时间!$B$4+AS58,"上周无销量")</f>
        <v>上周无销量</v>
      </c>
    </row>
    <row r="59" spans="1:46">
      <c r="A59" t="s">
        <v>314</v>
      </c>
      <c r="B59" s="5">
        <f>SUMIF('库存（子SKU）'!$C:$C,$A59,'库存（子SKU）'!D:D)</f>
        <v>0</v>
      </c>
      <c r="C59" s="5">
        <f>SUMIF('库存（子SKU）'!$C:$C,$A59,'库存（子SKU）'!E:E)</f>
        <v>1</v>
      </c>
      <c r="D59" s="5">
        <f>SUMIF('库存（子SKU）'!$C:$C,$A59,'库存（子SKU）'!F:F)</f>
        <v>0</v>
      </c>
      <c r="E59" s="5">
        <f>SUMIF('库存（子SKU）'!$C:$C,$A59,'库存（子SKU）'!G:G)</f>
        <v>1</v>
      </c>
      <c r="F59" s="6">
        <v>89.99</v>
      </c>
      <c r="G59">
        <f>SUMIF('库存（子SKU）'!$C:$C,$A59,'库存（子SKU）'!I:I)</f>
        <v>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9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256</v>
      </c>
      <c r="O59">
        <f>SUMIF('库存（子SKU）'!$C:$C,$A59,'库存（子SKU）'!Q:Q)</f>
        <v>50</v>
      </c>
      <c r="P59">
        <f>SUMIF('库存（子SKU）'!$C:$C,$A59,'库存（子SKU）'!R:R)</f>
        <v>20</v>
      </c>
      <c r="Q59">
        <f>SUMIF('库存（子SKU）'!$C:$C,$A59,'库存（子SKU）'!S:S)</f>
        <v>6687</v>
      </c>
      <c r="R59">
        <f>SUMIF('库存（子SKU）'!$C:$C,$A59,'库存（子SKU）'!T:T)</f>
        <v>4</v>
      </c>
      <c r="S59">
        <f>SUMIF('库存（子SKU）'!$C:$C,$A59,'库存（子SKU）'!U:U)</f>
        <v>1</v>
      </c>
      <c r="T59">
        <f>SUMIF('库存（子SKU）'!$C:$C,$A59,'库存（子SKU）'!V:V)</f>
        <v>1</v>
      </c>
      <c r="U59">
        <f>SUMIF('库存（子SKU）'!$C:$C,$A59,'库存（子SKU）'!W:W)</f>
        <v>83</v>
      </c>
      <c r="V59" s="23">
        <f t="shared" si="15"/>
        <v>0.015625</v>
      </c>
      <c r="W59" s="23">
        <f t="shared" si="16"/>
        <v>0.02</v>
      </c>
      <c r="X59" s="23">
        <f t="shared" si="17"/>
        <v>0.05</v>
      </c>
      <c r="Y59" s="23">
        <f t="shared" si="18"/>
        <v>0.0124121429639599</v>
      </c>
      <c r="Z59">
        <f>SUMIF('库存（子SKU）'!$C:$C,$A59,'库存（子SKU）'!AB:AB)</f>
        <v>0.4</v>
      </c>
      <c r="AA59">
        <f>SUMIF('库存（子SKU）'!$C:$C,$A59,'库存（子SKU）'!AC:AC)</f>
        <v>0.15</v>
      </c>
      <c r="AB59">
        <f>SUMIF('库存（子SKU）'!$C:$C,$A59,'库存（子SKU）'!AD:AD)</f>
        <v>0.03</v>
      </c>
      <c r="AC59">
        <f>SUMIF('库存（子SKU）'!$C:$C,$A59,'库存（子SKU）'!AE:AE)</f>
        <v>10.46</v>
      </c>
      <c r="AD59" s="23" t="str">
        <f t="shared" si="2"/>
        <v>无销量广告费为0.4</v>
      </c>
      <c r="AE59" s="23">
        <f t="shared" si="3"/>
        <v>0.00166685187243027</v>
      </c>
      <c r="AF59" s="23" t="str">
        <f t="shared" si="4"/>
        <v>无销量广告费为0.03</v>
      </c>
      <c r="AG59" s="23">
        <f t="shared" si="5"/>
        <v>0.116235137237471</v>
      </c>
      <c r="AH59">
        <f>SUMIF('库存（子SKU）'!$C:$C,$A59,'库存（子SKU）'!AJ:AJ)</f>
        <v>0</v>
      </c>
      <c r="AI59">
        <f>SUMIF('库存（子SKU）'!$C:$C,$A59,'库存（子SKU）'!AK:AK)</f>
        <v>9</v>
      </c>
      <c r="AJ59">
        <f>SUMIF('库存（子SKU）'!$C:$C,$A59,'库存（子SKU）'!AL:AL)</f>
        <v>21</v>
      </c>
      <c r="AK59">
        <f>SUMIF('库存（子SKU）'!$C:$C,$A59,'库存（子SKU）'!AM:AM)</f>
        <v>17</v>
      </c>
      <c r="AL59" s="23" t="str">
        <f t="shared" si="6"/>
        <v/>
      </c>
      <c r="AM59" s="23">
        <f t="shared" si="7"/>
        <v>0.111111111111111</v>
      </c>
      <c r="AN59" s="23">
        <f t="shared" si="8"/>
        <v>0</v>
      </c>
      <c r="AO59" s="23">
        <f t="shared" si="9"/>
        <v>0.0588235294117647</v>
      </c>
      <c r="AP59" s="7">
        <f t="shared" si="10"/>
        <v>0</v>
      </c>
      <c r="AQ59" s="7">
        <f t="shared" si="11"/>
        <v>0</v>
      </c>
      <c r="AR59" s="7">
        <f t="shared" si="12"/>
        <v>9</v>
      </c>
      <c r="AS59" t="str">
        <f t="shared" si="13"/>
        <v>库存为9</v>
      </c>
      <c r="AT59" s="2" t="str">
        <f>IFERROR(时间!$B$4+AS59,"上周无销量")</f>
        <v>上周无销量</v>
      </c>
    </row>
    <row r="60" spans="1:46">
      <c r="A60" t="s">
        <v>319</v>
      </c>
      <c r="B60" s="5">
        <f>SUMIF('库存（子SKU）'!$C:$C,$A60,'库存（子SKU）'!D:D)</f>
        <v>1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1</v>
      </c>
      <c r="F60" s="6">
        <v>89.99</v>
      </c>
      <c r="G60">
        <f>SUMIF('库存（子SKU）'!$C:$C,$A60,'库存（子SKU）'!I:I)</f>
        <v>24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24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>
        <f t="shared" si="2"/>
        <v>0</v>
      </c>
      <c r="AE60" s="23" t="str">
        <f t="shared" si="3"/>
        <v/>
      </c>
      <c r="AF60" s="23" t="str">
        <f t="shared" si="4"/>
        <v/>
      </c>
      <c r="AG60" s="23">
        <f t="shared" si="5"/>
        <v>0</v>
      </c>
      <c r="AH60">
        <f>SUMIF('库存（子SKU）'!$C:$C,$A60,'库存（子SKU）'!AJ:AJ)</f>
        <v>0</v>
      </c>
      <c r="AI60">
        <f>SUMIF('库存（子SKU）'!$C:$C,$A60,'库存（子SKU）'!AK:AK)</f>
        <v>78</v>
      </c>
      <c r="AJ60">
        <f>SUMIF('库存（子SKU）'!$C:$C,$A60,'库存（子SKU）'!AL:AL)</f>
        <v>166</v>
      </c>
      <c r="AK60">
        <f>SUMIF('库存（子SKU）'!$C:$C,$A60,'库存（子SKU）'!AM:AM)</f>
        <v>26</v>
      </c>
      <c r="AL60" s="23" t="str">
        <f t="shared" si="6"/>
        <v/>
      </c>
      <c r="AM60" s="23">
        <f t="shared" si="7"/>
        <v>0</v>
      </c>
      <c r="AN60" s="23">
        <f t="shared" si="8"/>
        <v>0</v>
      </c>
      <c r="AO60" s="23">
        <f t="shared" si="9"/>
        <v>0.0384615384615385</v>
      </c>
      <c r="AP60" s="7">
        <f t="shared" si="10"/>
        <v>0.142857142857143</v>
      </c>
      <c r="AQ60" s="7">
        <f t="shared" si="11"/>
        <v>8.57142857142857</v>
      </c>
      <c r="AR60" s="7">
        <f t="shared" si="12"/>
        <v>15.4285714285714</v>
      </c>
      <c r="AS60">
        <f t="shared" si="13"/>
        <v>168</v>
      </c>
      <c r="AT60" s="2">
        <f>IFERROR(时间!$B$4+AS60,"上周无销量")</f>
        <v>43458</v>
      </c>
    </row>
    <row r="61" spans="1:46">
      <c r="A61" t="s">
        <v>322</v>
      </c>
      <c r="B61" s="5">
        <f>SUMIF('库存（子SKU）'!$C:$C,$A61,'库存（子SKU）'!D:D)</f>
        <v>0</v>
      </c>
      <c r="C61" s="5">
        <f>SUMIF('库存（子SKU）'!$C:$C,$A61,'库存（子SKU）'!E:E)</f>
        <v>3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>
        <v>79.99</v>
      </c>
      <c r="G61">
        <f>SUMIF('库存（子SKU）'!$C:$C,$A61,'库存（子SKU）'!I:I)</f>
        <v>5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5</v>
      </c>
      <c r="L61">
        <f>SUMIF('库存（子SKU）'!$C:$C,$A61,'库存（子SKU）'!N:N)</f>
        <v>0</v>
      </c>
      <c r="M61">
        <f>SUMIF('库存（子SKU）'!$C:$C,$A61,'库存（子SKU）'!O:O)</f>
        <v>1</v>
      </c>
      <c r="N61">
        <f>SUMIF('库存（子SKU）'!$C:$C,$A61,'库存（子SKU）'!P:P)</f>
        <v>5295</v>
      </c>
      <c r="O61">
        <f>SUMIF('库存（子SKU）'!$C:$C,$A61,'库存（子SKU）'!Q:Q)</f>
        <v>4483</v>
      </c>
      <c r="P61">
        <f>SUMIF('库存（子SKU）'!$C:$C,$A61,'库存（子SKU）'!R:R)</f>
        <v>1693</v>
      </c>
      <c r="Q61">
        <f>SUMIF('库存（子SKU）'!$C:$C,$A61,'库存（子SKU）'!S:S)</f>
        <v>2009</v>
      </c>
      <c r="R61">
        <f>SUMIF('库存（子SKU）'!$C:$C,$A61,'库存（子SKU）'!T:T)</f>
        <v>55</v>
      </c>
      <c r="S61">
        <f>SUMIF('库存（子SKU）'!$C:$C,$A61,'库存（子SKU）'!U:U)</f>
        <v>50</v>
      </c>
      <c r="T61">
        <f>SUMIF('库存（子SKU）'!$C:$C,$A61,'库存（子SKU）'!V:V)</f>
        <v>25</v>
      </c>
      <c r="U61">
        <f>SUMIF('库存（子SKU）'!$C:$C,$A61,'库存（子SKU）'!W:W)</f>
        <v>37</v>
      </c>
      <c r="V61" s="23">
        <f t="shared" si="15"/>
        <v>0.0103871576959396</v>
      </c>
      <c r="W61" s="23">
        <f t="shared" si="16"/>
        <v>0.011153245594468</v>
      </c>
      <c r="X61" s="23">
        <f t="shared" si="17"/>
        <v>0.0147666863555818</v>
      </c>
      <c r="Y61" s="23">
        <f t="shared" si="18"/>
        <v>0.0184171229467397</v>
      </c>
      <c r="Z61">
        <f>SUMIF('库存（子SKU）'!$C:$C,$A61,'库存（子SKU）'!AB:AB)</f>
        <v>5.94</v>
      </c>
      <c r="AA61">
        <f>SUMIF('库存（子SKU）'!$C:$C,$A61,'库存（子SKU）'!AC:AC)</f>
        <v>5.99</v>
      </c>
      <c r="AB61">
        <f>SUMIF('库存（子SKU）'!$C:$C,$A61,'库存（子SKU）'!AD:AD)</f>
        <v>3.05</v>
      </c>
      <c r="AC61">
        <f>SUMIF('库存（子SKU）'!$C:$C,$A61,'库存（子SKU）'!AE:AE)</f>
        <v>4.68</v>
      </c>
      <c r="AD61" s="23" t="str">
        <f t="shared" si="2"/>
        <v>无销量广告费为5.94</v>
      </c>
      <c r="AE61" s="23">
        <f t="shared" si="3"/>
        <v>0.0249614535150227</v>
      </c>
      <c r="AF61" s="23" t="str">
        <f t="shared" si="4"/>
        <v>无销量广告费为3.05</v>
      </c>
      <c r="AG61" s="23" t="str">
        <f t="shared" si="5"/>
        <v>无销量广告费为4.68</v>
      </c>
      <c r="AH61">
        <f>SUMIF('库存（子SKU）'!$C:$C,$A61,'库存（子SKU）'!AJ:AJ)</f>
        <v>0</v>
      </c>
      <c r="AI61">
        <f>SUMIF('库存（子SKU）'!$C:$C,$A61,'库存（子SKU）'!AK:AK)</f>
        <v>78</v>
      </c>
      <c r="AJ61">
        <f>SUMIF('库存（子SKU）'!$C:$C,$A61,'库存（子SKU）'!AL:AL)</f>
        <v>59</v>
      </c>
      <c r="AK61">
        <f>SUMIF('库存（子SKU）'!$C:$C,$A61,'库存（子SKU）'!AM:AM)</f>
        <v>47</v>
      </c>
      <c r="AL61" s="23" t="str">
        <f t="shared" si="6"/>
        <v/>
      </c>
      <c r="AM61" s="23">
        <f t="shared" si="7"/>
        <v>0.0384615384615385</v>
      </c>
      <c r="AN61" s="23">
        <f t="shared" si="8"/>
        <v>0</v>
      </c>
      <c r="AO61" s="23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5</v>
      </c>
      <c r="AS61" t="str">
        <f t="shared" si="13"/>
        <v>库存为5</v>
      </c>
      <c r="AT61" s="2" t="str">
        <f>IFERROR(时间!$B$4+AS61,"上周无销量")</f>
        <v>上周无销量</v>
      </c>
    </row>
    <row r="62" spans="1:46">
      <c r="A62" t="s">
        <v>330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54</v>
      </c>
      <c r="G62">
        <f>SUMIF('库存（子SKU）'!$C:$C,$A62,'库存（子SKU）'!I:I)</f>
        <v>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5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1128</v>
      </c>
      <c r="O62">
        <f>SUMIF('库存（子SKU）'!$C:$C,$A62,'库存（子SKU）'!Q:Q)</f>
        <v>821</v>
      </c>
      <c r="P62">
        <f>SUMIF('库存（子SKU）'!$C:$C,$A62,'库存（子SKU）'!R:R)</f>
        <v>1057</v>
      </c>
      <c r="Q62">
        <f>SUMIF('库存（子SKU）'!$C:$C,$A62,'库存（子SKU）'!S:S)</f>
        <v>1483</v>
      </c>
      <c r="R62">
        <f>SUMIF('库存（子SKU）'!$C:$C,$A62,'库存（子SKU）'!T:T)</f>
        <v>12</v>
      </c>
      <c r="S62">
        <f>SUMIF('库存（子SKU）'!$C:$C,$A62,'库存（子SKU）'!U:U)</f>
        <v>5</v>
      </c>
      <c r="T62">
        <f>SUMIF('库存（子SKU）'!$C:$C,$A62,'库存（子SKU）'!V:V)</f>
        <v>3</v>
      </c>
      <c r="U62">
        <f>SUMIF('库存（子SKU）'!$C:$C,$A62,'库存（子SKU）'!W:W)</f>
        <v>11</v>
      </c>
      <c r="V62" s="23">
        <f t="shared" si="15"/>
        <v>0.0106382978723404</v>
      </c>
      <c r="W62" s="23">
        <f t="shared" si="16"/>
        <v>0.00609013398294762</v>
      </c>
      <c r="X62" s="23">
        <f t="shared" si="17"/>
        <v>0.00283822138126774</v>
      </c>
      <c r="Y62" s="23">
        <f t="shared" si="18"/>
        <v>0.0074173971679029</v>
      </c>
      <c r="Z62">
        <f>SUMIF('库存（子SKU）'!$C:$C,$A62,'库存（子SKU）'!AB:AB)</f>
        <v>1.62</v>
      </c>
      <c r="AA62">
        <f>SUMIF('库存（子SKU）'!$C:$C,$A62,'库存（子SKU）'!AC:AC)</f>
        <v>0.52</v>
      </c>
      <c r="AB62">
        <f>SUMIF('库存（子SKU）'!$C:$C,$A62,'库存（子SKU）'!AD:AD)</f>
        <v>0.37</v>
      </c>
      <c r="AC62">
        <f>SUMIF('库存（子SKU）'!$C:$C,$A62,'库存（子SKU）'!AE:AE)</f>
        <v>1.38</v>
      </c>
      <c r="AD62" s="23" t="str">
        <f t="shared" si="2"/>
        <v>无销量广告费为1.62</v>
      </c>
      <c r="AE62" s="23" t="str">
        <f t="shared" si="3"/>
        <v>无销量广告费为0.52</v>
      </c>
      <c r="AF62" s="23" t="str">
        <f t="shared" si="4"/>
        <v>无销量广告费为0.37</v>
      </c>
      <c r="AG62" s="23" t="str">
        <f t="shared" si="5"/>
        <v>无销量广告费为1.38</v>
      </c>
      <c r="AH62">
        <f>SUMIF('库存（子SKU）'!$C:$C,$A62,'库存（子SKU）'!AJ:AJ)</f>
        <v>0</v>
      </c>
      <c r="AI62">
        <f>SUMIF('库存（子SKU）'!$C:$C,$A62,'库存（子SKU）'!AK:AK)</f>
        <v>13</v>
      </c>
      <c r="AJ62">
        <f>SUMIF('库存（子SKU）'!$C:$C,$A62,'库存（子SKU）'!AL:AL)</f>
        <v>9</v>
      </c>
      <c r="AK62">
        <f>SUMIF('库存（子SKU）'!$C:$C,$A62,'库存（子SKU）'!AM:AM)</f>
        <v>4</v>
      </c>
      <c r="AL62" s="23" t="str">
        <f t="shared" si="6"/>
        <v/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5</v>
      </c>
      <c r="AS62" t="str">
        <f t="shared" si="13"/>
        <v>库存为5</v>
      </c>
      <c r="AT62" s="2" t="str">
        <f>IFERROR(时间!$B$4+AS62,"上周无销量")</f>
        <v>上周无销量</v>
      </c>
    </row>
    <row r="63" spans="1:46">
      <c r="A63" t="s">
        <v>336</v>
      </c>
      <c r="B63" s="5">
        <f>SUMIF('库存（子SKU）'!$C:$C,$A63,'库存（子SKU）'!D:D)</f>
        <v>1</v>
      </c>
      <c r="C63" s="5">
        <f>SUMIF('库存（子SKU）'!$C:$C,$A63,'库存（子SKU）'!E:E)</f>
        <v>0</v>
      </c>
      <c r="D63" s="5">
        <f>SUMIF('库存（子SKU）'!$C:$C,$A63,'库存（子SKU）'!F:F)</f>
        <v>1</v>
      </c>
      <c r="E63" s="5">
        <f>SUMIF('库存（子SKU）'!$C:$C,$A63,'库存（子SKU）'!G:G)</f>
        <v>5</v>
      </c>
      <c r="F63" s="6">
        <v>89.99</v>
      </c>
      <c r="G63">
        <f>SUMIF('库存（子SKU）'!$C:$C,$A63,'库存（子SKU）'!I:I)</f>
        <v>8</v>
      </c>
      <c r="H63">
        <f>SUMIF('库存（子SKU）'!$C:$C,$A63,'库存（子SKU）'!J:J)</f>
        <v>0</v>
      </c>
      <c r="I63">
        <f>SUMIF('库存（子SKU）'!$C:$C,$A63,'库存（子SKU）'!K:K)</f>
        <v>10</v>
      </c>
      <c r="J63">
        <f>SUMIF('库存（子SKU）'!$C:$C,$A63,'库存（子SKU）'!L:L)</f>
        <v>0</v>
      </c>
      <c r="K63">
        <f t="shared" si="0"/>
        <v>18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65749</v>
      </c>
      <c r="O63">
        <f>SUMIF('库存（子SKU）'!$C:$C,$A63,'库存（子SKU）'!Q:Q)</f>
        <v>19177</v>
      </c>
      <c r="P63">
        <f>SUMIF('库存（子SKU）'!$C:$C,$A63,'库存（子SKU）'!R:R)</f>
        <v>53141</v>
      </c>
      <c r="Q63">
        <f>SUMIF('库存（子SKU）'!$C:$C,$A63,'库存（子SKU）'!S:S)</f>
        <v>22105</v>
      </c>
      <c r="R63">
        <f>SUMIF('库存（子SKU）'!$C:$C,$A63,'库存（子SKU）'!T:T)</f>
        <v>391</v>
      </c>
      <c r="S63">
        <f>SUMIF('库存（子SKU）'!$C:$C,$A63,'库存（子SKU）'!U:U)</f>
        <v>127</v>
      </c>
      <c r="T63">
        <f>SUMIF('库存（子SKU）'!$C:$C,$A63,'库存（子SKU）'!V:V)</f>
        <v>374</v>
      </c>
      <c r="U63">
        <f>SUMIF('库存（子SKU）'!$C:$C,$A63,'库存（子SKU）'!W:W)</f>
        <v>134</v>
      </c>
      <c r="V63" s="23">
        <f t="shared" si="15"/>
        <v>0.00594685850735372</v>
      </c>
      <c r="W63" s="23">
        <f t="shared" si="16"/>
        <v>0.00662251655629139</v>
      </c>
      <c r="X63" s="23">
        <f t="shared" si="17"/>
        <v>0.00703788035603395</v>
      </c>
      <c r="Y63" s="23">
        <f t="shared" si="18"/>
        <v>0.00606197692829677</v>
      </c>
      <c r="Z63">
        <f>SUMIF('库存（子SKU）'!$C:$C,$A63,'库存（子SKU）'!AB:AB)</f>
        <v>55.45</v>
      </c>
      <c r="AA63">
        <f>SUMIF('库存（子SKU）'!$C:$C,$A63,'库存（子SKU）'!AC:AC)</f>
        <v>18.35</v>
      </c>
      <c r="AB63">
        <f>SUMIF('库存（子SKU）'!$C:$C,$A63,'库存（子SKU）'!AD:AD)</f>
        <v>50.48</v>
      </c>
      <c r="AC63">
        <f>SUMIF('库存（子SKU）'!$C:$C,$A63,'库存（子SKU）'!AE:AE)</f>
        <v>19.68</v>
      </c>
      <c r="AD63" s="23">
        <f t="shared" si="2"/>
        <v>0.61617957550839</v>
      </c>
      <c r="AE63" s="23" t="str">
        <f t="shared" si="3"/>
        <v>无销量广告费为18.35</v>
      </c>
      <c r="AF63" s="23">
        <f t="shared" si="4"/>
        <v>0.560951216801867</v>
      </c>
      <c r="AG63" s="23">
        <f t="shared" si="5"/>
        <v>0.0437381931325703</v>
      </c>
      <c r="AH63">
        <f>SUMIF('库存（子SKU）'!$C:$C,$A63,'库存（子SKU）'!AJ:AJ)</f>
        <v>0</v>
      </c>
      <c r="AI63">
        <f>SUMIF('库存（子SKU）'!$C:$C,$A63,'库存（子SKU）'!AK:AK)</f>
        <v>399</v>
      </c>
      <c r="AJ63">
        <f>SUMIF('库存（子SKU）'!$C:$C,$A63,'库存（子SKU）'!AL:AL)</f>
        <v>92</v>
      </c>
      <c r="AK63">
        <f>SUMIF('库存（子SKU）'!$C:$C,$A63,'库存（子SKU）'!AM:AM)</f>
        <v>330</v>
      </c>
      <c r="AL63" s="23" t="str">
        <f t="shared" si="6"/>
        <v/>
      </c>
      <c r="AM63" s="23">
        <f t="shared" si="7"/>
        <v>0</v>
      </c>
      <c r="AN63" s="23">
        <f t="shared" si="8"/>
        <v>0.0108695652173913</v>
      </c>
      <c r="AO63" s="23">
        <f t="shared" si="9"/>
        <v>0.0151515151515152</v>
      </c>
      <c r="AP63" s="7">
        <f t="shared" si="10"/>
        <v>0.142857142857143</v>
      </c>
      <c r="AQ63" s="7">
        <f t="shared" si="11"/>
        <v>8.57142857142857</v>
      </c>
      <c r="AR63" s="7">
        <f t="shared" si="12"/>
        <v>9.42857142857143</v>
      </c>
      <c r="AS63">
        <f t="shared" si="13"/>
        <v>126</v>
      </c>
      <c r="AT63" s="2">
        <f>IFERROR(时间!$B$4+AS63,"上周无销量")</f>
        <v>43416</v>
      </c>
    </row>
    <row r="64" spans="1:46">
      <c r="A64" t="s">
        <v>340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54</v>
      </c>
      <c r="G64">
        <f>SUMIF('库存（子SKU）'!$C:$C,$A64,'库存（子SKU）'!I:I)</f>
        <v>8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8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23122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141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>
        <f t="shared" si="18"/>
        <v>0.00609808840065738</v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21.41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>无销量广告费为21.41</v>
      </c>
      <c r="AH64">
        <f>SUMIF('库存（子SKU）'!$C:$C,$A64,'库存（子SKU）'!AJ:AJ)</f>
        <v>0</v>
      </c>
      <c r="AI64">
        <f>SUMIF('库存（子SKU）'!$C:$C,$A64,'库存（子SKU）'!AK:AK)</f>
        <v>24</v>
      </c>
      <c r="AJ64">
        <f>SUMIF('库存（子SKU）'!$C:$C,$A64,'库存（子SKU）'!AL:AL)</f>
        <v>22</v>
      </c>
      <c r="AK64">
        <f>SUMIF('库存（子SKU）'!$C:$C,$A64,'库存（子SKU）'!AM:AM)</f>
        <v>18</v>
      </c>
      <c r="AL64" s="23" t="str">
        <f t="shared" si="6"/>
        <v/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8</v>
      </c>
      <c r="AS64" t="str">
        <f t="shared" si="13"/>
        <v>库存为8</v>
      </c>
      <c r="AT64" s="2" t="str">
        <f>IFERROR(时间!$B$4+AS64,"上周无销量")</f>
        <v>上周无销量</v>
      </c>
    </row>
    <row r="65" spans="1:46">
      <c r="A65" t="s">
        <v>344</v>
      </c>
      <c r="B65" s="5">
        <f>SUMIF('库存（子SKU）'!$C:$C,$A65,'库存（子SKU）'!D:D)</f>
        <v>3</v>
      </c>
      <c r="C65" s="5">
        <f>SUMIF('库存（子SKU）'!$C:$C,$A65,'库存（子SKU）'!E:E)</f>
        <v>3</v>
      </c>
      <c r="D65" s="5">
        <f>SUMIF('库存（子SKU）'!$C:$C,$A65,'库存（子SKU）'!F:F)</f>
        <v>8</v>
      </c>
      <c r="E65" s="5">
        <f>SUMIF('库存（子SKU）'!$C:$C,$A65,'库存（子SKU）'!G:G)</f>
        <v>0</v>
      </c>
      <c r="F65" s="6">
        <v>80.7757142857143</v>
      </c>
      <c r="G65">
        <f>SUMIF('库存（子SKU）'!$C:$C,$A65,'库存（子SKU）'!I:I)</f>
        <v>5</v>
      </c>
      <c r="H65">
        <f>SUMIF('库存（子SKU）'!$C:$C,$A65,'库存（子SKU）'!J:J)</f>
        <v>5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41367</v>
      </c>
      <c r="O65">
        <f>SUMIF('库存（子SKU）'!$C:$C,$A65,'库存（子SKU）'!Q:Q)</f>
        <v>24569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251</v>
      </c>
      <c r="S65">
        <f>SUMIF('库存（子SKU）'!$C:$C,$A65,'库存（子SKU）'!U:U)</f>
        <v>197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>
        <f t="shared" si="15"/>
        <v>0.00606763845577393</v>
      </c>
      <c r="W65" s="23">
        <f t="shared" si="16"/>
        <v>0.00801823436037283</v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42.83</v>
      </c>
      <c r="AA65">
        <f>SUMIF('库存（子SKU）'!$C:$C,$A65,'库存（子SKU）'!AC:AC)</f>
        <v>30.69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>
        <f t="shared" si="2"/>
        <v>0.176744542501577</v>
      </c>
      <c r="AE65" s="23">
        <f t="shared" si="3"/>
        <v>0.126646976637249</v>
      </c>
      <c r="AF65" s="23">
        <f t="shared" si="4"/>
        <v>0</v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285</v>
      </c>
      <c r="AJ65">
        <f>SUMIF('库存（子SKU）'!$C:$C,$A65,'库存（子SKU）'!AL:AL)</f>
        <v>237</v>
      </c>
      <c r="AK65">
        <f>SUMIF('库存（子SKU）'!$C:$C,$A65,'库存（子SKU）'!AM:AM)</f>
        <v>24</v>
      </c>
      <c r="AL65" s="23" t="str">
        <f t="shared" si="6"/>
        <v/>
      </c>
      <c r="AM65" s="23">
        <f t="shared" si="7"/>
        <v>0.0105263157894737</v>
      </c>
      <c r="AN65" s="23">
        <f t="shared" si="8"/>
        <v>0.0337552742616034</v>
      </c>
      <c r="AO65" s="23">
        <f t="shared" si="9"/>
        <v>0</v>
      </c>
      <c r="AP65" s="7">
        <f t="shared" si="10"/>
        <v>0.428571428571429</v>
      </c>
      <c r="AQ65" s="7">
        <f t="shared" si="11"/>
        <v>25.7142857142857</v>
      </c>
      <c r="AR65" s="7">
        <f t="shared" si="12"/>
        <v>-15.7142857142857</v>
      </c>
      <c r="AS65">
        <f t="shared" si="13"/>
        <v>23</v>
      </c>
      <c r="AT65" s="2">
        <f>IFERROR(时间!$B$4+AS65,"上周无销量")</f>
        <v>43313</v>
      </c>
    </row>
    <row r="66" spans="1:46">
      <c r="A66" t="s">
        <v>349</v>
      </c>
      <c r="B66" s="5">
        <f>SUMIF('库存（子SKU）'!$C:$C,$A66,'库存（子SKU）'!D:D)</f>
        <v>0</v>
      </c>
      <c r="C66" s="5">
        <f>SUMIF('库存（子SKU）'!$C:$C,$A66,'库存（子SKU）'!E:E)</f>
        <v>1</v>
      </c>
      <c r="D66" s="5">
        <f>SUMIF('库存（子SKU）'!$C:$C,$A66,'库存（子SKU）'!F:F)</f>
        <v>1</v>
      </c>
      <c r="E66" s="5">
        <f>SUMIF('库存（子SKU）'!$C:$C,$A66,'库存（子SKU）'!G:G)</f>
        <v>1</v>
      </c>
      <c r="F66" s="6">
        <v>79.99</v>
      </c>
      <c r="G66">
        <f>SUMIF('库存（子SKU）'!$C:$C,$A66,'库存（子SKU）'!I:I)</f>
        <v>17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17</v>
      </c>
      <c r="L66">
        <f>SUMIF('库存（子SKU）'!$C:$C,$A66,'库存（子SKU）'!N:N)</f>
        <v>0</v>
      </c>
      <c r="M66">
        <f>SUMIF('库存（子SKU）'!$C:$C,$A66,'库存（子SKU）'!O:O)</f>
        <v>17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>
        <f t="shared" si="3"/>
        <v>0</v>
      </c>
      <c r="AF66" s="23">
        <f t="shared" si="4"/>
        <v>0</v>
      </c>
      <c r="AG66" s="23">
        <f t="shared" si="5"/>
        <v>0</v>
      </c>
      <c r="AH66">
        <f>SUMIF('库存（子SKU）'!$C:$C,$A66,'库存（子SKU）'!AJ:AJ)</f>
        <v>0</v>
      </c>
      <c r="AI66">
        <f>SUMIF('库存（子SKU）'!$C:$C,$A66,'库存（子SKU）'!AK:AK)</f>
        <v>26</v>
      </c>
      <c r="AJ66">
        <f>SUMIF('库存（子SKU）'!$C:$C,$A66,'库存（子SKU）'!AL:AL)</f>
        <v>22</v>
      </c>
      <c r="AK66">
        <f>SUMIF('库存（子SKU）'!$C:$C,$A66,'库存（子SKU）'!AM:AM)</f>
        <v>35</v>
      </c>
      <c r="AL66" s="23" t="str">
        <f t="shared" si="6"/>
        <v/>
      </c>
      <c r="AM66" s="23">
        <f t="shared" si="7"/>
        <v>0.0384615384615385</v>
      </c>
      <c r="AN66" s="23">
        <f t="shared" si="8"/>
        <v>0.0454545454545455</v>
      </c>
      <c r="AO66" s="23">
        <f t="shared" si="9"/>
        <v>0.0285714285714286</v>
      </c>
      <c r="AP66" s="7">
        <f t="shared" si="10"/>
        <v>0</v>
      </c>
      <c r="AQ66" s="7">
        <f t="shared" si="11"/>
        <v>0</v>
      </c>
      <c r="AR66" s="7">
        <f t="shared" si="12"/>
        <v>17</v>
      </c>
      <c r="AS66" t="str">
        <f t="shared" si="13"/>
        <v>库存为17</v>
      </c>
      <c r="AT66" s="2" t="str">
        <f>IFERROR(时间!$B$4+AS66,"上周无销量")</f>
        <v>上周无销量</v>
      </c>
    </row>
    <row r="67" spans="1:46">
      <c r="A67" t="s">
        <v>352</v>
      </c>
      <c r="B67" s="5">
        <f>SUMIF('库存（子SKU）'!$C:$C,$A67,'库存（子SKU）'!D:D)</f>
        <v>2</v>
      </c>
      <c r="C67" s="5">
        <f>SUMIF('库存（子SKU）'!$C:$C,$A67,'库存（子SKU）'!E:E)</f>
        <v>0</v>
      </c>
      <c r="D67" s="5">
        <f>SUMIF('库存（子SKU）'!$C:$C,$A67,'库存（子SKU）'!F:F)</f>
        <v>2</v>
      </c>
      <c r="E67" s="5">
        <f>SUMIF('库存（子SKU）'!$C:$C,$A67,'库存（子SKU）'!G:G)</f>
        <v>0</v>
      </c>
      <c r="F67" s="6">
        <v>99.99</v>
      </c>
      <c r="G67">
        <f>SUMIF('库存（子SKU）'!$C:$C,$A67,'库存（子SKU）'!I:I)</f>
        <v>5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5</v>
      </c>
      <c r="L67">
        <f>SUMIF('库存（子SKU）'!$C:$C,$A67,'库存（子SKU）'!N:N)</f>
        <v>1</v>
      </c>
      <c r="M67">
        <f>SUMIF('库存（子SKU）'!$C:$C,$A67,'库存（子SKU）'!O:O)</f>
        <v>0</v>
      </c>
      <c r="N67">
        <f>SUMIF('库存（子SKU）'!$C:$C,$A67,'库存（子SKU）'!P:P)</f>
        <v>5362</v>
      </c>
      <c r="O67">
        <f>SUMIF('库存（子SKU）'!$C:$C,$A67,'库存（子SKU）'!Q:Q)</f>
        <v>3265</v>
      </c>
      <c r="P67">
        <f>SUMIF('库存（子SKU）'!$C:$C,$A67,'库存（子SKU）'!R:R)</f>
        <v>3167</v>
      </c>
      <c r="Q67">
        <f>SUMIF('库存（子SKU）'!$C:$C,$A67,'库存（子SKU）'!S:S)</f>
        <v>648</v>
      </c>
      <c r="R67">
        <f>SUMIF('库存（子SKU）'!$C:$C,$A67,'库存（子SKU）'!T:T)</f>
        <v>43</v>
      </c>
      <c r="S67">
        <f>SUMIF('库存（子SKU）'!$C:$C,$A67,'库存（子SKU）'!U:U)</f>
        <v>30</v>
      </c>
      <c r="T67">
        <f>SUMIF('库存（子SKU）'!$C:$C,$A67,'库存（子SKU）'!V:V)</f>
        <v>41</v>
      </c>
      <c r="U67">
        <f>SUMIF('库存（子SKU）'!$C:$C,$A67,'库存（子SKU）'!W:W)</f>
        <v>5</v>
      </c>
      <c r="V67" s="23">
        <f t="shared" si="15"/>
        <v>0.00801939574785528</v>
      </c>
      <c r="W67" s="23">
        <f t="shared" si="16"/>
        <v>0.00918836140888208</v>
      </c>
      <c r="X67" s="23">
        <f t="shared" si="17"/>
        <v>0.0129460056836123</v>
      </c>
      <c r="Y67" s="23">
        <f t="shared" si="18"/>
        <v>0.00771604938271605</v>
      </c>
      <c r="Z67">
        <f>SUMIF('库存（子SKU）'!$C:$C,$A67,'库存（子SKU）'!AB:AB)</f>
        <v>4.83</v>
      </c>
      <c r="AA67">
        <f>SUMIF('库存（子SKU）'!$C:$C,$A67,'库存（子SKU）'!AC:AC)</f>
        <v>3.7</v>
      </c>
      <c r="AB67">
        <f>SUMIF('库存（子SKU）'!$C:$C,$A67,'库存（子SKU）'!AD:AD)</f>
        <v>4.88</v>
      </c>
      <c r="AC67">
        <f>SUMIF('库存（子SKU）'!$C:$C,$A67,'库存（子SKU）'!AE:AE)</f>
        <v>0.47</v>
      </c>
      <c r="AD67" s="23">
        <f t="shared" si="2"/>
        <v>0.0241524152415242</v>
      </c>
      <c r="AE67" s="23" t="str">
        <f t="shared" si="3"/>
        <v>无销量广告费为3.7</v>
      </c>
      <c r="AF67" s="23">
        <f t="shared" si="4"/>
        <v>0.0244024402440244</v>
      </c>
      <c r="AG67" s="23" t="str">
        <f t="shared" si="5"/>
        <v>无销量广告费为0.47</v>
      </c>
      <c r="AH67">
        <f>SUMIF('库存（子SKU）'!$C:$C,$A67,'库存（子SKU）'!AJ:AJ)</f>
        <v>0</v>
      </c>
      <c r="AI67">
        <f>SUMIF('库存（子SKU）'!$C:$C,$A67,'库存（子SKU）'!AK:AK)</f>
        <v>74</v>
      </c>
      <c r="AJ67">
        <f>SUMIF('库存（子SKU）'!$C:$C,$A67,'库存（子SKU）'!AL:AL)</f>
        <v>99</v>
      </c>
      <c r="AK67">
        <f>SUMIF('库存（子SKU）'!$C:$C,$A67,'库存（子SKU）'!AM:AM)</f>
        <v>96</v>
      </c>
      <c r="AL67" s="23" t="str">
        <f t="shared" si="6"/>
        <v/>
      </c>
      <c r="AM67" s="23">
        <f t="shared" si="7"/>
        <v>0</v>
      </c>
      <c r="AN67" s="23">
        <f t="shared" si="8"/>
        <v>0.0202020202020202</v>
      </c>
      <c r="AO67" s="23">
        <f t="shared" si="9"/>
        <v>0</v>
      </c>
      <c r="AP67" s="7">
        <f t="shared" si="10"/>
        <v>0.285714285714286</v>
      </c>
      <c r="AQ67" s="7">
        <f t="shared" si="11"/>
        <v>17.1428571428571</v>
      </c>
      <c r="AR67" s="7">
        <f t="shared" si="12"/>
        <v>-12.1428571428571</v>
      </c>
      <c r="AS67">
        <f t="shared" si="13"/>
        <v>17</v>
      </c>
      <c r="AT67" s="2">
        <f>IFERROR(时间!$B$4+AS67,"上周无销量")</f>
        <v>43307</v>
      </c>
    </row>
    <row r="68" spans="1:46">
      <c r="A68" t="s">
        <v>357</v>
      </c>
      <c r="B68" s="5">
        <f>SUMIF('库存（子SKU）'!$C:$C,$A68,'库存（子SKU）'!D:D)</f>
        <v>0</v>
      </c>
      <c r="C68" s="5">
        <f>SUMIF('库存（子SKU）'!$C:$C,$A68,'库存（子SKU）'!E:E)</f>
        <v>2</v>
      </c>
      <c r="D68" s="5">
        <f>SUMIF('库存（子SKU）'!$C:$C,$A68,'库存（子SKU）'!F:F)</f>
        <v>0</v>
      </c>
      <c r="E68" s="5">
        <f>SUMIF('库存（子SKU）'!$C:$C,$A68,'库存（子SKU）'!G:G)</f>
        <v>1</v>
      </c>
      <c r="F68" s="6">
        <v>99.6</v>
      </c>
      <c r="G68">
        <f>SUMIF('库存（子SKU）'!$C:$C,$A68,'库存（子SKU）'!I:I)</f>
        <v>41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39</v>
      </c>
      <c r="K68">
        <f t="shared" si="0"/>
        <v>80</v>
      </c>
      <c r="L68">
        <f>SUMIF('库存（子SKU）'!$C:$C,$A68,'库存（子SKU）'!N:N)</f>
        <v>0</v>
      </c>
      <c r="M68">
        <f>SUMIF('库存（子SKU）'!$C:$C,$A68,'库存（子SKU）'!O:O)</f>
        <v>3</v>
      </c>
      <c r="N68">
        <f>SUMIF('库存（子SKU）'!$C:$C,$A68,'库存（子SKU）'!P:P)</f>
        <v>5</v>
      </c>
      <c r="O68">
        <f>SUMIF('库存（子SKU）'!$C:$C,$A68,'库存（子SKU）'!Q:Q)</f>
        <v>12</v>
      </c>
      <c r="P68">
        <f>SUMIF('库存（子SKU）'!$C:$C,$A68,'库存（子SKU）'!R:R)</f>
        <v>12</v>
      </c>
      <c r="Q68">
        <f>SUMIF('库存（子SKU）'!$C:$C,$A68,'库存（子SKU）'!S:S)</f>
        <v>7</v>
      </c>
      <c r="R68">
        <f>SUMIF('库存（子SKU）'!$C:$C,$A68,'库存（子SKU）'!T:T)</f>
        <v>0</v>
      </c>
      <c r="S68">
        <f>SUMIF('库存（子SKU）'!$C:$C,$A68,'库存（子SKU）'!U:U)</f>
        <v>1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>
        <f t="shared" si="15"/>
        <v>0</v>
      </c>
      <c r="W68" s="23">
        <f t="shared" si="16"/>
        <v>0.0833333333333333</v>
      </c>
      <c r="X68" s="23">
        <f t="shared" si="17"/>
        <v>0</v>
      </c>
      <c r="Y68" s="23">
        <f t="shared" si="18"/>
        <v>0</v>
      </c>
      <c r="Z68">
        <f>SUMIF('库存（子SKU）'!$C:$C,$A68,'库存（子SKU）'!AB:AB)</f>
        <v>0</v>
      </c>
      <c r="AA68">
        <f>SUMIF('库存（子SKU）'!$C:$C,$A68,'库存（子SKU）'!AC:AC)</f>
        <v>0.33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>
        <f t="shared" si="3"/>
        <v>0.0016566265060241</v>
      </c>
      <c r="AF68" s="23" t="str">
        <f t="shared" si="4"/>
        <v/>
      </c>
      <c r="AG68" s="23">
        <f t="shared" si="5"/>
        <v>0</v>
      </c>
      <c r="AH68">
        <f>SUMIF('库存（子SKU）'!$C:$C,$A68,'库存（子SKU）'!AJ:AJ)</f>
        <v>0</v>
      </c>
      <c r="AI68">
        <f>SUMIF('库存（子SKU）'!$C:$C,$A68,'库存（子SKU）'!AK:AK)</f>
        <v>90</v>
      </c>
      <c r="AJ68">
        <f>SUMIF('库存（子SKU）'!$C:$C,$A68,'库存（子SKU）'!AL:AL)</f>
        <v>60</v>
      </c>
      <c r="AK68">
        <f>SUMIF('库存（子SKU）'!$C:$C,$A68,'库存（子SKU）'!AM:AM)</f>
        <v>106</v>
      </c>
      <c r="AL68" s="23" t="str">
        <f t="shared" si="6"/>
        <v/>
      </c>
      <c r="AM68" s="23">
        <f t="shared" si="7"/>
        <v>0.0222222222222222</v>
      </c>
      <c r="AN68" s="23">
        <f t="shared" si="8"/>
        <v>0</v>
      </c>
      <c r="AO68" s="23">
        <f t="shared" si="9"/>
        <v>0.00943396226415094</v>
      </c>
      <c r="AP68" s="7">
        <f t="shared" si="10"/>
        <v>0</v>
      </c>
      <c r="AQ68" s="7">
        <f t="shared" si="11"/>
        <v>0</v>
      </c>
      <c r="AR68" s="7">
        <f t="shared" si="12"/>
        <v>80</v>
      </c>
      <c r="AS68" t="str">
        <f t="shared" si="13"/>
        <v>库存为80</v>
      </c>
      <c r="AT68" s="2" t="str">
        <f>IFERROR(时间!$B$4+AS68,"上周无销量")</f>
        <v>上周无销量</v>
      </c>
    </row>
    <row r="69" spans="1:46">
      <c r="A69" t="s">
        <v>362</v>
      </c>
      <c r="B69" s="5">
        <f>SUMIF('库存（子SKU）'!$C:$C,$A69,'库存（子SKU）'!D:D)</f>
        <v>3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>
        <v>99.99</v>
      </c>
      <c r="G69">
        <f>SUMIF('库存（子SKU）'!$C:$C,$A69,'库存（子SKU）'!I:I)</f>
        <v>3</v>
      </c>
      <c r="H69">
        <f>SUMIF('库存（子SKU）'!$C:$C,$A69,'库存（子SKU）'!J:J)</f>
        <v>7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12" si="19">SUM(G69:J69)</f>
        <v>10</v>
      </c>
      <c r="L69">
        <f>SUMIF('库存（子SKU）'!$C:$C,$A69,'库存（子SKU）'!N:N)</f>
        <v>0</v>
      </c>
      <c r="M69">
        <f>SUMIF('库存（子SKU）'!$C:$C,$A69,'库存（子SKU）'!O:O)</f>
        <v>1</v>
      </c>
      <c r="N69">
        <f>SUMIF('库存（子SKU）'!$C:$C,$A69,'库存（子SKU）'!P:P)</f>
        <v>0</v>
      </c>
      <c r="O69">
        <f>SUMIF('库存（子SKU）'!$C:$C,$A69,'库存（子SKU）'!Q:Q)</f>
        <v>6</v>
      </c>
      <c r="P69">
        <f>SUMIF('库存（子SKU）'!$C:$C,$A69,'库存（子SKU）'!R:R)</f>
        <v>3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>
        <f t="shared" si="16"/>
        <v>0</v>
      </c>
      <c r="X69" s="23">
        <f t="shared" si="17"/>
        <v>0</v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>
        <f t="shared" ref="AD69:AD112" si="20">IF(AND(Z69&gt;0,B69=0),"无销量广告费为"&amp;Z69,IFERROR(Z69/(B69*$F69),""))</f>
        <v>0</v>
      </c>
      <c r="AE69" s="23" t="str">
        <f t="shared" ref="AE69:AE112" si="21">IF(AND(AA69&gt;0,C69=0),"无销量广告费为"&amp;AA69,IFERROR(AA69/(C69*$F69),""))</f>
        <v/>
      </c>
      <c r="AF69" s="23" t="str">
        <f t="shared" ref="AF69:AF112" si="22">IF(AND(AB69&gt;0,D69=0),"无销量广告费为"&amp;AB69,IFERROR(AB69/(D69*$F69),""))</f>
        <v/>
      </c>
      <c r="AG69" s="23" t="str">
        <f t="shared" ref="AG69:AG11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12</v>
      </c>
      <c r="AJ69">
        <f>SUMIF('库存（子SKU）'!$C:$C,$A69,'库存（子SKU）'!AL:AL)</f>
        <v>15</v>
      </c>
      <c r="AK69">
        <f>SUMIF('库存（子SKU）'!$C:$C,$A69,'库存（子SKU）'!AM:AM)</f>
        <v>9</v>
      </c>
      <c r="AL69" s="23" t="str">
        <f t="shared" ref="AL69:AL112" si="24">IFERROR(B69/AH69,"")</f>
        <v/>
      </c>
      <c r="AM69" s="23">
        <f t="shared" ref="AM69:AM112" si="25">IFERROR(C69/AI69,"")</f>
        <v>0</v>
      </c>
      <c r="AN69" s="23">
        <f t="shared" ref="AN69:AN112" si="26">IFERROR(D69/AJ69,"")</f>
        <v>0</v>
      </c>
      <c r="AO69" s="23">
        <f t="shared" ref="AO69:AO112" si="27">IFERROR(E69/AK69,"")</f>
        <v>0</v>
      </c>
      <c r="AP69" s="7">
        <f t="shared" ref="AP69:AP112" si="28">B69/7</f>
        <v>0.428571428571429</v>
      </c>
      <c r="AQ69" s="7">
        <f t="shared" ref="AQ69:AQ112" si="29">AP69*60</f>
        <v>25.7142857142857</v>
      </c>
      <c r="AR69" s="7">
        <f t="shared" ref="AR69:AR112" si="30">K69-AQ69</f>
        <v>-15.7142857142857</v>
      </c>
      <c r="AS69">
        <f t="shared" ref="AS69:AS112" si="31">IF(AP69=0,"库存为"&amp;K69,INT(K69/AP69))</f>
        <v>23</v>
      </c>
      <c r="AT69" s="2">
        <f>IFERROR(时间!$B$4+AS69,"上周无销量")</f>
        <v>43313</v>
      </c>
    </row>
    <row r="70" spans="1:46">
      <c r="A70" t="s">
        <v>367</v>
      </c>
      <c r="B70" s="5">
        <f>SUMIF('库存（子SKU）'!$C:$C,$A70,'库存（子SKU）'!D:D)</f>
        <v>0</v>
      </c>
      <c r="C70" s="5">
        <f>SUMIF('库存（子SKU）'!$C:$C,$A70,'库存（子SKU）'!E:E)</f>
        <v>1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>
        <v>79.99</v>
      </c>
      <c r="G70">
        <f>SUMIF('库存（子SKU）'!$C:$C,$A70,'库存（子SKU）'!I:I)</f>
        <v>11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11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12" si="32">IFERROR(R70/N70,"")</f>
        <v/>
      </c>
      <c r="W70" s="23" t="str">
        <f t="shared" ref="W70:W112" si="33">IFERROR(S70/O70,"")</f>
        <v/>
      </c>
      <c r="X70" s="23" t="str">
        <f t="shared" ref="X70:X112" si="34">IFERROR(T70/P70,"")</f>
        <v/>
      </c>
      <c r="Y70" s="23" t="str">
        <f t="shared" ref="Y70:Y112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>
        <f t="shared" si="21"/>
        <v>0</v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4</v>
      </c>
      <c r="AJ70">
        <f>SUMIF('库存（子SKU）'!$C:$C,$A70,'库存（子SKU）'!AL:AL)</f>
        <v>7</v>
      </c>
      <c r="AK70">
        <f>SUMIF('库存（子SKU）'!$C:$C,$A70,'库存（子SKU）'!AM:AM)</f>
        <v>14</v>
      </c>
      <c r="AL70" s="23" t="str">
        <f t="shared" si="24"/>
        <v/>
      </c>
      <c r="AM70" s="23">
        <f t="shared" si="25"/>
        <v>0.25</v>
      </c>
      <c r="AN70" s="23">
        <f t="shared" si="26"/>
        <v>0</v>
      </c>
      <c r="AO70" s="23">
        <f t="shared" si="27"/>
        <v>0</v>
      </c>
      <c r="AP70" s="7">
        <f t="shared" si="28"/>
        <v>0</v>
      </c>
      <c r="AQ70" s="7">
        <f t="shared" si="29"/>
        <v>0</v>
      </c>
      <c r="AR70" s="7">
        <f t="shared" si="30"/>
        <v>11</v>
      </c>
      <c r="AS70" t="str">
        <f t="shared" si="31"/>
        <v>库存为11</v>
      </c>
      <c r="AT70" s="2" t="str">
        <f>IFERROR(时间!$B$4+AS70,"上周无销量")</f>
        <v>上周无销量</v>
      </c>
    </row>
    <row r="71" spans="1:46">
      <c r="A71" t="s">
        <v>370</v>
      </c>
      <c r="B71" s="5">
        <f>SUMIF('库存（子SKU）'!$C:$C,$A71,'库存（子SKU）'!D:D)</f>
        <v>1</v>
      </c>
      <c r="C71" s="5">
        <f>SUMIF('库存（子SKU）'!$C:$C,$A71,'库存（子SKU）'!E:E)</f>
        <v>3</v>
      </c>
      <c r="D71" s="5">
        <f>SUMIF('库存（子SKU）'!$C:$C,$A71,'库存（子SKU）'!F:F)</f>
        <v>0</v>
      </c>
      <c r="E71" s="5">
        <f>SUMIF('库存（子SKU）'!$C:$C,$A71,'库存（子SKU）'!G:G)</f>
        <v>2</v>
      </c>
      <c r="F71" s="6">
        <v>79.99</v>
      </c>
      <c r="G71">
        <f>SUMIF('库存（子SKU）'!$C:$C,$A71,'库存（子SKU）'!I:I)</f>
        <v>7</v>
      </c>
      <c r="H71">
        <f>SUMIF('库存（子SKU）'!$C:$C,$A71,'库存（子SKU）'!J:J)</f>
        <v>2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9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5474</v>
      </c>
      <c r="O71">
        <f>SUMIF('库存（子SKU）'!$C:$C,$A71,'库存（子SKU）'!Q:Q)</f>
        <v>7373</v>
      </c>
      <c r="P71">
        <f>SUMIF('库存（子SKU）'!$C:$C,$A71,'库存（子SKU）'!R:R)</f>
        <v>6285</v>
      </c>
      <c r="Q71">
        <f>SUMIF('库存（子SKU）'!$C:$C,$A71,'库存（子SKU）'!S:S)</f>
        <v>4719</v>
      </c>
      <c r="R71">
        <f>SUMIF('库存（子SKU）'!$C:$C,$A71,'库存（子SKU）'!T:T)</f>
        <v>43</v>
      </c>
      <c r="S71">
        <f>SUMIF('库存（子SKU）'!$C:$C,$A71,'库存（子SKU）'!U:U)</f>
        <v>67</v>
      </c>
      <c r="T71">
        <f>SUMIF('库存（子SKU）'!$C:$C,$A71,'库存（子SKU）'!V:V)</f>
        <v>70</v>
      </c>
      <c r="U71">
        <f>SUMIF('库存（子SKU）'!$C:$C,$A71,'库存（子SKU）'!W:W)</f>
        <v>50</v>
      </c>
      <c r="V71" s="23">
        <f t="shared" si="32"/>
        <v>0.00785531603945926</v>
      </c>
      <c r="W71" s="23">
        <f t="shared" si="33"/>
        <v>0.0090872100908721</v>
      </c>
      <c r="X71" s="23">
        <f t="shared" si="34"/>
        <v>0.0111376292760541</v>
      </c>
      <c r="Y71" s="23">
        <f t="shared" si="35"/>
        <v>0.0105954651409197</v>
      </c>
      <c r="Z71">
        <f>SUMIF('库存（子SKU）'!$C:$C,$A71,'库存（子SKU）'!AB:AB)</f>
        <v>5.92</v>
      </c>
      <c r="AA71">
        <f>SUMIF('库存（子SKU）'!$C:$C,$A71,'库存（子SKU）'!AC:AC)</f>
        <v>10.41</v>
      </c>
      <c r="AB71">
        <f>SUMIF('库存（子SKU）'!$C:$C,$A71,'库存（子SKU）'!AD:AD)</f>
        <v>10.23</v>
      </c>
      <c r="AC71">
        <f>SUMIF('库存（子SKU）'!$C:$C,$A71,'库存（子SKU）'!AE:AE)</f>
        <v>6.89</v>
      </c>
      <c r="AD71" s="23">
        <f t="shared" si="20"/>
        <v>0.0740092511563945</v>
      </c>
      <c r="AE71" s="23">
        <f t="shared" si="21"/>
        <v>0.0433804225528191</v>
      </c>
      <c r="AF71" s="23" t="str">
        <f t="shared" si="22"/>
        <v>无销量广告费为10.23</v>
      </c>
      <c r="AG71" s="23">
        <f t="shared" si="23"/>
        <v>0.0430678834854357</v>
      </c>
      <c r="AH71">
        <f>SUMIF('库存（子SKU）'!$C:$C,$A71,'库存（子SKU）'!AJ:AJ)</f>
        <v>0</v>
      </c>
      <c r="AI71">
        <f>SUMIF('库存（子SKU）'!$C:$C,$A71,'库存（子SKU）'!AK:AK)</f>
        <v>48</v>
      </c>
      <c r="AJ71">
        <f>SUMIF('库存（子SKU）'!$C:$C,$A71,'库存（子SKU）'!AL:AL)</f>
        <v>49</v>
      </c>
      <c r="AK71">
        <f>SUMIF('库存（子SKU）'!$C:$C,$A71,'库存（子SKU）'!AM:AM)</f>
        <v>64</v>
      </c>
      <c r="AL71" s="23" t="str">
        <f t="shared" si="24"/>
        <v/>
      </c>
      <c r="AM71" s="23">
        <f t="shared" si="25"/>
        <v>0.0625</v>
      </c>
      <c r="AN71" s="23">
        <f t="shared" si="26"/>
        <v>0</v>
      </c>
      <c r="AO71" s="23">
        <f t="shared" si="27"/>
        <v>0.03125</v>
      </c>
      <c r="AP71" s="7">
        <f t="shared" si="28"/>
        <v>0.142857142857143</v>
      </c>
      <c r="AQ71" s="7">
        <f t="shared" si="29"/>
        <v>8.57142857142857</v>
      </c>
      <c r="AR71" s="7">
        <f t="shared" si="30"/>
        <v>0.428571428571429</v>
      </c>
      <c r="AS71">
        <f t="shared" si="31"/>
        <v>63</v>
      </c>
      <c r="AT71" s="2">
        <f>IFERROR(时间!$B$4+AS71,"上周无销量")</f>
        <v>43353</v>
      </c>
    </row>
    <row r="72" spans="1:46">
      <c r="A72" t="s">
        <v>374</v>
      </c>
      <c r="B72" s="5">
        <f>SUMIF('库存（子SKU）'!$C:$C,$A72,'库存（子SKU）'!D:D)</f>
        <v>1</v>
      </c>
      <c r="C72" s="5">
        <f>SUMIF('库存（子SKU）'!$C:$C,$A72,'库存（子SKU）'!E:E)</f>
        <v>0</v>
      </c>
      <c r="D72" s="5">
        <f>SUMIF('库存（子SKU）'!$C:$C,$A72,'库存（子SKU）'!F:F)</f>
        <v>4</v>
      </c>
      <c r="E72" s="5">
        <f>SUMIF('库存（子SKU）'!$C:$C,$A72,'库存（子SKU）'!G:G)</f>
        <v>3</v>
      </c>
      <c r="F72" s="6">
        <v>99.99</v>
      </c>
      <c r="G72">
        <f>SUMIF('库存（子SKU）'!$C:$C,$A72,'库存（子SKU）'!I:I)</f>
        <v>8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8</v>
      </c>
      <c r="L72">
        <f>SUMIF('库存（子SKU）'!$C:$C,$A72,'库存（子SKU）'!N:N)</f>
        <v>1</v>
      </c>
      <c r="M72">
        <f>SUMIF('库存（子SKU）'!$C:$C,$A72,'库存（子SKU）'!O:O)</f>
        <v>0</v>
      </c>
      <c r="N72">
        <f>SUMIF('库存（子SKU）'!$C:$C,$A72,'库存（子SKU）'!P:P)</f>
        <v>82771</v>
      </c>
      <c r="O72">
        <f>SUMIF('库存（子SKU）'!$C:$C,$A72,'库存（子SKU）'!Q:Q)</f>
        <v>79221</v>
      </c>
      <c r="P72">
        <f>SUMIF('库存（子SKU）'!$C:$C,$A72,'库存（子SKU）'!R:R)</f>
        <v>89676</v>
      </c>
      <c r="Q72">
        <f>SUMIF('库存（子SKU）'!$C:$C,$A72,'库存（子SKU）'!S:S)</f>
        <v>46372</v>
      </c>
      <c r="R72">
        <f>SUMIF('库存（子SKU）'!$C:$C,$A72,'库存（子SKU）'!T:T)</f>
        <v>538</v>
      </c>
      <c r="S72">
        <f>SUMIF('库存（子SKU）'!$C:$C,$A72,'库存（子SKU）'!U:U)</f>
        <v>655</v>
      </c>
      <c r="T72">
        <f>SUMIF('库存（子SKU）'!$C:$C,$A72,'库存（子SKU）'!V:V)</f>
        <v>745</v>
      </c>
      <c r="U72">
        <f>SUMIF('库存（子SKU）'!$C:$C,$A72,'库存（子SKU）'!W:W)</f>
        <v>334</v>
      </c>
      <c r="V72" s="23">
        <f t="shared" si="32"/>
        <v>0.00649986106244941</v>
      </c>
      <c r="W72" s="23">
        <f t="shared" si="33"/>
        <v>0.00826800974489087</v>
      </c>
      <c r="X72" s="23">
        <f t="shared" si="34"/>
        <v>0.00830768544538115</v>
      </c>
      <c r="Y72" s="23">
        <f t="shared" si="35"/>
        <v>0.00720262227206073</v>
      </c>
      <c r="Z72">
        <f>SUMIF('库存（子SKU）'!$C:$C,$A72,'库存（子SKU）'!AB:AB)</f>
        <v>80.08</v>
      </c>
      <c r="AA72">
        <f>SUMIF('库存（子SKU）'!$C:$C,$A72,'库存（子SKU）'!AC:AC)</f>
        <v>97.36</v>
      </c>
      <c r="AB72">
        <f>SUMIF('库存（子SKU）'!$C:$C,$A72,'库存（子SKU）'!AD:AD)</f>
        <v>115.02</v>
      </c>
      <c r="AC72">
        <f>SUMIF('库存（子SKU）'!$C:$C,$A72,'库存（子SKU）'!AE:AE)</f>
        <v>52.13</v>
      </c>
      <c r="AD72" s="23">
        <f t="shared" si="20"/>
        <v>0.800880088008801</v>
      </c>
      <c r="AE72" s="23" t="str">
        <f t="shared" si="21"/>
        <v>无销量广告费为97.36</v>
      </c>
      <c r="AF72" s="23">
        <f t="shared" si="22"/>
        <v>0.287578757875788</v>
      </c>
      <c r="AG72" s="23">
        <f t="shared" si="23"/>
        <v>0.173784045071174</v>
      </c>
      <c r="AH72">
        <f>SUMIF('库存（子SKU）'!$C:$C,$A72,'库存（子SKU）'!AJ:AJ)</f>
        <v>0</v>
      </c>
      <c r="AI72">
        <f>SUMIF('库存（子SKU）'!$C:$C,$A72,'库存（子SKU）'!AK:AK)</f>
        <v>709</v>
      </c>
      <c r="AJ72">
        <f>SUMIF('库存（子SKU）'!$C:$C,$A72,'库存（子SKU）'!AL:AL)</f>
        <v>823</v>
      </c>
      <c r="AK72">
        <f>SUMIF('库存（子SKU）'!$C:$C,$A72,'库存（子SKU）'!AM:AM)</f>
        <v>618</v>
      </c>
      <c r="AL72" s="23" t="str">
        <f t="shared" si="24"/>
        <v/>
      </c>
      <c r="AM72" s="23">
        <f t="shared" si="25"/>
        <v>0</v>
      </c>
      <c r="AN72" s="23">
        <f t="shared" si="26"/>
        <v>0.00486026731470231</v>
      </c>
      <c r="AO72" s="23">
        <f t="shared" si="27"/>
        <v>0.00485436893203883</v>
      </c>
      <c r="AP72" s="7">
        <f t="shared" si="28"/>
        <v>0.142857142857143</v>
      </c>
      <c r="AQ72" s="7">
        <f t="shared" si="29"/>
        <v>8.57142857142857</v>
      </c>
      <c r="AR72" s="7">
        <f t="shared" si="30"/>
        <v>-0.571428571428571</v>
      </c>
      <c r="AS72">
        <f t="shared" si="31"/>
        <v>56</v>
      </c>
      <c r="AT72" s="2">
        <f>IFERROR(时间!$B$4+AS72,"上周无销量")</f>
        <v>43346</v>
      </c>
    </row>
    <row r="73" spans="1:46">
      <c r="A73" t="s">
        <v>378</v>
      </c>
      <c r="B73" s="5">
        <f>SUMIF('库存（子SKU）'!$C:$C,$A73,'库存（子SKU）'!D:D)</f>
        <v>5</v>
      </c>
      <c r="C73" s="5">
        <f>SUMIF('库存（子SKU）'!$C:$C,$A73,'库存（子SKU）'!E:E)</f>
        <v>3</v>
      </c>
      <c r="D73" s="5">
        <f>SUMIF('库存（子SKU）'!$C:$C,$A73,'库存（子SKU）'!F:F)</f>
        <v>4</v>
      </c>
      <c r="E73" s="5">
        <f>SUMIF('库存（子SKU）'!$C:$C,$A73,'库存（子SKU）'!G:G)</f>
        <v>0</v>
      </c>
      <c r="F73" s="6">
        <v>93.1566666666667</v>
      </c>
      <c r="G73">
        <f>SUMIF('库存（子SKU）'!$C:$C,$A73,'库存（子SKU）'!I:I)</f>
        <v>0</v>
      </c>
      <c r="H73">
        <f>SUMIF('库存（子SKU）'!$C:$C,$A73,'库存（子SKU）'!J:J)</f>
        <v>5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5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36905</v>
      </c>
      <c r="O73">
        <f>SUMIF('库存（子SKU）'!$C:$C,$A73,'库存（子SKU）'!Q:Q)</f>
        <v>27411</v>
      </c>
      <c r="P73">
        <f>SUMIF('库存（子SKU）'!$C:$C,$A73,'库存（子SKU）'!R:R)</f>
        <v>20407</v>
      </c>
      <c r="Q73">
        <f>SUMIF('库存（子SKU）'!$C:$C,$A73,'库存（子SKU）'!S:S)</f>
        <v>19902</v>
      </c>
      <c r="R73">
        <f>SUMIF('库存（子SKU）'!$C:$C,$A73,'库存（子SKU）'!T:T)</f>
        <v>140</v>
      </c>
      <c r="S73">
        <f>SUMIF('库存（子SKU）'!$C:$C,$A73,'库存（子SKU）'!U:U)</f>
        <v>185</v>
      </c>
      <c r="T73">
        <f>SUMIF('库存（子SKU）'!$C:$C,$A73,'库存（子SKU）'!V:V)</f>
        <v>205</v>
      </c>
      <c r="U73">
        <f>SUMIF('库存（子SKU）'!$C:$C,$A73,'库存（子SKU）'!W:W)</f>
        <v>200</v>
      </c>
      <c r="V73" s="23">
        <f t="shared" si="32"/>
        <v>0.00379352391274895</v>
      </c>
      <c r="W73" s="23">
        <f t="shared" si="33"/>
        <v>0.00674911531866769</v>
      </c>
      <c r="X73" s="23">
        <f t="shared" si="34"/>
        <v>0.0100455725976381</v>
      </c>
      <c r="Y73" s="23">
        <f t="shared" si="35"/>
        <v>0.0100492412822832</v>
      </c>
      <c r="Z73">
        <f>SUMIF('库存（子SKU）'!$C:$C,$A73,'库存（子SKU）'!AB:AB)</f>
        <v>20.48</v>
      </c>
      <c r="AA73">
        <f>SUMIF('库存（子SKU）'!$C:$C,$A73,'库存（子SKU）'!AC:AC)</f>
        <v>31.33</v>
      </c>
      <c r="AB73">
        <f>SUMIF('库存（子SKU）'!$C:$C,$A73,'库存（子SKU）'!AD:AD)</f>
        <v>30.62</v>
      </c>
      <c r="AC73">
        <f>SUMIF('库存（子SKU）'!$C:$C,$A73,'库存（子SKU）'!AE:AE)</f>
        <v>30.27</v>
      </c>
      <c r="AD73" s="23">
        <f t="shared" si="20"/>
        <v>0.0439689412101478</v>
      </c>
      <c r="AE73" s="23">
        <f t="shared" si="21"/>
        <v>0.112105055998855</v>
      </c>
      <c r="AF73" s="23">
        <f t="shared" si="22"/>
        <v>0.0821733996493362</v>
      </c>
      <c r="AG73" s="23" t="str">
        <f t="shared" si="23"/>
        <v>无销量广告费为30.27</v>
      </c>
      <c r="AH73">
        <f>SUMIF('库存（子SKU）'!$C:$C,$A73,'库存（子SKU）'!AJ:AJ)</f>
        <v>0</v>
      </c>
      <c r="AI73">
        <f>SUMIF('库存（子SKU）'!$C:$C,$A73,'库存（子SKU）'!AK:AK)</f>
        <v>180</v>
      </c>
      <c r="AJ73">
        <f>SUMIF('库存（子SKU）'!$C:$C,$A73,'库存（子SKU）'!AL:AL)</f>
        <v>221</v>
      </c>
      <c r="AK73">
        <f>SUMIF('库存（子SKU）'!$C:$C,$A73,'库存（子SKU）'!AM:AM)</f>
        <v>169</v>
      </c>
      <c r="AL73" s="23" t="str">
        <f t="shared" si="24"/>
        <v/>
      </c>
      <c r="AM73" s="23">
        <f t="shared" si="25"/>
        <v>0.0166666666666667</v>
      </c>
      <c r="AN73" s="23">
        <f t="shared" si="26"/>
        <v>0.0180995475113122</v>
      </c>
      <c r="AO73" s="23">
        <f t="shared" si="27"/>
        <v>0</v>
      </c>
      <c r="AP73" s="7">
        <f t="shared" si="28"/>
        <v>0.714285714285714</v>
      </c>
      <c r="AQ73" s="7">
        <f t="shared" si="29"/>
        <v>42.8571428571429</v>
      </c>
      <c r="AR73" s="7">
        <f t="shared" si="30"/>
        <v>-37.8571428571429</v>
      </c>
      <c r="AS73">
        <f t="shared" si="31"/>
        <v>7</v>
      </c>
      <c r="AT73" s="2">
        <f>IFERROR(时间!$B$4+AS73,"上周无销量")</f>
        <v>43297</v>
      </c>
    </row>
    <row r="74" spans="1:46">
      <c r="A74" t="s">
        <v>382</v>
      </c>
      <c r="B74" s="5">
        <f>SUMIF('库存（子SKU）'!$C:$C,$A74,'库存（子SKU）'!D:D)</f>
        <v>1</v>
      </c>
      <c r="C74" s="5">
        <f>SUMIF('库存（子SKU）'!$C:$C,$A74,'库存（子SKU）'!E:E)</f>
        <v>3</v>
      </c>
      <c r="D74" s="5">
        <f>SUMIF('库存（子SKU）'!$C:$C,$A74,'库存（子SKU）'!F:F)</f>
        <v>1</v>
      </c>
      <c r="E74" s="5">
        <f>SUMIF('库存（子SKU）'!$C:$C,$A74,'库存（子SKU）'!G:G)</f>
        <v>1</v>
      </c>
      <c r="F74" s="6">
        <v>99.99</v>
      </c>
      <c r="G74">
        <f>SUMIF('库存（子SKU）'!$C:$C,$A74,'库存（子SKU）'!I:I)</f>
        <v>2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2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10568</v>
      </c>
      <c r="O74">
        <f>SUMIF('库存（子SKU）'!$C:$C,$A74,'库存（子SKU）'!Q:Q)</f>
        <v>7099</v>
      </c>
      <c r="P74">
        <f>SUMIF('库存（子SKU）'!$C:$C,$A74,'库存（子SKU）'!R:R)</f>
        <v>8953</v>
      </c>
      <c r="Q74">
        <f>SUMIF('库存（子SKU）'!$C:$C,$A74,'库存（子SKU）'!S:S)</f>
        <v>8042</v>
      </c>
      <c r="R74">
        <f>SUMIF('库存（子SKU）'!$C:$C,$A74,'库存（子SKU）'!T:T)</f>
        <v>99</v>
      </c>
      <c r="S74">
        <f>SUMIF('库存（子SKU）'!$C:$C,$A74,'库存（子SKU）'!U:U)</f>
        <v>105</v>
      </c>
      <c r="T74">
        <f>SUMIF('库存（子SKU）'!$C:$C,$A74,'库存（子SKU）'!V:V)</f>
        <v>136</v>
      </c>
      <c r="U74">
        <f>SUMIF('库存（子SKU）'!$C:$C,$A74,'库存（子SKU）'!W:W)</f>
        <v>124</v>
      </c>
      <c r="V74" s="23">
        <f t="shared" si="32"/>
        <v>0.00936790310370931</v>
      </c>
      <c r="W74" s="23">
        <f t="shared" si="33"/>
        <v>0.0147908156078321</v>
      </c>
      <c r="X74" s="23">
        <f t="shared" si="34"/>
        <v>0.0151904389590082</v>
      </c>
      <c r="Y74" s="23">
        <f t="shared" si="35"/>
        <v>0.0154190499875653</v>
      </c>
      <c r="Z74">
        <f>SUMIF('库存（子SKU）'!$C:$C,$A74,'库存（子SKU）'!AB:AB)</f>
        <v>11.48</v>
      </c>
      <c r="AA74">
        <f>SUMIF('库存（子SKU）'!$C:$C,$A74,'库存（子SKU）'!AC:AC)</f>
        <v>12.13</v>
      </c>
      <c r="AB74">
        <f>SUMIF('库存（子SKU）'!$C:$C,$A74,'库存（子SKU）'!AD:AD)</f>
        <v>15.24</v>
      </c>
      <c r="AC74">
        <f>SUMIF('库存（子SKU）'!$C:$C,$A74,'库存（子SKU）'!AE:AE)</f>
        <v>13.51</v>
      </c>
      <c r="AD74" s="23">
        <f t="shared" si="20"/>
        <v>0.114811481148115</v>
      </c>
      <c r="AE74" s="23">
        <f t="shared" si="21"/>
        <v>0.0404373770710404</v>
      </c>
      <c r="AF74" s="23">
        <f t="shared" si="22"/>
        <v>0.152415241524152</v>
      </c>
      <c r="AG74" s="23">
        <f t="shared" si="23"/>
        <v>0.135113511351135</v>
      </c>
      <c r="AH74">
        <f>SUMIF('库存（子SKU）'!$C:$C,$A74,'库存（子SKU）'!AJ:AJ)</f>
        <v>0</v>
      </c>
      <c r="AI74">
        <f>SUMIF('库存（子SKU）'!$C:$C,$A74,'库存（子SKU）'!AK:AK)</f>
        <v>181</v>
      </c>
      <c r="AJ74">
        <f>SUMIF('库存（子SKU）'!$C:$C,$A74,'库存（子SKU）'!AL:AL)</f>
        <v>109</v>
      </c>
      <c r="AK74">
        <f>SUMIF('库存（子SKU）'!$C:$C,$A74,'库存（子SKU）'!AM:AM)</f>
        <v>108</v>
      </c>
      <c r="AL74" s="23" t="str">
        <f t="shared" si="24"/>
        <v/>
      </c>
      <c r="AM74" s="23">
        <f t="shared" si="25"/>
        <v>0.0165745856353591</v>
      </c>
      <c r="AN74" s="23">
        <f t="shared" si="26"/>
        <v>0.00917431192660551</v>
      </c>
      <c r="AO74" s="23">
        <f t="shared" si="27"/>
        <v>0.00925925925925926</v>
      </c>
      <c r="AP74" s="7">
        <f t="shared" si="28"/>
        <v>0.142857142857143</v>
      </c>
      <c r="AQ74" s="7">
        <f t="shared" si="29"/>
        <v>8.57142857142857</v>
      </c>
      <c r="AR74" s="7">
        <f t="shared" si="30"/>
        <v>-6.57142857142857</v>
      </c>
      <c r="AS74">
        <f t="shared" si="31"/>
        <v>14</v>
      </c>
      <c r="AT74" s="2">
        <f>IFERROR(时间!$B$4+AS74,"上周无销量")</f>
        <v>43304</v>
      </c>
    </row>
    <row r="75" spans="1:46">
      <c r="A75" t="s">
        <v>385</v>
      </c>
      <c r="B75" s="5">
        <f>SUMIF('库存（子SKU）'!$C:$C,$A75,'库存（子SKU）'!D:D)</f>
        <v>0</v>
      </c>
      <c r="C75" s="5">
        <f>SUMIF('库存（子SKU）'!$C:$C,$A75,'库存（子SKU）'!E:E)</f>
        <v>1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>
        <v>89.99</v>
      </c>
      <c r="G75">
        <f>SUMIF('库存（子SKU）'!$C:$C,$A75,'库存（子SKU）'!I:I)</f>
        <v>8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8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17223</v>
      </c>
      <c r="O75">
        <f>SUMIF('库存（子SKU）'!$C:$C,$A75,'库存（子SKU）'!Q:Q)</f>
        <v>12588</v>
      </c>
      <c r="P75">
        <f>SUMIF('库存（子SKU）'!$C:$C,$A75,'库存（子SKU）'!R:R)</f>
        <v>16354</v>
      </c>
      <c r="Q75">
        <f>SUMIF('库存（子SKU）'!$C:$C,$A75,'库存（子SKU）'!S:S)</f>
        <v>8049</v>
      </c>
      <c r="R75">
        <f>SUMIF('库存（子SKU）'!$C:$C,$A75,'库存（子SKU）'!T:T)</f>
        <v>59</v>
      </c>
      <c r="S75">
        <f>SUMIF('库存（子SKU）'!$C:$C,$A75,'库存（子SKU）'!U:U)</f>
        <v>58</v>
      </c>
      <c r="T75">
        <f>SUMIF('库存（子SKU）'!$C:$C,$A75,'库存（子SKU）'!V:V)</f>
        <v>108</v>
      </c>
      <c r="U75">
        <f>SUMIF('库存（子SKU）'!$C:$C,$A75,'库存（子SKU）'!W:W)</f>
        <v>57</v>
      </c>
      <c r="V75" s="23">
        <f t="shared" si="32"/>
        <v>0.00342565174475991</v>
      </c>
      <c r="W75" s="23">
        <f t="shared" si="33"/>
        <v>0.0046075627581824</v>
      </c>
      <c r="X75" s="23">
        <f t="shared" si="34"/>
        <v>0.00660388895683013</v>
      </c>
      <c r="Y75" s="23">
        <f t="shared" si="35"/>
        <v>0.00708162504658964</v>
      </c>
      <c r="Z75">
        <f>SUMIF('库存（子SKU）'!$C:$C,$A75,'库存（子SKU）'!AB:AB)</f>
        <v>7.62</v>
      </c>
      <c r="AA75">
        <f>SUMIF('库存（子SKU）'!$C:$C,$A75,'库存（子SKU）'!AC:AC)</f>
        <v>8.89</v>
      </c>
      <c r="AB75">
        <f>SUMIF('库存（子SKU）'!$C:$C,$A75,'库存（子SKU）'!AD:AD)</f>
        <v>16.27</v>
      </c>
      <c r="AC75">
        <f>SUMIF('库存（子SKU）'!$C:$C,$A75,'库存（子SKU）'!AE:AE)</f>
        <v>9.37</v>
      </c>
      <c r="AD75" s="23" t="str">
        <f t="shared" si="20"/>
        <v>无销量广告费为7.62</v>
      </c>
      <c r="AE75" s="23">
        <f t="shared" si="21"/>
        <v>0.098788754306034</v>
      </c>
      <c r="AF75" s="23" t="str">
        <f t="shared" si="22"/>
        <v>无销量广告费为16.27</v>
      </c>
      <c r="AG75" s="23" t="str">
        <f t="shared" si="23"/>
        <v>无销量广告费为9.37</v>
      </c>
      <c r="AH75">
        <f>SUMIF('库存（子SKU）'!$C:$C,$A75,'库存（子SKU）'!AJ:AJ)</f>
        <v>0</v>
      </c>
      <c r="AI75">
        <f>SUMIF('库存（子SKU）'!$C:$C,$A75,'库存（子SKU）'!AK:AK)</f>
        <v>59</v>
      </c>
      <c r="AJ75">
        <f>SUMIF('库存（子SKU）'!$C:$C,$A75,'库存（子SKU）'!AL:AL)</f>
        <v>78</v>
      </c>
      <c r="AK75">
        <f>SUMIF('库存（子SKU）'!$C:$C,$A75,'库存（子SKU）'!AM:AM)</f>
        <v>105</v>
      </c>
      <c r="AL75" s="23" t="str">
        <f t="shared" si="24"/>
        <v/>
      </c>
      <c r="AM75" s="23">
        <f t="shared" si="25"/>
        <v>0.0169491525423729</v>
      </c>
      <c r="AN75" s="23">
        <f t="shared" si="26"/>
        <v>0</v>
      </c>
      <c r="AO75" s="23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8</v>
      </c>
      <c r="AS75" t="str">
        <f t="shared" si="31"/>
        <v>库存为8</v>
      </c>
      <c r="AT75" s="2" t="str">
        <f>IFERROR(时间!$B$4+AS75,"上周无销量")</f>
        <v>上周无销量</v>
      </c>
    </row>
    <row r="76" spans="1:46">
      <c r="A76" t="s">
        <v>391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1</v>
      </c>
      <c r="E76" s="5">
        <f>SUMIF('库存（子SKU）'!$C:$C,$A76,'库存（子SKU）'!G:G)</f>
        <v>0</v>
      </c>
      <c r="F76" s="6">
        <v>108.99</v>
      </c>
      <c r="G76">
        <f>SUMIF('库存（子SKU）'!$C:$C,$A76,'库存（子SKU）'!I:I)</f>
        <v>4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4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488</v>
      </c>
      <c r="O76">
        <f>SUMIF('库存（子SKU）'!$C:$C,$A76,'库存（子SKU）'!Q:Q)</f>
        <v>141</v>
      </c>
      <c r="P76">
        <f>SUMIF('库存（子SKU）'!$C:$C,$A76,'库存（子SKU）'!R:R)</f>
        <v>55</v>
      </c>
      <c r="Q76">
        <f>SUMIF('库存（子SKU）'!$C:$C,$A76,'库存（子SKU）'!S:S)</f>
        <v>58</v>
      </c>
      <c r="R76">
        <f>SUMIF('库存（子SKU）'!$C:$C,$A76,'库存（子SKU）'!T:T)</f>
        <v>7</v>
      </c>
      <c r="S76">
        <f>SUMIF('库存（子SKU）'!$C:$C,$A76,'库存（子SKU）'!U:U)</f>
        <v>5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>
        <f t="shared" si="32"/>
        <v>0.014344262295082</v>
      </c>
      <c r="W76" s="23">
        <f t="shared" si="33"/>
        <v>0.0354609929078014</v>
      </c>
      <c r="X76" s="23">
        <f t="shared" si="34"/>
        <v>0</v>
      </c>
      <c r="Y76" s="23">
        <f t="shared" si="35"/>
        <v>0</v>
      </c>
      <c r="Z76">
        <f>SUMIF('库存（子SKU）'!$C:$C,$A76,'库存（子SKU）'!AB:AB)</f>
        <v>1.92</v>
      </c>
      <c r="AA76">
        <f>SUMIF('库存（子SKU）'!$C:$C,$A76,'库存（子SKU）'!AC:AC)</f>
        <v>0.5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>无销量广告费为1.92</v>
      </c>
      <c r="AE76" s="23" t="str">
        <f t="shared" si="21"/>
        <v>无销量广告费为0.5</v>
      </c>
      <c r="AF76" s="23">
        <f t="shared" si="22"/>
        <v>0</v>
      </c>
      <c r="AG76" s="23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6</v>
      </c>
      <c r="AJ76">
        <f>SUMIF('库存（子SKU）'!$C:$C,$A76,'库存（子SKU）'!AL:AL)</f>
        <v>10</v>
      </c>
      <c r="AK76">
        <f>SUMIF('库存（子SKU）'!$C:$C,$A76,'库存（子SKU）'!AM:AM)</f>
        <v>8</v>
      </c>
      <c r="AL76" s="23" t="str">
        <f t="shared" si="24"/>
        <v/>
      </c>
      <c r="AM76" s="23">
        <f t="shared" si="25"/>
        <v>0</v>
      </c>
      <c r="AN76" s="23">
        <f t="shared" si="26"/>
        <v>0.1</v>
      </c>
      <c r="AO76" s="23">
        <f t="shared" si="27"/>
        <v>0</v>
      </c>
      <c r="AP76" s="7">
        <f t="shared" si="28"/>
        <v>0</v>
      </c>
      <c r="AQ76" s="7">
        <f t="shared" si="29"/>
        <v>0</v>
      </c>
      <c r="AR76" s="7">
        <f t="shared" si="30"/>
        <v>4</v>
      </c>
      <c r="AS76" t="str">
        <f t="shared" si="31"/>
        <v>库存为4</v>
      </c>
      <c r="AT76" s="2" t="str">
        <f>IFERROR(时间!$B$4+AS76,"上周无销量")</f>
        <v>上周无销量</v>
      </c>
    </row>
    <row r="77" spans="1:46">
      <c r="A77" t="s">
        <v>396</v>
      </c>
      <c r="B77" s="5">
        <f>SUMIF('库存（子SKU）'!$C:$C,$A77,'库存（子SKU）'!D:D)</f>
        <v>1</v>
      </c>
      <c r="C77" s="5">
        <f>SUMIF('库存（子SKU）'!$C:$C,$A77,'库存（子SKU）'!E:E)</f>
        <v>2</v>
      </c>
      <c r="D77" s="5">
        <f>SUMIF('库存（子SKU）'!$C:$C,$A77,'库存（子SKU）'!F:F)</f>
        <v>1</v>
      </c>
      <c r="E77" s="5">
        <f>SUMIF('库存（子SKU）'!$C:$C,$A77,'库存（子SKU）'!G:G)</f>
        <v>0</v>
      </c>
      <c r="F77" s="6">
        <v>34.99</v>
      </c>
      <c r="G77">
        <f>SUMIF('库存（子SKU）'!$C:$C,$A77,'库存（子SKU）'!I:I)</f>
        <v>42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42</v>
      </c>
      <c r="L77">
        <f>SUMIF('库存（子SKU）'!$C:$C,$A77,'库存（子SKU）'!N:N)</f>
        <v>1</v>
      </c>
      <c r="M77">
        <f>SUMIF('库存（子SKU）'!$C:$C,$A77,'库存（子SKU）'!O:O)</f>
        <v>7</v>
      </c>
      <c r="N77">
        <f>SUMIF('库存（子SKU）'!$C:$C,$A77,'库存（子SKU）'!P:P)</f>
        <v>423</v>
      </c>
      <c r="O77">
        <f>SUMIF('库存（子SKU）'!$C:$C,$A77,'库存（子SKU）'!Q:Q)</f>
        <v>221</v>
      </c>
      <c r="P77">
        <f>SUMIF('库存（子SKU）'!$C:$C,$A77,'库存（子SKU）'!R:R)</f>
        <v>56</v>
      </c>
      <c r="Q77">
        <f>SUMIF('库存（子SKU）'!$C:$C,$A77,'库存（子SKU）'!S:S)</f>
        <v>60</v>
      </c>
      <c r="R77">
        <f>SUMIF('库存（子SKU）'!$C:$C,$A77,'库存（子SKU）'!T:T)</f>
        <v>4</v>
      </c>
      <c r="S77">
        <f>SUMIF('库存（子SKU）'!$C:$C,$A77,'库存（子SKU）'!U:U)</f>
        <v>2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>
        <f t="shared" si="32"/>
        <v>0.00945626477541371</v>
      </c>
      <c r="W77" s="23">
        <f t="shared" si="33"/>
        <v>0.00904977375565611</v>
      </c>
      <c r="X77" s="23">
        <f t="shared" si="34"/>
        <v>0</v>
      </c>
      <c r="Y77" s="23">
        <f t="shared" si="35"/>
        <v>0</v>
      </c>
      <c r="Z77">
        <f>SUMIF('库存（子SKU）'!$C:$C,$A77,'库存（子SKU）'!AB:AB)</f>
        <v>2.14</v>
      </c>
      <c r="AA77">
        <f>SUMIF('库存（子SKU）'!$C:$C,$A77,'库存（子SKU）'!AC:AC)</f>
        <v>0.25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>
        <f t="shared" si="20"/>
        <v>0.0611603315232924</v>
      </c>
      <c r="AE77" s="23">
        <f t="shared" si="21"/>
        <v>0.00357244927122035</v>
      </c>
      <c r="AF77" s="23">
        <f t="shared" si="22"/>
        <v>0</v>
      </c>
      <c r="AG77" s="23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85</v>
      </c>
      <c r="AJ77">
        <f>SUMIF('库存（子SKU）'!$C:$C,$A77,'库存（子SKU）'!AL:AL)</f>
        <v>85</v>
      </c>
      <c r="AK77">
        <f>SUMIF('库存（子SKU）'!$C:$C,$A77,'库存（子SKU）'!AM:AM)</f>
        <v>100</v>
      </c>
      <c r="AL77" s="23" t="str">
        <f t="shared" si="24"/>
        <v/>
      </c>
      <c r="AM77" s="23">
        <f t="shared" si="25"/>
        <v>0.0235294117647059</v>
      </c>
      <c r="AN77" s="23">
        <f t="shared" si="26"/>
        <v>0.0117647058823529</v>
      </c>
      <c r="AO77" s="23">
        <f t="shared" si="27"/>
        <v>0</v>
      </c>
      <c r="AP77" s="7">
        <f t="shared" si="28"/>
        <v>0.142857142857143</v>
      </c>
      <c r="AQ77" s="7">
        <f t="shared" si="29"/>
        <v>8.57142857142857</v>
      </c>
      <c r="AR77" s="7">
        <f t="shared" si="30"/>
        <v>33.4285714285714</v>
      </c>
      <c r="AS77">
        <f t="shared" si="31"/>
        <v>294</v>
      </c>
      <c r="AT77" s="2">
        <f>IFERROR(时间!$B$4+AS77,"上周无销量")</f>
        <v>43584</v>
      </c>
    </row>
    <row r="78" spans="1:46">
      <c r="A78" t="s">
        <v>407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54</v>
      </c>
      <c r="G78">
        <f>SUMIF('库存（子SKU）'!$C:$C,$A78,'库存（子SKU）'!I:I)</f>
        <v>3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3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235</v>
      </c>
      <c r="O78">
        <f>SUMIF('库存（子SKU）'!$C:$C,$A78,'库存（子SKU）'!Q:Q)</f>
        <v>39</v>
      </c>
      <c r="P78">
        <f>SUMIF('库存（子SKU）'!$C:$C,$A78,'库存（子SKU）'!R:R)</f>
        <v>3</v>
      </c>
      <c r="Q78">
        <f>SUMIF('库存（子SKU）'!$C:$C,$A78,'库存（子SKU）'!S:S)</f>
        <v>3</v>
      </c>
      <c r="R78">
        <f>SUMIF('库存（子SKU）'!$C:$C,$A78,'库存（子SKU）'!T:T)</f>
        <v>1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>
        <f t="shared" si="32"/>
        <v>0.00425531914893617</v>
      </c>
      <c r="W78" s="23">
        <f t="shared" si="33"/>
        <v>0</v>
      </c>
      <c r="X78" s="23">
        <f t="shared" si="34"/>
        <v>0</v>
      </c>
      <c r="Y78" s="23">
        <f t="shared" si="35"/>
        <v>0</v>
      </c>
      <c r="Z78">
        <f>SUMIF('库存（子SKU）'!$C:$C,$A78,'库存（子SKU）'!AB:AB)</f>
        <v>0.27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>无销量广告费为0.27</v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3</v>
      </c>
      <c r="AK78">
        <f>SUMIF('库存（子SKU）'!$C:$C,$A78,'库存（子SKU）'!AM:AM)</f>
        <v>6</v>
      </c>
      <c r="AL78" s="23" t="str">
        <f t="shared" si="24"/>
        <v/>
      </c>
      <c r="AM78" s="23" t="str">
        <f t="shared" si="25"/>
        <v/>
      </c>
      <c r="AN78" s="23">
        <f t="shared" si="26"/>
        <v>0</v>
      </c>
      <c r="AO78" s="23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3</v>
      </c>
      <c r="AS78" t="str">
        <f t="shared" si="31"/>
        <v>库存为3</v>
      </c>
      <c r="AT78" s="2" t="str">
        <f>IFERROR(时间!$B$4+AS78,"上周无销量")</f>
        <v>上周无销量</v>
      </c>
    </row>
    <row r="79" spans="1:46">
      <c r="A79" t="s">
        <v>411</v>
      </c>
      <c r="B79" s="5">
        <f>SUMIF('库存（子SKU）'!$C:$C,$A79,'库存（子SKU）'!D:D)</f>
        <v>5</v>
      </c>
      <c r="C79" s="5">
        <f>SUMIF('库存（子SKU）'!$C:$C,$A79,'库存（子SKU）'!E:E)</f>
        <v>2</v>
      </c>
      <c r="D79" s="5">
        <f>SUMIF('库存（子SKU）'!$C:$C,$A79,'库存（子SKU）'!F:F)</f>
        <v>1</v>
      </c>
      <c r="E79" s="5">
        <f>SUMIF('库存（子SKU）'!$C:$C,$A79,'库存（子SKU）'!G:G)</f>
        <v>1</v>
      </c>
      <c r="F79" s="6">
        <v>108.99</v>
      </c>
      <c r="G79">
        <f>SUMIF('库存（子SKU）'!$C:$C,$A79,'库存（子SKU）'!I:I)</f>
        <v>3</v>
      </c>
      <c r="H79">
        <f>SUMIF('库存（子SKU）'!$C:$C,$A79,'库存（子SKU）'!J:J)</f>
        <v>9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12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9021</v>
      </c>
      <c r="O79">
        <f>SUMIF('库存（子SKU）'!$C:$C,$A79,'库存（子SKU）'!Q:Q)</f>
        <v>10190</v>
      </c>
      <c r="P79">
        <f>SUMIF('库存（子SKU）'!$C:$C,$A79,'库存（子SKU）'!R:R)</f>
        <v>0</v>
      </c>
      <c r="Q79">
        <f>SUMIF('库存（子SKU）'!$C:$C,$A79,'库存（子SKU）'!S:S)</f>
        <v>4938</v>
      </c>
      <c r="R79">
        <f>SUMIF('库存（子SKU）'!$C:$C,$A79,'库存（子SKU）'!T:T)</f>
        <v>29</v>
      </c>
      <c r="S79">
        <f>SUMIF('库存（子SKU）'!$C:$C,$A79,'库存（子SKU）'!U:U)</f>
        <v>59</v>
      </c>
      <c r="T79">
        <f>SUMIF('库存（子SKU）'!$C:$C,$A79,'库存（子SKU）'!V:V)</f>
        <v>0</v>
      </c>
      <c r="U79">
        <f>SUMIF('库存（子SKU）'!$C:$C,$A79,'库存（子SKU）'!W:W)</f>
        <v>44</v>
      </c>
      <c r="V79" s="23">
        <f t="shared" si="32"/>
        <v>0.00321472120607471</v>
      </c>
      <c r="W79" s="23">
        <f t="shared" si="33"/>
        <v>0.00578999018645731</v>
      </c>
      <c r="X79" s="23" t="str">
        <f t="shared" si="34"/>
        <v/>
      </c>
      <c r="Y79" s="23">
        <f t="shared" si="35"/>
        <v>0.00891049007695423</v>
      </c>
      <c r="Z79">
        <f>SUMIF('库存（子SKU）'!$C:$C,$A79,'库存（子SKU）'!AB:AB)</f>
        <v>4.02</v>
      </c>
      <c r="AA79">
        <f>SUMIF('库存（子SKU）'!$C:$C,$A79,'库存（子SKU）'!AC:AC)</f>
        <v>11.27</v>
      </c>
      <c r="AB79">
        <f>SUMIF('库存（子SKU）'!$C:$C,$A79,'库存（子SKU）'!AD:AD)</f>
        <v>0</v>
      </c>
      <c r="AC79">
        <f>SUMIF('库存（子SKU）'!$C:$C,$A79,'库存（子SKU）'!AE:AE)</f>
        <v>10.08</v>
      </c>
      <c r="AD79" s="23">
        <f t="shared" si="20"/>
        <v>0.00737682356179466</v>
      </c>
      <c r="AE79" s="23">
        <f t="shared" si="21"/>
        <v>0.0517019910083494</v>
      </c>
      <c r="AF79" s="23">
        <f t="shared" si="22"/>
        <v>0</v>
      </c>
      <c r="AG79" s="23">
        <f t="shared" si="23"/>
        <v>0.092485549132948</v>
      </c>
      <c r="AH79">
        <f>SUMIF('库存（子SKU）'!$C:$C,$A79,'库存（子SKU）'!AJ:AJ)</f>
        <v>0</v>
      </c>
      <c r="AI79">
        <f>SUMIF('库存（子SKU）'!$C:$C,$A79,'库存（子SKU）'!AK:AK)</f>
        <v>59</v>
      </c>
      <c r="AJ79">
        <f>SUMIF('库存（子SKU）'!$C:$C,$A79,'库存（子SKU）'!AL:AL)</f>
        <v>75</v>
      </c>
      <c r="AK79">
        <f>SUMIF('库存（子SKU）'!$C:$C,$A79,'库存（子SKU）'!AM:AM)</f>
        <v>8</v>
      </c>
      <c r="AL79" s="23" t="str">
        <f t="shared" si="24"/>
        <v/>
      </c>
      <c r="AM79" s="23">
        <f t="shared" si="25"/>
        <v>0.0338983050847458</v>
      </c>
      <c r="AN79" s="23">
        <f t="shared" si="26"/>
        <v>0.0133333333333333</v>
      </c>
      <c r="AO79" s="23">
        <f t="shared" si="27"/>
        <v>0.125</v>
      </c>
      <c r="AP79" s="7">
        <f t="shared" si="28"/>
        <v>0.714285714285714</v>
      </c>
      <c r="AQ79" s="7">
        <f t="shared" si="29"/>
        <v>42.8571428571429</v>
      </c>
      <c r="AR79" s="7">
        <f t="shared" si="30"/>
        <v>-30.8571428571429</v>
      </c>
      <c r="AS79">
        <f t="shared" si="31"/>
        <v>16</v>
      </c>
      <c r="AT79" s="2">
        <f>IFERROR(时间!$B$4+AS79,"上周无销量")</f>
        <v>43306</v>
      </c>
    </row>
    <row r="80" spans="1:46">
      <c r="A80" t="s">
        <v>414</v>
      </c>
      <c r="B80" s="5">
        <f>SUMIF('库存（子SKU）'!$C:$C,$A80,'库存（子SKU）'!D:D)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1</v>
      </c>
      <c r="F80" s="6">
        <v>108.99</v>
      </c>
      <c r="G80">
        <f>SUMIF('库存（子SKU）'!$C:$C,$A80,'库存（子SKU）'!I:I)</f>
        <v>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7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34</v>
      </c>
      <c r="Q80">
        <f>SUMIF('库存（子SKU）'!$C:$C,$A80,'库存（子SKU）'!S:S)</f>
        <v>5590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47</v>
      </c>
      <c r="V80" s="23" t="str">
        <f t="shared" si="32"/>
        <v/>
      </c>
      <c r="W80" s="23" t="str">
        <f t="shared" si="33"/>
        <v/>
      </c>
      <c r="X80" s="23">
        <f t="shared" si="34"/>
        <v>0</v>
      </c>
      <c r="Y80" s="23">
        <f t="shared" si="35"/>
        <v>0.00840787119856887</v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11.51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>
        <f t="shared" si="23"/>
        <v>0.105606018900817</v>
      </c>
      <c r="AH80">
        <f>SUMIF('库存（子SKU）'!$C:$C,$A80,'库存（子SKU）'!AJ:AJ)</f>
        <v>0</v>
      </c>
      <c r="AI80">
        <f>SUMIF('库存（子SKU）'!$C:$C,$A80,'库存（子SKU）'!AK:AK)</f>
        <v>9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23" t="str">
        <f t="shared" si="24"/>
        <v/>
      </c>
      <c r="AM80" s="23">
        <f t="shared" si="25"/>
        <v>0</v>
      </c>
      <c r="AN80" s="23" t="str">
        <f t="shared" si="26"/>
        <v/>
      </c>
      <c r="AO80" s="23" t="str">
        <f t="shared" si="27"/>
        <v/>
      </c>
      <c r="AP80" s="7">
        <f t="shared" si="28"/>
        <v>0</v>
      </c>
      <c r="AQ80" s="7">
        <f t="shared" si="29"/>
        <v>0</v>
      </c>
      <c r="AR80" s="7">
        <f t="shared" si="30"/>
        <v>7</v>
      </c>
      <c r="AS80" t="str">
        <f t="shared" si="31"/>
        <v>库存为7</v>
      </c>
      <c r="AT80" s="2" t="str">
        <f>IFERROR(时间!$B$4+AS80,"上周无销量")</f>
        <v>上周无销量</v>
      </c>
    </row>
    <row r="81" spans="1:46">
      <c r="A81" t="s">
        <v>417</v>
      </c>
      <c r="B81" s="5">
        <f>SUMIF('库存（子SKU）'!$C:$C,$A81,'库存（子SKU）'!D:D)</f>
        <v>1</v>
      </c>
      <c r="C81" s="5">
        <f>SUMIF('库存（子SKU）'!$C:$C,$A81,'库存（子SKU）'!E:E)</f>
        <v>5</v>
      </c>
      <c r="D81" s="5">
        <f>SUMIF('库存（子SKU）'!$C:$C,$A81,'库存（子SKU）'!F:F)</f>
        <v>2</v>
      </c>
      <c r="E81" s="5">
        <f>SUMIF('库存（子SKU）'!$C:$C,$A81,'库存（子SKU）'!G:G)</f>
        <v>2</v>
      </c>
      <c r="F81" s="6">
        <v>89.99</v>
      </c>
      <c r="G81">
        <f>SUMIF('库存（子SKU）'!$C:$C,$A81,'库存（子SKU）'!I:I)</f>
        <v>12</v>
      </c>
      <c r="H81">
        <f>SUMIF('库存（子SKU）'!$C:$C,$A81,'库存（子SKU）'!J:J)</f>
        <v>7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19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48696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336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>
        <f t="shared" si="35"/>
        <v>0.00689995071463775</v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46.6</v>
      </c>
      <c r="AD81" s="23">
        <f t="shared" si="20"/>
        <v>0</v>
      </c>
      <c r="AE81" s="23">
        <f t="shared" si="21"/>
        <v>0</v>
      </c>
      <c r="AF81" s="23">
        <f t="shared" si="22"/>
        <v>0</v>
      </c>
      <c r="AG81" s="23">
        <f t="shared" si="23"/>
        <v>0.258917657517502</v>
      </c>
      <c r="AH81">
        <f>SUMIF('库存（子SKU）'!$C:$C,$A81,'库存（子SKU）'!AJ:AJ)</f>
        <v>0</v>
      </c>
      <c r="AI81">
        <f>SUMIF('库存（子SKU）'!$C:$C,$A81,'库存（子SKU）'!AK:AK)</f>
        <v>82</v>
      </c>
      <c r="AJ81">
        <f>SUMIF('库存（子SKU）'!$C:$C,$A81,'库存（子SKU）'!AL:AL)</f>
        <v>47</v>
      </c>
      <c r="AK81">
        <f>SUMIF('库存（子SKU）'!$C:$C,$A81,'库存（子SKU）'!AM:AM)</f>
        <v>120</v>
      </c>
      <c r="AL81" s="23" t="str">
        <f t="shared" si="24"/>
        <v/>
      </c>
      <c r="AM81" s="23">
        <f t="shared" si="25"/>
        <v>0.0609756097560976</v>
      </c>
      <c r="AN81" s="23">
        <f t="shared" si="26"/>
        <v>0.0425531914893617</v>
      </c>
      <c r="AO81" s="23">
        <f t="shared" si="27"/>
        <v>0.0166666666666667</v>
      </c>
      <c r="AP81" s="7">
        <f t="shared" si="28"/>
        <v>0.142857142857143</v>
      </c>
      <c r="AQ81" s="7">
        <f t="shared" si="29"/>
        <v>8.57142857142857</v>
      </c>
      <c r="AR81" s="7">
        <f t="shared" si="30"/>
        <v>10.4285714285714</v>
      </c>
      <c r="AS81">
        <f t="shared" si="31"/>
        <v>133</v>
      </c>
      <c r="AT81" s="2">
        <f>IFERROR(时间!$B$4+AS81,"上周无销量")</f>
        <v>43423</v>
      </c>
    </row>
    <row r="82" spans="1:46">
      <c r="A82" t="s">
        <v>420</v>
      </c>
      <c r="B82" s="5">
        <f>SUMIF('库存（子SKU）'!$C:$C,$A82,'库存（子SKU）'!D:D)</f>
        <v>1</v>
      </c>
      <c r="C82" s="5">
        <f>SUMIF('库存（子SKU）'!$C:$C,$A82,'库存（子SKU）'!E:E)</f>
        <v>1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>
        <v>106.99</v>
      </c>
      <c r="G82">
        <f>SUMIF('库存（子SKU）'!$C:$C,$A82,'库存（子SKU）'!I:I)</f>
        <v>19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19</v>
      </c>
      <c r="L82">
        <f>SUMIF('库存（子SKU）'!$C:$C,$A82,'库存（子SKU）'!N:N)</f>
        <v>0</v>
      </c>
      <c r="M82">
        <f>SUMIF('库存（子SKU）'!$C:$C,$A82,'库存（子SKU）'!O:O)</f>
        <v>8</v>
      </c>
      <c r="N82">
        <f>SUMIF('库存（子SKU）'!$C:$C,$A82,'库存（子SKU）'!P:P)</f>
        <v>4</v>
      </c>
      <c r="O82">
        <f>SUMIF('库存（子SKU）'!$C:$C,$A82,'库存（子SKU）'!Q:Q)</f>
        <v>2</v>
      </c>
      <c r="P82">
        <f>SUMIF('库存（子SKU）'!$C:$C,$A82,'库存（子SKU）'!R:R)</f>
        <v>1</v>
      </c>
      <c r="Q82">
        <f>SUMIF('库存（子SKU）'!$C:$C,$A82,'库存（子SKU）'!S:S)</f>
        <v>35658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185</v>
      </c>
      <c r="V82" s="23">
        <f t="shared" si="32"/>
        <v>0</v>
      </c>
      <c r="W82" s="23">
        <f t="shared" si="33"/>
        <v>0</v>
      </c>
      <c r="X82" s="23">
        <f t="shared" si="34"/>
        <v>0</v>
      </c>
      <c r="Y82" s="23">
        <f t="shared" si="35"/>
        <v>0.00518817656626844</v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24.18</v>
      </c>
      <c r="AD82" s="23">
        <f t="shared" si="20"/>
        <v>0</v>
      </c>
      <c r="AE82" s="23">
        <f t="shared" si="21"/>
        <v>0</v>
      </c>
      <c r="AF82" s="23" t="str">
        <f t="shared" si="22"/>
        <v/>
      </c>
      <c r="AG82" s="23" t="str">
        <f t="shared" si="23"/>
        <v>无销量广告费为24.18</v>
      </c>
      <c r="AH82">
        <f>SUMIF('库存（子SKU）'!$C:$C,$A82,'库存（子SKU）'!AJ:AJ)</f>
        <v>0</v>
      </c>
      <c r="AI82">
        <f>SUMIF('库存（子SKU）'!$C:$C,$A82,'库存（子SKU）'!AK:AK)</f>
        <v>61</v>
      </c>
      <c r="AJ82">
        <f>SUMIF('库存（子SKU）'!$C:$C,$A82,'库存（子SKU）'!AL:AL)</f>
        <v>66</v>
      </c>
      <c r="AK82">
        <f>SUMIF('库存（子SKU）'!$C:$C,$A82,'库存（子SKU）'!AM:AM)</f>
        <v>35</v>
      </c>
      <c r="AL82" s="23" t="str">
        <f t="shared" si="24"/>
        <v/>
      </c>
      <c r="AM82" s="23">
        <f t="shared" si="25"/>
        <v>0.0163934426229508</v>
      </c>
      <c r="AN82" s="23">
        <f t="shared" si="26"/>
        <v>0</v>
      </c>
      <c r="AO82" s="23">
        <f t="shared" si="27"/>
        <v>0</v>
      </c>
      <c r="AP82" s="7">
        <f t="shared" si="28"/>
        <v>0.142857142857143</v>
      </c>
      <c r="AQ82" s="7">
        <f t="shared" si="29"/>
        <v>8.57142857142857</v>
      </c>
      <c r="AR82" s="7">
        <f t="shared" si="30"/>
        <v>10.4285714285714</v>
      </c>
      <c r="AS82">
        <f t="shared" si="31"/>
        <v>133</v>
      </c>
      <c r="AT82" s="2">
        <f>IFERROR(时间!$B$4+AS82,"上周无销量")</f>
        <v>43423</v>
      </c>
    </row>
    <row r="83" spans="1:46">
      <c r="A83" t="s">
        <v>426</v>
      </c>
      <c r="B83" s="5">
        <f>SUMIF('库存（子SKU）'!$C:$C,$A83,'库存（子SKU）'!D:D)</f>
        <v>6</v>
      </c>
      <c r="C83" s="5">
        <f>SUMIF('库存（子SKU）'!$C:$C,$A83,'库存（子SKU）'!E:E)</f>
        <v>4</v>
      </c>
      <c r="D83" s="5">
        <f>SUMIF('库存（子SKU）'!$C:$C,$A83,'库存（子SKU）'!F:F)</f>
        <v>3</v>
      </c>
      <c r="E83" s="5">
        <f>SUMIF('库存（子SKU）'!$C:$C,$A83,'库存（子SKU）'!G:G)</f>
        <v>4</v>
      </c>
      <c r="F83" s="6">
        <v>32.99</v>
      </c>
      <c r="G83">
        <f>SUMIF('库存（子SKU）'!$C:$C,$A83,'库存（子SKU）'!I:I)</f>
        <v>29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29</v>
      </c>
      <c r="L83">
        <f>SUMIF('库存（子SKU）'!$C:$C,$A83,'库存（子SKU）'!N:N)</f>
        <v>0</v>
      </c>
      <c r="M83">
        <f>SUMIF('库存（子SKU）'!$C:$C,$A83,'库存（子SKU）'!O:O)</f>
        <v>13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1</v>
      </c>
      <c r="Q83">
        <f>SUMIF('库存（子SKU）'!$C:$C,$A83,'库存（子SKU）'!S:S)</f>
        <v>178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>
        <f t="shared" si="34"/>
        <v>0</v>
      </c>
      <c r="Y83" s="23">
        <f t="shared" si="35"/>
        <v>0</v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>
        <f t="shared" si="20"/>
        <v>0</v>
      </c>
      <c r="AE83" s="23">
        <f t="shared" si="21"/>
        <v>0</v>
      </c>
      <c r="AF83" s="23">
        <f t="shared" si="22"/>
        <v>0</v>
      </c>
      <c r="AG83" s="23">
        <f t="shared" si="23"/>
        <v>0</v>
      </c>
      <c r="AH83">
        <f>SUMIF('库存（子SKU）'!$C:$C,$A83,'库存（子SKU）'!AJ:AJ)</f>
        <v>0</v>
      </c>
      <c r="AI83">
        <f>SUMIF('库存（子SKU）'!$C:$C,$A83,'库存（子SKU）'!AK:AK)</f>
        <v>249</v>
      </c>
      <c r="AJ83">
        <f>SUMIF('库存（子SKU）'!$C:$C,$A83,'库存（子SKU）'!AL:AL)</f>
        <v>168</v>
      </c>
      <c r="AK83">
        <f>SUMIF('库存（子SKU）'!$C:$C,$A83,'库存（子SKU）'!AM:AM)</f>
        <v>181</v>
      </c>
      <c r="AL83" s="23" t="str">
        <f t="shared" si="24"/>
        <v/>
      </c>
      <c r="AM83" s="23">
        <f t="shared" si="25"/>
        <v>0.0160642570281124</v>
      </c>
      <c r="AN83" s="23">
        <f t="shared" si="26"/>
        <v>0.0178571428571429</v>
      </c>
      <c r="AO83" s="23">
        <f t="shared" si="27"/>
        <v>0.0220994475138122</v>
      </c>
      <c r="AP83" s="7">
        <f t="shared" si="28"/>
        <v>0.857142857142857</v>
      </c>
      <c r="AQ83" s="7">
        <f t="shared" si="29"/>
        <v>51.4285714285714</v>
      </c>
      <c r="AR83" s="7">
        <f t="shared" si="30"/>
        <v>-22.4285714285714</v>
      </c>
      <c r="AS83">
        <f t="shared" si="31"/>
        <v>33</v>
      </c>
      <c r="AT83" s="2">
        <f>IFERROR(时间!$B$4+AS83,"上周无销量")</f>
        <v>43323</v>
      </c>
    </row>
    <row r="84" spans="1:46">
      <c r="A84" t="s">
        <v>432</v>
      </c>
      <c r="B84" s="5">
        <f>SUMIF('库存（子SKU）'!$C:$C,$A84,'库存（子SKU）'!D:D)</f>
        <v>2</v>
      </c>
      <c r="C84" s="5">
        <f>SUMIF('库存（子SKU）'!$C:$C,$A84,'库存（子SKU）'!E:E)</f>
        <v>2</v>
      </c>
      <c r="D84" s="5">
        <f>SUMIF('库存（子SKU）'!$C:$C,$A84,'库存（子SKU）'!F:F)</f>
        <v>0</v>
      </c>
      <c r="E84" s="5">
        <f>SUMIF('库存（子SKU）'!$C:$C,$A84,'库存（子SKU）'!G:G)</f>
        <v>1</v>
      </c>
      <c r="F84" s="6">
        <v>28.19</v>
      </c>
      <c r="G84">
        <f>SUMIF('库存（子SKU）'!$C:$C,$A84,'库存（子SKU）'!I:I)</f>
        <v>13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13</v>
      </c>
      <c r="L84">
        <f>SUMIF('库存（子SKU）'!$C:$C,$A84,'库存（子SKU）'!N:N)</f>
        <v>0</v>
      </c>
      <c r="M84">
        <f>SUMIF('库存（子SKU）'!$C:$C,$A84,'库存（子SKU）'!O:O)</f>
        <v>10</v>
      </c>
      <c r="N84">
        <f>SUMIF('库存（子SKU）'!$C:$C,$A84,'库存（子SKU）'!P:P)</f>
        <v>84141</v>
      </c>
      <c r="O84">
        <f>SUMIF('库存（子SKU）'!$C:$C,$A84,'库存（子SKU）'!Q:Q)</f>
        <v>56796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374</v>
      </c>
      <c r="S84">
        <f>SUMIF('库存（子SKU）'!$C:$C,$A84,'库存（子SKU）'!U:U)</f>
        <v>242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>
        <f t="shared" si="32"/>
        <v>0.00444491983694037</v>
      </c>
      <c r="W84" s="23">
        <f t="shared" si="33"/>
        <v>0.0042608634410874</v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65.2</v>
      </c>
      <c r="AA84">
        <f>SUMIF('库存（子SKU）'!$C:$C,$A84,'库存（子SKU）'!AC:AC)</f>
        <v>42.21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>
        <f t="shared" si="20"/>
        <v>1.15643845335225</v>
      </c>
      <c r="AE84" s="23">
        <f t="shared" si="21"/>
        <v>0.748669741042923</v>
      </c>
      <c r="AF84" s="23" t="str">
        <f t="shared" si="22"/>
        <v/>
      </c>
      <c r="AG84" s="23">
        <f t="shared" si="23"/>
        <v>0</v>
      </c>
      <c r="AH84">
        <f>SUMIF('库存（子SKU）'!$C:$C,$A84,'库存（子SKU）'!AJ:AJ)</f>
        <v>0</v>
      </c>
      <c r="AI84">
        <f>SUMIF('库存（子SKU）'!$C:$C,$A84,'库存（子SKU）'!AK:AK)</f>
        <v>287</v>
      </c>
      <c r="AJ84">
        <f>SUMIF('库存（子SKU）'!$C:$C,$A84,'库存（子SKU）'!AL:AL)</f>
        <v>216</v>
      </c>
      <c r="AK84">
        <f>SUMIF('库存（子SKU）'!$C:$C,$A84,'库存（子SKU）'!AM:AM)</f>
        <v>21</v>
      </c>
      <c r="AL84" s="23" t="str">
        <f t="shared" si="24"/>
        <v/>
      </c>
      <c r="AM84" s="23">
        <f t="shared" si="25"/>
        <v>0.00696864111498258</v>
      </c>
      <c r="AN84" s="23">
        <f t="shared" si="26"/>
        <v>0</v>
      </c>
      <c r="AO84" s="23">
        <f t="shared" si="27"/>
        <v>0.0476190476190476</v>
      </c>
      <c r="AP84" s="7">
        <f t="shared" si="28"/>
        <v>0.285714285714286</v>
      </c>
      <c r="AQ84" s="7">
        <f t="shared" si="29"/>
        <v>17.1428571428571</v>
      </c>
      <c r="AR84" s="7">
        <f t="shared" si="30"/>
        <v>-4.14285714285714</v>
      </c>
      <c r="AS84">
        <f t="shared" si="31"/>
        <v>45</v>
      </c>
      <c r="AT84" s="2">
        <f>IFERROR(时间!$B$4+AS84,"上周无销量")</f>
        <v>43335</v>
      </c>
    </row>
    <row r="85" spans="1:46">
      <c r="A85" t="s">
        <v>435</v>
      </c>
      <c r="B85" s="5">
        <f>SUMIF('库存（子SKU）'!$C:$C,$A85,'库存（子SKU）'!D:D)</f>
        <v>4</v>
      </c>
      <c r="C85" s="5">
        <f>SUMIF('库存（子SKU）'!$C:$C,$A85,'库存（子SKU）'!E:E)</f>
        <v>6</v>
      </c>
      <c r="D85" s="5">
        <f>SUMIF('库存（子SKU）'!$C:$C,$A85,'库存（子SKU）'!F:F)</f>
        <v>4</v>
      </c>
      <c r="E85" s="5">
        <f>SUMIF('库存（子SKU）'!$C:$C,$A85,'库存（子SKU）'!G:G)</f>
        <v>0</v>
      </c>
      <c r="F85" s="6">
        <v>27.2042857142857</v>
      </c>
      <c r="G85">
        <f>SUMIF('库存（子SKU）'!$C:$C,$A85,'库存（子SKU）'!I:I)</f>
        <v>37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37</v>
      </c>
      <c r="L85">
        <f>SUMIF('库存（子SKU）'!$C:$C,$A85,'库存（子SKU）'!N:N)</f>
        <v>0</v>
      </c>
      <c r="M85">
        <f>SUMIF('库存（子SKU）'!$C:$C,$A85,'库存（子SKU）'!O:O)</f>
        <v>19</v>
      </c>
      <c r="N85">
        <f>SUMIF('库存（子SKU）'!$C:$C,$A85,'库存（子SKU）'!P:P)</f>
        <v>55106</v>
      </c>
      <c r="O85">
        <f>SUMIF('库存（子SKU）'!$C:$C,$A85,'库存（子SKU）'!Q:Q)</f>
        <v>26899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305</v>
      </c>
      <c r="S85">
        <f>SUMIF('库存（子SKU）'!$C:$C,$A85,'库存（子SKU）'!U:U)</f>
        <v>278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>
        <f t="shared" si="32"/>
        <v>0.00553478750045367</v>
      </c>
      <c r="W85" s="23">
        <f t="shared" si="33"/>
        <v>0.0103349566898398</v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52.42</v>
      </c>
      <c r="AA85">
        <f>SUMIF('库存（子SKU）'!$C:$C,$A85,'库存（子SKU）'!AC:AC)</f>
        <v>49.92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>
        <f t="shared" si="20"/>
        <v>0.481725568450349</v>
      </c>
      <c r="AE85" s="23">
        <f t="shared" si="21"/>
        <v>0.305834164784961</v>
      </c>
      <c r="AF85" s="23">
        <f t="shared" si="22"/>
        <v>0</v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453</v>
      </c>
      <c r="AJ85">
        <f>SUMIF('库存（子SKU）'!$C:$C,$A85,'库存（子SKU）'!AL:AL)</f>
        <v>295</v>
      </c>
      <c r="AK85">
        <f>SUMIF('库存（子SKU）'!$C:$C,$A85,'库存（子SKU）'!AM:AM)</f>
        <v>38</v>
      </c>
      <c r="AL85" s="23" t="str">
        <f t="shared" si="24"/>
        <v/>
      </c>
      <c r="AM85" s="23">
        <f t="shared" si="25"/>
        <v>0.0132450331125828</v>
      </c>
      <c r="AN85" s="23">
        <f t="shared" si="26"/>
        <v>0.0135593220338983</v>
      </c>
      <c r="AO85" s="23">
        <f t="shared" si="27"/>
        <v>0</v>
      </c>
      <c r="AP85" s="7">
        <f t="shared" si="28"/>
        <v>0.571428571428571</v>
      </c>
      <c r="AQ85" s="7">
        <f t="shared" si="29"/>
        <v>34.2857142857143</v>
      </c>
      <c r="AR85" s="7">
        <f t="shared" si="30"/>
        <v>2.71428571428572</v>
      </c>
      <c r="AS85">
        <f t="shared" si="31"/>
        <v>64</v>
      </c>
      <c r="AT85" s="2">
        <f>IFERROR(时间!$B$4+AS85,"上周无销量")</f>
        <v>43354</v>
      </c>
    </row>
    <row r="86" spans="1:46">
      <c r="A86" t="s">
        <v>440</v>
      </c>
      <c r="B86" s="5">
        <f>SUMIF('库存（子SKU）'!$C:$C,$A86,'库存（子SKU）'!D:D)</f>
        <v>1</v>
      </c>
      <c r="C86" s="5">
        <f>SUMIF('库存（子SKU）'!$C:$C,$A86,'库存（子SKU）'!E:E)</f>
        <v>0</v>
      </c>
      <c r="D86" s="5">
        <f>SUMIF('库存（子SKU）'!$C:$C,$A86,'库存（子SKU）'!F:F)</f>
        <v>1</v>
      </c>
      <c r="E86" s="5">
        <f>SUMIF('库存（子SKU）'!$C:$C,$A86,'库存（子SKU）'!G:G)</f>
        <v>0</v>
      </c>
      <c r="F86" s="6">
        <v>79.99</v>
      </c>
      <c r="G86">
        <f>SUMIF('库存（子SKU）'!$C:$C,$A86,'库存（子SKU）'!I:I)</f>
        <v>26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26</v>
      </c>
      <c r="L86">
        <f>SUMIF('库存（子SKU）'!$C:$C,$A86,'库存（子SKU）'!N:N)</f>
        <v>0</v>
      </c>
      <c r="M86">
        <f>SUMIF('库存（子SKU）'!$C:$C,$A86,'库存（子SKU）'!O:O)</f>
        <v>26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>
        <f t="shared" si="20"/>
        <v>0</v>
      </c>
      <c r="AE86" s="23" t="str">
        <f t="shared" si="21"/>
        <v/>
      </c>
      <c r="AF86" s="23">
        <f t="shared" si="22"/>
        <v>0</v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33</v>
      </c>
      <c r="AJ86">
        <f>SUMIF('库存（子SKU）'!$C:$C,$A86,'库存（子SKU）'!AL:AL)</f>
        <v>58</v>
      </c>
      <c r="AK86">
        <f>SUMIF('库存（子SKU）'!$C:$C,$A86,'库存（子SKU）'!AM:AM)</f>
        <v>57</v>
      </c>
      <c r="AL86" s="23" t="str">
        <f t="shared" si="24"/>
        <v/>
      </c>
      <c r="AM86" s="23">
        <f t="shared" si="25"/>
        <v>0</v>
      </c>
      <c r="AN86" s="23">
        <f t="shared" si="26"/>
        <v>0.0172413793103448</v>
      </c>
      <c r="AO86" s="23">
        <f t="shared" si="27"/>
        <v>0</v>
      </c>
      <c r="AP86" s="7">
        <f t="shared" si="28"/>
        <v>0.142857142857143</v>
      </c>
      <c r="AQ86" s="7">
        <f t="shared" si="29"/>
        <v>8.57142857142857</v>
      </c>
      <c r="AR86" s="7">
        <f t="shared" si="30"/>
        <v>17.4285714285714</v>
      </c>
      <c r="AS86">
        <f t="shared" si="31"/>
        <v>182</v>
      </c>
      <c r="AT86" s="2">
        <f>IFERROR(时间!$B$4+AS86,"上周无销量")</f>
        <v>43472</v>
      </c>
    </row>
    <row r="87" spans="1:46">
      <c r="A87" t="s">
        <v>445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3</v>
      </c>
      <c r="E87" s="5">
        <f>SUMIF('库存（子SKU）'!$C:$C,$A87,'库存（子SKU）'!G:G)</f>
        <v>4</v>
      </c>
      <c r="F87" s="6">
        <v>90.3142857142857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20591</v>
      </c>
      <c r="O87">
        <f>SUMIF('库存（子SKU）'!$C:$C,$A87,'库存（子SKU）'!Q:Q)</f>
        <v>8072</v>
      </c>
      <c r="P87">
        <f>SUMIF('库存（子SKU）'!$C:$C,$A87,'库存（子SKU）'!R:R)</f>
        <v>24646</v>
      </c>
      <c r="Q87">
        <f>SUMIF('库存（子SKU）'!$C:$C,$A87,'库存（子SKU）'!S:S)</f>
        <v>15828</v>
      </c>
      <c r="R87">
        <f>SUMIF('库存（子SKU）'!$C:$C,$A87,'库存（子SKU）'!T:T)</f>
        <v>225</v>
      </c>
      <c r="S87">
        <f>SUMIF('库存（子SKU）'!$C:$C,$A87,'库存（子SKU）'!U:U)</f>
        <v>61</v>
      </c>
      <c r="T87">
        <f>SUMIF('库存（子SKU）'!$C:$C,$A87,'库存（子SKU）'!V:V)</f>
        <v>235</v>
      </c>
      <c r="U87">
        <f>SUMIF('库存（子SKU）'!$C:$C,$A87,'库存（子SKU）'!W:W)</f>
        <v>176</v>
      </c>
      <c r="V87" s="23">
        <f t="shared" si="32"/>
        <v>0.0109271040745957</v>
      </c>
      <c r="W87" s="23">
        <f t="shared" si="33"/>
        <v>0.00755698711595639</v>
      </c>
      <c r="X87" s="23">
        <f t="shared" si="34"/>
        <v>0.00953501582406881</v>
      </c>
      <c r="Y87" s="23">
        <f t="shared" si="35"/>
        <v>0.0111195350012636</v>
      </c>
      <c r="Z87">
        <f>SUMIF('库存（子SKU）'!$C:$C,$A87,'库存（子SKU）'!AB:AB)</f>
        <v>29.26</v>
      </c>
      <c r="AA87">
        <f>SUMIF('库存（子SKU）'!$C:$C,$A87,'库存（子SKU）'!AC:AC)</f>
        <v>8.21</v>
      </c>
      <c r="AB87">
        <f>SUMIF('库存（子SKU）'!$C:$C,$A87,'库存（子SKU）'!AD:AD)</f>
        <v>30.51</v>
      </c>
      <c r="AC87">
        <f>SUMIF('库存（子SKU）'!$C:$C,$A87,'库存（子SKU）'!AE:AE)</f>
        <v>23.95</v>
      </c>
      <c r="AD87" s="23" t="str">
        <f t="shared" si="20"/>
        <v>无销量广告费为29.26</v>
      </c>
      <c r="AE87" s="23" t="str">
        <f t="shared" si="21"/>
        <v>无销量广告费为8.21</v>
      </c>
      <c r="AF87" s="23">
        <f t="shared" si="22"/>
        <v>0.112606770009491</v>
      </c>
      <c r="AG87" s="23">
        <f t="shared" si="23"/>
        <v>0.0662962670041126</v>
      </c>
      <c r="AH87">
        <f>SUMIF('库存（子SKU）'!$C:$C,$A87,'库存（子SKU）'!AJ:AJ)</f>
        <v>0</v>
      </c>
      <c r="AI87">
        <f>SUMIF('库存（子SKU）'!$C:$C,$A87,'库存（子SKU）'!AK:AK)</f>
        <v>171</v>
      </c>
      <c r="AJ87">
        <f>SUMIF('库存（子SKU）'!$C:$C,$A87,'库存（子SKU）'!AL:AL)</f>
        <v>70</v>
      </c>
      <c r="AK87">
        <f>SUMIF('库存（子SKU）'!$C:$C,$A87,'库存（子SKU）'!AM:AM)</f>
        <v>210</v>
      </c>
      <c r="AL87" s="23" t="str">
        <f t="shared" si="24"/>
        <v/>
      </c>
      <c r="AM87" s="23">
        <f t="shared" si="25"/>
        <v>0</v>
      </c>
      <c r="AN87" s="23">
        <f t="shared" si="26"/>
        <v>0.0428571428571429</v>
      </c>
      <c r="AO87" s="23">
        <f t="shared" si="27"/>
        <v>0.019047619047619</v>
      </c>
      <c r="AP87" s="7">
        <f t="shared" si="28"/>
        <v>0</v>
      </c>
      <c r="AQ87" s="7">
        <f t="shared" si="29"/>
        <v>0</v>
      </c>
      <c r="AR87" s="7">
        <f t="shared" si="30"/>
        <v>0</v>
      </c>
      <c r="AS87" t="str">
        <f t="shared" si="31"/>
        <v>库存为0</v>
      </c>
      <c r="AT87" s="2" t="str">
        <f>IFERROR(时间!$B$4+AS87,"上周无销量")</f>
        <v>上周无销量</v>
      </c>
    </row>
    <row r="88" spans="1:46">
      <c r="A88" t="s">
        <v>450</v>
      </c>
      <c r="B88" s="5">
        <f>SUMIF('库存（子SKU）'!$C:$C,$A88,'库存（子SKU）'!D:D)</f>
        <v>20</v>
      </c>
      <c r="C88" s="5">
        <f>SUMIF('库存（子SKU）'!$C:$C,$A88,'库存（子SKU）'!E:E)</f>
        <v>25</v>
      </c>
      <c r="D88" s="5">
        <f>SUMIF('库存（子SKU）'!$C:$C,$A88,'库存（子SKU）'!F:F)</f>
        <v>28</v>
      </c>
      <c r="E88" s="5">
        <f>SUMIF('库存（子SKU）'!$C:$C,$A88,'库存（子SKU）'!G:G)</f>
        <v>10</v>
      </c>
      <c r="F88" s="6">
        <v>99.0381927710842</v>
      </c>
      <c r="G88">
        <f>SUMIF('库存（子SKU）'!$C:$C,$A88,'库存（子SKU）'!I:I)</f>
        <v>242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242</v>
      </c>
      <c r="L88">
        <f>SUMIF('库存（子SKU）'!$C:$C,$A88,'库存（子SKU）'!N:N)</f>
        <v>5</v>
      </c>
      <c r="M88">
        <f>SUMIF('库存（子SKU）'!$C:$C,$A88,'库存（子SKU）'!O:O)</f>
        <v>0</v>
      </c>
      <c r="N88">
        <f>SUMIF('库存（子SKU）'!$C:$C,$A88,'库存（子SKU）'!P:P)</f>
        <v>45908</v>
      </c>
      <c r="O88">
        <f>SUMIF('库存（子SKU）'!$C:$C,$A88,'库存（子SKU）'!Q:Q)</f>
        <v>61140</v>
      </c>
      <c r="P88">
        <f>SUMIF('库存（子SKU）'!$C:$C,$A88,'库存（子SKU）'!R:R)</f>
        <v>54356</v>
      </c>
      <c r="Q88">
        <f>SUMIF('库存（子SKU）'!$C:$C,$A88,'库存（子SKU）'!S:S)</f>
        <v>51386</v>
      </c>
      <c r="R88">
        <f>SUMIF('库存（子SKU）'!$C:$C,$A88,'库存（子SKU）'!T:T)</f>
        <v>267</v>
      </c>
      <c r="S88">
        <f>SUMIF('库存（子SKU）'!$C:$C,$A88,'库存（子SKU）'!U:U)</f>
        <v>390</v>
      </c>
      <c r="T88">
        <f>SUMIF('库存（子SKU）'!$C:$C,$A88,'库存（子SKU）'!V:V)</f>
        <v>386</v>
      </c>
      <c r="U88">
        <f>SUMIF('库存（子SKU）'!$C:$C,$A88,'库存（子SKU）'!W:W)</f>
        <v>355</v>
      </c>
      <c r="V88" s="23">
        <f t="shared" si="32"/>
        <v>0.00581597978565827</v>
      </c>
      <c r="W88" s="23">
        <f t="shared" si="33"/>
        <v>0.00637880274779195</v>
      </c>
      <c r="X88" s="23">
        <f t="shared" si="34"/>
        <v>0.00710133195967327</v>
      </c>
      <c r="Y88" s="23">
        <f t="shared" si="35"/>
        <v>0.00690849647763982</v>
      </c>
      <c r="Z88">
        <f>SUMIF('库存（子SKU）'!$C:$C,$A88,'库存（子SKU）'!AB:AB)</f>
        <v>35.53</v>
      </c>
      <c r="AA88">
        <f>SUMIF('库存（子SKU）'!$C:$C,$A88,'库存（子SKU）'!AC:AC)</f>
        <v>54.45</v>
      </c>
      <c r="AB88">
        <f>SUMIF('库存（子SKU）'!$C:$C,$A88,'库存（子SKU）'!AD:AD)</f>
        <v>55.08</v>
      </c>
      <c r="AC88">
        <f>SUMIF('库存（子SKU）'!$C:$C,$A88,'库存（子SKU）'!AE:AE)</f>
        <v>52.1</v>
      </c>
      <c r="AD88" s="23">
        <f t="shared" si="20"/>
        <v>0.0179375244064296</v>
      </c>
      <c r="AE88" s="23">
        <f t="shared" si="21"/>
        <v>0.0219915159905452</v>
      </c>
      <c r="AF88" s="23">
        <f t="shared" si="22"/>
        <v>0.0198624672169623</v>
      </c>
      <c r="AG88" s="23">
        <f t="shared" si="23"/>
        <v>0.0526059680030949</v>
      </c>
      <c r="AH88">
        <f>SUMIF('库存（子SKU）'!$C:$C,$A88,'库存（子SKU）'!AJ:AJ)</f>
        <v>0</v>
      </c>
      <c r="AI88">
        <f>SUMIF('库存（子SKU）'!$C:$C,$A88,'库存（子SKU）'!AK:AK)</f>
        <v>1147</v>
      </c>
      <c r="AJ88">
        <f>SUMIF('库存（子SKU）'!$C:$C,$A88,'库存（子SKU）'!AL:AL)</f>
        <v>1112</v>
      </c>
      <c r="AK88">
        <f>SUMIF('库存（子SKU）'!$C:$C,$A88,'库存（子SKU）'!AM:AM)</f>
        <v>1016</v>
      </c>
      <c r="AL88" s="23" t="str">
        <f t="shared" si="24"/>
        <v/>
      </c>
      <c r="AM88" s="23">
        <f t="shared" si="25"/>
        <v>0.021795989537925</v>
      </c>
      <c r="AN88" s="23">
        <f t="shared" si="26"/>
        <v>0.0251798561151079</v>
      </c>
      <c r="AO88" s="23">
        <f t="shared" si="27"/>
        <v>0.00984251968503937</v>
      </c>
      <c r="AP88" s="7">
        <f t="shared" si="28"/>
        <v>2.85714285714286</v>
      </c>
      <c r="AQ88" s="7">
        <f t="shared" si="29"/>
        <v>171.428571428571</v>
      </c>
      <c r="AR88" s="7">
        <f t="shared" si="30"/>
        <v>70.5714285714286</v>
      </c>
      <c r="AS88">
        <f t="shared" si="31"/>
        <v>84</v>
      </c>
      <c r="AT88" s="2">
        <f>IFERROR(时间!$B$4+AS88,"上周无销量")</f>
        <v>43374</v>
      </c>
    </row>
    <row r="89" spans="1:46">
      <c r="A89" t="s">
        <v>453</v>
      </c>
      <c r="B89" s="5">
        <f>SUMIF('库存（子SKU）'!$C:$C,$A89,'库存（子SKU）'!D:D)</f>
        <v>10</v>
      </c>
      <c r="C89" s="5">
        <f>SUMIF('库存（子SKU）'!$C:$C,$A89,'库存（子SKU）'!E:E)</f>
        <v>16</v>
      </c>
      <c r="D89" s="5">
        <f>SUMIF('库存（子SKU）'!$C:$C,$A89,'库存（子SKU）'!F:F)</f>
        <v>5</v>
      </c>
      <c r="E89" s="5">
        <f>SUMIF('库存（子SKU）'!$C:$C,$A89,'库存（子SKU）'!G:G)</f>
        <v>11</v>
      </c>
      <c r="F89" s="6">
        <v>89.99</v>
      </c>
      <c r="G89">
        <f>SUMIF('库存（子SKU）'!$C:$C,$A89,'库存（子SKU）'!I:I)</f>
        <v>39</v>
      </c>
      <c r="H89">
        <f>SUMIF('库存（子SKU）'!$C:$C,$A89,'库存（子SKU）'!J:J)</f>
        <v>4</v>
      </c>
      <c r="I89">
        <f>SUMIF('库存（子SKU）'!$C:$C,$A89,'库存（子SKU）'!K:K)</f>
        <v>0</v>
      </c>
      <c r="J89">
        <f>SUMIF('库存（子SKU）'!$C:$C,$A89,'库存（子SKU）'!L:L)</f>
        <v>10</v>
      </c>
      <c r="K89">
        <f t="shared" si="19"/>
        <v>53</v>
      </c>
      <c r="L89">
        <f>SUMIF('库存（子SKU）'!$C:$C,$A89,'库存（子SKU）'!N:N)</f>
        <v>1</v>
      </c>
      <c r="M89">
        <f>SUMIF('库存（子SKU）'!$C:$C,$A89,'库存（子SKU）'!O:O)</f>
        <v>0</v>
      </c>
      <c r="N89">
        <f>SUMIF('库存（子SKU）'!$C:$C,$A89,'库存（子SKU）'!P:P)</f>
        <v>30176</v>
      </c>
      <c r="O89">
        <f>SUMIF('库存（子SKU）'!$C:$C,$A89,'库存（子SKU）'!Q:Q)</f>
        <v>38382</v>
      </c>
      <c r="P89">
        <f>SUMIF('库存（子SKU）'!$C:$C,$A89,'库存（子SKU）'!R:R)</f>
        <v>48403</v>
      </c>
      <c r="Q89">
        <f>SUMIF('库存（子SKU）'!$C:$C,$A89,'库存（子SKU）'!S:S)</f>
        <v>45702</v>
      </c>
      <c r="R89">
        <f>SUMIF('库存（子SKU）'!$C:$C,$A89,'库存（子SKU）'!T:T)</f>
        <v>266</v>
      </c>
      <c r="S89">
        <f>SUMIF('库存（子SKU）'!$C:$C,$A89,'库存（子SKU）'!U:U)</f>
        <v>359</v>
      </c>
      <c r="T89">
        <f>SUMIF('库存（子SKU）'!$C:$C,$A89,'库存（子SKU）'!V:V)</f>
        <v>440</v>
      </c>
      <c r="U89">
        <f>SUMIF('库存（子SKU）'!$C:$C,$A89,'库存（子SKU）'!W:W)</f>
        <v>496</v>
      </c>
      <c r="V89" s="23">
        <f t="shared" si="32"/>
        <v>0.00881495227995758</v>
      </c>
      <c r="W89" s="23">
        <f t="shared" si="33"/>
        <v>0.00935334271272993</v>
      </c>
      <c r="X89" s="23">
        <f t="shared" si="34"/>
        <v>0.00909034563973308</v>
      </c>
      <c r="Y89" s="23">
        <f t="shared" si="35"/>
        <v>0.0108529167213689</v>
      </c>
      <c r="Z89">
        <f>SUMIF('库存（子SKU）'!$C:$C,$A89,'库存（子SKU）'!AB:AB)</f>
        <v>37.47</v>
      </c>
      <c r="AA89">
        <f>SUMIF('库存（子SKU）'!$C:$C,$A89,'库存（子SKU）'!AC:AC)</f>
        <v>48.67</v>
      </c>
      <c r="AB89">
        <f>SUMIF('库存（子SKU）'!$C:$C,$A89,'库存（子SKU）'!AD:AD)</f>
        <v>61.77</v>
      </c>
      <c r="AC89">
        <f>SUMIF('库存（子SKU）'!$C:$C,$A89,'库存（子SKU）'!AE:AE)</f>
        <v>69.7</v>
      </c>
      <c r="AD89" s="23">
        <f t="shared" si="20"/>
        <v>0.0416379597733081</v>
      </c>
      <c r="AE89" s="23">
        <f t="shared" si="21"/>
        <v>0.0338023669296589</v>
      </c>
      <c r="AF89" s="23">
        <f t="shared" si="22"/>
        <v>0.137281920213357</v>
      </c>
      <c r="AG89" s="23">
        <f t="shared" si="23"/>
        <v>0.0704118639444787</v>
      </c>
      <c r="AH89">
        <f>SUMIF('库存（子SKU）'!$C:$C,$A89,'库存（子SKU）'!AJ:AJ)</f>
        <v>0</v>
      </c>
      <c r="AI89">
        <f>SUMIF('库存（子SKU）'!$C:$C,$A89,'库存（子SKU）'!AK:AK)</f>
        <v>617</v>
      </c>
      <c r="AJ89">
        <f>SUMIF('库存（子SKU）'!$C:$C,$A89,'库存（子SKU）'!AL:AL)</f>
        <v>631</v>
      </c>
      <c r="AK89">
        <f>SUMIF('库存（子SKU）'!$C:$C,$A89,'库存（子SKU）'!AM:AM)</f>
        <v>718</v>
      </c>
      <c r="AL89" s="23" t="str">
        <f t="shared" si="24"/>
        <v/>
      </c>
      <c r="AM89" s="23">
        <f t="shared" si="25"/>
        <v>0.0259319286871961</v>
      </c>
      <c r="AN89" s="23">
        <f t="shared" si="26"/>
        <v>0.00792393026941363</v>
      </c>
      <c r="AO89" s="23">
        <f t="shared" si="27"/>
        <v>0.0153203342618384</v>
      </c>
      <c r="AP89" s="7">
        <f t="shared" si="28"/>
        <v>1.42857142857143</v>
      </c>
      <c r="AQ89" s="7">
        <f t="shared" si="29"/>
        <v>85.7142857142857</v>
      </c>
      <c r="AR89" s="7">
        <f t="shared" si="30"/>
        <v>-32.7142857142857</v>
      </c>
      <c r="AS89">
        <f t="shared" si="31"/>
        <v>37</v>
      </c>
      <c r="AT89" s="2">
        <f>IFERROR(时间!$B$4+AS89,"上周无销量")</f>
        <v>43327</v>
      </c>
    </row>
    <row r="90" spans="1:46">
      <c r="A90" t="s">
        <v>456</v>
      </c>
      <c r="B90" s="5">
        <f>SUMIF('库存（子SKU）'!$C:$C,$A90,'库存（子SKU）'!D:D)</f>
        <v>7</v>
      </c>
      <c r="C90" s="5">
        <f>SUMIF('库存（子SKU）'!$C:$C,$A90,'库存（子SKU）'!E:E)</f>
        <v>9</v>
      </c>
      <c r="D90" s="5">
        <f>SUMIF('库存（子SKU）'!$C:$C,$A90,'库存（子SKU）'!F:F)</f>
        <v>11</v>
      </c>
      <c r="E90" s="5">
        <f>SUMIF('库存（子SKU）'!$C:$C,$A90,'库存（子SKU）'!G:G)</f>
        <v>8</v>
      </c>
      <c r="F90" s="6">
        <v>89.99</v>
      </c>
      <c r="G90">
        <f>SUMIF('库存（子SKU）'!$C:$C,$A90,'库存（子SKU）'!I:I)</f>
        <v>58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20</v>
      </c>
      <c r="K90">
        <f t="shared" si="19"/>
        <v>78</v>
      </c>
      <c r="L90">
        <f>SUMIF('库存（子SKU）'!$C:$C,$A90,'库存（子SKU）'!N:N)</f>
        <v>3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>
        <f t="shared" si="20"/>
        <v>0</v>
      </c>
      <c r="AE90" s="23">
        <f t="shared" si="21"/>
        <v>0</v>
      </c>
      <c r="AF90" s="23">
        <f t="shared" si="22"/>
        <v>0</v>
      </c>
      <c r="AG90" s="23">
        <f t="shared" si="23"/>
        <v>0</v>
      </c>
      <c r="AH90">
        <f>SUMIF('库存（子SKU）'!$C:$C,$A90,'库存（子SKU）'!AJ:AJ)</f>
        <v>0</v>
      </c>
      <c r="AI90">
        <f>SUMIF('库存（子SKU）'!$C:$C,$A90,'库存（子SKU）'!AK:AK)</f>
        <v>405</v>
      </c>
      <c r="AJ90">
        <f>SUMIF('库存（子SKU）'!$C:$C,$A90,'库存（子SKU）'!AL:AL)</f>
        <v>410</v>
      </c>
      <c r="AK90">
        <f>SUMIF('库存（子SKU）'!$C:$C,$A90,'库存（子SKU）'!AM:AM)</f>
        <v>419</v>
      </c>
      <c r="AL90" s="23" t="str">
        <f t="shared" si="24"/>
        <v/>
      </c>
      <c r="AM90" s="23">
        <f t="shared" si="25"/>
        <v>0.0222222222222222</v>
      </c>
      <c r="AN90" s="23">
        <f t="shared" si="26"/>
        <v>0.0268292682926829</v>
      </c>
      <c r="AO90" s="23">
        <f t="shared" si="27"/>
        <v>0.0190930787589499</v>
      </c>
      <c r="AP90" s="7">
        <f t="shared" si="28"/>
        <v>1</v>
      </c>
      <c r="AQ90" s="7">
        <f t="shared" si="29"/>
        <v>60</v>
      </c>
      <c r="AR90" s="7">
        <f t="shared" si="30"/>
        <v>18</v>
      </c>
      <c r="AS90">
        <f t="shared" si="31"/>
        <v>78</v>
      </c>
      <c r="AT90" s="2">
        <f>IFERROR(时间!$B$4+AS90,"上周无销量")</f>
        <v>43368</v>
      </c>
    </row>
    <row r="91" spans="1:46">
      <c r="A91" t="s">
        <v>459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1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50</v>
      </c>
      <c r="AJ91">
        <f>SUMIF('库存（子SKU）'!$C:$C,$A91,'库存（子SKU）'!AL:AL)</f>
        <v>46</v>
      </c>
      <c r="AK91">
        <f>SUMIF('库存（子SKU）'!$C:$C,$A91,'库存（子SKU）'!AM:AM)</f>
        <v>45</v>
      </c>
      <c r="AL91" s="23" t="str">
        <f t="shared" si="24"/>
        <v/>
      </c>
      <c r="AM91" s="23">
        <f t="shared" si="25"/>
        <v>0</v>
      </c>
      <c r="AN91" s="23">
        <f t="shared" si="26"/>
        <v>0</v>
      </c>
      <c r="AO91" s="23">
        <f t="shared" si="27"/>
        <v>0</v>
      </c>
      <c r="AP91" s="7">
        <f t="shared" si="28"/>
        <v>0</v>
      </c>
      <c r="AQ91" s="7">
        <f t="shared" si="29"/>
        <v>0</v>
      </c>
      <c r="AR91" s="7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461</v>
      </c>
      <c r="B92" s="5">
        <f>SUMIF('库存（子SKU）'!$C:$C,$A92,'库存（子SKU）'!D:D)</f>
        <v>1</v>
      </c>
      <c r="C92" s="5">
        <f>SUMIF('库存（子SKU）'!$C:$C,$A92,'库存（子SKU）'!E:E)</f>
        <v>2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>
        <v>89.6</v>
      </c>
      <c r="G92">
        <f>SUMIF('库存（子SKU）'!$C:$C,$A92,'库存（子SKU）'!I:I)</f>
        <v>49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49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>
        <f t="shared" si="20"/>
        <v>0</v>
      </c>
      <c r="AE92" s="23">
        <f t="shared" si="21"/>
        <v>0</v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50</v>
      </c>
      <c r="AJ92">
        <f>SUMIF('库存（子SKU）'!$C:$C,$A92,'库存（子SKU）'!AL:AL)</f>
        <v>46</v>
      </c>
      <c r="AK92">
        <f>SUMIF('库存（子SKU）'!$C:$C,$A92,'库存（子SKU）'!AM:AM)</f>
        <v>45</v>
      </c>
      <c r="AL92" s="23" t="str">
        <f t="shared" si="24"/>
        <v/>
      </c>
      <c r="AM92" s="23">
        <f t="shared" si="25"/>
        <v>0.04</v>
      </c>
      <c r="AN92" s="23">
        <f t="shared" si="26"/>
        <v>0</v>
      </c>
      <c r="AO92" s="23">
        <f t="shared" si="27"/>
        <v>0</v>
      </c>
      <c r="AP92" s="7">
        <f t="shared" si="28"/>
        <v>0.142857142857143</v>
      </c>
      <c r="AQ92" s="7">
        <f t="shared" si="29"/>
        <v>8.57142857142857</v>
      </c>
      <c r="AR92" s="7">
        <f t="shared" si="30"/>
        <v>40.4285714285714</v>
      </c>
      <c r="AS92">
        <f t="shared" si="31"/>
        <v>343</v>
      </c>
      <c r="AT92" s="2">
        <f>IFERROR(时间!$B$4+AS92,"上周无销量")</f>
        <v>43633</v>
      </c>
    </row>
    <row r="93" spans="1:46">
      <c r="A93" t="s">
        <v>464</v>
      </c>
      <c r="B93" s="5">
        <f>SUMIF('库存（子SKU）'!$C:$C,$A93,'库存（子SKU）'!D:D)</f>
        <v>8</v>
      </c>
      <c r="C93" s="5">
        <f>SUMIF('库存（子SKU）'!$C:$C,$A93,'库存（子SKU）'!E:E)</f>
        <v>7</v>
      </c>
      <c r="D93" s="5">
        <f>SUMIF('库存（子SKU）'!$C:$C,$A93,'库存（子SKU）'!F:F)</f>
        <v>14</v>
      </c>
      <c r="E93" s="5">
        <f>SUMIF('库存（子SKU）'!$C:$C,$A93,'库存（子SKU）'!G:G)</f>
        <v>18</v>
      </c>
      <c r="F93" s="6">
        <v>89.99</v>
      </c>
      <c r="G93">
        <f>SUMIF('库存（子SKU）'!$C:$C,$A93,'库存（子SKU）'!I:I)</f>
        <v>72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25</v>
      </c>
      <c r="K93">
        <f t="shared" si="19"/>
        <v>97</v>
      </c>
      <c r="L93">
        <f>SUMIF('库存（子SKU）'!$C:$C,$A93,'库存（子SKU）'!N:N)</f>
        <v>4</v>
      </c>
      <c r="M93">
        <f>SUMIF('库存（子SKU）'!$C:$C,$A93,'库存（子SKU）'!O:O)</f>
        <v>0</v>
      </c>
      <c r="N93">
        <f>SUMIF('库存（子SKU）'!$C:$C,$A93,'库存（子SKU）'!P:P)</f>
        <v>100057</v>
      </c>
      <c r="O93">
        <f>SUMIF('库存（子SKU）'!$C:$C,$A93,'库存（子SKU）'!Q:Q)</f>
        <v>114056</v>
      </c>
      <c r="P93">
        <f>SUMIF('库存（子SKU）'!$C:$C,$A93,'库存（子SKU）'!R:R)</f>
        <v>90404</v>
      </c>
      <c r="Q93">
        <f>SUMIF('库存（子SKU）'!$C:$C,$A93,'库存（子SKU）'!S:S)</f>
        <v>88684</v>
      </c>
      <c r="R93">
        <f>SUMIF('库存（子SKU）'!$C:$C,$A93,'库存（子SKU）'!T:T)</f>
        <v>502</v>
      </c>
      <c r="S93">
        <f>SUMIF('库存（子SKU）'!$C:$C,$A93,'库存（子SKU）'!U:U)</f>
        <v>650</v>
      </c>
      <c r="T93">
        <f>SUMIF('库存（子SKU）'!$C:$C,$A93,'库存（子SKU）'!V:V)</f>
        <v>575</v>
      </c>
      <c r="U93">
        <f>SUMIF('库存（子SKU）'!$C:$C,$A93,'库存（子SKU）'!W:W)</f>
        <v>558</v>
      </c>
      <c r="V93" s="23">
        <f t="shared" si="32"/>
        <v>0.00501714023006886</v>
      </c>
      <c r="W93" s="23">
        <f t="shared" si="33"/>
        <v>0.00569895489934769</v>
      </c>
      <c r="X93" s="23">
        <f t="shared" si="34"/>
        <v>0.00636033803813991</v>
      </c>
      <c r="Y93" s="23">
        <f t="shared" si="35"/>
        <v>0.0062920030670696</v>
      </c>
      <c r="Z93">
        <f>SUMIF('库存（子SKU）'!$C:$C,$A93,'库存（子SKU）'!AB:AB)</f>
        <v>69.96</v>
      </c>
      <c r="AA93">
        <f>SUMIF('库存（子SKU）'!$C:$C,$A93,'库存（子SKU）'!AC:AC)</f>
        <v>90.23</v>
      </c>
      <c r="AB93">
        <f>SUMIF('库存（子SKU）'!$C:$C,$A93,'库存（子SKU）'!AD:AD)</f>
        <v>81.29</v>
      </c>
      <c r="AC93">
        <f>SUMIF('库存（子SKU）'!$C:$C,$A93,'库存（子SKU）'!AE:AE)</f>
        <v>77.77</v>
      </c>
      <c r="AD93" s="23">
        <f t="shared" si="20"/>
        <v>0.0971774641626847</v>
      </c>
      <c r="AE93" s="23">
        <f t="shared" si="21"/>
        <v>0.143238137570841</v>
      </c>
      <c r="AF93" s="23">
        <f t="shared" si="22"/>
        <v>0.0645230422427889</v>
      </c>
      <c r="AG93" s="23">
        <f t="shared" si="23"/>
        <v>0.0480115074514452</v>
      </c>
      <c r="AH93">
        <f>SUMIF('库存（子SKU）'!$C:$C,$A93,'库存（子SKU）'!AJ:AJ)</f>
        <v>0</v>
      </c>
      <c r="AI93">
        <f>SUMIF('库存（子SKU）'!$C:$C,$A93,'库存（子SKU）'!AK:AK)</f>
        <v>769</v>
      </c>
      <c r="AJ93">
        <f>SUMIF('库存（子SKU）'!$C:$C,$A93,'库存（子SKU）'!AL:AL)</f>
        <v>816</v>
      </c>
      <c r="AK93">
        <f>SUMIF('库存（子SKU）'!$C:$C,$A93,'库存（子SKU）'!AM:AM)</f>
        <v>717</v>
      </c>
      <c r="AL93" s="23" t="str">
        <f t="shared" si="24"/>
        <v/>
      </c>
      <c r="AM93" s="23">
        <f t="shared" si="25"/>
        <v>0.00910273081924577</v>
      </c>
      <c r="AN93" s="23">
        <f t="shared" si="26"/>
        <v>0.017156862745098</v>
      </c>
      <c r="AO93" s="23">
        <f t="shared" si="27"/>
        <v>0.0251046025104603</v>
      </c>
      <c r="AP93" s="7">
        <f t="shared" si="28"/>
        <v>1.14285714285714</v>
      </c>
      <c r="AQ93" s="7">
        <f t="shared" si="29"/>
        <v>68.5714285714286</v>
      </c>
      <c r="AR93" s="7">
        <f t="shared" si="30"/>
        <v>28.4285714285714</v>
      </c>
      <c r="AS93">
        <f t="shared" si="31"/>
        <v>84</v>
      </c>
      <c r="AT93" s="2">
        <f>IFERROR(时间!$B$4+AS93,"上周无销量")</f>
        <v>43374</v>
      </c>
    </row>
    <row r="94" spans="1:46">
      <c r="A94" t="s">
        <v>467</v>
      </c>
      <c r="B94" s="5">
        <f>SUMIF('库存（子SKU）'!$C:$C,$A94,'库存（子SKU）'!D:D)</f>
        <v>2</v>
      </c>
      <c r="C94" s="5">
        <f>SUMIF('库存（子SKU）'!$C:$C,$A94,'库存（子SKU）'!E:E)</f>
        <v>9</v>
      </c>
      <c r="D94" s="5">
        <f>SUMIF('库存（子SKU）'!$C:$C,$A94,'库存（子SKU）'!F:F)</f>
        <v>1</v>
      </c>
      <c r="E94" s="5">
        <f>SUMIF('库存（子SKU）'!$C:$C,$A94,'库存（子SKU）'!G:G)</f>
        <v>7</v>
      </c>
      <c r="F94" s="6">
        <v>89.99</v>
      </c>
      <c r="G94">
        <f>SUMIF('库存（子SKU）'!$C:$C,$A94,'库存（子SKU）'!I:I)</f>
        <v>52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27</v>
      </c>
      <c r="K94">
        <f t="shared" si="19"/>
        <v>79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37826</v>
      </c>
      <c r="O94">
        <f>SUMIF('库存（子SKU）'!$C:$C,$A94,'库存（子SKU）'!Q:Q)</f>
        <v>52332</v>
      </c>
      <c r="P94">
        <f>SUMIF('库存（子SKU）'!$C:$C,$A94,'库存（子SKU）'!R:R)</f>
        <v>59869</v>
      </c>
      <c r="Q94">
        <f>SUMIF('库存（子SKU）'!$C:$C,$A94,'库存（子SKU）'!S:S)</f>
        <v>51301</v>
      </c>
      <c r="R94">
        <f>SUMIF('库存（子SKU）'!$C:$C,$A94,'库存（子SKU）'!T:T)</f>
        <v>188</v>
      </c>
      <c r="S94">
        <f>SUMIF('库存（子SKU）'!$C:$C,$A94,'库存（子SKU）'!U:U)</f>
        <v>262</v>
      </c>
      <c r="T94">
        <f>SUMIF('库存（子SKU）'!$C:$C,$A94,'库存（子SKU）'!V:V)</f>
        <v>307</v>
      </c>
      <c r="U94">
        <f>SUMIF('库存（子SKU）'!$C:$C,$A94,'库存（子SKU）'!W:W)</f>
        <v>334</v>
      </c>
      <c r="V94" s="23">
        <f t="shared" si="32"/>
        <v>0.00497012636810659</v>
      </c>
      <c r="W94" s="23">
        <f t="shared" si="33"/>
        <v>0.0050064969808148</v>
      </c>
      <c r="X94" s="23">
        <f t="shared" si="34"/>
        <v>0.00512786249979121</v>
      </c>
      <c r="Y94" s="23">
        <f t="shared" si="35"/>
        <v>0.00651059433539307</v>
      </c>
      <c r="Z94">
        <f>SUMIF('库存（子SKU）'!$C:$C,$A94,'库存（子SKU）'!AB:AB)</f>
        <v>25.34</v>
      </c>
      <c r="AA94">
        <f>SUMIF('库存（子SKU）'!$C:$C,$A94,'库存（子SKU）'!AC:AC)</f>
        <v>34.94</v>
      </c>
      <c r="AB94">
        <f>SUMIF('库存（子SKU）'!$C:$C,$A94,'库存（子SKU）'!AD:AD)</f>
        <v>40.47</v>
      </c>
      <c r="AC94">
        <f>SUMIF('库存（子SKU）'!$C:$C,$A94,'库存（子SKU）'!AE:AE)</f>
        <v>42.97</v>
      </c>
      <c r="AD94" s="23">
        <f t="shared" si="20"/>
        <v>0.140793421491277</v>
      </c>
      <c r="AE94" s="23">
        <f t="shared" si="21"/>
        <v>0.0431405958686768</v>
      </c>
      <c r="AF94" s="23">
        <f t="shared" si="22"/>
        <v>0.449716635181687</v>
      </c>
      <c r="AG94" s="23">
        <f t="shared" si="23"/>
        <v>0.0682139285317416</v>
      </c>
      <c r="AH94">
        <f>SUMIF('库存（子SKU）'!$C:$C,$A94,'库存（子SKU）'!AJ:AJ)</f>
        <v>0</v>
      </c>
      <c r="AI94">
        <f>SUMIF('库存（子SKU）'!$C:$C,$A94,'库存（子SKU）'!AK:AK)</f>
        <v>264</v>
      </c>
      <c r="AJ94">
        <f>SUMIF('库存（子SKU）'!$C:$C,$A94,'库存（子SKU）'!AL:AL)</f>
        <v>265</v>
      </c>
      <c r="AK94">
        <f>SUMIF('库存（子SKU）'!$C:$C,$A94,'库存（子SKU）'!AM:AM)</f>
        <v>334</v>
      </c>
      <c r="AL94" s="23" t="str">
        <f t="shared" si="24"/>
        <v/>
      </c>
      <c r="AM94" s="23">
        <f t="shared" si="25"/>
        <v>0.0340909090909091</v>
      </c>
      <c r="AN94" s="23">
        <f t="shared" si="26"/>
        <v>0.00377358490566038</v>
      </c>
      <c r="AO94" s="23">
        <f t="shared" si="27"/>
        <v>0.0209580838323353</v>
      </c>
      <c r="AP94" s="7">
        <f t="shared" si="28"/>
        <v>0.285714285714286</v>
      </c>
      <c r="AQ94" s="7">
        <f t="shared" si="29"/>
        <v>17.1428571428571</v>
      </c>
      <c r="AR94" s="7">
        <f t="shared" si="30"/>
        <v>61.8571428571429</v>
      </c>
      <c r="AS94">
        <f t="shared" si="31"/>
        <v>276</v>
      </c>
      <c r="AT94" s="2">
        <f>IFERROR(时间!$B$4+AS94,"上周无销量")</f>
        <v>43566</v>
      </c>
    </row>
    <row r="95" spans="1:46">
      <c r="A95" t="s">
        <v>470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">
        <v>54</v>
      </c>
      <c r="G95">
        <f>SUMIF('库存（子SKU）'!$C:$C,$A95,'库存（子SKU）'!I:I)</f>
        <v>7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7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4</v>
      </c>
      <c r="AJ95">
        <f>SUMIF('库存（子SKU）'!$C:$C,$A95,'库存（子SKU）'!AL:AL)</f>
        <v>1</v>
      </c>
      <c r="AK95">
        <f>SUMIF('库存（子SKU）'!$C:$C,$A95,'库存（子SKU）'!AM:AM)</f>
        <v>4</v>
      </c>
      <c r="AL95" s="23" t="str">
        <f t="shared" si="24"/>
        <v/>
      </c>
      <c r="AM95" s="23">
        <f t="shared" si="25"/>
        <v>0</v>
      </c>
      <c r="AN95" s="23">
        <f t="shared" si="26"/>
        <v>0</v>
      </c>
      <c r="AO95" s="23">
        <f t="shared" si="27"/>
        <v>0</v>
      </c>
      <c r="AP95" s="7">
        <f t="shared" si="28"/>
        <v>0</v>
      </c>
      <c r="AQ95" s="7">
        <f t="shared" si="29"/>
        <v>0</v>
      </c>
      <c r="AR95" s="7">
        <f t="shared" si="30"/>
        <v>7</v>
      </c>
      <c r="AS95" t="str">
        <f t="shared" si="31"/>
        <v>库存为7</v>
      </c>
      <c r="AT95" s="2" t="str">
        <f>IFERROR(时间!$B$4+AS95,"上周无销量")</f>
        <v>上周无销量</v>
      </c>
    </row>
    <row r="96" spans="1:46">
      <c r="A96" t="s">
        <v>473</v>
      </c>
      <c r="B96" s="5">
        <f>SUMIF('库存（子SKU）'!$C:$C,$A96,'库存（子SKU）'!D:D)</f>
        <v>1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1</v>
      </c>
      <c r="F96" s="6">
        <v>83.445</v>
      </c>
      <c r="G96">
        <f>SUMIF('库存（子SKU）'!$C:$C,$A96,'库存（子SKU）'!I:I)</f>
        <v>16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16</v>
      </c>
      <c r="L96">
        <f>SUMIF('库存（子SKU）'!$C:$C,$A96,'库存（子SKU）'!N:N)</f>
        <v>0</v>
      </c>
      <c r="M96">
        <f>SUMIF('库存（子SKU）'!$C:$C,$A96,'库存（子SKU）'!O:O)</f>
        <v>6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>
        <f t="shared" si="20"/>
        <v>0</v>
      </c>
      <c r="AE96" s="23" t="str">
        <f t="shared" si="21"/>
        <v/>
      </c>
      <c r="AF96" s="23" t="str">
        <f t="shared" si="22"/>
        <v/>
      </c>
      <c r="AG96" s="23">
        <f t="shared" si="23"/>
        <v>0</v>
      </c>
      <c r="AH96">
        <f>SUMIF('库存（子SKU）'!$C:$C,$A96,'库存（子SKU）'!AJ:AJ)</f>
        <v>0</v>
      </c>
      <c r="AI96">
        <f>SUMIF('库存（子SKU）'!$C:$C,$A96,'库存（子SKU）'!AK:AK)</f>
        <v>36</v>
      </c>
      <c r="AJ96">
        <f>SUMIF('库存（子SKU）'!$C:$C,$A96,'库存（子SKU）'!AL:AL)</f>
        <v>14</v>
      </c>
      <c r="AK96">
        <f>SUMIF('库存（子SKU）'!$C:$C,$A96,'库存（子SKU）'!AM:AM)</f>
        <v>18</v>
      </c>
      <c r="AL96" s="23" t="str">
        <f t="shared" si="24"/>
        <v/>
      </c>
      <c r="AM96" s="23">
        <f t="shared" si="25"/>
        <v>0</v>
      </c>
      <c r="AN96" s="23">
        <f t="shared" si="26"/>
        <v>0</v>
      </c>
      <c r="AO96" s="23">
        <f t="shared" si="27"/>
        <v>0.0555555555555556</v>
      </c>
      <c r="AP96" s="7">
        <f t="shared" si="28"/>
        <v>0.142857142857143</v>
      </c>
      <c r="AQ96" s="7">
        <f t="shared" si="29"/>
        <v>8.57142857142857</v>
      </c>
      <c r="AR96" s="7">
        <f t="shared" si="30"/>
        <v>7.42857142857143</v>
      </c>
      <c r="AS96">
        <f t="shared" si="31"/>
        <v>112</v>
      </c>
      <c r="AT96" s="2">
        <f>IFERROR(时间!$B$4+AS96,"上周无销量")</f>
        <v>43402</v>
      </c>
    </row>
    <row r="97" spans="1:46">
      <c r="A97" t="s">
        <v>476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1</v>
      </c>
      <c r="E97" s="5">
        <f>SUMIF('库存（子SKU）'!$C:$C,$A97,'库存（子SKU）'!G:G)</f>
        <v>3</v>
      </c>
      <c r="F97" s="6">
        <v>74.795</v>
      </c>
      <c r="G97">
        <f>SUMIF('库存（子SKU）'!$C:$C,$A97,'库存（子SKU）'!I:I)</f>
        <v>65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65</v>
      </c>
      <c r="L97">
        <f>SUMIF('库存（子SKU）'!$C:$C,$A97,'库存（子SKU）'!N:N)</f>
        <v>0</v>
      </c>
      <c r="M97">
        <f>SUMIF('库存（子SKU）'!$C:$C,$A97,'库存（子SKU）'!O:O)</f>
        <v>64</v>
      </c>
      <c r="N97">
        <f>SUMIF('库存（子SKU）'!$C:$C,$A97,'库存（子SKU）'!P:P)</f>
        <v>7789</v>
      </c>
      <c r="O97">
        <f>SUMIF('库存（子SKU）'!$C:$C,$A97,'库存（子SKU）'!Q:Q)</f>
        <v>10973</v>
      </c>
      <c r="P97">
        <f>SUMIF('库存（子SKU）'!$C:$C,$A97,'库存（子SKU）'!R:R)</f>
        <v>8778</v>
      </c>
      <c r="Q97">
        <f>SUMIF('库存（子SKU）'!$C:$C,$A97,'库存（子SKU）'!S:S)</f>
        <v>6114</v>
      </c>
      <c r="R97">
        <f>SUMIF('库存（子SKU）'!$C:$C,$A97,'库存（子SKU）'!T:T)</f>
        <v>98</v>
      </c>
      <c r="S97">
        <f>SUMIF('库存（子SKU）'!$C:$C,$A97,'库存（子SKU）'!U:U)</f>
        <v>102</v>
      </c>
      <c r="T97">
        <f>SUMIF('库存（子SKU）'!$C:$C,$A97,'库存（子SKU）'!V:V)</f>
        <v>75</v>
      </c>
      <c r="U97">
        <f>SUMIF('库存（子SKU）'!$C:$C,$A97,'库存（子SKU）'!W:W)</f>
        <v>34</v>
      </c>
      <c r="V97" s="23">
        <f t="shared" si="32"/>
        <v>0.0125818461933496</v>
      </c>
      <c r="W97" s="23">
        <f t="shared" si="33"/>
        <v>0.00929554360703545</v>
      </c>
      <c r="X97" s="23">
        <f t="shared" si="34"/>
        <v>0.00854408749145591</v>
      </c>
      <c r="Y97" s="23">
        <f t="shared" si="35"/>
        <v>0.00556100752371606</v>
      </c>
      <c r="Z97">
        <f>SUMIF('库存（子SKU）'!$C:$C,$A97,'库存（子SKU）'!AB:AB)</f>
        <v>17.38</v>
      </c>
      <c r="AA97">
        <f>SUMIF('库存（子SKU）'!$C:$C,$A97,'库存（子SKU）'!AC:AC)</f>
        <v>16.72</v>
      </c>
      <c r="AB97">
        <f>SUMIF('库存（子SKU）'!$C:$C,$A97,'库存（子SKU）'!AD:AD)</f>
        <v>11.95</v>
      </c>
      <c r="AC97">
        <f>SUMIF('库存（子SKU）'!$C:$C,$A97,'库存（子SKU）'!AE:AE)</f>
        <v>5.29</v>
      </c>
      <c r="AD97" s="23" t="str">
        <f t="shared" si="20"/>
        <v>无销量广告费为17.38</v>
      </c>
      <c r="AE97" s="23" t="str">
        <f t="shared" si="21"/>
        <v>无销量广告费为16.72</v>
      </c>
      <c r="AF97" s="23">
        <f t="shared" si="22"/>
        <v>0.159770038104151</v>
      </c>
      <c r="AG97" s="23">
        <f t="shared" si="23"/>
        <v>0.0235755509503755</v>
      </c>
      <c r="AH97">
        <f>SUMIF('库存（子SKU）'!$C:$C,$A97,'库存（子SKU）'!AJ:AJ)</f>
        <v>0</v>
      </c>
      <c r="AI97">
        <f>SUMIF('库存（子SKU）'!$C:$C,$A97,'库存（子SKU）'!AK:AK)</f>
        <v>226</v>
      </c>
      <c r="AJ97">
        <f>SUMIF('库存（子SKU）'!$C:$C,$A97,'库存（子SKU）'!AL:AL)</f>
        <v>111</v>
      </c>
      <c r="AK97">
        <f>SUMIF('库存（子SKU）'!$C:$C,$A97,'库存（子SKU）'!AM:AM)</f>
        <v>114</v>
      </c>
      <c r="AL97" s="23" t="str">
        <f t="shared" si="24"/>
        <v/>
      </c>
      <c r="AM97" s="23">
        <f t="shared" si="25"/>
        <v>0</v>
      </c>
      <c r="AN97" s="23">
        <f t="shared" si="26"/>
        <v>0.00900900900900901</v>
      </c>
      <c r="AO97" s="23">
        <f t="shared" si="27"/>
        <v>0.0263157894736842</v>
      </c>
      <c r="AP97" s="7">
        <f t="shared" si="28"/>
        <v>0</v>
      </c>
      <c r="AQ97" s="7">
        <f t="shared" si="29"/>
        <v>0</v>
      </c>
      <c r="AR97" s="7">
        <f t="shared" si="30"/>
        <v>65</v>
      </c>
      <c r="AS97" t="str">
        <f t="shared" si="31"/>
        <v>库存为65</v>
      </c>
      <c r="AT97" s="2" t="str">
        <f>IFERROR(时间!$B$4+AS97,"上周无销量")</f>
        <v>上周无销量</v>
      </c>
    </row>
    <row r="98" spans="1:46">
      <c r="A98" t="s">
        <v>489</v>
      </c>
      <c r="B98" s="5">
        <f>SUMIF('库存（子SKU）'!$C:$C,$A98,'库存（子SKU）'!D:D)</f>
        <v>0</v>
      </c>
      <c r="C98" s="5">
        <f>SUMIF('库存（子SKU）'!$C:$C,$A98,'库存（子SKU）'!E:E)</f>
        <v>1</v>
      </c>
      <c r="D98" s="5">
        <f>SUMIF('库存（子SKU）'!$C:$C,$A98,'库存（子SKU）'!F:F)</f>
        <v>3</v>
      </c>
      <c r="E98" s="5">
        <f>SUMIF('库存（子SKU）'!$C:$C,$A98,'库存（子SKU）'!G:G)</f>
        <v>1</v>
      </c>
      <c r="F98" s="6">
        <v>99.99</v>
      </c>
      <c r="G98">
        <f>SUMIF('库存（子SKU）'!$C:$C,$A98,'库存（子SKU）'!I:I)</f>
        <v>12</v>
      </c>
      <c r="H98">
        <f>SUMIF('库存（子SKU）'!$C:$C,$A98,'库存（子SKU）'!J:J)</f>
        <v>1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13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1</v>
      </c>
      <c r="O98">
        <f>SUMIF('库存（子SKU）'!$C:$C,$A98,'库存（子SKU）'!Q:Q)</f>
        <v>5</v>
      </c>
      <c r="P98">
        <f>SUMIF('库存（子SKU）'!$C:$C,$A98,'库存（子SKU）'!R:R)</f>
        <v>1</v>
      </c>
      <c r="Q98">
        <f>SUMIF('库存（子SKU）'!$C:$C,$A98,'库存（子SKU）'!S:S)</f>
        <v>2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>
        <f t="shared" si="32"/>
        <v>0</v>
      </c>
      <c r="W98" s="23">
        <f t="shared" si="33"/>
        <v>0</v>
      </c>
      <c r="X98" s="23">
        <f t="shared" si="34"/>
        <v>0</v>
      </c>
      <c r="Y98" s="23">
        <f t="shared" si="35"/>
        <v>0</v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>
        <f t="shared" si="21"/>
        <v>0</v>
      </c>
      <c r="AF98" s="23">
        <f t="shared" si="22"/>
        <v>0</v>
      </c>
      <c r="AG98" s="23">
        <f t="shared" si="23"/>
        <v>0</v>
      </c>
      <c r="AH98">
        <f>SUMIF('库存（子SKU）'!$C:$C,$A98,'库存（子SKU）'!AJ:AJ)</f>
        <v>0</v>
      </c>
      <c r="AI98">
        <f>SUMIF('库存（子SKU）'!$C:$C,$A98,'库存（子SKU）'!AK:AK)</f>
        <v>99</v>
      </c>
      <c r="AJ98">
        <f>SUMIF('库存（子SKU）'!$C:$C,$A98,'库存（子SKU）'!AL:AL)</f>
        <v>75</v>
      </c>
      <c r="AK98">
        <f>SUMIF('库存（子SKU）'!$C:$C,$A98,'库存（子SKU）'!AM:AM)</f>
        <v>119</v>
      </c>
      <c r="AL98" s="23" t="str">
        <f t="shared" si="24"/>
        <v/>
      </c>
      <c r="AM98" s="23">
        <f t="shared" si="25"/>
        <v>0.0101010101010101</v>
      </c>
      <c r="AN98" s="23">
        <f t="shared" si="26"/>
        <v>0.04</v>
      </c>
      <c r="AO98" s="23">
        <f t="shared" si="27"/>
        <v>0.00840336134453781</v>
      </c>
      <c r="AP98" s="7">
        <f t="shared" si="28"/>
        <v>0</v>
      </c>
      <c r="AQ98" s="7">
        <f t="shared" si="29"/>
        <v>0</v>
      </c>
      <c r="AR98" s="7">
        <f t="shared" si="30"/>
        <v>13</v>
      </c>
      <c r="AS98" t="str">
        <f t="shared" si="31"/>
        <v>库存为13</v>
      </c>
      <c r="AT98" s="2" t="str">
        <f>IFERROR(时间!$B$4+AS98,"上周无销量")</f>
        <v>上周无销量</v>
      </c>
    </row>
    <row r="99" spans="1:46">
      <c r="A99" t="s">
        <v>492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1</v>
      </c>
      <c r="F99" s="6">
        <v>89.99</v>
      </c>
      <c r="G99">
        <f>SUMIF('库存（子SKU）'!$C:$C,$A99,'库存（子SKU）'!I:I)</f>
        <v>16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16</v>
      </c>
      <c r="L99">
        <f>SUMIF('库存（子SKU）'!$C:$C,$A99,'库存（子SKU）'!N:N)</f>
        <v>0</v>
      </c>
      <c r="M99">
        <f>SUMIF('库存（子SKU）'!$C:$C,$A99,'库存（子SKU）'!O:O)</f>
        <v>1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>
        <f t="shared" si="23"/>
        <v>0</v>
      </c>
      <c r="AH99">
        <f>SUMIF('库存（子SKU）'!$C:$C,$A99,'库存（子SKU）'!AJ:AJ)</f>
        <v>0</v>
      </c>
      <c r="AI99">
        <f>SUMIF('库存（子SKU）'!$C:$C,$A99,'库存（子SKU）'!AK:AK)</f>
        <v>4</v>
      </c>
      <c r="AJ99">
        <f>SUMIF('库存（子SKU）'!$C:$C,$A99,'库存（子SKU）'!AL:AL)</f>
        <v>8</v>
      </c>
      <c r="AK99">
        <f>SUMIF('库存（子SKU）'!$C:$C,$A99,'库存（子SKU）'!AM:AM)</f>
        <v>6</v>
      </c>
      <c r="AL99" s="23" t="str">
        <f t="shared" si="24"/>
        <v/>
      </c>
      <c r="AM99" s="23">
        <f t="shared" si="25"/>
        <v>0</v>
      </c>
      <c r="AN99" s="23">
        <f t="shared" si="26"/>
        <v>0</v>
      </c>
      <c r="AO99" s="23">
        <f t="shared" si="27"/>
        <v>0.166666666666667</v>
      </c>
      <c r="AP99" s="7">
        <f t="shared" si="28"/>
        <v>0</v>
      </c>
      <c r="AQ99" s="7">
        <f t="shared" si="29"/>
        <v>0</v>
      </c>
      <c r="AR99" s="7">
        <f t="shared" si="30"/>
        <v>16</v>
      </c>
      <c r="AS99" t="str">
        <f t="shared" si="31"/>
        <v>库存为16</v>
      </c>
      <c r="AT99" s="2" t="str">
        <f>IFERROR(时间!$B$4+AS99,"上周无销量")</f>
        <v>上周无销量</v>
      </c>
    </row>
    <row r="100" spans="1:46">
      <c r="A100" t="s">
        <v>495</v>
      </c>
      <c r="B100" s="5">
        <f>SUMIF('库存（子SKU）'!$C:$C,$A100,'库存（子SKU）'!D:D)</f>
        <v>3</v>
      </c>
      <c r="C100" s="5">
        <f>SUMIF('库存（子SKU）'!$C:$C,$A100,'库存（子SKU）'!E:E)</f>
        <v>6</v>
      </c>
      <c r="D100" s="5">
        <f>SUMIF('库存（子SKU）'!$C:$C,$A100,'库存（子SKU）'!F:F)</f>
        <v>6</v>
      </c>
      <c r="E100" s="5">
        <f>SUMIF('库存（子SKU）'!$C:$C,$A100,'库存（子SKU）'!G:G)</f>
        <v>2</v>
      </c>
      <c r="F100" s="6">
        <v>34.1664705882353</v>
      </c>
      <c r="G100">
        <f>SUMIF('库存（子SKU）'!$C:$C,$A100,'库存（子SKU）'!I:I)</f>
        <v>57</v>
      </c>
      <c r="H100">
        <f>SUMIF('库存（子SKU）'!$C:$C,$A100,'库存（子SKU）'!J:J)</f>
        <v>20</v>
      </c>
      <c r="I100">
        <f>SUMIF('库存（子SKU）'!$C:$C,$A100,'库存（子SKU）'!K:K)</f>
        <v>0</v>
      </c>
      <c r="J100">
        <f>SUMIF('库存（子SKU）'!$C:$C,$A100,'库存（子SKU）'!L:L)</f>
        <v>34</v>
      </c>
      <c r="K100">
        <f t="shared" si="19"/>
        <v>111</v>
      </c>
      <c r="L100">
        <f>SUMIF('库存（子SKU）'!$C:$C,$A100,'库存（子SKU）'!N:N)</f>
        <v>0</v>
      </c>
      <c r="M100">
        <f>SUMIF('库存（子SKU）'!$C:$C,$A100,'库存（子SKU）'!O:O)</f>
        <v>16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>
        <f t="shared" si="20"/>
        <v>0</v>
      </c>
      <c r="AE100" s="23">
        <f t="shared" si="21"/>
        <v>0</v>
      </c>
      <c r="AF100" s="23">
        <f t="shared" si="22"/>
        <v>0</v>
      </c>
      <c r="AG100" s="23">
        <f t="shared" si="23"/>
        <v>0</v>
      </c>
      <c r="AH100">
        <f>SUMIF('库存（子SKU）'!$C:$C,$A100,'库存（子SKU）'!AJ:AJ)</f>
        <v>0</v>
      </c>
      <c r="AI100">
        <f>SUMIF('库存（子SKU）'!$C:$C,$A100,'库存（子SKU）'!AK:AK)</f>
        <v>496</v>
      </c>
      <c r="AJ100">
        <f>SUMIF('库存（子SKU）'!$C:$C,$A100,'库存（子SKU）'!AL:AL)</f>
        <v>388</v>
      </c>
      <c r="AK100">
        <f>SUMIF('库存（子SKU）'!$C:$C,$A100,'库存（子SKU）'!AM:AM)</f>
        <v>329</v>
      </c>
      <c r="AL100" s="23" t="str">
        <f t="shared" si="24"/>
        <v/>
      </c>
      <c r="AM100" s="23">
        <f t="shared" si="25"/>
        <v>0.0120967741935484</v>
      </c>
      <c r="AN100" s="23">
        <f t="shared" si="26"/>
        <v>0.0154639175257732</v>
      </c>
      <c r="AO100" s="23">
        <f t="shared" si="27"/>
        <v>0.0060790273556231</v>
      </c>
      <c r="AP100" s="7">
        <f t="shared" si="28"/>
        <v>0.428571428571429</v>
      </c>
      <c r="AQ100" s="7">
        <f t="shared" si="29"/>
        <v>25.7142857142857</v>
      </c>
      <c r="AR100" s="7">
        <f t="shared" si="30"/>
        <v>85.2857142857143</v>
      </c>
      <c r="AS100">
        <f t="shared" si="31"/>
        <v>259</v>
      </c>
      <c r="AT100" s="2">
        <f>IFERROR(时间!$B$4+AS100,"上周无销量")</f>
        <v>43549</v>
      </c>
    </row>
    <row r="101" spans="1:46">
      <c r="A101" t="s">
        <v>503</v>
      </c>
      <c r="B101" s="5">
        <f>SUMIF('库存（子SKU）'!$C:$C,$A101,'库存（子SKU）'!D:D)</f>
        <v>0</v>
      </c>
      <c r="C101" s="5">
        <f>SUMIF('库存（子SKU）'!$C:$C,$A101,'库存（子SKU）'!E:E)</f>
        <v>3</v>
      </c>
      <c r="D101" s="5">
        <f>SUMIF('库存（子SKU）'!$C:$C,$A101,'库存（子SKU）'!F:F)</f>
        <v>4</v>
      </c>
      <c r="E101" s="5">
        <f>SUMIF('库存（子SKU）'!$C:$C,$A101,'库存（子SKU）'!G:G)</f>
        <v>2</v>
      </c>
      <c r="F101" s="6">
        <v>88.8788888888889</v>
      </c>
      <c r="G101">
        <f>SUMIF('库存（子SKU）'!$C:$C,$A101,'库存（子SKU）'!I:I)</f>
        <v>60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2</v>
      </c>
      <c r="K101">
        <f t="shared" si="19"/>
        <v>62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>
        <f t="shared" si="21"/>
        <v>0</v>
      </c>
      <c r="AF101" s="23">
        <f t="shared" si="22"/>
        <v>0</v>
      </c>
      <c r="AG101" s="23">
        <f t="shared" si="23"/>
        <v>0</v>
      </c>
      <c r="AH101">
        <f>SUMIF('库存（子SKU）'!$C:$C,$A101,'库存（子SKU）'!AJ:AJ)</f>
        <v>0</v>
      </c>
      <c r="AI101">
        <f>SUMIF('库存（子SKU）'!$C:$C,$A101,'库存（子SKU）'!AK:AK)</f>
        <v>128</v>
      </c>
      <c r="AJ101">
        <f>SUMIF('库存（子SKU）'!$C:$C,$A101,'库存（子SKU）'!AL:AL)</f>
        <v>138</v>
      </c>
      <c r="AK101">
        <f>SUMIF('库存（子SKU）'!$C:$C,$A101,'库存（子SKU）'!AM:AM)</f>
        <v>136</v>
      </c>
      <c r="AL101" s="23" t="str">
        <f t="shared" si="24"/>
        <v/>
      </c>
      <c r="AM101" s="23">
        <f t="shared" si="25"/>
        <v>0.0234375</v>
      </c>
      <c r="AN101" s="23">
        <f t="shared" si="26"/>
        <v>0.0289855072463768</v>
      </c>
      <c r="AO101" s="23">
        <f t="shared" si="27"/>
        <v>0.0147058823529412</v>
      </c>
      <c r="AP101" s="7">
        <f t="shared" si="28"/>
        <v>0</v>
      </c>
      <c r="AQ101" s="7">
        <f t="shared" si="29"/>
        <v>0</v>
      </c>
      <c r="AR101" s="7">
        <f t="shared" si="30"/>
        <v>62</v>
      </c>
      <c r="AS101" t="str">
        <f t="shared" si="31"/>
        <v>库存为62</v>
      </c>
      <c r="AT101" s="2" t="str">
        <f>IFERROR(时间!$B$4+AS101,"上周无销量")</f>
        <v>上周无销量</v>
      </c>
    </row>
    <row r="102" spans="1:46">
      <c r="A102" t="s">
        <v>507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">
        <v>54</v>
      </c>
      <c r="G102">
        <f>SUMIF('库存（子SKU）'!$C:$C,$A102,'库存（子SKU）'!I:I)</f>
        <v>12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12</v>
      </c>
      <c r="L102">
        <f>SUMIF('库存（子SKU）'!$C:$C,$A102,'库存（子SKU）'!N:N)</f>
        <v>0</v>
      </c>
      <c r="M102">
        <f>SUMIF('库存（子SKU）'!$C:$C,$A102,'库存（子SKU）'!O:O)</f>
        <v>12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28</v>
      </c>
      <c r="AJ102">
        <f>SUMIF('库存（子SKU）'!$C:$C,$A102,'库存（子SKU）'!AL:AL)</f>
        <v>44</v>
      </c>
      <c r="AK102">
        <f>SUMIF('库存（子SKU）'!$C:$C,$A102,'库存（子SKU）'!AM:AM)</f>
        <v>18</v>
      </c>
      <c r="AL102" s="23" t="str">
        <f t="shared" si="24"/>
        <v/>
      </c>
      <c r="AM102" s="23">
        <f t="shared" si="25"/>
        <v>0</v>
      </c>
      <c r="AN102" s="23">
        <f t="shared" si="26"/>
        <v>0</v>
      </c>
      <c r="AO102" s="23">
        <f t="shared" si="27"/>
        <v>0</v>
      </c>
      <c r="AP102" s="7">
        <f t="shared" si="28"/>
        <v>0</v>
      </c>
      <c r="AQ102" s="7">
        <f t="shared" si="29"/>
        <v>0</v>
      </c>
      <c r="AR102" s="7">
        <f t="shared" si="30"/>
        <v>12</v>
      </c>
      <c r="AS102" t="str">
        <f t="shared" si="31"/>
        <v>库存为12</v>
      </c>
      <c r="AT102" s="2" t="str">
        <f>IFERROR(时间!$B$4+AS102,"上周无销量")</f>
        <v>上周无销量</v>
      </c>
    </row>
    <row r="103" spans="1:46">
      <c r="A103" t="s">
        <v>511</v>
      </c>
      <c r="B103" s="5">
        <f>SUMIF('库存（子SKU）'!$C:$C,$A103,'库存（子SKU）'!D:D)</f>
        <v>1</v>
      </c>
      <c r="C103" s="5">
        <f>SUMIF('库存（子SKU）'!$C:$C,$A103,'库存（子SKU）'!E:E)</f>
        <v>1</v>
      </c>
      <c r="D103" s="5">
        <f>SUMIF('库存（子SKU）'!$C:$C,$A103,'库存（子SKU）'!F:F)</f>
        <v>1</v>
      </c>
      <c r="E103" s="5">
        <f>SUMIF('库存（子SKU）'!$C:$C,$A103,'库存（子SKU）'!G:G)</f>
        <v>2</v>
      </c>
      <c r="F103" s="6">
        <v>99.6</v>
      </c>
      <c r="G103">
        <f>SUMIF('库存（子SKU）'!$C:$C,$A103,'库存（子SKU）'!I:I)</f>
        <v>36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36</v>
      </c>
      <c r="L103">
        <f>SUMIF('库存（子SKU）'!$C:$C,$A103,'库存（子SKU）'!N:N)</f>
        <v>1</v>
      </c>
      <c r="M103">
        <f>SUMIF('库存（子SKU）'!$C:$C,$A103,'库存（子SKU）'!O:O)</f>
        <v>0</v>
      </c>
      <c r="N103">
        <f>SUMIF('库存（子SKU）'!$C:$C,$A103,'库存（子SKU）'!P:P)</f>
        <v>24189</v>
      </c>
      <c r="O103">
        <f>SUMIF('库存（子SKU）'!$C:$C,$A103,'库存（子SKU）'!Q:Q)</f>
        <v>30268</v>
      </c>
      <c r="P103">
        <f>SUMIF('库存（子SKU）'!$C:$C,$A103,'库存（子SKU）'!R:R)</f>
        <v>25914</v>
      </c>
      <c r="Q103">
        <f>SUMIF('库存（子SKU）'!$C:$C,$A103,'库存（子SKU）'!S:S)</f>
        <v>21913</v>
      </c>
      <c r="R103">
        <f>SUMIF('库存（子SKU）'!$C:$C,$A103,'库存（子SKU）'!T:T)</f>
        <v>135</v>
      </c>
      <c r="S103">
        <f>SUMIF('库存（子SKU）'!$C:$C,$A103,'库存（子SKU）'!U:U)</f>
        <v>208</v>
      </c>
      <c r="T103">
        <f>SUMIF('库存（子SKU）'!$C:$C,$A103,'库存（子SKU）'!V:V)</f>
        <v>192</v>
      </c>
      <c r="U103">
        <f>SUMIF('库存（子SKU）'!$C:$C,$A103,'库存（子SKU）'!W:W)</f>
        <v>193</v>
      </c>
      <c r="V103" s="23">
        <f t="shared" si="32"/>
        <v>0.0055810492372566</v>
      </c>
      <c r="W103" s="23">
        <f t="shared" si="33"/>
        <v>0.00687194396722611</v>
      </c>
      <c r="X103" s="23">
        <f t="shared" si="34"/>
        <v>0.00740912248205603</v>
      </c>
      <c r="Y103" s="23">
        <f t="shared" si="35"/>
        <v>0.0088075571578515</v>
      </c>
      <c r="Z103">
        <f>SUMIF('库存（子SKU）'!$C:$C,$A103,'库存（子SKU）'!AB:AB)</f>
        <v>20.65</v>
      </c>
      <c r="AA103">
        <f>SUMIF('库存（子SKU）'!$C:$C,$A103,'库存（子SKU）'!AC:AC)</f>
        <v>28.87</v>
      </c>
      <c r="AB103">
        <f>SUMIF('库存（子SKU）'!$C:$C,$A103,'库存（子SKU）'!AD:AD)</f>
        <v>26.13</v>
      </c>
      <c r="AC103">
        <f>SUMIF('库存（子SKU）'!$C:$C,$A103,'库存（子SKU）'!AE:AE)</f>
        <v>25.9</v>
      </c>
      <c r="AD103" s="23">
        <f t="shared" si="20"/>
        <v>0.207329317269076</v>
      </c>
      <c r="AE103" s="23">
        <f t="shared" si="21"/>
        <v>0.289859437751004</v>
      </c>
      <c r="AF103" s="23">
        <f t="shared" si="22"/>
        <v>0.262349397590361</v>
      </c>
      <c r="AG103" s="23">
        <f t="shared" si="23"/>
        <v>0.130020080321285</v>
      </c>
      <c r="AH103">
        <f>SUMIF('库存（子SKU）'!$C:$C,$A103,'库存（子SKU）'!AJ:AJ)</f>
        <v>0</v>
      </c>
      <c r="AI103">
        <f>SUMIF('库存（子SKU）'!$C:$C,$A103,'库存（子SKU）'!AK:AK)</f>
        <v>146</v>
      </c>
      <c r="AJ103">
        <f>SUMIF('库存（子SKU）'!$C:$C,$A103,'库存（子SKU）'!AL:AL)</f>
        <v>177</v>
      </c>
      <c r="AK103">
        <f>SUMIF('库存（子SKU）'!$C:$C,$A103,'库存（子SKU）'!AM:AM)</f>
        <v>132</v>
      </c>
      <c r="AL103" s="23" t="str">
        <f t="shared" si="24"/>
        <v/>
      </c>
      <c r="AM103" s="23">
        <f t="shared" si="25"/>
        <v>0.00684931506849315</v>
      </c>
      <c r="AN103" s="23">
        <f t="shared" si="26"/>
        <v>0.00564971751412429</v>
      </c>
      <c r="AO103" s="23">
        <f t="shared" si="27"/>
        <v>0.0151515151515152</v>
      </c>
      <c r="AP103" s="7">
        <f t="shared" si="28"/>
        <v>0.142857142857143</v>
      </c>
      <c r="AQ103" s="7">
        <f t="shared" si="29"/>
        <v>8.57142857142857</v>
      </c>
      <c r="AR103" s="7">
        <f t="shared" si="30"/>
        <v>27.4285714285714</v>
      </c>
      <c r="AS103">
        <f t="shared" si="31"/>
        <v>252</v>
      </c>
      <c r="AT103" s="2">
        <f>IFERROR(时间!$B$4+AS103,"上周无销量")</f>
        <v>43542</v>
      </c>
    </row>
    <row r="104" spans="1:46">
      <c r="A104" t="s">
        <v>514</v>
      </c>
      <c r="B104" s="5">
        <f>SUMIF('库存（子SKU）'!$C:$C,$A104,'库存（子SKU）'!D:D)</f>
        <v>12</v>
      </c>
      <c r="C104" s="5">
        <f>SUMIF('库存（子SKU）'!$C:$C,$A104,'库存（子SKU）'!E:E)</f>
        <v>8</v>
      </c>
      <c r="D104" s="5">
        <f>SUMIF('库存（子SKU）'!$C:$C,$A104,'库存（子SKU）'!F:F)</f>
        <v>10</v>
      </c>
      <c r="E104" s="5">
        <f>SUMIF('库存（子SKU）'!$C:$C,$A104,'库存（子SKU）'!G:G)</f>
        <v>5</v>
      </c>
      <c r="F104" s="6">
        <v>21.6471428571429</v>
      </c>
      <c r="G104">
        <f>SUMIF('库存（子SKU）'!$C:$C,$A104,'库存（子SKU）'!I:I)</f>
        <v>71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1</v>
      </c>
      <c r="K104">
        <f t="shared" si="19"/>
        <v>72</v>
      </c>
      <c r="L104">
        <f>SUMIF('库存（子SKU）'!$C:$C,$A104,'库存（子SKU）'!N:N)</f>
        <v>10</v>
      </c>
      <c r="M104">
        <f>SUMIF('库存（子SKU）'!$C:$C,$A104,'库存（子SKU）'!O:O)</f>
        <v>73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>
        <f t="shared" si="20"/>
        <v>0</v>
      </c>
      <c r="AE104" s="23">
        <f t="shared" si="21"/>
        <v>0</v>
      </c>
      <c r="AF104" s="23">
        <f t="shared" si="22"/>
        <v>0</v>
      </c>
      <c r="AG104" s="23">
        <f t="shared" si="23"/>
        <v>0</v>
      </c>
      <c r="AH104">
        <f>SUMIF('库存（子SKU）'!$C:$C,$A104,'库存（子SKU）'!AJ:AJ)</f>
        <v>0</v>
      </c>
      <c r="AI104">
        <f>SUMIF('库存（子SKU）'!$C:$C,$A104,'库存（子SKU）'!AK:AK)</f>
        <v>130</v>
      </c>
      <c r="AJ104">
        <f>SUMIF('库存（子SKU）'!$C:$C,$A104,'库存（子SKU）'!AL:AL)</f>
        <v>114</v>
      </c>
      <c r="AK104">
        <f>SUMIF('库存（子SKU）'!$C:$C,$A104,'库存（子SKU）'!AM:AM)</f>
        <v>71</v>
      </c>
      <c r="AL104" s="23" t="str">
        <f t="shared" si="24"/>
        <v/>
      </c>
      <c r="AM104" s="23">
        <f t="shared" si="25"/>
        <v>0.0615384615384615</v>
      </c>
      <c r="AN104" s="23">
        <f t="shared" si="26"/>
        <v>0.087719298245614</v>
      </c>
      <c r="AO104" s="23">
        <f t="shared" si="27"/>
        <v>0.0704225352112676</v>
      </c>
      <c r="AP104" s="7">
        <f t="shared" si="28"/>
        <v>1.71428571428571</v>
      </c>
      <c r="AQ104" s="7">
        <f t="shared" si="29"/>
        <v>102.857142857143</v>
      </c>
      <c r="AR104" s="7">
        <f t="shared" si="30"/>
        <v>-30.8571428571428</v>
      </c>
      <c r="AS104">
        <f t="shared" si="31"/>
        <v>42</v>
      </c>
      <c r="AT104" s="2">
        <f>IFERROR(时间!$B$4+AS104,"上周无销量")</f>
        <v>43332</v>
      </c>
    </row>
    <row r="105" spans="1:46">
      <c r="A105" t="s">
        <v>527</v>
      </c>
      <c r="B105" s="5">
        <f>SUMIF('库存（子SKU）'!$C:$C,$A105,'库存（子SKU）'!D:D)</f>
        <v>0</v>
      </c>
      <c r="C105" s="5">
        <f>SUMIF('库存（子SKU）'!$C:$C,$A105,'库存（子SKU）'!E:E)</f>
        <v>1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>
        <v>23.99</v>
      </c>
      <c r="G105">
        <f>SUMIF('库存（子SKU）'!$C:$C,$A105,'库存（子SKU）'!I:I)</f>
        <v>2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2</v>
      </c>
      <c r="L105">
        <f>SUMIF('库存（子SKU）'!$C:$C,$A105,'库存（子SKU）'!N:N)</f>
        <v>0</v>
      </c>
      <c r="M105">
        <f>SUMIF('库存（子SKU）'!$C:$C,$A105,'库存（子SKU）'!O:O)</f>
        <v>2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>
        <f t="shared" si="21"/>
        <v>0</v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2</v>
      </c>
      <c r="AJ105">
        <f>SUMIF('库存（子SKU）'!$C:$C,$A105,'库存（子SKU）'!AL:AL)</f>
        <v>2</v>
      </c>
      <c r="AK105">
        <f>SUMIF('库存（子SKU）'!$C:$C,$A105,'库存（子SKU）'!AM:AM)</f>
        <v>3</v>
      </c>
      <c r="AL105" s="23" t="str">
        <f t="shared" si="24"/>
        <v/>
      </c>
      <c r="AM105" s="23">
        <f t="shared" si="25"/>
        <v>0.5</v>
      </c>
      <c r="AN105" s="23">
        <f t="shared" si="26"/>
        <v>0</v>
      </c>
      <c r="AO105" s="23">
        <f t="shared" si="27"/>
        <v>0</v>
      </c>
      <c r="AP105" s="7">
        <f t="shared" si="28"/>
        <v>0</v>
      </c>
      <c r="AQ105" s="7">
        <f t="shared" si="29"/>
        <v>0</v>
      </c>
      <c r="AR105" s="7">
        <f t="shared" si="30"/>
        <v>2</v>
      </c>
      <c r="AS105" t="str">
        <f t="shared" si="31"/>
        <v>库存为2</v>
      </c>
      <c r="AT105" s="2" t="str">
        <f>IFERROR(时间!$B$4+AS105,"上周无销量")</f>
        <v>上周无销量</v>
      </c>
    </row>
    <row r="106" spans="1:46">
      <c r="A106" t="s">
        <v>528</v>
      </c>
      <c r="B106" s="5">
        <f>SUMIF('库存（子SKU）'!$C:$C,$A106,'库存（子SKU）'!D:D)</f>
        <v>1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>
        <v>16.99</v>
      </c>
      <c r="G106">
        <f>SUMIF('库存（子SKU）'!$C:$C,$A106,'库存（子SKU）'!I:I)</f>
        <v>14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14</v>
      </c>
      <c r="L106">
        <f>SUMIF('库存（子SKU）'!$C:$C,$A106,'库存（子SKU）'!N:N)</f>
        <v>0</v>
      </c>
      <c r="M106">
        <f>SUMIF('库存（子SKU）'!$C:$C,$A106,'库存（子SKU）'!O:O)</f>
        <v>14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>
        <f t="shared" si="20"/>
        <v>0</v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12</v>
      </c>
      <c r="AJ106">
        <f>SUMIF('库存（子SKU）'!$C:$C,$A106,'库存（子SKU）'!AL:AL)</f>
        <v>14</v>
      </c>
      <c r="AK106">
        <f>SUMIF('库存（子SKU）'!$C:$C,$A106,'库存（子SKU）'!AM:AM)</f>
        <v>14</v>
      </c>
      <c r="AL106" s="23" t="str">
        <f t="shared" si="24"/>
        <v/>
      </c>
      <c r="AM106" s="23">
        <f t="shared" si="25"/>
        <v>0</v>
      </c>
      <c r="AN106" s="23">
        <f t="shared" si="26"/>
        <v>0</v>
      </c>
      <c r="AO106" s="23">
        <f t="shared" si="27"/>
        <v>0</v>
      </c>
      <c r="AP106" s="7">
        <f t="shared" si="28"/>
        <v>0.142857142857143</v>
      </c>
      <c r="AQ106" s="7">
        <f t="shared" si="29"/>
        <v>8.57142857142857</v>
      </c>
      <c r="AR106" s="7">
        <f t="shared" si="30"/>
        <v>5.42857142857143</v>
      </c>
      <c r="AS106">
        <f t="shared" si="31"/>
        <v>98</v>
      </c>
      <c r="AT106" s="2">
        <f>IFERROR(时间!$B$4+AS106,"上周无销量")</f>
        <v>43388</v>
      </c>
    </row>
    <row r="107" spans="1:46">
      <c r="A107" t="s">
        <v>532</v>
      </c>
      <c r="B107" s="5">
        <f>SUMIF('库存（子SKU）'!$C:$C,$A107,'库存（子SKU）'!D:D)</f>
        <v>2</v>
      </c>
      <c r="C107" s="5">
        <f>SUMIF('库存（子SKU）'!$C:$C,$A107,'库存（子SKU）'!E:E)</f>
        <v>1</v>
      </c>
      <c r="D107" s="5">
        <f>SUMIF('库存（子SKU）'!$C:$C,$A107,'库存（子SKU）'!F:F)</f>
        <v>4</v>
      </c>
      <c r="E107" s="5">
        <f>SUMIF('库存（子SKU）'!$C:$C,$A107,'库存（子SKU）'!G:G)</f>
        <v>2</v>
      </c>
      <c r="F107" s="6">
        <v>21.99</v>
      </c>
      <c r="G107">
        <f>SUMIF('库存（子SKU）'!$C:$C,$A107,'库存（子SKU）'!I:I)</f>
        <v>13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13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>
        <f t="shared" si="20"/>
        <v>0</v>
      </c>
      <c r="AE107" s="23">
        <f t="shared" si="21"/>
        <v>0</v>
      </c>
      <c r="AF107" s="23">
        <f t="shared" si="22"/>
        <v>0</v>
      </c>
      <c r="AG107" s="23">
        <f t="shared" si="23"/>
        <v>0</v>
      </c>
      <c r="AH107">
        <f>SUMIF('库存（子SKU）'!$C:$C,$A107,'库存（子SKU）'!AJ:AJ)</f>
        <v>0</v>
      </c>
      <c r="AI107">
        <f>SUMIF('库存（子SKU）'!$C:$C,$A107,'库存（子SKU）'!AK:AK)</f>
        <v>18</v>
      </c>
      <c r="AJ107">
        <f>SUMIF('库存（子SKU）'!$C:$C,$A107,'库存（子SKU）'!AL:AL)</f>
        <v>16</v>
      </c>
      <c r="AK107">
        <f>SUMIF('库存（子SKU）'!$C:$C,$A107,'库存（子SKU）'!AM:AM)</f>
        <v>21</v>
      </c>
      <c r="AL107" s="23" t="str">
        <f t="shared" si="24"/>
        <v/>
      </c>
      <c r="AM107" s="23">
        <f t="shared" si="25"/>
        <v>0.0555555555555556</v>
      </c>
      <c r="AN107" s="23">
        <f t="shared" si="26"/>
        <v>0.25</v>
      </c>
      <c r="AO107" s="23">
        <f t="shared" si="27"/>
        <v>0.0952380952380952</v>
      </c>
      <c r="AP107" s="7">
        <f t="shared" si="28"/>
        <v>0.285714285714286</v>
      </c>
      <c r="AQ107" s="7">
        <f t="shared" si="29"/>
        <v>17.1428571428571</v>
      </c>
      <c r="AR107" s="7">
        <f t="shared" si="30"/>
        <v>-4.14285714285714</v>
      </c>
      <c r="AS107">
        <f t="shared" si="31"/>
        <v>45</v>
      </c>
      <c r="AT107" s="2">
        <f>IFERROR(时间!$B$4+AS107,"上周无销量")</f>
        <v>43335</v>
      </c>
    </row>
    <row r="108" spans="1:46">
      <c r="A108" t="s">
        <v>534</v>
      </c>
      <c r="B108" s="5">
        <f>SUMIF('库存（子SKU）'!$C:$C,$A108,'库存（子SKU）'!D:D)</f>
        <v>2</v>
      </c>
      <c r="C108" s="5">
        <f>SUMIF('库存（子SKU）'!$C:$C,$A108,'库存（子SKU）'!E:E)</f>
        <v>0</v>
      </c>
      <c r="D108" s="5">
        <f>SUMIF('库存（子SKU）'!$C:$C,$A108,'库存（子SKU）'!F:F)</f>
        <v>1</v>
      </c>
      <c r="E108" s="5">
        <f>SUMIF('库存（子SKU）'!$C:$C,$A108,'库存（子SKU）'!G:G)</f>
        <v>0</v>
      </c>
      <c r="F108" s="6">
        <v>21.99</v>
      </c>
      <c r="G108">
        <f>SUMIF('库存（子SKU）'!$C:$C,$A108,'库存（子SKU）'!I:I)</f>
        <v>5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5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>
        <f t="shared" si="20"/>
        <v>0</v>
      </c>
      <c r="AE108" s="23" t="str">
        <f t="shared" si="21"/>
        <v/>
      </c>
      <c r="AF108" s="23">
        <f t="shared" si="22"/>
        <v>0</v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15</v>
      </c>
      <c r="AJ108">
        <f>SUMIF('库存（子SKU）'!$C:$C,$A108,'库存（子SKU）'!AL:AL)</f>
        <v>19</v>
      </c>
      <c r="AK108">
        <f>SUMIF('库存（子SKU）'!$C:$C,$A108,'库存（子SKU）'!AM:AM)</f>
        <v>20</v>
      </c>
      <c r="AL108" s="23" t="str">
        <f t="shared" si="24"/>
        <v/>
      </c>
      <c r="AM108" s="23">
        <f t="shared" si="25"/>
        <v>0</v>
      </c>
      <c r="AN108" s="23">
        <f t="shared" si="26"/>
        <v>0.0526315789473684</v>
      </c>
      <c r="AO108" s="23">
        <f t="shared" si="27"/>
        <v>0</v>
      </c>
      <c r="AP108" s="7">
        <f t="shared" si="28"/>
        <v>0.285714285714286</v>
      </c>
      <c r="AQ108" s="7">
        <f t="shared" si="29"/>
        <v>17.1428571428571</v>
      </c>
      <c r="AR108" s="7">
        <f t="shared" si="30"/>
        <v>-12.1428571428571</v>
      </c>
      <c r="AS108">
        <f t="shared" si="31"/>
        <v>17</v>
      </c>
      <c r="AT108" s="2">
        <f>IFERROR(时间!$B$4+AS108,"上周无销量")</f>
        <v>43307</v>
      </c>
    </row>
    <row r="109" spans="1:46">
      <c r="A109" t="s">
        <v>537</v>
      </c>
      <c r="B109" s="5">
        <f>SUMIF('库存（子SKU）'!$C:$C,$A109,'库存（子SKU）'!D:D)</f>
        <v>3</v>
      </c>
      <c r="C109" s="5">
        <f>SUMIF('库存（子SKU）'!$C:$C,$A109,'库存（子SKU）'!E:E)</f>
        <v>12</v>
      </c>
      <c r="D109" s="5">
        <f>SUMIF('库存（子SKU）'!$C:$C,$A109,'库存（子SKU）'!F:F)</f>
        <v>5</v>
      </c>
      <c r="E109" s="5">
        <f>SUMIF('库存（子SKU）'!$C:$C,$A109,'库存（子SKU）'!G:G)</f>
        <v>11</v>
      </c>
      <c r="F109" s="6">
        <v>21.99</v>
      </c>
      <c r="G109">
        <f>SUMIF('库存（子SKU）'!$C:$C,$A109,'库存（子SKU）'!I:I)</f>
        <v>0</v>
      </c>
      <c r="H109">
        <f>SUMIF('库存（子SKU）'!$C:$C,$A109,'库存（子SKU）'!J:J)</f>
        <v>20</v>
      </c>
      <c r="I109">
        <f>SUMIF('库存（子SKU）'!$C:$C,$A109,'库存（子SKU）'!K:K)</f>
        <v>0</v>
      </c>
      <c r="J109">
        <f>SUMIF('库存（子SKU）'!$C:$C,$A109,'库存（子SKU）'!L:L)</f>
        <v>5</v>
      </c>
      <c r="K109">
        <f t="shared" si="19"/>
        <v>25</v>
      </c>
      <c r="L109">
        <f>SUMIF('库存（子SKU）'!$C:$C,$A109,'库存（子SKU）'!N:N)</f>
        <v>1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>
        <f t="shared" si="20"/>
        <v>0</v>
      </c>
      <c r="AE109" s="23">
        <f t="shared" si="21"/>
        <v>0</v>
      </c>
      <c r="AF109" s="23">
        <f t="shared" si="22"/>
        <v>0</v>
      </c>
      <c r="AG109" s="23">
        <f t="shared" si="23"/>
        <v>0</v>
      </c>
      <c r="AH109">
        <f>SUMIF('库存（子SKU）'!$C:$C,$A109,'库存（子SKU）'!AJ:AJ)</f>
        <v>0</v>
      </c>
      <c r="AI109">
        <f>SUMIF('库存（子SKU）'!$C:$C,$A109,'库存（子SKU）'!AK:AK)</f>
        <v>115</v>
      </c>
      <c r="AJ109">
        <f>SUMIF('库存（子SKU）'!$C:$C,$A109,'库存（子SKU）'!AL:AL)</f>
        <v>95</v>
      </c>
      <c r="AK109">
        <f>SUMIF('库存（子SKU）'!$C:$C,$A109,'库存（子SKU）'!AM:AM)</f>
        <v>107</v>
      </c>
      <c r="AL109" s="23" t="str">
        <f t="shared" si="24"/>
        <v/>
      </c>
      <c r="AM109" s="23">
        <f t="shared" si="25"/>
        <v>0.104347826086957</v>
      </c>
      <c r="AN109" s="23">
        <f t="shared" si="26"/>
        <v>0.0526315789473684</v>
      </c>
      <c r="AO109" s="23">
        <f t="shared" si="27"/>
        <v>0.102803738317757</v>
      </c>
      <c r="AP109" s="7">
        <f t="shared" si="28"/>
        <v>0.428571428571429</v>
      </c>
      <c r="AQ109" s="7">
        <f t="shared" si="29"/>
        <v>25.7142857142857</v>
      </c>
      <c r="AR109" s="7">
        <f t="shared" si="30"/>
        <v>-0.714285714285712</v>
      </c>
      <c r="AS109">
        <f t="shared" si="31"/>
        <v>58</v>
      </c>
      <c r="AT109" s="2">
        <f>IFERROR(时间!$B$4+AS109,"上周无销量")</f>
        <v>43348</v>
      </c>
    </row>
    <row r="110" spans="1:46">
      <c r="A110" t="s">
        <v>540</v>
      </c>
      <c r="B110" s="5">
        <f>SUMIF('库存（子SKU）'!$C:$C,$A110,'库存（子SKU）'!D:D)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1</v>
      </c>
      <c r="E110" s="5">
        <f>SUMIF('库存（子SKU）'!$C:$C,$A110,'库存（子SKU）'!G:G)</f>
        <v>0</v>
      </c>
      <c r="F110" s="6">
        <v>21.99</v>
      </c>
      <c r="G110">
        <f>SUMIF('库存（子SKU）'!$C:$C,$A110,'库存（子SKU）'!I:I)</f>
        <v>12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12</v>
      </c>
      <c r="L110">
        <f>SUMIF('库存（子SKU）'!$C:$C,$A110,'库存（子SKU）'!N:N)</f>
        <v>0</v>
      </c>
      <c r="M110">
        <f>SUMIF('库存（子SKU）'!$C:$C,$A110,'库存（子SKU）'!O:O)</f>
        <v>12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>
        <f t="shared" si="22"/>
        <v>0</v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7</v>
      </c>
      <c r="AJ110">
        <f>SUMIF('库存（子SKU）'!$C:$C,$A110,'库存（子SKU）'!AL:AL)</f>
        <v>6</v>
      </c>
      <c r="AK110">
        <f>SUMIF('库存（子SKU）'!$C:$C,$A110,'库存（子SKU）'!AM:AM)</f>
        <v>12</v>
      </c>
      <c r="AL110" s="23" t="str">
        <f t="shared" si="24"/>
        <v/>
      </c>
      <c r="AM110" s="23">
        <f t="shared" si="25"/>
        <v>0</v>
      </c>
      <c r="AN110" s="23">
        <f t="shared" si="26"/>
        <v>0.166666666666667</v>
      </c>
      <c r="AO110" s="23">
        <f t="shared" si="27"/>
        <v>0</v>
      </c>
      <c r="AP110" s="7">
        <f t="shared" si="28"/>
        <v>0</v>
      </c>
      <c r="AQ110" s="7">
        <f t="shared" si="29"/>
        <v>0</v>
      </c>
      <c r="AR110" s="7">
        <f t="shared" si="30"/>
        <v>12</v>
      </c>
      <c r="AS110" t="str">
        <f t="shared" si="31"/>
        <v>库存为12</v>
      </c>
      <c r="AT110" s="2" t="str">
        <f>IFERROR(时间!$B$4+AS110,"上周无销量")</f>
        <v>上周无销量</v>
      </c>
    </row>
    <row r="111" spans="1:46">
      <c r="A111" t="s">
        <v>543</v>
      </c>
      <c r="B111" s="5">
        <f>SUMIF('库存（子SKU）'!$C:$C,$A111,'库存（子SKU）'!D:D)</f>
        <v>1</v>
      </c>
      <c r="C111" s="5">
        <f>SUMIF('库存（子SKU）'!$C:$C,$A111,'库存（子SKU）'!E:E)</f>
        <v>4</v>
      </c>
      <c r="D111" s="5">
        <f>SUMIF('库存（子SKU）'!$C:$C,$A111,'库存（子SKU）'!F:F)</f>
        <v>3</v>
      </c>
      <c r="E111" s="5">
        <f>SUMIF('库存（子SKU）'!$C:$C,$A111,'库存（子SKU）'!G:G)</f>
        <v>2</v>
      </c>
      <c r="F111" s="6">
        <v>21.99</v>
      </c>
      <c r="G111">
        <f>SUMIF('库存（子SKU）'!$C:$C,$A111,'库存（子SKU）'!I:I)</f>
        <v>10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>
        <f t="shared" si="20"/>
        <v>0</v>
      </c>
      <c r="AE111" s="23">
        <f t="shared" si="21"/>
        <v>0</v>
      </c>
      <c r="AF111" s="23">
        <f t="shared" si="22"/>
        <v>0</v>
      </c>
      <c r="AG111" s="23">
        <f t="shared" si="23"/>
        <v>0</v>
      </c>
      <c r="AH111">
        <f>SUMIF('库存（子SKU）'!$C:$C,$A111,'库存（子SKU）'!AJ:AJ)</f>
        <v>0</v>
      </c>
      <c r="AI111">
        <f>SUMIF('库存（子SKU）'!$C:$C,$A111,'库存（子SKU）'!AK:AK)</f>
        <v>37</v>
      </c>
      <c r="AJ111">
        <f>SUMIF('库存（子SKU）'!$C:$C,$A111,'库存（子SKU）'!AL:AL)</f>
        <v>29</v>
      </c>
      <c r="AK111">
        <f>SUMIF('库存（子SKU）'!$C:$C,$A111,'库存（子SKU）'!AM:AM)</f>
        <v>13</v>
      </c>
      <c r="AL111" s="23" t="str">
        <f t="shared" si="24"/>
        <v/>
      </c>
      <c r="AM111" s="23">
        <f t="shared" si="25"/>
        <v>0.108108108108108</v>
      </c>
      <c r="AN111" s="23">
        <f t="shared" si="26"/>
        <v>0.103448275862069</v>
      </c>
      <c r="AO111" s="23">
        <f t="shared" si="27"/>
        <v>0.153846153846154</v>
      </c>
      <c r="AP111" s="7">
        <f t="shared" si="28"/>
        <v>0.142857142857143</v>
      </c>
      <c r="AQ111" s="7">
        <f t="shared" si="29"/>
        <v>8.57142857142857</v>
      </c>
      <c r="AR111" s="7">
        <f t="shared" si="30"/>
        <v>1.42857142857143</v>
      </c>
      <c r="AS111">
        <f t="shared" si="31"/>
        <v>70</v>
      </c>
      <c r="AT111" s="2">
        <f>IFERROR(时间!$B$4+AS111,"上周无销量")</f>
        <v>43360</v>
      </c>
    </row>
    <row r="112" spans="1:46">
      <c r="A112" t="s">
        <v>546</v>
      </c>
      <c r="B112" s="5">
        <f>SUMIF('库存（子SKU）'!$C:$C,$A112,'库存（子SKU）'!D:D)</f>
        <v>1</v>
      </c>
      <c r="C112" s="5">
        <f>SUMIF('库存（子SKU）'!$C:$C,$A112,'库存（子SKU）'!E:E)</f>
        <v>1</v>
      </c>
      <c r="D112" s="5">
        <f>SUMIF('库存（子SKU）'!$C:$C,$A112,'库存（子SKU）'!F:F)</f>
        <v>3</v>
      </c>
      <c r="E112" s="5">
        <f>SUMIF('库存（子SKU）'!$C:$C,$A112,'库存（子SKU）'!G:G)</f>
        <v>4</v>
      </c>
      <c r="F112" s="6">
        <v>21.99</v>
      </c>
      <c r="G112">
        <f>SUMIF('库存（子SKU）'!$C:$C,$A112,'库存（子SKU）'!I:I)</f>
        <v>14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14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>
        <f t="shared" si="20"/>
        <v>0</v>
      </c>
      <c r="AE112" s="23">
        <f t="shared" si="21"/>
        <v>0</v>
      </c>
      <c r="AF112" s="23">
        <f t="shared" si="22"/>
        <v>0</v>
      </c>
      <c r="AG112" s="23">
        <f t="shared" si="23"/>
        <v>0</v>
      </c>
      <c r="AH112">
        <f>SUMIF('库存（子SKU）'!$C:$C,$A112,'库存（子SKU）'!AJ:AJ)</f>
        <v>0</v>
      </c>
      <c r="AI112">
        <f>SUMIF('库存（子SKU）'!$C:$C,$A112,'库存（子SKU）'!AK:AK)</f>
        <v>19</v>
      </c>
      <c r="AJ112">
        <f>SUMIF('库存（子SKU）'!$C:$C,$A112,'库存（子SKU）'!AL:AL)</f>
        <v>14</v>
      </c>
      <c r="AK112">
        <f>SUMIF('库存（子SKU）'!$C:$C,$A112,'库存（子SKU）'!AM:AM)</f>
        <v>39</v>
      </c>
      <c r="AL112" s="23" t="str">
        <f t="shared" si="24"/>
        <v/>
      </c>
      <c r="AM112" s="23">
        <f t="shared" si="25"/>
        <v>0.0526315789473684</v>
      </c>
      <c r="AN112" s="23">
        <f t="shared" si="26"/>
        <v>0.214285714285714</v>
      </c>
      <c r="AO112" s="23">
        <f t="shared" si="27"/>
        <v>0.102564102564103</v>
      </c>
      <c r="AP112" s="7">
        <f t="shared" si="28"/>
        <v>0.142857142857143</v>
      </c>
      <c r="AQ112" s="7">
        <f t="shared" si="29"/>
        <v>8.57142857142857</v>
      </c>
      <c r="AR112" s="7">
        <f t="shared" si="30"/>
        <v>5.42857142857143</v>
      </c>
      <c r="AS112">
        <f t="shared" si="31"/>
        <v>98</v>
      </c>
      <c r="AT112" s="2">
        <f>IFERROR(时间!$B$4+AS112,"上周无销量")</f>
        <v>43388</v>
      </c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425" operator="lessThan">
      <formula>20</formula>
    </cfRule>
    <cfRule type="cellIs" dxfId="1" priority="1424" operator="greaterThan">
      <formula>120</formula>
    </cfRule>
    <cfRule type="containsText" dxfId="4" priority="1423" operator="between" text="库存">
      <formula>NOT(ISERROR(SEARCH("库存",AS2)))</formula>
    </cfRule>
  </conditionalFormatting>
  <conditionalFormatting sqref="AS6">
    <cfRule type="cellIs" dxfId="0" priority="321" operator="lessThan">
      <formula>20</formula>
    </cfRule>
    <cfRule type="cellIs" dxfId="1" priority="214" operator="greaterThan">
      <formula>120</formula>
    </cfRule>
    <cfRule type="containsText" dxfId="4" priority="107" operator="between" text="库存">
      <formula>NOT(ISERROR(SEARCH("库存",AS6)))</formula>
    </cfRule>
  </conditionalFormatting>
  <conditionalFormatting sqref="AS7">
    <cfRule type="cellIs" dxfId="0" priority="320" operator="lessThan">
      <formula>20</formula>
    </cfRule>
    <cfRule type="cellIs" dxfId="1" priority="213" operator="greaterThan">
      <formula>120</formula>
    </cfRule>
    <cfRule type="containsText" dxfId="4" priority="106" operator="between" text="库存">
      <formula>NOT(ISERROR(SEARCH("库存",AS7)))</formula>
    </cfRule>
  </conditionalFormatting>
  <conditionalFormatting sqref="AS8">
    <cfRule type="cellIs" dxfId="0" priority="319" operator="lessThan">
      <formula>20</formula>
    </cfRule>
    <cfRule type="cellIs" dxfId="1" priority="212" operator="greaterThan">
      <formula>120</formula>
    </cfRule>
    <cfRule type="containsText" dxfId="4" priority="105" operator="between" text="库存">
      <formula>NOT(ISERROR(SEARCH("库存",AS8)))</formula>
    </cfRule>
  </conditionalFormatting>
  <conditionalFormatting sqref="AS9">
    <cfRule type="cellIs" dxfId="0" priority="318" operator="lessThan">
      <formula>20</formula>
    </cfRule>
    <cfRule type="cellIs" dxfId="1" priority="211" operator="greaterThan">
      <formula>120</formula>
    </cfRule>
    <cfRule type="containsText" dxfId="4" priority="104" operator="between" text="库存">
      <formula>NOT(ISERROR(SEARCH("库存",AS9)))</formula>
    </cfRule>
  </conditionalFormatting>
  <conditionalFormatting sqref="AS10">
    <cfRule type="cellIs" dxfId="0" priority="317" operator="lessThan">
      <formula>20</formula>
    </cfRule>
    <cfRule type="cellIs" dxfId="1" priority="210" operator="greaterThan">
      <formula>120</formula>
    </cfRule>
    <cfRule type="containsText" dxfId="4" priority="103" operator="between" text="库存">
      <formula>NOT(ISERROR(SEARCH("库存",AS10)))</formula>
    </cfRule>
  </conditionalFormatting>
  <conditionalFormatting sqref="AS11">
    <cfRule type="cellIs" dxfId="0" priority="316" operator="lessThan">
      <formula>20</formula>
    </cfRule>
    <cfRule type="cellIs" dxfId="1" priority="209" operator="greaterThan">
      <formula>120</formula>
    </cfRule>
    <cfRule type="containsText" dxfId="4" priority="102" operator="between" text="库存">
      <formula>NOT(ISERROR(SEARCH("库存",AS11)))</formula>
    </cfRule>
  </conditionalFormatting>
  <conditionalFormatting sqref="AS12">
    <cfRule type="cellIs" dxfId="0" priority="315" operator="lessThan">
      <formula>20</formula>
    </cfRule>
    <cfRule type="cellIs" dxfId="1" priority="208" operator="greaterThan">
      <formula>120</formula>
    </cfRule>
    <cfRule type="containsText" dxfId="4" priority="101" operator="between" text="库存">
      <formula>NOT(ISERROR(SEARCH("库存",AS12)))</formula>
    </cfRule>
  </conditionalFormatting>
  <conditionalFormatting sqref="AS13">
    <cfRule type="cellIs" dxfId="0" priority="314" operator="lessThan">
      <formula>20</formula>
    </cfRule>
    <cfRule type="cellIs" dxfId="1" priority="207" operator="greaterThan">
      <formula>120</formula>
    </cfRule>
    <cfRule type="containsText" dxfId="4" priority="100" operator="between" text="库存">
      <formula>NOT(ISERROR(SEARCH("库存",AS13)))</formula>
    </cfRule>
  </conditionalFormatting>
  <conditionalFormatting sqref="AS14">
    <cfRule type="cellIs" dxfId="0" priority="313" operator="lessThan">
      <formula>20</formula>
    </cfRule>
    <cfRule type="cellIs" dxfId="1" priority="206" operator="greaterThan">
      <formula>120</formula>
    </cfRule>
    <cfRule type="containsText" dxfId="4" priority="99" operator="between" text="库存">
      <formula>NOT(ISERROR(SEARCH("库存",AS14)))</formula>
    </cfRule>
  </conditionalFormatting>
  <conditionalFormatting sqref="AS15">
    <cfRule type="cellIs" dxfId="0" priority="312" operator="lessThan">
      <formula>20</formula>
    </cfRule>
    <cfRule type="cellIs" dxfId="1" priority="205" operator="greaterThan">
      <formula>120</formula>
    </cfRule>
    <cfRule type="containsText" dxfId="4" priority="98" operator="between" text="库存">
      <formula>NOT(ISERROR(SEARCH("库存",AS15)))</formula>
    </cfRule>
  </conditionalFormatting>
  <conditionalFormatting sqref="AS16">
    <cfRule type="cellIs" dxfId="0" priority="311" operator="lessThan">
      <formula>20</formula>
    </cfRule>
    <cfRule type="cellIs" dxfId="1" priority="204" operator="greaterThan">
      <formula>120</formula>
    </cfRule>
    <cfRule type="containsText" dxfId="4" priority="97" operator="between" text="库存">
      <formula>NOT(ISERROR(SEARCH("库存",AS16)))</formula>
    </cfRule>
  </conditionalFormatting>
  <conditionalFormatting sqref="AS17">
    <cfRule type="cellIs" dxfId="0" priority="310" operator="lessThan">
      <formula>20</formula>
    </cfRule>
    <cfRule type="cellIs" dxfId="1" priority="203" operator="greaterThan">
      <formula>120</formula>
    </cfRule>
    <cfRule type="containsText" dxfId="4" priority="96" operator="between" text="库存">
      <formula>NOT(ISERROR(SEARCH("库存",AS17)))</formula>
    </cfRule>
  </conditionalFormatting>
  <conditionalFormatting sqref="AS18">
    <cfRule type="cellIs" dxfId="0" priority="309" operator="lessThan">
      <formula>20</formula>
    </cfRule>
    <cfRule type="cellIs" dxfId="1" priority="202" operator="greaterThan">
      <formula>120</formula>
    </cfRule>
    <cfRule type="containsText" dxfId="4" priority="95" operator="between" text="库存">
      <formula>NOT(ISERROR(SEARCH("库存",AS18)))</formula>
    </cfRule>
  </conditionalFormatting>
  <conditionalFormatting sqref="AS19">
    <cfRule type="cellIs" dxfId="0" priority="308" operator="lessThan">
      <formula>20</formula>
    </cfRule>
    <cfRule type="cellIs" dxfId="1" priority="201" operator="greaterThan">
      <formula>120</formula>
    </cfRule>
    <cfRule type="containsText" dxfId="4" priority="94" operator="between" text="库存">
      <formula>NOT(ISERROR(SEARCH("库存",AS19)))</formula>
    </cfRule>
  </conditionalFormatting>
  <conditionalFormatting sqref="AS20">
    <cfRule type="cellIs" dxfId="0" priority="307" operator="lessThan">
      <formula>20</formula>
    </cfRule>
    <cfRule type="cellIs" dxfId="1" priority="200" operator="greaterThan">
      <formula>120</formula>
    </cfRule>
    <cfRule type="containsText" dxfId="4" priority="93" operator="between" text="库存">
      <formula>NOT(ISERROR(SEARCH("库存",AS20)))</formula>
    </cfRule>
  </conditionalFormatting>
  <conditionalFormatting sqref="AS21">
    <cfRule type="cellIs" dxfId="0" priority="306" operator="lessThan">
      <formula>20</formula>
    </cfRule>
    <cfRule type="cellIs" dxfId="1" priority="199" operator="greaterThan">
      <formula>120</formula>
    </cfRule>
    <cfRule type="containsText" dxfId="4" priority="92" operator="between" text="库存">
      <formula>NOT(ISERROR(SEARCH("库存",AS21)))</formula>
    </cfRule>
  </conditionalFormatting>
  <conditionalFormatting sqref="AS22">
    <cfRule type="cellIs" dxfId="0" priority="305" operator="lessThan">
      <formula>20</formula>
    </cfRule>
    <cfRule type="cellIs" dxfId="1" priority="198" operator="greaterThan">
      <formula>120</formula>
    </cfRule>
    <cfRule type="containsText" dxfId="4" priority="91" operator="between" text="库存">
      <formula>NOT(ISERROR(SEARCH("库存",AS22)))</formula>
    </cfRule>
  </conditionalFormatting>
  <conditionalFormatting sqref="AS23">
    <cfRule type="cellIs" dxfId="0" priority="304" operator="lessThan">
      <formula>20</formula>
    </cfRule>
    <cfRule type="cellIs" dxfId="1" priority="197" operator="greaterThan">
      <formula>120</formula>
    </cfRule>
    <cfRule type="containsText" dxfId="4" priority="90" operator="between" text="库存">
      <formula>NOT(ISERROR(SEARCH("库存",AS23)))</formula>
    </cfRule>
  </conditionalFormatting>
  <conditionalFormatting sqref="AS24">
    <cfRule type="cellIs" dxfId="0" priority="303" operator="lessThan">
      <formula>20</formula>
    </cfRule>
    <cfRule type="cellIs" dxfId="1" priority="196" operator="greaterThan">
      <formula>120</formula>
    </cfRule>
    <cfRule type="containsText" dxfId="4" priority="89" operator="between" text="库存">
      <formula>NOT(ISERROR(SEARCH("库存",AS24)))</formula>
    </cfRule>
  </conditionalFormatting>
  <conditionalFormatting sqref="AS25">
    <cfRule type="cellIs" dxfId="0" priority="302" operator="lessThan">
      <formula>20</formula>
    </cfRule>
    <cfRule type="cellIs" dxfId="1" priority="195" operator="greaterThan">
      <formula>120</formula>
    </cfRule>
    <cfRule type="containsText" dxfId="4" priority="88" operator="between" text="库存">
      <formula>NOT(ISERROR(SEARCH("库存",AS25)))</formula>
    </cfRule>
  </conditionalFormatting>
  <conditionalFormatting sqref="AS26">
    <cfRule type="cellIs" dxfId="0" priority="301" operator="lessThan">
      <formula>20</formula>
    </cfRule>
    <cfRule type="cellIs" dxfId="1" priority="194" operator="greaterThan">
      <formula>120</formula>
    </cfRule>
    <cfRule type="containsText" dxfId="4" priority="87" operator="between" text="库存">
      <formula>NOT(ISERROR(SEARCH("库存",AS26)))</formula>
    </cfRule>
  </conditionalFormatting>
  <conditionalFormatting sqref="AS27">
    <cfRule type="cellIs" dxfId="0" priority="300" operator="lessThan">
      <formula>20</formula>
    </cfRule>
    <cfRule type="cellIs" dxfId="1" priority="193" operator="greaterThan">
      <formula>120</formula>
    </cfRule>
    <cfRule type="containsText" dxfId="4" priority="86" operator="between" text="库存">
      <formula>NOT(ISERROR(SEARCH("库存",AS27)))</formula>
    </cfRule>
  </conditionalFormatting>
  <conditionalFormatting sqref="AS28">
    <cfRule type="cellIs" dxfId="0" priority="299" operator="lessThan">
      <formula>20</formula>
    </cfRule>
    <cfRule type="cellIs" dxfId="1" priority="192" operator="greaterThan">
      <formula>120</formula>
    </cfRule>
    <cfRule type="containsText" dxfId="4" priority="85" operator="between" text="库存">
      <formula>NOT(ISERROR(SEARCH("库存",AS28)))</formula>
    </cfRule>
  </conditionalFormatting>
  <conditionalFormatting sqref="AS29">
    <cfRule type="cellIs" dxfId="0" priority="298" operator="lessThan">
      <formula>20</formula>
    </cfRule>
    <cfRule type="cellIs" dxfId="1" priority="191" operator="greaterThan">
      <formula>120</formula>
    </cfRule>
    <cfRule type="containsText" dxfId="4" priority="84" operator="between" text="库存">
      <formula>NOT(ISERROR(SEARCH("库存",AS29)))</formula>
    </cfRule>
  </conditionalFormatting>
  <conditionalFormatting sqref="AS30">
    <cfRule type="cellIs" dxfId="0" priority="297" operator="lessThan">
      <formula>20</formula>
    </cfRule>
    <cfRule type="cellIs" dxfId="1" priority="190" operator="greaterThan">
      <formula>120</formula>
    </cfRule>
    <cfRule type="containsText" dxfId="4" priority="83" operator="between" text="库存">
      <formula>NOT(ISERROR(SEARCH("库存",AS30)))</formula>
    </cfRule>
  </conditionalFormatting>
  <conditionalFormatting sqref="AS31">
    <cfRule type="cellIs" dxfId="0" priority="296" operator="lessThan">
      <formula>20</formula>
    </cfRule>
    <cfRule type="cellIs" dxfId="1" priority="189" operator="greaterThan">
      <formula>120</formula>
    </cfRule>
    <cfRule type="containsText" dxfId="4" priority="82" operator="between" text="库存">
      <formula>NOT(ISERROR(SEARCH("库存",AS31)))</formula>
    </cfRule>
  </conditionalFormatting>
  <conditionalFormatting sqref="AS32">
    <cfRule type="cellIs" dxfId="0" priority="295" operator="lessThan">
      <formula>20</formula>
    </cfRule>
    <cfRule type="cellIs" dxfId="1" priority="188" operator="greaterThan">
      <formula>120</formula>
    </cfRule>
    <cfRule type="containsText" dxfId="4" priority="81" operator="between" text="库存">
      <formula>NOT(ISERROR(SEARCH("库存",AS32)))</formula>
    </cfRule>
  </conditionalFormatting>
  <conditionalFormatting sqref="AS33">
    <cfRule type="cellIs" dxfId="0" priority="294" operator="lessThan">
      <formula>20</formula>
    </cfRule>
    <cfRule type="cellIs" dxfId="1" priority="187" operator="greaterThan">
      <formula>120</formula>
    </cfRule>
    <cfRule type="containsText" dxfId="4" priority="80" operator="between" text="库存">
      <formula>NOT(ISERROR(SEARCH("库存",AS33)))</formula>
    </cfRule>
  </conditionalFormatting>
  <conditionalFormatting sqref="AS34">
    <cfRule type="cellIs" dxfId="0" priority="293" operator="lessThan">
      <formula>20</formula>
    </cfRule>
    <cfRule type="cellIs" dxfId="1" priority="186" operator="greaterThan">
      <formula>120</formula>
    </cfRule>
    <cfRule type="containsText" dxfId="4" priority="79" operator="between" text="库存">
      <formula>NOT(ISERROR(SEARCH("库存",AS34)))</formula>
    </cfRule>
  </conditionalFormatting>
  <conditionalFormatting sqref="AS35">
    <cfRule type="cellIs" dxfId="0" priority="292" operator="lessThan">
      <formula>20</formula>
    </cfRule>
    <cfRule type="cellIs" dxfId="1" priority="185" operator="greaterThan">
      <formula>120</formula>
    </cfRule>
    <cfRule type="containsText" dxfId="4" priority="78" operator="between" text="库存">
      <formula>NOT(ISERROR(SEARCH("库存",AS35)))</formula>
    </cfRule>
  </conditionalFormatting>
  <conditionalFormatting sqref="AS36">
    <cfRule type="cellIs" dxfId="0" priority="291" operator="lessThan">
      <formula>20</formula>
    </cfRule>
    <cfRule type="cellIs" dxfId="1" priority="184" operator="greaterThan">
      <formula>120</formula>
    </cfRule>
    <cfRule type="containsText" dxfId="4" priority="77" operator="between" text="库存">
      <formula>NOT(ISERROR(SEARCH("库存",AS36)))</formula>
    </cfRule>
  </conditionalFormatting>
  <conditionalFormatting sqref="AS37">
    <cfRule type="cellIs" dxfId="0" priority="290" operator="lessThan">
      <formula>20</formula>
    </cfRule>
    <cfRule type="cellIs" dxfId="1" priority="183" operator="greaterThan">
      <formula>120</formula>
    </cfRule>
    <cfRule type="containsText" dxfId="4" priority="76" operator="between" text="库存">
      <formula>NOT(ISERROR(SEARCH("库存",AS37)))</formula>
    </cfRule>
  </conditionalFormatting>
  <conditionalFormatting sqref="AS38">
    <cfRule type="cellIs" dxfId="0" priority="289" operator="lessThan">
      <formula>20</formula>
    </cfRule>
    <cfRule type="cellIs" dxfId="1" priority="182" operator="greaterThan">
      <formula>120</formula>
    </cfRule>
    <cfRule type="containsText" dxfId="4" priority="75" operator="between" text="库存">
      <formula>NOT(ISERROR(SEARCH("库存",AS38)))</formula>
    </cfRule>
  </conditionalFormatting>
  <conditionalFormatting sqref="AS39">
    <cfRule type="cellIs" dxfId="0" priority="288" operator="lessThan">
      <formula>20</formula>
    </cfRule>
    <cfRule type="cellIs" dxfId="1" priority="181" operator="greaterThan">
      <formula>120</formula>
    </cfRule>
    <cfRule type="containsText" dxfId="4" priority="74" operator="between" text="库存">
      <formula>NOT(ISERROR(SEARCH("库存",AS39)))</formula>
    </cfRule>
  </conditionalFormatting>
  <conditionalFormatting sqref="AS40">
    <cfRule type="cellIs" dxfId="0" priority="287" operator="lessThan">
      <formula>20</formula>
    </cfRule>
    <cfRule type="cellIs" dxfId="1" priority="180" operator="greaterThan">
      <formula>120</formula>
    </cfRule>
    <cfRule type="containsText" dxfId="4" priority="73" operator="between" text="库存">
      <formula>NOT(ISERROR(SEARCH("库存",AS40)))</formula>
    </cfRule>
  </conditionalFormatting>
  <conditionalFormatting sqref="AS41">
    <cfRule type="cellIs" dxfId="0" priority="286" operator="lessThan">
      <formula>20</formula>
    </cfRule>
    <cfRule type="cellIs" dxfId="1" priority="179" operator="greaterThan">
      <formula>120</formula>
    </cfRule>
    <cfRule type="containsText" dxfId="4" priority="72" operator="between" text="库存">
      <formula>NOT(ISERROR(SEARCH("库存",AS41)))</formula>
    </cfRule>
  </conditionalFormatting>
  <conditionalFormatting sqref="AS42">
    <cfRule type="cellIs" dxfId="0" priority="285" operator="lessThan">
      <formula>20</formula>
    </cfRule>
    <cfRule type="cellIs" dxfId="1" priority="178" operator="greaterThan">
      <formula>120</formula>
    </cfRule>
    <cfRule type="containsText" dxfId="4" priority="71" operator="between" text="库存">
      <formula>NOT(ISERROR(SEARCH("库存",AS42)))</formula>
    </cfRule>
  </conditionalFormatting>
  <conditionalFormatting sqref="AS43">
    <cfRule type="cellIs" dxfId="0" priority="284" operator="lessThan">
      <formula>20</formula>
    </cfRule>
    <cfRule type="cellIs" dxfId="1" priority="177" operator="greaterThan">
      <formula>120</formula>
    </cfRule>
    <cfRule type="containsText" dxfId="4" priority="70" operator="between" text="库存">
      <formula>NOT(ISERROR(SEARCH("库存",AS43)))</formula>
    </cfRule>
  </conditionalFormatting>
  <conditionalFormatting sqref="AS44">
    <cfRule type="cellIs" dxfId="0" priority="283" operator="lessThan">
      <formula>20</formula>
    </cfRule>
    <cfRule type="cellIs" dxfId="1" priority="176" operator="greaterThan">
      <formula>120</formula>
    </cfRule>
    <cfRule type="containsText" dxfId="4" priority="69" operator="between" text="库存">
      <formula>NOT(ISERROR(SEARCH("库存",AS44)))</formula>
    </cfRule>
  </conditionalFormatting>
  <conditionalFormatting sqref="AS45">
    <cfRule type="cellIs" dxfId="0" priority="282" operator="lessThan">
      <formula>20</formula>
    </cfRule>
    <cfRule type="cellIs" dxfId="1" priority="175" operator="greaterThan">
      <formula>120</formula>
    </cfRule>
    <cfRule type="containsText" dxfId="4" priority="68" operator="between" text="库存">
      <formula>NOT(ISERROR(SEARCH("库存",AS45)))</formula>
    </cfRule>
  </conditionalFormatting>
  <conditionalFormatting sqref="AS46">
    <cfRule type="cellIs" dxfId="0" priority="281" operator="lessThan">
      <formula>20</formula>
    </cfRule>
    <cfRule type="cellIs" dxfId="1" priority="174" operator="greaterThan">
      <formula>120</formula>
    </cfRule>
    <cfRule type="containsText" dxfId="4" priority="67" operator="between" text="库存">
      <formula>NOT(ISERROR(SEARCH("库存",AS46)))</formula>
    </cfRule>
  </conditionalFormatting>
  <conditionalFormatting sqref="AS47">
    <cfRule type="cellIs" dxfId="0" priority="280" operator="lessThan">
      <formula>20</formula>
    </cfRule>
    <cfRule type="cellIs" dxfId="1" priority="173" operator="greaterThan">
      <formula>120</formula>
    </cfRule>
    <cfRule type="containsText" dxfId="4" priority="66" operator="between" text="库存">
      <formula>NOT(ISERROR(SEARCH("库存",AS47)))</formula>
    </cfRule>
  </conditionalFormatting>
  <conditionalFormatting sqref="AS48">
    <cfRule type="cellIs" dxfId="0" priority="279" operator="lessThan">
      <formula>20</formula>
    </cfRule>
    <cfRule type="cellIs" dxfId="1" priority="172" operator="greaterThan">
      <formula>120</formula>
    </cfRule>
    <cfRule type="containsText" dxfId="4" priority="65" operator="between" text="库存">
      <formula>NOT(ISERROR(SEARCH("库存",AS48)))</formula>
    </cfRule>
  </conditionalFormatting>
  <conditionalFormatting sqref="AS49">
    <cfRule type="cellIs" dxfId="0" priority="278" operator="lessThan">
      <formula>20</formula>
    </cfRule>
    <cfRule type="cellIs" dxfId="1" priority="171" operator="greaterThan">
      <formula>120</formula>
    </cfRule>
    <cfRule type="containsText" dxfId="4" priority="64" operator="between" text="库存">
      <formula>NOT(ISERROR(SEARCH("库存",AS49)))</formula>
    </cfRule>
  </conditionalFormatting>
  <conditionalFormatting sqref="AS50">
    <cfRule type="cellIs" dxfId="0" priority="277" operator="lessThan">
      <formula>20</formula>
    </cfRule>
    <cfRule type="cellIs" dxfId="1" priority="170" operator="greaterThan">
      <formula>120</formula>
    </cfRule>
    <cfRule type="containsText" dxfId="4" priority="63" operator="between" text="库存">
      <formula>NOT(ISERROR(SEARCH("库存",AS50)))</formula>
    </cfRule>
  </conditionalFormatting>
  <conditionalFormatting sqref="AS51">
    <cfRule type="cellIs" dxfId="0" priority="276" operator="lessThan">
      <formula>20</formula>
    </cfRule>
    <cfRule type="cellIs" dxfId="1" priority="169" operator="greaterThan">
      <formula>120</formula>
    </cfRule>
    <cfRule type="containsText" dxfId="4" priority="62" operator="between" text="库存">
      <formula>NOT(ISERROR(SEARCH("库存",AS51)))</formula>
    </cfRule>
  </conditionalFormatting>
  <conditionalFormatting sqref="AS52">
    <cfRule type="cellIs" dxfId="0" priority="275" operator="lessThan">
      <formula>20</formula>
    </cfRule>
    <cfRule type="cellIs" dxfId="1" priority="168" operator="greaterThan">
      <formula>120</formula>
    </cfRule>
    <cfRule type="containsText" dxfId="4" priority="61" operator="between" text="库存">
      <formula>NOT(ISERROR(SEARCH("库存",AS52)))</formula>
    </cfRule>
  </conditionalFormatting>
  <conditionalFormatting sqref="AS53">
    <cfRule type="cellIs" dxfId="0" priority="274" operator="lessThan">
      <formula>20</formula>
    </cfRule>
    <cfRule type="cellIs" dxfId="1" priority="167" operator="greaterThan">
      <formula>120</formula>
    </cfRule>
    <cfRule type="containsText" dxfId="4" priority="60" operator="between" text="库存">
      <formula>NOT(ISERROR(SEARCH("库存",AS53)))</formula>
    </cfRule>
  </conditionalFormatting>
  <conditionalFormatting sqref="AS54">
    <cfRule type="cellIs" dxfId="0" priority="273" operator="lessThan">
      <formula>20</formula>
    </cfRule>
    <cfRule type="cellIs" dxfId="1" priority="166" operator="greaterThan">
      <formula>120</formula>
    </cfRule>
    <cfRule type="containsText" dxfId="4" priority="59" operator="between" text="库存">
      <formula>NOT(ISERROR(SEARCH("库存",AS54)))</formula>
    </cfRule>
  </conditionalFormatting>
  <conditionalFormatting sqref="AS55">
    <cfRule type="cellIs" dxfId="0" priority="272" operator="lessThan">
      <formula>20</formula>
    </cfRule>
    <cfRule type="cellIs" dxfId="1" priority="165" operator="greaterThan">
      <formula>120</formula>
    </cfRule>
    <cfRule type="containsText" dxfId="4" priority="58" operator="between" text="库存">
      <formula>NOT(ISERROR(SEARCH("库存",AS55)))</formula>
    </cfRule>
  </conditionalFormatting>
  <conditionalFormatting sqref="AS56">
    <cfRule type="cellIs" dxfId="0" priority="271" operator="lessThan">
      <formula>20</formula>
    </cfRule>
    <cfRule type="cellIs" dxfId="1" priority="164" operator="greaterThan">
      <formula>120</formula>
    </cfRule>
    <cfRule type="containsText" dxfId="4" priority="57" operator="between" text="库存">
      <formula>NOT(ISERROR(SEARCH("库存",AS56)))</formula>
    </cfRule>
  </conditionalFormatting>
  <conditionalFormatting sqref="AS57">
    <cfRule type="cellIs" dxfId="0" priority="270" operator="lessThan">
      <formula>20</formula>
    </cfRule>
    <cfRule type="cellIs" dxfId="1" priority="163" operator="greaterThan">
      <formula>120</formula>
    </cfRule>
    <cfRule type="containsText" dxfId="4" priority="56" operator="between" text="库存">
      <formula>NOT(ISERROR(SEARCH("库存",AS57)))</formula>
    </cfRule>
  </conditionalFormatting>
  <conditionalFormatting sqref="AS58">
    <cfRule type="cellIs" dxfId="0" priority="269" operator="lessThan">
      <formula>20</formula>
    </cfRule>
    <cfRule type="cellIs" dxfId="1" priority="162" operator="greaterThan">
      <formula>120</formula>
    </cfRule>
    <cfRule type="containsText" dxfId="4" priority="55" operator="between" text="库存">
      <formula>NOT(ISERROR(SEARCH("库存",AS58)))</formula>
    </cfRule>
  </conditionalFormatting>
  <conditionalFormatting sqref="AS59">
    <cfRule type="cellIs" dxfId="0" priority="268" operator="lessThan">
      <formula>20</formula>
    </cfRule>
    <cfRule type="cellIs" dxfId="1" priority="161" operator="greaterThan">
      <formula>120</formula>
    </cfRule>
    <cfRule type="containsText" dxfId="4" priority="54" operator="between" text="库存">
      <formula>NOT(ISERROR(SEARCH("库存",AS59)))</formula>
    </cfRule>
  </conditionalFormatting>
  <conditionalFormatting sqref="AS60">
    <cfRule type="cellIs" dxfId="0" priority="267" operator="lessThan">
      <formula>20</formula>
    </cfRule>
    <cfRule type="cellIs" dxfId="1" priority="160" operator="greaterThan">
      <formula>120</formula>
    </cfRule>
    <cfRule type="containsText" dxfId="4" priority="53" operator="between" text="库存">
      <formula>NOT(ISERROR(SEARCH("库存",AS60)))</formula>
    </cfRule>
  </conditionalFormatting>
  <conditionalFormatting sqref="AS61">
    <cfRule type="cellIs" dxfId="0" priority="266" operator="lessThan">
      <formula>20</formula>
    </cfRule>
    <cfRule type="cellIs" dxfId="1" priority="159" operator="greaterThan">
      <formula>120</formula>
    </cfRule>
    <cfRule type="containsText" dxfId="4" priority="52" operator="between" text="库存">
      <formula>NOT(ISERROR(SEARCH("库存",AS61)))</formula>
    </cfRule>
  </conditionalFormatting>
  <conditionalFormatting sqref="AS62">
    <cfRule type="cellIs" dxfId="0" priority="265" operator="lessThan">
      <formula>20</formula>
    </cfRule>
    <cfRule type="cellIs" dxfId="1" priority="158" operator="greaterThan">
      <formula>120</formula>
    </cfRule>
    <cfRule type="containsText" dxfId="4" priority="51" operator="between" text="库存">
      <formula>NOT(ISERROR(SEARCH("库存",AS62)))</formula>
    </cfRule>
  </conditionalFormatting>
  <conditionalFormatting sqref="AS63">
    <cfRule type="cellIs" dxfId="0" priority="264" operator="lessThan">
      <formula>20</formula>
    </cfRule>
    <cfRule type="cellIs" dxfId="1" priority="157" operator="greaterThan">
      <formula>120</formula>
    </cfRule>
    <cfRule type="containsText" dxfId="4" priority="50" operator="between" text="库存">
      <formula>NOT(ISERROR(SEARCH("库存",AS63)))</formula>
    </cfRule>
  </conditionalFormatting>
  <conditionalFormatting sqref="AS64">
    <cfRule type="cellIs" dxfId="0" priority="263" operator="lessThan">
      <formula>20</formula>
    </cfRule>
    <cfRule type="cellIs" dxfId="1" priority="156" operator="greaterThan">
      <formula>120</formula>
    </cfRule>
    <cfRule type="containsText" dxfId="4" priority="49" operator="between" text="库存">
      <formula>NOT(ISERROR(SEARCH("库存",AS64)))</formula>
    </cfRule>
  </conditionalFormatting>
  <conditionalFormatting sqref="AS65">
    <cfRule type="cellIs" dxfId="0" priority="262" operator="lessThan">
      <formula>20</formula>
    </cfRule>
    <cfRule type="cellIs" dxfId="1" priority="155" operator="greaterThan">
      <formula>120</formula>
    </cfRule>
    <cfRule type="containsText" dxfId="4" priority="48" operator="between" text="库存">
      <formula>NOT(ISERROR(SEARCH("库存",AS65)))</formula>
    </cfRule>
  </conditionalFormatting>
  <conditionalFormatting sqref="AS66">
    <cfRule type="cellIs" dxfId="0" priority="261" operator="lessThan">
      <formula>20</formula>
    </cfRule>
    <cfRule type="cellIs" dxfId="1" priority="154" operator="greaterThan">
      <formula>120</formula>
    </cfRule>
    <cfRule type="containsText" dxfId="4" priority="47" operator="between" text="库存">
      <formula>NOT(ISERROR(SEARCH("库存",AS66)))</formula>
    </cfRule>
  </conditionalFormatting>
  <conditionalFormatting sqref="AS67">
    <cfRule type="cellIs" dxfId="0" priority="260" operator="lessThan">
      <formula>20</formula>
    </cfRule>
    <cfRule type="cellIs" dxfId="1" priority="153" operator="greaterThan">
      <formula>120</formula>
    </cfRule>
    <cfRule type="containsText" dxfId="4" priority="46" operator="between" text="库存">
      <formula>NOT(ISERROR(SEARCH("库存",AS67)))</formula>
    </cfRule>
  </conditionalFormatting>
  <conditionalFormatting sqref="AS68">
    <cfRule type="cellIs" dxfId="0" priority="259" operator="lessThan">
      <formula>20</formula>
    </cfRule>
    <cfRule type="cellIs" dxfId="1" priority="152" operator="greaterThan">
      <formula>120</formula>
    </cfRule>
    <cfRule type="containsText" dxfId="4" priority="45" operator="between" text="库存">
      <formula>NOT(ISERROR(SEARCH("库存",AS68)))</formula>
    </cfRule>
  </conditionalFormatting>
  <conditionalFormatting sqref="AS69">
    <cfRule type="cellIs" dxfId="0" priority="258" operator="lessThan">
      <formula>20</formula>
    </cfRule>
    <cfRule type="cellIs" dxfId="1" priority="151" operator="greaterThan">
      <formula>120</formula>
    </cfRule>
    <cfRule type="containsText" dxfId="4" priority="44" operator="between" text="库存">
      <formula>NOT(ISERROR(SEARCH("库存",AS69)))</formula>
    </cfRule>
  </conditionalFormatting>
  <conditionalFormatting sqref="AS70">
    <cfRule type="cellIs" dxfId="0" priority="257" operator="lessThan">
      <formula>20</formula>
    </cfRule>
    <cfRule type="cellIs" dxfId="1" priority="150" operator="greaterThan">
      <formula>120</formula>
    </cfRule>
    <cfRule type="containsText" dxfId="4" priority="43" operator="between" text="库存">
      <formula>NOT(ISERROR(SEARCH("库存",AS70)))</formula>
    </cfRule>
  </conditionalFormatting>
  <conditionalFormatting sqref="AS71">
    <cfRule type="cellIs" dxfId="0" priority="256" operator="lessThan">
      <formula>20</formula>
    </cfRule>
    <cfRule type="cellIs" dxfId="1" priority="149" operator="greaterThan">
      <formula>120</formula>
    </cfRule>
    <cfRule type="containsText" dxfId="4" priority="42" operator="between" text="库存">
      <formula>NOT(ISERROR(SEARCH("库存",AS71)))</formula>
    </cfRule>
  </conditionalFormatting>
  <conditionalFormatting sqref="AS72">
    <cfRule type="cellIs" dxfId="0" priority="255" operator="lessThan">
      <formula>20</formula>
    </cfRule>
    <cfRule type="cellIs" dxfId="1" priority="148" operator="greaterThan">
      <formula>120</formula>
    </cfRule>
    <cfRule type="containsText" dxfId="4" priority="41" operator="between" text="库存">
      <formula>NOT(ISERROR(SEARCH("库存",AS72)))</formula>
    </cfRule>
  </conditionalFormatting>
  <conditionalFormatting sqref="AS73">
    <cfRule type="cellIs" dxfId="0" priority="254" operator="lessThan">
      <formula>20</formula>
    </cfRule>
    <cfRule type="cellIs" dxfId="1" priority="147" operator="greaterThan">
      <formula>120</formula>
    </cfRule>
    <cfRule type="containsText" dxfId="4" priority="40" operator="between" text="库存">
      <formula>NOT(ISERROR(SEARCH("库存",AS73)))</formula>
    </cfRule>
  </conditionalFormatting>
  <conditionalFormatting sqref="AS74">
    <cfRule type="cellIs" dxfId="0" priority="253" operator="lessThan">
      <formula>20</formula>
    </cfRule>
    <cfRule type="cellIs" dxfId="1" priority="146" operator="greaterThan">
      <formula>120</formula>
    </cfRule>
    <cfRule type="containsText" dxfId="4" priority="39" operator="between" text="库存">
      <formula>NOT(ISERROR(SEARCH("库存",AS74)))</formula>
    </cfRule>
  </conditionalFormatting>
  <conditionalFormatting sqref="AS75">
    <cfRule type="cellIs" dxfId="0" priority="252" operator="lessThan">
      <formula>20</formula>
    </cfRule>
    <cfRule type="cellIs" dxfId="1" priority="145" operator="greaterThan">
      <formula>120</formula>
    </cfRule>
    <cfRule type="containsText" dxfId="4" priority="38" operator="between" text="库存">
      <formula>NOT(ISERROR(SEARCH("库存",AS75)))</formula>
    </cfRule>
  </conditionalFormatting>
  <conditionalFormatting sqref="AS76">
    <cfRule type="cellIs" dxfId="0" priority="251" operator="lessThan">
      <formula>20</formula>
    </cfRule>
    <cfRule type="cellIs" dxfId="1" priority="144" operator="greaterThan">
      <formula>120</formula>
    </cfRule>
    <cfRule type="containsText" dxfId="4" priority="37" operator="between" text="库存">
      <formula>NOT(ISERROR(SEARCH("库存",AS76)))</formula>
    </cfRule>
  </conditionalFormatting>
  <conditionalFormatting sqref="AS77">
    <cfRule type="cellIs" dxfId="0" priority="250" operator="lessThan">
      <formula>20</formula>
    </cfRule>
    <cfRule type="cellIs" dxfId="1" priority="143" operator="greaterThan">
      <formula>120</formula>
    </cfRule>
    <cfRule type="containsText" dxfId="4" priority="36" operator="between" text="库存">
      <formula>NOT(ISERROR(SEARCH("库存",AS77)))</formula>
    </cfRule>
  </conditionalFormatting>
  <conditionalFormatting sqref="AS78">
    <cfRule type="cellIs" dxfId="0" priority="249" operator="lessThan">
      <formula>20</formula>
    </cfRule>
    <cfRule type="cellIs" dxfId="1" priority="142" operator="greaterThan">
      <formula>120</formula>
    </cfRule>
    <cfRule type="containsText" dxfId="4" priority="35" operator="between" text="库存">
      <formula>NOT(ISERROR(SEARCH("库存",AS78)))</formula>
    </cfRule>
  </conditionalFormatting>
  <conditionalFormatting sqref="AS79">
    <cfRule type="cellIs" dxfId="0" priority="248" operator="lessThan">
      <formula>20</formula>
    </cfRule>
    <cfRule type="cellIs" dxfId="1" priority="141" operator="greaterThan">
      <formula>120</formula>
    </cfRule>
    <cfRule type="containsText" dxfId="4" priority="34" operator="between" text="库存">
      <formula>NOT(ISERROR(SEARCH("库存",AS79)))</formula>
    </cfRule>
  </conditionalFormatting>
  <conditionalFormatting sqref="AS80">
    <cfRule type="cellIs" dxfId="0" priority="247" operator="lessThan">
      <formula>20</formula>
    </cfRule>
    <cfRule type="cellIs" dxfId="1" priority="140" operator="greaterThan">
      <formula>120</formula>
    </cfRule>
    <cfRule type="containsText" dxfId="4" priority="33" operator="between" text="库存">
      <formula>NOT(ISERROR(SEARCH("库存",AS80)))</formula>
    </cfRule>
  </conditionalFormatting>
  <conditionalFormatting sqref="AS81">
    <cfRule type="cellIs" dxfId="0" priority="246" operator="lessThan">
      <formula>20</formula>
    </cfRule>
    <cfRule type="cellIs" dxfId="1" priority="139" operator="greaterThan">
      <formula>120</formula>
    </cfRule>
    <cfRule type="containsText" dxfId="4" priority="32" operator="between" text="库存">
      <formula>NOT(ISERROR(SEARCH("库存",AS81)))</formula>
    </cfRule>
  </conditionalFormatting>
  <conditionalFormatting sqref="AS82">
    <cfRule type="cellIs" dxfId="0" priority="245" operator="lessThan">
      <formula>20</formula>
    </cfRule>
    <cfRule type="cellIs" dxfId="1" priority="138" operator="greaterThan">
      <formula>120</formula>
    </cfRule>
    <cfRule type="containsText" dxfId="4" priority="31" operator="between" text="库存">
      <formula>NOT(ISERROR(SEARCH("库存",AS82)))</formula>
    </cfRule>
  </conditionalFormatting>
  <conditionalFormatting sqref="AS83">
    <cfRule type="cellIs" dxfId="0" priority="244" operator="lessThan">
      <formula>20</formula>
    </cfRule>
    <cfRule type="cellIs" dxfId="1" priority="137" operator="greaterThan">
      <formula>120</formula>
    </cfRule>
    <cfRule type="containsText" dxfId="4" priority="30" operator="between" text="库存">
      <formula>NOT(ISERROR(SEARCH("库存",AS83)))</formula>
    </cfRule>
  </conditionalFormatting>
  <conditionalFormatting sqref="AS84">
    <cfRule type="cellIs" dxfId="0" priority="243" operator="lessThan">
      <formula>20</formula>
    </cfRule>
    <cfRule type="cellIs" dxfId="1" priority="136" operator="greaterThan">
      <formula>120</formula>
    </cfRule>
    <cfRule type="containsText" dxfId="4" priority="29" operator="between" text="库存">
      <formula>NOT(ISERROR(SEARCH("库存",AS84)))</formula>
    </cfRule>
  </conditionalFormatting>
  <conditionalFormatting sqref="AS85">
    <cfRule type="cellIs" dxfId="0" priority="242" operator="lessThan">
      <formula>20</formula>
    </cfRule>
    <cfRule type="cellIs" dxfId="1" priority="135" operator="greaterThan">
      <formula>120</formula>
    </cfRule>
    <cfRule type="containsText" dxfId="4" priority="28" operator="between" text="库存">
      <formula>NOT(ISERROR(SEARCH("库存",AS85)))</formula>
    </cfRule>
  </conditionalFormatting>
  <conditionalFormatting sqref="AS86">
    <cfRule type="cellIs" dxfId="0" priority="241" operator="lessThan">
      <formula>20</formula>
    </cfRule>
    <cfRule type="cellIs" dxfId="1" priority="134" operator="greaterThan">
      <formula>120</formula>
    </cfRule>
    <cfRule type="containsText" dxfId="4" priority="27" operator="between" text="库存">
      <formula>NOT(ISERROR(SEARCH("库存",AS86)))</formula>
    </cfRule>
  </conditionalFormatting>
  <conditionalFormatting sqref="AS87">
    <cfRule type="cellIs" dxfId="0" priority="240" operator="lessThan">
      <formula>20</formula>
    </cfRule>
    <cfRule type="cellIs" dxfId="1" priority="133" operator="greaterThan">
      <formula>120</formula>
    </cfRule>
    <cfRule type="containsText" dxfId="4" priority="26" operator="between" text="库存">
      <formula>NOT(ISERROR(SEARCH("库存",AS87)))</formula>
    </cfRule>
  </conditionalFormatting>
  <conditionalFormatting sqref="AS88">
    <cfRule type="cellIs" dxfId="0" priority="239" operator="lessThan">
      <formula>20</formula>
    </cfRule>
    <cfRule type="cellIs" dxfId="1" priority="132" operator="greaterThan">
      <formula>120</formula>
    </cfRule>
    <cfRule type="containsText" dxfId="4" priority="25" operator="between" text="库存">
      <formula>NOT(ISERROR(SEARCH("库存",AS88)))</formula>
    </cfRule>
  </conditionalFormatting>
  <conditionalFormatting sqref="AS89">
    <cfRule type="cellIs" dxfId="0" priority="238" operator="lessThan">
      <formula>20</formula>
    </cfRule>
    <cfRule type="cellIs" dxfId="1" priority="131" operator="greaterThan">
      <formula>120</formula>
    </cfRule>
    <cfRule type="containsText" dxfId="4" priority="24" operator="between" text="库存">
      <formula>NOT(ISERROR(SEARCH("库存",AS89)))</formula>
    </cfRule>
  </conditionalFormatting>
  <conditionalFormatting sqref="AS90">
    <cfRule type="cellIs" dxfId="0" priority="237" operator="lessThan">
      <formula>20</formula>
    </cfRule>
    <cfRule type="cellIs" dxfId="1" priority="130" operator="greaterThan">
      <formula>120</formula>
    </cfRule>
    <cfRule type="containsText" dxfId="4" priority="23" operator="between" text="库存">
      <formula>NOT(ISERROR(SEARCH("库存",AS90)))</formula>
    </cfRule>
  </conditionalFormatting>
  <conditionalFormatting sqref="AS91">
    <cfRule type="cellIs" dxfId="0" priority="236" operator="lessThan">
      <formula>20</formula>
    </cfRule>
    <cfRule type="cellIs" dxfId="1" priority="129" operator="greaterThan">
      <formula>120</formula>
    </cfRule>
    <cfRule type="containsText" dxfId="4" priority="22" operator="between" text="库存">
      <formula>NOT(ISERROR(SEARCH("库存",AS91)))</formula>
    </cfRule>
  </conditionalFormatting>
  <conditionalFormatting sqref="AS92">
    <cfRule type="cellIs" dxfId="0" priority="235" operator="lessThan">
      <formula>20</formula>
    </cfRule>
    <cfRule type="cellIs" dxfId="1" priority="128" operator="greaterThan">
      <formula>120</formula>
    </cfRule>
    <cfRule type="containsText" dxfId="4" priority="21" operator="between" text="库存">
      <formula>NOT(ISERROR(SEARCH("库存",AS92)))</formula>
    </cfRule>
  </conditionalFormatting>
  <conditionalFormatting sqref="AS93">
    <cfRule type="cellIs" dxfId="0" priority="234" operator="lessThan">
      <formula>20</formula>
    </cfRule>
    <cfRule type="cellIs" dxfId="1" priority="127" operator="greaterThan">
      <formula>120</formula>
    </cfRule>
    <cfRule type="containsText" dxfId="4" priority="20" operator="between" text="库存">
      <formula>NOT(ISERROR(SEARCH("库存",AS93)))</formula>
    </cfRule>
  </conditionalFormatting>
  <conditionalFormatting sqref="AS94">
    <cfRule type="cellIs" dxfId="0" priority="233" operator="lessThan">
      <formula>20</formula>
    </cfRule>
    <cfRule type="cellIs" dxfId="1" priority="126" operator="greaterThan">
      <formula>120</formula>
    </cfRule>
    <cfRule type="containsText" dxfId="4" priority="19" operator="between" text="库存">
      <formula>NOT(ISERROR(SEARCH("库存",AS94)))</formula>
    </cfRule>
  </conditionalFormatting>
  <conditionalFormatting sqref="AS95">
    <cfRule type="cellIs" dxfId="0" priority="232" operator="lessThan">
      <formula>20</formula>
    </cfRule>
    <cfRule type="cellIs" dxfId="1" priority="125" operator="greaterThan">
      <formula>120</formula>
    </cfRule>
    <cfRule type="containsText" dxfId="4" priority="18" operator="between" text="库存">
      <formula>NOT(ISERROR(SEARCH("库存",AS95)))</formula>
    </cfRule>
  </conditionalFormatting>
  <conditionalFormatting sqref="AS96">
    <cfRule type="cellIs" dxfId="0" priority="231" operator="lessThan">
      <formula>20</formula>
    </cfRule>
    <cfRule type="cellIs" dxfId="1" priority="124" operator="greaterThan">
      <formula>120</formula>
    </cfRule>
    <cfRule type="containsText" dxfId="4" priority="17" operator="between" text="库存">
      <formula>NOT(ISERROR(SEARCH("库存",AS96)))</formula>
    </cfRule>
  </conditionalFormatting>
  <conditionalFormatting sqref="AS97">
    <cfRule type="cellIs" dxfId="0" priority="230" operator="lessThan">
      <formula>20</formula>
    </cfRule>
    <cfRule type="cellIs" dxfId="1" priority="123" operator="greaterThan">
      <formula>120</formula>
    </cfRule>
    <cfRule type="containsText" dxfId="4" priority="16" operator="between" text="库存">
      <formula>NOT(ISERROR(SEARCH("库存",AS97)))</formula>
    </cfRule>
  </conditionalFormatting>
  <conditionalFormatting sqref="AS98">
    <cfRule type="cellIs" dxfId="0" priority="229" operator="lessThan">
      <formula>20</formula>
    </cfRule>
    <cfRule type="cellIs" dxfId="1" priority="122" operator="greaterThan">
      <formula>120</formula>
    </cfRule>
    <cfRule type="containsText" dxfId="4" priority="15" operator="between" text="库存">
      <formula>NOT(ISERROR(SEARCH("库存",AS98)))</formula>
    </cfRule>
  </conditionalFormatting>
  <conditionalFormatting sqref="AS99">
    <cfRule type="cellIs" dxfId="0" priority="228" operator="lessThan">
      <formula>20</formula>
    </cfRule>
    <cfRule type="cellIs" dxfId="1" priority="121" operator="greaterThan">
      <formula>120</formula>
    </cfRule>
    <cfRule type="containsText" dxfId="4" priority="14" operator="between" text="库存">
      <formula>NOT(ISERROR(SEARCH("库存",AS99)))</formula>
    </cfRule>
  </conditionalFormatting>
  <conditionalFormatting sqref="AS100">
    <cfRule type="cellIs" dxfId="0" priority="227" operator="lessThan">
      <formula>20</formula>
    </cfRule>
    <cfRule type="cellIs" dxfId="1" priority="120" operator="greaterThan">
      <formula>120</formula>
    </cfRule>
    <cfRule type="containsText" dxfId="4" priority="13" operator="between" text="库存">
      <formula>NOT(ISERROR(SEARCH("库存",AS100)))</formula>
    </cfRule>
  </conditionalFormatting>
  <conditionalFormatting sqref="AS101">
    <cfRule type="cellIs" dxfId="0" priority="226" operator="lessThan">
      <formula>20</formula>
    </cfRule>
    <cfRule type="cellIs" dxfId="1" priority="119" operator="greaterThan">
      <formula>120</formula>
    </cfRule>
    <cfRule type="containsText" dxfId="4" priority="12" operator="between" text="库存">
      <formula>NOT(ISERROR(SEARCH("库存",AS101)))</formula>
    </cfRule>
  </conditionalFormatting>
  <conditionalFormatting sqref="AS102">
    <cfRule type="cellIs" dxfId="0" priority="225" operator="lessThan">
      <formula>20</formula>
    </cfRule>
    <cfRule type="cellIs" dxfId="1" priority="118" operator="greaterThan">
      <formula>120</formula>
    </cfRule>
    <cfRule type="containsText" dxfId="4" priority="11" operator="between" text="库存">
      <formula>NOT(ISERROR(SEARCH("库存",AS102)))</formula>
    </cfRule>
  </conditionalFormatting>
  <conditionalFormatting sqref="AS103">
    <cfRule type="cellIs" dxfId="0" priority="224" operator="lessThan">
      <formula>20</formula>
    </cfRule>
    <cfRule type="cellIs" dxfId="1" priority="117" operator="greaterThan">
      <formula>120</formula>
    </cfRule>
    <cfRule type="containsText" dxfId="4" priority="10" operator="between" text="库存">
      <formula>NOT(ISERROR(SEARCH("库存",AS103)))</formula>
    </cfRule>
  </conditionalFormatting>
  <conditionalFormatting sqref="AS104">
    <cfRule type="cellIs" dxfId="0" priority="223" operator="lessThan">
      <formula>20</formula>
    </cfRule>
    <cfRule type="cellIs" dxfId="1" priority="116" operator="greaterThan">
      <formula>120</formula>
    </cfRule>
    <cfRule type="containsText" dxfId="4" priority="9" operator="between" text="库存">
      <formula>NOT(ISERROR(SEARCH("库存",AS104)))</formula>
    </cfRule>
  </conditionalFormatting>
  <conditionalFormatting sqref="AS105">
    <cfRule type="cellIs" dxfId="0" priority="222" operator="lessThan">
      <formula>20</formula>
    </cfRule>
    <cfRule type="cellIs" dxfId="1" priority="115" operator="greaterThan">
      <formula>120</formula>
    </cfRule>
    <cfRule type="containsText" dxfId="4" priority="8" operator="between" text="库存">
      <formula>NOT(ISERROR(SEARCH("库存",AS105)))</formula>
    </cfRule>
  </conditionalFormatting>
  <conditionalFormatting sqref="AS106">
    <cfRule type="cellIs" dxfId="0" priority="221" operator="lessThan">
      <formula>20</formula>
    </cfRule>
    <cfRule type="cellIs" dxfId="1" priority="114" operator="greaterThan">
      <formula>120</formula>
    </cfRule>
    <cfRule type="containsText" dxfId="4" priority="7" operator="between" text="库存">
      <formula>NOT(ISERROR(SEARCH("库存",AS106)))</formula>
    </cfRule>
  </conditionalFormatting>
  <conditionalFormatting sqref="AS107">
    <cfRule type="cellIs" dxfId="0" priority="220" operator="lessThan">
      <formula>20</formula>
    </cfRule>
    <cfRule type="cellIs" dxfId="1" priority="113" operator="greaterThan">
      <formula>120</formula>
    </cfRule>
    <cfRule type="containsText" dxfId="4" priority="6" operator="between" text="库存">
      <formula>NOT(ISERROR(SEARCH("库存",AS107)))</formula>
    </cfRule>
  </conditionalFormatting>
  <conditionalFormatting sqref="AS108">
    <cfRule type="cellIs" dxfId="0" priority="219" operator="lessThan">
      <formula>20</formula>
    </cfRule>
    <cfRule type="cellIs" dxfId="1" priority="112" operator="greaterThan">
      <formula>120</formula>
    </cfRule>
    <cfRule type="containsText" dxfId="4" priority="5" operator="between" text="库存">
      <formula>NOT(ISERROR(SEARCH("库存",AS108)))</formula>
    </cfRule>
  </conditionalFormatting>
  <conditionalFormatting sqref="AS109">
    <cfRule type="cellIs" dxfId="0" priority="218" operator="lessThan">
      <formula>20</formula>
    </cfRule>
    <cfRule type="cellIs" dxfId="1" priority="111" operator="greaterThan">
      <formula>120</formula>
    </cfRule>
    <cfRule type="containsText" dxfId="4" priority="4" operator="between" text="库存">
      <formula>NOT(ISERROR(SEARCH("库存",AS109)))</formula>
    </cfRule>
  </conditionalFormatting>
  <conditionalFormatting sqref="AS110">
    <cfRule type="cellIs" dxfId="0" priority="217" operator="lessThan">
      <formula>20</formula>
    </cfRule>
    <cfRule type="cellIs" dxfId="1" priority="110" operator="greaterThan">
      <formula>120</formula>
    </cfRule>
    <cfRule type="containsText" dxfId="4" priority="3" operator="between" text="库存">
      <formula>NOT(ISERROR(SEARCH("库存",AS110)))</formula>
    </cfRule>
  </conditionalFormatting>
  <conditionalFormatting sqref="AS111">
    <cfRule type="cellIs" dxfId="0" priority="216" operator="lessThan">
      <formula>20</formula>
    </cfRule>
    <cfRule type="cellIs" dxfId="1" priority="109" operator="greaterThan">
      <formula>120</formula>
    </cfRule>
    <cfRule type="containsText" dxfId="4" priority="2" operator="between" text="库存">
      <formula>NOT(ISERROR(SEARCH("库存",AS111)))</formula>
    </cfRule>
  </conditionalFormatting>
  <conditionalFormatting sqref="AS112">
    <cfRule type="cellIs" dxfId="0" priority="215" operator="lessThan">
      <formula>20</formula>
    </cfRule>
    <cfRule type="cellIs" dxfId="1" priority="108" operator="greaterThan">
      <formula>120</formula>
    </cfRule>
    <cfRule type="containsText" dxfId="4" priority="1" operator="between" text="库存">
      <formula>NOT(ISERROR(SEARCH("库存",AS112)))</formula>
    </cfRule>
  </conditionalFormatting>
  <conditionalFormatting sqref="AS113">
    <cfRule type="cellIs" dxfId="0" priority="1315" operator="lessThan">
      <formula>20</formula>
    </cfRule>
    <cfRule type="cellIs" dxfId="1" priority="1162" operator="greaterThan">
      <formula>120</formula>
    </cfRule>
    <cfRule type="containsText" dxfId="4" priority="1009" operator="between" text="库存">
      <formula>NOT(ISERROR(SEARCH("库存",AS113)))</formula>
    </cfRule>
  </conditionalFormatting>
  <conditionalFormatting sqref="AS114">
    <cfRule type="cellIs" dxfId="0" priority="1314" operator="lessThan">
      <formula>20</formula>
    </cfRule>
    <cfRule type="cellIs" dxfId="1" priority="1161" operator="greaterThan">
      <formula>120</formula>
    </cfRule>
    <cfRule type="containsText" dxfId="4" priority="1008" operator="between" text="库存">
      <formula>NOT(ISERROR(SEARCH("库存",AS114)))</formula>
    </cfRule>
  </conditionalFormatting>
  <conditionalFormatting sqref="AS115">
    <cfRule type="cellIs" dxfId="0" priority="1313" operator="lessThan">
      <formula>20</formula>
    </cfRule>
    <cfRule type="cellIs" dxfId="1" priority="1160" operator="greaterThan">
      <formula>120</formula>
    </cfRule>
    <cfRule type="containsText" dxfId="4" priority="1007" operator="between" text="库存">
      <formula>NOT(ISERROR(SEARCH("库存",AS115)))</formula>
    </cfRule>
  </conditionalFormatting>
  <conditionalFormatting sqref="AS116">
    <cfRule type="cellIs" dxfId="0" priority="1312" operator="lessThan">
      <formula>20</formula>
    </cfRule>
    <cfRule type="cellIs" dxfId="1" priority="1159" operator="greaterThan">
      <formula>120</formula>
    </cfRule>
    <cfRule type="containsText" dxfId="4" priority="1006" operator="between" text="库存">
      <formula>NOT(ISERROR(SEARCH("库存",AS116)))</formula>
    </cfRule>
  </conditionalFormatting>
  <conditionalFormatting sqref="AS117">
    <cfRule type="cellIs" dxfId="0" priority="1311" operator="lessThan">
      <formula>20</formula>
    </cfRule>
    <cfRule type="cellIs" dxfId="1" priority="1158" operator="greaterThan">
      <formula>120</formula>
    </cfRule>
    <cfRule type="containsText" dxfId="4" priority="1005" operator="between" text="库存">
      <formula>NOT(ISERROR(SEARCH("库存",AS117)))</formula>
    </cfRule>
  </conditionalFormatting>
  <conditionalFormatting sqref="AS118">
    <cfRule type="cellIs" dxfId="0" priority="1310" operator="lessThan">
      <formula>20</formula>
    </cfRule>
    <cfRule type="cellIs" dxfId="1" priority="1157" operator="greaterThan">
      <formula>120</formula>
    </cfRule>
    <cfRule type="containsText" dxfId="4" priority="1004" operator="between" text="库存">
      <formula>NOT(ISERROR(SEARCH("库存",AS118)))</formula>
    </cfRule>
  </conditionalFormatting>
  <conditionalFormatting sqref="AS119">
    <cfRule type="cellIs" dxfId="0" priority="1309" operator="lessThan">
      <formula>20</formula>
    </cfRule>
    <cfRule type="cellIs" dxfId="1" priority="1156" operator="greaterThan">
      <formula>120</formula>
    </cfRule>
    <cfRule type="containsText" dxfId="4" priority="1003" operator="between" text="库存">
      <formula>NOT(ISERROR(SEARCH("库存",AS119)))</formula>
    </cfRule>
  </conditionalFormatting>
  <conditionalFormatting sqref="AS120">
    <cfRule type="cellIs" dxfId="0" priority="1308" operator="lessThan">
      <formula>20</formula>
    </cfRule>
    <cfRule type="cellIs" dxfId="1" priority="1155" operator="greaterThan">
      <formula>120</formula>
    </cfRule>
    <cfRule type="containsText" dxfId="4" priority="1002" operator="between" text="库存">
      <formula>NOT(ISERROR(SEARCH("库存",AS120)))</formula>
    </cfRule>
  </conditionalFormatting>
  <conditionalFormatting sqref="AS121">
    <cfRule type="cellIs" dxfId="0" priority="1307" operator="lessThan">
      <formula>20</formula>
    </cfRule>
    <cfRule type="cellIs" dxfId="1" priority="1154" operator="greaterThan">
      <formula>120</formula>
    </cfRule>
    <cfRule type="containsText" dxfId="4" priority="1001" operator="between" text="库存">
      <formula>NOT(ISERROR(SEARCH("库存",AS121)))</formula>
    </cfRule>
  </conditionalFormatting>
  <conditionalFormatting sqref="AS122">
    <cfRule type="cellIs" dxfId="0" priority="1306" operator="lessThan">
      <formula>20</formula>
    </cfRule>
    <cfRule type="cellIs" dxfId="1" priority="1153" operator="greaterThan">
      <formula>120</formula>
    </cfRule>
    <cfRule type="containsText" dxfId="4" priority="1000" operator="between" text="库存">
      <formula>NOT(ISERROR(SEARCH("库存",AS122)))</formula>
    </cfRule>
  </conditionalFormatting>
  <conditionalFormatting sqref="AS123">
    <cfRule type="cellIs" dxfId="0" priority="1305" operator="lessThan">
      <formula>20</formula>
    </cfRule>
    <cfRule type="cellIs" dxfId="1" priority="1152" operator="greaterThan">
      <formula>120</formula>
    </cfRule>
    <cfRule type="containsText" dxfId="4" priority="999" operator="between" text="库存">
      <formula>NOT(ISERROR(SEARCH("库存",AS123)))</formula>
    </cfRule>
  </conditionalFormatting>
  <conditionalFormatting sqref="AS124">
    <cfRule type="cellIs" dxfId="0" priority="1304" operator="lessThan">
      <formula>20</formula>
    </cfRule>
    <cfRule type="cellIs" dxfId="1" priority="1151" operator="greaterThan">
      <formula>120</formula>
    </cfRule>
    <cfRule type="containsText" dxfId="4" priority="998" operator="between" text="库存">
      <formula>NOT(ISERROR(SEARCH("库存",AS124)))</formula>
    </cfRule>
  </conditionalFormatting>
  <conditionalFormatting sqref="AS125">
    <cfRule type="cellIs" dxfId="0" priority="1303" operator="lessThan">
      <formula>20</formula>
    </cfRule>
    <cfRule type="cellIs" dxfId="1" priority="1150" operator="greaterThan">
      <formula>120</formula>
    </cfRule>
    <cfRule type="containsText" dxfId="4" priority="997" operator="between" text="库存">
      <formula>NOT(ISERROR(SEARCH("库存",AS125)))</formula>
    </cfRule>
  </conditionalFormatting>
  <conditionalFormatting sqref="AS126">
    <cfRule type="cellIs" dxfId="0" priority="1302" operator="lessThan">
      <formula>20</formula>
    </cfRule>
    <cfRule type="cellIs" dxfId="1" priority="1149" operator="greaterThan">
      <formula>120</formula>
    </cfRule>
    <cfRule type="containsText" dxfId="4" priority="996" operator="between" text="库存">
      <formula>NOT(ISERROR(SEARCH("库存",AS126)))</formula>
    </cfRule>
  </conditionalFormatting>
  <conditionalFormatting sqref="AS127">
    <cfRule type="cellIs" dxfId="0" priority="1301" operator="lessThan">
      <formula>20</formula>
    </cfRule>
    <cfRule type="cellIs" dxfId="1" priority="1148" operator="greaterThan">
      <formula>120</formula>
    </cfRule>
    <cfRule type="containsText" dxfId="4" priority="995" operator="between" text="库存">
      <formula>NOT(ISERROR(SEARCH("库存",AS127)))</formula>
    </cfRule>
  </conditionalFormatting>
  <conditionalFormatting sqref="AS128">
    <cfRule type="cellIs" dxfId="0" priority="1300" operator="lessThan">
      <formula>20</formula>
    </cfRule>
    <cfRule type="cellIs" dxfId="1" priority="1147" operator="greaterThan">
      <formula>120</formula>
    </cfRule>
    <cfRule type="containsText" dxfId="4" priority="994" operator="between" text="库存">
      <formula>NOT(ISERROR(SEARCH("库存",AS128)))</formula>
    </cfRule>
  </conditionalFormatting>
  <conditionalFormatting sqref="AS129">
    <cfRule type="cellIs" dxfId="0" priority="1299" operator="lessThan">
      <formula>20</formula>
    </cfRule>
    <cfRule type="cellIs" dxfId="1" priority="1146" operator="greaterThan">
      <formula>120</formula>
    </cfRule>
    <cfRule type="containsText" dxfId="4" priority="993" operator="between" text="库存">
      <formula>NOT(ISERROR(SEARCH("库存",AS129)))</formula>
    </cfRule>
  </conditionalFormatting>
  <conditionalFormatting sqref="AS130">
    <cfRule type="cellIs" dxfId="0" priority="1298" operator="lessThan">
      <formula>20</formula>
    </cfRule>
    <cfRule type="cellIs" dxfId="1" priority="1145" operator="greaterThan">
      <formula>120</formula>
    </cfRule>
    <cfRule type="containsText" dxfId="4" priority="992" operator="between" text="库存">
      <formula>NOT(ISERROR(SEARCH("库存",AS130)))</formula>
    </cfRule>
  </conditionalFormatting>
  <conditionalFormatting sqref="AS131">
    <cfRule type="cellIs" dxfId="0" priority="1297" operator="lessThan">
      <formula>20</formula>
    </cfRule>
    <cfRule type="cellIs" dxfId="1" priority="1144" operator="greaterThan">
      <formula>120</formula>
    </cfRule>
    <cfRule type="containsText" dxfId="4" priority="991" operator="between" text="库存">
      <formula>NOT(ISERROR(SEARCH("库存",AS131)))</formula>
    </cfRule>
  </conditionalFormatting>
  <conditionalFormatting sqref="AS132">
    <cfRule type="cellIs" dxfId="0" priority="1296" operator="lessThan">
      <formula>20</formula>
    </cfRule>
    <cfRule type="cellIs" dxfId="1" priority="1143" operator="greaterThan">
      <formula>120</formula>
    </cfRule>
    <cfRule type="containsText" dxfId="4" priority="990" operator="between" text="库存">
      <formula>NOT(ISERROR(SEARCH("库存",AS132)))</formula>
    </cfRule>
  </conditionalFormatting>
  <conditionalFormatting sqref="AS133">
    <cfRule type="cellIs" dxfId="0" priority="1295" operator="lessThan">
      <formula>20</formula>
    </cfRule>
    <cfRule type="cellIs" dxfId="1" priority="1142" operator="greaterThan">
      <formula>120</formula>
    </cfRule>
    <cfRule type="containsText" dxfId="4" priority="989" operator="between" text="库存">
      <formula>NOT(ISERROR(SEARCH("库存",AS133)))</formula>
    </cfRule>
  </conditionalFormatting>
  <conditionalFormatting sqref="AS134">
    <cfRule type="cellIs" dxfId="0" priority="1294" operator="lessThan">
      <formula>20</formula>
    </cfRule>
    <cfRule type="cellIs" dxfId="1" priority="1141" operator="greaterThan">
      <formula>120</formula>
    </cfRule>
    <cfRule type="containsText" dxfId="4" priority="988" operator="between" text="库存">
      <formula>NOT(ISERROR(SEARCH("库存",AS134)))</formula>
    </cfRule>
  </conditionalFormatting>
  <conditionalFormatting sqref="AS135">
    <cfRule type="cellIs" dxfId="0" priority="1293" operator="lessThan">
      <formula>20</formula>
    </cfRule>
    <cfRule type="cellIs" dxfId="1" priority="1140" operator="greaterThan">
      <formula>120</formula>
    </cfRule>
    <cfRule type="containsText" dxfId="4" priority="987" operator="between" text="库存">
      <formula>NOT(ISERROR(SEARCH("库存",AS135)))</formula>
    </cfRule>
  </conditionalFormatting>
  <conditionalFormatting sqref="AS136">
    <cfRule type="cellIs" dxfId="0" priority="1292" operator="lessThan">
      <formula>20</formula>
    </cfRule>
    <cfRule type="cellIs" dxfId="1" priority="1139" operator="greaterThan">
      <formula>120</formula>
    </cfRule>
    <cfRule type="containsText" dxfId="4" priority="986" operator="between" text="库存">
      <formula>NOT(ISERROR(SEARCH("库存",AS136)))</formula>
    </cfRule>
  </conditionalFormatting>
  <conditionalFormatting sqref="AS137">
    <cfRule type="cellIs" dxfId="0" priority="1291" operator="lessThan">
      <formula>20</formula>
    </cfRule>
    <cfRule type="cellIs" dxfId="1" priority="1138" operator="greaterThan">
      <formula>120</formula>
    </cfRule>
    <cfRule type="containsText" dxfId="4" priority="985" operator="between" text="库存">
      <formula>NOT(ISERROR(SEARCH("库存",AS137)))</formula>
    </cfRule>
  </conditionalFormatting>
  <conditionalFormatting sqref="AS138">
    <cfRule type="cellIs" dxfId="0" priority="1290" operator="lessThan">
      <formula>20</formula>
    </cfRule>
    <cfRule type="cellIs" dxfId="1" priority="1137" operator="greaterThan">
      <formula>120</formula>
    </cfRule>
    <cfRule type="containsText" dxfId="4" priority="984" operator="between" text="库存">
      <formula>NOT(ISERROR(SEARCH("库存",AS138)))</formula>
    </cfRule>
  </conditionalFormatting>
  <conditionalFormatting sqref="AS139">
    <cfRule type="cellIs" dxfId="0" priority="1289" operator="lessThan">
      <formula>20</formula>
    </cfRule>
    <cfRule type="cellIs" dxfId="1" priority="1136" operator="greaterThan">
      <formula>120</formula>
    </cfRule>
    <cfRule type="containsText" dxfId="4" priority="983" operator="between" text="库存">
      <formula>NOT(ISERROR(SEARCH("库存",AS139)))</formula>
    </cfRule>
  </conditionalFormatting>
  <conditionalFormatting sqref="AS140">
    <cfRule type="cellIs" dxfId="0" priority="1288" operator="lessThan">
      <formula>20</formula>
    </cfRule>
    <cfRule type="cellIs" dxfId="1" priority="1135" operator="greaterThan">
      <formula>120</formula>
    </cfRule>
    <cfRule type="containsText" dxfId="4" priority="982" operator="between" text="库存">
      <formula>NOT(ISERROR(SEARCH("库存",AS140)))</formula>
    </cfRule>
  </conditionalFormatting>
  <conditionalFormatting sqref="AS141">
    <cfRule type="cellIs" dxfId="0" priority="1287" operator="lessThan">
      <formula>20</formula>
    </cfRule>
    <cfRule type="cellIs" dxfId="1" priority="1134" operator="greaterThan">
      <formula>120</formula>
    </cfRule>
    <cfRule type="containsText" dxfId="4" priority="981" operator="between" text="库存">
      <formula>NOT(ISERROR(SEARCH("库存",AS141)))</formula>
    </cfRule>
  </conditionalFormatting>
  <conditionalFormatting sqref="AS142">
    <cfRule type="cellIs" dxfId="0" priority="1286" operator="lessThan">
      <formula>20</formula>
    </cfRule>
    <cfRule type="cellIs" dxfId="1" priority="1133" operator="greaterThan">
      <formula>120</formula>
    </cfRule>
    <cfRule type="containsText" dxfId="4" priority="980" operator="between" text="库存">
      <formula>NOT(ISERROR(SEARCH("库存",AS142)))</formula>
    </cfRule>
  </conditionalFormatting>
  <conditionalFormatting sqref="AS143">
    <cfRule type="cellIs" dxfId="0" priority="1285" operator="lessThan">
      <formula>20</formula>
    </cfRule>
    <cfRule type="cellIs" dxfId="1" priority="1132" operator="greaterThan">
      <formula>120</formula>
    </cfRule>
    <cfRule type="containsText" dxfId="4" priority="979" operator="between" text="库存">
      <formula>NOT(ISERROR(SEARCH("库存",AS143)))</formula>
    </cfRule>
  </conditionalFormatting>
  <conditionalFormatting sqref="AS144">
    <cfRule type="cellIs" dxfId="0" priority="1284" operator="lessThan">
      <formula>20</formula>
    </cfRule>
    <cfRule type="cellIs" dxfId="1" priority="1131" operator="greaterThan">
      <formula>120</formula>
    </cfRule>
    <cfRule type="containsText" dxfId="4" priority="978" operator="between" text="库存">
      <formula>NOT(ISERROR(SEARCH("库存",AS144)))</formula>
    </cfRule>
  </conditionalFormatting>
  <conditionalFormatting sqref="AS145">
    <cfRule type="cellIs" dxfId="0" priority="1283" operator="lessThan">
      <formula>20</formula>
    </cfRule>
    <cfRule type="cellIs" dxfId="1" priority="1130" operator="greaterThan">
      <formula>120</formula>
    </cfRule>
    <cfRule type="containsText" dxfId="4" priority="977" operator="between" text="库存">
      <formula>NOT(ISERROR(SEARCH("库存",AS145)))</formula>
    </cfRule>
  </conditionalFormatting>
  <conditionalFormatting sqref="AS146">
    <cfRule type="cellIs" dxfId="0" priority="1282" operator="lessThan">
      <formula>20</formula>
    </cfRule>
    <cfRule type="cellIs" dxfId="1" priority="1129" operator="greaterThan">
      <formula>120</formula>
    </cfRule>
    <cfRule type="containsText" dxfId="4" priority="976" operator="between" text="库存">
      <formula>NOT(ISERROR(SEARCH("库存",AS146)))</formula>
    </cfRule>
  </conditionalFormatting>
  <conditionalFormatting sqref="AS147">
    <cfRule type="cellIs" dxfId="0" priority="1281" operator="lessThan">
      <formula>20</formula>
    </cfRule>
    <cfRule type="cellIs" dxfId="1" priority="1128" operator="greaterThan">
      <formula>120</formula>
    </cfRule>
    <cfRule type="containsText" dxfId="4" priority="975" operator="between" text="库存">
      <formula>NOT(ISERROR(SEARCH("库存",AS147)))</formula>
    </cfRule>
  </conditionalFormatting>
  <conditionalFormatting sqref="AS148">
    <cfRule type="cellIs" dxfId="0" priority="1280" operator="lessThan">
      <formula>20</formula>
    </cfRule>
    <cfRule type="cellIs" dxfId="1" priority="1127" operator="greaterThan">
      <formula>120</formula>
    </cfRule>
    <cfRule type="containsText" dxfId="4" priority="974" operator="between" text="库存">
      <formula>NOT(ISERROR(SEARCH("库存",AS148)))</formula>
    </cfRule>
  </conditionalFormatting>
  <conditionalFormatting sqref="AS149">
    <cfRule type="cellIs" dxfId="0" priority="1279" operator="lessThan">
      <formula>20</formula>
    </cfRule>
    <cfRule type="cellIs" dxfId="1" priority="1126" operator="greaterThan">
      <formula>120</formula>
    </cfRule>
    <cfRule type="containsText" dxfId="4" priority="973" operator="between" text="库存">
      <formula>NOT(ISERROR(SEARCH("库存",AS149)))</formula>
    </cfRule>
  </conditionalFormatting>
  <conditionalFormatting sqref="AS150">
    <cfRule type="cellIs" dxfId="0" priority="1278" operator="lessThan">
      <formula>20</formula>
    </cfRule>
    <cfRule type="cellIs" dxfId="1" priority="1125" operator="greaterThan">
      <formula>120</formula>
    </cfRule>
    <cfRule type="containsText" dxfId="4" priority="972" operator="between" text="库存">
      <formula>NOT(ISERROR(SEARCH("库存",AS150)))</formula>
    </cfRule>
  </conditionalFormatting>
  <conditionalFormatting sqref="AS151">
    <cfRule type="cellIs" dxfId="0" priority="1277" operator="lessThan">
      <formula>20</formula>
    </cfRule>
    <cfRule type="cellIs" dxfId="1" priority="1124" operator="greaterThan">
      <formula>120</formula>
    </cfRule>
    <cfRule type="containsText" dxfId="4" priority="971" operator="between" text="库存">
      <formula>NOT(ISERROR(SEARCH("库存",AS151)))</formula>
    </cfRule>
  </conditionalFormatting>
  <conditionalFormatting sqref="AS152">
    <cfRule type="cellIs" dxfId="0" priority="1276" operator="lessThan">
      <formula>20</formula>
    </cfRule>
    <cfRule type="cellIs" dxfId="1" priority="1123" operator="greaterThan">
      <formula>120</formula>
    </cfRule>
    <cfRule type="containsText" dxfId="4" priority="970" operator="between" text="库存">
      <formula>NOT(ISERROR(SEARCH("库存",AS152)))</formula>
    </cfRule>
  </conditionalFormatting>
  <conditionalFormatting sqref="AS153">
    <cfRule type="cellIs" dxfId="0" priority="1275" operator="lessThan">
      <formula>20</formula>
    </cfRule>
    <cfRule type="cellIs" dxfId="1" priority="1122" operator="greaterThan">
      <formula>120</formula>
    </cfRule>
    <cfRule type="containsText" dxfId="4" priority="969" operator="between" text="库存">
      <formula>NOT(ISERROR(SEARCH("库存",AS153)))</formula>
    </cfRule>
  </conditionalFormatting>
  <conditionalFormatting sqref="AS154">
    <cfRule type="cellIs" dxfId="0" priority="1274" operator="lessThan">
      <formula>20</formula>
    </cfRule>
    <cfRule type="cellIs" dxfId="1" priority="1121" operator="greaterThan">
      <formula>120</formula>
    </cfRule>
    <cfRule type="containsText" dxfId="4" priority="968" operator="between" text="库存">
      <formula>NOT(ISERROR(SEARCH("库存",AS154)))</formula>
    </cfRule>
  </conditionalFormatting>
  <conditionalFormatting sqref="AS155">
    <cfRule type="cellIs" dxfId="0" priority="1273" operator="lessThan">
      <formula>20</formula>
    </cfRule>
    <cfRule type="cellIs" dxfId="1" priority="1120" operator="greaterThan">
      <formula>120</formula>
    </cfRule>
    <cfRule type="containsText" dxfId="4" priority="967" operator="between" text="库存">
      <formula>NOT(ISERROR(SEARCH("库存",AS155)))</formula>
    </cfRule>
  </conditionalFormatting>
  <conditionalFormatting sqref="AS156">
    <cfRule type="cellIs" dxfId="0" priority="1272" operator="lessThan">
      <formula>20</formula>
    </cfRule>
    <cfRule type="cellIs" dxfId="1" priority="1119" operator="greaterThan">
      <formula>120</formula>
    </cfRule>
    <cfRule type="containsText" dxfId="4" priority="966" operator="between" text="库存">
      <formula>NOT(ISERROR(SEARCH("库存",AS156)))</formula>
    </cfRule>
  </conditionalFormatting>
  <conditionalFormatting sqref="AS157">
    <cfRule type="cellIs" dxfId="0" priority="1271" operator="lessThan">
      <formula>20</formula>
    </cfRule>
    <cfRule type="cellIs" dxfId="1" priority="1118" operator="greaterThan">
      <formula>120</formula>
    </cfRule>
    <cfRule type="containsText" dxfId="4" priority="965" operator="between" text="库存">
      <formula>NOT(ISERROR(SEARCH("库存",AS157)))</formula>
    </cfRule>
  </conditionalFormatting>
  <conditionalFormatting sqref="AS158">
    <cfRule type="cellIs" dxfId="0" priority="1270" operator="lessThan">
      <formula>20</formula>
    </cfRule>
    <cfRule type="cellIs" dxfId="1" priority="1117" operator="greaterThan">
      <formula>120</formula>
    </cfRule>
    <cfRule type="containsText" dxfId="4" priority="964" operator="between" text="库存">
      <formula>NOT(ISERROR(SEARCH("库存",AS158)))</formula>
    </cfRule>
  </conditionalFormatting>
  <conditionalFormatting sqref="AS1 AS3:AS5 AS159:AS1048576">
    <cfRule type="containsText" dxfId="4" priority="1426" operator="between" text="库存">
      <formula>NOT(ISERROR(SEARCH("库存",AS1)))</formula>
    </cfRule>
    <cfRule type="cellIs" dxfId="1" priority="1427" operator="greaterThan">
      <formula>120</formula>
    </cfRule>
    <cfRule type="cellIs" dxfId="0" priority="1428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557</v>
      </c>
      <c r="B1" s="1">
        <f>B12</f>
        <v>43262</v>
      </c>
    </row>
    <row r="2" spans="1:2">
      <c r="A2" t="s">
        <v>558</v>
      </c>
      <c r="B2" s="1">
        <v>43289</v>
      </c>
    </row>
    <row r="4" spans="1:2">
      <c r="A4" t="s">
        <v>559</v>
      </c>
      <c r="B4" s="2">
        <f>B2+1</f>
        <v>43290</v>
      </c>
    </row>
    <row r="5" spans="1:2">
      <c r="A5" t="s">
        <v>560</v>
      </c>
      <c r="B5" s="3">
        <f>B2</f>
        <v>43289</v>
      </c>
    </row>
    <row r="6" spans="1:2">
      <c r="A6" t="s">
        <v>561</v>
      </c>
      <c r="B6" s="2">
        <f>B5-6</f>
        <v>43283</v>
      </c>
    </row>
    <row r="7" spans="1:2">
      <c r="A7" t="s">
        <v>562</v>
      </c>
      <c r="B7" s="2">
        <f>B5-7</f>
        <v>43282</v>
      </c>
    </row>
    <row r="8" spans="1:2">
      <c r="A8" t="s">
        <v>563</v>
      </c>
      <c r="B8" s="2">
        <f>B5-13</f>
        <v>43276</v>
      </c>
    </row>
    <row r="9" spans="1:2">
      <c r="A9" t="s">
        <v>564</v>
      </c>
      <c r="B9" s="2">
        <f>B5-14</f>
        <v>43275</v>
      </c>
    </row>
    <row r="10" spans="1:2">
      <c r="A10" t="s">
        <v>565</v>
      </c>
      <c r="B10" s="2">
        <f>B5-20</f>
        <v>43269</v>
      </c>
    </row>
    <row r="11" spans="1:2">
      <c r="A11" t="s">
        <v>566</v>
      </c>
      <c r="B11" s="2">
        <f>B5-21</f>
        <v>43268</v>
      </c>
    </row>
    <row r="12" spans="1:2">
      <c r="A12" t="s">
        <v>567</v>
      </c>
      <c r="B12" s="2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2018-07-10T07:43:47Z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