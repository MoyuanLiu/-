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allorders!$A$1:$AG$1176</definedName>
    <definedName name="_xlnm._FilterDatabase" localSheetId="4" hidden="1">'父sku-单价'!$A$1:$B$127</definedName>
    <definedName name="_xlnm._FilterDatabase" localSheetId="2" hidden="1">库存报告使用数据处理!$A$1:$G$277</definedName>
  </definedNames>
  <calcPr calcId="144525" concurrentCalc="0"/>
</workbook>
</file>

<file path=xl/sharedStrings.xml><?xml version="1.0" encoding="utf-8"?>
<sst xmlns="http://schemas.openxmlformats.org/spreadsheetml/2006/main" count="5677">
  <si>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</si>
  <si>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</si>
  <si>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</si>
  <si>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</si>
  <si>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</si>
  <si>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</si>
  <si>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</si>
  <si>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</si>
  <si>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</si>
  <si>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</si>
  <si>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</si>
  <si>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</si>
  <si>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</si>
  <si>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</si>
  <si>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</si>
  <si>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</si>
  <si>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</si>
  <si>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</si>
  <si>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</si>
  <si>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</si>
  <si>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</si>
  <si>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</si>
  <si>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</si>
  <si>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</si>
  <si>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</si>
  <si>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</si>
  <si>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</si>
  <si>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</si>
  <si>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 xml:space="preserve">promotion-ids </t>
  </si>
  <si>
    <t>日期</t>
  </si>
  <si>
    <t>114-0544007-9961808</t>
  </si>
  <si>
    <t>2018-06-11T23:58:46+00:00</t>
  </si>
  <si>
    <t>2018-06-12T10:06:15+00:00</t>
  </si>
  <si>
    <t>Shipped</t>
  </si>
  <si>
    <t>Amazon</t>
  </si>
  <si>
    <t>Amazon.com</t>
  </si>
  <si>
    <t>SecondDay</t>
  </si>
  <si>
    <t>Real Looking Sleeping Reborn Baby Doll Girl Silicone Pink 22 Inches</t>
  </si>
  <si>
    <t>DOLL-0601-PI-22</t>
  </si>
  <si>
    <t>B076J2TBNG</t>
  </si>
  <si>
    <t>USD</t>
  </si>
  <si>
    <t>SAN ANTONIO</t>
  </si>
  <si>
    <t>TX</t>
  </si>
  <si>
    <t>78245-4678</t>
  </si>
  <si>
    <t>US</t>
  </si>
  <si>
    <t>114-4239954-1765803</t>
  </si>
  <si>
    <t>2018-06-11T23:41:26+00:00</t>
  </si>
  <si>
    <t>2018-06-13T02:52:48+00:00</t>
  </si>
  <si>
    <t>Realistic Real Life Reborn Baby Dolls Girl Silicone Pink Outfit 22 Inches</t>
  </si>
  <si>
    <t>DOLL-020-PI-22</t>
  </si>
  <si>
    <t>B06XPKHVHC</t>
  </si>
  <si>
    <t>NEW YORK</t>
  </si>
  <si>
    <t>NY</t>
  </si>
  <si>
    <t>10013-2385</t>
  </si>
  <si>
    <t>Cancelled</t>
  </si>
  <si>
    <t>114-4859172-8545831</t>
  </si>
  <si>
    <t>2018-06-11T23:05:42+00:00</t>
  </si>
  <si>
    <t>2018-06-11T23:09:39+00:00</t>
  </si>
  <si>
    <t>NextDay</t>
  </si>
  <si>
    <t>Realistic Sleeping Reborn Baby Doll Girl Lifelike Silicone Pink 22 Inches</t>
  </si>
  <si>
    <t>DOLL-0605-PI-22</t>
  </si>
  <si>
    <t>B076J6949M</t>
  </si>
  <si>
    <t>Unshipped</t>
  </si>
  <si>
    <t>FELLSMERE</t>
  </si>
  <si>
    <t>FL</t>
  </si>
  <si>
    <t>32948-5235</t>
  </si>
  <si>
    <t>111-0854105-4214603</t>
  </si>
  <si>
    <t>2018-06-11T22:53:24+00:00</t>
  </si>
  <si>
    <t>2018-06-13T11:41:45+00:00</t>
  </si>
  <si>
    <t>Standard</t>
  </si>
  <si>
    <t>Silicone Reborn Baby Dolls Girl Look Real Lifelike Toddler White Outfit with Lovely Patterns 16 Inches</t>
  </si>
  <si>
    <t>DO-YULQ070-PI-16</t>
  </si>
  <si>
    <t>B079NYR8GC</t>
  </si>
  <si>
    <t>MIAMI</t>
  </si>
  <si>
    <t>33181-1140</t>
  </si>
  <si>
    <t>US Core Free Shipping Promotion A3JU1FCINF5SD0</t>
  </si>
  <si>
    <t>114-0584855-7137035</t>
  </si>
  <si>
    <t>2018-06-11T22:42:31+00:00</t>
  </si>
  <si>
    <t>2018-06-13T04:10:30+00:00</t>
  </si>
  <si>
    <t>Real Looking Reborn Baby Dolls Girl Silicone Pink Outfit 22 Inches</t>
  </si>
  <si>
    <t>DO-YULQ001-PI-22</t>
  </si>
  <si>
    <t>B079JQCWQ6</t>
  </si>
  <si>
    <t>ROHNERT PARK</t>
  </si>
  <si>
    <t>CA</t>
  </si>
  <si>
    <t>94928-3654</t>
  </si>
  <si>
    <t>114-0612087-8437020</t>
  </si>
  <si>
    <t>2018-06-11T22:29:36+00:00</t>
  </si>
  <si>
    <t>2018-06-13T13:59:20+00:00</t>
  </si>
  <si>
    <t>Real Life Silicone Reborn Baby Dolls Boy Look Real White Outfit 22 Inches</t>
  </si>
  <si>
    <t>DO-YULQ100-B7-22</t>
  </si>
  <si>
    <t>B079JRPXZ8</t>
  </si>
  <si>
    <t>Branchburg</t>
  </si>
  <si>
    <t>NJ</t>
  </si>
  <si>
    <t>114-4244626-9751465</t>
  </si>
  <si>
    <t>2018-06-11T22:26:53+00:00</t>
  </si>
  <si>
    <t>2018-06-12T21:14:22+00:00</t>
  </si>
  <si>
    <t>NEWPORT</t>
  </si>
  <si>
    <t>WA</t>
  </si>
  <si>
    <t>99156-9692</t>
  </si>
  <si>
    <t>111-5851339-4245806</t>
  </si>
  <si>
    <t>2018-06-11T21:42:08+00:00</t>
  </si>
  <si>
    <t>2018-06-12T07:41:58+00:00</t>
  </si>
  <si>
    <t>Reborn Baby Doll Wig Baby Girl Look Real Silicone Pink 22 Inches</t>
  </si>
  <si>
    <t>DO-YULQ012-PI-22</t>
  </si>
  <si>
    <t>B076J2H7FC</t>
  </si>
  <si>
    <t>MORGANTOWN</t>
  </si>
  <si>
    <t>WV</t>
  </si>
  <si>
    <t>26505-1133</t>
  </si>
  <si>
    <t>111-3996458-9596251</t>
  </si>
  <si>
    <t>2018-06-11T20:57:39+00:00</t>
  </si>
  <si>
    <t>2018-06-17T21:38:58+00:00</t>
  </si>
  <si>
    <t>10013-2225</t>
  </si>
  <si>
    <t>113-7722542-9359458</t>
  </si>
  <si>
    <t>2018-06-11T20:46:43+00:00</t>
  </si>
  <si>
    <t>2018-06-13T14:39:20+00:00</t>
  </si>
  <si>
    <t>24 Inches Reborn Baby Doll Silicone Vinyl Realistic Toddler Panda Coat Black Pants with Shoes</t>
  </si>
  <si>
    <t>DO-YULQ708-W0-24</t>
  </si>
  <si>
    <t>B07D4DC72D</t>
  </si>
  <si>
    <t>OXNARD</t>
  </si>
  <si>
    <t>93033-8462</t>
  </si>
  <si>
    <t>111-0277529-3096236</t>
  </si>
  <si>
    <t>2018-06-11T18:52:08+00:00</t>
  </si>
  <si>
    <t>2018-06-12T12:28:20+00:00</t>
  </si>
  <si>
    <t>Reborn Baby Dolls Girl Look Real Lifelike Toddler Silicone Vinyl Light Pink Knitted Outfit 22 Inches</t>
  </si>
  <si>
    <t>DO-YULQ107-PI-22</t>
  </si>
  <si>
    <t>B0795PQJS1</t>
  </si>
  <si>
    <t>POMONA</t>
  </si>
  <si>
    <t>91767-3313</t>
  </si>
  <si>
    <t>114-7945322-3703465</t>
  </si>
  <si>
    <t>2018-06-11T18:45:21+00:00</t>
  </si>
  <si>
    <t>2018-06-11T18:45:48+00:00</t>
  </si>
  <si>
    <t>Sleeping Reborn Baby Dolls Boy Look Real Lifelike Toddler Silicone Vinyl Panda Outfit 18 Inches</t>
  </si>
  <si>
    <t>DO-YULQ812-W0-18</t>
  </si>
  <si>
    <t>B0792VKCCR</t>
  </si>
  <si>
    <t>PEORIA</t>
  </si>
  <si>
    <t>IL</t>
  </si>
  <si>
    <t>61603-2434</t>
  </si>
  <si>
    <t>22 Inches Full Silicone Body Reborn Baby Dolls Twins Girl Hnadmade Toddler Eye Closed Pink Outfit</t>
  </si>
  <si>
    <t>DO-YULQ700-PI-22</t>
  </si>
  <si>
    <t>B07CM58KHK</t>
  </si>
  <si>
    <t>113-3005806-7543424</t>
  </si>
  <si>
    <t>2018-06-11T17:31:46+00:00</t>
  </si>
  <si>
    <t>2018-06-12T16:27:32+00:00</t>
  </si>
  <si>
    <t>USAmazon</t>
  </si>
  <si>
    <t>North Miami Beach</t>
  </si>
  <si>
    <t>113-9796755-7393822</t>
  </si>
  <si>
    <t>2018-06-11T15:26:04+00:00</t>
  </si>
  <si>
    <t>2018-06-12T22:51:25+00:00</t>
  </si>
  <si>
    <t>Reborn Baby Doll Girl Look Real Silicone Pink Outfit 22 Inches</t>
  </si>
  <si>
    <t>DOLL-010-PI-22</t>
  </si>
  <si>
    <t>B06XPJWWR4</t>
  </si>
  <si>
    <t>EDGEWOOD</t>
  </si>
  <si>
    <t>MD</t>
  </si>
  <si>
    <t>21040-2213</t>
  </si>
  <si>
    <t>111-4594789-1070624</t>
  </si>
  <si>
    <t>2018-06-11T13:48:50+00:00</t>
  </si>
  <si>
    <t>2018-06-12T06:50:33+00:00</t>
  </si>
  <si>
    <t>BEEBE</t>
  </si>
  <si>
    <t>AR</t>
  </si>
  <si>
    <t>72012-9500</t>
  </si>
  <si>
    <t>114-6552706-3869847</t>
  </si>
  <si>
    <t>2018-06-11T13:16:22+00:00</t>
  </si>
  <si>
    <t>2018-06-11T13:33:46+00:00</t>
  </si>
  <si>
    <t>Expedited</t>
  </si>
  <si>
    <t>Reborn Baby Doll Outfits Girl Accessories for 20"- 22" Pink and Cow Pattern</t>
  </si>
  <si>
    <t>DOLLDRESS-003-PI-20</t>
  </si>
  <si>
    <t>B076K8YDNV</t>
  </si>
  <si>
    <t>Las Vegas</t>
  </si>
  <si>
    <t>NV</t>
  </si>
  <si>
    <t>89169-4605</t>
  </si>
  <si>
    <t>114-2785893-5534625</t>
  </si>
  <si>
    <t>2018-06-11T12:51:24+00:00</t>
  </si>
  <si>
    <t>2018-06-11T12:53:04+00:00</t>
  </si>
  <si>
    <t>HUNTSVILLE</t>
  </si>
  <si>
    <t>AL</t>
  </si>
  <si>
    <t>35810-1084</t>
  </si>
  <si>
    <t>114-9326515-7053041</t>
  </si>
  <si>
    <t>2018-06-11T08:27:37+00:00</t>
  </si>
  <si>
    <t>2018-06-11T08:30:51+00:00</t>
  </si>
  <si>
    <t>20 Inches Realistic Sleeping Reborn Baby Dolls Boy Silicone Vinyl Black and White Striped Outfit</t>
  </si>
  <si>
    <t>DO-YULQ153-TW-20</t>
  </si>
  <si>
    <t>B07CLYNY71</t>
  </si>
  <si>
    <t>LENOIR CITY</t>
  </si>
  <si>
    <t>TN</t>
  </si>
  <si>
    <t>37771-7921</t>
  </si>
  <si>
    <t>114-6364603-4108213</t>
  </si>
  <si>
    <t>2018-06-12T23:34:34+00:00</t>
  </si>
  <si>
    <t>2018-06-14T09:48:45+00:00</t>
  </si>
  <si>
    <t>CELINA</t>
  </si>
  <si>
    <t>OH</t>
  </si>
  <si>
    <t>45822-8388</t>
  </si>
  <si>
    <t>111-7354997-6021055</t>
  </si>
  <si>
    <t>2018-06-12T23:30:28+00:00</t>
  </si>
  <si>
    <t>2018-06-14T03:40:57+00:00</t>
  </si>
  <si>
    <t>BAYTOWN</t>
  </si>
  <si>
    <t>77520-5414</t>
  </si>
  <si>
    <t>112-8929709-4726639</t>
  </si>
  <si>
    <t>2018-06-12T23:26:17+00:00</t>
  </si>
  <si>
    <t>2018-06-13T18:26:59+00:00</t>
  </si>
  <si>
    <t>Reborn Baby Dolls Girl Full Silicone Body Look Real Rose Red Tutu Skirt 22 Inches</t>
  </si>
  <si>
    <t>DO-YULQ159-R2-22</t>
  </si>
  <si>
    <t>B07BNCFZXN</t>
  </si>
  <si>
    <t>Valhalla</t>
  </si>
  <si>
    <t>111-4012761-4797053</t>
  </si>
  <si>
    <t>2018-06-12T23:17:38+00:00</t>
  </si>
  <si>
    <t>2018-06-15T19:29:30+00:00</t>
  </si>
  <si>
    <t>KALAMAZOO</t>
  </si>
  <si>
    <t>MI</t>
  </si>
  <si>
    <t>49001-5000</t>
  </si>
  <si>
    <t>All doll clothes 99% discount</t>
  </si>
  <si>
    <t>111-2154234-1171454</t>
  </si>
  <si>
    <t>2018-06-12T22:56:03+00:00</t>
  </si>
  <si>
    <t>2018-06-13T02:46:53+00:00</t>
  </si>
  <si>
    <t>Reborn Baby Doll Outfits Girl Accessories for 20"- 22" Pink</t>
  </si>
  <si>
    <t>YF-YULQ007-PI-20</t>
  </si>
  <si>
    <t>B074P4D14G</t>
  </si>
  <si>
    <t>IRVINE</t>
  </si>
  <si>
    <t>92620-3426</t>
  </si>
  <si>
    <t>112-4557508-5858617</t>
  </si>
  <si>
    <t>2018-06-12T22:51:19+00:00</t>
  </si>
  <si>
    <t>2018-06-13T09:24:42+00:00</t>
  </si>
  <si>
    <t>PHELAN</t>
  </si>
  <si>
    <t>92371-6324</t>
  </si>
  <si>
    <t>111-4248914-9717041</t>
  </si>
  <si>
    <t>2018-06-12T22:17:52+00:00</t>
  </si>
  <si>
    <t>2018-06-13T06:26:45+00:00</t>
  </si>
  <si>
    <t>Yesteria Full Silicone Body Reborn Baby Doll Elephant Outfit Look Real Gray 10 Inches</t>
  </si>
  <si>
    <t>DOLL-7056-LGR-11</t>
  </si>
  <si>
    <t>B077HNP6TL</t>
  </si>
  <si>
    <t>HAMPTON</t>
  </si>
  <si>
    <t>VA</t>
  </si>
  <si>
    <t>23669-2634</t>
  </si>
  <si>
    <t>114-7625457-6633834</t>
  </si>
  <si>
    <t>2018-06-12T20:56:26+00:00</t>
  </si>
  <si>
    <t>2018-06-12T21:18:56+00:00</t>
  </si>
  <si>
    <t>20 Inches Real Looking Reborn Baby Dolls Girl Silicone Vinyl Eye Closed Pink Pajama</t>
  </si>
  <si>
    <t>DO-YULQ150-PI-20</t>
  </si>
  <si>
    <t>B07CM664M7</t>
  </si>
  <si>
    <t>BROOKLYN</t>
  </si>
  <si>
    <t>11203-5136</t>
  </si>
  <si>
    <t>111-7665749-7969823</t>
  </si>
  <si>
    <t>2018-06-12T20:52:47+00:00</t>
  </si>
  <si>
    <t>2018-06-13T06:17:07+00:00</t>
  </si>
  <si>
    <t>TIVERTON</t>
  </si>
  <si>
    <t>RI</t>
  </si>
  <si>
    <t>02878-1145</t>
  </si>
  <si>
    <t>112-2740807-6301823</t>
  </si>
  <si>
    <t>2018-06-12T20:34:06+00:00</t>
  </si>
  <si>
    <t>2018-06-12T20:55:57+00:00</t>
  </si>
  <si>
    <t>WESTON</t>
  </si>
  <si>
    <t>33332-2468</t>
  </si>
  <si>
    <t>113-5839533-8300265</t>
  </si>
  <si>
    <t>2018-06-12T19:38:15+00:00</t>
  </si>
  <si>
    <t>2018-06-13T19:35:47+00:00</t>
  </si>
  <si>
    <t>MANHATTAN</t>
  </si>
  <si>
    <t>10034-6302</t>
  </si>
  <si>
    <t>113-3929186-4158630</t>
  </si>
  <si>
    <t>2018-06-12T19:16:18+00:00</t>
  </si>
  <si>
    <t>2018-06-13T10:46:32+00:00</t>
  </si>
  <si>
    <t>Adamsville</t>
  </si>
  <si>
    <t>Al</t>
  </si>
  <si>
    <t>113-1900914-2712237</t>
  </si>
  <si>
    <t>2018-06-12T19:08:12+00:00</t>
  </si>
  <si>
    <t>2018-06-12T19:14:20+00:00</t>
  </si>
  <si>
    <t>114-6010602-6023406</t>
  </si>
  <si>
    <t>2018-06-12T18:30:31+00:00</t>
  </si>
  <si>
    <t>2018-06-12T21:45:14+00:00</t>
  </si>
  <si>
    <t>Real Life Silicone Reborn Baby Dolls Boy Look Real Striped Jumpsuit 22 Inches</t>
  </si>
  <si>
    <t>DO-YULQ611-TW-22</t>
  </si>
  <si>
    <t>B0793RG3PM</t>
  </si>
  <si>
    <t>Tampa</t>
  </si>
  <si>
    <t>Florida</t>
  </si>
  <si>
    <t>112-6200066-2409820</t>
  </si>
  <si>
    <t>2018-06-12T18:09:12+00:00</t>
  </si>
  <si>
    <t>2018-06-13T17:14:11+00:00</t>
  </si>
  <si>
    <t>Silicone Reborn Baby Dolls Girl Look Real Lifelike Toddler Light Blue Rose Red Outfit with Toy Penguin 22 Inches</t>
  </si>
  <si>
    <t>DO-YULQ173-B7-22</t>
  </si>
  <si>
    <t>B07BFVYCH2</t>
  </si>
  <si>
    <t>BROKEN ARROW</t>
  </si>
  <si>
    <t>OK</t>
  </si>
  <si>
    <t>74011-6441</t>
  </si>
  <si>
    <t>113-8502523-4694633</t>
  </si>
  <si>
    <t>2018-06-12T18:02:05+00:00</t>
  </si>
  <si>
    <t>2018-06-15T21:23:48+00:00</t>
  </si>
  <si>
    <t>Sleeping Reborn Baby Doll Girl Look Real Silicone Pink with Cow Pattern 22 Inches</t>
  </si>
  <si>
    <t>DOLL-0630-PI-22</t>
  </si>
  <si>
    <t>B076J4L24W</t>
  </si>
  <si>
    <t>Brooklyn</t>
  </si>
  <si>
    <t>New York</t>
  </si>
  <si>
    <t>114-2471063-5054630</t>
  </si>
  <si>
    <t>2018-06-12T17:54:12+00:00</t>
  </si>
  <si>
    <t>2018-06-13T20:28:19+00:00</t>
  </si>
  <si>
    <t>SEDALIA</t>
  </si>
  <si>
    <t>MO</t>
  </si>
  <si>
    <t>65301-6899</t>
  </si>
  <si>
    <t>114-8077239-4647458</t>
  </si>
  <si>
    <t>2018-06-12T17:44:38+00:00</t>
  </si>
  <si>
    <t>2018-06-13T23:03:03+00:00</t>
  </si>
  <si>
    <t>BLAINE</t>
  </si>
  <si>
    <t>MN</t>
  </si>
  <si>
    <t>55449-5878</t>
  </si>
  <si>
    <t>111-3698940-3861835</t>
  </si>
  <si>
    <t>2018-06-12T17:38:38+00:00</t>
  </si>
  <si>
    <t>2018-06-12T18:21:32+00:00</t>
  </si>
  <si>
    <t>Springfield Gardens</t>
  </si>
  <si>
    <t>113-2261199-2727446</t>
  </si>
  <si>
    <t>2018-06-12T17:05:39+00:00</t>
  </si>
  <si>
    <t>2018-06-13T15:21:30+00:00</t>
  </si>
  <si>
    <t>Mattoon</t>
  </si>
  <si>
    <t>113-6206367-5881062</t>
  </si>
  <si>
    <t>2018-06-12T16:15:02+00:00</t>
  </si>
  <si>
    <t>2018-06-13T16:04:18+00:00</t>
  </si>
  <si>
    <t>Real Life Reborn Baby Dolls Girl Full Silicone Body Pink Outfit with Sleeping Bag 10 Inches</t>
  </si>
  <si>
    <t>DO-YULQ081-PI-10</t>
  </si>
  <si>
    <t>B07BLRWT2V</t>
  </si>
  <si>
    <t>CASTLE ROCK</t>
  </si>
  <si>
    <t>CO</t>
  </si>
  <si>
    <t>80109-8689</t>
  </si>
  <si>
    <t>111-9097702-9847410</t>
  </si>
  <si>
    <t>2018-06-12T15:57:40+00:00</t>
  </si>
  <si>
    <t>2018-06-13T18:52:17+00:00</t>
  </si>
  <si>
    <t>Naylor</t>
  </si>
  <si>
    <t>Georgia</t>
  </si>
  <si>
    <t>114-1003647-1442650</t>
  </si>
  <si>
    <t>2018-06-12T15:36:39+00:00</t>
  </si>
  <si>
    <t>2018-06-12T16:09:28+00:00</t>
  </si>
  <si>
    <t>WINOOSKI</t>
  </si>
  <si>
    <t>VT</t>
  </si>
  <si>
    <t>05404-2259</t>
  </si>
  <si>
    <t>111-6789591-8376267</t>
  </si>
  <si>
    <t>2018-06-12T15:26:18+00:00</t>
  </si>
  <si>
    <t>2018-06-14T20:40:13+00:00</t>
  </si>
  <si>
    <t>33146-1051</t>
  </si>
  <si>
    <t>114-5812044-1768266</t>
  </si>
  <si>
    <t>2018-06-12T15:23:25+00:00</t>
  </si>
  <si>
    <t>2018-06-12T16:05:02+00:00</t>
  </si>
  <si>
    <t>111-3223329-7151401</t>
  </si>
  <si>
    <t>2018-06-12T14:55:02+00:00</t>
  </si>
  <si>
    <t>2018-06-14T00:53:29+00:00</t>
  </si>
  <si>
    <t>SAN FRANCISCO</t>
  </si>
  <si>
    <t>94111-3207</t>
  </si>
  <si>
    <t>112-0344657-0414608</t>
  </si>
  <si>
    <t>2018-06-12T13:26:42+00:00</t>
  </si>
  <si>
    <t>2018-06-13T04:04:53+00:00</t>
  </si>
  <si>
    <t>Sleeping Reborn Baby Doll Girl Look Real Silicone Pink Outfit 22 Inches</t>
  </si>
  <si>
    <t>DOLL-1613-PI-22</t>
  </si>
  <si>
    <t>B076MW1Y4F</t>
  </si>
  <si>
    <t>SHELBY</t>
  </si>
  <si>
    <t>OHIO</t>
  </si>
  <si>
    <t>44875-1057</t>
  </si>
  <si>
    <t>112-0527346-5350650</t>
  </si>
  <si>
    <t>2018-06-12T12:13:17+00:00</t>
  </si>
  <si>
    <t>2018-06-12T22:46:17+00:00</t>
  </si>
  <si>
    <t>WASHINGTON</t>
  </si>
  <si>
    <t>CT</t>
  </si>
  <si>
    <t>06793-1302</t>
  </si>
  <si>
    <t>114-0108337-8878674</t>
  </si>
  <si>
    <t>2018-06-12T11:37:09+00:00</t>
  </si>
  <si>
    <t>2018-06-12T18:52:27+00:00</t>
  </si>
  <si>
    <t>ARLINGTON</t>
  </si>
  <si>
    <t>22209-1406</t>
  </si>
  <si>
    <t>114-6048610-1266665</t>
  </si>
  <si>
    <t>2018-06-12T11:04:57+00:00</t>
  </si>
  <si>
    <t>2018-06-12T16:26:45+00:00</t>
  </si>
  <si>
    <t>Silicone Reborn Baby Dolls Girl Look Real Eye Closed Pink Outfit 22 Inches</t>
  </si>
  <si>
    <t>DO-YULQ062-PI-22</t>
  </si>
  <si>
    <t>B079JRDT89</t>
  </si>
  <si>
    <t>OKLAHOMA CITY</t>
  </si>
  <si>
    <t>73141-5217</t>
  </si>
  <si>
    <t>114-7857354-8436216</t>
  </si>
  <si>
    <t>2018-06-12T05:45:22+00:00</t>
  </si>
  <si>
    <t>2018-06-12T09:18:21+00:00</t>
  </si>
  <si>
    <t>Davis</t>
  </si>
  <si>
    <t>95616-9757</t>
  </si>
  <si>
    <t>113-2133047-8317809</t>
  </si>
  <si>
    <t>2018-06-12T05:30:31+00:00</t>
  </si>
  <si>
    <t>2018-06-12T19:05:32+00:00</t>
  </si>
  <si>
    <t>EAST LOS ANGELES</t>
  </si>
  <si>
    <t>90022-3815</t>
  </si>
  <si>
    <t>113-2954410-3346611</t>
  </si>
  <si>
    <t>2018-06-12T04:53:17+00:00</t>
  </si>
  <si>
    <t>2018-06-14T01:53:45+00:00</t>
  </si>
  <si>
    <t>Rapid City</t>
  </si>
  <si>
    <t>SD</t>
  </si>
  <si>
    <t>113-8241990-2834665</t>
  </si>
  <si>
    <t>2018-06-12T04:41:07+00:00</t>
  </si>
  <si>
    <t>2018-06-13T01:31:13+00:00</t>
  </si>
  <si>
    <t>Sleeping Reborn Baby Doll Look Real Full Silicone Body Pink Outfit 10 Inches</t>
  </si>
  <si>
    <t>DOLL-004-PI-10</t>
  </si>
  <si>
    <t>B076Q8RG21</t>
  </si>
  <si>
    <t>PHOENIX</t>
  </si>
  <si>
    <t>AZ</t>
  </si>
  <si>
    <t>85043-7748</t>
  </si>
  <si>
    <t>113-5438850-8505840</t>
  </si>
  <si>
    <t>2018-06-12T04:37:08+00:00</t>
  </si>
  <si>
    <t>2018-06-13T01:31:18+00:00</t>
  </si>
  <si>
    <t>111-7682417-7356240</t>
  </si>
  <si>
    <t>2018-06-12T04:06:48+00:00</t>
  </si>
  <si>
    <t>2018-06-13T23:33:55+00:00</t>
  </si>
  <si>
    <t>Spring</t>
  </si>
  <si>
    <t>Texas</t>
  </si>
  <si>
    <t>77388-2864</t>
  </si>
  <si>
    <t>111-0738322-9501047</t>
  </si>
  <si>
    <t>2018-06-12T03:14:41+00:00</t>
  </si>
  <si>
    <t>2018-06-15T12:21:57+00:00</t>
  </si>
  <si>
    <t>MANTECA</t>
  </si>
  <si>
    <t>95336-2529</t>
  </si>
  <si>
    <t>114-5553342-8144246</t>
  </si>
  <si>
    <t>2018-06-12T03:07:28+00:00</t>
  </si>
  <si>
    <t>2018-06-15T19:34:07+00:00</t>
  </si>
  <si>
    <t>Reborn Baby Doll Outfits Boy Accessories for 20"- 22" Light blue Outfit</t>
  </si>
  <si>
    <t>YF-YULQ905-B7-20</t>
  </si>
  <si>
    <t>B079NX5R9C</t>
  </si>
  <si>
    <t>GREENEVILLE</t>
  </si>
  <si>
    <t>37743-5723</t>
  </si>
  <si>
    <t>114-0262339-1001855</t>
  </si>
  <si>
    <t>2018-06-12T02:26:33+00:00</t>
  </si>
  <si>
    <t>2018-06-13T07:37:27+00:00</t>
  </si>
  <si>
    <t>Sleeping Reborn Baby Dolls Boy Look Real Stripe Outfit with Panda Pattern 20 Inches</t>
  </si>
  <si>
    <t>DO-YULQ332-LGR-20</t>
  </si>
  <si>
    <t>B0792VHP6W</t>
  </si>
  <si>
    <t>DALLAS</t>
  </si>
  <si>
    <t>OR</t>
  </si>
  <si>
    <t>97338-1744</t>
  </si>
  <si>
    <t>114-5616825-6727417</t>
  </si>
  <si>
    <t>2018-06-12T02:00:42+00:00</t>
  </si>
  <si>
    <t>2018-06-12T12:45:31+00:00</t>
  </si>
  <si>
    <t>PORT ARTHUR</t>
  </si>
  <si>
    <t>113-2185881-1614636</t>
  </si>
  <si>
    <t>2018-06-12T01:24:21+00:00</t>
  </si>
  <si>
    <t>2018-06-12T21:27:48+00:00</t>
  </si>
  <si>
    <t>Real Life Reborn Baby Dolls Boy Baseball Sport Style White and Blue Outfit 22 Inches</t>
  </si>
  <si>
    <t>DO-YULQ123-FB-22</t>
  </si>
  <si>
    <t>B0792VZN9S</t>
  </si>
  <si>
    <t>Rock View</t>
  </si>
  <si>
    <t>West Virginia</t>
  </si>
  <si>
    <t>111-2457907-7052206</t>
  </si>
  <si>
    <t>2018-06-12T01:21:09+00:00</t>
  </si>
  <si>
    <t>2018-06-12T13:32:10+00:00</t>
  </si>
  <si>
    <t>SNELLVILLE</t>
  </si>
  <si>
    <t>GA</t>
  </si>
  <si>
    <t>30078-7373</t>
  </si>
  <si>
    <t>111-7082171-2656236</t>
  </si>
  <si>
    <t>2018-06-12T01:01:02+00:00</t>
  </si>
  <si>
    <t>2018-06-13T06:15:43+00:00</t>
  </si>
  <si>
    <t>BLACKWOOD</t>
  </si>
  <si>
    <t>NEW JERSEY</t>
  </si>
  <si>
    <t>08012-4802</t>
  </si>
  <si>
    <t>113-0126299-7540218</t>
  </si>
  <si>
    <t>2018-06-12T00:35:07+00:00</t>
  </si>
  <si>
    <t>2018-06-12T19:18:13+00:00</t>
  </si>
  <si>
    <t>DOON</t>
  </si>
  <si>
    <t>IA</t>
  </si>
  <si>
    <t>51235-7774</t>
  </si>
  <si>
    <t>112-3417952-7742609</t>
  </si>
  <si>
    <t>2018-06-12T00:31:25+00:00</t>
  </si>
  <si>
    <t>2018-06-12T18:32:28+00:00</t>
  </si>
  <si>
    <t>Reborn Baby Dolls girl Look Real Lifelike Toddler Silicone with Toy Watermelon Red Outfit 16 Inches</t>
  </si>
  <si>
    <t>DO-YULQ664-AX-16</t>
  </si>
  <si>
    <t>B07BSN65PZ</t>
  </si>
  <si>
    <t>ASTORIA</t>
  </si>
  <si>
    <t>11106-3920</t>
  </si>
  <si>
    <t>112-0504575-6608212</t>
  </si>
  <si>
    <t>2018-06-12T00:14:04+00:00</t>
  </si>
  <si>
    <t>2018-06-12T06:39:14+00:00</t>
  </si>
  <si>
    <t>VINCENNES</t>
  </si>
  <si>
    <t>IN</t>
  </si>
  <si>
    <t>47591-2926</t>
  </si>
  <si>
    <t>111-1698283-2063441</t>
  </si>
  <si>
    <t>2018-06-12T00:12:43+00:00</t>
  </si>
  <si>
    <t>2018-06-12T06:25:43+00:00</t>
  </si>
  <si>
    <t>LANTANA</t>
  </si>
  <si>
    <t>33462-4613</t>
  </si>
  <si>
    <t>111-3582902-5609828</t>
  </si>
  <si>
    <t>2018-06-13T23:35:33+00:00</t>
  </si>
  <si>
    <t>2018-06-15T00:16:43+00:00</t>
  </si>
  <si>
    <t>West palm Beach</t>
  </si>
  <si>
    <t>Sleeping Silicone Reborn Baby Dolls Boy Look Real Light Gray Outfit 22 Inches</t>
  </si>
  <si>
    <t>DO-YULQ061-LGR-22</t>
  </si>
  <si>
    <t>B078X5DZRT</t>
  </si>
  <si>
    <t>111-9132002-1929040</t>
  </si>
  <si>
    <t>2018-06-13T23:26:55+00:00</t>
  </si>
  <si>
    <t>2018-06-14T06:16:20+00:00</t>
  </si>
  <si>
    <t>WESTBOROUGH</t>
  </si>
  <si>
    <t>MA</t>
  </si>
  <si>
    <t>01581-3010</t>
  </si>
  <si>
    <t>114-3054041-4949830</t>
  </si>
  <si>
    <t>2018-06-13T23:07:48+00:00</t>
  </si>
  <si>
    <t>2018-06-14T21:47:49+00:00</t>
  </si>
  <si>
    <t>Ashburnham</t>
  </si>
  <si>
    <t>114-0333135-8125072</t>
  </si>
  <si>
    <t>2018-06-13T22:36:11+00:00</t>
  </si>
  <si>
    <t>2018-06-13T22:40:53+00:00</t>
  </si>
  <si>
    <t>20 Inches Full Silicone Vinyl Body Reborn Baby Dolls Boy Real Looking Naked Toddler with Blue Blanket</t>
  </si>
  <si>
    <t>DO-YULQ985-B7-20</t>
  </si>
  <si>
    <t>B07CM67KDW</t>
  </si>
  <si>
    <t>WINSTON SALEM</t>
  </si>
  <si>
    <t>NC</t>
  </si>
  <si>
    <t>27107-2530</t>
  </si>
  <si>
    <t>111-7418118-6260243</t>
  </si>
  <si>
    <t>2018-06-13T21:55:04+00:00</t>
  </si>
  <si>
    <t>2018-06-16T22:01:16+00:00</t>
  </si>
  <si>
    <t>GARDENA</t>
  </si>
  <si>
    <t>90247-2149</t>
  </si>
  <si>
    <t>113-9149643-2309034</t>
  </si>
  <si>
    <t>2018-06-13T21:48:21+00:00</t>
  </si>
  <si>
    <t>2018-06-14T20:30:12+00:00</t>
  </si>
  <si>
    <t>GALESBURG</t>
  </si>
  <si>
    <t>61401-3043</t>
  </si>
  <si>
    <t>111-9527605-3685032</t>
  </si>
  <si>
    <t>2018-06-13T21:46:34+00:00</t>
  </si>
  <si>
    <t>2018-06-13T23:15:26+00:00</t>
  </si>
  <si>
    <t>INDIANAPOLIS</t>
  </si>
  <si>
    <t>46218-3045</t>
  </si>
  <si>
    <t>114-9685552-8965834</t>
  </si>
  <si>
    <t>2018-06-13T21:34:33+00:00</t>
  </si>
  <si>
    <t>2018-06-13T21:40:30+00:00</t>
  </si>
  <si>
    <t>Forsyth</t>
  </si>
  <si>
    <t>114-3301075-1240217</t>
  </si>
  <si>
    <t>2018-06-13T21:04:07+00:00</t>
  </si>
  <si>
    <t>2018-06-15T21:53:01+00:00</t>
  </si>
  <si>
    <t>TALLAHASSEE</t>
  </si>
  <si>
    <t>32303-6978</t>
  </si>
  <si>
    <t>114-2689885-8079416</t>
  </si>
  <si>
    <t>2018-06-13T21:00:32+00:00</t>
  </si>
  <si>
    <t>2018-06-14T07:43:18+00:00</t>
  </si>
  <si>
    <t>Sleeping Silicone Reborn Baby Dolls Girl Look Real White Nightdress 22 Inches</t>
  </si>
  <si>
    <t>DOLL-008-W0-22</t>
  </si>
  <si>
    <t>B079M128Y6</t>
  </si>
  <si>
    <t>Caguas</t>
  </si>
  <si>
    <t>PR</t>
  </si>
  <si>
    <t>114-0173735-7324246</t>
  </si>
  <si>
    <t>2018-06-13T20:44:40+00:00</t>
  </si>
  <si>
    <t>2018-06-15T04:59:19+00:00</t>
  </si>
  <si>
    <t>112-5028061-1042639</t>
  </si>
  <si>
    <t>2018-06-13T20:36:49+00:00</t>
  </si>
  <si>
    <t>2018-06-14T22:31:02+00:00</t>
  </si>
  <si>
    <t>Cheap Silicone Reborn Baby Dolls Look Real Girl Pink Outfit with Bee 10 Inches</t>
  </si>
  <si>
    <t>DO-YULQ200-PI-10</t>
  </si>
  <si>
    <t>B07B9Q774Z</t>
  </si>
  <si>
    <t>WYMORE</t>
  </si>
  <si>
    <t>NE</t>
  </si>
  <si>
    <t>68466-8011</t>
  </si>
  <si>
    <t>112-7641045-7704238</t>
  </si>
  <si>
    <t>2018-06-13T20:15:27+00:00</t>
  </si>
  <si>
    <t>2018-06-18T09:29:25+00:00</t>
  </si>
  <si>
    <t>Reborn Baby Doll Boy Look Real Silicone Light Blue Outfit 22 Inches</t>
  </si>
  <si>
    <t>DOLL-1613-LB-22</t>
  </si>
  <si>
    <t>B076MT3BDS</t>
  </si>
  <si>
    <t>Valencia</t>
  </si>
  <si>
    <t>California</t>
  </si>
  <si>
    <t>113-7361354-6398654</t>
  </si>
  <si>
    <t>2018-06-13T20:10:49+00:00</t>
  </si>
  <si>
    <t>2018-06-14T02:28:12+00:00</t>
  </si>
  <si>
    <t>African American Reborn Baby Dolls Girl Look Real Light Purple Outfit 22 Inches</t>
  </si>
  <si>
    <t>DO-YULQ010-P0-22</t>
  </si>
  <si>
    <t>B078X59HSZ</t>
  </si>
  <si>
    <t>MADISON</t>
  </si>
  <si>
    <t>35757-8622</t>
  </si>
  <si>
    <t>10% OFF</t>
  </si>
  <si>
    <t>114-9610281-3683469</t>
  </si>
  <si>
    <t>2018-06-13T19:55:06+00:00</t>
  </si>
  <si>
    <t>2018-06-13T20:07:11+00:00</t>
  </si>
  <si>
    <t>111-7342993-1457852</t>
  </si>
  <si>
    <t>2018-06-13T19:28:04+00:00</t>
  </si>
  <si>
    <t>2018-06-21T06:31:58+00:00</t>
  </si>
  <si>
    <t>Reborn Baby Doll Girl Look Real Silicone Pink Tutu Skirt 22 Inches</t>
  </si>
  <si>
    <t>DOLL-AD011-PI-22</t>
  </si>
  <si>
    <t>B077SGXYL6</t>
  </si>
  <si>
    <t>Roselle</t>
  </si>
  <si>
    <t>60172-3148</t>
  </si>
  <si>
    <t>US Core Free Shipping Promotion A3JU1FCINF5SD0,VPC-1-33540331 Coupon</t>
  </si>
  <si>
    <t>113-0125834-0477830</t>
  </si>
  <si>
    <t>2018-06-13T19:26:24+00:00</t>
  </si>
  <si>
    <t>2018-06-14T03:21:10+00:00</t>
  </si>
  <si>
    <t>26508-8422</t>
  </si>
  <si>
    <t>111-6836182-2241058</t>
  </si>
  <si>
    <t>2018-06-13T19:21:00+00:00</t>
  </si>
  <si>
    <t>2018-06-13T19:21:22+00:00</t>
  </si>
  <si>
    <t>Winooski</t>
  </si>
  <si>
    <t>Vt</t>
  </si>
  <si>
    <t>111-6797350-3893063</t>
  </si>
  <si>
    <t>2018-06-13T18:45:01+00:00</t>
  </si>
  <si>
    <t>2018-06-14T04:33:39+00:00</t>
  </si>
  <si>
    <t>NOGALES</t>
  </si>
  <si>
    <t>85621-3215</t>
  </si>
  <si>
    <t>111-7866957-8745053</t>
  </si>
  <si>
    <t>2018-06-13T18:19:29+00:00</t>
  </si>
  <si>
    <t>2018-06-14T10:02:28+00:00</t>
  </si>
  <si>
    <t>TOMBALL</t>
  </si>
  <si>
    <t>77377-1549</t>
  </si>
  <si>
    <t>111-1424954-8694614</t>
  </si>
  <si>
    <t>2018-06-13T18:17:41+00:00</t>
  </si>
  <si>
    <t>2018-06-26T20:43:02+00:00</t>
  </si>
  <si>
    <t>MARYSVILLE</t>
  </si>
  <si>
    <t>MICHIGAN</t>
  </si>
  <si>
    <t>48040-1153</t>
  </si>
  <si>
    <t>112-8575872-6743402</t>
  </si>
  <si>
    <t>2018-06-13T17:38:46+00:00</t>
  </si>
  <si>
    <t>2018-06-13T17:39:06+00:00</t>
  </si>
  <si>
    <t>CLEVELAND</t>
  </si>
  <si>
    <t>44119-3007</t>
  </si>
  <si>
    <t>112-6180507-9412220</t>
  </si>
  <si>
    <t>2018-06-13T17:22:30+00:00</t>
  </si>
  <si>
    <t>2018-06-13T17:22:54+00:00</t>
  </si>
  <si>
    <t>111-7558727-5985849</t>
  </si>
  <si>
    <t>2018-06-13T17:19:26+00:00</t>
  </si>
  <si>
    <t>2018-06-13T23:53:32+00:00</t>
  </si>
  <si>
    <t>GENTRY</t>
  </si>
  <si>
    <t>72734-9201</t>
  </si>
  <si>
    <t>113-1627631-1955446</t>
  </si>
  <si>
    <t>2018-06-13T17:18:33+00:00</t>
  </si>
  <si>
    <t>2018-06-14T06:59:49+00:00</t>
  </si>
  <si>
    <t>FLORIDA</t>
  </si>
  <si>
    <t>33195-6503</t>
  </si>
  <si>
    <t>114-2158660-7624239</t>
  </si>
  <si>
    <t>2018-06-13T16:10:11+00:00</t>
  </si>
  <si>
    <t>2018-06-14T03:24:54+00:00</t>
  </si>
  <si>
    <t>22 Inches Full Silicone Body Reborn Baby Dolls Girl Real Looking Toddler Tutu Skirt</t>
  </si>
  <si>
    <t>DO-YULQ150-K0-22</t>
  </si>
  <si>
    <t>B07CN274MC</t>
  </si>
  <si>
    <t>GILBERT</t>
  </si>
  <si>
    <t>85297-8142</t>
  </si>
  <si>
    <t>111-8434825-1188245</t>
  </si>
  <si>
    <t>2018-06-13T15:55:42+00:00</t>
  </si>
  <si>
    <t>2018-06-13T22:46:42+00:00</t>
  </si>
  <si>
    <t>TRENTON</t>
  </si>
  <si>
    <t>GEORGIA</t>
  </si>
  <si>
    <t>30752-5718</t>
  </si>
  <si>
    <t>114-3431181-5510614</t>
  </si>
  <si>
    <t>2018-06-13T15:41:47+00:00</t>
  </si>
  <si>
    <t>2018-06-16T06:05:40+00:00</t>
  </si>
  <si>
    <t>Reborn Baby Doll Boy Look Real Silicone Blue Outfit 22 Inches</t>
  </si>
  <si>
    <t>DOLL-9042-B0-22</t>
  </si>
  <si>
    <t>B076J5RSFF</t>
  </si>
  <si>
    <t>SAN BENITO</t>
  </si>
  <si>
    <t>78586-5472</t>
  </si>
  <si>
    <t>US Core Free Shipping Promotion A3JU1FCINF5SD0,VPC-1-33519101 Coupon</t>
  </si>
  <si>
    <t>112-5277613-7079448</t>
  </si>
  <si>
    <t>2018-06-13T15:38:53+00:00</t>
  </si>
  <si>
    <t>2018-06-13T23:26:46+00:00</t>
  </si>
  <si>
    <t>10016-3903</t>
  </si>
  <si>
    <t>Reborn Baby Doll Outfits Boy Accessories for 20"- 22" Pink Outfit</t>
  </si>
  <si>
    <t>YF-YULQ602-PI-20</t>
  </si>
  <si>
    <t>B079P55XYW</t>
  </si>
  <si>
    <t>114-8142817-3542631</t>
  </si>
  <si>
    <t>2018-06-13T14:36:55+00:00</t>
  </si>
  <si>
    <t>2018-06-13T21:52:31+00:00</t>
  </si>
  <si>
    <t>DO-YULQ604-PI-22</t>
  </si>
  <si>
    <t>B078XB1WC9</t>
  </si>
  <si>
    <t>TOCCOA</t>
  </si>
  <si>
    <t>30577-5195</t>
  </si>
  <si>
    <t>112-7498577-4109824</t>
  </si>
  <si>
    <t>2018-06-13T13:29:47+00:00</t>
  </si>
  <si>
    <t>2018-06-14T04:41:10+00:00</t>
  </si>
  <si>
    <t>BECKER</t>
  </si>
  <si>
    <t>55308-9347</t>
  </si>
  <si>
    <t>114-0014273-4517064</t>
  </si>
  <si>
    <t>2018-06-13T13:17:26+00:00</t>
  </si>
  <si>
    <t>2018-06-14T06:01:04+00:00</t>
  </si>
  <si>
    <t>Reborn Baby Dolls Girl Look Real Lifelike Toddler Silicone Vinyl Light Pink Dress 16 Inches</t>
  </si>
  <si>
    <t>DO-YULQ230-PI-16</t>
  </si>
  <si>
    <t>B0795M8J8G</t>
  </si>
  <si>
    <t>CHESAPEAKE</t>
  </si>
  <si>
    <t>45619-8168</t>
  </si>
  <si>
    <t>112-6161566-7496216</t>
  </si>
  <si>
    <t>2018-06-13T13:02:13+00:00</t>
  </si>
  <si>
    <t>2018-06-13T22:34:40+00:00</t>
  </si>
  <si>
    <t>McKinney</t>
  </si>
  <si>
    <t>111-9733977-6694622</t>
  </si>
  <si>
    <t>2018-06-13T12:41:59+00:00</t>
  </si>
  <si>
    <t>2018-06-13T22:22:05+00:00</t>
  </si>
  <si>
    <t>CHICAGO</t>
  </si>
  <si>
    <t>60614-5503</t>
  </si>
  <si>
    <t>113-2258186-9030650</t>
  </si>
  <si>
    <t>2018-06-13T12:34:40+00:00</t>
  </si>
  <si>
    <t>2018-06-14T21:17:04+00:00</t>
  </si>
  <si>
    <t>78215-1924</t>
  </si>
  <si>
    <t>112-5025693-6178608</t>
  </si>
  <si>
    <t>2018-06-13T12:31:38+00:00</t>
  </si>
  <si>
    <t>2018-06-14T03:14:22+00:00</t>
  </si>
  <si>
    <t>FEASTERVILLE</t>
  </si>
  <si>
    <t>Pennsylvania</t>
  </si>
  <si>
    <t>114-7550882-7053032</t>
  </si>
  <si>
    <t>2018-06-13T11:32:36+00:00</t>
  </si>
  <si>
    <t>2018-06-15T15:19:31+00:00</t>
  </si>
  <si>
    <t>LINCOLN</t>
  </si>
  <si>
    <t>68522-1250</t>
  </si>
  <si>
    <t>114-7243010-2783442</t>
  </si>
  <si>
    <t>2018-06-13T04:44:41+00:00</t>
  </si>
  <si>
    <t>2018-06-13T21:46:20+00:00</t>
  </si>
  <si>
    <t>BAL HARBOUR</t>
  </si>
  <si>
    <t>33154-1310</t>
  </si>
  <si>
    <t>111-5949840-9893813</t>
  </si>
  <si>
    <t>2018-06-13T04:23:03+00:00</t>
  </si>
  <si>
    <t>2018-06-13T20:27:22+00:00</t>
  </si>
  <si>
    <t>TACOMA</t>
  </si>
  <si>
    <t>98409-2251</t>
  </si>
  <si>
    <t>Reborn Baby Doll Outfits Girl Accessories for 20"- 22" Rose Red and Cow Pattern</t>
  </si>
  <si>
    <t>DOLLDRESS-003-R2-20</t>
  </si>
  <si>
    <t>B076KQB6X1</t>
  </si>
  <si>
    <t>114-6176988-8165865</t>
  </si>
  <si>
    <t>2018-06-13T03:49:29+00:00</t>
  </si>
  <si>
    <t>2018-06-17T17:34:10+00:00</t>
  </si>
  <si>
    <t>FORT LAUDERDALE</t>
  </si>
  <si>
    <t>33309-3070</t>
  </si>
  <si>
    <t>112-8128181-6899455</t>
  </si>
  <si>
    <t>2018-06-13T03:47:50+00:00</t>
  </si>
  <si>
    <t>2018-06-16T00:08:27+00:00</t>
  </si>
  <si>
    <t>BUFORD</t>
  </si>
  <si>
    <t>30519-3402</t>
  </si>
  <si>
    <t>114-9076948-4946620</t>
  </si>
  <si>
    <t>2018-06-13T03:33:51+00:00</t>
  </si>
  <si>
    <t>2018-06-14T04:55:56+00:00</t>
  </si>
  <si>
    <t>HARRISON</t>
  </si>
  <si>
    <t>10528-2936</t>
  </si>
  <si>
    <t>113-8394481-5408247</t>
  </si>
  <si>
    <t>2018-06-13T03:30:31+00:00</t>
  </si>
  <si>
    <t>2018-06-14T06:27:41+00:00</t>
  </si>
  <si>
    <t>Reborn Baby Doll Outfits Boy Accessories for 20"- 22" White and Light Blue Pants</t>
  </si>
  <si>
    <t>YF-YULQ002-B7-20</t>
  </si>
  <si>
    <t>B079NXJZ52</t>
  </si>
  <si>
    <t>MUKWONAGO</t>
  </si>
  <si>
    <t>WI</t>
  </si>
  <si>
    <t>53149-9453</t>
  </si>
  <si>
    <t>113-7395961-5597003</t>
  </si>
  <si>
    <t>2018-06-13T10:35:30+00:00</t>
  </si>
  <si>
    <t>111-3286741-3588204</t>
  </si>
  <si>
    <t>2018-06-13T03:27:31+00:00</t>
  </si>
  <si>
    <t>2018-06-14T04:17:07+00:00</t>
  </si>
  <si>
    <t>CENTRAL POINT</t>
  </si>
  <si>
    <t>97502-7317</t>
  </si>
  <si>
    <t>114-4309670-5353055</t>
  </si>
  <si>
    <t>2018-06-13T02:48:26+00:00</t>
  </si>
  <si>
    <t>2018-06-14T03:46:30+00:00</t>
  </si>
  <si>
    <t>DC</t>
  </si>
  <si>
    <t>20017-3308</t>
  </si>
  <si>
    <t>111-8284460-1852250</t>
  </si>
  <si>
    <t>2018-06-13T02:21:49+00:00</t>
  </si>
  <si>
    <t>2018-06-14T03:17:49+00:00</t>
  </si>
  <si>
    <t>Saint Louis</t>
  </si>
  <si>
    <t>48880-9775</t>
  </si>
  <si>
    <t>112-7553738-6457848</t>
  </si>
  <si>
    <t>2018-06-13T01:43:41+00:00</t>
  </si>
  <si>
    <t>2018-06-14T21:02:00+00:00</t>
  </si>
  <si>
    <t>08611-1426</t>
  </si>
  <si>
    <t>113-5804881-8777038</t>
  </si>
  <si>
    <t>2018-06-13T01:09:04+00:00</t>
  </si>
  <si>
    <t>2018-06-13T21:33:17+00:00</t>
  </si>
  <si>
    <t>Real Looking Reborn Baby Dolls Twins Boy Silicone Light Blue 22 Inches</t>
  </si>
  <si>
    <t>DO-YULQ163-B7-22</t>
  </si>
  <si>
    <t>B078XBDF6J</t>
  </si>
  <si>
    <t>Silver Spring</t>
  </si>
  <si>
    <t>20906-1815</t>
  </si>
  <si>
    <t>111-4944380-7781844</t>
  </si>
  <si>
    <t>2018-06-13T01:03:50+00:00</t>
  </si>
  <si>
    <t>2018-06-15T06:25:59+00:00</t>
  </si>
  <si>
    <t>GREENLAWN</t>
  </si>
  <si>
    <t>11740-1802</t>
  </si>
  <si>
    <t>114-4145262-4695462</t>
  </si>
  <si>
    <t>2018-06-13T01:01:52+00:00</t>
  </si>
  <si>
    <t>2018-06-13T09:26:30+00:00</t>
  </si>
  <si>
    <t>BOZEMAN</t>
  </si>
  <si>
    <t>MT</t>
  </si>
  <si>
    <t>59718-7267</t>
  </si>
  <si>
    <t>114-8503341-4197009</t>
  </si>
  <si>
    <t>2018-06-13T00:16:00+00:00</t>
  </si>
  <si>
    <t>2018-06-14T01:38:02+00:00</t>
  </si>
  <si>
    <t>85014-4099</t>
  </si>
  <si>
    <t>111-5761009-5797003</t>
  </si>
  <si>
    <t>2018-06-14T23:14:45+00:00</t>
  </si>
  <si>
    <t>2018-06-15T22:06:55+00:00</t>
  </si>
  <si>
    <t>QUINCY</t>
  </si>
  <si>
    <t>02169-7410</t>
  </si>
  <si>
    <t>112-3490374-0163453</t>
  </si>
  <si>
    <t>2018-06-14T23:07:55+00:00</t>
  </si>
  <si>
    <t>2018-06-16T16:59:33+00:00</t>
  </si>
  <si>
    <t>HUNTINGTON STATION</t>
  </si>
  <si>
    <t>11746-6628</t>
  </si>
  <si>
    <t>112-8874510-4046657</t>
  </si>
  <si>
    <t>2018-06-14T22:53:00+00:00</t>
  </si>
  <si>
    <t>2018-06-15T19:29:08+00:00</t>
  </si>
  <si>
    <t>05855-5339</t>
  </si>
  <si>
    <t>113-4667494-9081064</t>
  </si>
  <si>
    <t>2018-06-14T22:40:18+00:00</t>
  </si>
  <si>
    <t>2018-06-15T15:27:47+00:00</t>
  </si>
  <si>
    <t>TERRY</t>
  </si>
  <si>
    <t>MS</t>
  </si>
  <si>
    <t>39170-8332</t>
  </si>
  <si>
    <t>112-6352923-2935426</t>
  </si>
  <si>
    <t>2018-06-14T22:26:16+00:00</t>
  </si>
  <si>
    <t>2018-06-17T18:28:15+00:00</t>
  </si>
  <si>
    <t>73131-5809</t>
  </si>
  <si>
    <t>113-2455208-8126649</t>
  </si>
  <si>
    <t>2018-06-14T21:52:36+00:00</t>
  </si>
  <si>
    <t>2018-06-16T04:37:44+00:00</t>
  </si>
  <si>
    <t>NEW MARKET</t>
  </si>
  <si>
    <t>21774-6503</t>
  </si>
  <si>
    <t>VPC-1-33542801 Coupon</t>
  </si>
  <si>
    <t>114-7622922-6065829</t>
  </si>
  <si>
    <t>2018-06-14T21:32:48+00:00</t>
  </si>
  <si>
    <t>2018-06-15T08:37:55+00:00</t>
  </si>
  <si>
    <t>111-9075548-9424212</t>
  </si>
  <si>
    <t>2018-06-14T20:50:43+00:00</t>
  </si>
  <si>
    <t>2018-06-15T23:10:10+00:00</t>
  </si>
  <si>
    <t>FAIRFIELD</t>
  </si>
  <si>
    <t>94533-1502</t>
  </si>
  <si>
    <t>113-9166402-8360253</t>
  </si>
  <si>
    <t>2018-06-14T20:27:57+00:00</t>
  </si>
  <si>
    <t>2018-06-14T20:34:11+00:00</t>
  </si>
  <si>
    <t>Lemont</t>
  </si>
  <si>
    <t>60439-9145</t>
  </si>
  <si>
    <t>112-6308508-3223428</t>
  </si>
  <si>
    <t>2018-06-14T20:03:18+00:00</t>
  </si>
  <si>
    <t>2018-06-14T20:03:39+00:00</t>
  </si>
  <si>
    <t>Cleveland</t>
  </si>
  <si>
    <t>Ohio</t>
  </si>
  <si>
    <t>114-1031300-8072202</t>
  </si>
  <si>
    <t>2018-06-14T18:10:15+00:00</t>
  </si>
  <si>
    <t>2018-06-18T16:33:12+00:00</t>
  </si>
  <si>
    <t>Sleeping Soft Silicone Reborn Baby Dolls Girl Look Real Pink Outfit 16 Inches</t>
  </si>
  <si>
    <t>DO-YULQ161-PI-16</t>
  </si>
  <si>
    <t>B07928926Z</t>
  </si>
  <si>
    <t>RNCHO CORDOVA</t>
  </si>
  <si>
    <t>95670-5341</t>
  </si>
  <si>
    <t>112-4714977-7776237</t>
  </si>
  <si>
    <t>2018-06-14T17:33:31+00:00</t>
  </si>
  <si>
    <t>2018-06-25T14:44:52+00:00</t>
  </si>
  <si>
    <t>Black Reborn Baby Dolls Full Silicone Body Real Looking Eye Closed Light Blue Outfit Small 10 Inches</t>
  </si>
  <si>
    <t>DO-YULQ006-B7-10</t>
  </si>
  <si>
    <t>B078Y8Y5F7</t>
  </si>
  <si>
    <t>MEMPHIS</t>
  </si>
  <si>
    <t>38104-3415</t>
  </si>
  <si>
    <t>112-1244469-3295455</t>
  </si>
  <si>
    <t>2018-06-14T17:15:35+00:00</t>
  </si>
  <si>
    <t>2018-06-15T06:56:14+00:00</t>
  </si>
  <si>
    <t>HEBRON</t>
  </si>
  <si>
    <t>KY</t>
  </si>
  <si>
    <t>41048-9117</t>
  </si>
  <si>
    <t>114-6446418-9417054</t>
  </si>
  <si>
    <t>2018-06-14T16:49:44+00:00</t>
  </si>
  <si>
    <t>2018-06-17T08:36:26+00:00</t>
  </si>
  <si>
    <t>FREEPORT</t>
  </si>
  <si>
    <t>11520-4223</t>
  </si>
  <si>
    <t>111-1563664-8859436</t>
  </si>
  <si>
    <t>2018-06-14T15:59:29+00:00</t>
  </si>
  <si>
    <t>2018-06-14T21:35:32+00:00</t>
  </si>
  <si>
    <t>SAN FERNANDO</t>
  </si>
  <si>
    <t>91340-4030</t>
  </si>
  <si>
    <t>112-4462959-8926609</t>
  </si>
  <si>
    <t>2018-06-14T15:22:42+00:00</t>
  </si>
  <si>
    <t>2018-06-17T16:01:36+00:00</t>
  </si>
  <si>
    <t>Reborn Baby Dolls Girl Look Real Silicone Light Pink Dress 16 Inches</t>
  </si>
  <si>
    <t>DO-YULQ605-PI-16</t>
  </si>
  <si>
    <t>B0792PFKL5</t>
  </si>
  <si>
    <t>GREENSBORO</t>
  </si>
  <si>
    <t>27409-3460</t>
  </si>
  <si>
    <t>111-2267750-0709048</t>
  </si>
  <si>
    <t>2018-06-14T14:54:45+00:00</t>
  </si>
  <si>
    <t>2018-06-14T21:50:06+00:00</t>
  </si>
  <si>
    <t>OGDEN</t>
  </si>
  <si>
    <t>UT</t>
  </si>
  <si>
    <t>84403-1220</t>
  </si>
  <si>
    <t>114-9909667-7706632</t>
  </si>
  <si>
    <t>2018-06-14T13:56:41+00:00</t>
  </si>
  <si>
    <t>2018-06-16T02:39:27+00:00</t>
  </si>
  <si>
    <t>QUEEN ANNE</t>
  </si>
  <si>
    <t>21657-1817</t>
  </si>
  <si>
    <t>113-3998749-8826632</t>
  </si>
  <si>
    <t>2018-06-14T13:42:40+00:00</t>
  </si>
  <si>
    <t>2018-06-15T06:58:34+00:00</t>
  </si>
  <si>
    <t>KNOXVILLE</t>
  </si>
  <si>
    <t>114-2135735-4457001</t>
  </si>
  <si>
    <t>2018-06-14T13:37:03+00:00</t>
  </si>
  <si>
    <t>2018-06-15T03:17:40+00:00</t>
  </si>
  <si>
    <t>chesterfield</t>
  </si>
  <si>
    <t>111-0770479-2536213</t>
  </si>
  <si>
    <t>2018-06-14T10:47:29+00:00</t>
  </si>
  <si>
    <t>2018-06-14T18:50:16+00:00</t>
  </si>
  <si>
    <t>ASTON</t>
  </si>
  <si>
    <t>PA</t>
  </si>
  <si>
    <t>19014-2111</t>
  </si>
  <si>
    <t>111-3319313-2895403</t>
  </si>
  <si>
    <t>2018-06-14T06:31:30+00:00</t>
  </si>
  <si>
    <t>2018-06-16T09:58:07+00:00</t>
  </si>
  <si>
    <t>BAKERSFIELD</t>
  </si>
  <si>
    <t>93307-1483</t>
  </si>
  <si>
    <t>113-8908538-2263408</t>
  </si>
  <si>
    <t>2018-06-14T03:48:04+00:00</t>
  </si>
  <si>
    <t>2018-06-14T23:49:42+00:00</t>
  </si>
  <si>
    <t>KEARNY</t>
  </si>
  <si>
    <t>07032-2032</t>
  </si>
  <si>
    <t>112-1775064-2497865</t>
  </si>
  <si>
    <t>2018-06-14T03:00:41+00:00</t>
  </si>
  <si>
    <t>2018-06-16T08:00:18+00:00</t>
  </si>
  <si>
    <t>PARAMOUNT</t>
  </si>
  <si>
    <t>90723-3910</t>
  </si>
  <si>
    <t>112-9512357-5086645</t>
  </si>
  <si>
    <t>2018-06-14T02:49:23+00:00</t>
  </si>
  <si>
    <t>2018-06-14T14:15:50+00:00</t>
  </si>
  <si>
    <t>COLORADO SPRINGS</t>
  </si>
  <si>
    <t>80924-2919</t>
  </si>
  <si>
    <t>113-0304863-1091447</t>
  </si>
  <si>
    <t>2018-06-14T02:35:39+00:00</t>
  </si>
  <si>
    <t>2018-06-14T21:20:37+00:00</t>
  </si>
  <si>
    <t>4 Pcs Newborn Baby Outfits Set for Girl White with Cow Pattern M(6-12 Months)</t>
  </si>
  <si>
    <t>DOLLDRESS-003-WO-M</t>
  </si>
  <si>
    <t>B077Z6B9TS</t>
  </si>
  <si>
    <t>10010-7089</t>
  </si>
  <si>
    <t>112-7228913-7032253</t>
  </si>
  <si>
    <t>2018-06-14T02:31:57+00:00</t>
  </si>
  <si>
    <t>2018-06-15T02:42:26+00:00</t>
  </si>
  <si>
    <t>OOLOGAH</t>
  </si>
  <si>
    <t>74053-6217</t>
  </si>
  <si>
    <t>112-3554367-9997004</t>
  </si>
  <si>
    <t>2018-06-14T02:02:51+00:00</t>
  </si>
  <si>
    <t>2018-06-15T06:33:48+00:00</t>
  </si>
  <si>
    <t>SAN LEANDRO</t>
  </si>
  <si>
    <t>94577-3153</t>
  </si>
  <si>
    <t>111-1519186-6104247</t>
  </si>
  <si>
    <t>2018-06-14T01:50:16+00:00</t>
  </si>
  <si>
    <t>2018-06-15T03:44:52+00:00</t>
  </si>
  <si>
    <t>BETHEL</t>
  </si>
  <si>
    <t>06801-2407</t>
  </si>
  <si>
    <t>114-7801464-2825028</t>
  </si>
  <si>
    <t>2018-06-14T01:29:47+00:00</t>
  </si>
  <si>
    <t>2018-06-14T20:46:45+00:00</t>
  </si>
  <si>
    <t>MASSAPEQUA</t>
  </si>
  <si>
    <t>11758-5803</t>
  </si>
  <si>
    <t>113-9319941-4369012</t>
  </si>
  <si>
    <t>2018-06-14T01:09:15+00:00</t>
  </si>
  <si>
    <t>2018-06-15T21:28:29+00:00</t>
  </si>
  <si>
    <t>DORAL</t>
  </si>
  <si>
    <t>33198-1534</t>
  </si>
  <si>
    <t>112-6023812-3241836</t>
  </si>
  <si>
    <t>2018-06-14T01:05:52+00:00</t>
  </si>
  <si>
    <t>2018-06-15T04:35:15+00:00</t>
  </si>
  <si>
    <t>NEWARK</t>
  </si>
  <si>
    <t>07104-3979</t>
  </si>
  <si>
    <t>112-9002312-1212234</t>
  </si>
  <si>
    <t>2018-06-14T01:03:08+00:00</t>
  </si>
  <si>
    <t>2018-06-15T05:51:30+00:00</t>
  </si>
  <si>
    <t>DOUGLAS</t>
  </si>
  <si>
    <t>112-5753010-5397029</t>
  </si>
  <si>
    <t>2018-06-14T00:17:07+00:00</t>
  </si>
  <si>
    <t>2018-06-14T00:17:26+00:00</t>
  </si>
  <si>
    <t>S01-3718136-9736256</t>
  </si>
  <si>
    <t>xi6f2kE669</t>
  </si>
  <si>
    <t>2018-06-15T02:20:41+00:00</t>
  </si>
  <si>
    <t>2018-06-20T17:25:57+00:00</t>
  </si>
  <si>
    <t>Non-Amazon</t>
  </si>
  <si>
    <t>DO-YULQ161-B7-22</t>
  </si>
  <si>
    <t>112-3626595-7595464</t>
  </si>
  <si>
    <t>2018-06-15T23:52:26+00:00</t>
  </si>
  <si>
    <t>2018-06-16T22:32:34+00:00</t>
  </si>
  <si>
    <t>WOODLAWN</t>
  </si>
  <si>
    <t>24381-2606</t>
  </si>
  <si>
    <t>114-0433431-1793839</t>
  </si>
  <si>
    <t>2018-06-15T23:43:46+00:00</t>
  </si>
  <si>
    <t>2018-06-16T05:04:16+00:00</t>
  </si>
  <si>
    <t>10027-2538</t>
  </si>
  <si>
    <t>113-9786430-6885013</t>
  </si>
  <si>
    <t>2018-06-15T23:43:19+00:00</t>
  </si>
  <si>
    <t>2018-06-21T04:39:16+00:00</t>
  </si>
  <si>
    <t>11235-1845</t>
  </si>
  <si>
    <t>114-2776040-3104228</t>
  </si>
  <si>
    <t>2018-06-15T23:40:05+00:00</t>
  </si>
  <si>
    <t>2018-06-16T16:53:30+00:00</t>
  </si>
  <si>
    <t>East meadow</t>
  </si>
  <si>
    <t>111-9683909-8696232</t>
  </si>
  <si>
    <t>2018-06-15T23:12:55+00:00</t>
  </si>
  <si>
    <t>2018-06-16T10:44:53+00:00</t>
  </si>
  <si>
    <t>112-7272391-9279464</t>
  </si>
  <si>
    <t>2018-06-15T22:37:39+00:00</t>
  </si>
  <si>
    <t>2018-06-16T17:06:40+00:00</t>
  </si>
  <si>
    <t>Real Looking Reborn Baby Dolls Girl Silicone Rose Red Outfit 22 Inches</t>
  </si>
  <si>
    <t>DO-YULQ610-R2-22</t>
  </si>
  <si>
    <t>B0793RW7P4</t>
  </si>
  <si>
    <t>FORT WORTH</t>
  </si>
  <si>
    <t>76109-1625</t>
  </si>
  <si>
    <t>111-8634807-9047444</t>
  </si>
  <si>
    <t>2018-06-15T21:47:48+00:00</t>
  </si>
  <si>
    <t>2018-06-16T10:44:48+00:00</t>
  </si>
  <si>
    <t>112-6102227-0557029</t>
  </si>
  <si>
    <t>2018-06-15T21:28:20+00:00</t>
  </si>
  <si>
    <t>2018-06-16T21:21:26+00:00</t>
  </si>
  <si>
    <t>22 Inches Full Silicone Body Reborn Baby Dolls Boy Hnadmade Toddler Eye Closed Red Outfit</t>
  </si>
  <si>
    <t>DO-YULQ702-PI-22</t>
  </si>
  <si>
    <t>B07CM6R65H</t>
  </si>
  <si>
    <t>AIKEN</t>
  </si>
  <si>
    <t>SC</t>
  </si>
  <si>
    <t>29805-8505</t>
  </si>
  <si>
    <t>111-8106198-5390655</t>
  </si>
  <si>
    <t>2018-06-15T21:14:39+00:00</t>
  </si>
  <si>
    <t>2018-06-22T20:30:56+00:00</t>
  </si>
  <si>
    <t>SHARON</t>
  </si>
  <si>
    <t>KS</t>
  </si>
  <si>
    <t>67138-9046</t>
  </si>
  <si>
    <t>114-5075508-0199456</t>
  </si>
  <si>
    <t>2018-06-15T20:18:15+00:00</t>
  </si>
  <si>
    <t>2018-06-17T01:06:45+00:00</t>
  </si>
  <si>
    <t>WEST PALM BEACH</t>
  </si>
  <si>
    <t>33401-8714</t>
  </si>
  <si>
    <t>111-8197127-7066621</t>
  </si>
  <si>
    <t>2018-06-15T19:43:28+00:00</t>
  </si>
  <si>
    <t>2018-06-18T05:46:08+00:00</t>
  </si>
  <si>
    <t>33181-3146</t>
  </si>
  <si>
    <t>114-5519634-7333050</t>
  </si>
  <si>
    <t>2018-06-15T19:41:44+00:00</t>
  </si>
  <si>
    <t>2018-06-17T09:37:07+00:00</t>
  </si>
  <si>
    <t>Realistic Reborn Baby Dolls Boy Toddler Blue Outfit with Rhino Patterns 22 Inches</t>
  </si>
  <si>
    <t>DO-YULQ516-B0-22</t>
  </si>
  <si>
    <t>B07BFVWCV4</t>
  </si>
  <si>
    <t>YUCCA VALLEY</t>
  </si>
  <si>
    <t>92284-4031</t>
  </si>
  <si>
    <t>114-1446866-9008217</t>
  </si>
  <si>
    <t>2018-06-15T19:25:45+00:00</t>
  </si>
  <si>
    <t>2018-06-15T20:55:27+00:00</t>
  </si>
  <si>
    <t>CAMANCHE</t>
  </si>
  <si>
    <t>IOWA</t>
  </si>
  <si>
    <t>52730-9707</t>
  </si>
  <si>
    <t>111-0325448-4213851</t>
  </si>
  <si>
    <t>2018-06-15T18:37:57+00:00</t>
  </si>
  <si>
    <t>2018-06-15T18:42:02+00:00</t>
  </si>
  <si>
    <t>112-4622139-6659444</t>
  </si>
  <si>
    <t>2018-06-15T18:16:28+00:00</t>
  </si>
  <si>
    <t>2018-06-17T05:51:26+00:00</t>
  </si>
  <si>
    <t>northglenn</t>
  </si>
  <si>
    <t>colorado</t>
  </si>
  <si>
    <t>113-4879910-6565801</t>
  </si>
  <si>
    <t>2018-06-15T18:00:03+00:00</t>
  </si>
  <si>
    <t>2018-06-15T18:00:22+00:00</t>
  </si>
  <si>
    <t>GRAND ISLAND</t>
  </si>
  <si>
    <t>68801-3807</t>
  </si>
  <si>
    <t>114-0046449-8145000</t>
  </si>
  <si>
    <t>2018-06-15T17:52:57+00:00</t>
  </si>
  <si>
    <t>2018-06-16T03:55:02+00:00</t>
  </si>
  <si>
    <t>NORTH MERRICK</t>
  </si>
  <si>
    <t>11566-1959</t>
  </si>
  <si>
    <t>111-2689078-3744211</t>
  </si>
  <si>
    <t>2018-06-15T16:56:28+00:00</t>
  </si>
  <si>
    <t>2018-06-15T16:56:45+00:00</t>
  </si>
  <si>
    <t>Sleeping Reborn Baby Doll Girl Look Real Silicone Rose Red Outfit with Cow Pattern 15 Inches</t>
  </si>
  <si>
    <t>DO-YULQ630-R2-15</t>
  </si>
  <si>
    <t>B0794XFL8V</t>
  </si>
  <si>
    <t>MISSION</t>
  </si>
  <si>
    <t>78574-1873</t>
  </si>
  <si>
    <t>114-5308724-5419464</t>
  </si>
  <si>
    <t>2018-06-15T16:02:09+00:00</t>
  </si>
  <si>
    <t>2018-06-15T21:46:16+00:00</t>
  </si>
  <si>
    <t>LIVERMORE</t>
  </si>
  <si>
    <t>94550-6502</t>
  </si>
  <si>
    <t>111-6510333-2893864</t>
  </si>
  <si>
    <t>2018-06-15T15:58:48+00:00</t>
  </si>
  <si>
    <t>2018-06-15T20:02:45+00:00</t>
  </si>
  <si>
    <t>SOUTHLAKE</t>
  </si>
  <si>
    <t>76092-1709</t>
  </si>
  <si>
    <t>113-3232954-6694656</t>
  </si>
  <si>
    <t>2018-06-15T15:56:25+00:00</t>
  </si>
  <si>
    <t>2018-06-16T04:34:32+00:00</t>
  </si>
  <si>
    <t>Chubbuck</t>
  </si>
  <si>
    <t>ID</t>
  </si>
  <si>
    <t>113-5056380-3864234</t>
  </si>
  <si>
    <t>2018-06-15T15:43:38+00:00</t>
  </si>
  <si>
    <t>2018-06-17T03:01:02+00:00</t>
  </si>
  <si>
    <t>African American Reborn Baby Doll Boy Look Real Full Body Silicone White Outfit 10 Inches</t>
  </si>
  <si>
    <t>DOLL-005-WO-11</t>
  </si>
  <si>
    <t>B076PDDZW9</t>
  </si>
  <si>
    <t>Braselton</t>
  </si>
  <si>
    <t>30517-6296</t>
  </si>
  <si>
    <t>112-6292199-6492266</t>
  </si>
  <si>
    <t>2018-06-15T14:20:04+00:00</t>
  </si>
  <si>
    <t>2018-06-16T03:50:59+00:00</t>
  </si>
  <si>
    <t>TAMPA</t>
  </si>
  <si>
    <t>33637-2704</t>
  </si>
  <si>
    <t>111-3583696-6809023</t>
  </si>
  <si>
    <t>2018-06-15T13:49:41+00:00</t>
  </si>
  <si>
    <t>2018-06-15T15:25:44+00:00</t>
  </si>
  <si>
    <t>GERING</t>
  </si>
  <si>
    <t>69341-2041</t>
  </si>
  <si>
    <t>113-3217850-0908204</t>
  </si>
  <si>
    <t>2018-06-15T13:05:37+00:00</t>
  </si>
  <si>
    <t>2018-06-18T04:02:01+00:00</t>
  </si>
  <si>
    <t>33173-4214</t>
  </si>
  <si>
    <t>113-9698591-3729822</t>
  </si>
  <si>
    <t>2018-06-15T10:08:12+00:00</t>
  </si>
  <si>
    <t>2018-06-15T10:08:27+00:00</t>
  </si>
  <si>
    <t>113-8416194-2310621</t>
  </si>
  <si>
    <t>2018-06-15T09:45:56+00:00</t>
  </si>
  <si>
    <t>2018-06-15T09:46:14+00:00</t>
  </si>
  <si>
    <t>113-7195640-7349030</t>
  </si>
  <si>
    <t>2018-06-15T09:40:38+00:00</t>
  </si>
  <si>
    <t>2018-06-15T09:42:18+00:00</t>
  </si>
  <si>
    <t>113-3073346-6771459</t>
  </si>
  <si>
    <t>2018-06-15T09:28:38+00:00</t>
  </si>
  <si>
    <t>2018-06-15T09:31:40+00:00</t>
  </si>
  <si>
    <t>114-2108408-4169033</t>
  </si>
  <si>
    <t>2018-06-15T06:43:54+00:00</t>
  </si>
  <si>
    <t>2018-06-16T00:39:45+00:00</t>
  </si>
  <si>
    <t>24 Inches Realistic Reborn Baby Doll Girl Silicone Pink Outfit White Shoes with Toy Giraffe</t>
  </si>
  <si>
    <t>DO-YULQ707-PI-24</t>
  </si>
  <si>
    <t>B07D4DRFYN</t>
  </si>
  <si>
    <t>BOWLING GREEN</t>
  </si>
  <si>
    <t>42101-3634</t>
  </si>
  <si>
    <t>113-8132889-3194617</t>
  </si>
  <si>
    <t>2018-06-15T04:35:22+00:00</t>
  </si>
  <si>
    <t>2018-06-15T05:05:16+00:00</t>
  </si>
  <si>
    <t>Chicago</t>
  </si>
  <si>
    <t>Illinois</t>
  </si>
  <si>
    <t>113-6090560-7355405</t>
  </si>
  <si>
    <t>2018-06-15T03:48:00+00:00</t>
  </si>
  <si>
    <t>2018-06-16T19:26:04+00:00</t>
  </si>
  <si>
    <t>85008-6504</t>
  </si>
  <si>
    <t>114-2418133-0905014</t>
  </si>
  <si>
    <t>2018-06-15T03:09:24+00:00</t>
  </si>
  <si>
    <t>2018-06-15T20:20:42+00:00</t>
  </si>
  <si>
    <t>Jackson Heights</t>
  </si>
  <si>
    <t>113-1151448-9671428</t>
  </si>
  <si>
    <t>2018-06-15T03:00:15+00:00</t>
  </si>
  <si>
    <t>2018-06-15T21:47:44+00:00</t>
  </si>
  <si>
    <t>Sleeping Reborn Baby Dolls Girls Lifelike Toddler Silicone Pink Outfit with Cat Pattern 22 Inches</t>
  </si>
  <si>
    <t>DO-YULQ063-PI-22</t>
  </si>
  <si>
    <t>B079P24VZF</t>
  </si>
  <si>
    <t>33137-4394</t>
  </si>
  <si>
    <t>US Core Free Shipping Promotion A3JU1FCINF5SD0,10% OFF</t>
  </si>
  <si>
    <t>111-0679413-7220250</t>
  </si>
  <si>
    <t>2018-06-15T02:49:42+00:00</t>
  </si>
  <si>
    <t>2018-06-15T12:26:31+00:00</t>
  </si>
  <si>
    <t>MIDVALE</t>
  </si>
  <si>
    <t>84047-2708</t>
  </si>
  <si>
    <t>114-9520293-9196210</t>
  </si>
  <si>
    <t>2018-06-15T02:27:19+00:00</t>
  </si>
  <si>
    <t>2018-06-16T02:34:22+00:00</t>
  </si>
  <si>
    <t>SACRAMENTO</t>
  </si>
  <si>
    <t>95823-5325</t>
  </si>
  <si>
    <t>112-5150939-9584208</t>
  </si>
  <si>
    <t>2018-06-15T02:06:40+00:00</t>
  </si>
  <si>
    <t>2018-06-15T02:06:56+00:00</t>
  </si>
  <si>
    <t>114-2526568-9037866</t>
  </si>
  <si>
    <t>2018-06-15T02:00:47+00:00</t>
  </si>
  <si>
    <t>2018-06-15T19:58:54+00:00</t>
  </si>
  <si>
    <t>ANTIOCH</t>
  </si>
  <si>
    <t>94509-2719</t>
  </si>
  <si>
    <t>114-4266287-0862616</t>
  </si>
  <si>
    <t>2018-06-15T01:53:51+00:00</t>
  </si>
  <si>
    <t>2018-06-16T21:33:16+00:00</t>
  </si>
  <si>
    <t>JACKSONVILLE</t>
  </si>
  <si>
    <t>32226-4919</t>
  </si>
  <si>
    <t>111-3618749-0810664</t>
  </si>
  <si>
    <t>2018-06-15T01:20:22+00:00</t>
  </si>
  <si>
    <t>2018-06-15T22:31:24+00:00</t>
  </si>
  <si>
    <t>MCHENRY</t>
  </si>
  <si>
    <t>60050-3356</t>
  </si>
  <si>
    <t>114-9081838-9252217</t>
  </si>
  <si>
    <t>2018-06-15T00:09:16+00:00</t>
  </si>
  <si>
    <t>2018-06-15T00:12:46+00:00</t>
  </si>
  <si>
    <t>TEXAS</t>
  </si>
  <si>
    <t>75229-2398</t>
  </si>
  <si>
    <t>114-9578778-9320247</t>
  </si>
  <si>
    <t>2018-06-16T23:37:05+00:00</t>
  </si>
  <si>
    <t>2018-06-18T20:37:12+00:00</t>
  </si>
  <si>
    <t>PROCTOR</t>
  </si>
  <si>
    <t>05765-1161</t>
  </si>
  <si>
    <t>114-2400987-0933864</t>
  </si>
  <si>
    <t>2018-06-16T23:32:46+00:00</t>
  </si>
  <si>
    <t>2018-06-18T04:55:54+00:00</t>
  </si>
  <si>
    <t>FONTANA</t>
  </si>
  <si>
    <t>92335-6671</t>
  </si>
  <si>
    <t>113-1225448-7198633</t>
  </si>
  <si>
    <t>2018-06-16T23:18:13+00:00</t>
  </si>
  <si>
    <t>2018-06-17T20:37:54+00:00</t>
  </si>
  <si>
    <t>GROVE CITY</t>
  </si>
  <si>
    <t>43123-8751</t>
  </si>
  <si>
    <t>112-7220702-8161842</t>
  </si>
  <si>
    <t>2018-06-16T23:17:40+00:00</t>
  </si>
  <si>
    <t>2018-07-02T18:27:57+00:00</t>
  </si>
  <si>
    <t>ROME</t>
  </si>
  <si>
    <t>30165-4324</t>
  </si>
  <si>
    <t>111-6222869-8135406</t>
  </si>
  <si>
    <t>2018-06-16T22:20:45+00:00</t>
  </si>
  <si>
    <t>2018-06-18T05:33:26+00:00</t>
  </si>
  <si>
    <t>BRUNSWICK</t>
  </si>
  <si>
    <t>31525-8454</t>
  </si>
  <si>
    <t>113-1905824-9666669</t>
  </si>
  <si>
    <t>2018-06-16T20:42:08+00:00</t>
  </si>
  <si>
    <t>2018-06-18T19:42:13+00:00</t>
  </si>
  <si>
    <t>PRINCETON</t>
  </si>
  <si>
    <t>55371-6151</t>
  </si>
  <si>
    <t>113-2729503-2364242</t>
  </si>
  <si>
    <t>2018-06-16T20:34:25+00:00</t>
  </si>
  <si>
    <t>2018-06-17T06:39:00+00:00</t>
  </si>
  <si>
    <t>WASHOUGAL</t>
  </si>
  <si>
    <t>98671-8904</t>
  </si>
  <si>
    <t>114-2295981-3805022</t>
  </si>
  <si>
    <t>2018-06-16T20:22:07+00:00</t>
  </si>
  <si>
    <t>2018-06-17T07:06:37+00:00</t>
  </si>
  <si>
    <t>114-0455439-5825808</t>
  </si>
  <si>
    <t>2018-06-16T19:58:55+00:00</t>
  </si>
  <si>
    <t>2018-06-17T23:09:40+00:00</t>
  </si>
  <si>
    <t>WESTWOOD</t>
  </si>
  <si>
    <t>02090-3315</t>
  </si>
  <si>
    <t>113-6028235-6487413</t>
  </si>
  <si>
    <t>2018-06-16T19:55:28+00:00</t>
  </si>
  <si>
    <t>2018-06-17T23:22:00+00:00</t>
  </si>
  <si>
    <t>Ponce</t>
  </si>
  <si>
    <t>Pr</t>
  </si>
  <si>
    <t>00730-0930</t>
  </si>
  <si>
    <t>111-0924204-5537001</t>
  </si>
  <si>
    <t>2018-06-16T19:38:51+00:00</t>
  </si>
  <si>
    <t>2018-06-17T20:41:18+00:00</t>
  </si>
  <si>
    <t>CYPRESS</t>
  </si>
  <si>
    <t>77433-3464</t>
  </si>
  <si>
    <t>113-8904594-8345064</t>
  </si>
  <si>
    <t>2018-06-16T18:25:06+00:00</t>
  </si>
  <si>
    <t>2018-06-17T02:23:10+00:00</t>
  </si>
  <si>
    <t>Sleeping Reborn Baby Doll Boy Look Real Full Silicone Body Red Outfit 22 Inches</t>
  </si>
  <si>
    <t>DOLL-1630-R0-22</t>
  </si>
  <si>
    <t>B076P99TGC</t>
  </si>
  <si>
    <t>Glenpool</t>
  </si>
  <si>
    <t>oklahoma</t>
  </si>
  <si>
    <t>111-6833335-2481039</t>
  </si>
  <si>
    <t>2018-06-16T17:59:08+00:00</t>
  </si>
  <si>
    <t>2018-06-17T02:21:28+00:00</t>
  </si>
  <si>
    <t>Berwyn</t>
  </si>
  <si>
    <t>114-9596663-3090661</t>
  </si>
  <si>
    <t>2018-06-16T16:38:53+00:00</t>
  </si>
  <si>
    <t>2018-06-17T16:27:55+00:00</t>
  </si>
  <si>
    <t>PARSONS</t>
  </si>
  <si>
    <t>114-3922257-4028204</t>
  </si>
  <si>
    <t>2018-06-16T16:19:07+00:00</t>
  </si>
  <si>
    <t>2018-06-18T00:28:20+00:00</t>
  </si>
  <si>
    <t>GARFIELD HTS</t>
  </si>
  <si>
    <t>44125-3840</t>
  </si>
  <si>
    <t>114-2978819-5717830</t>
  </si>
  <si>
    <t>2018-06-16T16:18:24+00:00</t>
  </si>
  <si>
    <t>2018-06-17T16:33:51+00:00</t>
  </si>
  <si>
    <t>111-0715668-7121017</t>
  </si>
  <si>
    <t>2018-06-16T15:03:54+00:00</t>
  </si>
  <si>
    <t>2018-06-16T19:27:08+00:00</t>
  </si>
  <si>
    <t>EL PASO</t>
  </si>
  <si>
    <t>79928-7702</t>
  </si>
  <si>
    <t>112-9143079-0270653</t>
  </si>
  <si>
    <t>2018-06-16T14:54:07+00:00</t>
  </si>
  <si>
    <t>2018-06-17T10:23:22+00:00</t>
  </si>
  <si>
    <t>OLYMPIA</t>
  </si>
  <si>
    <t>98513-9301</t>
  </si>
  <si>
    <t>113-3831095-6641820</t>
  </si>
  <si>
    <t>2018-06-16T14:06:52+00:00</t>
  </si>
  <si>
    <t>2018-06-16T14:07:36+00:00</t>
  </si>
  <si>
    <t>Reborn Baby Dolls Girl Look Real Lifelike Toddler with Toy Rabbit White and Light Gray Outfit 22 Inches</t>
  </si>
  <si>
    <t>DO-YULQ021-W0-22</t>
  </si>
  <si>
    <t>B079P52R76</t>
  </si>
  <si>
    <t>canal fulton</t>
  </si>
  <si>
    <t>ohio</t>
  </si>
  <si>
    <t>111-9256420-9449054</t>
  </si>
  <si>
    <t>2018-06-16T13:07:52+00:00</t>
  </si>
  <si>
    <t>2018-06-21T21:30:49+00:00</t>
  </si>
  <si>
    <t>ROUND LAKE BEACH</t>
  </si>
  <si>
    <t>60073-2014</t>
  </si>
  <si>
    <t>111-0306247-0097802</t>
  </si>
  <si>
    <t>2018-06-16T10:00:52+00:00</t>
  </si>
  <si>
    <t>2018-06-18T19:40:36+00:00</t>
  </si>
  <si>
    <t>Reborn Baby Doll Boy Look Real Full Silicone Body Light Blue Outfit 10 Inches</t>
  </si>
  <si>
    <t>DOLL-1613-LB-11</t>
  </si>
  <si>
    <t>B076MVRP3M</t>
  </si>
  <si>
    <t>PLYMOUTH</t>
  </si>
  <si>
    <t>46563-8454</t>
  </si>
  <si>
    <t>113-3667270-6042605</t>
  </si>
  <si>
    <t>2018-06-16T07:38:36+00:00</t>
  </si>
  <si>
    <t>2018-06-18T21:01:22+00:00</t>
  </si>
  <si>
    <t>Silicone Reborn Baby Dolls Look Real Girl Knitted Outfit Red 10 Inches</t>
  </si>
  <si>
    <t>DO-YULQ100-R0-10</t>
  </si>
  <si>
    <t>B07B9Q9YNG</t>
  </si>
  <si>
    <t>CHAMPAIGN</t>
  </si>
  <si>
    <t>61821-6258</t>
  </si>
  <si>
    <t>111-2118224-5215435</t>
  </si>
  <si>
    <t>2018-06-16T07:02:40+00:00</t>
  </si>
  <si>
    <t>2018-06-17T09:19:46+00:00</t>
  </si>
  <si>
    <t>Kirkland</t>
  </si>
  <si>
    <t>Washington</t>
  </si>
  <si>
    <t>114-7132357-4729049</t>
  </si>
  <si>
    <t>2018-06-16T04:08:09+00:00</t>
  </si>
  <si>
    <t>2018-06-17T16:25:27+00:00</t>
  </si>
  <si>
    <t>68505-2874</t>
  </si>
  <si>
    <t>111-0109756-0168235</t>
  </si>
  <si>
    <t>2018-06-16T02:59:19+00:00</t>
  </si>
  <si>
    <t>2018-06-17T08:07:44+00:00</t>
  </si>
  <si>
    <t>FARMINGTON</t>
  </si>
  <si>
    <t>06032-1522</t>
  </si>
  <si>
    <t>113-2319449-2000210</t>
  </si>
  <si>
    <t>2018-06-16T02:57:16+00:00</t>
  </si>
  <si>
    <t>2018-06-17T02:49:08+00:00</t>
  </si>
  <si>
    <t>Cheyenne</t>
  </si>
  <si>
    <t>WY</t>
  </si>
  <si>
    <t>114-4872816-8848231</t>
  </si>
  <si>
    <t>2018-06-16T02:52:12+00:00</t>
  </si>
  <si>
    <t>2018-06-16T10:41:18+00:00</t>
  </si>
  <si>
    <t>IMPERIAL</t>
  </si>
  <si>
    <t>92251-9008</t>
  </si>
  <si>
    <t>112-5943944-3189007</t>
  </si>
  <si>
    <t>2018-06-16T02:39:10+00:00</t>
  </si>
  <si>
    <t>2018-06-18T05:44:30+00:00</t>
  </si>
  <si>
    <t>33195-2858</t>
  </si>
  <si>
    <t>114-3903350-4333850</t>
  </si>
  <si>
    <t>2018-06-16T02:15:52+00:00</t>
  </si>
  <si>
    <t>2018-06-17T07:27:11+00:00</t>
  </si>
  <si>
    <t>74011-5447</t>
  </si>
  <si>
    <t>113-3975781-9623449</t>
  </si>
  <si>
    <t>2018-06-16T02:14:26+00:00</t>
  </si>
  <si>
    <t>2018-06-16T09:44:04+00:00</t>
  </si>
  <si>
    <t>113-8967764-9275469</t>
  </si>
  <si>
    <t>2018-06-16T01:50:54+00:00</t>
  </si>
  <si>
    <t>2018-06-16T01:58:03+00:00</t>
  </si>
  <si>
    <t>THOROFARE</t>
  </si>
  <si>
    <t>08086-3110</t>
  </si>
  <si>
    <t>114-5134285-9537863</t>
  </si>
  <si>
    <t>2018-06-16T01:22:04+00:00</t>
  </si>
  <si>
    <t>2018-06-17T07:04:10+00:00</t>
  </si>
  <si>
    <t>NEWTON</t>
  </si>
  <si>
    <t>02459-3112</t>
  </si>
  <si>
    <t>112-9400927-9040243</t>
  </si>
  <si>
    <t>2018-06-16T01:18:52+00:00</t>
  </si>
  <si>
    <t>2018-06-17T00:03:31+00:00</t>
  </si>
  <si>
    <t>WALDEN</t>
  </si>
  <si>
    <t>12586-2720</t>
  </si>
  <si>
    <t>112-0342724-0080228</t>
  </si>
  <si>
    <t>2018-06-16T01:14:38+00:00</t>
  </si>
  <si>
    <t>2018-06-16T22:43:56+00:00</t>
  </si>
  <si>
    <t>114-5941671-0505011</t>
  </si>
  <si>
    <t>2018-06-16T01:02:06+00:00</t>
  </si>
  <si>
    <t>2018-06-21T13:31:03+00:00</t>
  </si>
  <si>
    <t>MOORE</t>
  </si>
  <si>
    <t>73160-5911</t>
  </si>
  <si>
    <t>112-1468549-9904245</t>
  </si>
  <si>
    <t>2018-06-16T00:48:20+00:00</t>
  </si>
  <si>
    <t>2018-06-16T06:40:43+00:00</t>
  </si>
  <si>
    <t>HYANNIS</t>
  </si>
  <si>
    <t>02601-2181</t>
  </si>
  <si>
    <t>112-4300913-7884257</t>
  </si>
  <si>
    <t>2018-06-16T00:37:59+00:00</t>
  </si>
  <si>
    <t>2018-06-18T17:25:04+00:00</t>
  </si>
  <si>
    <t>KENNER</t>
  </si>
  <si>
    <t>LA</t>
  </si>
  <si>
    <t>70062-6156</t>
  </si>
  <si>
    <t>113-5156178-2041812</t>
  </si>
  <si>
    <t>2018-06-17T23:53:13+00:00</t>
  </si>
  <si>
    <t>2018-06-19T17:03:22+00:00</t>
  </si>
  <si>
    <t>WANTAGH</t>
  </si>
  <si>
    <t>11793-2640</t>
  </si>
  <si>
    <t>114-4032707-6714603</t>
  </si>
  <si>
    <t>2018-06-17T23:45:33+00:00</t>
  </si>
  <si>
    <t>2018-06-17T23:48:27+00:00</t>
  </si>
  <si>
    <t>RICHMOND</t>
  </si>
  <si>
    <t>23223-4618</t>
  </si>
  <si>
    <t>114-2286271-1252254</t>
  </si>
  <si>
    <t>2018-06-17T22:39:52+00:00</t>
  </si>
  <si>
    <t>2018-06-18T06:16:03+00:00</t>
  </si>
  <si>
    <t>SAVANNAH</t>
  </si>
  <si>
    <t>31406-4546</t>
  </si>
  <si>
    <t>114-1512634-0929067</t>
  </si>
  <si>
    <t>2018-06-17T22:36:22+00:00</t>
  </si>
  <si>
    <t>2018-06-18T20:20:00+00:00</t>
  </si>
  <si>
    <t>THIEF RIVER FALLS</t>
  </si>
  <si>
    <t>56701-8540</t>
  </si>
  <si>
    <t>113-7048948-2376261</t>
  </si>
  <si>
    <t>2018-06-17T21:40:12+00:00</t>
  </si>
  <si>
    <t>2018-06-18T11:16:51+00:00</t>
  </si>
  <si>
    <t>Hebron</t>
  </si>
  <si>
    <t>112-3363654-9879449</t>
  </si>
  <si>
    <t>2018-06-17T21:12:47+00:00</t>
  </si>
  <si>
    <t>2018-06-18T21:35:37+00:00</t>
  </si>
  <si>
    <t>MARRERO</t>
  </si>
  <si>
    <t>70072-5916</t>
  </si>
  <si>
    <t>112-6174785-9736216</t>
  </si>
  <si>
    <t>2018-06-17T21:02:07+00:00</t>
  </si>
  <si>
    <t>2018-06-18T22:49:15+00:00</t>
  </si>
  <si>
    <t>AGOURA HILLS</t>
  </si>
  <si>
    <t>91301-1950</t>
  </si>
  <si>
    <t>112-4374486-1125020</t>
  </si>
  <si>
    <t>2018-06-18T22:58:09+00:00</t>
  </si>
  <si>
    <t>113-6692910-2704206</t>
  </si>
  <si>
    <t>2018-06-17T20:54:49+00:00</t>
  </si>
  <si>
    <t>2018-06-19T01:39:28+00:00</t>
  </si>
  <si>
    <t>CROWLEY</t>
  </si>
  <si>
    <t>113-3293689-9399402</t>
  </si>
  <si>
    <t>2018-06-17T19:44:53+00:00</t>
  </si>
  <si>
    <t>2018-06-18T11:56:29+00:00</t>
  </si>
  <si>
    <t>Realistic Reborn Baby Doll Boy Full Silicone Body Light Blue Outfit with Hippo Pattern 22 Inches</t>
  </si>
  <si>
    <t>DOLL-1523-B7-22</t>
  </si>
  <si>
    <t>B0784T23ZQ</t>
  </si>
  <si>
    <t>ANAHEIM</t>
  </si>
  <si>
    <t>92801-2737</t>
  </si>
  <si>
    <t>112-0655640-5085025</t>
  </si>
  <si>
    <t>2018-06-17T19:37:39+00:00</t>
  </si>
  <si>
    <t>2018-06-18T23:25:11+00:00</t>
  </si>
  <si>
    <t>Houston</t>
  </si>
  <si>
    <t>77065-1031</t>
  </si>
  <si>
    <t>112-2264614-6135404</t>
  </si>
  <si>
    <t>2018-06-17T18:41:45+00:00</t>
  </si>
  <si>
    <t>2018-06-19T04:39:21+00:00</t>
  </si>
  <si>
    <t>HIALEAH</t>
  </si>
  <si>
    <t>33010-3928</t>
  </si>
  <si>
    <t>112-6043632-5549069</t>
  </si>
  <si>
    <t>2018-06-17T18:37:56+00:00</t>
  </si>
  <si>
    <t>2018-06-18T17:31:51+00:00</t>
  </si>
  <si>
    <t>Belleville</t>
  </si>
  <si>
    <t>112-1568288-4555443</t>
  </si>
  <si>
    <t>2018-06-17T18:11:51+00:00</t>
  </si>
  <si>
    <t>2018-06-17T18:14:32+00:00</t>
  </si>
  <si>
    <t>Sleeping Reborn Baby Doll Look Real Full Silicone Body Light Blue Outfit 10 Inches</t>
  </si>
  <si>
    <t>DOLL-004-LB-10</t>
  </si>
  <si>
    <t>B076Q71HXL</t>
  </si>
  <si>
    <t>Stedman</t>
  </si>
  <si>
    <t>28391-9713</t>
  </si>
  <si>
    <t>111-7414204-5301814</t>
  </si>
  <si>
    <t>2018-06-17T17:51:12+00:00</t>
  </si>
  <si>
    <t>2018-06-18T01:35:22+00:00</t>
  </si>
  <si>
    <t>VINEYARD HAVEN</t>
  </si>
  <si>
    <t>02568-6417</t>
  </si>
  <si>
    <t>113-1091949-3990669</t>
  </si>
  <si>
    <t>2018-06-17T17:44:45+00:00</t>
  </si>
  <si>
    <t>2018-06-18T02:50:53+00:00</t>
  </si>
  <si>
    <t>CORINTH</t>
  </si>
  <si>
    <t>76210-0006</t>
  </si>
  <si>
    <t>114-2248274-9899420</t>
  </si>
  <si>
    <t>2018-06-17T17:20:27+00:00</t>
  </si>
  <si>
    <t>2018-06-17T23:30:13+00:00</t>
  </si>
  <si>
    <t>PORT ALLEN</t>
  </si>
  <si>
    <t>70767-5275</t>
  </si>
  <si>
    <t>114-6985950-0257863</t>
  </si>
  <si>
    <t>2018-06-17T17:19:42+00:00</t>
  </si>
  <si>
    <t>2018-06-18T14:23:20+00:00</t>
  </si>
  <si>
    <t>11209-7536</t>
  </si>
  <si>
    <t>112-9966014-6148239</t>
  </si>
  <si>
    <t>2018-06-17T16:53:40+00:00</t>
  </si>
  <si>
    <t>2018-06-18T03:30:22+00:00</t>
  </si>
  <si>
    <t>Full Silicone Body Reborn Baby Dolls Girl Look Real Pink Knitted Outfit 22 Inches</t>
  </si>
  <si>
    <t>DO-YULQ638-PI-20</t>
  </si>
  <si>
    <t>B07929YDZM</t>
  </si>
  <si>
    <t>WEST BEND</t>
  </si>
  <si>
    <t>53095-5009</t>
  </si>
  <si>
    <t>114-2244012-4072243</t>
  </si>
  <si>
    <t>2018-06-17T16:49:52+00:00</t>
  </si>
  <si>
    <t>2018-06-18T07:10:08+00:00</t>
  </si>
  <si>
    <t>BRONX</t>
  </si>
  <si>
    <t>10451-4358</t>
  </si>
  <si>
    <t>114-2023823-1990658</t>
  </si>
  <si>
    <t>2018-06-17T15:48:11+00:00</t>
  </si>
  <si>
    <t>2018-06-18T03:50:37+00:00</t>
  </si>
  <si>
    <t>PHILADELPHIA</t>
  </si>
  <si>
    <t>19149-3029</t>
  </si>
  <si>
    <t>113-2342595-6729012</t>
  </si>
  <si>
    <t>2018-06-17T15:27:03+00:00</t>
  </si>
  <si>
    <t>2018-06-18T01:30:09+00:00</t>
  </si>
  <si>
    <t>38127-4932</t>
  </si>
  <si>
    <t>111-3099150-3598629</t>
  </si>
  <si>
    <t>2018-06-17T14:07:54+00:00</t>
  </si>
  <si>
    <t>2018-06-21T13:24:27+00:00</t>
  </si>
  <si>
    <t>Miami</t>
  </si>
  <si>
    <t>114-0006825-0068215</t>
  </si>
  <si>
    <t>2018-06-17T14:06:50+00:00</t>
  </si>
  <si>
    <t>2018-06-21T20:31:23+00:00</t>
  </si>
  <si>
    <t>114-1259504-6692250</t>
  </si>
  <si>
    <t>2018-06-17T13:46:35+00:00</t>
  </si>
  <si>
    <t>2018-06-17T21:24:36+00:00</t>
  </si>
  <si>
    <t>East Northport</t>
  </si>
  <si>
    <t>11731-1001</t>
  </si>
  <si>
    <t>113-0311449-1729861</t>
  </si>
  <si>
    <t>2018-06-17T10:06:36+00:00</t>
  </si>
  <si>
    <t>2018-06-18T07:42:46+00:00</t>
  </si>
  <si>
    <t>Barre</t>
  </si>
  <si>
    <t>113-9619966-0702615</t>
  </si>
  <si>
    <t>2018-06-17T09:27:42+00:00</t>
  </si>
  <si>
    <t>2018-06-21T12:04:13+00:00</t>
  </si>
  <si>
    <t>nenana</t>
  </si>
  <si>
    <t>ak</t>
  </si>
  <si>
    <t>112-0050106-6189819</t>
  </si>
  <si>
    <t>2018-06-17T06:16:49+00:00</t>
  </si>
  <si>
    <t>2018-06-18T16:01:42+00:00</t>
  </si>
  <si>
    <t>ELIZABETH CITY</t>
  </si>
  <si>
    <t>27909-6369</t>
  </si>
  <si>
    <t>113-6677892-2029851</t>
  </si>
  <si>
    <t>2018-06-17T05:26:10+00:00</t>
  </si>
  <si>
    <t>2018-06-17T18:36:45+00:00</t>
  </si>
  <si>
    <t>Reborn Baby Doll Boy Look Real Silicone Blue Outfit with Car Pattern 22 Inches</t>
  </si>
  <si>
    <t>DOLL-6089-B0-22</t>
  </si>
  <si>
    <t>B077SNDT1X</t>
  </si>
  <si>
    <t>ELIZABETH</t>
  </si>
  <si>
    <t>07201-3953</t>
  </si>
  <si>
    <t>VPC-1-33546521 Coupon</t>
  </si>
  <si>
    <t>113-2317710-0192262</t>
  </si>
  <si>
    <t>2018-06-17T04:24:04+00:00</t>
  </si>
  <si>
    <t>2018-06-17T22:46:49+00:00</t>
  </si>
  <si>
    <t>THORNTON</t>
  </si>
  <si>
    <t>80229-2916</t>
  </si>
  <si>
    <t>113-9748343-5673027</t>
  </si>
  <si>
    <t>2018-06-17T03:45:29+00:00</t>
  </si>
  <si>
    <t>2018-06-18T04:35:04+00:00</t>
  </si>
  <si>
    <t>94928-1368</t>
  </si>
  <si>
    <t>113-4914577-4097802</t>
  </si>
  <si>
    <t>2018-06-17T03:44:29+00:00</t>
  </si>
  <si>
    <t>2018-06-17T12:05:46+00:00</t>
  </si>
  <si>
    <t>Bakersfield</t>
  </si>
  <si>
    <t>113-4266705-6681808</t>
  </si>
  <si>
    <t>2018-06-17T03:30:27+00:00</t>
  </si>
  <si>
    <t>2018-06-18T08:13:39+00:00</t>
  </si>
  <si>
    <t>JOHNSTOWN</t>
  </si>
  <si>
    <t>PENNSYLVANIA</t>
  </si>
  <si>
    <t>15904-1625</t>
  </si>
  <si>
    <t>112-3680020-2025848</t>
  </si>
  <si>
    <t>2018-06-17T03:20:29+00:00</t>
  </si>
  <si>
    <t>2018-06-17T15:22:51+00:00</t>
  </si>
  <si>
    <t>BARBOURSVILLE</t>
  </si>
  <si>
    <t>25504-1123</t>
  </si>
  <si>
    <t>111-2576139-7103413</t>
  </si>
  <si>
    <t>2018-06-17T03:07:06+00:00</t>
  </si>
  <si>
    <t>2018-06-18T11:43:41+00:00</t>
  </si>
  <si>
    <t>Real Looking Sleeping Reborn Baby Dolls Girl Silicone Light Purple Tutu Skirt 22 Inches</t>
  </si>
  <si>
    <t>DO-YULQ203-P4-22</t>
  </si>
  <si>
    <t>B0793R99F1</t>
  </si>
  <si>
    <t>SOUTH SAN FRANCISCO</t>
  </si>
  <si>
    <t>94080-2843</t>
  </si>
  <si>
    <t>113-2746340-6930654</t>
  </si>
  <si>
    <t>2018-06-17T02:56:18+00:00</t>
  </si>
  <si>
    <t>2018-06-18T01:22:47+00:00</t>
  </si>
  <si>
    <t>SPRING</t>
  </si>
  <si>
    <t>77389-5148</t>
  </si>
  <si>
    <t>112-5674424-5690667</t>
  </si>
  <si>
    <t>2018-06-17T02:55:43+00:00</t>
  </si>
  <si>
    <t>2018-06-20T00:52:35+00:00</t>
  </si>
  <si>
    <t>LAS VEGAS</t>
  </si>
  <si>
    <t>89109-8923</t>
  </si>
  <si>
    <t>112-8577294-5788203</t>
  </si>
  <si>
    <t>2018-06-17T02:54:26+00:00</t>
  </si>
  <si>
    <t>2018-06-17T18:44:40+00:00</t>
  </si>
  <si>
    <t>DANA POINT</t>
  </si>
  <si>
    <t>CALIFORNIA</t>
  </si>
  <si>
    <t>92629-2214</t>
  </si>
  <si>
    <t>111-7412731-2899456</t>
  </si>
  <si>
    <t>2018-06-17T02:30:51+00:00</t>
  </si>
  <si>
    <t>2018-06-21T04:01:26+00:00</t>
  </si>
  <si>
    <t>Stockton</t>
  </si>
  <si>
    <t>112-7600770-1533024</t>
  </si>
  <si>
    <t>2018-06-17T02:10:08+00:00</t>
  </si>
  <si>
    <t>2018-06-18T15:27:43+00:00</t>
  </si>
  <si>
    <t>KIRBYVILLE</t>
  </si>
  <si>
    <t>65679-8374</t>
  </si>
  <si>
    <t>113-6764010-8289817</t>
  </si>
  <si>
    <t>2018-06-17T02:05:03+00:00</t>
  </si>
  <si>
    <t>2018-06-18T00:28:56+00:00</t>
  </si>
  <si>
    <t>EUCLID</t>
  </si>
  <si>
    <t>44123-1265</t>
  </si>
  <si>
    <t>111-5148630-9791448</t>
  </si>
  <si>
    <t>2018-06-17T02:03:38+00:00</t>
  </si>
  <si>
    <t>2018-06-19T22:26:59+00:00</t>
  </si>
  <si>
    <t>OAK RIDGE</t>
  </si>
  <si>
    <t>37830-6314</t>
  </si>
  <si>
    <t>114-6891183-8431466</t>
  </si>
  <si>
    <t>2018-06-17T01:47:42+00:00</t>
  </si>
  <si>
    <t>2018-06-18T16:03:23+00:00</t>
  </si>
  <si>
    <t>COLONY</t>
  </si>
  <si>
    <t>73021-9778</t>
  </si>
  <si>
    <t>113-2719120-9157060</t>
  </si>
  <si>
    <t>2018-06-17T01:23:12+00:00</t>
  </si>
  <si>
    <t>2018-06-18T02:12:28+00:00</t>
  </si>
  <si>
    <t>MANDEVILLE</t>
  </si>
  <si>
    <t>70471-1125</t>
  </si>
  <si>
    <t>111-7345174-1420262</t>
  </si>
  <si>
    <t>2018-06-17T01:12:08+00:00</t>
  </si>
  <si>
    <t>2018-06-19T17:22:11+00:00</t>
  </si>
  <si>
    <t>Reborn Baby Dolls Boy Lifelike Toddler Silicone Vinyl Blue Baby Jumpsuit 18 Inches</t>
  </si>
  <si>
    <t>DO-YULQ018-B0-18</t>
  </si>
  <si>
    <t>B0792VG6VZ</t>
  </si>
  <si>
    <t>EVANSVILLE</t>
  </si>
  <si>
    <t>113-7787716-2358623</t>
  </si>
  <si>
    <t>2018-06-17T00:50:57+00:00</t>
  </si>
  <si>
    <t>2018-06-17T00:51:20+00:00</t>
  </si>
  <si>
    <t>113-9354924-2295463</t>
  </si>
  <si>
    <t>2018-06-17T00:50:51+00:00</t>
  </si>
  <si>
    <t>2018-06-18T03:25:48+00:00</t>
  </si>
  <si>
    <t>11225-3009</t>
  </si>
  <si>
    <t>114-7804302-7770645</t>
  </si>
  <si>
    <t>2018-06-17T00:02:13+00:00</t>
  </si>
  <si>
    <t>2018-06-17T19:08:38+00:00</t>
  </si>
  <si>
    <t>TORONTO</t>
  </si>
  <si>
    <t>43964-4031</t>
  </si>
  <si>
    <t>111-2412876-9321822</t>
  </si>
  <si>
    <t>2018-06-18T23:55:10+00:00</t>
  </si>
  <si>
    <t>2018-06-19T16:35:37+00:00</t>
  </si>
  <si>
    <t>MILWAUKEE</t>
  </si>
  <si>
    <t>53220-2318</t>
  </si>
  <si>
    <t>111-4912720-9961058</t>
  </si>
  <si>
    <t>2018-06-18T22:05:57+00:00</t>
  </si>
  <si>
    <t>2018-06-18T22:08:24+00:00</t>
  </si>
  <si>
    <t>BATON ROUGE</t>
  </si>
  <si>
    <t>70805-3112</t>
  </si>
  <si>
    <t>112-9310798-1053862</t>
  </si>
  <si>
    <t>2018-06-18T21:48:50+00:00</t>
  </si>
  <si>
    <t>2018-06-23T05:02:57+00:00</t>
  </si>
  <si>
    <t>SMYRNA</t>
  </si>
  <si>
    <t>37167-9330</t>
  </si>
  <si>
    <t>112-2259988-8097827</t>
  </si>
  <si>
    <t>2018-06-18T21:32:20+00:00</t>
  </si>
  <si>
    <t>2018-06-19T07:23:20+00:00</t>
  </si>
  <si>
    <t>Overland Park</t>
  </si>
  <si>
    <t>112-1416205-7765806</t>
  </si>
  <si>
    <t>2018-06-18T21:28:07+00:00</t>
  </si>
  <si>
    <t>2018-06-18T21:33:54+00:00</t>
  </si>
  <si>
    <t>113-3059882-5446662</t>
  </si>
  <si>
    <t>2018-06-18T21:19:49+00:00</t>
  </si>
  <si>
    <t>2018-06-22T04:44:27+00:00</t>
  </si>
  <si>
    <t>Wanblee</t>
  </si>
  <si>
    <t>South Dakota</t>
  </si>
  <si>
    <t>113-9826847-9036234</t>
  </si>
  <si>
    <t>2018-06-18T21:08:34+00:00</t>
  </si>
  <si>
    <t>2018-06-19T08:51:56+00:00</t>
  </si>
  <si>
    <t>76106-7483</t>
  </si>
  <si>
    <t>111-3696625-3885058</t>
  </si>
  <si>
    <t>2018-06-18T20:26:17+00:00</t>
  </si>
  <si>
    <t>2018-06-19T16:27:41+00:00</t>
  </si>
  <si>
    <t>BENSON</t>
  </si>
  <si>
    <t>56215-1665</t>
  </si>
  <si>
    <t>113-8530208-3767434</t>
  </si>
  <si>
    <t>2018-06-18T19:54:04+00:00</t>
  </si>
  <si>
    <t>2018-06-21T20:05:04+00:00</t>
  </si>
  <si>
    <t>10029-3827</t>
  </si>
  <si>
    <t>112-9909727-3469005</t>
  </si>
  <si>
    <t>2018-06-18T18:41:44+00:00</t>
  </si>
  <si>
    <t>2018-06-21T03:32:43+00:00</t>
  </si>
  <si>
    <t>Yesteria 4 Pcs Newborn Baby Outfits Set for Girl Rose Red with Cow Pattern M(6-12 Months)</t>
  </si>
  <si>
    <t>DOLLDRESS-003-R2-M</t>
  </si>
  <si>
    <t>B077Z474QH</t>
  </si>
  <si>
    <t>Bonduel</t>
  </si>
  <si>
    <t>Wisconsin</t>
  </si>
  <si>
    <t>113-8298323-2149041</t>
  </si>
  <si>
    <t>2018-06-18T17:53:51+00:00</t>
  </si>
  <si>
    <t>2018-06-19T19:37:33+00:00</t>
  </si>
  <si>
    <t>PFAFFTOWN</t>
  </si>
  <si>
    <t>27040-9032</t>
  </si>
  <si>
    <t>112-4372826-2865015</t>
  </si>
  <si>
    <t>2018-06-18T17:24:08+00:00</t>
  </si>
  <si>
    <t>2018-06-21T18:54:27+00:00</t>
  </si>
  <si>
    <t>114-0785944-2189810</t>
  </si>
  <si>
    <t>2018-06-18T17:23:58+00:00</t>
  </si>
  <si>
    <t>2018-06-18T21:39:19+00:00</t>
  </si>
  <si>
    <t>MARTINSVILLE</t>
  </si>
  <si>
    <t>24112-0830</t>
  </si>
  <si>
    <t>112-0357364-4421801</t>
  </si>
  <si>
    <t>2018-06-18T17:03:49+00:00</t>
  </si>
  <si>
    <t>2018-06-19T14:27:25+00:00</t>
  </si>
  <si>
    <t>33165-5524</t>
  </si>
  <si>
    <t>113-7549663-3157068</t>
  </si>
  <si>
    <t>2018-06-18T16:00:17+00:00</t>
  </si>
  <si>
    <t>2018-06-23T23:15:17+00:00</t>
  </si>
  <si>
    <t>MANHATTAN BEACH</t>
  </si>
  <si>
    <t>90266-4029</t>
  </si>
  <si>
    <t>114-4554880-3055414</t>
  </si>
  <si>
    <t>2018-06-18T15:56:18+00:00</t>
  </si>
  <si>
    <t>2018-06-21T02:17:14+00:00</t>
  </si>
  <si>
    <t>NEW ORLEANS</t>
  </si>
  <si>
    <t>70125-4621</t>
  </si>
  <si>
    <t>112-8682343-4687442</t>
  </si>
  <si>
    <t>2018-06-18T15:40:09+00:00</t>
  </si>
  <si>
    <t>2018-06-23T02:14:53+00:00</t>
  </si>
  <si>
    <t>111-7424011-9732266</t>
  </si>
  <si>
    <t>2018-06-18T05:46:40+00:00</t>
  </si>
  <si>
    <t>2018-06-20T08:02:55+00:00</t>
  </si>
  <si>
    <t>Fort worth</t>
  </si>
  <si>
    <t>112-7598580-1584218</t>
  </si>
  <si>
    <t>2018-06-18T05:39:24+00:00</t>
  </si>
  <si>
    <t>2018-06-18T05:40:26+00:00</t>
  </si>
  <si>
    <t>AUBURN</t>
  </si>
  <si>
    <t>36832-3667</t>
  </si>
  <si>
    <t>113-8084523-8337849</t>
  </si>
  <si>
    <t>2018-06-18T04:16:01+00:00</t>
  </si>
  <si>
    <t>2018-06-18T20:32:29+00:00</t>
  </si>
  <si>
    <t>35816-1607</t>
  </si>
  <si>
    <t>114-0956103-2623400</t>
  </si>
  <si>
    <t>2018-06-18T04:04:28+00:00</t>
  </si>
  <si>
    <t>2018-06-19T19:30:16+00:00</t>
  </si>
  <si>
    <t>SOUTH BEND</t>
  </si>
  <si>
    <t>46619-1716</t>
  </si>
  <si>
    <t>114-1669711-1473068</t>
  </si>
  <si>
    <t>2018-06-18T02:50:12+00:00</t>
  </si>
  <si>
    <t>2018-06-19T02:22:18+00:00</t>
  </si>
  <si>
    <t>112-3671614-9238619</t>
  </si>
  <si>
    <t>2018-06-18T02:39:20+00:00</t>
  </si>
  <si>
    <t>2018-06-18T22:38:25+00:00</t>
  </si>
  <si>
    <t>GORDON</t>
  </si>
  <si>
    <t>113-4639007-6686639</t>
  </si>
  <si>
    <t>2018-06-18T02:21:42+00:00</t>
  </si>
  <si>
    <t>2018-06-18T05:40:37+00:00</t>
  </si>
  <si>
    <t>Reborn Baby Doll Girl Panda Outfit Look Real Black and White 17 Inches</t>
  </si>
  <si>
    <t>DOLL-007XM-WO-17</t>
  </si>
  <si>
    <t>B077HQRC9P</t>
  </si>
  <si>
    <t>HUNTINGTON BEACH</t>
  </si>
  <si>
    <t>92648-1565</t>
  </si>
  <si>
    <t>114-7700927-9083402</t>
  </si>
  <si>
    <t>2018-06-18T02:13:39+00:00</t>
  </si>
  <si>
    <t>2018-06-18T18:52:23+00:00</t>
  </si>
  <si>
    <t>Full Silicone Body Reborn Baby Dolls Girl Eye Closed Lifelike Toddler Rose Red Outfit 22 Inches</t>
  </si>
  <si>
    <t>DO-YULQ631-R2-22</t>
  </si>
  <si>
    <t>B07BSHY6ZL</t>
  </si>
  <si>
    <t>02568-5543</t>
  </si>
  <si>
    <t>112-5568687-1883402</t>
  </si>
  <si>
    <t>2018-06-18T01:46:53+00:00</t>
  </si>
  <si>
    <t>2018-06-18T01:50:51+00:00</t>
  </si>
  <si>
    <t>113-0518551-6497040</t>
  </si>
  <si>
    <t>2018-06-18T01:41:59+00:00</t>
  </si>
  <si>
    <t>2018-06-20T11:45:00+00:00</t>
  </si>
  <si>
    <t>WACO</t>
  </si>
  <si>
    <t>76710-4828</t>
  </si>
  <si>
    <t>111-0189421-8967407</t>
  </si>
  <si>
    <t>2018-06-18T01:34:52+00:00</t>
  </si>
  <si>
    <t>2018-06-19T21:44:52+00:00</t>
  </si>
  <si>
    <t>113-6859299-0941006</t>
  </si>
  <si>
    <t>2018-06-18T01:08:26+00:00</t>
  </si>
  <si>
    <t>2018-06-19T23:41:54+00:00</t>
  </si>
  <si>
    <t>ROUND ROCK</t>
  </si>
  <si>
    <t>78664-8007</t>
  </si>
  <si>
    <t>112-8082326-7134629</t>
  </si>
  <si>
    <t>2018-06-18T00:31:49+00:00</t>
  </si>
  <si>
    <t>2018-06-18T23:40:53+00:00</t>
  </si>
  <si>
    <t>MERRILL</t>
  </si>
  <si>
    <t>48637-9319</t>
  </si>
  <si>
    <t>112-2874362-6300218</t>
  </si>
  <si>
    <t>2018-06-19T23:53:09+00:00</t>
  </si>
  <si>
    <t>2018-06-21T04:05:07+00:00</t>
  </si>
  <si>
    <t>DECATUR</t>
  </si>
  <si>
    <t>46733-7343</t>
  </si>
  <si>
    <t>111-6744080-0637855</t>
  </si>
  <si>
    <t>2018-06-19T23:53:06+00:00</t>
  </si>
  <si>
    <t>2018-06-20T19:27:22+00:00</t>
  </si>
  <si>
    <t>ORLANDO</t>
  </si>
  <si>
    <t>32836-8901</t>
  </si>
  <si>
    <t>112-2818336-4301035</t>
  </si>
  <si>
    <t>2018-06-19T23:43:14+00:00</t>
  </si>
  <si>
    <t>2018-06-20T00:04:00+00:00</t>
  </si>
  <si>
    <t>GRANGER</t>
  </si>
  <si>
    <t>46530-6269</t>
  </si>
  <si>
    <t>111-5474930-4096226</t>
  </si>
  <si>
    <t>2018-06-19T23:40:54+00:00</t>
  </si>
  <si>
    <t>2018-06-21T04:48:26+00:00</t>
  </si>
  <si>
    <t>PLAIN CITY</t>
  </si>
  <si>
    <t>43064-9365</t>
  </si>
  <si>
    <t>111-2197010-1548216</t>
  </si>
  <si>
    <t>2018-06-19T23:02:24+00:00</t>
  </si>
  <si>
    <t>2018-06-22T03:26:27+00:00</t>
  </si>
  <si>
    <t>CLARKS HILL</t>
  </si>
  <si>
    <t>29821-2842</t>
  </si>
  <si>
    <t>113-2547482-7387406</t>
  </si>
  <si>
    <t>2018-06-19T23:02:07+00:00</t>
  </si>
  <si>
    <t>2018-06-20T01:15:30+00:00</t>
  </si>
  <si>
    <t>Robins</t>
  </si>
  <si>
    <t>52328-9735</t>
  </si>
  <si>
    <t>113-0159219-6918632</t>
  </si>
  <si>
    <t>2018-06-19T22:38:28+00:00</t>
  </si>
  <si>
    <t>2018-06-20T06:49:18+00:00</t>
  </si>
  <si>
    <t>112-1602319-2852244</t>
  </si>
  <si>
    <t>2018-06-19T22:19:49+00:00</t>
  </si>
  <si>
    <t>2018-06-21T00:04:39+00:00</t>
  </si>
  <si>
    <t>AURORA</t>
  </si>
  <si>
    <t>80013-1717</t>
  </si>
  <si>
    <t>111-6267653-2789852</t>
  </si>
  <si>
    <t>2018-06-19T21:57:03+00:00</t>
  </si>
  <si>
    <t>2018-06-20T08:38:53+00:00</t>
  </si>
  <si>
    <t>Reborn Baby Doll Outfits Girl Accessories for 20"- 22" White and Cow Pattern</t>
  </si>
  <si>
    <t>DOLLDRESS-003-WO-20</t>
  </si>
  <si>
    <t>B077T29TYP</t>
  </si>
  <si>
    <t>112-5413488-6519419</t>
  </si>
  <si>
    <t>2018-06-19T21:12:37+00:00</t>
  </si>
  <si>
    <t>2018-06-21T20:21:24+00:00</t>
  </si>
  <si>
    <t>22 Inches Realistic Reborn Baby Dolls Girl Silicone with Toy Cow</t>
  </si>
  <si>
    <t>DO-YULQ152-Z1-22</t>
  </si>
  <si>
    <t>B07CN4J1B2</t>
  </si>
  <si>
    <t>33126-6007</t>
  </si>
  <si>
    <t>113-3378004-0873825</t>
  </si>
  <si>
    <t>2018-06-19T21:12:03+00:00</t>
  </si>
  <si>
    <t>2018-06-20T20:47:35+00:00</t>
  </si>
  <si>
    <t>arvada</t>
  </si>
  <si>
    <t>co</t>
  </si>
  <si>
    <t>113-3315296-3352203</t>
  </si>
  <si>
    <t>2018-06-19T20:42:11+00:00</t>
  </si>
  <si>
    <t>2018-06-21T15:50:55+00:00</t>
  </si>
  <si>
    <t>GASTONIA</t>
  </si>
  <si>
    <t>28054-0007</t>
  </si>
  <si>
    <t>112-4980598-8696235</t>
  </si>
  <si>
    <t>2018-06-19T20:21:10+00:00</t>
  </si>
  <si>
    <t>2018-06-24T17:39:16+00:00</t>
  </si>
  <si>
    <t>111-4946740-6889063</t>
  </si>
  <si>
    <t>2018-06-19T20:06:11+00:00</t>
  </si>
  <si>
    <t>2018-06-20T04:45:49+00:00</t>
  </si>
  <si>
    <t>SNOHOMISH</t>
  </si>
  <si>
    <t>98290-5172</t>
  </si>
  <si>
    <t>111-5299894-0600201</t>
  </si>
  <si>
    <t>2018-06-19T19:57:44+00:00</t>
  </si>
  <si>
    <t>2018-06-20T03:26:19+00:00</t>
  </si>
  <si>
    <t>DE</t>
  </si>
  <si>
    <t>19977-7718</t>
  </si>
  <si>
    <t>113-4070196-0398627</t>
  </si>
  <si>
    <t>2018-06-19T19:14:58+00:00</t>
  </si>
  <si>
    <t>2018-06-21T19:03:12+00:00</t>
  </si>
  <si>
    <t>LANHAM</t>
  </si>
  <si>
    <t>20706-3251</t>
  </si>
  <si>
    <t>114-6357164-4117833</t>
  </si>
  <si>
    <t>2018-06-19T18:52:28+00:00</t>
  </si>
  <si>
    <t>2018-06-20T19:22:16+00:00</t>
  </si>
  <si>
    <t>Silicone Reborn Baby Dolls Girl Look Real Denim Dress 22 Inches</t>
  </si>
  <si>
    <t>DO-YULQ620-NZ-22</t>
  </si>
  <si>
    <t>B079JXQJSM</t>
  </si>
  <si>
    <t>San Diego</t>
  </si>
  <si>
    <t>92101-7369</t>
  </si>
  <si>
    <t>114-7416704-6025045</t>
  </si>
  <si>
    <t>2018-06-19T18:10:27+00:00</t>
  </si>
  <si>
    <t>2018-06-24T17:07:00+00:00</t>
  </si>
  <si>
    <t>LANCASTER</t>
  </si>
  <si>
    <t>93536-5227</t>
  </si>
  <si>
    <t>112-1294319-2267463</t>
  </si>
  <si>
    <t>2018-06-19T18:02:25+00:00</t>
  </si>
  <si>
    <t>2018-06-19T18:03:15+00:00</t>
  </si>
  <si>
    <t>Real Life Reborn Baby Dolls Boy Full Silicone Body Light Blue Outfit with Sleeping Bag 10 Inches</t>
  </si>
  <si>
    <t>DO-YULQ081-B7-10</t>
  </si>
  <si>
    <t>B07BLRH5BR</t>
  </si>
  <si>
    <t>ROSEBUD</t>
  </si>
  <si>
    <t>63091-1505</t>
  </si>
  <si>
    <t>112-4192785-5045043</t>
  </si>
  <si>
    <t>2018-06-19T16:58:31+00:00</t>
  </si>
  <si>
    <t>2018-06-19T17:01:46+00:00</t>
  </si>
  <si>
    <t>GLEN BURNIE</t>
  </si>
  <si>
    <t>21060-8428</t>
  </si>
  <si>
    <t>113-6021680-7673828</t>
  </si>
  <si>
    <t>2018-06-19T16:50:35+00:00</t>
  </si>
  <si>
    <t>2018-06-21T05:34:17+00:00</t>
  </si>
  <si>
    <t>Bruns</t>
  </si>
  <si>
    <t>114-9752044-3268217</t>
  </si>
  <si>
    <t>2018-06-19T16:32:41+00:00</t>
  </si>
  <si>
    <t>2018-06-20T08:40:53+00:00</t>
  </si>
  <si>
    <t>Yesteria 4 Pcs Newborn Baby Outfits Set for Girl Pink with Cow Pattern M(6-12 Months)</t>
  </si>
  <si>
    <t>DOLLDRESS-003-PI-M</t>
  </si>
  <si>
    <t>B0785S857P</t>
  </si>
  <si>
    <t>JEROME</t>
  </si>
  <si>
    <t>49249-9853</t>
  </si>
  <si>
    <t>111-0004951-6973064</t>
  </si>
  <si>
    <t>2018-06-19T16:30:46+00:00</t>
  </si>
  <si>
    <t>2018-06-19T23:44:50+00:00</t>
  </si>
  <si>
    <t>113-5096745-0009023</t>
  </si>
  <si>
    <t>2018-06-19T16:20:07+00:00</t>
  </si>
  <si>
    <t>2018-06-19T23:23:07+00:00</t>
  </si>
  <si>
    <t>KENNEWICK</t>
  </si>
  <si>
    <t>99336-1789</t>
  </si>
  <si>
    <t>111-0221021-5572220</t>
  </si>
  <si>
    <t>2018-06-19T16:17:26+00:00</t>
  </si>
  <si>
    <t>2018-06-20T09:17:14+00:00</t>
  </si>
  <si>
    <t>REDONDO BEACH</t>
  </si>
  <si>
    <t>90278-2430</t>
  </si>
  <si>
    <t>114-7657169-8662625</t>
  </si>
  <si>
    <t>2018-06-19T15:47:06+00:00</t>
  </si>
  <si>
    <t>2018-06-20T07:28:57+00:00</t>
  </si>
  <si>
    <t>Killeen</t>
  </si>
  <si>
    <t>111-0243985-2005828</t>
  </si>
  <si>
    <t>2018-06-19T15:25:58+00:00</t>
  </si>
  <si>
    <t>2018-06-19T22:38:37+00:00</t>
  </si>
  <si>
    <t>WINTER HAVEN</t>
  </si>
  <si>
    <t>33884-3426</t>
  </si>
  <si>
    <t>112-3143049-1599432</t>
  </si>
  <si>
    <t>2018-06-19T15:19:14+00:00</t>
  </si>
  <si>
    <t>2018-06-20T04:36:13+00:00</t>
  </si>
  <si>
    <t>Modesto</t>
  </si>
  <si>
    <t>95356-1345</t>
  </si>
  <si>
    <t>114-1455957-1989022</t>
  </si>
  <si>
    <t>2018-06-19T15:08:28+00:00</t>
  </si>
  <si>
    <t>2018-06-19T23:06:03+00:00</t>
  </si>
  <si>
    <t>PASCO</t>
  </si>
  <si>
    <t>99301-9451</t>
  </si>
  <si>
    <t>114-4774752-8593867</t>
  </si>
  <si>
    <t>2018-06-19T14:40:41+00:00</t>
  </si>
  <si>
    <t>2018-06-19T21:23:07+00:00</t>
  </si>
  <si>
    <t>Eden Prairie</t>
  </si>
  <si>
    <t>Minnesota</t>
  </si>
  <si>
    <t>113-1718149-9345845</t>
  </si>
  <si>
    <t>2018-06-19T14:20:23+00:00</t>
  </si>
  <si>
    <t>2018-06-21T04:45:51+00:00</t>
  </si>
  <si>
    <t>KINGSLAND</t>
  </si>
  <si>
    <t>31548-6764</t>
  </si>
  <si>
    <t>113-8717720-7364228</t>
  </si>
  <si>
    <t>2018-06-19T14:03:16+00:00</t>
  </si>
  <si>
    <t>2018-06-20T19:14:25+00:00</t>
  </si>
  <si>
    <t>BRISTOL</t>
  </si>
  <si>
    <t>24201-3274</t>
  </si>
  <si>
    <t>112-9413521-7279404</t>
  </si>
  <si>
    <t>2018-06-19T13:59:44+00:00</t>
  </si>
  <si>
    <t>2018-06-19T14:09:10+00:00</t>
  </si>
  <si>
    <t>EAST ORANGE</t>
  </si>
  <si>
    <t>07018-2304</t>
  </si>
  <si>
    <t>113-8921544-6852200</t>
  </si>
  <si>
    <t>2018-06-19T13:57:02+00:00</t>
  </si>
  <si>
    <t>2018-06-20T06:17:49+00:00</t>
  </si>
  <si>
    <t>LOUISVILLE</t>
  </si>
  <si>
    <t>40245-5012</t>
  </si>
  <si>
    <t>114-8777821-6041066</t>
  </si>
  <si>
    <t>2018-06-19T13:45:49+00:00</t>
  </si>
  <si>
    <t>2018-06-20T22:48:40+00:00</t>
  </si>
  <si>
    <t>11208-3911</t>
  </si>
  <si>
    <t>114-9059531-5379443</t>
  </si>
  <si>
    <t>2018-06-19T12:36:40+00:00</t>
  </si>
  <si>
    <t>2018-06-20T06:14:48+00:00</t>
  </si>
  <si>
    <t>SOUTHAVEN</t>
  </si>
  <si>
    <t>38671-8948</t>
  </si>
  <si>
    <t>114-0872120-5288256</t>
  </si>
  <si>
    <t>2018-06-19T12:36:35+00:00</t>
  </si>
  <si>
    <t>2018-06-20T20:43:49+00:00</t>
  </si>
  <si>
    <t>111-8270065-8423449</t>
  </si>
  <si>
    <t>2018-06-19T06:07:41+00:00</t>
  </si>
  <si>
    <t>2018-06-19T09:45:49+00:00</t>
  </si>
  <si>
    <t>114-9209105-8669067</t>
  </si>
  <si>
    <t>2018-06-19T05:46:13+00:00</t>
  </si>
  <si>
    <t>2018-06-24T17:21:04+00:00</t>
  </si>
  <si>
    <t>Reborn Baby Dolls Twins Boy Lifelike Toddler Silicone Light Blue Outfit Giraffe Patterns 16 Inches</t>
  </si>
  <si>
    <t>DO-YULQ071-B7-16</t>
  </si>
  <si>
    <t>B07BFV7XQM</t>
  </si>
  <si>
    <t>114-5845996-8735438</t>
  </si>
  <si>
    <t>2018-06-19T04:55:41+00:00</t>
  </si>
  <si>
    <t>2018-06-20T10:27:00+00:00</t>
  </si>
  <si>
    <t>LINDSAY</t>
  </si>
  <si>
    <t>93247-2150</t>
  </si>
  <si>
    <t>112-9656614-1112200</t>
  </si>
  <si>
    <t>2018-06-19T04:51:50+00:00</t>
  </si>
  <si>
    <t>2018-06-20T07:43:37+00:00</t>
  </si>
  <si>
    <t>FRESH MEADOWS</t>
  </si>
  <si>
    <t>11366-1061</t>
  </si>
  <si>
    <t>111-3757880-8690662</t>
  </si>
  <si>
    <t>2018-06-19T04:17:18+00:00</t>
  </si>
  <si>
    <t>2018-06-20T01:48:57+00:00</t>
  </si>
  <si>
    <t>Realistic Reborn Baby Dolls Girl Look Real Toddler Silicone Light Purple Outfit with Cushion 16 Inches</t>
  </si>
  <si>
    <t>DO-YULQ018-P4-16</t>
  </si>
  <si>
    <t>B078X5DJLB</t>
  </si>
  <si>
    <t>NORTH PLATTE</t>
  </si>
  <si>
    <t>69101-8909</t>
  </si>
  <si>
    <t>113-6806356-5429838</t>
  </si>
  <si>
    <t>2018-06-19T04:05:13+00:00</t>
  </si>
  <si>
    <t>2018-06-19T21:00:38+00:00</t>
  </si>
  <si>
    <t>MARINA DEL REY</t>
  </si>
  <si>
    <t>90292-5434</t>
  </si>
  <si>
    <t>114-2010313-0645866</t>
  </si>
  <si>
    <t>2018-06-19T03:49:14+00:00</t>
  </si>
  <si>
    <t>2018-06-20T02:21:29+00:00</t>
  </si>
  <si>
    <t>85017-2510</t>
  </si>
  <si>
    <t>114-5030025-2441068</t>
  </si>
  <si>
    <t>2018-06-19T03:37:45+00:00</t>
  </si>
  <si>
    <t>2018-06-20T02:31:27+00:00</t>
  </si>
  <si>
    <t>114-5217358-0521021</t>
  </si>
  <si>
    <t>2018-06-19T03:34:11+00:00</t>
  </si>
  <si>
    <t>2018-06-19T23:27:39+00:00</t>
  </si>
  <si>
    <t>WEST JORDAN</t>
  </si>
  <si>
    <t>84088-5341</t>
  </si>
  <si>
    <t>112-1255153-8761016</t>
  </si>
  <si>
    <t>2018-06-19T02:50:11+00:00</t>
  </si>
  <si>
    <t>2018-06-19T22:41:42+00:00</t>
  </si>
  <si>
    <t>DAVENPORT</t>
  </si>
  <si>
    <t>33896-5537</t>
  </si>
  <si>
    <t>111-8689703-1500246</t>
  </si>
  <si>
    <t>2018-06-19T02:44:36+00:00</t>
  </si>
  <si>
    <t>2018-06-19T17:02:58+00:00</t>
  </si>
  <si>
    <t>LOS ANGELES</t>
  </si>
  <si>
    <t>90025-2335</t>
  </si>
  <si>
    <t>112-9433262-2905841</t>
  </si>
  <si>
    <t>2018-06-19T02:21:39+00:00</t>
  </si>
  <si>
    <t>2018-06-19T18:31:47+00:00</t>
  </si>
  <si>
    <t>Parker</t>
  </si>
  <si>
    <t>112-3961585-3725838</t>
  </si>
  <si>
    <t>2018-06-19T01:28:44+00:00</t>
  </si>
  <si>
    <t>2018-06-19T01:31:47+00:00</t>
  </si>
  <si>
    <t>114-1161416-1059433</t>
  </si>
  <si>
    <t>2018-06-19T01:18:19+00:00</t>
  </si>
  <si>
    <t>2018-06-19T21:19:51+00:00</t>
  </si>
  <si>
    <t>22 Inches Silicone Reborn Baby Dolls Girl Look Real Rose Red Tutu Skirt with Striped Pants</t>
  </si>
  <si>
    <t>DO-YULQ701-PI-22</t>
  </si>
  <si>
    <t>B07CM9N213</t>
  </si>
  <si>
    <t>SIOUX CITY</t>
  </si>
  <si>
    <t>51106-2823</t>
  </si>
  <si>
    <t>112-0109844-8978621</t>
  </si>
  <si>
    <t>2018-06-19T00:46:32+00:00</t>
  </si>
  <si>
    <t>2018-06-22T04:00:56+00:00</t>
  </si>
  <si>
    <t>BOSSIER CITY</t>
  </si>
  <si>
    <t>71111-2403</t>
  </si>
  <si>
    <t>112-0884892-5526661</t>
  </si>
  <si>
    <t>2018-06-19T00:41:56+00:00</t>
  </si>
  <si>
    <t>2018-06-22T04:00:54+00:00</t>
  </si>
  <si>
    <t>113-2331790-8807416</t>
  </si>
  <si>
    <t>2018-06-19T00:41:37+00:00</t>
  </si>
  <si>
    <t>2018-06-19T22:37:10+00:00</t>
  </si>
  <si>
    <t>80241-3295</t>
  </si>
  <si>
    <t>111-8440286-3792244</t>
  </si>
  <si>
    <t>2018-06-19T00:23:53+00:00</t>
  </si>
  <si>
    <t>2018-06-20T20:32:37+00:00</t>
  </si>
  <si>
    <t>10453-3121</t>
  </si>
  <si>
    <t>114-3696093-5841824</t>
  </si>
  <si>
    <t>2018-06-19T00:03:53+00:00</t>
  </si>
  <si>
    <t>2018-06-19T15:32:05+00:00</t>
  </si>
  <si>
    <t>KALISPELL</t>
  </si>
  <si>
    <t>59901-4763</t>
  </si>
  <si>
    <t>111-4508258-8833045</t>
  </si>
  <si>
    <t>2018-06-20T23:51:02+00:00</t>
  </si>
  <si>
    <t>2018-06-21T00:01:46+00:00</t>
  </si>
  <si>
    <t>Brunswick</t>
  </si>
  <si>
    <t>114-3496958-5937068</t>
  </si>
  <si>
    <t>2018-06-20T23:29:18+00:00</t>
  </si>
  <si>
    <t>2018-06-23T15:37:31+00:00</t>
  </si>
  <si>
    <t>PALM BEACH</t>
  </si>
  <si>
    <t>33480-6106</t>
  </si>
  <si>
    <t>113-8289612-3299466</t>
  </si>
  <si>
    <t>2018-06-20T23:29:16+00:00</t>
  </si>
  <si>
    <t>2018-06-20T23:32:55+00:00</t>
  </si>
  <si>
    <t>Full Silicone Body Reborn Baby Doll Boy Light Blue Outfit with Hippo Pattern 22 Inches</t>
  </si>
  <si>
    <t>DO-YULQ153-B7-22</t>
  </si>
  <si>
    <t>B07BDDC5WH</t>
  </si>
  <si>
    <t>LAWRENCE</t>
  </si>
  <si>
    <t>66044-4634</t>
  </si>
  <si>
    <t>111-0338106-5596215</t>
  </si>
  <si>
    <t>2018-06-20T23:13:43+00:00</t>
  </si>
  <si>
    <t>2018-06-22T00:49:41+00:00</t>
  </si>
  <si>
    <t>African American Reborn Baby Doll Girl Look Real Full Silicone Body Bohemia Style Dress 10 Inches</t>
  </si>
  <si>
    <t>DOLL-7056-BR-11</t>
  </si>
  <si>
    <t>B0788P8DCG</t>
  </si>
  <si>
    <t>Dearborn</t>
  </si>
  <si>
    <t>114-7707098-7258627</t>
  </si>
  <si>
    <t>2018-06-20T23:07:37+00:00</t>
  </si>
  <si>
    <t>2018-06-21T23:46:43+00:00</t>
  </si>
  <si>
    <t>DO-YULQ620-PI-22</t>
  </si>
  <si>
    <t>B079JQDDN7</t>
  </si>
  <si>
    <t>PITTSBURGH</t>
  </si>
  <si>
    <t>15219-5202</t>
  </si>
  <si>
    <t>112-4689940-0576209</t>
  </si>
  <si>
    <t>2018-06-20T22:51:37+00:00</t>
  </si>
  <si>
    <t>2018-06-20T22:54:34+00:00</t>
  </si>
  <si>
    <t>Real Life Silicone Reborn Baby Dolls Boy Look Real White Light Blue Outfit 22 Inches</t>
  </si>
  <si>
    <t>GLENDALE</t>
  </si>
  <si>
    <t>85304-2736</t>
  </si>
  <si>
    <t>114-3140103-0456260</t>
  </si>
  <si>
    <t>2018-06-20T22:50:13+00:00</t>
  </si>
  <si>
    <t>2018-06-21T04:46:33+00:00</t>
  </si>
  <si>
    <t>BUFFALO</t>
  </si>
  <si>
    <t>55313-2288</t>
  </si>
  <si>
    <t>112-0145593-9638608</t>
  </si>
  <si>
    <t>2018-06-20T21:43:36+00:00</t>
  </si>
  <si>
    <t>2018-06-21T22:11:00+00:00</t>
  </si>
  <si>
    <t>Sleeping Reborn Baby Dolls Girl Half Silicone Vinyl Body Look Real Lifelike Toddler White Baby Jumpsuit 22 Inches</t>
  </si>
  <si>
    <t>DO-YULQ061-W0-22</t>
  </si>
  <si>
    <t>B079DRCQ6B</t>
  </si>
  <si>
    <t>10462-4916</t>
  </si>
  <si>
    <t>112-2112197-7637022</t>
  </si>
  <si>
    <t>2018-06-20T21:39:21+00:00</t>
  </si>
  <si>
    <t>2018-06-21T06:30:36+00:00</t>
  </si>
  <si>
    <t>DAYTON</t>
  </si>
  <si>
    <t>45449-2301</t>
  </si>
  <si>
    <t>111-6583665-7225862</t>
  </si>
  <si>
    <t>2018-06-20T21:15:44+00:00</t>
  </si>
  <si>
    <t>2018-06-21T09:32:47+00:00</t>
  </si>
  <si>
    <t>114-3322359-1831459</t>
  </si>
  <si>
    <t>2018-06-20T21:09:18+00:00</t>
  </si>
  <si>
    <t>2018-06-21T05:12:39+00:00</t>
  </si>
  <si>
    <t>FLORENCE</t>
  </si>
  <si>
    <t>29505-6322</t>
  </si>
  <si>
    <t>112-8086040-3137050</t>
  </si>
  <si>
    <t>2018-06-20T21:08:32+00:00</t>
  </si>
  <si>
    <t>2018-06-22T02:30:13+00:00</t>
  </si>
  <si>
    <t>Saddle Brook</t>
  </si>
  <si>
    <t>07663-5315</t>
  </si>
  <si>
    <t>113-4876104-0768239</t>
  </si>
  <si>
    <t>2018-06-20T20:40:36+00:00</t>
  </si>
  <si>
    <t>2018-06-23T06:26:38+00:00</t>
  </si>
  <si>
    <t>SPRINGFIELD GARDENS</t>
  </si>
  <si>
    <t>11413-4010</t>
  </si>
  <si>
    <t>111-6038791-0248217</t>
  </si>
  <si>
    <t>2018-06-20T19:51:55+00:00</t>
  </si>
  <si>
    <t>2018-06-21T02:30:08+00:00</t>
  </si>
  <si>
    <t>Aurora</t>
  </si>
  <si>
    <t>113-1593130-6963458</t>
  </si>
  <si>
    <t>2018-06-20T19:37:34+00:00</t>
  </si>
  <si>
    <t>2018-06-23T10:33:19+00:00</t>
  </si>
  <si>
    <t>Real Life Reborn Baby Doll Girl Silicone Pink Outfit 15 Inches</t>
  </si>
  <si>
    <t>DO-YULQ010-PI-15</t>
  </si>
  <si>
    <t>B0794ZPQ8B</t>
  </si>
  <si>
    <t>GALLIPOLIS</t>
  </si>
  <si>
    <t>45631-8568</t>
  </si>
  <si>
    <t>114-1489839-6573808</t>
  </si>
  <si>
    <t>2018-06-20T18:41:24+00:00</t>
  </si>
  <si>
    <t>2018-06-22T02:40:50+00:00</t>
  </si>
  <si>
    <t>Florissant</t>
  </si>
  <si>
    <t>63032-0431</t>
  </si>
  <si>
    <t>111-7840369-9674616</t>
  </si>
  <si>
    <t>2018-06-20T18:15:09+00:00</t>
  </si>
  <si>
    <t>2018-06-21T21:39:33+00:00</t>
  </si>
  <si>
    <t>Nephi</t>
  </si>
  <si>
    <t>Utah</t>
  </si>
  <si>
    <t>113-5553234-0465834</t>
  </si>
  <si>
    <t>2018-06-20T18:13:16+00:00</t>
  </si>
  <si>
    <t>2018-06-21T09:40:14+00:00</t>
  </si>
  <si>
    <t>North Tonawanda</t>
  </si>
  <si>
    <t>113-5871843-8757029</t>
  </si>
  <si>
    <t>2018-06-20T18:08:29+00:00</t>
  </si>
  <si>
    <t>2018-06-20T21:47:45+00:00</t>
  </si>
  <si>
    <t>BAY HARBOR ISLANDS</t>
  </si>
  <si>
    <t>33154-3618</t>
  </si>
  <si>
    <t>113-0714668-5169002</t>
  </si>
  <si>
    <t>2018-06-21T13:01:40+00:00</t>
  </si>
  <si>
    <t>112-7466959-7502630</t>
  </si>
  <si>
    <t>2018-06-20T17:48:48+00:00</t>
  </si>
  <si>
    <t>2018-06-21T07:27:28+00:00</t>
  </si>
  <si>
    <t>NEW RIVER</t>
  </si>
  <si>
    <t>85087-7142</t>
  </si>
  <si>
    <t>114-8390813-9465828</t>
  </si>
  <si>
    <t>2018-06-20T17:32:00+00:00</t>
  </si>
  <si>
    <t>2018-06-25T23:02:12+00:00</t>
  </si>
  <si>
    <t>Panama City Beach</t>
  </si>
  <si>
    <t>111-9974170-3117051</t>
  </si>
  <si>
    <t>2018-06-20T17:30:35+00:00</t>
  </si>
  <si>
    <t>2018-06-21T05:57:55+00:00</t>
  </si>
  <si>
    <t>STEPHENVILLE</t>
  </si>
  <si>
    <t>76401-6750</t>
  </si>
  <si>
    <t>111-1335126-0776238</t>
  </si>
  <si>
    <t>2018-06-20T16:27:35+00:00</t>
  </si>
  <si>
    <t>2018-06-20T22:37:42+00:00</t>
  </si>
  <si>
    <t>Centennial</t>
  </si>
  <si>
    <t>112-9873030-1516269</t>
  </si>
  <si>
    <t>2018-06-20T15:56:19+00:00</t>
  </si>
  <si>
    <t>2018-06-22T19:52:03+00:00</t>
  </si>
  <si>
    <t>Realistic Reborn Baby Dolls Boy Toddler with Toy Bear Blue Outfit 22 Inches</t>
  </si>
  <si>
    <t>DO-YULQ171-B0-22</t>
  </si>
  <si>
    <t>B079NW9791</t>
  </si>
  <si>
    <t>SCHENECTADY</t>
  </si>
  <si>
    <t>12304-2028</t>
  </si>
  <si>
    <t>111-0649258-2041030</t>
  </si>
  <si>
    <t>2018-06-20T15:49:09+00:00</t>
  </si>
  <si>
    <t>2018-06-20T23:40:55+00:00</t>
  </si>
  <si>
    <t>Full Silicone Body African American Reborn Baby Doll Girl Look Real Floral Dress Vintage Style 10 Inches</t>
  </si>
  <si>
    <t>DO-YULQ058-SH-10</t>
  </si>
  <si>
    <t>B0793QZPK1</t>
  </si>
  <si>
    <t>DOUGLASVILLE</t>
  </si>
  <si>
    <t>30134-7822</t>
  </si>
  <si>
    <t>114-8742401-8161069</t>
  </si>
  <si>
    <t>2018-06-20T15:26:09+00:00</t>
  </si>
  <si>
    <t>2018-06-20T22:24:00+00:00</t>
  </si>
  <si>
    <t>brooklyn</t>
  </si>
  <si>
    <t>114-5745098-2734601</t>
  </si>
  <si>
    <t>2018-06-20T14:55:07+00:00</t>
  </si>
  <si>
    <t>2018-06-20T21:58:56+00:00</t>
  </si>
  <si>
    <t>African American Reborn Baby Doll Boy Look Real Full Silicone Body Bohemia Style Orange Outfit 10 Inches</t>
  </si>
  <si>
    <t>DOLL-7056B-YO-11</t>
  </si>
  <si>
    <t>B0788NF4TB</t>
  </si>
  <si>
    <t>33138-4118</t>
  </si>
  <si>
    <t>112-9211464-4481039</t>
  </si>
  <si>
    <t>2018-06-20T14:47:23+00:00</t>
  </si>
  <si>
    <t>2018-06-21T19:14:08+00:00</t>
  </si>
  <si>
    <t>MINNEAPOLIS</t>
  </si>
  <si>
    <t>55403-2520</t>
  </si>
  <si>
    <t>VPC-1-33519101 Coupon</t>
  </si>
  <si>
    <t>112-4597771-8645023</t>
  </si>
  <si>
    <t>2018-06-20T14:08:53+00:00</t>
  </si>
  <si>
    <t>2018-06-20T17:19:13+00:00</t>
  </si>
  <si>
    <t>Grayson</t>
  </si>
  <si>
    <t>30017-4136</t>
  </si>
  <si>
    <t>112-7188405-1417010</t>
  </si>
  <si>
    <t>2018-06-20T14:06:52+00:00</t>
  </si>
  <si>
    <t>2018-06-21T02:32:06+00:00</t>
  </si>
  <si>
    <t>10018-1404</t>
  </si>
  <si>
    <t>111-0741358-0323413</t>
  </si>
  <si>
    <t>2018-06-20T13:10:45+00:00</t>
  </si>
  <si>
    <t>2018-06-21T02:46:46+00:00</t>
  </si>
  <si>
    <t>WINTERS</t>
  </si>
  <si>
    <t>79567-6916</t>
  </si>
  <si>
    <t>114-6014741-0321030</t>
  </si>
  <si>
    <t>2018-06-20T12:59:15+00:00</t>
  </si>
  <si>
    <t>2018-06-22T14:07:15+00:00</t>
  </si>
  <si>
    <t>GULF BREEZE</t>
  </si>
  <si>
    <t>32563-7017</t>
  </si>
  <si>
    <t>112-4601719-1251402</t>
  </si>
  <si>
    <t>2018-06-20T11:58:04+00:00</t>
  </si>
  <si>
    <t>2018-06-20T21:18:07+00:00</t>
  </si>
  <si>
    <t>Boise</t>
  </si>
  <si>
    <t>Idaho</t>
  </si>
  <si>
    <t>114-1104376-3676211</t>
  </si>
  <si>
    <t>2018-06-20T11:43:58+00:00</t>
  </si>
  <si>
    <t>2018-06-20T21:24:19+00:00</t>
  </si>
  <si>
    <t>Machias</t>
  </si>
  <si>
    <t>ME</t>
  </si>
  <si>
    <t>111-9766289-1729050</t>
  </si>
  <si>
    <t>2018-06-20T05:48:45+00:00</t>
  </si>
  <si>
    <t>2018-06-21T01:36:57+00:00</t>
  </si>
  <si>
    <t>WATERTOWN</t>
  </si>
  <si>
    <t>37184-3928</t>
  </si>
  <si>
    <t>111-8082576-2028261</t>
  </si>
  <si>
    <t>2018-06-20T05:20:37+00:00</t>
  </si>
  <si>
    <t>2018-06-24T05:58:37+00:00</t>
  </si>
  <si>
    <t>MESA</t>
  </si>
  <si>
    <t>85204-5022</t>
  </si>
  <si>
    <t>114-7381427-1873021</t>
  </si>
  <si>
    <t>2018-06-20T04:12:54+00:00</t>
  </si>
  <si>
    <t>2018-06-20T19:33:12+00:00</t>
  </si>
  <si>
    <t>NEW HAVEN</t>
  </si>
  <si>
    <t>06510-3128</t>
  </si>
  <si>
    <t>112-7405198-0357803</t>
  </si>
  <si>
    <t>2018-06-20T03:08:27+00:00</t>
  </si>
  <si>
    <t>2018-06-20T20:57:10+00:00</t>
  </si>
  <si>
    <t>SHAWNEE</t>
  </si>
  <si>
    <t>74804-0612</t>
  </si>
  <si>
    <t>114-3722778-5634609</t>
  </si>
  <si>
    <t>2018-06-20T02:06:57+00:00</t>
  </si>
  <si>
    <t>2018-06-21T02:26:37+00:00</t>
  </si>
  <si>
    <t>INDIAN TRAIL</t>
  </si>
  <si>
    <t>28079-3753</t>
  </si>
  <si>
    <t>VPC-1-33540331 Coupon</t>
  </si>
  <si>
    <t>114-3158011-9439430</t>
  </si>
  <si>
    <t>2018-06-20T01:34:03+00:00</t>
  </si>
  <si>
    <t>2018-06-20T06:02:25+00:00</t>
  </si>
  <si>
    <t>90006-4422</t>
  </si>
  <si>
    <t>113-9983735-1026622</t>
  </si>
  <si>
    <t>2018-06-20T01:32:29+00:00</t>
  </si>
  <si>
    <t>2018-06-20T11:28:15+00:00</t>
  </si>
  <si>
    <t>REDLANDS</t>
  </si>
  <si>
    <t>92374-2337</t>
  </si>
  <si>
    <t>111-0175865-0431420</t>
  </si>
  <si>
    <t>2018-06-20T00:23:58+00:00</t>
  </si>
  <si>
    <t>2018-06-22T00:08:59+00:00</t>
  </si>
  <si>
    <t>113-8155276-2451401</t>
  </si>
  <si>
    <t>2018-06-20T00:18:28+00:00</t>
  </si>
  <si>
    <t>2018-06-21T04:33:25+00:00</t>
  </si>
  <si>
    <t>VIRGINIA BEACH</t>
  </si>
  <si>
    <t>23456-5858</t>
  </si>
  <si>
    <t>112-6268742-6571429</t>
  </si>
  <si>
    <t>2018-06-20T00:09:04+00:00</t>
  </si>
  <si>
    <t>2018-06-21T05:53:36+00:00</t>
  </si>
  <si>
    <t>RUTHERFORDTON</t>
  </si>
  <si>
    <t>28139-2138</t>
  </si>
  <si>
    <t>111-6936574-7482620</t>
  </si>
  <si>
    <t>2018-06-21T23:43:53+00:00</t>
  </si>
  <si>
    <t>2018-06-22T20:31:40+00:00</t>
  </si>
  <si>
    <t>114-4209223-7019467</t>
  </si>
  <si>
    <t>2018-06-21T23:34:47+00:00</t>
  </si>
  <si>
    <t>2018-06-22T06:57:33+00:00</t>
  </si>
  <si>
    <t>JEFFERSONVILLE</t>
  </si>
  <si>
    <t>12748-5006</t>
  </si>
  <si>
    <t>111-7088191-9777064</t>
  </si>
  <si>
    <t>2018-06-21T23:24:09+00:00</t>
  </si>
  <si>
    <t>2018-06-22T05:53:52+00:00</t>
  </si>
  <si>
    <t>CANYON COUNTRY</t>
  </si>
  <si>
    <t>91351-2935</t>
  </si>
  <si>
    <t>112-1578789-5375462</t>
  </si>
  <si>
    <t>2018-06-21T23:04:08+00:00</t>
  </si>
  <si>
    <t>2018-06-22T17:09:01+00:00</t>
  </si>
  <si>
    <t>MOUNT ZION</t>
  </si>
  <si>
    <t>62549-1360</t>
  </si>
  <si>
    <t>113-7278259-0917802</t>
  </si>
  <si>
    <t>2018-06-21T22:07:27+00:00</t>
  </si>
  <si>
    <t>2018-06-22T06:32:04+00:00</t>
  </si>
  <si>
    <t>WEST BLOOMFIELD</t>
  </si>
  <si>
    <t>48322-4015</t>
  </si>
  <si>
    <t>114-1463943-7679434</t>
  </si>
  <si>
    <t>2018-06-21T21:41:22+00:00</t>
  </si>
  <si>
    <t>2018-06-21T21:44:03+00:00</t>
  </si>
  <si>
    <t>45417-1557</t>
  </si>
  <si>
    <t>112-0393538-6321807</t>
  </si>
  <si>
    <t>2018-06-21T21:00:44+00:00</t>
  </si>
  <si>
    <t>2018-06-21T21:04:35+00:00</t>
  </si>
  <si>
    <t>113-4459971-6624246</t>
  </si>
  <si>
    <t>2018-06-21T20:34:52+00:00</t>
  </si>
  <si>
    <t>2018-06-21T23:21:54+00:00</t>
  </si>
  <si>
    <t>OVERLAND PARK</t>
  </si>
  <si>
    <t>66213-2317</t>
  </si>
  <si>
    <t>112-1739790-3364226</t>
  </si>
  <si>
    <t>2018-06-21T20:29:46+00:00</t>
  </si>
  <si>
    <t>2018-06-22T03:55:58+00:00</t>
  </si>
  <si>
    <t>CONROE</t>
  </si>
  <si>
    <t>77384-3412</t>
  </si>
  <si>
    <t>111-5231255-1676200</t>
  </si>
  <si>
    <t>2018-06-21T20:12:25+00:00</t>
  </si>
  <si>
    <t>2018-06-24T17:30:13+00:00</t>
  </si>
  <si>
    <t>114-6818530-0094639</t>
  </si>
  <si>
    <t>2018-06-21T20:09:13+00:00</t>
  </si>
  <si>
    <t>2018-06-22T04:34:46+00:00</t>
  </si>
  <si>
    <t>40207-3650</t>
  </si>
  <si>
    <t>111-2157714-4048243</t>
  </si>
  <si>
    <t>2018-06-21T19:57:51+00:00</t>
  </si>
  <si>
    <t>2018-06-24T06:35:55+00:00</t>
  </si>
  <si>
    <t>North Liberty</t>
  </si>
  <si>
    <t>Iowa</t>
  </si>
  <si>
    <t>112-8445429-2097051</t>
  </si>
  <si>
    <t>2018-06-21T19:42:45+00:00</t>
  </si>
  <si>
    <t>2018-06-22T06:27:26+00:00</t>
  </si>
  <si>
    <t>11413-4028</t>
  </si>
  <si>
    <t>113-3048695-7143431</t>
  </si>
  <si>
    <t>2018-06-21T17:52:15+00:00</t>
  </si>
  <si>
    <t>2018-06-21T20:29:37+00:00</t>
  </si>
  <si>
    <t>Maiden</t>
  </si>
  <si>
    <t>113-6600250-7260255</t>
  </si>
  <si>
    <t>2018-06-21T17:50:55+00:00</t>
  </si>
  <si>
    <t>2018-06-25T01:33:16+00:00</t>
  </si>
  <si>
    <t>EAST RUTHERFORD</t>
  </si>
  <si>
    <t>07073-2230</t>
  </si>
  <si>
    <t>112-5754293-3874612</t>
  </si>
  <si>
    <t>2018-06-21T17:15:25+00:00</t>
  </si>
  <si>
    <t>2018-06-24T03:04:58+00:00</t>
  </si>
  <si>
    <t>Sodus</t>
  </si>
  <si>
    <t>Ny</t>
  </si>
  <si>
    <t>111-7930427-0789051</t>
  </si>
  <si>
    <t>2018-06-21T16:11:48+00:00</t>
  </si>
  <si>
    <t>2018-06-22T01:43:45+00:00</t>
  </si>
  <si>
    <t>111-2252188-2533807</t>
  </si>
  <si>
    <t>2018-06-21T15:29:48+00:00</t>
  </si>
  <si>
    <t>2018-06-24T10:38:56+00:00</t>
  </si>
  <si>
    <t>Real Looking Sleeping Reborn Baby Dolls Twins Girl Silicone Pink 22 Inches</t>
  </si>
  <si>
    <t>DO-YULQ163-PI-22</t>
  </si>
  <si>
    <t>B078XBY1MZ</t>
  </si>
  <si>
    <t>43040-9623</t>
  </si>
  <si>
    <t>114-7862901-7096211</t>
  </si>
  <si>
    <t>2018-06-21T15:10:31+00:00</t>
  </si>
  <si>
    <t>2018-06-21T19:37:58+00:00</t>
  </si>
  <si>
    <t>Satanta</t>
  </si>
  <si>
    <t>Ks</t>
  </si>
  <si>
    <t>112-8344849-1093815</t>
  </si>
  <si>
    <t>2018-06-21T14:35:58+00:00</t>
  </si>
  <si>
    <t>2018-06-22T05:35:56+00:00</t>
  </si>
  <si>
    <t>22 Inches Full Silicone Body Reborn Baby Dolls Twins Girl Handmade Toddler Eye Closed Pink Outfit</t>
  </si>
  <si>
    <t>MOUNT VERNON</t>
  </si>
  <si>
    <t>10550-1520</t>
  </si>
  <si>
    <t>114-4382766-2065062</t>
  </si>
  <si>
    <t>2018-06-21T13:51:27+00:00</t>
  </si>
  <si>
    <t>2018-06-25T01:40:42+00:00</t>
  </si>
  <si>
    <t>SUNNY ISLES BEACH</t>
  </si>
  <si>
    <t>33160-2240</t>
  </si>
  <si>
    <t>113-0432255-5288231</t>
  </si>
  <si>
    <t>2018-06-21T13:50:22+00:00</t>
  </si>
  <si>
    <t>2018-06-21T22:47:43+00:00</t>
  </si>
  <si>
    <t>KEY WEST</t>
  </si>
  <si>
    <t>33040-6317</t>
  </si>
  <si>
    <t>113-1520308-3821016</t>
  </si>
  <si>
    <t>2018-06-21T13:39:11+00:00</t>
  </si>
  <si>
    <t>2018-06-21T17:05:38+00:00</t>
  </si>
  <si>
    <t>CAROL STREAM</t>
  </si>
  <si>
    <t>60188-4369</t>
  </si>
  <si>
    <t>111-4146137-8854636</t>
  </si>
  <si>
    <t>2018-06-21T12:50:11+00:00</t>
  </si>
  <si>
    <t>2018-06-22T18:48:56+00:00</t>
  </si>
  <si>
    <t>ALTAMONT</t>
  </si>
  <si>
    <t>84001-9734</t>
  </si>
  <si>
    <t>111-2486309-5113045</t>
  </si>
  <si>
    <t>2018-06-21T12:48:48+00:00</t>
  </si>
  <si>
    <t>2018-06-22T05:17:16+00:00</t>
  </si>
  <si>
    <t>TAYLORSVILLE</t>
  </si>
  <si>
    <t>28681-7659</t>
  </si>
  <si>
    <t>111-8452834-3292225</t>
  </si>
  <si>
    <t>2018-06-21T08:33:20+00:00</t>
  </si>
  <si>
    <t>2018-06-21T16:11:35+00:00</t>
  </si>
  <si>
    <t>MALTA</t>
  </si>
  <si>
    <t>60150-8507</t>
  </si>
  <si>
    <t>112-8325170-3501806</t>
  </si>
  <si>
    <t>2018-06-21T03:09:07+00:00</t>
  </si>
  <si>
    <t>2018-06-21T03:11:37+00:00</t>
  </si>
  <si>
    <t>30134-6645</t>
  </si>
  <si>
    <t>112-2760246-7772241</t>
  </si>
  <si>
    <t>2018-06-21T02:36:50+00:00</t>
  </si>
  <si>
    <t>2018-06-21T23:59:01+00:00</t>
  </si>
  <si>
    <t>114-9608551-2231418</t>
  </si>
  <si>
    <t>2018-06-21T02:17:00+00:00</t>
  </si>
  <si>
    <t>2018-06-21T02:22:36+00:00</t>
  </si>
  <si>
    <t>DEVILLE</t>
  </si>
  <si>
    <t>71328-9586</t>
  </si>
  <si>
    <t>113-8758812-8866668</t>
  </si>
  <si>
    <t>2018-06-21T02:03:56+00:00</t>
  </si>
  <si>
    <t>2018-06-21T15:30:22+00:00</t>
  </si>
  <si>
    <t>HOBBS</t>
  </si>
  <si>
    <t>NM</t>
  </si>
  <si>
    <t>88240-1649</t>
  </si>
  <si>
    <t>114-8712835-6266666</t>
  </si>
  <si>
    <t>2018-06-21T01:46:17+00:00</t>
  </si>
  <si>
    <t>2018-06-29T01:02:40+00:00</t>
  </si>
  <si>
    <t>Reborn Baby Dolls Twins Girl Lifelike Toddler Silicone Eye Closed Pink Outfit with Toy Bear 16 Inches</t>
  </si>
  <si>
    <t>DO-YULQ071-PI-16</t>
  </si>
  <si>
    <t>B07BFVXXX8</t>
  </si>
  <si>
    <t>113-7969510-7687421</t>
  </si>
  <si>
    <t>2018-06-21T01:08:36+00:00</t>
  </si>
  <si>
    <t>2018-06-21T21:40:39+00:00</t>
  </si>
  <si>
    <t>YF-YULQ003-W0-20</t>
  </si>
  <si>
    <t>NEWFANE</t>
  </si>
  <si>
    <t>14108-1032</t>
  </si>
  <si>
    <t>S01-3526117-2602663</t>
  </si>
  <si>
    <t>xi6m2jN478</t>
  </si>
  <si>
    <t>2018-06-22T02:19:52+00:00</t>
  </si>
  <si>
    <t>2018-06-22T02:20:22+00:00</t>
  </si>
  <si>
    <t>Shipping</t>
  </si>
  <si>
    <t>112-5738473-3521859</t>
  </si>
  <si>
    <t>2018-06-22T23:17:57+00:00</t>
  </si>
  <si>
    <t>2018-06-23T06:19:35+00:00</t>
  </si>
  <si>
    <t>OWINGS MILLS</t>
  </si>
  <si>
    <t>21117-7602</t>
  </si>
  <si>
    <t>111-7883705-1956267</t>
  </si>
  <si>
    <t>2018-06-22T22:23:37+00:00</t>
  </si>
  <si>
    <t>2018-06-23T06:59:20+00:00</t>
  </si>
  <si>
    <t>Cheap Reborn Baby Dolls Silicone Full Body Girl Elephant Outfit 10 Inches</t>
  </si>
  <si>
    <t>DO-YULQ705-GR-11</t>
  </si>
  <si>
    <t>B079JWNR6Z</t>
  </si>
  <si>
    <t>LONGVIEW</t>
  </si>
  <si>
    <t>98632-1703</t>
  </si>
  <si>
    <t>113-7971204-7880201</t>
  </si>
  <si>
    <t>2018-06-22T22:16:58+00:00</t>
  </si>
  <si>
    <t>2018-06-23T20:11:27+00:00</t>
  </si>
  <si>
    <t>Pearl river</t>
  </si>
  <si>
    <t>114-7408255-8162658</t>
  </si>
  <si>
    <t>2018-06-22T22:16:39+00:00</t>
  </si>
  <si>
    <t>2018-06-23T09:31:45+00:00</t>
  </si>
  <si>
    <t>GREENVILLE</t>
  </si>
  <si>
    <t>29611-3939</t>
  </si>
  <si>
    <t>113-3714079-9474633</t>
  </si>
  <si>
    <t>2018-06-22T22:03:26+00:00</t>
  </si>
  <si>
    <t>2018-06-24T02:36:31+00:00</t>
  </si>
  <si>
    <t>JENKINTOWN</t>
  </si>
  <si>
    <t>19046-3223</t>
  </si>
  <si>
    <t>114-2650867-0431426</t>
  </si>
  <si>
    <t>2018-06-22T21:25:45+00:00</t>
  </si>
  <si>
    <t>2018-06-23T21:51:28+00:00</t>
  </si>
  <si>
    <t>112-9069157-7805827</t>
  </si>
  <si>
    <t>2018-06-22T20:53:09+00:00</t>
  </si>
  <si>
    <t>2018-06-23T16:24:18+00:00</t>
  </si>
  <si>
    <t>CLINTON TWP</t>
  </si>
  <si>
    <t>48036-2424</t>
  </si>
  <si>
    <t>111-4235121-3940250</t>
  </si>
  <si>
    <t>2018-06-22T20:37:41+00:00</t>
  </si>
  <si>
    <t>2018-06-25T17:56:31+00:00</t>
  </si>
  <si>
    <t>15239-1789</t>
  </si>
  <si>
    <t>112-2377735-6370604</t>
  </si>
  <si>
    <t>2018-06-22T19:37:50+00:00</t>
  </si>
  <si>
    <t>2018-06-23T03:32:51+00:00</t>
  </si>
  <si>
    <t>CARRBORO</t>
  </si>
  <si>
    <t>NORTH CAROLINA</t>
  </si>
  <si>
    <t>27510-2568</t>
  </si>
  <si>
    <t>112-5801579-8770621</t>
  </si>
  <si>
    <t>2018-06-22T19:34:16+00:00</t>
  </si>
  <si>
    <t>2018-06-26T08:02:36+00:00</t>
  </si>
  <si>
    <t>10038-2834</t>
  </si>
  <si>
    <t>114-3649741-9389824</t>
  </si>
  <si>
    <t>2018-06-22T18:57:40+00:00</t>
  </si>
  <si>
    <t>2018-06-23T23:58:56+00:00</t>
  </si>
  <si>
    <t>22 Inches Real Looking Reborn Baby Dolls Girl Realistic Toddler Silicone Vinyl Pink European Retro Nightdress</t>
  </si>
  <si>
    <t>DO-YULQ121-PI-22</t>
  </si>
  <si>
    <t>B07CM347WF</t>
  </si>
  <si>
    <t>Monticello</t>
  </si>
  <si>
    <t>Ga</t>
  </si>
  <si>
    <t>113-6864893-8957840</t>
  </si>
  <si>
    <t>2018-06-22T18:56:05+00:00</t>
  </si>
  <si>
    <t>2018-06-28T16:19:51+00:00</t>
  </si>
  <si>
    <t>11413-4001</t>
  </si>
  <si>
    <t>113-1380780-0774658</t>
  </si>
  <si>
    <t>2018-06-22T18:32:06+00:00</t>
  </si>
  <si>
    <t>2018-06-23T09:23:08+00:00</t>
  </si>
  <si>
    <t>GARDEN CITY</t>
  </si>
  <si>
    <t>48135-1330</t>
  </si>
  <si>
    <t>112-0100052-3631418</t>
  </si>
  <si>
    <t>2018-06-22T17:59:30+00:00</t>
  </si>
  <si>
    <t>2018-06-26T01:50:47+00:00</t>
  </si>
  <si>
    <t>Silicone Reborn Baby Dolls Girl Look Real Eye Closed Pink Outfit 22 inches</t>
  </si>
  <si>
    <t>AUSTIN</t>
  </si>
  <si>
    <t>78745-1963</t>
  </si>
  <si>
    <t>111-5046519-4343433</t>
  </si>
  <si>
    <t>2018-06-22T17:53:09+00:00</t>
  </si>
  <si>
    <t>2018-06-22T22:06:19+00:00</t>
  </si>
  <si>
    <t>JACKSON</t>
  </si>
  <si>
    <t>45640-8624</t>
  </si>
  <si>
    <t>112-3818467-9829028</t>
  </si>
  <si>
    <t>2018-06-22T17:52:58+00:00</t>
  </si>
  <si>
    <t>2018-06-22T21:38:10+00:00</t>
  </si>
  <si>
    <t>85008-2557</t>
  </si>
  <si>
    <t>112-4551156-0083415</t>
  </si>
  <si>
    <t>2018-06-22T17:46:13+00:00</t>
  </si>
  <si>
    <t>2018-06-24T20:07:23+00:00</t>
  </si>
  <si>
    <t>MEDFORD</t>
  </si>
  <si>
    <t>02155-5061</t>
  </si>
  <si>
    <t>113-7397842-1510620</t>
  </si>
  <si>
    <t>2018-06-22T17:32:32+00:00</t>
  </si>
  <si>
    <t>2018-06-23T05:18:44+00:00</t>
  </si>
  <si>
    <t>WOBURN</t>
  </si>
  <si>
    <t>01801-1242</t>
  </si>
  <si>
    <t>114-1445993-1713046</t>
  </si>
  <si>
    <t>2018-06-22T17:30:09+00:00</t>
  </si>
  <si>
    <t>2018-06-22T19:11:29+00:00</t>
  </si>
  <si>
    <t>Reborn Baby Doll Boy Look Real Silicone Blue Outfit 22 inches</t>
  </si>
  <si>
    <t>Kenosha</t>
  </si>
  <si>
    <t>114-2252843-5863463</t>
  </si>
  <si>
    <t>2018-06-22T17:25:06+00:00</t>
  </si>
  <si>
    <t>2018-06-22T17:30:54+00:00</t>
  </si>
  <si>
    <t>114-1772497-5747423</t>
  </si>
  <si>
    <t>2018-06-22T17:22:45+00:00</t>
  </si>
  <si>
    <t>114-7295917-2766654</t>
  </si>
  <si>
    <t>2018-06-22T17:08:20+00:00</t>
  </si>
  <si>
    <t>2018-06-23T17:38:19+00:00</t>
  </si>
  <si>
    <t>LEES SUMMIT</t>
  </si>
  <si>
    <t>64081-2029</t>
  </si>
  <si>
    <t>114-4316154-0472249</t>
  </si>
  <si>
    <t>2018-06-22T16:41:17+00:00</t>
  </si>
  <si>
    <t>2018-06-23T22:15:38+00:00</t>
  </si>
  <si>
    <t>DOLL-9042-01R-22</t>
  </si>
  <si>
    <t>Mebane</t>
  </si>
  <si>
    <t>27302-9583</t>
  </si>
  <si>
    <t>113-4476915-8261802</t>
  </si>
  <si>
    <t>2018-06-22T15:24:29+00:00</t>
  </si>
  <si>
    <t>2018-06-23T19:38:48+00:00</t>
  </si>
  <si>
    <t>ELMWOOD PARK</t>
  </si>
  <si>
    <t>60707-1334</t>
  </si>
  <si>
    <t>113-1692147-1316223</t>
  </si>
  <si>
    <t>2018-06-22T15:20:31+00:00</t>
  </si>
  <si>
    <t>2018-06-22T15:21:07+00:00</t>
  </si>
  <si>
    <t>111-9127848-8070609</t>
  </si>
  <si>
    <t>2018-06-22T14:26:38+00:00</t>
  </si>
  <si>
    <t>2018-06-23T14:08:18+00:00</t>
  </si>
  <si>
    <t>PRIOR LAKE</t>
  </si>
  <si>
    <t>55372-1984</t>
  </si>
  <si>
    <t>113-3542283-8833813</t>
  </si>
  <si>
    <t>2018-06-22T13:58:29+00:00</t>
  </si>
  <si>
    <t>2018-06-22T19:50:15+00:00</t>
  </si>
  <si>
    <t>ROCHESTER</t>
  </si>
  <si>
    <t>14605-1018</t>
  </si>
  <si>
    <t>114-2390145-1901034</t>
  </si>
  <si>
    <t>2018-06-22T13:56:50+00:00</t>
  </si>
  <si>
    <t>2018-06-23T16:19:39+00:00</t>
  </si>
  <si>
    <t>10019-5214</t>
  </si>
  <si>
    <t>111-0996375-9649820</t>
  </si>
  <si>
    <t>2018-06-22T13:01:59+00:00</t>
  </si>
  <si>
    <t>2018-06-25T20:38:13+00:00</t>
  </si>
  <si>
    <t>aragon</t>
  </si>
  <si>
    <t>113-8789351-7867419</t>
  </si>
  <si>
    <t>2018-06-22T12:56:31+00:00</t>
  </si>
  <si>
    <t>2018-06-22T20:30:07+00:00</t>
  </si>
  <si>
    <t>WEST FRANKFORT</t>
  </si>
  <si>
    <t>62896-2844</t>
  </si>
  <si>
    <t>114-2994693-0652260</t>
  </si>
  <si>
    <t>2018-06-22T11:35:15+00:00</t>
  </si>
  <si>
    <t>2018-06-23T06:28:58+00:00</t>
  </si>
  <si>
    <t>24201-5048</t>
  </si>
  <si>
    <t>112-8727507-7297862</t>
  </si>
  <si>
    <t>2018-06-22T11:23:54+00:00</t>
  </si>
  <si>
    <t>2018-06-23T04:49:01+00:00</t>
  </si>
  <si>
    <t>African American Sleeping Reborn Baby Dolls Look Real Full Body Silicone Light Blue Outfit 10 Inches</t>
  </si>
  <si>
    <t>DOLL-006-LB-11</t>
  </si>
  <si>
    <t>B076Q79H79</t>
  </si>
  <si>
    <t>RED OAK</t>
  </si>
  <si>
    <t>51566-1962</t>
  </si>
  <si>
    <t>113-1229736-2648234</t>
  </si>
  <si>
    <t>2018-06-22T10:09:14+00:00</t>
  </si>
  <si>
    <t>2018-06-23T04:26:36+00:00</t>
  </si>
  <si>
    <t>SOUTHGATE</t>
  </si>
  <si>
    <t>48195-1740</t>
  </si>
  <si>
    <t>111-2793452-1965801</t>
  </si>
  <si>
    <t>2018-06-22T08:06:31+00:00</t>
  </si>
  <si>
    <t>2018-06-23T12:07:06+00:00</t>
  </si>
  <si>
    <t>Oxnard</t>
  </si>
  <si>
    <t>93033-7115</t>
  </si>
  <si>
    <t>112-1173979-8306642</t>
  </si>
  <si>
    <t>2018-06-22T07:22:21+00:00</t>
  </si>
  <si>
    <t>2018-06-22T16:19:56+00:00</t>
  </si>
  <si>
    <t>WOODBRIDGE</t>
  </si>
  <si>
    <t>22191-1624</t>
  </si>
  <si>
    <t>112-2837919-7047450</t>
  </si>
  <si>
    <t>2018-06-22T07:01:07+00:00</t>
  </si>
  <si>
    <t>2018-06-22T07:03:48+00:00</t>
  </si>
  <si>
    <t>CINCINNATI</t>
  </si>
  <si>
    <t>45205-1576</t>
  </si>
  <si>
    <t>111-4299988-1388228</t>
  </si>
  <si>
    <t>2018-06-22T05:28:23+00:00</t>
  </si>
  <si>
    <t>2018-06-29T09:24:18+00:00</t>
  </si>
  <si>
    <t>STOCKTON</t>
  </si>
  <si>
    <t>95215-7329</t>
  </si>
  <si>
    <t>112-6723094-4329046</t>
  </si>
  <si>
    <t>2018-06-22T05:26:45+00:00</t>
  </si>
  <si>
    <t>2018-06-22T05:33:52+00:00</t>
  </si>
  <si>
    <t>112-6829161-0949802</t>
  </si>
  <si>
    <t>2018-06-22T04:53:23+00:00</t>
  </si>
  <si>
    <t>2018-06-22T05:04:57+00:00</t>
  </si>
  <si>
    <t>113-0003598-2524223</t>
  </si>
  <si>
    <t>2018-06-22T03:32:12+00:00</t>
  </si>
  <si>
    <t>2018-06-22T03:33:51+00:00</t>
  </si>
  <si>
    <t>112-4350883-3662643</t>
  </si>
  <si>
    <t>2018-06-22T02:49:54+00:00</t>
  </si>
  <si>
    <t>2018-06-22T16:42:52+00:00</t>
  </si>
  <si>
    <t>CLANCY</t>
  </si>
  <si>
    <t>59634-9540</t>
  </si>
  <si>
    <t>112-5224807-9258662</t>
  </si>
  <si>
    <t>2018-06-22T01:45:34+00:00</t>
  </si>
  <si>
    <t>2018-06-22T14:08:10+00:00</t>
  </si>
  <si>
    <t>80915-1508</t>
  </si>
  <si>
    <t>114-3646227-6731449</t>
  </si>
  <si>
    <t>2018-06-22T01:00:10+00:00</t>
  </si>
  <si>
    <t>2018-06-22T01:03:37+00:00</t>
  </si>
  <si>
    <t>EAST ELMHURST</t>
  </si>
  <si>
    <t>11369-2220</t>
  </si>
  <si>
    <t>113-4299109-1805030</t>
  </si>
  <si>
    <t>2018-06-22T00:38:07+00:00</t>
  </si>
  <si>
    <t>2018-06-22T22:46:22+00:00</t>
  </si>
  <si>
    <t>STATEN ISLAND</t>
  </si>
  <si>
    <t>10306-1829</t>
  </si>
  <si>
    <t>111-3904791-4667455</t>
  </si>
  <si>
    <t>2018-06-22T00:34:40+00:00</t>
  </si>
  <si>
    <t>2018-06-22T11:01:32+00:00</t>
  </si>
  <si>
    <t>93313-5444</t>
  </si>
  <si>
    <t>111-9278412-6847429</t>
  </si>
  <si>
    <t>2018-06-22T00:33:59+00:00</t>
  </si>
  <si>
    <t>2018-06-24T06:56:34+00:00</t>
  </si>
  <si>
    <t>CLARKSVILLE</t>
  </si>
  <si>
    <t>37043-9004</t>
  </si>
  <si>
    <t>113-0582385-4065044</t>
  </si>
  <si>
    <t>2018-06-22T00:04:44+00:00</t>
  </si>
  <si>
    <t>2018-06-23T11:54:28+00:00</t>
  </si>
  <si>
    <t>114-0720899-6389003</t>
  </si>
  <si>
    <t>2018-06-23T23:44:55+00:00</t>
  </si>
  <si>
    <t>2018-06-24T02:19:18+00:00</t>
  </si>
  <si>
    <t>ELGIN</t>
  </si>
  <si>
    <t>29045-9770</t>
  </si>
  <si>
    <t>112-0523464-3878619</t>
  </si>
  <si>
    <t>2018-06-23T23:16:15+00:00</t>
  </si>
  <si>
    <t>2018-06-24T13:33:01+00:00</t>
  </si>
  <si>
    <t>FOWLER</t>
  </si>
  <si>
    <t>47944-1440</t>
  </si>
  <si>
    <t>114-5752057-9523414</t>
  </si>
  <si>
    <t>2018-06-23T20:30:24+00:00</t>
  </si>
  <si>
    <t>2018-06-24T07:57:20+00:00</t>
  </si>
  <si>
    <t>LAWRENCEVILLE</t>
  </si>
  <si>
    <t>30043-6434</t>
  </si>
  <si>
    <t>African American Sleeping Reborn Baby Doll Look Real Full Body Silicone Pink Outfit 10 Inches</t>
  </si>
  <si>
    <t>DOLL-006-PI-10</t>
  </si>
  <si>
    <t>B076Q7DCP1</t>
  </si>
  <si>
    <t>111-7694106-7303461</t>
  </si>
  <si>
    <t>2018-06-23T20:26:29+00:00</t>
  </si>
  <si>
    <t>2018-06-24T03:47:49+00:00</t>
  </si>
  <si>
    <t>LYNBROOK</t>
  </si>
  <si>
    <t>11563-2449</t>
  </si>
  <si>
    <t>111-1900967-3469861</t>
  </si>
  <si>
    <t>2018-06-23T20:25:21+00:00</t>
  </si>
  <si>
    <t>2018-06-25T10:18:24+00:00</t>
  </si>
  <si>
    <t>LONGVILLE</t>
  </si>
  <si>
    <t>70652-5107</t>
  </si>
  <si>
    <t>113-6931888-8526617</t>
  </si>
  <si>
    <t>2018-06-23T20:15:48+00:00</t>
  </si>
  <si>
    <t>2018-06-26T19:03:02+00:00</t>
  </si>
  <si>
    <t>33189-3080</t>
  </si>
  <si>
    <t>113-1962805-7037803</t>
  </si>
  <si>
    <t>2018-06-23T20:15:34+00:00</t>
  </si>
  <si>
    <t>2018-06-24T06:48:32+00:00</t>
  </si>
  <si>
    <t>CAMBRIDGE</t>
  </si>
  <si>
    <t>02138-3331</t>
  </si>
  <si>
    <t>112-9001038-6810622</t>
  </si>
  <si>
    <t>2018-06-23T20:02:03+00:00</t>
  </si>
  <si>
    <t>2018-06-26T01:56:01+00:00</t>
  </si>
  <si>
    <t>24 Inches Reborn Baby Doll Real Looking Toddler Blue Jacket with Crocodile Striped Pants White Shoes</t>
  </si>
  <si>
    <t>DO-YULQ704-B0-24</t>
  </si>
  <si>
    <t>B07D4DDT41</t>
  </si>
  <si>
    <t>PALM BAY</t>
  </si>
  <si>
    <t>32907-2634</t>
  </si>
  <si>
    <t>VPC-1-33541891 Coupon</t>
  </si>
  <si>
    <t>114-6241035-6070607</t>
  </si>
  <si>
    <t>2018-06-23T19:55:00+00:00</t>
  </si>
  <si>
    <t>2018-06-26T07:40:08+00:00</t>
  </si>
  <si>
    <t>West Linn</t>
  </si>
  <si>
    <t>Oregon</t>
  </si>
  <si>
    <t>114-1144041-4861836</t>
  </si>
  <si>
    <t>2018-06-23T19:37:24+00:00</t>
  </si>
  <si>
    <t>2018-06-25T08:01:41+00:00</t>
  </si>
  <si>
    <t>victorville</t>
  </si>
  <si>
    <t>114-2847313-8856260</t>
  </si>
  <si>
    <t>2018-06-23T19:17:37+00:00</t>
  </si>
  <si>
    <t>2018-06-23T19:21:31+00:00</t>
  </si>
  <si>
    <t>10307-2023</t>
  </si>
  <si>
    <t>112-2367638-9093805</t>
  </si>
  <si>
    <t>2018-06-23T18:53:01+00:00</t>
  </si>
  <si>
    <t>2018-06-24T04:32:58+00:00</t>
  </si>
  <si>
    <t>111-1467017-7470600</t>
  </si>
  <si>
    <t>2018-06-23T17:34:52+00:00</t>
  </si>
  <si>
    <t>2018-06-24T06:28:19+00:00</t>
  </si>
  <si>
    <t>HUBER HEIGHTS</t>
  </si>
  <si>
    <t>45424-7337</t>
  </si>
  <si>
    <t>114-5400145-0715422</t>
  </si>
  <si>
    <t>2018-06-23T17:23:22+00:00</t>
  </si>
  <si>
    <t>2018-06-25T16:59:30+00:00</t>
  </si>
  <si>
    <t>WEST ALTON</t>
  </si>
  <si>
    <t>63386-1610</t>
  </si>
  <si>
    <t>113-6118233-9300241</t>
  </si>
  <si>
    <t>2018-06-23T17:09:12+00:00</t>
  </si>
  <si>
    <t>2018-06-25T20:15:14+00:00</t>
  </si>
  <si>
    <t>DOLL-004-LB-11</t>
  </si>
  <si>
    <t>AVON LAKE</t>
  </si>
  <si>
    <t>44012-1420</t>
  </si>
  <si>
    <t>114-8523361-8953819</t>
  </si>
  <si>
    <t>2018-06-23T16:10:13+00:00</t>
  </si>
  <si>
    <t>2018-06-24T06:58:31+00:00</t>
  </si>
  <si>
    <t>33195-2698</t>
  </si>
  <si>
    <t>114-3102463-3495417</t>
  </si>
  <si>
    <t>2018-06-23T16:01:18+00:00</t>
  </si>
  <si>
    <t>2018-06-25T01:34:49+00:00</t>
  </si>
  <si>
    <t>93312-8239</t>
  </si>
  <si>
    <t>113-9322638-1594667</t>
  </si>
  <si>
    <t>2018-06-23T15:30:21+00:00</t>
  </si>
  <si>
    <t>2018-06-24T03:21:46+00:00</t>
  </si>
  <si>
    <t>WINNFIELD</t>
  </si>
  <si>
    <t>71483-5508</t>
  </si>
  <si>
    <t>114-3137145-5203457</t>
  </si>
  <si>
    <t>2018-06-23T15:29:48+00:00</t>
  </si>
  <si>
    <t>2018-06-24T05:27:35+00:00</t>
  </si>
  <si>
    <t>MORRILL</t>
  </si>
  <si>
    <t>69358-4500</t>
  </si>
  <si>
    <t>112-7663268-4948208</t>
  </si>
  <si>
    <t>2018-06-23T15:06:24+00:00</t>
  </si>
  <si>
    <t>2018-06-23T21:34:11+00:00</t>
  </si>
  <si>
    <t>Cardiff</t>
  </si>
  <si>
    <t>92007-2119</t>
  </si>
  <si>
    <t>114-8812295-9284252</t>
  </si>
  <si>
    <t>2018-06-23T13:33:14+00:00</t>
  </si>
  <si>
    <t>2018-06-24T01:42:23+00:00</t>
  </si>
  <si>
    <t>SAN PEDRO</t>
  </si>
  <si>
    <t>90731-7261</t>
  </si>
  <si>
    <t>113-7166697-3303442</t>
  </si>
  <si>
    <t>2018-06-23T13:28:51+00:00</t>
  </si>
  <si>
    <t>2018-06-24T01:34:27+00:00</t>
  </si>
  <si>
    <t>OKATIE</t>
  </si>
  <si>
    <t>29909-4206</t>
  </si>
  <si>
    <t>111-8522755-4677002</t>
  </si>
  <si>
    <t>2018-06-23T13:25:35+00:00</t>
  </si>
  <si>
    <t>2018-06-28T16:40:28+00:00</t>
  </si>
  <si>
    <t>10013-2371</t>
  </si>
  <si>
    <t>114-6832598-0642664</t>
  </si>
  <si>
    <t>2018-06-23T13:22:57+00:00</t>
  </si>
  <si>
    <t>2018-06-24T03:59:59+00:00</t>
  </si>
  <si>
    <t>Toronto</t>
  </si>
  <si>
    <t>111-5860699-2494656</t>
  </si>
  <si>
    <t>2018-06-23T12:54:36+00:00</t>
  </si>
  <si>
    <t>2018-06-25T16:42:34+00:00</t>
  </si>
  <si>
    <t>Plantation</t>
  </si>
  <si>
    <t>112-9219859-6937857</t>
  </si>
  <si>
    <t>2018-06-23T12:13:21+00:00</t>
  </si>
  <si>
    <t>2018-06-25T01:27:35+00:00</t>
  </si>
  <si>
    <t>MULLIKEN</t>
  </si>
  <si>
    <t>48861-8716</t>
  </si>
  <si>
    <t>113-2420809-6369069</t>
  </si>
  <si>
    <t>2018-06-23T04:28:38+00:00</t>
  </si>
  <si>
    <t>2018-06-23T04:29:40+00:00</t>
  </si>
  <si>
    <t>BALTIMORE</t>
  </si>
  <si>
    <t>21231-2303</t>
  </si>
  <si>
    <t>111-4063660-2512213</t>
  </si>
  <si>
    <t>2018-06-23T04:10:11+00:00</t>
  </si>
  <si>
    <t>2018-06-25T20:18:43+00:00</t>
  </si>
  <si>
    <t>98632-5606</t>
  </si>
  <si>
    <t>112-8584669-8079457</t>
  </si>
  <si>
    <t>2018-06-23T04:05:15+00:00</t>
  </si>
  <si>
    <t>2018-06-23T21:32:11+00:00</t>
  </si>
  <si>
    <t>SORRENTO</t>
  </si>
  <si>
    <t>32776-6913</t>
  </si>
  <si>
    <t>VPC-1-34002481 Coupon</t>
  </si>
  <si>
    <t>112-3922999-6150607</t>
  </si>
  <si>
    <t>2018-06-23T03:46:15+00:00</t>
  </si>
  <si>
    <t>2018-06-25T21:16:00+00:00</t>
  </si>
  <si>
    <t>KASOTA</t>
  </si>
  <si>
    <t>56050-2035</t>
  </si>
  <si>
    <t>112-8194038-9269832</t>
  </si>
  <si>
    <t>2018-06-23T03:23:46+00:00</t>
  </si>
  <si>
    <t>2018-06-23T19:58:39+00:00</t>
  </si>
  <si>
    <t>22203-1693</t>
  </si>
  <si>
    <t>111-5869996-0464268</t>
  </si>
  <si>
    <t>2018-06-23T02:16:55+00:00</t>
  </si>
  <si>
    <t>2018-06-23T21:29:22+00:00</t>
  </si>
  <si>
    <t>JACKSON HEIGHTS</t>
  </si>
  <si>
    <t>11372-1141</t>
  </si>
  <si>
    <t>111-4367639-6485856</t>
  </si>
  <si>
    <t>2018-06-23T02:11:29+00:00</t>
  </si>
  <si>
    <t>2018-06-24T19:05:26+00:00</t>
  </si>
  <si>
    <t>ORANGE</t>
  </si>
  <si>
    <t>07050-1232</t>
  </si>
  <si>
    <t>113-6734411-2584236</t>
  </si>
  <si>
    <t>2018-06-23T01:56:24+00:00</t>
  </si>
  <si>
    <t>2018-06-23T08:48:38+00:00</t>
  </si>
  <si>
    <t>33614-5507</t>
  </si>
  <si>
    <t>111-8788777-4695439</t>
  </si>
  <si>
    <t>2018-06-23T01:27:42+00:00</t>
  </si>
  <si>
    <t>2018-06-24T19:09:27+00:00</t>
  </si>
  <si>
    <t>HAWTHORNE</t>
  </si>
  <si>
    <t>10532-2125</t>
  </si>
  <si>
    <t>111-2836700-8550604</t>
  </si>
  <si>
    <t>2018-06-23T01:09:00+00:00</t>
  </si>
  <si>
    <t>2018-06-24T23:17:36+00:00</t>
  </si>
  <si>
    <t>STAFFORD</t>
  </si>
  <si>
    <t>22554-2610</t>
  </si>
  <si>
    <t>111-2527553-7973020</t>
  </si>
  <si>
    <t>2018-06-23T01:06:12+00:00</t>
  </si>
  <si>
    <t>2018-06-27T04:21:29+00:00</t>
  </si>
  <si>
    <t>10467-9234</t>
  </si>
  <si>
    <t>111-1543044-2822604</t>
  </si>
  <si>
    <t>2018-06-23T01:05:07+00:00</t>
  </si>
  <si>
    <t>2018-06-23T20:00:15+00:00</t>
  </si>
  <si>
    <t>Hainesport</t>
  </si>
  <si>
    <t>Nj</t>
  </si>
  <si>
    <t>112-3306004-8059451</t>
  </si>
  <si>
    <t>2018-06-23T00:50:39+00:00</t>
  </si>
  <si>
    <t>2018-06-23T15:18:45+00:00</t>
  </si>
  <si>
    <t>113-3888223-5569819</t>
  </si>
  <si>
    <t>2018-06-23T00:10:43+00:00</t>
  </si>
  <si>
    <t>2018-06-25T15:19:32+00:00</t>
  </si>
  <si>
    <t>112-4665418-2954668</t>
  </si>
  <si>
    <t>2018-06-24T23:51:59+00:00</t>
  </si>
  <si>
    <t>2018-07-03T17:07:26+00:00</t>
  </si>
  <si>
    <t>CORAL SPRINGS</t>
  </si>
  <si>
    <t>33071-5433</t>
  </si>
  <si>
    <t>114-0165641-4826630</t>
  </si>
  <si>
    <t>2018-06-24T22:27:02+00:00</t>
  </si>
  <si>
    <t>2018-06-25T10:39:53+00:00</t>
  </si>
  <si>
    <t>Redwood City</t>
  </si>
  <si>
    <t>112-3357591-5877840</t>
  </si>
  <si>
    <t>2018-06-24T21:59:41+00:00</t>
  </si>
  <si>
    <t>2018-06-26T10:33:41+00:00</t>
  </si>
  <si>
    <t>QUEEN CREEK</t>
  </si>
  <si>
    <t>85142-6501</t>
  </si>
  <si>
    <t>111-0833004-4226667</t>
  </si>
  <si>
    <t>2018-06-24T21:45:27+00:00</t>
  </si>
  <si>
    <t>2018-06-26T13:35:59+00:00</t>
  </si>
  <si>
    <t>NOVI</t>
  </si>
  <si>
    <t>48375-2978</t>
  </si>
  <si>
    <t>113-5714851-7188256</t>
  </si>
  <si>
    <t>2018-06-24T21:17:42+00:00</t>
  </si>
  <si>
    <t>2018-06-25T01:18:10+00:00</t>
  </si>
  <si>
    <t>Albion indiana</t>
  </si>
  <si>
    <t>Indiana</t>
  </si>
  <si>
    <t>111-5745711-2425862</t>
  </si>
  <si>
    <t>2018-06-24T21:08:13+00:00</t>
  </si>
  <si>
    <t>2018-06-30T02:37:18+00:00</t>
  </si>
  <si>
    <t>33126-1020</t>
  </si>
  <si>
    <t>112-7159300-2107418</t>
  </si>
  <si>
    <t>2018-06-24T20:45:00+00:00</t>
  </si>
  <si>
    <t>2018-06-26T19:03:59+00:00</t>
  </si>
  <si>
    <t>DANBURY</t>
  </si>
  <si>
    <t>06810-5717</t>
  </si>
  <si>
    <t>111-5785445-4753050</t>
  </si>
  <si>
    <t>2018-06-24T19:56:29+00:00</t>
  </si>
  <si>
    <t>2018-06-26T03:24:15+00:00</t>
  </si>
  <si>
    <t>32836-6414</t>
  </si>
  <si>
    <t>111-6719534-2053002</t>
  </si>
  <si>
    <t>2018-06-24T19:08:06+00:00</t>
  </si>
  <si>
    <t>2018-06-25T10:27:24+00:00</t>
  </si>
  <si>
    <t>SAN JOSE</t>
  </si>
  <si>
    <t>95124-2661</t>
  </si>
  <si>
    <t>113-4064207-7223422</t>
  </si>
  <si>
    <t>2018-06-24T18:00:57+00:00</t>
  </si>
  <si>
    <t>2018-06-26T02:35:47+00:00</t>
  </si>
  <si>
    <t>Reborn Baby Doll Outfits Boy Accessories for 20"- 22" Light Blue Outfit</t>
  </si>
  <si>
    <t>YF-YULQ162-B7-20</t>
  </si>
  <si>
    <t>B079P28VV3</t>
  </si>
  <si>
    <t>114-3053762-4532227</t>
  </si>
  <si>
    <t>2018-06-24T17:47:55+00:00</t>
  </si>
  <si>
    <t>2018-06-27T00:52:10+00:00</t>
  </si>
  <si>
    <t>11563-3112</t>
  </si>
  <si>
    <t>112-6750559-0830623</t>
  </si>
  <si>
    <t>2018-06-24T17:40:07+00:00</t>
  </si>
  <si>
    <t>2018-06-25T04:26:55+00:00</t>
  </si>
  <si>
    <t>LONG VALLEY</t>
  </si>
  <si>
    <t>07853-3515</t>
  </si>
  <si>
    <t>113-8433387-8912204</t>
  </si>
  <si>
    <t>2018-06-24T17:03:20+00:00</t>
  </si>
  <si>
    <t>2018-06-24T17:03:42+00:00</t>
  </si>
  <si>
    <t>112-0256512-4654633</t>
  </si>
  <si>
    <t>2018-06-24T16:34:40+00:00</t>
  </si>
  <si>
    <t>2018-06-25T04:31:54+00:00</t>
  </si>
  <si>
    <t>Kansas</t>
  </si>
  <si>
    <t>114-0086377-9204276</t>
  </si>
  <si>
    <t>2018-06-24T15:49:02+00:00</t>
  </si>
  <si>
    <t>2018-06-25T16:36:55+00:00</t>
  </si>
  <si>
    <t>33178-6007</t>
  </si>
  <si>
    <t>114-6961341-9420208</t>
  </si>
  <si>
    <t>2018-06-24T14:57:04+00:00</t>
  </si>
  <si>
    <t>2018-06-24T22:31:10+00:00</t>
  </si>
  <si>
    <t>ELIZABETHTOWN</t>
  </si>
  <si>
    <t>12932-3612</t>
  </si>
  <si>
    <t>114-3401843-0965053</t>
  </si>
  <si>
    <t>2018-06-24T14:38:14+00:00</t>
  </si>
  <si>
    <t>2018-06-25T05:40:36+00:00</t>
  </si>
  <si>
    <t>11102-3942</t>
  </si>
  <si>
    <t>111-9450879-7274608</t>
  </si>
  <si>
    <t>2018-06-24T14:26:38+00:00</t>
  </si>
  <si>
    <t>2018-06-25T22:50:57+00:00</t>
  </si>
  <si>
    <t>HOUSTON</t>
  </si>
  <si>
    <t>77054-3934</t>
  </si>
  <si>
    <t>112-2100287-3118658</t>
  </si>
  <si>
    <t>2018-06-24T04:43:18+00:00</t>
  </si>
  <si>
    <t>2018-06-25T01:27:33+00:00</t>
  </si>
  <si>
    <t>SEATTLE</t>
  </si>
  <si>
    <t>98122-6133</t>
  </si>
  <si>
    <t>113-0993821-5725817</t>
  </si>
  <si>
    <t>2018-06-24T02:42:09+00:00</t>
  </si>
  <si>
    <t>2018-06-25T04:12:03+00:00</t>
  </si>
  <si>
    <t>SOMERSET</t>
  </si>
  <si>
    <t>42503-5485</t>
  </si>
  <si>
    <t>111-2638599-6009040</t>
  </si>
  <si>
    <t>2018-06-24T02:35:45+00:00</t>
  </si>
  <si>
    <t>2018-06-24T18:16:22+00:00</t>
  </si>
  <si>
    <t>07114-2714</t>
  </si>
  <si>
    <t>112-8145724-1426625</t>
  </si>
  <si>
    <t>2018-06-24T01:46:38+00:00</t>
  </si>
  <si>
    <t>2018-06-26T02:03:38+00:00</t>
  </si>
  <si>
    <t>VAN HORN</t>
  </si>
  <si>
    <t>79855-1131</t>
  </si>
  <si>
    <t>113-6023629-0069822</t>
  </si>
  <si>
    <t>2018-06-24T01:45:27+00:00</t>
  </si>
  <si>
    <t>2018-06-24T20:09:33+00:00</t>
  </si>
  <si>
    <t>WESTFIELD</t>
  </si>
  <si>
    <t>05874-9671</t>
  </si>
  <si>
    <t>114-5821632-0885855</t>
  </si>
  <si>
    <t>2018-06-24T01:39:45+00:00</t>
  </si>
  <si>
    <t>2018-06-24T01:41:33+00:00</t>
  </si>
  <si>
    <t>MIRAMAR</t>
  </si>
  <si>
    <t>33023-4971</t>
  </si>
  <si>
    <t>113-1388384-3289015</t>
  </si>
  <si>
    <t>2018-06-24T01:29:54+00:00</t>
  </si>
  <si>
    <t>2018-06-26T01:21:25+00:00</t>
  </si>
  <si>
    <t>Reborn Baby Dolls Girl Look Real Lifelike Toddler with Toy Chicken and Cushion White Baby Jumpsuit White Outfit 16 Inches</t>
  </si>
  <si>
    <t>DO-YULQ162-PI-16</t>
  </si>
  <si>
    <t>B07BFVF3GM</t>
  </si>
  <si>
    <t>BALLSTON SPA</t>
  </si>
  <si>
    <t>12020-2686</t>
  </si>
  <si>
    <t>114-5359709-7478608</t>
  </si>
  <si>
    <t>2018-06-24T01:28:04+00:00</t>
  </si>
  <si>
    <t>2018-06-24T17:39:04+00:00</t>
  </si>
  <si>
    <t>112-9191624-4946661</t>
  </si>
  <si>
    <t>2018-06-24T00:37:37+00:00</t>
  </si>
  <si>
    <t>2018-06-24T06:14:38+00:00</t>
  </si>
  <si>
    <t>114-5860278-6784218</t>
  </si>
  <si>
    <t>2018-06-24T00:28:04+00:00</t>
  </si>
  <si>
    <t>2018-06-25T20:25:49+00:00</t>
  </si>
  <si>
    <t>MIMS</t>
  </si>
  <si>
    <t>32754-6253</t>
  </si>
  <si>
    <t>113-6054447-5267442</t>
  </si>
  <si>
    <t>2018-06-24T00:08:57+00:00</t>
  </si>
  <si>
    <t>2018-06-26T03:49:16+00:00</t>
  </si>
  <si>
    <t>BLUFFTON</t>
  </si>
  <si>
    <t>29909-7807</t>
  </si>
  <si>
    <t>113-7989859-6817836</t>
  </si>
  <si>
    <t>2018-06-24T00:05:17+00:00</t>
  </si>
  <si>
    <t>2018-06-26T03:49:08+00:00</t>
  </si>
  <si>
    <t>112-8632685-8741028</t>
  </si>
  <si>
    <t>2018-06-24T00:02:47+00:00</t>
  </si>
  <si>
    <t>2018-06-24T23:49:02+00:00</t>
  </si>
  <si>
    <t>EL CAJON</t>
  </si>
  <si>
    <t>92019-4655</t>
  </si>
  <si>
    <t>114-7527469-7654648</t>
  </si>
  <si>
    <t>2018-06-25T23:46:03+00:00</t>
  </si>
  <si>
    <t>2018-06-27T04:32:33+00:00</t>
  </si>
  <si>
    <t>JAMESTOWN</t>
  </si>
  <si>
    <t>38556-5311</t>
  </si>
  <si>
    <t>111-1114538-4720241</t>
  </si>
  <si>
    <t>2018-06-25T23:28:38+00:00</t>
  </si>
  <si>
    <t>2018-06-27T17:21:29+00:00</t>
  </si>
  <si>
    <t>DAFTER</t>
  </si>
  <si>
    <t>49724-9576</t>
  </si>
  <si>
    <t>111-9120198-9013837</t>
  </si>
  <si>
    <t>2018-06-25T22:56:51+00:00</t>
  </si>
  <si>
    <t>2018-06-25T22:58:55+00:00</t>
  </si>
  <si>
    <t>60644-4807</t>
  </si>
  <si>
    <t>112-1143094-2351421</t>
  </si>
  <si>
    <t>2018-06-25T22:41:28+00:00</t>
  </si>
  <si>
    <t>2018-06-26T20:55:41+00:00</t>
  </si>
  <si>
    <t>11758-6408</t>
  </si>
  <si>
    <t>113-9008693-7221852</t>
  </si>
  <si>
    <t>2018-06-25T21:53:37+00:00</t>
  </si>
  <si>
    <t>2018-06-26T17:26:06+00:00</t>
  </si>
  <si>
    <t>ARCADIA</t>
  </si>
  <si>
    <t>34266-6216</t>
  </si>
  <si>
    <t>112-7374963-3920206</t>
  </si>
  <si>
    <t>2018-06-25T21:26:56+00:00</t>
  </si>
  <si>
    <t>2018-06-26T07:31:54+00:00</t>
  </si>
  <si>
    <t>77381-2786</t>
  </si>
  <si>
    <t>112-1764316-9604211</t>
  </si>
  <si>
    <t>2018-06-25T21:26:23+00:00</t>
  </si>
  <si>
    <t>2018-06-26T07:02:56+00:00</t>
  </si>
  <si>
    <t>LEANDER</t>
  </si>
  <si>
    <t>78641-3475</t>
  </si>
  <si>
    <t>114-4089379-1765054</t>
  </si>
  <si>
    <t>2018-06-25T21:25:14+00:00</t>
  </si>
  <si>
    <t>2018-06-27T01:05:28+00:00</t>
  </si>
  <si>
    <t>BUCKINGHAM</t>
  </si>
  <si>
    <t>60917-0144</t>
  </si>
  <si>
    <t>112-1403479-6633013</t>
  </si>
  <si>
    <t>2018-06-25T20:43:19+00:00</t>
  </si>
  <si>
    <t>2018-06-26T12:08:29+00:00</t>
  </si>
  <si>
    <t>LAWRENCEBURG</t>
  </si>
  <si>
    <t>40342-9689</t>
  </si>
  <si>
    <t>113-6475213-1565800</t>
  </si>
  <si>
    <t>2018-06-25T19:02:39+00:00</t>
  </si>
  <si>
    <t>2018-06-26T14:28:57+00:00</t>
  </si>
  <si>
    <t>TURLOCK</t>
  </si>
  <si>
    <t>95380-2547</t>
  </si>
  <si>
    <t>112-6428565-1028229</t>
  </si>
  <si>
    <t>2018-06-25T18:44:00+00:00</t>
  </si>
  <si>
    <t>2018-06-25T22:59:45+00:00</t>
  </si>
  <si>
    <t>Seattle</t>
  </si>
  <si>
    <t>98119-2632</t>
  </si>
  <si>
    <t>114-2436228-2196208</t>
  </si>
  <si>
    <t>2018-06-25T17:42:59+00:00</t>
  </si>
  <si>
    <t>2018-06-27T02:40:46+00:00</t>
  </si>
  <si>
    <t>23231-3706</t>
  </si>
  <si>
    <t>114-0101858-6430603</t>
  </si>
  <si>
    <t>2018-06-25T17:25:12+00:00</t>
  </si>
  <si>
    <t>2018-06-27T05:24:53+00:00</t>
  </si>
  <si>
    <t>Orangeburg</t>
  </si>
  <si>
    <t>111-2812010-2604228</t>
  </si>
  <si>
    <t>2018-06-25T17:20:25+00:00</t>
  </si>
  <si>
    <t>2018-06-28T01:09:14+00:00</t>
  </si>
  <si>
    <t>Real Life Reborn Baby Dolls Girl Look Real Silicone Vinyl Pink Outfit 15 Inches</t>
  </si>
  <si>
    <t>DO-YULQ663-PI-15</t>
  </si>
  <si>
    <t>B07BRK2R83</t>
  </si>
  <si>
    <t>NEW BRAUNFELS</t>
  </si>
  <si>
    <t>78130-5240</t>
  </si>
  <si>
    <t>113-0555275-3462640</t>
  </si>
  <si>
    <t>2018-06-25T17:12:31+00:00</t>
  </si>
  <si>
    <t>2018-06-25T21:38:07+00:00</t>
  </si>
  <si>
    <t>DES MOINES</t>
  </si>
  <si>
    <t>98198-7514</t>
  </si>
  <si>
    <t>113-1607069-8751466</t>
  </si>
  <si>
    <t>2018-06-25T16:38:09+00:00</t>
  </si>
  <si>
    <t>2018-06-26T10:35:54+00:00</t>
  </si>
  <si>
    <t>73160-7233</t>
  </si>
  <si>
    <t>113-1399224-9928202</t>
  </si>
  <si>
    <t>2018-06-25T16:13:11+00:00</t>
  </si>
  <si>
    <t>2018-06-26T12:27:13+00:00</t>
  </si>
  <si>
    <t>TEMECULA</t>
  </si>
  <si>
    <t>92592-3632</t>
  </si>
  <si>
    <t>112-7798304-8837003</t>
  </si>
  <si>
    <t>2018-06-25T15:43:44+00:00</t>
  </si>
  <si>
    <t>2018-06-30T23:07:12+00:00</t>
  </si>
  <si>
    <t>32836-6721</t>
  </si>
  <si>
    <t>114-9570197-7309843</t>
  </si>
  <si>
    <t>2018-06-25T15:40:28+00:00</t>
  </si>
  <si>
    <t>2018-06-26T09:19:10+00:00</t>
  </si>
  <si>
    <t>112-3466431-2986645</t>
  </si>
  <si>
    <t>2018-06-25T15:28:23+00:00</t>
  </si>
  <si>
    <t>2018-06-26T20:08:18+00:00</t>
  </si>
  <si>
    <t>Waldorf</t>
  </si>
  <si>
    <t>111-7447385-3411404</t>
  </si>
  <si>
    <t>2018-06-25T14:59:02+00:00</t>
  </si>
  <si>
    <t>2018-06-25T15:01:39+00:00</t>
  </si>
  <si>
    <t>LAFAYETTE</t>
  </si>
  <si>
    <t>70506-1037</t>
  </si>
  <si>
    <t>111-6136526-5936203</t>
  </si>
  <si>
    <t>2018-06-25T14:55:14+00:00</t>
  </si>
  <si>
    <t>2018-06-25T22:43:43+00:00</t>
  </si>
  <si>
    <t>Fowlerville</t>
  </si>
  <si>
    <t>113-3265488-8885856</t>
  </si>
  <si>
    <t>2018-06-25T14:35:13+00:00</t>
  </si>
  <si>
    <t>2018-06-26T09:25:45+00:00</t>
  </si>
  <si>
    <t>Beloit</t>
  </si>
  <si>
    <t>53511-7843</t>
  </si>
  <si>
    <t>111-3570738-5955406</t>
  </si>
  <si>
    <t>2018-06-25T13:59:43+00:00</t>
  </si>
  <si>
    <t>2018-06-27T00:50:41+00:00</t>
  </si>
  <si>
    <t>21213-1902</t>
  </si>
  <si>
    <t>112-1279098-9741036</t>
  </si>
  <si>
    <t>2018-06-25T13:50:34+00:00</t>
  </si>
  <si>
    <t>2018-06-25T21:33:48+00:00</t>
  </si>
  <si>
    <t>Real Looking Reborn Baby Dolls Girl Silicone Tutu Skirt Rose Red 22 Inches</t>
  </si>
  <si>
    <t>DO-YULQ111-PI-22</t>
  </si>
  <si>
    <t>B079JQ6R99</t>
  </si>
  <si>
    <t>30039-8476</t>
  </si>
  <si>
    <t>111-4658573-5784264</t>
  </si>
  <si>
    <t>2018-06-25T13:13:41+00:00</t>
  </si>
  <si>
    <t>2018-06-26T12:04:15+00:00</t>
  </si>
  <si>
    <t>SLINGERLANDS</t>
  </si>
  <si>
    <t>12159-9670</t>
  </si>
  <si>
    <t>113-3537623-4778631</t>
  </si>
  <si>
    <t>2018-06-25T12:35:04+00:00</t>
  </si>
  <si>
    <t>2018-06-25T22:30:03+00:00</t>
  </si>
  <si>
    <t>Cheap Silicone Reborn Baby Dolls Look Real Boy White Outfit with Bee 10 Inches</t>
  </si>
  <si>
    <t>DO-YULQ200-W0-10</t>
  </si>
  <si>
    <t>B07B94LQJR</t>
  </si>
  <si>
    <t>NORTH LITTLE ROCK</t>
  </si>
  <si>
    <t>72118-1734</t>
  </si>
  <si>
    <t>113-0367592-8306612</t>
  </si>
  <si>
    <t>2018-06-25T09:14:58+00:00</t>
  </si>
  <si>
    <t>2018-06-26T01:52:42+00:00</t>
  </si>
  <si>
    <t>KEY BISCAYNE</t>
  </si>
  <si>
    <t>33149-1554</t>
  </si>
  <si>
    <t>111-4325460-6711426</t>
  </si>
  <si>
    <t>2018-06-25T07:13:09+00:00</t>
  </si>
  <si>
    <t>2018-06-25T18:28:16+00:00</t>
  </si>
  <si>
    <t>CARSON</t>
  </si>
  <si>
    <t>90746-3520</t>
  </si>
  <si>
    <t>112-0533929-9189023</t>
  </si>
  <si>
    <t>2018-06-25T05:49:09+00:00</t>
  </si>
  <si>
    <t>2018-06-26T07:42:28+00:00</t>
  </si>
  <si>
    <t>Clifton</t>
  </si>
  <si>
    <t>New jersey</t>
  </si>
  <si>
    <t>111-7812599-8748244</t>
  </si>
  <si>
    <t>2018-06-25T05:30:53+00:00</t>
  </si>
  <si>
    <t>2018-06-25T15:04:29+00:00</t>
  </si>
  <si>
    <t>112-5535209-8654621</t>
  </si>
  <si>
    <t>2018-06-25T05:28:12+00:00</t>
  </si>
  <si>
    <t>2018-06-28T19:20:46+00:00</t>
  </si>
  <si>
    <t>CORDOVA</t>
  </si>
  <si>
    <t>AK</t>
  </si>
  <si>
    <t>99574-0235</t>
  </si>
  <si>
    <t>112-4879146-9460218</t>
  </si>
  <si>
    <t>2018-06-25T05:26:08+00:00</t>
  </si>
  <si>
    <t>2018-06-25T16:36:40+00:00</t>
  </si>
  <si>
    <t>112-9624401-5620254</t>
  </si>
  <si>
    <t>2018-06-25T04:39:18+00:00</t>
  </si>
  <si>
    <t>2018-06-26T03:00:18+00:00</t>
  </si>
  <si>
    <t>SAN YSIDRO</t>
  </si>
  <si>
    <t>92173-3150</t>
  </si>
  <si>
    <t>113-1986379-6481847</t>
  </si>
  <si>
    <t>2018-06-25T02:09:18+00:00</t>
  </si>
  <si>
    <t>2018-06-25T12:33:28+00:00</t>
  </si>
  <si>
    <t>EASTHAM</t>
  </si>
  <si>
    <t>02642-3342</t>
  </si>
  <si>
    <t>112-6066346-9021858</t>
  </si>
  <si>
    <t>2018-06-25T02:05:17+00:00</t>
  </si>
  <si>
    <t>2018-06-25T11:09:06+00:00</t>
  </si>
  <si>
    <t>African American Reborn Baby Doll Boy Look Real Full Silicone Body Romper Vintage Style 10 Inches</t>
  </si>
  <si>
    <t>DO-YULQ058-BR-10</t>
  </si>
  <si>
    <t>B0793PS7QX</t>
  </si>
  <si>
    <t>60625-1819</t>
  </si>
  <si>
    <t>112-6640052-3805825</t>
  </si>
  <si>
    <t>2018-06-25T01:48:41+00:00</t>
  </si>
  <si>
    <t>2018-06-26T06:58:41+00:00</t>
  </si>
  <si>
    <t>CORONA DEL MAR</t>
  </si>
  <si>
    <t>92625-2809</t>
  </si>
  <si>
    <t>111-4845424-4421032</t>
  </si>
  <si>
    <t>2018-06-25T01:32:16+00:00</t>
  </si>
  <si>
    <t>2018-06-27T01:23:11+00:00</t>
  </si>
  <si>
    <t>New Milford</t>
  </si>
  <si>
    <t>114-1933292-3337843</t>
  </si>
  <si>
    <t>2018-06-25T01:30:33+00:00</t>
  </si>
  <si>
    <t>2018-06-25T01:32:05+00:00</t>
  </si>
  <si>
    <t>Riverview</t>
  </si>
  <si>
    <t>mi</t>
  </si>
  <si>
    <t>114-5719700-5946630</t>
  </si>
  <si>
    <t>2018-06-25T01:20:02+00:00</t>
  </si>
  <si>
    <t>2018-06-26T00:34:58+00:00</t>
  </si>
  <si>
    <t>33304-4127</t>
  </si>
  <si>
    <t>112-9485072-4549003</t>
  </si>
  <si>
    <t>2018-06-25T01:10:33+00:00</t>
  </si>
  <si>
    <t>2018-06-26T01:11:18+00:00</t>
  </si>
  <si>
    <t>10308-2241</t>
  </si>
  <si>
    <t>112-8070617-4661062</t>
  </si>
  <si>
    <t>2018-06-25T01:06:34+00:00</t>
  </si>
  <si>
    <t>2018-06-25T10:04:51+00:00</t>
  </si>
  <si>
    <t>TAYLOR</t>
  </si>
  <si>
    <t>48180-2872</t>
  </si>
  <si>
    <t>113-9148029-9197066</t>
  </si>
  <si>
    <t>2018-06-25T00:18:43+00:00</t>
  </si>
  <si>
    <t>2018-06-25T20:31:11+00:00</t>
  </si>
  <si>
    <t>KANSAS CITY</t>
  </si>
  <si>
    <t>66102-4211</t>
  </si>
  <si>
    <t>113-5481741-4221018</t>
  </si>
  <si>
    <t>2018-06-25T00:13:42+00:00</t>
  </si>
  <si>
    <t>2018-06-25T06:18:40+00:00</t>
  </si>
  <si>
    <t>GREENWOOD</t>
  </si>
  <si>
    <t>46142-3143</t>
  </si>
  <si>
    <t>113-4217888-5725812</t>
  </si>
  <si>
    <t>2018-06-25T00:02:09+00:00</t>
  </si>
  <si>
    <t>2018-06-28T00:09:12+00:00</t>
  </si>
  <si>
    <t>33195-3609</t>
  </si>
  <si>
    <t>113-2580106-4976248</t>
  </si>
  <si>
    <t>2018-06-26T23:57:08+00:00</t>
  </si>
  <si>
    <t>2018-07-05T16:35:44+00:00</t>
  </si>
  <si>
    <t>33312-5220</t>
  </si>
  <si>
    <t>113-3429339-8459459</t>
  </si>
  <si>
    <t>2018-06-26T23:47:26+00:00</t>
  </si>
  <si>
    <t>2018-06-26T23:55:10+00:00</t>
  </si>
  <si>
    <t>113-3542788-8373867</t>
  </si>
  <si>
    <t>2018-06-26T23:37:34+00:00</t>
  </si>
  <si>
    <t>2018-06-27T05:30:40+00:00</t>
  </si>
  <si>
    <t>ROSENBERG</t>
  </si>
  <si>
    <t>77471-2393</t>
  </si>
  <si>
    <t>113-4002269-2288217</t>
  </si>
  <si>
    <t>2018-06-26T23:32:11+00:00</t>
  </si>
  <si>
    <t>2018-06-28T02:44:02+00:00</t>
  </si>
  <si>
    <t>CRESTWOOD</t>
  </si>
  <si>
    <t>40014-7545</t>
  </si>
  <si>
    <t>111-3758095-3168211</t>
  </si>
  <si>
    <t>2018-06-26T23:24:30+00:00</t>
  </si>
  <si>
    <t>2018-06-28T01:15:59+00:00</t>
  </si>
  <si>
    <t>Fortlee</t>
  </si>
  <si>
    <t>114-7018268-8351445</t>
  </si>
  <si>
    <t>2018-06-26T23:14:02+00:00</t>
  </si>
  <si>
    <t>2018-06-28T04:38:07+00:00</t>
  </si>
  <si>
    <t>SOUTH BOSTON</t>
  </si>
  <si>
    <t>24592-1712</t>
  </si>
  <si>
    <t>111-3323078-5161860</t>
  </si>
  <si>
    <t>2018-06-26T23:07:11+00:00</t>
  </si>
  <si>
    <t>2018-06-27T13:33:27+00:00</t>
  </si>
  <si>
    <t>33173-2008</t>
  </si>
  <si>
    <t>112-8753439-1307400</t>
  </si>
  <si>
    <t>2018-06-26T22:48:56+00:00</t>
  </si>
  <si>
    <t>2018-06-28T15:27:48+00:00</t>
  </si>
  <si>
    <t>111-7300835-5556224</t>
  </si>
  <si>
    <t>2018-06-26T22:46:16+00:00</t>
  </si>
  <si>
    <t>2018-06-28T06:28:57+00:00</t>
  </si>
  <si>
    <t>32827-7307</t>
  </si>
  <si>
    <t>114-8979650-3197064</t>
  </si>
  <si>
    <t>2018-06-26T22:37:10+00:00</t>
  </si>
  <si>
    <t>2018-06-27T21:16:48+00:00</t>
  </si>
  <si>
    <t>ST JOHNS</t>
  </si>
  <si>
    <t>Arizona</t>
  </si>
  <si>
    <t>111-3383489-3145065</t>
  </si>
  <si>
    <t>2018-06-26T21:38:40+00:00</t>
  </si>
  <si>
    <t>2018-06-27T15:58:01+00:00</t>
  </si>
  <si>
    <t>CELEBRATION</t>
  </si>
  <si>
    <t>34747-4233</t>
  </si>
  <si>
    <t>114-8306140-4287434</t>
  </si>
  <si>
    <t>2018-06-26T21:24:35+00:00</t>
  </si>
  <si>
    <t>2018-06-27T22:42:31+00:00</t>
  </si>
  <si>
    <t>MONCKS CORNER</t>
  </si>
  <si>
    <t>29461-3584</t>
  </si>
  <si>
    <t>114-3421484-6934600</t>
  </si>
  <si>
    <t>2018-06-26T20:32:57+00:00</t>
  </si>
  <si>
    <t>2018-06-28T04:10:38+00:00</t>
  </si>
  <si>
    <t>Northville</t>
  </si>
  <si>
    <t>112-0473595-9256253</t>
  </si>
  <si>
    <t>2018-06-26T20:01:49+00:00</t>
  </si>
  <si>
    <t>2018-06-28T02:04:07+00:00</t>
  </si>
  <si>
    <t>RAPID CITY</t>
  </si>
  <si>
    <t>49676-9723</t>
  </si>
  <si>
    <t>114-8044429-3622633</t>
  </si>
  <si>
    <t>2018-06-26T19:56:20+00:00</t>
  </si>
  <si>
    <t>2018-06-27T02:55:58+00:00</t>
  </si>
  <si>
    <t>Full Silicone Body Real Life Reborn Baby Dolls Boy Light Gray Outfit 22 Inches</t>
  </si>
  <si>
    <t>DO-YULQ171-LGR-22</t>
  </si>
  <si>
    <t>B0795117ZD</t>
  </si>
  <si>
    <t>Indianapolis</t>
  </si>
  <si>
    <t>46202-2037</t>
  </si>
  <si>
    <t>112-1222602-6987439</t>
  </si>
  <si>
    <t>2018-06-26T19:28:12+00:00</t>
  </si>
  <si>
    <t>2018-06-28T08:11:11+00:00</t>
  </si>
  <si>
    <t>ALLENTOWN</t>
  </si>
  <si>
    <t>18103-4005</t>
  </si>
  <si>
    <t>114-0816911-9033821</t>
  </si>
  <si>
    <t>2018-06-26T19:16:45+00:00</t>
  </si>
  <si>
    <t>2018-06-27T06:05:30+00:00</t>
  </si>
  <si>
    <t>LOWELL</t>
  </si>
  <si>
    <t>01852-3236</t>
  </si>
  <si>
    <t>112-8100207-0649838</t>
  </si>
  <si>
    <t>2018-06-26T19:09:01+00:00</t>
  </si>
  <si>
    <t>2018-06-28T00:23:26+00:00</t>
  </si>
  <si>
    <t>92618-0828</t>
  </si>
  <si>
    <t>114-1429675-2269067</t>
  </si>
  <si>
    <t>2018-06-26T19:03:27+00:00</t>
  </si>
  <si>
    <t>2018-06-28T19:04:05+00:00</t>
  </si>
  <si>
    <t>SAYRE</t>
  </si>
  <si>
    <t>18840-2246</t>
  </si>
  <si>
    <t>112-6754480-3638636</t>
  </si>
  <si>
    <t>2018-06-26T18:12:32+00:00</t>
  </si>
  <si>
    <t>2018-06-27T09:32:49+00:00</t>
  </si>
  <si>
    <t>3 Pcs Reborn Baby Doll Outfit Knitted for 20"- 22" Green</t>
  </si>
  <si>
    <t>DOLLDRESS-1612-GO-23</t>
  </si>
  <si>
    <t>B0778B83P8</t>
  </si>
  <si>
    <t>PRESCOTT</t>
  </si>
  <si>
    <t>54021-1010</t>
  </si>
  <si>
    <t>111-6193925-3208225</t>
  </si>
  <si>
    <t>2018-06-26T17:15:06+00:00</t>
  </si>
  <si>
    <t>2018-06-27T22:20:34+00:00</t>
  </si>
  <si>
    <t>71111-3604</t>
  </si>
  <si>
    <t>114-8967332-5367422</t>
  </si>
  <si>
    <t>2018-06-26T16:41:06+00:00</t>
  </si>
  <si>
    <t>2018-06-26T23:19:51+00:00</t>
  </si>
  <si>
    <t>FORT LEE</t>
  </si>
  <si>
    <t>07024-3155</t>
  </si>
  <si>
    <t>114-9600723-8785066</t>
  </si>
  <si>
    <t>2018-06-26T16:20:56+00:00</t>
  </si>
  <si>
    <t>2018-06-27T03:41:28+00:00</t>
  </si>
  <si>
    <t>SAINTE GENEVIEVE</t>
  </si>
  <si>
    <t>63670-8400</t>
  </si>
  <si>
    <t>112-2402111-4093837</t>
  </si>
  <si>
    <t>2018-06-26T15:32:27+00:00</t>
  </si>
  <si>
    <t>2018-06-26T21:39:02+00:00</t>
  </si>
  <si>
    <t>Montpelier</t>
  </si>
  <si>
    <t>113-3444573-5417839</t>
  </si>
  <si>
    <t>2018-06-26T14:24:18+00:00</t>
  </si>
  <si>
    <t>2018-06-26T21:34:54+00:00</t>
  </si>
  <si>
    <t>DO-YULQ161-PI-22</t>
  </si>
  <si>
    <t>112-2247042-4309044</t>
  </si>
  <si>
    <t>2018-06-26T12:55:38+00:00</t>
  </si>
  <si>
    <t>2018-06-26T23:59:46+00:00</t>
  </si>
  <si>
    <t>METTER</t>
  </si>
  <si>
    <t>30439-6662</t>
  </si>
  <si>
    <t>111-6421157-0710667</t>
  </si>
  <si>
    <t>2018-06-26T12:36:40+00:00</t>
  </si>
  <si>
    <t>2018-06-27T07:44:07+00:00</t>
  </si>
  <si>
    <t>Springville</t>
  </si>
  <si>
    <t>111-0475269-4940259</t>
  </si>
  <si>
    <t>2018-06-26T11:00:09+00:00</t>
  </si>
  <si>
    <t>2018-06-28T21:37:26+00:00</t>
  </si>
  <si>
    <t>Full Silicone Body Realistic Reborn Baby Dolls African Amrican Toddler with Curly Hair White Outfit 22 Inches</t>
  </si>
  <si>
    <t>DO-YULQ157-W0-22</t>
  </si>
  <si>
    <t>B0795M2NML</t>
  </si>
  <si>
    <t>ROCKAWAY BEACH</t>
  </si>
  <si>
    <t>11693-1761</t>
  </si>
  <si>
    <t>113-0206272-4829863</t>
  </si>
  <si>
    <t>2018-06-26T09:34:03+00:00</t>
  </si>
  <si>
    <t>2018-07-02T02:36:39+00:00</t>
  </si>
  <si>
    <t>La Canada</t>
  </si>
  <si>
    <t>111-3749014-8943459</t>
  </si>
  <si>
    <t>2018-06-26T04:17:53+00:00</t>
  </si>
  <si>
    <t>2018-06-26T04:18:09+00:00</t>
  </si>
  <si>
    <t>4 Pcs Reborn Baby Doll Supplies Accessories Magnet Dummy Pacifier Transparent Blue Green Pink</t>
  </si>
  <si>
    <t>NZZH-FLQ52</t>
  </si>
  <si>
    <t>B077VNWLJW</t>
  </si>
  <si>
    <t>114-0020066-9468268</t>
  </si>
  <si>
    <t>2018-06-26T04:11:14+00:00</t>
  </si>
  <si>
    <t>2018-06-29T02:44:18+00:00</t>
  </si>
  <si>
    <t>ISLANDIA</t>
  </si>
  <si>
    <t>11749-1613</t>
  </si>
  <si>
    <t>113-3788559-1197847</t>
  </si>
  <si>
    <t>2018-06-26T04:06:30+00:00</t>
  </si>
  <si>
    <t>2018-06-26T16:23:11+00:00</t>
  </si>
  <si>
    <t>Norman</t>
  </si>
  <si>
    <t>Ok</t>
  </si>
  <si>
    <t>112-8606416-5504258</t>
  </si>
  <si>
    <t>2018-06-26T03:17:01+00:00</t>
  </si>
  <si>
    <t>2018-06-26T11:17:24+00:00</t>
  </si>
  <si>
    <t>95215-8304</t>
  </si>
  <si>
    <t>112-2873937-1710628</t>
  </si>
  <si>
    <t>2018-06-26T02:44:12+00:00</t>
  </si>
  <si>
    <t>2018-06-27T08:37:50+00:00</t>
  </si>
  <si>
    <t>ROSELLE</t>
  </si>
  <si>
    <t>60172-3669</t>
  </si>
  <si>
    <t>111-7203798-8429027</t>
  </si>
  <si>
    <t>2018-06-26T02:15:10+00:00</t>
  </si>
  <si>
    <t>2018-06-26T10:26:37+00:00</t>
  </si>
  <si>
    <t>STONE MOUNTAIN</t>
  </si>
  <si>
    <t>30088-3007</t>
  </si>
  <si>
    <t>113-6899614-1161842</t>
  </si>
  <si>
    <t>2018-06-27T02:13:42+00:00</t>
  </si>
  <si>
    <t>ASHLAND</t>
  </si>
  <si>
    <t>38603-7617</t>
  </si>
  <si>
    <t>113-6346974-0660251</t>
  </si>
  <si>
    <t>2018-06-26T01:49:15+00:00</t>
  </si>
  <si>
    <t>2018-06-26T19:06:47+00:00</t>
  </si>
  <si>
    <t>07032-1634</t>
  </si>
  <si>
    <t>114-1678814-5957041</t>
  </si>
  <si>
    <t>2018-06-26T01:39:31+00:00</t>
  </si>
  <si>
    <t>2018-06-26T19:32:32+00:00</t>
  </si>
  <si>
    <t>LITTLE CHUTE</t>
  </si>
  <si>
    <t>54140-1517</t>
  </si>
  <si>
    <t>114-0899710-5972239</t>
  </si>
  <si>
    <t>2018-06-26T01:32:25+00:00</t>
  </si>
  <si>
    <t>2018-06-27T18:46:46+00:00</t>
  </si>
  <si>
    <t>114-6781649-5081851</t>
  </si>
  <si>
    <t>2018-06-26T01:31:48+00:00</t>
  </si>
  <si>
    <t>2018-06-26T18:42:09+00:00</t>
  </si>
  <si>
    <t>114-7591851-1019458</t>
  </si>
  <si>
    <t>2018-06-26T01:15:07+00:00</t>
  </si>
  <si>
    <t>2018-06-26T07:28:44+00:00</t>
  </si>
  <si>
    <t>RALEIGH</t>
  </si>
  <si>
    <t>27615-7610</t>
  </si>
  <si>
    <t>114-7888361-4541004</t>
  </si>
  <si>
    <t>2018-06-26T01:08:31+00:00</t>
  </si>
  <si>
    <t>2018-06-26T06:39:28+00:00</t>
  </si>
  <si>
    <t>10025-3636</t>
  </si>
  <si>
    <t>114-7775212-3513030</t>
  </si>
  <si>
    <t>2018-06-26T00:35:39+00:00</t>
  </si>
  <si>
    <t>2018-06-27T04:32:16+00:00</t>
  </si>
  <si>
    <t>EAST SPARTA</t>
  </si>
  <si>
    <t>44626-9504</t>
  </si>
  <si>
    <t>112-2956656-1825001</t>
  </si>
  <si>
    <t>2018-06-26T00:32:06+00:00</t>
  </si>
  <si>
    <t>2018-06-26T12:32:56+00:00</t>
  </si>
  <si>
    <t>versailles</t>
  </si>
  <si>
    <t>indiana</t>
  </si>
  <si>
    <t>111-6670003-7437037</t>
  </si>
  <si>
    <t>2018-06-27T23:43:37+00:00</t>
  </si>
  <si>
    <t>2018-06-28T20:51:40+00:00</t>
  </si>
  <si>
    <t>23464-5810</t>
  </si>
  <si>
    <t>113-1403548-3450660</t>
  </si>
  <si>
    <t>2018-06-27T23:02:19+00:00</t>
  </si>
  <si>
    <t>2018-06-28T04:37:19+00:00</t>
  </si>
  <si>
    <t>Sarasota</t>
  </si>
  <si>
    <t>113-6934492-6424251</t>
  </si>
  <si>
    <t>2018-06-27T23:00:59+00:00</t>
  </si>
  <si>
    <t>2018-06-28T01:01:23+00:00</t>
  </si>
  <si>
    <t>114-8908554-9483407</t>
  </si>
  <si>
    <t>2018-06-27T22:56:43+00:00</t>
  </si>
  <si>
    <t>2018-07-02T14:31:43+00:00</t>
  </si>
  <si>
    <t>KATY</t>
  </si>
  <si>
    <t>77450-5799</t>
  </si>
  <si>
    <t>113-9558207-5505817</t>
  </si>
  <si>
    <t>2018-06-27T22:53:22+00:00</t>
  </si>
  <si>
    <t>2018-06-28T20:26:03+00:00</t>
  </si>
  <si>
    <t>PROVO</t>
  </si>
  <si>
    <t>84604-3282</t>
  </si>
  <si>
    <t>114-0618363-4382648</t>
  </si>
  <si>
    <t>2018-06-27T22:27:25+00:00</t>
  </si>
  <si>
    <t>2018-06-28T22:23:31+00:00</t>
  </si>
  <si>
    <t>114-8110644-9678619</t>
  </si>
  <si>
    <t>2018-06-27T22:20:35+00:00</t>
  </si>
  <si>
    <t>2018-07-02T23:27:38+00:00</t>
  </si>
  <si>
    <t>33195-3705</t>
  </si>
  <si>
    <t>114-5336061-4524207</t>
  </si>
  <si>
    <t>2018-06-27T22:19:08+00:00</t>
  </si>
  <si>
    <t>2018-06-27T22:22:09+00:00</t>
  </si>
  <si>
    <t>Sleeping Reborn Baby Dolls Girl Look Real Silicone Pink Outfit 22 inches</t>
  </si>
  <si>
    <t>DO-YULQ605-PI-22</t>
  </si>
  <si>
    <t>B07BSD41QJ</t>
  </si>
  <si>
    <t>BAXTER</t>
  </si>
  <si>
    <t>40806-8382</t>
  </si>
  <si>
    <t>113-2059650-8411417</t>
  </si>
  <si>
    <t>2018-06-27T21:49:59+00:00</t>
  </si>
  <si>
    <t>2018-07-01T00:05:26+00:00</t>
  </si>
  <si>
    <t>GRIFFIN</t>
  </si>
  <si>
    <t>30223-6024</t>
  </si>
  <si>
    <t>113-7126542-4983463</t>
  </si>
  <si>
    <t>2018-06-27T20:51:20+00:00</t>
  </si>
  <si>
    <t>2018-06-28T02:28:41+00:00</t>
  </si>
  <si>
    <t>Farmingdale</t>
  </si>
  <si>
    <t>114-9701450-0947444</t>
  </si>
  <si>
    <t>2018-06-27T20:42:32+00:00</t>
  </si>
  <si>
    <t>2018-06-28T02:45:03+00:00</t>
  </si>
  <si>
    <t>77389-4085</t>
  </si>
  <si>
    <t>113-8095270-3211464</t>
  </si>
  <si>
    <t>2018-06-27T20:25:01+00:00</t>
  </si>
  <si>
    <t>2018-06-28T04:44:26+00:00</t>
  </si>
  <si>
    <t>LONG BRANCH</t>
  </si>
  <si>
    <t>07740-5909</t>
  </si>
  <si>
    <t>114-9742660-3549056</t>
  </si>
  <si>
    <t>2018-06-27T20:24:40+00:00</t>
  </si>
  <si>
    <t>2018-06-28T13:06:00+00:00</t>
  </si>
  <si>
    <t>111-4832691-5963446</t>
  </si>
  <si>
    <t>2018-06-27T20:14:38+00:00</t>
  </si>
  <si>
    <t>2018-06-28T08:54:37+00:00</t>
  </si>
  <si>
    <t>VENUS</t>
  </si>
  <si>
    <t>76084-4852</t>
  </si>
  <si>
    <t>114-0986299-4936240</t>
  </si>
  <si>
    <t>2018-06-27T19:38:34+00:00</t>
  </si>
  <si>
    <t>2018-06-27T19:47:55+00:00</t>
  </si>
  <si>
    <t>111-4828816-9684244</t>
  </si>
  <si>
    <t>2018-06-27T19:25:24+00:00</t>
  </si>
  <si>
    <t>2018-06-27T19:25:39+00:00</t>
  </si>
  <si>
    <t>POINCIANA</t>
  </si>
  <si>
    <t>34758-3030</t>
  </si>
  <si>
    <t>113-8397549-9421024</t>
  </si>
  <si>
    <t>2018-06-27T19:21:32+00:00</t>
  </si>
  <si>
    <t>2018-06-28T11:59:27+00:00</t>
  </si>
  <si>
    <t>PLANTATION</t>
  </si>
  <si>
    <t>33324-3438</t>
  </si>
  <si>
    <t>114-2898675-2024241</t>
  </si>
  <si>
    <t>2018-06-27T18:56:12+00:00</t>
  </si>
  <si>
    <t>2018-06-28T16:58:16+00:00</t>
  </si>
  <si>
    <t>MIDLAND</t>
  </si>
  <si>
    <t>79707-2824</t>
  </si>
  <si>
    <t>113-5021270-7206641</t>
  </si>
  <si>
    <t>2018-06-27T18:54:11+00:00</t>
  </si>
  <si>
    <t>2018-06-28T20:43:22+00:00</t>
  </si>
  <si>
    <t>02568-5623</t>
  </si>
  <si>
    <t>111-9789332-7829817</t>
  </si>
  <si>
    <t>2018-06-27T18:43:22+00:00</t>
  </si>
  <si>
    <t>2018-06-28T03:34:43+00:00</t>
  </si>
  <si>
    <t>Real Looking Reborn Baby Dolls Wig Girl Silicone Pink Outfit 22 inches</t>
  </si>
  <si>
    <t>DO-YULQ101-PI-22</t>
  </si>
  <si>
    <t>B078YMSFZJ</t>
  </si>
  <si>
    <t>85295-9059</t>
  </si>
  <si>
    <t>113-9755477-5321037</t>
  </si>
  <si>
    <t>2018-06-27T18:30:17+00:00</t>
  </si>
  <si>
    <t>2018-06-28T07:08:00+00:00</t>
  </si>
  <si>
    <t>77535-4369</t>
  </si>
  <si>
    <t>112-0465713-4189051</t>
  </si>
  <si>
    <t>2018-06-27T18:22:25+00:00</t>
  </si>
  <si>
    <t>2018-06-28T06:31:32+00:00</t>
  </si>
  <si>
    <t>113-3542304-5529056</t>
  </si>
  <si>
    <t>2018-06-27T17:46:26+00:00</t>
  </si>
  <si>
    <t>2018-06-29T07:11:37+00:00</t>
  </si>
  <si>
    <t>REDWOOD CITY</t>
  </si>
  <si>
    <t>94062-2059</t>
  </si>
  <si>
    <t>112-0523753-1142631</t>
  </si>
  <si>
    <t>2018-06-27T17:21:47+00:00</t>
  </si>
  <si>
    <t>2018-06-28T02:43:08+00:00</t>
  </si>
  <si>
    <t>10065-6340</t>
  </si>
  <si>
    <t>111-7658004-1722666</t>
  </si>
  <si>
    <t>2018-06-27T17:20:44+00:00</t>
  </si>
  <si>
    <t>2018-06-27T21:12:28+00:00</t>
  </si>
  <si>
    <t>HIGH POINT</t>
  </si>
  <si>
    <t>27265-1169</t>
  </si>
  <si>
    <t>112-1731124-5897019</t>
  </si>
  <si>
    <t>2018-06-27T17:17:57+00:00</t>
  </si>
  <si>
    <t>2018-06-28T07:10:16+00:00</t>
  </si>
  <si>
    <t>10460-3319</t>
  </si>
  <si>
    <t>112-3687775-4191407</t>
  </si>
  <si>
    <t>2018-06-27T17:17:21+00:00</t>
  </si>
  <si>
    <t>2018-06-27T22:28:36+00:00</t>
  </si>
  <si>
    <t>78758-4505</t>
  </si>
  <si>
    <t>111-1903502-6604240</t>
  </si>
  <si>
    <t>2018-06-27T16:50:20+00:00</t>
  </si>
  <si>
    <t>2018-06-28T10:00:25+00:00</t>
  </si>
  <si>
    <t>75227-2315</t>
  </si>
  <si>
    <t>111-8693320-3598661</t>
  </si>
  <si>
    <t>2018-06-27T16:23:06+00:00</t>
  </si>
  <si>
    <t>2018-06-29T02:04:55+00:00</t>
  </si>
  <si>
    <t>DALY CITY</t>
  </si>
  <si>
    <t>94014-2015</t>
  </si>
  <si>
    <t>114-0869221-7829044</t>
  </si>
  <si>
    <t>2018-06-27T16:20:28+00:00</t>
  </si>
  <si>
    <t>2018-06-28T01:28:06+00:00</t>
  </si>
  <si>
    <t>Real Looking Reborn Baby Dolls Girl Silicone Tutu Skirt Rose Red 22 inches</t>
  </si>
  <si>
    <t>EDGARTOWN</t>
  </si>
  <si>
    <t>02539-6567</t>
  </si>
  <si>
    <t>112-3198027-9047425</t>
  </si>
  <si>
    <t>2018-06-27T16:01:08+00:00</t>
  </si>
  <si>
    <t>2018-06-28T20:50:13+00:00</t>
  </si>
  <si>
    <t>GREENCASTLE</t>
  </si>
  <si>
    <t>17225-8396</t>
  </si>
  <si>
    <t>111-0058994-3343475</t>
  </si>
  <si>
    <t>2018-06-27T16:00:53+00:00</t>
  </si>
  <si>
    <t>2018-06-28T01:24:23+00:00</t>
  </si>
  <si>
    <t>46062-6988</t>
  </si>
  <si>
    <t>112-2172603-4028200</t>
  </si>
  <si>
    <t>2018-06-27T15:57:37+00:00</t>
  </si>
  <si>
    <t>2018-06-28T09:55:11+00:00</t>
  </si>
  <si>
    <t>GROVETOWN</t>
  </si>
  <si>
    <t>30813-8328</t>
  </si>
  <si>
    <t>113-2897722-2905046</t>
  </si>
  <si>
    <t>2018-06-27T15:36:33+00:00</t>
  </si>
  <si>
    <t>2018-06-28T09:39:12+00:00</t>
  </si>
  <si>
    <t>MONONA</t>
  </si>
  <si>
    <t>53716-2903</t>
  </si>
  <si>
    <t>113-6323000-4854612</t>
  </si>
  <si>
    <t>2018-06-27T15:09:09+00:00</t>
  </si>
  <si>
    <t>2018-06-27T23:28:00+00:00</t>
  </si>
  <si>
    <t>Jamestown</t>
  </si>
  <si>
    <t>113-7001711-9362613</t>
  </si>
  <si>
    <t>2018-06-27T13:37:41+00:00</t>
  </si>
  <si>
    <t>2018-06-28T04:41:02+00:00</t>
  </si>
  <si>
    <t>114-8487670-1587447</t>
  </si>
  <si>
    <t>2018-06-27T13:26:40+00:00</t>
  </si>
  <si>
    <t>2018-06-28T17:28:31+00:00</t>
  </si>
  <si>
    <t>MISHAWAKA</t>
  </si>
  <si>
    <t>46545-5960</t>
  </si>
  <si>
    <t>111-8144426-3896232</t>
  </si>
  <si>
    <t>2018-06-27T12:37:32+00:00</t>
  </si>
  <si>
    <t>2018-07-01T11:09:38+00:00</t>
  </si>
  <si>
    <t>WINTER GARDEN</t>
  </si>
  <si>
    <t>34787-8871</t>
  </si>
  <si>
    <t>114-5316361-2797010</t>
  </si>
  <si>
    <t>2018-06-27T12:28:10+00:00</t>
  </si>
  <si>
    <t>2018-06-27T19:29:33+00:00</t>
  </si>
  <si>
    <t>Elgin</t>
  </si>
  <si>
    <t>texas</t>
  </si>
  <si>
    <t>114-8364516-7815426</t>
  </si>
  <si>
    <t>2018-06-27T12:25:51+00:00</t>
  </si>
  <si>
    <t>2018-06-27T20:53:06+00:00</t>
  </si>
  <si>
    <t>HASTINGS</t>
  </si>
  <si>
    <t>68901-7120</t>
  </si>
  <si>
    <t>114-5652164-2857865</t>
  </si>
  <si>
    <t>2018-06-27T10:11:14+00:00</t>
  </si>
  <si>
    <t>2018-06-28T01:11:23+00:00</t>
  </si>
  <si>
    <t>33624-1149</t>
  </si>
  <si>
    <t>112-9620775-6153845</t>
  </si>
  <si>
    <t>2018-06-27T04:20:34+00:00</t>
  </si>
  <si>
    <t>2018-06-28T06:41:31+00:00</t>
  </si>
  <si>
    <t>VANCOUVER</t>
  </si>
  <si>
    <t>98685-4221</t>
  </si>
  <si>
    <t>111-7809410-8073058</t>
  </si>
  <si>
    <t>2018-06-27T03:12:05+00:00</t>
  </si>
  <si>
    <t>2018-07-01T10:13:44+00:00</t>
  </si>
  <si>
    <t>37745-3279</t>
  </si>
  <si>
    <t>113-1778460-5129802</t>
  </si>
  <si>
    <t>2018-06-27T03:08:57+00:00</t>
  </si>
  <si>
    <t>2018-06-27T23:36:19+00:00</t>
  </si>
  <si>
    <t>OSAWATOMIE</t>
  </si>
  <si>
    <t>66064-1179</t>
  </si>
  <si>
    <t>112-8658443-5886657</t>
  </si>
  <si>
    <t>2018-06-27T02:54:48+00:00</t>
  </si>
  <si>
    <t>2018-06-27T14:48:34+00:00</t>
  </si>
  <si>
    <t>60655-2122</t>
  </si>
  <si>
    <t>114-7697425-1549835</t>
  </si>
  <si>
    <t>2018-06-27T02:46:59+00:00</t>
  </si>
  <si>
    <t>2018-06-27T03:36:08+00:00</t>
  </si>
  <si>
    <t>Avondale</t>
  </si>
  <si>
    <t>Az</t>
  </si>
  <si>
    <t>114-3174239-6289827</t>
  </si>
  <si>
    <t>2018-06-27T02:46:01+00:00</t>
  </si>
  <si>
    <t>2018-06-28T01:32:58+00:00</t>
  </si>
  <si>
    <t>10 Inches Full Silicone Mini Palm Reborn Baby Doll Look Real Girl Toddler Eye Closed White Dress Flower Hair Band</t>
  </si>
  <si>
    <t>DO-YULQ232-W0-10</t>
  </si>
  <si>
    <t>B07DL5ZGP8</t>
  </si>
  <si>
    <t>OLATHE</t>
  </si>
  <si>
    <t>66061-8632</t>
  </si>
  <si>
    <t>111-2916530-5389052</t>
  </si>
  <si>
    <t>2018-06-27T02:21:39+00:00</t>
  </si>
  <si>
    <t>2018-06-27T20:20:12+00:00</t>
  </si>
  <si>
    <t>BISMARCK</t>
  </si>
  <si>
    <t>ND</t>
  </si>
  <si>
    <t>58503-8853</t>
  </si>
  <si>
    <t>112-6926878-0505011</t>
  </si>
  <si>
    <t>2018-06-27T02:13:56+00:00</t>
  </si>
  <si>
    <t>2018-06-27T21:59:09+00:00</t>
  </si>
  <si>
    <t>BISHOP</t>
  </si>
  <si>
    <t>93514-7457</t>
  </si>
  <si>
    <t>113-7081815-2885013</t>
  </si>
  <si>
    <t>2018-06-27T01:53:06+00:00</t>
  </si>
  <si>
    <t>2018-06-27T20:14:26+00:00</t>
  </si>
  <si>
    <t>OMAHA</t>
  </si>
  <si>
    <t>68124-3536</t>
  </si>
  <si>
    <t>111-5359167-1521044</t>
  </si>
  <si>
    <t>2018-06-27T01:42:24+00:00</t>
  </si>
  <si>
    <t>2018-06-28T03:05:51+00:00</t>
  </si>
  <si>
    <t>SPRINGVILLE</t>
  </si>
  <si>
    <t>35146-3301</t>
  </si>
  <si>
    <t>113-2324081-5242610</t>
  </si>
  <si>
    <t>2018-06-27T00:20:01+00:00</t>
  </si>
  <si>
    <t>2018-06-27T20:22:41+00:00</t>
  </si>
  <si>
    <t>ELIZABETHTON</t>
  </si>
  <si>
    <t>37643-5608</t>
  </si>
  <si>
    <t>114-2181972-5385867</t>
  </si>
  <si>
    <t>2018-06-27T00:06:43+00:00</t>
  </si>
  <si>
    <t>2018-06-28T22:34:29+00:00</t>
  </si>
  <si>
    <t>EDWARDS</t>
  </si>
  <si>
    <t>81632-0513</t>
  </si>
  <si>
    <t>112-2670403-7882611</t>
  </si>
  <si>
    <t>2018-06-28T23:47:59+00:00</t>
  </si>
  <si>
    <t>2018-06-29T07:45:57+00:00</t>
  </si>
  <si>
    <t>68134-5506</t>
  </si>
  <si>
    <t>113-9525620-0634612</t>
  </si>
  <si>
    <t>2018-06-28T23:44:30+00:00</t>
  </si>
  <si>
    <t>2018-06-30T22:39:17+00:00</t>
  </si>
  <si>
    <t>77082-2627</t>
  </si>
  <si>
    <t>112-3667315-4692226</t>
  </si>
  <si>
    <t>2018-06-28T23:26:19+00:00</t>
  </si>
  <si>
    <t>2018-06-29T09:06:22+00:00</t>
  </si>
  <si>
    <t>MANCHESTER</t>
  </si>
  <si>
    <t>NH</t>
  </si>
  <si>
    <t>03104-2551</t>
  </si>
  <si>
    <t>114-8831859-2823465</t>
  </si>
  <si>
    <t>2018-06-28T23:09:45+00:00</t>
  </si>
  <si>
    <t>2018-06-30T17:25:35+00:00</t>
  </si>
  <si>
    <t>10 inches Full Silicone Mini Palm Reborn Baby Doll Look Real Girl Toddler Eye Closed White Dress Flower Hair Band</t>
  </si>
  <si>
    <t>DETROIT</t>
  </si>
  <si>
    <t>48224-3448</t>
  </si>
  <si>
    <t>113-2424541-4539457</t>
  </si>
  <si>
    <t>2018-06-28T22:30:51+00:00</t>
  </si>
  <si>
    <t>2018-06-29T16:34:24+00:00</t>
  </si>
  <si>
    <t>SAINT LOUIS</t>
  </si>
  <si>
    <t>63139-1057</t>
  </si>
  <si>
    <t>113-4676855-8741060</t>
  </si>
  <si>
    <t>2018-06-28T22:29:32+00:00</t>
  </si>
  <si>
    <t>2018-06-30T01:27:40+00:00</t>
  </si>
  <si>
    <t>S DARTMOUTH</t>
  </si>
  <si>
    <t>02748-1253</t>
  </si>
  <si>
    <t>113-9162463-5486665</t>
  </si>
  <si>
    <t>2018-06-28T21:32:23+00:00</t>
  </si>
  <si>
    <t>2018-06-29T21:03:11+00:00</t>
  </si>
  <si>
    <t>FT WRIGHT</t>
  </si>
  <si>
    <t>41017-9251</t>
  </si>
  <si>
    <t>113-1055203-8599460</t>
  </si>
  <si>
    <t>2018-06-28T21:30:51+00:00</t>
  </si>
  <si>
    <t>2018-06-29T07:31:43+00:00</t>
  </si>
  <si>
    <t>76092-5521</t>
  </si>
  <si>
    <t>111-2620047-4377014</t>
  </si>
  <si>
    <t>2018-06-28T21:24:55+00:00</t>
  </si>
  <si>
    <t>2018-07-01T10:30:09+00:00</t>
  </si>
  <si>
    <t>112-9427584-6734629</t>
  </si>
  <si>
    <t>2018-06-28T20:23:37+00:00</t>
  </si>
  <si>
    <t>2018-06-29T05:08:19+00:00</t>
  </si>
  <si>
    <t>PROSPER</t>
  </si>
  <si>
    <t>75078-7063</t>
  </si>
  <si>
    <t>111-8181682-5178653</t>
  </si>
  <si>
    <t>2018-06-28T20:19:49+00:00</t>
  </si>
  <si>
    <t>2018-06-29T04:17:31+00:00</t>
  </si>
  <si>
    <t>GARLAND</t>
  </si>
  <si>
    <t>75041-4205</t>
  </si>
  <si>
    <t>112-6012301-0473024</t>
  </si>
  <si>
    <t>2018-06-28T19:25:04+00:00</t>
  </si>
  <si>
    <t>2018-07-01T23:03:57+00:00</t>
  </si>
  <si>
    <t>SPARTA</t>
  </si>
  <si>
    <t>38583-5147</t>
  </si>
  <si>
    <t>114-6253126-0670604</t>
  </si>
  <si>
    <t>2018-06-28T19:14:23+00:00</t>
  </si>
  <si>
    <t>2018-06-29T02:42:32+00:00</t>
  </si>
  <si>
    <t>little rock</t>
  </si>
  <si>
    <t>114-9437827-6749062</t>
  </si>
  <si>
    <t>2018-06-28T19:06:07+00:00</t>
  </si>
  <si>
    <t>2018-06-29T03:00:36+00:00</t>
  </si>
  <si>
    <t>114-1265626-1463418</t>
  </si>
  <si>
    <t>2018-06-28T18:56:37+00:00</t>
  </si>
  <si>
    <t>2018-06-30T04:45:55+00:00</t>
  </si>
  <si>
    <t>SOUTH PLAINFIELD</t>
  </si>
  <si>
    <t>07080-5331</t>
  </si>
  <si>
    <t>112-2646510-1071460</t>
  </si>
  <si>
    <t>2018-06-28T18:20:58+00:00</t>
  </si>
  <si>
    <t>2018-06-29T07:44:45+00:00</t>
  </si>
  <si>
    <t>Reborn Baby Dolls Full Silicone Body Real Looking Eye Closed Light Blue Outfit Small 10 Inches</t>
  </si>
  <si>
    <t>DO-YULQ004-B7-10</t>
  </si>
  <si>
    <t>B078Y5BTZC</t>
  </si>
  <si>
    <t>CARNATION</t>
  </si>
  <si>
    <t>98014-9006</t>
  </si>
  <si>
    <t>111-1238597-5698620</t>
  </si>
  <si>
    <t>2018-06-28T17:57:01+00:00</t>
  </si>
  <si>
    <t>2018-06-29T16:21:16+00:00</t>
  </si>
  <si>
    <t>MOGADORE</t>
  </si>
  <si>
    <t>44260-8855</t>
  </si>
  <si>
    <t>113-8384300-8793025</t>
  </si>
  <si>
    <t>2018-06-28T17:36:01+00:00</t>
  </si>
  <si>
    <t>2018-06-28T17:38:51+00:00</t>
  </si>
  <si>
    <t>CABOT</t>
  </si>
  <si>
    <t>72023-3740</t>
  </si>
  <si>
    <t>113-7636665-4916230</t>
  </si>
  <si>
    <t>2018-06-28T17:11:24+00:00</t>
  </si>
  <si>
    <t>2018-06-30T06:45:52+00:00</t>
  </si>
  <si>
    <t>32244-4156</t>
  </si>
  <si>
    <t>111-5275692-2887411</t>
  </si>
  <si>
    <t>2018-06-28T17:01:57+00:00</t>
  </si>
  <si>
    <t>2018-06-29T04:10:52+00:00</t>
  </si>
  <si>
    <t>SUMMERVILLE</t>
  </si>
  <si>
    <t>29483-5504</t>
  </si>
  <si>
    <t>113-1736440-7976263</t>
  </si>
  <si>
    <t>2018-06-28T16:14:22+00:00</t>
  </si>
  <si>
    <t>2018-07-06T03:38:16+00:00</t>
  </si>
  <si>
    <t>48234-3828</t>
  </si>
  <si>
    <t>114-6960616-2493814</t>
  </si>
  <si>
    <t>2018-06-28T16:13:30+00:00</t>
  </si>
  <si>
    <t>2018-07-02T00:33:07+00:00</t>
  </si>
  <si>
    <t>CAPE CORAL</t>
  </si>
  <si>
    <t>33990-4628</t>
  </si>
  <si>
    <t>114-1291897-2301005</t>
  </si>
  <si>
    <t>2018-06-28T15:41:32+00:00</t>
  </si>
  <si>
    <t>2018-07-02T02:08:06+00:00</t>
  </si>
  <si>
    <t>JEFFERSON CITY</t>
  </si>
  <si>
    <t>65109-5378</t>
  </si>
  <si>
    <t>114-6963575-7929023</t>
  </si>
  <si>
    <t>2018-06-28T15:34:39+00:00</t>
  </si>
  <si>
    <t>2018-06-28T21:17:40+00:00</t>
  </si>
  <si>
    <t>SOUTH BURLINGTON</t>
  </si>
  <si>
    <t>05403-4401</t>
  </si>
  <si>
    <t>113-1040731-4944265</t>
  </si>
  <si>
    <t>2018-06-28T15:27:04+00:00</t>
  </si>
  <si>
    <t>2018-06-28T16:12:05+00:00</t>
  </si>
  <si>
    <t>114-3667475-4095469</t>
  </si>
  <si>
    <t>2018-06-28T15:17:27+00:00</t>
  </si>
  <si>
    <t>2018-06-30T22:53:14+00:00</t>
  </si>
  <si>
    <t>MANCELONA</t>
  </si>
  <si>
    <t>49659-8931</t>
  </si>
  <si>
    <t>113-0904528-3550602</t>
  </si>
  <si>
    <t>2018-06-28T14:40:31+00:00</t>
  </si>
  <si>
    <t>2018-07-01T05:37:19+00:00</t>
  </si>
  <si>
    <t>95125-4037</t>
  </si>
  <si>
    <t>114-2917798-1118653</t>
  </si>
  <si>
    <t>2018-06-28T14:07:12+00:00</t>
  </si>
  <si>
    <t>2018-06-29T03:12:58+00:00</t>
  </si>
  <si>
    <t>FLETCHER</t>
  </si>
  <si>
    <t>28732-4639</t>
  </si>
  <si>
    <t>114-2289639-7116234</t>
  </si>
  <si>
    <t>2018-06-28T13:49:05+00:00</t>
  </si>
  <si>
    <t>2018-06-29T03:25:33+00:00</t>
  </si>
  <si>
    <t>BENTONVILLE</t>
  </si>
  <si>
    <t>72712-8607</t>
  </si>
  <si>
    <t>112-3370189-5528215</t>
  </si>
  <si>
    <t>2018-06-28T13:18:51+00:00</t>
  </si>
  <si>
    <t>2018-06-28T22:28:27+00:00</t>
  </si>
  <si>
    <t>111-1183627-7877016</t>
  </si>
  <si>
    <t>2018-06-28T11:13:42+00:00</t>
  </si>
  <si>
    <t>2018-07-02T18:08:38+00:00</t>
  </si>
  <si>
    <t>FT WORTH</t>
  </si>
  <si>
    <t>76107-7416</t>
  </si>
  <si>
    <t>113-7718257-3009820</t>
  </si>
  <si>
    <t>2018-06-28T08:54:44+00:00</t>
  </si>
  <si>
    <t>2018-06-28T09:10:55+00:00</t>
  </si>
  <si>
    <t>Leesburg</t>
  </si>
  <si>
    <t>112-6369036-6610661</t>
  </si>
  <si>
    <t>2018-06-28T05:33:25+00:00</t>
  </si>
  <si>
    <t>2018-06-28T05:34:55+00:00</t>
  </si>
  <si>
    <t>50322-5958</t>
  </si>
  <si>
    <t>113-9429323-5504250</t>
  </si>
  <si>
    <t>2018-06-28T05:10:49+00:00</t>
  </si>
  <si>
    <t>2018-06-28T19:29:02+00:00</t>
  </si>
  <si>
    <t>MORENO VALLEY</t>
  </si>
  <si>
    <t>92555-8411</t>
  </si>
  <si>
    <t>111-0616638-7689026</t>
  </si>
  <si>
    <t>2018-06-28T05:04:57+00:00</t>
  </si>
  <si>
    <t>2018-06-30T22:14:02+00:00</t>
  </si>
  <si>
    <t>GRESHAM</t>
  </si>
  <si>
    <t>97080-8063</t>
  </si>
  <si>
    <t>111-0950927-7599468</t>
  </si>
  <si>
    <t>2018-06-28T03:40:10+00:00</t>
  </si>
  <si>
    <t>2018-06-28T07:54:33+00:00</t>
  </si>
  <si>
    <t>HUDSON</t>
  </si>
  <si>
    <t>01749-2459</t>
  </si>
  <si>
    <t>111-9736494-1941839</t>
  </si>
  <si>
    <t>2018-06-28T03:33:12+00:00</t>
  </si>
  <si>
    <t>2018-06-29T03:59:42+00:00</t>
  </si>
  <si>
    <t>squaw valley</t>
  </si>
  <si>
    <t>ca</t>
  </si>
  <si>
    <t>113-4718629-9237063</t>
  </si>
  <si>
    <t>2018-06-28T03:10:39+00:00</t>
  </si>
  <si>
    <t>2018-06-28T13:10:49+00:00</t>
  </si>
  <si>
    <t>12586-2264</t>
  </si>
  <si>
    <t>112-7261097-1897807</t>
  </si>
  <si>
    <t>2018-06-28T02:49:54+00:00</t>
  </si>
  <si>
    <t>2018-06-28T09:44:36+00:00</t>
  </si>
  <si>
    <t>Reborn Baby Doll Girl Look Real Silicone Denim Dress 22 Inches</t>
  </si>
  <si>
    <t>DOLL-0603-NZ-22</t>
  </si>
  <si>
    <t>B077SDPC6N</t>
  </si>
  <si>
    <t>07105-2591</t>
  </si>
  <si>
    <t>113-5464909-9574625</t>
  </si>
  <si>
    <t>2018-06-28T02:21:28+00:00</t>
  </si>
  <si>
    <t>2018-06-28T13:36:29+00:00</t>
  </si>
  <si>
    <t>BRIDGMAN</t>
  </si>
  <si>
    <t>49106-9517</t>
  </si>
  <si>
    <t>111-5612928-5830602</t>
  </si>
  <si>
    <t>2018-06-28T02:02:49+00:00</t>
  </si>
  <si>
    <t>2018-06-29T03:05:49+00:00</t>
  </si>
  <si>
    <t>Auburn</t>
  </si>
  <si>
    <t>112-6190444-0049045</t>
  </si>
  <si>
    <t>2018-06-28T01:38:21+00:00</t>
  </si>
  <si>
    <t>2018-06-28T10:03:54+00:00</t>
  </si>
  <si>
    <t>114-1836093-8396267</t>
  </si>
  <si>
    <t>2018-06-28T00:26:23+00:00</t>
  </si>
  <si>
    <t>2018-06-29T02:42:11+00:00</t>
  </si>
  <si>
    <t>O FALLON</t>
  </si>
  <si>
    <t>63366-2609</t>
  </si>
  <si>
    <t>111-4556867-0198618</t>
  </si>
  <si>
    <t>2018-06-29T23:47:03+00:00</t>
  </si>
  <si>
    <t>2018-06-30T13:18:31+00:00</t>
  </si>
  <si>
    <t>33128-1564</t>
  </si>
  <si>
    <t>111-2455669-6866600</t>
  </si>
  <si>
    <t>2018-06-29T23:44:46+00:00</t>
  </si>
  <si>
    <t>2018-07-02T21:14:09+00:00</t>
  </si>
  <si>
    <t>ADAMS CENTER</t>
  </si>
  <si>
    <t>113-4990766-5469035</t>
  </si>
  <si>
    <t>2018-06-29T23:43:02+00:00</t>
  </si>
  <si>
    <t>2018-06-30T09:07:31+00:00</t>
  </si>
  <si>
    <t>HOWELL</t>
  </si>
  <si>
    <t>07731-1998</t>
  </si>
  <si>
    <t>112-0624461-7569041</t>
  </si>
  <si>
    <t>2018-06-29T22:20:37+00:00</t>
  </si>
  <si>
    <t>2018-06-30T21:04:45+00:00</t>
  </si>
  <si>
    <t>BRAINTREE</t>
  </si>
  <si>
    <t>02184-7394</t>
  </si>
  <si>
    <t>114-2430244-9417827</t>
  </si>
  <si>
    <t>2018-06-29T22:08:52+00:00</t>
  </si>
  <si>
    <t>2018-06-30T06:53:25+00:00</t>
  </si>
  <si>
    <t>Chandler</t>
  </si>
  <si>
    <t>114-1530272-9121865</t>
  </si>
  <si>
    <t>2018-06-29T21:50:22+00:00</t>
  </si>
  <si>
    <t>2018-06-30T14:55:15+00:00</t>
  </si>
  <si>
    <t>98506-3625</t>
  </si>
  <si>
    <t>113-0032827-1284251</t>
  </si>
  <si>
    <t>2018-06-29T21:18:35+00:00</t>
  </si>
  <si>
    <t>2018-06-30T03:37:30+00:00</t>
  </si>
  <si>
    <t>BILLINGS</t>
  </si>
  <si>
    <t>59105-1955</t>
  </si>
  <si>
    <t>113-9406282-2948205</t>
  </si>
  <si>
    <t>2018-06-29T21:17:32+00:00</t>
  </si>
  <si>
    <t>2018-06-30T23:24:53+00:00</t>
  </si>
  <si>
    <t>111-6081805-7021861</t>
  </si>
  <si>
    <t>2018-06-29T20:29:00+00:00</t>
  </si>
  <si>
    <t>2018-07-01T00:20:12+00:00</t>
  </si>
  <si>
    <t>89129-4528</t>
  </si>
  <si>
    <t>111-8937327-8868231</t>
  </si>
  <si>
    <t>2018-06-29T20:13:23+00:00</t>
  </si>
  <si>
    <t>2018-06-30T07:00:08+00:00</t>
  </si>
  <si>
    <t>LOS GATOS</t>
  </si>
  <si>
    <t>95032-3730</t>
  </si>
  <si>
    <t>113-5580167-2945046</t>
  </si>
  <si>
    <t>2018-06-29T20:12:20+00:00</t>
  </si>
  <si>
    <t>2018-06-29T21:14:20+00:00</t>
  </si>
  <si>
    <t>KISSIMMEE</t>
  </si>
  <si>
    <t>34746-6141</t>
  </si>
  <si>
    <t>114-0629046-2888221</t>
  </si>
  <si>
    <t>2018-06-29T19:49:40+00:00</t>
  </si>
  <si>
    <t>2018-06-30T08:00:32+00:00</t>
  </si>
  <si>
    <t>Pittsburgh</t>
  </si>
  <si>
    <t>111-8904381-4480260</t>
  </si>
  <si>
    <t>2018-06-29T18:07:00+00:00</t>
  </si>
  <si>
    <t>2018-07-02T06:46:50+00:00</t>
  </si>
  <si>
    <t>ALPHARETTA</t>
  </si>
  <si>
    <t>30022-5043</t>
  </si>
  <si>
    <t>114-9821454-7022615</t>
  </si>
  <si>
    <t>2018-06-29T17:51:35+00:00</t>
  </si>
  <si>
    <t>2018-06-30T21:39:04+00:00</t>
  </si>
  <si>
    <t>22 Inches Real Looking Reborn Baby Dolls Girl Realistic Toddler Silicone Rose Red Outfit</t>
  </si>
  <si>
    <t>DO-YULQ703-PI-22</t>
  </si>
  <si>
    <t>B07CN76YH9</t>
  </si>
  <si>
    <t>la porte</t>
  </si>
  <si>
    <t>tx</t>
  </si>
  <si>
    <t>112-6283390-8637861</t>
  </si>
  <si>
    <t>2018-06-29T17:49:39+00:00</t>
  </si>
  <si>
    <t>2018-06-30T16:37:53+00:00</t>
  </si>
  <si>
    <t>CENTREVILLE</t>
  </si>
  <si>
    <t>20120-3718</t>
  </si>
  <si>
    <t>112-1419960-6335462</t>
  </si>
  <si>
    <t>2018-06-29T17:11:50+00:00</t>
  </si>
  <si>
    <t>2018-06-30T07:23:39+00:00</t>
  </si>
  <si>
    <t>20007-1560</t>
  </si>
  <si>
    <t>113-8099304-9538613</t>
  </si>
  <si>
    <t>2018-06-29T16:47:15+00:00</t>
  </si>
  <si>
    <t>2018-06-30T03:28:17+00:00</t>
  </si>
  <si>
    <t>113-7493164-7333042</t>
  </si>
  <si>
    <t>2018-06-29T16:43:20+00:00</t>
  </si>
  <si>
    <t>2018-06-30T03:06:52+00:00</t>
  </si>
  <si>
    <t>114-1095669-3118647</t>
  </si>
  <si>
    <t>2018-06-29T15:58:23+00:00</t>
  </si>
  <si>
    <t>2018-07-02T22:39:30+00:00</t>
  </si>
  <si>
    <t>GRANTS PASS</t>
  </si>
  <si>
    <t>97526-3257</t>
  </si>
  <si>
    <t>113-9907048-4053851</t>
  </si>
  <si>
    <t>2018-06-29T15:46:45+00:00</t>
  </si>
  <si>
    <t>2018-06-30T21:21:38+00:00</t>
  </si>
  <si>
    <t>NINETY SIX</t>
  </si>
  <si>
    <t>29666-9077</t>
  </si>
  <si>
    <t>111-9129716-1498654</t>
  </si>
  <si>
    <t>2018-06-29T15:41:59+00:00</t>
  </si>
  <si>
    <t>2018-06-29T23:27:55+00:00</t>
  </si>
  <si>
    <t>75217-3847</t>
  </si>
  <si>
    <t>112-9972966-9317065</t>
  </si>
  <si>
    <t>2018-06-29T14:33:12+00:00</t>
  </si>
  <si>
    <t>2018-06-30T19:31:34+00:00</t>
  </si>
  <si>
    <t>WILLISTON</t>
  </si>
  <si>
    <t>29853-4914</t>
  </si>
  <si>
    <t>113-4697303-6897047</t>
  </si>
  <si>
    <t>2018-06-29T14:19:32+00:00</t>
  </si>
  <si>
    <t>2018-06-29T23:43:18+00:00</t>
  </si>
  <si>
    <t>114-7310246-2678622</t>
  </si>
  <si>
    <t>2018-06-29T14:10:41+00:00</t>
  </si>
  <si>
    <t>2018-07-01T13:21:38+00:00</t>
  </si>
  <si>
    <t>MURFREESBORO</t>
  </si>
  <si>
    <t>37129-5261</t>
  </si>
  <si>
    <t>112-2190339-6085007</t>
  </si>
  <si>
    <t>2018-06-29T13:34:11+00:00</t>
  </si>
  <si>
    <t>2018-07-01T17:10:42+00:00</t>
  </si>
  <si>
    <t>JAMAICA</t>
  </si>
  <si>
    <t>11431-0846</t>
  </si>
  <si>
    <t>114-4790977-7679455</t>
  </si>
  <si>
    <t>2018-06-29T12:56:53+00:00</t>
  </si>
  <si>
    <t>2018-06-30T20:49:28+00:00</t>
  </si>
  <si>
    <t>AMBOY</t>
  </si>
  <si>
    <t>61310-1410</t>
  </si>
  <si>
    <t>112-3151862-7482631</t>
  </si>
  <si>
    <t>2018-06-29T12:40:07+00:00</t>
  </si>
  <si>
    <t>2018-06-29T12:41:58+00:00</t>
  </si>
  <si>
    <t>10029-2021</t>
  </si>
  <si>
    <t>112-3199545-0728229</t>
  </si>
  <si>
    <t>2018-06-29T12:14:04+00:00</t>
  </si>
  <si>
    <t>2018-06-29T18:27:04+00:00</t>
  </si>
  <si>
    <t>114-6595840-1354617</t>
  </si>
  <si>
    <t>2018-06-29T10:16:16+00:00</t>
  </si>
  <si>
    <t>2018-07-01T02:32:12+00:00</t>
  </si>
  <si>
    <t>19115-2514</t>
  </si>
  <si>
    <t>112-5703893-2577800</t>
  </si>
  <si>
    <t>2018-06-29T09:05:58+00:00</t>
  </si>
  <si>
    <t>2018-06-30T02:42:42+00:00</t>
  </si>
  <si>
    <t>Reborn Baby Dolls Girl Look Real Silicone Light Pink Dress 16 inches</t>
  </si>
  <si>
    <t>27407-5165</t>
  </si>
  <si>
    <t>112-9834630-6113012</t>
  </si>
  <si>
    <t>2018-06-29T08:10:08+00:00</t>
  </si>
  <si>
    <t>2018-06-29T20:45:59+00:00</t>
  </si>
  <si>
    <t>RIVERSIDE</t>
  </si>
  <si>
    <t>92505-3205</t>
  </si>
  <si>
    <t>114-9949657-7013819</t>
  </si>
  <si>
    <t>2018-06-29T04:45:09+00:00</t>
  </si>
  <si>
    <t>2018-06-29T21:43:08+00:00</t>
  </si>
  <si>
    <t>33331-5028</t>
  </si>
  <si>
    <t>112-7821479-8457835</t>
  </si>
  <si>
    <t>2018-06-29T04:16:00+00:00</t>
  </si>
  <si>
    <t>2018-06-29T04:16:05+00:00</t>
  </si>
  <si>
    <t>25621-9779</t>
  </si>
  <si>
    <t>113-1667065-7487436</t>
  </si>
  <si>
    <t>2018-06-29T03:47:39+00:00</t>
  </si>
  <si>
    <t>2018-06-30T08:21:51+00:00</t>
  </si>
  <si>
    <t>STILLWATER</t>
  </si>
  <si>
    <t>55082-8460</t>
  </si>
  <si>
    <t>111-4216141-5480218</t>
  </si>
  <si>
    <t>2018-06-29T03:20:30+00:00</t>
  </si>
  <si>
    <t>2018-07-01T00:36:50+00:00</t>
  </si>
  <si>
    <t>19134-1011</t>
  </si>
  <si>
    <t>114-3782660-6592255</t>
  </si>
  <si>
    <t>2018-06-29T02:49:47+00:00</t>
  </si>
  <si>
    <t>2018-06-29T09:44:42+00:00</t>
  </si>
  <si>
    <t>AZUSA</t>
  </si>
  <si>
    <t>91702-5624</t>
  </si>
  <si>
    <t>114-2433824-1655404</t>
  </si>
  <si>
    <t>2018-06-29T01:26:00+00:00</t>
  </si>
  <si>
    <t>2018-06-30T05:45:04+00:00</t>
  </si>
  <si>
    <t>76109-5563</t>
  </si>
  <si>
    <t>113-2779023-4669027</t>
  </si>
  <si>
    <t>2018-06-29T01:22:34+00:00</t>
  </si>
  <si>
    <t>2018-07-03T16:22:34+00:00</t>
  </si>
  <si>
    <t>PATTONSBURG</t>
  </si>
  <si>
    <t>64670-8218</t>
  </si>
  <si>
    <t>113-8758329-8179428</t>
  </si>
  <si>
    <t>2018-06-29T00:30:33+00:00</t>
  </si>
  <si>
    <t>2018-06-30T04:20:51+00:00</t>
  </si>
  <si>
    <t>DO-YULQ004-B7-11</t>
  </si>
  <si>
    <t>EVERETT</t>
  </si>
  <si>
    <t>98208-3630</t>
  </si>
  <si>
    <t>111-2014410-3733032</t>
  </si>
  <si>
    <t>2018-06-29T00:16:16+00:00</t>
  </si>
  <si>
    <t>2018-06-29T15:21:50+00:00</t>
  </si>
  <si>
    <t>ROSLINDALE</t>
  </si>
  <si>
    <t>02131-2908</t>
  </si>
  <si>
    <t>113-9973355-0851451</t>
  </si>
  <si>
    <t>2018-06-29T00:03:15+00:00</t>
  </si>
  <si>
    <t>2018-06-29T00:06:46+00:00</t>
  </si>
  <si>
    <t>33613-5674</t>
  </si>
  <si>
    <t>113-7631227-0637023</t>
  </si>
  <si>
    <t>2018-06-30T23:50:06+00:00</t>
  </si>
  <si>
    <t>2018-06-30T23:50:16+00:00</t>
  </si>
  <si>
    <t>90001-4136</t>
  </si>
  <si>
    <t>113-5934280-7966630</t>
  </si>
  <si>
    <t>2018-06-30T23:49:21+00:00</t>
  </si>
  <si>
    <t>2018-06-30T23:49:31+00:00</t>
  </si>
  <si>
    <t>113-2527547-5222661</t>
  </si>
  <si>
    <t>2018-06-30T23:47:09+00:00</t>
  </si>
  <si>
    <t>2018-06-30T23:47:18+00:00</t>
  </si>
  <si>
    <t>113-8042715-1297037</t>
  </si>
  <si>
    <t>2018-06-30T23:44:10+00:00</t>
  </si>
  <si>
    <t>2018-06-30T23:44:19+00:00</t>
  </si>
  <si>
    <t>113-4622663-7693019</t>
  </si>
  <si>
    <t>2018-06-30T23:04:27+00:00</t>
  </si>
  <si>
    <t>2018-07-02T05:10:49+00:00</t>
  </si>
  <si>
    <t>Glenview</t>
  </si>
  <si>
    <t>111-4999786-9370612</t>
  </si>
  <si>
    <t>2018-06-30T22:32:37+00:00</t>
  </si>
  <si>
    <t>2018-07-01T09:24:42+00:00</t>
  </si>
  <si>
    <t>MINERAL WELLS</t>
  </si>
  <si>
    <t>76067-4541</t>
  </si>
  <si>
    <t>113-0353936-3518623</t>
  </si>
  <si>
    <t>2018-06-30T22:05:00+00:00</t>
  </si>
  <si>
    <t>2018-07-01T22:00:27+00:00</t>
  </si>
  <si>
    <t>92020-1617</t>
  </si>
  <si>
    <t>111-3200741-6197850</t>
  </si>
  <si>
    <t>2018-06-30T21:45:07+00:00</t>
  </si>
  <si>
    <t>2018-07-01T20:24:14+00:00</t>
  </si>
  <si>
    <t>MASSAPEQUA PARK</t>
  </si>
  <si>
    <t>11762-2401</t>
  </si>
  <si>
    <t>111-6886992-6261866</t>
  </si>
  <si>
    <t>2018-06-30T21:06:48+00:00</t>
  </si>
  <si>
    <t>2018-07-02T19:35:05+00:00</t>
  </si>
  <si>
    <t>Pembroke Pines</t>
  </si>
  <si>
    <t>113-0506781-2140256</t>
  </si>
  <si>
    <t>2018-06-30T20:14:40+00:00</t>
  </si>
  <si>
    <t>2018-07-01T02:41:02+00:00</t>
  </si>
  <si>
    <t>112-7033552-4679465</t>
  </si>
  <si>
    <t>2018-06-30T19:40:27+00:00</t>
  </si>
  <si>
    <t>2018-07-02T05:21:36+00:00</t>
  </si>
  <si>
    <t>PORT JEFFERSON STATION</t>
  </si>
  <si>
    <t>11776-3126</t>
  </si>
  <si>
    <t>113-2217937-2439402</t>
  </si>
  <si>
    <t>2018-06-30T19:39:25+00:00</t>
  </si>
  <si>
    <t>2018-07-02T21:40:56+00:00</t>
  </si>
  <si>
    <t>MORAVIA</t>
  </si>
  <si>
    <t>52571-8757</t>
  </si>
  <si>
    <t>113-5756226-9177031</t>
  </si>
  <si>
    <t>2018-06-30T19:24:14+00:00</t>
  </si>
  <si>
    <t>2018-06-30T19:24:40+00:00</t>
  </si>
  <si>
    <t>ROSEDALE</t>
  </si>
  <si>
    <t>11422-3224</t>
  </si>
  <si>
    <t>114-1561621-2941034</t>
  </si>
  <si>
    <t>2018-06-30T19:17:49+00:00</t>
  </si>
  <si>
    <t>2018-07-04T15:36:11+00:00</t>
  </si>
  <si>
    <t>77056-2024</t>
  </si>
  <si>
    <t>111-7987452-5714622</t>
  </si>
  <si>
    <t>2018-06-30T18:49:37+00:00</t>
  </si>
  <si>
    <t>2018-07-01T06:16:39+00:00</t>
  </si>
  <si>
    <t>Grosse Ile</t>
  </si>
  <si>
    <t>Mi</t>
  </si>
  <si>
    <t>111-2640475-4220215</t>
  </si>
  <si>
    <t>2018-06-30T18:21:07+00:00</t>
  </si>
  <si>
    <t>2018-07-01T00:40:19+00:00</t>
  </si>
  <si>
    <t>PALMDALE</t>
  </si>
  <si>
    <t>93551-2548</t>
  </si>
  <si>
    <t>111-1237311-2538614</t>
  </si>
  <si>
    <t>2018-06-30T18:05:28+00:00</t>
  </si>
  <si>
    <t>2018-07-01T12:34:57+00:00</t>
  </si>
  <si>
    <t>CANTON</t>
  </si>
  <si>
    <t>30114-3641</t>
  </si>
  <si>
    <t>111-0535033-2703454</t>
  </si>
  <si>
    <t>2018-06-30T18:05:10+00:00</t>
  </si>
  <si>
    <t>2018-07-01T16:52:51+00:00</t>
  </si>
  <si>
    <t>CHOWCHILLA</t>
  </si>
  <si>
    <t>112-5070720-3339444</t>
  </si>
  <si>
    <t>2018-06-30T18:01:34+00:00</t>
  </si>
  <si>
    <t>2018-07-02T08:05:45+00:00</t>
  </si>
  <si>
    <t>76137-4177</t>
  </si>
  <si>
    <t>113-5533147-8129051</t>
  </si>
  <si>
    <t>2018-06-30T17:44:02+00:00</t>
  </si>
  <si>
    <t>2018-07-01T05:10:20+00:00</t>
  </si>
  <si>
    <t>POMPANO BEACH</t>
  </si>
  <si>
    <t>33062-4936</t>
  </si>
  <si>
    <t>113-0126180-3201842</t>
  </si>
  <si>
    <t>2018-06-30T17:15:00+00:00</t>
  </si>
  <si>
    <t>2018-07-02T02:22:23+00:00</t>
  </si>
  <si>
    <t>WILLOW SPRINGS</t>
  </si>
  <si>
    <t>65793-8271</t>
  </si>
  <si>
    <t>113-7030348-7210661</t>
  </si>
  <si>
    <t>2018-06-30T17:14:07+00:00</t>
  </si>
  <si>
    <t>2018-07-04T17:42:27+00:00</t>
  </si>
  <si>
    <t>112-5589188-0013033</t>
  </si>
  <si>
    <t>2018-06-30T16:31:59+00:00</t>
  </si>
  <si>
    <t>2018-07-01T07:45:09+00:00</t>
  </si>
  <si>
    <t>STROUDSBURG</t>
  </si>
  <si>
    <t>18360-7795</t>
  </si>
  <si>
    <t>111-5439315-4764219</t>
  </si>
  <si>
    <t>2018-06-30T16:19:49+00:00</t>
  </si>
  <si>
    <t>2018-07-01T05:56:00+00:00</t>
  </si>
  <si>
    <t>Yorba Linda</t>
  </si>
  <si>
    <t>114-7949574-4115419</t>
  </si>
  <si>
    <t>2018-06-30T16:02:09+00:00</t>
  </si>
  <si>
    <t>2018-07-03T01:21:58+00:00</t>
  </si>
  <si>
    <t>MIAMI GARDENS</t>
  </si>
  <si>
    <t>33055-3516</t>
  </si>
  <si>
    <t>112-3412094-4714632</t>
  </si>
  <si>
    <t>2018-06-30T15:38:39+00:00</t>
  </si>
  <si>
    <t>2018-07-01T07:44:20+00:00</t>
  </si>
  <si>
    <t>AUGUSTA</t>
  </si>
  <si>
    <t>67010-8192</t>
  </si>
  <si>
    <t>113-0990090-6190633</t>
  </si>
  <si>
    <t>2018-06-30T15:20:11+00:00</t>
  </si>
  <si>
    <t>2018-07-02T00:58:00+00:00</t>
  </si>
  <si>
    <t>BLOOMFIELD</t>
  </si>
  <si>
    <t>07003-4249</t>
  </si>
  <si>
    <t>112-4480213-1676238</t>
  </si>
  <si>
    <t>2018-06-30T14:41:22+00:00</t>
  </si>
  <si>
    <t>2018-06-30T23:42:47+00:00</t>
  </si>
  <si>
    <t>STONEHAM</t>
  </si>
  <si>
    <t>02180-2768</t>
  </si>
  <si>
    <t>113-6556191-9062606</t>
  </si>
  <si>
    <t>2018-06-30T14:38:54+00:00</t>
  </si>
  <si>
    <t>2018-06-30T22:21:36+00:00</t>
  </si>
  <si>
    <t>WELLINGTON</t>
  </si>
  <si>
    <t>33414-5663</t>
  </si>
  <si>
    <t>114-1609311-5425025</t>
  </si>
  <si>
    <t>2018-06-30T13:54:04+00:00</t>
  </si>
  <si>
    <t>2018-06-30T16:31:48+00:00</t>
  </si>
  <si>
    <t>33896-5239</t>
  </si>
  <si>
    <t>113-4791722-5667439</t>
  </si>
  <si>
    <t>2018-06-30T13:46:08+00:00</t>
  </si>
  <si>
    <t>2018-07-01T05:09:13+00:00</t>
  </si>
  <si>
    <t>MESQUITE</t>
  </si>
  <si>
    <t>75181-4902</t>
  </si>
  <si>
    <t>111-9467895-2307419</t>
  </si>
  <si>
    <t>2018-06-30T10:27:09+00:00</t>
  </si>
  <si>
    <t>2018-07-01T17:21:22+00:00</t>
  </si>
  <si>
    <t>33837-5748</t>
  </si>
  <si>
    <t>111-9766505-0451454</t>
  </si>
  <si>
    <t>2018-06-30T05:16:03+00:00</t>
  </si>
  <si>
    <t>2018-07-04T00:20:38+00:00</t>
  </si>
  <si>
    <t>SILVER SPRING</t>
  </si>
  <si>
    <t>20902-3315</t>
  </si>
  <si>
    <t>112-8729417-4914629</t>
  </si>
  <si>
    <t>2018-06-30T03:18:22+00:00</t>
  </si>
  <si>
    <t>2018-06-30T16:51:19+00:00</t>
  </si>
  <si>
    <t>CALEDONIA</t>
  </si>
  <si>
    <t>39740-9642</t>
  </si>
  <si>
    <t>112-2745423-2952251</t>
  </si>
  <si>
    <t>2018-06-30T03:13:59+00:00</t>
  </si>
  <si>
    <t>2018-07-01T09:28:12+00:00</t>
  </si>
  <si>
    <t>08648-4303</t>
  </si>
  <si>
    <t>113-8496636-9938637</t>
  </si>
  <si>
    <t>2018-06-30T03:12:29+00:00</t>
  </si>
  <si>
    <t>2018-06-30T22:41:08+00:00</t>
  </si>
  <si>
    <t>32830-8428</t>
  </si>
  <si>
    <t>113-0053746-8293835</t>
  </si>
  <si>
    <t>2018-06-30T02:23:02+00:00</t>
  </si>
  <si>
    <t>2018-06-30T21:28:12+00:00</t>
  </si>
  <si>
    <t>HANOVER</t>
  </si>
  <si>
    <t>55341-4027</t>
  </si>
  <si>
    <t>111-9134855-9622650</t>
  </si>
  <si>
    <t>2018-06-30T01:42:47+00:00</t>
  </si>
  <si>
    <t>2018-06-30T15:42:16+00:00</t>
  </si>
  <si>
    <t>CHARLOTTESVILLE</t>
  </si>
  <si>
    <t>22903-7487</t>
  </si>
  <si>
    <t>113-8174135-6865026</t>
  </si>
  <si>
    <t>2018-06-30T01:24:36+00:00</t>
  </si>
  <si>
    <t>2018-06-30T17:16:05+00:00</t>
  </si>
  <si>
    <t>112-3523109-4507449</t>
  </si>
  <si>
    <t>2018-06-30T00:20:39+00:00</t>
  </si>
  <si>
    <t>2018-07-01T00:30:05+00:00</t>
  </si>
  <si>
    <t>75216-5120</t>
  </si>
  <si>
    <t>111-8268585-6840266</t>
  </si>
  <si>
    <t>2018-06-30T00:16:04+00:00</t>
  </si>
  <si>
    <t>2018-07-02T00:26:19+00:00</t>
  </si>
  <si>
    <t>Springfield</t>
  </si>
  <si>
    <t>113-7508397-1083429</t>
  </si>
  <si>
    <t>2018-06-30T00:11:46+00:00</t>
  </si>
  <si>
    <t>2018-06-30T16:44:17+00:00</t>
  </si>
  <si>
    <t>MONTROSE</t>
  </si>
  <si>
    <t>81401-5779</t>
  </si>
  <si>
    <t>S01-4927133-2481008</t>
  </si>
  <si>
    <t>xi71hRs110</t>
  </si>
  <si>
    <t>2018-07-01T17:53:30+00:00</t>
  </si>
  <si>
    <t>2018-07-01T17:54:05+00:00</t>
  </si>
  <si>
    <t>114-4995542-8576247</t>
  </si>
  <si>
    <t>2018-07-01T23:38:30+00:00</t>
  </si>
  <si>
    <t>2018-07-03T02:23:36+00:00</t>
  </si>
  <si>
    <t>Realistic Reborn Baby Doll Girl Silicone Vinyl Rose Red Tutu Skirt 22 Inches</t>
  </si>
  <si>
    <t>DO-YULQ115-R2-22</t>
  </si>
  <si>
    <t>B0788N9R3H</t>
  </si>
  <si>
    <t>DARLINGTON</t>
  </si>
  <si>
    <t>16115-1103</t>
  </si>
  <si>
    <t>114-3195121-2449046</t>
  </si>
  <si>
    <t>2018-07-01T23:31:01+00:00</t>
  </si>
  <si>
    <t>2018-07-03T00:21:47+00:00</t>
  </si>
  <si>
    <t>Reborn Baby Dolls Boy Look Real Silicone Grey Outfit 22 Inches</t>
  </si>
  <si>
    <t>DO-YULQ073-LGR-22</t>
  </si>
  <si>
    <t>B0792VRZ89</t>
  </si>
  <si>
    <t>RURAL HALL</t>
  </si>
  <si>
    <t>27045-9297</t>
  </si>
  <si>
    <t>113-0832422-6724238</t>
  </si>
  <si>
    <t>2018-07-01T22:13:55+00:00</t>
  </si>
  <si>
    <t>2018-07-02T10:47:38+00:00</t>
  </si>
  <si>
    <t>CLOVIS</t>
  </si>
  <si>
    <t>93611-7086</t>
  </si>
  <si>
    <t>111-3588729-2493050</t>
  </si>
  <si>
    <t>2018-07-01T21:24:30+00:00</t>
  </si>
  <si>
    <t>2018-07-02T03:28:37+00:00</t>
  </si>
  <si>
    <t>HATFIELD</t>
  </si>
  <si>
    <t>01038-9701</t>
  </si>
  <si>
    <t>113-1829584-8081842</t>
  </si>
  <si>
    <t>2018-07-01T20:37:11+00:00</t>
  </si>
  <si>
    <t>2018-07-02T17:28:26+00:00</t>
  </si>
  <si>
    <t>NATCHITOCHES</t>
  </si>
  <si>
    <t>71457-6962</t>
  </si>
  <si>
    <t>113-7332971-5709846</t>
  </si>
  <si>
    <t>2018-07-01T20:07:19+00:00</t>
  </si>
  <si>
    <t>2018-07-02T18:46:05+00:00</t>
  </si>
  <si>
    <t>cypress</t>
  </si>
  <si>
    <t>Tx</t>
  </si>
  <si>
    <t>112-0913190-1157067</t>
  </si>
  <si>
    <t>2018-07-01T19:59:41+00:00</t>
  </si>
  <si>
    <t>2018-07-02T15:35:28+00:00</t>
  </si>
  <si>
    <t>BREMEN</t>
  </si>
  <si>
    <t>30110-2304</t>
  </si>
  <si>
    <t>114-3942536-4430631</t>
  </si>
  <si>
    <t>2018-07-01T19:17:28+00:00</t>
  </si>
  <si>
    <t>2018-07-02T15:56:01+00:00</t>
  </si>
  <si>
    <t>SUISUN CITY</t>
  </si>
  <si>
    <t>94585-3721</t>
  </si>
  <si>
    <t>113-8569830-1873060</t>
  </si>
  <si>
    <t>2018-07-01T19:04:07+00:00</t>
  </si>
  <si>
    <t>2018-07-02T08:20:41+00:00</t>
  </si>
  <si>
    <t>SOUTHBRIDGE</t>
  </si>
  <si>
    <t>01550-3158</t>
  </si>
  <si>
    <t>111-7921667-2030645</t>
  </si>
  <si>
    <t>2018-07-01T18:50:15+00:00</t>
  </si>
  <si>
    <t>2018-07-04T02:22:02+00:00</t>
  </si>
  <si>
    <t>114-4359935-1510658</t>
  </si>
  <si>
    <t>2018-07-01T18:13:29+00:00</t>
  </si>
  <si>
    <t>2018-07-04T14:36:30+00:00</t>
  </si>
  <si>
    <t>33166-2345</t>
  </si>
  <si>
    <t>111-9582127-2272229</t>
  </si>
  <si>
    <t>2018-07-01T18:07:16+00:00</t>
  </si>
  <si>
    <t>2018-07-02T05:37:36+00:00</t>
  </si>
  <si>
    <t>BEND</t>
  </si>
  <si>
    <t>97702-3577</t>
  </si>
  <si>
    <t>113-4973617-8181861</t>
  </si>
  <si>
    <t>2018-07-01T17:58:03+00:00</t>
  </si>
  <si>
    <t>2018-07-02T07:14:59+00:00</t>
  </si>
  <si>
    <t>MORGANVILLE</t>
  </si>
  <si>
    <t>07751-4656</t>
  </si>
  <si>
    <t>114-4076680-0538652</t>
  </si>
  <si>
    <t>2018-07-01T16:17:52+00:00</t>
  </si>
  <si>
    <t>2018-07-02T10:30:44+00:00</t>
  </si>
  <si>
    <t>CHIPLEY</t>
  </si>
  <si>
    <t>32428-3961</t>
  </si>
  <si>
    <t>114-3622069-1136232</t>
  </si>
  <si>
    <t>2018-07-01T16:13:18+00:00</t>
  </si>
  <si>
    <t>2018-07-02T03:08:54+00:00</t>
  </si>
  <si>
    <t>46205-4602</t>
  </si>
  <si>
    <t>111-2749414-5189034</t>
  </si>
  <si>
    <t>2018-07-01T16:06:32+00:00</t>
  </si>
  <si>
    <t>2018-07-02T20:54:26+00:00</t>
  </si>
  <si>
    <t>DES PERES</t>
  </si>
  <si>
    <t>63131-2212</t>
  </si>
  <si>
    <t>112-4760060-2301004</t>
  </si>
  <si>
    <t>2018-07-01T15:01:10+00:00</t>
  </si>
  <si>
    <t>2018-07-02T05:04:53+00:00</t>
  </si>
  <si>
    <t>DOLL-7056-0R-11</t>
  </si>
  <si>
    <t>ELKRIDGE</t>
  </si>
  <si>
    <t>21075-6559</t>
  </si>
  <si>
    <t>112-2856387-1429833</t>
  </si>
  <si>
    <t>2018-07-01T14:25:06+00:00</t>
  </si>
  <si>
    <t>2018-07-01T22:31:38+00:00</t>
  </si>
  <si>
    <t>02770-1846</t>
  </si>
  <si>
    <t>113-9923131-3082600</t>
  </si>
  <si>
    <t>2018-07-01T13:07:15+00:00</t>
  </si>
  <si>
    <t>2018-07-06T02:46:56+00:00</t>
  </si>
  <si>
    <t>33172-3593</t>
  </si>
  <si>
    <t>111-9089284-1531460</t>
  </si>
  <si>
    <t>2018-07-01T13:04:55+00:00</t>
  </si>
  <si>
    <t>2018-07-02T08:04:10+00:00</t>
  </si>
  <si>
    <t>MONTGOMERY</t>
  </si>
  <si>
    <t>77316-6763</t>
  </si>
  <si>
    <t>113-2609676-0958636</t>
  </si>
  <si>
    <t>2018-07-01T10:41:57+00:00</t>
  </si>
  <si>
    <t>2018-07-02T09:15:47+00:00</t>
  </si>
  <si>
    <t>02149-2741</t>
  </si>
  <si>
    <t>112-0297151-8589845</t>
  </si>
  <si>
    <t>2018-07-01T05:27:25+00:00</t>
  </si>
  <si>
    <t>2018-07-06T04:25:24+00:00</t>
  </si>
  <si>
    <t>77388-2007</t>
  </si>
  <si>
    <t>112-7763126-1613018</t>
  </si>
  <si>
    <t>2018-07-01T03:08:15+00:00</t>
  </si>
  <si>
    <t>2018-07-02T00:36:22+00:00</t>
  </si>
  <si>
    <t>SANTA CLARA</t>
  </si>
  <si>
    <t>95050-6903</t>
  </si>
  <si>
    <t>113-7480062-1033804</t>
  </si>
  <si>
    <t>2018-07-01T01:40:26+00:00</t>
  </si>
  <si>
    <t>2018-07-05T17:07:33+00:00</t>
  </si>
  <si>
    <t>LASHMEET</t>
  </si>
  <si>
    <t>24733-9779</t>
  </si>
  <si>
    <t>113-5828222-7075417</t>
  </si>
  <si>
    <t>2018-07-01T00:59:54+00:00</t>
  </si>
  <si>
    <t>2018-07-01T09:39:25+00:00</t>
  </si>
  <si>
    <t>114-7705419-1569803</t>
  </si>
  <si>
    <t>2018-07-01T00:25:01+00:00</t>
  </si>
  <si>
    <t>2018-07-01T20:20:07+00:00</t>
  </si>
  <si>
    <t>MONT BELVIEU</t>
  </si>
  <si>
    <t>77523-1500</t>
  </si>
  <si>
    <t>111-0083474-5101035</t>
  </si>
  <si>
    <t>2018-07-01T00:13:13+00:00</t>
  </si>
  <si>
    <t>2018-07-03T03:44:02+00:00</t>
  </si>
  <si>
    <t>58501-9331</t>
  </si>
  <si>
    <t>114-3645040-7615417</t>
  </si>
  <si>
    <t>2018-07-02T23:44:59+00:00</t>
  </si>
  <si>
    <t>2018-07-02T23:45:09+00:00</t>
  </si>
  <si>
    <t>112-4911948-1863407</t>
  </si>
  <si>
    <t>2018-07-02T23:35:40+00:00</t>
  </si>
  <si>
    <t>2018-07-04T16:33:28+00:00</t>
  </si>
  <si>
    <t>07107-2558</t>
  </si>
  <si>
    <t>113-4010092-5834614</t>
  </si>
  <si>
    <t>2018-07-02T23:34:30+00:00</t>
  </si>
  <si>
    <t>2018-07-04T04:01:07+00:00</t>
  </si>
  <si>
    <t>SOLON</t>
  </si>
  <si>
    <t>52333-9454</t>
  </si>
  <si>
    <t>114-8108716-3522638</t>
  </si>
  <si>
    <t>2018-07-02T22:21:32+00:00</t>
  </si>
  <si>
    <t>2018-07-06T21:57:34+00:00</t>
  </si>
  <si>
    <t>SCOTIA</t>
  </si>
  <si>
    <t>12302-3648</t>
  </si>
  <si>
    <t>114-2633163-2105848</t>
  </si>
  <si>
    <t>2018-07-02T21:56:08+00:00</t>
  </si>
  <si>
    <t>2018-07-04T00:34:30+00:00</t>
  </si>
  <si>
    <t>62301-1654</t>
  </si>
  <si>
    <t>111-2338831-2241054</t>
  </si>
  <si>
    <t>2018-07-02T21:49:02+00:00</t>
  </si>
  <si>
    <t>2018-07-03T03:13:22+00:00</t>
  </si>
  <si>
    <t>HYDE PARK</t>
  </si>
  <si>
    <t>12538-2908</t>
  </si>
  <si>
    <t>113-5955098-2719409</t>
  </si>
  <si>
    <t>2018-07-02T21:35:20+00:00</t>
  </si>
  <si>
    <t>2018-07-03T20:04:51+00:00</t>
  </si>
  <si>
    <t>ODENTON</t>
  </si>
  <si>
    <t>21113-2129</t>
  </si>
  <si>
    <t>114-9024308-6808262</t>
  </si>
  <si>
    <t>2018-07-02T21:28:34+00:00</t>
  </si>
  <si>
    <t>2018-07-02T21:33:46+00:00</t>
  </si>
  <si>
    <t>112-6295028-8641015</t>
  </si>
  <si>
    <t>2018-07-02T21:19:01+00:00</t>
  </si>
  <si>
    <t>2018-07-03T23:35:31+00:00</t>
  </si>
  <si>
    <t>DUNWOODY</t>
  </si>
  <si>
    <t>30360-1904</t>
  </si>
  <si>
    <t>114-6439969-8304214</t>
  </si>
  <si>
    <t>2018-07-02T21:05:27+00:00</t>
  </si>
  <si>
    <t>2018-07-05T22:39:23+00:00</t>
  </si>
  <si>
    <t>Reborn Baby Dolls Boy Look Real Lifelike Toddler Silicone Vinyl Dots Outfit With Toy Bear 22 Inches</t>
  </si>
  <si>
    <t>DO-YULQ172-BD-22</t>
  </si>
  <si>
    <t>B079513H1Q</t>
  </si>
  <si>
    <t>33122-1638</t>
  </si>
  <si>
    <t>112-4486904-7702636</t>
  </si>
  <si>
    <t>2018-07-02T20:52:36+00:00</t>
  </si>
  <si>
    <t>2018-07-05T20:14:58+00:00</t>
  </si>
  <si>
    <t>RICHWOOD</t>
  </si>
  <si>
    <t>43344-1265</t>
  </si>
  <si>
    <t>111-8909342-3229045</t>
  </si>
  <si>
    <t>2018-07-02T20:47:59+00:00</t>
  </si>
  <si>
    <t>2018-07-02T22:21:10+00:00</t>
  </si>
  <si>
    <t>111-3729521-4573013</t>
  </si>
  <si>
    <t>2018-07-02T20:47:11+00:00</t>
  </si>
  <si>
    <t>111-4203442-1233009</t>
  </si>
  <si>
    <t>2018-07-02T19:55:01+00:00</t>
  </si>
  <si>
    <t>2018-07-02T23:24:56+00:00</t>
  </si>
  <si>
    <t>20020-3539</t>
  </si>
  <si>
    <t>111-7094458-7320224</t>
  </si>
  <si>
    <t>2018-07-02T19:53:39+00:00</t>
  </si>
  <si>
    <t>2018-07-02T19:56:38+00:00</t>
  </si>
  <si>
    <t>114-6322001-0933052</t>
  </si>
  <si>
    <t>2018-07-02T19:53:19+00:00</t>
  </si>
  <si>
    <t>2018-07-03T04:14:47+00:00</t>
  </si>
  <si>
    <t>95206-4681</t>
  </si>
  <si>
    <t>114-0715286-8768264</t>
  </si>
  <si>
    <t>2018-07-02T19:51:08+00:00</t>
  </si>
  <si>
    <t>2018-07-04T12:28:15+00:00</t>
  </si>
  <si>
    <t>MONROE</t>
  </si>
  <si>
    <t>98272-2321</t>
  </si>
  <si>
    <t>113-1725719-6053846</t>
  </si>
  <si>
    <t>2018-07-02T19:14:51+00:00</t>
  </si>
  <si>
    <t>2018-07-03T04:23:41+00:00</t>
  </si>
  <si>
    <t>MCKINNEY</t>
  </si>
  <si>
    <t>75071-6539</t>
  </si>
  <si>
    <t>114-5540453-6958619</t>
  </si>
  <si>
    <t>2018-07-02T19:03:15+00:00</t>
  </si>
  <si>
    <t>2018-07-03T12:12:32+00:00</t>
  </si>
  <si>
    <t>113-5483887-6101806</t>
  </si>
  <si>
    <t>2018-07-02T18:36:54+00:00</t>
  </si>
  <si>
    <t>2018-07-03T10:45:32+00:00</t>
  </si>
  <si>
    <t>113-5308518-4676221</t>
  </si>
  <si>
    <t>2018-07-02T18:26:55+00:00</t>
  </si>
  <si>
    <t>2018-07-03T03:22:44+00:00</t>
  </si>
  <si>
    <t>66503-9650</t>
  </si>
  <si>
    <t>113-5218816-0113850</t>
  </si>
  <si>
    <t>2018-07-02T18:16:02+00:00</t>
  </si>
  <si>
    <t>2018-07-04T06:06:55+00:00</t>
  </si>
  <si>
    <t>90028-4403</t>
  </si>
  <si>
    <t>111-4105097-9256208</t>
  </si>
  <si>
    <t>2018-07-02T16:46:44+00:00</t>
  </si>
  <si>
    <t>2018-07-02T21:27:34+00:00</t>
  </si>
  <si>
    <t>114-0026942-8775470</t>
  </si>
  <si>
    <t>2018-07-02T16:42:17+00:00</t>
  </si>
  <si>
    <t>2018-07-06T13:31:43+00:00</t>
  </si>
  <si>
    <t>INWOOD</t>
  </si>
  <si>
    <t>51240-7573</t>
  </si>
  <si>
    <t>111-0972331-5863401</t>
  </si>
  <si>
    <t>2018-07-02T16:13:41+00:00</t>
  </si>
  <si>
    <t>2018-07-03T15:59:02+00:00</t>
  </si>
  <si>
    <t>CHESTERFIELD</t>
  </si>
  <si>
    <t>48051-3218</t>
  </si>
  <si>
    <t>111-0407972-6572230</t>
  </si>
  <si>
    <t>2018-07-02T15:56:12+00:00</t>
  </si>
  <si>
    <t>2018-07-03T03:03:13+00:00</t>
  </si>
  <si>
    <t>28056-6667</t>
  </si>
  <si>
    <t>114-3369769-1368216</t>
  </si>
  <si>
    <t>2018-07-02T15:50:45+00:00</t>
  </si>
  <si>
    <t>2018-07-03T08:16:02+00:00</t>
  </si>
  <si>
    <t>BALATON</t>
  </si>
  <si>
    <t>56115-3198</t>
  </si>
  <si>
    <t>113-1147755-6765003</t>
  </si>
  <si>
    <t>2018-07-02T15:41:28+00:00</t>
  </si>
  <si>
    <t>2018-07-03T23:35:44+00:00</t>
  </si>
  <si>
    <t>HERINGTON</t>
  </si>
  <si>
    <t>KANSAS</t>
  </si>
  <si>
    <t>67449-2233</t>
  </si>
  <si>
    <t>112-1767252-1382669</t>
  </si>
  <si>
    <t>2018-07-02T15:17:52+00:00</t>
  </si>
  <si>
    <t>2018-07-02T15:22:19+00:00</t>
  </si>
  <si>
    <t>LAKEWOOD</t>
  </si>
  <si>
    <t>44107-6108</t>
  </si>
  <si>
    <t>111-4238652-5842661</t>
  </si>
  <si>
    <t>2018-07-02T14:31:18+00:00</t>
  </si>
  <si>
    <t>2018-07-02T21:32:18+00:00</t>
  </si>
  <si>
    <t>VAN NUYS</t>
  </si>
  <si>
    <t>91411-3304</t>
  </si>
  <si>
    <t>113-6078449-0148247</t>
  </si>
  <si>
    <t>2018-07-02T14:16:08+00:00</t>
  </si>
  <si>
    <t>2018-07-03T19:21:14+00:00</t>
  </si>
  <si>
    <t>MELBOURNE</t>
  </si>
  <si>
    <t>32940-2362</t>
  </si>
  <si>
    <t>114-9650472-3022633</t>
  </si>
  <si>
    <t>2018-07-02T14:13:12+00:00</t>
  </si>
  <si>
    <t>2018-07-03T02:07:00+00:00</t>
  </si>
  <si>
    <t>Russellville</t>
  </si>
  <si>
    <t>113-2366986-2218623</t>
  </si>
  <si>
    <t>2018-07-02T13:58:40+00:00</t>
  </si>
  <si>
    <t>2018-07-02T20:01:15+00:00</t>
  </si>
  <si>
    <t>MELROSE</t>
  </si>
  <si>
    <t>02176-5228</t>
  </si>
  <si>
    <t>114-5311137-0609814</t>
  </si>
  <si>
    <t>2018-07-02T11:44:34+00:00</t>
  </si>
  <si>
    <t>2018-07-02T19:12:35+00:00</t>
  </si>
  <si>
    <t>MILLERSBURG</t>
  </si>
  <si>
    <t>17061-1140</t>
  </si>
  <si>
    <t>113-3308110-0814637</t>
  </si>
  <si>
    <t>2018-07-02T06:48:38+00:00</t>
  </si>
  <si>
    <t>2018-07-04T04:36:48+00:00</t>
  </si>
  <si>
    <t>DISCOVERY BAY</t>
  </si>
  <si>
    <t>94505-2626</t>
  </si>
  <si>
    <t>112-3362968-7705036</t>
  </si>
  <si>
    <t>2018-07-02T04:08:00+00:00</t>
  </si>
  <si>
    <t>2018-07-03T00:28:06+00:00</t>
  </si>
  <si>
    <t>PASADENA</t>
  </si>
  <si>
    <t>21122-7212</t>
  </si>
  <si>
    <t>112-4742417-5185023</t>
  </si>
  <si>
    <t>2018-07-02T03:58:23+00:00</t>
  </si>
  <si>
    <t>2018-07-02T23:04:32+00:00</t>
  </si>
  <si>
    <t>93309-4235</t>
  </si>
  <si>
    <t>111-3914862-2590608</t>
  </si>
  <si>
    <t>2018-07-02T03:37:30+00:00</t>
  </si>
  <si>
    <t>2018-07-02T16:23:14+00:00</t>
  </si>
  <si>
    <t>SUNSET BEACH</t>
  </si>
  <si>
    <t>28468-6171</t>
  </si>
  <si>
    <t>111-9487291-0477017</t>
  </si>
  <si>
    <t>2018-07-02T02:22:34+00:00</t>
  </si>
  <si>
    <t>2018-07-02T20:48:08+00:00</t>
  </si>
  <si>
    <t>Prosper</t>
  </si>
  <si>
    <t>114-8671269-2342651</t>
  </si>
  <si>
    <t>2018-07-02T02:15:08+00:00</t>
  </si>
  <si>
    <t>2018-07-02T05:04:48+00:00</t>
  </si>
  <si>
    <t>Livonia</t>
  </si>
  <si>
    <t>Michigan</t>
  </si>
  <si>
    <t>111-1901583-2973859</t>
  </si>
  <si>
    <t>2018-07-02T02:04:54+00:00</t>
  </si>
  <si>
    <t>2018-07-03T04:02:57+00:00</t>
  </si>
  <si>
    <t>Lakeview</t>
  </si>
  <si>
    <t>111-0955649-0685041</t>
  </si>
  <si>
    <t>2018-07-02T01:09:59+00:00</t>
  </si>
  <si>
    <t>2018-07-03T00:43:00+00:00</t>
  </si>
  <si>
    <t>LAKE GROVE</t>
  </si>
  <si>
    <t>11755-2023</t>
  </si>
  <si>
    <t>111-4887836-4048240</t>
  </si>
  <si>
    <t>2018-07-02T00:33:12+00:00</t>
  </si>
  <si>
    <t>2018-07-02T22:38:34+00:00</t>
  </si>
  <si>
    <t>DENVER</t>
  </si>
  <si>
    <t>80249-8158</t>
  </si>
  <si>
    <t>111-0437758-2069828</t>
  </si>
  <si>
    <t>2018-07-02T00:01:56+00:00</t>
  </si>
  <si>
    <t>2018-07-03T01:19:50+00:00</t>
  </si>
  <si>
    <t>KILLEEN</t>
  </si>
  <si>
    <t>76542-5909</t>
  </si>
  <si>
    <t>113-8536589-0814640</t>
  </si>
  <si>
    <t>2018-07-02T00:00:14+00:00</t>
  </si>
  <si>
    <t>2018-07-02T23:13:46+00:00</t>
  </si>
  <si>
    <t>Covington</t>
  </si>
  <si>
    <t>114-5339856-1208269</t>
  </si>
  <si>
    <t>2018-07-03T23:48:25+00:00</t>
  </si>
  <si>
    <t>2018-07-04T19:38:57+00:00</t>
  </si>
  <si>
    <t>80026-3488</t>
  </si>
  <si>
    <t>112-7190682-6329009</t>
  </si>
  <si>
    <t>2018-07-03T23:19:12+00:00</t>
  </si>
  <si>
    <t>2018-07-03T23:24:50+00:00</t>
  </si>
  <si>
    <t>114-8319054-8363415</t>
  </si>
  <si>
    <t>2018-07-03T23:16:20+00:00</t>
  </si>
  <si>
    <t>2018-07-04T18:05:21+00:00</t>
  </si>
  <si>
    <t>33165-4127</t>
  </si>
  <si>
    <t>113-1347897-4113805</t>
  </si>
  <si>
    <t>2018-07-03T23:08:25+00:00</t>
  </si>
  <si>
    <t>2018-07-04T18:04:56+00:00</t>
  </si>
  <si>
    <t>Star city</t>
  </si>
  <si>
    <t>Arkansas</t>
  </si>
  <si>
    <t>114-2522285-2179430</t>
  </si>
  <si>
    <t>2018-07-03T23:06:16+00:00</t>
  </si>
  <si>
    <t>2018-07-03T23:09:34+00:00</t>
  </si>
  <si>
    <t>114-2082296-1871453</t>
  </si>
  <si>
    <t>2018-07-03T22:46:53+00:00</t>
  </si>
  <si>
    <t>2018-07-04T02:52:27+00:00</t>
  </si>
  <si>
    <t>Tallahassee</t>
  </si>
  <si>
    <t>113-1394893-9684252</t>
  </si>
  <si>
    <t>2018-07-03T22:37:52+00:00</t>
  </si>
  <si>
    <t>2018-07-04T16:36:23+00:00</t>
  </si>
  <si>
    <t>114-8356947-3614645</t>
  </si>
  <si>
    <t>2018-07-03T22:28:02+00:00</t>
  </si>
  <si>
    <t>2018-07-03T22:31:48+00:00</t>
  </si>
  <si>
    <t>112-2541144-6409055</t>
  </si>
  <si>
    <t>2018-07-03T22:25:01+00:00</t>
  </si>
  <si>
    <t>2018-07-05T19:30:08+00:00</t>
  </si>
  <si>
    <t>GARDINER</t>
  </si>
  <si>
    <t>59030-9400</t>
  </si>
  <si>
    <t>111-4102216-1176231</t>
  </si>
  <si>
    <t>2018-07-03T21:07:22+00:00</t>
  </si>
  <si>
    <t>2018-07-04T07:29:35+00:00</t>
  </si>
  <si>
    <t>BELLMAWR</t>
  </si>
  <si>
    <t>08031-1539</t>
  </si>
  <si>
    <t>112-0156939-4777830</t>
  </si>
  <si>
    <t>2018-07-03T19:36:27+00:00</t>
  </si>
  <si>
    <t>2018-07-04T01:51:19+00:00</t>
  </si>
  <si>
    <t>Reno</t>
  </si>
  <si>
    <t>Nv</t>
  </si>
  <si>
    <t>113-6924236-2197024</t>
  </si>
  <si>
    <t>2018-07-03T19:01:16+00:00</t>
  </si>
  <si>
    <t>2018-07-03T19:08:58+00:00</t>
  </si>
  <si>
    <t>PALMETTO</t>
  </si>
  <si>
    <t>30268-1301</t>
  </si>
  <si>
    <t>114-6235789-0873802</t>
  </si>
  <si>
    <t>2018-07-03T18:26:31+00:00</t>
  </si>
  <si>
    <t>2018-07-03T18:26:36+00:00</t>
  </si>
  <si>
    <t>Pending</t>
  </si>
  <si>
    <t>Washington DC</t>
  </si>
  <si>
    <t>District of Columbia</t>
  </si>
  <si>
    <t>113-9469826-9083421</t>
  </si>
  <si>
    <t>2018-07-03T18:12:30+00:00</t>
  </si>
  <si>
    <t>2018-07-04T01:36:33+00:00</t>
  </si>
  <si>
    <t>SAINT JAMES</t>
  </si>
  <si>
    <t>56081-1904</t>
  </si>
  <si>
    <t>112-0826457-3349802</t>
  </si>
  <si>
    <t>2018-07-03T17:42:37+00:00</t>
  </si>
  <si>
    <t>2018-07-06T17:56:06+00:00</t>
  </si>
  <si>
    <t>33172-2144</t>
  </si>
  <si>
    <t>114-6936848-4225039</t>
  </si>
  <si>
    <t>2018-07-03T17:37:27+00:00</t>
  </si>
  <si>
    <t>2018-07-04T01:25:14+00:00</t>
  </si>
  <si>
    <t>NEWNAN</t>
  </si>
  <si>
    <t>30265-2435</t>
  </si>
  <si>
    <t>112-6896534-5661806</t>
  </si>
  <si>
    <t>2018-07-03T17:27:18+00:00</t>
  </si>
  <si>
    <t>2018-07-03T17:33:32+00:00</t>
  </si>
  <si>
    <t>113-6634239-2312229</t>
  </si>
  <si>
    <t>2018-07-03T17:10:54+00:00</t>
  </si>
  <si>
    <t>2018-07-04T04:17:03+00:00</t>
  </si>
  <si>
    <t>NASHVILLE</t>
  </si>
  <si>
    <t>112-0211557-1593047</t>
  </si>
  <si>
    <t>2018-07-03T16:51:15+00:00</t>
  </si>
  <si>
    <t>2018-07-03T17:04:25+00:00</t>
  </si>
  <si>
    <t>REVERE</t>
  </si>
  <si>
    <t>02151-2457</t>
  </si>
  <si>
    <t>112-5832487-1218608</t>
  </si>
  <si>
    <t>2018-07-03T16:36:34+00:00</t>
  </si>
  <si>
    <t>2018-07-06T18:01:14+00:00</t>
  </si>
  <si>
    <t>113-8097206-6265804</t>
  </si>
  <si>
    <t>2018-07-03T16:32:16+00:00</t>
  </si>
  <si>
    <t>2018-07-04T04:17:33+00:00</t>
  </si>
  <si>
    <t>Clendenin</t>
  </si>
  <si>
    <t>113-4593678-2360257</t>
  </si>
  <si>
    <t>2018-07-03T15:55:53+00:00</t>
  </si>
  <si>
    <t>2018-07-05T19:39:47+00:00</t>
  </si>
  <si>
    <t>Morgan city</t>
  </si>
  <si>
    <t>La</t>
  </si>
  <si>
    <t>113-7806963-5661061</t>
  </si>
  <si>
    <t>2018-07-03T15:46:26+00:00</t>
  </si>
  <si>
    <t>2018-07-09T01:41:46+00:00</t>
  </si>
  <si>
    <t>HUNTINGTON</t>
  </si>
  <si>
    <t>25701-4511</t>
  </si>
  <si>
    <t>113-9328985-8286654</t>
  </si>
  <si>
    <t>2018-07-03T14:44:26+00:00</t>
  </si>
  <si>
    <t>2018-07-03T20:29:08+00:00</t>
  </si>
  <si>
    <t>MCDONOUGH</t>
  </si>
  <si>
    <t>30252-6254</t>
  </si>
  <si>
    <t>113-6918421-3553823</t>
  </si>
  <si>
    <t>2018-07-03T14:41:26+00:00</t>
  </si>
  <si>
    <t>2018-07-03T17:44:26+00:00</t>
  </si>
  <si>
    <t>11221-2619</t>
  </si>
  <si>
    <t>112-8994161-3840269</t>
  </si>
  <si>
    <t>2018-07-03T14:36:56+00:00</t>
  </si>
  <si>
    <t>2018-07-03T18:17:18+00:00</t>
  </si>
  <si>
    <t>PATCHOGUE</t>
  </si>
  <si>
    <t>11772-3081</t>
  </si>
  <si>
    <t>111-9073691-1833812</t>
  </si>
  <si>
    <t>2018-07-03T13:43:59+00:00</t>
  </si>
  <si>
    <t>2018-07-03T22:09:42+00:00</t>
  </si>
  <si>
    <t>37658-3522</t>
  </si>
  <si>
    <t>112-6855142-7358668</t>
  </si>
  <si>
    <t>2018-07-03T13:09:47+00:00</t>
  </si>
  <si>
    <t>2018-07-03T21:40:07+00:00</t>
  </si>
  <si>
    <t>11249-4896</t>
  </si>
  <si>
    <t>114-2800546-7614620</t>
  </si>
  <si>
    <t>2018-07-03T13:03:03+00:00</t>
  </si>
  <si>
    <t>2018-07-04T10:12:11+00:00</t>
  </si>
  <si>
    <t>Katy</t>
  </si>
  <si>
    <t>77493-3240</t>
  </si>
  <si>
    <t>113-7877695-8340231</t>
  </si>
  <si>
    <t>2018-07-03T12:20:29+00:00</t>
  </si>
  <si>
    <t>2018-07-03T20:19:20+00:00</t>
  </si>
  <si>
    <t>HIBBING</t>
  </si>
  <si>
    <t>55746-8566</t>
  </si>
  <si>
    <t>112-0408476-9794619</t>
  </si>
  <si>
    <t>2018-07-03T11:29:07+00:00</t>
  </si>
  <si>
    <t>2018-07-04T07:19:24+00:00</t>
  </si>
  <si>
    <t>CHARLESTOWN</t>
  </si>
  <si>
    <t>02813-2810</t>
  </si>
  <si>
    <t>113-7175370-6522668</t>
  </si>
  <si>
    <t>2018-07-03T09:02:26+00:00</t>
  </si>
  <si>
    <t>2018-07-03T22:34:16+00:00</t>
  </si>
  <si>
    <t>BROOKHAVEN</t>
  </si>
  <si>
    <t>19015-1909</t>
  </si>
  <si>
    <t>114-5135920-3533051</t>
  </si>
  <si>
    <t>2018-07-03T04:58:05+00:00</t>
  </si>
  <si>
    <t>2018-07-03T11:57:33+00:00</t>
  </si>
  <si>
    <t>RENTON</t>
  </si>
  <si>
    <t>114-4968231-9947414</t>
  </si>
  <si>
    <t>2018-07-03T04:31:21+00:00</t>
  </si>
  <si>
    <t>2018-07-03T04:31:30+00:00</t>
  </si>
  <si>
    <t>113-3595543-2553819</t>
  </si>
  <si>
    <t>2018-07-03T02:52:39+00:00</t>
  </si>
  <si>
    <t>2018-07-03T22:45:57+00:00</t>
  </si>
  <si>
    <t>113-6115479-1985041</t>
  </si>
  <si>
    <t>2018-07-03T02:36:41+00:00</t>
  </si>
  <si>
    <t>2018-07-03T14:39:30+00:00</t>
  </si>
  <si>
    <t>Media</t>
  </si>
  <si>
    <t>113-9786565-3702619</t>
  </si>
  <si>
    <t>2018-07-03T02:17:24+00:00</t>
  </si>
  <si>
    <t>2018-07-03T23:26:14+00:00</t>
  </si>
  <si>
    <t>111-9140528-0646601</t>
  </si>
  <si>
    <t>2018-07-03T01:37:23+00:00</t>
  </si>
  <si>
    <t>2018-07-03T16:05:04+00:00</t>
  </si>
  <si>
    <t>114-0338136-6876263</t>
  </si>
  <si>
    <t>2018-07-03T01:10:48+00:00</t>
  </si>
  <si>
    <t>2018-07-03T10:33:29+00:00</t>
  </si>
  <si>
    <t>TULSA</t>
  </si>
  <si>
    <t>74133-6651</t>
  </si>
  <si>
    <t>112-4477739-4648262</t>
  </si>
  <si>
    <t>2018-07-03T00:43:17+00:00</t>
  </si>
  <si>
    <t>2018-07-03T16:48:26+00:00</t>
  </si>
  <si>
    <t>LAKE SAINT LOUIS</t>
  </si>
  <si>
    <t>63367-1856</t>
  </si>
  <si>
    <t>111-5076429-6221811</t>
  </si>
  <si>
    <t>2018-07-03T00:21:31+00:00</t>
  </si>
  <si>
    <t>2018-07-03T00:21:42+00:00</t>
  </si>
  <si>
    <t>114-9413582-2115414</t>
  </si>
  <si>
    <t>2018-07-03T00:05:05+00:00</t>
  </si>
  <si>
    <t>2018-07-04T02:41:13+00:00</t>
  </si>
  <si>
    <t>80927-4064</t>
  </si>
  <si>
    <t>113-2750871-8637041</t>
  </si>
  <si>
    <t>2018-07-04T23:55:17+00:00</t>
  </si>
  <si>
    <t>2018-07-06T02:24:52+00:00</t>
  </si>
  <si>
    <t>20017-1547</t>
  </si>
  <si>
    <t>111-9768766-0100258</t>
  </si>
  <si>
    <t>2018-07-04T23:32:04+00:00</t>
  </si>
  <si>
    <t>2018-07-06T06:37:41+00:00</t>
  </si>
  <si>
    <t>ATLANTA</t>
  </si>
  <si>
    <t>30311-3907</t>
  </si>
  <si>
    <t>113-5424656-7105046</t>
  </si>
  <si>
    <t>2018-07-04T23:04:10+00:00</t>
  </si>
  <si>
    <t>2018-07-04T23:04:19+00:00</t>
  </si>
  <si>
    <t>113-3205766-3324265</t>
  </si>
  <si>
    <t>2018-07-04T23:02:36+00:00</t>
  </si>
  <si>
    <t>2018-07-04T23:04:06+00:00</t>
  </si>
  <si>
    <t>113-9593589-9584246</t>
  </si>
  <si>
    <t>2018-07-04T23:01:40+00:00</t>
  </si>
  <si>
    <t>2018-07-04T23:02:31+00:00</t>
  </si>
  <si>
    <t>113-5999493-0954662</t>
  </si>
  <si>
    <t>2018-07-04T22:56:28+00:00</t>
  </si>
  <si>
    <t>2018-07-04T23:00:52+00:00</t>
  </si>
  <si>
    <t>114-6330247-4749052</t>
  </si>
  <si>
    <t>2018-07-04T22:46:19+00:00</t>
  </si>
  <si>
    <t>2018-07-07T22:00:00+00:00</t>
  </si>
  <si>
    <t>91104-3158</t>
  </si>
  <si>
    <t>114-6062099-6994630</t>
  </si>
  <si>
    <t>2018-07-04T21:54:24+00:00</t>
  </si>
  <si>
    <t>2018-07-05T17:06:20+00:00</t>
  </si>
  <si>
    <t>77055-6108</t>
  </si>
  <si>
    <t>112-4915847-9837017</t>
  </si>
  <si>
    <t>2018-07-04T20:44:17+00:00</t>
  </si>
  <si>
    <t>2018-07-06T04:13:29+00:00</t>
  </si>
  <si>
    <t>08759-5190</t>
  </si>
  <si>
    <t>112-2643465-2395430</t>
  </si>
  <si>
    <t>2018-07-04T18:51:48+00:00</t>
  </si>
  <si>
    <t>2018-07-06T01:33:02+00:00</t>
  </si>
  <si>
    <t>AVONDALE</t>
  </si>
  <si>
    <t>85323-2583</t>
  </si>
  <si>
    <t>114-7191441-4877807</t>
  </si>
  <si>
    <t>2018-07-04T17:49:19+00:00</t>
  </si>
  <si>
    <t>2018-07-06T05:23:21+00:00</t>
  </si>
  <si>
    <t>SAN DIEGO</t>
  </si>
  <si>
    <t>92127-3619</t>
  </si>
  <si>
    <t>111-2845265-1019419</t>
  </si>
  <si>
    <t>2018-07-04T17:32:39+00:00</t>
  </si>
  <si>
    <t>2018-07-05T13:07:25+00:00</t>
  </si>
  <si>
    <t>30906-3047</t>
  </si>
  <si>
    <t>113-0950119-0665806</t>
  </si>
  <si>
    <t>2018-07-04T16:24:21+00:00</t>
  </si>
  <si>
    <t>2018-07-05T11:35:06+00:00</t>
  </si>
  <si>
    <t>WEST COVINA</t>
  </si>
  <si>
    <t>91792-2550</t>
  </si>
  <si>
    <t>111-1612975-1477035</t>
  </si>
  <si>
    <t>2018-07-04T14:59:48+00:00</t>
  </si>
  <si>
    <t>2018-07-06T15:37:36+00:00</t>
  </si>
  <si>
    <t>OAKES</t>
  </si>
  <si>
    <t>58474-1032</t>
  </si>
  <si>
    <t>112-0657525-6048267</t>
  </si>
  <si>
    <t>2018-07-04T14:34:37+00:00</t>
  </si>
  <si>
    <t>2018-07-05T23:08:49+00:00</t>
  </si>
  <si>
    <t>DO-YULQ158-W0-22</t>
  </si>
  <si>
    <t>33172-2177</t>
  </si>
  <si>
    <t>113-8279646-4401039</t>
  </si>
  <si>
    <t>2018-07-04T14:23:07+00:00</t>
  </si>
  <si>
    <t>2018-07-05T20:36:41+00:00</t>
  </si>
  <si>
    <t>WILLISTON PARK</t>
  </si>
  <si>
    <t>11596-1834</t>
  </si>
  <si>
    <t>112-1371237-8641049</t>
  </si>
  <si>
    <t>2018-07-04T12:46:43+00:00</t>
  </si>
  <si>
    <t>2018-07-05T20:20:16+00:00</t>
  </si>
  <si>
    <t>Full Silicone Reborn Baby Dolls Twins Girl Realistic Toddler Pink Outfit 22 Inches</t>
  </si>
  <si>
    <t>DO-YULQ639-R2-22</t>
  </si>
  <si>
    <t>B07BFVXKTL</t>
  </si>
  <si>
    <t>DALLASTOWN</t>
  </si>
  <si>
    <t>17313-9698</t>
  </si>
  <si>
    <t>111-6473136-8892261</t>
  </si>
  <si>
    <t>2018-07-04T10:56:26+00:00</t>
  </si>
  <si>
    <t>2018-07-05T16:24:00+00:00</t>
  </si>
  <si>
    <t>Rockaway Beach</t>
  </si>
  <si>
    <t>113-0873223-0386613</t>
  </si>
  <si>
    <t>2018-07-04T08:54:24+00:00</t>
  </si>
  <si>
    <t>2018-07-07T02:41:28+00:00</t>
  </si>
  <si>
    <t>HANNIBAL</t>
  </si>
  <si>
    <t>63401-2704</t>
  </si>
  <si>
    <t>111-7371763-3829044</t>
  </si>
  <si>
    <t>2018-07-04T07:58:22+00:00</t>
  </si>
  <si>
    <t>2018-07-04T18:59:03+00:00</t>
  </si>
  <si>
    <t>UNION CITY</t>
  </si>
  <si>
    <t>07087-4213</t>
  </si>
  <si>
    <t>112-4570558-9585005</t>
  </si>
  <si>
    <t>2018-07-04T04:20:11+00:00</t>
  </si>
  <si>
    <t>2018-07-06T23:58:24+00:00</t>
  </si>
  <si>
    <t>LEHIGH ACRES</t>
  </si>
  <si>
    <t>33976-3521</t>
  </si>
  <si>
    <t>111-8086079-8187462</t>
  </si>
  <si>
    <t>2018-07-04T03:45:10+00:00</t>
  </si>
  <si>
    <t>2018-07-05T10:29:39+00:00</t>
  </si>
  <si>
    <t>40220-3854</t>
  </si>
  <si>
    <t>113-2815576-4739459</t>
  </si>
  <si>
    <t>2018-07-04T03:08:49+00:00</t>
  </si>
  <si>
    <t>2018-07-04T07:58:48+00:00</t>
  </si>
  <si>
    <t>SYLMAR</t>
  </si>
  <si>
    <t>91342-6429</t>
  </si>
  <si>
    <t>111-4457980-6814604</t>
  </si>
  <si>
    <t>2018-07-04T02:58:11+00:00</t>
  </si>
  <si>
    <t>2018-07-06T04:34:14+00:00</t>
  </si>
  <si>
    <t>98059-7652</t>
  </si>
  <si>
    <t>113-1067625-3510624</t>
  </si>
  <si>
    <t>2018-07-04T02:48:43+00:00</t>
  </si>
  <si>
    <t>2018-07-06T20:33:28+00:00</t>
  </si>
  <si>
    <t>Pender</t>
  </si>
  <si>
    <t>112-6053435-0565065</t>
  </si>
  <si>
    <t>2018-07-04T01:47:26+00:00</t>
  </si>
  <si>
    <t>2018-07-04T17:37:39+00:00</t>
  </si>
  <si>
    <t>CARLSBAD</t>
  </si>
  <si>
    <t>92011-4669</t>
  </si>
  <si>
    <t>113-5575036-4413850</t>
  </si>
  <si>
    <t>2018-07-04T01:20:04+00:00</t>
  </si>
  <si>
    <t>2018-07-05T15:34:23+00:00</t>
  </si>
  <si>
    <t>113-9538747-4821855</t>
  </si>
  <si>
    <t>2018-07-04T01:16:37+00:00</t>
  </si>
  <si>
    <t>2018-07-04T08:50:59+00:00</t>
  </si>
  <si>
    <t>DERBY</t>
  </si>
  <si>
    <t>111-0580713-2315435</t>
  </si>
  <si>
    <t>2018-07-04T00:48:52+00:00</t>
  </si>
  <si>
    <t>2018-07-04T18:32:13+00:00</t>
  </si>
  <si>
    <t>60607-3529</t>
  </si>
  <si>
    <t>111-5933389-3717836</t>
  </si>
  <si>
    <t>2018-07-04T00:35:27+00:00</t>
  </si>
  <si>
    <t>2018-07-06T06:51:24+00:00</t>
  </si>
  <si>
    <t>Grove City</t>
  </si>
  <si>
    <t>112-3248210-0477036</t>
  </si>
  <si>
    <t>2018-07-04T00:18:47+00:00</t>
  </si>
  <si>
    <t>2018-07-04T02:10:42+00:00</t>
  </si>
  <si>
    <t>WEST CHICAGO</t>
  </si>
  <si>
    <t>113-5220926-5793011</t>
  </si>
  <si>
    <t>2018-07-04T00:02:02+00:00</t>
  </si>
  <si>
    <t>2018-07-08T07:24:34+00:00</t>
  </si>
  <si>
    <t>INDIANA</t>
  </si>
  <si>
    <t>15701-1430</t>
  </si>
  <si>
    <t>114-9620759-5601839</t>
  </si>
  <si>
    <t>2018-07-05T23:51:56+00:00</t>
  </si>
  <si>
    <t>2018-07-06T13:03:04+00:00</t>
  </si>
  <si>
    <t>BELMONT</t>
  </si>
  <si>
    <t>03220-3236</t>
  </si>
  <si>
    <t>114-1174601-4176231</t>
  </si>
  <si>
    <t>2018-07-05T23:47:03+00:00</t>
  </si>
  <si>
    <t>2018-07-06T21:51:51+00:00</t>
  </si>
  <si>
    <t>Peoria</t>
  </si>
  <si>
    <t>113-0565190-0346658</t>
  </si>
  <si>
    <t>2018-07-05T23:40:56+00:00</t>
  </si>
  <si>
    <t>2018-07-09T11:55:51+00:00</t>
  </si>
  <si>
    <t>33137-3935</t>
  </si>
  <si>
    <t>112-5731080-6757841</t>
  </si>
  <si>
    <t>2018-07-05T23:11:48+00:00</t>
  </si>
  <si>
    <t>2018-07-07T23:25:42+00:00</t>
  </si>
  <si>
    <t>KETCHIKAN</t>
  </si>
  <si>
    <t>99901-6226</t>
  </si>
  <si>
    <t>114-5736455-7191468</t>
  </si>
  <si>
    <t>2018-07-05T22:55:15+00:00</t>
  </si>
  <si>
    <t>2018-07-06T19:28:06+00:00</t>
  </si>
  <si>
    <t>LAKELAND</t>
  </si>
  <si>
    <t>33809-4004</t>
  </si>
  <si>
    <t>113-9156459-9045802</t>
  </si>
  <si>
    <t>2018-07-05T22:47:08+00:00</t>
  </si>
  <si>
    <t>2018-07-06T17:41:49+00:00</t>
  </si>
  <si>
    <t>33126-1626</t>
  </si>
  <si>
    <t>112-1359750-6712217</t>
  </si>
  <si>
    <t>2018-07-05T22:40:03+00:00</t>
  </si>
  <si>
    <t>2018-07-08T20:55:17+00:00</t>
  </si>
  <si>
    <t>Dry Prong</t>
  </si>
  <si>
    <t>112-7332724-3461828</t>
  </si>
  <si>
    <t>2018-07-05T22:38:11+00:00</t>
  </si>
  <si>
    <t>2018-07-07T02:57:40+00:00</t>
  </si>
  <si>
    <t>LEXINGTON</t>
  </si>
  <si>
    <t>27295-9286</t>
  </si>
  <si>
    <t>114-7370968-5837816</t>
  </si>
  <si>
    <t>2018-07-05T22:05:03+00:00</t>
  </si>
  <si>
    <t>2018-07-06T07:55:12+00:00</t>
  </si>
  <si>
    <t>BROWNSTOWN</t>
  </si>
  <si>
    <t>48173-9436</t>
  </si>
  <si>
    <t>111-7831739-0089065</t>
  </si>
  <si>
    <t>2018-07-05T22:02:42+00:00</t>
  </si>
  <si>
    <t>2018-07-06T19:27:08+00:00</t>
  </si>
  <si>
    <t>SOUTH PARIS</t>
  </si>
  <si>
    <t>04281-6345</t>
  </si>
  <si>
    <t>114-7615682-1101054</t>
  </si>
  <si>
    <t>2018-07-05T21:50:42+00:00</t>
  </si>
  <si>
    <t>2018-07-06T07:38:43+00:00</t>
  </si>
  <si>
    <t>113-6522914-9337033</t>
  </si>
  <si>
    <t>2018-07-05T21:36:52+00:00</t>
  </si>
  <si>
    <t>2018-07-06T22:29:16+00:00</t>
  </si>
  <si>
    <t>TUCSON</t>
  </si>
  <si>
    <t>85710-2206</t>
  </si>
  <si>
    <t>111-2807556-5857013</t>
  </si>
  <si>
    <t>2018-07-05T21:25:59+00:00</t>
  </si>
  <si>
    <t>2018-07-07T02:58:29+00:00</t>
  </si>
  <si>
    <t>oreland</t>
  </si>
  <si>
    <t>pa</t>
  </si>
  <si>
    <t>112-1166754-1205036</t>
  </si>
  <si>
    <t>2018-07-05T21:06:54+00:00</t>
  </si>
  <si>
    <t>2018-07-06T19:44:14+00:00</t>
  </si>
  <si>
    <t>SALEM</t>
  </si>
  <si>
    <t>08079-3407</t>
  </si>
  <si>
    <t>113-9983098-6289020</t>
  </si>
  <si>
    <t>2018-07-05T20:53:43+00:00</t>
  </si>
  <si>
    <t>2018-07-07T00:36:54+00:00</t>
  </si>
  <si>
    <t>19149-2813</t>
  </si>
  <si>
    <t>113-9483866-6219423</t>
  </si>
  <si>
    <t>2018-07-05T19:49:47+00:00</t>
  </si>
  <si>
    <t>2018-07-07T07:40:30+00:00</t>
  </si>
  <si>
    <t>Aventura</t>
  </si>
  <si>
    <t>33160-5223</t>
  </si>
  <si>
    <t>111-7891762-1663426</t>
  </si>
  <si>
    <t>2018-07-05T19:08:29+00:00</t>
  </si>
  <si>
    <t>2018-07-07T21:05:44+00:00</t>
  </si>
  <si>
    <t>Shippenville</t>
  </si>
  <si>
    <t>114-5427617-0415404</t>
  </si>
  <si>
    <t>2018-07-05T17:51:03+00:00</t>
  </si>
  <si>
    <t>2018-07-06T22:54:27+00:00</t>
  </si>
  <si>
    <t>GREELEY</t>
  </si>
  <si>
    <t>80634-2657</t>
  </si>
  <si>
    <t>111-5714609-1078628</t>
  </si>
  <si>
    <t>2018-07-05T17:40:42+00:00</t>
  </si>
  <si>
    <t>2018-07-06T17:35:56+00:00</t>
  </si>
  <si>
    <t>LUBBOCK</t>
  </si>
  <si>
    <t>79414-1512</t>
  </si>
  <si>
    <t>113-0159805-3241069</t>
  </si>
  <si>
    <t>2018-07-05T17:28:22+00:00</t>
  </si>
  <si>
    <t>2018-07-06T11:17:49+00:00</t>
  </si>
  <si>
    <t>74801-5314</t>
  </si>
  <si>
    <t>113-7364599-7685033</t>
  </si>
  <si>
    <t>2018-07-05T17:21:14+00:00</t>
  </si>
  <si>
    <t>2018-07-07T02:32:18+00:00</t>
  </si>
  <si>
    <t>111-9787202-2467452</t>
  </si>
  <si>
    <t>2018-07-05T17:20:33+00:00</t>
  </si>
  <si>
    <t>2018-07-06T04:30:23+00:00</t>
  </si>
  <si>
    <t>FRANKLIN</t>
  </si>
  <si>
    <t>37064-4994</t>
  </si>
  <si>
    <t>112-3482270-1599411</t>
  </si>
  <si>
    <t>2018-07-05T15:20:47+00:00</t>
  </si>
  <si>
    <t>2018-07-05T15:20:57+00:00</t>
  </si>
  <si>
    <t>EASTANOLLEE</t>
  </si>
  <si>
    <t>30538-2920</t>
  </si>
  <si>
    <t>112-2002785-4048230</t>
  </si>
  <si>
    <t>2018-07-05T15:03:21+00:00</t>
  </si>
  <si>
    <t>2018-07-05T15:03:30+00:00</t>
  </si>
  <si>
    <t>eastanollee</t>
  </si>
  <si>
    <t>ga</t>
  </si>
  <si>
    <t>112-6251130-5877844</t>
  </si>
  <si>
    <t>2018-07-05T14:42:52+00:00</t>
  </si>
  <si>
    <t>2018-07-05T14:44:18+00:00</t>
  </si>
  <si>
    <t>112-8870643-5251413</t>
  </si>
  <si>
    <t>2018-07-05T14:29:41+00:00</t>
  </si>
  <si>
    <t>2018-07-06T07:03:00+00:00</t>
  </si>
  <si>
    <t>SALUDA</t>
  </si>
  <si>
    <t>29138-7955</t>
  </si>
  <si>
    <t>112-7367613-6165039</t>
  </si>
  <si>
    <t>2018-07-05T14:25:11+00:00</t>
  </si>
  <si>
    <t>2018-07-05T14:29:07+00:00</t>
  </si>
  <si>
    <t>113-4267685-6713007</t>
  </si>
  <si>
    <t>2018-07-05T14:17:34+00:00</t>
  </si>
  <si>
    <t>2018-07-07T07:36:55+00:00</t>
  </si>
  <si>
    <t>33624-1290</t>
  </si>
  <si>
    <t>112-5330736-4405814</t>
  </si>
  <si>
    <t>2018-07-05T13:54:10+00:00</t>
  </si>
  <si>
    <t>2018-07-06T04:08:42+00:00</t>
  </si>
  <si>
    <t>113-1482215-5595464</t>
  </si>
  <si>
    <t>2018-07-05T13:16:56+00:00</t>
  </si>
  <si>
    <t>2018-07-05T14:55:56+00:00</t>
  </si>
  <si>
    <t>SPRINGFIELD</t>
  </si>
  <si>
    <t>01108-2742</t>
  </si>
  <si>
    <t>114-7716497-8765035</t>
  </si>
  <si>
    <t>2018-07-05T12:32:12+00:00</t>
  </si>
  <si>
    <t>2018-07-05T22:45:47+00:00</t>
  </si>
  <si>
    <t>Middletown</t>
  </si>
  <si>
    <t>62666-9710</t>
  </si>
  <si>
    <t>114-4087039-5837068</t>
  </si>
  <si>
    <t>2018-07-05T12:27:35+00:00</t>
  </si>
  <si>
    <t>2018-07-06T13:30:15+00:00</t>
  </si>
  <si>
    <t>BOCA RATON</t>
  </si>
  <si>
    <t>33428-2221</t>
  </si>
  <si>
    <t>114-0366722-6869027</t>
  </si>
  <si>
    <t>2018-07-05T12:15:18+00:00</t>
  </si>
  <si>
    <t>2018-07-07T02:20:34+00:00</t>
  </si>
  <si>
    <t>33178-4292</t>
  </si>
  <si>
    <t>113-6031967-7528204</t>
  </si>
  <si>
    <t>2018-07-05T06:53:51+00:00</t>
  </si>
  <si>
    <t>2018-07-05T06:54:05+00:00</t>
  </si>
  <si>
    <t>113-4258757-3107466</t>
  </si>
  <si>
    <t>2018-07-05T06:50:30+00:00</t>
  </si>
  <si>
    <t>2018-07-05T06:50:40+00:00</t>
  </si>
  <si>
    <t>114-3995041-3689823</t>
  </si>
  <si>
    <t>2018-07-05T03:08:59+00:00</t>
  </si>
  <si>
    <t>2018-07-05T21:41:47+00:00</t>
  </si>
  <si>
    <t>MOUNTAIN CITY</t>
  </si>
  <si>
    <t>37683-1365</t>
  </si>
  <si>
    <t>113-4130416-0105010</t>
  </si>
  <si>
    <t>2018-07-05T02:06:01+00:00</t>
  </si>
  <si>
    <t>2018-07-05T23:14:33+00:00</t>
  </si>
  <si>
    <t>VERNAL</t>
  </si>
  <si>
    <t>84078-2425</t>
  </si>
  <si>
    <t>113-8508271-4237853</t>
  </si>
  <si>
    <t>2018-07-05T01:49:56+00:00</t>
  </si>
  <si>
    <t>2018-07-07T04:25:21+00:00</t>
  </si>
  <si>
    <t>Rittman</t>
  </si>
  <si>
    <t>112-2932596-5253850</t>
  </si>
  <si>
    <t>2018-07-05T00:45:30+00:00</t>
  </si>
  <si>
    <t>2018-07-05T19:24:27+00:00</t>
  </si>
  <si>
    <t>GRAY</t>
  </si>
  <si>
    <t>31032-6210</t>
  </si>
  <si>
    <t>112-2151481-8569828</t>
  </si>
  <si>
    <t>2018-07-05T00:14:17+00:00</t>
  </si>
  <si>
    <t>2018-07-05T00:14:22+00:00</t>
  </si>
  <si>
    <t>WEST NEW YORK</t>
  </si>
  <si>
    <t>07093-4331</t>
  </si>
  <si>
    <t>S01-8516395-6843444</t>
  </si>
  <si>
    <t>xi762f1660</t>
  </si>
  <si>
    <t>2018-07-06T02:15:02+00:00</t>
  </si>
  <si>
    <t>2018-07-06T02:15:19+00:00</t>
  </si>
  <si>
    <t>112-1925818-3548266</t>
  </si>
  <si>
    <t>2018-07-06T23:45:50+00:00</t>
  </si>
  <si>
    <t>2018-07-08T05:17:32+00:00</t>
  </si>
  <si>
    <t>37217-1313</t>
  </si>
  <si>
    <t>113-2230219-5961853</t>
  </si>
  <si>
    <t>2018-07-06T23:31:53+00:00</t>
  </si>
  <si>
    <t>2018-07-08T00:29:36+00:00</t>
  </si>
  <si>
    <t>Union City</t>
  </si>
  <si>
    <t>New Jersey</t>
  </si>
  <si>
    <t>112-3388918-2004230</t>
  </si>
  <si>
    <t>2018-07-06T23:20:29+00:00</t>
  </si>
  <si>
    <t>2018-07-07T06:19:36+00:00</t>
  </si>
  <si>
    <t>33327-2463</t>
  </si>
  <si>
    <t>114-0337346-2029864</t>
  </si>
  <si>
    <t>2018-07-06T22:06:49+00:00</t>
  </si>
  <si>
    <t>2018-07-08T23:29:58+00:00</t>
  </si>
  <si>
    <t>OZONE PARK</t>
  </si>
  <si>
    <t>11416-1913</t>
  </si>
  <si>
    <t>112-5929824-8335418</t>
  </si>
  <si>
    <t>2018-07-06T22:04:20+00:00</t>
  </si>
  <si>
    <t>2018-07-07T07:21:19+00:00</t>
  </si>
  <si>
    <t>TEXARKANA</t>
  </si>
  <si>
    <t>75501-7369</t>
  </si>
  <si>
    <t>113-3406147-1345016</t>
  </si>
  <si>
    <t>2018-07-06T21:53:45+00:00</t>
  </si>
  <si>
    <t>2018-07-07T03:17:31+00:00</t>
  </si>
  <si>
    <t>BOURBONNAIS</t>
  </si>
  <si>
    <t>60914-5529</t>
  </si>
  <si>
    <t>113-3318220-6417836</t>
  </si>
  <si>
    <t>2018-07-06T21:17:32+00:00</t>
  </si>
  <si>
    <t>2018-07-08T02:04:28+00:00</t>
  </si>
  <si>
    <t>WONDER LAKE</t>
  </si>
  <si>
    <t>60097-7595</t>
  </si>
  <si>
    <t>113-7159816-1501810</t>
  </si>
  <si>
    <t>2018-07-06T20:33:26+00:00</t>
  </si>
  <si>
    <t>2018-07-07T04:38:48+00:00</t>
  </si>
  <si>
    <t>77494-5042</t>
  </si>
  <si>
    <t>111-4136972-6525004</t>
  </si>
  <si>
    <t>2018-07-06T20:31:22+00:00</t>
  </si>
  <si>
    <t>2018-07-07T02:35:11+00:00</t>
  </si>
  <si>
    <t>BLANCHARD</t>
  </si>
  <si>
    <t>51630-4006</t>
  </si>
  <si>
    <t>114-5367073-3132215</t>
  </si>
  <si>
    <t>2018-07-06T19:49:15+00:00</t>
  </si>
  <si>
    <t>2018-07-07T22:34:01+00:00</t>
  </si>
  <si>
    <t>WILLOW GROVE</t>
  </si>
  <si>
    <t>19090-2102</t>
  </si>
  <si>
    <t>112-2133415-2099409</t>
  </si>
  <si>
    <t>2018-07-06T19:12:37+00:00</t>
  </si>
  <si>
    <t>2018-07-07T03:07:00+00:00</t>
  </si>
  <si>
    <t>MISSOURI</t>
  </si>
  <si>
    <t>113-9996198-5766625</t>
  </si>
  <si>
    <t>2018-07-06T17:30:47+00:00</t>
  </si>
  <si>
    <t>2018-07-06T17:30:57+00:00</t>
  </si>
  <si>
    <t>LIBERTY</t>
  </si>
  <si>
    <t>12754-1209</t>
  </si>
  <si>
    <t>112-8655641-7465047</t>
  </si>
  <si>
    <t>2018-07-06T16:36:01+00:00</t>
  </si>
  <si>
    <t>2018-07-06T20:35:54+00:00</t>
  </si>
  <si>
    <t>WYLIE</t>
  </si>
  <si>
    <t>75098-7536</t>
  </si>
  <si>
    <t>114-7662886-6187425</t>
  </si>
  <si>
    <t>2018-07-06T16:10:28+00:00</t>
  </si>
  <si>
    <t>2018-07-09T18:45:34+00:00</t>
  </si>
  <si>
    <t>11210-3940</t>
  </si>
  <si>
    <t>112-0872012-6015446</t>
  </si>
  <si>
    <t>2018-07-06T16:09:15+00:00</t>
  </si>
  <si>
    <t>2018-07-06T16:09:20+00:00</t>
  </si>
  <si>
    <t>BRUCETON MILLS</t>
  </si>
  <si>
    <t>26525-6460</t>
  </si>
  <si>
    <t>114-1362100-4744245</t>
  </si>
  <si>
    <t>2018-07-06T15:34:39+00:00</t>
  </si>
  <si>
    <t>2018-07-06T22:48:27+00:00</t>
  </si>
  <si>
    <t>MOSS POINT</t>
  </si>
  <si>
    <t>39562-9462</t>
  </si>
  <si>
    <t>112-6461281-4322669</t>
  </si>
  <si>
    <t>2018-07-06T15:18:45+00:00</t>
  </si>
  <si>
    <t>2018-07-08T04:23:23+00:00</t>
  </si>
  <si>
    <t>32811-7636</t>
  </si>
  <si>
    <t>113-9318722-1053812</t>
  </si>
  <si>
    <t>2018-07-06T14:23:59+00:00</t>
  </si>
  <si>
    <t>2018-07-06T18:26:44+00:00</t>
  </si>
  <si>
    <t>Baltimore</t>
  </si>
  <si>
    <t>21237-3835</t>
  </si>
  <si>
    <t>112-0920996-9923459</t>
  </si>
  <si>
    <t>2018-07-06T14:18:25+00:00</t>
  </si>
  <si>
    <t>2018-07-06T18:44:41+00:00</t>
  </si>
  <si>
    <t>LAKE FOREST</t>
  </si>
  <si>
    <t>60045-2432</t>
  </si>
  <si>
    <t>113-6625329-1476210</t>
  </si>
  <si>
    <t>2018-07-06T14:07:09+00:00</t>
  </si>
  <si>
    <t>2018-07-06T19:34:06+00:00</t>
  </si>
  <si>
    <t>RHOME</t>
  </si>
  <si>
    <t>76078-2109</t>
  </si>
  <si>
    <t>111-6419926-2887427</t>
  </si>
  <si>
    <t>2018-07-06T13:55:33+00:00</t>
  </si>
  <si>
    <t>2018-07-08T02:55:19+00:00</t>
  </si>
  <si>
    <t>HENDERSONVILLE</t>
  </si>
  <si>
    <t>28792-7057</t>
  </si>
  <si>
    <t>111-2247197-2901862</t>
  </si>
  <si>
    <t>2018-07-06T13:32:00+00:00</t>
  </si>
  <si>
    <t>2018-07-06T13:35:14+00:00</t>
  </si>
  <si>
    <t>21225-3262</t>
  </si>
  <si>
    <t>111-3245618-0897038</t>
  </si>
  <si>
    <t>2018-07-06T13:05:44+00:00</t>
  </si>
  <si>
    <t>2018-07-07T03:05:51+00:00</t>
  </si>
  <si>
    <t>40513-1441</t>
  </si>
  <si>
    <t>112-0336553-8701051</t>
  </si>
  <si>
    <t>2018-07-06T12:53:20+00:00</t>
  </si>
  <si>
    <t>2018-07-07T07:25:47+00:00</t>
  </si>
  <si>
    <t>WESTERLY</t>
  </si>
  <si>
    <t>02891-2249</t>
  </si>
  <si>
    <t>114-3589122-4865041</t>
  </si>
  <si>
    <t>2018-07-06T12:51:06+00:00</t>
  </si>
  <si>
    <t>2018-07-08T02:56:11+00:00</t>
  </si>
  <si>
    <t>BEAUMONT</t>
  </si>
  <si>
    <t>77706-6409</t>
  </si>
  <si>
    <t>114-5983909-5781019</t>
  </si>
  <si>
    <t>2018-07-06T12:27:33+00:00</t>
  </si>
  <si>
    <t>2018-07-07T07:26:45+00:00</t>
  </si>
  <si>
    <t>33634-4700</t>
  </si>
  <si>
    <t>113-0447431-6073826</t>
  </si>
  <si>
    <t>2018-07-06T08:30:41+00:00</t>
  </si>
  <si>
    <t>2018-07-06T08:31:34+00:00</t>
  </si>
  <si>
    <t>CORPUS CHRISTI</t>
  </si>
  <si>
    <t>78414-3663</t>
  </si>
  <si>
    <t>113-8091181-2282644</t>
  </si>
  <si>
    <t>2018-07-06T07:48:35+00:00</t>
  </si>
  <si>
    <t>2018-07-07T00:43:59+00:00</t>
  </si>
  <si>
    <t>113-3679433-6949065</t>
  </si>
  <si>
    <t>2018-07-06T07:07:32+00:00</t>
  </si>
  <si>
    <t>2018-07-07T08:07:18+00:00</t>
  </si>
  <si>
    <t>ODESSA</t>
  </si>
  <si>
    <t>64076-6484</t>
  </si>
  <si>
    <t>113-1225372-3963453</t>
  </si>
  <si>
    <t>2018-07-06T05:19:08+00:00</t>
  </si>
  <si>
    <t>2018-07-07T02:37:02+00:00</t>
  </si>
  <si>
    <t>BARRON</t>
  </si>
  <si>
    <t>54812-1006</t>
  </si>
  <si>
    <t>111-3552944-6179416</t>
  </si>
  <si>
    <t>2018-07-06T05:00:29+00:00</t>
  </si>
  <si>
    <t>2018-07-07T00:33:33+00:00</t>
  </si>
  <si>
    <t>UKIAH</t>
  </si>
  <si>
    <t>113-1507288-9051456</t>
  </si>
  <si>
    <t>2018-07-06T04:10:38+00:00</t>
  </si>
  <si>
    <t>2018-07-06T05:41:59+00:00</t>
  </si>
  <si>
    <t>HESPERIA</t>
  </si>
  <si>
    <t>92345-7325</t>
  </si>
  <si>
    <t>114-9976537-8626651</t>
  </si>
  <si>
    <t>2018-07-06T04:06:41+00:00</t>
  </si>
  <si>
    <t>2018-07-06T09:56:46+00:00</t>
  </si>
  <si>
    <t>CASTAIC</t>
  </si>
  <si>
    <t>91384-4737</t>
  </si>
  <si>
    <t>112-0501845-7460216</t>
  </si>
  <si>
    <t>2018-07-06T03:15:06+00:00</t>
  </si>
  <si>
    <t>2018-07-07T03:43:38+00:00</t>
  </si>
  <si>
    <t>66109-2419</t>
  </si>
  <si>
    <t>112-9638966-4647421</t>
  </si>
  <si>
    <t>2018-07-06T02:47:20+00:00</t>
  </si>
  <si>
    <t>2018-07-07T02:32:35+00:00</t>
  </si>
  <si>
    <t>31407-5032</t>
  </si>
  <si>
    <t>112-7771967-9121013</t>
  </si>
  <si>
    <t>2018-07-06T02:44:38+00:00</t>
  </si>
  <si>
    <t>2018-07-06T21:56:38+00:00</t>
  </si>
  <si>
    <t>PARRISH</t>
  </si>
  <si>
    <t>34219-0761</t>
  </si>
  <si>
    <t>111-1246962-6110669</t>
  </si>
  <si>
    <t>2018-07-06T02:31:07+00:00</t>
  </si>
  <si>
    <t>2018-07-06T19:43:03+00:00</t>
  </si>
  <si>
    <t>SARTELL</t>
  </si>
  <si>
    <t>56377-4684</t>
  </si>
  <si>
    <t>112-5729911-1089024</t>
  </si>
  <si>
    <t>2018-07-06T02:00:16+00:00</t>
  </si>
  <si>
    <t>2018-07-06T19:43:02+00:00</t>
  </si>
  <si>
    <t>BRENTWOOD</t>
  </si>
  <si>
    <t>94513-1851</t>
  </si>
  <si>
    <t>112-2391599-6791449</t>
  </si>
  <si>
    <t>2018-07-06T01:53:59+00:00</t>
  </si>
  <si>
    <t>2018-07-06T01:57:49+00:00</t>
  </si>
  <si>
    <t>Guaynabo</t>
  </si>
  <si>
    <t>113-9415926-5029868</t>
  </si>
  <si>
    <t>2018-07-06T00:51:51+00:00</t>
  </si>
  <si>
    <t>2018-07-06T21:40:53+00:00</t>
  </si>
  <si>
    <t>PENNSBORO</t>
  </si>
  <si>
    <t>26415-0132</t>
  </si>
  <si>
    <t>114-7049541-3456239</t>
  </si>
  <si>
    <t>2018-07-06T00:20:24+00:00</t>
  </si>
  <si>
    <t>2018-07-07T21:41:11+00:00</t>
  </si>
  <si>
    <t>15237-2064</t>
  </si>
  <si>
    <t>112-4335695-7657847</t>
  </si>
  <si>
    <t>2018-07-06T00:08:29+00:00</t>
  </si>
  <si>
    <t>2018-07-06T12:23:29+00:00</t>
  </si>
  <si>
    <t>85085-7062</t>
  </si>
  <si>
    <t>112-2994670-5849065</t>
  </si>
  <si>
    <t>2018-07-07T23:43:43+00:00</t>
  </si>
  <si>
    <t>2018-07-08T21:07:03+00:00</t>
  </si>
  <si>
    <t>DEDEDO</t>
  </si>
  <si>
    <t>GUAM</t>
  </si>
  <si>
    <t>96929-5718</t>
  </si>
  <si>
    <t>111-4437135-0079424</t>
  </si>
  <si>
    <t>2018-07-07T22:29:39+00:00</t>
  </si>
  <si>
    <t>2018-07-08T07:42:46+00:00</t>
  </si>
  <si>
    <t>Charlotte</t>
  </si>
  <si>
    <t>113-4332751-5284236</t>
  </si>
  <si>
    <t>2018-07-07T22:21:29+00:00</t>
  </si>
  <si>
    <t>2018-07-07T22:23:17+00:00</t>
  </si>
  <si>
    <t>113-5251722-2825013</t>
  </si>
  <si>
    <t>2018-07-07T22:10:36+00:00</t>
  </si>
  <si>
    <t>2018-07-09T03:01:08+00:00</t>
  </si>
  <si>
    <t>FORT WHITE</t>
  </si>
  <si>
    <t>32038-4768</t>
  </si>
  <si>
    <t>111-9778224-7073021</t>
  </si>
  <si>
    <t>2018-07-07T21:54:49+00:00</t>
  </si>
  <si>
    <t>2018-07-08T08:45:53+00:00</t>
  </si>
  <si>
    <t>LAKE ELSINORE</t>
  </si>
  <si>
    <t>92530-5248</t>
  </si>
  <si>
    <t>114-9585761-1486659</t>
  </si>
  <si>
    <t>2018-07-07T21:45:23+00:00</t>
  </si>
  <si>
    <t>2018-07-08T06:24:21+00:00</t>
  </si>
  <si>
    <t>WEST UNION</t>
  </si>
  <si>
    <t>26456-6214</t>
  </si>
  <si>
    <t>113-9467198-6489067</t>
  </si>
  <si>
    <t>2018-07-07T20:45:47+00:00</t>
  </si>
  <si>
    <t>2018-07-08T06:40:38+00:00</t>
  </si>
  <si>
    <t>Pearl</t>
  </si>
  <si>
    <t>39208-3230</t>
  </si>
  <si>
    <t>112-2946955-5645030</t>
  </si>
  <si>
    <t>2018-07-07T20:08:15+00:00</t>
  </si>
  <si>
    <t>2018-07-09T08:26:53+00:00</t>
  </si>
  <si>
    <t>SUNRISE</t>
  </si>
  <si>
    <t>33326-2188</t>
  </si>
  <si>
    <t>114-6035970-2992209</t>
  </si>
  <si>
    <t>2018-07-07T19:54:21+00:00</t>
  </si>
  <si>
    <t>2018-07-09T22:22:26+00:00</t>
  </si>
  <si>
    <t>BLAIRSTOWN</t>
  </si>
  <si>
    <t>64726-9116</t>
  </si>
  <si>
    <t>111-7965257-2819409</t>
  </si>
  <si>
    <t>2018-07-07T19:39:43+00:00</t>
  </si>
  <si>
    <t>2018-07-09T12:30:18+00:00</t>
  </si>
  <si>
    <t>WESTMINSTER</t>
  </si>
  <si>
    <t>21157-4575</t>
  </si>
  <si>
    <t>112-8846608-6237828</t>
  </si>
  <si>
    <t>2018-07-07T18:40:42+00:00</t>
  </si>
  <si>
    <t>2018-07-08T14:26:18+00:00</t>
  </si>
  <si>
    <t>CLINTON</t>
  </si>
  <si>
    <t>20735-4428</t>
  </si>
  <si>
    <t>112-8399957-0910630</t>
  </si>
  <si>
    <t>2018-07-07T18:39:12+00:00</t>
  </si>
  <si>
    <t>2018-07-09T22:08:41+00:00</t>
  </si>
  <si>
    <t>33160-4777</t>
  </si>
  <si>
    <t>112-2299582-6561861</t>
  </si>
  <si>
    <t>2018-07-07T18:06:20+00:00</t>
  </si>
  <si>
    <t>2018-07-09T05:47:54+00:00</t>
  </si>
  <si>
    <t>jackson</t>
  </si>
  <si>
    <t>114-6538202-1345005</t>
  </si>
  <si>
    <t>2018-07-07T17:44:18+00:00</t>
  </si>
  <si>
    <t>2018-07-08T14:02:21+00:00</t>
  </si>
  <si>
    <t>Full Silicone Reborn Baby Dolls Twins Boy Realistic Toddler Light Gray Outfit with Dinosaur Patterns 22 Inches</t>
  </si>
  <si>
    <t>DO-YULQ639-LGR-22</t>
  </si>
  <si>
    <t>B07BFVHDDP</t>
  </si>
  <si>
    <t>PINE BUSH</t>
  </si>
  <si>
    <t>12566-6218</t>
  </si>
  <si>
    <t>112-1877607-3651440</t>
  </si>
  <si>
    <t>2018-07-07T16:57:23+00:00</t>
  </si>
  <si>
    <t>2018-07-08T08:07:25+00:00</t>
  </si>
  <si>
    <t>32819-8218</t>
  </si>
  <si>
    <t>111-3212921-5069811</t>
  </si>
  <si>
    <t>2018-07-07T16:46:06+00:00</t>
  </si>
  <si>
    <t>2018-07-08T16:15:28+00:00</t>
  </si>
  <si>
    <t>DE WITT</t>
  </si>
  <si>
    <t>52742-1110</t>
  </si>
  <si>
    <t>114-4725129-3682615</t>
  </si>
  <si>
    <t>2018-07-07T16:23:03+00:00</t>
  </si>
  <si>
    <t>2018-07-09T19:33:35+00:00</t>
  </si>
  <si>
    <t>32830-8437</t>
  </si>
  <si>
    <t>113-5957915-5370617</t>
  </si>
  <si>
    <t>2018-07-07T16:22:54+00:00</t>
  </si>
  <si>
    <t>2018-07-07T16:23:34+00:00</t>
  </si>
  <si>
    <t>111-4438017-0541019</t>
  </si>
  <si>
    <t>2018-07-07T15:44:58+00:00</t>
  </si>
  <si>
    <t>2018-07-08T17:30:29+00:00</t>
  </si>
  <si>
    <t>17601-4595</t>
  </si>
  <si>
    <t>111-0067639-3184263</t>
  </si>
  <si>
    <t>2018-07-07T15:17:58+00:00</t>
  </si>
  <si>
    <t>2018-07-08T15:21:33+00:00</t>
  </si>
  <si>
    <t>85044-6506</t>
  </si>
  <si>
    <t>113-2681524-3948258</t>
  </si>
  <si>
    <t>2018-07-07T15:12:09+00:00</t>
  </si>
  <si>
    <t>2018-07-08T18:35:12+00:00</t>
  </si>
  <si>
    <t>33137-3950</t>
  </si>
  <si>
    <t>111-2980086-0784234</t>
  </si>
  <si>
    <t>2018-07-07T13:06:39+00:00</t>
  </si>
  <si>
    <t>2018-07-08T07:32:08+00:00</t>
  </si>
  <si>
    <t>MT PLEASANT</t>
  </si>
  <si>
    <t>29466-7041</t>
  </si>
  <si>
    <t>112-4566739-2842626</t>
  </si>
  <si>
    <t>2018-07-07T12:52:46+00:00</t>
  </si>
  <si>
    <t>2018-07-08T09:58:00+00:00</t>
  </si>
  <si>
    <t>COLUMBIA</t>
  </si>
  <si>
    <t>29223-4841</t>
  </si>
  <si>
    <t>113-2507592-7177032</t>
  </si>
  <si>
    <t>2018-07-07T12:41:06+00:00</t>
  </si>
  <si>
    <t>2018-07-08T19:23:41+00:00</t>
  </si>
  <si>
    <t>113-0277935-0503472</t>
  </si>
  <si>
    <t>2018-07-07T12:33:08+00:00</t>
  </si>
  <si>
    <t>2018-07-07T12:33:20+00:00</t>
  </si>
  <si>
    <t>Cidra</t>
  </si>
  <si>
    <t>Puerto Rico</t>
  </si>
  <si>
    <t>Real Life Silicone Reborn Baby Dolls Boy Look Real Light Blue Outfit with Hippo Pattern 22 Inches</t>
  </si>
  <si>
    <t>DO-YULQ152-B7-22</t>
  </si>
  <si>
    <t>B079JRG1TM</t>
  </si>
  <si>
    <t>113-4491479-0117806</t>
  </si>
  <si>
    <t>2018-07-07T07:28:41+00:00</t>
  </si>
  <si>
    <t>2018-07-07T07:30:13+00:00</t>
  </si>
  <si>
    <t>113-3591440-5219432</t>
  </si>
  <si>
    <t>2018-07-07T07:15:58+00:00</t>
  </si>
  <si>
    <t>2018-07-07T07:18:07+00:00</t>
  </si>
  <si>
    <t>112-6286388-3619431</t>
  </si>
  <si>
    <t>2018-07-07T06:41:50+00:00</t>
  </si>
  <si>
    <t>2018-07-08T18:03:46+00:00</t>
  </si>
  <si>
    <t>Hildale</t>
  </si>
  <si>
    <t>Ut</t>
  </si>
  <si>
    <t>84784-2520</t>
  </si>
  <si>
    <t>113-5583222-2828261</t>
  </si>
  <si>
    <t>2018-07-07T05:58:02+00:00</t>
  </si>
  <si>
    <t>2018-07-08T14:15:17+00:00</t>
  </si>
  <si>
    <t>WILDWOOD</t>
  </si>
  <si>
    <t>34785-5512</t>
  </si>
  <si>
    <t>113-4888565-6949808</t>
  </si>
  <si>
    <t>2018-07-07T04:27:53+00:00</t>
  </si>
  <si>
    <t>2018-07-07T22:26:18+00:00</t>
  </si>
  <si>
    <t>CHESTER</t>
  </si>
  <si>
    <t>19013-4311</t>
  </si>
  <si>
    <t>113-1429691-5152233</t>
  </si>
  <si>
    <t>2018-07-07T04:12:08+00:00</t>
  </si>
  <si>
    <t>2018-07-07T04:18:02+00:00</t>
  </si>
  <si>
    <t>112-0821472-9007443</t>
  </si>
  <si>
    <t>2018-07-07T03:40:41+00:00</t>
  </si>
  <si>
    <t>2018-07-07T20:57:43+00:00</t>
  </si>
  <si>
    <t>ESCONDIDO</t>
  </si>
  <si>
    <t>92026-1246</t>
  </si>
  <si>
    <t>114-5554064-0360222</t>
  </si>
  <si>
    <t>2018-07-07T03:24:52+00:00</t>
  </si>
  <si>
    <t>2018-07-08T10:04:23+00:00</t>
  </si>
  <si>
    <t>VENTURA</t>
  </si>
  <si>
    <t>93003-6183</t>
  </si>
  <si>
    <t>113-4035549-9846626</t>
  </si>
  <si>
    <t>2018-07-07T02:55:31+00:00</t>
  </si>
  <si>
    <t>2018-07-07T16:30:46+00:00</t>
  </si>
  <si>
    <t>114-0257047-9149075</t>
  </si>
  <si>
    <t>2018-07-07T02:53:11+00:00</t>
  </si>
  <si>
    <t>2018-07-08T02:22:50+00:00</t>
  </si>
  <si>
    <t>MANSFIELD</t>
  </si>
  <si>
    <t>44906-3614</t>
  </si>
  <si>
    <t>113-9783838-9966611</t>
  </si>
  <si>
    <t>2018-07-07T02:40:42+00:00</t>
  </si>
  <si>
    <t>2018-07-07T02:44:37+00:00</t>
  </si>
  <si>
    <t>114-5772664-5273851</t>
  </si>
  <si>
    <t>2018-07-07T02:29:19+00:00</t>
  </si>
  <si>
    <t>2018-07-07T17:44:07+00:00</t>
  </si>
  <si>
    <t>94804-1706</t>
  </si>
  <si>
    <t>111-6154055-0044205</t>
  </si>
  <si>
    <t>2018-07-07T02:19:52+00:00</t>
  </si>
  <si>
    <t>2018-07-07T14:27:24+00:00</t>
  </si>
  <si>
    <t>46234-8834</t>
  </si>
  <si>
    <t>111-3972615-0064239</t>
  </si>
  <si>
    <t>2018-07-07T01:39:57+00:00</t>
  </si>
  <si>
    <t>2018-07-09T09:56:14+00:00</t>
  </si>
  <si>
    <t>02458-1052</t>
  </si>
  <si>
    <t>111-2529928-9609812</t>
  </si>
  <si>
    <t>2018-07-07T01:36:41+00:00</t>
  </si>
  <si>
    <t>2018-07-08T06:32:24+00:00</t>
  </si>
  <si>
    <t>113-9852131-5428246</t>
  </si>
  <si>
    <t>2018-07-08T23:59:22+00:00</t>
  </si>
  <si>
    <t>2018-07-09T21:50:55+00:00</t>
  </si>
  <si>
    <t>24201-2315</t>
  </si>
  <si>
    <t>111-3079204-9008220</t>
  </si>
  <si>
    <t>2018-07-08T23:47:22+00:00</t>
  </si>
  <si>
    <t>2018-07-09T10:54:07+00:00</t>
  </si>
  <si>
    <t>46237-2213</t>
  </si>
  <si>
    <t>111-1172617-4486668</t>
  </si>
  <si>
    <t>2018-07-08T23:35:08+00:00</t>
  </si>
  <si>
    <t>2018-07-09T09:28:50+00:00</t>
  </si>
  <si>
    <t>Temple</t>
  </si>
  <si>
    <t>113-0815176-8820242</t>
  </si>
  <si>
    <t>2018-07-08T22:41:15+00:00</t>
  </si>
  <si>
    <t>2018-07-09T09:13:35+00:00</t>
  </si>
  <si>
    <t>33132-3234</t>
  </si>
  <si>
    <t>111-2671049-7723424</t>
  </si>
  <si>
    <t>2018-07-08T21:12:48+00:00</t>
  </si>
  <si>
    <t>2018-07-08T21:13:15+00:00</t>
  </si>
  <si>
    <t>MEQUON</t>
  </si>
  <si>
    <t>53092-4818</t>
  </si>
  <si>
    <t>111-3241464-7074603</t>
  </si>
  <si>
    <t>2018-07-08T21:10:59+00:00</t>
  </si>
  <si>
    <t>2018-07-09T05:34:52+00:00</t>
  </si>
  <si>
    <t>Lebanon</t>
  </si>
  <si>
    <t>N.H.</t>
  </si>
  <si>
    <t>114-3414034-5433830</t>
  </si>
  <si>
    <t>2018-07-08T20:48:19+00:00</t>
  </si>
  <si>
    <t>2018-07-10T03:03:50+00:00</t>
  </si>
  <si>
    <t>67037-2144</t>
  </si>
  <si>
    <t>111-4208987-7997865</t>
  </si>
  <si>
    <t>2018-07-08T20:45:45+00:00</t>
  </si>
  <si>
    <t>2018-07-09T16:04:07+00:00</t>
  </si>
  <si>
    <t>ABBEVILLE</t>
  </si>
  <si>
    <t>ALABAMA</t>
  </si>
  <si>
    <t>36310-6332</t>
  </si>
  <si>
    <t>112-5740392-1640224</t>
  </si>
  <si>
    <t>2018-07-08T20:41:32+00:00</t>
  </si>
  <si>
    <t>2018-07-08T20:43:37+00:00</t>
  </si>
  <si>
    <t>BOLIVAR</t>
  </si>
  <si>
    <t>65613-2027</t>
  </si>
  <si>
    <t>113-8673552-7645850</t>
  </si>
  <si>
    <t>2018-07-08T20:40:17+00:00</t>
  </si>
  <si>
    <t>2018-07-09T12:33:21+00:00</t>
  </si>
  <si>
    <t>CHARLOTTE</t>
  </si>
  <si>
    <t>28216-7779</t>
  </si>
  <si>
    <t>114-3533603-5592216</t>
  </si>
  <si>
    <t>2018-07-08T20:39:54+00:00</t>
  </si>
  <si>
    <t>2018-07-08T20:39:58+00:00</t>
  </si>
  <si>
    <t>FREMONT</t>
  </si>
  <si>
    <t>43420-9229</t>
  </si>
  <si>
    <t>112-5975725-9711411</t>
  </si>
  <si>
    <t>2018-07-08T20:33:35+00:00</t>
  </si>
  <si>
    <t>2018-07-08T20:33:40+00:00</t>
  </si>
  <si>
    <t>Silicone Reborn Baby Dolls Look Real Boy Knitted Outfit Green 10 Inches</t>
  </si>
  <si>
    <t>DO-YULQ100-G0-10</t>
  </si>
  <si>
    <t>B07B9SLG9M</t>
  </si>
  <si>
    <t>49659-9307</t>
  </si>
  <si>
    <t>114-3526674-2743442</t>
  </si>
  <si>
    <t>2018-07-08T20:32:45+00:00</t>
  </si>
  <si>
    <t>2018-07-09T16:30:55+00:00</t>
  </si>
  <si>
    <t>114-9381558-5953865</t>
  </si>
  <si>
    <t>2018-07-08T20:22:45+00:00</t>
  </si>
  <si>
    <t>2018-07-09T02:20:38+00:00</t>
  </si>
  <si>
    <t>TITUSVILLE</t>
  </si>
  <si>
    <t>08560-2105</t>
  </si>
  <si>
    <t>111-1864774-2485012</t>
  </si>
  <si>
    <t>2018-07-08T19:14:03+00:00</t>
  </si>
  <si>
    <t>2018-07-09T18:06:04+00:00</t>
  </si>
  <si>
    <t>33125-5287</t>
  </si>
  <si>
    <t>113-3167425-8402618</t>
  </si>
  <si>
    <t>2018-07-08T18:46:55+00:00</t>
  </si>
  <si>
    <t>2018-07-08T18:56:53+00:00</t>
  </si>
  <si>
    <t>114-8267532-4982622</t>
  </si>
  <si>
    <t>2018-07-08T17:31:51+00:00</t>
  </si>
  <si>
    <t>2018-07-10T01:24:40+00:00</t>
  </si>
  <si>
    <t>MERCERVILLE</t>
  </si>
  <si>
    <t>08619-1920</t>
  </si>
  <si>
    <t>111-7234791-1186624</t>
  </si>
  <si>
    <t>2018-07-08T17:17:13+00:00</t>
  </si>
  <si>
    <t>2018-07-09T15:36:43+00:00</t>
  </si>
  <si>
    <t>74053-4205</t>
  </si>
  <si>
    <t>113-2450031-0229024</t>
  </si>
  <si>
    <t>2018-07-08T17:05:10+00:00</t>
  </si>
  <si>
    <t>2018-07-09T01:59:48+00:00</t>
  </si>
  <si>
    <t>78239-3402</t>
  </si>
  <si>
    <t>112-2024405-1666658</t>
  </si>
  <si>
    <t>2018-07-08T16:57:14+00:00</t>
  </si>
  <si>
    <t>2018-07-09T07:14:46+00:00</t>
  </si>
  <si>
    <t>33166-2761</t>
  </si>
  <si>
    <t>111-9439661-3125025</t>
  </si>
  <si>
    <t>2018-07-08T15:52:08+00:00</t>
  </si>
  <si>
    <t>2018-07-08T21:19:26+00:00</t>
  </si>
  <si>
    <t>MOUNT WASHINGTON</t>
  </si>
  <si>
    <t>40047-6777</t>
  </si>
  <si>
    <t>113-4089175-7708217</t>
  </si>
  <si>
    <t>2018-07-08T14:48:27+00:00</t>
  </si>
  <si>
    <t>2018-07-09T22:16:23+00:00</t>
  </si>
  <si>
    <t>33187-7707</t>
  </si>
  <si>
    <t>114-1052139-8878648</t>
  </si>
  <si>
    <t>2018-07-08T13:32:23+00:00</t>
  </si>
  <si>
    <t>2018-07-10T03:37:17+00:00</t>
  </si>
  <si>
    <t>29706-8645</t>
  </si>
  <si>
    <t>112-8229709-3861834</t>
  </si>
  <si>
    <t>2018-07-08T13:08:53+00:00</t>
  </si>
  <si>
    <t>2018-07-08T13:22:07+00:00</t>
  </si>
  <si>
    <t>SNEADS FERRY</t>
  </si>
  <si>
    <t>28460-9657</t>
  </si>
  <si>
    <t>113-5198511-7402651</t>
  </si>
  <si>
    <t>2018-07-08T12:56:54+00:00</t>
  </si>
  <si>
    <t>2018-07-10T00:45:55+00:00</t>
  </si>
  <si>
    <t>33149-1804</t>
  </si>
  <si>
    <t>113-2113871-5852213</t>
  </si>
  <si>
    <t>2018-07-08T04:27:26+00:00</t>
  </si>
  <si>
    <t>2018-07-08T16:53:05+00:00</t>
  </si>
  <si>
    <t>113-0340591-0388210</t>
  </si>
  <si>
    <t>2018-07-08T03:02:13+00:00</t>
  </si>
  <si>
    <t>2018-07-08T21:40:04+00:00</t>
  </si>
  <si>
    <t>MERCED</t>
  </si>
  <si>
    <t>95341-5413</t>
  </si>
  <si>
    <t>112-5914792-2473819</t>
  </si>
  <si>
    <t>2018-07-08T03:01:19+00:00</t>
  </si>
  <si>
    <t>2018-07-08T23:25:09+00:00</t>
  </si>
  <si>
    <t>SAGINAW</t>
  </si>
  <si>
    <t>48638-6623</t>
  </si>
  <si>
    <t>111-3747272-4321056</t>
  </si>
  <si>
    <t>2018-07-08T02:33:05+00:00</t>
  </si>
  <si>
    <t>2018-07-08T02:33:16+00:00</t>
  </si>
  <si>
    <t>11213-2815</t>
  </si>
  <si>
    <t>113-4867299-3875453</t>
  </si>
  <si>
    <t>2018-07-08T02:20:04+00:00</t>
  </si>
  <si>
    <t>2018-07-09T07:43:55+00:00</t>
  </si>
  <si>
    <t>48457-9782</t>
  </si>
  <si>
    <t>114-3417974-0111430</t>
  </si>
  <si>
    <t>2018-07-08T02:05:58+00:00</t>
  </si>
  <si>
    <t>2018-07-08T22:51:40+00:00</t>
  </si>
  <si>
    <t>33175-1102</t>
  </si>
  <si>
    <t>114-0478413-0997011</t>
  </si>
  <si>
    <t>2018-07-08T01:51:20+00:00</t>
  </si>
  <si>
    <t>2018-07-08T19:43:40+00:00</t>
  </si>
  <si>
    <t>111-0286171-6931462</t>
  </si>
  <si>
    <t>2018-07-08T01:11:35+00:00</t>
  </si>
  <si>
    <t>2018-07-08T17:28:17+00:00</t>
  </si>
  <si>
    <t>MEDLEY</t>
  </si>
  <si>
    <t>33166-2534</t>
  </si>
  <si>
    <t>112-7772780-4799416</t>
  </si>
  <si>
    <t>2018-07-08T01:00:39+00:00</t>
  </si>
  <si>
    <t>2018-07-08T19:23:23+00:00</t>
  </si>
  <si>
    <t>85749-8486</t>
  </si>
  <si>
    <t>111-1224451-6201065</t>
  </si>
  <si>
    <t>2018-07-08T00:38:03+00:00</t>
  </si>
  <si>
    <t>2018-07-09T22:23:41+00:00</t>
  </si>
  <si>
    <t>BURLINGAME</t>
  </si>
  <si>
    <t>94010-4333</t>
  </si>
  <si>
    <t>销量</t>
  </si>
  <si>
    <t>日均销量</t>
  </si>
  <si>
    <t>合计</t>
  </si>
  <si>
    <t>DOLL-006-PI-11</t>
  </si>
  <si>
    <t>DOLL-1630-01R-22</t>
  </si>
  <si>
    <t>DOLL-008-WO-22</t>
  </si>
  <si>
    <t>DOLL-004-PI-11</t>
  </si>
  <si>
    <t>DOLL-1105-PI-22</t>
  </si>
  <si>
    <t>DOLL-0603-PI-22</t>
  </si>
  <si>
    <t>DOLL-AD010-03R-22</t>
  </si>
  <si>
    <t>DOLL-DS001-LB-22</t>
  </si>
  <si>
    <t>JFB-FLQ55-PI-17</t>
  </si>
  <si>
    <t>DOLL-0603-02R-22</t>
  </si>
  <si>
    <t>DOLL-002-PI-22</t>
  </si>
  <si>
    <t>DOLL-AD010-PI-22</t>
  </si>
  <si>
    <t>DOLL-6089-BO-22</t>
  </si>
  <si>
    <t>DOLL-001-PI-22</t>
  </si>
  <si>
    <t>DOLL-0603-01R-22</t>
  </si>
  <si>
    <t>DOLL-7056-GR-11</t>
  </si>
  <si>
    <t>DOLL-7056G-YO-11</t>
  </si>
  <si>
    <t>NZ-FLQ52</t>
  </si>
  <si>
    <t>DOLLSHOES-AS08-RO-6.5</t>
  </si>
  <si>
    <t>DOLLDRESS-007-PI-20</t>
  </si>
  <si>
    <t>DOLL-AD010-02F-22</t>
  </si>
  <si>
    <t>DOLLSHOES-AS11-PI-6.5</t>
  </si>
  <si>
    <t>DOLL-0602-NZ-22</t>
  </si>
  <si>
    <t>DOLL-1613-PI-11</t>
  </si>
  <si>
    <t>DOLL-007-NO-17</t>
  </si>
  <si>
    <t>DO-YULQ904-B7-22</t>
  </si>
  <si>
    <t>DO-YULQ004-PI-10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</si>
  <si>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</si>
  <si>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</si>
  <si>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</si>
  <si>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</si>
  <si>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</si>
  <si>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</si>
  <si>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</si>
  <si>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</si>
  <si>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</si>
  <si>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</si>
  <si>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</si>
  <si>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</si>
  <si>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</si>
  <si>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</si>
  <si>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</si>
  <si>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</si>
  <si>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</si>
  <si>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</si>
  <si>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</si>
  <si>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</si>
  <si>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DOLL-0601</t>
  </si>
  <si>
    <t>DOLL-020</t>
  </si>
  <si>
    <t>DOLL-0605</t>
  </si>
  <si>
    <t>DO-YULQ070</t>
  </si>
  <si>
    <t>DO-YULQ001</t>
  </si>
  <si>
    <t>DO-YULQ100</t>
  </si>
  <si>
    <t>DO-YULQ012</t>
  </si>
  <si>
    <t>DO-YULQ708</t>
  </si>
  <si>
    <t>DO-YULQ107</t>
  </si>
  <si>
    <t>DO-YULQ812</t>
  </si>
  <si>
    <t>DO-YULQ700</t>
  </si>
  <si>
    <t>DOLL-010</t>
  </si>
  <si>
    <t>DOLLDRESS-003</t>
  </si>
  <si>
    <t>DO-YULQ153</t>
  </si>
  <si>
    <t>DO-YULQ159</t>
  </si>
  <si>
    <t>YF-YULQ007</t>
  </si>
  <si>
    <t>DOLL-7056</t>
  </si>
  <si>
    <t>DO-YULQ150</t>
  </si>
  <si>
    <t>DO-YULQ611</t>
  </si>
  <si>
    <t>DO-YULQ173</t>
  </si>
  <si>
    <t>DOLL-0630</t>
  </si>
  <si>
    <t>DO-YULQ081</t>
  </si>
  <si>
    <t>DOLL-1613</t>
  </si>
  <si>
    <t>DO-YULQ062</t>
  </si>
  <si>
    <t>DOLL-004</t>
  </si>
  <si>
    <t>YF-YULQ905</t>
  </si>
  <si>
    <t>DO-YULQ332</t>
  </si>
  <si>
    <t>DO-YULQ123</t>
  </si>
  <si>
    <t>DO-YULQ664</t>
  </si>
  <si>
    <t>DO-YULQ061</t>
  </si>
  <si>
    <t>DO-YULQ905</t>
  </si>
  <si>
    <t>DOLL-008</t>
  </si>
  <si>
    <t>DO-YULQ200</t>
  </si>
  <si>
    <t>DO-YULQ010</t>
  </si>
  <si>
    <t>DOLL-AD011</t>
  </si>
  <si>
    <t>DOLL-9042</t>
  </si>
  <si>
    <t>YF-YULQ602</t>
  </si>
  <si>
    <t>DO-YULQ604</t>
  </si>
  <si>
    <t>DO-YULQ230</t>
  </si>
  <si>
    <t>YF-YULQ002</t>
  </si>
  <si>
    <t>DO-YULQ163</t>
  </si>
  <si>
    <t>DO-YULQ161</t>
  </si>
  <si>
    <t>DO-YULQ006</t>
  </si>
  <si>
    <t>DO-YULQ605</t>
  </si>
  <si>
    <t>DO-YULQ610</t>
  </si>
  <si>
    <t>DO-YULQ702</t>
  </si>
  <si>
    <t>DO-YULQ516</t>
  </si>
  <si>
    <t>DO-YULQ630</t>
  </si>
  <si>
    <t>DOLL-005</t>
  </si>
  <si>
    <t>DO-YULQ707</t>
  </si>
  <si>
    <t>DO-YULQ063</t>
  </si>
  <si>
    <t>DOLL-1630</t>
  </si>
  <si>
    <t>DO-YULQ021</t>
  </si>
  <si>
    <t>DOLL-1523</t>
  </si>
  <si>
    <t>DO-YULQ638</t>
  </si>
  <si>
    <t>DOLL-6089</t>
  </si>
  <si>
    <t>DO-YULQ203</t>
  </si>
  <si>
    <t>DO-YULQ018</t>
  </si>
  <si>
    <t>DOLL-007</t>
  </si>
  <si>
    <t>DO-YULQ631</t>
  </si>
  <si>
    <t>DO-YULQ152</t>
  </si>
  <si>
    <t>DO-YULQ620</t>
  </si>
  <si>
    <t>DO-YULQ071</t>
  </si>
  <si>
    <t>DO-YULQ701</t>
  </si>
  <si>
    <t>DO-YULQ171</t>
  </si>
  <si>
    <t>DO-YULQ058</t>
  </si>
  <si>
    <t>YF-YULQ003</t>
  </si>
  <si>
    <t>DO-YULQ705</t>
  </si>
  <si>
    <t>DO-YULQ121</t>
  </si>
  <si>
    <t>DOLL-006</t>
  </si>
  <si>
    <t>DO-YULQ704</t>
  </si>
  <si>
    <t>YF-YULQ162</t>
  </si>
  <si>
    <t>DO-YULQ162</t>
  </si>
  <si>
    <t>DO-YULQ663</t>
  </si>
  <si>
    <t>DO-YULQ111</t>
  </si>
  <si>
    <t>DOLLDRESS-1612</t>
  </si>
  <si>
    <t>DO-YULQ157</t>
  </si>
  <si>
    <t>DO-YULQ101</t>
  </si>
  <si>
    <t>DO-YULQ232</t>
  </si>
  <si>
    <t>DO-YULQ004</t>
  </si>
  <si>
    <t>DOLL-0603</t>
  </si>
  <si>
    <t>DO-YULQ703</t>
  </si>
  <si>
    <t>DO-YULQ115</t>
  </si>
  <si>
    <t>DO-YULQ073</t>
  </si>
  <si>
    <t>DO-YULQ172</t>
  </si>
  <si>
    <t>DO-YULQ158</t>
  </si>
  <si>
    <t>DO-YULQ639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</si>
</sst>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2" fillId="12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9" fillId="0" borderId="1" applyNumberFormat="0" applyFill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5" fillId="14" borderId="3" applyNumberFormat="0" applyAlignment="0" applyProtection="0">
      <alignment vertical="center"/>
    </xf>
    <xf numFmtId="0" fontId="13" fillId="14" borderId="2" applyNumberFormat="0" applyAlignment="0" applyProtection="0">
      <alignment vertical="center"/>
    </xf>
    <xf numFmtId="0" fontId="17" fillId="20" borderId="7" applyNumberFormat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</cellStyleXfs>
  <cellXfs count="12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176" fontId="0" fillId="2" borderId="0" xfId="0" applyNumberFormat="1" applyFill="1"/>
    <xf numFmtId="0" fontId="0" fillId="0" borderId="0" xfId="0" applyBorder="1"/>
    <xf numFmtId="176" fontId="0" fillId="2" borderId="0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1181100</xdr:colOff>
          <xdr:row>0</xdr:row>
          <xdr:rowOff>0</xdr:rowOff>
        </xdr:from>
        <xdr:to>
          <xdr:col>33</xdr:col>
          <xdr:colOff>661670</xdr:colOff>
          <xdr:row>2</xdr:row>
          <xdr:rowOff>28575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5396825" y="0"/>
              <a:ext cx="6667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4</xdr:col>
          <xdr:colOff>19050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16225" y="361950"/>
              <a:ext cx="137160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1323975</xdr:colOff>
          <xdr:row>0</xdr:row>
          <xdr:rowOff>635</xdr:rowOff>
        </xdr:from>
        <xdr:to>
          <xdr:col>4</xdr:col>
          <xdr:colOff>9525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971800" y="635"/>
              <a:ext cx="1400175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DO-YULQ002-PI-22</v>
          </cell>
          <cell r="B73" t="str">
            <v>DO-YULQ002</v>
          </cell>
        </row>
        <row r="74">
          <cell r="A74" t="str">
            <v>DO-YULQ004-B7-10</v>
          </cell>
          <cell r="B74" t="str">
            <v>DO-YULQ004</v>
          </cell>
        </row>
        <row r="75">
          <cell r="A75" t="str">
            <v>DO-YULQ004-B7-11</v>
          </cell>
          <cell r="B75" t="str">
            <v>DO-YULQ004</v>
          </cell>
        </row>
        <row r="76">
          <cell r="A76" t="str">
            <v>DO-YULQ004-PI-10</v>
          </cell>
          <cell r="B76" t="str">
            <v>DO-YULQ004</v>
          </cell>
        </row>
        <row r="77">
          <cell r="A77" t="str">
            <v>DO-YULQ004-PI-11</v>
          </cell>
          <cell r="B77" t="str">
            <v>DO-YULQ004</v>
          </cell>
        </row>
        <row r="78">
          <cell r="A78" t="str">
            <v>DO-YULQ005-W0-10</v>
          </cell>
          <cell r="B78" t="str">
            <v>DO-YULQ005</v>
          </cell>
        </row>
        <row r="79">
          <cell r="A79" t="str">
            <v>DO-YULQ005-W0-11</v>
          </cell>
          <cell r="B79" t="str">
            <v>DO-YULQ005</v>
          </cell>
        </row>
        <row r="80">
          <cell r="A80" t="str">
            <v>DO-YULQ006-B7-10</v>
          </cell>
          <cell r="B80" t="str">
            <v>DO-YULQ006</v>
          </cell>
        </row>
        <row r="81">
          <cell r="A81" t="str">
            <v>DO-YULQ006-B7-11</v>
          </cell>
          <cell r="B81" t="str">
            <v>DO-YULQ006</v>
          </cell>
        </row>
        <row r="82">
          <cell r="A82" t="str">
            <v>DO-YULQ006-PI-10</v>
          </cell>
          <cell r="B82" t="str">
            <v>DO-YULQ006</v>
          </cell>
        </row>
        <row r="83">
          <cell r="A83" t="str">
            <v>DO-YULQ006-PI-11</v>
          </cell>
          <cell r="B83" t="str">
            <v>DO-YULQ006</v>
          </cell>
        </row>
        <row r="84">
          <cell r="A84" t="str">
            <v>DO-YULQ007-LGR-16</v>
          </cell>
          <cell r="B84" t="str">
            <v>DO-YULQ007</v>
          </cell>
        </row>
        <row r="85">
          <cell r="A85" t="str">
            <v>DO-YULQ007-Y0-17</v>
          </cell>
          <cell r="B85" t="str">
            <v>DO-YULQ007</v>
          </cell>
        </row>
        <row r="86">
          <cell r="A86" t="str">
            <v>DO-YULQ008-LGR-16</v>
          </cell>
          <cell r="B86" t="str">
            <v>DO-YULQ008</v>
          </cell>
        </row>
        <row r="87">
          <cell r="A87" t="str">
            <v>DO-YULQ008-Y0-17</v>
          </cell>
          <cell r="B87" t="str">
            <v>DO-YULQ008</v>
          </cell>
        </row>
        <row r="88">
          <cell r="A88" t="str">
            <v>DO-YULQ010-NZ-22</v>
          </cell>
          <cell r="B88" t="str">
            <v>DO-YULQ010</v>
          </cell>
        </row>
        <row r="89">
          <cell r="A89" t="str">
            <v>DO-YULQ010-P0-22</v>
          </cell>
          <cell r="B89" t="str">
            <v>DO-YULQ010</v>
          </cell>
        </row>
        <row r="90">
          <cell r="A90" t="str">
            <v>DO-YULQ010-PI-15</v>
          </cell>
          <cell r="B90" t="str">
            <v>DO-YULQ010</v>
          </cell>
        </row>
        <row r="91">
          <cell r="A91" t="str">
            <v>DO-YULQ010-PI-22</v>
          </cell>
          <cell r="B91" t="str">
            <v>DO-YULQ010</v>
          </cell>
        </row>
        <row r="92">
          <cell r="A92" t="str">
            <v>DO-YULQ010-R2-22</v>
          </cell>
          <cell r="B92" t="str">
            <v>DO-YULQ010</v>
          </cell>
        </row>
        <row r="93">
          <cell r="A93" t="str">
            <v>DO-YULQ011-NZ-22</v>
          </cell>
          <cell r="B93" t="str">
            <v>DO-YULQ011</v>
          </cell>
        </row>
        <row r="94">
          <cell r="A94" t="str">
            <v>DO-YULQ012-PI-22</v>
          </cell>
          <cell r="B94" t="str">
            <v>DO-YULQ012</v>
          </cell>
        </row>
        <row r="95">
          <cell r="A95" t="str">
            <v>DO-YULQ017-B0-18</v>
          </cell>
          <cell r="B95" t="str">
            <v>DO-YULQ017</v>
          </cell>
        </row>
        <row r="96">
          <cell r="A96" t="str">
            <v>DO-YULQ017-P4-16</v>
          </cell>
          <cell r="B96" t="str">
            <v>DO-YULQ017</v>
          </cell>
        </row>
        <row r="97">
          <cell r="A97" t="str">
            <v>DO-YULQ018-B0-18</v>
          </cell>
          <cell r="B97" t="str">
            <v>DO-YULQ018</v>
          </cell>
        </row>
        <row r="98">
          <cell r="A98" t="str">
            <v>DO-YULQ018-P4-16</v>
          </cell>
          <cell r="B98" t="str">
            <v>DO-YULQ018</v>
          </cell>
        </row>
        <row r="99">
          <cell r="A99" t="str">
            <v>DO-YULQ021-PI-22</v>
          </cell>
          <cell r="B99" t="str">
            <v>DO-YULQ021</v>
          </cell>
        </row>
        <row r="100">
          <cell r="A100" t="str">
            <v>DO-YULQ021-W0-22</v>
          </cell>
          <cell r="B100" t="str">
            <v>DO-YULQ021</v>
          </cell>
        </row>
        <row r="101">
          <cell r="A101" t="str">
            <v>DO-YULQ042-W0-22</v>
          </cell>
          <cell r="B101" t="str">
            <v>DO-YULQ042</v>
          </cell>
        </row>
        <row r="102">
          <cell r="A102" t="str">
            <v>DO-YULQ057-BR-10</v>
          </cell>
          <cell r="B102" t="str">
            <v>DO-YULQ057</v>
          </cell>
        </row>
        <row r="103">
          <cell r="A103" t="str">
            <v>DO-YULQ057-SH-10</v>
          </cell>
          <cell r="B103" t="str">
            <v>DO-YULQ057</v>
          </cell>
        </row>
        <row r="104">
          <cell r="A104" t="str">
            <v>DO-YULQ058-BR-10</v>
          </cell>
          <cell r="B104" t="str">
            <v>DO-YULQ058</v>
          </cell>
        </row>
        <row r="105">
          <cell r="A105" t="str">
            <v>DO-YULQ058-SH-10</v>
          </cell>
          <cell r="B105" t="str">
            <v>DO-YULQ058</v>
          </cell>
        </row>
        <row r="106">
          <cell r="A106" t="str">
            <v>DO-YULQ060-LGR-22</v>
          </cell>
          <cell r="B106" t="str">
            <v>DO-YULQ060</v>
          </cell>
        </row>
        <row r="107">
          <cell r="A107" t="str">
            <v>DO-YULQ061-LGR-22</v>
          </cell>
          <cell r="B107" t="str">
            <v>DO-YULQ061</v>
          </cell>
        </row>
        <row r="108">
          <cell r="A108" t="str">
            <v>DO-YULQ061-W0-22</v>
          </cell>
          <cell r="B108" t="str">
            <v>DO-YULQ061</v>
          </cell>
        </row>
        <row r="109">
          <cell r="A109" t="str">
            <v>DO-YULQ062-PI-22</v>
          </cell>
          <cell r="B109" t="str">
            <v>DO-YULQ062</v>
          </cell>
        </row>
        <row r="110">
          <cell r="A110" t="str">
            <v>DO-YULQ063-PI-22</v>
          </cell>
          <cell r="B110" t="str">
            <v>DO-YULQ063</v>
          </cell>
        </row>
        <row r="111">
          <cell r="A111" t="str">
            <v>DO-YULQ064-X0-22</v>
          </cell>
          <cell r="B111" t="str">
            <v>DO-YULQ064</v>
          </cell>
        </row>
        <row r="112">
          <cell r="A112" t="str">
            <v>DO-YULQ070-PI-16</v>
          </cell>
          <cell r="B112" t="str">
            <v>DO-YULQ070</v>
          </cell>
        </row>
        <row r="113">
          <cell r="A113" t="str">
            <v>DO-YULQ071-B7-16</v>
          </cell>
          <cell r="B113" t="str">
            <v>DO-YULQ071</v>
          </cell>
        </row>
        <row r="114">
          <cell r="A114" t="str">
            <v>DO-YULQ071-PI-16</v>
          </cell>
          <cell r="B114" t="str">
            <v>DO-YULQ071</v>
          </cell>
        </row>
        <row r="115">
          <cell r="A115" t="str">
            <v>DO-YULQ072-LGR-22</v>
          </cell>
          <cell r="B115" t="str">
            <v>DO-YULQ072</v>
          </cell>
        </row>
        <row r="116">
          <cell r="A116" t="str">
            <v>DO-YULQ073-LGR-22</v>
          </cell>
          <cell r="B116" t="str">
            <v>DO-YULQ073</v>
          </cell>
        </row>
        <row r="117">
          <cell r="A117" t="str">
            <v>DO-YULQ080-B7-10</v>
          </cell>
          <cell r="B117" t="str">
            <v>DO-YULQ080</v>
          </cell>
        </row>
        <row r="118">
          <cell r="A118" t="str">
            <v>DO-YULQ080-PI-10</v>
          </cell>
          <cell r="B118" t="str">
            <v>DO-YULQ080</v>
          </cell>
        </row>
        <row r="119">
          <cell r="A119" t="str">
            <v>DO-YULQ081-B7-10</v>
          </cell>
          <cell r="B119" t="str">
            <v>DO-YULQ081</v>
          </cell>
        </row>
        <row r="120">
          <cell r="A120" t="str">
            <v>DO-YULQ081-PI-10</v>
          </cell>
          <cell r="B120" t="str">
            <v>DO-YULQ081</v>
          </cell>
        </row>
        <row r="121">
          <cell r="A121" t="str">
            <v>DO-YULQ100-B7-22</v>
          </cell>
          <cell r="B121" t="str">
            <v>DO-YULQ100</v>
          </cell>
        </row>
        <row r="122">
          <cell r="A122" t="str">
            <v>DO-YULQ100-G0-10</v>
          </cell>
          <cell r="B122" t="str">
            <v>DO-YULQ100</v>
          </cell>
        </row>
        <row r="123">
          <cell r="A123" t="str">
            <v>DO-YULQ100-R0-10</v>
          </cell>
          <cell r="B123" t="str">
            <v>DO-YULQ100</v>
          </cell>
        </row>
        <row r="124">
          <cell r="A124" t="str">
            <v>DO-YULQ101-PI-22</v>
          </cell>
          <cell r="B124" t="str">
            <v>DO-YULQ101</v>
          </cell>
        </row>
        <row r="125">
          <cell r="A125" t="str">
            <v>DO-YULQ105-PI-22</v>
          </cell>
          <cell r="B125" t="str">
            <v>DO-YULQ105</v>
          </cell>
        </row>
        <row r="126">
          <cell r="A126" t="str">
            <v>DO-YULQ105-R2-22</v>
          </cell>
          <cell r="B126" t="str">
            <v>DO-YULQ105</v>
          </cell>
        </row>
        <row r="127">
          <cell r="A127" t="str">
            <v>DO-YULQ106-PI-22</v>
          </cell>
          <cell r="B127" t="str">
            <v>DO-YULQ106</v>
          </cell>
        </row>
        <row r="128">
          <cell r="A128" t="str">
            <v>DO-YULQ107-PI-22</v>
          </cell>
          <cell r="B128" t="str">
            <v>DO-YULQ107</v>
          </cell>
        </row>
        <row r="129">
          <cell r="A129" t="str">
            <v>DO-YULQ110-R2-22</v>
          </cell>
          <cell r="B129" t="str">
            <v>DO-YULQ110</v>
          </cell>
        </row>
        <row r="130">
          <cell r="A130" t="str">
            <v>DO-YULQ111-PI-22</v>
          </cell>
          <cell r="B130" t="str">
            <v>DO-YULQ111</v>
          </cell>
        </row>
        <row r="131">
          <cell r="A131" t="str">
            <v>DO-YULQ111-R2-22</v>
          </cell>
          <cell r="B131" t="str">
            <v>DO-YULQ111</v>
          </cell>
        </row>
        <row r="132">
          <cell r="A132" t="str">
            <v>DO-YULQ115-R2-22</v>
          </cell>
          <cell r="B132" t="str">
            <v>DO-YULQ115</v>
          </cell>
        </row>
        <row r="133">
          <cell r="A133" t="str">
            <v>DO-YULQ121-PI-22</v>
          </cell>
          <cell r="B133" t="str">
            <v>DO-YULQ121</v>
          </cell>
        </row>
        <row r="134">
          <cell r="A134" t="str">
            <v>DO-YULQ122-FB-22</v>
          </cell>
          <cell r="B134" t="str">
            <v>DO-YULQ122</v>
          </cell>
        </row>
        <row r="135">
          <cell r="A135" t="str">
            <v>DO-YULQ123-FB-22</v>
          </cell>
          <cell r="B135" t="str">
            <v>DO-YULQ123</v>
          </cell>
        </row>
        <row r="136">
          <cell r="A136" t="str">
            <v>DO-YULQ123-W0-22</v>
          </cell>
          <cell r="B136" t="str">
            <v>DO-YULQ123</v>
          </cell>
        </row>
        <row r="137">
          <cell r="A137" t="str">
            <v>DO-YULQ149-B7-18</v>
          </cell>
          <cell r="B137" t="str">
            <v>DO-YULQ149</v>
          </cell>
        </row>
        <row r="138">
          <cell r="A138" t="str">
            <v>DO-YULQ150-B7-18</v>
          </cell>
          <cell r="B138" t="str">
            <v>DO-YULQ150</v>
          </cell>
        </row>
        <row r="139">
          <cell r="A139" t="str">
            <v>DO-YULQ150-B7-22</v>
          </cell>
          <cell r="B139" t="str">
            <v>DO-YULQ150</v>
          </cell>
        </row>
        <row r="140">
          <cell r="A140" t="str">
            <v>DO-YULQ150-K0-22</v>
          </cell>
          <cell r="B140" t="str">
            <v>DO-YULQ150</v>
          </cell>
        </row>
        <row r="141">
          <cell r="A141" t="str">
            <v>DO-YULQ150-PI-20</v>
          </cell>
          <cell r="B141" t="str">
            <v>DO-YULQ150</v>
          </cell>
        </row>
        <row r="142">
          <cell r="A142" t="str">
            <v>DO-YULQ150-R2-22</v>
          </cell>
          <cell r="B142" t="str">
            <v>DO-YULQ150</v>
          </cell>
        </row>
        <row r="143">
          <cell r="A143" t="str">
            <v>DO-YULQ151-W0-16</v>
          </cell>
          <cell r="B143" t="str">
            <v>DO-YULQ151</v>
          </cell>
        </row>
        <row r="144">
          <cell r="A144" t="str">
            <v>DO-YULQ152-B7-22</v>
          </cell>
          <cell r="B144" t="str">
            <v>DO-YULQ152</v>
          </cell>
        </row>
        <row r="145">
          <cell r="A145" t="str">
            <v>DO-YULQ152-Z1-22</v>
          </cell>
          <cell r="B145" t="str">
            <v>DO-YULQ152</v>
          </cell>
        </row>
        <row r="146">
          <cell r="A146" t="str">
            <v>DO-YULQ153-B7-22</v>
          </cell>
          <cell r="B146" t="str">
            <v>DO-YULQ153</v>
          </cell>
        </row>
        <row r="147">
          <cell r="A147" t="str">
            <v>DO-YULQ153-TW-20</v>
          </cell>
          <cell r="B147" t="str">
            <v>DO-YULQ153</v>
          </cell>
        </row>
        <row r="148">
          <cell r="A148" t="str">
            <v>DO-YULQ157-W0-22</v>
          </cell>
          <cell r="B148" t="str">
            <v>DO-YULQ157</v>
          </cell>
        </row>
        <row r="149">
          <cell r="A149" t="str">
            <v>DO-YULQ158-W0-22</v>
          </cell>
          <cell r="B149" t="str">
            <v>DO-YULQ158</v>
          </cell>
        </row>
        <row r="150">
          <cell r="A150" t="str">
            <v>DO-YULQ159-R2-22</v>
          </cell>
          <cell r="B150" t="str">
            <v>DO-YULQ159</v>
          </cell>
        </row>
        <row r="151">
          <cell r="A151" t="str">
            <v>DO-YULQ161-B7-16</v>
          </cell>
          <cell r="B151" t="str">
            <v>DO-YULQ161</v>
          </cell>
        </row>
        <row r="152">
          <cell r="A152" t="str">
            <v>DO-YULQ161-B7-22</v>
          </cell>
          <cell r="B152" t="str">
            <v>DO-YULQ161</v>
          </cell>
        </row>
        <row r="153">
          <cell r="A153" t="str">
            <v>DO-YULQ161-G0-16</v>
          </cell>
          <cell r="B153" t="str">
            <v>DO-YULQ161</v>
          </cell>
        </row>
        <row r="154">
          <cell r="A154" t="str">
            <v>DO-YULQ161-PI-16</v>
          </cell>
          <cell r="B154" t="str">
            <v>DO-YULQ161</v>
          </cell>
        </row>
        <row r="155">
          <cell r="A155" t="str">
            <v>DO-YULQ161-PI-22</v>
          </cell>
          <cell r="B155" t="str">
            <v>DO-YULQ161</v>
          </cell>
        </row>
        <row r="156">
          <cell r="A156" t="str">
            <v>DO-YULQ162-PI-16</v>
          </cell>
          <cell r="B156" t="str">
            <v>DO-YULQ162</v>
          </cell>
        </row>
        <row r="157">
          <cell r="A157" t="str">
            <v>DO-YULQ163-B7-22</v>
          </cell>
          <cell r="B157" t="str">
            <v>DO-YULQ163</v>
          </cell>
        </row>
        <row r="158">
          <cell r="A158" t="str">
            <v>DO-YULQ163-PI-22</v>
          </cell>
          <cell r="B158" t="str">
            <v>DO-YULQ163</v>
          </cell>
        </row>
        <row r="159">
          <cell r="A159" t="str">
            <v>DO-YULQ165-B7-16</v>
          </cell>
          <cell r="B159" t="str">
            <v>DO-YULQ165</v>
          </cell>
        </row>
        <row r="160">
          <cell r="A160" t="str">
            <v>DO-YULQ165-PI-16</v>
          </cell>
          <cell r="B160" t="str">
            <v>DO-YULQ165</v>
          </cell>
        </row>
        <row r="161">
          <cell r="A161" t="str">
            <v>DO-YULQ170-LGR-22</v>
          </cell>
          <cell r="B161" t="str">
            <v>DO-YULQ170</v>
          </cell>
        </row>
        <row r="162">
          <cell r="A162" t="str">
            <v>DO-YULQ171-B0-22</v>
          </cell>
          <cell r="B162" t="str">
            <v>DO-YULQ171</v>
          </cell>
        </row>
        <row r="163">
          <cell r="A163" t="str">
            <v>DO-YULQ171-BD-22</v>
          </cell>
          <cell r="B163" t="str">
            <v>DO-YULQ171</v>
          </cell>
        </row>
        <row r="164">
          <cell r="A164" t="str">
            <v>DO-YULQ171-LGR-22</v>
          </cell>
          <cell r="B164" t="str">
            <v>DO-YULQ171</v>
          </cell>
        </row>
        <row r="165">
          <cell r="A165" t="str">
            <v>DO-YULQ172-BD-22</v>
          </cell>
          <cell r="B165" t="str">
            <v>DO-YULQ172</v>
          </cell>
        </row>
        <row r="166">
          <cell r="A166" t="str">
            <v>DO-YULQ173-B7-22</v>
          </cell>
          <cell r="B166" t="str">
            <v>DO-YULQ173</v>
          </cell>
        </row>
        <row r="167">
          <cell r="A167" t="str">
            <v>DO-YULQ200-PI-10</v>
          </cell>
          <cell r="B167" t="str">
            <v>DO-YULQ200</v>
          </cell>
        </row>
        <row r="168">
          <cell r="A168" t="str">
            <v>DO-YULQ200-W0-10</v>
          </cell>
          <cell r="B168" t="str">
            <v>DO-YULQ200</v>
          </cell>
        </row>
        <row r="169">
          <cell r="A169" t="str">
            <v>DO-YULQ202-P4-22</v>
          </cell>
          <cell r="B169" t="str">
            <v>DO-YULQ202</v>
          </cell>
        </row>
        <row r="170">
          <cell r="A170" t="str">
            <v>DO-YULQ203-P4-22</v>
          </cell>
          <cell r="B170" t="str">
            <v>DO-YULQ203</v>
          </cell>
        </row>
        <row r="171">
          <cell r="A171" t="str">
            <v>DO-YULQ220-R2-22</v>
          </cell>
          <cell r="B171" t="str">
            <v>DO-YULQ220</v>
          </cell>
        </row>
        <row r="172">
          <cell r="A172" t="str">
            <v>DO-YULQ229-PI-16</v>
          </cell>
          <cell r="B172" t="str">
            <v>DO-YULQ229</v>
          </cell>
        </row>
        <row r="173">
          <cell r="A173" t="str">
            <v>DO-YULQ230-PI-16</v>
          </cell>
          <cell r="B173" t="str">
            <v>DO-YULQ230</v>
          </cell>
        </row>
        <row r="174">
          <cell r="A174" t="str">
            <v>DO-YULQ232-W0-10</v>
          </cell>
          <cell r="B174" t="str">
            <v>DO-YULQ232</v>
          </cell>
        </row>
        <row r="175">
          <cell r="A175" t="str">
            <v>DO-YULQ259-PI-20</v>
          </cell>
          <cell r="B175" t="str">
            <v>DO-YULQ259</v>
          </cell>
        </row>
        <row r="176">
          <cell r="A176" t="str">
            <v>DO-YULQ259-PI-22</v>
          </cell>
          <cell r="B176" t="str">
            <v>DO-YULQ259</v>
          </cell>
        </row>
        <row r="177">
          <cell r="A177" t="str">
            <v>DO-YULQ330-PI-18</v>
          </cell>
          <cell r="B177" t="str">
            <v>DO-YULQ330</v>
          </cell>
        </row>
        <row r="178">
          <cell r="A178" t="str">
            <v>DO-YULQ331-LGR-20</v>
          </cell>
          <cell r="B178" t="str">
            <v>DO-YULQ331</v>
          </cell>
        </row>
        <row r="179">
          <cell r="A179" t="str">
            <v>DO-YULQ332-LGR-20</v>
          </cell>
          <cell r="B179" t="str">
            <v>DO-YULQ332</v>
          </cell>
        </row>
        <row r="180">
          <cell r="A180" t="str">
            <v>DO-YULQ349-PI-22</v>
          </cell>
          <cell r="B180" t="str">
            <v>DO-YULQ349</v>
          </cell>
        </row>
        <row r="181">
          <cell r="A181" t="str">
            <v>DO-YULQ350-PI-22</v>
          </cell>
          <cell r="B181" t="str">
            <v>DO-YULQ350</v>
          </cell>
        </row>
        <row r="182">
          <cell r="A182" t="str">
            <v>DO-YULQ372-R0-22</v>
          </cell>
          <cell r="B182" t="str">
            <v>DO-YULQ372</v>
          </cell>
        </row>
        <row r="183">
          <cell r="A183" t="str">
            <v>DO-YULQ516-B0-22</v>
          </cell>
          <cell r="B183" t="str">
            <v>DO-YULQ516</v>
          </cell>
        </row>
        <row r="184">
          <cell r="A184" t="str">
            <v>DO-YULQ601-PI-22</v>
          </cell>
          <cell r="B184" t="str">
            <v>DO-YULQ601</v>
          </cell>
        </row>
        <row r="185">
          <cell r="A185" t="str">
            <v>DO-YULQ602-PI-22</v>
          </cell>
          <cell r="B185" t="str">
            <v>DO-YULQ602</v>
          </cell>
        </row>
        <row r="186">
          <cell r="A186" t="str">
            <v>DO-YULQ602-R2-15</v>
          </cell>
          <cell r="B186" t="str">
            <v>DO-YULQ602</v>
          </cell>
        </row>
        <row r="187">
          <cell r="A187" t="str">
            <v>DO-YULQ603-PI-22</v>
          </cell>
          <cell r="B187" t="str">
            <v>DO-YULQ603</v>
          </cell>
        </row>
        <row r="188">
          <cell r="A188" t="str">
            <v>DO-YULQ604-PI-22</v>
          </cell>
          <cell r="B188" t="str">
            <v>DO-YULQ604</v>
          </cell>
        </row>
        <row r="189">
          <cell r="A189" t="str">
            <v>DO-YULQ605-PI-16</v>
          </cell>
          <cell r="B189" t="str">
            <v>DO-YULQ605</v>
          </cell>
        </row>
        <row r="190">
          <cell r="A190" t="str">
            <v>DO-YULQ605-PI-22</v>
          </cell>
          <cell r="B190" t="str">
            <v>DO-YULQ605</v>
          </cell>
        </row>
        <row r="191">
          <cell r="A191" t="str">
            <v>DO-YULQ606-W0-22</v>
          </cell>
          <cell r="B191" t="str">
            <v>DO-YULQ606</v>
          </cell>
        </row>
        <row r="192">
          <cell r="A192" t="str">
            <v>DO-YULQ609-R2-22</v>
          </cell>
          <cell r="B192" t="str">
            <v>DO-YULQ609</v>
          </cell>
        </row>
        <row r="193">
          <cell r="A193" t="str">
            <v>DO-YULQ610-R2-22</v>
          </cell>
          <cell r="B193" t="str">
            <v>DO-YULQ610</v>
          </cell>
        </row>
        <row r="194">
          <cell r="A194" t="str">
            <v>DO-YULQ610-TW-22</v>
          </cell>
          <cell r="B194" t="str">
            <v>DO-YULQ610</v>
          </cell>
        </row>
        <row r="195">
          <cell r="A195" t="str">
            <v>DO-YULQ611-TW-22</v>
          </cell>
          <cell r="B195" t="str">
            <v>DO-YULQ611</v>
          </cell>
        </row>
        <row r="196">
          <cell r="A196" t="str">
            <v>DO-YULQ620-NZ-22</v>
          </cell>
          <cell r="B196" t="str">
            <v>DO-YULQ620</v>
          </cell>
        </row>
        <row r="197">
          <cell r="A197" t="str">
            <v>DO-YULQ620-PI-22</v>
          </cell>
          <cell r="B197" t="str">
            <v>DO-YULQ620</v>
          </cell>
        </row>
        <row r="198">
          <cell r="A198" t="str">
            <v>DO-YULQ630-R2-15</v>
          </cell>
          <cell r="B198" t="str">
            <v>DO-YULQ630</v>
          </cell>
        </row>
        <row r="199">
          <cell r="A199" t="str">
            <v>DO-YULQ631-R2-22</v>
          </cell>
          <cell r="B199" t="str">
            <v>DO-YULQ631</v>
          </cell>
        </row>
        <row r="200">
          <cell r="A200" t="str">
            <v>DO-YULQ637-B7-20</v>
          </cell>
          <cell r="B200" t="str">
            <v>DO-YULQ637</v>
          </cell>
        </row>
        <row r="201">
          <cell r="A201" t="str">
            <v>DO-YULQ637-PI-20</v>
          </cell>
          <cell r="B201" t="str">
            <v>DO-YULQ637</v>
          </cell>
        </row>
        <row r="202">
          <cell r="A202" t="str">
            <v>DO-YULQ638-B7-20</v>
          </cell>
          <cell r="B202" t="str">
            <v>DO-YULQ638</v>
          </cell>
        </row>
        <row r="203">
          <cell r="A203" t="str">
            <v>DO-YULQ638-LGR-20</v>
          </cell>
          <cell r="B203" t="str">
            <v>DO-YULQ638</v>
          </cell>
        </row>
        <row r="204">
          <cell r="A204" t="str">
            <v>DO-YULQ638-PI-20</v>
          </cell>
          <cell r="B204" t="str">
            <v>DO-YULQ638</v>
          </cell>
        </row>
        <row r="205">
          <cell r="A205" t="str">
            <v>DO-YULQ639-LGR-22</v>
          </cell>
          <cell r="B205" t="str">
            <v>DO-YULQ639</v>
          </cell>
        </row>
        <row r="206">
          <cell r="A206" t="str">
            <v>DO-YULQ639-R2-22</v>
          </cell>
          <cell r="B206" t="str">
            <v>DO-YULQ639</v>
          </cell>
        </row>
        <row r="207">
          <cell r="A207" t="str">
            <v>DO-YULQ662-PI-15</v>
          </cell>
          <cell r="B207" t="str">
            <v>DO-YULQ662</v>
          </cell>
        </row>
        <row r="208">
          <cell r="A208" t="str">
            <v>DO-YULQ663-PI-15</v>
          </cell>
          <cell r="B208" t="str">
            <v>DO-YULQ663</v>
          </cell>
        </row>
        <row r="209">
          <cell r="A209" t="str">
            <v>DO-YULQ664-AX-16</v>
          </cell>
          <cell r="B209" t="str">
            <v>DO-YULQ664</v>
          </cell>
        </row>
        <row r="210">
          <cell r="A210" t="str">
            <v>DO-YULQ700-PI-22</v>
          </cell>
          <cell r="B210" t="str">
            <v>DO-YULQ700</v>
          </cell>
        </row>
        <row r="211">
          <cell r="A211" t="str">
            <v>DO-YULQ700-W0-22</v>
          </cell>
          <cell r="B211" t="str">
            <v>DO-YULQ700</v>
          </cell>
        </row>
        <row r="212">
          <cell r="A212" t="str">
            <v>DO-YULQ701-PI-22</v>
          </cell>
          <cell r="B212" t="str">
            <v>DO-YULQ701</v>
          </cell>
        </row>
        <row r="213">
          <cell r="A213" t="str">
            <v>DO-YULQ702-PI-22</v>
          </cell>
          <cell r="B213" t="str">
            <v>DO-YULQ702</v>
          </cell>
        </row>
        <row r="214">
          <cell r="A214" t="str">
            <v>DO-YULQ703-PI-22</v>
          </cell>
          <cell r="B214" t="str">
            <v>DO-YULQ703</v>
          </cell>
        </row>
        <row r="215">
          <cell r="A215" t="str">
            <v>DO-YULQ704-B0-24</v>
          </cell>
          <cell r="B215" t="str">
            <v>DO-YULQ704</v>
          </cell>
        </row>
        <row r="216">
          <cell r="A216" t="str">
            <v>DO-YULQ705-0R-10</v>
          </cell>
          <cell r="B216" t="str">
            <v>DO-YULQ705</v>
          </cell>
        </row>
        <row r="217">
          <cell r="A217" t="str">
            <v>DO-YULQ705-BR-10</v>
          </cell>
          <cell r="B217" t="str">
            <v>DO-YULQ705</v>
          </cell>
        </row>
        <row r="218">
          <cell r="A218" t="str">
            <v>DO-YULQ705-BR-11</v>
          </cell>
          <cell r="B218" t="str">
            <v>DO-YULQ705</v>
          </cell>
        </row>
        <row r="219">
          <cell r="A219" t="str">
            <v>DO-YULQ705-GR-11</v>
          </cell>
          <cell r="B219" t="str">
            <v>DO-YULQ705</v>
          </cell>
        </row>
        <row r="220">
          <cell r="A220" t="str">
            <v>DO-YULQ705-W0-22</v>
          </cell>
          <cell r="B220" t="str">
            <v>DO-YULQ705</v>
          </cell>
        </row>
        <row r="221">
          <cell r="A221" t="str">
            <v>DO-YULQ706-R0-24</v>
          </cell>
          <cell r="B221" t="str">
            <v>DO-YULQ706</v>
          </cell>
        </row>
        <row r="222">
          <cell r="A222" t="str">
            <v>DO-YULQ707-PI-24</v>
          </cell>
          <cell r="B222" t="str">
            <v>DO-YULQ707</v>
          </cell>
        </row>
        <row r="223">
          <cell r="A223" t="str">
            <v>DO-YULQ708-W0-24</v>
          </cell>
          <cell r="B223" t="str">
            <v>DO-YULQ708</v>
          </cell>
        </row>
        <row r="224">
          <cell r="A224" t="str">
            <v>DO-YULQ811-W0-18</v>
          </cell>
          <cell r="B224" t="str">
            <v>DO-YULQ811</v>
          </cell>
        </row>
        <row r="225">
          <cell r="A225" t="str">
            <v>DO-YULQ812-W0-18</v>
          </cell>
          <cell r="B225" t="str">
            <v>DO-YULQ812</v>
          </cell>
        </row>
        <row r="226">
          <cell r="A226" t="str">
            <v>DO-YULQ904-B7-22</v>
          </cell>
          <cell r="B226" t="str">
            <v>DO-YULQ904</v>
          </cell>
        </row>
        <row r="227">
          <cell r="A227" t="str">
            <v>DO-YULQ905-B7-22</v>
          </cell>
          <cell r="B227" t="str">
            <v>DO-YULQ905</v>
          </cell>
        </row>
        <row r="228">
          <cell r="A228" t="str">
            <v>DO-YULQ985-B7-20</v>
          </cell>
          <cell r="B228" t="str">
            <v>DO-YULQ905</v>
          </cell>
        </row>
        <row r="229">
          <cell r="A229" t="str">
            <v>HF-FL1</v>
          </cell>
          <cell r="B229" t="str">
            <v>HF-FL1</v>
          </cell>
        </row>
        <row r="230">
          <cell r="A230" t="str">
            <v>JFB-FLQ55-PI-17</v>
          </cell>
          <cell r="B230" t="str">
            <v>JFB-FLQ55</v>
          </cell>
        </row>
        <row r="231">
          <cell r="A231" t="str">
            <v>LYQ-1001-B0-2XL</v>
          </cell>
          <cell r="B231" t="str">
            <v>LYQ-1001</v>
          </cell>
        </row>
        <row r="232">
          <cell r="A232" t="str">
            <v>LYQ-1001-B0-L</v>
          </cell>
          <cell r="B232" t="str">
            <v>LYQ-1001</v>
          </cell>
        </row>
        <row r="233">
          <cell r="A233" t="str">
            <v>LYQ-1001-B0-M</v>
          </cell>
          <cell r="B233" t="str">
            <v>LYQ-1001</v>
          </cell>
        </row>
        <row r="234">
          <cell r="A234" t="str">
            <v>LYQ-1001-B0-XL</v>
          </cell>
          <cell r="B234" t="str">
            <v>LYQ-1001</v>
          </cell>
        </row>
        <row r="235">
          <cell r="A235" t="str">
            <v>LYQ-1001-B0-XS</v>
          </cell>
          <cell r="B235" t="str">
            <v>LYQ-1001</v>
          </cell>
        </row>
        <row r="236">
          <cell r="A236" t="str">
            <v>LYQ-1001-G0-2XL</v>
          </cell>
          <cell r="B236" t="str">
            <v>LYQ-1001</v>
          </cell>
        </row>
        <row r="237">
          <cell r="A237" t="str">
            <v>LYQ-1001-G0-M</v>
          </cell>
          <cell r="B237" t="str">
            <v>LYQ-1001</v>
          </cell>
        </row>
        <row r="238">
          <cell r="A238" t="str">
            <v>LYQ-1001-G0-S</v>
          </cell>
          <cell r="B238" t="str">
            <v>LYQ-1001</v>
          </cell>
        </row>
        <row r="239">
          <cell r="A239" t="str">
            <v>LYQ-1001-G0-XS</v>
          </cell>
          <cell r="B239" t="str">
            <v>LYQ-1001</v>
          </cell>
        </row>
        <row r="240">
          <cell r="A240" t="str">
            <v>LYQ-1001-G7-2XL</v>
          </cell>
          <cell r="B240" t="str">
            <v>LYQ-1001</v>
          </cell>
        </row>
        <row r="241">
          <cell r="A241" t="str">
            <v>LYQ-1001-G7-M</v>
          </cell>
          <cell r="B241" t="str">
            <v>LYQ-1001</v>
          </cell>
        </row>
        <row r="242">
          <cell r="A242" t="str">
            <v>LYQ-1001-G7-S</v>
          </cell>
          <cell r="B242" t="str">
            <v>LYQ-1001</v>
          </cell>
        </row>
        <row r="243">
          <cell r="A243" t="str">
            <v>LYQ-1001-G7-XL</v>
          </cell>
          <cell r="B243" t="str">
            <v>LYQ-1001</v>
          </cell>
        </row>
        <row r="244">
          <cell r="A244" t="str">
            <v>LYQ-1001-G7-XS</v>
          </cell>
          <cell r="B244" t="str">
            <v>LYQ-1001</v>
          </cell>
        </row>
        <row r="245">
          <cell r="A245" t="str">
            <v>LYQ-1001-K0-L</v>
          </cell>
          <cell r="B245" t="str">
            <v>LYQ-1001</v>
          </cell>
        </row>
        <row r="246">
          <cell r="A246" t="str">
            <v>LYQ-1001-K0-M</v>
          </cell>
          <cell r="B246" t="str">
            <v>LYQ-1001</v>
          </cell>
        </row>
        <row r="247">
          <cell r="A247" t="str">
            <v>LYQ-1001-K0-S</v>
          </cell>
          <cell r="B247" t="str">
            <v>LYQ-1001</v>
          </cell>
        </row>
        <row r="248">
          <cell r="A248" t="str">
            <v>LYQ-1001-K0-XL</v>
          </cell>
          <cell r="B248" t="str">
            <v>LYQ-1001</v>
          </cell>
        </row>
        <row r="249">
          <cell r="A249" t="str">
            <v>LYQ-1001-N0-2XL</v>
          </cell>
          <cell r="B249" t="str">
            <v>LYQ-1001</v>
          </cell>
        </row>
        <row r="250">
          <cell r="A250" t="str">
            <v>LYQ-1001-N0-L</v>
          </cell>
          <cell r="B250" t="str">
            <v>LYQ-1001</v>
          </cell>
        </row>
        <row r="251">
          <cell r="A251" t="str">
            <v>LYQ-1001-N0-S</v>
          </cell>
          <cell r="B251" t="str">
            <v>LYQ-1001</v>
          </cell>
        </row>
        <row r="252">
          <cell r="A252" t="str">
            <v>LYQ-1001-N0-XL</v>
          </cell>
          <cell r="B252" t="str">
            <v>LYQ-1001</v>
          </cell>
        </row>
        <row r="253">
          <cell r="A253" t="str">
            <v>LYQ-1001-N0-XS</v>
          </cell>
          <cell r="B253" t="str">
            <v>LYQ-1001</v>
          </cell>
        </row>
        <row r="254">
          <cell r="A254" t="str">
            <v>LYQ-1001New-P0-2XL</v>
          </cell>
          <cell r="B254" t="str">
            <v>LYQ-1001</v>
          </cell>
        </row>
        <row r="255">
          <cell r="A255" t="str">
            <v>LYQ-1001New-P0-L</v>
          </cell>
          <cell r="B255" t="str">
            <v>LYQ-1001</v>
          </cell>
        </row>
        <row r="256">
          <cell r="A256" t="str">
            <v>LYQ-1001New-P0-M</v>
          </cell>
          <cell r="B256" t="str">
            <v>LYQ-1001</v>
          </cell>
        </row>
        <row r="257">
          <cell r="A257" t="str">
            <v>LYQ-1001New-P0-S</v>
          </cell>
          <cell r="B257" t="str">
            <v>LYQ-1001</v>
          </cell>
        </row>
        <row r="258">
          <cell r="A258" t="str">
            <v>LYQ-1001New-P0-XL</v>
          </cell>
          <cell r="B258" t="str">
            <v>LYQ-1001</v>
          </cell>
        </row>
        <row r="259">
          <cell r="A259" t="str">
            <v>LYQ-1001New-P0-XS</v>
          </cell>
          <cell r="B259" t="str">
            <v>LYQ-1001</v>
          </cell>
        </row>
        <row r="260">
          <cell r="A260" t="str">
            <v>LYQ-1001-P0-2XL</v>
          </cell>
          <cell r="B260" t="str">
            <v>LYQ-1001</v>
          </cell>
        </row>
        <row r="261">
          <cell r="A261" t="str">
            <v>LYQ-1001-P0-L</v>
          </cell>
          <cell r="B261" t="str">
            <v>LYQ-1001</v>
          </cell>
        </row>
        <row r="262">
          <cell r="A262" t="str">
            <v>LYQ-1001-P0-M</v>
          </cell>
          <cell r="B262" t="str">
            <v>LYQ-1001</v>
          </cell>
        </row>
        <row r="263">
          <cell r="A263" t="str">
            <v>LYQ-1001-P0-S</v>
          </cell>
          <cell r="B263" t="str">
            <v>LYQ-1001</v>
          </cell>
        </row>
        <row r="264">
          <cell r="A264" t="str">
            <v>LYQ-1001-P0-XL</v>
          </cell>
          <cell r="B264" t="str">
            <v>LYQ-1001</v>
          </cell>
        </row>
        <row r="265">
          <cell r="A265" t="str">
            <v>LYQ-1001-P0-XS</v>
          </cell>
          <cell r="B265" t="str">
            <v>LYQ-1001</v>
          </cell>
        </row>
        <row r="266">
          <cell r="A266" t="str">
            <v>LYQ-1001-R0-2XL</v>
          </cell>
          <cell r="B266" t="str">
            <v>LYQ-1001</v>
          </cell>
        </row>
        <row r="267">
          <cell r="A267" t="str">
            <v>LYQ-1001-R0-L</v>
          </cell>
          <cell r="B267" t="str">
            <v>LYQ-1001</v>
          </cell>
        </row>
        <row r="268">
          <cell r="A268" t="str">
            <v>LYQ-1001-R0-M</v>
          </cell>
          <cell r="B268" t="str">
            <v>LYQ-1001</v>
          </cell>
        </row>
        <row r="269">
          <cell r="A269" t="str">
            <v>LYQ-1001-R0-S</v>
          </cell>
          <cell r="B269" t="str">
            <v>LYQ-1001</v>
          </cell>
        </row>
        <row r="270">
          <cell r="A270" t="str">
            <v>LYQ-1001-R0-XL</v>
          </cell>
          <cell r="B270" t="str">
            <v>LYQ-1001</v>
          </cell>
        </row>
        <row r="271">
          <cell r="A271" t="str">
            <v>LYQ-1001-R0-XS</v>
          </cell>
          <cell r="B271" t="str">
            <v>LYQ-1001</v>
          </cell>
        </row>
        <row r="272">
          <cell r="A272" t="str">
            <v>LYQ-1001-W0-2XL</v>
          </cell>
          <cell r="B272" t="str">
            <v>LYQ-1001</v>
          </cell>
        </row>
        <row r="273">
          <cell r="A273" t="str">
            <v>LYQ-1001-W0-L</v>
          </cell>
          <cell r="B273" t="str">
            <v>LYQ-1001</v>
          </cell>
        </row>
        <row r="274">
          <cell r="A274" t="str">
            <v>LYQ-1001-W0-M</v>
          </cell>
          <cell r="B274" t="str">
            <v>LYQ-1001</v>
          </cell>
        </row>
        <row r="275">
          <cell r="A275" t="str">
            <v>LYQ-1001-W0-XL</v>
          </cell>
          <cell r="B275" t="str">
            <v>LYQ-1001</v>
          </cell>
        </row>
        <row r="276">
          <cell r="A276" t="str">
            <v>LYQ-1001-W0-XS</v>
          </cell>
          <cell r="B276" t="str">
            <v>LYQ-1001</v>
          </cell>
        </row>
        <row r="277">
          <cell r="A277" t="str">
            <v>LYQ-1001-Z0-2XL</v>
          </cell>
          <cell r="B277" t="str">
            <v>LYQ-1001</v>
          </cell>
        </row>
        <row r="278">
          <cell r="A278" t="str">
            <v>LYQ-1001-Z0-L</v>
          </cell>
          <cell r="B278" t="str">
            <v>LYQ-1001</v>
          </cell>
        </row>
        <row r="279">
          <cell r="A279" t="str">
            <v>LYQ-1001-Z0-M</v>
          </cell>
          <cell r="B279" t="str">
            <v>LYQ-1001</v>
          </cell>
        </row>
        <row r="280">
          <cell r="A280" t="str">
            <v>LYQ-1001-Z0-S</v>
          </cell>
          <cell r="B280" t="str">
            <v>LYQ-1001</v>
          </cell>
        </row>
        <row r="281">
          <cell r="A281" t="str">
            <v>LYQ-1001-Z0-XL</v>
          </cell>
          <cell r="B281" t="str">
            <v>LYQ-1001</v>
          </cell>
        </row>
        <row r="282">
          <cell r="A282" t="str">
            <v>LYQ-1001-Z0-XS</v>
          </cell>
          <cell r="B282" t="str">
            <v>LYQ-1001</v>
          </cell>
        </row>
        <row r="283">
          <cell r="A283" t="str">
            <v>LYQ-CL0045-K0-L</v>
          </cell>
          <cell r="B283" t="str">
            <v>LYQ-CL0045</v>
          </cell>
        </row>
        <row r="284">
          <cell r="A284" t="str">
            <v>LYQ-CL0045-K0-S</v>
          </cell>
          <cell r="B284" t="str">
            <v>LYQ-CL0045</v>
          </cell>
        </row>
        <row r="285">
          <cell r="A285" t="str">
            <v>LYQ-CL0045-K0-XL</v>
          </cell>
          <cell r="B285" t="str">
            <v>LYQ-CL0045</v>
          </cell>
        </row>
        <row r="286">
          <cell r="A286" t="str">
            <v>LYQ-CL0045-Y0-L</v>
          </cell>
          <cell r="B286" t="str">
            <v>LYQ-CL0045</v>
          </cell>
        </row>
        <row r="287">
          <cell r="A287" t="str">
            <v>LYQ-CL0045-Y0-M</v>
          </cell>
          <cell r="B287" t="str">
            <v>LYQ-CL0045</v>
          </cell>
        </row>
        <row r="288">
          <cell r="A288" t="str">
            <v>LYQ-CL0045-Y0-S</v>
          </cell>
          <cell r="B288" t="str">
            <v>LYQ-CL0045</v>
          </cell>
        </row>
        <row r="289">
          <cell r="A289" t="str">
            <v>LYQ-CL0045-Y0-XL</v>
          </cell>
          <cell r="B289" t="str">
            <v>LYQ-CL0045</v>
          </cell>
        </row>
        <row r="290">
          <cell r="A290" t="str">
            <v>LYQ-CL61652-R6-M</v>
          </cell>
          <cell r="B290" t="str">
            <v>LYQ-CL61652</v>
          </cell>
        </row>
        <row r="291">
          <cell r="A291" t="str">
            <v>LYQ-CL6287-B0-L</v>
          </cell>
          <cell r="B291" t="str">
            <v>LYQ-CL6287</v>
          </cell>
        </row>
        <row r="292">
          <cell r="A292" t="str">
            <v>LYQ-CL6287-FB-L</v>
          </cell>
          <cell r="B292" t="str">
            <v>LYQ-CL6287</v>
          </cell>
        </row>
        <row r="293">
          <cell r="A293" t="str">
            <v>LYQ-CL6287-G7-L</v>
          </cell>
          <cell r="B293" t="str">
            <v>LYQ-CL6287</v>
          </cell>
        </row>
        <row r="294">
          <cell r="A294" t="str">
            <v>LYQ-CL6287-G7-M</v>
          </cell>
          <cell r="B294" t="str">
            <v>LYQ-CL6287</v>
          </cell>
        </row>
        <row r="295">
          <cell r="A295" t="str">
            <v>LYQ-CL6287-K0-L</v>
          </cell>
          <cell r="B295" t="str">
            <v>LYQ-CL6287</v>
          </cell>
        </row>
        <row r="296">
          <cell r="A296" t="str">
            <v>LYQ-CL6287-K0-M</v>
          </cell>
          <cell r="B296" t="str">
            <v>LYQ-CL6287</v>
          </cell>
        </row>
        <row r="297">
          <cell r="A297" t="str">
            <v>LYQ-CL6408NO-G0-L</v>
          </cell>
          <cell r="B297" t="str">
            <v>LYQ-CL6408NO</v>
          </cell>
        </row>
        <row r="298">
          <cell r="A298" t="str">
            <v>LYQ-CL6408NO-K0-L</v>
          </cell>
          <cell r="B298" t="str">
            <v>LYQ-CL6408NO</v>
          </cell>
        </row>
        <row r="299">
          <cell r="A299" t="str">
            <v>LYQ-CL6408SL-G0XL</v>
          </cell>
          <cell r="B299" t="str">
            <v>LYQ-CL6408SL</v>
          </cell>
        </row>
        <row r="300">
          <cell r="A300" t="str">
            <v>LYQ-CL6408SL-K0XL</v>
          </cell>
          <cell r="B300" t="str">
            <v>LYQ-CL6408SL</v>
          </cell>
        </row>
        <row r="301">
          <cell r="A301" t="str">
            <v>LYQ-CLBAH002-L</v>
          </cell>
          <cell r="B301" t="str">
            <v>LYQ-CLBAH002</v>
          </cell>
        </row>
        <row r="302">
          <cell r="A302" t="str">
            <v>LYQ-CLBAH002-M</v>
          </cell>
          <cell r="B302" t="str">
            <v>LYQ-CLBAH002</v>
          </cell>
        </row>
        <row r="303">
          <cell r="A303" t="str">
            <v>LYQ-CLBAH002-S</v>
          </cell>
          <cell r="B303" t="str">
            <v>LYQ-CLBAH002</v>
          </cell>
        </row>
        <row r="304">
          <cell r="A304" t="str">
            <v>LYQ-CLBAH002-XL</v>
          </cell>
          <cell r="B304" t="str">
            <v>LYQ-CLBAH002</v>
          </cell>
        </row>
        <row r="305">
          <cell r="A305" t="str">
            <v>LYQ-CSM048-G0-L</v>
          </cell>
          <cell r="B305" t="str">
            <v>LYQ-CSM048</v>
          </cell>
        </row>
        <row r="306">
          <cell r="A306" t="str">
            <v>LYQ-CSM048-G0-S</v>
          </cell>
          <cell r="B306" t="str">
            <v>LYQ-CSM048</v>
          </cell>
        </row>
        <row r="307">
          <cell r="A307" t="str">
            <v>LYQ-CSM048-GR0-M</v>
          </cell>
          <cell r="B307" t="str">
            <v>LYQ-CSM048</v>
          </cell>
        </row>
        <row r="308">
          <cell r="A308" t="str">
            <v>LYQ-CSM048-GR1-L</v>
          </cell>
          <cell r="B308" t="str">
            <v>LYQ-CSM048</v>
          </cell>
        </row>
        <row r="309">
          <cell r="A309" t="str">
            <v>LYQ-CSM048-GR1-XL</v>
          </cell>
          <cell r="B309" t="str">
            <v>LYQ-CSM048</v>
          </cell>
        </row>
        <row r="310">
          <cell r="A310" t="str">
            <v>LYQ-CSM048-K0-S</v>
          </cell>
          <cell r="B310" t="str">
            <v>LYQ-CSM048</v>
          </cell>
        </row>
        <row r="311">
          <cell r="A311" t="str">
            <v>LYQ-CSM048-ZL-L</v>
          </cell>
          <cell r="B311" t="str">
            <v>LYQ-CSM048</v>
          </cell>
        </row>
        <row r="312">
          <cell r="A312" t="str">
            <v>LYQ-CSM048-ZL-XL</v>
          </cell>
          <cell r="B312" t="str">
            <v>LYQ-CSM048</v>
          </cell>
        </row>
        <row r="313">
          <cell r="A313" t="str">
            <v>LYQ-HM0505-W0-3XL</v>
          </cell>
          <cell r="B313" t="str">
            <v>LYQ-HM0505</v>
          </cell>
        </row>
        <row r="314">
          <cell r="A314" t="str">
            <v>LYQ-HM1205-BR-L</v>
          </cell>
          <cell r="B314" t="str">
            <v>LYQ-HM1205</v>
          </cell>
        </row>
        <row r="315">
          <cell r="A315" t="str">
            <v>LYQ-HM1205-BR-M</v>
          </cell>
          <cell r="B315" t="str">
            <v>LYQ-HM1205</v>
          </cell>
        </row>
        <row r="316">
          <cell r="A316" t="str">
            <v>LYQ-HM1205-BR-S</v>
          </cell>
          <cell r="B316" t="str">
            <v>LYQ-HM1205</v>
          </cell>
        </row>
        <row r="317">
          <cell r="A317" t="str">
            <v>LYQ-HM1205-BR-XL</v>
          </cell>
          <cell r="B317" t="str">
            <v>LYQ-HM1205</v>
          </cell>
        </row>
        <row r="318">
          <cell r="A318" t="str">
            <v>LYQ-HM1205-K0-S</v>
          </cell>
          <cell r="B318" t="str">
            <v>LYQ-HM1205</v>
          </cell>
        </row>
        <row r="319">
          <cell r="A319" t="str">
            <v>LYQ-HM1205-KH-L</v>
          </cell>
          <cell r="B319" t="str">
            <v>LYQ-HM1205</v>
          </cell>
        </row>
        <row r="320">
          <cell r="A320" t="str">
            <v>LYQ-HM1205-KH-M</v>
          </cell>
          <cell r="B320" t="str">
            <v>LYQ-HM1205</v>
          </cell>
        </row>
        <row r="321">
          <cell r="A321" t="str">
            <v>LYQ-HM1205-KH-S</v>
          </cell>
          <cell r="B321" t="str">
            <v>LYQ-HM1205</v>
          </cell>
        </row>
        <row r="322">
          <cell r="A322" t="str">
            <v>LYQ-HM1205-KH-XL</v>
          </cell>
          <cell r="B322" t="str">
            <v>LYQ-HM1205</v>
          </cell>
        </row>
        <row r="323">
          <cell r="A323" t="str">
            <v>LYQ-HM1205-OR-L</v>
          </cell>
          <cell r="B323" t="str">
            <v>LYQ-HM1205</v>
          </cell>
        </row>
        <row r="324">
          <cell r="A324" t="str">
            <v>LYQ-HM1205-OR-M</v>
          </cell>
          <cell r="B324" t="str">
            <v>LYQ-HM1205</v>
          </cell>
        </row>
        <row r="325">
          <cell r="A325" t="str">
            <v>LYQ-HM1205-OR-S</v>
          </cell>
          <cell r="B325" t="str">
            <v>LYQ-HM1205</v>
          </cell>
        </row>
        <row r="326">
          <cell r="A326" t="str">
            <v>LYQ-HM1205-W0-L</v>
          </cell>
          <cell r="B326" t="str">
            <v>LYQ-HM1205</v>
          </cell>
        </row>
        <row r="327">
          <cell r="A327" t="str">
            <v>LYQ-HM1205-W0-M</v>
          </cell>
          <cell r="B327" t="str">
            <v>LYQ-HM1205</v>
          </cell>
        </row>
        <row r="328">
          <cell r="A328" t="str">
            <v>LYQ-HM1205-W0-S</v>
          </cell>
          <cell r="B328" t="str">
            <v>LYQ-HM1205</v>
          </cell>
        </row>
        <row r="329">
          <cell r="A329" t="str">
            <v>LYQ-HM1205-W0-XL</v>
          </cell>
          <cell r="B329" t="str">
            <v>LYQ-HM1205</v>
          </cell>
        </row>
        <row r="330">
          <cell r="A330" t="str">
            <v>LYQ-HMQZZ-MOM-2XL</v>
          </cell>
          <cell r="B330" t="str">
            <v>LYQ-HMQZZ</v>
          </cell>
        </row>
        <row r="331">
          <cell r="A331" t="str">
            <v>LYQ-HMQZZ-MOM-S</v>
          </cell>
          <cell r="B331" t="str">
            <v>LYQ-HMQZZ</v>
          </cell>
        </row>
        <row r="332">
          <cell r="A332" t="str">
            <v>LYQ-LY064-B0-3XL</v>
          </cell>
          <cell r="B332" t="str">
            <v>LYQ-LY064</v>
          </cell>
        </row>
        <row r="333">
          <cell r="A333" t="str">
            <v>LYQ-LY064-B0-4XL</v>
          </cell>
          <cell r="B333" t="str">
            <v>LYQ-LY064</v>
          </cell>
        </row>
        <row r="334">
          <cell r="A334" t="str">
            <v>LYQ-LY064-B0-L</v>
          </cell>
          <cell r="B334" t="str">
            <v>LYQ-LY064</v>
          </cell>
        </row>
        <row r="335">
          <cell r="A335" t="str">
            <v>LYQ-LY064-G0-3XL</v>
          </cell>
          <cell r="B335" t="str">
            <v>LYQ-LY064</v>
          </cell>
        </row>
        <row r="336">
          <cell r="A336" t="str">
            <v>LYQ-LY064-G0-4XL</v>
          </cell>
          <cell r="B336" t="str">
            <v>LYQ-LY064</v>
          </cell>
        </row>
        <row r="337">
          <cell r="A337" t="str">
            <v>LYQ-LY064-G0-L</v>
          </cell>
          <cell r="B337" t="str">
            <v>LYQ-LY064</v>
          </cell>
        </row>
        <row r="338">
          <cell r="A338" t="str">
            <v>LYQ-LY064-G0-M</v>
          </cell>
          <cell r="B338" t="str">
            <v>LYQ-LY064</v>
          </cell>
        </row>
        <row r="339">
          <cell r="A339" t="str">
            <v>LYQ-LY064-K0-2XL</v>
          </cell>
          <cell r="B339" t="str">
            <v>LYQ-LY064</v>
          </cell>
        </row>
        <row r="340">
          <cell r="A340" t="str">
            <v>LYQ-LY064-K0-3XL</v>
          </cell>
          <cell r="B340" t="str">
            <v>LYQ-LY064</v>
          </cell>
        </row>
        <row r="341">
          <cell r="A341" t="str">
            <v>LYQ-LY064-K0-4XL</v>
          </cell>
          <cell r="B341" t="str">
            <v>LYQ-LY064</v>
          </cell>
        </row>
        <row r="342">
          <cell r="A342" t="str">
            <v>LYQ-LY064-K0-M</v>
          </cell>
          <cell r="B342" t="str">
            <v>LYQ-LY064</v>
          </cell>
        </row>
        <row r="343">
          <cell r="A343" t="str">
            <v>LYQ-LY064-K0-S</v>
          </cell>
          <cell r="B343" t="str">
            <v>LYQ-LY064</v>
          </cell>
        </row>
        <row r="344">
          <cell r="A344" t="str">
            <v>LYQ-LY064-OR-4XL</v>
          </cell>
          <cell r="B344" t="str">
            <v>LYQ-LY064</v>
          </cell>
        </row>
        <row r="345">
          <cell r="A345" t="str">
            <v>LYQ-LY064-OR-M</v>
          </cell>
          <cell r="B345" t="str">
            <v>LYQ-LY064</v>
          </cell>
        </row>
        <row r="346">
          <cell r="A346" t="str">
            <v>LYQ-WH885-ZL-L</v>
          </cell>
          <cell r="B346" t="str">
            <v>LYQ-WH885</v>
          </cell>
        </row>
        <row r="347">
          <cell r="A347" t="str">
            <v>LYQ-ZQ1052-R0-XL</v>
          </cell>
          <cell r="B347" t="str">
            <v>LYQ-ZQ1052</v>
          </cell>
        </row>
        <row r="348">
          <cell r="A348" t="str">
            <v>LYQ-ZQ1117-B0-2XL</v>
          </cell>
          <cell r="B348" t="str">
            <v>LYQ-ZQ1117</v>
          </cell>
        </row>
        <row r="349">
          <cell r="A349" t="str">
            <v>LYQ-ZQ1117-B0-L</v>
          </cell>
          <cell r="B349" t="str">
            <v>LYQ-ZQ1117</v>
          </cell>
        </row>
        <row r="350">
          <cell r="A350" t="str">
            <v>LYQ-ZQ1117-B0-M</v>
          </cell>
          <cell r="B350" t="str">
            <v>LYQ-ZQ1117</v>
          </cell>
        </row>
        <row r="351">
          <cell r="A351" t="str">
            <v>LYQ-ZQ1117-B0-S</v>
          </cell>
          <cell r="B351" t="str">
            <v>LYQ-ZQ1117</v>
          </cell>
        </row>
        <row r="352">
          <cell r="A352" t="str">
            <v>LYQ-ZQ1117-B0-XL</v>
          </cell>
          <cell r="B352" t="str">
            <v>LYQ-ZQ1117</v>
          </cell>
        </row>
        <row r="353">
          <cell r="A353" t="str">
            <v>LYQ-ZQ1117-BD-2XL</v>
          </cell>
          <cell r="B353" t="str">
            <v>LYQ-ZQ1117</v>
          </cell>
        </row>
        <row r="354">
          <cell r="A354" t="str">
            <v>LYQ-ZQ1117-BD-L</v>
          </cell>
          <cell r="B354" t="str">
            <v>LYQ-ZQ1117</v>
          </cell>
        </row>
        <row r="355">
          <cell r="A355" t="str">
            <v>LYQ-ZQ1117-BD-M</v>
          </cell>
          <cell r="B355" t="str">
            <v>LYQ-ZQ1117</v>
          </cell>
        </row>
        <row r="356">
          <cell r="A356" t="str">
            <v>LYQ-ZQ1117-BD-S</v>
          </cell>
          <cell r="B356" t="str">
            <v>LYQ-ZQ1117</v>
          </cell>
        </row>
        <row r="357">
          <cell r="A357" t="str">
            <v>LYQ-ZQ1117-BD-XL</v>
          </cell>
          <cell r="B357" t="str">
            <v>LYQ-ZQ1117</v>
          </cell>
        </row>
        <row r="358">
          <cell r="A358" t="str">
            <v>LYQ-ZQ1117-C0-2XL</v>
          </cell>
          <cell r="B358" t="str">
            <v>LYQ-ZQ1117</v>
          </cell>
        </row>
        <row r="359">
          <cell r="A359" t="str">
            <v>LYQ-ZQ1117-C0-L</v>
          </cell>
          <cell r="B359" t="str">
            <v>LYQ-ZQ1117</v>
          </cell>
        </row>
        <row r="360">
          <cell r="A360" t="str">
            <v>LYQ-ZQ1117-C0-M</v>
          </cell>
          <cell r="B360" t="str">
            <v>LYQ-ZQ1117</v>
          </cell>
        </row>
        <row r="361">
          <cell r="A361" t="str">
            <v>LYQ-ZQ1117-C0-S</v>
          </cell>
          <cell r="B361" t="str">
            <v>LYQ-ZQ1117</v>
          </cell>
        </row>
        <row r="362">
          <cell r="A362" t="str">
            <v>LYQ-ZQ1117-C0-XL</v>
          </cell>
          <cell r="B362" t="str">
            <v>LYQ-ZQ1117</v>
          </cell>
        </row>
        <row r="363">
          <cell r="A363" t="str">
            <v>LYQ-ZQ1117-E0-2XL</v>
          </cell>
          <cell r="B363" t="str">
            <v>LYQ-ZQ1117</v>
          </cell>
        </row>
        <row r="364">
          <cell r="A364" t="str">
            <v>LYQ-ZQ1117-E0-L</v>
          </cell>
          <cell r="B364" t="str">
            <v>LYQ-ZQ1117</v>
          </cell>
        </row>
        <row r="365">
          <cell r="A365" t="str">
            <v>LYQ-ZQ1117-E0-M</v>
          </cell>
          <cell r="B365" t="str">
            <v>LYQ-ZQ1117</v>
          </cell>
        </row>
        <row r="366">
          <cell r="A366" t="str">
            <v>LYQ-ZQ1117-E0-S</v>
          </cell>
          <cell r="B366" t="str">
            <v>LYQ-ZQ1117</v>
          </cell>
        </row>
        <row r="367">
          <cell r="A367" t="str">
            <v>LYQ-ZQ1117-E0-XL</v>
          </cell>
          <cell r="B367" t="str">
            <v>LYQ-ZQ1117</v>
          </cell>
        </row>
        <row r="368">
          <cell r="A368" t="str">
            <v>LYQ-ZQ1117-G7-2XL</v>
          </cell>
          <cell r="B368" t="str">
            <v>LYQ-ZQ1117</v>
          </cell>
        </row>
        <row r="369">
          <cell r="A369" t="str">
            <v>LYQ-ZQ1117-G7-L</v>
          </cell>
          <cell r="B369" t="str">
            <v>LYQ-ZQ1117</v>
          </cell>
        </row>
        <row r="370">
          <cell r="A370" t="str">
            <v>LYQ-ZQ1117-G7-M</v>
          </cell>
          <cell r="B370" t="str">
            <v>LYQ-ZQ1117</v>
          </cell>
        </row>
        <row r="371">
          <cell r="A371" t="str">
            <v>LYQ-ZQ1117-G7-S</v>
          </cell>
          <cell r="B371" t="str">
            <v>LYQ-ZQ1117</v>
          </cell>
        </row>
        <row r="372">
          <cell r="A372" t="str">
            <v>LYQ-ZQ1117-G7-XL</v>
          </cell>
          <cell r="B372" t="str">
            <v>LYQ-ZQ1117</v>
          </cell>
        </row>
        <row r="373">
          <cell r="A373" t="str">
            <v>LYQ-ZQ1117-K0-2XL</v>
          </cell>
          <cell r="B373" t="str">
            <v>LYQ-ZQ1117</v>
          </cell>
        </row>
        <row r="374">
          <cell r="A374" t="str">
            <v>LYQ-ZQ1117-K0-L</v>
          </cell>
          <cell r="B374" t="str">
            <v>LYQ-ZQ1117</v>
          </cell>
        </row>
        <row r="375">
          <cell r="A375" t="str">
            <v>LYQ-ZQ1117-K0-M</v>
          </cell>
          <cell r="B375" t="str">
            <v>LYQ-ZQ1117</v>
          </cell>
        </row>
        <row r="376">
          <cell r="A376" t="str">
            <v>LYQ-ZQ1117-K0-S</v>
          </cell>
          <cell r="B376" t="str">
            <v>LYQ-ZQ1117</v>
          </cell>
        </row>
        <row r="377">
          <cell r="A377" t="str">
            <v>LYQ-ZQ1117-K0-XL</v>
          </cell>
          <cell r="B377" t="str">
            <v>LYQ-ZQ1117</v>
          </cell>
        </row>
        <row r="378">
          <cell r="A378" t="str">
            <v>LYQ-ZQ1117-KQ-2XL</v>
          </cell>
          <cell r="B378" t="str">
            <v>LYQ-ZQ1117</v>
          </cell>
        </row>
        <row r="379">
          <cell r="A379" t="str">
            <v>LYQ-ZQ1117-KQ-L</v>
          </cell>
          <cell r="B379" t="str">
            <v>LYQ-ZQ1117</v>
          </cell>
        </row>
        <row r="380">
          <cell r="A380" t="str">
            <v>LYQ-ZQ1117-KQ-M</v>
          </cell>
          <cell r="B380" t="str">
            <v>LYQ-ZQ1117</v>
          </cell>
        </row>
        <row r="381">
          <cell r="A381" t="str">
            <v>LYQ-ZQ1117-KQ-S</v>
          </cell>
          <cell r="B381" t="str">
            <v>LYQ-ZQ1117</v>
          </cell>
        </row>
        <row r="382">
          <cell r="A382" t="str">
            <v>LYQ-ZQ1117-KQ-XL</v>
          </cell>
          <cell r="B382" t="str">
            <v>LYQ-ZQ1117</v>
          </cell>
        </row>
        <row r="383">
          <cell r="A383" t="str">
            <v>LYQ-ZQ1428-R0-M</v>
          </cell>
          <cell r="B383" t="str">
            <v>LYQ-ZQ1428</v>
          </cell>
        </row>
        <row r="384">
          <cell r="A384" t="str">
            <v>LYQ-ZQ1428-Y0-S</v>
          </cell>
          <cell r="B384" t="str">
            <v>LYQ-ZQ1428</v>
          </cell>
        </row>
        <row r="385">
          <cell r="A385" t="str">
            <v>LYQ-ZQ1669-B0-L</v>
          </cell>
          <cell r="B385" t="str">
            <v>LYQ-ZQ1669</v>
          </cell>
        </row>
        <row r="386">
          <cell r="A386" t="str">
            <v>LYQ-ZQ1669-B0-M</v>
          </cell>
          <cell r="B386" t="str">
            <v>LYQ-ZQ1669</v>
          </cell>
        </row>
        <row r="387">
          <cell r="A387" t="str">
            <v>LYQ-ZQ1669-B0-S</v>
          </cell>
          <cell r="B387" t="str">
            <v>LYQ-ZQ1669</v>
          </cell>
        </row>
        <row r="388">
          <cell r="A388" t="str">
            <v>LYQ-ZQ1669-B0-XL</v>
          </cell>
          <cell r="B388" t="str">
            <v>LYQ-ZQ1669</v>
          </cell>
        </row>
        <row r="389">
          <cell r="A389" t="str">
            <v>LYQ-ZQ1880-R0-L</v>
          </cell>
          <cell r="B389" t="str">
            <v>LYQ-ZQ1880</v>
          </cell>
        </row>
        <row r="390">
          <cell r="A390" t="str">
            <v>LYQ-ZQ1880-R0-M</v>
          </cell>
          <cell r="B390" t="str">
            <v>LYQ-ZQ1880</v>
          </cell>
        </row>
        <row r="391">
          <cell r="A391" t="str">
            <v>LYQ-ZQ1880-R0-S</v>
          </cell>
          <cell r="B391" t="str">
            <v>LYQ-ZQ1880</v>
          </cell>
        </row>
        <row r="392">
          <cell r="A392" t="str">
            <v>LYQ-ZQ1880-R0-XL</v>
          </cell>
          <cell r="B392" t="str">
            <v>LYQ-ZQ1880</v>
          </cell>
        </row>
        <row r="393">
          <cell r="A393" t="str">
            <v>LYQ-ZQ1880-Y0-M</v>
          </cell>
          <cell r="B393" t="str">
            <v>LYQ-ZQ1880</v>
          </cell>
        </row>
        <row r="394">
          <cell r="A394" t="str">
            <v>LYQ-ZQ1880-ZL-L</v>
          </cell>
          <cell r="B394" t="str">
            <v>LYQ-ZQ1880</v>
          </cell>
        </row>
        <row r="395">
          <cell r="A395" t="str">
            <v>LYQ-ZQ1880-ZL-M</v>
          </cell>
          <cell r="B395" t="str">
            <v>LYQ-ZQ1880</v>
          </cell>
        </row>
        <row r="396">
          <cell r="A396" t="str">
            <v>LYQ-ZQ1880-ZL-S</v>
          </cell>
          <cell r="B396" t="str">
            <v>LYQ-ZQ1880</v>
          </cell>
        </row>
        <row r="397">
          <cell r="A397" t="str">
            <v>LYQ-ZQ1880-ZL-XL</v>
          </cell>
          <cell r="B397" t="str">
            <v>LYQ-ZQ1880</v>
          </cell>
        </row>
        <row r="398">
          <cell r="A398" t="str">
            <v>LYQ-ZQ2973-BD-2XL</v>
          </cell>
          <cell r="B398" t="str">
            <v>LYQ-ZQ2973</v>
          </cell>
        </row>
        <row r="399">
          <cell r="A399" t="str">
            <v>LYQ-ZQ2973-BD-L</v>
          </cell>
          <cell r="B399" t="str">
            <v>LYQ-ZQ2973</v>
          </cell>
        </row>
        <row r="400">
          <cell r="A400" t="str">
            <v>LYQ-ZQ2973-BD-M</v>
          </cell>
          <cell r="B400" t="str">
            <v>LYQ-ZQ2973</v>
          </cell>
        </row>
        <row r="401">
          <cell r="A401" t="str">
            <v>LYQ-ZQ2973-BD-S</v>
          </cell>
          <cell r="B401" t="str">
            <v>LYQ-ZQ2973</v>
          </cell>
        </row>
        <row r="402">
          <cell r="A402" t="str">
            <v>LYQ-ZQ2973-BD-XL</v>
          </cell>
          <cell r="B402" t="str">
            <v>LYQ-ZQ2973</v>
          </cell>
        </row>
        <row r="403">
          <cell r="A403" t="str">
            <v>LYQ-ZQ2973-E0-2XL</v>
          </cell>
          <cell r="B403" t="str">
            <v>LYQ-ZQ2973</v>
          </cell>
        </row>
        <row r="404">
          <cell r="A404" t="str">
            <v>LYQ-ZQ2973-E0-L</v>
          </cell>
          <cell r="B404" t="str">
            <v>LYQ-ZQ2973</v>
          </cell>
        </row>
        <row r="405">
          <cell r="A405" t="str">
            <v>LYQ-ZQ2973-E0-M</v>
          </cell>
          <cell r="B405" t="str">
            <v>LYQ-ZQ2973</v>
          </cell>
        </row>
        <row r="406">
          <cell r="A406" t="str">
            <v>LYQ-ZQ2973-E0-S</v>
          </cell>
          <cell r="B406" t="str">
            <v>LYQ-ZQ2973</v>
          </cell>
        </row>
        <row r="407">
          <cell r="A407" t="str">
            <v>LYQ-ZQ2973-E0-XL</v>
          </cell>
          <cell r="B407" t="str">
            <v>LYQ-ZQ2973</v>
          </cell>
        </row>
        <row r="408">
          <cell r="A408" t="str">
            <v>LYQ-ZQ2973-G0-2XL</v>
          </cell>
          <cell r="B408" t="str">
            <v>LYQ-ZQ2973</v>
          </cell>
        </row>
        <row r="409">
          <cell r="A409" t="str">
            <v>LYQ-ZQ2973-G0-L</v>
          </cell>
          <cell r="B409" t="str">
            <v>LYQ-ZQ2973</v>
          </cell>
        </row>
        <row r="410">
          <cell r="A410" t="str">
            <v>LYQ-ZQ2973-G0-M</v>
          </cell>
          <cell r="B410" t="str">
            <v>LYQ-ZQ2973</v>
          </cell>
        </row>
        <row r="411">
          <cell r="A411" t="str">
            <v>LYQ-ZQ2973-G0-S</v>
          </cell>
          <cell r="B411" t="str">
            <v>LYQ-ZQ2973</v>
          </cell>
        </row>
        <row r="412">
          <cell r="A412" t="str">
            <v>LYQ-ZQ2973-G0-XL</v>
          </cell>
          <cell r="B412" t="str">
            <v>LYQ-ZQ2973</v>
          </cell>
        </row>
        <row r="413">
          <cell r="A413" t="str">
            <v>LYQ-ZQ2973-K0-2XL</v>
          </cell>
          <cell r="B413" t="str">
            <v>LYQ-ZQ2973</v>
          </cell>
        </row>
        <row r="414">
          <cell r="A414" t="str">
            <v>LYQ-ZQ2973-K0-L</v>
          </cell>
          <cell r="B414" t="str">
            <v>LYQ-ZQ2973</v>
          </cell>
        </row>
        <row r="415">
          <cell r="A415" t="str">
            <v>LYQ-ZQ2973-K0-M</v>
          </cell>
          <cell r="B415" t="str">
            <v>LYQ-ZQ2973</v>
          </cell>
        </row>
        <row r="416">
          <cell r="A416" t="str">
            <v>LYQ-ZQ2973-K0-S</v>
          </cell>
          <cell r="B416" t="str">
            <v>LYQ-ZQ2973</v>
          </cell>
        </row>
        <row r="417">
          <cell r="A417" t="str">
            <v>LYQ-ZQ2973-K0-XL</v>
          </cell>
          <cell r="B417" t="str">
            <v>LYQ-ZQ2973</v>
          </cell>
        </row>
        <row r="418">
          <cell r="A418" t="str">
            <v>LYQ-ZQ2973-KQ-2XL</v>
          </cell>
          <cell r="B418" t="str">
            <v>LYQ-ZQ2973</v>
          </cell>
        </row>
        <row r="419">
          <cell r="A419" t="str">
            <v>LYQ-ZQ2973-KQ-L</v>
          </cell>
          <cell r="B419" t="str">
            <v>LYQ-ZQ2973</v>
          </cell>
        </row>
        <row r="420">
          <cell r="A420" t="str">
            <v>LYQ-ZQ2973-KQ-M</v>
          </cell>
          <cell r="B420" t="str">
            <v>LYQ-ZQ2973</v>
          </cell>
        </row>
        <row r="421">
          <cell r="A421" t="str">
            <v>LYQ-ZQ2973-KQ-S</v>
          </cell>
          <cell r="B421" t="str">
            <v>LYQ-ZQ2973</v>
          </cell>
        </row>
        <row r="422">
          <cell r="A422" t="str">
            <v>LYQ-ZQ2973-KQ-XL</v>
          </cell>
          <cell r="B422" t="str">
            <v>LYQ-ZQ2973</v>
          </cell>
        </row>
        <row r="423">
          <cell r="A423" t="str">
            <v>LYQ-ZQ2973-P0-2XL</v>
          </cell>
          <cell r="B423" t="str">
            <v>LYQ-ZQ2973</v>
          </cell>
        </row>
        <row r="424">
          <cell r="A424" t="str">
            <v>LYQ-ZQ2973-P0-L</v>
          </cell>
          <cell r="B424" t="str">
            <v>LYQ-ZQ2973</v>
          </cell>
        </row>
        <row r="425">
          <cell r="A425" t="str">
            <v>LYQ-ZQ2973-P0-S</v>
          </cell>
          <cell r="B425" t="str">
            <v>LYQ-ZQ2973</v>
          </cell>
        </row>
        <row r="426">
          <cell r="A426" t="str">
            <v>LYQ-ZQ2973-P0-XL</v>
          </cell>
          <cell r="B426" t="str">
            <v>LYQ-ZQ2973</v>
          </cell>
        </row>
        <row r="427">
          <cell r="A427" t="str">
            <v>LYQ-ZQ2973-W1-2XL</v>
          </cell>
          <cell r="B427" t="str">
            <v>LYQ-ZQ2973</v>
          </cell>
        </row>
        <row r="428">
          <cell r="A428" t="str">
            <v>LYQ-ZQ2973-W1-L</v>
          </cell>
          <cell r="B428" t="str">
            <v>LYQ-ZQ2973</v>
          </cell>
        </row>
        <row r="429">
          <cell r="A429" t="str">
            <v>LYQ-ZQ2973-W1-M</v>
          </cell>
          <cell r="B429" t="str">
            <v>LYQ-ZQ2973</v>
          </cell>
        </row>
        <row r="430">
          <cell r="A430" t="str">
            <v>LYQ-ZQ2973-W1-S</v>
          </cell>
          <cell r="B430" t="str">
            <v>LYQ-ZQ2973</v>
          </cell>
        </row>
        <row r="431">
          <cell r="A431" t="str">
            <v>LYQ-ZQ2973-W1-XL</v>
          </cell>
          <cell r="B431" t="str">
            <v>LYQ-ZQ2973</v>
          </cell>
        </row>
        <row r="432">
          <cell r="A432" t="str">
            <v>LYQ-ZQ2973-ZL-2XL</v>
          </cell>
          <cell r="B432" t="str">
            <v>LYQ-ZQ2973</v>
          </cell>
        </row>
        <row r="433">
          <cell r="A433" t="str">
            <v>LYQ-ZQ2973-ZL-L</v>
          </cell>
          <cell r="B433" t="str">
            <v>LYQ-ZQ2973</v>
          </cell>
        </row>
        <row r="434">
          <cell r="A434" t="str">
            <v>LYQ-ZQ2973-ZL-M</v>
          </cell>
          <cell r="B434" t="str">
            <v>LYQ-ZQ2973</v>
          </cell>
        </row>
        <row r="435">
          <cell r="A435" t="str">
            <v>LYQ-ZQ2973-ZL-S</v>
          </cell>
          <cell r="B435" t="str">
            <v>LYQ-ZQ2973</v>
          </cell>
        </row>
        <row r="436">
          <cell r="A436" t="str">
            <v>LYQ-ZQ2973-ZL-XL</v>
          </cell>
          <cell r="B436" t="str">
            <v>LYQ-ZQ2973</v>
          </cell>
        </row>
        <row r="437">
          <cell r="A437" t="str">
            <v>LYQ-ZQ2W00-K0-L</v>
          </cell>
          <cell r="B437" t="str">
            <v>LYQ-ZQ2W00</v>
          </cell>
        </row>
        <row r="438">
          <cell r="A438" t="str">
            <v>LYQ-ZQ2W00-K0-M</v>
          </cell>
          <cell r="B438" t="str">
            <v>LYQ-ZQ2W00</v>
          </cell>
        </row>
        <row r="439">
          <cell r="A439" t="str">
            <v>LYQ-ZQ2W00-K0-XL</v>
          </cell>
          <cell r="B439" t="str">
            <v>LYQ-ZQ2W00</v>
          </cell>
        </row>
        <row r="440">
          <cell r="A440" t="str">
            <v>LYQ-ZQ3550-E0-2X</v>
          </cell>
          <cell r="B440" t="str">
            <v>LYQ-ZQ3550</v>
          </cell>
        </row>
        <row r="441">
          <cell r="A441" t="str">
            <v>LYQ-ZQ3550-E0-3X</v>
          </cell>
          <cell r="B441" t="str">
            <v>LYQ-ZQ3550</v>
          </cell>
        </row>
        <row r="442">
          <cell r="A442" t="str">
            <v>LYQ-ZQ3550-E0-4X</v>
          </cell>
          <cell r="B442" t="str">
            <v>LYQ-ZQ3550</v>
          </cell>
        </row>
        <row r="443">
          <cell r="A443" t="str">
            <v>LYQ-ZQ3550-E0-5X</v>
          </cell>
          <cell r="B443" t="str">
            <v>LYQ-ZQ3550</v>
          </cell>
        </row>
        <row r="444">
          <cell r="A444" t="str">
            <v>LYQ-ZQ3550-E0-L</v>
          </cell>
          <cell r="B444" t="str">
            <v>LYQ-ZQ3550</v>
          </cell>
        </row>
        <row r="445">
          <cell r="A445" t="str">
            <v>LYQ-ZQ3550-E0-M</v>
          </cell>
          <cell r="B445" t="str">
            <v>LYQ-ZQ3550</v>
          </cell>
        </row>
        <row r="446">
          <cell r="A446" t="str">
            <v>LYQ-ZQ3550-E0-S</v>
          </cell>
          <cell r="B446" t="str">
            <v>LYQ-ZQ3550</v>
          </cell>
        </row>
        <row r="447">
          <cell r="A447" t="str">
            <v>LYQ-ZQ3550-E0-XL</v>
          </cell>
          <cell r="B447" t="str">
            <v>LYQ-ZQ3550</v>
          </cell>
        </row>
        <row r="448">
          <cell r="A448" t="str">
            <v>LYQ-ZQ3550-PI-2X</v>
          </cell>
          <cell r="B448" t="str">
            <v>LYQ-ZQ3550</v>
          </cell>
        </row>
        <row r="449">
          <cell r="A449" t="str">
            <v>LYQ-ZQ3550-PI-3X</v>
          </cell>
          <cell r="B449" t="str">
            <v>LYQ-ZQ3550</v>
          </cell>
        </row>
        <row r="450">
          <cell r="A450" t="str">
            <v>LYQ-ZQ3550-PI-4X</v>
          </cell>
          <cell r="B450" t="str">
            <v>LYQ-ZQ3550</v>
          </cell>
        </row>
        <row r="451">
          <cell r="A451" t="str">
            <v>LYQ-ZQ3550-PI-5X</v>
          </cell>
          <cell r="B451" t="str">
            <v>LYQ-ZQ3550</v>
          </cell>
        </row>
        <row r="452">
          <cell r="A452" t="str">
            <v>LYQ-ZQ3550-PI-L</v>
          </cell>
          <cell r="B452" t="str">
            <v>LYQ-ZQ3550</v>
          </cell>
        </row>
        <row r="453">
          <cell r="A453" t="str">
            <v>LYQ-ZQ3550-PI-M</v>
          </cell>
          <cell r="B453" t="str">
            <v>LYQ-ZQ3550</v>
          </cell>
        </row>
        <row r="454">
          <cell r="A454" t="str">
            <v>LYQ-ZQ3550-PI-S</v>
          </cell>
          <cell r="B454" t="str">
            <v>LYQ-ZQ3550</v>
          </cell>
        </row>
        <row r="455">
          <cell r="A455" t="str">
            <v>LYQ-ZQ3550-PI-XL</v>
          </cell>
          <cell r="B455" t="str">
            <v>LYQ-ZQ3550</v>
          </cell>
        </row>
        <row r="456">
          <cell r="A456" t="str">
            <v>LYQ-ZQ456-E0-S</v>
          </cell>
          <cell r="B456" t="str">
            <v>LYQ-ZQ456</v>
          </cell>
        </row>
        <row r="457">
          <cell r="A457" t="str">
            <v>LYQ-ZQ6044-B0-S</v>
          </cell>
          <cell r="B457" t="str">
            <v>LYQ-ZQ6044</v>
          </cell>
        </row>
        <row r="458">
          <cell r="A458" t="str">
            <v>LYQ-ZQ7900-W0-L</v>
          </cell>
          <cell r="B458" t="str">
            <v>LYQ-ZQ7900</v>
          </cell>
        </row>
        <row r="459">
          <cell r="A459" t="str">
            <v>LYQ-ZQ7900-W0-S</v>
          </cell>
          <cell r="B459" t="str">
            <v>LYQ-ZQ7900</v>
          </cell>
        </row>
        <row r="460">
          <cell r="A460" t="str">
            <v>LYQ-ZQ7900-W0-XL</v>
          </cell>
          <cell r="B460" t="str">
            <v>LYQ-ZQ7900</v>
          </cell>
        </row>
        <row r="461">
          <cell r="A461" t="str">
            <v>LYQ-ZQ7900-W0-XXL</v>
          </cell>
          <cell r="B461" t="str">
            <v>LYQ-ZQ7900</v>
          </cell>
        </row>
        <row r="462">
          <cell r="A462" t="str">
            <v>LYQ-ZQ8200-FB-L</v>
          </cell>
          <cell r="B462" t="str">
            <v>LYQ-ZQ8200</v>
          </cell>
        </row>
        <row r="463">
          <cell r="A463" t="str">
            <v>LYQ-ZQ8200-FB-M</v>
          </cell>
          <cell r="B463" t="str">
            <v>LYQ-ZQ8200</v>
          </cell>
        </row>
        <row r="464">
          <cell r="A464" t="str">
            <v>LYQ-ZQ8200-FB-S</v>
          </cell>
          <cell r="B464" t="str">
            <v>LYQ-ZQ8200</v>
          </cell>
        </row>
        <row r="465">
          <cell r="A465" t="str">
            <v>LYQ-ZQ8200-FB-XL</v>
          </cell>
          <cell r="B465" t="str">
            <v>LYQ-ZQ8200</v>
          </cell>
        </row>
        <row r="466">
          <cell r="A466" t="str">
            <v>LYQ-ZQ8200-K0-L</v>
          </cell>
          <cell r="B466" t="str">
            <v>LYQ-ZQ8200</v>
          </cell>
        </row>
        <row r="467">
          <cell r="A467" t="str">
            <v>LYQ-ZQ8200-K0-M</v>
          </cell>
          <cell r="B467" t="str">
            <v>LYQ-ZQ8200</v>
          </cell>
        </row>
        <row r="468">
          <cell r="A468" t="str">
            <v>LYQ-ZQ8200-K0-S</v>
          </cell>
          <cell r="B468" t="str">
            <v>LYQ-ZQ8200</v>
          </cell>
        </row>
        <row r="469">
          <cell r="A469" t="str">
            <v>LYQ-ZQ8200-K0-XL</v>
          </cell>
          <cell r="B469" t="str">
            <v>LYQ-ZQ8200</v>
          </cell>
        </row>
        <row r="470">
          <cell r="A470" t="str">
            <v>LYQ-ZQ8200-P0-L</v>
          </cell>
          <cell r="B470" t="str">
            <v>LYQ-ZQ8200</v>
          </cell>
        </row>
        <row r="471">
          <cell r="A471" t="str">
            <v>LYQ-ZQ8200-P0-M</v>
          </cell>
          <cell r="B471" t="str">
            <v>LYQ-ZQ8200</v>
          </cell>
        </row>
        <row r="472">
          <cell r="A472" t="str">
            <v>LYQ-ZQ8200-P0-S</v>
          </cell>
          <cell r="B472" t="str">
            <v>LYQ-ZQ8200</v>
          </cell>
        </row>
        <row r="473">
          <cell r="A473" t="str">
            <v>LYQ-ZQ8200-P0-XL</v>
          </cell>
          <cell r="B473" t="str">
            <v>LYQ-ZQ8200</v>
          </cell>
        </row>
        <row r="474">
          <cell r="A474" t="str">
            <v>LYQ-ZQC910-K0-XL</v>
          </cell>
          <cell r="B474" t="str">
            <v>LYQ-ZQC910</v>
          </cell>
        </row>
        <row r="475">
          <cell r="A475" t="str">
            <v>LYQ-ZQD270-K0-L</v>
          </cell>
          <cell r="B475" t="str">
            <v>LYQ-ZQD270</v>
          </cell>
        </row>
        <row r="476">
          <cell r="A476" t="str">
            <v>LYQ-ZQD270-K0-XL</v>
          </cell>
          <cell r="B476" t="str">
            <v>LYQ-ZQD270</v>
          </cell>
        </row>
        <row r="477">
          <cell r="A477" t="str">
            <v>LYQ-ZQD270-P0-S</v>
          </cell>
          <cell r="B477" t="str">
            <v>LYQ-ZQD270</v>
          </cell>
        </row>
        <row r="478">
          <cell r="A478" t="str">
            <v>LYQ-ZQD270-P0-XL</v>
          </cell>
          <cell r="B478" t="str">
            <v>LYQ-ZQD270</v>
          </cell>
        </row>
        <row r="479">
          <cell r="A479" t="str">
            <v>LYQ-ZQD270-W0-S</v>
          </cell>
          <cell r="B479" t="str">
            <v>LYQ-ZQD270</v>
          </cell>
        </row>
        <row r="480">
          <cell r="A480" t="str">
            <v>LYQ-ZQD390-B0-L</v>
          </cell>
          <cell r="B480" t="str">
            <v>LYQ-ZQD390</v>
          </cell>
        </row>
        <row r="481">
          <cell r="A481" t="str">
            <v>LYQ-ZQD390-E0-S</v>
          </cell>
          <cell r="B481" t="str">
            <v>LYQ-ZQD390</v>
          </cell>
        </row>
        <row r="482">
          <cell r="A482" t="str">
            <v>LYQ-ZQD390-G0-S</v>
          </cell>
          <cell r="B482" t="str">
            <v>LYQ-ZQD390</v>
          </cell>
        </row>
        <row r="483">
          <cell r="A483" t="str">
            <v>LYQ-ZQD390-K0-S</v>
          </cell>
          <cell r="B483" t="str">
            <v>LYQ-ZQD390</v>
          </cell>
        </row>
        <row r="484">
          <cell r="A484" t="str">
            <v>LYQ-ZQLC00-K0-XL</v>
          </cell>
          <cell r="B484" t="str">
            <v>LYQ-ZQLC00</v>
          </cell>
        </row>
        <row r="485">
          <cell r="A485" t="str">
            <v>LYQ-ZQLP01-P0-M</v>
          </cell>
          <cell r="B485" t="str">
            <v>LYQ-ZQLP01</v>
          </cell>
        </row>
        <row r="486">
          <cell r="A486" t="str">
            <v>LYQ-ZQLP01-P0-S</v>
          </cell>
          <cell r="B486" t="str">
            <v>LYQ-ZQLP01</v>
          </cell>
        </row>
        <row r="487">
          <cell r="A487" t="str">
            <v>LYQ-ZQMB170005-K0-2X</v>
          </cell>
          <cell r="B487" t="str">
            <v>LYQ-ZQMB170005</v>
          </cell>
        </row>
        <row r="488">
          <cell r="A488" t="str">
            <v>LYQ-ZQMB170005-K0-XL</v>
          </cell>
          <cell r="B488" t="str">
            <v>LYQ-ZQMB170005</v>
          </cell>
        </row>
        <row r="489">
          <cell r="A489" t="str">
            <v>LYQ-ZQMB3811-E0-2X</v>
          </cell>
          <cell r="B489" t="str">
            <v>LYQ-ZQMB3811</v>
          </cell>
        </row>
        <row r="490">
          <cell r="A490" t="str">
            <v>LYQ-ZQMB3811-E0-3X</v>
          </cell>
          <cell r="B490" t="str">
            <v>LYQ-ZQMB3811</v>
          </cell>
        </row>
        <row r="491">
          <cell r="A491" t="str">
            <v>LYQ-ZQMB3811-E0-5X</v>
          </cell>
          <cell r="B491" t="str">
            <v>LYQ-ZQMB3811</v>
          </cell>
        </row>
        <row r="492">
          <cell r="A492" t="str">
            <v>LYQ-ZQMB3811-E0-6X</v>
          </cell>
          <cell r="B492" t="str">
            <v>LYQ-ZQMB3811</v>
          </cell>
        </row>
        <row r="493">
          <cell r="A493" t="str">
            <v>LYQ-ZQMB3811-E0-XL</v>
          </cell>
          <cell r="B493" t="str">
            <v>LYQ-ZQMB3811</v>
          </cell>
        </row>
        <row r="494">
          <cell r="A494" t="str">
            <v>LYQ-ZQMB3811-K0-3X</v>
          </cell>
          <cell r="B494" t="str">
            <v>LYQ-ZQMB3811</v>
          </cell>
        </row>
        <row r="495">
          <cell r="A495" t="str">
            <v>LYQ-ZQMB3811-K0-4X</v>
          </cell>
          <cell r="B495" t="str">
            <v>LYQ-ZQMB3811</v>
          </cell>
        </row>
        <row r="496">
          <cell r="A496" t="str">
            <v>LYQ-ZQPC01-B0-L</v>
          </cell>
          <cell r="B496" t="str">
            <v>LYQ-ZQPC01</v>
          </cell>
        </row>
        <row r="497">
          <cell r="A497" t="str">
            <v>LYQ-ZQPC01-B0-M</v>
          </cell>
          <cell r="B497" t="str">
            <v>LYQ-ZQPC01</v>
          </cell>
        </row>
        <row r="498">
          <cell r="A498" t="str">
            <v>LYQ-ZQPC01-B0-S</v>
          </cell>
          <cell r="B498" t="str">
            <v>LYQ-ZQPC01</v>
          </cell>
        </row>
        <row r="499">
          <cell r="A499" t="str">
            <v>LYQ-ZQPC01-B0-XL</v>
          </cell>
          <cell r="B499" t="str">
            <v>LYQ-ZQPC01</v>
          </cell>
        </row>
        <row r="500">
          <cell r="A500" t="str">
            <v>LYQ-ZQPC01-B0-XXL</v>
          </cell>
          <cell r="B500" t="str">
            <v>LYQ-ZQPC01</v>
          </cell>
        </row>
        <row r="501">
          <cell r="A501" t="str">
            <v>LYQ-ZQPC01-BD-L</v>
          </cell>
          <cell r="B501" t="str">
            <v>LYQ-ZQPC01</v>
          </cell>
        </row>
        <row r="502">
          <cell r="A502" t="str">
            <v>LYQ-ZQPC01-BD-M</v>
          </cell>
          <cell r="B502" t="str">
            <v>LYQ-ZQPC01</v>
          </cell>
        </row>
        <row r="503">
          <cell r="A503" t="str">
            <v>LYQ-ZQPC01-BD-S</v>
          </cell>
          <cell r="B503" t="str">
            <v>LYQ-ZQPC01</v>
          </cell>
        </row>
        <row r="504">
          <cell r="A504" t="str">
            <v>LYQ-ZQPC01-BD-XL</v>
          </cell>
          <cell r="B504" t="str">
            <v>LYQ-ZQPC01</v>
          </cell>
        </row>
        <row r="505">
          <cell r="A505" t="str">
            <v>LYQ-ZQPC01-BD-XXL</v>
          </cell>
          <cell r="B505" t="str">
            <v>LYQ-ZQPC01</v>
          </cell>
        </row>
        <row r="506">
          <cell r="A506" t="str">
            <v>LYQ-ZQPC01-E0-L</v>
          </cell>
          <cell r="B506" t="str">
            <v>LYQ-ZQPC01</v>
          </cell>
        </row>
        <row r="507">
          <cell r="A507" t="str">
            <v>LYQ-ZQPC01-E0-M</v>
          </cell>
          <cell r="B507" t="str">
            <v>LYQ-ZQPC01</v>
          </cell>
        </row>
        <row r="508">
          <cell r="A508" t="str">
            <v>LYQ-ZQPC01-E0-S</v>
          </cell>
          <cell r="B508" t="str">
            <v>LYQ-ZQPC01</v>
          </cell>
        </row>
        <row r="509">
          <cell r="A509" t="str">
            <v>LYQ-ZQPC01-E0-XL</v>
          </cell>
          <cell r="B509" t="str">
            <v>LYQ-ZQPC01</v>
          </cell>
        </row>
        <row r="510">
          <cell r="A510" t="str">
            <v>LYQ-ZQPC01-E0-XXL</v>
          </cell>
          <cell r="B510" t="str">
            <v>LYQ-ZQPC01</v>
          </cell>
        </row>
        <row r="511">
          <cell r="A511" t="str">
            <v>LYQ-ZQPC01-P0-L</v>
          </cell>
          <cell r="B511" t="str">
            <v>LYQ-ZQPC01</v>
          </cell>
        </row>
        <row r="512">
          <cell r="A512" t="str">
            <v>LYQ-ZQPC01-P0-M</v>
          </cell>
          <cell r="B512" t="str">
            <v>LYQ-ZQPC01</v>
          </cell>
        </row>
        <row r="513">
          <cell r="A513" t="str">
            <v>LYQ-ZQPC01-P0-S</v>
          </cell>
          <cell r="B513" t="str">
            <v>LYQ-ZQPC01</v>
          </cell>
        </row>
        <row r="514">
          <cell r="A514" t="str">
            <v>LYQ-ZQPC01-P0-XL</v>
          </cell>
          <cell r="B514" t="str">
            <v>LYQ-ZQPC01</v>
          </cell>
        </row>
        <row r="515">
          <cell r="A515" t="str">
            <v>LYQ-ZQPC01-P0-XXL</v>
          </cell>
          <cell r="B515" t="str">
            <v>LYQ-ZQPC01</v>
          </cell>
        </row>
        <row r="516">
          <cell r="A516" t="str">
            <v>LYQ-ZQPC01-ZL-L</v>
          </cell>
          <cell r="B516" t="str">
            <v>LYQ-ZQPC01</v>
          </cell>
        </row>
        <row r="517">
          <cell r="A517" t="str">
            <v>LYQ-ZQPC01-ZL-M</v>
          </cell>
          <cell r="B517" t="str">
            <v>LYQ-ZQPC01</v>
          </cell>
        </row>
        <row r="518">
          <cell r="A518" t="str">
            <v>LYQ-ZQPC01-ZL-XL</v>
          </cell>
          <cell r="B518" t="str">
            <v>LYQ-ZQPC01</v>
          </cell>
        </row>
        <row r="519">
          <cell r="A519" t="str">
            <v>LYQ-ZQPC01-ZL-XXL</v>
          </cell>
          <cell r="B519" t="str">
            <v>LYQ-ZQPC01</v>
          </cell>
        </row>
        <row r="520">
          <cell r="A520" t="str">
            <v>LYQ-ZQS1741-G7-L</v>
          </cell>
          <cell r="B520" t="str">
            <v>LYQ-ZQS1741</v>
          </cell>
        </row>
        <row r="521">
          <cell r="A521" t="str">
            <v>LYQ-ZQS1741-G7-M</v>
          </cell>
          <cell r="B521" t="str">
            <v>LYQ-ZQS1741</v>
          </cell>
        </row>
        <row r="522">
          <cell r="A522" t="str">
            <v>LYQ-ZQS1741-G7-S</v>
          </cell>
          <cell r="B522" t="str">
            <v>LYQ-ZQS1741</v>
          </cell>
        </row>
        <row r="523">
          <cell r="A523" t="str">
            <v>LYQ-ZQS1741-G7-XL</v>
          </cell>
          <cell r="B523" t="str">
            <v>LYQ-ZQS1741</v>
          </cell>
        </row>
        <row r="524">
          <cell r="A524" t="str">
            <v>LYQ-ZQS1741-K0-L</v>
          </cell>
          <cell r="B524" t="str">
            <v>LYQ-ZQS1741</v>
          </cell>
        </row>
        <row r="525">
          <cell r="A525" t="str">
            <v>LYQ-ZQS1741-K0-M</v>
          </cell>
          <cell r="B525" t="str">
            <v>LYQ-ZQS1741</v>
          </cell>
        </row>
        <row r="526">
          <cell r="A526" t="str">
            <v>LYQ-ZQS1741-K0-S</v>
          </cell>
          <cell r="B526" t="str">
            <v>LYQ-ZQS1741</v>
          </cell>
        </row>
        <row r="527">
          <cell r="A527" t="str">
            <v>LYQ-ZQS1741-W0-L</v>
          </cell>
          <cell r="B527" t="str">
            <v>LYQ-ZQS1741</v>
          </cell>
        </row>
        <row r="528">
          <cell r="A528" t="str">
            <v>LYQ-ZQS1741-W0-M</v>
          </cell>
          <cell r="B528" t="str">
            <v>LYQ-ZQS1741</v>
          </cell>
        </row>
        <row r="529">
          <cell r="A529" t="str">
            <v>LYQ-ZQS1741-W0-S</v>
          </cell>
          <cell r="B529" t="str">
            <v>LYQ-ZQS1741</v>
          </cell>
        </row>
        <row r="530">
          <cell r="A530" t="str">
            <v>LYQ-ZQS1741-W0-XL</v>
          </cell>
          <cell r="B530" t="str">
            <v>LYQ-ZQS1741</v>
          </cell>
        </row>
        <row r="531">
          <cell r="A531" t="str">
            <v>LYQ-ZQTN2611-BD-2X</v>
          </cell>
          <cell r="B531" t="str">
            <v>LYQ-ZQTN2611</v>
          </cell>
        </row>
        <row r="532">
          <cell r="A532" t="str">
            <v>LYQ-ZQTN2611-BD-3X</v>
          </cell>
          <cell r="B532" t="str">
            <v>LYQ-ZQTN2611</v>
          </cell>
        </row>
        <row r="533">
          <cell r="A533" t="str">
            <v>LYQ-ZQTN2611-BD-4X</v>
          </cell>
          <cell r="B533" t="str">
            <v>LYQ-ZQTN2611</v>
          </cell>
        </row>
        <row r="534">
          <cell r="A534" t="str">
            <v>LYQ-ZQTN2611-PI-2X</v>
          </cell>
          <cell r="B534" t="str">
            <v>LYQ-ZQTN2611</v>
          </cell>
        </row>
        <row r="535">
          <cell r="A535" t="str">
            <v>LYQ-ZQTN2611-PI-3X</v>
          </cell>
          <cell r="B535" t="str">
            <v>LYQ-ZQTN2611</v>
          </cell>
        </row>
        <row r="536">
          <cell r="A536" t="str">
            <v>LYQ-ZQTN2611-PI-5X</v>
          </cell>
          <cell r="B536" t="str">
            <v>LYQ-ZQTN2611</v>
          </cell>
        </row>
        <row r="537">
          <cell r="A537" t="str">
            <v>LYQ-ZQTN2611-PI-6X</v>
          </cell>
          <cell r="B537" t="str">
            <v>LYQ-ZQTN2611</v>
          </cell>
        </row>
        <row r="538">
          <cell r="A538" t="str">
            <v>LYQ-ZQTN2611-PI-XL</v>
          </cell>
          <cell r="B538" t="str">
            <v>LYQ-ZQTN2611</v>
          </cell>
        </row>
        <row r="539">
          <cell r="A539" t="str">
            <v>MNQ-N718-W0-M</v>
          </cell>
          <cell r="B539" t="str">
            <v>MNQ-N718</v>
          </cell>
        </row>
        <row r="540">
          <cell r="A540" t="str">
            <v>MZ-JY1616-CF</v>
          </cell>
          <cell r="B540" t="str">
            <v>MZ-JY1616</v>
          </cell>
        </row>
        <row r="541">
          <cell r="A541" t="str">
            <v>MZ-JY1616-KH</v>
          </cell>
          <cell r="B541" t="str">
            <v>MZ-JY1616</v>
          </cell>
        </row>
        <row r="542">
          <cell r="A542" t="str">
            <v>MZ-JY1616-R0</v>
          </cell>
          <cell r="B542" t="str">
            <v>MZ-JY1616</v>
          </cell>
        </row>
        <row r="543">
          <cell r="A543" t="str">
            <v>MZ-JY1616-ZL</v>
          </cell>
          <cell r="B543" t="str">
            <v>MZ-JY1616</v>
          </cell>
        </row>
        <row r="544">
          <cell r="A544" t="str">
            <v>NZ-FLQ52</v>
          </cell>
          <cell r="B544" t="str">
            <v>NZ-FLQ52</v>
          </cell>
        </row>
        <row r="545">
          <cell r="A545" t="str">
            <v>NZ-FLQ53</v>
          </cell>
          <cell r="B545" t="str">
            <v>NZ-FLQ53</v>
          </cell>
        </row>
        <row r="546">
          <cell r="A546" t="str">
            <v>NZZH-FLQ52</v>
          </cell>
          <cell r="B546" t="str">
            <v>NZZH-FLQ52</v>
          </cell>
        </row>
        <row r="547">
          <cell r="A547" t="str">
            <v>PJ-ZQ0976-K0</v>
          </cell>
          <cell r="B547" t="str">
            <v>PJ-ZQ0976</v>
          </cell>
        </row>
        <row r="548">
          <cell r="A548" t="str">
            <v>PJ-ZQ0976-O0</v>
          </cell>
          <cell r="B548" t="str">
            <v>PJ-ZQ0976</v>
          </cell>
        </row>
        <row r="549">
          <cell r="A549" t="str">
            <v>PJ-ZQ7050-C3</v>
          </cell>
          <cell r="B549" t="str">
            <v>PJ-ZQ7050</v>
          </cell>
        </row>
        <row r="550">
          <cell r="A550" t="str">
            <v>SHJ-ZQLS01-B0-2XL</v>
          </cell>
          <cell r="B550" t="str">
            <v>SHJ-ZQLS01</v>
          </cell>
        </row>
        <row r="551">
          <cell r="A551" t="str">
            <v>SHJ-ZQLS01-B0-3XL</v>
          </cell>
          <cell r="B551" t="str">
            <v>SHJ-ZQLS01</v>
          </cell>
        </row>
        <row r="552">
          <cell r="A552" t="str">
            <v>SHJ-ZQLS01-B0-4XL</v>
          </cell>
          <cell r="B552" t="str">
            <v>SHJ-ZQLS01</v>
          </cell>
        </row>
        <row r="553">
          <cell r="A553" t="str">
            <v>SHJ-ZQLS01-B0-XL</v>
          </cell>
          <cell r="B553" t="str">
            <v>SHJ-ZQLS01</v>
          </cell>
        </row>
        <row r="554">
          <cell r="A554" t="str">
            <v>SHJ-ZQLS12-K0-2XL</v>
          </cell>
          <cell r="B554" t="str">
            <v>SHJ-ZQLS12</v>
          </cell>
        </row>
        <row r="555">
          <cell r="A555" t="str">
            <v>SHJ-ZQLS12-K0-3XL</v>
          </cell>
          <cell r="B555" t="str">
            <v>SHJ-ZQLS12</v>
          </cell>
        </row>
        <row r="556">
          <cell r="A556" t="str">
            <v>SHJ-ZQLS12-K0-L</v>
          </cell>
          <cell r="B556" t="str">
            <v>SHJ-ZQLS12</v>
          </cell>
        </row>
        <row r="557">
          <cell r="A557" t="str">
            <v>SHJ-ZQLS12-K0-XL</v>
          </cell>
          <cell r="B557" t="str">
            <v>SHJ-ZQLS12</v>
          </cell>
        </row>
        <row r="558">
          <cell r="A558" t="str">
            <v>SJ-HM1995-K0</v>
          </cell>
          <cell r="B558" t="str">
            <v>SJ-HM1995</v>
          </cell>
        </row>
        <row r="559">
          <cell r="A559" t="str">
            <v>SJ-HM1995-W0</v>
          </cell>
          <cell r="B559" t="str">
            <v>SJ-HM1995</v>
          </cell>
        </row>
        <row r="560">
          <cell r="A560" t="str">
            <v>WJ-ZQ650-C1</v>
          </cell>
          <cell r="B560" t="str">
            <v>WJ-ZQ650</v>
          </cell>
        </row>
        <row r="561">
          <cell r="A561" t="str">
            <v>WJ-ZQ650-C10</v>
          </cell>
          <cell r="B561" t="str">
            <v>WJ-ZQ650</v>
          </cell>
        </row>
        <row r="562">
          <cell r="A562" t="str">
            <v>WJ-ZQ650-C11</v>
          </cell>
          <cell r="B562" t="str">
            <v>WJ-ZQ650</v>
          </cell>
        </row>
        <row r="563">
          <cell r="A563" t="str">
            <v>WJ-ZQ650-C3</v>
          </cell>
          <cell r="B563" t="str">
            <v>WJ-ZQ650</v>
          </cell>
        </row>
        <row r="564">
          <cell r="A564" t="str">
            <v>WJ-ZQ650-C4</v>
          </cell>
          <cell r="B564" t="str">
            <v>WJ-ZQ650</v>
          </cell>
        </row>
        <row r="565">
          <cell r="A565" t="str">
            <v>WJ-ZQ650-C5</v>
          </cell>
          <cell r="B565" t="str">
            <v>WJ-ZQ650</v>
          </cell>
        </row>
        <row r="566">
          <cell r="A566" t="str">
            <v>WJ-ZQ650-C6</v>
          </cell>
          <cell r="B566" t="str">
            <v>WJ-ZQ650</v>
          </cell>
        </row>
        <row r="567">
          <cell r="A567" t="str">
            <v>WJ-ZQ650-C7</v>
          </cell>
          <cell r="B567" t="str">
            <v>WJ-ZQ650</v>
          </cell>
        </row>
        <row r="568">
          <cell r="A568" t="str">
            <v>WJ-ZQ650-C8</v>
          </cell>
          <cell r="B568" t="str">
            <v>WJ-ZQ650</v>
          </cell>
        </row>
        <row r="569">
          <cell r="A569" t="str">
            <v>WJ-ZQ650-C9</v>
          </cell>
          <cell r="B569" t="str">
            <v>WJ-ZQ650</v>
          </cell>
        </row>
        <row r="570">
          <cell r="A570" t="str">
            <v>WT-ZQ921-G7-4XL</v>
          </cell>
          <cell r="B570" t="str">
            <v>WT-ZQ921</v>
          </cell>
        </row>
        <row r="571">
          <cell r="A571" t="str">
            <v>WT-ZQ921-K0-2XL</v>
          </cell>
          <cell r="B571" t="str">
            <v>WT-ZQ921</v>
          </cell>
        </row>
        <row r="572">
          <cell r="A572" t="str">
            <v>WT-ZQ921-K0-L</v>
          </cell>
          <cell r="B572" t="str">
            <v>WT-ZQ921</v>
          </cell>
        </row>
        <row r="573">
          <cell r="A573" t="str">
            <v>YF-YULQ001-B7-20</v>
          </cell>
          <cell r="B573" t="str">
            <v>YF-YULQ001</v>
          </cell>
        </row>
        <row r="574">
          <cell r="A574" t="str">
            <v>YF-YULQ002-B7-20</v>
          </cell>
          <cell r="B574" t="str">
            <v>YF-YULQ002</v>
          </cell>
        </row>
        <row r="575">
          <cell r="A575" t="str">
            <v>YF-YULQ003-W0-20</v>
          </cell>
          <cell r="B575" t="str">
            <v>YF-YULQ003</v>
          </cell>
        </row>
        <row r="576">
          <cell r="A576" t="str">
            <v>YF-YULQ007-PI-20</v>
          </cell>
          <cell r="B576" t="str">
            <v>YF-YULQ007</v>
          </cell>
        </row>
        <row r="577">
          <cell r="A577" t="str">
            <v>YF-YULQ161-B7-20</v>
          </cell>
          <cell r="B577" t="str">
            <v>YF-YULQ161</v>
          </cell>
        </row>
        <row r="578">
          <cell r="A578" t="str">
            <v>YF-YULQ162-B7-20</v>
          </cell>
          <cell r="B578" t="str">
            <v>YF-YULQ162</v>
          </cell>
        </row>
        <row r="579">
          <cell r="A579" t="str">
            <v>YF-YULQ601-PI-20</v>
          </cell>
          <cell r="B579" t="str">
            <v>YF-YULQ601</v>
          </cell>
        </row>
        <row r="580">
          <cell r="A580" t="str">
            <v>YF-YULQ602-PI-20</v>
          </cell>
          <cell r="B580" t="str">
            <v>YF-YULQ602</v>
          </cell>
        </row>
        <row r="581">
          <cell r="A581" t="str">
            <v>YF-YULQ904-B7-20</v>
          </cell>
          <cell r="B581" t="str">
            <v>YF-YULQ904</v>
          </cell>
        </row>
        <row r="582">
          <cell r="A582" t="str">
            <v>YF-YULQ905-B7-20</v>
          </cell>
          <cell r="B582" t="str">
            <v>YF-YULQ905</v>
          </cell>
        </row>
        <row r="583">
          <cell r="A583" t="str">
            <v>YL-FLQ58-PI-50</v>
          </cell>
          <cell r="B583" t="str">
            <v>YL-FLQ58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6901"/>
  <sheetViews>
    <sheetView tabSelected="1" topLeftCell="E1" workbookViewId="0">
      <selection activeCell="P1155" sqref="P1155"/>
    </sheetView>
  </sheetViews>
  <sheetFormatPr defaultColWidth="9" defaultRowHeight="14.25"/>
  <cols>
    <col min="2" max="2" width="12.5666666666667"/>
    <col min="3" max="3" width="18.425" customWidth="1"/>
    <col min="12" max="12" width="25" customWidth="1"/>
    <col min="27" max="27" width="9.375"/>
    <col min="31" max="31" width="9.425"/>
    <col min="33" max="33" width="15.5666666666667" style="9" customWidth="1"/>
  </cols>
  <sheetData>
    <row r="1" spans="1:3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G1" s="9" t="s">
        <v>29</v>
      </c>
    </row>
    <row r="2" spans="1:33">
      <c r="A2" s="7" t="s">
        <v>30</v>
      </c>
      <c r="B2" s="7" t="s">
        <v>30</v>
      </c>
      <c r="C2" s="7" t="s">
        <v>31</v>
      </c>
      <c r="D2" s="7" t="s">
        <v>32</v>
      </c>
      <c r="E2" s="7" t="s">
        <v>33</v>
      </c>
      <c r="F2" s="7" t="s">
        <v>34</v>
      </c>
      <c r="G2" s="7" t="s">
        <v>35</v>
      </c>
      <c r="H2" s="7"/>
      <c r="I2" s="7"/>
      <c r="J2" s="7" t="s">
        <v>36</v>
      </c>
      <c r="K2" s="7" t="s">
        <v>37</v>
      </c>
      <c r="L2" s="7" t="s">
        <v>38</v>
      </c>
      <c r="M2" s="7" t="s">
        <v>39</v>
      </c>
      <c r="N2" s="7" t="s">
        <v>33</v>
      </c>
      <c r="O2" s="7">
        <v>1</v>
      </c>
      <c r="P2" s="7" t="s">
        <v>40</v>
      </c>
      <c r="Q2" s="7">
        <v>89.99</v>
      </c>
      <c r="R2" s="7"/>
      <c r="S2" s="7"/>
      <c r="T2" s="7"/>
      <c r="U2" s="7"/>
      <c r="V2" s="7"/>
      <c r="W2" s="7"/>
      <c r="X2" s="7"/>
      <c r="Y2" s="7" t="s">
        <v>41</v>
      </c>
      <c r="Z2" s="7" t="s">
        <v>42</v>
      </c>
      <c r="AA2" s="7" t="s">
        <v>43</v>
      </c>
      <c r="AB2" s="7" t="s">
        <v>44</v>
      </c>
      <c r="AC2" s="7"/>
      <c r="AD2" s="7"/>
      <c r="AE2" s="7"/>
      <c r="AF2" s="7"/>
      <c r="AG2" s="11">
        <f t="shared" ref="AG2:AG65" si="0">DATEVALUE(LEFT(C2,10))</f>
        <v>43262</v>
      </c>
    </row>
    <row r="3" spans="1:33">
      <c r="A3" s="7" t="s">
        <v>45</v>
      </c>
      <c r="B3" s="7" t="s">
        <v>45</v>
      </c>
      <c r="C3" s="7" t="s">
        <v>46</v>
      </c>
      <c r="D3" s="7" t="s">
        <v>47</v>
      </c>
      <c r="E3" s="7" t="s">
        <v>33</v>
      </c>
      <c r="F3" s="7" t="s">
        <v>34</v>
      </c>
      <c r="G3" s="7" t="s">
        <v>35</v>
      </c>
      <c r="H3" s="7"/>
      <c r="I3" s="7"/>
      <c r="J3" s="7" t="s">
        <v>36</v>
      </c>
      <c r="K3" s="7" t="s">
        <v>48</v>
      </c>
      <c r="L3" s="7" t="s">
        <v>49</v>
      </c>
      <c r="M3" s="7" t="s">
        <v>50</v>
      </c>
      <c r="N3" s="7" t="s">
        <v>33</v>
      </c>
      <c r="O3" s="7">
        <v>1</v>
      </c>
      <c r="P3" s="7" t="s">
        <v>40</v>
      </c>
      <c r="Q3" s="7">
        <v>89.99</v>
      </c>
      <c r="R3" s="7"/>
      <c r="S3" s="7"/>
      <c r="T3" s="7"/>
      <c r="U3" s="7"/>
      <c r="V3" s="7"/>
      <c r="W3" s="7"/>
      <c r="X3" s="7"/>
      <c r="Y3" s="7" t="s">
        <v>51</v>
      </c>
      <c r="Z3" s="7" t="s">
        <v>52</v>
      </c>
      <c r="AA3" s="7" t="s">
        <v>53</v>
      </c>
      <c r="AB3" s="7" t="s">
        <v>44</v>
      </c>
      <c r="AC3" s="7"/>
      <c r="AD3" s="7"/>
      <c r="AE3" s="7"/>
      <c r="AF3" s="7"/>
      <c r="AG3" s="11">
        <f t="shared" si="0"/>
        <v>43262</v>
      </c>
    </row>
    <row r="4" spans="1:33">
      <c r="A4" s="7" t="s">
        <v>45</v>
      </c>
      <c r="B4" s="7" t="s">
        <v>45</v>
      </c>
      <c r="C4" s="7" t="s">
        <v>46</v>
      </c>
      <c r="D4" s="7" t="s">
        <v>47</v>
      </c>
      <c r="E4" s="7" t="s">
        <v>33</v>
      </c>
      <c r="F4" s="7" t="s">
        <v>34</v>
      </c>
      <c r="G4" s="7" t="s">
        <v>35</v>
      </c>
      <c r="H4" s="7"/>
      <c r="I4" s="7"/>
      <c r="J4" s="7" t="s">
        <v>36</v>
      </c>
      <c r="K4" s="7" t="s">
        <v>48</v>
      </c>
      <c r="L4" s="7" t="s">
        <v>49</v>
      </c>
      <c r="M4" s="7" t="s">
        <v>50</v>
      </c>
      <c r="N4" s="7" t="s">
        <v>54</v>
      </c>
      <c r="O4" s="7">
        <v>0</v>
      </c>
      <c r="P4" s="7"/>
      <c r="Q4" s="7"/>
      <c r="R4" s="7"/>
      <c r="S4" s="7"/>
      <c r="T4" s="7"/>
      <c r="U4" s="7"/>
      <c r="V4" s="7"/>
      <c r="W4" s="7"/>
      <c r="X4" s="7"/>
      <c r="Y4" s="7" t="s">
        <v>51</v>
      </c>
      <c r="Z4" s="7" t="s">
        <v>52</v>
      </c>
      <c r="AA4" s="7" t="s">
        <v>53</v>
      </c>
      <c r="AB4" s="7" t="s">
        <v>44</v>
      </c>
      <c r="AC4" s="7"/>
      <c r="AD4" s="7"/>
      <c r="AE4" s="7"/>
      <c r="AF4" s="7"/>
      <c r="AG4" s="11">
        <f t="shared" si="0"/>
        <v>43262</v>
      </c>
    </row>
    <row r="5" spans="1:33">
      <c r="A5" s="7" t="s">
        <v>55</v>
      </c>
      <c r="B5" s="7" t="s">
        <v>55</v>
      </c>
      <c r="C5" s="7" t="s">
        <v>56</v>
      </c>
      <c r="D5" s="7" t="s">
        <v>57</v>
      </c>
      <c r="E5" s="7" t="s">
        <v>54</v>
      </c>
      <c r="F5" s="7" t="s">
        <v>34</v>
      </c>
      <c r="G5" s="7" t="s">
        <v>35</v>
      </c>
      <c r="H5" s="7"/>
      <c r="I5" s="7"/>
      <c r="J5" s="7" t="s">
        <v>58</v>
      </c>
      <c r="K5" s="7" t="s">
        <v>59</v>
      </c>
      <c r="L5" s="7" t="s">
        <v>60</v>
      </c>
      <c r="M5" s="7" t="s">
        <v>61</v>
      </c>
      <c r="N5" s="7" t="s">
        <v>62</v>
      </c>
      <c r="O5" s="7">
        <v>1</v>
      </c>
      <c r="P5" s="7" t="s">
        <v>40</v>
      </c>
      <c r="Q5" s="7">
        <v>89.99</v>
      </c>
      <c r="R5" s="7"/>
      <c r="S5" s="7"/>
      <c r="T5" s="7"/>
      <c r="U5" s="7"/>
      <c r="V5" s="7"/>
      <c r="W5" s="7"/>
      <c r="X5" s="7"/>
      <c r="Y5" s="7" t="s">
        <v>63</v>
      </c>
      <c r="Z5" s="7" t="s">
        <v>64</v>
      </c>
      <c r="AA5" s="7" t="s">
        <v>65</v>
      </c>
      <c r="AB5" s="7" t="s">
        <v>44</v>
      </c>
      <c r="AC5" s="7"/>
      <c r="AD5" s="7"/>
      <c r="AE5" s="7"/>
      <c r="AF5" s="7"/>
      <c r="AG5" s="11">
        <f t="shared" si="0"/>
        <v>43262</v>
      </c>
    </row>
    <row r="6" spans="1:33">
      <c r="A6" s="7" t="s">
        <v>66</v>
      </c>
      <c r="B6" s="7" t="s">
        <v>66</v>
      </c>
      <c r="C6" s="7" t="s">
        <v>67</v>
      </c>
      <c r="D6" s="7" t="s">
        <v>68</v>
      </c>
      <c r="E6" s="7" t="s">
        <v>33</v>
      </c>
      <c r="F6" s="7" t="s">
        <v>34</v>
      </c>
      <c r="G6" s="7" t="s">
        <v>35</v>
      </c>
      <c r="H6" s="7"/>
      <c r="I6" s="7"/>
      <c r="J6" s="7" t="s">
        <v>69</v>
      </c>
      <c r="K6" s="7" t="s">
        <v>70</v>
      </c>
      <c r="L6" s="7" t="s">
        <v>71</v>
      </c>
      <c r="M6" s="7" t="s">
        <v>72</v>
      </c>
      <c r="N6" s="7" t="s">
        <v>33</v>
      </c>
      <c r="O6" s="7">
        <v>1</v>
      </c>
      <c r="P6" s="7" t="s">
        <v>40</v>
      </c>
      <c r="Q6" s="7">
        <v>79.99</v>
      </c>
      <c r="R6" s="7"/>
      <c r="S6" s="7">
        <v>4.27</v>
      </c>
      <c r="T6" s="7"/>
      <c r="U6" s="7"/>
      <c r="V6" s="7"/>
      <c r="W6" s="7"/>
      <c r="X6" s="7">
        <v>4.27</v>
      </c>
      <c r="Y6" s="7" t="s">
        <v>73</v>
      </c>
      <c r="Z6" s="7" t="s">
        <v>64</v>
      </c>
      <c r="AA6" s="7" t="s">
        <v>74</v>
      </c>
      <c r="AB6" s="7" t="s">
        <v>44</v>
      </c>
      <c r="AC6" s="7" t="s">
        <v>75</v>
      </c>
      <c r="AD6" s="7"/>
      <c r="AE6" s="7"/>
      <c r="AF6" s="7"/>
      <c r="AG6" s="11">
        <f t="shared" si="0"/>
        <v>43262</v>
      </c>
    </row>
    <row r="7" spans="1:33">
      <c r="A7" s="7" t="s">
        <v>76</v>
      </c>
      <c r="B7" s="7" t="s">
        <v>76</v>
      </c>
      <c r="C7" s="7" t="s">
        <v>77</v>
      </c>
      <c r="D7" s="7" t="s">
        <v>78</v>
      </c>
      <c r="E7" s="7" t="s">
        <v>33</v>
      </c>
      <c r="F7" s="7" t="s">
        <v>34</v>
      </c>
      <c r="G7" s="7" t="s">
        <v>35</v>
      </c>
      <c r="H7" s="7"/>
      <c r="I7" s="7"/>
      <c r="J7" s="7" t="s">
        <v>36</v>
      </c>
      <c r="K7" s="7" t="s">
        <v>79</v>
      </c>
      <c r="L7" s="7" t="s">
        <v>80</v>
      </c>
      <c r="M7" s="7" t="s">
        <v>81</v>
      </c>
      <c r="N7" s="7" t="s">
        <v>33</v>
      </c>
      <c r="O7" s="7">
        <v>1</v>
      </c>
      <c r="P7" s="7" t="s">
        <v>40</v>
      </c>
      <c r="Q7" s="7">
        <v>90.99</v>
      </c>
      <c r="R7" s="7"/>
      <c r="S7" s="7"/>
      <c r="T7" s="7"/>
      <c r="U7" s="7"/>
      <c r="V7" s="7"/>
      <c r="W7" s="7"/>
      <c r="X7" s="7"/>
      <c r="Y7" s="7" t="s">
        <v>82</v>
      </c>
      <c r="Z7" s="7" t="s">
        <v>83</v>
      </c>
      <c r="AA7" s="7" t="s">
        <v>84</v>
      </c>
      <c r="AB7" s="7" t="s">
        <v>44</v>
      </c>
      <c r="AC7" s="7"/>
      <c r="AD7" s="7"/>
      <c r="AE7" s="7"/>
      <c r="AF7" s="7"/>
      <c r="AG7" s="11">
        <f t="shared" si="0"/>
        <v>43262</v>
      </c>
    </row>
    <row r="8" spans="1:33">
      <c r="A8" s="7" t="s">
        <v>85</v>
      </c>
      <c r="B8" s="7" t="s">
        <v>85</v>
      </c>
      <c r="C8" s="7" t="s">
        <v>86</v>
      </c>
      <c r="D8" s="7" t="s">
        <v>87</v>
      </c>
      <c r="E8" s="7" t="s">
        <v>33</v>
      </c>
      <c r="F8" s="7" t="s">
        <v>34</v>
      </c>
      <c r="G8" s="7" t="s">
        <v>35</v>
      </c>
      <c r="H8" s="7"/>
      <c r="I8" s="7"/>
      <c r="J8" s="7" t="s">
        <v>69</v>
      </c>
      <c r="K8" s="7" t="s">
        <v>88</v>
      </c>
      <c r="L8" s="7" t="s">
        <v>89</v>
      </c>
      <c r="M8" s="7" t="s">
        <v>90</v>
      </c>
      <c r="N8" s="7" t="s">
        <v>33</v>
      </c>
      <c r="O8" s="7">
        <v>1</v>
      </c>
      <c r="P8" s="7" t="s">
        <v>40</v>
      </c>
      <c r="Q8" s="7">
        <v>89.99</v>
      </c>
      <c r="R8" s="7"/>
      <c r="S8" s="7">
        <v>7.2</v>
      </c>
      <c r="T8" s="7"/>
      <c r="U8" s="7"/>
      <c r="V8" s="7"/>
      <c r="W8" s="7"/>
      <c r="X8" s="7">
        <v>7.2</v>
      </c>
      <c r="Y8" s="7" t="s">
        <v>91</v>
      </c>
      <c r="Z8" s="7" t="s">
        <v>92</v>
      </c>
      <c r="AA8" s="7">
        <v>8876</v>
      </c>
      <c r="AB8" s="7" t="s">
        <v>44</v>
      </c>
      <c r="AC8" s="7" t="s">
        <v>75</v>
      </c>
      <c r="AD8" s="7"/>
      <c r="AE8" s="7"/>
      <c r="AF8" s="7"/>
      <c r="AG8" s="11">
        <f t="shared" si="0"/>
        <v>43262</v>
      </c>
    </row>
    <row r="9" spans="1:33">
      <c r="A9" s="7" t="s">
        <v>93</v>
      </c>
      <c r="B9" s="7" t="s">
        <v>93</v>
      </c>
      <c r="C9" s="7" t="s">
        <v>94</v>
      </c>
      <c r="D9" s="7" t="s">
        <v>95</v>
      </c>
      <c r="E9" s="7" t="s">
        <v>33</v>
      </c>
      <c r="F9" s="7" t="s">
        <v>34</v>
      </c>
      <c r="G9" s="7" t="s">
        <v>35</v>
      </c>
      <c r="H9" s="7"/>
      <c r="I9" s="7"/>
      <c r="J9" s="7" t="s">
        <v>36</v>
      </c>
      <c r="K9" s="7" t="s">
        <v>79</v>
      </c>
      <c r="L9" s="7" t="s">
        <v>80</v>
      </c>
      <c r="M9" s="7" t="s">
        <v>81</v>
      </c>
      <c r="N9" s="7" t="s">
        <v>33</v>
      </c>
      <c r="O9" s="7">
        <v>1</v>
      </c>
      <c r="P9" s="7" t="s">
        <v>40</v>
      </c>
      <c r="Q9" s="7">
        <v>90.99</v>
      </c>
      <c r="R9" s="7">
        <v>6.92</v>
      </c>
      <c r="S9" s="7">
        <v>13.51</v>
      </c>
      <c r="T9" s="7">
        <v>1.03</v>
      </c>
      <c r="U9" s="7"/>
      <c r="V9" s="7"/>
      <c r="W9" s="7"/>
      <c r="X9" s="7"/>
      <c r="Y9" s="7" t="s">
        <v>96</v>
      </c>
      <c r="Z9" s="7" t="s">
        <v>97</v>
      </c>
      <c r="AA9" s="7" t="s">
        <v>98</v>
      </c>
      <c r="AB9" s="7" t="s">
        <v>44</v>
      </c>
      <c r="AC9" s="7"/>
      <c r="AD9" s="7"/>
      <c r="AE9" s="7"/>
      <c r="AF9" s="7"/>
      <c r="AG9" s="11">
        <f t="shared" si="0"/>
        <v>43262</v>
      </c>
    </row>
    <row r="10" spans="1:33">
      <c r="A10" s="7" t="s">
        <v>99</v>
      </c>
      <c r="B10" s="7" t="s">
        <v>99</v>
      </c>
      <c r="C10" s="7" t="s">
        <v>100</v>
      </c>
      <c r="D10" s="7" t="s">
        <v>101</v>
      </c>
      <c r="E10" s="7" t="s">
        <v>33</v>
      </c>
      <c r="F10" s="7" t="s">
        <v>34</v>
      </c>
      <c r="G10" s="7" t="s">
        <v>35</v>
      </c>
      <c r="H10" s="7"/>
      <c r="I10" s="7"/>
      <c r="J10" s="7" t="s">
        <v>36</v>
      </c>
      <c r="K10" s="7" t="s">
        <v>102</v>
      </c>
      <c r="L10" s="7" t="s">
        <v>103</v>
      </c>
      <c r="M10" s="7" t="s">
        <v>104</v>
      </c>
      <c r="N10" s="7" t="s">
        <v>33</v>
      </c>
      <c r="O10" s="7">
        <v>1</v>
      </c>
      <c r="P10" s="7" t="s">
        <v>40</v>
      </c>
      <c r="Q10" s="7">
        <v>89.99</v>
      </c>
      <c r="R10" s="7"/>
      <c r="S10" s="7"/>
      <c r="T10" s="7"/>
      <c r="U10" s="7"/>
      <c r="V10" s="7"/>
      <c r="W10" s="7"/>
      <c r="X10" s="7"/>
      <c r="Y10" s="7" t="s">
        <v>105</v>
      </c>
      <c r="Z10" s="7" t="s">
        <v>106</v>
      </c>
      <c r="AA10" s="7" t="s">
        <v>107</v>
      </c>
      <c r="AB10" s="7" t="s">
        <v>44</v>
      </c>
      <c r="AC10" s="7"/>
      <c r="AD10" s="7"/>
      <c r="AE10" s="7"/>
      <c r="AF10" s="7"/>
      <c r="AG10" s="11">
        <f t="shared" si="0"/>
        <v>43262</v>
      </c>
    </row>
    <row r="11" spans="1:33">
      <c r="A11" s="7" t="s">
        <v>108</v>
      </c>
      <c r="B11" s="7" t="s">
        <v>108</v>
      </c>
      <c r="C11" s="7" t="s">
        <v>109</v>
      </c>
      <c r="D11" s="7" t="s">
        <v>110</v>
      </c>
      <c r="E11" s="7" t="s">
        <v>33</v>
      </c>
      <c r="F11" s="7" t="s">
        <v>34</v>
      </c>
      <c r="G11" s="7" t="s">
        <v>35</v>
      </c>
      <c r="H11" s="7"/>
      <c r="I11" s="7"/>
      <c r="J11" s="7" t="s">
        <v>69</v>
      </c>
      <c r="K11" s="7" t="s">
        <v>79</v>
      </c>
      <c r="L11" s="7" t="s">
        <v>80</v>
      </c>
      <c r="M11" s="7" t="s">
        <v>81</v>
      </c>
      <c r="N11" s="7" t="s">
        <v>33</v>
      </c>
      <c r="O11" s="7">
        <v>1</v>
      </c>
      <c r="P11" s="7" t="s">
        <v>40</v>
      </c>
      <c r="Q11" s="7">
        <v>90.99</v>
      </c>
      <c r="R11" s="7"/>
      <c r="S11" s="7">
        <v>6.9</v>
      </c>
      <c r="T11" s="7"/>
      <c r="U11" s="7"/>
      <c r="V11" s="7"/>
      <c r="W11" s="7"/>
      <c r="X11" s="7">
        <v>6.9</v>
      </c>
      <c r="Y11" s="7" t="s">
        <v>51</v>
      </c>
      <c r="Z11" s="7" t="s">
        <v>52</v>
      </c>
      <c r="AA11" s="7" t="s">
        <v>111</v>
      </c>
      <c r="AB11" s="7" t="s">
        <v>44</v>
      </c>
      <c r="AC11" s="7" t="s">
        <v>75</v>
      </c>
      <c r="AD11" s="7"/>
      <c r="AE11" s="7"/>
      <c r="AF11" s="7"/>
      <c r="AG11" s="11">
        <f t="shared" si="0"/>
        <v>43262</v>
      </c>
    </row>
    <row r="12" spans="1:33">
      <c r="A12" s="7" t="s">
        <v>112</v>
      </c>
      <c r="B12" s="7" t="s">
        <v>112</v>
      </c>
      <c r="C12" s="7" t="s">
        <v>113</v>
      </c>
      <c r="D12" s="7" t="s">
        <v>114</v>
      </c>
      <c r="E12" s="7" t="s">
        <v>33</v>
      </c>
      <c r="F12" s="7" t="s">
        <v>34</v>
      </c>
      <c r="G12" s="7" t="s">
        <v>35</v>
      </c>
      <c r="H12" s="7"/>
      <c r="I12" s="7"/>
      <c r="J12" s="7" t="s">
        <v>69</v>
      </c>
      <c r="K12" s="7" t="s">
        <v>115</v>
      </c>
      <c r="L12" s="7" t="s">
        <v>116</v>
      </c>
      <c r="M12" s="7" t="s">
        <v>117</v>
      </c>
      <c r="N12" s="7" t="s">
        <v>33</v>
      </c>
      <c r="O12" s="7">
        <v>1</v>
      </c>
      <c r="P12" s="7" t="s">
        <v>40</v>
      </c>
      <c r="Q12" s="7">
        <v>108.99</v>
      </c>
      <c r="R12" s="7"/>
      <c r="S12" s="7">
        <v>2.02</v>
      </c>
      <c r="T12" s="7"/>
      <c r="U12" s="7"/>
      <c r="V12" s="7"/>
      <c r="W12" s="7"/>
      <c r="X12" s="7"/>
      <c r="Y12" s="7" t="s">
        <v>118</v>
      </c>
      <c r="Z12" s="7" t="s">
        <v>83</v>
      </c>
      <c r="AA12" s="7" t="s">
        <v>119</v>
      </c>
      <c r="AB12" s="7" t="s">
        <v>44</v>
      </c>
      <c r="AC12" s="7"/>
      <c r="AD12" s="7"/>
      <c r="AE12" s="7"/>
      <c r="AF12" s="7"/>
      <c r="AG12" s="11">
        <f t="shared" si="0"/>
        <v>43262</v>
      </c>
    </row>
    <row r="13" spans="1:33">
      <c r="A13" s="7" t="s">
        <v>120</v>
      </c>
      <c r="B13" s="7" t="s">
        <v>120</v>
      </c>
      <c r="C13" s="7" t="s">
        <v>121</v>
      </c>
      <c r="D13" s="7" t="s">
        <v>122</v>
      </c>
      <c r="E13" s="7" t="s">
        <v>33</v>
      </c>
      <c r="F13" s="7" t="s">
        <v>34</v>
      </c>
      <c r="G13" s="7" t="s">
        <v>35</v>
      </c>
      <c r="H13" s="7"/>
      <c r="I13" s="7"/>
      <c r="J13" s="7" t="s">
        <v>36</v>
      </c>
      <c r="K13" s="7" t="s">
        <v>123</v>
      </c>
      <c r="L13" s="7" t="s">
        <v>124</v>
      </c>
      <c r="M13" s="7" t="s">
        <v>125</v>
      </c>
      <c r="N13" s="7" t="s">
        <v>33</v>
      </c>
      <c r="O13" s="7">
        <v>1</v>
      </c>
      <c r="P13" s="7" t="s">
        <v>40</v>
      </c>
      <c r="Q13" s="7">
        <v>89.99</v>
      </c>
      <c r="R13" s="7"/>
      <c r="S13" s="7"/>
      <c r="T13" s="7"/>
      <c r="U13" s="7"/>
      <c r="V13" s="7"/>
      <c r="W13" s="7"/>
      <c r="X13" s="7"/>
      <c r="Y13" s="7" t="s">
        <v>126</v>
      </c>
      <c r="Z13" s="7" t="s">
        <v>83</v>
      </c>
      <c r="AA13" s="7" t="s">
        <v>127</v>
      </c>
      <c r="AB13" s="7" t="s">
        <v>44</v>
      </c>
      <c r="AC13" s="7"/>
      <c r="AD13" s="7"/>
      <c r="AE13" s="7"/>
      <c r="AF13" s="7"/>
      <c r="AG13" s="11">
        <f t="shared" si="0"/>
        <v>43262</v>
      </c>
    </row>
    <row r="14" spans="1:33">
      <c r="A14" s="7" t="s">
        <v>128</v>
      </c>
      <c r="B14" s="7" t="s">
        <v>128</v>
      </c>
      <c r="C14" s="7" t="s">
        <v>129</v>
      </c>
      <c r="D14" s="7" t="s">
        <v>130</v>
      </c>
      <c r="E14" s="7" t="s">
        <v>54</v>
      </c>
      <c r="F14" s="7" t="s">
        <v>34</v>
      </c>
      <c r="G14" s="7" t="s">
        <v>35</v>
      </c>
      <c r="H14" s="7"/>
      <c r="I14" s="7"/>
      <c r="J14" s="7" t="s">
        <v>69</v>
      </c>
      <c r="K14" s="7" t="s">
        <v>131</v>
      </c>
      <c r="L14" s="7" t="s">
        <v>132</v>
      </c>
      <c r="M14" s="7" t="s">
        <v>133</v>
      </c>
      <c r="N14" s="7" t="s">
        <v>62</v>
      </c>
      <c r="O14" s="7">
        <v>1</v>
      </c>
      <c r="P14" s="7" t="s">
        <v>40</v>
      </c>
      <c r="Q14" s="7">
        <v>89.99</v>
      </c>
      <c r="R14" s="7"/>
      <c r="S14" s="7"/>
      <c r="T14" s="7"/>
      <c r="U14" s="7"/>
      <c r="V14" s="7"/>
      <c r="W14" s="7"/>
      <c r="X14" s="7"/>
      <c r="Y14" s="7" t="s">
        <v>134</v>
      </c>
      <c r="Z14" s="7" t="s">
        <v>135</v>
      </c>
      <c r="AA14" s="7" t="s">
        <v>136</v>
      </c>
      <c r="AB14" s="7" t="s">
        <v>44</v>
      </c>
      <c r="AC14" s="7"/>
      <c r="AD14" s="7"/>
      <c r="AE14" s="7"/>
      <c r="AF14" s="7"/>
      <c r="AG14" s="11">
        <f t="shared" si="0"/>
        <v>43262</v>
      </c>
    </row>
    <row r="15" spans="1:33">
      <c r="A15" s="7" t="s">
        <v>128</v>
      </c>
      <c r="B15" s="7" t="s">
        <v>128</v>
      </c>
      <c r="C15" s="7" t="s">
        <v>129</v>
      </c>
      <c r="D15" s="7" t="s">
        <v>130</v>
      </c>
      <c r="E15" s="7" t="s">
        <v>54</v>
      </c>
      <c r="F15" s="7" t="s">
        <v>34</v>
      </c>
      <c r="G15" s="7" t="s">
        <v>35</v>
      </c>
      <c r="H15" s="7"/>
      <c r="I15" s="7"/>
      <c r="J15" s="7" t="s">
        <v>69</v>
      </c>
      <c r="K15" s="7" t="s">
        <v>137</v>
      </c>
      <c r="L15" s="7" t="s">
        <v>138</v>
      </c>
      <c r="M15" s="7" t="s">
        <v>139</v>
      </c>
      <c r="N15" s="7" t="s">
        <v>62</v>
      </c>
      <c r="O15" s="7">
        <v>1</v>
      </c>
      <c r="P15" s="7" t="s">
        <v>40</v>
      </c>
      <c r="Q15" s="7">
        <v>99.99</v>
      </c>
      <c r="R15" s="7"/>
      <c r="S15" s="7"/>
      <c r="T15" s="7"/>
      <c r="U15" s="7"/>
      <c r="V15" s="7"/>
      <c r="W15" s="7"/>
      <c r="X15" s="7"/>
      <c r="Y15" s="7" t="s">
        <v>134</v>
      </c>
      <c r="Z15" s="7" t="s">
        <v>135</v>
      </c>
      <c r="AA15" s="7" t="s">
        <v>136</v>
      </c>
      <c r="AB15" s="7" t="s">
        <v>44</v>
      </c>
      <c r="AC15" s="7"/>
      <c r="AD15" s="7"/>
      <c r="AE15" s="7"/>
      <c r="AF15" s="7"/>
      <c r="AG15" s="11">
        <f t="shared" si="0"/>
        <v>43262</v>
      </c>
    </row>
    <row r="16" spans="1:33">
      <c r="A16" s="7" t="s">
        <v>140</v>
      </c>
      <c r="B16" s="7" t="s">
        <v>140</v>
      </c>
      <c r="C16" s="7" t="s">
        <v>141</v>
      </c>
      <c r="D16" s="7" t="s">
        <v>142</v>
      </c>
      <c r="E16" s="7" t="s">
        <v>33</v>
      </c>
      <c r="F16" s="7" t="s">
        <v>34</v>
      </c>
      <c r="G16" s="7" t="s">
        <v>35</v>
      </c>
      <c r="H16" s="7"/>
      <c r="I16" s="7" t="s">
        <v>143</v>
      </c>
      <c r="J16" s="7" t="s">
        <v>36</v>
      </c>
      <c r="K16" s="7" t="s">
        <v>88</v>
      </c>
      <c r="L16" s="7" t="s">
        <v>89</v>
      </c>
      <c r="M16" s="7" t="s">
        <v>90</v>
      </c>
      <c r="N16" s="7" t="s">
        <v>33</v>
      </c>
      <c r="O16" s="7">
        <v>1</v>
      </c>
      <c r="P16" s="7" t="s">
        <v>40</v>
      </c>
      <c r="Q16" s="7">
        <v>89.99</v>
      </c>
      <c r="R16" s="7"/>
      <c r="S16" s="7"/>
      <c r="T16" s="7"/>
      <c r="U16" s="7"/>
      <c r="V16" s="7"/>
      <c r="W16" s="7"/>
      <c r="X16" s="7"/>
      <c r="Y16" s="7" t="s">
        <v>144</v>
      </c>
      <c r="Z16" s="7" t="s">
        <v>64</v>
      </c>
      <c r="AA16" s="7">
        <v>33162</v>
      </c>
      <c r="AB16" s="7" t="s">
        <v>44</v>
      </c>
      <c r="AC16" s="7"/>
      <c r="AD16" s="7"/>
      <c r="AE16" s="7"/>
      <c r="AF16" s="7"/>
      <c r="AG16" s="11">
        <f t="shared" si="0"/>
        <v>43262</v>
      </c>
    </row>
    <row r="17" spans="1:33">
      <c r="A17" s="7" t="s">
        <v>145</v>
      </c>
      <c r="B17" s="7" t="s">
        <v>145</v>
      </c>
      <c r="C17" s="7" t="s">
        <v>146</v>
      </c>
      <c r="D17" s="7" t="s">
        <v>147</v>
      </c>
      <c r="E17" s="7" t="s">
        <v>33</v>
      </c>
      <c r="F17" s="7" t="s">
        <v>34</v>
      </c>
      <c r="G17" s="7" t="s">
        <v>35</v>
      </c>
      <c r="H17" s="7"/>
      <c r="I17" s="7"/>
      <c r="J17" s="7" t="s">
        <v>36</v>
      </c>
      <c r="K17" s="7" t="s">
        <v>148</v>
      </c>
      <c r="L17" s="7" t="s">
        <v>149</v>
      </c>
      <c r="M17" s="7" t="s">
        <v>150</v>
      </c>
      <c r="N17" s="7" t="s">
        <v>33</v>
      </c>
      <c r="O17" s="7">
        <v>1</v>
      </c>
      <c r="P17" s="7" t="s">
        <v>40</v>
      </c>
      <c r="Q17" s="7">
        <v>99.99</v>
      </c>
      <c r="R17" s="7"/>
      <c r="S17" s="7"/>
      <c r="T17" s="7"/>
      <c r="U17" s="7"/>
      <c r="V17" s="7"/>
      <c r="W17" s="7"/>
      <c r="X17" s="7"/>
      <c r="Y17" s="7" t="s">
        <v>151</v>
      </c>
      <c r="Z17" s="7" t="s">
        <v>152</v>
      </c>
      <c r="AA17" s="7" t="s">
        <v>153</v>
      </c>
      <c r="AB17" s="7" t="s">
        <v>44</v>
      </c>
      <c r="AC17" s="7"/>
      <c r="AD17" s="7"/>
      <c r="AE17" s="7"/>
      <c r="AF17" s="7"/>
      <c r="AG17" s="11">
        <f t="shared" si="0"/>
        <v>43262</v>
      </c>
    </row>
    <row r="18" spans="1:33">
      <c r="A18" s="7" t="s">
        <v>154</v>
      </c>
      <c r="B18" s="7" t="s">
        <v>154</v>
      </c>
      <c r="C18" s="7" t="s">
        <v>155</v>
      </c>
      <c r="D18" s="7" t="s">
        <v>156</v>
      </c>
      <c r="E18" s="7" t="s">
        <v>33</v>
      </c>
      <c r="F18" s="7" t="s">
        <v>34</v>
      </c>
      <c r="G18" s="7" t="s">
        <v>35</v>
      </c>
      <c r="H18" s="7"/>
      <c r="I18" s="7"/>
      <c r="J18" s="7" t="s">
        <v>69</v>
      </c>
      <c r="K18" s="7" t="s">
        <v>79</v>
      </c>
      <c r="L18" s="7" t="s">
        <v>80</v>
      </c>
      <c r="M18" s="7" t="s">
        <v>81</v>
      </c>
      <c r="N18" s="7" t="s">
        <v>33</v>
      </c>
      <c r="O18" s="7">
        <v>1</v>
      </c>
      <c r="P18" s="7" t="s">
        <v>40</v>
      </c>
      <c r="Q18" s="7">
        <v>90.99</v>
      </c>
      <c r="R18" s="7"/>
      <c r="S18" s="7">
        <v>8.09</v>
      </c>
      <c r="T18" s="7"/>
      <c r="U18" s="7">
        <v>4.99</v>
      </c>
      <c r="V18" s="7"/>
      <c r="W18" s="7"/>
      <c r="X18" s="7"/>
      <c r="Y18" s="7" t="s">
        <v>157</v>
      </c>
      <c r="Z18" s="7" t="s">
        <v>158</v>
      </c>
      <c r="AA18" s="7" t="s">
        <v>159</v>
      </c>
      <c r="AB18" s="7" t="s">
        <v>44</v>
      </c>
      <c r="AC18" s="7"/>
      <c r="AD18" s="7"/>
      <c r="AE18" s="7"/>
      <c r="AF18" s="7"/>
      <c r="AG18" s="11">
        <f t="shared" si="0"/>
        <v>43262</v>
      </c>
    </row>
    <row r="19" spans="1:33">
      <c r="A19" s="7" t="s">
        <v>160</v>
      </c>
      <c r="B19" s="7" t="s">
        <v>160</v>
      </c>
      <c r="C19" s="7" t="s">
        <v>161</v>
      </c>
      <c r="D19" s="7" t="s">
        <v>162</v>
      </c>
      <c r="E19" s="7" t="s">
        <v>54</v>
      </c>
      <c r="F19" s="7" t="s">
        <v>34</v>
      </c>
      <c r="G19" s="7" t="s">
        <v>35</v>
      </c>
      <c r="H19" s="7"/>
      <c r="I19" s="7"/>
      <c r="J19" s="7" t="s">
        <v>163</v>
      </c>
      <c r="K19" s="7" t="s">
        <v>164</v>
      </c>
      <c r="L19" s="7" t="s">
        <v>165</v>
      </c>
      <c r="M19" s="7" t="s">
        <v>166</v>
      </c>
      <c r="N19" s="7" t="s">
        <v>62</v>
      </c>
      <c r="O19" s="7">
        <v>1</v>
      </c>
      <c r="P19" s="7" t="s">
        <v>40</v>
      </c>
      <c r="Q19" s="7">
        <v>21.99</v>
      </c>
      <c r="R19" s="7"/>
      <c r="S19" s="7"/>
      <c r="T19" s="7"/>
      <c r="U19" s="7"/>
      <c r="V19" s="7"/>
      <c r="W19" s="7"/>
      <c r="X19" s="7"/>
      <c r="Y19" s="7" t="s">
        <v>167</v>
      </c>
      <c r="Z19" s="7" t="s">
        <v>168</v>
      </c>
      <c r="AA19" s="7" t="s">
        <v>169</v>
      </c>
      <c r="AB19" s="7" t="s">
        <v>44</v>
      </c>
      <c r="AC19" s="7"/>
      <c r="AD19" s="7"/>
      <c r="AE19" s="7"/>
      <c r="AF19" s="7"/>
      <c r="AG19" s="11">
        <f t="shared" si="0"/>
        <v>43262</v>
      </c>
    </row>
    <row r="20" spans="1:33">
      <c r="A20" s="7" t="s">
        <v>170</v>
      </c>
      <c r="B20" s="7" t="s">
        <v>170</v>
      </c>
      <c r="C20" s="7" t="s">
        <v>171</v>
      </c>
      <c r="D20" s="7" t="s">
        <v>172</v>
      </c>
      <c r="E20" s="7" t="s">
        <v>54</v>
      </c>
      <c r="F20" s="7" t="s">
        <v>34</v>
      </c>
      <c r="G20" s="7" t="s">
        <v>35</v>
      </c>
      <c r="H20" s="7"/>
      <c r="I20" s="7"/>
      <c r="J20" s="7" t="s">
        <v>58</v>
      </c>
      <c r="K20" s="7" t="s">
        <v>148</v>
      </c>
      <c r="L20" s="7" t="s">
        <v>149</v>
      </c>
      <c r="M20" s="7" t="s">
        <v>150</v>
      </c>
      <c r="N20" s="7" t="s">
        <v>62</v>
      </c>
      <c r="O20" s="7">
        <v>1</v>
      </c>
      <c r="P20" s="7" t="s">
        <v>40</v>
      </c>
      <c r="Q20" s="7">
        <v>99.99</v>
      </c>
      <c r="R20" s="7"/>
      <c r="S20" s="7"/>
      <c r="T20" s="7"/>
      <c r="U20" s="7"/>
      <c r="V20" s="7"/>
      <c r="W20" s="7"/>
      <c r="X20" s="7"/>
      <c r="Y20" s="7" t="s">
        <v>173</v>
      </c>
      <c r="Z20" s="7" t="s">
        <v>174</v>
      </c>
      <c r="AA20" s="7" t="s">
        <v>175</v>
      </c>
      <c r="AB20" s="7" t="s">
        <v>44</v>
      </c>
      <c r="AC20" s="7"/>
      <c r="AD20" s="7"/>
      <c r="AE20" s="7"/>
      <c r="AF20" s="7"/>
      <c r="AG20" s="11">
        <f t="shared" si="0"/>
        <v>43262</v>
      </c>
    </row>
    <row r="21" spans="1:33">
      <c r="A21" s="7" t="s">
        <v>176</v>
      </c>
      <c r="B21" s="7" t="s">
        <v>176</v>
      </c>
      <c r="C21" s="7" t="s">
        <v>177</v>
      </c>
      <c r="D21" s="7" t="s">
        <v>178</v>
      </c>
      <c r="E21" s="7" t="s">
        <v>54</v>
      </c>
      <c r="F21" s="7" t="s">
        <v>34</v>
      </c>
      <c r="G21" s="7" t="s">
        <v>35</v>
      </c>
      <c r="H21" s="7"/>
      <c r="I21" s="7"/>
      <c r="J21" s="7" t="s">
        <v>58</v>
      </c>
      <c r="K21" s="7" t="s">
        <v>179</v>
      </c>
      <c r="L21" s="7" t="s">
        <v>180</v>
      </c>
      <c r="M21" s="7" t="s">
        <v>181</v>
      </c>
      <c r="N21" s="7" t="s">
        <v>54</v>
      </c>
      <c r="O21" s="7">
        <v>0</v>
      </c>
      <c r="P21" s="7"/>
      <c r="Q21" s="7"/>
      <c r="R21" s="7"/>
      <c r="S21" s="7"/>
      <c r="T21" s="7"/>
      <c r="U21" s="7"/>
      <c r="V21" s="7"/>
      <c r="W21" s="7"/>
      <c r="X21" s="7"/>
      <c r="Y21" s="7" t="s">
        <v>182</v>
      </c>
      <c r="Z21" s="7" t="s">
        <v>183</v>
      </c>
      <c r="AA21" s="7" t="s">
        <v>184</v>
      </c>
      <c r="AB21" s="7" t="s">
        <v>44</v>
      </c>
      <c r="AC21" s="7"/>
      <c r="AD21" s="7"/>
      <c r="AE21" s="7"/>
      <c r="AF21" s="7"/>
      <c r="AG21" s="11">
        <f t="shared" si="0"/>
        <v>43262</v>
      </c>
    </row>
    <row r="22" spans="1:33">
      <c r="A22" s="7" t="s">
        <v>185</v>
      </c>
      <c r="B22" s="7" t="s">
        <v>185</v>
      </c>
      <c r="C22" s="7" t="s">
        <v>186</v>
      </c>
      <c r="D22" s="7" t="s">
        <v>187</v>
      </c>
      <c r="E22" s="7" t="s">
        <v>33</v>
      </c>
      <c r="F22" s="7" t="s">
        <v>34</v>
      </c>
      <c r="G22" s="7" t="s">
        <v>35</v>
      </c>
      <c r="H22" s="7"/>
      <c r="I22" s="7"/>
      <c r="J22" s="7" t="s">
        <v>36</v>
      </c>
      <c r="K22" s="7" t="s">
        <v>79</v>
      </c>
      <c r="L22" s="7" t="s">
        <v>80</v>
      </c>
      <c r="M22" s="7" t="s">
        <v>81</v>
      </c>
      <c r="N22" s="7" t="s">
        <v>33</v>
      </c>
      <c r="O22" s="7">
        <v>1</v>
      </c>
      <c r="P22" s="7" t="s">
        <v>40</v>
      </c>
      <c r="Q22" s="7">
        <v>90.99</v>
      </c>
      <c r="R22" s="7"/>
      <c r="S22" s="7"/>
      <c r="T22" s="7"/>
      <c r="U22" s="7"/>
      <c r="V22" s="7"/>
      <c r="W22" s="7"/>
      <c r="X22" s="7"/>
      <c r="Y22" s="7" t="s">
        <v>188</v>
      </c>
      <c r="Z22" s="7" t="s">
        <v>189</v>
      </c>
      <c r="AA22" s="7" t="s">
        <v>190</v>
      </c>
      <c r="AB22" s="7" t="s">
        <v>44</v>
      </c>
      <c r="AC22" s="7"/>
      <c r="AD22" s="10"/>
      <c r="AE22" s="10"/>
      <c r="AF22" s="10"/>
      <c r="AG22" s="11">
        <f t="shared" si="0"/>
        <v>43263</v>
      </c>
    </row>
    <row r="23" spans="1:33">
      <c r="A23" s="7" t="s">
        <v>191</v>
      </c>
      <c r="B23" s="7" t="s">
        <v>191</v>
      </c>
      <c r="C23" s="7" t="s">
        <v>192</v>
      </c>
      <c r="D23" s="7" t="s">
        <v>193</v>
      </c>
      <c r="E23" s="7" t="s">
        <v>33</v>
      </c>
      <c r="F23" s="7" t="s">
        <v>34</v>
      </c>
      <c r="G23" s="7" t="s">
        <v>35</v>
      </c>
      <c r="H23" s="7"/>
      <c r="I23" s="7"/>
      <c r="J23" s="7" t="s">
        <v>36</v>
      </c>
      <c r="K23" s="7" t="s">
        <v>79</v>
      </c>
      <c r="L23" s="7" t="s">
        <v>80</v>
      </c>
      <c r="M23" s="7" t="s">
        <v>81</v>
      </c>
      <c r="N23" s="7" t="s">
        <v>33</v>
      </c>
      <c r="O23" s="7">
        <v>1</v>
      </c>
      <c r="P23" s="7" t="s">
        <v>40</v>
      </c>
      <c r="Q23" s="7">
        <v>90.99</v>
      </c>
      <c r="R23" s="7"/>
      <c r="S23" s="7"/>
      <c r="T23" s="7"/>
      <c r="U23" s="7"/>
      <c r="V23" s="7"/>
      <c r="W23" s="7"/>
      <c r="X23" s="7"/>
      <c r="Y23" s="7" t="s">
        <v>194</v>
      </c>
      <c r="Z23" s="7" t="s">
        <v>42</v>
      </c>
      <c r="AA23" s="7" t="s">
        <v>195</v>
      </c>
      <c r="AB23" s="7" t="s">
        <v>44</v>
      </c>
      <c r="AC23" s="7"/>
      <c r="AD23" s="10"/>
      <c r="AE23" s="10"/>
      <c r="AF23" s="10"/>
      <c r="AG23" s="11">
        <f t="shared" si="0"/>
        <v>43263</v>
      </c>
    </row>
    <row r="24" spans="1:33">
      <c r="A24" s="7" t="s">
        <v>196</v>
      </c>
      <c r="B24" s="7" t="s">
        <v>196</v>
      </c>
      <c r="C24" s="7" t="s">
        <v>197</v>
      </c>
      <c r="D24" s="7" t="s">
        <v>198</v>
      </c>
      <c r="E24" s="7" t="s">
        <v>33</v>
      </c>
      <c r="F24" s="7" t="s">
        <v>34</v>
      </c>
      <c r="G24" s="7" t="s">
        <v>35</v>
      </c>
      <c r="H24" s="7"/>
      <c r="I24" s="7"/>
      <c r="J24" s="7" t="s">
        <v>36</v>
      </c>
      <c r="K24" s="7" t="s">
        <v>199</v>
      </c>
      <c r="L24" s="7" t="s">
        <v>200</v>
      </c>
      <c r="M24" s="7" t="s">
        <v>201</v>
      </c>
      <c r="N24" s="7" t="s">
        <v>33</v>
      </c>
      <c r="O24" s="7">
        <v>1</v>
      </c>
      <c r="P24" s="7" t="s">
        <v>40</v>
      </c>
      <c r="Q24" s="7">
        <v>99.6</v>
      </c>
      <c r="R24" s="7"/>
      <c r="S24" s="7"/>
      <c r="T24" s="7"/>
      <c r="U24" s="7"/>
      <c r="V24" s="7"/>
      <c r="W24" s="7"/>
      <c r="X24" s="7"/>
      <c r="Y24" s="7" t="s">
        <v>202</v>
      </c>
      <c r="Z24" s="7" t="s">
        <v>52</v>
      </c>
      <c r="AA24" s="7">
        <v>10595</v>
      </c>
      <c r="AB24" s="7" t="s">
        <v>44</v>
      </c>
      <c r="AC24" s="7"/>
      <c r="AD24" s="10"/>
      <c r="AE24" s="10"/>
      <c r="AF24" s="10"/>
      <c r="AG24" s="11">
        <f t="shared" si="0"/>
        <v>43263</v>
      </c>
    </row>
    <row r="25" spans="1:33">
      <c r="A25" s="7" t="s">
        <v>203</v>
      </c>
      <c r="B25" s="7" t="s">
        <v>203</v>
      </c>
      <c r="C25" s="7" t="s">
        <v>204</v>
      </c>
      <c r="D25" s="7" t="s">
        <v>205</v>
      </c>
      <c r="E25" s="7" t="s">
        <v>33</v>
      </c>
      <c r="F25" s="7" t="s">
        <v>34</v>
      </c>
      <c r="G25" s="7" t="s">
        <v>35</v>
      </c>
      <c r="H25" s="7"/>
      <c r="I25" s="7"/>
      <c r="J25" s="7" t="s">
        <v>69</v>
      </c>
      <c r="K25" s="7" t="s">
        <v>164</v>
      </c>
      <c r="L25" s="7" t="s">
        <v>165</v>
      </c>
      <c r="M25" s="7" t="s">
        <v>166</v>
      </c>
      <c r="N25" s="7" t="s">
        <v>33</v>
      </c>
      <c r="O25" s="7">
        <v>1</v>
      </c>
      <c r="P25" s="7" t="s">
        <v>40</v>
      </c>
      <c r="Q25" s="7">
        <v>21.99</v>
      </c>
      <c r="R25" s="7"/>
      <c r="S25" s="7">
        <v>5.99</v>
      </c>
      <c r="T25" s="7"/>
      <c r="U25" s="7"/>
      <c r="V25" s="7"/>
      <c r="W25" s="7">
        <v>21.77</v>
      </c>
      <c r="X25" s="7"/>
      <c r="Y25" s="7" t="s">
        <v>206</v>
      </c>
      <c r="Z25" s="7" t="s">
        <v>207</v>
      </c>
      <c r="AA25" s="7" t="s">
        <v>208</v>
      </c>
      <c r="AB25" s="7" t="s">
        <v>44</v>
      </c>
      <c r="AC25" s="7" t="s">
        <v>209</v>
      </c>
      <c r="AD25" s="10"/>
      <c r="AE25" s="10"/>
      <c r="AF25" s="10"/>
      <c r="AG25" s="11">
        <f t="shared" si="0"/>
        <v>43263</v>
      </c>
    </row>
    <row r="26" spans="1:33">
      <c r="A26" s="7" t="s">
        <v>210</v>
      </c>
      <c r="B26" s="7" t="s">
        <v>210</v>
      </c>
      <c r="C26" s="7" t="s">
        <v>211</v>
      </c>
      <c r="D26" s="7" t="s">
        <v>212</v>
      </c>
      <c r="E26" s="7" t="s">
        <v>33</v>
      </c>
      <c r="F26" s="7" t="s">
        <v>34</v>
      </c>
      <c r="G26" s="7" t="s">
        <v>35</v>
      </c>
      <c r="H26" s="7"/>
      <c r="I26" s="7"/>
      <c r="J26" s="7" t="s">
        <v>36</v>
      </c>
      <c r="K26" s="7" t="s">
        <v>213</v>
      </c>
      <c r="L26" s="7" t="s">
        <v>214</v>
      </c>
      <c r="M26" s="7" t="s">
        <v>215</v>
      </c>
      <c r="N26" s="7" t="s">
        <v>33</v>
      </c>
      <c r="O26" s="7">
        <v>1</v>
      </c>
      <c r="P26" s="7" t="s">
        <v>40</v>
      </c>
      <c r="Q26" s="7">
        <v>21.99</v>
      </c>
      <c r="R26" s="7"/>
      <c r="S26" s="7"/>
      <c r="T26" s="7"/>
      <c r="U26" s="7"/>
      <c r="V26" s="7"/>
      <c r="W26" s="7">
        <v>21.77</v>
      </c>
      <c r="X26" s="7"/>
      <c r="Y26" s="7" t="s">
        <v>216</v>
      </c>
      <c r="Z26" s="7" t="s">
        <v>83</v>
      </c>
      <c r="AA26" s="7" t="s">
        <v>217</v>
      </c>
      <c r="AB26" s="7" t="s">
        <v>44</v>
      </c>
      <c r="AC26" s="7" t="s">
        <v>209</v>
      </c>
      <c r="AD26" s="10"/>
      <c r="AE26" s="10"/>
      <c r="AF26" s="10"/>
      <c r="AG26" s="11">
        <f t="shared" si="0"/>
        <v>43263</v>
      </c>
    </row>
    <row r="27" spans="1:33">
      <c r="A27" s="7" t="s">
        <v>218</v>
      </c>
      <c r="B27" s="7" t="s">
        <v>218</v>
      </c>
      <c r="C27" s="7" t="s">
        <v>219</v>
      </c>
      <c r="D27" s="7" t="s">
        <v>220</v>
      </c>
      <c r="E27" s="7" t="s">
        <v>33</v>
      </c>
      <c r="F27" s="7" t="s">
        <v>34</v>
      </c>
      <c r="G27" s="7" t="s">
        <v>35</v>
      </c>
      <c r="H27" s="7"/>
      <c r="I27" s="7"/>
      <c r="J27" s="7" t="s">
        <v>36</v>
      </c>
      <c r="K27" s="7" t="s">
        <v>48</v>
      </c>
      <c r="L27" s="7" t="s">
        <v>49</v>
      </c>
      <c r="M27" s="7" t="s">
        <v>50</v>
      </c>
      <c r="N27" s="7" t="s">
        <v>33</v>
      </c>
      <c r="O27" s="7">
        <v>1</v>
      </c>
      <c r="P27" s="7" t="s">
        <v>40</v>
      </c>
      <c r="Q27" s="7">
        <v>89.99</v>
      </c>
      <c r="R27" s="7"/>
      <c r="S27" s="7"/>
      <c r="T27" s="7"/>
      <c r="U27" s="7"/>
      <c r="V27" s="7"/>
      <c r="W27" s="7"/>
      <c r="X27" s="7"/>
      <c r="Y27" s="7" t="s">
        <v>221</v>
      </c>
      <c r="Z27" s="7" t="s">
        <v>83</v>
      </c>
      <c r="AA27" s="7" t="s">
        <v>222</v>
      </c>
      <c r="AB27" s="7" t="s">
        <v>44</v>
      </c>
      <c r="AC27" s="7"/>
      <c r="AD27" s="10"/>
      <c r="AE27" s="10"/>
      <c r="AF27" s="10"/>
      <c r="AG27" s="11">
        <f t="shared" si="0"/>
        <v>43263</v>
      </c>
    </row>
    <row r="28" spans="1:33">
      <c r="A28" s="7" t="s">
        <v>223</v>
      </c>
      <c r="B28" s="7" t="s">
        <v>223</v>
      </c>
      <c r="C28" s="7" t="s">
        <v>224</v>
      </c>
      <c r="D28" s="7" t="s">
        <v>225</v>
      </c>
      <c r="E28" s="7" t="s">
        <v>33</v>
      </c>
      <c r="F28" s="7" t="s">
        <v>34</v>
      </c>
      <c r="G28" s="7" t="s">
        <v>35</v>
      </c>
      <c r="H28" s="7"/>
      <c r="I28" s="7"/>
      <c r="J28" s="7" t="s">
        <v>36</v>
      </c>
      <c r="K28" s="7" t="s">
        <v>226</v>
      </c>
      <c r="L28" s="7" t="s">
        <v>227</v>
      </c>
      <c r="M28" s="7" t="s">
        <v>228</v>
      </c>
      <c r="N28" s="7" t="s">
        <v>33</v>
      </c>
      <c r="O28" s="7">
        <v>1</v>
      </c>
      <c r="P28" s="7" t="s">
        <v>40</v>
      </c>
      <c r="Q28" s="7">
        <v>34.99</v>
      </c>
      <c r="R28" s="7"/>
      <c r="S28" s="7"/>
      <c r="T28" s="7"/>
      <c r="U28" s="7"/>
      <c r="V28" s="7"/>
      <c r="W28" s="7"/>
      <c r="X28" s="7"/>
      <c r="Y28" s="7" t="s">
        <v>229</v>
      </c>
      <c r="Z28" s="7" t="s">
        <v>230</v>
      </c>
      <c r="AA28" s="7" t="s">
        <v>231</v>
      </c>
      <c r="AB28" s="7" t="s">
        <v>44</v>
      </c>
      <c r="AC28" s="7"/>
      <c r="AD28" s="7"/>
      <c r="AE28" s="7"/>
      <c r="AF28" s="7"/>
      <c r="AG28" s="11">
        <f t="shared" si="0"/>
        <v>43263</v>
      </c>
    </row>
    <row r="29" spans="1:33">
      <c r="A29" s="7" t="s">
        <v>232</v>
      </c>
      <c r="B29" s="7" t="s">
        <v>232</v>
      </c>
      <c r="C29" s="7" t="s">
        <v>233</v>
      </c>
      <c r="D29" s="7" t="s">
        <v>234</v>
      </c>
      <c r="E29" s="7" t="s">
        <v>54</v>
      </c>
      <c r="F29" s="7" t="s">
        <v>34</v>
      </c>
      <c r="G29" s="7" t="s">
        <v>35</v>
      </c>
      <c r="H29" s="7"/>
      <c r="I29" s="7"/>
      <c r="J29" s="7" t="s">
        <v>36</v>
      </c>
      <c r="K29" s="7" t="s">
        <v>235</v>
      </c>
      <c r="L29" s="7" t="s">
        <v>236</v>
      </c>
      <c r="M29" s="7" t="s">
        <v>237</v>
      </c>
      <c r="N29" s="7" t="s">
        <v>54</v>
      </c>
      <c r="O29" s="7">
        <v>0</v>
      </c>
      <c r="P29" s="7"/>
      <c r="Q29" s="7"/>
      <c r="R29" s="7"/>
      <c r="S29" s="7"/>
      <c r="T29" s="7"/>
      <c r="U29" s="7"/>
      <c r="V29" s="7"/>
      <c r="W29" s="7"/>
      <c r="X29" s="7"/>
      <c r="Y29" s="7" t="s">
        <v>238</v>
      </c>
      <c r="Z29" s="7" t="s">
        <v>52</v>
      </c>
      <c r="AA29" s="7" t="s">
        <v>239</v>
      </c>
      <c r="AB29" s="7" t="s">
        <v>44</v>
      </c>
      <c r="AC29" s="7"/>
      <c r="AD29" s="10"/>
      <c r="AE29" s="10"/>
      <c r="AF29" s="10"/>
      <c r="AG29" s="11">
        <f t="shared" si="0"/>
        <v>43263</v>
      </c>
    </row>
    <row r="30" spans="1:33">
      <c r="A30" s="7" t="s">
        <v>240</v>
      </c>
      <c r="B30" s="7" t="s">
        <v>240</v>
      </c>
      <c r="C30" s="7" t="s">
        <v>241</v>
      </c>
      <c r="D30" s="7" t="s">
        <v>242</v>
      </c>
      <c r="E30" s="7" t="s">
        <v>33</v>
      </c>
      <c r="F30" s="7" t="s">
        <v>34</v>
      </c>
      <c r="G30" s="7" t="s">
        <v>35</v>
      </c>
      <c r="H30" s="7"/>
      <c r="I30" s="7"/>
      <c r="J30" s="7" t="s">
        <v>36</v>
      </c>
      <c r="K30" s="7" t="s">
        <v>148</v>
      </c>
      <c r="L30" s="7" t="s">
        <v>149</v>
      </c>
      <c r="M30" s="7" t="s">
        <v>150</v>
      </c>
      <c r="N30" s="7" t="s">
        <v>33</v>
      </c>
      <c r="O30" s="7">
        <v>1</v>
      </c>
      <c r="P30" s="7" t="s">
        <v>40</v>
      </c>
      <c r="Q30" s="7">
        <v>99.99</v>
      </c>
      <c r="R30" s="7"/>
      <c r="S30" s="7"/>
      <c r="T30" s="7"/>
      <c r="U30" s="7"/>
      <c r="V30" s="7"/>
      <c r="W30" s="7"/>
      <c r="X30" s="7"/>
      <c r="Y30" s="7" t="s">
        <v>243</v>
      </c>
      <c r="Z30" s="7" t="s">
        <v>244</v>
      </c>
      <c r="AA30" s="7" t="s">
        <v>245</v>
      </c>
      <c r="AB30" s="7" t="s">
        <v>44</v>
      </c>
      <c r="AC30" s="7"/>
      <c r="AD30" s="10"/>
      <c r="AE30" s="10"/>
      <c r="AF30" s="10"/>
      <c r="AG30" s="11">
        <f t="shared" si="0"/>
        <v>43263</v>
      </c>
    </row>
    <row r="31" spans="1:33">
      <c r="A31" s="7" t="s">
        <v>246</v>
      </c>
      <c r="B31" s="7" t="s">
        <v>246</v>
      </c>
      <c r="C31" s="7" t="s">
        <v>247</v>
      </c>
      <c r="D31" s="7" t="s">
        <v>248</v>
      </c>
      <c r="E31" s="7" t="s">
        <v>54</v>
      </c>
      <c r="F31" s="7" t="s">
        <v>34</v>
      </c>
      <c r="G31" s="7" t="s">
        <v>35</v>
      </c>
      <c r="H31" s="7"/>
      <c r="I31" s="7"/>
      <c r="J31" s="7" t="s">
        <v>36</v>
      </c>
      <c r="K31" s="7" t="s">
        <v>213</v>
      </c>
      <c r="L31" s="7" t="s">
        <v>214</v>
      </c>
      <c r="M31" s="7" t="s">
        <v>215</v>
      </c>
      <c r="N31" s="7" t="s">
        <v>54</v>
      </c>
      <c r="O31" s="7">
        <v>0</v>
      </c>
      <c r="P31" s="7"/>
      <c r="Q31" s="7"/>
      <c r="R31" s="7"/>
      <c r="S31" s="7"/>
      <c r="T31" s="7"/>
      <c r="U31" s="7"/>
      <c r="V31" s="7"/>
      <c r="W31" s="7"/>
      <c r="X31" s="7"/>
      <c r="Y31" s="7" t="s">
        <v>249</v>
      </c>
      <c r="Z31" s="7" t="s">
        <v>64</v>
      </c>
      <c r="AA31" s="7" t="s">
        <v>250</v>
      </c>
      <c r="AB31" s="7" t="s">
        <v>44</v>
      </c>
      <c r="AC31" s="7"/>
      <c r="AD31" s="10"/>
      <c r="AE31" s="10"/>
      <c r="AF31" s="10"/>
      <c r="AG31" s="11">
        <f t="shared" si="0"/>
        <v>43263</v>
      </c>
    </row>
    <row r="32" spans="1:33">
      <c r="A32" s="7" t="s">
        <v>251</v>
      </c>
      <c r="B32" s="7" t="s">
        <v>251</v>
      </c>
      <c r="C32" s="7" t="s">
        <v>252</v>
      </c>
      <c r="D32" s="7" t="s">
        <v>253</v>
      </c>
      <c r="E32" s="7" t="s">
        <v>33</v>
      </c>
      <c r="F32" s="7" t="s">
        <v>34</v>
      </c>
      <c r="G32" s="7" t="s">
        <v>35</v>
      </c>
      <c r="H32" s="7"/>
      <c r="I32" s="7"/>
      <c r="J32" s="7" t="s">
        <v>69</v>
      </c>
      <c r="K32" s="7" t="s">
        <v>79</v>
      </c>
      <c r="L32" s="7" t="s">
        <v>80</v>
      </c>
      <c r="M32" s="7" t="s">
        <v>81</v>
      </c>
      <c r="N32" s="7" t="s">
        <v>33</v>
      </c>
      <c r="O32" s="7">
        <v>1</v>
      </c>
      <c r="P32" s="7" t="s">
        <v>40</v>
      </c>
      <c r="Q32" s="7">
        <v>90.99</v>
      </c>
      <c r="R32" s="7"/>
      <c r="S32" s="7">
        <v>8.09</v>
      </c>
      <c r="T32" s="7"/>
      <c r="U32" s="7"/>
      <c r="V32" s="7"/>
      <c r="W32" s="7"/>
      <c r="X32" s="7"/>
      <c r="Y32" s="7" t="s">
        <v>254</v>
      </c>
      <c r="Z32" s="7" t="s">
        <v>51</v>
      </c>
      <c r="AA32" s="7" t="s">
        <v>255</v>
      </c>
      <c r="AB32" s="7" t="s">
        <v>44</v>
      </c>
      <c r="AC32" s="7"/>
      <c r="AD32" s="10"/>
      <c r="AE32" s="10"/>
      <c r="AF32" s="10"/>
      <c r="AG32" s="11">
        <f t="shared" si="0"/>
        <v>43263</v>
      </c>
    </row>
    <row r="33" spans="1:33">
      <c r="A33" s="7" t="s">
        <v>256</v>
      </c>
      <c r="B33" s="7" t="s">
        <v>256</v>
      </c>
      <c r="C33" s="7" t="s">
        <v>257</v>
      </c>
      <c r="D33" s="7" t="s">
        <v>258</v>
      </c>
      <c r="E33" s="7" t="s">
        <v>33</v>
      </c>
      <c r="F33" s="7" t="s">
        <v>34</v>
      </c>
      <c r="G33" s="7" t="s">
        <v>35</v>
      </c>
      <c r="H33" s="7"/>
      <c r="I33" s="7"/>
      <c r="J33" s="7" t="s">
        <v>36</v>
      </c>
      <c r="K33" s="7" t="s">
        <v>79</v>
      </c>
      <c r="L33" s="7" t="s">
        <v>80</v>
      </c>
      <c r="M33" s="7" t="s">
        <v>81</v>
      </c>
      <c r="N33" s="7" t="s">
        <v>33</v>
      </c>
      <c r="O33" s="7">
        <v>1</v>
      </c>
      <c r="P33" s="7" t="s">
        <v>40</v>
      </c>
      <c r="Q33" s="7">
        <v>90.99</v>
      </c>
      <c r="R33" s="7"/>
      <c r="S33" s="7"/>
      <c r="T33" s="7"/>
      <c r="U33" s="7"/>
      <c r="V33" s="7"/>
      <c r="W33" s="7"/>
      <c r="X33" s="7"/>
      <c r="Y33" s="7" t="s">
        <v>259</v>
      </c>
      <c r="Z33" s="7" t="s">
        <v>260</v>
      </c>
      <c r="AA33" s="7">
        <v>35005</v>
      </c>
      <c r="AB33" s="7" t="s">
        <v>44</v>
      </c>
      <c r="AC33" s="7"/>
      <c r="AD33" s="10"/>
      <c r="AE33" s="10"/>
      <c r="AF33" s="10"/>
      <c r="AG33" s="11">
        <f t="shared" si="0"/>
        <v>43263</v>
      </c>
    </row>
    <row r="34" spans="1:33">
      <c r="A34" s="7" t="s">
        <v>261</v>
      </c>
      <c r="B34" s="7" t="s">
        <v>261</v>
      </c>
      <c r="C34" s="7" t="s">
        <v>262</v>
      </c>
      <c r="D34" s="7" t="s">
        <v>263</v>
      </c>
      <c r="E34" s="7" t="s">
        <v>54</v>
      </c>
      <c r="F34" s="7" t="s">
        <v>34</v>
      </c>
      <c r="G34" s="7" t="s">
        <v>35</v>
      </c>
      <c r="H34" s="7"/>
      <c r="I34" s="7"/>
      <c r="J34" s="7" t="s">
        <v>36</v>
      </c>
      <c r="K34" s="7" t="s">
        <v>79</v>
      </c>
      <c r="L34" s="7" t="s">
        <v>80</v>
      </c>
      <c r="M34" s="7" t="s">
        <v>81</v>
      </c>
      <c r="N34" s="7" t="s">
        <v>54</v>
      </c>
      <c r="O34" s="7">
        <v>0</v>
      </c>
      <c r="P34" s="7"/>
      <c r="Q34" s="7"/>
      <c r="R34" s="7"/>
      <c r="S34" s="7"/>
      <c r="T34" s="7"/>
      <c r="U34" s="7"/>
      <c r="V34" s="7"/>
      <c r="W34" s="7"/>
      <c r="X34" s="7"/>
      <c r="Y34" s="7" t="s">
        <v>259</v>
      </c>
      <c r="Z34" s="7" t="s">
        <v>260</v>
      </c>
      <c r="AA34" s="7">
        <v>35005</v>
      </c>
      <c r="AB34" s="7" t="s">
        <v>44</v>
      </c>
      <c r="AC34" s="7"/>
      <c r="AD34" s="10"/>
      <c r="AE34" s="10"/>
      <c r="AF34" s="10"/>
      <c r="AG34" s="11">
        <f t="shared" si="0"/>
        <v>43263</v>
      </c>
    </row>
    <row r="35" spans="1:33">
      <c r="A35" s="7" t="s">
        <v>264</v>
      </c>
      <c r="B35" s="7" t="s">
        <v>264</v>
      </c>
      <c r="C35" s="7" t="s">
        <v>265</v>
      </c>
      <c r="D35" s="7" t="s">
        <v>266</v>
      </c>
      <c r="E35" s="7" t="s">
        <v>54</v>
      </c>
      <c r="F35" s="7" t="s">
        <v>34</v>
      </c>
      <c r="G35" s="7" t="s">
        <v>35</v>
      </c>
      <c r="H35" s="7"/>
      <c r="I35" s="7"/>
      <c r="J35" s="7" t="s">
        <v>58</v>
      </c>
      <c r="K35" s="7" t="s">
        <v>267</v>
      </c>
      <c r="L35" s="7" t="s">
        <v>268</v>
      </c>
      <c r="M35" s="7" t="s">
        <v>269</v>
      </c>
      <c r="N35" s="7" t="s">
        <v>62</v>
      </c>
      <c r="O35" s="7">
        <v>1</v>
      </c>
      <c r="P35" s="7" t="s">
        <v>40</v>
      </c>
      <c r="Q35" s="7">
        <v>89.99</v>
      </c>
      <c r="R35" s="7"/>
      <c r="S35" s="7"/>
      <c r="T35" s="7"/>
      <c r="U35" s="7"/>
      <c r="V35" s="7"/>
      <c r="W35" s="7"/>
      <c r="X35" s="7"/>
      <c r="Y35" s="7" t="s">
        <v>270</v>
      </c>
      <c r="Z35" s="7" t="s">
        <v>271</v>
      </c>
      <c r="AA35" s="7">
        <v>33604</v>
      </c>
      <c r="AB35" s="7" t="s">
        <v>44</v>
      </c>
      <c r="AC35" s="7"/>
      <c r="AD35" s="10"/>
      <c r="AE35" s="10"/>
      <c r="AF35" s="10"/>
      <c r="AG35" s="11">
        <f t="shared" si="0"/>
        <v>43263</v>
      </c>
    </row>
    <row r="36" spans="1:33">
      <c r="A36" s="7" t="s">
        <v>272</v>
      </c>
      <c r="B36" s="7" t="s">
        <v>272</v>
      </c>
      <c r="C36" s="7" t="s">
        <v>273</v>
      </c>
      <c r="D36" s="7" t="s">
        <v>274</v>
      </c>
      <c r="E36" s="7" t="s">
        <v>33</v>
      </c>
      <c r="F36" s="7" t="s">
        <v>34</v>
      </c>
      <c r="G36" s="7" t="s">
        <v>35</v>
      </c>
      <c r="H36" s="7"/>
      <c r="I36" s="7"/>
      <c r="J36" s="7" t="s">
        <v>36</v>
      </c>
      <c r="K36" s="7" t="s">
        <v>275</v>
      </c>
      <c r="L36" s="7" t="s">
        <v>276</v>
      </c>
      <c r="M36" s="7" t="s">
        <v>277</v>
      </c>
      <c r="N36" s="7" t="s">
        <v>33</v>
      </c>
      <c r="O36" s="7">
        <v>1</v>
      </c>
      <c r="P36" s="7" t="s">
        <v>40</v>
      </c>
      <c r="Q36" s="7">
        <v>89.99</v>
      </c>
      <c r="R36" s="7"/>
      <c r="S36" s="7"/>
      <c r="T36" s="7"/>
      <c r="U36" s="7"/>
      <c r="V36" s="7"/>
      <c r="W36" s="7"/>
      <c r="X36" s="7"/>
      <c r="Y36" s="7" t="s">
        <v>278</v>
      </c>
      <c r="Z36" s="7" t="s">
        <v>279</v>
      </c>
      <c r="AA36" s="7" t="s">
        <v>280</v>
      </c>
      <c r="AB36" s="7" t="s">
        <v>44</v>
      </c>
      <c r="AC36" s="7"/>
      <c r="AD36" s="10"/>
      <c r="AE36" s="10"/>
      <c r="AF36" s="10"/>
      <c r="AG36" s="11">
        <f t="shared" si="0"/>
        <v>43263</v>
      </c>
    </row>
    <row r="37" spans="1:33">
      <c r="A37" s="7" t="s">
        <v>281</v>
      </c>
      <c r="B37" s="7" t="s">
        <v>281</v>
      </c>
      <c r="C37" s="7" t="s">
        <v>282</v>
      </c>
      <c r="D37" s="7" t="s">
        <v>283</v>
      </c>
      <c r="E37" s="7" t="s">
        <v>33</v>
      </c>
      <c r="F37" s="7" t="s">
        <v>34</v>
      </c>
      <c r="G37" s="7" t="s">
        <v>35</v>
      </c>
      <c r="H37" s="7"/>
      <c r="I37" s="7"/>
      <c r="J37" s="7" t="s">
        <v>69</v>
      </c>
      <c r="K37" s="7" t="s">
        <v>284</v>
      </c>
      <c r="L37" s="7" t="s">
        <v>285</v>
      </c>
      <c r="M37" s="7" t="s">
        <v>286</v>
      </c>
      <c r="N37" s="7" t="s">
        <v>33</v>
      </c>
      <c r="O37" s="7">
        <v>1</v>
      </c>
      <c r="P37" s="7" t="s">
        <v>40</v>
      </c>
      <c r="Q37" s="7">
        <v>89.99</v>
      </c>
      <c r="R37" s="7"/>
      <c r="S37" s="7">
        <v>7.5</v>
      </c>
      <c r="T37" s="7"/>
      <c r="U37" s="7"/>
      <c r="V37" s="7"/>
      <c r="W37" s="7"/>
      <c r="X37" s="7">
        <v>7.5</v>
      </c>
      <c r="Y37" s="7" t="s">
        <v>287</v>
      </c>
      <c r="Z37" s="7" t="s">
        <v>288</v>
      </c>
      <c r="AA37" s="7">
        <v>11203</v>
      </c>
      <c r="AB37" s="7" t="s">
        <v>44</v>
      </c>
      <c r="AC37" s="7" t="s">
        <v>75</v>
      </c>
      <c r="AD37" s="10"/>
      <c r="AE37" s="10"/>
      <c r="AF37" s="10"/>
      <c r="AG37" s="11">
        <f t="shared" si="0"/>
        <v>43263</v>
      </c>
    </row>
    <row r="38" spans="1:33">
      <c r="A38" s="7" t="s">
        <v>289</v>
      </c>
      <c r="B38" s="7" t="s">
        <v>289</v>
      </c>
      <c r="C38" s="7" t="s">
        <v>290</v>
      </c>
      <c r="D38" s="7" t="s">
        <v>291</v>
      </c>
      <c r="E38" s="7" t="s">
        <v>33</v>
      </c>
      <c r="F38" s="7" t="s">
        <v>34</v>
      </c>
      <c r="G38" s="7" t="s">
        <v>35</v>
      </c>
      <c r="H38" s="7"/>
      <c r="I38" s="7"/>
      <c r="J38" s="7" t="s">
        <v>36</v>
      </c>
      <c r="K38" s="7" t="s">
        <v>79</v>
      </c>
      <c r="L38" s="7" t="s">
        <v>80</v>
      </c>
      <c r="M38" s="7" t="s">
        <v>81</v>
      </c>
      <c r="N38" s="7" t="s">
        <v>33</v>
      </c>
      <c r="O38" s="7">
        <v>1</v>
      </c>
      <c r="P38" s="7" t="s">
        <v>40</v>
      </c>
      <c r="Q38" s="7">
        <v>90.99</v>
      </c>
      <c r="R38" s="7"/>
      <c r="S38" s="7"/>
      <c r="T38" s="7"/>
      <c r="U38" s="7"/>
      <c r="V38" s="7"/>
      <c r="W38" s="7"/>
      <c r="X38" s="7"/>
      <c r="Y38" s="7" t="s">
        <v>292</v>
      </c>
      <c r="Z38" s="7" t="s">
        <v>293</v>
      </c>
      <c r="AA38" s="7" t="s">
        <v>294</v>
      </c>
      <c r="AB38" s="7" t="s">
        <v>44</v>
      </c>
      <c r="AC38" s="7"/>
      <c r="AD38" s="10"/>
      <c r="AE38" s="10"/>
      <c r="AF38" s="10"/>
      <c r="AG38" s="11">
        <f t="shared" si="0"/>
        <v>43263</v>
      </c>
    </row>
    <row r="39" spans="1:33">
      <c r="A39" s="7" t="s">
        <v>295</v>
      </c>
      <c r="B39" s="7" t="s">
        <v>295</v>
      </c>
      <c r="C39" s="7" t="s">
        <v>296</v>
      </c>
      <c r="D39" s="7" t="s">
        <v>297</v>
      </c>
      <c r="E39" s="7" t="s">
        <v>33</v>
      </c>
      <c r="F39" s="7" t="s">
        <v>34</v>
      </c>
      <c r="G39" s="7" t="s">
        <v>35</v>
      </c>
      <c r="H39" s="7"/>
      <c r="I39" s="7"/>
      <c r="J39" s="7" t="s">
        <v>36</v>
      </c>
      <c r="K39" s="7" t="s">
        <v>148</v>
      </c>
      <c r="L39" s="7" t="s">
        <v>149</v>
      </c>
      <c r="M39" s="7" t="s">
        <v>150</v>
      </c>
      <c r="N39" s="7" t="s">
        <v>33</v>
      </c>
      <c r="O39" s="7">
        <v>1</v>
      </c>
      <c r="P39" s="7" t="s">
        <v>40</v>
      </c>
      <c r="Q39" s="7">
        <v>99.99</v>
      </c>
      <c r="R39" s="7"/>
      <c r="S39" s="7"/>
      <c r="T39" s="7"/>
      <c r="U39" s="7"/>
      <c r="V39" s="7"/>
      <c r="W39" s="7"/>
      <c r="X39" s="7"/>
      <c r="Y39" s="7" t="s">
        <v>298</v>
      </c>
      <c r="Z39" s="7" t="s">
        <v>299</v>
      </c>
      <c r="AA39" s="7" t="s">
        <v>300</v>
      </c>
      <c r="AB39" s="7" t="s">
        <v>44</v>
      </c>
      <c r="AC39" s="7"/>
      <c r="AD39" s="10"/>
      <c r="AE39" s="10"/>
      <c r="AF39" s="10"/>
      <c r="AG39" s="11">
        <f t="shared" si="0"/>
        <v>43263</v>
      </c>
    </row>
    <row r="40" spans="1:33">
      <c r="A40" s="7" t="s">
        <v>301</v>
      </c>
      <c r="B40" s="7" t="s">
        <v>301</v>
      </c>
      <c r="C40" s="7" t="s">
        <v>302</v>
      </c>
      <c r="D40" s="7" t="s">
        <v>303</v>
      </c>
      <c r="E40" s="7" t="s">
        <v>54</v>
      </c>
      <c r="F40" s="7" t="s">
        <v>34</v>
      </c>
      <c r="G40" s="7" t="s">
        <v>35</v>
      </c>
      <c r="H40" s="7"/>
      <c r="I40" s="7"/>
      <c r="J40" s="7" t="s">
        <v>69</v>
      </c>
      <c r="K40" s="7" t="s">
        <v>235</v>
      </c>
      <c r="L40" s="7" t="s">
        <v>236</v>
      </c>
      <c r="M40" s="7" t="s">
        <v>237</v>
      </c>
      <c r="N40" s="7" t="s">
        <v>54</v>
      </c>
      <c r="O40" s="7">
        <v>0</v>
      </c>
      <c r="P40" s="7"/>
      <c r="Q40" s="7"/>
      <c r="R40" s="7"/>
      <c r="S40" s="7"/>
      <c r="T40" s="7"/>
      <c r="U40" s="7"/>
      <c r="V40" s="7"/>
      <c r="W40" s="7"/>
      <c r="X40" s="7"/>
      <c r="Y40" s="7" t="s">
        <v>304</v>
      </c>
      <c r="Z40" s="7" t="s">
        <v>52</v>
      </c>
      <c r="AA40" s="7">
        <v>11413</v>
      </c>
      <c r="AB40" s="7" t="s">
        <v>44</v>
      </c>
      <c r="AC40" s="7"/>
      <c r="AD40" s="10"/>
      <c r="AE40" s="10"/>
      <c r="AF40" s="10"/>
      <c r="AG40" s="11">
        <f t="shared" si="0"/>
        <v>43263</v>
      </c>
    </row>
    <row r="41" spans="1:33">
      <c r="A41" s="7" t="s">
        <v>305</v>
      </c>
      <c r="B41" s="7" t="s">
        <v>305</v>
      </c>
      <c r="C41" s="7" t="s">
        <v>306</v>
      </c>
      <c r="D41" s="7" t="s">
        <v>307</v>
      </c>
      <c r="E41" s="7" t="s">
        <v>33</v>
      </c>
      <c r="F41" s="7" t="s">
        <v>34</v>
      </c>
      <c r="G41" s="7" t="s">
        <v>35</v>
      </c>
      <c r="H41" s="7"/>
      <c r="I41" s="7"/>
      <c r="J41" s="7" t="s">
        <v>36</v>
      </c>
      <c r="K41" s="7" t="s">
        <v>59</v>
      </c>
      <c r="L41" s="7" t="s">
        <v>60</v>
      </c>
      <c r="M41" s="7" t="s">
        <v>61</v>
      </c>
      <c r="N41" s="7" t="s">
        <v>33</v>
      </c>
      <c r="O41" s="7">
        <v>1</v>
      </c>
      <c r="P41" s="7" t="s">
        <v>40</v>
      </c>
      <c r="Q41" s="7">
        <v>89.99</v>
      </c>
      <c r="R41" s="7"/>
      <c r="S41" s="7"/>
      <c r="T41" s="7"/>
      <c r="U41" s="7"/>
      <c r="V41" s="7"/>
      <c r="W41" s="7"/>
      <c r="X41" s="7"/>
      <c r="Y41" s="7" t="s">
        <v>308</v>
      </c>
      <c r="Z41" s="7" t="s">
        <v>135</v>
      </c>
      <c r="AA41" s="7">
        <v>61938</v>
      </c>
      <c r="AB41" s="7" t="s">
        <v>44</v>
      </c>
      <c r="AC41" s="7"/>
      <c r="AD41" s="10"/>
      <c r="AE41" s="10"/>
      <c r="AF41" s="10"/>
      <c r="AG41" s="11">
        <f t="shared" si="0"/>
        <v>43263</v>
      </c>
    </row>
    <row r="42" spans="1:33">
      <c r="A42" s="7" t="s">
        <v>309</v>
      </c>
      <c r="B42" s="7" t="s">
        <v>309</v>
      </c>
      <c r="C42" s="7" t="s">
        <v>310</v>
      </c>
      <c r="D42" s="7" t="s">
        <v>311</v>
      </c>
      <c r="E42" s="7" t="s">
        <v>33</v>
      </c>
      <c r="F42" s="7" t="s">
        <v>34</v>
      </c>
      <c r="G42" s="7" t="s">
        <v>35</v>
      </c>
      <c r="H42" s="7"/>
      <c r="I42" s="7"/>
      <c r="J42" s="7" t="s">
        <v>36</v>
      </c>
      <c r="K42" s="7" t="s">
        <v>312</v>
      </c>
      <c r="L42" s="7" t="s">
        <v>313</v>
      </c>
      <c r="M42" s="7" t="s">
        <v>314</v>
      </c>
      <c r="N42" s="7" t="s">
        <v>33</v>
      </c>
      <c r="O42" s="7">
        <v>1</v>
      </c>
      <c r="P42" s="7" t="s">
        <v>40</v>
      </c>
      <c r="Q42" s="7">
        <v>37.99</v>
      </c>
      <c r="R42" s="7"/>
      <c r="S42" s="7"/>
      <c r="T42" s="7"/>
      <c r="U42" s="7"/>
      <c r="V42" s="7"/>
      <c r="W42" s="7"/>
      <c r="X42" s="7"/>
      <c r="Y42" s="7" t="s">
        <v>315</v>
      </c>
      <c r="Z42" s="7" t="s">
        <v>316</v>
      </c>
      <c r="AA42" s="7" t="s">
        <v>317</v>
      </c>
      <c r="AB42" s="7" t="s">
        <v>44</v>
      </c>
      <c r="AC42" s="7"/>
      <c r="AD42" s="10"/>
      <c r="AE42" s="10"/>
      <c r="AF42" s="10"/>
      <c r="AG42" s="11">
        <f t="shared" si="0"/>
        <v>43263</v>
      </c>
    </row>
    <row r="43" spans="1:33">
      <c r="A43" s="7" t="s">
        <v>318</v>
      </c>
      <c r="B43" s="7" t="s">
        <v>318</v>
      </c>
      <c r="C43" s="7" t="s">
        <v>319</v>
      </c>
      <c r="D43" s="7" t="s">
        <v>320</v>
      </c>
      <c r="E43" s="7" t="s">
        <v>33</v>
      </c>
      <c r="F43" s="7" t="s">
        <v>34</v>
      </c>
      <c r="G43" s="7" t="s">
        <v>35</v>
      </c>
      <c r="H43" s="7"/>
      <c r="I43" s="7"/>
      <c r="J43" s="7" t="s">
        <v>36</v>
      </c>
      <c r="K43" s="7" t="s">
        <v>79</v>
      </c>
      <c r="L43" s="7" t="s">
        <v>80</v>
      </c>
      <c r="M43" s="7" t="s">
        <v>81</v>
      </c>
      <c r="N43" s="7" t="s">
        <v>33</v>
      </c>
      <c r="O43" s="7">
        <v>1</v>
      </c>
      <c r="P43" s="7" t="s">
        <v>40</v>
      </c>
      <c r="Q43" s="7">
        <v>90.99</v>
      </c>
      <c r="R43" s="7"/>
      <c r="S43" s="7"/>
      <c r="T43" s="7"/>
      <c r="U43" s="7"/>
      <c r="V43" s="7"/>
      <c r="W43" s="7"/>
      <c r="X43" s="7"/>
      <c r="Y43" s="7" t="s">
        <v>321</v>
      </c>
      <c r="Z43" s="7" t="s">
        <v>322</v>
      </c>
      <c r="AA43" s="7">
        <v>31641</v>
      </c>
      <c r="AB43" s="7" t="s">
        <v>44</v>
      </c>
      <c r="AC43" s="7"/>
      <c r="AD43" s="10"/>
      <c r="AE43" s="10"/>
      <c r="AF43" s="10"/>
      <c r="AG43" s="11">
        <f t="shared" si="0"/>
        <v>43263</v>
      </c>
    </row>
    <row r="44" spans="1:33">
      <c r="A44" s="7" t="s">
        <v>323</v>
      </c>
      <c r="B44" s="7" t="s">
        <v>323</v>
      </c>
      <c r="C44" s="7" t="s">
        <v>324</v>
      </c>
      <c r="D44" s="7" t="s">
        <v>325</v>
      </c>
      <c r="E44" s="7" t="s">
        <v>54</v>
      </c>
      <c r="F44" s="7" t="s">
        <v>34</v>
      </c>
      <c r="G44" s="7" t="s">
        <v>35</v>
      </c>
      <c r="H44" s="7"/>
      <c r="I44" s="7"/>
      <c r="J44" s="7" t="s">
        <v>36</v>
      </c>
      <c r="K44" s="7" t="s">
        <v>59</v>
      </c>
      <c r="L44" s="7" t="s">
        <v>60</v>
      </c>
      <c r="M44" s="7" t="s">
        <v>61</v>
      </c>
      <c r="N44" s="7" t="s">
        <v>62</v>
      </c>
      <c r="O44" s="7">
        <v>1</v>
      </c>
      <c r="P44" s="7" t="s">
        <v>40</v>
      </c>
      <c r="Q44" s="7">
        <v>89.99</v>
      </c>
      <c r="R44" s="7"/>
      <c r="S44" s="7"/>
      <c r="T44" s="7"/>
      <c r="U44" s="7"/>
      <c r="V44" s="7"/>
      <c r="W44" s="7"/>
      <c r="X44" s="7"/>
      <c r="Y44" s="7" t="s">
        <v>326</v>
      </c>
      <c r="Z44" s="7" t="s">
        <v>327</v>
      </c>
      <c r="AA44" s="7" t="s">
        <v>328</v>
      </c>
      <c r="AB44" s="7" t="s">
        <v>44</v>
      </c>
      <c r="AC44" s="7"/>
      <c r="AD44" s="10"/>
      <c r="AE44" s="10"/>
      <c r="AF44" s="10"/>
      <c r="AG44" s="11">
        <f t="shared" si="0"/>
        <v>43263</v>
      </c>
    </row>
    <row r="45" spans="1:33">
      <c r="A45" s="7" t="s">
        <v>329</v>
      </c>
      <c r="B45" s="7" t="s">
        <v>329</v>
      </c>
      <c r="C45" s="7" t="s">
        <v>330</v>
      </c>
      <c r="D45" s="7" t="s">
        <v>331</v>
      </c>
      <c r="E45" s="7" t="s">
        <v>54</v>
      </c>
      <c r="F45" s="7" t="s">
        <v>34</v>
      </c>
      <c r="G45" s="7" t="s">
        <v>35</v>
      </c>
      <c r="H45" s="7"/>
      <c r="I45" s="7"/>
      <c r="J45" s="7" t="s">
        <v>36</v>
      </c>
      <c r="K45" s="7" t="s">
        <v>115</v>
      </c>
      <c r="L45" s="7" t="s">
        <v>116</v>
      </c>
      <c r="M45" s="7" t="s">
        <v>117</v>
      </c>
      <c r="N45" s="7" t="s">
        <v>54</v>
      </c>
      <c r="O45" s="7">
        <v>0</v>
      </c>
      <c r="P45" s="7"/>
      <c r="Q45" s="7"/>
      <c r="R45" s="7"/>
      <c r="S45" s="7"/>
      <c r="T45" s="7"/>
      <c r="U45" s="7"/>
      <c r="V45" s="7"/>
      <c r="W45" s="7"/>
      <c r="X45" s="7"/>
      <c r="Y45" s="7" t="s">
        <v>73</v>
      </c>
      <c r="Z45" s="7" t="s">
        <v>64</v>
      </c>
      <c r="AA45" s="7" t="s">
        <v>332</v>
      </c>
      <c r="AB45" s="7" t="s">
        <v>44</v>
      </c>
      <c r="AC45" s="7"/>
      <c r="AD45" s="10"/>
      <c r="AE45" s="10"/>
      <c r="AF45" s="10"/>
      <c r="AG45" s="11">
        <f t="shared" si="0"/>
        <v>43263</v>
      </c>
    </row>
    <row r="46" spans="1:33">
      <c r="A46" s="7" t="s">
        <v>333</v>
      </c>
      <c r="B46" s="7" t="s">
        <v>333</v>
      </c>
      <c r="C46" s="7" t="s">
        <v>334</v>
      </c>
      <c r="D46" s="7" t="s">
        <v>335</v>
      </c>
      <c r="E46" s="7" t="s">
        <v>54</v>
      </c>
      <c r="F46" s="7" t="s">
        <v>34</v>
      </c>
      <c r="G46" s="7" t="s">
        <v>35</v>
      </c>
      <c r="H46" s="7"/>
      <c r="I46" s="7"/>
      <c r="J46" s="7" t="s">
        <v>69</v>
      </c>
      <c r="K46" s="7" t="s">
        <v>48</v>
      </c>
      <c r="L46" s="7" t="s">
        <v>49</v>
      </c>
      <c r="M46" s="7" t="s">
        <v>50</v>
      </c>
      <c r="N46" s="7" t="s">
        <v>62</v>
      </c>
      <c r="O46" s="7">
        <v>1</v>
      </c>
      <c r="P46" s="7" t="s">
        <v>40</v>
      </c>
      <c r="Q46" s="7">
        <v>89.99</v>
      </c>
      <c r="R46" s="7"/>
      <c r="S46" s="7"/>
      <c r="T46" s="7"/>
      <c r="U46" s="7"/>
      <c r="V46" s="7"/>
      <c r="W46" s="7"/>
      <c r="X46" s="7"/>
      <c r="Y46" s="7" t="s">
        <v>326</v>
      </c>
      <c r="Z46" s="7" t="s">
        <v>327</v>
      </c>
      <c r="AA46" s="7" t="s">
        <v>328</v>
      </c>
      <c r="AB46" s="7" t="s">
        <v>44</v>
      </c>
      <c r="AC46" s="7"/>
      <c r="AD46" s="10"/>
      <c r="AE46" s="10"/>
      <c r="AF46" s="10"/>
      <c r="AG46" s="11">
        <f t="shared" si="0"/>
        <v>43263</v>
      </c>
    </row>
    <row r="47" spans="1:33">
      <c r="A47" s="7" t="s">
        <v>336</v>
      </c>
      <c r="B47" s="7" t="s">
        <v>336</v>
      </c>
      <c r="C47" s="7" t="s">
        <v>337</v>
      </c>
      <c r="D47" s="7" t="s">
        <v>338</v>
      </c>
      <c r="E47" s="7" t="s">
        <v>33</v>
      </c>
      <c r="F47" s="7" t="s">
        <v>34</v>
      </c>
      <c r="G47" s="7" t="s">
        <v>35</v>
      </c>
      <c r="H47" s="7"/>
      <c r="I47" s="7"/>
      <c r="J47" s="7" t="s">
        <v>36</v>
      </c>
      <c r="K47" s="7" t="s">
        <v>79</v>
      </c>
      <c r="L47" s="7" t="s">
        <v>80</v>
      </c>
      <c r="M47" s="7" t="s">
        <v>81</v>
      </c>
      <c r="N47" s="7" t="s">
        <v>33</v>
      </c>
      <c r="O47" s="7">
        <v>1</v>
      </c>
      <c r="P47" s="7" t="s">
        <v>40</v>
      </c>
      <c r="Q47" s="7">
        <v>90.99</v>
      </c>
      <c r="R47" s="7"/>
      <c r="S47" s="7"/>
      <c r="T47" s="7"/>
      <c r="U47" s="7"/>
      <c r="V47" s="7"/>
      <c r="W47" s="7"/>
      <c r="X47" s="7"/>
      <c r="Y47" s="7" t="s">
        <v>339</v>
      </c>
      <c r="Z47" s="7" t="s">
        <v>83</v>
      </c>
      <c r="AA47" s="7" t="s">
        <v>340</v>
      </c>
      <c r="AB47" s="7" t="s">
        <v>44</v>
      </c>
      <c r="AC47" s="7"/>
      <c r="AD47" s="10"/>
      <c r="AE47" s="10"/>
      <c r="AF47" s="10"/>
      <c r="AG47" s="11">
        <f t="shared" si="0"/>
        <v>43263</v>
      </c>
    </row>
    <row r="48" spans="1:33">
      <c r="A48" s="7" t="s">
        <v>341</v>
      </c>
      <c r="B48" s="7" t="s">
        <v>341</v>
      </c>
      <c r="C48" s="7" t="s">
        <v>342</v>
      </c>
      <c r="D48" s="7" t="s">
        <v>343</v>
      </c>
      <c r="E48" s="7" t="s">
        <v>33</v>
      </c>
      <c r="F48" s="7" t="s">
        <v>34</v>
      </c>
      <c r="G48" s="7" t="s">
        <v>35</v>
      </c>
      <c r="H48" s="7"/>
      <c r="I48" s="7"/>
      <c r="J48" s="7" t="s">
        <v>36</v>
      </c>
      <c r="K48" s="7" t="s">
        <v>344</v>
      </c>
      <c r="L48" s="7" t="s">
        <v>345</v>
      </c>
      <c r="M48" s="7" t="s">
        <v>346</v>
      </c>
      <c r="N48" s="7" t="s">
        <v>33</v>
      </c>
      <c r="O48" s="7">
        <v>1</v>
      </c>
      <c r="P48" s="7" t="s">
        <v>40</v>
      </c>
      <c r="Q48" s="7">
        <v>89.6</v>
      </c>
      <c r="R48" s="7"/>
      <c r="S48" s="7">
        <v>14.31</v>
      </c>
      <c r="T48" s="7"/>
      <c r="U48" s="7"/>
      <c r="V48" s="7"/>
      <c r="W48" s="7"/>
      <c r="X48" s="7"/>
      <c r="Y48" s="7" t="s">
        <v>347</v>
      </c>
      <c r="Z48" s="7" t="s">
        <v>348</v>
      </c>
      <c r="AA48" s="7" t="s">
        <v>349</v>
      </c>
      <c r="AB48" s="7" t="s">
        <v>44</v>
      </c>
      <c r="AC48" s="7"/>
      <c r="AD48" s="10"/>
      <c r="AE48" s="10"/>
      <c r="AF48" s="10"/>
      <c r="AG48" s="11">
        <f t="shared" si="0"/>
        <v>43263</v>
      </c>
    </row>
    <row r="49" spans="1:33">
      <c r="A49" s="7" t="s">
        <v>350</v>
      </c>
      <c r="B49" s="7" t="s">
        <v>350</v>
      </c>
      <c r="C49" s="7" t="s">
        <v>351</v>
      </c>
      <c r="D49" s="7" t="s">
        <v>352</v>
      </c>
      <c r="E49" s="7" t="s">
        <v>33</v>
      </c>
      <c r="F49" s="7" t="s">
        <v>34</v>
      </c>
      <c r="G49" s="7" t="s">
        <v>35</v>
      </c>
      <c r="H49" s="7"/>
      <c r="I49" s="7"/>
      <c r="J49" s="7" t="s">
        <v>36</v>
      </c>
      <c r="K49" s="7" t="s">
        <v>79</v>
      </c>
      <c r="L49" s="7" t="s">
        <v>80</v>
      </c>
      <c r="M49" s="7" t="s">
        <v>81</v>
      </c>
      <c r="N49" s="7" t="s">
        <v>33</v>
      </c>
      <c r="O49" s="7">
        <v>1</v>
      </c>
      <c r="P49" s="7" t="s">
        <v>40</v>
      </c>
      <c r="Q49" s="7">
        <v>90.99</v>
      </c>
      <c r="R49" s="7"/>
      <c r="S49" s="7"/>
      <c r="T49" s="7"/>
      <c r="U49" s="7"/>
      <c r="V49" s="7"/>
      <c r="W49" s="7"/>
      <c r="X49" s="7"/>
      <c r="Y49" s="7" t="s">
        <v>353</v>
      </c>
      <c r="Z49" s="7" t="s">
        <v>354</v>
      </c>
      <c r="AA49" s="7" t="s">
        <v>355</v>
      </c>
      <c r="AB49" s="7" t="s">
        <v>44</v>
      </c>
      <c r="AC49" s="7"/>
      <c r="AD49" s="10"/>
      <c r="AE49" s="10"/>
      <c r="AF49" s="10"/>
      <c r="AG49" s="11">
        <f t="shared" si="0"/>
        <v>43263</v>
      </c>
    </row>
    <row r="50" spans="1:33">
      <c r="A50" s="7" t="s">
        <v>356</v>
      </c>
      <c r="B50" s="7" t="s">
        <v>356</v>
      </c>
      <c r="C50" s="7" t="s">
        <v>357</v>
      </c>
      <c r="D50" s="7" t="s">
        <v>358</v>
      </c>
      <c r="E50" s="7" t="s">
        <v>33</v>
      </c>
      <c r="F50" s="7" t="s">
        <v>34</v>
      </c>
      <c r="G50" s="7" t="s">
        <v>35</v>
      </c>
      <c r="H50" s="7"/>
      <c r="I50" s="7"/>
      <c r="J50" s="7" t="s">
        <v>58</v>
      </c>
      <c r="K50" s="7" t="s">
        <v>79</v>
      </c>
      <c r="L50" s="7" t="s">
        <v>80</v>
      </c>
      <c r="M50" s="7" t="s">
        <v>81</v>
      </c>
      <c r="N50" s="7" t="s">
        <v>33</v>
      </c>
      <c r="O50" s="7">
        <v>1</v>
      </c>
      <c r="P50" s="7" t="s">
        <v>40</v>
      </c>
      <c r="Q50" s="7">
        <v>90.99</v>
      </c>
      <c r="R50" s="7"/>
      <c r="S50" s="7">
        <v>6.99</v>
      </c>
      <c r="T50" s="7"/>
      <c r="U50" s="7"/>
      <c r="V50" s="7"/>
      <c r="W50" s="7"/>
      <c r="X50" s="7"/>
      <c r="Y50" s="7" t="s">
        <v>359</v>
      </c>
      <c r="Z50" s="7" t="s">
        <v>230</v>
      </c>
      <c r="AA50" s="7" t="s">
        <v>360</v>
      </c>
      <c r="AB50" s="7" t="s">
        <v>44</v>
      </c>
      <c r="AC50" s="7"/>
      <c r="AD50" s="10"/>
      <c r="AE50" s="10"/>
      <c r="AF50" s="10"/>
      <c r="AG50" s="11">
        <f t="shared" si="0"/>
        <v>43263</v>
      </c>
    </row>
    <row r="51" spans="1:33">
      <c r="A51" s="7" t="s">
        <v>361</v>
      </c>
      <c r="B51" s="7" t="s">
        <v>361</v>
      </c>
      <c r="C51" s="7" t="s">
        <v>362</v>
      </c>
      <c r="D51" s="7" t="s">
        <v>363</v>
      </c>
      <c r="E51" s="7" t="s">
        <v>33</v>
      </c>
      <c r="F51" s="7" t="s">
        <v>34</v>
      </c>
      <c r="G51" s="7" t="s">
        <v>35</v>
      </c>
      <c r="H51" s="7"/>
      <c r="I51" s="7"/>
      <c r="J51" s="7" t="s">
        <v>36</v>
      </c>
      <c r="K51" s="7" t="s">
        <v>364</v>
      </c>
      <c r="L51" s="7" t="s">
        <v>365</v>
      </c>
      <c r="M51" s="7" t="s">
        <v>366</v>
      </c>
      <c r="N51" s="7" t="s">
        <v>33</v>
      </c>
      <c r="O51" s="7">
        <v>1</v>
      </c>
      <c r="P51" s="7" t="s">
        <v>40</v>
      </c>
      <c r="Q51" s="7">
        <v>89.99</v>
      </c>
      <c r="R51" s="7"/>
      <c r="S51" s="7">
        <v>14.21</v>
      </c>
      <c r="T51" s="7"/>
      <c r="U51" s="7"/>
      <c r="V51" s="7"/>
      <c r="W51" s="7"/>
      <c r="X51" s="7"/>
      <c r="Y51" s="7" t="s">
        <v>367</v>
      </c>
      <c r="Z51" s="7" t="s">
        <v>279</v>
      </c>
      <c r="AA51" s="7" t="s">
        <v>368</v>
      </c>
      <c r="AB51" s="7" t="s">
        <v>44</v>
      </c>
      <c r="AC51" s="7"/>
      <c r="AD51" s="10"/>
      <c r="AE51" s="10"/>
      <c r="AF51" s="10"/>
      <c r="AG51" s="11">
        <f t="shared" si="0"/>
        <v>43263</v>
      </c>
    </row>
    <row r="52" spans="1:33">
      <c r="A52" s="7" t="s">
        <v>369</v>
      </c>
      <c r="B52" s="7" t="s">
        <v>369</v>
      </c>
      <c r="C52" s="7" t="s">
        <v>370</v>
      </c>
      <c r="D52" s="7" t="s">
        <v>371</v>
      </c>
      <c r="E52" s="7" t="s">
        <v>33</v>
      </c>
      <c r="F52" s="7" t="s">
        <v>34</v>
      </c>
      <c r="G52" s="7" t="s">
        <v>35</v>
      </c>
      <c r="H52" s="7"/>
      <c r="I52" s="7"/>
      <c r="J52" s="7" t="s">
        <v>163</v>
      </c>
      <c r="K52" s="7" t="s">
        <v>79</v>
      </c>
      <c r="L52" s="7" t="s">
        <v>80</v>
      </c>
      <c r="M52" s="7" t="s">
        <v>81</v>
      </c>
      <c r="N52" s="7" t="s">
        <v>33</v>
      </c>
      <c r="O52" s="7">
        <v>1</v>
      </c>
      <c r="P52" s="7" t="s">
        <v>40</v>
      </c>
      <c r="Q52" s="7">
        <v>90.99</v>
      </c>
      <c r="R52" s="7"/>
      <c r="S52" s="7">
        <v>5.99</v>
      </c>
      <c r="T52" s="7"/>
      <c r="U52" s="7"/>
      <c r="V52" s="7"/>
      <c r="W52" s="7"/>
      <c r="X52" s="7">
        <v>5.99</v>
      </c>
      <c r="Y52" s="7" t="s">
        <v>372</v>
      </c>
      <c r="Z52" s="7" t="s">
        <v>83</v>
      </c>
      <c r="AA52" s="7" t="s">
        <v>373</v>
      </c>
      <c r="AB52" s="7" t="s">
        <v>44</v>
      </c>
      <c r="AC52" s="7"/>
      <c r="AD52" s="10"/>
      <c r="AE52" s="10"/>
      <c r="AF52" s="10"/>
      <c r="AG52" s="11">
        <f t="shared" si="0"/>
        <v>43263</v>
      </c>
    </row>
    <row r="53" spans="1:33">
      <c r="A53" s="7" t="s">
        <v>374</v>
      </c>
      <c r="B53" s="7" t="s">
        <v>374</v>
      </c>
      <c r="C53" s="7" t="s">
        <v>375</v>
      </c>
      <c r="D53" s="7" t="s">
        <v>376</v>
      </c>
      <c r="E53" s="7" t="s">
        <v>33</v>
      </c>
      <c r="F53" s="7" t="s">
        <v>34</v>
      </c>
      <c r="G53" s="7" t="s">
        <v>35</v>
      </c>
      <c r="H53" s="7"/>
      <c r="I53" s="7"/>
      <c r="J53" s="7" t="s">
        <v>36</v>
      </c>
      <c r="K53" s="7" t="s">
        <v>48</v>
      </c>
      <c r="L53" s="7" t="s">
        <v>49</v>
      </c>
      <c r="M53" s="7" t="s">
        <v>50</v>
      </c>
      <c r="N53" s="7" t="s">
        <v>33</v>
      </c>
      <c r="O53" s="7">
        <v>1</v>
      </c>
      <c r="P53" s="7" t="s">
        <v>40</v>
      </c>
      <c r="Q53" s="7">
        <v>89.99</v>
      </c>
      <c r="R53" s="7"/>
      <c r="S53" s="7">
        <v>13.96</v>
      </c>
      <c r="T53" s="7"/>
      <c r="U53" s="7"/>
      <c r="V53" s="7"/>
      <c r="W53" s="7"/>
      <c r="X53" s="7"/>
      <c r="Y53" s="7" t="s">
        <v>377</v>
      </c>
      <c r="Z53" s="7" t="s">
        <v>83</v>
      </c>
      <c r="AA53" s="7" t="s">
        <v>378</v>
      </c>
      <c r="AB53" s="7" t="s">
        <v>44</v>
      </c>
      <c r="AC53" s="7"/>
      <c r="AD53" s="10"/>
      <c r="AE53" s="10"/>
      <c r="AF53" s="10"/>
      <c r="AG53" s="11">
        <f t="shared" si="0"/>
        <v>43263</v>
      </c>
    </row>
    <row r="54" spans="1:33">
      <c r="A54" s="7" t="s">
        <v>379</v>
      </c>
      <c r="B54" s="7" t="s">
        <v>379</v>
      </c>
      <c r="C54" s="7" t="s">
        <v>380</v>
      </c>
      <c r="D54" s="7" t="s">
        <v>381</v>
      </c>
      <c r="E54" s="7" t="s">
        <v>33</v>
      </c>
      <c r="F54" s="7" t="s">
        <v>34</v>
      </c>
      <c r="G54" s="7" t="s">
        <v>35</v>
      </c>
      <c r="H54" s="7"/>
      <c r="I54" s="7"/>
      <c r="J54" s="7" t="s">
        <v>36</v>
      </c>
      <c r="K54" s="7" t="s">
        <v>79</v>
      </c>
      <c r="L54" s="7" t="s">
        <v>80</v>
      </c>
      <c r="M54" s="7" t="s">
        <v>81</v>
      </c>
      <c r="N54" s="7" t="s">
        <v>33</v>
      </c>
      <c r="O54" s="7">
        <v>1</v>
      </c>
      <c r="P54" s="7" t="s">
        <v>40</v>
      </c>
      <c r="Q54" s="7">
        <v>90.99</v>
      </c>
      <c r="R54" s="7"/>
      <c r="S54" s="7"/>
      <c r="T54" s="7"/>
      <c r="U54" s="7"/>
      <c r="V54" s="7"/>
      <c r="W54" s="7"/>
      <c r="X54" s="7"/>
      <c r="Y54" s="7" t="s">
        <v>382</v>
      </c>
      <c r="Z54" s="7" t="s">
        <v>383</v>
      </c>
      <c r="AA54" s="7">
        <v>57701</v>
      </c>
      <c r="AB54" s="7" t="s">
        <v>44</v>
      </c>
      <c r="AC54" s="7"/>
      <c r="AD54" s="10"/>
      <c r="AE54" s="10"/>
      <c r="AF54" s="10"/>
      <c r="AG54" s="11">
        <f t="shared" si="0"/>
        <v>43263</v>
      </c>
    </row>
    <row r="55" spans="1:33">
      <c r="A55" s="7" t="s">
        <v>384</v>
      </c>
      <c r="B55" s="7" t="s">
        <v>384</v>
      </c>
      <c r="C55" s="7" t="s">
        <v>385</v>
      </c>
      <c r="D55" s="7" t="s">
        <v>386</v>
      </c>
      <c r="E55" s="7" t="s">
        <v>33</v>
      </c>
      <c r="F55" s="7" t="s">
        <v>34</v>
      </c>
      <c r="G55" s="7" t="s">
        <v>35</v>
      </c>
      <c r="H55" s="7"/>
      <c r="I55" s="7"/>
      <c r="J55" s="7" t="s">
        <v>36</v>
      </c>
      <c r="K55" s="7" t="s">
        <v>387</v>
      </c>
      <c r="L55" s="7" t="s">
        <v>388</v>
      </c>
      <c r="M55" s="7" t="s">
        <v>389</v>
      </c>
      <c r="N55" s="7" t="s">
        <v>33</v>
      </c>
      <c r="O55" s="7">
        <v>1</v>
      </c>
      <c r="P55" s="7" t="s">
        <v>40</v>
      </c>
      <c r="Q55" s="7">
        <v>32.99</v>
      </c>
      <c r="R55" s="7"/>
      <c r="S55" s="7"/>
      <c r="T55" s="7"/>
      <c r="U55" s="7"/>
      <c r="V55" s="7"/>
      <c r="W55" s="7"/>
      <c r="X55" s="7"/>
      <c r="Y55" s="7" t="s">
        <v>390</v>
      </c>
      <c r="Z55" s="7" t="s">
        <v>391</v>
      </c>
      <c r="AA55" s="7" t="s">
        <v>392</v>
      </c>
      <c r="AB55" s="7" t="s">
        <v>44</v>
      </c>
      <c r="AC55" s="7"/>
      <c r="AD55" s="10"/>
      <c r="AE55" s="10"/>
      <c r="AF55" s="10"/>
      <c r="AG55" s="11">
        <f t="shared" si="0"/>
        <v>43263</v>
      </c>
    </row>
    <row r="56" spans="1:33">
      <c r="A56" s="7" t="s">
        <v>393</v>
      </c>
      <c r="B56" s="7" t="s">
        <v>393</v>
      </c>
      <c r="C56" s="7" t="s">
        <v>394</v>
      </c>
      <c r="D56" s="7" t="s">
        <v>395</v>
      </c>
      <c r="E56" s="7" t="s">
        <v>33</v>
      </c>
      <c r="F56" s="7" t="s">
        <v>34</v>
      </c>
      <c r="G56" s="7" t="s">
        <v>35</v>
      </c>
      <c r="H56" s="7"/>
      <c r="I56" s="7"/>
      <c r="J56" s="7" t="s">
        <v>36</v>
      </c>
      <c r="K56" s="7" t="s">
        <v>387</v>
      </c>
      <c r="L56" s="7" t="s">
        <v>388</v>
      </c>
      <c r="M56" s="7" t="s">
        <v>389</v>
      </c>
      <c r="N56" s="7" t="s">
        <v>33</v>
      </c>
      <c r="O56" s="7">
        <v>1</v>
      </c>
      <c r="P56" s="7" t="s">
        <v>40</v>
      </c>
      <c r="Q56" s="7">
        <v>32.99</v>
      </c>
      <c r="R56" s="7"/>
      <c r="S56" s="7"/>
      <c r="T56" s="7"/>
      <c r="U56" s="7"/>
      <c r="V56" s="7"/>
      <c r="W56" s="7"/>
      <c r="X56" s="7"/>
      <c r="Y56" s="7" t="s">
        <v>390</v>
      </c>
      <c r="Z56" s="7" t="s">
        <v>391</v>
      </c>
      <c r="AA56" s="7" t="s">
        <v>392</v>
      </c>
      <c r="AB56" s="7" t="s">
        <v>44</v>
      </c>
      <c r="AC56" s="7"/>
      <c r="AD56" s="10"/>
      <c r="AE56" s="10"/>
      <c r="AF56" s="10"/>
      <c r="AG56" s="11">
        <f t="shared" si="0"/>
        <v>43263</v>
      </c>
    </row>
    <row r="57" spans="1:33">
      <c r="A57" s="7" t="s">
        <v>396</v>
      </c>
      <c r="B57" s="7" t="s">
        <v>396</v>
      </c>
      <c r="C57" s="7" t="s">
        <v>397</v>
      </c>
      <c r="D57" s="7" t="s">
        <v>398</v>
      </c>
      <c r="E57" s="7" t="s">
        <v>33</v>
      </c>
      <c r="F57" s="7" t="s">
        <v>34</v>
      </c>
      <c r="G57" s="7" t="s">
        <v>35</v>
      </c>
      <c r="H57" s="7"/>
      <c r="I57" s="7"/>
      <c r="J57" s="7" t="s">
        <v>36</v>
      </c>
      <c r="K57" s="7" t="s">
        <v>79</v>
      </c>
      <c r="L57" s="7" t="s">
        <v>80</v>
      </c>
      <c r="M57" s="7" t="s">
        <v>81</v>
      </c>
      <c r="N57" s="7" t="s">
        <v>33</v>
      </c>
      <c r="O57" s="7">
        <v>1</v>
      </c>
      <c r="P57" s="7" t="s">
        <v>40</v>
      </c>
      <c r="Q57" s="7">
        <v>90.99</v>
      </c>
      <c r="R57" s="7"/>
      <c r="S57" s="7"/>
      <c r="T57" s="7"/>
      <c r="U57" s="7"/>
      <c r="V57" s="7"/>
      <c r="W57" s="7"/>
      <c r="X57" s="7"/>
      <c r="Y57" s="7" t="s">
        <v>399</v>
      </c>
      <c r="Z57" s="7" t="s">
        <v>400</v>
      </c>
      <c r="AA57" s="7" t="s">
        <v>401</v>
      </c>
      <c r="AB57" s="7" t="s">
        <v>44</v>
      </c>
      <c r="AC57" s="7"/>
      <c r="AD57" s="7"/>
      <c r="AE57" s="7"/>
      <c r="AF57" s="7"/>
      <c r="AG57" s="11">
        <f t="shared" si="0"/>
        <v>43263</v>
      </c>
    </row>
    <row r="58" spans="1:33">
      <c r="A58" s="7" t="s">
        <v>402</v>
      </c>
      <c r="B58" s="7" t="s">
        <v>402</v>
      </c>
      <c r="C58" s="7" t="s">
        <v>403</v>
      </c>
      <c r="D58" s="7" t="s">
        <v>404</v>
      </c>
      <c r="E58" s="7" t="s">
        <v>54</v>
      </c>
      <c r="F58" s="7" t="s">
        <v>34</v>
      </c>
      <c r="G58" s="7" t="s">
        <v>35</v>
      </c>
      <c r="H58" s="7"/>
      <c r="I58" s="7"/>
      <c r="J58" s="7" t="s">
        <v>163</v>
      </c>
      <c r="K58" s="7" t="s">
        <v>59</v>
      </c>
      <c r="L58" s="7" t="s">
        <v>60</v>
      </c>
      <c r="M58" s="7" t="s">
        <v>61</v>
      </c>
      <c r="N58" s="7" t="s">
        <v>62</v>
      </c>
      <c r="O58" s="7">
        <v>1</v>
      </c>
      <c r="P58" s="7" t="s">
        <v>40</v>
      </c>
      <c r="Q58" s="7">
        <v>89.99</v>
      </c>
      <c r="R58" s="7"/>
      <c r="S58" s="7"/>
      <c r="T58" s="7"/>
      <c r="U58" s="7"/>
      <c r="V58" s="7"/>
      <c r="W58" s="7"/>
      <c r="X58" s="7"/>
      <c r="Y58" s="7" t="s">
        <v>405</v>
      </c>
      <c r="Z58" s="7" t="s">
        <v>83</v>
      </c>
      <c r="AA58" s="7" t="s">
        <v>406</v>
      </c>
      <c r="AB58" s="7" t="s">
        <v>44</v>
      </c>
      <c r="AC58" s="7"/>
      <c r="AD58" s="7"/>
      <c r="AE58" s="7"/>
      <c r="AF58" s="7"/>
      <c r="AG58" s="11">
        <f t="shared" si="0"/>
        <v>43263</v>
      </c>
    </row>
    <row r="59" spans="1:33">
      <c r="A59" s="7" t="s">
        <v>407</v>
      </c>
      <c r="B59" s="7" t="s">
        <v>407</v>
      </c>
      <c r="C59" s="7" t="s">
        <v>408</v>
      </c>
      <c r="D59" s="7" t="s">
        <v>409</v>
      </c>
      <c r="E59" s="7" t="s">
        <v>33</v>
      </c>
      <c r="F59" s="7" t="s">
        <v>34</v>
      </c>
      <c r="G59" s="7" t="s">
        <v>35</v>
      </c>
      <c r="H59" s="7"/>
      <c r="I59" s="7"/>
      <c r="J59" s="7" t="s">
        <v>36</v>
      </c>
      <c r="K59" s="7" t="s">
        <v>410</v>
      </c>
      <c r="L59" s="7" t="s">
        <v>411</v>
      </c>
      <c r="M59" s="7" t="s">
        <v>412</v>
      </c>
      <c r="N59" s="7" t="s">
        <v>33</v>
      </c>
      <c r="O59" s="7">
        <v>1</v>
      </c>
      <c r="P59" s="7" t="s">
        <v>40</v>
      </c>
      <c r="Q59" s="7">
        <v>21.99</v>
      </c>
      <c r="R59" s="7"/>
      <c r="S59" s="7"/>
      <c r="T59" s="7"/>
      <c r="U59" s="7"/>
      <c r="V59" s="7"/>
      <c r="W59" s="7">
        <v>21.77</v>
      </c>
      <c r="X59" s="7"/>
      <c r="Y59" s="7" t="s">
        <v>413</v>
      </c>
      <c r="Z59" s="7" t="s">
        <v>183</v>
      </c>
      <c r="AA59" s="7" t="s">
        <v>414</v>
      </c>
      <c r="AB59" s="7" t="s">
        <v>44</v>
      </c>
      <c r="AC59" s="7" t="s">
        <v>209</v>
      </c>
      <c r="AD59" s="7"/>
      <c r="AE59" s="7"/>
      <c r="AF59" s="7"/>
      <c r="AG59" s="11">
        <f t="shared" si="0"/>
        <v>43263</v>
      </c>
    </row>
    <row r="60" spans="1:33">
      <c r="A60" s="7" t="s">
        <v>415</v>
      </c>
      <c r="B60" s="7" t="s">
        <v>415</v>
      </c>
      <c r="C60" s="7" t="s">
        <v>416</v>
      </c>
      <c r="D60" s="7" t="s">
        <v>417</v>
      </c>
      <c r="E60" s="7" t="s">
        <v>33</v>
      </c>
      <c r="F60" s="7" t="s">
        <v>34</v>
      </c>
      <c r="G60" s="7" t="s">
        <v>35</v>
      </c>
      <c r="H60" s="7"/>
      <c r="I60" s="7"/>
      <c r="J60" s="7" t="s">
        <v>36</v>
      </c>
      <c r="K60" s="7" t="s">
        <v>418</v>
      </c>
      <c r="L60" s="7" t="s">
        <v>419</v>
      </c>
      <c r="M60" s="7" t="s">
        <v>420</v>
      </c>
      <c r="N60" s="7" t="s">
        <v>33</v>
      </c>
      <c r="O60" s="7">
        <v>1</v>
      </c>
      <c r="P60" s="7" t="s">
        <v>40</v>
      </c>
      <c r="Q60" s="7">
        <v>89.99</v>
      </c>
      <c r="R60" s="7"/>
      <c r="S60" s="7"/>
      <c r="T60" s="7"/>
      <c r="U60" s="7"/>
      <c r="V60" s="7"/>
      <c r="W60" s="7"/>
      <c r="X60" s="7"/>
      <c r="Y60" s="7" t="s">
        <v>421</v>
      </c>
      <c r="Z60" s="7" t="s">
        <v>422</v>
      </c>
      <c r="AA60" s="7" t="s">
        <v>423</v>
      </c>
      <c r="AB60" s="7" t="s">
        <v>44</v>
      </c>
      <c r="AC60" s="7"/>
      <c r="AD60" s="7"/>
      <c r="AE60" s="7"/>
      <c r="AF60" s="7"/>
      <c r="AG60" s="11">
        <f t="shared" si="0"/>
        <v>43263</v>
      </c>
    </row>
    <row r="61" spans="1:33">
      <c r="A61" s="7" t="s">
        <v>415</v>
      </c>
      <c r="B61" s="7" t="s">
        <v>415</v>
      </c>
      <c r="C61" s="7" t="s">
        <v>416</v>
      </c>
      <c r="D61" s="7" t="s">
        <v>417</v>
      </c>
      <c r="E61" s="7" t="s">
        <v>33</v>
      </c>
      <c r="F61" s="7" t="s">
        <v>34</v>
      </c>
      <c r="G61" s="7" t="s">
        <v>35</v>
      </c>
      <c r="H61" s="7"/>
      <c r="I61" s="7"/>
      <c r="J61" s="7" t="s">
        <v>36</v>
      </c>
      <c r="K61" s="7" t="s">
        <v>123</v>
      </c>
      <c r="L61" s="7" t="s">
        <v>124</v>
      </c>
      <c r="M61" s="7" t="s">
        <v>125</v>
      </c>
      <c r="N61" s="7" t="s">
        <v>33</v>
      </c>
      <c r="O61" s="7">
        <v>1</v>
      </c>
      <c r="P61" s="7" t="s">
        <v>40</v>
      </c>
      <c r="Q61" s="7">
        <v>89.99</v>
      </c>
      <c r="R61" s="7"/>
      <c r="S61" s="7"/>
      <c r="T61" s="7"/>
      <c r="U61" s="7"/>
      <c r="V61" s="7"/>
      <c r="W61" s="7"/>
      <c r="X61" s="7"/>
      <c r="Y61" s="7" t="s">
        <v>421</v>
      </c>
      <c r="Z61" s="7" t="s">
        <v>422</v>
      </c>
      <c r="AA61" s="7" t="s">
        <v>423</v>
      </c>
      <c r="AB61" s="7" t="s">
        <v>44</v>
      </c>
      <c r="AC61" s="7"/>
      <c r="AD61" s="7"/>
      <c r="AE61" s="7"/>
      <c r="AF61" s="7"/>
      <c r="AG61" s="11">
        <f t="shared" si="0"/>
        <v>43263</v>
      </c>
    </row>
    <row r="62" spans="1:33">
      <c r="A62" s="7" t="s">
        <v>424</v>
      </c>
      <c r="B62" s="7" t="s">
        <v>424</v>
      </c>
      <c r="C62" s="7" t="s">
        <v>425</v>
      </c>
      <c r="D62" s="7" t="s">
        <v>426</v>
      </c>
      <c r="E62" s="7" t="s">
        <v>33</v>
      </c>
      <c r="F62" s="7" t="s">
        <v>34</v>
      </c>
      <c r="G62" s="7" t="s">
        <v>35</v>
      </c>
      <c r="H62" s="7"/>
      <c r="I62" s="7"/>
      <c r="J62" s="7" t="s">
        <v>36</v>
      </c>
      <c r="K62" s="7" t="s">
        <v>410</v>
      </c>
      <c r="L62" s="7" t="s">
        <v>411</v>
      </c>
      <c r="M62" s="7" t="s">
        <v>412</v>
      </c>
      <c r="N62" s="7" t="s">
        <v>33</v>
      </c>
      <c r="O62" s="7">
        <v>1</v>
      </c>
      <c r="P62" s="7" t="s">
        <v>40</v>
      </c>
      <c r="Q62" s="7">
        <v>21.99</v>
      </c>
      <c r="R62" s="7"/>
      <c r="S62" s="7"/>
      <c r="T62" s="7"/>
      <c r="U62" s="7"/>
      <c r="V62" s="7"/>
      <c r="W62" s="7">
        <v>21.77</v>
      </c>
      <c r="X62" s="7"/>
      <c r="Y62" s="7" t="s">
        <v>427</v>
      </c>
      <c r="Z62" s="7" t="s">
        <v>42</v>
      </c>
      <c r="AA62" s="7">
        <v>77642</v>
      </c>
      <c r="AB62" s="7" t="s">
        <v>44</v>
      </c>
      <c r="AC62" s="7" t="s">
        <v>209</v>
      </c>
      <c r="AD62" s="7"/>
      <c r="AE62" s="7"/>
      <c r="AF62" s="7"/>
      <c r="AG62" s="11">
        <f t="shared" si="0"/>
        <v>43263</v>
      </c>
    </row>
    <row r="63" spans="1:33">
      <c r="A63" s="7" t="s">
        <v>428</v>
      </c>
      <c r="B63" s="7" t="s">
        <v>428</v>
      </c>
      <c r="C63" s="7" t="s">
        <v>429</v>
      </c>
      <c r="D63" s="7" t="s">
        <v>430</v>
      </c>
      <c r="E63" s="7" t="s">
        <v>33</v>
      </c>
      <c r="F63" s="7" t="s">
        <v>34</v>
      </c>
      <c r="G63" s="7" t="s">
        <v>35</v>
      </c>
      <c r="H63" s="7"/>
      <c r="I63" s="7"/>
      <c r="J63" s="7" t="s">
        <v>36</v>
      </c>
      <c r="K63" s="7" t="s">
        <v>431</v>
      </c>
      <c r="L63" s="7" t="s">
        <v>432</v>
      </c>
      <c r="M63" s="7" t="s">
        <v>433</v>
      </c>
      <c r="N63" s="7" t="s">
        <v>33</v>
      </c>
      <c r="O63" s="7">
        <v>1</v>
      </c>
      <c r="P63" s="7" t="s">
        <v>40</v>
      </c>
      <c r="Q63" s="7">
        <v>89.99</v>
      </c>
      <c r="R63" s="7"/>
      <c r="S63" s="7"/>
      <c r="T63" s="7"/>
      <c r="U63" s="7"/>
      <c r="V63" s="7"/>
      <c r="W63" s="7"/>
      <c r="X63" s="7"/>
      <c r="Y63" s="7" t="s">
        <v>434</v>
      </c>
      <c r="Z63" s="7" t="s">
        <v>435</v>
      </c>
      <c r="AA63" s="7">
        <v>24880</v>
      </c>
      <c r="AB63" s="7" t="s">
        <v>44</v>
      </c>
      <c r="AC63" s="7"/>
      <c r="AD63" s="7"/>
      <c r="AE63" s="7"/>
      <c r="AF63" s="7"/>
      <c r="AG63" s="11">
        <f t="shared" si="0"/>
        <v>43263</v>
      </c>
    </row>
    <row r="64" spans="1:33">
      <c r="A64" s="7" t="s">
        <v>436</v>
      </c>
      <c r="B64" s="7" t="s">
        <v>436</v>
      </c>
      <c r="C64" s="7" t="s">
        <v>437</v>
      </c>
      <c r="D64" s="7" t="s">
        <v>438</v>
      </c>
      <c r="E64" s="7" t="s">
        <v>33</v>
      </c>
      <c r="F64" s="7" t="s">
        <v>34</v>
      </c>
      <c r="G64" s="7" t="s">
        <v>35</v>
      </c>
      <c r="H64" s="7"/>
      <c r="I64" s="7"/>
      <c r="J64" s="7" t="s">
        <v>36</v>
      </c>
      <c r="K64" s="7" t="s">
        <v>123</v>
      </c>
      <c r="L64" s="7" t="s">
        <v>124</v>
      </c>
      <c r="M64" s="7" t="s">
        <v>125</v>
      </c>
      <c r="N64" s="7" t="s">
        <v>33</v>
      </c>
      <c r="O64" s="7">
        <v>1</v>
      </c>
      <c r="P64" s="7" t="s">
        <v>40</v>
      </c>
      <c r="Q64" s="7">
        <v>89.99</v>
      </c>
      <c r="R64" s="7"/>
      <c r="S64" s="7"/>
      <c r="T64" s="7"/>
      <c r="U64" s="7"/>
      <c r="V64" s="7"/>
      <c r="W64" s="7"/>
      <c r="X64" s="7"/>
      <c r="Y64" s="7" t="s">
        <v>439</v>
      </c>
      <c r="Z64" s="7" t="s">
        <v>440</v>
      </c>
      <c r="AA64" s="7" t="s">
        <v>441</v>
      </c>
      <c r="AB64" s="7" t="s">
        <v>44</v>
      </c>
      <c r="AC64" s="7"/>
      <c r="AD64" s="7"/>
      <c r="AE64" s="7"/>
      <c r="AF64" s="7"/>
      <c r="AG64" s="11">
        <f t="shared" si="0"/>
        <v>43263</v>
      </c>
    </row>
    <row r="65" spans="1:33">
      <c r="A65" s="7" t="s">
        <v>442</v>
      </c>
      <c r="B65" s="7" t="s">
        <v>442</v>
      </c>
      <c r="C65" s="7" t="s">
        <v>443</v>
      </c>
      <c r="D65" s="7" t="s">
        <v>444</v>
      </c>
      <c r="E65" s="7" t="s">
        <v>33</v>
      </c>
      <c r="F65" s="7" t="s">
        <v>34</v>
      </c>
      <c r="G65" s="7" t="s">
        <v>35</v>
      </c>
      <c r="H65" s="7"/>
      <c r="I65" s="7"/>
      <c r="J65" s="7" t="s">
        <v>69</v>
      </c>
      <c r="K65" s="7" t="s">
        <v>213</v>
      </c>
      <c r="L65" s="7" t="s">
        <v>214</v>
      </c>
      <c r="M65" s="7" t="s">
        <v>215</v>
      </c>
      <c r="N65" s="7" t="s">
        <v>33</v>
      </c>
      <c r="O65" s="7">
        <v>1</v>
      </c>
      <c r="P65" s="7" t="s">
        <v>40</v>
      </c>
      <c r="Q65" s="7">
        <v>21.99</v>
      </c>
      <c r="R65" s="7"/>
      <c r="S65" s="7">
        <v>5.99</v>
      </c>
      <c r="T65" s="7"/>
      <c r="U65" s="7"/>
      <c r="V65" s="7"/>
      <c r="W65" s="7">
        <v>21.77</v>
      </c>
      <c r="X65" s="7"/>
      <c r="Y65" s="7" t="s">
        <v>445</v>
      </c>
      <c r="Z65" s="7" t="s">
        <v>446</v>
      </c>
      <c r="AA65" s="7" t="s">
        <v>447</v>
      </c>
      <c r="AB65" s="7" t="s">
        <v>44</v>
      </c>
      <c r="AC65" s="7" t="s">
        <v>209</v>
      </c>
      <c r="AD65" s="7"/>
      <c r="AE65" s="7"/>
      <c r="AF65" s="7"/>
      <c r="AG65" s="11">
        <f t="shared" si="0"/>
        <v>43263</v>
      </c>
    </row>
    <row r="66" spans="1:33">
      <c r="A66" s="7" t="s">
        <v>448</v>
      </c>
      <c r="B66" s="7" t="s">
        <v>448</v>
      </c>
      <c r="C66" s="7" t="s">
        <v>449</v>
      </c>
      <c r="D66" s="7" t="s">
        <v>450</v>
      </c>
      <c r="E66" s="7" t="s">
        <v>33</v>
      </c>
      <c r="F66" s="7" t="s">
        <v>34</v>
      </c>
      <c r="G66" s="7" t="s">
        <v>35</v>
      </c>
      <c r="H66" s="7"/>
      <c r="I66" s="7"/>
      <c r="J66" s="7" t="s">
        <v>36</v>
      </c>
      <c r="K66" s="7" t="s">
        <v>88</v>
      </c>
      <c r="L66" s="7" t="s">
        <v>89</v>
      </c>
      <c r="M66" s="7" t="s">
        <v>90</v>
      </c>
      <c r="N66" s="7" t="s">
        <v>33</v>
      </c>
      <c r="O66" s="7">
        <v>1</v>
      </c>
      <c r="P66" s="7" t="s">
        <v>40</v>
      </c>
      <c r="Q66" s="7">
        <v>89.99</v>
      </c>
      <c r="R66" s="7"/>
      <c r="S66" s="7"/>
      <c r="T66" s="7"/>
      <c r="U66" s="7"/>
      <c r="V66" s="7"/>
      <c r="W66" s="7"/>
      <c r="X66" s="7"/>
      <c r="Y66" s="7" t="s">
        <v>451</v>
      </c>
      <c r="Z66" s="7" t="s">
        <v>452</v>
      </c>
      <c r="AA66" s="7" t="s">
        <v>453</v>
      </c>
      <c r="AB66" s="7" t="s">
        <v>44</v>
      </c>
      <c r="AC66" s="7"/>
      <c r="AD66" s="7"/>
      <c r="AE66" s="7"/>
      <c r="AF66" s="7"/>
      <c r="AG66" s="11">
        <f t="shared" ref="AG66:AG129" si="1">DATEVALUE(LEFT(C66,10))</f>
        <v>43263</v>
      </c>
    </row>
    <row r="67" spans="1:33">
      <c r="A67" s="7" t="s">
        <v>454</v>
      </c>
      <c r="B67" s="7" t="s">
        <v>454</v>
      </c>
      <c r="C67" s="7" t="s">
        <v>455</v>
      </c>
      <c r="D67" s="7" t="s">
        <v>456</v>
      </c>
      <c r="E67" s="7" t="s">
        <v>33</v>
      </c>
      <c r="F67" s="7" t="s">
        <v>34</v>
      </c>
      <c r="G67" s="7" t="s">
        <v>35</v>
      </c>
      <c r="H67" s="7"/>
      <c r="I67" s="7"/>
      <c r="J67" s="7" t="s">
        <v>36</v>
      </c>
      <c r="K67" s="7" t="s">
        <v>457</v>
      </c>
      <c r="L67" s="7" t="s">
        <v>458</v>
      </c>
      <c r="M67" s="7" t="s">
        <v>459</v>
      </c>
      <c r="N67" s="7" t="s">
        <v>33</v>
      </c>
      <c r="O67" s="7">
        <v>1</v>
      </c>
      <c r="P67" s="7" t="s">
        <v>40</v>
      </c>
      <c r="Q67" s="7">
        <v>79.99</v>
      </c>
      <c r="R67" s="7"/>
      <c r="S67" s="7"/>
      <c r="T67" s="7"/>
      <c r="U67" s="7"/>
      <c r="V67" s="7"/>
      <c r="W67" s="7"/>
      <c r="X67" s="7"/>
      <c r="Y67" s="7" t="s">
        <v>460</v>
      </c>
      <c r="Z67" s="7" t="s">
        <v>52</v>
      </c>
      <c r="AA67" s="7" t="s">
        <v>461</v>
      </c>
      <c r="AB67" s="7" t="s">
        <v>44</v>
      </c>
      <c r="AC67" s="7"/>
      <c r="AD67" s="7"/>
      <c r="AE67" s="7"/>
      <c r="AF67" s="7"/>
      <c r="AG67" s="11">
        <f t="shared" si="1"/>
        <v>43263</v>
      </c>
    </row>
    <row r="68" spans="1:33">
      <c r="A68" s="7" t="s">
        <v>462</v>
      </c>
      <c r="B68" s="7" t="s">
        <v>462</v>
      </c>
      <c r="C68" s="7" t="s">
        <v>463</v>
      </c>
      <c r="D68" s="7" t="s">
        <v>464</v>
      </c>
      <c r="E68" s="7" t="s">
        <v>33</v>
      </c>
      <c r="F68" s="7" t="s">
        <v>34</v>
      </c>
      <c r="G68" s="7" t="s">
        <v>35</v>
      </c>
      <c r="H68" s="7"/>
      <c r="I68" s="7"/>
      <c r="J68" s="7" t="s">
        <v>36</v>
      </c>
      <c r="K68" s="7" t="s">
        <v>88</v>
      </c>
      <c r="L68" s="7" t="s">
        <v>89</v>
      </c>
      <c r="M68" s="7" t="s">
        <v>90</v>
      </c>
      <c r="N68" s="7" t="s">
        <v>33</v>
      </c>
      <c r="O68" s="7">
        <v>1</v>
      </c>
      <c r="P68" s="7" t="s">
        <v>40</v>
      </c>
      <c r="Q68" s="7">
        <v>89.99</v>
      </c>
      <c r="R68" s="7"/>
      <c r="S68" s="7"/>
      <c r="T68" s="7"/>
      <c r="U68" s="7"/>
      <c r="V68" s="7"/>
      <c r="W68" s="7"/>
      <c r="X68" s="7"/>
      <c r="Y68" s="7" t="s">
        <v>465</v>
      </c>
      <c r="Z68" s="7" t="s">
        <v>466</v>
      </c>
      <c r="AA68" s="7" t="s">
        <v>467</v>
      </c>
      <c r="AB68" s="7" t="s">
        <v>44</v>
      </c>
      <c r="AC68" s="7"/>
      <c r="AD68" s="7"/>
      <c r="AE68" s="7"/>
      <c r="AF68" s="7"/>
      <c r="AG68" s="11">
        <f t="shared" si="1"/>
        <v>43263</v>
      </c>
    </row>
    <row r="69" spans="1:33">
      <c r="A69" s="7" t="s">
        <v>468</v>
      </c>
      <c r="B69" s="7" t="s">
        <v>468</v>
      </c>
      <c r="C69" s="7" t="s">
        <v>469</v>
      </c>
      <c r="D69" s="7" t="s">
        <v>470</v>
      </c>
      <c r="E69" s="7" t="s">
        <v>33</v>
      </c>
      <c r="F69" s="7" t="s">
        <v>34</v>
      </c>
      <c r="G69" s="7" t="s">
        <v>35</v>
      </c>
      <c r="H69" s="7"/>
      <c r="I69" s="7"/>
      <c r="J69" s="7" t="s">
        <v>69</v>
      </c>
      <c r="K69" s="7" t="s">
        <v>213</v>
      </c>
      <c r="L69" s="7" t="s">
        <v>214</v>
      </c>
      <c r="M69" s="7" t="s">
        <v>215</v>
      </c>
      <c r="N69" s="7" t="s">
        <v>33</v>
      </c>
      <c r="O69" s="7">
        <v>1</v>
      </c>
      <c r="P69" s="7" t="s">
        <v>40</v>
      </c>
      <c r="Q69" s="7">
        <v>21.99</v>
      </c>
      <c r="R69" s="7"/>
      <c r="S69" s="7">
        <v>5.99</v>
      </c>
      <c r="T69" s="7"/>
      <c r="U69" s="7"/>
      <c r="V69" s="7"/>
      <c r="W69" s="7">
        <v>21.77</v>
      </c>
      <c r="X69" s="7"/>
      <c r="Y69" s="7" t="s">
        <v>471</v>
      </c>
      <c r="Z69" s="7" t="s">
        <v>64</v>
      </c>
      <c r="AA69" s="7" t="s">
        <v>472</v>
      </c>
      <c r="AB69" s="7" t="s">
        <v>44</v>
      </c>
      <c r="AC69" s="7" t="s">
        <v>209</v>
      </c>
      <c r="AD69" s="7"/>
      <c r="AE69" s="7"/>
      <c r="AF69" s="7"/>
      <c r="AG69" s="11">
        <f t="shared" si="1"/>
        <v>43263</v>
      </c>
    </row>
    <row r="70" spans="1:33">
      <c r="A70" s="7" t="s">
        <v>473</v>
      </c>
      <c r="B70" s="7" t="s">
        <v>473</v>
      </c>
      <c r="C70" s="7" t="s">
        <v>474</v>
      </c>
      <c r="D70" s="7" t="s">
        <v>475</v>
      </c>
      <c r="E70" s="7" t="s">
        <v>33</v>
      </c>
      <c r="F70" s="7" t="s">
        <v>34</v>
      </c>
      <c r="G70" s="7" t="s">
        <v>35</v>
      </c>
      <c r="H70" s="7"/>
      <c r="I70" s="7"/>
      <c r="J70" s="7" t="s">
        <v>36</v>
      </c>
      <c r="K70" s="7" t="s">
        <v>59</v>
      </c>
      <c r="L70" s="7" t="s">
        <v>60</v>
      </c>
      <c r="M70" s="7" t="s">
        <v>61</v>
      </c>
      <c r="N70" s="7" t="s">
        <v>33</v>
      </c>
      <c r="O70" s="7">
        <v>1</v>
      </c>
      <c r="P70" s="7" t="s">
        <v>40</v>
      </c>
      <c r="Q70" s="7">
        <v>89.99</v>
      </c>
      <c r="R70" s="7"/>
      <c r="S70" s="7"/>
      <c r="T70" s="7"/>
      <c r="U70" s="7"/>
      <c r="V70" s="7"/>
      <c r="W70" s="7"/>
      <c r="X70" s="7"/>
      <c r="Y70" s="7" t="s">
        <v>476</v>
      </c>
      <c r="Z70" s="7" t="s">
        <v>271</v>
      </c>
      <c r="AA70" s="7">
        <v>33415</v>
      </c>
      <c r="AB70" s="7" t="s">
        <v>44</v>
      </c>
      <c r="AC70" s="7"/>
      <c r="AD70" s="10"/>
      <c r="AE70" s="10"/>
      <c r="AF70" s="10"/>
      <c r="AG70" s="11">
        <f t="shared" si="1"/>
        <v>43264</v>
      </c>
    </row>
    <row r="71" spans="1:33">
      <c r="A71" s="7" t="s">
        <v>473</v>
      </c>
      <c r="B71" s="7" t="s">
        <v>473</v>
      </c>
      <c r="C71" s="7" t="s">
        <v>474</v>
      </c>
      <c r="D71" s="7" t="s">
        <v>475</v>
      </c>
      <c r="E71" s="7" t="s">
        <v>33</v>
      </c>
      <c r="F71" s="7" t="s">
        <v>34</v>
      </c>
      <c r="G71" s="7" t="s">
        <v>35</v>
      </c>
      <c r="H71" s="7"/>
      <c r="I71" s="7"/>
      <c r="J71" s="7" t="s">
        <v>36</v>
      </c>
      <c r="K71" s="7" t="s">
        <v>477</v>
      </c>
      <c r="L71" s="7" t="s">
        <v>478</v>
      </c>
      <c r="M71" s="7" t="s">
        <v>479</v>
      </c>
      <c r="N71" s="7" t="s">
        <v>33</v>
      </c>
      <c r="O71" s="7">
        <v>1</v>
      </c>
      <c r="P71" s="7" t="s">
        <v>40</v>
      </c>
      <c r="Q71" s="7">
        <v>94.6</v>
      </c>
      <c r="R71" s="7"/>
      <c r="S71" s="7"/>
      <c r="T71" s="7"/>
      <c r="U71" s="7"/>
      <c r="V71" s="7"/>
      <c r="W71" s="7"/>
      <c r="X71" s="7"/>
      <c r="Y71" s="7" t="s">
        <v>476</v>
      </c>
      <c r="Z71" s="7" t="s">
        <v>271</v>
      </c>
      <c r="AA71" s="7">
        <v>33415</v>
      </c>
      <c r="AB71" s="7" t="s">
        <v>44</v>
      </c>
      <c r="AC71" s="7"/>
      <c r="AD71" s="10"/>
      <c r="AE71" s="10"/>
      <c r="AF71" s="10"/>
      <c r="AG71" s="11">
        <f t="shared" si="1"/>
        <v>43264</v>
      </c>
    </row>
    <row r="72" spans="1:33">
      <c r="A72" s="7" t="s">
        <v>480</v>
      </c>
      <c r="B72" s="7" t="s">
        <v>480</v>
      </c>
      <c r="C72" s="7" t="s">
        <v>481</v>
      </c>
      <c r="D72" s="7" t="s">
        <v>482</v>
      </c>
      <c r="E72" s="7" t="s">
        <v>33</v>
      </c>
      <c r="F72" s="7" t="s">
        <v>34</v>
      </c>
      <c r="G72" s="7" t="s">
        <v>35</v>
      </c>
      <c r="H72" s="7"/>
      <c r="I72" s="7"/>
      <c r="J72" s="7" t="s">
        <v>36</v>
      </c>
      <c r="K72" s="7" t="s">
        <v>213</v>
      </c>
      <c r="L72" s="7" t="s">
        <v>214</v>
      </c>
      <c r="M72" s="7" t="s">
        <v>215</v>
      </c>
      <c r="N72" s="7" t="s">
        <v>33</v>
      </c>
      <c r="O72" s="7">
        <v>1</v>
      </c>
      <c r="P72" s="7" t="s">
        <v>40</v>
      </c>
      <c r="Q72" s="7">
        <v>21.99</v>
      </c>
      <c r="R72" s="7"/>
      <c r="S72" s="7"/>
      <c r="T72" s="7"/>
      <c r="U72" s="7"/>
      <c r="V72" s="7"/>
      <c r="W72" s="7"/>
      <c r="X72" s="7"/>
      <c r="Y72" s="7" t="s">
        <v>483</v>
      </c>
      <c r="Z72" s="7" t="s">
        <v>484</v>
      </c>
      <c r="AA72" s="7" t="s">
        <v>485</v>
      </c>
      <c r="AB72" s="7" t="s">
        <v>44</v>
      </c>
      <c r="AC72" s="7"/>
      <c r="AD72" s="10"/>
      <c r="AE72" s="10"/>
      <c r="AF72" s="10"/>
      <c r="AG72" s="11">
        <f t="shared" si="1"/>
        <v>43264</v>
      </c>
    </row>
    <row r="73" spans="1:33">
      <c r="A73" s="7" t="s">
        <v>486</v>
      </c>
      <c r="B73" s="7" t="s">
        <v>486</v>
      </c>
      <c r="C73" s="7" t="s">
        <v>487</v>
      </c>
      <c r="D73" s="7" t="s">
        <v>488</v>
      </c>
      <c r="E73" s="7" t="s">
        <v>33</v>
      </c>
      <c r="F73" s="7" t="s">
        <v>34</v>
      </c>
      <c r="G73" s="7" t="s">
        <v>35</v>
      </c>
      <c r="H73" s="7"/>
      <c r="I73" s="7"/>
      <c r="J73" s="7" t="s">
        <v>36</v>
      </c>
      <c r="K73" s="7" t="s">
        <v>59</v>
      </c>
      <c r="L73" s="7" t="s">
        <v>60</v>
      </c>
      <c r="M73" s="7" t="s">
        <v>61</v>
      </c>
      <c r="N73" s="7" t="s">
        <v>33</v>
      </c>
      <c r="O73" s="7">
        <v>1</v>
      </c>
      <c r="P73" s="7" t="s">
        <v>40</v>
      </c>
      <c r="Q73" s="7">
        <v>89.99</v>
      </c>
      <c r="R73" s="7"/>
      <c r="S73" s="7"/>
      <c r="T73" s="7"/>
      <c r="U73" s="7"/>
      <c r="V73" s="7"/>
      <c r="W73" s="7"/>
      <c r="X73" s="7"/>
      <c r="Y73" s="7" t="s">
        <v>489</v>
      </c>
      <c r="Z73" s="7" t="s">
        <v>484</v>
      </c>
      <c r="AA73" s="7">
        <v>1430</v>
      </c>
      <c r="AB73" s="7" t="s">
        <v>44</v>
      </c>
      <c r="AC73" s="7"/>
      <c r="AD73" s="10"/>
      <c r="AE73" s="10"/>
      <c r="AF73" s="10"/>
      <c r="AG73" s="11">
        <f t="shared" si="1"/>
        <v>43264</v>
      </c>
    </row>
    <row r="74" spans="1:33">
      <c r="A74" s="7" t="s">
        <v>490</v>
      </c>
      <c r="B74" s="7" t="s">
        <v>490</v>
      </c>
      <c r="C74" s="7" t="s">
        <v>491</v>
      </c>
      <c r="D74" s="7" t="s">
        <v>492</v>
      </c>
      <c r="E74" s="7" t="s">
        <v>54</v>
      </c>
      <c r="F74" s="7" t="s">
        <v>34</v>
      </c>
      <c r="G74" s="7" t="s">
        <v>35</v>
      </c>
      <c r="H74" s="7"/>
      <c r="I74" s="7"/>
      <c r="J74" s="7" t="s">
        <v>36</v>
      </c>
      <c r="K74" s="7" t="s">
        <v>493</v>
      </c>
      <c r="L74" s="7" t="s">
        <v>494</v>
      </c>
      <c r="M74" s="7" t="s">
        <v>495</v>
      </c>
      <c r="N74" s="7" t="s">
        <v>54</v>
      </c>
      <c r="O74" s="7">
        <v>0</v>
      </c>
      <c r="P74" s="7"/>
      <c r="Q74" s="7"/>
      <c r="R74" s="7"/>
      <c r="S74" s="7"/>
      <c r="T74" s="7"/>
      <c r="U74" s="7"/>
      <c r="V74" s="7"/>
      <c r="W74" s="7"/>
      <c r="X74" s="7"/>
      <c r="Y74" s="7" t="s">
        <v>496</v>
      </c>
      <c r="Z74" s="7" t="s">
        <v>497</v>
      </c>
      <c r="AA74" s="7" t="s">
        <v>498</v>
      </c>
      <c r="AB74" s="7" t="s">
        <v>44</v>
      </c>
      <c r="AC74" s="7"/>
      <c r="AD74" s="10"/>
      <c r="AE74" s="10"/>
      <c r="AF74" s="10"/>
      <c r="AG74" s="11">
        <f t="shared" si="1"/>
        <v>43264</v>
      </c>
    </row>
    <row r="75" spans="1:33">
      <c r="A75" s="7" t="s">
        <v>499</v>
      </c>
      <c r="B75" s="7" t="s">
        <v>499</v>
      </c>
      <c r="C75" s="7" t="s">
        <v>500</v>
      </c>
      <c r="D75" s="7" t="s">
        <v>501</v>
      </c>
      <c r="E75" s="7" t="s">
        <v>54</v>
      </c>
      <c r="F75" s="7" t="s">
        <v>34</v>
      </c>
      <c r="G75" s="7" t="s">
        <v>35</v>
      </c>
      <c r="H75" s="7"/>
      <c r="I75" s="7"/>
      <c r="J75" s="7" t="s">
        <v>36</v>
      </c>
      <c r="K75" s="7" t="s">
        <v>79</v>
      </c>
      <c r="L75" s="7" t="s">
        <v>80</v>
      </c>
      <c r="M75" s="7" t="s">
        <v>81</v>
      </c>
      <c r="N75" s="7" t="s">
        <v>62</v>
      </c>
      <c r="O75" s="7">
        <v>1</v>
      </c>
      <c r="P75" s="7" t="s">
        <v>40</v>
      </c>
      <c r="Q75" s="7">
        <v>90.99</v>
      </c>
      <c r="R75" s="7"/>
      <c r="S75" s="7"/>
      <c r="T75" s="7"/>
      <c r="U75" s="7"/>
      <c r="V75" s="7"/>
      <c r="W75" s="7"/>
      <c r="X75" s="7"/>
      <c r="Y75" s="7" t="s">
        <v>502</v>
      </c>
      <c r="Z75" s="7" t="s">
        <v>83</v>
      </c>
      <c r="AA75" s="7" t="s">
        <v>503</v>
      </c>
      <c r="AB75" s="7" t="s">
        <v>44</v>
      </c>
      <c r="AC75" s="7"/>
      <c r="AD75" s="10"/>
      <c r="AE75" s="10"/>
      <c r="AF75" s="10"/>
      <c r="AG75" s="11">
        <f t="shared" si="1"/>
        <v>43264</v>
      </c>
    </row>
    <row r="76" spans="1:33">
      <c r="A76" s="7" t="s">
        <v>504</v>
      </c>
      <c r="B76" s="7" t="s">
        <v>504</v>
      </c>
      <c r="C76" s="7" t="s">
        <v>505</v>
      </c>
      <c r="D76" s="7" t="s">
        <v>506</v>
      </c>
      <c r="E76" s="7" t="s">
        <v>33</v>
      </c>
      <c r="F76" s="7" t="s">
        <v>34</v>
      </c>
      <c r="G76" s="7" t="s">
        <v>35</v>
      </c>
      <c r="H76" s="7"/>
      <c r="I76" s="7"/>
      <c r="J76" s="7" t="s">
        <v>36</v>
      </c>
      <c r="K76" s="7" t="s">
        <v>88</v>
      </c>
      <c r="L76" s="7" t="s">
        <v>89</v>
      </c>
      <c r="M76" s="7" t="s">
        <v>90</v>
      </c>
      <c r="N76" s="7" t="s">
        <v>33</v>
      </c>
      <c r="O76" s="7">
        <v>1</v>
      </c>
      <c r="P76" s="7" t="s">
        <v>40</v>
      </c>
      <c r="Q76" s="7">
        <v>89.99</v>
      </c>
      <c r="R76" s="7"/>
      <c r="S76" s="7"/>
      <c r="T76" s="7"/>
      <c r="U76" s="7"/>
      <c r="V76" s="7"/>
      <c r="W76" s="7"/>
      <c r="X76" s="7"/>
      <c r="Y76" s="7" t="s">
        <v>507</v>
      </c>
      <c r="Z76" s="7" t="s">
        <v>135</v>
      </c>
      <c r="AA76" s="7" t="s">
        <v>508</v>
      </c>
      <c r="AB76" s="7" t="s">
        <v>44</v>
      </c>
      <c r="AC76" s="7"/>
      <c r="AD76" s="10"/>
      <c r="AE76" s="10"/>
      <c r="AF76" s="10"/>
      <c r="AG76" s="11">
        <f t="shared" si="1"/>
        <v>43264</v>
      </c>
    </row>
    <row r="77" spans="1:33">
      <c r="A77" s="7" t="s">
        <v>509</v>
      </c>
      <c r="B77" s="7" t="s">
        <v>509</v>
      </c>
      <c r="C77" s="7" t="s">
        <v>510</v>
      </c>
      <c r="D77" s="7" t="s">
        <v>511</v>
      </c>
      <c r="E77" s="7" t="s">
        <v>54</v>
      </c>
      <c r="F77" s="7" t="s">
        <v>34</v>
      </c>
      <c r="G77" s="7" t="s">
        <v>35</v>
      </c>
      <c r="H77" s="7"/>
      <c r="I77" s="7"/>
      <c r="J77" s="7" t="s">
        <v>69</v>
      </c>
      <c r="K77" s="7" t="s">
        <v>79</v>
      </c>
      <c r="L77" s="7" t="s">
        <v>80</v>
      </c>
      <c r="M77" s="7" t="s">
        <v>81</v>
      </c>
      <c r="N77" s="7" t="s">
        <v>54</v>
      </c>
      <c r="O77" s="7">
        <v>0</v>
      </c>
      <c r="P77" s="7"/>
      <c r="Q77" s="7"/>
      <c r="R77" s="7"/>
      <c r="S77" s="7"/>
      <c r="T77" s="7"/>
      <c r="U77" s="7"/>
      <c r="V77" s="7"/>
      <c r="W77" s="7"/>
      <c r="X77" s="7"/>
      <c r="Y77" s="7" t="s">
        <v>512</v>
      </c>
      <c r="Z77" s="7" t="s">
        <v>466</v>
      </c>
      <c r="AA77" s="7" t="s">
        <v>513</v>
      </c>
      <c r="AB77" s="7" t="s">
        <v>44</v>
      </c>
      <c r="AC77" s="7"/>
      <c r="AD77" s="10"/>
      <c r="AE77" s="10"/>
      <c r="AF77" s="10"/>
      <c r="AG77" s="11">
        <f t="shared" si="1"/>
        <v>43264</v>
      </c>
    </row>
    <row r="78" spans="1:33">
      <c r="A78" s="7" t="s">
        <v>514</v>
      </c>
      <c r="B78" s="7" t="s">
        <v>514</v>
      </c>
      <c r="C78" s="7" t="s">
        <v>515</v>
      </c>
      <c r="D78" s="7" t="s">
        <v>516</v>
      </c>
      <c r="E78" s="7" t="s">
        <v>54</v>
      </c>
      <c r="F78" s="7" t="s">
        <v>34</v>
      </c>
      <c r="G78" s="7" t="s">
        <v>35</v>
      </c>
      <c r="H78" s="7"/>
      <c r="I78" s="7"/>
      <c r="J78" s="7" t="s">
        <v>69</v>
      </c>
      <c r="K78" s="7" t="s">
        <v>88</v>
      </c>
      <c r="L78" s="7" t="s">
        <v>89</v>
      </c>
      <c r="M78" s="7" t="s">
        <v>90</v>
      </c>
      <c r="N78" s="7" t="s">
        <v>62</v>
      </c>
      <c r="O78" s="7">
        <v>1</v>
      </c>
      <c r="P78" s="7" t="s">
        <v>40</v>
      </c>
      <c r="Q78" s="7">
        <v>89.99</v>
      </c>
      <c r="R78" s="7"/>
      <c r="S78" s="7"/>
      <c r="T78" s="7"/>
      <c r="U78" s="7"/>
      <c r="V78" s="7"/>
      <c r="W78" s="7"/>
      <c r="X78" s="7"/>
      <c r="Y78" s="7" t="s">
        <v>517</v>
      </c>
      <c r="Z78" s="7" t="s">
        <v>322</v>
      </c>
      <c r="AA78" s="7">
        <v>31029</v>
      </c>
      <c r="AB78" s="7" t="s">
        <v>44</v>
      </c>
      <c r="AC78" s="7"/>
      <c r="AD78" s="10"/>
      <c r="AE78" s="10"/>
      <c r="AF78" s="10"/>
      <c r="AG78" s="11">
        <f t="shared" si="1"/>
        <v>43264</v>
      </c>
    </row>
    <row r="79" spans="1:33">
      <c r="A79" s="7" t="s">
        <v>518</v>
      </c>
      <c r="B79" s="7" t="s">
        <v>518</v>
      </c>
      <c r="C79" s="7" t="s">
        <v>519</v>
      </c>
      <c r="D79" s="7" t="s">
        <v>520</v>
      </c>
      <c r="E79" s="7" t="s">
        <v>54</v>
      </c>
      <c r="F79" s="7" t="s">
        <v>34</v>
      </c>
      <c r="G79" s="7" t="s">
        <v>35</v>
      </c>
      <c r="H79" s="7"/>
      <c r="I79" s="7"/>
      <c r="J79" s="7" t="s">
        <v>69</v>
      </c>
      <c r="K79" s="7" t="s">
        <v>79</v>
      </c>
      <c r="L79" s="7" t="s">
        <v>80</v>
      </c>
      <c r="M79" s="7" t="s">
        <v>81</v>
      </c>
      <c r="N79" s="7" t="s">
        <v>54</v>
      </c>
      <c r="O79" s="7">
        <v>0</v>
      </c>
      <c r="P79" s="7"/>
      <c r="Q79" s="7"/>
      <c r="R79" s="7"/>
      <c r="S79" s="7"/>
      <c r="T79" s="7"/>
      <c r="U79" s="7"/>
      <c r="V79" s="7"/>
      <c r="W79" s="7"/>
      <c r="X79" s="7"/>
      <c r="Y79" s="7" t="s">
        <v>521</v>
      </c>
      <c r="Z79" s="7" t="s">
        <v>64</v>
      </c>
      <c r="AA79" s="7" t="s">
        <v>522</v>
      </c>
      <c r="AB79" s="7" t="s">
        <v>44</v>
      </c>
      <c r="AC79" s="7"/>
      <c r="AD79" s="10"/>
      <c r="AE79" s="10"/>
      <c r="AF79" s="10"/>
      <c r="AG79" s="11">
        <f t="shared" si="1"/>
        <v>43264</v>
      </c>
    </row>
    <row r="80" spans="1:33">
      <c r="A80" s="7" t="s">
        <v>523</v>
      </c>
      <c r="B80" s="7" t="s">
        <v>523</v>
      </c>
      <c r="C80" s="7" t="s">
        <v>524</v>
      </c>
      <c r="D80" s="7" t="s">
        <v>525</v>
      </c>
      <c r="E80" s="7" t="s">
        <v>33</v>
      </c>
      <c r="F80" s="7" t="s">
        <v>34</v>
      </c>
      <c r="G80" s="7" t="s">
        <v>35</v>
      </c>
      <c r="H80" s="7"/>
      <c r="I80" s="7"/>
      <c r="J80" s="7" t="s">
        <v>69</v>
      </c>
      <c r="K80" s="7" t="s">
        <v>526</v>
      </c>
      <c r="L80" s="7" t="s">
        <v>527</v>
      </c>
      <c r="M80" s="7" t="s">
        <v>528</v>
      </c>
      <c r="N80" s="7" t="s">
        <v>33</v>
      </c>
      <c r="O80" s="7">
        <v>1</v>
      </c>
      <c r="P80" s="7" t="s">
        <v>40</v>
      </c>
      <c r="Q80" s="7">
        <v>94.6</v>
      </c>
      <c r="R80" s="7"/>
      <c r="S80" s="7"/>
      <c r="T80" s="7"/>
      <c r="U80" s="7"/>
      <c r="V80" s="7"/>
      <c r="W80" s="7"/>
      <c r="X80" s="7"/>
      <c r="Y80" s="7" t="s">
        <v>529</v>
      </c>
      <c r="Z80" s="7" t="s">
        <v>530</v>
      </c>
      <c r="AA80" s="7">
        <v>727</v>
      </c>
      <c r="AB80" s="7" t="s">
        <v>530</v>
      </c>
      <c r="AC80" s="7"/>
      <c r="AD80" s="10"/>
      <c r="AE80" s="10"/>
      <c r="AF80" s="10"/>
      <c r="AG80" s="11">
        <f t="shared" si="1"/>
        <v>43264</v>
      </c>
    </row>
    <row r="81" spans="1:33">
      <c r="A81" s="7" t="s">
        <v>531</v>
      </c>
      <c r="B81" s="7" t="s">
        <v>531</v>
      </c>
      <c r="C81" s="7" t="s">
        <v>532</v>
      </c>
      <c r="D81" s="7" t="s">
        <v>533</v>
      </c>
      <c r="E81" s="7" t="s">
        <v>33</v>
      </c>
      <c r="F81" s="7" t="s">
        <v>34</v>
      </c>
      <c r="G81" s="7" t="s">
        <v>35</v>
      </c>
      <c r="H81" s="7"/>
      <c r="I81" s="7"/>
      <c r="J81" s="7" t="s">
        <v>36</v>
      </c>
      <c r="K81" s="7" t="s">
        <v>235</v>
      </c>
      <c r="L81" s="7" t="s">
        <v>236</v>
      </c>
      <c r="M81" s="7" t="s">
        <v>237</v>
      </c>
      <c r="N81" s="7" t="s">
        <v>33</v>
      </c>
      <c r="O81" s="7">
        <v>1</v>
      </c>
      <c r="P81" s="7" t="s">
        <v>40</v>
      </c>
      <c r="Q81" s="7">
        <v>85.99</v>
      </c>
      <c r="R81" s="7"/>
      <c r="S81" s="7"/>
      <c r="T81" s="7"/>
      <c r="U81" s="7"/>
      <c r="V81" s="7"/>
      <c r="W81" s="7"/>
      <c r="X81" s="7"/>
      <c r="Y81" s="7" t="s">
        <v>238</v>
      </c>
      <c r="Z81" s="7" t="s">
        <v>52</v>
      </c>
      <c r="AA81" s="7" t="s">
        <v>239</v>
      </c>
      <c r="AB81" s="7" t="s">
        <v>44</v>
      </c>
      <c r="AC81" s="7"/>
      <c r="AD81" s="10"/>
      <c r="AE81" s="10"/>
      <c r="AF81" s="10"/>
      <c r="AG81" s="11">
        <f t="shared" si="1"/>
        <v>43264</v>
      </c>
    </row>
    <row r="82" spans="1:33">
      <c r="A82" s="7" t="s">
        <v>534</v>
      </c>
      <c r="B82" s="7" t="s">
        <v>534</v>
      </c>
      <c r="C82" s="7" t="s">
        <v>535</v>
      </c>
      <c r="D82" s="7" t="s">
        <v>536</v>
      </c>
      <c r="E82" s="7" t="s">
        <v>33</v>
      </c>
      <c r="F82" s="7" t="s">
        <v>34</v>
      </c>
      <c r="G82" s="7" t="s">
        <v>35</v>
      </c>
      <c r="H82" s="7"/>
      <c r="I82" s="7"/>
      <c r="J82" s="7" t="s">
        <v>36</v>
      </c>
      <c r="K82" s="7" t="s">
        <v>537</v>
      </c>
      <c r="L82" s="7" t="s">
        <v>538</v>
      </c>
      <c r="M82" s="7" t="s">
        <v>539</v>
      </c>
      <c r="N82" s="7" t="s">
        <v>33</v>
      </c>
      <c r="O82" s="7">
        <v>1</v>
      </c>
      <c r="P82" s="7" t="s">
        <v>40</v>
      </c>
      <c r="Q82" s="7">
        <v>32.99</v>
      </c>
      <c r="R82" s="7"/>
      <c r="S82" s="7"/>
      <c r="T82" s="7"/>
      <c r="U82" s="7"/>
      <c r="V82" s="7"/>
      <c r="W82" s="7"/>
      <c r="X82" s="7"/>
      <c r="Y82" s="7" t="s">
        <v>540</v>
      </c>
      <c r="Z82" s="7" t="s">
        <v>541</v>
      </c>
      <c r="AA82" s="7" t="s">
        <v>542</v>
      </c>
      <c r="AB82" s="7" t="s">
        <v>44</v>
      </c>
      <c r="AC82" s="7"/>
      <c r="AD82" s="10"/>
      <c r="AE82" s="10"/>
      <c r="AF82" s="10"/>
      <c r="AG82" s="11">
        <f t="shared" si="1"/>
        <v>43264</v>
      </c>
    </row>
    <row r="83" spans="1:33">
      <c r="A83" s="7" t="s">
        <v>543</v>
      </c>
      <c r="B83" s="7" t="s">
        <v>543</v>
      </c>
      <c r="C83" s="7" t="s">
        <v>544</v>
      </c>
      <c r="D83" s="7" t="s">
        <v>545</v>
      </c>
      <c r="E83" s="7" t="s">
        <v>33</v>
      </c>
      <c r="F83" s="7" t="s">
        <v>34</v>
      </c>
      <c r="G83" s="7" t="s">
        <v>35</v>
      </c>
      <c r="H83" s="7"/>
      <c r="I83" s="7"/>
      <c r="J83" s="7" t="s">
        <v>36</v>
      </c>
      <c r="K83" s="7" t="s">
        <v>546</v>
      </c>
      <c r="L83" s="7" t="s">
        <v>547</v>
      </c>
      <c r="M83" s="7" t="s">
        <v>548</v>
      </c>
      <c r="N83" s="7" t="s">
        <v>33</v>
      </c>
      <c r="O83" s="7">
        <v>1</v>
      </c>
      <c r="P83" s="7" t="s">
        <v>40</v>
      </c>
      <c r="Q83" s="7">
        <v>89.6</v>
      </c>
      <c r="R83" s="7"/>
      <c r="S83" s="7"/>
      <c r="T83" s="7"/>
      <c r="U83" s="7"/>
      <c r="V83" s="7"/>
      <c r="W83" s="7"/>
      <c r="X83" s="7"/>
      <c r="Y83" s="7" t="s">
        <v>549</v>
      </c>
      <c r="Z83" s="7" t="s">
        <v>550</v>
      </c>
      <c r="AA83" s="7">
        <v>91354</v>
      </c>
      <c r="AB83" s="7" t="s">
        <v>44</v>
      </c>
      <c r="AC83" s="7"/>
      <c r="AD83" s="10"/>
      <c r="AE83" s="10"/>
      <c r="AF83" s="10"/>
      <c r="AG83" s="11">
        <f t="shared" si="1"/>
        <v>43264</v>
      </c>
    </row>
    <row r="84" spans="1:33">
      <c r="A84" s="7" t="s">
        <v>551</v>
      </c>
      <c r="B84" s="7" t="s">
        <v>551</v>
      </c>
      <c r="C84" s="7" t="s">
        <v>552</v>
      </c>
      <c r="D84" s="7" t="s">
        <v>553</v>
      </c>
      <c r="E84" s="7" t="s">
        <v>33</v>
      </c>
      <c r="F84" s="7" t="s">
        <v>34</v>
      </c>
      <c r="G84" s="7" t="s">
        <v>35</v>
      </c>
      <c r="H84" s="7"/>
      <c r="I84" s="7"/>
      <c r="J84" s="7" t="s">
        <v>58</v>
      </c>
      <c r="K84" s="7" t="s">
        <v>554</v>
      </c>
      <c r="L84" s="7" t="s">
        <v>555</v>
      </c>
      <c r="M84" s="7" t="s">
        <v>556</v>
      </c>
      <c r="N84" s="7" t="s">
        <v>33</v>
      </c>
      <c r="O84" s="7">
        <v>1</v>
      </c>
      <c r="P84" s="7" t="s">
        <v>40</v>
      </c>
      <c r="Q84" s="7">
        <v>89.99</v>
      </c>
      <c r="R84" s="7"/>
      <c r="S84" s="7">
        <v>8.99</v>
      </c>
      <c r="T84" s="7"/>
      <c r="U84" s="7"/>
      <c r="V84" s="7"/>
      <c r="W84" s="7">
        <v>9</v>
      </c>
      <c r="X84" s="7"/>
      <c r="Y84" s="7" t="s">
        <v>557</v>
      </c>
      <c r="Z84" s="7" t="s">
        <v>174</v>
      </c>
      <c r="AA84" s="7" t="s">
        <v>558</v>
      </c>
      <c r="AB84" s="7" t="s">
        <v>44</v>
      </c>
      <c r="AC84" s="7" t="s">
        <v>559</v>
      </c>
      <c r="AD84" s="10"/>
      <c r="AE84" s="10"/>
      <c r="AF84" s="10"/>
      <c r="AG84" s="11">
        <f t="shared" si="1"/>
        <v>43264</v>
      </c>
    </row>
    <row r="85" spans="1:33">
      <c r="A85" s="7" t="s">
        <v>560</v>
      </c>
      <c r="B85" s="7" t="s">
        <v>560</v>
      </c>
      <c r="C85" s="7" t="s">
        <v>561</v>
      </c>
      <c r="D85" s="7" t="s">
        <v>562</v>
      </c>
      <c r="E85" s="7" t="s">
        <v>54</v>
      </c>
      <c r="F85" s="7" t="s">
        <v>34</v>
      </c>
      <c r="G85" s="7" t="s">
        <v>35</v>
      </c>
      <c r="H85" s="7"/>
      <c r="I85" s="7"/>
      <c r="J85" s="7" t="s">
        <v>69</v>
      </c>
      <c r="K85" s="7" t="s">
        <v>477</v>
      </c>
      <c r="L85" s="7" t="s">
        <v>478</v>
      </c>
      <c r="M85" s="7" t="s">
        <v>479</v>
      </c>
      <c r="N85" s="7" t="s">
        <v>54</v>
      </c>
      <c r="O85" s="7">
        <v>0</v>
      </c>
      <c r="P85" s="7"/>
      <c r="Q85" s="7"/>
      <c r="R85" s="7"/>
      <c r="S85" s="7"/>
      <c r="T85" s="7"/>
      <c r="U85" s="7"/>
      <c r="V85" s="7"/>
      <c r="W85" s="7"/>
      <c r="X85" s="7"/>
      <c r="Y85" s="7" t="s">
        <v>529</v>
      </c>
      <c r="Z85" s="7" t="s">
        <v>530</v>
      </c>
      <c r="AA85" s="7">
        <v>727</v>
      </c>
      <c r="AB85" s="7" t="s">
        <v>530</v>
      </c>
      <c r="AC85" s="7"/>
      <c r="AD85" s="10"/>
      <c r="AE85" s="10"/>
      <c r="AF85" s="10"/>
      <c r="AG85" s="11">
        <f t="shared" si="1"/>
        <v>43264</v>
      </c>
    </row>
    <row r="86" spans="1:33">
      <c r="A86" s="7" t="s">
        <v>563</v>
      </c>
      <c r="B86" s="7" t="s">
        <v>563</v>
      </c>
      <c r="C86" s="7" t="s">
        <v>564</v>
      </c>
      <c r="D86" s="7" t="s">
        <v>565</v>
      </c>
      <c r="E86" s="7" t="s">
        <v>33</v>
      </c>
      <c r="F86" s="7" t="s">
        <v>34</v>
      </c>
      <c r="G86" s="7" t="s">
        <v>35</v>
      </c>
      <c r="H86" s="7"/>
      <c r="I86" s="7"/>
      <c r="J86" s="7" t="s">
        <v>69</v>
      </c>
      <c r="K86" s="7" t="s">
        <v>566</v>
      </c>
      <c r="L86" s="7" t="s">
        <v>567</v>
      </c>
      <c r="M86" s="7" t="s">
        <v>568</v>
      </c>
      <c r="N86" s="7" t="s">
        <v>33</v>
      </c>
      <c r="O86" s="7">
        <v>1</v>
      </c>
      <c r="P86" s="7" t="s">
        <v>40</v>
      </c>
      <c r="Q86" s="7">
        <v>99.6</v>
      </c>
      <c r="R86" s="7"/>
      <c r="S86" s="7">
        <v>3.25</v>
      </c>
      <c r="T86" s="7"/>
      <c r="U86" s="7"/>
      <c r="V86" s="7"/>
      <c r="W86" s="7">
        <v>9.96</v>
      </c>
      <c r="X86" s="7">
        <v>3.25</v>
      </c>
      <c r="Y86" s="7" t="s">
        <v>569</v>
      </c>
      <c r="Z86" s="7" t="s">
        <v>135</v>
      </c>
      <c r="AA86" s="7" t="s">
        <v>570</v>
      </c>
      <c r="AB86" s="7" t="s">
        <v>44</v>
      </c>
      <c r="AC86" s="7" t="s">
        <v>571</v>
      </c>
      <c r="AD86" s="10"/>
      <c r="AE86" s="10"/>
      <c r="AF86" s="10"/>
      <c r="AG86" s="11">
        <f t="shared" si="1"/>
        <v>43264</v>
      </c>
    </row>
    <row r="87" spans="1:33">
      <c r="A87" s="7" t="s">
        <v>572</v>
      </c>
      <c r="B87" s="7" t="s">
        <v>572</v>
      </c>
      <c r="C87" s="7" t="s">
        <v>573</v>
      </c>
      <c r="D87" s="7" t="s">
        <v>574</v>
      </c>
      <c r="E87" s="7" t="s">
        <v>33</v>
      </c>
      <c r="F87" s="7" t="s">
        <v>34</v>
      </c>
      <c r="G87" s="7" t="s">
        <v>35</v>
      </c>
      <c r="H87" s="7"/>
      <c r="I87" s="7"/>
      <c r="J87" s="7" t="s">
        <v>36</v>
      </c>
      <c r="K87" s="7" t="s">
        <v>79</v>
      </c>
      <c r="L87" s="7" t="s">
        <v>80</v>
      </c>
      <c r="M87" s="7" t="s">
        <v>81</v>
      </c>
      <c r="N87" s="7" t="s">
        <v>33</v>
      </c>
      <c r="O87" s="7">
        <v>1</v>
      </c>
      <c r="P87" s="7" t="s">
        <v>40</v>
      </c>
      <c r="Q87" s="7">
        <v>90.99</v>
      </c>
      <c r="R87" s="7"/>
      <c r="S87" s="7"/>
      <c r="T87" s="7"/>
      <c r="U87" s="7"/>
      <c r="V87" s="7"/>
      <c r="W87" s="7"/>
      <c r="X87" s="7"/>
      <c r="Y87" s="7" t="s">
        <v>105</v>
      </c>
      <c r="Z87" s="7" t="s">
        <v>106</v>
      </c>
      <c r="AA87" s="7" t="s">
        <v>575</v>
      </c>
      <c r="AB87" s="7" t="s">
        <v>44</v>
      </c>
      <c r="AC87" s="7"/>
      <c r="AD87" s="10"/>
      <c r="AE87" s="10"/>
      <c r="AF87" s="10"/>
      <c r="AG87" s="11">
        <f t="shared" si="1"/>
        <v>43264</v>
      </c>
    </row>
    <row r="88" spans="1:33">
      <c r="A88" s="7" t="s">
        <v>576</v>
      </c>
      <c r="B88" s="7" t="s">
        <v>576</v>
      </c>
      <c r="C88" s="7" t="s">
        <v>577</v>
      </c>
      <c r="D88" s="7" t="s">
        <v>578</v>
      </c>
      <c r="E88" s="7" t="s">
        <v>54</v>
      </c>
      <c r="F88" s="7" t="s">
        <v>34</v>
      </c>
      <c r="G88" s="7" t="s">
        <v>35</v>
      </c>
      <c r="H88" s="7"/>
      <c r="I88" s="7"/>
      <c r="J88" s="7" t="s">
        <v>69</v>
      </c>
      <c r="K88" s="7" t="s">
        <v>37</v>
      </c>
      <c r="L88" s="7" t="s">
        <v>38</v>
      </c>
      <c r="M88" s="7" t="s">
        <v>39</v>
      </c>
      <c r="N88" s="7" t="s">
        <v>62</v>
      </c>
      <c r="O88" s="7">
        <v>1</v>
      </c>
      <c r="P88" s="7" t="s">
        <v>40</v>
      </c>
      <c r="Q88" s="7">
        <v>89.99</v>
      </c>
      <c r="R88" s="7"/>
      <c r="S88" s="7"/>
      <c r="T88" s="7"/>
      <c r="U88" s="7"/>
      <c r="V88" s="7"/>
      <c r="W88" s="7"/>
      <c r="X88" s="7"/>
      <c r="Y88" s="7" t="s">
        <v>579</v>
      </c>
      <c r="Z88" s="7" t="s">
        <v>580</v>
      </c>
      <c r="AA88" s="7">
        <v>5404</v>
      </c>
      <c r="AB88" s="7" t="s">
        <v>44</v>
      </c>
      <c r="AC88" s="7"/>
      <c r="AD88" s="10"/>
      <c r="AE88" s="10"/>
      <c r="AF88" s="10"/>
      <c r="AG88" s="11">
        <f t="shared" si="1"/>
        <v>43264</v>
      </c>
    </row>
    <row r="89" spans="1:33">
      <c r="A89" s="7" t="s">
        <v>581</v>
      </c>
      <c r="B89" s="7" t="s">
        <v>581</v>
      </c>
      <c r="C89" s="7" t="s">
        <v>582</v>
      </c>
      <c r="D89" s="7" t="s">
        <v>583</v>
      </c>
      <c r="E89" s="7" t="s">
        <v>33</v>
      </c>
      <c r="F89" s="7" t="s">
        <v>34</v>
      </c>
      <c r="G89" s="7" t="s">
        <v>35</v>
      </c>
      <c r="H89" s="7"/>
      <c r="I89" s="7"/>
      <c r="J89" s="7" t="s">
        <v>163</v>
      </c>
      <c r="K89" s="7" t="s">
        <v>59</v>
      </c>
      <c r="L89" s="7" t="s">
        <v>60</v>
      </c>
      <c r="M89" s="7" t="s">
        <v>61</v>
      </c>
      <c r="N89" s="7" t="s">
        <v>33</v>
      </c>
      <c r="O89" s="7">
        <v>1</v>
      </c>
      <c r="P89" s="7" t="s">
        <v>40</v>
      </c>
      <c r="Q89" s="7">
        <v>89.99</v>
      </c>
      <c r="R89" s="7"/>
      <c r="S89" s="7">
        <v>7.99</v>
      </c>
      <c r="T89" s="7"/>
      <c r="U89" s="7"/>
      <c r="V89" s="7"/>
      <c r="W89" s="7"/>
      <c r="X89" s="7">
        <v>7.99</v>
      </c>
      <c r="Y89" s="7" t="s">
        <v>584</v>
      </c>
      <c r="Z89" s="7" t="s">
        <v>391</v>
      </c>
      <c r="AA89" s="7" t="s">
        <v>585</v>
      </c>
      <c r="AB89" s="7" t="s">
        <v>44</v>
      </c>
      <c r="AC89" s="7"/>
      <c r="AD89" s="10"/>
      <c r="AE89" s="10"/>
      <c r="AF89" s="10"/>
      <c r="AG89" s="11">
        <f t="shared" si="1"/>
        <v>43264</v>
      </c>
    </row>
    <row r="90" spans="1:33">
      <c r="A90" s="7" t="s">
        <v>586</v>
      </c>
      <c r="B90" s="7" t="s">
        <v>586</v>
      </c>
      <c r="C90" s="7" t="s">
        <v>587</v>
      </c>
      <c r="D90" s="7" t="s">
        <v>588</v>
      </c>
      <c r="E90" s="7" t="s">
        <v>33</v>
      </c>
      <c r="F90" s="7" t="s">
        <v>34</v>
      </c>
      <c r="G90" s="7" t="s">
        <v>35</v>
      </c>
      <c r="H90" s="7"/>
      <c r="I90" s="7"/>
      <c r="J90" s="7" t="s">
        <v>36</v>
      </c>
      <c r="K90" s="7" t="s">
        <v>48</v>
      </c>
      <c r="L90" s="7" t="s">
        <v>49</v>
      </c>
      <c r="M90" s="7" t="s">
        <v>50</v>
      </c>
      <c r="N90" s="7" t="s">
        <v>33</v>
      </c>
      <c r="O90" s="7">
        <v>1</v>
      </c>
      <c r="P90" s="7" t="s">
        <v>40</v>
      </c>
      <c r="Q90" s="7">
        <v>89.99</v>
      </c>
      <c r="R90" s="7"/>
      <c r="S90" s="7"/>
      <c r="T90" s="7"/>
      <c r="U90" s="7"/>
      <c r="V90" s="7"/>
      <c r="W90" s="7"/>
      <c r="X90" s="7"/>
      <c r="Y90" s="7" t="s">
        <v>589</v>
      </c>
      <c r="Z90" s="7" t="s">
        <v>42</v>
      </c>
      <c r="AA90" s="7" t="s">
        <v>590</v>
      </c>
      <c r="AB90" s="7" t="s">
        <v>44</v>
      </c>
      <c r="AC90" s="7"/>
      <c r="AD90" s="10"/>
      <c r="AE90" s="10"/>
      <c r="AF90" s="10"/>
      <c r="AG90" s="11">
        <f t="shared" si="1"/>
        <v>43264</v>
      </c>
    </row>
    <row r="91" spans="1:33">
      <c r="A91" s="7" t="s">
        <v>591</v>
      </c>
      <c r="B91" s="7" t="s">
        <v>591</v>
      </c>
      <c r="C91" s="7" t="s">
        <v>592</v>
      </c>
      <c r="D91" s="7" t="s">
        <v>593</v>
      </c>
      <c r="E91" s="7" t="s">
        <v>33</v>
      </c>
      <c r="F91" s="7" t="s">
        <v>34</v>
      </c>
      <c r="G91" s="7" t="s">
        <v>35</v>
      </c>
      <c r="H91" s="7"/>
      <c r="I91" s="7"/>
      <c r="J91" s="7" t="s">
        <v>36</v>
      </c>
      <c r="K91" s="7" t="s">
        <v>70</v>
      </c>
      <c r="L91" s="7" t="s">
        <v>71</v>
      </c>
      <c r="M91" s="7" t="s">
        <v>72</v>
      </c>
      <c r="N91" s="7" t="s">
        <v>33</v>
      </c>
      <c r="O91" s="7">
        <v>1</v>
      </c>
      <c r="P91" s="7" t="s">
        <v>40</v>
      </c>
      <c r="Q91" s="7">
        <v>79.99</v>
      </c>
      <c r="R91" s="7"/>
      <c r="S91" s="7"/>
      <c r="T91" s="7"/>
      <c r="U91" s="7"/>
      <c r="V91" s="7"/>
      <c r="W91" s="7"/>
      <c r="X91" s="7"/>
      <c r="Y91" s="7" t="s">
        <v>594</v>
      </c>
      <c r="Z91" s="7" t="s">
        <v>595</v>
      </c>
      <c r="AA91" s="7" t="s">
        <v>596</v>
      </c>
      <c r="AB91" s="7" t="s">
        <v>44</v>
      </c>
      <c r="AC91" s="7"/>
      <c r="AD91" s="10"/>
      <c r="AE91" s="10"/>
      <c r="AF91" s="10"/>
      <c r="AG91" s="11">
        <f t="shared" si="1"/>
        <v>43264</v>
      </c>
    </row>
    <row r="92" spans="1:33">
      <c r="A92" s="7" t="s">
        <v>597</v>
      </c>
      <c r="B92" s="7" t="s">
        <v>597</v>
      </c>
      <c r="C92" s="7" t="s">
        <v>598</v>
      </c>
      <c r="D92" s="7" t="s">
        <v>599</v>
      </c>
      <c r="E92" s="7" t="s">
        <v>54</v>
      </c>
      <c r="F92" s="7" t="s">
        <v>34</v>
      </c>
      <c r="G92" s="7" t="s">
        <v>35</v>
      </c>
      <c r="H92" s="7"/>
      <c r="I92" s="7"/>
      <c r="J92" s="7" t="s">
        <v>36</v>
      </c>
      <c r="K92" s="7" t="s">
        <v>88</v>
      </c>
      <c r="L92" s="7" t="s">
        <v>89</v>
      </c>
      <c r="M92" s="7" t="s">
        <v>90</v>
      </c>
      <c r="N92" s="7" t="s">
        <v>62</v>
      </c>
      <c r="O92" s="7">
        <v>1</v>
      </c>
      <c r="P92" s="7" t="s">
        <v>40</v>
      </c>
      <c r="Q92" s="7">
        <v>89.99</v>
      </c>
      <c r="R92" s="7"/>
      <c r="S92" s="7"/>
      <c r="T92" s="7"/>
      <c r="U92" s="7"/>
      <c r="V92" s="7"/>
      <c r="W92" s="7"/>
      <c r="X92" s="7"/>
      <c r="Y92" s="7" t="s">
        <v>600</v>
      </c>
      <c r="Z92" s="7" t="s">
        <v>189</v>
      </c>
      <c r="AA92" s="7" t="s">
        <v>601</v>
      </c>
      <c r="AB92" s="7" t="s">
        <v>44</v>
      </c>
      <c r="AC92" s="7"/>
      <c r="AD92" s="10"/>
      <c r="AE92" s="10"/>
      <c r="AF92" s="10"/>
      <c r="AG92" s="11">
        <f t="shared" si="1"/>
        <v>43264</v>
      </c>
    </row>
    <row r="93" spans="1:33">
      <c r="A93" s="7" t="s">
        <v>602</v>
      </c>
      <c r="B93" s="7" t="s">
        <v>602</v>
      </c>
      <c r="C93" s="7" t="s">
        <v>603</v>
      </c>
      <c r="D93" s="7" t="s">
        <v>604</v>
      </c>
      <c r="E93" s="7" t="s">
        <v>54</v>
      </c>
      <c r="F93" s="7" t="s">
        <v>34</v>
      </c>
      <c r="G93" s="7" t="s">
        <v>35</v>
      </c>
      <c r="H93" s="7"/>
      <c r="I93" s="7"/>
      <c r="J93" s="7" t="s">
        <v>36</v>
      </c>
      <c r="K93" s="7" t="s">
        <v>88</v>
      </c>
      <c r="L93" s="7" t="s">
        <v>89</v>
      </c>
      <c r="M93" s="7" t="s">
        <v>90</v>
      </c>
      <c r="N93" s="7" t="s">
        <v>62</v>
      </c>
      <c r="O93" s="7">
        <v>1</v>
      </c>
      <c r="P93" s="7" t="s">
        <v>40</v>
      </c>
      <c r="Q93" s="7">
        <v>89.99</v>
      </c>
      <c r="R93" s="7"/>
      <c r="S93" s="7"/>
      <c r="T93" s="7"/>
      <c r="U93" s="7"/>
      <c r="V93" s="7"/>
      <c r="W93" s="7"/>
      <c r="X93" s="7"/>
      <c r="Y93" s="7" t="s">
        <v>600</v>
      </c>
      <c r="Z93" s="7" t="s">
        <v>189</v>
      </c>
      <c r="AA93" s="7" t="s">
        <v>601</v>
      </c>
      <c r="AB93" s="7" t="s">
        <v>44</v>
      </c>
      <c r="AC93" s="7"/>
      <c r="AD93" s="10"/>
      <c r="AE93" s="10"/>
      <c r="AF93" s="10"/>
      <c r="AG93" s="11">
        <f t="shared" si="1"/>
        <v>43264</v>
      </c>
    </row>
    <row r="94" spans="1:33">
      <c r="A94" s="7" t="s">
        <v>605</v>
      </c>
      <c r="B94" s="7" t="s">
        <v>605</v>
      </c>
      <c r="C94" s="7" t="s">
        <v>606</v>
      </c>
      <c r="D94" s="7" t="s">
        <v>607</v>
      </c>
      <c r="E94" s="7" t="s">
        <v>33</v>
      </c>
      <c r="F94" s="7" t="s">
        <v>34</v>
      </c>
      <c r="G94" s="7" t="s">
        <v>35</v>
      </c>
      <c r="H94" s="7"/>
      <c r="I94" s="7"/>
      <c r="J94" s="7" t="s">
        <v>36</v>
      </c>
      <c r="K94" s="7" t="s">
        <v>275</v>
      </c>
      <c r="L94" s="7" t="s">
        <v>276</v>
      </c>
      <c r="M94" s="7" t="s">
        <v>277</v>
      </c>
      <c r="N94" s="7" t="s">
        <v>33</v>
      </c>
      <c r="O94" s="7">
        <v>1</v>
      </c>
      <c r="P94" s="7" t="s">
        <v>40</v>
      </c>
      <c r="Q94" s="7">
        <v>89.99</v>
      </c>
      <c r="R94" s="7"/>
      <c r="S94" s="7"/>
      <c r="T94" s="7"/>
      <c r="U94" s="7"/>
      <c r="V94" s="7"/>
      <c r="W94" s="7"/>
      <c r="X94" s="7"/>
      <c r="Y94" s="7" t="s">
        <v>608</v>
      </c>
      <c r="Z94" s="7" t="s">
        <v>158</v>
      </c>
      <c r="AA94" s="7" t="s">
        <v>609</v>
      </c>
      <c r="AB94" s="7" t="s">
        <v>44</v>
      </c>
      <c r="AC94" s="7"/>
      <c r="AD94" s="10"/>
      <c r="AE94" s="10"/>
      <c r="AF94" s="10"/>
      <c r="AG94" s="11">
        <f t="shared" si="1"/>
        <v>43264</v>
      </c>
    </row>
    <row r="95" spans="1:33">
      <c r="A95" s="7" t="s">
        <v>610</v>
      </c>
      <c r="B95" s="7" t="s">
        <v>610</v>
      </c>
      <c r="C95" s="7" t="s">
        <v>611</v>
      </c>
      <c r="D95" s="7" t="s">
        <v>612</v>
      </c>
      <c r="E95" s="7" t="s">
        <v>33</v>
      </c>
      <c r="F95" s="7" t="s">
        <v>34</v>
      </c>
      <c r="G95" s="7" t="s">
        <v>35</v>
      </c>
      <c r="H95" s="7"/>
      <c r="I95" s="7"/>
      <c r="J95" s="7" t="s">
        <v>58</v>
      </c>
      <c r="K95" s="7" t="s">
        <v>79</v>
      </c>
      <c r="L95" s="7" t="s">
        <v>80</v>
      </c>
      <c r="M95" s="7" t="s">
        <v>81</v>
      </c>
      <c r="N95" s="7" t="s">
        <v>33</v>
      </c>
      <c r="O95" s="7">
        <v>1</v>
      </c>
      <c r="P95" s="7" t="s">
        <v>40</v>
      </c>
      <c r="Q95" s="7">
        <v>90.99</v>
      </c>
      <c r="R95" s="7"/>
      <c r="S95" s="7">
        <v>14.73</v>
      </c>
      <c r="T95" s="7"/>
      <c r="U95" s="7"/>
      <c r="V95" s="7"/>
      <c r="W95" s="7"/>
      <c r="X95" s="7"/>
      <c r="Y95" s="7" t="s">
        <v>73</v>
      </c>
      <c r="Z95" s="7" t="s">
        <v>613</v>
      </c>
      <c r="AA95" s="7" t="s">
        <v>614</v>
      </c>
      <c r="AB95" s="7" t="s">
        <v>44</v>
      </c>
      <c r="AC95" s="7"/>
      <c r="AD95" s="10"/>
      <c r="AE95" s="10"/>
      <c r="AF95" s="10"/>
      <c r="AG95" s="11">
        <f t="shared" si="1"/>
        <v>43264</v>
      </c>
    </row>
    <row r="96" spans="1:33">
      <c r="A96" s="7" t="s">
        <v>615</v>
      </c>
      <c r="B96" s="7" t="s">
        <v>615</v>
      </c>
      <c r="C96" s="7" t="s">
        <v>616</v>
      </c>
      <c r="D96" s="7" t="s">
        <v>617</v>
      </c>
      <c r="E96" s="7" t="s">
        <v>33</v>
      </c>
      <c r="F96" s="7" t="s">
        <v>34</v>
      </c>
      <c r="G96" s="7" t="s">
        <v>35</v>
      </c>
      <c r="H96" s="7"/>
      <c r="I96" s="7"/>
      <c r="J96" s="7" t="s">
        <v>36</v>
      </c>
      <c r="K96" s="7" t="s">
        <v>618</v>
      </c>
      <c r="L96" s="7" t="s">
        <v>619</v>
      </c>
      <c r="M96" s="7" t="s">
        <v>620</v>
      </c>
      <c r="N96" s="7" t="s">
        <v>33</v>
      </c>
      <c r="O96" s="7">
        <v>1</v>
      </c>
      <c r="P96" s="7" t="s">
        <v>40</v>
      </c>
      <c r="Q96" s="7">
        <v>99.99</v>
      </c>
      <c r="R96" s="7"/>
      <c r="S96" s="7"/>
      <c r="T96" s="7"/>
      <c r="U96" s="7"/>
      <c r="V96" s="7"/>
      <c r="W96" s="7"/>
      <c r="X96" s="7"/>
      <c r="Y96" s="7" t="s">
        <v>621</v>
      </c>
      <c r="Z96" s="7" t="s">
        <v>391</v>
      </c>
      <c r="AA96" s="7" t="s">
        <v>622</v>
      </c>
      <c r="AB96" s="7" t="s">
        <v>44</v>
      </c>
      <c r="AC96" s="7"/>
      <c r="AD96" s="10"/>
      <c r="AE96" s="10"/>
      <c r="AF96" s="10"/>
      <c r="AG96" s="11">
        <f t="shared" si="1"/>
        <v>43264</v>
      </c>
    </row>
    <row r="97" spans="1:33">
      <c r="A97" s="7" t="s">
        <v>623</v>
      </c>
      <c r="B97" s="7" t="s">
        <v>623</v>
      </c>
      <c r="C97" s="7" t="s">
        <v>624</v>
      </c>
      <c r="D97" s="7" t="s">
        <v>625</v>
      </c>
      <c r="E97" s="7" t="s">
        <v>33</v>
      </c>
      <c r="F97" s="7" t="s">
        <v>34</v>
      </c>
      <c r="G97" s="7" t="s">
        <v>35</v>
      </c>
      <c r="H97" s="7"/>
      <c r="I97" s="7"/>
      <c r="J97" s="7" t="s">
        <v>58</v>
      </c>
      <c r="K97" s="7" t="s">
        <v>48</v>
      </c>
      <c r="L97" s="7" t="s">
        <v>49</v>
      </c>
      <c r="M97" s="7" t="s">
        <v>50</v>
      </c>
      <c r="N97" s="7" t="s">
        <v>33</v>
      </c>
      <c r="O97" s="7">
        <v>1</v>
      </c>
      <c r="P97" s="7" t="s">
        <v>40</v>
      </c>
      <c r="Q97" s="7">
        <v>89.99</v>
      </c>
      <c r="R97" s="7"/>
      <c r="S97" s="7">
        <v>7.99</v>
      </c>
      <c r="T97" s="7"/>
      <c r="U97" s="7"/>
      <c r="V97" s="7"/>
      <c r="W97" s="7"/>
      <c r="X97" s="7"/>
      <c r="Y97" s="7" t="s">
        <v>626</v>
      </c>
      <c r="Z97" s="7" t="s">
        <v>627</v>
      </c>
      <c r="AA97" s="7" t="s">
        <v>628</v>
      </c>
      <c r="AB97" s="7" t="s">
        <v>44</v>
      </c>
      <c r="AC97" s="7"/>
      <c r="AD97" s="10"/>
      <c r="AE97" s="10"/>
      <c r="AF97" s="10"/>
      <c r="AG97" s="11">
        <f t="shared" si="1"/>
        <v>43264</v>
      </c>
    </row>
    <row r="98" spans="1:33">
      <c r="A98" s="7" t="s">
        <v>629</v>
      </c>
      <c r="B98" s="7" t="s">
        <v>629</v>
      </c>
      <c r="C98" s="7" t="s">
        <v>630</v>
      </c>
      <c r="D98" s="7" t="s">
        <v>631</v>
      </c>
      <c r="E98" s="7" t="s">
        <v>33</v>
      </c>
      <c r="F98" s="7" t="s">
        <v>34</v>
      </c>
      <c r="G98" s="7" t="s">
        <v>35</v>
      </c>
      <c r="H98" s="7"/>
      <c r="I98" s="7"/>
      <c r="J98" s="7" t="s">
        <v>69</v>
      </c>
      <c r="K98" s="7" t="s">
        <v>632</v>
      </c>
      <c r="L98" s="7" t="s">
        <v>633</v>
      </c>
      <c r="M98" s="7" t="s">
        <v>634</v>
      </c>
      <c r="N98" s="7" t="s">
        <v>33</v>
      </c>
      <c r="O98" s="7">
        <v>1</v>
      </c>
      <c r="P98" s="7" t="s">
        <v>40</v>
      </c>
      <c r="Q98" s="7">
        <v>89.99</v>
      </c>
      <c r="R98" s="7"/>
      <c r="S98" s="7">
        <v>7.37</v>
      </c>
      <c r="T98" s="7"/>
      <c r="U98" s="7"/>
      <c r="V98" s="7"/>
      <c r="W98" s="7">
        <v>9</v>
      </c>
      <c r="X98" s="7">
        <v>7.37</v>
      </c>
      <c r="Y98" s="7" t="s">
        <v>635</v>
      </c>
      <c r="Z98" s="7" t="s">
        <v>42</v>
      </c>
      <c r="AA98" s="7" t="s">
        <v>636</v>
      </c>
      <c r="AB98" s="7" t="s">
        <v>44</v>
      </c>
      <c r="AC98" s="7" t="s">
        <v>637</v>
      </c>
      <c r="AD98" s="10"/>
      <c r="AE98" s="10"/>
      <c r="AF98" s="10"/>
      <c r="AG98" s="11">
        <f t="shared" si="1"/>
        <v>43264</v>
      </c>
    </row>
    <row r="99" spans="1:33">
      <c r="A99" s="7" t="s">
        <v>638</v>
      </c>
      <c r="B99" s="7" t="s">
        <v>638</v>
      </c>
      <c r="C99" s="7" t="s">
        <v>639</v>
      </c>
      <c r="D99" s="7" t="s">
        <v>640</v>
      </c>
      <c r="E99" s="7" t="s">
        <v>33</v>
      </c>
      <c r="F99" s="7" t="s">
        <v>34</v>
      </c>
      <c r="G99" s="7" t="s">
        <v>35</v>
      </c>
      <c r="H99" s="7"/>
      <c r="I99" s="7"/>
      <c r="J99" s="7" t="s">
        <v>36</v>
      </c>
      <c r="K99" s="7" t="s">
        <v>79</v>
      </c>
      <c r="L99" s="7" t="s">
        <v>80</v>
      </c>
      <c r="M99" s="7" t="s">
        <v>81</v>
      </c>
      <c r="N99" s="7" t="s">
        <v>33</v>
      </c>
      <c r="O99" s="7">
        <v>1</v>
      </c>
      <c r="P99" s="7" t="s">
        <v>40</v>
      </c>
      <c r="Q99" s="7">
        <v>90.99</v>
      </c>
      <c r="R99" s="7"/>
      <c r="S99" s="7"/>
      <c r="T99" s="7"/>
      <c r="U99" s="7"/>
      <c r="V99" s="7"/>
      <c r="W99" s="7"/>
      <c r="X99" s="7"/>
      <c r="Y99" s="7" t="s">
        <v>51</v>
      </c>
      <c r="Z99" s="7" t="s">
        <v>52</v>
      </c>
      <c r="AA99" s="7" t="s">
        <v>641</v>
      </c>
      <c r="AB99" s="7" t="s">
        <v>44</v>
      </c>
      <c r="AC99" s="7"/>
      <c r="AD99" s="10"/>
      <c r="AE99" s="10"/>
      <c r="AF99" s="10"/>
      <c r="AG99" s="11">
        <f t="shared" si="1"/>
        <v>43264</v>
      </c>
    </row>
    <row r="100" spans="1:33">
      <c r="A100" s="7" t="s">
        <v>638</v>
      </c>
      <c r="B100" s="7" t="s">
        <v>638</v>
      </c>
      <c r="C100" s="7" t="s">
        <v>639</v>
      </c>
      <c r="D100" s="7" t="s">
        <v>640</v>
      </c>
      <c r="E100" s="7" t="s">
        <v>33</v>
      </c>
      <c r="F100" s="7" t="s">
        <v>34</v>
      </c>
      <c r="G100" s="7" t="s">
        <v>35</v>
      </c>
      <c r="H100" s="7"/>
      <c r="I100" s="7"/>
      <c r="J100" s="7" t="s">
        <v>36</v>
      </c>
      <c r="K100" s="7" t="s">
        <v>642</v>
      </c>
      <c r="L100" s="7" t="s">
        <v>643</v>
      </c>
      <c r="M100" s="7" t="s">
        <v>644</v>
      </c>
      <c r="N100" s="7" t="s">
        <v>33</v>
      </c>
      <c r="O100" s="7">
        <v>1</v>
      </c>
      <c r="P100" s="7" t="s">
        <v>40</v>
      </c>
      <c r="Q100" s="7">
        <v>21.99</v>
      </c>
      <c r="R100" s="7"/>
      <c r="S100" s="7"/>
      <c r="T100" s="7"/>
      <c r="U100" s="7"/>
      <c r="V100" s="7"/>
      <c r="W100" s="7"/>
      <c r="X100" s="7"/>
      <c r="Y100" s="7" t="s">
        <v>51</v>
      </c>
      <c r="Z100" s="7" t="s">
        <v>52</v>
      </c>
      <c r="AA100" s="7" t="s">
        <v>641</v>
      </c>
      <c r="AB100" s="7" t="s">
        <v>44</v>
      </c>
      <c r="AC100" s="7"/>
      <c r="AD100" s="10"/>
      <c r="AE100" s="10"/>
      <c r="AF100" s="10"/>
      <c r="AG100" s="11">
        <f t="shared" si="1"/>
        <v>43264</v>
      </c>
    </row>
    <row r="101" spans="1:33">
      <c r="A101" s="7" t="s">
        <v>645</v>
      </c>
      <c r="B101" s="7" t="s">
        <v>645</v>
      </c>
      <c r="C101" s="7" t="s">
        <v>646</v>
      </c>
      <c r="D101" s="7" t="s">
        <v>647</v>
      </c>
      <c r="E101" s="7" t="s">
        <v>33</v>
      </c>
      <c r="F101" s="7" t="s">
        <v>34</v>
      </c>
      <c r="G101" s="7" t="s">
        <v>35</v>
      </c>
      <c r="H101" s="7"/>
      <c r="I101" s="7"/>
      <c r="J101" s="7" t="s">
        <v>36</v>
      </c>
      <c r="K101" s="7" t="s">
        <v>364</v>
      </c>
      <c r="L101" s="7" t="s">
        <v>648</v>
      </c>
      <c r="M101" s="7" t="s">
        <v>649</v>
      </c>
      <c r="N101" s="7" t="s">
        <v>33</v>
      </c>
      <c r="O101" s="7">
        <v>1</v>
      </c>
      <c r="P101" s="7" t="s">
        <v>40</v>
      </c>
      <c r="Q101" s="7">
        <v>89.99</v>
      </c>
      <c r="R101" s="7"/>
      <c r="S101" s="7"/>
      <c r="T101" s="7"/>
      <c r="U101" s="7"/>
      <c r="V101" s="7"/>
      <c r="W101" s="7">
        <v>9</v>
      </c>
      <c r="X101" s="7"/>
      <c r="Y101" s="7" t="s">
        <v>650</v>
      </c>
      <c r="Z101" s="7" t="s">
        <v>440</v>
      </c>
      <c r="AA101" s="7" t="s">
        <v>651</v>
      </c>
      <c r="AB101" s="7" t="s">
        <v>44</v>
      </c>
      <c r="AC101" s="7" t="s">
        <v>559</v>
      </c>
      <c r="AD101" s="10"/>
      <c r="AE101" s="10"/>
      <c r="AF101" s="10"/>
      <c r="AG101" s="11">
        <f t="shared" si="1"/>
        <v>43264</v>
      </c>
    </row>
    <row r="102" spans="1:33">
      <c r="A102" s="7" t="s">
        <v>652</v>
      </c>
      <c r="B102" s="7" t="s">
        <v>652</v>
      </c>
      <c r="C102" s="7" t="s">
        <v>653</v>
      </c>
      <c r="D102" s="7" t="s">
        <v>654</v>
      </c>
      <c r="E102" s="7" t="s">
        <v>33</v>
      </c>
      <c r="F102" s="7" t="s">
        <v>34</v>
      </c>
      <c r="G102" s="7" t="s">
        <v>35</v>
      </c>
      <c r="H102" s="7"/>
      <c r="I102" s="7"/>
      <c r="J102" s="7" t="s">
        <v>36</v>
      </c>
      <c r="K102" s="7" t="s">
        <v>131</v>
      </c>
      <c r="L102" s="7" t="s">
        <v>132</v>
      </c>
      <c r="M102" s="7" t="s">
        <v>133</v>
      </c>
      <c r="N102" s="7" t="s">
        <v>33</v>
      </c>
      <c r="O102" s="7">
        <v>1</v>
      </c>
      <c r="P102" s="7" t="s">
        <v>40</v>
      </c>
      <c r="Q102" s="7">
        <v>89.99</v>
      </c>
      <c r="R102" s="7"/>
      <c r="S102" s="7"/>
      <c r="T102" s="7"/>
      <c r="U102" s="7"/>
      <c r="V102" s="7"/>
      <c r="W102" s="7"/>
      <c r="X102" s="7"/>
      <c r="Y102" s="7" t="s">
        <v>655</v>
      </c>
      <c r="Z102" s="7" t="s">
        <v>299</v>
      </c>
      <c r="AA102" s="7" t="s">
        <v>656</v>
      </c>
      <c r="AB102" s="7" t="s">
        <v>44</v>
      </c>
      <c r="AC102" s="7"/>
      <c r="AD102" s="10"/>
      <c r="AE102" s="10"/>
      <c r="AF102" s="10"/>
      <c r="AG102" s="11">
        <f t="shared" si="1"/>
        <v>43264</v>
      </c>
    </row>
    <row r="103" spans="1:33">
      <c r="A103" s="7" t="s">
        <v>657</v>
      </c>
      <c r="B103" s="7" t="s">
        <v>657</v>
      </c>
      <c r="C103" s="7" t="s">
        <v>658</v>
      </c>
      <c r="D103" s="7" t="s">
        <v>659</v>
      </c>
      <c r="E103" s="7" t="s">
        <v>33</v>
      </c>
      <c r="F103" s="7" t="s">
        <v>34</v>
      </c>
      <c r="G103" s="7" t="s">
        <v>35</v>
      </c>
      <c r="H103" s="7"/>
      <c r="I103" s="7"/>
      <c r="J103" s="7" t="s">
        <v>58</v>
      </c>
      <c r="K103" s="7" t="s">
        <v>660</v>
      </c>
      <c r="L103" s="7" t="s">
        <v>661</v>
      </c>
      <c r="M103" s="7" t="s">
        <v>662</v>
      </c>
      <c r="N103" s="7" t="s">
        <v>33</v>
      </c>
      <c r="O103" s="7">
        <v>1</v>
      </c>
      <c r="P103" s="7" t="s">
        <v>40</v>
      </c>
      <c r="Q103" s="7">
        <v>79.99</v>
      </c>
      <c r="R103" s="7"/>
      <c r="S103" s="7">
        <v>6.99</v>
      </c>
      <c r="T103" s="7"/>
      <c r="U103" s="7"/>
      <c r="V103" s="7"/>
      <c r="W103" s="7"/>
      <c r="X103" s="7"/>
      <c r="Y103" s="7" t="s">
        <v>663</v>
      </c>
      <c r="Z103" s="7" t="s">
        <v>189</v>
      </c>
      <c r="AA103" s="7" t="s">
        <v>664</v>
      </c>
      <c r="AB103" s="7" t="s">
        <v>44</v>
      </c>
      <c r="AC103" s="7"/>
      <c r="AD103" s="10"/>
      <c r="AE103" s="10"/>
      <c r="AF103" s="10"/>
      <c r="AG103" s="11">
        <f t="shared" si="1"/>
        <v>43264</v>
      </c>
    </row>
    <row r="104" spans="1:33">
      <c r="A104" s="7" t="s">
        <v>665</v>
      </c>
      <c r="B104" s="7" t="s">
        <v>665</v>
      </c>
      <c r="C104" s="7" t="s">
        <v>666</v>
      </c>
      <c r="D104" s="7" t="s">
        <v>667</v>
      </c>
      <c r="E104" s="7" t="s">
        <v>33</v>
      </c>
      <c r="F104" s="7" t="s">
        <v>34</v>
      </c>
      <c r="G104" s="7" t="s">
        <v>35</v>
      </c>
      <c r="H104" s="7"/>
      <c r="I104" s="7"/>
      <c r="J104" s="7" t="s">
        <v>36</v>
      </c>
      <c r="K104" s="7" t="s">
        <v>79</v>
      </c>
      <c r="L104" s="7" t="s">
        <v>80</v>
      </c>
      <c r="M104" s="7" t="s">
        <v>81</v>
      </c>
      <c r="N104" s="7" t="s">
        <v>33</v>
      </c>
      <c r="O104" s="7">
        <v>1</v>
      </c>
      <c r="P104" s="7" t="s">
        <v>40</v>
      </c>
      <c r="Q104" s="7">
        <v>90.99</v>
      </c>
      <c r="R104" s="7"/>
      <c r="S104" s="7"/>
      <c r="T104" s="7"/>
      <c r="U104" s="7"/>
      <c r="V104" s="7"/>
      <c r="W104" s="7"/>
      <c r="X104" s="7"/>
      <c r="Y104" s="7" t="s">
        <v>668</v>
      </c>
      <c r="Z104" s="7" t="s">
        <v>42</v>
      </c>
      <c r="AA104" s="7">
        <v>75071</v>
      </c>
      <c r="AB104" s="7" t="s">
        <v>44</v>
      </c>
      <c r="AC104" s="7"/>
      <c r="AD104" s="10"/>
      <c r="AE104" s="10"/>
      <c r="AF104" s="10"/>
      <c r="AG104" s="11">
        <f t="shared" si="1"/>
        <v>43264</v>
      </c>
    </row>
    <row r="105" spans="1:33">
      <c r="A105" s="7" t="s">
        <v>669</v>
      </c>
      <c r="B105" s="7" t="s">
        <v>669</v>
      </c>
      <c r="C105" s="7" t="s">
        <v>670</v>
      </c>
      <c r="D105" s="7" t="s">
        <v>671</v>
      </c>
      <c r="E105" s="7" t="s">
        <v>33</v>
      </c>
      <c r="F105" s="7" t="s">
        <v>34</v>
      </c>
      <c r="G105" s="7" t="s">
        <v>35</v>
      </c>
      <c r="H105" s="7"/>
      <c r="I105" s="7"/>
      <c r="J105" s="7" t="s">
        <v>58</v>
      </c>
      <c r="K105" s="7" t="s">
        <v>59</v>
      </c>
      <c r="L105" s="7" t="s">
        <v>60</v>
      </c>
      <c r="M105" s="7" t="s">
        <v>61</v>
      </c>
      <c r="N105" s="7" t="s">
        <v>33</v>
      </c>
      <c r="O105" s="7">
        <v>1</v>
      </c>
      <c r="P105" s="7" t="s">
        <v>40</v>
      </c>
      <c r="Q105" s="7">
        <v>89.99</v>
      </c>
      <c r="R105" s="7"/>
      <c r="S105" s="7">
        <v>7.99</v>
      </c>
      <c r="T105" s="7"/>
      <c r="U105" s="7"/>
      <c r="V105" s="7"/>
      <c r="W105" s="7"/>
      <c r="X105" s="7"/>
      <c r="Y105" s="7" t="s">
        <v>672</v>
      </c>
      <c r="Z105" s="7" t="s">
        <v>135</v>
      </c>
      <c r="AA105" s="7" t="s">
        <v>673</v>
      </c>
      <c r="AB105" s="7" t="s">
        <v>44</v>
      </c>
      <c r="AC105" s="7"/>
      <c r="AD105" s="10"/>
      <c r="AE105" s="10"/>
      <c r="AF105" s="10"/>
      <c r="AG105" s="11">
        <f t="shared" si="1"/>
        <v>43264</v>
      </c>
    </row>
    <row r="106" spans="1:33">
      <c r="A106" s="7" t="s">
        <v>674</v>
      </c>
      <c r="B106" s="7" t="s">
        <v>674</v>
      </c>
      <c r="C106" s="7" t="s">
        <v>675</v>
      </c>
      <c r="D106" s="7" t="s">
        <v>676</v>
      </c>
      <c r="E106" s="7" t="s">
        <v>33</v>
      </c>
      <c r="F106" s="7" t="s">
        <v>34</v>
      </c>
      <c r="G106" s="7" t="s">
        <v>35</v>
      </c>
      <c r="H106" s="7"/>
      <c r="I106" s="7"/>
      <c r="J106" s="7" t="s">
        <v>36</v>
      </c>
      <c r="K106" s="7" t="s">
        <v>59</v>
      </c>
      <c r="L106" s="7" t="s">
        <v>60</v>
      </c>
      <c r="M106" s="7" t="s">
        <v>61</v>
      </c>
      <c r="N106" s="7" t="s">
        <v>33</v>
      </c>
      <c r="O106" s="7">
        <v>1</v>
      </c>
      <c r="P106" s="7" t="s">
        <v>40</v>
      </c>
      <c r="Q106" s="7">
        <v>89.99</v>
      </c>
      <c r="R106" s="7"/>
      <c r="S106" s="7"/>
      <c r="T106" s="7"/>
      <c r="U106" s="7"/>
      <c r="V106" s="7"/>
      <c r="W106" s="7"/>
      <c r="X106" s="7"/>
      <c r="Y106" s="7" t="s">
        <v>41</v>
      </c>
      <c r="Z106" s="7" t="s">
        <v>42</v>
      </c>
      <c r="AA106" s="7" t="s">
        <v>677</v>
      </c>
      <c r="AB106" s="7" t="s">
        <v>44</v>
      </c>
      <c r="AC106" s="7"/>
      <c r="AD106" s="10"/>
      <c r="AE106" s="10"/>
      <c r="AF106" s="10"/>
      <c r="AG106" s="11">
        <f t="shared" si="1"/>
        <v>43264</v>
      </c>
    </row>
    <row r="107" spans="1:33">
      <c r="A107" s="7" t="s">
        <v>678</v>
      </c>
      <c r="B107" s="7" t="s">
        <v>678</v>
      </c>
      <c r="C107" s="7" t="s">
        <v>679</v>
      </c>
      <c r="D107" s="7" t="s">
        <v>680</v>
      </c>
      <c r="E107" s="7" t="s">
        <v>33</v>
      </c>
      <c r="F107" s="7" t="s">
        <v>34</v>
      </c>
      <c r="G107" s="7" t="s">
        <v>35</v>
      </c>
      <c r="H107" s="7"/>
      <c r="I107" s="7"/>
      <c r="J107" s="7" t="s">
        <v>36</v>
      </c>
      <c r="K107" s="7" t="s">
        <v>79</v>
      </c>
      <c r="L107" s="7" t="s">
        <v>80</v>
      </c>
      <c r="M107" s="7" t="s">
        <v>81</v>
      </c>
      <c r="N107" s="7" t="s">
        <v>33</v>
      </c>
      <c r="O107" s="7">
        <v>1</v>
      </c>
      <c r="P107" s="7" t="s">
        <v>40</v>
      </c>
      <c r="Q107" s="7">
        <v>90.99</v>
      </c>
      <c r="R107" s="7">
        <v>5.46</v>
      </c>
      <c r="S107" s="7"/>
      <c r="T107" s="7"/>
      <c r="U107" s="7"/>
      <c r="V107" s="7"/>
      <c r="W107" s="7"/>
      <c r="X107" s="7"/>
      <c r="Y107" s="7" t="s">
        <v>681</v>
      </c>
      <c r="Z107" s="7" t="s">
        <v>682</v>
      </c>
      <c r="AA107" s="7">
        <v>19053</v>
      </c>
      <c r="AB107" s="7" t="s">
        <v>44</v>
      </c>
      <c r="AC107" s="7"/>
      <c r="AD107" s="10"/>
      <c r="AE107" s="10"/>
      <c r="AF107" s="10"/>
      <c r="AG107" s="11">
        <f t="shared" si="1"/>
        <v>43264</v>
      </c>
    </row>
    <row r="108" spans="1:33">
      <c r="A108" s="7" t="s">
        <v>683</v>
      </c>
      <c r="B108" s="7" t="s">
        <v>683</v>
      </c>
      <c r="C108" s="7" t="s">
        <v>684</v>
      </c>
      <c r="D108" s="7" t="s">
        <v>685</v>
      </c>
      <c r="E108" s="7" t="s">
        <v>33</v>
      </c>
      <c r="F108" s="7" t="s">
        <v>34</v>
      </c>
      <c r="G108" s="7" t="s">
        <v>35</v>
      </c>
      <c r="H108" s="7"/>
      <c r="I108" s="7"/>
      <c r="J108" s="7" t="s">
        <v>69</v>
      </c>
      <c r="K108" s="7" t="s">
        <v>284</v>
      </c>
      <c r="L108" s="7" t="s">
        <v>285</v>
      </c>
      <c r="M108" s="7" t="s">
        <v>286</v>
      </c>
      <c r="N108" s="7" t="s">
        <v>33</v>
      </c>
      <c r="O108" s="7">
        <v>1</v>
      </c>
      <c r="P108" s="7" t="s">
        <v>40</v>
      </c>
      <c r="Q108" s="7">
        <v>89.99</v>
      </c>
      <c r="R108" s="7"/>
      <c r="S108" s="7">
        <v>8.43</v>
      </c>
      <c r="T108" s="7"/>
      <c r="U108" s="7"/>
      <c r="V108" s="7"/>
      <c r="W108" s="7"/>
      <c r="X108" s="7"/>
      <c r="Y108" s="7" t="s">
        <v>686</v>
      </c>
      <c r="Z108" s="7" t="s">
        <v>541</v>
      </c>
      <c r="AA108" s="7" t="s">
        <v>687</v>
      </c>
      <c r="AB108" s="7" t="s">
        <v>44</v>
      </c>
      <c r="AC108" s="7"/>
      <c r="AD108" s="10"/>
      <c r="AE108" s="10"/>
      <c r="AF108" s="10"/>
      <c r="AG108" s="11">
        <f t="shared" si="1"/>
        <v>43264</v>
      </c>
    </row>
    <row r="109" spans="1:33">
      <c r="A109" s="7" t="s">
        <v>688</v>
      </c>
      <c r="B109" s="7" t="s">
        <v>688</v>
      </c>
      <c r="C109" s="7" t="s">
        <v>689</v>
      </c>
      <c r="D109" s="7" t="s">
        <v>690</v>
      </c>
      <c r="E109" s="7" t="s">
        <v>33</v>
      </c>
      <c r="F109" s="7" t="s">
        <v>34</v>
      </c>
      <c r="G109" s="7" t="s">
        <v>35</v>
      </c>
      <c r="H109" s="7"/>
      <c r="I109" s="7"/>
      <c r="J109" s="7" t="s">
        <v>58</v>
      </c>
      <c r="K109" s="7" t="s">
        <v>275</v>
      </c>
      <c r="L109" s="7" t="s">
        <v>276</v>
      </c>
      <c r="M109" s="7" t="s">
        <v>277</v>
      </c>
      <c r="N109" s="7" t="s">
        <v>33</v>
      </c>
      <c r="O109" s="7">
        <v>1</v>
      </c>
      <c r="P109" s="7" t="s">
        <v>40</v>
      </c>
      <c r="Q109" s="7">
        <v>89.99</v>
      </c>
      <c r="R109" s="7"/>
      <c r="S109" s="7">
        <v>7.99</v>
      </c>
      <c r="T109" s="7"/>
      <c r="U109" s="7"/>
      <c r="V109" s="7"/>
      <c r="W109" s="7"/>
      <c r="X109" s="7"/>
      <c r="Y109" s="7" t="s">
        <v>691</v>
      </c>
      <c r="Z109" s="7" t="s">
        <v>64</v>
      </c>
      <c r="AA109" s="7" t="s">
        <v>692</v>
      </c>
      <c r="AB109" s="7" t="s">
        <v>44</v>
      </c>
      <c r="AC109" s="7"/>
      <c r="AD109" s="10"/>
      <c r="AE109" s="10"/>
      <c r="AF109" s="10"/>
      <c r="AG109" s="11">
        <f t="shared" si="1"/>
        <v>43264</v>
      </c>
    </row>
    <row r="110" spans="1:33">
      <c r="A110" s="7" t="s">
        <v>693</v>
      </c>
      <c r="B110" s="7" t="s">
        <v>693</v>
      </c>
      <c r="C110" s="7" t="s">
        <v>694</v>
      </c>
      <c r="D110" s="7" t="s">
        <v>695</v>
      </c>
      <c r="E110" s="7" t="s">
        <v>33</v>
      </c>
      <c r="F110" s="7" t="s">
        <v>34</v>
      </c>
      <c r="G110" s="7" t="s">
        <v>35</v>
      </c>
      <c r="H110" s="7"/>
      <c r="I110" s="7"/>
      <c r="J110" s="7" t="s">
        <v>36</v>
      </c>
      <c r="K110" s="7" t="s">
        <v>79</v>
      </c>
      <c r="L110" s="7" t="s">
        <v>80</v>
      </c>
      <c r="M110" s="7" t="s">
        <v>81</v>
      </c>
      <c r="N110" s="7" t="s">
        <v>33</v>
      </c>
      <c r="O110" s="7">
        <v>1</v>
      </c>
      <c r="P110" s="7" t="s">
        <v>40</v>
      </c>
      <c r="Q110" s="7">
        <v>90.99</v>
      </c>
      <c r="R110" s="7">
        <v>9.19</v>
      </c>
      <c r="S110" s="7"/>
      <c r="T110" s="7"/>
      <c r="U110" s="7"/>
      <c r="V110" s="7"/>
      <c r="W110" s="7"/>
      <c r="X110" s="7"/>
      <c r="Y110" s="7" t="s">
        <v>696</v>
      </c>
      <c r="Z110" s="7" t="s">
        <v>97</v>
      </c>
      <c r="AA110" s="7" t="s">
        <v>697</v>
      </c>
      <c r="AB110" s="7" t="s">
        <v>44</v>
      </c>
      <c r="AC110" s="7"/>
      <c r="AD110" s="10"/>
      <c r="AE110" s="10"/>
      <c r="AF110" s="10"/>
      <c r="AG110" s="11">
        <f t="shared" si="1"/>
        <v>43264</v>
      </c>
    </row>
    <row r="111" spans="1:33">
      <c r="A111" s="7" t="s">
        <v>693</v>
      </c>
      <c r="B111" s="7" t="s">
        <v>693</v>
      </c>
      <c r="C111" s="7" t="s">
        <v>694</v>
      </c>
      <c r="D111" s="7" t="s">
        <v>695</v>
      </c>
      <c r="E111" s="7" t="s">
        <v>33</v>
      </c>
      <c r="F111" s="7" t="s">
        <v>34</v>
      </c>
      <c r="G111" s="7" t="s">
        <v>35</v>
      </c>
      <c r="H111" s="7"/>
      <c r="I111" s="7"/>
      <c r="J111" s="7" t="s">
        <v>36</v>
      </c>
      <c r="K111" s="7" t="s">
        <v>698</v>
      </c>
      <c r="L111" s="7" t="s">
        <v>699</v>
      </c>
      <c r="M111" s="7" t="s">
        <v>700</v>
      </c>
      <c r="N111" s="7" t="s">
        <v>33</v>
      </c>
      <c r="O111" s="7">
        <v>1</v>
      </c>
      <c r="P111" s="7" t="s">
        <v>40</v>
      </c>
      <c r="Q111" s="7">
        <v>21.99</v>
      </c>
      <c r="R111" s="7">
        <v>2.22</v>
      </c>
      <c r="S111" s="7"/>
      <c r="T111" s="7"/>
      <c r="U111" s="7"/>
      <c r="V111" s="7"/>
      <c r="W111" s="7"/>
      <c r="X111" s="7"/>
      <c r="Y111" s="7" t="s">
        <v>696</v>
      </c>
      <c r="Z111" s="7" t="s">
        <v>97</v>
      </c>
      <c r="AA111" s="7" t="s">
        <v>697</v>
      </c>
      <c r="AB111" s="7" t="s">
        <v>44</v>
      </c>
      <c r="AC111" s="7"/>
      <c r="AD111" s="10"/>
      <c r="AE111" s="10"/>
      <c r="AF111" s="10"/>
      <c r="AG111" s="11">
        <f t="shared" si="1"/>
        <v>43264</v>
      </c>
    </row>
    <row r="112" spans="1:33">
      <c r="A112" s="7" t="s">
        <v>701</v>
      </c>
      <c r="B112" s="7" t="s">
        <v>701</v>
      </c>
      <c r="C112" s="7" t="s">
        <v>702</v>
      </c>
      <c r="D112" s="7" t="s">
        <v>703</v>
      </c>
      <c r="E112" s="7" t="s">
        <v>33</v>
      </c>
      <c r="F112" s="7" t="s">
        <v>34</v>
      </c>
      <c r="G112" s="7" t="s">
        <v>35</v>
      </c>
      <c r="H112" s="7"/>
      <c r="I112" s="7"/>
      <c r="J112" s="7" t="s">
        <v>69</v>
      </c>
      <c r="K112" s="7" t="s">
        <v>48</v>
      </c>
      <c r="L112" s="7" t="s">
        <v>49</v>
      </c>
      <c r="M112" s="7" t="s">
        <v>50</v>
      </c>
      <c r="N112" s="7" t="s">
        <v>33</v>
      </c>
      <c r="O112" s="7">
        <v>1</v>
      </c>
      <c r="P112" s="7" t="s">
        <v>40</v>
      </c>
      <c r="Q112" s="7">
        <v>89.99</v>
      </c>
      <c r="R112" s="7"/>
      <c r="S112" s="7">
        <v>8.28</v>
      </c>
      <c r="T112" s="7"/>
      <c r="U112" s="7"/>
      <c r="V112" s="7"/>
      <c r="W112" s="7"/>
      <c r="X112" s="7"/>
      <c r="Y112" s="7" t="s">
        <v>704</v>
      </c>
      <c r="Z112" s="7" t="s">
        <v>64</v>
      </c>
      <c r="AA112" s="7" t="s">
        <v>705</v>
      </c>
      <c r="AB112" s="7" t="s">
        <v>44</v>
      </c>
      <c r="AC112" s="7"/>
      <c r="AD112" s="10"/>
      <c r="AE112" s="10"/>
      <c r="AF112" s="10"/>
      <c r="AG112" s="11">
        <f t="shared" si="1"/>
        <v>43264</v>
      </c>
    </row>
    <row r="113" spans="1:33">
      <c r="A113" s="7" t="s">
        <v>706</v>
      </c>
      <c r="B113" s="7" t="s">
        <v>706</v>
      </c>
      <c r="C113" s="7" t="s">
        <v>707</v>
      </c>
      <c r="D113" s="7" t="s">
        <v>708</v>
      </c>
      <c r="E113" s="7" t="s">
        <v>54</v>
      </c>
      <c r="F113" s="7" t="s">
        <v>34</v>
      </c>
      <c r="G113" s="7" t="s">
        <v>35</v>
      </c>
      <c r="H113" s="7"/>
      <c r="I113" s="7"/>
      <c r="J113" s="7" t="s">
        <v>69</v>
      </c>
      <c r="K113" s="7" t="s">
        <v>37</v>
      </c>
      <c r="L113" s="7" t="s">
        <v>38</v>
      </c>
      <c r="M113" s="7" t="s">
        <v>39</v>
      </c>
      <c r="N113" s="7" t="s">
        <v>54</v>
      </c>
      <c r="O113" s="7">
        <v>0</v>
      </c>
      <c r="P113" s="7"/>
      <c r="Q113" s="7"/>
      <c r="R113" s="7"/>
      <c r="S113" s="7"/>
      <c r="T113" s="7"/>
      <c r="U113" s="7"/>
      <c r="V113" s="7"/>
      <c r="W113" s="7"/>
      <c r="X113" s="7"/>
      <c r="Y113" s="7" t="s">
        <v>709</v>
      </c>
      <c r="Z113" s="7" t="s">
        <v>440</v>
      </c>
      <c r="AA113" s="7" t="s">
        <v>710</v>
      </c>
      <c r="AB113" s="7" t="s">
        <v>44</v>
      </c>
      <c r="AC113" s="7"/>
      <c r="AD113" s="10"/>
      <c r="AE113" s="10"/>
      <c r="AF113" s="10"/>
      <c r="AG113" s="11">
        <f t="shared" si="1"/>
        <v>43264</v>
      </c>
    </row>
    <row r="114" spans="1:33">
      <c r="A114" s="7" t="s">
        <v>711</v>
      </c>
      <c r="B114" s="7" t="s">
        <v>711</v>
      </c>
      <c r="C114" s="7" t="s">
        <v>712</v>
      </c>
      <c r="D114" s="7" t="s">
        <v>713</v>
      </c>
      <c r="E114" s="7" t="s">
        <v>33</v>
      </c>
      <c r="F114" s="7" t="s">
        <v>34</v>
      </c>
      <c r="G114" s="7" t="s">
        <v>35</v>
      </c>
      <c r="H114" s="7"/>
      <c r="I114" s="7"/>
      <c r="J114" s="7" t="s">
        <v>36</v>
      </c>
      <c r="K114" s="7" t="s">
        <v>431</v>
      </c>
      <c r="L114" s="7" t="s">
        <v>432</v>
      </c>
      <c r="M114" s="7" t="s">
        <v>433</v>
      </c>
      <c r="N114" s="7" t="s">
        <v>33</v>
      </c>
      <c r="O114" s="7">
        <v>1</v>
      </c>
      <c r="P114" s="7" t="s">
        <v>40</v>
      </c>
      <c r="Q114" s="7">
        <v>89.99</v>
      </c>
      <c r="R114" s="7"/>
      <c r="S114" s="7"/>
      <c r="T114" s="7"/>
      <c r="U114" s="7"/>
      <c r="V114" s="7"/>
      <c r="W114" s="7"/>
      <c r="X114" s="7"/>
      <c r="Y114" s="7" t="s">
        <v>714</v>
      </c>
      <c r="Z114" s="7" t="s">
        <v>52</v>
      </c>
      <c r="AA114" s="7" t="s">
        <v>715</v>
      </c>
      <c r="AB114" s="7" t="s">
        <v>44</v>
      </c>
      <c r="AC114" s="7"/>
      <c r="AD114" s="10"/>
      <c r="AE114" s="10"/>
      <c r="AF114" s="10"/>
      <c r="AG114" s="11">
        <f t="shared" si="1"/>
        <v>43264</v>
      </c>
    </row>
    <row r="115" spans="1:33">
      <c r="A115" s="7" t="s">
        <v>716</v>
      </c>
      <c r="B115" s="7" t="s">
        <v>716</v>
      </c>
      <c r="C115" s="7" t="s">
        <v>717</v>
      </c>
      <c r="D115" s="7" t="s">
        <v>718</v>
      </c>
      <c r="E115" s="7" t="s">
        <v>33</v>
      </c>
      <c r="F115" s="7" t="s">
        <v>34</v>
      </c>
      <c r="G115" s="7" t="s">
        <v>35</v>
      </c>
      <c r="H115" s="7"/>
      <c r="I115" s="7"/>
      <c r="J115" s="7" t="s">
        <v>36</v>
      </c>
      <c r="K115" s="7" t="s">
        <v>719</v>
      </c>
      <c r="L115" s="7" t="s">
        <v>720</v>
      </c>
      <c r="M115" s="7" t="s">
        <v>721</v>
      </c>
      <c r="N115" s="7" t="s">
        <v>33</v>
      </c>
      <c r="O115" s="7">
        <v>1</v>
      </c>
      <c r="P115" s="7" t="s">
        <v>40</v>
      </c>
      <c r="Q115" s="7">
        <v>21.99</v>
      </c>
      <c r="R115" s="7"/>
      <c r="S115" s="7"/>
      <c r="T115" s="7"/>
      <c r="U115" s="7"/>
      <c r="V115" s="7"/>
      <c r="W115" s="7"/>
      <c r="X115" s="7"/>
      <c r="Y115" s="7" t="s">
        <v>722</v>
      </c>
      <c r="Z115" s="7" t="s">
        <v>723</v>
      </c>
      <c r="AA115" s="7" t="s">
        <v>724</v>
      </c>
      <c r="AB115" s="7" t="s">
        <v>44</v>
      </c>
      <c r="AC115" s="7"/>
      <c r="AD115" s="10"/>
      <c r="AE115" s="10"/>
      <c r="AF115" s="10"/>
      <c r="AG115" s="11">
        <f t="shared" si="1"/>
        <v>43264</v>
      </c>
    </row>
    <row r="116" spans="1:33">
      <c r="A116" s="7" t="s">
        <v>725</v>
      </c>
      <c r="B116" s="7" t="s">
        <v>725</v>
      </c>
      <c r="C116" s="7" t="s">
        <v>717</v>
      </c>
      <c r="D116" s="7" t="s">
        <v>726</v>
      </c>
      <c r="E116" s="7" t="s">
        <v>33</v>
      </c>
      <c r="F116" s="7" t="s">
        <v>34</v>
      </c>
      <c r="G116" s="7" t="s">
        <v>35</v>
      </c>
      <c r="H116" s="7"/>
      <c r="I116" s="7"/>
      <c r="J116" s="7" t="s">
        <v>36</v>
      </c>
      <c r="K116" s="7" t="s">
        <v>213</v>
      </c>
      <c r="L116" s="7" t="s">
        <v>214</v>
      </c>
      <c r="M116" s="7" t="s">
        <v>215</v>
      </c>
      <c r="N116" s="7" t="s">
        <v>33</v>
      </c>
      <c r="O116" s="7">
        <v>1</v>
      </c>
      <c r="P116" s="7" t="s">
        <v>40</v>
      </c>
      <c r="Q116" s="7">
        <v>21.99</v>
      </c>
      <c r="R116" s="7"/>
      <c r="S116" s="7"/>
      <c r="T116" s="7"/>
      <c r="U116" s="7"/>
      <c r="V116" s="7"/>
      <c r="W116" s="7"/>
      <c r="X116" s="7"/>
      <c r="Y116" s="7" t="s">
        <v>722</v>
      </c>
      <c r="Z116" s="7" t="s">
        <v>723</v>
      </c>
      <c r="AA116" s="7" t="s">
        <v>724</v>
      </c>
      <c r="AB116" s="7" t="s">
        <v>44</v>
      </c>
      <c r="AC116" s="7"/>
      <c r="AD116" s="10"/>
      <c r="AE116" s="10"/>
      <c r="AF116" s="10"/>
      <c r="AG116" s="11">
        <f t="shared" si="1"/>
        <v>43264</v>
      </c>
    </row>
    <row r="117" spans="1:33">
      <c r="A117" s="7" t="s">
        <v>727</v>
      </c>
      <c r="B117" s="7" t="s">
        <v>727</v>
      </c>
      <c r="C117" s="7" t="s">
        <v>728</v>
      </c>
      <c r="D117" s="7" t="s">
        <v>729</v>
      </c>
      <c r="E117" s="7" t="s">
        <v>33</v>
      </c>
      <c r="F117" s="7" t="s">
        <v>34</v>
      </c>
      <c r="G117" s="7" t="s">
        <v>35</v>
      </c>
      <c r="H117" s="7"/>
      <c r="I117" s="7"/>
      <c r="J117" s="7" t="s">
        <v>36</v>
      </c>
      <c r="K117" s="7" t="s">
        <v>275</v>
      </c>
      <c r="L117" s="7" t="s">
        <v>276</v>
      </c>
      <c r="M117" s="7" t="s">
        <v>277</v>
      </c>
      <c r="N117" s="7" t="s">
        <v>33</v>
      </c>
      <c r="O117" s="7">
        <v>1</v>
      </c>
      <c r="P117" s="7" t="s">
        <v>40</v>
      </c>
      <c r="Q117" s="7">
        <v>89.99</v>
      </c>
      <c r="R117" s="7"/>
      <c r="S117" s="7"/>
      <c r="T117" s="7"/>
      <c r="U117" s="7"/>
      <c r="V117" s="7"/>
      <c r="W117" s="7"/>
      <c r="X117" s="7"/>
      <c r="Y117" s="7" t="s">
        <v>730</v>
      </c>
      <c r="Z117" s="7" t="s">
        <v>422</v>
      </c>
      <c r="AA117" s="7" t="s">
        <v>731</v>
      </c>
      <c r="AB117" s="7" t="s">
        <v>44</v>
      </c>
      <c r="AC117" s="7"/>
      <c r="AD117" s="10"/>
      <c r="AE117" s="10"/>
      <c r="AF117" s="10"/>
      <c r="AG117" s="11">
        <f t="shared" si="1"/>
        <v>43264</v>
      </c>
    </row>
    <row r="118" spans="1:33">
      <c r="A118" s="7" t="s">
        <v>732</v>
      </c>
      <c r="B118" s="7" t="s">
        <v>732</v>
      </c>
      <c r="C118" s="7" t="s">
        <v>733</v>
      </c>
      <c r="D118" s="7" t="s">
        <v>734</v>
      </c>
      <c r="E118" s="7" t="s">
        <v>33</v>
      </c>
      <c r="F118" s="7" t="s">
        <v>34</v>
      </c>
      <c r="G118" s="7" t="s">
        <v>35</v>
      </c>
      <c r="H118" s="7"/>
      <c r="I118" s="7"/>
      <c r="J118" s="7" t="s">
        <v>36</v>
      </c>
      <c r="K118" s="7" t="s">
        <v>37</v>
      </c>
      <c r="L118" s="7" t="s">
        <v>38</v>
      </c>
      <c r="M118" s="7" t="s">
        <v>39</v>
      </c>
      <c r="N118" s="7" t="s">
        <v>33</v>
      </c>
      <c r="O118" s="7">
        <v>1</v>
      </c>
      <c r="P118" s="7" t="s">
        <v>40</v>
      </c>
      <c r="Q118" s="7">
        <v>89.99</v>
      </c>
      <c r="R118" s="7"/>
      <c r="S118" s="7"/>
      <c r="T118" s="7"/>
      <c r="U118" s="7"/>
      <c r="V118" s="7"/>
      <c r="W118" s="7"/>
      <c r="X118" s="7"/>
      <c r="Y118" s="7" t="s">
        <v>353</v>
      </c>
      <c r="Z118" s="7" t="s">
        <v>735</v>
      </c>
      <c r="AA118" s="7" t="s">
        <v>736</v>
      </c>
      <c r="AB118" s="7" t="s">
        <v>44</v>
      </c>
      <c r="AC118" s="7"/>
      <c r="AD118" s="10"/>
      <c r="AE118" s="10"/>
      <c r="AF118" s="10"/>
      <c r="AG118" s="11">
        <f t="shared" si="1"/>
        <v>43264</v>
      </c>
    </row>
    <row r="119" spans="1:33">
      <c r="A119" s="7" t="s">
        <v>737</v>
      </c>
      <c r="B119" s="7" t="s">
        <v>737</v>
      </c>
      <c r="C119" s="7" t="s">
        <v>738</v>
      </c>
      <c r="D119" s="7" t="s">
        <v>739</v>
      </c>
      <c r="E119" s="7" t="s">
        <v>33</v>
      </c>
      <c r="F119" s="7" t="s">
        <v>34</v>
      </c>
      <c r="G119" s="7" t="s">
        <v>35</v>
      </c>
      <c r="H119" s="7"/>
      <c r="I119" s="7"/>
      <c r="J119" s="7" t="s">
        <v>36</v>
      </c>
      <c r="K119" s="7" t="s">
        <v>59</v>
      </c>
      <c r="L119" s="7" t="s">
        <v>60</v>
      </c>
      <c r="M119" s="7" t="s">
        <v>61</v>
      </c>
      <c r="N119" s="7" t="s">
        <v>33</v>
      </c>
      <c r="O119" s="7">
        <v>1</v>
      </c>
      <c r="P119" s="7" t="s">
        <v>40</v>
      </c>
      <c r="Q119" s="7">
        <v>89.99</v>
      </c>
      <c r="R119" s="7"/>
      <c r="S119" s="7"/>
      <c r="T119" s="7"/>
      <c r="U119" s="7"/>
      <c r="V119" s="7"/>
      <c r="W119" s="7"/>
      <c r="X119" s="7"/>
      <c r="Y119" s="7" t="s">
        <v>740</v>
      </c>
      <c r="Z119" s="7" t="s">
        <v>207</v>
      </c>
      <c r="AA119" s="7" t="s">
        <v>741</v>
      </c>
      <c r="AB119" s="7" t="s">
        <v>44</v>
      </c>
      <c r="AC119" s="7"/>
      <c r="AD119" s="10"/>
      <c r="AE119" s="10"/>
      <c r="AF119" s="10"/>
      <c r="AG119" s="11">
        <f t="shared" si="1"/>
        <v>43264</v>
      </c>
    </row>
    <row r="120" spans="1:33">
      <c r="A120" s="7" t="s">
        <v>742</v>
      </c>
      <c r="B120" s="7" t="s">
        <v>742</v>
      </c>
      <c r="C120" s="7" t="s">
        <v>743</v>
      </c>
      <c r="D120" s="7" t="s">
        <v>744</v>
      </c>
      <c r="E120" s="7" t="s">
        <v>33</v>
      </c>
      <c r="F120" s="7" t="s">
        <v>34</v>
      </c>
      <c r="G120" s="7" t="s">
        <v>35</v>
      </c>
      <c r="H120" s="7"/>
      <c r="I120" s="7"/>
      <c r="J120" s="7" t="s">
        <v>69</v>
      </c>
      <c r="K120" s="7" t="s">
        <v>275</v>
      </c>
      <c r="L120" s="7" t="s">
        <v>276</v>
      </c>
      <c r="M120" s="7" t="s">
        <v>277</v>
      </c>
      <c r="N120" s="7" t="s">
        <v>33</v>
      </c>
      <c r="O120" s="7">
        <v>1</v>
      </c>
      <c r="P120" s="7" t="s">
        <v>40</v>
      </c>
      <c r="Q120" s="7">
        <v>89.99</v>
      </c>
      <c r="R120" s="7"/>
      <c r="S120" s="7">
        <v>7.54</v>
      </c>
      <c r="T120" s="7"/>
      <c r="U120" s="7"/>
      <c r="V120" s="7"/>
      <c r="W120" s="7"/>
      <c r="X120" s="7">
        <v>7.54</v>
      </c>
      <c r="Y120" s="7" t="s">
        <v>626</v>
      </c>
      <c r="Z120" s="7" t="s">
        <v>92</v>
      </c>
      <c r="AA120" s="7" t="s">
        <v>745</v>
      </c>
      <c r="AB120" s="7" t="s">
        <v>44</v>
      </c>
      <c r="AC120" s="7" t="s">
        <v>75</v>
      </c>
      <c r="AD120" s="10"/>
      <c r="AE120" s="10"/>
      <c r="AF120" s="10"/>
      <c r="AG120" s="11">
        <f t="shared" si="1"/>
        <v>43264</v>
      </c>
    </row>
    <row r="121" spans="1:33">
      <c r="A121" s="7" t="s">
        <v>746</v>
      </c>
      <c r="B121" s="7" t="s">
        <v>746</v>
      </c>
      <c r="C121" s="7" t="s">
        <v>747</v>
      </c>
      <c r="D121" s="7" t="s">
        <v>748</v>
      </c>
      <c r="E121" s="7" t="s">
        <v>33</v>
      </c>
      <c r="F121" s="7" t="s">
        <v>34</v>
      </c>
      <c r="G121" s="7" t="s">
        <v>35</v>
      </c>
      <c r="H121" s="7"/>
      <c r="I121" s="7"/>
      <c r="J121" s="7" t="s">
        <v>69</v>
      </c>
      <c r="K121" s="7" t="s">
        <v>749</v>
      </c>
      <c r="L121" s="7" t="s">
        <v>750</v>
      </c>
      <c r="M121" s="7" t="s">
        <v>751</v>
      </c>
      <c r="N121" s="7" t="s">
        <v>33</v>
      </c>
      <c r="O121" s="7">
        <v>1</v>
      </c>
      <c r="P121" s="7" t="s">
        <v>40</v>
      </c>
      <c r="Q121" s="7">
        <v>89.99</v>
      </c>
      <c r="R121" s="7"/>
      <c r="S121" s="7"/>
      <c r="T121" s="7"/>
      <c r="U121" s="7"/>
      <c r="V121" s="7"/>
      <c r="W121" s="7"/>
      <c r="X121" s="7"/>
      <c r="Y121" s="7" t="s">
        <v>752</v>
      </c>
      <c r="Z121" s="7" t="s">
        <v>152</v>
      </c>
      <c r="AA121" s="7" t="s">
        <v>753</v>
      </c>
      <c r="AB121" s="7" t="s">
        <v>44</v>
      </c>
      <c r="AC121" s="7"/>
      <c r="AD121" s="10"/>
      <c r="AE121" s="10"/>
      <c r="AF121" s="10"/>
      <c r="AG121" s="11">
        <f t="shared" si="1"/>
        <v>43264</v>
      </c>
    </row>
    <row r="122" spans="1:33">
      <c r="A122" s="7" t="s">
        <v>754</v>
      </c>
      <c r="B122" s="7" t="s">
        <v>754</v>
      </c>
      <c r="C122" s="7" t="s">
        <v>755</v>
      </c>
      <c r="D122" s="7" t="s">
        <v>756</v>
      </c>
      <c r="E122" s="7" t="s">
        <v>33</v>
      </c>
      <c r="F122" s="7" t="s">
        <v>34</v>
      </c>
      <c r="G122" s="7" t="s">
        <v>35</v>
      </c>
      <c r="H122" s="7"/>
      <c r="I122" s="7"/>
      <c r="J122" s="7" t="s">
        <v>69</v>
      </c>
      <c r="K122" s="7" t="s">
        <v>148</v>
      </c>
      <c r="L122" s="7" t="s">
        <v>149</v>
      </c>
      <c r="M122" s="7" t="s">
        <v>150</v>
      </c>
      <c r="N122" s="7" t="s">
        <v>33</v>
      </c>
      <c r="O122" s="7">
        <v>1</v>
      </c>
      <c r="P122" s="7" t="s">
        <v>40</v>
      </c>
      <c r="Q122" s="7">
        <v>99.99</v>
      </c>
      <c r="R122" s="7"/>
      <c r="S122" s="7">
        <v>7.14</v>
      </c>
      <c r="T122" s="7"/>
      <c r="U122" s="7"/>
      <c r="V122" s="7"/>
      <c r="W122" s="7"/>
      <c r="X122" s="7">
        <v>7.14</v>
      </c>
      <c r="Y122" s="7" t="s">
        <v>757</v>
      </c>
      <c r="Z122" s="7" t="s">
        <v>52</v>
      </c>
      <c r="AA122" s="7" t="s">
        <v>758</v>
      </c>
      <c r="AB122" s="7" t="s">
        <v>44</v>
      </c>
      <c r="AC122" s="7" t="s">
        <v>75</v>
      </c>
      <c r="AD122" s="10"/>
      <c r="AE122" s="10"/>
      <c r="AF122" s="10"/>
      <c r="AG122" s="11">
        <f t="shared" si="1"/>
        <v>43264</v>
      </c>
    </row>
    <row r="123" spans="1:33">
      <c r="A123" s="7" t="s">
        <v>759</v>
      </c>
      <c r="B123" s="7" t="s">
        <v>759</v>
      </c>
      <c r="C123" s="7" t="s">
        <v>760</v>
      </c>
      <c r="D123" s="7" t="s">
        <v>761</v>
      </c>
      <c r="E123" s="7" t="s">
        <v>33</v>
      </c>
      <c r="F123" s="7" t="s">
        <v>34</v>
      </c>
      <c r="G123" s="7" t="s">
        <v>35</v>
      </c>
      <c r="H123" s="7"/>
      <c r="I123" s="7"/>
      <c r="J123" s="7" t="s">
        <v>36</v>
      </c>
      <c r="K123" s="7" t="s">
        <v>79</v>
      </c>
      <c r="L123" s="7" t="s">
        <v>80</v>
      </c>
      <c r="M123" s="7" t="s">
        <v>81</v>
      </c>
      <c r="N123" s="7" t="s">
        <v>33</v>
      </c>
      <c r="O123" s="7">
        <v>1</v>
      </c>
      <c r="P123" s="7" t="s">
        <v>40</v>
      </c>
      <c r="Q123" s="7">
        <v>90.99</v>
      </c>
      <c r="R123" s="7"/>
      <c r="S123" s="7"/>
      <c r="T123" s="7"/>
      <c r="U123" s="7"/>
      <c r="V123" s="7"/>
      <c r="W123" s="7"/>
      <c r="X123" s="7"/>
      <c r="Y123" s="7" t="s">
        <v>762</v>
      </c>
      <c r="Z123" s="7" t="s">
        <v>763</v>
      </c>
      <c r="AA123" s="7" t="s">
        <v>764</v>
      </c>
      <c r="AB123" s="7" t="s">
        <v>44</v>
      </c>
      <c r="AC123" s="7"/>
      <c r="AD123" s="10"/>
      <c r="AE123" s="10"/>
      <c r="AF123" s="10"/>
      <c r="AG123" s="11">
        <f t="shared" si="1"/>
        <v>43264</v>
      </c>
    </row>
    <row r="124" spans="1:33">
      <c r="A124" s="7" t="s">
        <v>765</v>
      </c>
      <c r="B124" s="7" t="s">
        <v>765</v>
      </c>
      <c r="C124" s="7" t="s">
        <v>766</v>
      </c>
      <c r="D124" s="7" t="s">
        <v>767</v>
      </c>
      <c r="E124" s="7" t="s">
        <v>33</v>
      </c>
      <c r="F124" s="7" t="s">
        <v>34</v>
      </c>
      <c r="G124" s="7" t="s">
        <v>35</v>
      </c>
      <c r="H124" s="7"/>
      <c r="I124" s="7"/>
      <c r="J124" s="7" t="s">
        <v>36</v>
      </c>
      <c r="K124" s="7" t="s">
        <v>660</v>
      </c>
      <c r="L124" s="7" t="s">
        <v>661</v>
      </c>
      <c r="M124" s="7" t="s">
        <v>662</v>
      </c>
      <c r="N124" s="7" t="s">
        <v>33</v>
      </c>
      <c r="O124" s="7">
        <v>1</v>
      </c>
      <c r="P124" s="7" t="s">
        <v>40</v>
      </c>
      <c r="Q124" s="7">
        <v>79.99</v>
      </c>
      <c r="R124" s="7"/>
      <c r="S124" s="7"/>
      <c r="T124" s="7"/>
      <c r="U124" s="7"/>
      <c r="V124" s="7"/>
      <c r="W124" s="7"/>
      <c r="X124" s="7"/>
      <c r="Y124" s="7" t="s">
        <v>390</v>
      </c>
      <c r="Z124" s="7" t="s">
        <v>391</v>
      </c>
      <c r="AA124" s="7" t="s">
        <v>768</v>
      </c>
      <c r="AB124" s="7" t="s">
        <v>44</v>
      </c>
      <c r="AC124" s="7"/>
      <c r="AD124" s="10"/>
      <c r="AE124" s="10"/>
      <c r="AF124" s="10"/>
      <c r="AG124" s="11">
        <f t="shared" si="1"/>
        <v>43264</v>
      </c>
    </row>
    <row r="125" spans="1:33">
      <c r="A125" s="7" t="s">
        <v>769</v>
      </c>
      <c r="B125" s="7" t="s">
        <v>769</v>
      </c>
      <c r="C125" s="7" t="s">
        <v>770</v>
      </c>
      <c r="D125" s="7" t="s">
        <v>771</v>
      </c>
      <c r="E125" s="7" t="s">
        <v>33</v>
      </c>
      <c r="F125" s="7" t="s">
        <v>34</v>
      </c>
      <c r="G125" s="7" t="s">
        <v>35</v>
      </c>
      <c r="H125" s="7"/>
      <c r="I125" s="7"/>
      <c r="J125" s="7" t="s">
        <v>36</v>
      </c>
      <c r="K125" s="7" t="s">
        <v>48</v>
      </c>
      <c r="L125" s="7" t="s">
        <v>49</v>
      </c>
      <c r="M125" s="7" t="s">
        <v>50</v>
      </c>
      <c r="N125" s="7" t="s">
        <v>33</v>
      </c>
      <c r="O125" s="7">
        <v>1</v>
      </c>
      <c r="P125" s="7" t="s">
        <v>40</v>
      </c>
      <c r="Q125" s="7">
        <v>89.99</v>
      </c>
      <c r="R125" s="7"/>
      <c r="S125" s="7"/>
      <c r="T125" s="7"/>
      <c r="U125" s="7"/>
      <c r="V125" s="7"/>
      <c r="W125" s="7"/>
      <c r="X125" s="7"/>
      <c r="Y125" s="7" t="s">
        <v>772</v>
      </c>
      <c r="Z125" s="7" t="s">
        <v>484</v>
      </c>
      <c r="AA125" s="7" t="s">
        <v>773</v>
      </c>
      <c r="AB125" s="7" t="s">
        <v>44</v>
      </c>
      <c r="AC125" s="7"/>
      <c r="AD125" s="10"/>
      <c r="AE125" s="10"/>
      <c r="AF125" s="10"/>
      <c r="AG125" s="11">
        <f t="shared" si="1"/>
        <v>43265</v>
      </c>
    </row>
    <row r="126" spans="1:33">
      <c r="A126" s="7" t="s">
        <v>774</v>
      </c>
      <c r="B126" s="7" t="s">
        <v>774</v>
      </c>
      <c r="C126" s="7" t="s">
        <v>775</v>
      </c>
      <c r="D126" s="7" t="s">
        <v>776</v>
      </c>
      <c r="E126" s="7" t="s">
        <v>33</v>
      </c>
      <c r="F126" s="7" t="s">
        <v>34</v>
      </c>
      <c r="G126" s="7" t="s">
        <v>35</v>
      </c>
      <c r="H126" s="7"/>
      <c r="I126" s="7"/>
      <c r="J126" s="7" t="s">
        <v>36</v>
      </c>
      <c r="K126" s="7" t="s">
        <v>275</v>
      </c>
      <c r="L126" s="7" t="s">
        <v>276</v>
      </c>
      <c r="M126" s="7" t="s">
        <v>277</v>
      </c>
      <c r="N126" s="7" t="s">
        <v>33</v>
      </c>
      <c r="O126" s="7">
        <v>1</v>
      </c>
      <c r="P126" s="7" t="s">
        <v>40</v>
      </c>
      <c r="Q126" s="7">
        <v>89.99</v>
      </c>
      <c r="R126" s="7"/>
      <c r="S126" s="7"/>
      <c r="T126" s="7"/>
      <c r="U126" s="7"/>
      <c r="V126" s="7"/>
      <c r="W126" s="7"/>
      <c r="X126" s="7"/>
      <c r="Y126" s="7" t="s">
        <v>777</v>
      </c>
      <c r="Z126" s="7" t="s">
        <v>52</v>
      </c>
      <c r="AA126" s="7" t="s">
        <v>778</v>
      </c>
      <c r="AB126" s="7" t="s">
        <v>44</v>
      </c>
      <c r="AC126" s="7"/>
      <c r="AD126" s="10"/>
      <c r="AE126" s="10"/>
      <c r="AF126" s="10"/>
      <c r="AG126" s="11">
        <f t="shared" si="1"/>
        <v>43265</v>
      </c>
    </row>
    <row r="127" spans="1:33">
      <c r="A127" s="7" t="s">
        <v>779</v>
      </c>
      <c r="B127" s="7" t="s">
        <v>779</v>
      </c>
      <c r="C127" s="7" t="s">
        <v>780</v>
      </c>
      <c r="D127" s="7" t="s">
        <v>781</v>
      </c>
      <c r="E127" s="7" t="s">
        <v>33</v>
      </c>
      <c r="F127" s="7" t="s">
        <v>34</v>
      </c>
      <c r="G127" s="7" t="s">
        <v>35</v>
      </c>
      <c r="H127" s="7"/>
      <c r="I127" s="7"/>
      <c r="J127" s="7" t="s">
        <v>36</v>
      </c>
      <c r="K127" s="7" t="s">
        <v>37</v>
      </c>
      <c r="L127" s="7" t="s">
        <v>38</v>
      </c>
      <c r="M127" s="7" t="s">
        <v>39</v>
      </c>
      <c r="N127" s="7" t="s">
        <v>33</v>
      </c>
      <c r="O127" s="7">
        <v>1</v>
      </c>
      <c r="P127" s="7" t="s">
        <v>40</v>
      </c>
      <c r="Q127" s="7">
        <v>89.99</v>
      </c>
      <c r="R127" s="7"/>
      <c r="S127" s="7"/>
      <c r="T127" s="7"/>
      <c r="U127" s="7"/>
      <c r="V127" s="7"/>
      <c r="W127" s="7"/>
      <c r="X127" s="7"/>
      <c r="Y127" s="7" t="s">
        <v>96</v>
      </c>
      <c r="Z127" s="7" t="s">
        <v>327</v>
      </c>
      <c r="AA127" s="7" t="s">
        <v>782</v>
      </c>
      <c r="AB127" s="7" t="s">
        <v>44</v>
      </c>
      <c r="AC127" s="7"/>
      <c r="AD127" s="10"/>
      <c r="AE127" s="10"/>
      <c r="AF127" s="10"/>
      <c r="AG127" s="11">
        <f t="shared" si="1"/>
        <v>43265</v>
      </c>
    </row>
    <row r="128" spans="1:33">
      <c r="A128" s="7" t="s">
        <v>783</v>
      </c>
      <c r="B128" s="7" t="s">
        <v>783</v>
      </c>
      <c r="C128" s="7" t="s">
        <v>784</v>
      </c>
      <c r="D128" s="7" t="s">
        <v>785</v>
      </c>
      <c r="E128" s="7" t="s">
        <v>33</v>
      </c>
      <c r="F128" s="7" t="s">
        <v>34</v>
      </c>
      <c r="G128" s="7" t="s">
        <v>35</v>
      </c>
      <c r="H128" s="7"/>
      <c r="I128" s="7"/>
      <c r="J128" s="7" t="s">
        <v>36</v>
      </c>
      <c r="K128" s="7" t="s">
        <v>37</v>
      </c>
      <c r="L128" s="7" t="s">
        <v>38</v>
      </c>
      <c r="M128" s="7" t="s">
        <v>39</v>
      </c>
      <c r="N128" s="7" t="s">
        <v>33</v>
      </c>
      <c r="O128" s="7">
        <v>1</v>
      </c>
      <c r="P128" s="7" t="s">
        <v>40</v>
      </c>
      <c r="Q128" s="7">
        <v>89.99</v>
      </c>
      <c r="R128" s="7"/>
      <c r="S128" s="7"/>
      <c r="T128" s="7"/>
      <c r="U128" s="7"/>
      <c r="V128" s="7"/>
      <c r="W128" s="7"/>
      <c r="X128" s="7"/>
      <c r="Y128" s="7" t="s">
        <v>786</v>
      </c>
      <c r="Z128" s="7" t="s">
        <v>787</v>
      </c>
      <c r="AA128" s="7" t="s">
        <v>788</v>
      </c>
      <c r="AB128" s="7" t="s">
        <v>44</v>
      </c>
      <c r="AC128" s="7"/>
      <c r="AD128" s="10"/>
      <c r="AE128" s="10"/>
      <c r="AF128" s="10"/>
      <c r="AG128" s="11">
        <f t="shared" si="1"/>
        <v>43265</v>
      </c>
    </row>
    <row r="129" spans="1:33">
      <c r="A129" s="7" t="s">
        <v>789</v>
      </c>
      <c r="B129" s="7" t="s">
        <v>789</v>
      </c>
      <c r="C129" s="7" t="s">
        <v>790</v>
      </c>
      <c r="D129" s="7" t="s">
        <v>791</v>
      </c>
      <c r="E129" s="7" t="s">
        <v>33</v>
      </c>
      <c r="F129" s="7" t="s">
        <v>34</v>
      </c>
      <c r="G129" s="7" t="s">
        <v>35</v>
      </c>
      <c r="H129" s="7"/>
      <c r="I129" s="7"/>
      <c r="J129" s="7" t="s">
        <v>69</v>
      </c>
      <c r="K129" s="7" t="s">
        <v>123</v>
      </c>
      <c r="L129" s="7" t="s">
        <v>124</v>
      </c>
      <c r="M129" s="7" t="s">
        <v>125</v>
      </c>
      <c r="N129" s="7" t="s">
        <v>33</v>
      </c>
      <c r="O129" s="7">
        <v>1</v>
      </c>
      <c r="P129" s="7" t="s">
        <v>40</v>
      </c>
      <c r="Q129" s="7">
        <v>89.99</v>
      </c>
      <c r="R129" s="7"/>
      <c r="S129" s="7">
        <v>8.39</v>
      </c>
      <c r="T129" s="7"/>
      <c r="U129" s="7"/>
      <c r="V129" s="7"/>
      <c r="W129" s="7"/>
      <c r="X129" s="7"/>
      <c r="Y129" s="7" t="s">
        <v>367</v>
      </c>
      <c r="Z129" s="7" t="s">
        <v>279</v>
      </c>
      <c r="AA129" s="7" t="s">
        <v>792</v>
      </c>
      <c r="AB129" s="7" t="s">
        <v>44</v>
      </c>
      <c r="AC129" s="7"/>
      <c r="AD129" s="10"/>
      <c r="AE129" s="10"/>
      <c r="AF129" s="10"/>
      <c r="AG129" s="11">
        <f t="shared" si="1"/>
        <v>43265</v>
      </c>
    </row>
    <row r="130" spans="1:33">
      <c r="A130" s="7" t="s">
        <v>793</v>
      </c>
      <c r="B130" s="7" t="s">
        <v>793</v>
      </c>
      <c r="C130" s="7" t="s">
        <v>794</v>
      </c>
      <c r="D130" s="7" t="s">
        <v>795</v>
      </c>
      <c r="E130" s="7" t="s">
        <v>33</v>
      </c>
      <c r="F130" s="7" t="s">
        <v>34</v>
      </c>
      <c r="G130" s="7" t="s">
        <v>35</v>
      </c>
      <c r="H130" s="7"/>
      <c r="I130" s="7"/>
      <c r="J130" s="7" t="s">
        <v>36</v>
      </c>
      <c r="K130" s="7" t="s">
        <v>102</v>
      </c>
      <c r="L130" s="7" t="s">
        <v>103</v>
      </c>
      <c r="M130" s="7" t="s">
        <v>104</v>
      </c>
      <c r="N130" s="7" t="s">
        <v>33</v>
      </c>
      <c r="O130" s="7">
        <v>1</v>
      </c>
      <c r="P130" s="7" t="s">
        <v>40</v>
      </c>
      <c r="Q130" s="7">
        <v>89.99</v>
      </c>
      <c r="R130" s="7"/>
      <c r="S130" s="7"/>
      <c r="T130" s="7"/>
      <c r="U130" s="7"/>
      <c r="V130" s="7"/>
      <c r="W130" s="7">
        <v>9</v>
      </c>
      <c r="X130" s="7"/>
      <c r="Y130" s="7" t="s">
        <v>796</v>
      </c>
      <c r="Z130" s="7" t="s">
        <v>152</v>
      </c>
      <c r="AA130" s="7" t="s">
        <v>797</v>
      </c>
      <c r="AB130" s="7" t="s">
        <v>44</v>
      </c>
      <c r="AC130" s="7" t="s">
        <v>798</v>
      </c>
      <c r="AD130" s="10"/>
      <c r="AE130" s="10"/>
      <c r="AF130" s="10"/>
      <c r="AG130" s="11">
        <f t="shared" ref="AG130:AG193" si="2">DATEVALUE(LEFT(C130,10))</f>
        <v>43265</v>
      </c>
    </row>
    <row r="131" spans="1:33">
      <c r="A131" s="7" t="s">
        <v>799</v>
      </c>
      <c r="B131" s="7" t="s">
        <v>799</v>
      </c>
      <c r="C131" s="7" t="s">
        <v>800</v>
      </c>
      <c r="D131" s="7" t="s">
        <v>801</v>
      </c>
      <c r="E131" s="7" t="s">
        <v>33</v>
      </c>
      <c r="F131" s="7" t="s">
        <v>34</v>
      </c>
      <c r="G131" s="7" t="s">
        <v>35</v>
      </c>
      <c r="H131" s="7"/>
      <c r="I131" s="7"/>
      <c r="J131" s="7" t="s">
        <v>36</v>
      </c>
      <c r="K131" s="7" t="s">
        <v>213</v>
      </c>
      <c r="L131" s="7" t="s">
        <v>214</v>
      </c>
      <c r="M131" s="7" t="s">
        <v>215</v>
      </c>
      <c r="N131" s="7" t="s">
        <v>33</v>
      </c>
      <c r="O131" s="7">
        <v>1</v>
      </c>
      <c r="P131" s="7" t="s">
        <v>40</v>
      </c>
      <c r="Q131" s="7">
        <v>21.99</v>
      </c>
      <c r="R131" s="7"/>
      <c r="S131" s="7"/>
      <c r="T131" s="7"/>
      <c r="U131" s="7"/>
      <c r="V131" s="7"/>
      <c r="W131" s="7">
        <v>21.77</v>
      </c>
      <c r="X131" s="7"/>
      <c r="Y131" s="7" t="s">
        <v>41</v>
      </c>
      <c r="Z131" s="7" t="s">
        <v>42</v>
      </c>
      <c r="AA131" s="7" t="s">
        <v>43</v>
      </c>
      <c r="AB131" s="7" t="s">
        <v>44</v>
      </c>
      <c r="AC131" s="7" t="s">
        <v>209</v>
      </c>
      <c r="AD131" s="10"/>
      <c r="AE131" s="10"/>
      <c r="AF131" s="10"/>
      <c r="AG131" s="11">
        <f t="shared" si="2"/>
        <v>43265</v>
      </c>
    </row>
    <row r="132" spans="1:33">
      <c r="A132" s="7" t="s">
        <v>802</v>
      </c>
      <c r="B132" s="7" t="s">
        <v>802</v>
      </c>
      <c r="C132" s="7" t="s">
        <v>803</v>
      </c>
      <c r="D132" s="7" t="s">
        <v>804</v>
      </c>
      <c r="E132" s="7" t="s">
        <v>33</v>
      </c>
      <c r="F132" s="7" t="s">
        <v>34</v>
      </c>
      <c r="G132" s="7" t="s">
        <v>35</v>
      </c>
      <c r="H132" s="7"/>
      <c r="I132" s="7"/>
      <c r="J132" s="7" t="s">
        <v>36</v>
      </c>
      <c r="K132" s="7" t="s">
        <v>364</v>
      </c>
      <c r="L132" s="7" t="s">
        <v>365</v>
      </c>
      <c r="M132" s="7" t="s">
        <v>366</v>
      </c>
      <c r="N132" s="7" t="s">
        <v>33</v>
      </c>
      <c r="O132" s="7">
        <v>1</v>
      </c>
      <c r="P132" s="7" t="s">
        <v>40</v>
      </c>
      <c r="Q132" s="7">
        <v>89.99</v>
      </c>
      <c r="R132" s="7"/>
      <c r="S132" s="7"/>
      <c r="T132" s="7"/>
      <c r="U132" s="7"/>
      <c r="V132" s="7"/>
      <c r="W132" s="7"/>
      <c r="X132" s="7"/>
      <c r="Y132" s="7" t="s">
        <v>805</v>
      </c>
      <c r="Z132" s="7" t="s">
        <v>83</v>
      </c>
      <c r="AA132" s="7" t="s">
        <v>806</v>
      </c>
      <c r="AB132" s="7" t="s">
        <v>44</v>
      </c>
      <c r="AC132" s="7"/>
      <c r="AD132" s="10"/>
      <c r="AE132" s="10"/>
      <c r="AF132" s="10"/>
      <c r="AG132" s="11">
        <f t="shared" si="2"/>
        <v>43265</v>
      </c>
    </row>
    <row r="133" spans="1:33">
      <c r="A133" s="7" t="s">
        <v>807</v>
      </c>
      <c r="B133" s="7" t="s">
        <v>807</v>
      </c>
      <c r="C133" s="7" t="s">
        <v>808</v>
      </c>
      <c r="D133" s="7" t="s">
        <v>809</v>
      </c>
      <c r="E133" s="7" t="s">
        <v>54</v>
      </c>
      <c r="F133" s="7" t="s">
        <v>34</v>
      </c>
      <c r="G133" s="7" t="s">
        <v>35</v>
      </c>
      <c r="H133" s="7"/>
      <c r="I133" s="7"/>
      <c r="J133" s="7" t="s">
        <v>163</v>
      </c>
      <c r="K133" s="7" t="s">
        <v>88</v>
      </c>
      <c r="L133" s="7" t="s">
        <v>89</v>
      </c>
      <c r="M133" s="7" t="s">
        <v>90</v>
      </c>
      <c r="N133" s="7" t="s">
        <v>54</v>
      </c>
      <c r="O133" s="7">
        <v>0</v>
      </c>
      <c r="P133" s="7"/>
      <c r="Q133" s="7"/>
      <c r="R133" s="7"/>
      <c r="S133" s="7"/>
      <c r="T133" s="7"/>
      <c r="U133" s="7"/>
      <c r="V133" s="7"/>
      <c r="W133" s="7"/>
      <c r="X133" s="7"/>
      <c r="Y133" s="7" t="s">
        <v>810</v>
      </c>
      <c r="Z133" s="7" t="s">
        <v>135</v>
      </c>
      <c r="AA133" s="7" t="s">
        <v>811</v>
      </c>
      <c r="AB133" s="7" t="s">
        <v>44</v>
      </c>
      <c r="AC133" s="7"/>
      <c r="AD133" s="10"/>
      <c r="AE133" s="10"/>
      <c r="AF133" s="10"/>
      <c r="AG133" s="11">
        <f t="shared" si="2"/>
        <v>43265</v>
      </c>
    </row>
    <row r="134" spans="1:33">
      <c r="A134" s="7" t="s">
        <v>812</v>
      </c>
      <c r="B134" s="7" t="s">
        <v>812</v>
      </c>
      <c r="C134" s="7" t="s">
        <v>813</v>
      </c>
      <c r="D134" s="7" t="s">
        <v>814</v>
      </c>
      <c r="E134" s="7" t="s">
        <v>54</v>
      </c>
      <c r="F134" s="7" t="s">
        <v>34</v>
      </c>
      <c r="G134" s="7" t="s">
        <v>35</v>
      </c>
      <c r="H134" s="7"/>
      <c r="I134" s="7"/>
      <c r="J134" s="7" t="s">
        <v>36</v>
      </c>
      <c r="K134" s="7" t="s">
        <v>88</v>
      </c>
      <c r="L134" s="7" t="s">
        <v>89</v>
      </c>
      <c r="M134" s="7" t="s">
        <v>90</v>
      </c>
      <c r="N134" s="7" t="s">
        <v>62</v>
      </c>
      <c r="O134" s="7">
        <v>1</v>
      </c>
      <c r="P134" s="7" t="s">
        <v>40</v>
      </c>
      <c r="Q134" s="7">
        <v>89.99</v>
      </c>
      <c r="R134" s="7"/>
      <c r="S134" s="7"/>
      <c r="T134" s="7"/>
      <c r="U134" s="7"/>
      <c r="V134" s="7"/>
      <c r="W134" s="7"/>
      <c r="X134" s="7"/>
      <c r="Y134" s="7" t="s">
        <v>815</v>
      </c>
      <c r="Z134" s="7" t="s">
        <v>816</v>
      </c>
      <c r="AA134" s="7">
        <v>44110</v>
      </c>
      <c r="AB134" s="7" t="s">
        <v>44</v>
      </c>
      <c r="AC134" s="7"/>
      <c r="AD134" s="10"/>
      <c r="AE134" s="10"/>
      <c r="AF134" s="10"/>
      <c r="AG134" s="11">
        <f t="shared" si="2"/>
        <v>43265</v>
      </c>
    </row>
    <row r="135" spans="1:33">
      <c r="A135" s="7" t="s">
        <v>817</v>
      </c>
      <c r="B135" s="7" t="s">
        <v>817</v>
      </c>
      <c r="C135" s="7" t="s">
        <v>818</v>
      </c>
      <c r="D135" s="7" t="s">
        <v>819</v>
      </c>
      <c r="E135" s="7" t="s">
        <v>54</v>
      </c>
      <c r="F135" s="7" t="s">
        <v>34</v>
      </c>
      <c r="G135" s="7" t="s">
        <v>35</v>
      </c>
      <c r="H135" s="7"/>
      <c r="I135" s="7"/>
      <c r="J135" s="7" t="s">
        <v>58</v>
      </c>
      <c r="K135" s="7" t="s">
        <v>820</v>
      </c>
      <c r="L135" s="7" t="s">
        <v>821</v>
      </c>
      <c r="M135" s="7" t="s">
        <v>822</v>
      </c>
      <c r="N135" s="7" t="s">
        <v>54</v>
      </c>
      <c r="O135" s="7">
        <v>0</v>
      </c>
      <c r="P135" s="7"/>
      <c r="Q135" s="7"/>
      <c r="R135" s="7"/>
      <c r="S135" s="7"/>
      <c r="T135" s="7"/>
      <c r="U135" s="7"/>
      <c r="V135" s="7"/>
      <c r="W135" s="7"/>
      <c r="X135" s="7"/>
      <c r="Y135" s="7" t="s">
        <v>823</v>
      </c>
      <c r="Z135" s="7" t="s">
        <v>83</v>
      </c>
      <c r="AA135" s="7" t="s">
        <v>824</v>
      </c>
      <c r="AB135" s="7" t="s">
        <v>44</v>
      </c>
      <c r="AC135" s="7"/>
      <c r="AD135" s="10"/>
      <c r="AE135" s="10"/>
      <c r="AF135" s="10"/>
      <c r="AG135" s="11">
        <f t="shared" si="2"/>
        <v>43265</v>
      </c>
    </row>
    <row r="136" spans="1:33">
      <c r="A136" s="7" t="s">
        <v>825</v>
      </c>
      <c r="B136" s="7" t="s">
        <v>825</v>
      </c>
      <c r="C136" s="7" t="s">
        <v>826</v>
      </c>
      <c r="D136" s="7" t="s">
        <v>827</v>
      </c>
      <c r="E136" s="7" t="s">
        <v>33</v>
      </c>
      <c r="F136" s="7" t="s">
        <v>34</v>
      </c>
      <c r="G136" s="7" t="s">
        <v>35</v>
      </c>
      <c r="H136" s="7"/>
      <c r="I136" s="7"/>
      <c r="J136" s="7" t="s">
        <v>36</v>
      </c>
      <c r="K136" s="7" t="s">
        <v>828</v>
      </c>
      <c r="L136" s="7" t="s">
        <v>829</v>
      </c>
      <c r="M136" s="7" t="s">
        <v>830</v>
      </c>
      <c r="N136" s="7" t="s">
        <v>33</v>
      </c>
      <c r="O136" s="7">
        <v>1</v>
      </c>
      <c r="P136" s="7" t="s">
        <v>40</v>
      </c>
      <c r="Q136" s="7">
        <v>32.99</v>
      </c>
      <c r="R136" s="7"/>
      <c r="S136" s="7"/>
      <c r="T136" s="7"/>
      <c r="U136" s="7"/>
      <c r="V136" s="7"/>
      <c r="W136" s="7"/>
      <c r="X136" s="7"/>
      <c r="Y136" s="7" t="s">
        <v>831</v>
      </c>
      <c r="Z136" s="7" t="s">
        <v>183</v>
      </c>
      <c r="AA136" s="7" t="s">
        <v>832</v>
      </c>
      <c r="AB136" s="7" t="s">
        <v>44</v>
      </c>
      <c r="AC136" s="7"/>
      <c r="AD136" s="10"/>
      <c r="AE136" s="10"/>
      <c r="AF136" s="10"/>
      <c r="AG136" s="11">
        <f t="shared" si="2"/>
        <v>43265</v>
      </c>
    </row>
    <row r="137" spans="1:33">
      <c r="A137" s="7" t="s">
        <v>833</v>
      </c>
      <c r="B137" s="7" t="s">
        <v>833</v>
      </c>
      <c r="C137" s="7" t="s">
        <v>834</v>
      </c>
      <c r="D137" s="7" t="s">
        <v>835</v>
      </c>
      <c r="E137" s="7" t="s">
        <v>33</v>
      </c>
      <c r="F137" s="7" t="s">
        <v>34</v>
      </c>
      <c r="G137" s="7" t="s">
        <v>35</v>
      </c>
      <c r="H137" s="7"/>
      <c r="I137" s="7"/>
      <c r="J137" s="7" t="s">
        <v>69</v>
      </c>
      <c r="K137" s="7" t="s">
        <v>88</v>
      </c>
      <c r="L137" s="7" t="s">
        <v>89</v>
      </c>
      <c r="M137" s="7" t="s">
        <v>90</v>
      </c>
      <c r="N137" s="7" t="s">
        <v>33</v>
      </c>
      <c r="O137" s="7">
        <v>1</v>
      </c>
      <c r="P137" s="7" t="s">
        <v>40</v>
      </c>
      <c r="Q137" s="7">
        <v>89.99</v>
      </c>
      <c r="R137" s="7"/>
      <c r="S137" s="7">
        <v>8.26</v>
      </c>
      <c r="T137" s="7"/>
      <c r="U137" s="7"/>
      <c r="V137" s="7"/>
      <c r="W137" s="7"/>
      <c r="X137" s="7"/>
      <c r="Y137" s="7" t="s">
        <v>836</v>
      </c>
      <c r="Z137" s="7" t="s">
        <v>837</v>
      </c>
      <c r="AA137" s="7" t="s">
        <v>838</v>
      </c>
      <c r="AB137" s="7" t="s">
        <v>44</v>
      </c>
      <c r="AC137" s="7"/>
      <c r="AD137" s="10"/>
      <c r="AE137" s="10"/>
      <c r="AF137" s="10"/>
      <c r="AG137" s="11">
        <f t="shared" si="2"/>
        <v>43265</v>
      </c>
    </row>
    <row r="138" spans="1:33">
      <c r="A138" s="7" t="s">
        <v>839</v>
      </c>
      <c r="B138" s="7" t="s">
        <v>839</v>
      </c>
      <c r="C138" s="7" t="s">
        <v>840</v>
      </c>
      <c r="D138" s="7" t="s">
        <v>841</v>
      </c>
      <c r="E138" s="7" t="s">
        <v>33</v>
      </c>
      <c r="F138" s="7" t="s">
        <v>34</v>
      </c>
      <c r="G138" s="7" t="s">
        <v>35</v>
      </c>
      <c r="H138" s="7"/>
      <c r="I138" s="7"/>
      <c r="J138" s="7" t="s">
        <v>69</v>
      </c>
      <c r="K138" s="7" t="s">
        <v>79</v>
      </c>
      <c r="L138" s="7" t="s">
        <v>80</v>
      </c>
      <c r="M138" s="7" t="s">
        <v>81</v>
      </c>
      <c r="N138" s="7" t="s">
        <v>33</v>
      </c>
      <c r="O138" s="7">
        <v>1</v>
      </c>
      <c r="P138" s="7" t="s">
        <v>40</v>
      </c>
      <c r="Q138" s="7">
        <v>91.99</v>
      </c>
      <c r="R138" s="7"/>
      <c r="S138" s="7">
        <v>8.09</v>
      </c>
      <c r="T138" s="7"/>
      <c r="U138" s="7"/>
      <c r="V138" s="7"/>
      <c r="W138" s="7"/>
      <c r="X138" s="7"/>
      <c r="Y138" s="7" t="s">
        <v>842</v>
      </c>
      <c r="Z138" s="7" t="s">
        <v>52</v>
      </c>
      <c r="AA138" s="7" t="s">
        <v>843</v>
      </c>
      <c r="AB138" s="7" t="s">
        <v>44</v>
      </c>
      <c r="AC138" s="7"/>
      <c r="AD138" s="10"/>
      <c r="AE138" s="10"/>
      <c r="AF138" s="10"/>
      <c r="AG138" s="11">
        <f t="shared" si="2"/>
        <v>43265</v>
      </c>
    </row>
    <row r="139" spans="1:33">
      <c r="A139" s="7" t="s">
        <v>844</v>
      </c>
      <c r="B139" s="7" t="s">
        <v>844</v>
      </c>
      <c r="C139" s="7" t="s">
        <v>845</v>
      </c>
      <c r="D139" s="7" t="s">
        <v>846</v>
      </c>
      <c r="E139" s="7" t="s">
        <v>33</v>
      </c>
      <c r="F139" s="7" t="s">
        <v>34</v>
      </c>
      <c r="G139" s="7" t="s">
        <v>35</v>
      </c>
      <c r="H139" s="7"/>
      <c r="I139" s="7"/>
      <c r="J139" s="7" t="s">
        <v>163</v>
      </c>
      <c r="K139" s="7" t="s">
        <v>566</v>
      </c>
      <c r="L139" s="7" t="s">
        <v>567</v>
      </c>
      <c r="M139" s="7" t="s">
        <v>568</v>
      </c>
      <c r="N139" s="7" t="s">
        <v>33</v>
      </c>
      <c r="O139" s="7">
        <v>1</v>
      </c>
      <c r="P139" s="7" t="s">
        <v>40</v>
      </c>
      <c r="Q139" s="7">
        <v>99.6</v>
      </c>
      <c r="R139" s="7"/>
      <c r="S139" s="7">
        <v>5.99</v>
      </c>
      <c r="T139" s="7"/>
      <c r="U139" s="7"/>
      <c r="V139" s="7"/>
      <c r="W139" s="7"/>
      <c r="X139" s="7">
        <v>5.99</v>
      </c>
      <c r="Y139" s="7" t="s">
        <v>847</v>
      </c>
      <c r="Z139" s="7" t="s">
        <v>83</v>
      </c>
      <c r="AA139" s="7" t="s">
        <v>848</v>
      </c>
      <c r="AB139" s="7" t="s">
        <v>44</v>
      </c>
      <c r="AC139" s="7"/>
      <c r="AD139" s="10"/>
      <c r="AE139" s="10"/>
      <c r="AF139" s="10"/>
      <c r="AG139" s="11">
        <f t="shared" si="2"/>
        <v>43265</v>
      </c>
    </row>
    <row r="140" spans="1:33">
      <c r="A140" s="7" t="s">
        <v>849</v>
      </c>
      <c r="B140" s="7" t="s">
        <v>849</v>
      </c>
      <c r="C140" s="7" t="s">
        <v>850</v>
      </c>
      <c r="D140" s="7" t="s">
        <v>851</v>
      </c>
      <c r="E140" s="7" t="s">
        <v>54</v>
      </c>
      <c r="F140" s="7" t="s">
        <v>34</v>
      </c>
      <c r="G140" s="7" t="s">
        <v>35</v>
      </c>
      <c r="H140" s="7"/>
      <c r="I140" s="7"/>
      <c r="J140" s="7" t="s">
        <v>36</v>
      </c>
      <c r="K140" s="7" t="s">
        <v>852</v>
      </c>
      <c r="L140" s="7" t="s">
        <v>853</v>
      </c>
      <c r="M140" s="7" t="s">
        <v>854</v>
      </c>
      <c r="N140" s="7" t="s">
        <v>62</v>
      </c>
      <c r="O140" s="7">
        <v>1</v>
      </c>
      <c r="P140" s="7" t="s">
        <v>40</v>
      </c>
      <c r="Q140" s="7">
        <v>88.99</v>
      </c>
      <c r="R140" s="7"/>
      <c r="S140" s="7"/>
      <c r="T140" s="7"/>
      <c r="U140" s="7"/>
      <c r="V140" s="7"/>
      <c r="W140" s="7"/>
      <c r="X140" s="7"/>
      <c r="Y140" s="7" t="s">
        <v>855</v>
      </c>
      <c r="Z140" s="7" t="s">
        <v>497</v>
      </c>
      <c r="AA140" s="7" t="s">
        <v>856</v>
      </c>
      <c r="AB140" s="7" t="s">
        <v>44</v>
      </c>
      <c r="AC140" s="7"/>
      <c r="AD140" s="10"/>
      <c r="AE140" s="10"/>
      <c r="AF140" s="10"/>
      <c r="AG140" s="11">
        <f t="shared" si="2"/>
        <v>43265</v>
      </c>
    </row>
    <row r="141" spans="1:33">
      <c r="A141" s="7" t="s">
        <v>857</v>
      </c>
      <c r="B141" s="7" t="s">
        <v>857</v>
      </c>
      <c r="C141" s="7" t="s">
        <v>858</v>
      </c>
      <c r="D141" s="7" t="s">
        <v>859</v>
      </c>
      <c r="E141" s="7" t="s">
        <v>33</v>
      </c>
      <c r="F141" s="7" t="s">
        <v>34</v>
      </c>
      <c r="G141" s="7" t="s">
        <v>35</v>
      </c>
      <c r="H141" s="7"/>
      <c r="I141" s="7"/>
      <c r="J141" s="7" t="s">
        <v>58</v>
      </c>
      <c r="K141" s="7" t="s">
        <v>79</v>
      </c>
      <c r="L141" s="7" t="s">
        <v>80</v>
      </c>
      <c r="M141" s="7" t="s">
        <v>81</v>
      </c>
      <c r="N141" s="7" t="s">
        <v>33</v>
      </c>
      <c r="O141" s="7">
        <v>1</v>
      </c>
      <c r="P141" s="7" t="s">
        <v>40</v>
      </c>
      <c r="Q141" s="7">
        <v>91.99</v>
      </c>
      <c r="R141" s="7"/>
      <c r="S141" s="7">
        <v>6.99</v>
      </c>
      <c r="T141" s="7"/>
      <c r="U141" s="7"/>
      <c r="V141" s="7"/>
      <c r="W141" s="7"/>
      <c r="X141" s="7"/>
      <c r="Y141" s="7" t="s">
        <v>860</v>
      </c>
      <c r="Z141" s="7" t="s">
        <v>861</v>
      </c>
      <c r="AA141" s="7" t="s">
        <v>862</v>
      </c>
      <c r="AB141" s="7" t="s">
        <v>44</v>
      </c>
      <c r="AC141" s="7"/>
      <c r="AD141" s="10"/>
      <c r="AE141" s="10"/>
      <c r="AF141" s="10"/>
      <c r="AG141" s="11">
        <f t="shared" si="2"/>
        <v>43265</v>
      </c>
    </row>
    <row r="142" spans="1:33">
      <c r="A142" s="7" t="s">
        <v>863</v>
      </c>
      <c r="B142" s="7" t="s">
        <v>863</v>
      </c>
      <c r="C142" s="7" t="s">
        <v>864</v>
      </c>
      <c r="D142" s="7" t="s">
        <v>865</v>
      </c>
      <c r="E142" s="7" t="s">
        <v>33</v>
      </c>
      <c r="F142" s="7" t="s">
        <v>34</v>
      </c>
      <c r="G142" s="7" t="s">
        <v>35</v>
      </c>
      <c r="H142" s="7"/>
      <c r="I142" s="7"/>
      <c r="J142" s="7" t="s">
        <v>163</v>
      </c>
      <c r="K142" s="7" t="s">
        <v>632</v>
      </c>
      <c r="L142" s="7" t="s">
        <v>633</v>
      </c>
      <c r="M142" s="7" t="s">
        <v>634</v>
      </c>
      <c r="N142" s="7" t="s">
        <v>33</v>
      </c>
      <c r="O142" s="7">
        <v>1</v>
      </c>
      <c r="P142" s="7" t="s">
        <v>40</v>
      </c>
      <c r="Q142" s="7">
        <v>89.99</v>
      </c>
      <c r="R142" s="7"/>
      <c r="S142" s="7">
        <v>7.99</v>
      </c>
      <c r="T142" s="7"/>
      <c r="U142" s="7"/>
      <c r="V142" s="7"/>
      <c r="W142" s="7"/>
      <c r="X142" s="7">
        <v>7.99</v>
      </c>
      <c r="Y142" s="7" t="s">
        <v>866</v>
      </c>
      <c r="Z142" s="7" t="s">
        <v>152</v>
      </c>
      <c r="AA142" s="7" t="s">
        <v>867</v>
      </c>
      <c r="AB142" s="7" t="s">
        <v>44</v>
      </c>
      <c r="AC142" s="7"/>
      <c r="AD142" s="10"/>
      <c r="AE142" s="10"/>
      <c r="AF142" s="10"/>
      <c r="AG142" s="11">
        <f t="shared" si="2"/>
        <v>43265</v>
      </c>
    </row>
    <row r="143" spans="1:33">
      <c r="A143" s="7" t="s">
        <v>868</v>
      </c>
      <c r="B143" s="7" t="s">
        <v>868</v>
      </c>
      <c r="C143" s="7" t="s">
        <v>869</v>
      </c>
      <c r="D143" s="7" t="s">
        <v>870</v>
      </c>
      <c r="E143" s="7" t="s">
        <v>33</v>
      </c>
      <c r="F143" s="7" t="s">
        <v>34</v>
      </c>
      <c r="G143" s="7" t="s">
        <v>35</v>
      </c>
      <c r="H143" s="7"/>
      <c r="I143" s="7"/>
      <c r="J143" s="7" t="s">
        <v>36</v>
      </c>
      <c r="K143" s="7" t="s">
        <v>226</v>
      </c>
      <c r="L143" s="7" t="s">
        <v>227</v>
      </c>
      <c r="M143" s="7" t="s">
        <v>228</v>
      </c>
      <c r="N143" s="7" t="s">
        <v>33</v>
      </c>
      <c r="O143" s="7">
        <v>1</v>
      </c>
      <c r="P143" s="7" t="s">
        <v>40</v>
      </c>
      <c r="Q143" s="7">
        <v>34.99</v>
      </c>
      <c r="R143" s="7"/>
      <c r="S143" s="7"/>
      <c r="T143" s="7"/>
      <c r="U143" s="7"/>
      <c r="V143" s="7"/>
      <c r="W143" s="7"/>
      <c r="X143" s="7"/>
      <c r="Y143" s="7" t="s">
        <v>871</v>
      </c>
      <c r="Z143" s="7" t="s">
        <v>183</v>
      </c>
      <c r="AA143" s="7">
        <v>37919</v>
      </c>
      <c r="AB143" s="7" t="s">
        <v>44</v>
      </c>
      <c r="AC143" s="7"/>
      <c r="AD143" s="10"/>
      <c r="AE143" s="10"/>
      <c r="AF143" s="10"/>
      <c r="AG143" s="11">
        <f t="shared" si="2"/>
        <v>43265</v>
      </c>
    </row>
    <row r="144" spans="1:33">
      <c r="A144" s="7" t="s">
        <v>872</v>
      </c>
      <c r="B144" s="7" t="s">
        <v>872</v>
      </c>
      <c r="C144" s="7" t="s">
        <v>873</v>
      </c>
      <c r="D144" s="7" t="s">
        <v>874</v>
      </c>
      <c r="E144" s="7" t="s">
        <v>33</v>
      </c>
      <c r="F144" s="7" t="s">
        <v>34</v>
      </c>
      <c r="G144" s="7" t="s">
        <v>35</v>
      </c>
      <c r="H144" s="7"/>
      <c r="I144" s="7"/>
      <c r="J144" s="7" t="s">
        <v>36</v>
      </c>
      <c r="K144" s="7" t="s">
        <v>131</v>
      </c>
      <c r="L144" s="7" t="s">
        <v>132</v>
      </c>
      <c r="M144" s="7" t="s">
        <v>133</v>
      </c>
      <c r="N144" s="7" t="s">
        <v>33</v>
      </c>
      <c r="O144" s="7">
        <v>1</v>
      </c>
      <c r="P144" s="7" t="s">
        <v>40</v>
      </c>
      <c r="Q144" s="7">
        <v>89.99</v>
      </c>
      <c r="R144" s="7"/>
      <c r="S144" s="7"/>
      <c r="T144" s="7"/>
      <c r="U144" s="7"/>
      <c r="V144" s="7"/>
      <c r="W144" s="7"/>
      <c r="X144" s="7"/>
      <c r="Y144" s="7" t="s">
        <v>875</v>
      </c>
      <c r="Z144" s="7" t="s">
        <v>92</v>
      </c>
      <c r="AA144" s="7">
        <v>8515</v>
      </c>
      <c r="AB144" s="7" t="s">
        <v>44</v>
      </c>
      <c r="AC144" s="7"/>
      <c r="AD144" s="10"/>
      <c r="AE144" s="10"/>
      <c r="AF144" s="10"/>
      <c r="AG144" s="11">
        <f t="shared" si="2"/>
        <v>43265</v>
      </c>
    </row>
    <row r="145" spans="1:33">
      <c r="A145" s="7" t="s">
        <v>876</v>
      </c>
      <c r="B145" s="7" t="s">
        <v>876</v>
      </c>
      <c r="C145" s="7" t="s">
        <v>877</v>
      </c>
      <c r="D145" s="7" t="s">
        <v>878</v>
      </c>
      <c r="E145" s="7" t="s">
        <v>33</v>
      </c>
      <c r="F145" s="7" t="s">
        <v>34</v>
      </c>
      <c r="G145" s="7" t="s">
        <v>35</v>
      </c>
      <c r="H145" s="7"/>
      <c r="I145" s="7"/>
      <c r="J145" s="7" t="s">
        <v>36</v>
      </c>
      <c r="K145" s="7" t="s">
        <v>148</v>
      </c>
      <c r="L145" s="7" t="s">
        <v>149</v>
      </c>
      <c r="M145" s="7" t="s">
        <v>150</v>
      </c>
      <c r="N145" s="7" t="s">
        <v>33</v>
      </c>
      <c r="O145" s="7">
        <v>1</v>
      </c>
      <c r="P145" s="7" t="s">
        <v>40</v>
      </c>
      <c r="Q145" s="7">
        <v>98.99</v>
      </c>
      <c r="R145" s="7">
        <v>5.94</v>
      </c>
      <c r="S145" s="7"/>
      <c r="T145" s="7"/>
      <c r="U145" s="7"/>
      <c r="V145" s="7"/>
      <c r="W145" s="7"/>
      <c r="X145" s="7"/>
      <c r="Y145" s="7" t="s">
        <v>879</v>
      </c>
      <c r="Z145" s="7" t="s">
        <v>880</v>
      </c>
      <c r="AA145" s="7" t="s">
        <v>881</v>
      </c>
      <c r="AB145" s="7" t="s">
        <v>44</v>
      </c>
      <c r="AC145" s="7"/>
      <c r="AD145" s="10"/>
      <c r="AE145" s="10"/>
      <c r="AF145" s="10"/>
      <c r="AG145" s="11">
        <f t="shared" si="2"/>
        <v>43265</v>
      </c>
    </row>
    <row r="146" spans="1:33">
      <c r="A146" s="7" t="s">
        <v>882</v>
      </c>
      <c r="B146" s="7" t="s">
        <v>882</v>
      </c>
      <c r="C146" s="7" t="s">
        <v>883</v>
      </c>
      <c r="D146" s="7" t="s">
        <v>884</v>
      </c>
      <c r="E146" s="7" t="s">
        <v>33</v>
      </c>
      <c r="F146" s="7" t="s">
        <v>34</v>
      </c>
      <c r="G146" s="7" t="s">
        <v>35</v>
      </c>
      <c r="H146" s="7"/>
      <c r="I146" s="7"/>
      <c r="J146" s="7" t="s">
        <v>69</v>
      </c>
      <c r="K146" s="7" t="s">
        <v>387</v>
      </c>
      <c r="L146" s="7" t="s">
        <v>388</v>
      </c>
      <c r="M146" s="7" t="s">
        <v>389</v>
      </c>
      <c r="N146" s="7" t="s">
        <v>33</v>
      </c>
      <c r="O146" s="7">
        <v>1</v>
      </c>
      <c r="P146" s="7" t="s">
        <v>40</v>
      </c>
      <c r="Q146" s="7">
        <v>32.99</v>
      </c>
      <c r="R146" s="7"/>
      <c r="S146" s="7">
        <v>5.74</v>
      </c>
      <c r="T146" s="7"/>
      <c r="U146" s="7"/>
      <c r="V146" s="7"/>
      <c r="W146" s="7"/>
      <c r="X146" s="7">
        <v>5.74</v>
      </c>
      <c r="Y146" s="7" t="s">
        <v>885</v>
      </c>
      <c r="Z146" s="7" t="s">
        <v>83</v>
      </c>
      <c r="AA146" s="7" t="s">
        <v>886</v>
      </c>
      <c r="AB146" s="7" t="s">
        <v>44</v>
      </c>
      <c r="AC146" s="7" t="s">
        <v>75</v>
      </c>
      <c r="AD146" s="10"/>
      <c r="AE146" s="10"/>
      <c r="AF146" s="10"/>
      <c r="AG146" s="11">
        <f t="shared" si="2"/>
        <v>43265</v>
      </c>
    </row>
    <row r="147" spans="1:33">
      <c r="A147" s="7" t="s">
        <v>887</v>
      </c>
      <c r="B147" s="7" t="s">
        <v>887</v>
      </c>
      <c r="C147" s="7" t="s">
        <v>888</v>
      </c>
      <c r="D147" s="7" t="s">
        <v>889</v>
      </c>
      <c r="E147" s="7" t="s">
        <v>33</v>
      </c>
      <c r="F147" s="7" t="s">
        <v>34</v>
      </c>
      <c r="G147" s="7" t="s">
        <v>35</v>
      </c>
      <c r="H147" s="7"/>
      <c r="I147" s="7"/>
      <c r="J147" s="7" t="s">
        <v>36</v>
      </c>
      <c r="K147" s="7" t="s">
        <v>70</v>
      </c>
      <c r="L147" s="7" t="s">
        <v>71</v>
      </c>
      <c r="M147" s="7" t="s">
        <v>72</v>
      </c>
      <c r="N147" s="7" t="s">
        <v>33</v>
      </c>
      <c r="O147" s="7">
        <v>1</v>
      </c>
      <c r="P147" s="7" t="s">
        <v>40</v>
      </c>
      <c r="Q147" s="7">
        <v>79.99</v>
      </c>
      <c r="R147" s="7"/>
      <c r="S147" s="7"/>
      <c r="T147" s="7"/>
      <c r="U147" s="7"/>
      <c r="V147" s="7"/>
      <c r="W147" s="7"/>
      <c r="X147" s="7"/>
      <c r="Y147" s="7" t="s">
        <v>890</v>
      </c>
      <c r="Z147" s="7" t="s">
        <v>92</v>
      </c>
      <c r="AA147" s="7" t="s">
        <v>891</v>
      </c>
      <c r="AB147" s="7" t="s">
        <v>44</v>
      </c>
      <c r="AC147" s="7"/>
      <c r="AD147" s="10"/>
      <c r="AE147" s="10"/>
      <c r="AF147" s="10"/>
      <c r="AG147" s="11">
        <f t="shared" si="2"/>
        <v>43265</v>
      </c>
    </row>
    <row r="148" spans="1:33">
      <c r="A148" s="7" t="s">
        <v>892</v>
      </c>
      <c r="B148" s="7" t="s">
        <v>892</v>
      </c>
      <c r="C148" s="7" t="s">
        <v>893</v>
      </c>
      <c r="D148" s="7" t="s">
        <v>894</v>
      </c>
      <c r="E148" s="7" t="s">
        <v>33</v>
      </c>
      <c r="F148" s="7" t="s">
        <v>34</v>
      </c>
      <c r="G148" s="7" t="s">
        <v>35</v>
      </c>
      <c r="H148" s="7"/>
      <c r="I148" s="7"/>
      <c r="J148" s="7" t="s">
        <v>69</v>
      </c>
      <c r="K148" s="7" t="s">
        <v>79</v>
      </c>
      <c r="L148" s="7" t="s">
        <v>80</v>
      </c>
      <c r="M148" s="7" t="s">
        <v>81</v>
      </c>
      <c r="N148" s="7" t="s">
        <v>33</v>
      </c>
      <c r="O148" s="7">
        <v>1</v>
      </c>
      <c r="P148" s="7" t="s">
        <v>40</v>
      </c>
      <c r="Q148" s="7">
        <v>90.99</v>
      </c>
      <c r="R148" s="7"/>
      <c r="S148" s="7"/>
      <c r="T148" s="7"/>
      <c r="U148" s="7"/>
      <c r="V148" s="7"/>
      <c r="W148" s="7"/>
      <c r="X148" s="7"/>
      <c r="Y148" s="7" t="s">
        <v>895</v>
      </c>
      <c r="Z148" s="7" t="s">
        <v>83</v>
      </c>
      <c r="AA148" s="7" t="s">
        <v>896</v>
      </c>
      <c r="AB148" s="7" t="s">
        <v>44</v>
      </c>
      <c r="AC148" s="7"/>
      <c r="AD148" s="10"/>
      <c r="AE148" s="10"/>
      <c r="AF148" s="10"/>
      <c r="AG148" s="11">
        <f t="shared" si="2"/>
        <v>43265</v>
      </c>
    </row>
    <row r="149" spans="1:33">
      <c r="A149" s="7" t="s">
        <v>897</v>
      </c>
      <c r="B149" s="7" t="s">
        <v>897</v>
      </c>
      <c r="C149" s="7" t="s">
        <v>898</v>
      </c>
      <c r="D149" s="7" t="s">
        <v>899</v>
      </c>
      <c r="E149" s="7" t="s">
        <v>33</v>
      </c>
      <c r="F149" s="7" t="s">
        <v>34</v>
      </c>
      <c r="G149" s="7" t="s">
        <v>35</v>
      </c>
      <c r="H149" s="7"/>
      <c r="I149" s="7"/>
      <c r="J149" s="7" t="s">
        <v>36</v>
      </c>
      <c r="K149" s="7" t="s">
        <v>59</v>
      </c>
      <c r="L149" s="7" t="s">
        <v>60</v>
      </c>
      <c r="M149" s="7" t="s">
        <v>61</v>
      </c>
      <c r="N149" s="7" t="s">
        <v>33</v>
      </c>
      <c r="O149" s="7">
        <v>1</v>
      </c>
      <c r="P149" s="7" t="s">
        <v>40</v>
      </c>
      <c r="Q149" s="7">
        <v>89.99</v>
      </c>
      <c r="R149" s="7"/>
      <c r="S149" s="7"/>
      <c r="T149" s="7"/>
      <c r="U149" s="7"/>
      <c r="V149" s="7"/>
      <c r="W149" s="7"/>
      <c r="X149" s="7"/>
      <c r="Y149" s="7" t="s">
        <v>900</v>
      </c>
      <c r="Z149" s="7" t="s">
        <v>316</v>
      </c>
      <c r="AA149" s="7" t="s">
        <v>901</v>
      </c>
      <c r="AB149" s="7" t="s">
        <v>44</v>
      </c>
      <c r="AC149" s="7"/>
      <c r="AD149" s="10"/>
      <c r="AE149" s="10"/>
      <c r="AF149" s="10"/>
      <c r="AG149" s="11">
        <f t="shared" si="2"/>
        <v>43265</v>
      </c>
    </row>
    <row r="150" spans="1:33">
      <c r="A150" s="7" t="s">
        <v>902</v>
      </c>
      <c r="B150" s="7" t="s">
        <v>902</v>
      </c>
      <c r="C150" s="7" t="s">
        <v>903</v>
      </c>
      <c r="D150" s="7" t="s">
        <v>904</v>
      </c>
      <c r="E150" s="7" t="s">
        <v>33</v>
      </c>
      <c r="F150" s="7" t="s">
        <v>34</v>
      </c>
      <c r="G150" s="7" t="s">
        <v>35</v>
      </c>
      <c r="H150" s="7"/>
      <c r="I150" s="7"/>
      <c r="J150" s="7" t="s">
        <v>58</v>
      </c>
      <c r="K150" s="7" t="s">
        <v>905</v>
      </c>
      <c r="L150" s="7" t="s">
        <v>906</v>
      </c>
      <c r="M150" s="7" t="s">
        <v>907</v>
      </c>
      <c r="N150" s="7" t="s">
        <v>33</v>
      </c>
      <c r="O150" s="7">
        <v>1</v>
      </c>
      <c r="P150" s="7" t="s">
        <v>40</v>
      </c>
      <c r="Q150" s="7">
        <v>19.99</v>
      </c>
      <c r="R150" s="7"/>
      <c r="S150" s="7">
        <v>3.99</v>
      </c>
      <c r="T150" s="7"/>
      <c r="U150" s="7"/>
      <c r="V150" s="7"/>
      <c r="W150" s="7"/>
      <c r="X150" s="7"/>
      <c r="Y150" s="7" t="s">
        <v>51</v>
      </c>
      <c r="Z150" s="7" t="s">
        <v>52</v>
      </c>
      <c r="AA150" s="7" t="s">
        <v>908</v>
      </c>
      <c r="AB150" s="7" t="s">
        <v>44</v>
      </c>
      <c r="AC150" s="7"/>
      <c r="AD150" s="10"/>
      <c r="AE150" s="10"/>
      <c r="AF150" s="10"/>
      <c r="AG150" s="11">
        <f t="shared" si="2"/>
        <v>43265</v>
      </c>
    </row>
    <row r="151" spans="1:33">
      <c r="A151" s="7" t="s">
        <v>909</v>
      </c>
      <c r="B151" s="7" t="s">
        <v>909</v>
      </c>
      <c r="C151" s="7" t="s">
        <v>910</v>
      </c>
      <c r="D151" s="7" t="s">
        <v>911</v>
      </c>
      <c r="E151" s="7" t="s">
        <v>33</v>
      </c>
      <c r="F151" s="7" t="s">
        <v>34</v>
      </c>
      <c r="G151" s="7" t="s">
        <v>35</v>
      </c>
      <c r="H151" s="7"/>
      <c r="I151" s="7"/>
      <c r="J151" s="7" t="s">
        <v>69</v>
      </c>
      <c r="K151" s="7" t="s">
        <v>79</v>
      </c>
      <c r="L151" s="7" t="s">
        <v>80</v>
      </c>
      <c r="M151" s="7" t="s">
        <v>81</v>
      </c>
      <c r="N151" s="7" t="s">
        <v>33</v>
      </c>
      <c r="O151" s="7">
        <v>1</v>
      </c>
      <c r="P151" s="7" t="s">
        <v>40</v>
      </c>
      <c r="Q151" s="7">
        <v>90.99</v>
      </c>
      <c r="R151" s="7"/>
      <c r="S151" s="7">
        <v>6.9</v>
      </c>
      <c r="T151" s="7"/>
      <c r="U151" s="7"/>
      <c r="V151" s="7"/>
      <c r="W151" s="7"/>
      <c r="X151" s="7">
        <v>6.9</v>
      </c>
      <c r="Y151" s="7" t="s">
        <v>912</v>
      </c>
      <c r="Z151" s="7" t="s">
        <v>279</v>
      </c>
      <c r="AA151" s="7" t="s">
        <v>913</v>
      </c>
      <c r="AB151" s="7" t="s">
        <v>44</v>
      </c>
      <c r="AC151" s="7" t="s">
        <v>75</v>
      </c>
      <c r="AD151" s="10"/>
      <c r="AE151" s="10"/>
      <c r="AF151" s="10"/>
      <c r="AG151" s="11">
        <f t="shared" si="2"/>
        <v>43265</v>
      </c>
    </row>
    <row r="152" spans="1:33">
      <c r="A152" s="7" t="s">
        <v>914</v>
      </c>
      <c r="B152" s="7" t="s">
        <v>914</v>
      </c>
      <c r="C152" s="7" t="s">
        <v>915</v>
      </c>
      <c r="D152" s="7" t="s">
        <v>916</v>
      </c>
      <c r="E152" s="7" t="s">
        <v>33</v>
      </c>
      <c r="F152" s="7" t="s">
        <v>34</v>
      </c>
      <c r="G152" s="7" t="s">
        <v>35</v>
      </c>
      <c r="H152" s="7"/>
      <c r="I152" s="7"/>
      <c r="J152" s="7" t="s">
        <v>36</v>
      </c>
      <c r="K152" s="7" t="s">
        <v>59</v>
      </c>
      <c r="L152" s="7" t="s">
        <v>60</v>
      </c>
      <c r="M152" s="7" t="s">
        <v>61</v>
      </c>
      <c r="N152" s="7" t="s">
        <v>33</v>
      </c>
      <c r="O152" s="7">
        <v>1</v>
      </c>
      <c r="P152" s="7" t="s">
        <v>40</v>
      </c>
      <c r="Q152" s="7">
        <v>89.99</v>
      </c>
      <c r="R152" s="7"/>
      <c r="S152" s="7"/>
      <c r="T152" s="7"/>
      <c r="U152" s="7"/>
      <c r="V152" s="7"/>
      <c r="W152" s="7"/>
      <c r="X152" s="7"/>
      <c r="Y152" s="7" t="s">
        <v>917</v>
      </c>
      <c r="Z152" s="7" t="s">
        <v>83</v>
      </c>
      <c r="AA152" s="7" t="s">
        <v>918</v>
      </c>
      <c r="AB152" s="7" t="s">
        <v>44</v>
      </c>
      <c r="AC152" s="7"/>
      <c r="AD152" s="10"/>
      <c r="AE152" s="10"/>
      <c r="AF152" s="10"/>
      <c r="AG152" s="11">
        <f t="shared" si="2"/>
        <v>43265</v>
      </c>
    </row>
    <row r="153" spans="1:33">
      <c r="A153" s="7" t="s">
        <v>919</v>
      </c>
      <c r="B153" s="7" t="s">
        <v>919</v>
      </c>
      <c r="C153" s="7" t="s">
        <v>920</v>
      </c>
      <c r="D153" s="7" t="s">
        <v>921</v>
      </c>
      <c r="E153" s="7" t="s">
        <v>33</v>
      </c>
      <c r="F153" s="7" t="s">
        <v>34</v>
      </c>
      <c r="G153" s="7" t="s">
        <v>35</v>
      </c>
      <c r="H153" s="7"/>
      <c r="I153" s="7"/>
      <c r="J153" s="7" t="s">
        <v>36</v>
      </c>
      <c r="K153" s="7" t="s">
        <v>79</v>
      </c>
      <c r="L153" s="7" t="s">
        <v>80</v>
      </c>
      <c r="M153" s="7" t="s">
        <v>81</v>
      </c>
      <c r="N153" s="7" t="s">
        <v>33</v>
      </c>
      <c r="O153" s="7">
        <v>1</v>
      </c>
      <c r="P153" s="7" t="s">
        <v>40</v>
      </c>
      <c r="Q153" s="7">
        <v>90.99</v>
      </c>
      <c r="R153" s="7"/>
      <c r="S153" s="7"/>
      <c r="T153" s="7"/>
      <c r="U153" s="7"/>
      <c r="V153" s="7"/>
      <c r="W153" s="7"/>
      <c r="X153" s="7"/>
      <c r="Y153" s="7" t="s">
        <v>922</v>
      </c>
      <c r="Z153" s="7" t="s">
        <v>354</v>
      </c>
      <c r="AA153" s="7" t="s">
        <v>923</v>
      </c>
      <c r="AB153" s="7" t="s">
        <v>44</v>
      </c>
      <c r="AC153" s="7"/>
      <c r="AD153" s="10"/>
      <c r="AE153" s="10"/>
      <c r="AF153" s="10"/>
      <c r="AG153" s="11">
        <f t="shared" si="2"/>
        <v>43265</v>
      </c>
    </row>
    <row r="154" spans="1:33">
      <c r="A154" s="7" t="s">
        <v>924</v>
      </c>
      <c r="B154" s="7" t="s">
        <v>924</v>
      </c>
      <c r="C154" s="7" t="s">
        <v>925</v>
      </c>
      <c r="D154" s="7" t="s">
        <v>926</v>
      </c>
      <c r="E154" s="7" t="s">
        <v>33</v>
      </c>
      <c r="F154" s="7" t="s">
        <v>34</v>
      </c>
      <c r="G154" s="7" t="s">
        <v>35</v>
      </c>
      <c r="H154" s="7"/>
      <c r="I154" s="7"/>
      <c r="J154" s="7" t="s">
        <v>58</v>
      </c>
      <c r="K154" s="7" t="s">
        <v>102</v>
      </c>
      <c r="L154" s="7" t="s">
        <v>103</v>
      </c>
      <c r="M154" s="7" t="s">
        <v>104</v>
      </c>
      <c r="N154" s="7" t="s">
        <v>33</v>
      </c>
      <c r="O154" s="7">
        <v>1</v>
      </c>
      <c r="P154" s="7" t="s">
        <v>40</v>
      </c>
      <c r="Q154" s="7">
        <v>89.99</v>
      </c>
      <c r="R154" s="7"/>
      <c r="S154" s="7">
        <v>6.99</v>
      </c>
      <c r="T154" s="7"/>
      <c r="U154" s="7"/>
      <c r="V154" s="7"/>
      <c r="W154" s="7">
        <v>9</v>
      </c>
      <c r="X154" s="7"/>
      <c r="Y154" s="7" t="s">
        <v>927</v>
      </c>
      <c r="Z154" s="7" t="s">
        <v>52</v>
      </c>
      <c r="AA154" s="7" t="s">
        <v>928</v>
      </c>
      <c r="AB154" s="7" t="s">
        <v>44</v>
      </c>
      <c r="AC154" s="7" t="s">
        <v>798</v>
      </c>
      <c r="AD154" s="10"/>
      <c r="AE154" s="10"/>
      <c r="AF154" s="10"/>
      <c r="AG154" s="11">
        <f t="shared" si="2"/>
        <v>43265</v>
      </c>
    </row>
    <row r="155" spans="1:33">
      <c r="A155" s="7" t="s">
        <v>929</v>
      </c>
      <c r="B155" s="7" t="s">
        <v>929</v>
      </c>
      <c r="C155" s="7" t="s">
        <v>930</v>
      </c>
      <c r="D155" s="7" t="s">
        <v>931</v>
      </c>
      <c r="E155" s="7" t="s">
        <v>33</v>
      </c>
      <c r="F155" s="7" t="s">
        <v>34</v>
      </c>
      <c r="G155" s="7" t="s">
        <v>35</v>
      </c>
      <c r="H155" s="7"/>
      <c r="I155" s="7"/>
      <c r="J155" s="7" t="s">
        <v>69</v>
      </c>
      <c r="K155" s="7" t="s">
        <v>79</v>
      </c>
      <c r="L155" s="7" t="s">
        <v>80</v>
      </c>
      <c r="M155" s="7" t="s">
        <v>81</v>
      </c>
      <c r="N155" s="7" t="s">
        <v>33</v>
      </c>
      <c r="O155" s="7">
        <v>1</v>
      </c>
      <c r="P155" s="7" t="s">
        <v>40</v>
      </c>
      <c r="Q155" s="7">
        <v>90.99</v>
      </c>
      <c r="R155" s="7"/>
      <c r="S155" s="7">
        <v>6.9</v>
      </c>
      <c r="T155" s="7"/>
      <c r="U155" s="7"/>
      <c r="V155" s="7"/>
      <c r="W155" s="7"/>
      <c r="X155" s="7">
        <v>6.9</v>
      </c>
      <c r="Y155" s="7" t="s">
        <v>932</v>
      </c>
      <c r="Z155" s="7" t="s">
        <v>64</v>
      </c>
      <c r="AA155" s="7" t="s">
        <v>933</v>
      </c>
      <c r="AB155" s="7" t="s">
        <v>44</v>
      </c>
      <c r="AC155" s="7" t="s">
        <v>75</v>
      </c>
      <c r="AD155" s="10"/>
      <c r="AE155" s="10"/>
      <c r="AF155" s="10"/>
      <c r="AG155" s="11">
        <f t="shared" si="2"/>
        <v>43265</v>
      </c>
    </row>
    <row r="156" spans="1:33">
      <c r="A156" s="7" t="s">
        <v>934</v>
      </c>
      <c r="B156" s="7" t="s">
        <v>934</v>
      </c>
      <c r="C156" s="7" t="s">
        <v>935</v>
      </c>
      <c r="D156" s="7" t="s">
        <v>936</v>
      </c>
      <c r="E156" s="7" t="s">
        <v>33</v>
      </c>
      <c r="F156" s="7" t="s">
        <v>34</v>
      </c>
      <c r="G156" s="7" t="s">
        <v>35</v>
      </c>
      <c r="H156" s="7"/>
      <c r="I156" s="7"/>
      <c r="J156" s="7" t="s">
        <v>36</v>
      </c>
      <c r="K156" s="7" t="s">
        <v>79</v>
      </c>
      <c r="L156" s="7" t="s">
        <v>80</v>
      </c>
      <c r="M156" s="7" t="s">
        <v>81</v>
      </c>
      <c r="N156" s="7" t="s">
        <v>33</v>
      </c>
      <c r="O156" s="7">
        <v>1</v>
      </c>
      <c r="P156" s="7" t="s">
        <v>40</v>
      </c>
      <c r="Q156" s="7">
        <v>90.99</v>
      </c>
      <c r="R156" s="7"/>
      <c r="S156" s="7"/>
      <c r="T156" s="7"/>
      <c r="U156" s="7"/>
      <c r="V156" s="7"/>
      <c r="W156" s="7"/>
      <c r="X156" s="7"/>
      <c r="Y156" s="7" t="s">
        <v>937</v>
      </c>
      <c r="Z156" s="7" t="s">
        <v>92</v>
      </c>
      <c r="AA156" s="7" t="s">
        <v>938</v>
      </c>
      <c r="AB156" s="7" t="s">
        <v>44</v>
      </c>
      <c r="AC156" s="7"/>
      <c r="AD156" s="10"/>
      <c r="AE156" s="10"/>
      <c r="AF156" s="10"/>
      <c r="AG156" s="11">
        <f t="shared" si="2"/>
        <v>43265</v>
      </c>
    </row>
    <row r="157" spans="1:33">
      <c r="A157" s="7" t="s">
        <v>939</v>
      </c>
      <c r="B157" s="7" t="s">
        <v>939</v>
      </c>
      <c r="C157" s="7" t="s">
        <v>940</v>
      </c>
      <c r="D157" s="7" t="s">
        <v>941</v>
      </c>
      <c r="E157" s="7" t="s">
        <v>33</v>
      </c>
      <c r="F157" s="7" t="s">
        <v>34</v>
      </c>
      <c r="G157" s="7" t="s">
        <v>35</v>
      </c>
      <c r="H157" s="7"/>
      <c r="I157" s="7"/>
      <c r="J157" s="7" t="s">
        <v>36</v>
      </c>
      <c r="K157" s="7" t="s">
        <v>88</v>
      </c>
      <c r="L157" s="7" t="s">
        <v>89</v>
      </c>
      <c r="M157" s="7" t="s">
        <v>90</v>
      </c>
      <c r="N157" s="7" t="s">
        <v>33</v>
      </c>
      <c r="O157" s="7">
        <v>1</v>
      </c>
      <c r="P157" s="7" t="s">
        <v>40</v>
      </c>
      <c r="Q157" s="7">
        <v>89.99</v>
      </c>
      <c r="R157" s="7"/>
      <c r="S157" s="7"/>
      <c r="T157" s="7"/>
      <c r="U157" s="7"/>
      <c r="V157" s="7"/>
      <c r="W157" s="7"/>
      <c r="X157" s="7"/>
      <c r="Y157" s="7" t="s">
        <v>942</v>
      </c>
      <c r="Z157" s="7" t="s">
        <v>440</v>
      </c>
      <c r="AA157" s="7">
        <v>31535</v>
      </c>
      <c r="AB157" s="7" t="s">
        <v>44</v>
      </c>
      <c r="AC157" s="7"/>
      <c r="AD157" s="10"/>
      <c r="AE157" s="10"/>
      <c r="AF157" s="10"/>
      <c r="AG157" s="11">
        <f t="shared" si="2"/>
        <v>43265</v>
      </c>
    </row>
    <row r="158" spans="1:33">
      <c r="A158" s="7" t="s">
        <v>943</v>
      </c>
      <c r="B158" s="7" t="s">
        <v>943</v>
      </c>
      <c r="C158" s="7" t="s">
        <v>944</v>
      </c>
      <c r="D158" s="7" t="s">
        <v>945</v>
      </c>
      <c r="E158" s="7" t="s">
        <v>54</v>
      </c>
      <c r="F158" s="7" t="s">
        <v>34</v>
      </c>
      <c r="G158" s="7" t="s">
        <v>35</v>
      </c>
      <c r="H158" s="7"/>
      <c r="I158" s="7"/>
      <c r="J158" s="7" t="s">
        <v>36</v>
      </c>
      <c r="K158" s="7" t="s">
        <v>88</v>
      </c>
      <c r="L158" s="7" t="s">
        <v>89</v>
      </c>
      <c r="M158" s="7" t="s">
        <v>90</v>
      </c>
      <c r="N158" s="7" t="s">
        <v>62</v>
      </c>
      <c r="O158" s="7">
        <v>1</v>
      </c>
      <c r="P158" s="7" t="s">
        <v>40</v>
      </c>
      <c r="Q158" s="7">
        <v>89.99</v>
      </c>
      <c r="R158" s="7"/>
      <c r="S158" s="7"/>
      <c r="T158" s="7"/>
      <c r="U158" s="7"/>
      <c r="V158" s="7"/>
      <c r="W158" s="7"/>
      <c r="X158" s="7"/>
      <c r="Y158" s="7" t="s">
        <v>815</v>
      </c>
      <c r="Z158" s="7" t="s">
        <v>816</v>
      </c>
      <c r="AA158" s="7">
        <v>44110</v>
      </c>
      <c r="AB158" s="7" t="s">
        <v>44</v>
      </c>
      <c r="AC158" s="7"/>
      <c r="AD158" s="10"/>
      <c r="AE158" s="10"/>
      <c r="AF158" s="10"/>
      <c r="AG158" s="11">
        <f t="shared" si="2"/>
        <v>43265</v>
      </c>
    </row>
    <row r="159" spans="1:33">
      <c r="A159" s="7" t="s">
        <v>946</v>
      </c>
      <c r="B159" s="7" t="s">
        <v>947</v>
      </c>
      <c r="C159" s="7" t="s">
        <v>948</v>
      </c>
      <c r="D159" s="7" t="s">
        <v>949</v>
      </c>
      <c r="E159" s="7" t="s">
        <v>33</v>
      </c>
      <c r="F159" s="7" t="s">
        <v>34</v>
      </c>
      <c r="G159" s="7" t="s">
        <v>950</v>
      </c>
      <c r="H159" s="7"/>
      <c r="I159" s="7"/>
      <c r="J159" s="7" t="s">
        <v>69</v>
      </c>
      <c r="K159" s="7" t="s">
        <v>749</v>
      </c>
      <c r="L159" s="7" t="s">
        <v>951</v>
      </c>
      <c r="M159" s="7" t="s">
        <v>751</v>
      </c>
      <c r="N159" s="7" t="s">
        <v>62</v>
      </c>
      <c r="O159" s="7">
        <v>1</v>
      </c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11">
        <f t="shared" si="2"/>
        <v>43266</v>
      </c>
    </row>
    <row r="160" spans="1:33">
      <c r="A160" s="7" t="s">
        <v>952</v>
      </c>
      <c r="B160" s="7" t="s">
        <v>952</v>
      </c>
      <c r="C160" s="7" t="s">
        <v>953</v>
      </c>
      <c r="D160" s="7" t="s">
        <v>954</v>
      </c>
      <c r="E160" s="7" t="s">
        <v>33</v>
      </c>
      <c r="F160" s="7" t="s">
        <v>34</v>
      </c>
      <c r="G160" s="7" t="s">
        <v>35</v>
      </c>
      <c r="H160" s="7"/>
      <c r="I160" s="7"/>
      <c r="J160" s="7" t="s">
        <v>36</v>
      </c>
      <c r="K160" s="7" t="s">
        <v>526</v>
      </c>
      <c r="L160" s="7" t="s">
        <v>527</v>
      </c>
      <c r="M160" s="7" t="s">
        <v>528</v>
      </c>
      <c r="N160" s="7" t="s">
        <v>33</v>
      </c>
      <c r="O160" s="7">
        <v>1</v>
      </c>
      <c r="P160" s="7" t="s">
        <v>40</v>
      </c>
      <c r="Q160" s="7">
        <v>89.6</v>
      </c>
      <c r="R160" s="7"/>
      <c r="S160" s="7"/>
      <c r="T160" s="7"/>
      <c r="U160" s="7"/>
      <c r="V160" s="7"/>
      <c r="W160" s="7"/>
      <c r="X160" s="7"/>
      <c r="Y160" s="7" t="s">
        <v>955</v>
      </c>
      <c r="Z160" s="7" t="s">
        <v>230</v>
      </c>
      <c r="AA160" s="7" t="s">
        <v>956</v>
      </c>
      <c r="AB160" s="7" t="s">
        <v>44</v>
      </c>
      <c r="AC160" s="7"/>
      <c r="AD160" s="10"/>
      <c r="AE160" s="10"/>
      <c r="AF160" s="10"/>
      <c r="AG160" s="11">
        <f t="shared" si="2"/>
        <v>43266</v>
      </c>
    </row>
    <row r="161" spans="1:33">
      <c r="A161" s="7" t="s">
        <v>957</v>
      </c>
      <c r="B161" s="7" t="s">
        <v>957</v>
      </c>
      <c r="C161" s="7" t="s">
        <v>958</v>
      </c>
      <c r="D161" s="7" t="s">
        <v>959</v>
      </c>
      <c r="E161" s="7" t="s">
        <v>33</v>
      </c>
      <c r="F161" s="7" t="s">
        <v>34</v>
      </c>
      <c r="G161" s="7" t="s">
        <v>35</v>
      </c>
      <c r="H161" s="7"/>
      <c r="I161" s="7"/>
      <c r="J161" s="7" t="s">
        <v>58</v>
      </c>
      <c r="K161" s="7" t="s">
        <v>79</v>
      </c>
      <c r="L161" s="7" t="s">
        <v>80</v>
      </c>
      <c r="M161" s="7" t="s">
        <v>81</v>
      </c>
      <c r="N161" s="7" t="s">
        <v>33</v>
      </c>
      <c r="O161" s="7">
        <v>1</v>
      </c>
      <c r="P161" s="7" t="s">
        <v>40</v>
      </c>
      <c r="Q161" s="7">
        <v>91.99</v>
      </c>
      <c r="R161" s="7"/>
      <c r="S161" s="7">
        <v>6.99</v>
      </c>
      <c r="T161" s="7"/>
      <c r="U161" s="7"/>
      <c r="V161" s="7"/>
      <c r="W161" s="7"/>
      <c r="X161" s="7"/>
      <c r="Y161" s="7" t="s">
        <v>51</v>
      </c>
      <c r="Z161" s="7" t="s">
        <v>52</v>
      </c>
      <c r="AA161" s="7" t="s">
        <v>960</v>
      </c>
      <c r="AB161" s="7" t="s">
        <v>44</v>
      </c>
      <c r="AC161" s="7"/>
      <c r="AD161" s="10"/>
      <c r="AE161" s="10"/>
      <c r="AF161" s="10"/>
      <c r="AG161" s="11">
        <f t="shared" si="2"/>
        <v>43266</v>
      </c>
    </row>
    <row r="162" spans="1:33">
      <c r="A162" s="7" t="s">
        <v>961</v>
      </c>
      <c r="B162" s="7" t="s">
        <v>961</v>
      </c>
      <c r="C162" s="7" t="s">
        <v>962</v>
      </c>
      <c r="D162" s="7" t="s">
        <v>963</v>
      </c>
      <c r="E162" s="7" t="s">
        <v>54</v>
      </c>
      <c r="F162" s="7" t="s">
        <v>34</v>
      </c>
      <c r="G162" s="7" t="s">
        <v>35</v>
      </c>
      <c r="H162" s="7"/>
      <c r="I162" s="7"/>
      <c r="J162" s="7" t="s">
        <v>69</v>
      </c>
      <c r="K162" s="7" t="s">
        <v>70</v>
      </c>
      <c r="L162" s="7" t="s">
        <v>71</v>
      </c>
      <c r="M162" s="7" t="s">
        <v>72</v>
      </c>
      <c r="N162" s="7" t="s">
        <v>62</v>
      </c>
      <c r="O162" s="7">
        <v>1</v>
      </c>
      <c r="P162" s="7" t="s">
        <v>40</v>
      </c>
      <c r="Q162" s="7">
        <v>79.99</v>
      </c>
      <c r="R162" s="7"/>
      <c r="S162" s="7"/>
      <c r="T162" s="7"/>
      <c r="U162" s="7"/>
      <c r="V162" s="7"/>
      <c r="W162" s="7"/>
      <c r="X162" s="7"/>
      <c r="Y162" s="7" t="s">
        <v>238</v>
      </c>
      <c r="Z162" s="7" t="s">
        <v>52</v>
      </c>
      <c r="AA162" s="7" t="s">
        <v>964</v>
      </c>
      <c r="AB162" s="7" t="s">
        <v>44</v>
      </c>
      <c r="AC162" s="7"/>
      <c r="AD162" s="10"/>
      <c r="AE162" s="10"/>
      <c r="AF162" s="10"/>
      <c r="AG162" s="11">
        <f t="shared" si="2"/>
        <v>43266</v>
      </c>
    </row>
    <row r="163" spans="1:33">
      <c r="A163" s="7" t="s">
        <v>965</v>
      </c>
      <c r="B163" s="7" t="s">
        <v>965</v>
      </c>
      <c r="C163" s="7" t="s">
        <v>966</v>
      </c>
      <c r="D163" s="7" t="s">
        <v>967</v>
      </c>
      <c r="E163" s="7" t="s">
        <v>33</v>
      </c>
      <c r="F163" s="7" t="s">
        <v>34</v>
      </c>
      <c r="G163" s="7" t="s">
        <v>35</v>
      </c>
      <c r="H163" s="7"/>
      <c r="I163" s="7"/>
      <c r="J163" s="7" t="s">
        <v>36</v>
      </c>
      <c r="K163" s="7" t="s">
        <v>660</v>
      </c>
      <c r="L163" s="7" t="s">
        <v>661</v>
      </c>
      <c r="M163" s="7" t="s">
        <v>662</v>
      </c>
      <c r="N163" s="7" t="s">
        <v>33</v>
      </c>
      <c r="O163" s="7">
        <v>1</v>
      </c>
      <c r="P163" s="7" t="s">
        <v>40</v>
      </c>
      <c r="Q163" s="7">
        <v>79.99</v>
      </c>
      <c r="R163" s="7"/>
      <c r="S163" s="7"/>
      <c r="T163" s="7"/>
      <c r="U163" s="7"/>
      <c r="V163" s="7"/>
      <c r="W163" s="7"/>
      <c r="X163" s="7"/>
      <c r="Y163" s="7" t="s">
        <v>968</v>
      </c>
      <c r="Z163" s="7" t="s">
        <v>52</v>
      </c>
      <c r="AA163" s="7">
        <v>11554</v>
      </c>
      <c r="AB163" s="7" t="s">
        <v>44</v>
      </c>
      <c r="AC163" s="7"/>
      <c r="AD163" s="10"/>
      <c r="AE163" s="10"/>
      <c r="AF163" s="10"/>
      <c r="AG163" s="11">
        <f t="shared" si="2"/>
        <v>43266</v>
      </c>
    </row>
    <row r="164" spans="1:33">
      <c r="A164" s="7" t="s">
        <v>969</v>
      </c>
      <c r="B164" s="7" t="s">
        <v>969</v>
      </c>
      <c r="C164" s="7" t="s">
        <v>970</v>
      </c>
      <c r="D164" s="7" t="s">
        <v>971</v>
      </c>
      <c r="E164" s="7" t="s">
        <v>33</v>
      </c>
      <c r="F164" s="7" t="s">
        <v>34</v>
      </c>
      <c r="G164" s="7" t="s">
        <v>35</v>
      </c>
      <c r="H164" s="7"/>
      <c r="I164" s="7"/>
      <c r="J164" s="7" t="s">
        <v>36</v>
      </c>
      <c r="K164" s="7" t="s">
        <v>59</v>
      </c>
      <c r="L164" s="7" t="s">
        <v>60</v>
      </c>
      <c r="M164" s="7" t="s">
        <v>61</v>
      </c>
      <c r="N164" s="7" t="s">
        <v>33</v>
      </c>
      <c r="O164" s="7">
        <v>1</v>
      </c>
      <c r="P164" s="7" t="s">
        <v>40</v>
      </c>
      <c r="Q164" s="7">
        <v>89.99</v>
      </c>
      <c r="R164" s="7"/>
      <c r="S164" s="7"/>
      <c r="T164" s="7"/>
      <c r="U164" s="7"/>
      <c r="V164" s="7"/>
      <c r="W164" s="7"/>
      <c r="X164" s="7"/>
      <c r="Y164" s="7" t="s">
        <v>584</v>
      </c>
      <c r="Z164" s="7" t="s">
        <v>391</v>
      </c>
      <c r="AA164" s="7" t="s">
        <v>585</v>
      </c>
      <c r="AB164" s="7" t="s">
        <v>44</v>
      </c>
      <c r="AC164" s="7"/>
      <c r="AD164" s="10"/>
      <c r="AE164" s="10"/>
      <c r="AF164" s="10"/>
      <c r="AG164" s="11">
        <f t="shared" si="2"/>
        <v>43266</v>
      </c>
    </row>
    <row r="165" spans="1:33">
      <c r="A165" s="7" t="s">
        <v>972</v>
      </c>
      <c r="B165" s="7" t="s">
        <v>972</v>
      </c>
      <c r="C165" s="7" t="s">
        <v>973</v>
      </c>
      <c r="D165" s="7" t="s">
        <v>974</v>
      </c>
      <c r="E165" s="7" t="s">
        <v>33</v>
      </c>
      <c r="F165" s="7" t="s">
        <v>34</v>
      </c>
      <c r="G165" s="7" t="s">
        <v>35</v>
      </c>
      <c r="H165" s="7"/>
      <c r="I165" s="7"/>
      <c r="J165" s="7" t="s">
        <v>36</v>
      </c>
      <c r="K165" s="7" t="s">
        <v>975</v>
      </c>
      <c r="L165" s="7" t="s">
        <v>976</v>
      </c>
      <c r="M165" s="7" t="s">
        <v>977</v>
      </c>
      <c r="N165" s="7" t="s">
        <v>33</v>
      </c>
      <c r="O165" s="7">
        <v>1</v>
      </c>
      <c r="P165" s="7" t="s">
        <v>40</v>
      </c>
      <c r="Q165" s="7">
        <v>89.99</v>
      </c>
      <c r="R165" s="7"/>
      <c r="S165" s="7"/>
      <c r="T165" s="7"/>
      <c r="U165" s="7"/>
      <c r="V165" s="7"/>
      <c r="W165" s="7"/>
      <c r="X165" s="7"/>
      <c r="Y165" s="7" t="s">
        <v>978</v>
      </c>
      <c r="Z165" s="7" t="s">
        <v>42</v>
      </c>
      <c r="AA165" s="7" t="s">
        <v>979</v>
      </c>
      <c r="AB165" s="7" t="s">
        <v>44</v>
      </c>
      <c r="AC165" s="7"/>
      <c r="AD165" s="10"/>
      <c r="AE165" s="10"/>
      <c r="AF165" s="10"/>
      <c r="AG165" s="11">
        <f t="shared" si="2"/>
        <v>43266</v>
      </c>
    </row>
    <row r="166" spans="1:33">
      <c r="A166" s="7" t="s">
        <v>980</v>
      </c>
      <c r="B166" s="7" t="s">
        <v>980</v>
      </c>
      <c r="C166" s="7" t="s">
        <v>981</v>
      </c>
      <c r="D166" s="7" t="s">
        <v>982</v>
      </c>
      <c r="E166" s="7" t="s">
        <v>33</v>
      </c>
      <c r="F166" s="7" t="s">
        <v>34</v>
      </c>
      <c r="G166" s="7" t="s">
        <v>35</v>
      </c>
      <c r="H166" s="7"/>
      <c r="I166" s="7"/>
      <c r="J166" s="7" t="s">
        <v>36</v>
      </c>
      <c r="K166" s="7" t="s">
        <v>59</v>
      </c>
      <c r="L166" s="7" t="s">
        <v>60</v>
      </c>
      <c r="M166" s="7" t="s">
        <v>61</v>
      </c>
      <c r="N166" s="7" t="s">
        <v>33</v>
      </c>
      <c r="O166" s="7">
        <v>1</v>
      </c>
      <c r="P166" s="7" t="s">
        <v>40</v>
      </c>
      <c r="Q166" s="7">
        <v>89.99</v>
      </c>
      <c r="R166" s="7"/>
      <c r="S166" s="7"/>
      <c r="T166" s="7"/>
      <c r="U166" s="7"/>
      <c r="V166" s="7"/>
      <c r="W166" s="7"/>
      <c r="X166" s="7"/>
      <c r="Y166" s="7" t="s">
        <v>584</v>
      </c>
      <c r="Z166" s="7" t="s">
        <v>391</v>
      </c>
      <c r="AA166" s="7" t="s">
        <v>585</v>
      </c>
      <c r="AB166" s="7" t="s">
        <v>44</v>
      </c>
      <c r="AC166" s="7"/>
      <c r="AD166" s="10"/>
      <c r="AE166" s="10"/>
      <c r="AF166" s="10"/>
      <c r="AG166" s="11">
        <f t="shared" si="2"/>
        <v>43266</v>
      </c>
    </row>
    <row r="167" spans="1:33">
      <c r="A167" s="7" t="s">
        <v>983</v>
      </c>
      <c r="B167" s="7" t="s">
        <v>983</v>
      </c>
      <c r="C167" s="7" t="s">
        <v>984</v>
      </c>
      <c r="D167" s="7" t="s">
        <v>985</v>
      </c>
      <c r="E167" s="7" t="s">
        <v>33</v>
      </c>
      <c r="F167" s="7" t="s">
        <v>34</v>
      </c>
      <c r="G167" s="7" t="s">
        <v>35</v>
      </c>
      <c r="H167" s="7"/>
      <c r="I167" s="7"/>
      <c r="J167" s="7" t="s">
        <v>36</v>
      </c>
      <c r="K167" s="7" t="s">
        <v>986</v>
      </c>
      <c r="L167" s="7" t="s">
        <v>987</v>
      </c>
      <c r="M167" s="7" t="s">
        <v>988</v>
      </c>
      <c r="N167" s="7" t="s">
        <v>33</v>
      </c>
      <c r="O167" s="7">
        <v>1</v>
      </c>
      <c r="P167" s="7" t="s">
        <v>40</v>
      </c>
      <c r="Q167" s="7">
        <v>99.99</v>
      </c>
      <c r="R167" s="7"/>
      <c r="S167" s="7"/>
      <c r="T167" s="7"/>
      <c r="U167" s="7"/>
      <c r="V167" s="7"/>
      <c r="W167" s="7"/>
      <c r="X167" s="7"/>
      <c r="Y167" s="7" t="s">
        <v>989</v>
      </c>
      <c r="Z167" s="7" t="s">
        <v>990</v>
      </c>
      <c r="AA167" s="7" t="s">
        <v>991</v>
      </c>
      <c r="AB167" s="7" t="s">
        <v>44</v>
      </c>
      <c r="AC167" s="7"/>
      <c r="AD167" s="10"/>
      <c r="AE167" s="10"/>
      <c r="AF167" s="10"/>
      <c r="AG167" s="11">
        <f t="shared" si="2"/>
        <v>43266</v>
      </c>
    </row>
    <row r="168" spans="1:33">
      <c r="A168" s="7" t="s">
        <v>992</v>
      </c>
      <c r="B168" s="7" t="s">
        <v>992</v>
      </c>
      <c r="C168" s="7" t="s">
        <v>993</v>
      </c>
      <c r="D168" s="7" t="s">
        <v>994</v>
      </c>
      <c r="E168" s="7" t="s">
        <v>33</v>
      </c>
      <c r="F168" s="7" t="s">
        <v>34</v>
      </c>
      <c r="G168" s="7" t="s">
        <v>35</v>
      </c>
      <c r="H168" s="7"/>
      <c r="I168" s="7"/>
      <c r="J168" s="7" t="s">
        <v>36</v>
      </c>
      <c r="K168" s="7" t="s">
        <v>284</v>
      </c>
      <c r="L168" s="7" t="s">
        <v>285</v>
      </c>
      <c r="M168" s="7" t="s">
        <v>286</v>
      </c>
      <c r="N168" s="7" t="s">
        <v>33</v>
      </c>
      <c r="O168" s="7">
        <v>1</v>
      </c>
      <c r="P168" s="7" t="s">
        <v>40</v>
      </c>
      <c r="Q168" s="7">
        <v>89.99</v>
      </c>
      <c r="R168" s="7"/>
      <c r="S168" s="7"/>
      <c r="T168" s="7"/>
      <c r="U168" s="7"/>
      <c r="V168" s="7"/>
      <c r="W168" s="7"/>
      <c r="X168" s="7"/>
      <c r="Y168" s="7" t="s">
        <v>995</v>
      </c>
      <c r="Z168" s="7" t="s">
        <v>996</v>
      </c>
      <c r="AA168" s="7" t="s">
        <v>997</v>
      </c>
      <c r="AB168" s="7" t="s">
        <v>44</v>
      </c>
      <c r="AC168" s="7"/>
      <c r="AD168" s="10"/>
      <c r="AE168" s="10"/>
      <c r="AF168" s="10"/>
      <c r="AG168" s="11">
        <f t="shared" si="2"/>
        <v>43266</v>
      </c>
    </row>
    <row r="169" spans="1:33">
      <c r="A169" s="7" t="s">
        <v>998</v>
      </c>
      <c r="B169" s="7" t="s">
        <v>998</v>
      </c>
      <c r="C169" s="7" t="s">
        <v>999</v>
      </c>
      <c r="D169" s="7" t="s">
        <v>1000</v>
      </c>
      <c r="E169" s="7" t="s">
        <v>33</v>
      </c>
      <c r="F169" s="7" t="s">
        <v>34</v>
      </c>
      <c r="G169" s="7" t="s">
        <v>35</v>
      </c>
      <c r="H169" s="7"/>
      <c r="I169" s="7"/>
      <c r="J169" s="7" t="s">
        <v>36</v>
      </c>
      <c r="K169" s="7" t="s">
        <v>618</v>
      </c>
      <c r="L169" s="7" t="s">
        <v>619</v>
      </c>
      <c r="M169" s="7" t="s">
        <v>620</v>
      </c>
      <c r="N169" s="7" t="s">
        <v>33</v>
      </c>
      <c r="O169" s="7">
        <v>1</v>
      </c>
      <c r="P169" s="7" t="s">
        <v>40</v>
      </c>
      <c r="Q169" s="7">
        <v>99.99</v>
      </c>
      <c r="R169" s="7"/>
      <c r="S169" s="7"/>
      <c r="T169" s="7"/>
      <c r="U169" s="7"/>
      <c r="V169" s="7"/>
      <c r="W169" s="7"/>
      <c r="X169" s="7"/>
      <c r="Y169" s="7" t="s">
        <v>1001</v>
      </c>
      <c r="Z169" s="7" t="s">
        <v>64</v>
      </c>
      <c r="AA169" s="7" t="s">
        <v>1002</v>
      </c>
      <c r="AB169" s="7" t="s">
        <v>44</v>
      </c>
      <c r="AC169" s="7"/>
      <c r="AD169" s="10"/>
      <c r="AE169" s="10"/>
      <c r="AF169" s="10"/>
      <c r="AG169" s="11">
        <f t="shared" si="2"/>
        <v>43266</v>
      </c>
    </row>
    <row r="170" spans="1:33">
      <c r="A170" s="7" t="s">
        <v>1003</v>
      </c>
      <c r="B170" s="7" t="s">
        <v>1003</v>
      </c>
      <c r="C170" s="7" t="s">
        <v>1004</v>
      </c>
      <c r="D170" s="7" t="s">
        <v>1005</v>
      </c>
      <c r="E170" s="7" t="s">
        <v>33</v>
      </c>
      <c r="F170" s="7" t="s">
        <v>34</v>
      </c>
      <c r="G170" s="7" t="s">
        <v>35</v>
      </c>
      <c r="H170" s="7"/>
      <c r="I170" s="7"/>
      <c r="J170" s="7" t="s">
        <v>69</v>
      </c>
      <c r="K170" s="7" t="s">
        <v>457</v>
      </c>
      <c r="L170" s="7" t="s">
        <v>458</v>
      </c>
      <c r="M170" s="7" t="s">
        <v>459</v>
      </c>
      <c r="N170" s="7" t="s">
        <v>33</v>
      </c>
      <c r="O170" s="7">
        <v>1</v>
      </c>
      <c r="P170" s="7" t="s">
        <v>40</v>
      </c>
      <c r="Q170" s="7">
        <v>79.99</v>
      </c>
      <c r="R170" s="7"/>
      <c r="S170" s="7">
        <v>6.68</v>
      </c>
      <c r="T170" s="7"/>
      <c r="U170" s="7"/>
      <c r="V170" s="7"/>
      <c r="W170" s="7"/>
      <c r="X170" s="7">
        <v>6.68</v>
      </c>
      <c r="Y170" s="7" t="s">
        <v>73</v>
      </c>
      <c r="Z170" s="7" t="s">
        <v>64</v>
      </c>
      <c r="AA170" s="7" t="s">
        <v>1006</v>
      </c>
      <c r="AB170" s="7" t="s">
        <v>44</v>
      </c>
      <c r="AC170" s="7" t="s">
        <v>75</v>
      </c>
      <c r="AD170" s="10"/>
      <c r="AE170" s="10"/>
      <c r="AF170" s="10"/>
      <c r="AG170" s="11">
        <f t="shared" si="2"/>
        <v>43266</v>
      </c>
    </row>
    <row r="171" spans="1:33">
      <c r="A171" s="7" t="s">
        <v>1007</v>
      </c>
      <c r="B171" s="7" t="s">
        <v>1007</v>
      </c>
      <c r="C171" s="7" t="s">
        <v>1008</v>
      </c>
      <c r="D171" s="7" t="s">
        <v>1009</v>
      </c>
      <c r="E171" s="7" t="s">
        <v>33</v>
      </c>
      <c r="F171" s="7" t="s">
        <v>34</v>
      </c>
      <c r="G171" s="7" t="s">
        <v>35</v>
      </c>
      <c r="H171" s="7"/>
      <c r="I171" s="7"/>
      <c r="J171" s="7" t="s">
        <v>36</v>
      </c>
      <c r="K171" s="7" t="s">
        <v>1010</v>
      </c>
      <c r="L171" s="7" t="s">
        <v>1011</v>
      </c>
      <c r="M171" s="7" t="s">
        <v>1012</v>
      </c>
      <c r="N171" s="7" t="s">
        <v>33</v>
      </c>
      <c r="O171" s="7">
        <v>1</v>
      </c>
      <c r="P171" s="7" t="s">
        <v>40</v>
      </c>
      <c r="Q171" s="7">
        <v>89.99</v>
      </c>
      <c r="R171" s="7"/>
      <c r="S171" s="7"/>
      <c r="T171" s="7"/>
      <c r="U171" s="7"/>
      <c r="V171" s="7"/>
      <c r="W171" s="7">
        <v>9</v>
      </c>
      <c r="X171" s="7"/>
      <c r="Y171" s="7" t="s">
        <v>1013</v>
      </c>
      <c r="Z171" s="7" t="s">
        <v>83</v>
      </c>
      <c r="AA171" s="7" t="s">
        <v>1014</v>
      </c>
      <c r="AB171" s="7" t="s">
        <v>44</v>
      </c>
      <c r="AC171" s="7" t="s">
        <v>559</v>
      </c>
      <c r="AD171" s="10"/>
      <c r="AE171" s="10"/>
      <c r="AF171" s="10"/>
      <c r="AG171" s="11">
        <f t="shared" si="2"/>
        <v>43266</v>
      </c>
    </row>
    <row r="172" spans="1:33">
      <c r="A172" s="7" t="s">
        <v>1015</v>
      </c>
      <c r="B172" s="7" t="s">
        <v>1015</v>
      </c>
      <c r="C172" s="7" t="s">
        <v>1016</v>
      </c>
      <c r="D172" s="7" t="s">
        <v>1017</v>
      </c>
      <c r="E172" s="7" t="s">
        <v>33</v>
      </c>
      <c r="F172" s="7" t="s">
        <v>34</v>
      </c>
      <c r="G172" s="7" t="s">
        <v>35</v>
      </c>
      <c r="H172" s="7"/>
      <c r="I172" s="7"/>
      <c r="J172" s="7" t="s">
        <v>36</v>
      </c>
      <c r="K172" s="7" t="s">
        <v>48</v>
      </c>
      <c r="L172" s="7" t="s">
        <v>49</v>
      </c>
      <c r="M172" s="7" t="s">
        <v>50</v>
      </c>
      <c r="N172" s="7" t="s">
        <v>33</v>
      </c>
      <c r="O172" s="7">
        <v>1</v>
      </c>
      <c r="P172" s="7" t="s">
        <v>40</v>
      </c>
      <c r="Q172" s="7">
        <v>89.99</v>
      </c>
      <c r="R172" s="7"/>
      <c r="S172" s="7"/>
      <c r="T172" s="7"/>
      <c r="U172" s="7"/>
      <c r="V172" s="7"/>
      <c r="W172" s="7"/>
      <c r="X172" s="7"/>
      <c r="Y172" s="7" t="s">
        <v>1018</v>
      </c>
      <c r="Z172" s="7" t="s">
        <v>1019</v>
      </c>
      <c r="AA172" s="7" t="s">
        <v>1020</v>
      </c>
      <c r="AB172" s="7" t="s">
        <v>44</v>
      </c>
      <c r="AC172" s="7"/>
      <c r="AD172" s="10"/>
      <c r="AE172" s="10"/>
      <c r="AF172" s="10"/>
      <c r="AG172" s="11">
        <f t="shared" si="2"/>
        <v>43266</v>
      </c>
    </row>
    <row r="173" spans="1:33">
      <c r="A173" s="7" t="s">
        <v>1021</v>
      </c>
      <c r="B173" s="7" t="s">
        <v>1021</v>
      </c>
      <c r="C173" s="7" t="s">
        <v>1022</v>
      </c>
      <c r="D173" s="7" t="s">
        <v>1023</v>
      </c>
      <c r="E173" s="7" t="s">
        <v>54</v>
      </c>
      <c r="F173" s="7" t="s">
        <v>34</v>
      </c>
      <c r="G173" s="7" t="s">
        <v>35</v>
      </c>
      <c r="H173" s="7"/>
      <c r="I173" s="7"/>
      <c r="J173" s="7" t="s">
        <v>69</v>
      </c>
      <c r="K173" s="7" t="s">
        <v>37</v>
      </c>
      <c r="L173" s="7" t="s">
        <v>38</v>
      </c>
      <c r="M173" s="7" t="s">
        <v>39</v>
      </c>
      <c r="N173" s="7" t="s">
        <v>62</v>
      </c>
      <c r="O173" s="7">
        <v>1</v>
      </c>
      <c r="P173" s="7" t="s">
        <v>40</v>
      </c>
      <c r="Q173" s="7">
        <v>89.99</v>
      </c>
      <c r="R173" s="7"/>
      <c r="S173" s="7"/>
      <c r="T173" s="7"/>
      <c r="U173" s="7"/>
      <c r="V173" s="7"/>
      <c r="W173" s="7"/>
      <c r="X173" s="7"/>
      <c r="Y173" s="7" t="s">
        <v>579</v>
      </c>
      <c r="Z173" s="7" t="s">
        <v>580</v>
      </c>
      <c r="AA173" s="7">
        <v>5404</v>
      </c>
      <c r="AB173" s="7" t="s">
        <v>44</v>
      </c>
      <c r="AC173" s="7"/>
      <c r="AD173" s="10"/>
      <c r="AE173" s="10"/>
      <c r="AF173" s="10"/>
      <c r="AG173" s="11">
        <f t="shared" si="2"/>
        <v>43266</v>
      </c>
    </row>
    <row r="174" spans="1:33">
      <c r="A174" s="7" t="s">
        <v>1024</v>
      </c>
      <c r="B174" s="7" t="s">
        <v>1024</v>
      </c>
      <c r="C174" s="7" t="s">
        <v>1025</v>
      </c>
      <c r="D174" s="7" t="s">
        <v>1026</v>
      </c>
      <c r="E174" s="7" t="s">
        <v>33</v>
      </c>
      <c r="F174" s="7" t="s">
        <v>34</v>
      </c>
      <c r="G174" s="7" t="s">
        <v>35</v>
      </c>
      <c r="H174" s="7"/>
      <c r="I174" s="7"/>
      <c r="J174" s="7" t="s">
        <v>36</v>
      </c>
      <c r="K174" s="7" t="s">
        <v>79</v>
      </c>
      <c r="L174" s="7" t="s">
        <v>80</v>
      </c>
      <c r="M174" s="7" t="s">
        <v>81</v>
      </c>
      <c r="N174" s="7" t="s">
        <v>33</v>
      </c>
      <c r="O174" s="7">
        <v>1</v>
      </c>
      <c r="P174" s="7" t="s">
        <v>40</v>
      </c>
      <c r="Q174" s="7">
        <v>91.99</v>
      </c>
      <c r="R174" s="7"/>
      <c r="S174" s="7"/>
      <c r="T174" s="7"/>
      <c r="U174" s="7"/>
      <c r="V174" s="7"/>
      <c r="W174" s="7"/>
      <c r="X174" s="7"/>
      <c r="Y174" s="7" t="s">
        <v>1027</v>
      </c>
      <c r="Z174" s="7" t="s">
        <v>1028</v>
      </c>
      <c r="AA174" s="7">
        <v>80234</v>
      </c>
      <c r="AB174" s="7" t="s">
        <v>44</v>
      </c>
      <c r="AC174" s="7"/>
      <c r="AD174" s="10"/>
      <c r="AE174" s="10"/>
      <c r="AF174" s="10"/>
      <c r="AG174" s="11">
        <f t="shared" si="2"/>
        <v>43266</v>
      </c>
    </row>
    <row r="175" spans="1:33">
      <c r="A175" s="7" t="s">
        <v>1029</v>
      </c>
      <c r="B175" s="7" t="s">
        <v>1029</v>
      </c>
      <c r="C175" s="7" t="s">
        <v>1030</v>
      </c>
      <c r="D175" s="7" t="s">
        <v>1031</v>
      </c>
      <c r="E175" s="7" t="s">
        <v>54</v>
      </c>
      <c r="F175" s="7" t="s">
        <v>34</v>
      </c>
      <c r="G175" s="7" t="s">
        <v>35</v>
      </c>
      <c r="H175" s="7"/>
      <c r="I175" s="7"/>
      <c r="J175" s="7" t="s">
        <v>69</v>
      </c>
      <c r="K175" s="7" t="s">
        <v>88</v>
      </c>
      <c r="L175" s="7" t="s">
        <v>89</v>
      </c>
      <c r="M175" s="7" t="s">
        <v>90</v>
      </c>
      <c r="N175" s="7" t="s">
        <v>62</v>
      </c>
      <c r="O175" s="7">
        <v>1</v>
      </c>
      <c r="P175" s="7" t="s">
        <v>40</v>
      </c>
      <c r="Q175" s="7">
        <v>89.99</v>
      </c>
      <c r="R175" s="7"/>
      <c r="S175" s="7"/>
      <c r="T175" s="7"/>
      <c r="U175" s="7"/>
      <c r="V175" s="7"/>
      <c r="W175" s="7"/>
      <c r="X175" s="7"/>
      <c r="Y175" s="7" t="s">
        <v>1032</v>
      </c>
      <c r="Z175" s="7" t="s">
        <v>541</v>
      </c>
      <c r="AA175" s="7" t="s">
        <v>1033</v>
      </c>
      <c r="AB175" s="7" t="s">
        <v>44</v>
      </c>
      <c r="AC175" s="7"/>
      <c r="AD175" s="10"/>
      <c r="AE175" s="10"/>
      <c r="AF175" s="10"/>
      <c r="AG175" s="11">
        <f t="shared" si="2"/>
        <v>43266</v>
      </c>
    </row>
    <row r="176" spans="1:33">
      <c r="A176" s="7" t="s">
        <v>1034</v>
      </c>
      <c r="B176" s="7" t="s">
        <v>1034</v>
      </c>
      <c r="C176" s="7" t="s">
        <v>1035</v>
      </c>
      <c r="D176" s="7" t="s">
        <v>1036</v>
      </c>
      <c r="E176" s="7" t="s">
        <v>33</v>
      </c>
      <c r="F176" s="7" t="s">
        <v>34</v>
      </c>
      <c r="G176" s="7" t="s">
        <v>35</v>
      </c>
      <c r="H176" s="7"/>
      <c r="I176" s="7"/>
      <c r="J176" s="7" t="s">
        <v>36</v>
      </c>
      <c r="K176" s="7" t="s">
        <v>148</v>
      </c>
      <c r="L176" s="7" t="s">
        <v>149</v>
      </c>
      <c r="M176" s="7" t="s">
        <v>150</v>
      </c>
      <c r="N176" s="7" t="s">
        <v>33</v>
      </c>
      <c r="O176" s="7">
        <v>1</v>
      </c>
      <c r="P176" s="7" t="s">
        <v>40</v>
      </c>
      <c r="Q176" s="7">
        <v>98.99</v>
      </c>
      <c r="R176" s="7"/>
      <c r="S176" s="7"/>
      <c r="T176" s="7"/>
      <c r="U176" s="7"/>
      <c r="V176" s="7"/>
      <c r="W176" s="7"/>
      <c r="X176" s="7"/>
      <c r="Y176" s="7" t="s">
        <v>1037</v>
      </c>
      <c r="Z176" s="7" t="s">
        <v>52</v>
      </c>
      <c r="AA176" s="7" t="s">
        <v>1038</v>
      </c>
      <c r="AB176" s="7" t="s">
        <v>44</v>
      </c>
      <c r="AC176" s="7"/>
      <c r="AD176" s="10"/>
      <c r="AE176" s="10"/>
      <c r="AF176" s="10"/>
      <c r="AG176" s="11">
        <f t="shared" si="2"/>
        <v>43266</v>
      </c>
    </row>
    <row r="177" spans="1:33">
      <c r="A177" s="7" t="s">
        <v>1039</v>
      </c>
      <c r="B177" s="7" t="s">
        <v>1039</v>
      </c>
      <c r="C177" s="7" t="s">
        <v>1040</v>
      </c>
      <c r="D177" s="7" t="s">
        <v>1041</v>
      </c>
      <c r="E177" s="7" t="s">
        <v>54</v>
      </c>
      <c r="F177" s="7" t="s">
        <v>34</v>
      </c>
      <c r="G177" s="7" t="s">
        <v>35</v>
      </c>
      <c r="H177" s="7"/>
      <c r="I177" s="7"/>
      <c r="J177" s="7" t="s">
        <v>36</v>
      </c>
      <c r="K177" s="7" t="s">
        <v>1042</v>
      </c>
      <c r="L177" s="7" t="s">
        <v>1043</v>
      </c>
      <c r="M177" s="7" t="s">
        <v>1044</v>
      </c>
      <c r="N177" s="7" t="s">
        <v>62</v>
      </c>
      <c r="O177" s="7">
        <v>1</v>
      </c>
      <c r="P177" s="7" t="s">
        <v>40</v>
      </c>
      <c r="Q177" s="7">
        <v>79.99</v>
      </c>
      <c r="R177" s="7"/>
      <c r="S177" s="7"/>
      <c r="T177" s="7"/>
      <c r="U177" s="7"/>
      <c r="V177" s="7"/>
      <c r="W177" s="7"/>
      <c r="X177" s="7"/>
      <c r="Y177" s="7" t="s">
        <v>1045</v>
      </c>
      <c r="Z177" s="7" t="s">
        <v>42</v>
      </c>
      <c r="AA177" s="7" t="s">
        <v>1046</v>
      </c>
      <c r="AB177" s="7" t="s">
        <v>44</v>
      </c>
      <c r="AC177" s="7"/>
      <c r="AD177" s="10"/>
      <c r="AE177" s="10"/>
      <c r="AF177" s="10"/>
      <c r="AG177" s="11">
        <f t="shared" si="2"/>
        <v>43266</v>
      </c>
    </row>
    <row r="178" spans="1:33">
      <c r="A178" s="7" t="s">
        <v>1047</v>
      </c>
      <c r="B178" s="7" t="s">
        <v>1047</v>
      </c>
      <c r="C178" s="7" t="s">
        <v>1048</v>
      </c>
      <c r="D178" s="7" t="s">
        <v>1049</v>
      </c>
      <c r="E178" s="7" t="s">
        <v>33</v>
      </c>
      <c r="F178" s="7" t="s">
        <v>34</v>
      </c>
      <c r="G178" s="7" t="s">
        <v>35</v>
      </c>
      <c r="H178" s="7"/>
      <c r="I178" s="7"/>
      <c r="J178" s="7" t="s">
        <v>36</v>
      </c>
      <c r="K178" s="7" t="s">
        <v>70</v>
      </c>
      <c r="L178" s="7" t="s">
        <v>71</v>
      </c>
      <c r="M178" s="7" t="s">
        <v>72</v>
      </c>
      <c r="N178" s="7" t="s">
        <v>33</v>
      </c>
      <c r="O178" s="7">
        <v>1</v>
      </c>
      <c r="P178" s="7" t="s">
        <v>40</v>
      </c>
      <c r="Q178" s="7">
        <v>79.99</v>
      </c>
      <c r="R178" s="7"/>
      <c r="S178" s="7"/>
      <c r="T178" s="7"/>
      <c r="U178" s="7"/>
      <c r="V178" s="7"/>
      <c r="W178" s="7"/>
      <c r="X178" s="7"/>
      <c r="Y178" s="7" t="s">
        <v>1050</v>
      </c>
      <c r="Z178" s="7" t="s">
        <v>83</v>
      </c>
      <c r="AA178" s="7" t="s">
        <v>1051</v>
      </c>
      <c r="AB178" s="7" t="s">
        <v>44</v>
      </c>
      <c r="AC178" s="7"/>
      <c r="AD178" s="10"/>
      <c r="AE178" s="10"/>
      <c r="AF178" s="10"/>
      <c r="AG178" s="11">
        <f t="shared" si="2"/>
        <v>43266</v>
      </c>
    </row>
    <row r="179" spans="1:33">
      <c r="A179" s="7" t="s">
        <v>1052</v>
      </c>
      <c r="B179" s="7" t="s">
        <v>1052</v>
      </c>
      <c r="C179" s="7" t="s">
        <v>1053</v>
      </c>
      <c r="D179" s="7" t="s">
        <v>1054</v>
      </c>
      <c r="E179" s="7" t="s">
        <v>33</v>
      </c>
      <c r="F179" s="7" t="s">
        <v>34</v>
      </c>
      <c r="G179" s="7" t="s">
        <v>35</v>
      </c>
      <c r="H179" s="7"/>
      <c r="I179" s="7"/>
      <c r="J179" s="7" t="s">
        <v>163</v>
      </c>
      <c r="K179" s="7" t="s">
        <v>37</v>
      </c>
      <c r="L179" s="7" t="s">
        <v>38</v>
      </c>
      <c r="M179" s="7" t="s">
        <v>39</v>
      </c>
      <c r="N179" s="7" t="s">
        <v>33</v>
      </c>
      <c r="O179" s="7">
        <v>1</v>
      </c>
      <c r="P179" s="7" t="s">
        <v>40</v>
      </c>
      <c r="Q179" s="7">
        <v>89.99</v>
      </c>
      <c r="R179" s="7"/>
      <c r="S179" s="7">
        <v>5.99</v>
      </c>
      <c r="T179" s="7"/>
      <c r="U179" s="7"/>
      <c r="V179" s="7"/>
      <c r="W179" s="7"/>
      <c r="X179" s="7">
        <v>5.99</v>
      </c>
      <c r="Y179" s="7" t="s">
        <v>1055</v>
      </c>
      <c r="Z179" s="7" t="s">
        <v>42</v>
      </c>
      <c r="AA179" s="7" t="s">
        <v>1056</v>
      </c>
      <c r="AB179" s="7" t="s">
        <v>44</v>
      </c>
      <c r="AC179" s="7"/>
      <c r="AD179" s="10"/>
      <c r="AE179" s="10"/>
      <c r="AF179" s="10"/>
      <c r="AG179" s="11">
        <f t="shared" si="2"/>
        <v>43266</v>
      </c>
    </row>
    <row r="180" spans="1:33">
      <c r="A180" s="7" t="s">
        <v>1057</v>
      </c>
      <c r="B180" s="7" t="s">
        <v>1057</v>
      </c>
      <c r="C180" s="7" t="s">
        <v>1058</v>
      </c>
      <c r="D180" s="7" t="s">
        <v>1059</v>
      </c>
      <c r="E180" s="7" t="s">
        <v>33</v>
      </c>
      <c r="F180" s="7" t="s">
        <v>34</v>
      </c>
      <c r="G180" s="7" t="s">
        <v>35</v>
      </c>
      <c r="H180" s="7"/>
      <c r="I180" s="7"/>
      <c r="J180" s="7" t="s">
        <v>36</v>
      </c>
      <c r="K180" s="7" t="s">
        <v>660</v>
      </c>
      <c r="L180" s="7" t="s">
        <v>661</v>
      </c>
      <c r="M180" s="7" t="s">
        <v>662</v>
      </c>
      <c r="N180" s="7" t="s">
        <v>33</v>
      </c>
      <c r="O180" s="7">
        <v>1</v>
      </c>
      <c r="P180" s="7" t="s">
        <v>40</v>
      </c>
      <c r="Q180" s="7">
        <v>79.99</v>
      </c>
      <c r="R180" s="7"/>
      <c r="S180" s="7"/>
      <c r="T180" s="7"/>
      <c r="U180" s="7"/>
      <c r="V180" s="7"/>
      <c r="W180" s="7"/>
      <c r="X180" s="7"/>
      <c r="Y180" s="7" t="s">
        <v>1060</v>
      </c>
      <c r="Z180" s="7" t="s">
        <v>1061</v>
      </c>
      <c r="AA180" s="7">
        <v>83202</v>
      </c>
      <c r="AB180" s="7" t="s">
        <v>44</v>
      </c>
      <c r="AC180" s="7"/>
      <c r="AD180" s="10"/>
      <c r="AE180" s="10"/>
      <c r="AF180" s="10"/>
      <c r="AG180" s="11">
        <f t="shared" si="2"/>
        <v>43266</v>
      </c>
    </row>
    <row r="181" spans="1:33">
      <c r="A181" s="7" t="s">
        <v>1062</v>
      </c>
      <c r="B181" s="7" t="s">
        <v>1062</v>
      </c>
      <c r="C181" s="7" t="s">
        <v>1063</v>
      </c>
      <c r="D181" s="7" t="s">
        <v>1064</v>
      </c>
      <c r="E181" s="7" t="s">
        <v>33</v>
      </c>
      <c r="F181" s="7" t="s">
        <v>34</v>
      </c>
      <c r="G181" s="7" t="s">
        <v>35</v>
      </c>
      <c r="H181" s="7"/>
      <c r="I181" s="7"/>
      <c r="J181" s="7" t="s">
        <v>36</v>
      </c>
      <c r="K181" s="7" t="s">
        <v>1065</v>
      </c>
      <c r="L181" s="7" t="s">
        <v>1066</v>
      </c>
      <c r="M181" s="7" t="s">
        <v>1067</v>
      </c>
      <c r="N181" s="7" t="s">
        <v>33</v>
      </c>
      <c r="O181" s="7">
        <v>1</v>
      </c>
      <c r="P181" s="7" t="s">
        <v>40</v>
      </c>
      <c r="Q181" s="7">
        <v>32.99</v>
      </c>
      <c r="R181" s="7"/>
      <c r="S181" s="7"/>
      <c r="T181" s="7"/>
      <c r="U181" s="7"/>
      <c r="V181" s="7"/>
      <c r="W181" s="7"/>
      <c r="X181" s="7"/>
      <c r="Y181" s="7" t="s">
        <v>1068</v>
      </c>
      <c r="Z181" s="7" t="s">
        <v>440</v>
      </c>
      <c r="AA181" s="7" t="s">
        <v>1069</v>
      </c>
      <c r="AB181" s="7" t="s">
        <v>44</v>
      </c>
      <c r="AC181" s="7"/>
      <c r="AD181" s="10"/>
      <c r="AE181" s="10"/>
      <c r="AF181" s="10"/>
      <c r="AG181" s="11">
        <f t="shared" si="2"/>
        <v>43266</v>
      </c>
    </row>
    <row r="182" spans="1:33">
      <c r="A182" s="7" t="s">
        <v>1070</v>
      </c>
      <c r="B182" s="7" t="s">
        <v>1070</v>
      </c>
      <c r="C182" s="7" t="s">
        <v>1071</v>
      </c>
      <c r="D182" s="7" t="s">
        <v>1072</v>
      </c>
      <c r="E182" s="7" t="s">
        <v>33</v>
      </c>
      <c r="F182" s="7" t="s">
        <v>34</v>
      </c>
      <c r="G182" s="7" t="s">
        <v>35</v>
      </c>
      <c r="H182" s="7"/>
      <c r="I182" s="7"/>
      <c r="J182" s="7" t="s">
        <v>69</v>
      </c>
      <c r="K182" s="7" t="s">
        <v>1042</v>
      </c>
      <c r="L182" s="7" t="s">
        <v>1043</v>
      </c>
      <c r="M182" s="7" t="s">
        <v>1044</v>
      </c>
      <c r="N182" s="7" t="s">
        <v>33</v>
      </c>
      <c r="O182" s="7">
        <v>1</v>
      </c>
      <c r="P182" s="7" t="s">
        <v>40</v>
      </c>
      <c r="Q182" s="7">
        <v>79.99</v>
      </c>
      <c r="R182" s="7"/>
      <c r="S182" s="7">
        <v>7.42</v>
      </c>
      <c r="T182" s="7"/>
      <c r="U182" s="7"/>
      <c r="V182" s="7"/>
      <c r="W182" s="7"/>
      <c r="X182" s="7"/>
      <c r="Y182" s="7" t="s">
        <v>1073</v>
      </c>
      <c r="Z182" s="7" t="s">
        <v>64</v>
      </c>
      <c r="AA182" s="7" t="s">
        <v>1074</v>
      </c>
      <c r="AB182" s="7" t="s">
        <v>44</v>
      </c>
      <c r="AC182" s="7"/>
      <c r="AD182" s="10"/>
      <c r="AE182" s="10"/>
      <c r="AF182" s="10"/>
      <c r="AG182" s="11">
        <f t="shared" si="2"/>
        <v>43266</v>
      </c>
    </row>
    <row r="183" spans="1:33">
      <c r="A183" s="7" t="s">
        <v>1075</v>
      </c>
      <c r="B183" s="7" t="s">
        <v>1075</v>
      </c>
      <c r="C183" s="7" t="s">
        <v>1076</v>
      </c>
      <c r="D183" s="7" t="s">
        <v>1077</v>
      </c>
      <c r="E183" s="7" t="s">
        <v>54</v>
      </c>
      <c r="F183" s="7" t="s">
        <v>34</v>
      </c>
      <c r="G183" s="7" t="s">
        <v>35</v>
      </c>
      <c r="H183" s="7"/>
      <c r="I183" s="7"/>
      <c r="J183" s="7" t="s">
        <v>69</v>
      </c>
      <c r="K183" s="7" t="s">
        <v>137</v>
      </c>
      <c r="L183" s="7" t="s">
        <v>138</v>
      </c>
      <c r="M183" s="7" t="s">
        <v>139</v>
      </c>
      <c r="N183" s="7" t="s">
        <v>54</v>
      </c>
      <c r="O183" s="7">
        <v>0</v>
      </c>
      <c r="P183" s="7"/>
      <c r="Q183" s="7"/>
      <c r="R183" s="7"/>
      <c r="S183" s="7"/>
      <c r="T183" s="7"/>
      <c r="U183" s="7"/>
      <c r="V183" s="7"/>
      <c r="W183" s="7"/>
      <c r="X183" s="7"/>
      <c r="Y183" s="7" t="s">
        <v>1078</v>
      </c>
      <c r="Z183" s="7" t="s">
        <v>541</v>
      </c>
      <c r="AA183" s="7" t="s">
        <v>1079</v>
      </c>
      <c r="AB183" s="7" t="s">
        <v>44</v>
      </c>
      <c r="AC183" s="7"/>
      <c r="AD183" s="10"/>
      <c r="AE183" s="10"/>
      <c r="AF183" s="10"/>
      <c r="AG183" s="11">
        <f t="shared" si="2"/>
        <v>43266</v>
      </c>
    </row>
    <row r="184" spans="1:33">
      <c r="A184" s="7" t="s">
        <v>1080</v>
      </c>
      <c r="B184" s="7" t="s">
        <v>1080</v>
      </c>
      <c r="C184" s="7" t="s">
        <v>1081</v>
      </c>
      <c r="D184" s="7" t="s">
        <v>1082</v>
      </c>
      <c r="E184" s="7" t="s">
        <v>33</v>
      </c>
      <c r="F184" s="7" t="s">
        <v>34</v>
      </c>
      <c r="G184" s="7" t="s">
        <v>35</v>
      </c>
      <c r="H184" s="7"/>
      <c r="I184" s="7"/>
      <c r="J184" s="7" t="s">
        <v>36</v>
      </c>
      <c r="K184" s="7" t="s">
        <v>410</v>
      </c>
      <c r="L184" s="7" t="s">
        <v>411</v>
      </c>
      <c r="M184" s="7" t="s">
        <v>412</v>
      </c>
      <c r="N184" s="7" t="s">
        <v>33</v>
      </c>
      <c r="O184" s="7">
        <v>1</v>
      </c>
      <c r="P184" s="7" t="s">
        <v>40</v>
      </c>
      <c r="Q184" s="7">
        <v>21.99</v>
      </c>
      <c r="R184" s="7"/>
      <c r="S184" s="7"/>
      <c r="T184" s="7"/>
      <c r="U184" s="7"/>
      <c r="V184" s="7"/>
      <c r="W184" s="7"/>
      <c r="X184" s="7"/>
      <c r="Y184" s="7" t="s">
        <v>73</v>
      </c>
      <c r="Z184" s="7" t="s">
        <v>64</v>
      </c>
      <c r="AA184" s="7" t="s">
        <v>1083</v>
      </c>
      <c r="AB184" s="7" t="s">
        <v>44</v>
      </c>
      <c r="AC184" s="7"/>
      <c r="AD184" s="10"/>
      <c r="AE184" s="10"/>
      <c r="AF184" s="10"/>
      <c r="AG184" s="11">
        <f t="shared" si="2"/>
        <v>43266</v>
      </c>
    </row>
    <row r="185" spans="1:33">
      <c r="A185" s="7" t="s">
        <v>1084</v>
      </c>
      <c r="B185" s="7" t="s">
        <v>1084</v>
      </c>
      <c r="C185" s="7" t="s">
        <v>1085</v>
      </c>
      <c r="D185" s="7" t="s">
        <v>1086</v>
      </c>
      <c r="E185" s="7" t="s">
        <v>54</v>
      </c>
      <c r="F185" s="7" t="s">
        <v>34</v>
      </c>
      <c r="G185" s="7" t="s">
        <v>35</v>
      </c>
      <c r="H185" s="7"/>
      <c r="I185" s="7"/>
      <c r="J185" s="7" t="s">
        <v>69</v>
      </c>
      <c r="K185" s="7" t="s">
        <v>88</v>
      </c>
      <c r="L185" s="7" t="s">
        <v>89</v>
      </c>
      <c r="M185" s="7" t="s">
        <v>90</v>
      </c>
      <c r="N185" s="7" t="s">
        <v>62</v>
      </c>
      <c r="O185" s="7">
        <v>1</v>
      </c>
      <c r="P185" s="7" t="s">
        <v>40</v>
      </c>
      <c r="Q185" s="7">
        <v>89.99</v>
      </c>
      <c r="R185" s="7"/>
      <c r="S185" s="7"/>
      <c r="T185" s="7"/>
      <c r="U185" s="7"/>
      <c r="V185" s="7"/>
      <c r="W185" s="7"/>
      <c r="X185" s="7"/>
      <c r="Y185" s="7" t="s">
        <v>1032</v>
      </c>
      <c r="Z185" s="7" t="s">
        <v>541</v>
      </c>
      <c r="AA185" s="7" t="s">
        <v>1033</v>
      </c>
      <c r="AB185" s="7" t="s">
        <v>44</v>
      </c>
      <c r="AC185" s="7"/>
      <c r="AD185" s="10"/>
      <c r="AE185" s="10"/>
      <c r="AF185" s="10"/>
      <c r="AG185" s="11">
        <f t="shared" si="2"/>
        <v>43266</v>
      </c>
    </row>
    <row r="186" spans="1:33">
      <c r="A186" s="7" t="s">
        <v>1087</v>
      </c>
      <c r="B186" s="7" t="s">
        <v>1087</v>
      </c>
      <c r="C186" s="7" t="s">
        <v>1088</v>
      </c>
      <c r="D186" s="7" t="s">
        <v>1089</v>
      </c>
      <c r="E186" s="7" t="s">
        <v>54</v>
      </c>
      <c r="F186" s="7" t="s">
        <v>34</v>
      </c>
      <c r="G186" s="7" t="s">
        <v>35</v>
      </c>
      <c r="H186" s="7"/>
      <c r="I186" s="7"/>
      <c r="J186" s="7" t="s">
        <v>69</v>
      </c>
      <c r="K186" s="7" t="s">
        <v>88</v>
      </c>
      <c r="L186" s="7" t="s">
        <v>89</v>
      </c>
      <c r="M186" s="7" t="s">
        <v>90</v>
      </c>
      <c r="N186" s="7" t="s">
        <v>62</v>
      </c>
      <c r="O186" s="7">
        <v>1</v>
      </c>
      <c r="P186" s="7" t="s">
        <v>40</v>
      </c>
      <c r="Q186" s="7">
        <v>89.99</v>
      </c>
      <c r="R186" s="7"/>
      <c r="S186" s="7"/>
      <c r="T186" s="7"/>
      <c r="U186" s="7"/>
      <c r="V186" s="7"/>
      <c r="W186" s="7"/>
      <c r="X186" s="7"/>
      <c r="Y186" s="7" t="s">
        <v>1032</v>
      </c>
      <c r="Z186" s="7" t="s">
        <v>541</v>
      </c>
      <c r="AA186" s="7" t="s">
        <v>1033</v>
      </c>
      <c r="AB186" s="7" t="s">
        <v>44</v>
      </c>
      <c r="AC186" s="7"/>
      <c r="AD186" s="10"/>
      <c r="AE186" s="10"/>
      <c r="AF186" s="10"/>
      <c r="AG186" s="11">
        <f t="shared" si="2"/>
        <v>43266</v>
      </c>
    </row>
    <row r="187" spans="1:33">
      <c r="A187" s="7" t="s">
        <v>1090</v>
      </c>
      <c r="B187" s="7" t="s">
        <v>1090</v>
      </c>
      <c r="C187" s="7" t="s">
        <v>1091</v>
      </c>
      <c r="D187" s="7" t="s">
        <v>1092</v>
      </c>
      <c r="E187" s="7" t="s">
        <v>54</v>
      </c>
      <c r="F187" s="7" t="s">
        <v>34</v>
      </c>
      <c r="G187" s="7" t="s">
        <v>35</v>
      </c>
      <c r="H187" s="7"/>
      <c r="I187" s="7"/>
      <c r="J187" s="7" t="s">
        <v>69</v>
      </c>
      <c r="K187" s="7" t="s">
        <v>88</v>
      </c>
      <c r="L187" s="7" t="s">
        <v>89</v>
      </c>
      <c r="M187" s="7" t="s">
        <v>90</v>
      </c>
      <c r="N187" s="7" t="s">
        <v>62</v>
      </c>
      <c r="O187" s="7">
        <v>1</v>
      </c>
      <c r="P187" s="7" t="s">
        <v>40</v>
      </c>
      <c r="Q187" s="7">
        <v>89.99</v>
      </c>
      <c r="R187" s="7"/>
      <c r="S187" s="7"/>
      <c r="T187" s="7"/>
      <c r="U187" s="7"/>
      <c r="V187" s="7"/>
      <c r="W187" s="7"/>
      <c r="X187" s="7"/>
      <c r="Y187" s="7" t="s">
        <v>1032</v>
      </c>
      <c r="Z187" s="7" t="s">
        <v>541</v>
      </c>
      <c r="AA187" s="7" t="s">
        <v>1033</v>
      </c>
      <c r="AB187" s="7" t="s">
        <v>44</v>
      </c>
      <c r="AC187" s="7"/>
      <c r="AD187" s="10"/>
      <c r="AE187" s="10"/>
      <c r="AF187" s="10"/>
      <c r="AG187" s="11">
        <f t="shared" si="2"/>
        <v>43266</v>
      </c>
    </row>
    <row r="188" spans="1:33">
      <c r="A188" s="7" t="s">
        <v>1093</v>
      </c>
      <c r="B188" s="7" t="s">
        <v>1093</v>
      </c>
      <c r="C188" s="7" t="s">
        <v>1094</v>
      </c>
      <c r="D188" s="7" t="s">
        <v>1095</v>
      </c>
      <c r="E188" s="7" t="s">
        <v>54</v>
      </c>
      <c r="F188" s="7" t="s">
        <v>34</v>
      </c>
      <c r="G188" s="7" t="s">
        <v>35</v>
      </c>
      <c r="H188" s="7"/>
      <c r="I188" s="7"/>
      <c r="J188" s="7" t="s">
        <v>69</v>
      </c>
      <c r="K188" s="7" t="s">
        <v>88</v>
      </c>
      <c r="L188" s="7" t="s">
        <v>89</v>
      </c>
      <c r="M188" s="7" t="s">
        <v>90</v>
      </c>
      <c r="N188" s="7" t="s">
        <v>62</v>
      </c>
      <c r="O188" s="7">
        <v>1</v>
      </c>
      <c r="P188" s="7" t="s">
        <v>40</v>
      </c>
      <c r="Q188" s="7">
        <v>89.99</v>
      </c>
      <c r="R188" s="7"/>
      <c r="S188" s="7"/>
      <c r="T188" s="7"/>
      <c r="U188" s="7"/>
      <c r="V188" s="7"/>
      <c r="W188" s="7"/>
      <c r="X188" s="7"/>
      <c r="Y188" s="7" t="s">
        <v>1032</v>
      </c>
      <c r="Z188" s="7" t="s">
        <v>541</v>
      </c>
      <c r="AA188" s="7" t="s">
        <v>1033</v>
      </c>
      <c r="AB188" s="7" t="s">
        <v>44</v>
      </c>
      <c r="AC188" s="7"/>
      <c r="AD188" s="10"/>
      <c r="AE188" s="10"/>
      <c r="AF188" s="10"/>
      <c r="AG188" s="11">
        <f t="shared" si="2"/>
        <v>43266</v>
      </c>
    </row>
    <row r="189" spans="1:33">
      <c r="A189" s="7" t="s">
        <v>1096</v>
      </c>
      <c r="B189" s="7" t="s">
        <v>1096</v>
      </c>
      <c r="C189" s="7" t="s">
        <v>1097</v>
      </c>
      <c r="D189" s="7" t="s">
        <v>1098</v>
      </c>
      <c r="E189" s="7" t="s">
        <v>33</v>
      </c>
      <c r="F189" s="7" t="s">
        <v>34</v>
      </c>
      <c r="G189" s="7" t="s">
        <v>35</v>
      </c>
      <c r="H189" s="7"/>
      <c r="I189" s="7"/>
      <c r="J189" s="7" t="s">
        <v>36</v>
      </c>
      <c r="K189" s="7" t="s">
        <v>1099</v>
      </c>
      <c r="L189" s="7" t="s">
        <v>1100</v>
      </c>
      <c r="M189" s="7" t="s">
        <v>1101</v>
      </c>
      <c r="N189" s="7" t="s">
        <v>33</v>
      </c>
      <c r="O189" s="7">
        <v>1</v>
      </c>
      <c r="P189" s="7" t="s">
        <v>40</v>
      </c>
      <c r="Q189" s="7">
        <v>108.99</v>
      </c>
      <c r="R189" s="7"/>
      <c r="S189" s="7"/>
      <c r="T189" s="7"/>
      <c r="U189" s="7"/>
      <c r="V189" s="7"/>
      <c r="W189" s="7"/>
      <c r="X189" s="7"/>
      <c r="Y189" s="7" t="s">
        <v>1102</v>
      </c>
      <c r="Z189" s="7" t="s">
        <v>837</v>
      </c>
      <c r="AA189" s="7" t="s">
        <v>1103</v>
      </c>
      <c r="AB189" s="7" t="s">
        <v>44</v>
      </c>
      <c r="AC189" s="7"/>
      <c r="AD189" s="10"/>
      <c r="AE189" s="10"/>
      <c r="AF189" s="10"/>
      <c r="AG189" s="11">
        <f t="shared" si="2"/>
        <v>43266</v>
      </c>
    </row>
    <row r="190" spans="1:33">
      <c r="A190" s="7" t="s">
        <v>1104</v>
      </c>
      <c r="B190" s="7" t="s">
        <v>1104</v>
      </c>
      <c r="C190" s="7" t="s">
        <v>1105</v>
      </c>
      <c r="D190" s="7" t="s">
        <v>1106</v>
      </c>
      <c r="E190" s="7" t="s">
        <v>54</v>
      </c>
      <c r="F190" s="7" t="s">
        <v>34</v>
      </c>
      <c r="G190" s="7" t="s">
        <v>35</v>
      </c>
      <c r="H190" s="7"/>
      <c r="I190" s="7"/>
      <c r="J190" s="7" t="s">
        <v>36</v>
      </c>
      <c r="K190" s="7" t="s">
        <v>59</v>
      </c>
      <c r="L190" s="7" t="s">
        <v>60</v>
      </c>
      <c r="M190" s="7" t="s">
        <v>61</v>
      </c>
      <c r="N190" s="7" t="s">
        <v>54</v>
      </c>
      <c r="O190" s="7">
        <v>0</v>
      </c>
      <c r="P190" s="7"/>
      <c r="Q190" s="7"/>
      <c r="R190" s="7"/>
      <c r="S190" s="7"/>
      <c r="T190" s="7"/>
      <c r="U190" s="7"/>
      <c r="V190" s="7"/>
      <c r="W190" s="7"/>
      <c r="X190" s="7"/>
      <c r="Y190" s="7" t="s">
        <v>1107</v>
      </c>
      <c r="Z190" s="7" t="s">
        <v>1108</v>
      </c>
      <c r="AA190" s="7">
        <v>60707</v>
      </c>
      <c r="AB190" s="7" t="s">
        <v>44</v>
      </c>
      <c r="AC190" s="7"/>
      <c r="AD190" s="10"/>
      <c r="AE190" s="10"/>
      <c r="AF190" s="10"/>
      <c r="AG190" s="11">
        <f t="shared" si="2"/>
        <v>43266</v>
      </c>
    </row>
    <row r="191" spans="1:33">
      <c r="A191" s="7" t="s">
        <v>1109</v>
      </c>
      <c r="B191" s="7" t="s">
        <v>1109</v>
      </c>
      <c r="C191" s="7" t="s">
        <v>1110</v>
      </c>
      <c r="D191" s="7" t="s">
        <v>1111</v>
      </c>
      <c r="E191" s="7" t="s">
        <v>33</v>
      </c>
      <c r="F191" s="7" t="s">
        <v>34</v>
      </c>
      <c r="G191" s="7" t="s">
        <v>35</v>
      </c>
      <c r="H191" s="7"/>
      <c r="I191" s="7"/>
      <c r="J191" s="7" t="s">
        <v>36</v>
      </c>
      <c r="K191" s="7" t="s">
        <v>37</v>
      </c>
      <c r="L191" s="7" t="s">
        <v>38</v>
      </c>
      <c r="M191" s="7" t="s">
        <v>39</v>
      </c>
      <c r="N191" s="7" t="s">
        <v>33</v>
      </c>
      <c r="O191" s="7">
        <v>1</v>
      </c>
      <c r="P191" s="7" t="s">
        <v>40</v>
      </c>
      <c r="Q191" s="7">
        <v>89.99</v>
      </c>
      <c r="R191" s="7"/>
      <c r="S191" s="7"/>
      <c r="T191" s="7"/>
      <c r="U191" s="7"/>
      <c r="V191" s="7"/>
      <c r="W191" s="7"/>
      <c r="X191" s="7"/>
      <c r="Y191" s="7" t="s">
        <v>390</v>
      </c>
      <c r="Z191" s="7" t="s">
        <v>391</v>
      </c>
      <c r="AA191" s="7" t="s">
        <v>1112</v>
      </c>
      <c r="AB191" s="7" t="s">
        <v>44</v>
      </c>
      <c r="AC191" s="7"/>
      <c r="AD191" s="10"/>
      <c r="AE191" s="10"/>
      <c r="AF191" s="10"/>
      <c r="AG191" s="11">
        <f t="shared" si="2"/>
        <v>43266</v>
      </c>
    </row>
    <row r="192" spans="1:33">
      <c r="A192" s="7" t="s">
        <v>1113</v>
      </c>
      <c r="B192" s="7" t="s">
        <v>1113</v>
      </c>
      <c r="C192" s="7" t="s">
        <v>1114</v>
      </c>
      <c r="D192" s="7" t="s">
        <v>1115</v>
      </c>
      <c r="E192" s="7" t="s">
        <v>33</v>
      </c>
      <c r="F192" s="7" t="s">
        <v>34</v>
      </c>
      <c r="G192" s="7" t="s">
        <v>35</v>
      </c>
      <c r="H192" s="7"/>
      <c r="I192" s="7"/>
      <c r="J192" s="7" t="s">
        <v>163</v>
      </c>
      <c r="K192" s="7" t="s">
        <v>148</v>
      </c>
      <c r="L192" s="7" t="s">
        <v>149</v>
      </c>
      <c r="M192" s="7" t="s">
        <v>150</v>
      </c>
      <c r="N192" s="7" t="s">
        <v>33</v>
      </c>
      <c r="O192" s="7">
        <v>1</v>
      </c>
      <c r="P192" s="7" t="s">
        <v>40</v>
      </c>
      <c r="Q192" s="7">
        <v>98.99</v>
      </c>
      <c r="R192" s="7"/>
      <c r="S192" s="7">
        <v>15.99</v>
      </c>
      <c r="T192" s="7"/>
      <c r="U192" s="7"/>
      <c r="V192" s="7"/>
      <c r="W192" s="7"/>
      <c r="X192" s="7"/>
      <c r="Y192" s="7" t="s">
        <v>1116</v>
      </c>
      <c r="Z192" s="7" t="s">
        <v>52</v>
      </c>
      <c r="AA192" s="7">
        <v>11372</v>
      </c>
      <c r="AB192" s="7" t="s">
        <v>44</v>
      </c>
      <c r="AC192" s="7"/>
      <c r="AD192" s="10"/>
      <c r="AE192" s="10"/>
      <c r="AF192" s="10"/>
      <c r="AG192" s="11">
        <f t="shared" si="2"/>
        <v>43266</v>
      </c>
    </row>
    <row r="193" spans="1:33">
      <c r="A193" s="7" t="s">
        <v>1117</v>
      </c>
      <c r="B193" s="7" t="s">
        <v>1117</v>
      </c>
      <c r="C193" s="7" t="s">
        <v>1118</v>
      </c>
      <c r="D193" s="7" t="s">
        <v>1119</v>
      </c>
      <c r="E193" s="7" t="s">
        <v>33</v>
      </c>
      <c r="F193" s="7" t="s">
        <v>34</v>
      </c>
      <c r="G193" s="7" t="s">
        <v>35</v>
      </c>
      <c r="H193" s="7"/>
      <c r="I193" s="7"/>
      <c r="J193" s="7" t="s">
        <v>69</v>
      </c>
      <c r="K193" s="7" t="s">
        <v>1120</v>
      </c>
      <c r="L193" s="7" t="s">
        <v>1121</v>
      </c>
      <c r="M193" s="7" t="s">
        <v>1122</v>
      </c>
      <c r="N193" s="7" t="s">
        <v>33</v>
      </c>
      <c r="O193" s="7">
        <v>1</v>
      </c>
      <c r="P193" s="7" t="s">
        <v>40</v>
      </c>
      <c r="Q193" s="7">
        <v>90.99</v>
      </c>
      <c r="R193" s="7"/>
      <c r="S193" s="7">
        <v>6.49</v>
      </c>
      <c r="T193" s="7"/>
      <c r="U193" s="7"/>
      <c r="V193" s="7"/>
      <c r="W193" s="7">
        <v>9.1</v>
      </c>
      <c r="X193" s="7">
        <v>6.49</v>
      </c>
      <c r="Y193" s="7" t="s">
        <v>73</v>
      </c>
      <c r="Z193" s="7" t="s">
        <v>64</v>
      </c>
      <c r="AA193" s="7" t="s">
        <v>1123</v>
      </c>
      <c r="AB193" s="7" t="s">
        <v>44</v>
      </c>
      <c r="AC193" s="7" t="s">
        <v>1124</v>
      </c>
      <c r="AD193" s="10"/>
      <c r="AE193" s="10"/>
      <c r="AF193" s="10"/>
      <c r="AG193" s="11">
        <f t="shared" si="2"/>
        <v>43266</v>
      </c>
    </row>
    <row r="194" spans="1:33">
      <c r="A194" s="7" t="s">
        <v>1125</v>
      </c>
      <c r="B194" s="7" t="s">
        <v>1125</v>
      </c>
      <c r="C194" s="7" t="s">
        <v>1126</v>
      </c>
      <c r="D194" s="7" t="s">
        <v>1127</v>
      </c>
      <c r="E194" s="7" t="s">
        <v>33</v>
      </c>
      <c r="F194" s="7" t="s">
        <v>34</v>
      </c>
      <c r="G194" s="7" t="s">
        <v>35</v>
      </c>
      <c r="H194" s="7"/>
      <c r="I194" s="7"/>
      <c r="J194" s="7" t="s">
        <v>36</v>
      </c>
      <c r="K194" s="7" t="s">
        <v>235</v>
      </c>
      <c r="L194" s="7" t="s">
        <v>236</v>
      </c>
      <c r="M194" s="7" t="s">
        <v>237</v>
      </c>
      <c r="N194" s="7" t="s">
        <v>33</v>
      </c>
      <c r="O194" s="7">
        <v>1</v>
      </c>
      <c r="P194" s="7" t="s">
        <v>40</v>
      </c>
      <c r="Q194" s="7">
        <v>85.99</v>
      </c>
      <c r="R194" s="7"/>
      <c r="S194" s="7"/>
      <c r="T194" s="7"/>
      <c r="U194" s="7"/>
      <c r="V194" s="7"/>
      <c r="W194" s="7"/>
      <c r="X194" s="7"/>
      <c r="Y194" s="7" t="s">
        <v>1128</v>
      </c>
      <c r="Z194" s="7" t="s">
        <v>861</v>
      </c>
      <c r="AA194" s="7" t="s">
        <v>1129</v>
      </c>
      <c r="AB194" s="7" t="s">
        <v>44</v>
      </c>
      <c r="AC194" s="7"/>
      <c r="AD194" s="10"/>
      <c r="AE194" s="10"/>
      <c r="AF194" s="10"/>
      <c r="AG194" s="11">
        <f t="shared" ref="AG194:AG257" si="3">DATEVALUE(LEFT(C194,10))</f>
        <v>43266</v>
      </c>
    </row>
    <row r="195" spans="1:33">
      <c r="A195" s="7" t="s">
        <v>1130</v>
      </c>
      <c r="B195" s="7" t="s">
        <v>1130</v>
      </c>
      <c r="C195" s="7" t="s">
        <v>1131</v>
      </c>
      <c r="D195" s="7" t="s">
        <v>1132</v>
      </c>
      <c r="E195" s="7" t="s">
        <v>33</v>
      </c>
      <c r="F195" s="7" t="s">
        <v>34</v>
      </c>
      <c r="G195" s="7" t="s">
        <v>35</v>
      </c>
      <c r="H195" s="7"/>
      <c r="I195" s="7"/>
      <c r="J195" s="7" t="s">
        <v>36</v>
      </c>
      <c r="K195" s="7" t="s">
        <v>79</v>
      </c>
      <c r="L195" s="7" t="s">
        <v>80</v>
      </c>
      <c r="M195" s="7" t="s">
        <v>81</v>
      </c>
      <c r="N195" s="7" t="s">
        <v>33</v>
      </c>
      <c r="O195" s="7">
        <v>1</v>
      </c>
      <c r="P195" s="7" t="s">
        <v>40</v>
      </c>
      <c r="Q195" s="7">
        <v>91.99</v>
      </c>
      <c r="R195" s="7"/>
      <c r="S195" s="7"/>
      <c r="T195" s="7"/>
      <c r="U195" s="7"/>
      <c r="V195" s="7"/>
      <c r="W195" s="7"/>
      <c r="X195" s="7"/>
      <c r="Y195" s="7" t="s">
        <v>1133</v>
      </c>
      <c r="Z195" s="7" t="s">
        <v>83</v>
      </c>
      <c r="AA195" s="7" t="s">
        <v>1134</v>
      </c>
      <c r="AB195" s="7" t="s">
        <v>44</v>
      </c>
      <c r="AC195" s="7"/>
      <c r="AD195" s="10"/>
      <c r="AE195" s="10"/>
      <c r="AF195" s="10"/>
      <c r="AG195" s="11">
        <f t="shared" si="3"/>
        <v>43266</v>
      </c>
    </row>
    <row r="196" spans="1:33">
      <c r="A196" s="7" t="s">
        <v>1135</v>
      </c>
      <c r="B196" s="7" t="s">
        <v>1135</v>
      </c>
      <c r="C196" s="7" t="s">
        <v>1136</v>
      </c>
      <c r="D196" s="7" t="s">
        <v>1137</v>
      </c>
      <c r="E196" s="7" t="s">
        <v>54</v>
      </c>
      <c r="F196" s="7" t="s">
        <v>34</v>
      </c>
      <c r="G196" s="7" t="s">
        <v>35</v>
      </c>
      <c r="H196" s="7"/>
      <c r="I196" s="7"/>
      <c r="J196" s="7" t="s">
        <v>36</v>
      </c>
      <c r="K196" s="7" t="s">
        <v>88</v>
      </c>
      <c r="L196" s="7" t="s">
        <v>89</v>
      </c>
      <c r="M196" s="7" t="s">
        <v>90</v>
      </c>
      <c r="N196" s="7" t="s">
        <v>62</v>
      </c>
      <c r="O196" s="7">
        <v>1</v>
      </c>
      <c r="P196" s="7" t="s">
        <v>40</v>
      </c>
      <c r="Q196" s="7">
        <v>89.99</v>
      </c>
      <c r="R196" s="7"/>
      <c r="S196" s="7"/>
      <c r="T196" s="7"/>
      <c r="U196" s="7"/>
      <c r="V196" s="7"/>
      <c r="W196" s="7"/>
      <c r="X196" s="7"/>
      <c r="Y196" s="7" t="s">
        <v>815</v>
      </c>
      <c r="Z196" s="7" t="s">
        <v>816</v>
      </c>
      <c r="AA196" s="7">
        <v>44110</v>
      </c>
      <c r="AB196" s="7" t="s">
        <v>44</v>
      </c>
      <c r="AC196" s="7"/>
      <c r="AD196" s="10"/>
      <c r="AE196" s="10"/>
      <c r="AF196" s="10"/>
      <c r="AG196" s="11">
        <f t="shared" si="3"/>
        <v>43266</v>
      </c>
    </row>
    <row r="197" spans="1:33">
      <c r="A197" s="7" t="s">
        <v>1138</v>
      </c>
      <c r="B197" s="7" t="s">
        <v>1138</v>
      </c>
      <c r="C197" s="7" t="s">
        <v>1139</v>
      </c>
      <c r="D197" s="7" t="s">
        <v>1140</v>
      </c>
      <c r="E197" s="7" t="s">
        <v>33</v>
      </c>
      <c r="F197" s="7" t="s">
        <v>34</v>
      </c>
      <c r="G197" s="7" t="s">
        <v>35</v>
      </c>
      <c r="H197" s="7"/>
      <c r="I197" s="7"/>
      <c r="J197" s="7" t="s">
        <v>163</v>
      </c>
      <c r="K197" s="7" t="s">
        <v>235</v>
      </c>
      <c r="L197" s="7" t="s">
        <v>236</v>
      </c>
      <c r="M197" s="7" t="s">
        <v>237</v>
      </c>
      <c r="N197" s="7" t="s">
        <v>33</v>
      </c>
      <c r="O197" s="7">
        <v>1</v>
      </c>
      <c r="P197" s="7" t="s">
        <v>40</v>
      </c>
      <c r="Q197" s="7">
        <v>85.99</v>
      </c>
      <c r="R197" s="7"/>
      <c r="S197" s="7">
        <v>5.99</v>
      </c>
      <c r="T197" s="7"/>
      <c r="U197" s="7"/>
      <c r="V197" s="7"/>
      <c r="W197" s="7"/>
      <c r="X197" s="7">
        <v>5.99</v>
      </c>
      <c r="Y197" s="7" t="s">
        <v>1141</v>
      </c>
      <c r="Z197" s="7" t="s">
        <v>83</v>
      </c>
      <c r="AA197" s="7" t="s">
        <v>1142</v>
      </c>
      <c r="AB197" s="7" t="s">
        <v>44</v>
      </c>
      <c r="AC197" s="7"/>
      <c r="AD197" s="10"/>
      <c r="AE197" s="10"/>
      <c r="AF197" s="10"/>
      <c r="AG197" s="11">
        <f t="shared" si="3"/>
        <v>43266</v>
      </c>
    </row>
    <row r="198" spans="1:33">
      <c r="A198" s="7" t="s">
        <v>1143</v>
      </c>
      <c r="B198" s="7" t="s">
        <v>1143</v>
      </c>
      <c r="C198" s="7" t="s">
        <v>1144</v>
      </c>
      <c r="D198" s="7" t="s">
        <v>1145</v>
      </c>
      <c r="E198" s="7" t="s">
        <v>33</v>
      </c>
      <c r="F198" s="7" t="s">
        <v>34</v>
      </c>
      <c r="G198" s="7" t="s">
        <v>35</v>
      </c>
      <c r="H198" s="7"/>
      <c r="I198" s="7"/>
      <c r="J198" s="7" t="s">
        <v>36</v>
      </c>
      <c r="K198" s="7" t="s">
        <v>59</v>
      </c>
      <c r="L198" s="7" t="s">
        <v>60</v>
      </c>
      <c r="M198" s="7" t="s">
        <v>61</v>
      </c>
      <c r="N198" s="7" t="s">
        <v>33</v>
      </c>
      <c r="O198" s="7">
        <v>1</v>
      </c>
      <c r="P198" s="7" t="s">
        <v>40</v>
      </c>
      <c r="Q198" s="7">
        <v>89.99</v>
      </c>
      <c r="R198" s="7"/>
      <c r="S198" s="7"/>
      <c r="T198" s="7"/>
      <c r="U198" s="7"/>
      <c r="V198" s="7"/>
      <c r="W198" s="7"/>
      <c r="X198" s="7"/>
      <c r="Y198" s="7" t="s">
        <v>1146</v>
      </c>
      <c r="Z198" s="7" t="s">
        <v>64</v>
      </c>
      <c r="AA198" s="7" t="s">
        <v>1147</v>
      </c>
      <c r="AB198" s="7" t="s">
        <v>44</v>
      </c>
      <c r="AC198" s="7"/>
      <c r="AD198" s="10"/>
      <c r="AE198" s="10"/>
      <c r="AF198" s="10"/>
      <c r="AG198" s="11">
        <f t="shared" si="3"/>
        <v>43266</v>
      </c>
    </row>
    <row r="199" spans="1:33">
      <c r="A199" s="7" t="s">
        <v>1148</v>
      </c>
      <c r="B199" s="7" t="s">
        <v>1148</v>
      </c>
      <c r="C199" s="7" t="s">
        <v>1149</v>
      </c>
      <c r="D199" s="7" t="s">
        <v>1150</v>
      </c>
      <c r="E199" s="7" t="s">
        <v>33</v>
      </c>
      <c r="F199" s="7" t="s">
        <v>34</v>
      </c>
      <c r="G199" s="7" t="s">
        <v>35</v>
      </c>
      <c r="H199" s="7"/>
      <c r="I199" s="7"/>
      <c r="J199" s="7" t="s">
        <v>36</v>
      </c>
      <c r="K199" s="7" t="s">
        <v>975</v>
      </c>
      <c r="L199" s="7" t="s">
        <v>976</v>
      </c>
      <c r="M199" s="7" t="s">
        <v>977</v>
      </c>
      <c r="N199" s="7" t="s">
        <v>33</v>
      </c>
      <c r="O199" s="7">
        <v>1</v>
      </c>
      <c r="P199" s="7" t="s">
        <v>40</v>
      </c>
      <c r="Q199" s="7">
        <v>89.99</v>
      </c>
      <c r="R199" s="7"/>
      <c r="S199" s="7"/>
      <c r="T199" s="7"/>
      <c r="U199" s="7"/>
      <c r="V199" s="7"/>
      <c r="W199" s="7"/>
      <c r="X199" s="7"/>
      <c r="Y199" s="7" t="s">
        <v>1151</v>
      </c>
      <c r="Z199" s="7" t="s">
        <v>135</v>
      </c>
      <c r="AA199" s="7" t="s">
        <v>1152</v>
      </c>
      <c r="AB199" s="7" t="s">
        <v>44</v>
      </c>
      <c r="AC199" s="7"/>
      <c r="AD199" s="10"/>
      <c r="AE199" s="10"/>
      <c r="AF199" s="10"/>
      <c r="AG199" s="11">
        <f t="shared" si="3"/>
        <v>43266</v>
      </c>
    </row>
    <row r="200" spans="1:33">
      <c r="A200" s="7" t="s">
        <v>1153</v>
      </c>
      <c r="B200" s="7" t="s">
        <v>1153</v>
      </c>
      <c r="C200" s="7" t="s">
        <v>1154</v>
      </c>
      <c r="D200" s="7" t="s">
        <v>1155</v>
      </c>
      <c r="E200" s="7" t="s">
        <v>54</v>
      </c>
      <c r="F200" s="7" t="s">
        <v>34</v>
      </c>
      <c r="G200" s="7" t="s">
        <v>35</v>
      </c>
      <c r="H200" s="7"/>
      <c r="I200" s="7"/>
      <c r="J200" s="7" t="s">
        <v>163</v>
      </c>
      <c r="K200" s="7" t="s">
        <v>275</v>
      </c>
      <c r="L200" s="7" t="s">
        <v>276</v>
      </c>
      <c r="M200" s="7" t="s">
        <v>277</v>
      </c>
      <c r="N200" s="7" t="s">
        <v>54</v>
      </c>
      <c r="O200" s="7">
        <v>0</v>
      </c>
      <c r="P200" s="7"/>
      <c r="Q200" s="7"/>
      <c r="R200" s="7"/>
      <c r="S200" s="7"/>
      <c r="T200" s="7"/>
      <c r="U200" s="7"/>
      <c r="V200" s="7"/>
      <c r="W200" s="7"/>
      <c r="X200" s="7"/>
      <c r="Y200" s="7" t="s">
        <v>421</v>
      </c>
      <c r="Z200" s="7" t="s">
        <v>1156</v>
      </c>
      <c r="AA200" s="7" t="s">
        <v>1157</v>
      </c>
      <c r="AB200" s="7" t="s">
        <v>44</v>
      </c>
      <c r="AC200" s="7"/>
      <c r="AD200" s="10"/>
      <c r="AE200" s="10"/>
      <c r="AF200" s="10"/>
      <c r="AG200" s="11">
        <f t="shared" si="3"/>
        <v>43266</v>
      </c>
    </row>
    <row r="201" spans="1:33">
      <c r="A201" s="7" t="s">
        <v>1158</v>
      </c>
      <c r="B201" s="7" t="s">
        <v>1158</v>
      </c>
      <c r="C201" s="7" t="s">
        <v>1159</v>
      </c>
      <c r="D201" s="7" t="s">
        <v>1160</v>
      </c>
      <c r="E201" s="7" t="s">
        <v>33</v>
      </c>
      <c r="F201" s="7" t="s">
        <v>34</v>
      </c>
      <c r="G201" s="7" t="s">
        <v>35</v>
      </c>
      <c r="H201" s="7"/>
      <c r="I201" s="7"/>
      <c r="J201" s="7" t="s">
        <v>36</v>
      </c>
      <c r="K201" s="7" t="s">
        <v>79</v>
      </c>
      <c r="L201" s="7" t="s">
        <v>80</v>
      </c>
      <c r="M201" s="7" t="s">
        <v>81</v>
      </c>
      <c r="N201" s="7" t="s">
        <v>33</v>
      </c>
      <c r="O201" s="7">
        <v>1</v>
      </c>
      <c r="P201" s="7" t="s">
        <v>40</v>
      </c>
      <c r="Q201" s="7">
        <v>91.99</v>
      </c>
      <c r="R201" s="7"/>
      <c r="S201" s="7"/>
      <c r="T201" s="7"/>
      <c r="U201" s="7"/>
      <c r="V201" s="7"/>
      <c r="W201" s="7"/>
      <c r="X201" s="7"/>
      <c r="Y201" s="7" t="s">
        <v>1161</v>
      </c>
      <c r="Z201" s="7" t="s">
        <v>327</v>
      </c>
      <c r="AA201" s="7" t="s">
        <v>1162</v>
      </c>
      <c r="AB201" s="7" t="s">
        <v>44</v>
      </c>
      <c r="AC201" s="7"/>
      <c r="AD201" s="10"/>
      <c r="AE201" s="10"/>
      <c r="AF201" s="10"/>
      <c r="AG201" s="11">
        <f t="shared" si="3"/>
        <v>43267</v>
      </c>
    </row>
    <row r="202" spans="1:33">
      <c r="A202" s="7" t="s">
        <v>1163</v>
      </c>
      <c r="B202" s="7" t="s">
        <v>1163</v>
      </c>
      <c r="C202" s="7" t="s">
        <v>1164</v>
      </c>
      <c r="D202" s="7" t="s">
        <v>1165</v>
      </c>
      <c r="E202" s="7" t="s">
        <v>33</v>
      </c>
      <c r="F202" s="7" t="s">
        <v>34</v>
      </c>
      <c r="G202" s="7" t="s">
        <v>35</v>
      </c>
      <c r="H202" s="7"/>
      <c r="I202" s="7"/>
      <c r="J202" s="7" t="s">
        <v>69</v>
      </c>
      <c r="K202" s="7" t="s">
        <v>213</v>
      </c>
      <c r="L202" s="7" t="s">
        <v>214</v>
      </c>
      <c r="M202" s="7" t="s">
        <v>215</v>
      </c>
      <c r="N202" s="7" t="s">
        <v>33</v>
      </c>
      <c r="O202" s="7">
        <v>1</v>
      </c>
      <c r="P202" s="7" t="s">
        <v>40</v>
      </c>
      <c r="Q202" s="7">
        <v>21.99</v>
      </c>
      <c r="R202" s="7"/>
      <c r="S202" s="7">
        <v>2.04</v>
      </c>
      <c r="T202" s="7"/>
      <c r="U202" s="7"/>
      <c r="V202" s="7"/>
      <c r="W202" s="7"/>
      <c r="X202" s="7">
        <v>2.04</v>
      </c>
      <c r="Y202" s="7" t="s">
        <v>1166</v>
      </c>
      <c r="Z202" s="7" t="s">
        <v>83</v>
      </c>
      <c r="AA202" s="7" t="s">
        <v>1167</v>
      </c>
      <c r="AB202" s="7" t="s">
        <v>44</v>
      </c>
      <c r="AC202" s="7" t="s">
        <v>75</v>
      </c>
      <c r="AD202" s="10"/>
      <c r="AE202" s="10"/>
      <c r="AF202" s="10"/>
      <c r="AG202" s="11">
        <f t="shared" si="3"/>
        <v>43267</v>
      </c>
    </row>
    <row r="203" spans="1:33">
      <c r="A203" s="7" t="s">
        <v>1163</v>
      </c>
      <c r="B203" s="7" t="s">
        <v>1163</v>
      </c>
      <c r="C203" s="7" t="s">
        <v>1164</v>
      </c>
      <c r="D203" s="7" t="s">
        <v>1165</v>
      </c>
      <c r="E203" s="7" t="s">
        <v>33</v>
      </c>
      <c r="F203" s="7" t="s">
        <v>34</v>
      </c>
      <c r="G203" s="7" t="s">
        <v>35</v>
      </c>
      <c r="H203" s="7"/>
      <c r="I203" s="7"/>
      <c r="J203" s="7" t="s">
        <v>69</v>
      </c>
      <c r="K203" s="7" t="s">
        <v>79</v>
      </c>
      <c r="L203" s="7" t="s">
        <v>80</v>
      </c>
      <c r="M203" s="7" t="s">
        <v>81</v>
      </c>
      <c r="N203" s="7" t="s">
        <v>33</v>
      </c>
      <c r="O203" s="7">
        <v>1</v>
      </c>
      <c r="P203" s="7" t="s">
        <v>40</v>
      </c>
      <c r="Q203" s="7">
        <v>91.99</v>
      </c>
      <c r="R203" s="7"/>
      <c r="S203" s="7">
        <v>3.69</v>
      </c>
      <c r="T203" s="7"/>
      <c r="U203" s="7"/>
      <c r="V203" s="7"/>
      <c r="W203" s="7"/>
      <c r="X203" s="7">
        <v>3.69</v>
      </c>
      <c r="Y203" s="7" t="s">
        <v>1166</v>
      </c>
      <c r="Z203" s="7" t="s">
        <v>83</v>
      </c>
      <c r="AA203" s="7" t="s">
        <v>1167</v>
      </c>
      <c r="AB203" s="7" t="s">
        <v>44</v>
      </c>
      <c r="AC203" s="7" t="s">
        <v>75</v>
      </c>
      <c r="AD203" s="10"/>
      <c r="AE203" s="10"/>
      <c r="AF203" s="10"/>
      <c r="AG203" s="11">
        <f t="shared" si="3"/>
        <v>43267</v>
      </c>
    </row>
    <row r="204" spans="1:33">
      <c r="A204" s="7" t="s">
        <v>1168</v>
      </c>
      <c r="B204" s="7" t="s">
        <v>1168</v>
      </c>
      <c r="C204" s="7" t="s">
        <v>1169</v>
      </c>
      <c r="D204" s="7" t="s">
        <v>1170</v>
      </c>
      <c r="E204" s="7" t="s">
        <v>33</v>
      </c>
      <c r="F204" s="7" t="s">
        <v>34</v>
      </c>
      <c r="G204" s="7" t="s">
        <v>35</v>
      </c>
      <c r="H204" s="7"/>
      <c r="I204" s="7"/>
      <c r="J204" s="7" t="s">
        <v>69</v>
      </c>
      <c r="K204" s="7" t="s">
        <v>698</v>
      </c>
      <c r="L204" s="7" t="s">
        <v>699</v>
      </c>
      <c r="M204" s="7" t="s">
        <v>700</v>
      </c>
      <c r="N204" s="7" t="s">
        <v>33</v>
      </c>
      <c r="O204" s="7">
        <v>1</v>
      </c>
      <c r="P204" s="7" t="s">
        <v>40</v>
      </c>
      <c r="Q204" s="7">
        <v>21.99</v>
      </c>
      <c r="R204" s="7"/>
      <c r="S204" s="7">
        <v>5.99</v>
      </c>
      <c r="T204" s="7"/>
      <c r="U204" s="7"/>
      <c r="V204" s="7"/>
      <c r="W204" s="7">
        <v>21.77</v>
      </c>
      <c r="X204" s="7"/>
      <c r="Y204" s="7" t="s">
        <v>1171</v>
      </c>
      <c r="Z204" s="7" t="s">
        <v>189</v>
      </c>
      <c r="AA204" s="7" t="s">
        <v>1172</v>
      </c>
      <c r="AB204" s="7" t="s">
        <v>44</v>
      </c>
      <c r="AC204" s="7" t="s">
        <v>209</v>
      </c>
      <c r="AD204" s="10"/>
      <c r="AE204" s="10"/>
      <c r="AF204" s="10"/>
      <c r="AG204" s="11">
        <f t="shared" si="3"/>
        <v>43267</v>
      </c>
    </row>
    <row r="205" spans="1:33">
      <c r="A205" s="7" t="s">
        <v>1173</v>
      </c>
      <c r="B205" s="7" t="s">
        <v>1173</v>
      </c>
      <c r="C205" s="7" t="s">
        <v>1174</v>
      </c>
      <c r="D205" s="7" t="s">
        <v>1175</v>
      </c>
      <c r="E205" s="7" t="s">
        <v>33</v>
      </c>
      <c r="F205" s="7" t="s">
        <v>34</v>
      </c>
      <c r="G205" s="7" t="s">
        <v>35</v>
      </c>
      <c r="H205" s="7"/>
      <c r="I205" s="7"/>
      <c r="J205" s="7" t="s">
        <v>36</v>
      </c>
      <c r="K205" s="7" t="s">
        <v>79</v>
      </c>
      <c r="L205" s="7" t="s">
        <v>80</v>
      </c>
      <c r="M205" s="7" t="s">
        <v>81</v>
      </c>
      <c r="N205" s="7" t="s">
        <v>33</v>
      </c>
      <c r="O205" s="7">
        <v>1</v>
      </c>
      <c r="P205" s="7" t="s">
        <v>40</v>
      </c>
      <c r="Q205" s="7">
        <v>91.99</v>
      </c>
      <c r="R205" s="7"/>
      <c r="S205" s="7"/>
      <c r="T205" s="7"/>
      <c r="U205" s="7"/>
      <c r="V205" s="7"/>
      <c r="W205" s="7"/>
      <c r="X205" s="7"/>
      <c r="Y205" s="7" t="s">
        <v>1176</v>
      </c>
      <c r="Z205" s="7" t="s">
        <v>440</v>
      </c>
      <c r="AA205" s="7" t="s">
        <v>1177</v>
      </c>
      <c r="AB205" s="7" t="s">
        <v>44</v>
      </c>
      <c r="AC205" s="7"/>
      <c r="AD205" s="10"/>
      <c r="AE205" s="10"/>
      <c r="AF205" s="10"/>
      <c r="AG205" s="11">
        <f t="shared" si="3"/>
        <v>43267</v>
      </c>
    </row>
    <row r="206" spans="1:33">
      <c r="A206" s="7" t="s">
        <v>1178</v>
      </c>
      <c r="B206" s="7" t="s">
        <v>1178</v>
      </c>
      <c r="C206" s="7" t="s">
        <v>1179</v>
      </c>
      <c r="D206" s="7" t="s">
        <v>1180</v>
      </c>
      <c r="E206" s="7" t="s">
        <v>33</v>
      </c>
      <c r="F206" s="7" t="s">
        <v>34</v>
      </c>
      <c r="G206" s="7" t="s">
        <v>35</v>
      </c>
      <c r="H206" s="7"/>
      <c r="I206" s="7"/>
      <c r="J206" s="7" t="s">
        <v>69</v>
      </c>
      <c r="K206" s="7" t="s">
        <v>70</v>
      </c>
      <c r="L206" s="7" t="s">
        <v>71</v>
      </c>
      <c r="M206" s="7" t="s">
        <v>72</v>
      </c>
      <c r="N206" s="7" t="s">
        <v>33</v>
      </c>
      <c r="O206" s="7">
        <v>1</v>
      </c>
      <c r="P206" s="7" t="s">
        <v>40</v>
      </c>
      <c r="Q206" s="7">
        <v>79.99</v>
      </c>
      <c r="R206" s="7"/>
      <c r="S206" s="7">
        <v>7.85</v>
      </c>
      <c r="T206" s="7"/>
      <c r="U206" s="7"/>
      <c r="V206" s="7"/>
      <c r="W206" s="7"/>
      <c r="X206" s="7"/>
      <c r="Y206" s="7" t="s">
        <v>1181</v>
      </c>
      <c r="Z206" s="7" t="s">
        <v>440</v>
      </c>
      <c r="AA206" s="7" t="s">
        <v>1182</v>
      </c>
      <c r="AB206" s="7" t="s">
        <v>44</v>
      </c>
      <c r="AC206" s="7"/>
      <c r="AD206" s="10"/>
      <c r="AE206" s="10"/>
      <c r="AF206" s="10"/>
      <c r="AG206" s="11">
        <f t="shared" si="3"/>
        <v>43267</v>
      </c>
    </row>
    <row r="207" spans="1:33">
      <c r="A207" s="7" t="s">
        <v>1183</v>
      </c>
      <c r="B207" s="7" t="s">
        <v>1183</v>
      </c>
      <c r="C207" s="7" t="s">
        <v>1184</v>
      </c>
      <c r="D207" s="7" t="s">
        <v>1185</v>
      </c>
      <c r="E207" s="7" t="s">
        <v>33</v>
      </c>
      <c r="F207" s="7" t="s">
        <v>34</v>
      </c>
      <c r="G207" s="7" t="s">
        <v>35</v>
      </c>
      <c r="H207" s="7"/>
      <c r="I207" s="7"/>
      <c r="J207" s="7" t="s">
        <v>58</v>
      </c>
      <c r="K207" s="7" t="s">
        <v>79</v>
      </c>
      <c r="L207" s="7" t="s">
        <v>80</v>
      </c>
      <c r="M207" s="7" t="s">
        <v>81</v>
      </c>
      <c r="N207" s="7" t="s">
        <v>33</v>
      </c>
      <c r="O207" s="7">
        <v>1</v>
      </c>
      <c r="P207" s="7" t="s">
        <v>40</v>
      </c>
      <c r="Q207" s="7">
        <v>91.99</v>
      </c>
      <c r="R207" s="7"/>
      <c r="S207" s="7">
        <v>7.72</v>
      </c>
      <c r="T207" s="7"/>
      <c r="U207" s="7"/>
      <c r="V207" s="7"/>
      <c r="W207" s="7"/>
      <c r="X207" s="7"/>
      <c r="Y207" s="7" t="s">
        <v>1186</v>
      </c>
      <c r="Z207" s="7" t="s">
        <v>299</v>
      </c>
      <c r="AA207" s="7" t="s">
        <v>1187</v>
      </c>
      <c r="AB207" s="7" t="s">
        <v>44</v>
      </c>
      <c r="AC207" s="7"/>
      <c r="AD207" s="10"/>
      <c r="AE207" s="10"/>
      <c r="AF207" s="10"/>
      <c r="AG207" s="11">
        <f t="shared" si="3"/>
        <v>43267</v>
      </c>
    </row>
    <row r="208" spans="1:33">
      <c r="A208" s="7" t="s">
        <v>1188</v>
      </c>
      <c r="B208" s="7" t="s">
        <v>1188</v>
      </c>
      <c r="C208" s="7" t="s">
        <v>1189</v>
      </c>
      <c r="D208" s="7" t="s">
        <v>1190</v>
      </c>
      <c r="E208" s="7" t="s">
        <v>33</v>
      </c>
      <c r="F208" s="7" t="s">
        <v>34</v>
      </c>
      <c r="G208" s="7" t="s">
        <v>35</v>
      </c>
      <c r="H208" s="7"/>
      <c r="I208" s="7"/>
      <c r="J208" s="7" t="s">
        <v>36</v>
      </c>
      <c r="K208" s="7" t="s">
        <v>59</v>
      </c>
      <c r="L208" s="7" t="s">
        <v>60</v>
      </c>
      <c r="M208" s="7" t="s">
        <v>61</v>
      </c>
      <c r="N208" s="7" t="s">
        <v>33</v>
      </c>
      <c r="O208" s="7">
        <v>1</v>
      </c>
      <c r="P208" s="7" t="s">
        <v>40</v>
      </c>
      <c r="Q208" s="7">
        <v>89.99</v>
      </c>
      <c r="R208" s="7">
        <v>7.56</v>
      </c>
      <c r="S208" s="7"/>
      <c r="T208" s="7"/>
      <c r="U208" s="7"/>
      <c r="V208" s="7"/>
      <c r="W208" s="7"/>
      <c r="X208" s="7"/>
      <c r="Y208" s="7" t="s">
        <v>1191</v>
      </c>
      <c r="Z208" s="7" t="s">
        <v>97</v>
      </c>
      <c r="AA208" s="7" t="s">
        <v>1192</v>
      </c>
      <c r="AB208" s="7" t="s">
        <v>44</v>
      </c>
      <c r="AC208" s="7"/>
      <c r="AD208" s="10"/>
      <c r="AE208" s="10"/>
      <c r="AF208" s="10"/>
      <c r="AG208" s="11">
        <f t="shared" si="3"/>
        <v>43267</v>
      </c>
    </row>
    <row r="209" spans="1:33">
      <c r="A209" s="7" t="s">
        <v>1193</v>
      </c>
      <c r="B209" s="7" t="s">
        <v>1193</v>
      </c>
      <c r="C209" s="7" t="s">
        <v>1194</v>
      </c>
      <c r="D209" s="7" t="s">
        <v>1195</v>
      </c>
      <c r="E209" s="7" t="s">
        <v>33</v>
      </c>
      <c r="F209" s="7" t="s">
        <v>34</v>
      </c>
      <c r="G209" s="7" t="s">
        <v>35</v>
      </c>
      <c r="H209" s="7"/>
      <c r="I209" s="7"/>
      <c r="J209" s="7" t="s">
        <v>36</v>
      </c>
      <c r="K209" s="7" t="s">
        <v>275</v>
      </c>
      <c r="L209" s="7" t="s">
        <v>276</v>
      </c>
      <c r="M209" s="7" t="s">
        <v>277</v>
      </c>
      <c r="N209" s="7" t="s">
        <v>33</v>
      </c>
      <c r="O209" s="7">
        <v>1</v>
      </c>
      <c r="P209" s="7" t="s">
        <v>40</v>
      </c>
      <c r="Q209" s="7">
        <v>89.99</v>
      </c>
      <c r="R209" s="7"/>
      <c r="S209" s="7"/>
      <c r="T209" s="7"/>
      <c r="U209" s="7"/>
      <c r="V209" s="7"/>
      <c r="W209" s="7"/>
      <c r="X209" s="7"/>
      <c r="Y209" s="7" t="s">
        <v>421</v>
      </c>
      <c r="Z209" s="7" t="s">
        <v>1156</v>
      </c>
      <c r="AA209" s="7" t="s">
        <v>1157</v>
      </c>
      <c r="AB209" s="7" t="s">
        <v>44</v>
      </c>
      <c r="AC209" s="7"/>
      <c r="AD209" s="10"/>
      <c r="AE209" s="10"/>
      <c r="AF209" s="10"/>
      <c r="AG209" s="11">
        <f t="shared" si="3"/>
        <v>43267</v>
      </c>
    </row>
    <row r="210" spans="1:33">
      <c r="A210" s="7" t="s">
        <v>1196</v>
      </c>
      <c r="B210" s="7" t="s">
        <v>1196</v>
      </c>
      <c r="C210" s="7" t="s">
        <v>1197</v>
      </c>
      <c r="D210" s="7" t="s">
        <v>1198</v>
      </c>
      <c r="E210" s="7" t="s">
        <v>33</v>
      </c>
      <c r="F210" s="7" t="s">
        <v>34</v>
      </c>
      <c r="G210" s="7" t="s">
        <v>35</v>
      </c>
      <c r="H210" s="7"/>
      <c r="I210" s="7"/>
      <c r="J210" s="7" t="s">
        <v>36</v>
      </c>
      <c r="K210" s="7" t="s">
        <v>79</v>
      </c>
      <c r="L210" s="7" t="s">
        <v>80</v>
      </c>
      <c r="M210" s="7" t="s">
        <v>81</v>
      </c>
      <c r="N210" s="7" t="s">
        <v>33</v>
      </c>
      <c r="O210" s="7">
        <v>1</v>
      </c>
      <c r="P210" s="7" t="s">
        <v>40</v>
      </c>
      <c r="Q210" s="7">
        <v>91.99</v>
      </c>
      <c r="R210" s="7"/>
      <c r="S210" s="7"/>
      <c r="T210" s="7"/>
      <c r="U210" s="7"/>
      <c r="V210" s="7"/>
      <c r="W210" s="7"/>
      <c r="X210" s="7"/>
      <c r="Y210" s="7" t="s">
        <v>1199</v>
      </c>
      <c r="Z210" s="7" t="s">
        <v>484</v>
      </c>
      <c r="AA210" s="7" t="s">
        <v>1200</v>
      </c>
      <c r="AB210" s="7" t="s">
        <v>44</v>
      </c>
      <c r="AC210" s="7"/>
      <c r="AD210" s="10"/>
      <c r="AE210" s="10"/>
      <c r="AF210" s="10"/>
      <c r="AG210" s="11">
        <f t="shared" si="3"/>
        <v>43267</v>
      </c>
    </row>
    <row r="211" spans="1:33">
      <c r="A211" s="7" t="s">
        <v>1201</v>
      </c>
      <c r="B211" s="7" t="s">
        <v>1201</v>
      </c>
      <c r="C211" s="7" t="s">
        <v>1202</v>
      </c>
      <c r="D211" s="7" t="s">
        <v>1203</v>
      </c>
      <c r="E211" s="7" t="s">
        <v>33</v>
      </c>
      <c r="F211" s="7" t="s">
        <v>34</v>
      </c>
      <c r="G211" s="7" t="s">
        <v>35</v>
      </c>
      <c r="H211" s="7"/>
      <c r="I211" s="7"/>
      <c r="J211" s="7" t="s">
        <v>69</v>
      </c>
      <c r="K211" s="7" t="s">
        <v>79</v>
      </c>
      <c r="L211" s="7" t="s">
        <v>80</v>
      </c>
      <c r="M211" s="7" t="s">
        <v>81</v>
      </c>
      <c r="N211" s="7" t="s">
        <v>33</v>
      </c>
      <c r="O211" s="7">
        <v>1</v>
      </c>
      <c r="P211" s="7" t="s">
        <v>40</v>
      </c>
      <c r="Q211" s="7">
        <v>91.99</v>
      </c>
      <c r="R211" s="7"/>
      <c r="S211" s="7"/>
      <c r="T211" s="7"/>
      <c r="U211" s="7"/>
      <c r="V211" s="7"/>
      <c r="W211" s="7"/>
      <c r="X211" s="7"/>
      <c r="Y211" s="7" t="s">
        <v>1204</v>
      </c>
      <c r="Z211" s="7" t="s">
        <v>1205</v>
      </c>
      <c r="AA211" s="7" t="s">
        <v>1206</v>
      </c>
      <c r="AB211" s="7" t="s">
        <v>44</v>
      </c>
      <c r="AC211" s="7"/>
      <c r="AD211" s="10"/>
      <c r="AE211" s="10"/>
      <c r="AF211" s="10"/>
      <c r="AG211" s="11">
        <f t="shared" si="3"/>
        <v>43267</v>
      </c>
    </row>
    <row r="212" spans="1:33">
      <c r="A212" s="7" t="s">
        <v>1207</v>
      </c>
      <c r="B212" s="7" t="s">
        <v>1207</v>
      </c>
      <c r="C212" s="7" t="s">
        <v>1208</v>
      </c>
      <c r="D212" s="7" t="s">
        <v>1209</v>
      </c>
      <c r="E212" s="7" t="s">
        <v>33</v>
      </c>
      <c r="F212" s="7" t="s">
        <v>34</v>
      </c>
      <c r="G212" s="7" t="s">
        <v>35</v>
      </c>
      <c r="H212" s="7"/>
      <c r="I212" s="7"/>
      <c r="J212" s="7" t="s">
        <v>36</v>
      </c>
      <c r="K212" s="7" t="s">
        <v>213</v>
      </c>
      <c r="L212" s="7" t="s">
        <v>214</v>
      </c>
      <c r="M212" s="7" t="s">
        <v>215</v>
      </c>
      <c r="N212" s="7" t="s">
        <v>33</v>
      </c>
      <c r="O212" s="7">
        <v>1</v>
      </c>
      <c r="P212" s="7" t="s">
        <v>40</v>
      </c>
      <c r="Q212" s="7">
        <v>21.99</v>
      </c>
      <c r="R212" s="7"/>
      <c r="S212" s="7"/>
      <c r="T212" s="7"/>
      <c r="U212" s="7"/>
      <c r="V212" s="7"/>
      <c r="W212" s="7"/>
      <c r="X212" s="7"/>
      <c r="Y212" s="7" t="s">
        <v>1210</v>
      </c>
      <c r="Z212" s="7" t="s">
        <v>42</v>
      </c>
      <c r="AA212" s="7" t="s">
        <v>1211</v>
      </c>
      <c r="AB212" s="7" t="s">
        <v>44</v>
      </c>
      <c r="AC212" s="7"/>
      <c r="AD212" s="10"/>
      <c r="AE212" s="10"/>
      <c r="AF212" s="10"/>
      <c r="AG212" s="11">
        <f t="shared" si="3"/>
        <v>43267</v>
      </c>
    </row>
    <row r="213" spans="1:33">
      <c r="A213" s="7" t="s">
        <v>1212</v>
      </c>
      <c r="B213" s="7" t="s">
        <v>1212</v>
      </c>
      <c r="C213" s="7" t="s">
        <v>1213</v>
      </c>
      <c r="D213" s="7" t="s">
        <v>1214</v>
      </c>
      <c r="E213" s="7" t="s">
        <v>33</v>
      </c>
      <c r="F213" s="7" t="s">
        <v>34</v>
      </c>
      <c r="G213" s="7" t="s">
        <v>35</v>
      </c>
      <c r="H213" s="7"/>
      <c r="I213" s="7"/>
      <c r="J213" s="7" t="s">
        <v>36</v>
      </c>
      <c r="K213" s="7" t="s">
        <v>1215</v>
      </c>
      <c r="L213" s="7" t="s">
        <v>1216</v>
      </c>
      <c r="M213" s="7" t="s">
        <v>1217</v>
      </c>
      <c r="N213" s="7" t="s">
        <v>33</v>
      </c>
      <c r="O213" s="7">
        <v>1</v>
      </c>
      <c r="P213" s="7" t="s">
        <v>40</v>
      </c>
      <c r="Q213" s="7">
        <v>99.99</v>
      </c>
      <c r="R213" s="7"/>
      <c r="S213" s="7"/>
      <c r="T213" s="7"/>
      <c r="U213" s="7"/>
      <c r="V213" s="7"/>
      <c r="W213" s="7"/>
      <c r="X213" s="7"/>
      <c r="Y213" s="7" t="s">
        <v>1218</v>
      </c>
      <c r="Z213" s="7" t="s">
        <v>1219</v>
      </c>
      <c r="AA213" s="7">
        <v>74033</v>
      </c>
      <c r="AB213" s="7" t="s">
        <v>44</v>
      </c>
      <c r="AC213" s="7"/>
      <c r="AD213" s="10"/>
      <c r="AE213" s="10"/>
      <c r="AF213" s="10"/>
      <c r="AG213" s="11">
        <f t="shared" si="3"/>
        <v>43267</v>
      </c>
    </row>
    <row r="214" spans="1:33">
      <c r="A214" s="7" t="s">
        <v>1220</v>
      </c>
      <c r="B214" s="7" t="s">
        <v>1220</v>
      </c>
      <c r="C214" s="7" t="s">
        <v>1221</v>
      </c>
      <c r="D214" s="7" t="s">
        <v>1222</v>
      </c>
      <c r="E214" s="7" t="s">
        <v>33</v>
      </c>
      <c r="F214" s="7" t="s">
        <v>34</v>
      </c>
      <c r="G214" s="7" t="s">
        <v>35</v>
      </c>
      <c r="H214" s="7"/>
      <c r="I214" s="7"/>
      <c r="J214" s="7" t="s">
        <v>163</v>
      </c>
      <c r="K214" s="7" t="s">
        <v>48</v>
      </c>
      <c r="L214" s="7" t="s">
        <v>49</v>
      </c>
      <c r="M214" s="7" t="s">
        <v>50</v>
      </c>
      <c r="N214" s="7" t="s">
        <v>33</v>
      </c>
      <c r="O214" s="7">
        <v>1</v>
      </c>
      <c r="P214" s="7" t="s">
        <v>40</v>
      </c>
      <c r="Q214" s="7">
        <v>89.99</v>
      </c>
      <c r="R214" s="7"/>
      <c r="S214" s="7">
        <v>7.99</v>
      </c>
      <c r="T214" s="7"/>
      <c r="U214" s="7"/>
      <c r="V214" s="7"/>
      <c r="W214" s="7"/>
      <c r="X214" s="7">
        <v>7.99</v>
      </c>
      <c r="Y214" s="7" t="s">
        <v>1223</v>
      </c>
      <c r="Z214" s="7" t="s">
        <v>135</v>
      </c>
      <c r="AA214" s="7">
        <v>60402</v>
      </c>
      <c r="AB214" s="7" t="s">
        <v>44</v>
      </c>
      <c r="AC214" s="7"/>
      <c r="AD214" s="10"/>
      <c r="AE214" s="10"/>
      <c r="AF214" s="10"/>
      <c r="AG214" s="11">
        <f t="shared" si="3"/>
        <v>43267</v>
      </c>
    </row>
    <row r="215" spans="1:33">
      <c r="A215" s="7" t="s">
        <v>1224</v>
      </c>
      <c r="B215" s="7" t="s">
        <v>1224</v>
      </c>
      <c r="C215" s="7" t="s">
        <v>1225</v>
      </c>
      <c r="D215" s="7" t="s">
        <v>1226</v>
      </c>
      <c r="E215" s="7" t="s">
        <v>33</v>
      </c>
      <c r="F215" s="7" t="s">
        <v>34</v>
      </c>
      <c r="G215" s="7" t="s">
        <v>35</v>
      </c>
      <c r="H215" s="7"/>
      <c r="I215" s="7"/>
      <c r="J215" s="7" t="s">
        <v>69</v>
      </c>
      <c r="K215" s="7" t="s">
        <v>59</v>
      </c>
      <c r="L215" s="7" t="s">
        <v>60</v>
      </c>
      <c r="M215" s="7" t="s">
        <v>61</v>
      </c>
      <c r="N215" s="7" t="s">
        <v>33</v>
      </c>
      <c r="O215" s="7">
        <v>1</v>
      </c>
      <c r="P215" s="7" t="s">
        <v>40</v>
      </c>
      <c r="Q215" s="7">
        <v>89.99</v>
      </c>
      <c r="R215" s="7"/>
      <c r="S215" s="7">
        <v>6.73</v>
      </c>
      <c r="T215" s="7"/>
      <c r="U215" s="7"/>
      <c r="V215" s="7"/>
      <c r="W215" s="7"/>
      <c r="X215" s="7">
        <v>6.73</v>
      </c>
      <c r="Y215" s="7" t="s">
        <v>1227</v>
      </c>
      <c r="Z215" s="7" t="s">
        <v>996</v>
      </c>
      <c r="AA215" s="7">
        <v>67357</v>
      </c>
      <c r="AB215" s="7" t="s">
        <v>44</v>
      </c>
      <c r="AC215" s="7" t="s">
        <v>75</v>
      </c>
      <c r="AD215" s="10"/>
      <c r="AE215" s="10"/>
      <c r="AF215" s="10"/>
      <c r="AG215" s="11">
        <f t="shared" si="3"/>
        <v>43267</v>
      </c>
    </row>
    <row r="216" spans="1:33">
      <c r="A216" s="7" t="s">
        <v>1228</v>
      </c>
      <c r="B216" s="7" t="s">
        <v>1228</v>
      </c>
      <c r="C216" s="7" t="s">
        <v>1229</v>
      </c>
      <c r="D216" s="7" t="s">
        <v>1230</v>
      </c>
      <c r="E216" s="7" t="s">
        <v>33</v>
      </c>
      <c r="F216" s="7" t="s">
        <v>34</v>
      </c>
      <c r="G216" s="7" t="s">
        <v>35</v>
      </c>
      <c r="H216" s="7"/>
      <c r="I216" s="7"/>
      <c r="J216" s="7" t="s">
        <v>36</v>
      </c>
      <c r="K216" s="7" t="s">
        <v>59</v>
      </c>
      <c r="L216" s="7" t="s">
        <v>60</v>
      </c>
      <c r="M216" s="7" t="s">
        <v>61</v>
      </c>
      <c r="N216" s="7" t="s">
        <v>33</v>
      </c>
      <c r="O216" s="7">
        <v>1</v>
      </c>
      <c r="P216" s="7" t="s">
        <v>40</v>
      </c>
      <c r="Q216" s="7">
        <v>89.99</v>
      </c>
      <c r="R216" s="7"/>
      <c r="S216" s="7"/>
      <c r="T216" s="7"/>
      <c r="U216" s="7"/>
      <c r="V216" s="7"/>
      <c r="W216" s="7"/>
      <c r="X216" s="7"/>
      <c r="Y216" s="7" t="s">
        <v>1231</v>
      </c>
      <c r="Z216" s="7" t="s">
        <v>189</v>
      </c>
      <c r="AA216" s="7" t="s">
        <v>1232</v>
      </c>
      <c r="AB216" s="7" t="s">
        <v>44</v>
      </c>
      <c r="AC216" s="7"/>
      <c r="AD216" s="10"/>
      <c r="AE216" s="10"/>
      <c r="AF216" s="10"/>
      <c r="AG216" s="11">
        <f t="shared" si="3"/>
        <v>43267</v>
      </c>
    </row>
    <row r="217" spans="1:33">
      <c r="A217" s="7" t="s">
        <v>1233</v>
      </c>
      <c r="B217" s="7" t="s">
        <v>1233</v>
      </c>
      <c r="C217" s="7" t="s">
        <v>1234</v>
      </c>
      <c r="D217" s="7" t="s">
        <v>1235</v>
      </c>
      <c r="E217" s="7" t="s">
        <v>33</v>
      </c>
      <c r="F217" s="7" t="s">
        <v>34</v>
      </c>
      <c r="G217" s="7" t="s">
        <v>35</v>
      </c>
      <c r="H217" s="7"/>
      <c r="I217" s="7"/>
      <c r="J217" s="7" t="s">
        <v>69</v>
      </c>
      <c r="K217" s="7" t="s">
        <v>79</v>
      </c>
      <c r="L217" s="7" t="s">
        <v>80</v>
      </c>
      <c r="M217" s="7" t="s">
        <v>81</v>
      </c>
      <c r="N217" s="7" t="s">
        <v>33</v>
      </c>
      <c r="O217" s="7">
        <v>1</v>
      </c>
      <c r="P217" s="7" t="s">
        <v>40</v>
      </c>
      <c r="Q217" s="7">
        <v>91.99</v>
      </c>
      <c r="R217" s="7"/>
      <c r="S217" s="7">
        <v>8.09</v>
      </c>
      <c r="T217" s="7"/>
      <c r="U217" s="7"/>
      <c r="V217" s="7"/>
      <c r="W217" s="7"/>
      <c r="X217" s="7"/>
      <c r="Y217" s="7" t="s">
        <v>521</v>
      </c>
      <c r="Z217" s="7" t="s">
        <v>64</v>
      </c>
      <c r="AA217" s="7" t="s">
        <v>522</v>
      </c>
      <c r="AB217" s="7" t="s">
        <v>44</v>
      </c>
      <c r="AC217" s="7"/>
      <c r="AD217" s="10"/>
      <c r="AE217" s="10"/>
      <c r="AF217" s="10"/>
      <c r="AG217" s="11">
        <f t="shared" si="3"/>
        <v>43267</v>
      </c>
    </row>
    <row r="218" spans="1:33">
      <c r="A218" s="7" t="s">
        <v>1236</v>
      </c>
      <c r="B218" s="7" t="s">
        <v>1236</v>
      </c>
      <c r="C218" s="7" t="s">
        <v>1237</v>
      </c>
      <c r="D218" s="7" t="s">
        <v>1238</v>
      </c>
      <c r="E218" s="7" t="s">
        <v>33</v>
      </c>
      <c r="F218" s="7" t="s">
        <v>34</v>
      </c>
      <c r="G218" s="7" t="s">
        <v>35</v>
      </c>
      <c r="H218" s="7"/>
      <c r="I218" s="7"/>
      <c r="J218" s="7" t="s">
        <v>36</v>
      </c>
      <c r="K218" s="7" t="s">
        <v>284</v>
      </c>
      <c r="L218" s="7" t="s">
        <v>285</v>
      </c>
      <c r="M218" s="7" t="s">
        <v>286</v>
      </c>
      <c r="N218" s="7" t="s">
        <v>33</v>
      </c>
      <c r="O218" s="7">
        <v>1</v>
      </c>
      <c r="P218" s="7" t="s">
        <v>40</v>
      </c>
      <c r="Q218" s="7">
        <v>89.99</v>
      </c>
      <c r="R218" s="7"/>
      <c r="S218" s="7"/>
      <c r="T218" s="7"/>
      <c r="U218" s="7"/>
      <c r="V218" s="7"/>
      <c r="W218" s="7"/>
      <c r="X218" s="7"/>
      <c r="Y218" s="7" t="s">
        <v>1239</v>
      </c>
      <c r="Z218" s="7" t="s">
        <v>42</v>
      </c>
      <c r="AA218" s="7" t="s">
        <v>1240</v>
      </c>
      <c r="AB218" s="7" t="s">
        <v>44</v>
      </c>
      <c r="AC218" s="7"/>
      <c r="AD218" s="10"/>
      <c r="AE218" s="10"/>
      <c r="AF218" s="10"/>
      <c r="AG218" s="11">
        <f t="shared" si="3"/>
        <v>43267</v>
      </c>
    </row>
    <row r="219" spans="1:33">
      <c r="A219" s="7" t="s">
        <v>1241</v>
      </c>
      <c r="B219" s="7" t="s">
        <v>1241</v>
      </c>
      <c r="C219" s="7" t="s">
        <v>1242</v>
      </c>
      <c r="D219" s="7" t="s">
        <v>1243</v>
      </c>
      <c r="E219" s="7" t="s">
        <v>33</v>
      </c>
      <c r="F219" s="7" t="s">
        <v>34</v>
      </c>
      <c r="G219" s="7" t="s">
        <v>35</v>
      </c>
      <c r="H219" s="7"/>
      <c r="I219" s="7"/>
      <c r="J219" s="7" t="s">
        <v>36</v>
      </c>
      <c r="K219" s="7" t="s">
        <v>148</v>
      </c>
      <c r="L219" s="7" t="s">
        <v>149</v>
      </c>
      <c r="M219" s="7" t="s">
        <v>150</v>
      </c>
      <c r="N219" s="7" t="s">
        <v>33</v>
      </c>
      <c r="O219" s="7">
        <v>1</v>
      </c>
      <c r="P219" s="7" t="s">
        <v>40</v>
      </c>
      <c r="Q219" s="7">
        <v>98.99</v>
      </c>
      <c r="R219" s="7">
        <v>7.82</v>
      </c>
      <c r="S219" s="7"/>
      <c r="T219" s="7"/>
      <c r="U219" s="7"/>
      <c r="V219" s="7"/>
      <c r="W219" s="7"/>
      <c r="X219" s="7"/>
      <c r="Y219" s="7" t="s">
        <v>1244</v>
      </c>
      <c r="Z219" s="7" t="s">
        <v>97</v>
      </c>
      <c r="AA219" s="7" t="s">
        <v>1245</v>
      </c>
      <c r="AB219" s="7" t="s">
        <v>44</v>
      </c>
      <c r="AC219" s="7"/>
      <c r="AD219" s="10"/>
      <c r="AE219" s="10"/>
      <c r="AF219" s="10"/>
      <c r="AG219" s="11">
        <f t="shared" si="3"/>
        <v>43267</v>
      </c>
    </row>
    <row r="220" spans="1:33">
      <c r="A220" s="7" t="s">
        <v>1246</v>
      </c>
      <c r="B220" s="7" t="s">
        <v>1246</v>
      </c>
      <c r="C220" s="7" t="s">
        <v>1247</v>
      </c>
      <c r="D220" s="7" t="s">
        <v>1248</v>
      </c>
      <c r="E220" s="7" t="s">
        <v>54</v>
      </c>
      <c r="F220" s="7" t="s">
        <v>34</v>
      </c>
      <c r="G220" s="7" t="s">
        <v>35</v>
      </c>
      <c r="H220" s="7"/>
      <c r="I220" s="7"/>
      <c r="J220" s="7" t="s">
        <v>36</v>
      </c>
      <c r="K220" s="7" t="s">
        <v>1249</v>
      </c>
      <c r="L220" s="7" t="s">
        <v>1250</v>
      </c>
      <c r="M220" s="7" t="s">
        <v>1251</v>
      </c>
      <c r="N220" s="7" t="s">
        <v>54</v>
      </c>
      <c r="O220" s="7">
        <v>0</v>
      </c>
      <c r="P220" s="7"/>
      <c r="Q220" s="7"/>
      <c r="R220" s="7"/>
      <c r="S220" s="7"/>
      <c r="T220" s="7"/>
      <c r="U220" s="7"/>
      <c r="V220" s="7"/>
      <c r="W220" s="7"/>
      <c r="X220" s="7"/>
      <c r="Y220" s="7" t="s">
        <v>1252</v>
      </c>
      <c r="Z220" s="7" t="s">
        <v>1253</v>
      </c>
      <c r="AA220" s="7">
        <v>44614</v>
      </c>
      <c r="AB220" s="7" t="s">
        <v>44</v>
      </c>
      <c r="AC220" s="7"/>
      <c r="AD220" s="10"/>
      <c r="AE220" s="10"/>
      <c r="AF220" s="10"/>
      <c r="AG220" s="11">
        <f t="shared" si="3"/>
        <v>43267</v>
      </c>
    </row>
    <row r="221" spans="1:33">
      <c r="A221" s="7" t="s">
        <v>1254</v>
      </c>
      <c r="B221" s="7" t="s">
        <v>1254</v>
      </c>
      <c r="C221" s="7" t="s">
        <v>1255</v>
      </c>
      <c r="D221" s="7" t="s">
        <v>1256</v>
      </c>
      <c r="E221" s="7" t="s">
        <v>54</v>
      </c>
      <c r="F221" s="7" t="s">
        <v>34</v>
      </c>
      <c r="G221" s="7" t="s">
        <v>35</v>
      </c>
      <c r="H221" s="7"/>
      <c r="I221" s="7"/>
      <c r="J221" s="7" t="s">
        <v>36</v>
      </c>
      <c r="K221" s="7" t="s">
        <v>123</v>
      </c>
      <c r="L221" s="7" t="s">
        <v>124</v>
      </c>
      <c r="M221" s="7" t="s">
        <v>125</v>
      </c>
      <c r="N221" s="7" t="s">
        <v>54</v>
      </c>
      <c r="O221" s="7">
        <v>0</v>
      </c>
      <c r="P221" s="7"/>
      <c r="Q221" s="7"/>
      <c r="R221" s="7"/>
      <c r="S221" s="7"/>
      <c r="T221" s="7"/>
      <c r="U221" s="7"/>
      <c r="V221" s="7"/>
      <c r="W221" s="7"/>
      <c r="X221" s="7"/>
      <c r="Y221" s="7" t="s">
        <v>1257</v>
      </c>
      <c r="Z221" s="7" t="s">
        <v>135</v>
      </c>
      <c r="AA221" s="7" t="s">
        <v>1258</v>
      </c>
      <c r="AB221" s="7" t="s">
        <v>44</v>
      </c>
      <c r="AC221" s="7"/>
      <c r="AD221" s="10"/>
      <c r="AE221" s="10"/>
      <c r="AF221" s="10"/>
      <c r="AG221" s="11">
        <f t="shared" si="3"/>
        <v>43267</v>
      </c>
    </row>
    <row r="222" spans="1:33">
      <c r="A222" s="7" t="s">
        <v>1259</v>
      </c>
      <c r="B222" s="7" t="s">
        <v>1259</v>
      </c>
      <c r="C222" s="7" t="s">
        <v>1260</v>
      </c>
      <c r="D222" s="7" t="s">
        <v>1261</v>
      </c>
      <c r="E222" s="7" t="s">
        <v>33</v>
      </c>
      <c r="F222" s="7" t="s">
        <v>34</v>
      </c>
      <c r="G222" s="7" t="s">
        <v>35</v>
      </c>
      <c r="H222" s="7"/>
      <c r="I222" s="7"/>
      <c r="J222" s="7" t="s">
        <v>36</v>
      </c>
      <c r="K222" s="7" t="s">
        <v>1262</v>
      </c>
      <c r="L222" s="7" t="s">
        <v>1263</v>
      </c>
      <c r="M222" s="7" t="s">
        <v>1264</v>
      </c>
      <c r="N222" s="7" t="s">
        <v>33</v>
      </c>
      <c r="O222" s="7">
        <v>1</v>
      </c>
      <c r="P222" s="7" t="s">
        <v>40</v>
      </c>
      <c r="Q222" s="7">
        <v>29.99</v>
      </c>
      <c r="R222" s="7"/>
      <c r="S222" s="7"/>
      <c r="T222" s="7"/>
      <c r="U222" s="7"/>
      <c r="V222" s="7"/>
      <c r="W222" s="7"/>
      <c r="X222" s="7"/>
      <c r="Y222" s="7" t="s">
        <v>1265</v>
      </c>
      <c r="Z222" s="7" t="s">
        <v>466</v>
      </c>
      <c r="AA222" s="7" t="s">
        <v>1266</v>
      </c>
      <c r="AB222" s="7" t="s">
        <v>44</v>
      </c>
      <c r="AC222" s="7"/>
      <c r="AD222" s="10"/>
      <c r="AE222" s="10"/>
      <c r="AF222" s="10"/>
      <c r="AG222" s="11">
        <f t="shared" si="3"/>
        <v>43267</v>
      </c>
    </row>
    <row r="223" spans="1:33">
      <c r="A223" s="7" t="s">
        <v>1267</v>
      </c>
      <c r="B223" s="7" t="s">
        <v>1267</v>
      </c>
      <c r="C223" s="7" t="s">
        <v>1268</v>
      </c>
      <c r="D223" s="7" t="s">
        <v>1269</v>
      </c>
      <c r="E223" s="7" t="s">
        <v>54</v>
      </c>
      <c r="F223" s="7" t="s">
        <v>34</v>
      </c>
      <c r="G223" s="7" t="s">
        <v>35</v>
      </c>
      <c r="H223" s="7"/>
      <c r="I223" s="7"/>
      <c r="J223" s="7" t="s">
        <v>36</v>
      </c>
      <c r="K223" s="7" t="s">
        <v>1270</v>
      </c>
      <c r="L223" s="7" t="s">
        <v>1271</v>
      </c>
      <c r="M223" s="7" t="s">
        <v>1272</v>
      </c>
      <c r="N223" s="7" t="s">
        <v>54</v>
      </c>
      <c r="O223" s="7">
        <v>0</v>
      </c>
      <c r="P223" s="7"/>
      <c r="Q223" s="7"/>
      <c r="R223" s="7"/>
      <c r="S223" s="7"/>
      <c r="T223" s="7"/>
      <c r="U223" s="7"/>
      <c r="V223" s="7"/>
      <c r="W223" s="7"/>
      <c r="X223" s="7"/>
      <c r="Y223" s="7" t="s">
        <v>1273</v>
      </c>
      <c r="Z223" s="7" t="s">
        <v>135</v>
      </c>
      <c r="AA223" s="7" t="s">
        <v>1274</v>
      </c>
      <c r="AB223" s="7" t="s">
        <v>44</v>
      </c>
      <c r="AC223" s="7"/>
      <c r="AD223" s="10"/>
      <c r="AE223" s="10"/>
      <c r="AF223" s="10"/>
      <c r="AG223" s="11">
        <f t="shared" si="3"/>
        <v>43267</v>
      </c>
    </row>
    <row r="224" spans="1:33">
      <c r="A224" s="7" t="s">
        <v>1275</v>
      </c>
      <c r="B224" s="7" t="s">
        <v>1275</v>
      </c>
      <c r="C224" s="7" t="s">
        <v>1276</v>
      </c>
      <c r="D224" s="7" t="s">
        <v>1277</v>
      </c>
      <c r="E224" s="7" t="s">
        <v>33</v>
      </c>
      <c r="F224" s="7" t="s">
        <v>34</v>
      </c>
      <c r="G224" s="7" t="s">
        <v>35</v>
      </c>
      <c r="H224" s="7"/>
      <c r="I224" s="7"/>
      <c r="J224" s="7" t="s">
        <v>36</v>
      </c>
      <c r="K224" s="7" t="s">
        <v>70</v>
      </c>
      <c r="L224" s="7" t="s">
        <v>71</v>
      </c>
      <c r="M224" s="7" t="s">
        <v>72</v>
      </c>
      <c r="N224" s="7" t="s">
        <v>33</v>
      </c>
      <c r="O224" s="7">
        <v>1</v>
      </c>
      <c r="P224" s="7" t="s">
        <v>40</v>
      </c>
      <c r="Q224" s="7">
        <v>79.99</v>
      </c>
      <c r="R224" s="7">
        <v>8</v>
      </c>
      <c r="S224" s="7"/>
      <c r="T224" s="7"/>
      <c r="U224" s="7"/>
      <c r="V224" s="7"/>
      <c r="W224" s="7"/>
      <c r="X224" s="7"/>
      <c r="Y224" s="7" t="s">
        <v>1278</v>
      </c>
      <c r="Z224" s="7" t="s">
        <v>1279</v>
      </c>
      <c r="AA224" s="7">
        <v>98034</v>
      </c>
      <c r="AB224" s="7" t="s">
        <v>44</v>
      </c>
      <c r="AC224" s="7"/>
      <c r="AD224" s="10"/>
      <c r="AE224" s="10"/>
      <c r="AF224" s="10"/>
      <c r="AG224" s="11">
        <f t="shared" si="3"/>
        <v>43267</v>
      </c>
    </row>
    <row r="225" spans="1:33">
      <c r="A225" s="7" t="s">
        <v>1280</v>
      </c>
      <c r="B225" s="7" t="s">
        <v>1280</v>
      </c>
      <c r="C225" s="7" t="s">
        <v>1281</v>
      </c>
      <c r="D225" s="7" t="s">
        <v>1282</v>
      </c>
      <c r="E225" s="7" t="s">
        <v>33</v>
      </c>
      <c r="F225" s="7" t="s">
        <v>34</v>
      </c>
      <c r="G225" s="7" t="s">
        <v>35</v>
      </c>
      <c r="H225" s="7"/>
      <c r="I225" s="7"/>
      <c r="J225" s="7" t="s">
        <v>69</v>
      </c>
      <c r="K225" s="7" t="s">
        <v>179</v>
      </c>
      <c r="L225" s="7" t="s">
        <v>180</v>
      </c>
      <c r="M225" s="7" t="s">
        <v>181</v>
      </c>
      <c r="N225" s="7" t="s">
        <v>33</v>
      </c>
      <c r="O225" s="7">
        <v>1</v>
      </c>
      <c r="P225" s="7" t="s">
        <v>40</v>
      </c>
      <c r="Q225" s="7">
        <v>85.99</v>
      </c>
      <c r="R225" s="7"/>
      <c r="S225" s="7">
        <v>7.62</v>
      </c>
      <c r="T225" s="7"/>
      <c r="U225" s="7"/>
      <c r="V225" s="7"/>
      <c r="W225" s="7"/>
      <c r="X225" s="7">
        <v>7.62</v>
      </c>
      <c r="Y225" s="7" t="s">
        <v>686</v>
      </c>
      <c r="Z225" s="7" t="s">
        <v>541</v>
      </c>
      <c r="AA225" s="7" t="s">
        <v>1283</v>
      </c>
      <c r="AB225" s="7" t="s">
        <v>44</v>
      </c>
      <c r="AC225" s="7" t="s">
        <v>75</v>
      </c>
      <c r="AD225" s="10"/>
      <c r="AE225" s="10"/>
      <c r="AF225" s="10"/>
      <c r="AG225" s="11">
        <f t="shared" si="3"/>
        <v>43267</v>
      </c>
    </row>
    <row r="226" spans="1:33">
      <c r="A226" s="7" t="s">
        <v>1284</v>
      </c>
      <c r="B226" s="7" t="s">
        <v>1284</v>
      </c>
      <c r="C226" s="7" t="s">
        <v>1285</v>
      </c>
      <c r="D226" s="7" t="s">
        <v>1286</v>
      </c>
      <c r="E226" s="7" t="s">
        <v>33</v>
      </c>
      <c r="F226" s="7" t="s">
        <v>34</v>
      </c>
      <c r="G226" s="7" t="s">
        <v>35</v>
      </c>
      <c r="H226" s="7"/>
      <c r="I226" s="7"/>
      <c r="J226" s="7" t="s">
        <v>36</v>
      </c>
      <c r="K226" s="7" t="s">
        <v>88</v>
      </c>
      <c r="L226" s="7" t="s">
        <v>89</v>
      </c>
      <c r="M226" s="7" t="s">
        <v>90</v>
      </c>
      <c r="N226" s="7" t="s">
        <v>33</v>
      </c>
      <c r="O226" s="7">
        <v>1</v>
      </c>
      <c r="P226" s="7" t="s">
        <v>40</v>
      </c>
      <c r="Q226" s="7">
        <v>89.99</v>
      </c>
      <c r="R226" s="7"/>
      <c r="S226" s="7"/>
      <c r="T226" s="7"/>
      <c r="U226" s="7"/>
      <c r="V226" s="7"/>
      <c r="W226" s="7"/>
      <c r="X226" s="7"/>
      <c r="Y226" s="7" t="s">
        <v>1287</v>
      </c>
      <c r="Z226" s="7" t="s">
        <v>354</v>
      </c>
      <c r="AA226" s="7" t="s">
        <v>1288</v>
      </c>
      <c r="AB226" s="7" t="s">
        <v>44</v>
      </c>
      <c r="AC226" s="7"/>
      <c r="AD226" s="10"/>
      <c r="AE226" s="10"/>
      <c r="AF226" s="10"/>
      <c r="AG226" s="11">
        <f t="shared" si="3"/>
        <v>43267</v>
      </c>
    </row>
    <row r="227" spans="1:33">
      <c r="A227" s="7" t="s">
        <v>1289</v>
      </c>
      <c r="B227" s="7" t="s">
        <v>1289</v>
      </c>
      <c r="C227" s="7" t="s">
        <v>1290</v>
      </c>
      <c r="D227" s="7" t="s">
        <v>1291</v>
      </c>
      <c r="E227" s="7" t="s">
        <v>33</v>
      </c>
      <c r="F227" s="7" t="s">
        <v>34</v>
      </c>
      <c r="G227" s="7" t="s">
        <v>35</v>
      </c>
      <c r="H227" s="7"/>
      <c r="I227" s="7"/>
      <c r="J227" s="7" t="s">
        <v>36</v>
      </c>
      <c r="K227" s="7" t="s">
        <v>213</v>
      </c>
      <c r="L227" s="7" t="s">
        <v>214</v>
      </c>
      <c r="M227" s="7" t="s">
        <v>215</v>
      </c>
      <c r="N227" s="7" t="s">
        <v>33</v>
      </c>
      <c r="O227" s="7">
        <v>1</v>
      </c>
      <c r="P227" s="7" t="s">
        <v>40</v>
      </c>
      <c r="Q227" s="7">
        <v>21.99</v>
      </c>
      <c r="R227" s="7"/>
      <c r="S227" s="7"/>
      <c r="T227" s="7"/>
      <c r="U227" s="7"/>
      <c r="V227" s="7"/>
      <c r="W227" s="7">
        <v>21.77</v>
      </c>
      <c r="X227" s="7"/>
      <c r="Y227" s="7" t="s">
        <v>1292</v>
      </c>
      <c r="Z227" s="7" t="s">
        <v>1293</v>
      </c>
      <c r="AA227" s="7">
        <v>82009</v>
      </c>
      <c r="AB227" s="7" t="s">
        <v>44</v>
      </c>
      <c r="AC227" s="7" t="s">
        <v>209</v>
      </c>
      <c r="AD227" s="10"/>
      <c r="AE227" s="10"/>
      <c r="AF227" s="10"/>
      <c r="AG227" s="11">
        <f t="shared" si="3"/>
        <v>43267</v>
      </c>
    </row>
    <row r="228" spans="1:33">
      <c r="A228" s="7" t="s">
        <v>1294</v>
      </c>
      <c r="B228" s="7" t="s">
        <v>1294</v>
      </c>
      <c r="C228" s="7" t="s">
        <v>1295</v>
      </c>
      <c r="D228" s="7" t="s">
        <v>1296</v>
      </c>
      <c r="E228" s="7" t="s">
        <v>33</v>
      </c>
      <c r="F228" s="7" t="s">
        <v>34</v>
      </c>
      <c r="G228" s="7" t="s">
        <v>35</v>
      </c>
      <c r="H228" s="7"/>
      <c r="I228" s="7"/>
      <c r="J228" s="7" t="s">
        <v>36</v>
      </c>
      <c r="K228" s="7" t="s">
        <v>59</v>
      </c>
      <c r="L228" s="7" t="s">
        <v>60</v>
      </c>
      <c r="M228" s="7" t="s">
        <v>61</v>
      </c>
      <c r="N228" s="7" t="s">
        <v>33</v>
      </c>
      <c r="O228" s="7">
        <v>1</v>
      </c>
      <c r="P228" s="7" t="s">
        <v>40</v>
      </c>
      <c r="Q228" s="7">
        <v>89.99</v>
      </c>
      <c r="R228" s="7"/>
      <c r="S228" s="7"/>
      <c r="T228" s="7"/>
      <c r="U228" s="7"/>
      <c r="V228" s="7"/>
      <c r="W228" s="7"/>
      <c r="X228" s="7"/>
      <c r="Y228" s="7" t="s">
        <v>1297</v>
      </c>
      <c r="Z228" s="7" t="s">
        <v>83</v>
      </c>
      <c r="AA228" s="7" t="s">
        <v>1298</v>
      </c>
      <c r="AB228" s="7" t="s">
        <v>44</v>
      </c>
      <c r="AC228" s="7"/>
      <c r="AD228" s="10"/>
      <c r="AE228" s="10"/>
      <c r="AF228" s="10"/>
      <c r="AG228" s="11">
        <f t="shared" si="3"/>
        <v>43267</v>
      </c>
    </row>
    <row r="229" spans="1:33">
      <c r="A229" s="7" t="s">
        <v>1299</v>
      </c>
      <c r="B229" s="7" t="s">
        <v>1299</v>
      </c>
      <c r="C229" s="7" t="s">
        <v>1300</v>
      </c>
      <c r="D229" s="7" t="s">
        <v>1301</v>
      </c>
      <c r="E229" s="7" t="s">
        <v>33</v>
      </c>
      <c r="F229" s="7" t="s">
        <v>34</v>
      </c>
      <c r="G229" s="7" t="s">
        <v>35</v>
      </c>
      <c r="H229" s="7"/>
      <c r="I229" s="7"/>
      <c r="J229" s="7" t="s">
        <v>69</v>
      </c>
      <c r="K229" s="7" t="s">
        <v>70</v>
      </c>
      <c r="L229" s="7" t="s">
        <v>71</v>
      </c>
      <c r="M229" s="7" t="s">
        <v>72</v>
      </c>
      <c r="N229" s="7" t="s">
        <v>33</v>
      </c>
      <c r="O229" s="7">
        <v>1</v>
      </c>
      <c r="P229" s="7" t="s">
        <v>40</v>
      </c>
      <c r="Q229" s="7">
        <v>79.99</v>
      </c>
      <c r="R229" s="7"/>
      <c r="S229" s="7">
        <v>7.85</v>
      </c>
      <c r="T229" s="7"/>
      <c r="U229" s="7"/>
      <c r="V229" s="7"/>
      <c r="W229" s="7"/>
      <c r="X229" s="7"/>
      <c r="Y229" s="7" t="s">
        <v>73</v>
      </c>
      <c r="Z229" s="7" t="s">
        <v>64</v>
      </c>
      <c r="AA229" s="7" t="s">
        <v>1302</v>
      </c>
      <c r="AB229" s="7" t="s">
        <v>44</v>
      </c>
      <c r="AC229" s="7"/>
      <c r="AD229" s="10"/>
      <c r="AE229" s="10"/>
      <c r="AF229" s="10"/>
      <c r="AG229" s="11">
        <f t="shared" si="3"/>
        <v>43267</v>
      </c>
    </row>
    <row r="230" spans="1:33">
      <c r="A230" s="7" t="s">
        <v>1303</v>
      </c>
      <c r="B230" s="7" t="s">
        <v>1303</v>
      </c>
      <c r="C230" s="7" t="s">
        <v>1304</v>
      </c>
      <c r="D230" s="7" t="s">
        <v>1305</v>
      </c>
      <c r="E230" s="7" t="s">
        <v>33</v>
      </c>
      <c r="F230" s="7" t="s">
        <v>34</v>
      </c>
      <c r="G230" s="7" t="s">
        <v>35</v>
      </c>
      <c r="H230" s="7"/>
      <c r="I230" s="7"/>
      <c r="J230" s="7" t="s">
        <v>69</v>
      </c>
      <c r="K230" s="7" t="s">
        <v>37</v>
      </c>
      <c r="L230" s="7" t="s">
        <v>38</v>
      </c>
      <c r="M230" s="7" t="s">
        <v>39</v>
      </c>
      <c r="N230" s="7" t="s">
        <v>33</v>
      </c>
      <c r="O230" s="7">
        <v>1</v>
      </c>
      <c r="P230" s="7" t="s">
        <v>40</v>
      </c>
      <c r="Q230" s="7">
        <v>89.99</v>
      </c>
      <c r="R230" s="7"/>
      <c r="S230" s="7">
        <v>7.41</v>
      </c>
      <c r="T230" s="7"/>
      <c r="U230" s="7"/>
      <c r="V230" s="7"/>
      <c r="W230" s="7"/>
      <c r="X230" s="7">
        <v>7.41</v>
      </c>
      <c r="Y230" s="7" t="s">
        <v>278</v>
      </c>
      <c r="Z230" s="7" t="s">
        <v>279</v>
      </c>
      <c r="AA230" s="7" t="s">
        <v>1306</v>
      </c>
      <c r="AB230" s="7" t="s">
        <v>44</v>
      </c>
      <c r="AC230" s="7" t="s">
        <v>75</v>
      </c>
      <c r="AD230" s="10"/>
      <c r="AE230" s="10"/>
      <c r="AF230" s="10"/>
      <c r="AG230" s="11">
        <f t="shared" si="3"/>
        <v>43267</v>
      </c>
    </row>
    <row r="231" spans="1:33">
      <c r="A231" s="7" t="s">
        <v>1307</v>
      </c>
      <c r="B231" s="7" t="s">
        <v>1307</v>
      </c>
      <c r="C231" s="7" t="s">
        <v>1308</v>
      </c>
      <c r="D231" s="7" t="s">
        <v>1309</v>
      </c>
      <c r="E231" s="7" t="s">
        <v>33</v>
      </c>
      <c r="F231" s="7" t="s">
        <v>34</v>
      </c>
      <c r="G231" s="7" t="s">
        <v>35</v>
      </c>
      <c r="H231" s="7"/>
      <c r="I231" s="7"/>
      <c r="J231" s="7" t="s">
        <v>163</v>
      </c>
      <c r="K231" s="7" t="s">
        <v>364</v>
      </c>
      <c r="L231" s="7" t="s">
        <v>365</v>
      </c>
      <c r="M231" s="7" t="s">
        <v>366</v>
      </c>
      <c r="N231" s="7" t="s">
        <v>33</v>
      </c>
      <c r="O231" s="7">
        <v>1</v>
      </c>
      <c r="P231" s="7" t="s">
        <v>40</v>
      </c>
      <c r="Q231" s="7">
        <v>89.99</v>
      </c>
      <c r="R231" s="7"/>
      <c r="S231" s="7">
        <v>5.99</v>
      </c>
      <c r="T231" s="7"/>
      <c r="U231" s="7"/>
      <c r="V231" s="7"/>
      <c r="W231" s="7"/>
      <c r="X231" s="7">
        <v>5.99</v>
      </c>
      <c r="Y231" s="7" t="s">
        <v>1107</v>
      </c>
      <c r="Z231" s="7" t="s">
        <v>1108</v>
      </c>
      <c r="AA231" s="7">
        <v>60707</v>
      </c>
      <c r="AB231" s="7" t="s">
        <v>44</v>
      </c>
      <c r="AC231" s="7"/>
      <c r="AD231" s="10"/>
      <c r="AE231" s="10"/>
      <c r="AF231" s="10"/>
      <c r="AG231" s="11">
        <f t="shared" si="3"/>
        <v>43267</v>
      </c>
    </row>
    <row r="232" spans="1:33">
      <c r="A232" s="7" t="s">
        <v>1310</v>
      </c>
      <c r="B232" s="7" t="s">
        <v>1310</v>
      </c>
      <c r="C232" s="7" t="s">
        <v>1311</v>
      </c>
      <c r="D232" s="7" t="s">
        <v>1312</v>
      </c>
      <c r="E232" s="7" t="s">
        <v>54</v>
      </c>
      <c r="F232" s="7" t="s">
        <v>34</v>
      </c>
      <c r="G232" s="7" t="s">
        <v>35</v>
      </c>
      <c r="H232" s="7"/>
      <c r="I232" s="7"/>
      <c r="J232" s="7" t="s">
        <v>36</v>
      </c>
      <c r="K232" s="7" t="s">
        <v>364</v>
      </c>
      <c r="L232" s="7" t="s">
        <v>365</v>
      </c>
      <c r="M232" s="7" t="s">
        <v>366</v>
      </c>
      <c r="N232" s="7" t="s">
        <v>54</v>
      </c>
      <c r="O232" s="7">
        <v>0</v>
      </c>
      <c r="P232" s="7"/>
      <c r="Q232" s="7"/>
      <c r="R232" s="7"/>
      <c r="S232" s="7"/>
      <c r="T232" s="7"/>
      <c r="U232" s="7"/>
      <c r="V232" s="7"/>
      <c r="W232" s="7"/>
      <c r="X232" s="7"/>
      <c r="Y232" s="7" t="s">
        <v>1313</v>
      </c>
      <c r="Z232" s="7" t="s">
        <v>92</v>
      </c>
      <c r="AA232" s="7" t="s">
        <v>1314</v>
      </c>
      <c r="AB232" s="7" t="s">
        <v>44</v>
      </c>
      <c r="AC232" s="7"/>
      <c r="AD232" s="10"/>
      <c r="AE232" s="10"/>
      <c r="AF232" s="10"/>
      <c r="AG232" s="11">
        <f t="shared" si="3"/>
        <v>43267</v>
      </c>
    </row>
    <row r="233" spans="1:33">
      <c r="A233" s="7" t="s">
        <v>1315</v>
      </c>
      <c r="B233" s="7" t="s">
        <v>1315</v>
      </c>
      <c r="C233" s="7" t="s">
        <v>1316</v>
      </c>
      <c r="D233" s="7" t="s">
        <v>1317</v>
      </c>
      <c r="E233" s="7" t="s">
        <v>33</v>
      </c>
      <c r="F233" s="7" t="s">
        <v>34</v>
      </c>
      <c r="G233" s="7" t="s">
        <v>35</v>
      </c>
      <c r="H233" s="7"/>
      <c r="I233" s="7"/>
      <c r="J233" s="7" t="s">
        <v>36</v>
      </c>
      <c r="K233" s="7" t="s">
        <v>48</v>
      </c>
      <c r="L233" s="7" t="s">
        <v>49</v>
      </c>
      <c r="M233" s="7" t="s">
        <v>50</v>
      </c>
      <c r="N233" s="7" t="s">
        <v>33</v>
      </c>
      <c r="O233" s="7">
        <v>1</v>
      </c>
      <c r="P233" s="7" t="s">
        <v>40</v>
      </c>
      <c r="Q233" s="7">
        <v>89.99</v>
      </c>
      <c r="R233" s="7"/>
      <c r="S233" s="7"/>
      <c r="T233" s="7"/>
      <c r="U233" s="7"/>
      <c r="V233" s="7"/>
      <c r="W233" s="7"/>
      <c r="X233" s="7"/>
      <c r="Y233" s="7" t="s">
        <v>1318</v>
      </c>
      <c r="Z233" s="7" t="s">
        <v>484</v>
      </c>
      <c r="AA233" s="7" t="s">
        <v>1319</v>
      </c>
      <c r="AB233" s="7" t="s">
        <v>44</v>
      </c>
      <c r="AC233" s="7"/>
      <c r="AD233" s="10"/>
      <c r="AE233" s="10"/>
      <c r="AF233" s="10"/>
      <c r="AG233" s="11">
        <f t="shared" si="3"/>
        <v>43267</v>
      </c>
    </row>
    <row r="234" spans="1:33">
      <c r="A234" s="7" t="s">
        <v>1320</v>
      </c>
      <c r="B234" s="7" t="s">
        <v>1320</v>
      </c>
      <c r="C234" s="7" t="s">
        <v>1321</v>
      </c>
      <c r="D234" s="7" t="s">
        <v>1322</v>
      </c>
      <c r="E234" s="7" t="s">
        <v>33</v>
      </c>
      <c r="F234" s="7" t="s">
        <v>34</v>
      </c>
      <c r="G234" s="7" t="s">
        <v>35</v>
      </c>
      <c r="H234" s="7"/>
      <c r="I234" s="7"/>
      <c r="J234" s="7" t="s">
        <v>36</v>
      </c>
      <c r="K234" s="7" t="s">
        <v>431</v>
      </c>
      <c r="L234" s="7" t="s">
        <v>432</v>
      </c>
      <c r="M234" s="7" t="s">
        <v>433</v>
      </c>
      <c r="N234" s="7" t="s">
        <v>33</v>
      </c>
      <c r="O234" s="7">
        <v>1</v>
      </c>
      <c r="P234" s="7" t="s">
        <v>40</v>
      </c>
      <c r="Q234" s="7">
        <v>89.99</v>
      </c>
      <c r="R234" s="7"/>
      <c r="S234" s="7"/>
      <c r="T234" s="7"/>
      <c r="U234" s="7"/>
      <c r="V234" s="7"/>
      <c r="W234" s="7"/>
      <c r="X234" s="7"/>
      <c r="Y234" s="7" t="s">
        <v>1323</v>
      </c>
      <c r="Z234" s="7" t="s">
        <v>52</v>
      </c>
      <c r="AA234" s="7" t="s">
        <v>1324</v>
      </c>
      <c r="AB234" s="7" t="s">
        <v>44</v>
      </c>
      <c r="AC234" s="7"/>
      <c r="AD234" s="10"/>
      <c r="AE234" s="10"/>
      <c r="AF234" s="10"/>
      <c r="AG234" s="11">
        <f t="shared" si="3"/>
        <v>43267</v>
      </c>
    </row>
    <row r="235" spans="1:33">
      <c r="A235" s="7" t="s">
        <v>1325</v>
      </c>
      <c r="B235" s="7" t="s">
        <v>1325</v>
      </c>
      <c r="C235" s="7" t="s">
        <v>1326</v>
      </c>
      <c r="D235" s="7" t="s">
        <v>1327</v>
      </c>
      <c r="E235" s="7" t="s">
        <v>33</v>
      </c>
      <c r="F235" s="7" t="s">
        <v>34</v>
      </c>
      <c r="G235" s="7" t="s">
        <v>35</v>
      </c>
      <c r="H235" s="7"/>
      <c r="I235" s="7"/>
      <c r="J235" s="7" t="s">
        <v>36</v>
      </c>
      <c r="K235" s="7" t="s">
        <v>660</v>
      </c>
      <c r="L235" s="7" t="s">
        <v>661</v>
      </c>
      <c r="M235" s="7" t="s">
        <v>662</v>
      </c>
      <c r="N235" s="7" t="s">
        <v>33</v>
      </c>
      <c r="O235" s="7">
        <v>1</v>
      </c>
      <c r="P235" s="7" t="s">
        <v>40</v>
      </c>
      <c r="Q235" s="7">
        <v>79.99</v>
      </c>
      <c r="R235" s="7"/>
      <c r="S235" s="7"/>
      <c r="T235" s="7"/>
      <c r="U235" s="7"/>
      <c r="V235" s="7"/>
      <c r="W235" s="7"/>
      <c r="X235" s="7"/>
      <c r="Y235" s="7" t="s">
        <v>955</v>
      </c>
      <c r="Z235" s="7" t="s">
        <v>230</v>
      </c>
      <c r="AA235" s="7" t="s">
        <v>956</v>
      </c>
      <c r="AB235" s="7" t="s">
        <v>44</v>
      </c>
      <c r="AC235" s="7"/>
      <c r="AD235" s="10"/>
      <c r="AE235" s="10"/>
      <c r="AF235" s="10"/>
      <c r="AG235" s="11">
        <f t="shared" si="3"/>
        <v>43267</v>
      </c>
    </row>
    <row r="236" spans="1:33">
      <c r="A236" s="7" t="s">
        <v>1328</v>
      </c>
      <c r="B236" s="7" t="s">
        <v>1328</v>
      </c>
      <c r="C236" s="7" t="s">
        <v>1329</v>
      </c>
      <c r="D236" s="7" t="s">
        <v>1330</v>
      </c>
      <c r="E236" s="7" t="s">
        <v>33</v>
      </c>
      <c r="F236" s="7" t="s">
        <v>34</v>
      </c>
      <c r="G236" s="7" t="s">
        <v>35</v>
      </c>
      <c r="H236" s="7"/>
      <c r="I236" s="7"/>
      <c r="J236" s="7" t="s">
        <v>69</v>
      </c>
      <c r="K236" s="7" t="s">
        <v>284</v>
      </c>
      <c r="L236" s="7" t="s">
        <v>285</v>
      </c>
      <c r="M236" s="7" t="s">
        <v>286</v>
      </c>
      <c r="N236" s="7" t="s">
        <v>33</v>
      </c>
      <c r="O236" s="7">
        <v>1</v>
      </c>
      <c r="P236" s="7" t="s">
        <v>40</v>
      </c>
      <c r="Q236" s="7">
        <v>89.99</v>
      </c>
      <c r="R236" s="7"/>
      <c r="S236" s="7">
        <v>8.43</v>
      </c>
      <c r="T236" s="7"/>
      <c r="U236" s="7"/>
      <c r="V236" s="7"/>
      <c r="W236" s="7"/>
      <c r="X236" s="7"/>
      <c r="Y236" s="7" t="s">
        <v>1331</v>
      </c>
      <c r="Z236" s="7" t="s">
        <v>279</v>
      </c>
      <c r="AA236" s="7" t="s">
        <v>1332</v>
      </c>
      <c r="AB236" s="7" t="s">
        <v>44</v>
      </c>
      <c r="AC236" s="7"/>
      <c r="AD236" s="10"/>
      <c r="AE236" s="10"/>
      <c r="AF236" s="10"/>
      <c r="AG236" s="11">
        <f t="shared" si="3"/>
        <v>43267</v>
      </c>
    </row>
    <row r="237" spans="1:33">
      <c r="A237" s="7" t="s">
        <v>1333</v>
      </c>
      <c r="B237" s="7" t="s">
        <v>1333</v>
      </c>
      <c r="C237" s="7" t="s">
        <v>1334</v>
      </c>
      <c r="D237" s="7" t="s">
        <v>1335</v>
      </c>
      <c r="E237" s="7" t="s">
        <v>33</v>
      </c>
      <c r="F237" s="7" t="s">
        <v>34</v>
      </c>
      <c r="G237" s="7" t="s">
        <v>35</v>
      </c>
      <c r="H237" s="7"/>
      <c r="I237" s="7"/>
      <c r="J237" s="7" t="s">
        <v>69</v>
      </c>
      <c r="K237" s="7" t="s">
        <v>137</v>
      </c>
      <c r="L237" s="7" t="s">
        <v>138</v>
      </c>
      <c r="M237" s="7" t="s">
        <v>139</v>
      </c>
      <c r="N237" s="7" t="s">
        <v>33</v>
      </c>
      <c r="O237" s="7">
        <v>1</v>
      </c>
      <c r="P237" s="7" t="s">
        <v>40</v>
      </c>
      <c r="Q237" s="7">
        <v>99.99</v>
      </c>
      <c r="R237" s="7"/>
      <c r="S237" s="7">
        <v>8.26</v>
      </c>
      <c r="T237" s="7"/>
      <c r="U237" s="7"/>
      <c r="V237" s="7"/>
      <c r="W237" s="7"/>
      <c r="X237" s="7"/>
      <c r="Y237" s="7" t="s">
        <v>1336</v>
      </c>
      <c r="Z237" s="7" t="s">
        <v>484</v>
      </c>
      <c r="AA237" s="7" t="s">
        <v>1337</v>
      </c>
      <c r="AB237" s="7" t="s">
        <v>44</v>
      </c>
      <c r="AC237" s="7"/>
      <c r="AD237" s="10"/>
      <c r="AE237" s="10"/>
      <c r="AF237" s="10"/>
      <c r="AG237" s="11">
        <f t="shared" si="3"/>
        <v>43267</v>
      </c>
    </row>
    <row r="238" spans="1:33">
      <c r="A238" s="7" t="s">
        <v>1338</v>
      </c>
      <c r="B238" s="7" t="s">
        <v>1338</v>
      </c>
      <c r="C238" s="7" t="s">
        <v>1339</v>
      </c>
      <c r="D238" s="7" t="s">
        <v>1340</v>
      </c>
      <c r="E238" s="7" t="s">
        <v>33</v>
      </c>
      <c r="F238" s="7" t="s">
        <v>34</v>
      </c>
      <c r="G238" s="7" t="s">
        <v>35</v>
      </c>
      <c r="H238" s="7"/>
      <c r="I238" s="7"/>
      <c r="J238" s="7" t="s">
        <v>36</v>
      </c>
      <c r="K238" s="7" t="s">
        <v>975</v>
      </c>
      <c r="L238" s="7" t="s">
        <v>976</v>
      </c>
      <c r="M238" s="7" t="s">
        <v>977</v>
      </c>
      <c r="N238" s="7" t="s">
        <v>33</v>
      </c>
      <c r="O238" s="7">
        <v>1</v>
      </c>
      <c r="P238" s="7" t="s">
        <v>40</v>
      </c>
      <c r="Q238" s="7">
        <v>89.99</v>
      </c>
      <c r="R238" s="7"/>
      <c r="S238" s="7"/>
      <c r="T238" s="7"/>
      <c r="U238" s="7"/>
      <c r="V238" s="7"/>
      <c r="W238" s="7"/>
      <c r="X238" s="7"/>
      <c r="Y238" s="7" t="s">
        <v>1341</v>
      </c>
      <c r="Z238" s="7" t="s">
        <v>1342</v>
      </c>
      <c r="AA238" s="7" t="s">
        <v>1343</v>
      </c>
      <c r="AB238" s="7" t="s">
        <v>44</v>
      </c>
      <c r="AC238" s="7"/>
      <c r="AD238" s="10"/>
      <c r="AE238" s="10"/>
      <c r="AF238" s="10"/>
      <c r="AG238" s="11">
        <f t="shared" si="3"/>
        <v>43267</v>
      </c>
    </row>
    <row r="239" spans="1:33">
      <c r="A239" s="7" t="s">
        <v>1344</v>
      </c>
      <c r="B239" s="7" t="s">
        <v>1344</v>
      </c>
      <c r="C239" s="7" t="s">
        <v>1345</v>
      </c>
      <c r="D239" s="7" t="s">
        <v>1346</v>
      </c>
      <c r="E239" s="7" t="s">
        <v>33</v>
      </c>
      <c r="F239" s="7" t="s">
        <v>34</v>
      </c>
      <c r="G239" s="7" t="s">
        <v>35</v>
      </c>
      <c r="H239" s="7"/>
      <c r="I239" s="7"/>
      <c r="J239" s="7" t="s">
        <v>36</v>
      </c>
      <c r="K239" s="7" t="s">
        <v>410</v>
      </c>
      <c r="L239" s="7" t="s">
        <v>411</v>
      </c>
      <c r="M239" s="7" t="s">
        <v>412</v>
      </c>
      <c r="N239" s="7" t="s">
        <v>33</v>
      </c>
      <c r="O239" s="7">
        <v>1</v>
      </c>
      <c r="P239" s="7" t="s">
        <v>40</v>
      </c>
      <c r="Q239" s="7">
        <v>21.99</v>
      </c>
      <c r="R239" s="7"/>
      <c r="S239" s="7"/>
      <c r="T239" s="7"/>
      <c r="U239" s="7"/>
      <c r="V239" s="7"/>
      <c r="W239" s="7"/>
      <c r="X239" s="7"/>
      <c r="Y239" s="7" t="s">
        <v>1347</v>
      </c>
      <c r="Z239" s="7" t="s">
        <v>52</v>
      </c>
      <c r="AA239" s="7" t="s">
        <v>1348</v>
      </c>
      <c r="AB239" s="7" t="s">
        <v>44</v>
      </c>
      <c r="AC239" s="7"/>
      <c r="AD239" s="10"/>
      <c r="AE239" s="10"/>
      <c r="AF239" s="10"/>
      <c r="AG239" s="11">
        <f t="shared" si="3"/>
        <v>43268</v>
      </c>
    </row>
    <row r="240" spans="1:33">
      <c r="A240" s="7" t="s">
        <v>1344</v>
      </c>
      <c r="B240" s="7" t="s">
        <v>1344</v>
      </c>
      <c r="C240" s="7" t="s">
        <v>1345</v>
      </c>
      <c r="D240" s="7" t="s">
        <v>1346</v>
      </c>
      <c r="E240" s="7" t="s">
        <v>33</v>
      </c>
      <c r="F240" s="7" t="s">
        <v>34</v>
      </c>
      <c r="G240" s="7" t="s">
        <v>35</v>
      </c>
      <c r="H240" s="7"/>
      <c r="I240" s="7"/>
      <c r="J240" s="7" t="s">
        <v>36</v>
      </c>
      <c r="K240" s="7" t="s">
        <v>719</v>
      </c>
      <c r="L240" s="7" t="s">
        <v>720</v>
      </c>
      <c r="M240" s="7" t="s">
        <v>721</v>
      </c>
      <c r="N240" s="7" t="s">
        <v>33</v>
      </c>
      <c r="O240" s="7">
        <v>1</v>
      </c>
      <c r="P240" s="7" t="s">
        <v>40</v>
      </c>
      <c r="Q240" s="7">
        <v>21.99</v>
      </c>
      <c r="R240" s="7"/>
      <c r="S240" s="7"/>
      <c r="T240" s="7"/>
      <c r="U240" s="7"/>
      <c r="V240" s="7"/>
      <c r="W240" s="7"/>
      <c r="X240" s="7"/>
      <c r="Y240" s="7" t="s">
        <v>1347</v>
      </c>
      <c r="Z240" s="7" t="s">
        <v>52</v>
      </c>
      <c r="AA240" s="7" t="s">
        <v>1348</v>
      </c>
      <c r="AB240" s="7" t="s">
        <v>44</v>
      </c>
      <c r="AC240" s="7"/>
      <c r="AD240" s="10"/>
      <c r="AE240" s="10"/>
      <c r="AF240" s="10"/>
      <c r="AG240" s="11">
        <f t="shared" si="3"/>
        <v>43268</v>
      </c>
    </row>
    <row r="241" spans="1:33">
      <c r="A241" s="7" t="s">
        <v>1349</v>
      </c>
      <c r="B241" s="7" t="s">
        <v>1349</v>
      </c>
      <c r="C241" s="7" t="s">
        <v>1350</v>
      </c>
      <c r="D241" s="7" t="s">
        <v>1351</v>
      </c>
      <c r="E241" s="7" t="s">
        <v>54</v>
      </c>
      <c r="F241" s="7" t="s">
        <v>34</v>
      </c>
      <c r="G241" s="7" t="s">
        <v>35</v>
      </c>
      <c r="H241" s="7"/>
      <c r="I241" s="7"/>
      <c r="J241" s="7" t="s">
        <v>69</v>
      </c>
      <c r="K241" s="7" t="s">
        <v>554</v>
      </c>
      <c r="L241" s="7" t="s">
        <v>555</v>
      </c>
      <c r="M241" s="7" t="s">
        <v>556</v>
      </c>
      <c r="N241" s="7" t="s">
        <v>62</v>
      </c>
      <c r="O241" s="7">
        <v>1</v>
      </c>
      <c r="P241" s="7" t="s">
        <v>40</v>
      </c>
      <c r="Q241" s="7">
        <v>89.99</v>
      </c>
      <c r="R241" s="7"/>
      <c r="S241" s="7"/>
      <c r="T241" s="7"/>
      <c r="U241" s="7"/>
      <c r="V241" s="7"/>
      <c r="W241" s="7"/>
      <c r="X241" s="7"/>
      <c r="Y241" s="7" t="s">
        <v>1352</v>
      </c>
      <c r="Z241" s="7" t="s">
        <v>230</v>
      </c>
      <c r="AA241" s="7" t="s">
        <v>1353</v>
      </c>
      <c r="AB241" s="7" t="s">
        <v>44</v>
      </c>
      <c r="AC241" s="7"/>
      <c r="AD241" s="10"/>
      <c r="AE241" s="10"/>
      <c r="AF241" s="10"/>
      <c r="AG241" s="11">
        <f t="shared" si="3"/>
        <v>43268</v>
      </c>
    </row>
    <row r="242" spans="1:33">
      <c r="A242" s="7" t="s">
        <v>1354</v>
      </c>
      <c r="B242" s="7" t="s">
        <v>1354</v>
      </c>
      <c r="C242" s="7" t="s">
        <v>1355</v>
      </c>
      <c r="D242" s="7" t="s">
        <v>1356</v>
      </c>
      <c r="E242" s="7" t="s">
        <v>33</v>
      </c>
      <c r="F242" s="7" t="s">
        <v>34</v>
      </c>
      <c r="G242" s="7" t="s">
        <v>35</v>
      </c>
      <c r="H242" s="7"/>
      <c r="I242" s="7"/>
      <c r="J242" s="7" t="s">
        <v>36</v>
      </c>
      <c r="K242" s="7" t="s">
        <v>88</v>
      </c>
      <c r="L242" s="7" t="s">
        <v>89</v>
      </c>
      <c r="M242" s="7" t="s">
        <v>90</v>
      </c>
      <c r="N242" s="7" t="s">
        <v>33</v>
      </c>
      <c r="O242" s="7">
        <v>1</v>
      </c>
      <c r="P242" s="7" t="s">
        <v>40</v>
      </c>
      <c r="Q242" s="7">
        <v>89.99</v>
      </c>
      <c r="R242" s="7"/>
      <c r="S242" s="7"/>
      <c r="T242" s="7"/>
      <c r="U242" s="7"/>
      <c r="V242" s="7"/>
      <c r="W242" s="7"/>
      <c r="X242" s="7"/>
      <c r="Y242" s="7" t="s">
        <v>1357</v>
      </c>
      <c r="Z242" s="7" t="s">
        <v>440</v>
      </c>
      <c r="AA242" s="7" t="s">
        <v>1358</v>
      </c>
      <c r="AB242" s="7" t="s">
        <v>44</v>
      </c>
      <c r="AC242" s="7"/>
      <c r="AD242" s="10"/>
      <c r="AE242" s="10"/>
      <c r="AF242" s="10"/>
      <c r="AG242" s="11">
        <f t="shared" si="3"/>
        <v>43268</v>
      </c>
    </row>
    <row r="243" spans="1:33">
      <c r="A243" s="7" t="s">
        <v>1359</v>
      </c>
      <c r="B243" s="7" t="s">
        <v>1359</v>
      </c>
      <c r="C243" s="7" t="s">
        <v>1360</v>
      </c>
      <c r="D243" s="7" t="s">
        <v>1361</v>
      </c>
      <c r="E243" s="7" t="s">
        <v>33</v>
      </c>
      <c r="F243" s="7" t="s">
        <v>34</v>
      </c>
      <c r="G243" s="7" t="s">
        <v>35</v>
      </c>
      <c r="H243" s="7"/>
      <c r="I243" s="7"/>
      <c r="J243" s="7" t="s">
        <v>36</v>
      </c>
      <c r="K243" s="7" t="s">
        <v>477</v>
      </c>
      <c r="L243" s="7" t="s">
        <v>478</v>
      </c>
      <c r="M243" s="7" t="s">
        <v>479</v>
      </c>
      <c r="N243" s="7" t="s">
        <v>33</v>
      </c>
      <c r="O243" s="7">
        <v>1</v>
      </c>
      <c r="P243" s="7" t="s">
        <v>40</v>
      </c>
      <c r="Q243" s="7">
        <v>94.6</v>
      </c>
      <c r="R243" s="7"/>
      <c r="S243" s="7"/>
      <c r="T243" s="7"/>
      <c r="U243" s="7"/>
      <c r="V243" s="7"/>
      <c r="W243" s="7"/>
      <c r="X243" s="7"/>
      <c r="Y243" s="7" t="s">
        <v>1362</v>
      </c>
      <c r="Z243" s="7" t="s">
        <v>299</v>
      </c>
      <c r="AA243" s="7" t="s">
        <v>1363</v>
      </c>
      <c r="AB243" s="7" t="s">
        <v>44</v>
      </c>
      <c r="AC243" s="7"/>
      <c r="AD243" s="10"/>
      <c r="AE243" s="10"/>
      <c r="AF243" s="10"/>
      <c r="AG243" s="11">
        <f t="shared" si="3"/>
        <v>43268</v>
      </c>
    </row>
    <row r="244" spans="1:33">
      <c r="A244" s="7" t="s">
        <v>1364</v>
      </c>
      <c r="B244" s="7" t="s">
        <v>1364</v>
      </c>
      <c r="C244" s="7" t="s">
        <v>1365</v>
      </c>
      <c r="D244" s="7" t="s">
        <v>1366</v>
      </c>
      <c r="E244" s="7" t="s">
        <v>33</v>
      </c>
      <c r="F244" s="7" t="s">
        <v>34</v>
      </c>
      <c r="G244" s="7" t="s">
        <v>35</v>
      </c>
      <c r="H244" s="7"/>
      <c r="I244" s="7" t="s">
        <v>143</v>
      </c>
      <c r="J244" s="7" t="s">
        <v>36</v>
      </c>
      <c r="K244" s="7" t="s">
        <v>48</v>
      </c>
      <c r="L244" s="7" t="s">
        <v>49</v>
      </c>
      <c r="M244" s="7" t="s">
        <v>50</v>
      </c>
      <c r="N244" s="7" t="s">
        <v>33</v>
      </c>
      <c r="O244" s="7">
        <v>1</v>
      </c>
      <c r="P244" s="7" t="s">
        <v>40</v>
      </c>
      <c r="Q244" s="7">
        <v>89.99</v>
      </c>
      <c r="R244" s="7"/>
      <c r="S244" s="7"/>
      <c r="T244" s="7"/>
      <c r="U244" s="7"/>
      <c r="V244" s="7"/>
      <c r="W244" s="7"/>
      <c r="X244" s="7"/>
      <c r="Y244" s="7" t="s">
        <v>1367</v>
      </c>
      <c r="Z244" s="7" t="s">
        <v>837</v>
      </c>
      <c r="AA244" s="7">
        <v>41048</v>
      </c>
      <c r="AB244" s="7" t="s">
        <v>44</v>
      </c>
      <c r="AC244" s="7"/>
      <c r="AD244" s="10"/>
      <c r="AE244" s="10"/>
      <c r="AF244" s="10"/>
      <c r="AG244" s="11">
        <f t="shared" si="3"/>
        <v>43268</v>
      </c>
    </row>
    <row r="245" spans="1:33">
      <c r="A245" s="7" t="s">
        <v>1368</v>
      </c>
      <c r="B245" s="7" t="s">
        <v>1368</v>
      </c>
      <c r="C245" s="7" t="s">
        <v>1369</v>
      </c>
      <c r="D245" s="7" t="s">
        <v>1370</v>
      </c>
      <c r="E245" s="7" t="s">
        <v>33</v>
      </c>
      <c r="F245" s="7" t="s">
        <v>34</v>
      </c>
      <c r="G245" s="7" t="s">
        <v>35</v>
      </c>
      <c r="H245" s="7"/>
      <c r="I245" s="7"/>
      <c r="J245" s="7" t="s">
        <v>36</v>
      </c>
      <c r="K245" s="7" t="s">
        <v>88</v>
      </c>
      <c r="L245" s="7" t="s">
        <v>89</v>
      </c>
      <c r="M245" s="7" t="s">
        <v>90</v>
      </c>
      <c r="N245" s="7" t="s">
        <v>33</v>
      </c>
      <c r="O245" s="7">
        <v>1</v>
      </c>
      <c r="P245" s="7" t="s">
        <v>40</v>
      </c>
      <c r="Q245" s="7">
        <v>89.99</v>
      </c>
      <c r="R245" s="7"/>
      <c r="S245" s="7"/>
      <c r="T245" s="7"/>
      <c r="U245" s="7"/>
      <c r="V245" s="7"/>
      <c r="W245" s="7"/>
      <c r="X245" s="7"/>
      <c r="Y245" s="7" t="s">
        <v>1371</v>
      </c>
      <c r="Z245" s="7" t="s">
        <v>1342</v>
      </c>
      <c r="AA245" s="7" t="s">
        <v>1372</v>
      </c>
      <c r="AB245" s="7" t="s">
        <v>44</v>
      </c>
      <c r="AC245" s="7"/>
      <c r="AD245" s="10"/>
      <c r="AE245" s="10"/>
      <c r="AF245" s="10"/>
      <c r="AG245" s="11">
        <f t="shared" si="3"/>
        <v>43268</v>
      </c>
    </row>
    <row r="246" spans="1:33">
      <c r="A246" s="7" t="s">
        <v>1373</v>
      </c>
      <c r="B246" s="7" t="s">
        <v>1373</v>
      </c>
      <c r="C246" s="7" t="s">
        <v>1374</v>
      </c>
      <c r="D246" s="7" t="s">
        <v>1375</v>
      </c>
      <c r="E246" s="7" t="s">
        <v>33</v>
      </c>
      <c r="F246" s="7" t="s">
        <v>34</v>
      </c>
      <c r="G246" s="7" t="s">
        <v>35</v>
      </c>
      <c r="H246" s="7"/>
      <c r="I246" s="7"/>
      <c r="J246" s="7" t="s">
        <v>58</v>
      </c>
      <c r="K246" s="7" t="s">
        <v>79</v>
      </c>
      <c r="L246" s="7" t="s">
        <v>80</v>
      </c>
      <c r="M246" s="7" t="s">
        <v>81</v>
      </c>
      <c r="N246" s="7" t="s">
        <v>33</v>
      </c>
      <c r="O246" s="7">
        <v>1</v>
      </c>
      <c r="P246" s="7" t="s">
        <v>40</v>
      </c>
      <c r="Q246" s="7">
        <v>91.99</v>
      </c>
      <c r="R246" s="7"/>
      <c r="S246" s="7">
        <v>6.99</v>
      </c>
      <c r="T246" s="7"/>
      <c r="U246" s="7"/>
      <c r="V246" s="7"/>
      <c r="W246" s="7"/>
      <c r="X246" s="7"/>
      <c r="Y246" s="7" t="s">
        <v>1376</v>
      </c>
      <c r="Z246" s="7" t="s">
        <v>83</v>
      </c>
      <c r="AA246" s="7" t="s">
        <v>1377</v>
      </c>
      <c r="AB246" s="7" t="s">
        <v>44</v>
      </c>
      <c r="AC246" s="7"/>
      <c r="AD246" s="10"/>
      <c r="AE246" s="10"/>
      <c r="AF246" s="10"/>
      <c r="AG246" s="11">
        <f t="shared" si="3"/>
        <v>43268</v>
      </c>
    </row>
    <row r="247" spans="1:33">
      <c r="A247" s="7" t="s">
        <v>1378</v>
      </c>
      <c r="B247" s="7" t="s">
        <v>1378</v>
      </c>
      <c r="C247" s="7" t="s">
        <v>1374</v>
      </c>
      <c r="D247" s="7" t="s">
        <v>1379</v>
      </c>
      <c r="E247" s="7" t="s">
        <v>33</v>
      </c>
      <c r="F247" s="7" t="s">
        <v>34</v>
      </c>
      <c r="G247" s="7" t="s">
        <v>35</v>
      </c>
      <c r="H247" s="7"/>
      <c r="I247" s="7"/>
      <c r="J247" s="7" t="s">
        <v>36</v>
      </c>
      <c r="K247" s="7" t="s">
        <v>213</v>
      </c>
      <c r="L247" s="7" t="s">
        <v>214</v>
      </c>
      <c r="M247" s="7" t="s">
        <v>215</v>
      </c>
      <c r="N247" s="7" t="s">
        <v>33</v>
      </c>
      <c r="O247" s="7">
        <v>1</v>
      </c>
      <c r="P247" s="7" t="s">
        <v>40</v>
      </c>
      <c r="Q247" s="7">
        <v>21.99</v>
      </c>
      <c r="R247" s="7"/>
      <c r="S247" s="7"/>
      <c r="T247" s="7"/>
      <c r="U247" s="7"/>
      <c r="V247" s="7"/>
      <c r="W247" s="7"/>
      <c r="X247" s="7"/>
      <c r="Y247" s="7" t="s">
        <v>1376</v>
      </c>
      <c r="Z247" s="7" t="s">
        <v>83</v>
      </c>
      <c r="AA247" s="7" t="s">
        <v>1377</v>
      </c>
      <c r="AB247" s="7" t="s">
        <v>44</v>
      </c>
      <c r="AC247" s="7"/>
      <c r="AD247" s="10"/>
      <c r="AE247" s="10"/>
      <c r="AF247" s="10"/>
      <c r="AG247" s="11">
        <f t="shared" si="3"/>
        <v>43268</v>
      </c>
    </row>
    <row r="248" spans="1:33">
      <c r="A248" s="7" t="s">
        <v>1378</v>
      </c>
      <c r="B248" s="7" t="s">
        <v>1378</v>
      </c>
      <c r="C248" s="7" t="s">
        <v>1374</v>
      </c>
      <c r="D248" s="7" t="s">
        <v>1379</v>
      </c>
      <c r="E248" s="7" t="s">
        <v>33</v>
      </c>
      <c r="F248" s="7" t="s">
        <v>34</v>
      </c>
      <c r="G248" s="7" t="s">
        <v>35</v>
      </c>
      <c r="H248" s="7"/>
      <c r="I248" s="7"/>
      <c r="J248" s="7" t="s">
        <v>36</v>
      </c>
      <c r="K248" s="7" t="s">
        <v>642</v>
      </c>
      <c r="L248" s="7" t="s">
        <v>643</v>
      </c>
      <c r="M248" s="7" t="s">
        <v>644</v>
      </c>
      <c r="N248" s="7" t="s">
        <v>33</v>
      </c>
      <c r="O248" s="7">
        <v>1</v>
      </c>
      <c r="P248" s="7" t="s">
        <v>40</v>
      </c>
      <c r="Q248" s="7">
        <v>21.99</v>
      </c>
      <c r="R248" s="7"/>
      <c r="S248" s="7"/>
      <c r="T248" s="7"/>
      <c r="U248" s="7"/>
      <c r="V248" s="7"/>
      <c r="W248" s="7"/>
      <c r="X248" s="7"/>
      <c r="Y248" s="7" t="s">
        <v>1376</v>
      </c>
      <c r="Z248" s="7" t="s">
        <v>83</v>
      </c>
      <c r="AA248" s="7" t="s">
        <v>1377</v>
      </c>
      <c r="AB248" s="7" t="s">
        <v>44</v>
      </c>
      <c r="AC248" s="7"/>
      <c r="AD248" s="10"/>
      <c r="AE248" s="10"/>
      <c r="AF248" s="10"/>
      <c r="AG248" s="11">
        <f t="shared" si="3"/>
        <v>43268</v>
      </c>
    </row>
    <row r="249" spans="1:33">
      <c r="A249" s="7" t="s">
        <v>1380</v>
      </c>
      <c r="B249" s="7" t="s">
        <v>1380</v>
      </c>
      <c r="C249" s="7" t="s">
        <v>1381</v>
      </c>
      <c r="D249" s="7" t="s">
        <v>1382</v>
      </c>
      <c r="E249" s="7" t="s">
        <v>33</v>
      </c>
      <c r="F249" s="7" t="s">
        <v>34</v>
      </c>
      <c r="G249" s="7" t="s">
        <v>35</v>
      </c>
      <c r="H249" s="7"/>
      <c r="I249" s="7"/>
      <c r="J249" s="7" t="s">
        <v>36</v>
      </c>
      <c r="K249" s="7" t="s">
        <v>137</v>
      </c>
      <c r="L249" s="7" t="s">
        <v>138</v>
      </c>
      <c r="M249" s="7" t="s">
        <v>139</v>
      </c>
      <c r="N249" s="7" t="s">
        <v>33</v>
      </c>
      <c r="O249" s="7">
        <v>1</v>
      </c>
      <c r="P249" s="7" t="s">
        <v>40</v>
      </c>
      <c r="Q249" s="7">
        <v>99.99</v>
      </c>
      <c r="R249" s="7"/>
      <c r="S249" s="7"/>
      <c r="T249" s="7"/>
      <c r="U249" s="7"/>
      <c r="V249" s="7"/>
      <c r="W249" s="7"/>
      <c r="X249" s="7"/>
      <c r="Y249" s="7" t="s">
        <v>1383</v>
      </c>
      <c r="Z249" s="7" t="s">
        <v>42</v>
      </c>
      <c r="AA249" s="7">
        <v>76036</v>
      </c>
      <c r="AB249" s="7" t="s">
        <v>44</v>
      </c>
      <c r="AC249" s="7"/>
      <c r="AD249" s="10"/>
      <c r="AE249" s="10"/>
      <c r="AF249" s="10"/>
      <c r="AG249" s="11">
        <f t="shared" si="3"/>
        <v>43268</v>
      </c>
    </row>
    <row r="250" spans="1:33">
      <c r="A250" s="7" t="s">
        <v>1384</v>
      </c>
      <c r="B250" s="7" t="s">
        <v>1384</v>
      </c>
      <c r="C250" s="7" t="s">
        <v>1385</v>
      </c>
      <c r="D250" s="7" t="s">
        <v>1386</v>
      </c>
      <c r="E250" s="7" t="s">
        <v>33</v>
      </c>
      <c r="F250" s="7" t="s">
        <v>34</v>
      </c>
      <c r="G250" s="7" t="s">
        <v>35</v>
      </c>
      <c r="H250" s="7"/>
      <c r="I250" s="7"/>
      <c r="J250" s="7" t="s">
        <v>36</v>
      </c>
      <c r="K250" s="7" t="s">
        <v>1387</v>
      </c>
      <c r="L250" s="7" t="s">
        <v>1388</v>
      </c>
      <c r="M250" s="7" t="s">
        <v>1389</v>
      </c>
      <c r="N250" s="7" t="s">
        <v>33</v>
      </c>
      <c r="O250" s="7">
        <v>1</v>
      </c>
      <c r="P250" s="7" t="s">
        <v>40</v>
      </c>
      <c r="Q250" s="7">
        <v>86.9</v>
      </c>
      <c r="R250" s="7"/>
      <c r="S250" s="7"/>
      <c r="T250" s="7"/>
      <c r="U250" s="7"/>
      <c r="V250" s="7"/>
      <c r="W250" s="7"/>
      <c r="X250" s="7"/>
      <c r="Y250" s="7" t="s">
        <v>1390</v>
      </c>
      <c r="Z250" s="7" t="s">
        <v>83</v>
      </c>
      <c r="AA250" s="7" t="s">
        <v>1391</v>
      </c>
      <c r="AB250" s="7" t="s">
        <v>44</v>
      </c>
      <c r="AC250" s="7"/>
      <c r="AD250" s="10"/>
      <c r="AE250" s="10"/>
      <c r="AF250" s="10"/>
      <c r="AG250" s="11">
        <f t="shared" si="3"/>
        <v>43268</v>
      </c>
    </row>
    <row r="251" spans="1:33">
      <c r="A251" s="7" t="s">
        <v>1392</v>
      </c>
      <c r="B251" s="7" t="s">
        <v>1392</v>
      </c>
      <c r="C251" s="7" t="s">
        <v>1393</v>
      </c>
      <c r="D251" s="7" t="s">
        <v>1394</v>
      </c>
      <c r="E251" s="7" t="s">
        <v>33</v>
      </c>
      <c r="F251" s="7" t="s">
        <v>34</v>
      </c>
      <c r="G251" s="7" t="s">
        <v>35</v>
      </c>
      <c r="H251" s="7"/>
      <c r="I251" s="7"/>
      <c r="J251" s="7" t="s">
        <v>36</v>
      </c>
      <c r="K251" s="7" t="s">
        <v>213</v>
      </c>
      <c r="L251" s="7" t="s">
        <v>214</v>
      </c>
      <c r="M251" s="7" t="s">
        <v>215</v>
      </c>
      <c r="N251" s="7" t="s">
        <v>33</v>
      </c>
      <c r="O251" s="7">
        <v>1</v>
      </c>
      <c r="P251" s="7" t="s">
        <v>40</v>
      </c>
      <c r="Q251" s="7">
        <v>21.99</v>
      </c>
      <c r="R251" s="7"/>
      <c r="S251" s="7"/>
      <c r="T251" s="7"/>
      <c r="U251" s="7"/>
      <c r="V251" s="7"/>
      <c r="W251" s="7"/>
      <c r="X251" s="7"/>
      <c r="Y251" s="7" t="s">
        <v>1395</v>
      </c>
      <c r="Z251" s="7" t="s">
        <v>42</v>
      </c>
      <c r="AA251" s="7" t="s">
        <v>1396</v>
      </c>
      <c r="AB251" s="7" t="s">
        <v>44</v>
      </c>
      <c r="AC251" s="7"/>
      <c r="AD251" s="10"/>
      <c r="AE251" s="10"/>
      <c r="AF251" s="10"/>
      <c r="AG251" s="11">
        <f t="shared" si="3"/>
        <v>43268</v>
      </c>
    </row>
    <row r="252" spans="1:33">
      <c r="A252" s="7" t="s">
        <v>1397</v>
      </c>
      <c r="B252" s="7" t="s">
        <v>1397</v>
      </c>
      <c r="C252" s="7" t="s">
        <v>1398</v>
      </c>
      <c r="D252" s="7" t="s">
        <v>1399</v>
      </c>
      <c r="E252" s="7" t="s">
        <v>54</v>
      </c>
      <c r="F252" s="7" t="s">
        <v>34</v>
      </c>
      <c r="G252" s="7" t="s">
        <v>35</v>
      </c>
      <c r="H252" s="7"/>
      <c r="I252" s="7"/>
      <c r="J252" s="7" t="s">
        <v>69</v>
      </c>
      <c r="K252" s="7" t="s">
        <v>284</v>
      </c>
      <c r="L252" s="7" t="s">
        <v>285</v>
      </c>
      <c r="M252" s="7" t="s">
        <v>286</v>
      </c>
      <c r="N252" s="7" t="s">
        <v>54</v>
      </c>
      <c r="O252" s="7">
        <v>0</v>
      </c>
      <c r="P252" s="7"/>
      <c r="Q252" s="7"/>
      <c r="R252" s="7"/>
      <c r="S252" s="7"/>
      <c r="T252" s="7"/>
      <c r="U252" s="7"/>
      <c r="V252" s="7"/>
      <c r="W252" s="7"/>
      <c r="X252" s="7"/>
      <c r="Y252" s="7" t="s">
        <v>1400</v>
      </c>
      <c r="Z252" s="7" t="s">
        <v>64</v>
      </c>
      <c r="AA252" s="7" t="s">
        <v>1401</v>
      </c>
      <c r="AB252" s="7" t="s">
        <v>44</v>
      </c>
      <c r="AC252" s="7"/>
      <c r="AD252" s="10"/>
      <c r="AE252" s="10"/>
      <c r="AF252" s="10"/>
      <c r="AG252" s="11">
        <f t="shared" si="3"/>
        <v>43268</v>
      </c>
    </row>
    <row r="253" spans="1:33">
      <c r="A253" s="7" t="s">
        <v>1402</v>
      </c>
      <c r="B253" s="7" t="s">
        <v>1402</v>
      </c>
      <c r="C253" s="7" t="s">
        <v>1403</v>
      </c>
      <c r="D253" s="7" t="s">
        <v>1404</v>
      </c>
      <c r="E253" s="7" t="s">
        <v>33</v>
      </c>
      <c r="F253" s="7" t="s">
        <v>34</v>
      </c>
      <c r="G253" s="7" t="s">
        <v>35</v>
      </c>
      <c r="H253" s="7"/>
      <c r="I253" s="7"/>
      <c r="J253" s="7" t="s">
        <v>36</v>
      </c>
      <c r="K253" s="7" t="s">
        <v>88</v>
      </c>
      <c r="L253" s="7" t="s">
        <v>89</v>
      </c>
      <c r="M253" s="7" t="s">
        <v>90</v>
      </c>
      <c r="N253" s="7" t="s">
        <v>33</v>
      </c>
      <c r="O253" s="7">
        <v>1</v>
      </c>
      <c r="P253" s="7" t="s">
        <v>40</v>
      </c>
      <c r="Q253" s="7">
        <v>89.99</v>
      </c>
      <c r="R253" s="7"/>
      <c r="S253" s="7"/>
      <c r="T253" s="7"/>
      <c r="U253" s="7"/>
      <c r="V253" s="7"/>
      <c r="W253" s="7"/>
      <c r="X253" s="7"/>
      <c r="Y253" s="7" t="s">
        <v>1405</v>
      </c>
      <c r="Z253" s="7" t="s">
        <v>996</v>
      </c>
      <c r="AA253" s="7">
        <v>66935</v>
      </c>
      <c r="AB253" s="7" t="s">
        <v>44</v>
      </c>
      <c r="AC253" s="7"/>
      <c r="AD253" s="10"/>
      <c r="AE253" s="10"/>
      <c r="AF253" s="10"/>
      <c r="AG253" s="11">
        <f t="shared" si="3"/>
        <v>43268</v>
      </c>
    </row>
    <row r="254" spans="1:33">
      <c r="A254" s="7" t="s">
        <v>1406</v>
      </c>
      <c r="B254" s="7" t="s">
        <v>1406</v>
      </c>
      <c r="C254" s="7" t="s">
        <v>1407</v>
      </c>
      <c r="D254" s="7" t="s">
        <v>1408</v>
      </c>
      <c r="E254" s="7" t="s">
        <v>54</v>
      </c>
      <c r="F254" s="7" t="s">
        <v>34</v>
      </c>
      <c r="G254" s="7" t="s">
        <v>35</v>
      </c>
      <c r="H254" s="7"/>
      <c r="I254" s="7"/>
      <c r="J254" s="7" t="s">
        <v>58</v>
      </c>
      <c r="K254" s="7" t="s">
        <v>1409</v>
      </c>
      <c r="L254" s="7" t="s">
        <v>1410</v>
      </c>
      <c r="M254" s="7" t="s">
        <v>1411</v>
      </c>
      <c r="N254" s="7" t="s">
        <v>54</v>
      </c>
      <c r="O254" s="7">
        <v>0</v>
      </c>
      <c r="P254" s="7"/>
      <c r="Q254" s="7"/>
      <c r="R254" s="7"/>
      <c r="S254" s="7"/>
      <c r="T254" s="7"/>
      <c r="U254" s="7"/>
      <c r="V254" s="7"/>
      <c r="W254" s="7"/>
      <c r="X254" s="7"/>
      <c r="Y254" s="7" t="s">
        <v>1412</v>
      </c>
      <c r="Z254" s="7" t="s">
        <v>497</v>
      </c>
      <c r="AA254" s="7" t="s">
        <v>1413</v>
      </c>
      <c r="AB254" s="7" t="s">
        <v>44</v>
      </c>
      <c r="AC254" s="7"/>
      <c r="AD254" s="10"/>
      <c r="AE254" s="10"/>
      <c r="AF254" s="10"/>
      <c r="AG254" s="11">
        <f t="shared" si="3"/>
        <v>43268</v>
      </c>
    </row>
    <row r="255" spans="1:33">
      <c r="A255" s="7" t="s">
        <v>1414</v>
      </c>
      <c r="B255" s="7" t="s">
        <v>1414</v>
      </c>
      <c r="C255" s="7" t="s">
        <v>1415</v>
      </c>
      <c r="D255" s="7" t="s">
        <v>1416</v>
      </c>
      <c r="E255" s="7" t="s">
        <v>54</v>
      </c>
      <c r="F255" s="7" t="s">
        <v>34</v>
      </c>
      <c r="G255" s="7" t="s">
        <v>35</v>
      </c>
      <c r="H255" s="7"/>
      <c r="I255" s="7"/>
      <c r="J255" s="7" t="s">
        <v>58</v>
      </c>
      <c r="K255" s="7" t="s">
        <v>79</v>
      </c>
      <c r="L255" s="7" t="s">
        <v>80</v>
      </c>
      <c r="M255" s="7" t="s">
        <v>81</v>
      </c>
      <c r="N255" s="7" t="s">
        <v>54</v>
      </c>
      <c r="O255" s="7">
        <v>0</v>
      </c>
      <c r="P255" s="7"/>
      <c r="Q255" s="7"/>
      <c r="R255" s="7"/>
      <c r="S255" s="7"/>
      <c r="T255" s="7"/>
      <c r="U255" s="7"/>
      <c r="V255" s="7"/>
      <c r="W255" s="7"/>
      <c r="X255" s="7"/>
      <c r="Y255" s="7" t="s">
        <v>1417</v>
      </c>
      <c r="Z255" s="7" t="s">
        <v>484</v>
      </c>
      <c r="AA255" s="7" t="s">
        <v>1418</v>
      </c>
      <c r="AB255" s="7" t="s">
        <v>44</v>
      </c>
      <c r="AC255" s="7"/>
      <c r="AD255" s="10"/>
      <c r="AE255" s="10"/>
      <c r="AF255" s="10"/>
      <c r="AG255" s="11">
        <f t="shared" si="3"/>
        <v>43268</v>
      </c>
    </row>
    <row r="256" spans="1:33">
      <c r="A256" s="7" t="s">
        <v>1419</v>
      </c>
      <c r="B256" s="7" t="s">
        <v>1419</v>
      </c>
      <c r="C256" s="7" t="s">
        <v>1420</v>
      </c>
      <c r="D256" s="7" t="s">
        <v>1421</v>
      </c>
      <c r="E256" s="7" t="s">
        <v>33</v>
      </c>
      <c r="F256" s="7" t="s">
        <v>34</v>
      </c>
      <c r="G256" s="7" t="s">
        <v>35</v>
      </c>
      <c r="H256" s="7"/>
      <c r="I256" s="7"/>
      <c r="J256" s="7" t="s">
        <v>36</v>
      </c>
      <c r="K256" s="7" t="s">
        <v>235</v>
      </c>
      <c r="L256" s="7" t="s">
        <v>236</v>
      </c>
      <c r="M256" s="7" t="s">
        <v>237</v>
      </c>
      <c r="N256" s="7" t="s">
        <v>33</v>
      </c>
      <c r="O256" s="7">
        <v>1</v>
      </c>
      <c r="P256" s="7" t="s">
        <v>40</v>
      </c>
      <c r="Q256" s="7">
        <v>85.99</v>
      </c>
      <c r="R256" s="7"/>
      <c r="S256" s="7"/>
      <c r="T256" s="7"/>
      <c r="U256" s="7"/>
      <c r="V256" s="7"/>
      <c r="W256" s="7"/>
      <c r="X256" s="7"/>
      <c r="Y256" s="7" t="s">
        <v>1422</v>
      </c>
      <c r="Z256" s="7" t="s">
        <v>42</v>
      </c>
      <c r="AA256" s="7" t="s">
        <v>1423</v>
      </c>
      <c r="AB256" s="7" t="s">
        <v>44</v>
      </c>
      <c r="AC256" s="7"/>
      <c r="AD256" s="10"/>
      <c r="AE256" s="10"/>
      <c r="AF256" s="10"/>
      <c r="AG256" s="11">
        <f t="shared" si="3"/>
        <v>43268</v>
      </c>
    </row>
    <row r="257" spans="1:33">
      <c r="A257" s="7" t="s">
        <v>1424</v>
      </c>
      <c r="B257" s="7" t="s">
        <v>1424</v>
      </c>
      <c r="C257" s="7" t="s">
        <v>1425</v>
      </c>
      <c r="D257" s="7" t="s">
        <v>1426</v>
      </c>
      <c r="E257" s="7" t="s">
        <v>33</v>
      </c>
      <c r="F257" s="7" t="s">
        <v>34</v>
      </c>
      <c r="G257" s="7" t="s">
        <v>35</v>
      </c>
      <c r="H257" s="7"/>
      <c r="I257" s="7"/>
      <c r="J257" s="7" t="s">
        <v>36</v>
      </c>
      <c r="K257" s="7" t="s">
        <v>59</v>
      </c>
      <c r="L257" s="7" t="s">
        <v>60</v>
      </c>
      <c r="M257" s="7" t="s">
        <v>61</v>
      </c>
      <c r="N257" s="7" t="s">
        <v>33</v>
      </c>
      <c r="O257" s="7">
        <v>1</v>
      </c>
      <c r="P257" s="7" t="s">
        <v>40</v>
      </c>
      <c r="Q257" s="7">
        <v>89.99</v>
      </c>
      <c r="R257" s="7"/>
      <c r="S257" s="7"/>
      <c r="T257" s="7"/>
      <c r="U257" s="7"/>
      <c r="V257" s="7"/>
      <c r="W257" s="7"/>
      <c r="X257" s="7"/>
      <c r="Y257" s="7" t="s">
        <v>1427</v>
      </c>
      <c r="Z257" s="7" t="s">
        <v>1342</v>
      </c>
      <c r="AA257" s="7" t="s">
        <v>1428</v>
      </c>
      <c r="AB257" s="7" t="s">
        <v>44</v>
      </c>
      <c r="AC257" s="7"/>
      <c r="AD257" s="10"/>
      <c r="AE257" s="10"/>
      <c r="AF257" s="10"/>
      <c r="AG257" s="11">
        <f t="shared" si="3"/>
        <v>43268</v>
      </c>
    </row>
    <row r="258" spans="1:33">
      <c r="A258" s="7" t="s">
        <v>1429</v>
      </c>
      <c r="B258" s="7" t="s">
        <v>1429</v>
      </c>
      <c r="C258" s="7" t="s">
        <v>1430</v>
      </c>
      <c r="D258" s="7" t="s">
        <v>1431</v>
      </c>
      <c r="E258" s="7" t="s">
        <v>33</v>
      </c>
      <c r="F258" s="7" t="s">
        <v>34</v>
      </c>
      <c r="G258" s="7" t="s">
        <v>35</v>
      </c>
      <c r="H258" s="7"/>
      <c r="I258" s="7"/>
      <c r="J258" s="7" t="s">
        <v>36</v>
      </c>
      <c r="K258" s="7" t="s">
        <v>148</v>
      </c>
      <c r="L258" s="7" t="s">
        <v>149</v>
      </c>
      <c r="M258" s="7" t="s">
        <v>150</v>
      </c>
      <c r="N258" s="7" t="s">
        <v>33</v>
      </c>
      <c r="O258" s="7">
        <v>1</v>
      </c>
      <c r="P258" s="7" t="s">
        <v>40</v>
      </c>
      <c r="Q258" s="7">
        <v>98.99</v>
      </c>
      <c r="R258" s="7"/>
      <c r="S258" s="7"/>
      <c r="T258" s="7"/>
      <c r="U258" s="7"/>
      <c r="V258" s="7"/>
      <c r="W258" s="7"/>
      <c r="X258" s="7"/>
      <c r="Y258" s="7" t="s">
        <v>238</v>
      </c>
      <c r="Z258" s="7" t="s">
        <v>51</v>
      </c>
      <c r="AA258" s="7" t="s">
        <v>1432</v>
      </c>
      <c r="AB258" s="7" t="s">
        <v>44</v>
      </c>
      <c r="AC258" s="7"/>
      <c r="AD258" s="10"/>
      <c r="AE258" s="10"/>
      <c r="AF258" s="10"/>
      <c r="AG258" s="11">
        <f t="shared" ref="AG258:AG321" si="4">DATEVALUE(LEFT(C258,10))</f>
        <v>43268</v>
      </c>
    </row>
    <row r="259" spans="1:33">
      <c r="A259" s="7" t="s">
        <v>1433</v>
      </c>
      <c r="B259" s="7" t="s">
        <v>1433</v>
      </c>
      <c r="C259" s="7" t="s">
        <v>1434</v>
      </c>
      <c r="D259" s="7" t="s">
        <v>1435</v>
      </c>
      <c r="E259" s="7" t="s">
        <v>33</v>
      </c>
      <c r="F259" s="7" t="s">
        <v>34</v>
      </c>
      <c r="G259" s="7" t="s">
        <v>35</v>
      </c>
      <c r="H259" s="7"/>
      <c r="I259" s="7"/>
      <c r="J259" s="7" t="s">
        <v>36</v>
      </c>
      <c r="K259" s="7" t="s">
        <v>1436</v>
      </c>
      <c r="L259" s="7" t="s">
        <v>1437</v>
      </c>
      <c r="M259" s="7" t="s">
        <v>1438</v>
      </c>
      <c r="N259" s="7" t="s">
        <v>33</v>
      </c>
      <c r="O259" s="7">
        <v>1</v>
      </c>
      <c r="P259" s="7" t="s">
        <v>40</v>
      </c>
      <c r="Q259" s="7">
        <v>99.6</v>
      </c>
      <c r="R259" s="7"/>
      <c r="S259" s="7"/>
      <c r="T259" s="7"/>
      <c r="U259" s="7"/>
      <c r="V259" s="7"/>
      <c r="W259" s="7"/>
      <c r="X259" s="7"/>
      <c r="Y259" s="7" t="s">
        <v>1439</v>
      </c>
      <c r="Z259" s="7" t="s">
        <v>723</v>
      </c>
      <c r="AA259" s="7" t="s">
        <v>1440</v>
      </c>
      <c r="AB259" s="7" t="s">
        <v>44</v>
      </c>
      <c r="AC259" s="7"/>
      <c r="AD259" s="10"/>
      <c r="AE259" s="10"/>
      <c r="AF259" s="10"/>
      <c r="AG259" s="11">
        <f t="shared" si="4"/>
        <v>43268</v>
      </c>
    </row>
    <row r="260" spans="1:33">
      <c r="A260" s="7" t="s">
        <v>1441</v>
      </c>
      <c r="B260" s="7" t="s">
        <v>1441</v>
      </c>
      <c r="C260" s="7" t="s">
        <v>1442</v>
      </c>
      <c r="D260" s="7" t="s">
        <v>1443</v>
      </c>
      <c r="E260" s="7" t="s">
        <v>33</v>
      </c>
      <c r="F260" s="7" t="s">
        <v>34</v>
      </c>
      <c r="G260" s="7" t="s">
        <v>35</v>
      </c>
      <c r="H260" s="7"/>
      <c r="I260" s="7"/>
      <c r="J260" s="7" t="s">
        <v>36</v>
      </c>
      <c r="K260" s="7" t="s">
        <v>37</v>
      </c>
      <c r="L260" s="7" t="s">
        <v>38</v>
      </c>
      <c r="M260" s="7" t="s">
        <v>39</v>
      </c>
      <c r="N260" s="7" t="s">
        <v>33</v>
      </c>
      <c r="O260" s="7">
        <v>1</v>
      </c>
      <c r="P260" s="7" t="s">
        <v>40</v>
      </c>
      <c r="Q260" s="7">
        <v>89.99</v>
      </c>
      <c r="R260" s="7"/>
      <c r="S260" s="7"/>
      <c r="T260" s="7"/>
      <c r="U260" s="7"/>
      <c r="V260" s="7"/>
      <c r="W260" s="7"/>
      <c r="X260" s="7"/>
      <c r="Y260" s="7" t="s">
        <v>1444</v>
      </c>
      <c r="Z260" s="7" t="s">
        <v>52</v>
      </c>
      <c r="AA260" s="7" t="s">
        <v>1445</v>
      </c>
      <c r="AB260" s="7" t="s">
        <v>44</v>
      </c>
      <c r="AC260" s="7"/>
      <c r="AD260" s="10"/>
      <c r="AE260" s="10"/>
      <c r="AF260" s="10"/>
      <c r="AG260" s="11">
        <f t="shared" si="4"/>
        <v>43268</v>
      </c>
    </row>
    <row r="261" spans="1:33">
      <c r="A261" s="7" t="s">
        <v>1446</v>
      </c>
      <c r="B261" s="7" t="s">
        <v>1446</v>
      </c>
      <c r="C261" s="7" t="s">
        <v>1447</v>
      </c>
      <c r="D261" s="7" t="s">
        <v>1448</v>
      </c>
      <c r="E261" s="7" t="s">
        <v>33</v>
      </c>
      <c r="F261" s="7" t="s">
        <v>34</v>
      </c>
      <c r="G261" s="7" t="s">
        <v>35</v>
      </c>
      <c r="H261" s="7"/>
      <c r="I261" s="7"/>
      <c r="J261" s="7" t="s">
        <v>36</v>
      </c>
      <c r="K261" s="7" t="s">
        <v>79</v>
      </c>
      <c r="L261" s="7" t="s">
        <v>80</v>
      </c>
      <c r="M261" s="7" t="s">
        <v>81</v>
      </c>
      <c r="N261" s="7" t="s">
        <v>33</v>
      </c>
      <c r="O261" s="7">
        <v>1</v>
      </c>
      <c r="P261" s="7" t="s">
        <v>40</v>
      </c>
      <c r="Q261" s="7">
        <v>91.99</v>
      </c>
      <c r="R261" s="7">
        <v>5.52</v>
      </c>
      <c r="S261" s="7"/>
      <c r="T261" s="7"/>
      <c r="U261" s="7"/>
      <c r="V261" s="7"/>
      <c r="W261" s="7"/>
      <c r="X261" s="7"/>
      <c r="Y261" s="7" t="s">
        <v>1449</v>
      </c>
      <c r="Z261" s="7" t="s">
        <v>880</v>
      </c>
      <c r="AA261" s="7" t="s">
        <v>1450</v>
      </c>
      <c r="AB261" s="7" t="s">
        <v>44</v>
      </c>
      <c r="AC261" s="7"/>
      <c r="AD261" s="10"/>
      <c r="AE261" s="10"/>
      <c r="AF261" s="10"/>
      <c r="AG261" s="11">
        <f t="shared" si="4"/>
        <v>43268</v>
      </c>
    </row>
    <row r="262" spans="1:33">
      <c r="A262" s="7" t="s">
        <v>1451</v>
      </c>
      <c r="B262" s="7" t="s">
        <v>1451</v>
      </c>
      <c r="C262" s="7" t="s">
        <v>1452</v>
      </c>
      <c r="D262" s="7" t="s">
        <v>1453</v>
      </c>
      <c r="E262" s="7" t="s">
        <v>33</v>
      </c>
      <c r="F262" s="7" t="s">
        <v>34</v>
      </c>
      <c r="G262" s="7" t="s">
        <v>35</v>
      </c>
      <c r="H262" s="7"/>
      <c r="I262" s="7"/>
      <c r="J262" s="7" t="s">
        <v>36</v>
      </c>
      <c r="K262" s="7" t="s">
        <v>79</v>
      </c>
      <c r="L262" s="7" t="s">
        <v>80</v>
      </c>
      <c r="M262" s="7" t="s">
        <v>81</v>
      </c>
      <c r="N262" s="7" t="s">
        <v>33</v>
      </c>
      <c r="O262" s="7">
        <v>1</v>
      </c>
      <c r="P262" s="7" t="s">
        <v>40</v>
      </c>
      <c r="Q262" s="7">
        <v>91.99</v>
      </c>
      <c r="R262" s="7"/>
      <c r="S262" s="7"/>
      <c r="T262" s="7"/>
      <c r="U262" s="7"/>
      <c r="V262" s="7"/>
      <c r="W262" s="7"/>
      <c r="X262" s="7"/>
      <c r="Y262" s="7" t="s">
        <v>831</v>
      </c>
      <c r="Z262" s="7" t="s">
        <v>183</v>
      </c>
      <c r="AA262" s="7" t="s">
        <v>1454</v>
      </c>
      <c r="AB262" s="7" t="s">
        <v>44</v>
      </c>
      <c r="AC262" s="7"/>
      <c r="AD262" s="10"/>
      <c r="AE262" s="10"/>
      <c r="AF262" s="10"/>
      <c r="AG262" s="11">
        <f t="shared" si="4"/>
        <v>43268</v>
      </c>
    </row>
    <row r="263" spans="1:33">
      <c r="A263" s="7" t="s">
        <v>1455</v>
      </c>
      <c r="B263" s="7" t="s">
        <v>1455</v>
      </c>
      <c r="C263" s="7" t="s">
        <v>1456</v>
      </c>
      <c r="D263" s="7" t="s">
        <v>1457</v>
      </c>
      <c r="E263" s="7" t="s">
        <v>54</v>
      </c>
      <c r="F263" s="7" t="s">
        <v>34</v>
      </c>
      <c r="G263" s="7" t="s">
        <v>35</v>
      </c>
      <c r="H263" s="7"/>
      <c r="I263" s="7"/>
      <c r="J263" s="7" t="s">
        <v>69</v>
      </c>
      <c r="K263" s="7" t="s">
        <v>102</v>
      </c>
      <c r="L263" s="7" t="s">
        <v>103</v>
      </c>
      <c r="M263" s="7" t="s">
        <v>104</v>
      </c>
      <c r="N263" s="7" t="s">
        <v>54</v>
      </c>
      <c r="O263" s="7">
        <v>0</v>
      </c>
      <c r="P263" s="7"/>
      <c r="Q263" s="7"/>
      <c r="R263" s="7"/>
      <c r="S263" s="7"/>
      <c r="T263" s="7"/>
      <c r="U263" s="7"/>
      <c r="V263" s="7"/>
      <c r="W263" s="7"/>
      <c r="X263" s="7"/>
      <c r="Y263" s="7" t="s">
        <v>1458</v>
      </c>
      <c r="Z263" s="7" t="s">
        <v>271</v>
      </c>
      <c r="AA263" s="7">
        <v>33170</v>
      </c>
      <c r="AB263" s="7" t="s">
        <v>44</v>
      </c>
      <c r="AC263" s="7"/>
      <c r="AD263" s="10"/>
      <c r="AE263" s="10"/>
      <c r="AF263" s="10"/>
      <c r="AG263" s="11">
        <f t="shared" si="4"/>
        <v>43268</v>
      </c>
    </row>
    <row r="264" spans="1:33">
      <c r="A264" s="7" t="s">
        <v>1459</v>
      </c>
      <c r="B264" s="7" t="s">
        <v>1459</v>
      </c>
      <c r="C264" s="7" t="s">
        <v>1460</v>
      </c>
      <c r="D264" s="7" t="s">
        <v>1461</v>
      </c>
      <c r="E264" s="7" t="s">
        <v>33</v>
      </c>
      <c r="F264" s="7" t="s">
        <v>34</v>
      </c>
      <c r="G264" s="7" t="s">
        <v>35</v>
      </c>
      <c r="H264" s="7"/>
      <c r="I264" s="7"/>
      <c r="J264" s="7" t="s">
        <v>163</v>
      </c>
      <c r="K264" s="7" t="s">
        <v>88</v>
      </c>
      <c r="L264" s="7" t="s">
        <v>89</v>
      </c>
      <c r="M264" s="7" t="s">
        <v>90</v>
      </c>
      <c r="N264" s="7" t="s">
        <v>33</v>
      </c>
      <c r="O264" s="7">
        <v>1</v>
      </c>
      <c r="P264" s="7" t="s">
        <v>40</v>
      </c>
      <c r="Q264" s="7">
        <v>89.99</v>
      </c>
      <c r="R264" s="7"/>
      <c r="S264" s="7">
        <v>7.99</v>
      </c>
      <c r="T264" s="7"/>
      <c r="U264" s="7"/>
      <c r="V264" s="7"/>
      <c r="W264" s="7"/>
      <c r="X264" s="7">
        <v>7.99</v>
      </c>
      <c r="Y264" s="7" t="s">
        <v>517</v>
      </c>
      <c r="Z264" s="7" t="s">
        <v>322</v>
      </c>
      <c r="AA264" s="7">
        <v>31029</v>
      </c>
      <c r="AB264" s="7" t="s">
        <v>44</v>
      </c>
      <c r="AC264" s="7"/>
      <c r="AD264" s="10"/>
      <c r="AE264" s="10"/>
      <c r="AF264" s="10"/>
      <c r="AG264" s="11">
        <f t="shared" si="4"/>
        <v>43268</v>
      </c>
    </row>
    <row r="265" spans="1:33">
      <c r="A265" s="7" t="s">
        <v>1462</v>
      </c>
      <c r="B265" s="7" t="s">
        <v>1462</v>
      </c>
      <c r="C265" s="7" t="s">
        <v>1463</v>
      </c>
      <c r="D265" s="7" t="s">
        <v>1464</v>
      </c>
      <c r="E265" s="7" t="s">
        <v>33</v>
      </c>
      <c r="F265" s="7" t="s">
        <v>34</v>
      </c>
      <c r="G265" s="7" t="s">
        <v>35</v>
      </c>
      <c r="H265" s="7"/>
      <c r="I265" s="7"/>
      <c r="J265" s="7" t="s">
        <v>36</v>
      </c>
      <c r="K265" s="7" t="s">
        <v>275</v>
      </c>
      <c r="L265" s="7" t="s">
        <v>276</v>
      </c>
      <c r="M265" s="7" t="s">
        <v>277</v>
      </c>
      <c r="N265" s="7" t="s">
        <v>33</v>
      </c>
      <c r="O265" s="7">
        <v>1</v>
      </c>
      <c r="P265" s="7" t="s">
        <v>40</v>
      </c>
      <c r="Q265" s="7">
        <v>89.99</v>
      </c>
      <c r="R265" s="7"/>
      <c r="S265" s="7"/>
      <c r="T265" s="7"/>
      <c r="U265" s="7"/>
      <c r="V265" s="7"/>
      <c r="W265" s="7"/>
      <c r="X265" s="7"/>
      <c r="Y265" s="7" t="s">
        <v>1465</v>
      </c>
      <c r="Z265" s="7" t="s">
        <v>52</v>
      </c>
      <c r="AA265" s="7" t="s">
        <v>1466</v>
      </c>
      <c r="AB265" s="7" t="s">
        <v>44</v>
      </c>
      <c r="AC265" s="7"/>
      <c r="AD265" s="10"/>
      <c r="AE265" s="10"/>
      <c r="AF265" s="10"/>
      <c r="AG265" s="11">
        <f t="shared" si="4"/>
        <v>43268</v>
      </c>
    </row>
    <row r="266" spans="1:33">
      <c r="A266" s="7" t="s">
        <v>1467</v>
      </c>
      <c r="B266" s="7" t="s">
        <v>1467</v>
      </c>
      <c r="C266" s="7" t="s">
        <v>1468</v>
      </c>
      <c r="D266" s="7" t="s">
        <v>1469</v>
      </c>
      <c r="E266" s="7" t="s">
        <v>33</v>
      </c>
      <c r="F266" s="7" t="s">
        <v>34</v>
      </c>
      <c r="G266" s="7" t="s">
        <v>35</v>
      </c>
      <c r="H266" s="7"/>
      <c r="I266" s="7"/>
      <c r="J266" s="7" t="s">
        <v>36</v>
      </c>
      <c r="K266" s="7" t="s">
        <v>59</v>
      </c>
      <c r="L266" s="7" t="s">
        <v>60</v>
      </c>
      <c r="M266" s="7" t="s">
        <v>61</v>
      </c>
      <c r="N266" s="7" t="s">
        <v>33</v>
      </c>
      <c r="O266" s="7">
        <v>1</v>
      </c>
      <c r="P266" s="7" t="s">
        <v>40</v>
      </c>
      <c r="Q266" s="7">
        <v>89.99</v>
      </c>
      <c r="R266" s="7"/>
      <c r="S266" s="7"/>
      <c r="T266" s="7"/>
      <c r="U266" s="7"/>
      <c r="V266" s="7"/>
      <c r="W266" s="7"/>
      <c r="X266" s="7"/>
      <c r="Y266" s="7" t="s">
        <v>1470</v>
      </c>
      <c r="Z266" s="7" t="s">
        <v>327</v>
      </c>
      <c r="AA266" s="7">
        <v>5641</v>
      </c>
      <c r="AB266" s="7" t="s">
        <v>44</v>
      </c>
      <c r="AC266" s="7"/>
      <c r="AD266" s="10"/>
      <c r="AE266" s="10"/>
      <c r="AF266" s="10"/>
      <c r="AG266" s="11">
        <f t="shared" si="4"/>
        <v>43268</v>
      </c>
    </row>
    <row r="267" spans="1:33">
      <c r="A267" s="7" t="s">
        <v>1471</v>
      </c>
      <c r="B267" s="7" t="s">
        <v>1471</v>
      </c>
      <c r="C267" s="7" t="s">
        <v>1472</v>
      </c>
      <c r="D267" s="7" t="s">
        <v>1473</v>
      </c>
      <c r="E267" s="7" t="s">
        <v>33</v>
      </c>
      <c r="F267" s="7" t="s">
        <v>34</v>
      </c>
      <c r="G267" s="7" t="s">
        <v>35</v>
      </c>
      <c r="H267" s="7"/>
      <c r="I267" s="7"/>
      <c r="J267" s="7" t="s">
        <v>69</v>
      </c>
      <c r="K267" s="7" t="s">
        <v>137</v>
      </c>
      <c r="L267" s="7" t="s">
        <v>138</v>
      </c>
      <c r="M267" s="7" t="s">
        <v>139</v>
      </c>
      <c r="N267" s="7" t="s">
        <v>33</v>
      </c>
      <c r="O267" s="7">
        <v>1</v>
      </c>
      <c r="P267" s="7" t="s">
        <v>40</v>
      </c>
      <c r="Q267" s="7">
        <v>99.99</v>
      </c>
      <c r="R267" s="7"/>
      <c r="S267" s="7"/>
      <c r="T267" s="7"/>
      <c r="U267" s="7"/>
      <c r="V267" s="7"/>
      <c r="W267" s="7"/>
      <c r="X267" s="7"/>
      <c r="Y267" s="7" t="s">
        <v>1474</v>
      </c>
      <c r="Z267" s="7" t="s">
        <v>1475</v>
      </c>
      <c r="AA267" s="7">
        <v>99760</v>
      </c>
      <c r="AB267" s="7" t="s">
        <v>44</v>
      </c>
      <c r="AC267" s="7"/>
      <c r="AD267" s="10"/>
      <c r="AE267" s="10"/>
      <c r="AF267" s="10"/>
      <c r="AG267" s="11">
        <f t="shared" si="4"/>
        <v>43268</v>
      </c>
    </row>
    <row r="268" spans="1:33">
      <c r="A268" s="7" t="s">
        <v>1476</v>
      </c>
      <c r="B268" s="7" t="s">
        <v>1476</v>
      </c>
      <c r="C268" s="7" t="s">
        <v>1477</v>
      </c>
      <c r="D268" s="7" t="s">
        <v>1478</v>
      </c>
      <c r="E268" s="7" t="s">
        <v>33</v>
      </c>
      <c r="F268" s="7" t="s">
        <v>34</v>
      </c>
      <c r="G268" s="7" t="s">
        <v>35</v>
      </c>
      <c r="H268" s="7"/>
      <c r="I268" s="7"/>
      <c r="J268" s="7" t="s">
        <v>69</v>
      </c>
      <c r="K268" s="7" t="s">
        <v>975</v>
      </c>
      <c r="L268" s="7" t="s">
        <v>976</v>
      </c>
      <c r="M268" s="7" t="s">
        <v>977</v>
      </c>
      <c r="N268" s="7" t="s">
        <v>33</v>
      </c>
      <c r="O268" s="7">
        <v>1</v>
      </c>
      <c r="P268" s="7" t="s">
        <v>40</v>
      </c>
      <c r="Q268" s="7">
        <v>89.99</v>
      </c>
      <c r="R268" s="7"/>
      <c r="S268" s="7">
        <v>8.41</v>
      </c>
      <c r="T268" s="7"/>
      <c r="U268" s="7"/>
      <c r="V268" s="7"/>
      <c r="W268" s="7"/>
      <c r="X268" s="7"/>
      <c r="Y268" s="7" t="s">
        <v>1479</v>
      </c>
      <c r="Z268" s="7" t="s">
        <v>497</v>
      </c>
      <c r="AA268" s="7" t="s">
        <v>1480</v>
      </c>
      <c r="AB268" s="7" t="s">
        <v>44</v>
      </c>
      <c r="AC268" s="7"/>
      <c r="AD268" s="10"/>
      <c r="AE268" s="10"/>
      <c r="AF268" s="10"/>
      <c r="AG268" s="11">
        <f t="shared" si="4"/>
        <v>43268</v>
      </c>
    </row>
    <row r="269" spans="1:33">
      <c r="A269" s="7" t="s">
        <v>1481</v>
      </c>
      <c r="B269" s="7" t="s">
        <v>1481</v>
      </c>
      <c r="C269" s="7" t="s">
        <v>1482</v>
      </c>
      <c r="D269" s="7" t="s">
        <v>1483</v>
      </c>
      <c r="E269" s="7" t="s">
        <v>33</v>
      </c>
      <c r="F269" s="7" t="s">
        <v>34</v>
      </c>
      <c r="G269" s="7" t="s">
        <v>35</v>
      </c>
      <c r="H269" s="7"/>
      <c r="I269" s="7"/>
      <c r="J269" s="7" t="s">
        <v>58</v>
      </c>
      <c r="K269" s="7" t="s">
        <v>1484</v>
      </c>
      <c r="L269" s="7" t="s">
        <v>1485</v>
      </c>
      <c r="M269" s="7" t="s">
        <v>1486</v>
      </c>
      <c r="N269" s="7" t="s">
        <v>33</v>
      </c>
      <c r="O269" s="7">
        <v>1</v>
      </c>
      <c r="P269" s="7" t="s">
        <v>40</v>
      </c>
      <c r="Q269" s="7">
        <v>89.99</v>
      </c>
      <c r="R269" s="7"/>
      <c r="S269" s="7">
        <v>7.99</v>
      </c>
      <c r="T269" s="7"/>
      <c r="U269" s="7"/>
      <c r="V269" s="7"/>
      <c r="W269" s="7">
        <v>9</v>
      </c>
      <c r="X269" s="7"/>
      <c r="Y269" s="7" t="s">
        <v>1487</v>
      </c>
      <c r="Z269" s="7" t="s">
        <v>92</v>
      </c>
      <c r="AA269" s="7" t="s">
        <v>1488</v>
      </c>
      <c r="AB269" s="7" t="s">
        <v>44</v>
      </c>
      <c r="AC269" s="7" t="s">
        <v>1489</v>
      </c>
      <c r="AD269" s="10"/>
      <c r="AE269" s="10"/>
      <c r="AF269" s="10"/>
      <c r="AG269" s="11">
        <f t="shared" si="4"/>
        <v>43268</v>
      </c>
    </row>
    <row r="270" spans="1:33">
      <c r="A270" s="7" t="s">
        <v>1490</v>
      </c>
      <c r="B270" s="7" t="s">
        <v>1490</v>
      </c>
      <c r="C270" s="7" t="s">
        <v>1491</v>
      </c>
      <c r="D270" s="7" t="s">
        <v>1492</v>
      </c>
      <c r="E270" s="7" t="s">
        <v>33</v>
      </c>
      <c r="F270" s="7" t="s">
        <v>34</v>
      </c>
      <c r="G270" s="7" t="s">
        <v>35</v>
      </c>
      <c r="H270" s="7"/>
      <c r="I270" s="7"/>
      <c r="J270" s="7" t="s">
        <v>69</v>
      </c>
      <c r="K270" s="7" t="s">
        <v>660</v>
      </c>
      <c r="L270" s="7" t="s">
        <v>661</v>
      </c>
      <c r="M270" s="7" t="s">
        <v>662</v>
      </c>
      <c r="N270" s="7" t="s">
        <v>33</v>
      </c>
      <c r="O270" s="7">
        <v>1</v>
      </c>
      <c r="P270" s="7" t="s">
        <v>40</v>
      </c>
      <c r="Q270" s="7">
        <v>79.99</v>
      </c>
      <c r="R270" s="7"/>
      <c r="S270" s="7">
        <v>6.72</v>
      </c>
      <c r="T270" s="7"/>
      <c r="U270" s="7"/>
      <c r="V270" s="7"/>
      <c r="W270" s="7"/>
      <c r="X270" s="7">
        <v>6.72</v>
      </c>
      <c r="Y270" s="7" t="s">
        <v>1493</v>
      </c>
      <c r="Z270" s="7" t="s">
        <v>316</v>
      </c>
      <c r="AA270" s="7" t="s">
        <v>1494</v>
      </c>
      <c r="AB270" s="7" t="s">
        <v>44</v>
      </c>
      <c r="AC270" s="7" t="s">
        <v>75</v>
      </c>
      <c r="AD270" s="10"/>
      <c r="AE270" s="10"/>
      <c r="AF270" s="10"/>
      <c r="AG270" s="11">
        <f t="shared" si="4"/>
        <v>43268</v>
      </c>
    </row>
    <row r="271" spans="1:33">
      <c r="A271" s="7" t="s">
        <v>1495</v>
      </c>
      <c r="B271" s="7" t="s">
        <v>1495</v>
      </c>
      <c r="C271" s="7" t="s">
        <v>1496</v>
      </c>
      <c r="D271" s="7" t="s">
        <v>1497</v>
      </c>
      <c r="E271" s="7" t="s">
        <v>33</v>
      </c>
      <c r="F271" s="7" t="s">
        <v>34</v>
      </c>
      <c r="G271" s="7" t="s">
        <v>35</v>
      </c>
      <c r="H271" s="7"/>
      <c r="I271" s="7"/>
      <c r="J271" s="7" t="s">
        <v>36</v>
      </c>
      <c r="K271" s="7" t="s">
        <v>526</v>
      </c>
      <c r="L271" s="7" t="s">
        <v>527</v>
      </c>
      <c r="M271" s="7" t="s">
        <v>528</v>
      </c>
      <c r="N271" s="7" t="s">
        <v>33</v>
      </c>
      <c r="O271" s="7">
        <v>1</v>
      </c>
      <c r="P271" s="7" t="s">
        <v>40</v>
      </c>
      <c r="Q271" s="7">
        <v>89.6</v>
      </c>
      <c r="R271" s="7"/>
      <c r="S271" s="7"/>
      <c r="T271" s="7"/>
      <c r="U271" s="7"/>
      <c r="V271" s="7"/>
      <c r="W271" s="7"/>
      <c r="X271" s="7"/>
      <c r="Y271" s="7" t="s">
        <v>82</v>
      </c>
      <c r="Z271" s="7" t="s">
        <v>83</v>
      </c>
      <c r="AA271" s="7" t="s">
        <v>1498</v>
      </c>
      <c r="AB271" s="7" t="s">
        <v>44</v>
      </c>
      <c r="AC271" s="7"/>
      <c r="AD271" s="10"/>
      <c r="AE271" s="10"/>
      <c r="AF271" s="10"/>
      <c r="AG271" s="11">
        <f t="shared" si="4"/>
        <v>43268</v>
      </c>
    </row>
    <row r="272" spans="1:33">
      <c r="A272" s="7" t="s">
        <v>1499</v>
      </c>
      <c r="B272" s="7" t="s">
        <v>1499</v>
      </c>
      <c r="C272" s="7" t="s">
        <v>1500</v>
      </c>
      <c r="D272" s="7" t="s">
        <v>1501</v>
      </c>
      <c r="E272" s="7" t="s">
        <v>33</v>
      </c>
      <c r="F272" s="7" t="s">
        <v>34</v>
      </c>
      <c r="G272" s="7" t="s">
        <v>35</v>
      </c>
      <c r="H272" s="7"/>
      <c r="I272" s="7"/>
      <c r="J272" s="7" t="s">
        <v>36</v>
      </c>
      <c r="K272" s="7" t="s">
        <v>698</v>
      </c>
      <c r="L272" s="7" t="s">
        <v>699</v>
      </c>
      <c r="M272" s="7" t="s">
        <v>700</v>
      </c>
      <c r="N272" s="7" t="s">
        <v>33</v>
      </c>
      <c r="O272" s="7">
        <v>1</v>
      </c>
      <c r="P272" s="7" t="s">
        <v>40</v>
      </c>
      <c r="Q272" s="7">
        <v>21.99</v>
      </c>
      <c r="R272" s="7"/>
      <c r="S272" s="7"/>
      <c r="T272" s="7"/>
      <c r="U272" s="7"/>
      <c r="V272" s="7"/>
      <c r="W272" s="7">
        <v>21.77</v>
      </c>
      <c r="X272" s="7"/>
      <c r="Y272" s="7" t="s">
        <v>1502</v>
      </c>
      <c r="Z272" s="7" t="s">
        <v>83</v>
      </c>
      <c r="AA272" s="7">
        <v>93308</v>
      </c>
      <c r="AB272" s="7" t="s">
        <v>44</v>
      </c>
      <c r="AC272" s="7" t="s">
        <v>209</v>
      </c>
      <c r="AD272" s="10"/>
      <c r="AE272" s="10"/>
      <c r="AF272" s="10"/>
      <c r="AG272" s="11">
        <f t="shared" si="4"/>
        <v>43268</v>
      </c>
    </row>
    <row r="273" spans="1:33">
      <c r="A273" s="7" t="s">
        <v>1503</v>
      </c>
      <c r="B273" s="7" t="s">
        <v>1503</v>
      </c>
      <c r="C273" s="7" t="s">
        <v>1504</v>
      </c>
      <c r="D273" s="7" t="s">
        <v>1505</v>
      </c>
      <c r="E273" s="7" t="s">
        <v>33</v>
      </c>
      <c r="F273" s="7" t="s">
        <v>34</v>
      </c>
      <c r="G273" s="7" t="s">
        <v>35</v>
      </c>
      <c r="H273" s="7"/>
      <c r="I273" s="7"/>
      <c r="J273" s="7" t="s">
        <v>36</v>
      </c>
      <c r="K273" s="7" t="s">
        <v>88</v>
      </c>
      <c r="L273" s="7" t="s">
        <v>89</v>
      </c>
      <c r="M273" s="7" t="s">
        <v>90</v>
      </c>
      <c r="N273" s="7" t="s">
        <v>33</v>
      </c>
      <c r="O273" s="7">
        <v>1</v>
      </c>
      <c r="P273" s="7" t="s">
        <v>40</v>
      </c>
      <c r="Q273" s="7">
        <v>89.99</v>
      </c>
      <c r="R273" s="7">
        <v>5.4</v>
      </c>
      <c r="S273" s="7"/>
      <c r="T273" s="7"/>
      <c r="U273" s="7"/>
      <c r="V273" s="7"/>
      <c r="W273" s="7"/>
      <c r="X273" s="7"/>
      <c r="Y273" s="7" t="s">
        <v>1506</v>
      </c>
      <c r="Z273" s="7" t="s">
        <v>1507</v>
      </c>
      <c r="AA273" s="7" t="s">
        <v>1508</v>
      </c>
      <c r="AB273" s="7" t="s">
        <v>44</v>
      </c>
      <c r="AC273" s="7"/>
      <c r="AD273" s="10"/>
      <c r="AE273" s="10"/>
      <c r="AF273" s="10"/>
      <c r="AG273" s="11">
        <f t="shared" si="4"/>
        <v>43268</v>
      </c>
    </row>
    <row r="274" spans="1:33">
      <c r="A274" s="7" t="s">
        <v>1509</v>
      </c>
      <c r="B274" s="7" t="s">
        <v>1509</v>
      </c>
      <c r="C274" s="7" t="s">
        <v>1510</v>
      </c>
      <c r="D274" s="7" t="s">
        <v>1511</v>
      </c>
      <c r="E274" s="7" t="s">
        <v>33</v>
      </c>
      <c r="F274" s="7" t="s">
        <v>34</v>
      </c>
      <c r="G274" s="7" t="s">
        <v>35</v>
      </c>
      <c r="H274" s="7"/>
      <c r="I274" s="7"/>
      <c r="J274" s="7" t="s">
        <v>36</v>
      </c>
      <c r="K274" s="7" t="s">
        <v>284</v>
      </c>
      <c r="L274" s="7" t="s">
        <v>285</v>
      </c>
      <c r="M274" s="7" t="s">
        <v>286</v>
      </c>
      <c r="N274" s="7" t="s">
        <v>33</v>
      </c>
      <c r="O274" s="7">
        <v>1</v>
      </c>
      <c r="P274" s="7" t="s">
        <v>40</v>
      </c>
      <c r="Q274" s="7">
        <v>89.99</v>
      </c>
      <c r="R274" s="7"/>
      <c r="S274" s="7"/>
      <c r="T274" s="7"/>
      <c r="U274" s="7"/>
      <c r="V274" s="7"/>
      <c r="W274" s="7"/>
      <c r="X274" s="7"/>
      <c r="Y274" s="7" t="s">
        <v>1512</v>
      </c>
      <c r="Z274" s="7" t="s">
        <v>106</v>
      </c>
      <c r="AA274" s="7" t="s">
        <v>1513</v>
      </c>
      <c r="AB274" s="7" t="s">
        <v>44</v>
      </c>
      <c r="AC274" s="7"/>
      <c r="AD274" s="10"/>
      <c r="AE274" s="10"/>
      <c r="AF274" s="10"/>
      <c r="AG274" s="11">
        <f t="shared" si="4"/>
        <v>43268</v>
      </c>
    </row>
    <row r="275" spans="1:33">
      <c r="A275" s="7" t="s">
        <v>1514</v>
      </c>
      <c r="B275" s="7" t="s">
        <v>1514</v>
      </c>
      <c r="C275" s="7" t="s">
        <v>1515</v>
      </c>
      <c r="D275" s="7" t="s">
        <v>1516</v>
      </c>
      <c r="E275" s="7" t="s">
        <v>33</v>
      </c>
      <c r="F275" s="7" t="s">
        <v>34</v>
      </c>
      <c r="G275" s="7" t="s">
        <v>35</v>
      </c>
      <c r="H275" s="7"/>
      <c r="I275" s="7"/>
      <c r="J275" s="7" t="s">
        <v>36</v>
      </c>
      <c r="K275" s="7" t="s">
        <v>1517</v>
      </c>
      <c r="L275" s="7" t="s">
        <v>1518</v>
      </c>
      <c r="M275" s="7" t="s">
        <v>1519</v>
      </c>
      <c r="N275" s="7" t="s">
        <v>33</v>
      </c>
      <c r="O275" s="7">
        <v>1</v>
      </c>
      <c r="P275" s="7" t="s">
        <v>40</v>
      </c>
      <c r="Q275" s="7">
        <v>89.99</v>
      </c>
      <c r="R275" s="7"/>
      <c r="S275" s="7"/>
      <c r="T275" s="7"/>
      <c r="U275" s="7"/>
      <c r="V275" s="7"/>
      <c r="W275" s="7"/>
      <c r="X275" s="7"/>
      <c r="Y275" s="7" t="s">
        <v>1520</v>
      </c>
      <c r="Z275" s="7" t="s">
        <v>83</v>
      </c>
      <c r="AA275" s="7" t="s">
        <v>1521</v>
      </c>
      <c r="AB275" s="7" t="s">
        <v>44</v>
      </c>
      <c r="AC275" s="7"/>
      <c r="AD275" s="10"/>
      <c r="AE275" s="10"/>
      <c r="AF275" s="10"/>
      <c r="AG275" s="11">
        <f t="shared" si="4"/>
        <v>43268</v>
      </c>
    </row>
    <row r="276" spans="1:33">
      <c r="A276" s="7" t="s">
        <v>1522</v>
      </c>
      <c r="B276" s="7" t="s">
        <v>1522</v>
      </c>
      <c r="C276" s="7" t="s">
        <v>1523</v>
      </c>
      <c r="D276" s="7" t="s">
        <v>1524</v>
      </c>
      <c r="E276" s="7" t="s">
        <v>33</v>
      </c>
      <c r="F276" s="7" t="s">
        <v>34</v>
      </c>
      <c r="G276" s="7" t="s">
        <v>35</v>
      </c>
      <c r="H276" s="7"/>
      <c r="I276" s="7"/>
      <c r="J276" s="7" t="s">
        <v>36</v>
      </c>
      <c r="K276" s="7" t="s">
        <v>79</v>
      </c>
      <c r="L276" s="7" t="s">
        <v>80</v>
      </c>
      <c r="M276" s="7" t="s">
        <v>81</v>
      </c>
      <c r="N276" s="7" t="s">
        <v>33</v>
      </c>
      <c r="O276" s="7">
        <v>1</v>
      </c>
      <c r="P276" s="7" t="s">
        <v>40</v>
      </c>
      <c r="Q276" s="7">
        <v>91.99</v>
      </c>
      <c r="R276" s="7"/>
      <c r="S276" s="7"/>
      <c r="T276" s="7"/>
      <c r="U276" s="7"/>
      <c r="V276" s="7"/>
      <c r="W276" s="7"/>
      <c r="X276" s="7"/>
      <c r="Y276" s="7" t="s">
        <v>1525</v>
      </c>
      <c r="Z276" s="7" t="s">
        <v>42</v>
      </c>
      <c r="AA276" s="7" t="s">
        <v>1526</v>
      </c>
      <c r="AB276" s="7" t="s">
        <v>44</v>
      </c>
      <c r="AC276" s="7"/>
      <c r="AD276" s="10"/>
      <c r="AE276" s="10"/>
      <c r="AF276" s="10"/>
      <c r="AG276" s="11">
        <f t="shared" si="4"/>
        <v>43268</v>
      </c>
    </row>
    <row r="277" spans="1:33">
      <c r="A277" s="7" t="s">
        <v>1527</v>
      </c>
      <c r="B277" s="7" t="s">
        <v>1527</v>
      </c>
      <c r="C277" s="7" t="s">
        <v>1528</v>
      </c>
      <c r="D277" s="7" t="s">
        <v>1529</v>
      </c>
      <c r="E277" s="7" t="s">
        <v>33</v>
      </c>
      <c r="F277" s="7" t="s">
        <v>34</v>
      </c>
      <c r="G277" s="7" t="s">
        <v>35</v>
      </c>
      <c r="H277" s="7"/>
      <c r="I277" s="7"/>
      <c r="J277" s="7" t="s">
        <v>36</v>
      </c>
      <c r="K277" s="7" t="s">
        <v>79</v>
      </c>
      <c r="L277" s="7" t="s">
        <v>80</v>
      </c>
      <c r="M277" s="7" t="s">
        <v>81</v>
      </c>
      <c r="N277" s="7" t="s">
        <v>33</v>
      </c>
      <c r="O277" s="7">
        <v>1</v>
      </c>
      <c r="P277" s="7" t="s">
        <v>40</v>
      </c>
      <c r="Q277" s="7">
        <v>91.99</v>
      </c>
      <c r="R277" s="7"/>
      <c r="S277" s="7">
        <v>8.25</v>
      </c>
      <c r="T277" s="7"/>
      <c r="U277" s="7"/>
      <c r="V277" s="7"/>
      <c r="W277" s="7"/>
      <c r="X277" s="7"/>
      <c r="Y277" s="7" t="s">
        <v>1530</v>
      </c>
      <c r="Z277" s="7" t="s">
        <v>168</v>
      </c>
      <c r="AA277" s="7" t="s">
        <v>1531</v>
      </c>
      <c r="AB277" s="7" t="s">
        <v>44</v>
      </c>
      <c r="AC277" s="7"/>
      <c r="AD277" s="10"/>
      <c r="AE277" s="10"/>
      <c r="AF277" s="10"/>
      <c r="AG277" s="11">
        <f t="shared" si="4"/>
        <v>43268</v>
      </c>
    </row>
    <row r="278" spans="1:33">
      <c r="A278" s="7" t="s">
        <v>1532</v>
      </c>
      <c r="B278" s="7" t="s">
        <v>1532</v>
      </c>
      <c r="C278" s="7" t="s">
        <v>1533</v>
      </c>
      <c r="D278" s="7" t="s">
        <v>1534</v>
      </c>
      <c r="E278" s="7" t="s">
        <v>33</v>
      </c>
      <c r="F278" s="7" t="s">
        <v>34</v>
      </c>
      <c r="G278" s="7" t="s">
        <v>35</v>
      </c>
      <c r="H278" s="7"/>
      <c r="I278" s="7"/>
      <c r="J278" s="7" t="s">
        <v>36</v>
      </c>
      <c r="K278" s="7" t="s">
        <v>364</v>
      </c>
      <c r="L278" s="7" t="s">
        <v>365</v>
      </c>
      <c r="M278" s="7" t="s">
        <v>366</v>
      </c>
      <c r="N278" s="7" t="s">
        <v>33</v>
      </c>
      <c r="O278" s="7">
        <v>1</v>
      </c>
      <c r="P278" s="7" t="s">
        <v>40</v>
      </c>
      <c r="Q278" s="7">
        <v>89.99</v>
      </c>
      <c r="R278" s="7"/>
      <c r="S278" s="7"/>
      <c r="T278" s="7"/>
      <c r="U278" s="7"/>
      <c r="V278" s="7"/>
      <c r="W278" s="7"/>
      <c r="X278" s="7"/>
      <c r="Y278" s="7" t="s">
        <v>1535</v>
      </c>
      <c r="Z278" s="7" t="s">
        <v>1536</v>
      </c>
      <c r="AA278" s="7" t="s">
        <v>1537</v>
      </c>
      <c r="AB278" s="7" t="s">
        <v>44</v>
      </c>
      <c r="AC278" s="7"/>
      <c r="AD278" s="10"/>
      <c r="AE278" s="10"/>
      <c r="AF278" s="10"/>
      <c r="AG278" s="11">
        <f t="shared" si="4"/>
        <v>43268</v>
      </c>
    </row>
    <row r="279" spans="1:33">
      <c r="A279" s="7" t="s">
        <v>1538</v>
      </c>
      <c r="B279" s="7" t="s">
        <v>1538</v>
      </c>
      <c r="C279" s="7" t="s">
        <v>1539</v>
      </c>
      <c r="D279" s="7" t="s">
        <v>1540</v>
      </c>
      <c r="E279" s="7" t="s">
        <v>33</v>
      </c>
      <c r="F279" s="7" t="s">
        <v>34</v>
      </c>
      <c r="G279" s="7" t="s">
        <v>35</v>
      </c>
      <c r="H279" s="7"/>
      <c r="I279" s="7"/>
      <c r="J279" s="7" t="s">
        <v>69</v>
      </c>
      <c r="K279" s="7" t="s">
        <v>235</v>
      </c>
      <c r="L279" s="7" t="s">
        <v>236</v>
      </c>
      <c r="M279" s="7" t="s">
        <v>237</v>
      </c>
      <c r="N279" s="7" t="s">
        <v>33</v>
      </c>
      <c r="O279" s="7">
        <v>1</v>
      </c>
      <c r="P279" s="7" t="s">
        <v>40</v>
      </c>
      <c r="Q279" s="7">
        <v>85.99</v>
      </c>
      <c r="R279" s="7"/>
      <c r="S279" s="7">
        <v>7.85</v>
      </c>
      <c r="T279" s="7"/>
      <c r="U279" s="7"/>
      <c r="V279" s="7"/>
      <c r="W279" s="7"/>
      <c r="X279" s="7"/>
      <c r="Y279" s="7" t="s">
        <v>1541</v>
      </c>
      <c r="Z279" s="7" t="s">
        <v>550</v>
      </c>
      <c r="AA279" s="7">
        <v>95215</v>
      </c>
      <c r="AB279" s="7" t="s">
        <v>44</v>
      </c>
      <c r="AC279" s="7"/>
      <c r="AD279" s="10"/>
      <c r="AE279" s="10"/>
      <c r="AF279" s="10"/>
      <c r="AG279" s="11">
        <f t="shared" si="4"/>
        <v>43268</v>
      </c>
    </row>
    <row r="280" spans="1:33">
      <c r="A280" s="7" t="s">
        <v>1542</v>
      </c>
      <c r="B280" s="7" t="s">
        <v>1542</v>
      </c>
      <c r="C280" s="7" t="s">
        <v>1543</v>
      </c>
      <c r="D280" s="7" t="s">
        <v>1544</v>
      </c>
      <c r="E280" s="7" t="s">
        <v>33</v>
      </c>
      <c r="F280" s="7" t="s">
        <v>34</v>
      </c>
      <c r="G280" s="7" t="s">
        <v>35</v>
      </c>
      <c r="H280" s="7"/>
      <c r="I280" s="7"/>
      <c r="J280" s="7" t="s">
        <v>36</v>
      </c>
      <c r="K280" s="7" t="s">
        <v>275</v>
      </c>
      <c r="L280" s="7" t="s">
        <v>276</v>
      </c>
      <c r="M280" s="7" t="s">
        <v>277</v>
      </c>
      <c r="N280" s="7" t="s">
        <v>33</v>
      </c>
      <c r="O280" s="7">
        <v>1</v>
      </c>
      <c r="P280" s="7" t="s">
        <v>40</v>
      </c>
      <c r="Q280" s="7">
        <v>89.99</v>
      </c>
      <c r="R280" s="7"/>
      <c r="S280" s="7"/>
      <c r="T280" s="7"/>
      <c r="U280" s="7"/>
      <c r="V280" s="7"/>
      <c r="W280" s="7"/>
      <c r="X280" s="7"/>
      <c r="Y280" s="7" t="s">
        <v>1545</v>
      </c>
      <c r="Z280" s="7" t="s">
        <v>293</v>
      </c>
      <c r="AA280" s="7" t="s">
        <v>1546</v>
      </c>
      <c r="AB280" s="7" t="s">
        <v>44</v>
      </c>
      <c r="AC280" s="7"/>
      <c r="AD280" s="10"/>
      <c r="AE280" s="10"/>
      <c r="AF280" s="10"/>
      <c r="AG280" s="11">
        <f t="shared" si="4"/>
        <v>43268</v>
      </c>
    </row>
    <row r="281" spans="1:33">
      <c r="A281" s="7" t="s">
        <v>1547</v>
      </c>
      <c r="B281" s="7" t="s">
        <v>1547</v>
      </c>
      <c r="C281" s="7" t="s">
        <v>1548</v>
      </c>
      <c r="D281" s="7" t="s">
        <v>1549</v>
      </c>
      <c r="E281" s="7" t="s">
        <v>33</v>
      </c>
      <c r="F281" s="7" t="s">
        <v>34</v>
      </c>
      <c r="G281" s="7" t="s">
        <v>35</v>
      </c>
      <c r="H281" s="7"/>
      <c r="I281" s="7"/>
      <c r="J281" s="7" t="s">
        <v>36</v>
      </c>
      <c r="K281" s="7" t="s">
        <v>284</v>
      </c>
      <c r="L281" s="7" t="s">
        <v>285</v>
      </c>
      <c r="M281" s="7" t="s">
        <v>286</v>
      </c>
      <c r="N281" s="7" t="s">
        <v>33</v>
      </c>
      <c r="O281" s="7">
        <v>1</v>
      </c>
      <c r="P281" s="7" t="s">
        <v>40</v>
      </c>
      <c r="Q281" s="7">
        <v>89.99</v>
      </c>
      <c r="R281" s="7"/>
      <c r="S281" s="7"/>
      <c r="T281" s="7"/>
      <c r="U281" s="7"/>
      <c r="V281" s="7"/>
      <c r="W281" s="7"/>
      <c r="X281" s="7"/>
      <c r="Y281" s="7" t="s">
        <v>1550</v>
      </c>
      <c r="Z281" s="7" t="s">
        <v>189</v>
      </c>
      <c r="AA281" s="7" t="s">
        <v>1551</v>
      </c>
      <c r="AB281" s="7" t="s">
        <v>44</v>
      </c>
      <c r="AC281" s="7"/>
      <c r="AD281" s="10"/>
      <c r="AE281" s="10"/>
      <c r="AF281" s="10"/>
      <c r="AG281" s="11">
        <f t="shared" si="4"/>
        <v>43268</v>
      </c>
    </row>
    <row r="282" spans="1:33">
      <c r="A282" s="7" t="s">
        <v>1552</v>
      </c>
      <c r="B282" s="7" t="s">
        <v>1552</v>
      </c>
      <c r="C282" s="7" t="s">
        <v>1553</v>
      </c>
      <c r="D282" s="7" t="s">
        <v>1554</v>
      </c>
      <c r="E282" s="7" t="s">
        <v>33</v>
      </c>
      <c r="F282" s="7" t="s">
        <v>34</v>
      </c>
      <c r="G282" s="7" t="s">
        <v>35</v>
      </c>
      <c r="H282" s="7"/>
      <c r="I282" s="7"/>
      <c r="J282" s="7" t="s">
        <v>69</v>
      </c>
      <c r="K282" s="7" t="s">
        <v>387</v>
      </c>
      <c r="L282" s="7" t="s">
        <v>388</v>
      </c>
      <c r="M282" s="7" t="s">
        <v>389</v>
      </c>
      <c r="N282" s="7" t="s">
        <v>33</v>
      </c>
      <c r="O282" s="7">
        <v>1</v>
      </c>
      <c r="P282" s="7" t="s">
        <v>40</v>
      </c>
      <c r="Q282" s="7">
        <v>32.99</v>
      </c>
      <c r="R282" s="7"/>
      <c r="S282" s="7">
        <v>7.28</v>
      </c>
      <c r="T282" s="7"/>
      <c r="U282" s="7"/>
      <c r="V282" s="7"/>
      <c r="W282" s="7"/>
      <c r="X282" s="7"/>
      <c r="Y282" s="7" t="s">
        <v>1555</v>
      </c>
      <c r="Z282" s="7" t="s">
        <v>183</v>
      </c>
      <c r="AA282" s="7" t="s">
        <v>1556</v>
      </c>
      <c r="AB282" s="7" t="s">
        <v>44</v>
      </c>
      <c r="AC282" s="7"/>
      <c r="AD282" s="10"/>
      <c r="AE282" s="10"/>
      <c r="AF282" s="10"/>
      <c r="AG282" s="11">
        <f t="shared" si="4"/>
        <v>43268</v>
      </c>
    </row>
    <row r="283" spans="1:33">
      <c r="A283" s="7" t="s">
        <v>1557</v>
      </c>
      <c r="B283" s="7" t="s">
        <v>1557</v>
      </c>
      <c r="C283" s="7" t="s">
        <v>1558</v>
      </c>
      <c r="D283" s="7" t="s">
        <v>1559</v>
      </c>
      <c r="E283" s="7" t="s">
        <v>33</v>
      </c>
      <c r="F283" s="7" t="s">
        <v>34</v>
      </c>
      <c r="G283" s="7" t="s">
        <v>35</v>
      </c>
      <c r="H283" s="7"/>
      <c r="I283" s="7"/>
      <c r="J283" s="7" t="s">
        <v>69</v>
      </c>
      <c r="K283" s="7" t="s">
        <v>975</v>
      </c>
      <c r="L283" s="7" t="s">
        <v>976</v>
      </c>
      <c r="M283" s="7" t="s">
        <v>977</v>
      </c>
      <c r="N283" s="7" t="s">
        <v>33</v>
      </c>
      <c r="O283" s="7">
        <v>1</v>
      </c>
      <c r="P283" s="7" t="s">
        <v>40</v>
      </c>
      <c r="Q283" s="7">
        <v>89.99</v>
      </c>
      <c r="R283" s="7"/>
      <c r="S283" s="7">
        <v>7.47</v>
      </c>
      <c r="T283" s="7"/>
      <c r="U283" s="7">
        <v>4.99</v>
      </c>
      <c r="V283" s="7"/>
      <c r="W283" s="7"/>
      <c r="X283" s="7">
        <v>7.47</v>
      </c>
      <c r="Y283" s="7" t="s">
        <v>1560</v>
      </c>
      <c r="Z283" s="7" t="s">
        <v>279</v>
      </c>
      <c r="AA283" s="7" t="s">
        <v>1561</v>
      </c>
      <c r="AB283" s="7" t="s">
        <v>44</v>
      </c>
      <c r="AC283" s="7" t="s">
        <v>75</v>
      </c>
      <c r="AD283" s="10"/>
      <c r="AE283" s="10"/>
      <c r="AF283" s="10"/>
      <c r="AG283" s="11">
        <f t="shared" si="4"/>
        <v>43268</v>
      </c>
    </row>
    <row r="284" spans="1:33">
      <c r="A284" s="7" t="s">
        <v>1562</v>
      </c>
      <c r="B284" s="7" t="s">
        <v>1562</v>
      </c>
      <c r="C284" s="7" t="s">
        <v>1563</v>
      </c>
      <c r="D284" s="7" t="s">
        <v>1564</v>
      </c>
      <c r="E284" s="7" t="s">
        <v>33</v>
      </c>
      <c r="F284" s="7" t="s">
        <v>34</v>
      </c>
      <c r="G284" s="7" t="s">
        <v>35</v>
      </c>
      <c r="H284" s="7"/>
      <c r="I284" s="7"/>
      <c r="J284" s="7" t="s">
        <v>36</v>
      </c>
      <c r="K284" s="7" t="s">
        <v>148</v>
      </c>
      <c r="L284" s="7" t="s">
        <v>149</v>
      </c>
      <c r="M284" s="7" t="s">
        <v>150</v>
      </c>
      <c r="N284" s="7" t="s">
        <v>33</v>
      </c>
      <c r="O284" s="7">
        <v>1</v>
      </c>
      <c r="P284" s="7" t="s">
        <v>40</v>
      </c>
      <c r="Q284" s="7">
        <v>98.99</v>
      </c>
      <c r="R284" s="7"/>
      <c r="S284" s="7"/>
      <c r="T284" s="7"/>
      <c r="U284" s="7"/>
      <c r="V284" s="7"/>
      <c r="W284" s="7"/>
      <c r="X284" s="7"/>
      <c r="Y284" s="7" t="s">
        <v>1565</v>
      </c>
      <c r="Z284" s="7" t="s">
        <v>1342</v>
      </c>
      <c r="AA284" s="7" t="s">
        <v>1566</v>
      </c>
      <c r="AB284" s="7" t="s">
        <v>44</v>
      </c>
      <c r="AC284" s="7"/>
      <c r="AD284" s="10"/>
      <c r="AE284" s="10"/>
      <c r="AF284" s="10"/>
      <c r="AG284" s="11">
        <f t="shared" si="4"/>
        <v>43268</v>
      </c>
    </row>
    <row r="285" spans="1:33">
      <c r="A285" s="7" t="s">
        <v>1567</v>
      </c>
      <c r="B285" s="7" t="s">
        <v>1567</v>
      </c>
      <c r="C285" s="7" t="s">
        <v>1568</v>
      </c>
      <c r="D285" s="7" t="s">
        <v>1569</v>
      </c>
      <c r="E285" s="7" t="s">
        <v>33</v>
      </c>
      <c r="F285" s="7" t="s">
        <v>34</v>
      </c>
      <c r="G285" s="7" t="s">
        <v>35</v>
      </c>
      <c r="H285" s="7"/>
      <c r="I285" s="7"/>
      <c r="J285" s="7" t="s">
        <v>36</v>
      </c>
      <c r="K285" s="7" t="s">
        <v>1570</v>
      </c>
      <c r="L285" s="7" t="s">
        <v>1571</v>
      </c>
      <c r="M285" s="7" t="s">
        <v>1572</v>
      </c>
      <c r="N285" s="7" t="s">
        <v>33</v>
      </c>
      <c r="O285" s="7">
        <v>1</v>
      </c>
      <c r="P285" s="7" t="s">
        <v>40</v>
      </c>
      <c r="Q285" s="7">
        <v>89.99</v>
      </c>
      <c r="R285" s="7"/>
      <c r="S285" s="7"/>
      <c r="T285" s="7"/>
      <c r="U285" s="7"/>
      <c r="V285" s="7"/>
      <c r="W285" s="7"/>
      <c r="X285" s="7"/>
      <c r="Y285" s="7" t="s">
        <v>1573</v>
      </c>
      <c r="Z285" s="7" t="s">
        <v>466</v>
      </c>
      <c r="AA285" s="7">
        <v>47714</v>
      </c>
      <c r="AB285" s="7" t="s">
        <v>44</v>
      </c>
      <c r="AC285" s="7"/>
      <c r="AD285" s="10"/>
      <c r="AE285" s="10"/>
      <c r="AF285" s="10"/>
      <c r="AG285" s="11">
        <f t="shared" si="4"/>
        <v>43268</v>
      </c>
    </row>
    <row r="286" spans="1:33">
      <c r="A286" s="7" t="s">
        <v>1574</v>
      </c>
      <c r="B286" s="7" t="s">
        <v>1574</v>
      </c>
      <c r="C286" s="7" t="s">
        <v>1575</v>
      </c>
      <c r="D286" s="7" t="s">
        <v>1576</v>
      </c>
      <c r="E286" s="7" t="s">
        <v>54</v>
      </c>
      <c r="F286" s="7" t="s">
        <v>34</v>
      </c>
      <c r="G286" s="7" t="s">
        <v>35</v>
      </c>
      <c r="H286" s="7"/>
      <c r="I286" s="7"/>
      <c r="J286" s="7" t="s">
        <v>36</v>
      </c>
      <c r="K286" s="7" t="s">
        <v>88</v>
      </c>
      <c r="L286" s="7" t="s">
        <v>89</v>
      </c>
      <c r="M286" s="7" t="s">
        <v>90</v>
      </c>
      <c r="N286" s="7" t="s">
        <v>62</v>
      </c>
      <c r="O286" s="7">
        <v>2</v>
      </c>
      <c r="P286" s="7" t="s">
        <v>40</v>
      </c>
      <c r="Q286" s="7">
        <v>179.98</v>
      </c>
      <c r="R286" s="7"/>
      <c r="S286" s="7"/>
      <c r="T286" s="7"/>
      <c r="U286" s="7"/>
      <c r="V286" s="7"/>
      <c r="W286" s="7"/>
      <c r="X286" s="7"/>
      <c r="Y286" s="7" t="s">
        <v>815</v>
      </c>
      <c r="Z286" s="7" t="s">
        <v>816</v>
      </c>
      <c r="AA286" s="7">
        <v>44110</v>
      </c>
      <c r="AB286" s="7" t="s">
        <v>44</v>
      </c>
      <c r="AC286" s="7"/>
      <c r="AD286" s="10"/>
      <c r="AE286" s="10"/>
      <c r="AF286" s="10"/>
      <c r="AG286" s="11">
        <f t="shared" si="4"/>
        <v>43268</v>
      </c>
    </row>
    <row r="287" spans="1:33">
      <c r="A287" s="7" t="s">
        <v>1577</v>
      </c>
      <c r="B287" s="7" t="s">
        <v>1577</v>
      </c>
      <c r="C287" s="7" t="s">
        <v>1578</v>
      </c>
      <c r="D287" s="7" t="s">
        <v>1579</v>
      </c>
      <c r="E287" s="7" t="s">
        <v>33</v>
      </c>
      <c r="F287" s="7" t="s">
        <v>34</v>
      </c>
      <c r="G287" s="7" t="s">
        <v>35</v>
      </c>
      <c r="H287" s="7"/>
      <c r="I287" s="7"/>
      <c r="J287" s="7" t="s">
        <v>36</v>
      </c>
      <c r="K287" s="7" t="s">
        <v>660</v>
      </c>
      <c r="L287" s="7" t="s">
        <v>661</v>
      </c>
      <c r="M287" s="7" t="s">
        <v>662</v>
      </c>
      <c r="N287" s="7" t="s">
        <v>33</v>
      </c>
      <c r="O287" s="7">
        <v>1</v>
      </c>
      <c r="P287" s="7" t="s">
        <v>40</v>
      </c>
      <c r="Q287" s="7">
        <v>79.99</v>
      </c>
      <c r="R287" s="7"/>
      <c r="S287" s="7"/>
      <c r="T287" s="7"/>
      <c r="U287" s="7"/>
      <c r="V287" s="7"/>
      <c r="W287" s="7"/>
      <c r="X287" s="7"/>
      <c r="Y287" s="7" t="s">
        <v>238</v>
      </c>
      <c r="Z287" s="7" t="s">
        <v>52</v>
      </c>
      <c r="AA287" s="7" t="s">
        <v>1580</v>
      </c>
      <c r="AB287" s="7" t="s">
        <v>44</v>
      </c>
      <c r="AC287" s="7"/>
      <c r="AD287" s="10"/>
      <c r="AE287" s="10"/>
      <c r="AF287" s="10"/>
      <c r="AG287" s="11">
        <f t="shared" si="4"/>
        <v>43268</v>
      </c>
    </row>
    <row r="288" spans="1:33">
      <c r="A288" s="7" t="s">
        <v>1581</v>
      </c>
      <c r="B288" s="7" t="s">
        <v>1581</v>
      </c>
      <c r="C288" s="7" t="s">
        <v>1582</v>
      </c>
      <c r="D288" s="7" t="s">
        <v>1583</v>
      </c>
      <c r="E288" s="7" t="s">
        <v>33</v>
      </c>
      <c r="F288" s="7" t="s">
        <v>34</v>
      </c>
      <c r="G288" s="7" t="s">
        <v>35</v>
      </c>
      <c r="H288" s="7"/>
      <c r="I288" s="7"/>
      <c r="J288" s="7" t="s">
        <v>36</v>
      </c>
      <c r="K288" s="7" t="s">
        <v>526</v>
      </c>
      <c r="L288" s="7" t="s">
        <v>527</v>
      </c>
      <c r="M288" s="7" t="s">
        <v>528</v>
      </c>
      <c r="N288" s="7" t="s">
        <v>33</v>
      </c>
      <c r="O288" s="7">
        <v>1</v>
      </c>
      <c r="P288" s="7" t="s">
        <v>40</v>
      </c>
      <c r="Q288" s="7">
        <v>89.6</v>
      </c>
      <c r="R288" s="7"/>
      <c r="S288" s="7"/>
      <c r="T288" s="7"/>
      <c r="U288" s="7"/>
      <c r="V288" s="7"/>
      <c r="W288" s="7"/>
      <c r="X288" s="7"/>
      <c r="Y288" s="7" t="s">
        <v>1584</v>
      </c>
      <c r="Z288" s="7" t="s">
        <v>348</v>
      </c>
      <c r="AA288" s="7" t="s">
        <v>1585</v>
      </c>
      <c r="AB288" s="7" t="s">
        <v>44</v>
      </c>
      <c r="AC288" s="7"/>
      <c r="AD288" s="10"/>
      <c r="AE288" s="10"/>
      <c r="AF288" s="10"/>
      <c r="AG288" s="11">
        <f t="shared" si="4"/>
        <v>43268</v>
      </c>
    </row>
    <row r="289" spans="1:33">
      <c r="A289" s="7" t="s">
        <v>1586</v>
      </c>
      <c r="B289" s="7" t="s">
        <v>1586</v>
      </c>
      <c r="C289" s="7" t="s">
        <v>1587</v>
      </c>
      <c r="D289" s="7" t="s">
        <v>1588</v>
      </c>
      <c r="E289" s="7" t="s">
        <v>33</v>
      </c>
      <c r="F289" s="7" t="s">
        <v>34</v>
      </c>
      <c r="G289" s="7" t="s">
        <v>35</v>
      </c>
      <c r="H289" s="7"/>
      <c r="I289" s="7"/>
      <c r="J289" s="7" t="s">
        <v>36</v>
      </c>
      <c r="K289" s="7" t="s">
        <v>554</v>
      </c>
      <c r="L289" s="7" t="s">
        <v>555</v>
      </c>
      <c r="M289" s="7" t="s">
        <v>556</v>
      </c>
      <c r="N289" s="7" t="s">
        <v>33</v>
      </c>
      <c r="O289" s="7">
        <v>1</v>
      </c>
      <c r="P289" s="7" t="s">
        <v>40</v>
      </c>
      <c r="Q289" s="7">
        <v>89.99</v>
      </c>
      <c r="R289" s="7"/>
      <c r="S289" s="7"/>
      <c r="T289" s="7"/>
      <c r="U289" s="7"/>
      <c r="V289" s="7"/>
      <c r="W289" s="7">
        <v>9</v>
      </c>
      <c r="X289" s="7"/>
      <c r="Y289" s="7" t="s">
        <v>1589</v>
      </c>
      <c r="Z289" s="7" t="s">
        <v>723</v>
      </c>
      <c r="AA289" s="7" t="s">
        <v>1590</v>
      </c>
      <c r="AB289" s="7" t="s">
        <v>44</v>
      </c>
      <c r="AC289" s="7" t="s">
        <v>559</v>
      </c>
      <c r="AD289" s="10"/>
      <c r="AE289" s="10"/>
      <c r="AF289" s="10"/>
      <c r="AG289" s="11">
        <f t="shared" si="4"/>
        <v>43269</v>
      </c>
    </row>
    <row r="290" spans="1:33">
      <c r="A290" s="7" t="s">
        <v>1591</v>
      </c>
      <c r="B290" s="7" t="s">
        <v>1591</v>
      </c>
      <c r="C290" s="7" t="s">
        <v>1592</v>
      </c>
      <c r="D290" s="7" t="s">
        <v>1593</v>
      </c>
      <c r="E290" s="7" t="s">
        <v>54</v>
      </c>
      <c r="F290" s="7" t="s">
        <v>34</v>
      </c>
      <c r="G290" s="7" t="s">
        <v>35</v>
      </c>
      <c r="H290" s="7"/>
      <c r="I290" s="7"/>
      <c r="J290" s="7" t="s">
        <v>58</v>
      </c>
      <c r="K290" s="7" t="s">
        <v>59</v>
      </c>
      <c r="L290" s="7" t="s">
        <v>60</v>
      </c>
      <c r="M290" s="7" t="s">
        <v>61</v>
      </c>
      <c r="N290" s="7" t="s">
        <v>62</v>
      </c>
      <c r="O290" s="7">
        <v>1</v>
      </c>
      <c r="P290" s="7" t="s">
        <v>40</v>
      </c>
      <c r="Q290" s="7">
        <v>89.99</v>
      </c>
      <c r="R290" s="7"/>
      <c r="S290" s="7"/>
      <c r="T290" s="7"/>
      <c r="U290" s="7"/>
      <c r="V290" s="7"/>
      <c r="W290" s="7"/>
      <c r="X290" s="7"/>
      <c r="Y290" s="7" t="s">
        <v>1594</v>
      </c>
      <c r="Z290" s="7" t="s">
        <v>1342</v>
      </c>
      <c r="AA290" s="7" t="s">
        <v>1595</v>
      </c>
      <c r="AB290" s="7" t="s">
        <v>44</v>
      </c>
      <c r="AC290" s="7"/>
      <c r="AD290" s="10"/>
      <c r="AE290" s="10"/>
      <c r="AF290" s="10"/>
      <c r="AG290" s="11">
        <f t="shared" si="4"/>
        <v>43269</v>
      </c>
    </row>
    <row r="291" spans="1:33">
      <c r="A291" s="7" t="s">
        <v>1596</v>
      </c>
      <c r="B291" s="7" t="s">
        <v>1596</v>
      </c>
      <c r="C291" s="7" t="s">
        <v>1597</v>
      </c>
      <c r="D291" s="7" t="s">
        <v>1598</v>
      </c>
      <c r="E291" s="7" t="s">
        <v>33</v>
      </c>
      <c r="F291" s="7" t="s">
        <v>34</v>
      </c>
      <c r="G291" s="7" t="s">
        <v>35</v>
      </c>
      <c r="H291" s="7"/>
      <c r="I291" s="7"/>
      <c r="J291" s="7" t="s">
        <v>36</v>
      </c>
      <c r="K291" s="7" t="s">
        <v>148</v>
      </c>
      <c r="L291" s="7" t="s">
        <v>149</v>
      </c>
      <c r="M291" s="7" t="s">
        <v>150</v>
      </c>
      <c r="N291" s="7" t="s">
        <v>33</v>
      </c>
      <c r="O291" s="7">
        <v>1</v>
      </c>
      <c r="P291" s="7" t="s">
        <v>40</v>
      </c>
      <c r="Q291" s="7">
        <v>98.99</v>
      </c>
      <c r="R291" s="7"/>
      <c r="S291" s="7"/>
      <c r="T291" s="7"/>
      <c r="U291" s="7"/>
      <c r="V291" s="7"/>
      <c r="W291" s="7"/>
      <c r="X291" s="7"/>
      <c r="Y291" s="7" t="s">
        <v>1599</v>
      </c>
      <c r="Z291" s="7" t="s">
        <v>183</v>
      </c>
      <c r="AA291" s="7" t="s">
        <v>1600</v>
      </c>
      <c r="AB291" s="7" t="s">
        <v>44</v>
      </c>
      <c r="AC291" s="7"/>
      <c r="AD291" s="10"/>
      <c r="AE291" s="10"/>
      <c r="AF291" s="10"/>
      <c r="AG291" s="11">
        <f t="shared" si="4"/>
        <v>43269</v>
      </c>
    </row>
    <row r="292" spans="1:33">
      <c r="A292" s="7" t="s">
        <v>1601</v>
      </c>
      <c r="B292" s="7" t="s">
        <v>1601</v>
      </c>
      <c r="C292" s="7" t="s">
        <v>1602</v>
      </c>
      <c r="D292" s="7" t="s">
        <v>1603</v>
      </c>
      <c r="E292" s="7" t="s">
        <v>33</v>
      </c>
      <c r="F292" s="7" t="s">
        <v>34</v>
      </c>
      <c r="G292" s="7" t="s">
        <v>35</v>
      </c>
      <c r="H292" s="7"/>
      <c r="I292" s="7"/>
      <c r="J292" s="7" t="s">
        <v>36</v>
      </c>
      <c r="K292" s="7" t="s">
        <v>148</v>
      </c>
      <c r="L292" s="7" t="s">
        <v>149</v>
      </c>
      <c r="M292" s="7" t="s">
        <v>150</v>
      </c>
      <c r="N292" s="7" t="s">
        <v>33</v>
      </c>
      <c r="O292" s="7">
        <v>1</v>
      </c>
      <c r="P292" s="7" t="s">
        <v>40</v>
      </c>
      <c r="Q292" s="7">
        <v>98.99</v>
      </c>
      <c r="R292" s="7"/>
      <c r="S292" s="7"/>
      <c r="T292" s="7"/>
      <c r="U292" s="7"/>
      <c r="V292" s="7"/>
      <c r="W292" s="7"/>
      <c r="X292" s="7"/>
      <c r="Y292" s="7" t="s">
        <v>1604</v>
      </c>
      <c r="Z292" s="7" t="s">
        <v>996</v>
      </c>
      <c r="AA292" s="7">
        <v>66223</v>
      </c>
      <c r="AB292" s="7" t="s">
        <v>44</v>
      </c>
      <c r="AC292" s="7"/>
      <c r="AD292" s="10"/>
      <c r="AE292" s="10"/>
      <c r="AF292" s="10"/>
      <c r="AG292" s="11">
        <f t="shared" si="4"/>
        <v>43269</v>
      </c>
    </row>
    <row r="293" spans="1:33">
      <c r="A293" s="7" t="s">
        <v>1605</v>
      </c>
      <c r="B293" s="7" t="s">
        <v>1605</v>
      </c>
      <c r="C293" s="7" t="s">
        <v>1606</v>
      </c>
      <c r="D293" s="7" t="s">
        <v>1607</v>
      </c>
      <c r="E293" s="7" t="s">
        <v>54</v>
      </c>
      <c r="F293" s="7" t="s">
        <v>34</v>
      </c>
      <c r="G293" s="7" t="s">
        <v>35</v>
      </c>
      <c r="H293" s="7"/>
      <c r="I293" s="7"/>
      <c r="J293" s="7" t="s">
        <v>36</v>
      </c>
      <c r="K293" s="7" t="s">
        <v>79</v>
      </c>
      <c r="L293" s="7" t="s">
        <v>80</v>
      </c>
      <c r="M293" s="7" t="s">
        <v>81</v>
      </c>
      <c r="N293" s="7" t="s">
        <v>54</v>
      </c>
      <c r="O293" s="7">
        <v>0</v>
      </c>
      <c r="P293" s="7"/>
      <c r="Q293" s="7"/>
      <c r="R293" s="7"/>
      <c r="S293" s="7"/>
      <c r="T293" s="7"/>
      <c r="U293" s="7"/>
      <c r="V293" s="7"/>
      <c r="W293" s="7"/>
      <c r="X293" s="7"/>
      <c r="Y293" s="7" t="s">
        <v>1604</v>
      </c>
      <c r="Z293" s="7" t="s">
        <v>996</v>
      </c>
      <c r="AA293" s="7">
        <v>66223</v>
      </c>
      <c r="AB293" s="7" t="s">
        <v>44</v>
      </c>
      <c r="AC293" s="7"/>
      <c r="AD293" s="10"/>
      <c r="AE293" s="10"/>
      <c r="AF293" s="10"/>
      <c r="AG293" s="11">
        <f t="shared" si="4"/>
        <v>43269</v>
      </c>
    </row>
    <row r="294" spans="1:33">
      <c r="A294" s="7" t="s">
        <v>1608</v>
      </c>
      <c r="B294" s="7" t="s">
        <v>1608</v>
      </c>
      <c r="C294" s="7" t="s">
        <v>1609</v>
      </c>
      <c r="D294" s="7" t="s">
        <v>1610</v>
      </c>
      <c r="E294" s="7" t="s">
        <v>33</v>
      </c>
      <c r="F294" s="7" t="s">
        <v>34</v>
      </c>
      <c r="G294" s="7" t="s">
        <v>35</v>
      </c>
      <c r="H294" s="7"/>
      <c r="I294" s="7"/>
      <c r="J294" s="7" t="s">
        <v>69</v>
      </c>
      <c r="K294" s="7" t="s">
        <v>37</v>
      </c>
      <c r="L294" s="7" t="s">
        <v>38</v>
      </c>
      <c r="M294" s="7" t="s">
        <v>39</v>
      </c>
      <c r="N294" s="7" t="s">
        <v>33</v>
      </c>
      <c r="O294" s="7">
        <v>1</v>
      </c>
      <c r="P294" s="7" t="s">
        <v>40</v>
      </c>
      <c r="Q294" s="7">
        <v>89.99</v>
      </c>
      <c r="R294" s="7"/>
      <c r="S294" s="7">
        <v>5.19</v>
      </c>
      <c r="T294" s="7"/>
      <c r="U294" s="7"/>
      <c r="V294" s="7"/>
      <c r="W294" s="7"/>
      <c r="X294" s="7">
        <v>5.19</v>
      </c>
      <c r="Y294" s="7" t="s">
        <v>1611</v>
      </c>
      <c r="Z294" s="7" t="s">
        <v>1612</v>
      </c>
      <c r="AA294" s="7">
        <v>57577</v>
      </c>
      <c r="AB294" s="7" t="s">
        <v>44</v>
      </c>
      <c r="AC294" s="7" t="s">
        <v>75</v>
      </c>
      <c r="AD294" s="10"/>
      <c r="AE294" s="10"/>
      <c r="AF294" s="10"/>
      <c r="AG294" s="11">
        <f t="shared" si="4"/>
        <v>43269</v>
      </c>
    </row>
    <row r="295" spans="1:33">
      <c r="A295" s="7" t="s">
        <v>1613</v>
      </c>
      <c r="B295" s="7" t="s">
        <v>1613</v>
      </c>
      <c r="C295" s="7" t="s">
        <v>1614</v>
      </c>
      <c r="D295" s="7" t="s">
        <v>1615</v>
      </c>
      <c r="E295" s="7" t="s">
        <v>33</v>
      </c>
      <c r="F295" s="7" t="s">
        <v>34</v>
      </c>
      <c r="G295" s="7" t="s">
        <v>35</v>
      </c>
      <c r="H295" s="7"/>
      <c r="I295" s="7"/>
      <c r="J295" s="7" t="s">
        <v>36</v>
      </c>
      <c r="K295" s="7" t="s">
        <v>148</v>
      </c>
      <c r="L295" s="7" t="s">
        <v>149</v>
      </c>
      <c r="M295" s="7" t="s">
        <v>150</v>
      </c>
      <c r="N295" s="7" t="s">
        <v>33</v>
      </c>
      <c r="O295" s="7">
        <v>1</v>
      </c>
      <c r="P295" s="7" t="s">
        <v>40</v>
      </c>
      <c r="Q295" s="7">
        <v>98.99</v>
      </c>
      <c r="R295" s="7"/>
      <c r="S295" s="7"/>
      <c r="T295" s="7"/>
      <c r="U295" s="7"/>
      <c r="V295" s="7"/>
      <c r="W295" s="7"/>
      <c r="X295" s="7"/>
      <c r="Y295" s="7" t="s">
        <v>978</v>
      </c>
      <c r="Z295" s="7" t="s">
        <v>42</v>
      </c>
      <c r="AA295" s="7" t="s">
        <v>1616</v>
      </c>
      <c r="AB295" s="7" t="s">
        <v>44</v>
      </c>
      <c r="AC295" s="7"/>
      <c r="AD295" s="10"/>
      <c r="AE295" s="10"/>
      <c r="AF295" s="10"/>
      <c r="AG295" s="11">
        <f t="shared" si="4"/>
        <v>43269</v>
      </c>
    </row>
    <row r="296" spans="1:33">
      <c r="A296" s="7" t="s">
        <v>1617</v>
      </c>
      <c r="B296" s="7" t="s">
        <v>1617</v>
      </c>
      <c r="C296" s="7" t="s">
        <v>1618</v>
      </c>
      <c r="D296" s="7" t="s">
        <v>1619</v>
      </c>
      <c r="E296" s="7" t="s">
        <v>33</v>
      </c>
      <c r="F296" s="7" t="s">
        <v>34</v>
      </c>
      <c r="G296" s="7" t="s">
        <v>35</v>
      </c>
      <c r="H296" s="7"/>
      <c r="I296" s="7"/>
      <c r="J296" s="7" t="s">
        <v>36</v>
      </c>
      <c r="K296" s="7" t="s">
        <v>88</v>
      </c>
      <c r="L296" s="7" t="s">
        <v>89</v>
      </c>
      <c r="M296" s="7" t="s">
        <v>90</v>
      </c>
      <c r="N296" s="7" t="s">
        <v>33</v>
      </c>
      <c r="O296" s="7">
        <v>1</v>
      </c>
      <c r="P296" s="7" t="s">
        <v>40</v>
      </c>
      <c r="Q296" s="7">
        <v>89.99</v>
      </c>
      <c r="R296" s="7"/>
      <c r="S296" s="7"/>
      <c r="T296" s="7"/>
      <c r="U296" s="7"/>
      <c r="V296" s="7"/>
      <c r="W296" s="7"/>
      <c r="X296" s="7"/>
      <c r="Y296" s="7" t="s">
        <v>1620</v>
      </c>
      <c r="Z296" s="7" t="s">
        <v>299</v>
      </c>
      <c r="AA296" s="7" t="s">
        <v>1621</v>
      </c>
      <c r="AB296" s="7" t="s">
        <v>44</v>
      </c>
      <c r="AC296" s="7"/>
      <c r="AD296" s="10"/>
      <c r="AE296" s="10"/>
      <c r="AF296" s="10"/>
      <c r="AG296" s="11">
        <f t="shared" si="4"/>
        <v>43269</v>
      </c>
    </row>
    <row r="297" spans="1:33">
      <c r="A297" s="7" t="s">
        <v>1622</v>
      </c>
      <c r="B297" s="7" t="s">
        <v>1622</v>
      </c>
      <c r="C297" s="7" t="s">
        <v>1623</v>
      </c>
      <c r="D297" s="7" t="s">
        <v>1624</v>
      </c>
      <c r="E297" s="7" t="s">
        <v>54</v>
      </c>
      <c r="F297" s="7" t="s">
        <v>34</v>
      </c>
      <c r="G297" s="7" t="s">
        <v>35</v>
      </c>
      <c r="H297" s="7"/>
      <c r="I297" s="7"/>
      <c r="J297" s="7" t="s">
        <v>69</v>
      </c>
      <c r="K297" s="7" t="s">
        <v>59</v>
      </c>
      <c r="L297" s="7" t="s">
        <v>60</v>
      </c>
      <c r="M297" s="7" t="s">
        <v>61</v>
      </c>
      <c r="N297" s="7" t="s">
        <v>62</v>
      </c>
      <c r="O297" s="7">
        <v>1</v>
      </c>
      <c r="P297" s="7" t="s">
        <v>40</v>
      </c>
      <c r="Q297" s="7">
        <v>89.99</v>
      </c>
      <c r="R297" s="7"/>
      <c r="S297" s="7"/>
      <c r="T297" s="7"/>
      <c r="U297" s="7"/>
      <c r="V297" s="7"/>
      <c r="W297" s="7"/>
      <c r="X297" s="7"/>
      <c r="Y297" s="7" t="s">
        <v>51</v>
      </c>
      <c r="Z297" s="7" t="s">
        <v>52</v>
      </c>
      <c r="AA297" s="7" t="s">
        <v>1625</v>
      </c>
      <c r="AB297" s="7" t="s">
        <v>44</v>
      </c>
      <c r="AC297" s="7"/>
      <c r="AD297" s="10"/>
      <c r="AE297" s="10"/>
      <c r="AF297" s="10"/>
      <c r="AG297" s="11">
        <f t="shared" si="4"/>
        <v>43269</v>
      </c>
    </row>
    <row r="298" spans="1:33">
      <c r="A298" s="7" t="s">
        <v>1626</v>
      </c>
      <c r="B298" s="7" t="s">
        <v>1626</v>
      </c>
      <c r="C298" s="7" t="s">
        <v>1627</v>
      </c>
      <c r="D298" s="7" t="s">
        <v>1628</v>
      </c>
      <c r="E298" s="7" t="s">
        <v>33</v>
      </c>
      <c r="F298" s="7" t="s">
        <v>34</v>
      </c>
      <c r="G298" s="7" t="s">
        <v>35</v>
      </c>
      <c r="H298" s="7"/>
      <c r="I298" s="7"/>
      <c r="J298" s="7" t="s">
        <v>36</v>
      </c>
      <c r="K298" s="7" t="s">
        <v>1629</v>
      </c>
      <c r="L298" s="7" t="s">
        <v>1630</v>
      </c>
      <c r="M298" s="7" t="s">
        <v>1631</v>
      </c>
      <c r="N298" s="7" t="s">
        <v>33</v>
      </c>
      <c r="O298" s="7">
        <v>1</v>
      </c>
      <c r="P298" s="7" t="s">
        <v>40</v>
      </c>
      <c r="Q298" s="7">
        <v>19.99</v>
      </c>
      <c r="R298" s="7"/>
      <c r="S298" s="7"/>
      <c r="T298" s="7"/>
      <c r="U298" s="7"/>
      <c r="V298" s="7"/>
      <c r="W298" s="7"/>
      <c r="X298" s="7"/>
      <c r="Y298" s="7" t="s">
        <v>1632</v>
      </c>
      <c r="Z298" s="7" t="s">
        <v>1633</v>
      </c>
      <c r="AA298" s="7">
        <v>54107</v>
      </c>
      <c r="AB298" s="7" t="s">
        <v>44</v>
      </c>
      <c r="AC298" s="7"/>
      <c r="AD298" s="10"/>
      <c r="AE298" s="10"/>
      <c r="AF298" s="10"/>
      <c r="AG298" s="11">
        <f t="shared" si="4"/>
        <v>43269</v>
      </c>
    </row>
    <row r="299" spans="1:33">
      <c r="A299" s="7" t="s">
        <v>1634</v>
      </c>
      <c r="B299" s="7" t="s">
        <v>1634</v>
      </c>
      <c r="C299" s="7" t="s">
        <v>1635</v>
      </c>
      <c r="D299" s="7" t="s">
        <v>1636</v>
      </c>
      <c r="E299" s="7" t="s">
        <v>33</v>
      </c>
      <c r="F299" s="7" t="s">
        <v>34</v>
      </c>
      <c r="G299" s="7" t="s">
        <v>35</v>
      </c>
      <c r="H299" s="7"/>
      <c r="I299" s="7"/>
      <c r="J299" s="7" t="s">
        <v>36</v>
      </c>
      <c r="K299" s="7" t="s">
        <v>79</v>
      </c>
      <c r="L299" s="7" t="s">
        <v>80</v>
      </c>
      <c r="M299" s="7" t="s">
        <v>81</v>
      </c>
      <c r="N299" s="7" t="s">
        <v>33</v>
      </c>
      <c r="O299" s="7">
        <v>1</v>
      </c>
      <c r="P299" s="7" t="s">
        <v>40</v>
      </c>
      <c r="Q299" s="7">
        <v>91.99</v>
      </c>
      <c r="R299" s="7"/>
      <c r="S299" s="7"/>
      <c r="T299" s="7"/>
      <c r="U299" s="7"/>
      <c r="V299" s="7"/>
      <c r="W299" s="7"/>
      <c r="X299" s="7"/>
      <c r="Y299" s="7" t="s">
        <v>1637</v>
      </c>
      <c r="Z299" s="7" t="s">
        <v>497</v>
      </c>
      <c r="AA299" s="7" t="s">
        <v>1638</v>
      </c>
      <c r="AB299" s="7" t="s">
        <v>44</v>
      </c>
      <c r="AC299" s="7"/>
      <c r="AD299" s="10"/>
      <c r="AE299" s="10"/>
      <c r="AF299" s="10"/>
      <c r="AG299" s="11">
        <f t="shared" si="4"/>
        <v>43269</v>
      </c>
    </row>
    <row r="300" spans="1:33">
      <c r="A300" s="7" t="s">
        <v>1639</v>
      </c>
      <c r="B300" s="7" t="s">
        <v>1639</v>
      </c>
      <c r="C300" s="7" t="s">
        <v>1640</v>
      </c>
      <c r="D300" s="7" t="s">
        <v>1641</v>
      </c>
      <c r="E300" s="7" t="s">
        <v>54</v>
      </c>
      <c r="F300" s="7" t="s">
        <v>34</v>
      </c>
      <c r="G300" s="7" t="s">
        <v>35</v>
      </c>
      <c r="H300" s="7"/>
      <c r="I300" s="7"/>
      <c r="J300" s="7" t="s">
        <v>58</v>
      </c>
      <c r="K300" s="7" t="s">
        <v>88</v>
      </c>
      <c r="L300" s="7" t="s">
        <v>89</v>
      </c>
      <c r="M300" s="7" t="s">
        <v>90</v>
      </c>
      <c r="N300" s="7" t="s">
        <v>54</v>
      </c>
      <c r="O300" s="7">
        <v>0</v>
      </c>
      <c r="P300" s="7"/>
      <c r="Q300" s="7"/>
      <c r="R300" s="7"/>
      <c r="S300" s="7"/>
      <c r="T300" s="7"/>
      <c r="U300" s="7"/>
      <c r="V300" s="7"/>
      <c r="W300" s="7"/>
      <c r="X300" s="7"/>
      <c r="Y300" s="7" t="s">
        <v>823</v>
      </c>
      <c r="Z300" s="7" t="s">
        <v>83</v>
      </c>
      <c r="AA300" s="7" t="s">
        <v>824</v>
      </c>
      <c r="AB300" s="7" t="s">
        <v>44</v>
      </c>
      <c r="AC300" s="7"/>
      <c r="AD300" s="10"/>
      <c r="AE300" s="10"/>
      <c r="AF300" s="10"/>
      <c r="AG300" s="11">
        <f t="shared" si="4"/>
        <v>43269</v>
      </c>
    </row>
    <row r="301" spans="1:33">
      <c r="A301" s="7" t="s">
        <v>1642</v>
      </c>
      <c r="B301" s="7" t="s">
        <v>1642</v>
      </c>
      <c r="C301" s="7" t="s">
        <v>1643</v>
      </c>
      <c r="D301" s="7" t="s">
        <v>1644</v>
      </c>
      <c r="E301" s="7" t="s">
        <v>54</v>
      </c>
      <c r="F301" s="7" t="s">
        <v>34</v>
      </c>
      <c r="G301" s="7" t="s">
        <v>35</v>
      </c>
      <c r="H301" s="7"/>
      <c r="I301" s="7"/>
      <c r="J301" s="7" t="s">
        <v>69</v>
      </c>
      <c r="K301" s="7" t="s">
        <v>164</v>
      </c>
      <c r="L301" s="7" t="s">
        <v>165</v>
      </c>
      <c r="M301" s="7" t="s">
        <v>166</v>
      </c>
      <c r="N301" s="7" t="s">
        <v>54</v>
      </c>
      <c r="O301" s="7">
        <v>0</v>
      </c>
      <c r="P301" s="7"/>
      <c r="Q301" s="7"/>
      <c r="R301" s="7"/>
      <c r="S301" s="7"/>
      <c r="T301" s="7"/>
      <c r="U301" s="7"/>
      <c r="V301" s="7"/>
      <c r="W301" s="7"/>
      <c r="X301" s="7"/>
      <c r="Y301" s="7" t="s">
        <v>1645</v>
      </c>
      <c r="Z301" s="7" t="s">
        <v>230</v>
      </c>
      <c r="AA301" s="7" t="s">
        <v>1646</v>
      </c>
      <c r="AB301" s="7" t="s">
        <v>44</v>
      </c>
      <c r="AC301" s="7"/>
      <c r="AD301" s="10"/>
      <c r="AE301" s="10"/>
      <c r="AF301" s="10"/>
      <c r="AG301" s="11">
        <f t="shared" si="4"/>
        <v>43269</v>
      </c>
    </row>
    <row r="302" spans="1:33">
      <c r="A302" s="7" t="s">
        <v>1647</v>
      </c>
      <c r="B302" s="7" t="s">
        <v>1647</v>
      </c>
      <c r="C302" s="7" t="s">
        <v>1648</v>
      </c>
      <c r="D302" s="7" t="s">
        <v>1649</v>
      </c>
      <c r="E302" s="7" t="s">
        <v>33</v>
      </c>
      <c r="F302" s="7" t="s">
        <v>34</v>
      </c>
      <c r="G302" s="7" t="s">
        <v>35</v>
      </c>
      <c r="H302" s="7"/>
      <c r="I302" s="7"/>
      <c r="J302" s="7" t="s">
        <v>36</v>
      </c>
      <c r="K302" s="7" t="s">
        <v>1099</v>
      </c>
      <c r="L302" s="7" t="s">
        <v>1100</v>
      </c>
      <c r="M302" s="7" t="s">
        <v>1101</v>
      </c>
      <c r="N302" s="7" t="s">
        <v>33</v>
      </c>
      <c r="O302" s="7">
        <v>1</v>
      </c>
      <c r="P302" s="7" t="s">
        <v>40</v>
      </c>
      <c r="Q302" s="7">
        <v>108.99</v>
      </c>
      <c r="R302" s="7"/>
      <c r="S302" s="7"/>
      <c r="T302" s="7"/>
      <c r="U302" s="7"/>
      <c r="V302" s="7"/>
      <c r="W302" s="7"/>
      <c r="X302" s="7"/>
      <c r="Y302" s="7" t="s">
        <v>73</v>
      </c>
      <c r="Z302" s="7" t="s">
        <v>64</v>
      </c>
      <c r="AA302" s="7" t="s">
        <v>1650</v>
      </c>
      <c r="AB302" s="7" t="s">
        <v>44</v>
      </c>
      <c r="AC302" s="7"/>
      <c r="AD302" s="10"/>
      <c r="AE302" s="10"/>
      <c r="AF302" s="10"/>
      <c r="AG302" s="11">
        <f t="shared" si="4"/>
        <v>43269</v>
      </c>
    </row>
    <row r="303" spans="1:33">
      <c r="A303" s="7" t="s">
        <v>1651</v>
      </c>
      <c r="B303" s="7" t="s">
        <v>1651</v>
      </c>
      <c r="C303" s="7" t="s">
        <v>1652</v>
      </c>
      <c r="D303" s="7" t="s">
        <v>1653</v>
      </c>
      <c r="E303" s="7" t="s">
        <v>54</v>
      </c>
      <c r="F303" s="7" t="s">
        <v>34</v>
      </c>
      <c r="G303" s="7" t="s">
        <v>35</v>
      </c>
      <c r="H303" s="7"/>
      <c r="I303" s="7"/>
      <c r="J303" s="7" t="s">
        <v>69</v>
      </c>
      <c r="K303" s="7" t="s">
        <v>1262</v>
      </c>
      <c r="L303" s="7" t="s">
        <v>1263</v>
      </c>
      <c r="M303" s="7" t="s">
        <v>1264</v>
      </c>
      <c r="N303" s="7" t="s">
        <v>54</v>
      </c>
      <c r="O303" s="7">
        <v>0</v>
      </c>
      <c r="P303" s="7"/>
      <c r="Q303" s="7"/>
      <c r="R303" s="7"/>
      <c r="S303" s="7"/>
      <c r="T303" s="7"/>
      <c r="U303" s="7"/>
      <c r="V303" s="7"/>
      <c r="W303" s="7"/>
      <c r="X303" s="7"/>
      <c r="Y303" s="7" t="s">
        <v>1654</v>
      </c>
      <c r="Z303" s="7" t="s">
        <v>83</v>
      </c>
      <c r="AA303" s="7" t="s">
        <v>1655</v>
      </c>
      <c r="AB303" s="7" t="s">
        <v>44</v>
      </c>
      <c r="AC303" s="7"/>
      <c r="AD303" s="10"/>
      <c r="AE303" s="10"/>
      <c r="AF303" s="10"/>
      <c r="AG303" s="11">
        <f t="shared" si="4"/>
        <v>43269</v>
      </c>
    </row>
    <row r="304" spans="1:33">
      <c r="A304" s="7" t="s">
        <v>1656</v>
      </c>
      <c r="B304" s="7" t="s">
        <v>1656</v>
      </c>
      <c r="C304" s="7" t="s">
        <v>1657</v>
      </c>
      <c r="D304" s="7" t="s">
        <v>1658</v>
      </c>
      <c r="E304" s="7" t="s">
        <v>33</v>
      </c>
      <c r="F304" s="7" t="s">
        <v>34</v>
      </c>
      <c r="G304" s="7" t="s">
        <v>35</v>
      </c>
      <c r="H304" s="7"/>
      <c r="I304" s="7"/>
      <c r="J304" s="7" t="s">
        <v>69</v>
      </c>
      <c r="K304" s="7" t="s">
        <v>148</v>
      </c>
      <c r="L304" s="7" t="s">
        <v>149</v>
      </c>
      <c r="M304" s="7" t="s">
        <v>150</v>
      </c>
      <c r="N304" s="7" t="s">
        <v>33</v>
      </c>
      <c r="O304" s="7">
        <v>1</v>
      </c>
      <c r="P304" s="7" t="s">
        <v>40</v>
      </c>
      <c r="Q304" s="7">
        <v>98.99</v>
      </c>
      <c r="R304" s="7"/>
      <c r="S304" s="7"/>
      <c r="T304" s="7"/>
      <c r="U304" s="7"/>
      <c r="V304" s="7"/>
      <c r="W304" s="7"/>
      <c r="X304" s="7"/>
      <c r="Y304" s="7" t="s">
        <v>1659</v>
      </c>
      <c r="Z304" s="7" t="s">
        <v>1342</v>
      </c>
      <c r="AA304" s="7" t="s">
        <v>1660</v>
      </c>
      <c r="AB304" s="7" t="s">
        <v>44</v>
      </c>
      <c r="AC304" s="7"/>
      <c r="AD304" s="10"/>
      <c r="AE304" s="10"/>
      <c r="AF304" s="10"/>
      <c r="AG304" s="11">
        <f t="shared" si="4"/>
        <v>43269</v>
      </c>
    </row>
    <row r="305" spans="1:33">
      <c r="A305" s="7" t="s">
        <v>1661</v>
      </c>
      <c r="B305" s="7" t="s">
        <v>1661</v>
      </c>
      <c r="C305" s="7" t="s">
        <v>1662</v>
      </c>
      <c r="D305" s="7" t="s">
        <v>1663</v>
      </c>
      <c r="E305" s="7" t="s">
        <v>54</v>
      </c>
      <c r="F305" s="7" t="s">
        <v>34</v>
      </c>
      <c r="G305" s="7" t="s">
        <v>35</v>
      </c>
      <c r="H305" s="7"/>
      <c r="I305" s="7"/>
      <c r="J305" s="7" t="s">
        <v>36</v>
      </c>
      <c r="K305" s="7" t="s">
        <v>275</v>
      </c>
      <c r="L305" s="7" t="s">
        <v>276</v>
      </c>
      <c r="M305" s="7" t="s">
        <v>277</v>
      </c>
      <c r="N305" s="7" t="s">
        <v>62</v>
      </c>
      <c r="O305" s="7">
        <v>1</v>
      </c>
      <c r="P305" s="7" t="s">
        <v>40</v>
      </c>
      <c r="Q305" s="7">
        <v>89.99</v>
      </c>
      <c r="R305" s="7"/>
      <c r="S305" s="7"/>
      <c r="T305" s="7"/>
      <c r="U305" s="7"/>
      <c r="V305" s="7"/>
      <c r="W305" s="7"/>
      <c r="X305" s="7"/>
      <c r="Y305" s="7" t="s">
        <v>1458</v>
      </c>
      <c r="Z305" s="7" t="s">
        <v>271</v>
      </c>
      <c r="AA305" s="7">
        <v>33125</v>
      </c>
      <c r="AB305" s="7" t="s">
        <v>44</v>
      </c>
      <c r="AC305" s="7"/>
      <c r="AD305" s="10"/>
      <c r="AE305" s="10"/>
      <c r="AF305" s="10"/>
      <c r="AG305" s="11">
        <f t="shared" si="4"/>
        <v>43269</v>
      </c>
    </row>
    <row r="306" spans="1:33">
      <c r="A306" s="7" t="s">
        <v>1664</v>
      </c>
      <c r="B306" s="7" t="s">
        <v>1664</v>
      </c>
      <c r="C306" s="7" t="s">
        <v>1665</v>
      </c>
      <c r="D306" s="7" t="s">
        <v>1666</v>
      </c>
      <c r="E306" s="7" t="s">
        <v>33</v>
      </c>
      <c r="F306" s="7" t="s">
        <v>34</v>
      </c>
      <c r="G306" s="7" t="s">
        <v>35</v>
      </c>
      <c r="H306" s="7"/>
      <c r="I306" s="7"/>
      <c r="J306" s="7" t="s">
        <v>36</v>
      </c>
      <c r="K306" s="7" t="s">
        <v>59</v>
      </c>
      <c r="L306" s="7" t="s">
        <v>60</v>
      </c>
      <c r="M306" s="7" t="s">
        <v>61</v>
      </c>
      <c r="N306" s="7" t="s">
        <v>33</v>
      </c>
      <c r="O306" s="7">
        <v>1</v>
      </c>
      <c r="P306" s="7" t="s">
        <v>40</v>
      </c>
      <c r="Q306" s="7">
        <v>89.99</v>
      </c>
      <c r="R306" s="7"/>
      <c r="S306" s="7"/>
      <c r="T306" s="7"/>
      <c r="U306" s="7"/>
      <c r="V306" s="7"/>
      <c r="W306" s="7"/>
      <c r="X306" s="7"/>
      <c r="Y306" s="7" t="s">
        <v>1667</v>
      </c>
      <c r="Z306" s="7" t="s">
        <v>42</v>
      </c>
      <c r="AA306" s="7">
        <v>76179</v>
      </c>
      <c r="AB306" s="7" t="s">
        <v>44</v>
      </c>
      <c r="AC306" s="7"/>
      <c r="AD306" s="10"/>
      <c r="AE306" s="10"/>
      <c r="AF306" s="10"/>
      <c r="AG306" s="11">
        <f t="shared" si="4"/>
        <v>43269</v>
      </c>
    </row>
    <row r="307" spans="1:33">
      <c r="A307" s="7" t="s">
        <v>1668</v>
      </c>
      <c r="B307" s="7" t="s">
        <v>1668</v>
      </c>
      <c r="C307" s="7" t="s">
        <v>1669</v>
      </c>
      <c r="D307" s="7" t="s">
        <v>1670</v>
      </c>
      <c r="E307" s="7" t="s">
        <v>54</v>
      </c>
      <c r="F307" s="7" t="s">
        <v>34</v>
      </c>
      <c r="G307" s="7" t="s">
        <v>35</v>
      </c>
      <c r="H307" s="7"/>
      <c r="I307" s="7"/>
      <c r="J307" s="7" t="s">
        <v>69</v>
      </c>
      <c r="K307" s="7" t="s">
        <v>642</v>
      </c>
      <c r="L307" s="7" t="s">
        <v>643</v>
      </c>
      <c r="M307" s="7" t="s">
        <v>644</v>
      </c>
      <c r="N307" s="7" t="s">
        <v>62</v>
      </c>
      <c r="O307" s="7">
        <v>1</v>
      </c>
      <c r="P307" s="7" t="s">
        <v>40</v>
      </c>
      <c r="Q307" s="7">
        <v>21.99</v>
      </c>
      <c r="R307" s="7"/>
      <c r="S307" s="7"/>
      <c r="T307" s="7"/>
      <c r="U307" s="7"/>
      <c r="V307" s="7"/>
      <c r="W307" s="7"/>
      <c r="X307" s="7"/>
      <c r="Y307" s="7" t="s">
        <v>1671</v>
      </c>
      <c r="Z307" s="7" t="s">
        <v>174</v>
      </c>
      <c r="AA307" s="7" t="s">
        <v>1672</v>
      </c>
      <c r="AB307" s="7" t="s">
        <v>44</v>
      </c>
      <c r="AC307" s="7"/>
      <c r="AD307" s="10"/>
      <c r="AE307" s="10"/>
      <c r="AF307" s="10"/>
      <c r="AG307" s="11">
        <f t="shared" si="4"/>
        <v>43269</v>
      </c>
    </row>
    <row r="308" spans="1:33">
      <c r="A308" s="7" t="s">
        <v>1673</v>
      </c>
      <c r="B308" s="7" t="s">
        <v>1673</v>
      </c>
      <c r="C308" s="7" t="s">
        <v>1674</v>
      </c>
      <c r="D308" s="7" t="s">
        <v>1675</v>
      </c>
      <c r="E308" s="7" t="s">
        <v>33</v>
      </c>
      <c r="F308" s="7" t="s">
        <v>34</v>
      </c>
      <c r="G308" s="7" t="s">
        <v>35</v>
      </c>
      <c r="H308" s="7"/>
      <c r="I308" s="7"/>
      <c r="J308" s="7" t="s">
        <v>69</v>
      </c>
      <c r="K308" s="7" t="s">
        <v>1042</v>
      </c>
      <c r="L308" s="7" t="s">
        <v>1043</v>
      </c>
      <c r="M308" s="7" t="s">
        <v>1044</v>
      </c>
      <c r="N308" s="7" t="s">
        <v>33</v>
      </c>
      <c r="O308" s="7">
        <v>1</v>
      </c>
      <c r="P308" s="7" t="s">
        <v>40</v>
      </c>
      <c r="Q308" s="7">
        <v>79.99</v>
      </c>
      <c r="R308" s="7"/>
      <c r="S308" s="7">
        <v>7.42</v>
      </c>
      <c r="T308" s="7"/>
      <c r="U308" s="7"/>
      <c r="V308" s="7"/>
      <c r="W308" s="7"/>
      <c r="X308" s="7"/>
      <c r="Y308" s="7" t="s">
        <v>173</v>
      </c>
      <c r="Z308" s="7" t="s">
        <v>174</v>
      </c>
      <c r="AA308" s="7" t="s">
        <v>1676</v>
      </c>
      <c r="AB308" s="7" t="s">
        <v>44</v>
      </c>
      <c r="AC308" s="7"/>
      <c r="AD308" s="10"/>
      <c r="AE308" s="10"/>
      <c r="AF308" s="10"/>
      <c r="AG308" s="11">
        <f t="shared" si="4"/>
        <v>43269</v>
      </c>
    </row>
    <row r="309" spans="1:33">
      <c r="A309" s="7" t="s">
        <v>1677</v>
      </c>
      <c r="B309" s="7" t="s">
        <v>1677</v>
      </c>
      <c r="C309" s="7" t="s">
        <v>1678</v>
      </c>
      <c r="D309" s="7" t="s">
        <v>1679</v>
      </c>
      <c r="E309" s="7" t="s">
        <v>33</v>
      </c>
      <c r="F309" s="7" t="s">
        <v>34</v>
      </c>
      <c r="G309" s="7" t="s">
        <v>35</v>
      </c>
      <c r="H309" s="7"/>
      <c r="I309" s="7"/>
      <c r="J309" s="7" t="s">
        <v>36</v>
      </c>
      <c r="K309" s="7" t="s">
        <v>79</v>
      </c>
      <c r="L309" s="7" t="s">
        <v>80</v>
      </c>
      <c r="M309" s="7" t="s">
        <v>81</v>
      </c>
      <c r="N309" s="7" t="s">
        <v>33</v>
      </c>
      <c r="O309" s="7">
        <v>1</v>
      </c>
      <c r="P309" s="7" t="s">
        <v>40</v>
      </c>
      <c r="Q309" s="7">
        <v>91.99</v>
      </c>
      <c r="R309" s="7"/>
      <c r="S309" s="7"/>
      <c r="T309" s="7"/>
      <c r="U309" s="7"/>
      <c r="V309" s="7"/>
      <c r="W309" s="7"/>
      <c r="X309" s="7"/>
      <c r="Y309" s="7" t="s">
        <v>1680</v>
      </c>
      <c r="Z309" s="7" t="s">
        <v>466</v>
      </c>
      <c r="AA309" s="7" t="s">
        <v>1681</v>
      </c>
      <c r="AB309" s="7" t="s">
        <v>44</v>
      </c>
      <c r="AC309" s="7"/>
      <c r="AD309" s="10"/>
      <c r="AE309" s="10"/>
      <c r="AF309" s="10"/>
      <c r="AG309" s="11">
        <f t="shared" si="4"/>
        <v>43269</v>
      </c>
    </row>
    <row r="310" spans="1:33">
      <c r="A310" s="7" t="s">
        <v>1682</v>
      </c>
      <c r="B310" s="7" t="s">
        <v>1682</v>
      </c>
      <c r="C310" s="7" t="s">
        <v>1683</v>
      </c>
      <c r="D310" s="7" t="s">
        <v>1684</v>
      </c>
      <c r="E310" s="7" t="s">
        <v>33</v>
      </c>
      <c r="F310" s="7" t="s">
        <v>34</v>
      </c>
      <c r="G310" s="7" t="s">
        <v>35</v>
      </c>
      <c r="H310" s="7"/>
      <c r="I310" s="7"/>
      <c r="J310" s="7" t="s">
        <v>36</v>
      </c>
      <c r="K310" s="7" t="s">
        <v>226</v>
      </c>
      <c r="L310" s="7" t="s">
        <v>227</v>
      </c>
      <c r="M310" s="7" t="s">
        <v>228</v>
      </c>
      <c r="N310" s="7" t="s">
        <v>33</v>
      </c>
      <c r="O310" s="7">
        <v>1</v>
      </c>
      <c r="P310" s="7" t="s">
        <v>40</v>
      </c>
      <c r="Q310" s="7">
        <v>34.99</v>
      </c>
      <c r="R310" s="7"/>
      <c r="S310" s="7"/>
      <c r="T310" s="7"/>
      <c r="U310" s="7"/>
      <c r="V310" s="7"/>
      <c r="W310" s="7"/>
      <c r="X310" s="7"/>
      <c r="Y310" s="7" t="s">
        <v>714</v>
      </c>
      <c r="Z310" s="7" t="s">
        <v>52</v>
      </c>
      <c r="AA310" s="7" t="s">
        <v>715</v>
      </c>
      <c r="AB310" s="7" t="s">
        <v>44</v>
      </c>
      <c r="AC310" s="7"/>
      <c r="AD310" s="10"/>
      <c r="AE310" s="10"/>
      <c r="AF310" s="10"/>
      <c r="AG310" s="11">
        <f t="shared" si="4"/>
        <v>43269</v>
      </c>
    </row>
    <row r="311" spans="1:33">
      <c r="A311" s="7" t="s">
        <v>1685</v>
      </c>
      <c r="B311" s="7" t="s">
        <v>1685</v>
      </c>
      <c r="C311" s="7" t="s">
        <v>1686</v>
      </c>
      <c r="D311" s="7" t="s">
        <v>1687</v>
      </c>
      <c r="E311" s="7" t="s">
        <v>33</v>
      </c>
      <c r="F311" s="7" t="s">
        <v>34</v>
      </c>
      <c r="G311" s="7" t="s">
        <v>35</v>
      </c>
      <c r="H311" s="7"/>
      <c r="I311" s="7"/>
      <c r="J311" s="7" t="s">
        <v>36</v>
      </c>
      <c r="K311" s="7" t="s">
        <v>37</v>
      </c>
      <c r="L311" s="7" t="s">
        <v>38</v>
      </c>
      <c r="M311" s="7" t="s">
        <v>39</v>
      </c>
      <c r="N311" s="7" t="s">
        <v>33</v>
      </c>
      <c r="O311" s="7">
        <v>1</v>
      </c>
      <c r="P311" s="7" t="s">
        <v>40</v>
      </c>
      <c r="Q311" s="7">
        <v>89.99</v>
      </c>
      <c r="R311" s="7"/>
      <c r="S311" s="7"/>
      <c r="T311" s="7"/>
      <c r="U311" s="7"/>
      <c r="V311" s="7"/>
      <c r="W311" s="7"/>
      <c r="X311" s="7"/>
      <c r="Y311" s="7" t="s">
        <v>1688</v>
      </c>
      <c r="Z311" s="7" t="s">
        <v>174</v>
      </c>
      <c r="AA311" s="7">
        <v>36343</v>
      </c>
      <c r="AB311" s="7" t="s">
        <v>44</v>
      </c>
      <c r="AC311" s="7"/>
      <c r="AD311" s="10"/>
      <c r="AE311" s="10"/>
      <c r="AF311" s="10"/>
      <c r="AG311" s="11">
        <f t="shared" si="4"/>
        <v>43269</v>
      </c>
    </row>
    <row r="312" spans="1:33">
      <c r="A312" s="7" t="s">
        <v>1689</v>
      </c>
      <c r="B312" s="7" t="s">
        <v>1689</v>
      </c>
      <c r="C312" s="7" t="s">
        <v>1690</v>
      </c>
      <c r="D312" s="7" t="s">
        <v>1691</v>
      </c>
      <c r="E312" s="7" t="s">
        <v>33</v>
      </c>
      <c r="F312" s="7" t="s">
        <v>34</v>
      </c>
      <c r="G312" s="7" t="s">
        <v>35</v>
      </c>
      <c r="H312" s="7"/>
      <c r="I312" s="7"/>
      <c r="J312" s="7" t="s">
        <v>36</v>
      </c>
      <c r="K312" s="7" t="s">
        <v>1692</v>
      </c>
      <c r="L312" s="7" t="s">
        <v>1693</v>
      </c>
      <c r="M312" s="7" t="s">
        <v>1694</v>
      </c>
      <c r="N312" s="7" t="s">
        <v>33</v>
      </c>
      <c r="O312" s="7">
        <v>1</v>
      </c>
      <c r="P312" s="7" t="s">
        <v>40</v>
      </c>
      <c r="Q312" s="7">
        <v>79.99</v>
      </c>
      <c r="R312" s="7"/>
      <c r="S312" s="7"/>
      <c r="T312" s="7"/>
      <c r="U312" s="7"/>
      <c r="V312" s="7"/>
      <c r="W312" s="7"/>
      <c r="X312" s="7"/>
      <c r="Y312" s="7" t="s">
        <v>1695</v>
      </c>
      <c r="Z312" s="7" t="s">
        <v>83</v>
      </c>
      <c r="AA312" s="7" t="s">
        <v>1696</v>
      </c>
      <c r="AB312" s="7" t="s">
        <v>44</v>
      </c>
      <c r="AC312" s="7"/>
      <c r="AD312" s="10"/>
      <c r="AE312" s="10"/>
      <c r="AF312" s="10"/>
      <c r="AG312" s="11">
        <f t="shared" si="4"/>
        <v>43269</v>
      </c>
    </row>
    <row r="313" spans="1:33">
      <c r="A313" s="7" t="s">
        <v>1697</v>
      </c>
      <c r="B313" s="7" t="s">
        <v>1697</v>
      </c>
      <c r="C313" s="7" t="s">
        <v>1698</v>
      </c>
      <c r="D313" s="7" t="s">
        <v>1699</v>
      </c>
      <c r="E313" s="7" t="s">
        <v>33</v>
      </c>
      <c r="F313" s="7" t="s">
        <v>34</v>
      </c>
      <c r="G313" s="7" t="s">
        <v>35</v>
      </c>
      <c r="H313" s="7"/>
      <c r="I313" s="7"/>
      <c r="J313" s="7" t="s">
        <v>36</v>
      </c>
      <c r="K313" s="7" t="s">
        <v>1700</v>
      </c>
      <c r="L313" s="7" t="s">
        <v>1701</v>
      </c>
      <c r="M313" s="7" t="s">
        <v>1702</v>
      </c>
      <c r="N313" s="7" t="s">
        <v>33</v>
      </c>
      <c r="O313" s="7">
        <v>1</v>
      </c>
      <c r="P313" s="7" t="s">
        <v>40</v>
      </c>
      <c r="Q313" s="7">
        <v>99.99</v>
      </c>
      <c r="R313" s="7"/>
      <c r="S313" s="7"/>
      <c r="T313" s="7"/>
      <c r="U313" s="7"/>
      <c r="V313" s="7"/>
      <c r="W313" s="7"/>
      <c r="X313" s="7"/>
      <c r="Y313" s="7" t="s">
        <v>1417</v>
      </c>
      <c r="Z313" s="7" t="s">
        <v>484</v>
      </c>
      <c r="AA313" s="7" t="s">
        <v>1703</v>
      </c>
      <c r="AB313" s="7" t="s">
        <v>44</v>
      </c>
      <c r="AC313" s="7"/>
      <c r="AD313" s="10"/>
      <c r="AE313" s="10"/>
      <c r="AF313" s="10"/>
      <c r="AG313" s="11">
        <f t="shared" si="4"/>
        <v>43269</v>
      </c>
    </row>
    <row r="314" spans="1:33">
      <c r="A314" s="7" t="s">
        <v>1704</v>
      </c>
      <c r="B314" s="7" t="s">
        <v>1704</v>
      </c>
      <c r="C314" s="7" t="s">
        <v>1705</v>
      </c>
      <c r="D314" s="7" t="s">
        <v>1706</v>
      </c>
      <c r="E314" s="7" t="s">
        <v>54</v>
      </c>
      <c r="F314" s="7" t="s">
        <v>34</v>
      </c>
      <c r="G314" s="7" t="s">
        <v>35</v>
      </c>
      <c r="H314" s="7"/>
      <c r="I314" s="7"/>
      <c r="J314" s="7" t="s">
        <v>36</v>
      </c>
      <c r="K314" s="7" t="s">
        <v>1387</v>
      </c>
      <c r="L314" s="7" t="s">
        <v>1388</v>
      </c>
      <c r="M314" s="7" t="s">
        <v>1389</v>
      </c>
      <c r="N314" s="7" t="s">
        <v>54</v>
      </c>
      <c r="O314" s="7">
        <v>0</v>
      </c>
      <c r="P314" s="7"/>
      <c r="Q314" s="7"/>
      <c r="R314" s="7"/>
      <c r="S314" s="7"/>
      <c r="T314" s="7"/>
      <c r="U314" s="7"/>
      <c r="V314" s="7"/>
      <c r="W314" s="7"/>
      <c r="X314" s="7"/>
      <c r="Y314" s="7" t="s">
        <v>823</v>
      </c>
      <c r="Z314" s="7" t="s">
        <v>83</v>
      </c>
      <c r="AA314" s="7" t="s">
        <v>824</v>
      </c>
      <c r="AB314" s="7" t="s">
        <v>44</v>
      </c>
      <c r="AC314" s="7"/>
      <c r="AD314" s="10"/>
      <c r="AE314" s="10"/>
      <c r="AF314" s="10"/>
      <c r="AG314" s="11">
        <f t="shared" si="4"/>
        <v>43269</v>
      </c>
    </row>
    <row r="315" spans="1:33">
      <c r="A315" s="7" t="s">
        <v>1707</v>
      </c>
      <c r="B315" s="7" t="s">
        <v>1707</v>
      </c>
      <c r="C315" s="7" t="s">
        <v>1708</v>
      </c>
      <c r="D315" s="7" t="s">
        <v>1709</v>
      </c>
      <c r="E315" s="7" t="s">
        <v>33</v>
      </c>
      <c r="F315" s="7" t="s">
        <v>34</v>
      </c>
      <c r="G315" s="7" t="s">
        <v>35</v>
      </c>
      <c r="H315" s="7"/>
      <c r="I315" s="7"/>
      <c r="J315" s="7" t="s">
        <v>69</v>
      </c>
      <c r="K315" s="7" t="s">
        <v>37</v>
      </c>
      <c r="L315" s="7" t="s">
        <v>38</v>
      </c>
      <c r="M315" s="7" t="s">
        <v>39</v>
      </c>
      <c r="N315" s="7" t="s">
        <v>33</v>
      </c>
      <c r="O315" s="7">
        <v>1</v>
      </c>
      <c r="P315" s="7" t="s">
        <v>40</v>
      </c>
      <c r="Q315" s="7">
        <v>89.99</v>
      </c>
      <c r="R315" s="7"/>
      <c r="S315" s="7">
        <v>7.41</v>
      </c>
      <c r="T315" s="7"/>
      <c r="U315" s="7"/>
      <c r="V315" s="7"/>
      <c r="W315" s="7"/>
      <c r="X315" s="7">
        <v>7.41</v>
      </c>
      <c r="Y315" s="7" t="s">
        <v>1710</v>
      </c>
      <c r="Z315" s="7" t="s">
        <v>42</v>
      </c>
      <c r="AA315" s="7" t="s">
        <v>1711</v>
      </c>
      <c r="AB315" s="7" t="s">
        <v>44</v>
      </c>
      <c r="AC315" s="7" t="s">
        <v>75</v>
      </c>
      <c r="AD315" s="10"/>
      <c r="AE315" s="10"/>
      <c r="AF315" s="10"/>
      <c r="AG315" s="11">
        <f t="shared" si="4"/>
        <v>43269</v>
      </c>
    </row>
    <row r="316" spans="1:33">
      <c r="A316" s="7" t="s">
        <v>1712</v>
      </c>
      <c r="B316" s="7" t="s">
        <v>1712</v>
      </c>
      <c r="C316" s="7" t="s">
        <v>1713</v>
      </c>
      <c r="D316" s="7" t="s">
        <v>1714</v>
      </c>
      <c r="E316" s="7" t="s">
        <v>33</v>
      </c>
      <c r="F316" s="7" t="s">
        <v>34</v>
      </c>
      <c r="G316" s="7" t="s">
        <v>35</v>
      </c>
      <c r="H316" s="7"/>
      <c r="I316" s="7"/>
      <c r="J316" s="7" t="s">
        <v>58</v>
      </c>
      <c r="K316" s="7" t="s">
        <v>59</v>
      </c>
      <c r="L316" s="7" t="s">
        <v>60</v>
      </c>
      <c r="M316" s="7" t="s">
        <v>61</v>
      </c>
      <c r="N316" s="7" t="s">
        <v>33</v>
      </c>
      <c r="O316" s="7">
        <v>1</v>
      </c>
      <c r="P316" s="7" t="s">
        <v>40</v>
      </c>
      <c r="Q316" s="7">
        <v>89.99</v>
      </c>
      <c r="R316" s="7"/>
      <c r="S316" s="7">
        <v>28.4</v>
      </c>
      <c r="T316" s="7"/>
      <c r="U316" s="7"/>
      <c r="V316" s="7"/>
      <c r="W316" s="7"/>
      <c r="X316" s="7"/>
      <c r="Y316" s="7" t="s">
        <v>1417</v>
      </c>
      <c r="Z316" s="7" t="s">
        <v>484</v>
      </c>
      <c r="AA316" s="7" t="s">
        <v>1418</v>
      </c>
      <c r="AB316" s="7" t="s">
        <v>44</v>
      </c>
      <c r="AC316" s="7"/>
      <c r="AD316" s="10"/>
      <c r="AE316" s="10"/>
      <c r="AF316" s="10"/>
      <c r="AG316" s="11">
        <f t="shared" si="4"/>
        <v>43269</v>
      </c>
    </row>
    <row r="317" spans="1:33">
      <c r="A317" s="7" t="s">
        <v>1715</v>
      </c>
      <c r="B317" s="7" t="s">
        <v>1715</v>
      </c>
      <c r="C317" s="7" t="s">
        <v>1716</v>
      </c>
      <c r="D317" s="7" t="s">
        <v>1717</v>
      </c>
      <c r="E317" s="7" t="s">
        <v>33</v>
      </c>
      <c r="F317" s="7" t="s">
        <v>34</v>
      </c>
      <c r="G317" s="7" t="s">
        <v>35</v>
      </c>
      <c r="H317" s="7"/>
      <c r="I317" s="7"/>
      <c r="J317" s="7" t="s">
        <v>69</v>
      </c>
      <c r="K317" s="7" t="s">
        <v>79</v>
      </c>
      <c r="L317" s="7" t="s">
        <v>80</v>
      </c>
      <c r="M317" s="7" t="s">
        <v>81</v>
      </c>
      <c r="N317" s="7" t="s">
        <v>33</v>
      </c>
      <c r="O317" s="7">
        <v>1</v>
      </c>
      <c r="P317" s="7" t="s">
        <v>40</v>
      </c>
      <c r="Q317" s="7">
        <v>91.99</v>
      </c>
      <c r="R317" s="7"/>
      <c r="S317" s="7">
        <v>8.09</v>
      </c>
      <c r="T317" s="7"/>
      <c r="U317" s="7"/>
      <c r="V317" s="7"/>
      <c r="W317" s="7"/>
      <c r="X317" s="7"/>
      <c r="Y317" s="7" t="s">
        <v>1718</v>
      </c>
      <c r="Z317" s="7" t="s">
        <v>42</v>
      </c>
      <c r="AA317" s="7" t="s">
        <v>1719</v>
      </c>
      <c r="AB317" s="7" t="s">
        <v>44</v>
      </c>
      <c r="AC317" s="7"/>
      <c r="AD317" s="10"/>
      <c r="AE317" s="10"/>
      <c r="AF317" s="10"/>
      <c r="AG317" s="11">
        <f t="shared" si="4"/>
        <v>43269</v>
      </c>
    </row>
    <row r="318" spans="1:33">
      <c r="A318" s="7" t="s">
        <v>1720</v>
      </c>
      <c r="B318" s="7" t="s">
        <v>1720</v>
      </c>
      <c r="C318" s="7" t="s">
        <v>1721</v>
      </c>
      <c r="D318" s="7" t="s">
        <v>1722</v>
      </c>
      <c r="E318" s="7" t="s">
        <v>33</v>
      </c>
      <c r="F318" s="7" t="s">
        <v>34</v>
      </c>
      <c r="G318" s="7" t="s">
        <v>35</v>
      </c>
      <c r="H318" s="7"/>
      <c r="I318" s="7"/>
      <c r="J318" s="7" t="s">
        <v>69</v>
      </c>
      <c r="K318" s="7" t="s">
        <v>410</v>
      </c>
      <c r="L318" s="7" t="s">
        <v>411</v>
      </c>
      <c r="M318" s="7" t="s">
        <v>412</v>
      </c>
      <c r="N318" s="7" t="s">
        <v>33</v>
      </c>
      <c r="O318" s="7">
        <v>1</v>
      </c>
      <c r="P318" s="7" t="s">
        <v>40</v>
      </c>
      <c r="Q318" s="7">
        <v>21.99</v>
      </c>
      <c r="R318" s="7"/>
      <c r="S318" s="7">
        <v>5.99</v>
      </c>
      <c r="T318" s="7"/>
      <c r="U318" s="7"/>
      <c r="V318" s="7"/>
      <c r="W318" s="7">
        <v>21.77</v>
      </c>
      <c r="X318" s="7"/>
      <c r="Y318" s="7" t="s">
        <v>1723</v>
      </c>
      <c r="Z318" s="7" t="s">
        <v>207</v>
      </c>
      <c r="AA318" s="7" t="s">
        <v>1724</v>
      </c>
      <c r="AB318" s="7" t="s">
        <v>44</v>
      </c>
      <c r="AC318" s="7" t="s">
        <v>209</v>
      </c>
      <c r="AD318" s="10"/>
      <c r="AE318" s="10"/>
      <c r="AF318" s="10"/>
      <c r="AG318" s="11">
        <f t="shared" si="4"/>
        <v>43269</v>
      </c>
    </row>
    <row r="319" spans="1:33">
      <c r="A319" s="7" t="s">
        <v>1725</v>
      </c>
      <c r="B319" s="7" t="s">
        <v>1725</v>
      </c>
      <c r="C319" s="7" t="s">
        <v>1726</v>
      </c>
      <c r="D319" s="7" t="s">
        <v>1727</v>
      </c>
      <c r="E319" s="7" t="s">
        <v>33</v>
      </c>
      <c r="F319" s="7" t="s">
        <v>34</v>
      </c>
      <c r="G319" s="7" t="s">
        <v>35</v>
      </c>
      <c r="H319" s="7"/>
      <c r="I319" s="7"/>
      <c r="J319" s="7" t="s">
        <v>36</v>
      </c>
      <c r="K319" s="7" t="s">
        <v>59</v>
      </c>
      <c r="L319" s="7" t="s">
        <v>60</v>
      </c>
      <c r="M319" s="7" t="s">
        <v>61</v>
      </c>
      <c r="N319" s="7" t="s">
        <v>33</v>
      </c>
      <c r="O319" s="7">
        <v>1</v>
      </c>
      <c r="P319" s="7" t="s">
        <v>40</v>
      </c>
      <c r="Q319" s="7">
        <v>89.99</v>
      </c>
      <c r="R319" s="7"/>
      <c r="S319" s="7"/>
      <c r="T319" s="7"/>
      <c r="U319" s="7"/>
      <c r="V319" s="7"/>
      <c r="W319" s="7"/>
      <c r="X319" s="7"/>
      <c r="Y319" s="7" t="s">
        <v>1728</v>
      </c>
      <c r="Z319" s="7" t="s">
        <v>466</v>
      </c>
      <c r="AA319" s="7" t="s">
        <v>1729</v>
      </c>
      <c r="AB319" s="7" t="s">
        <v>44</v>
      </c>
      <c r="AC319" s="7"/>
      <c r="AD319" s="10"/>
      <c r="AE319" s="10"/>
      <c r="AF319" s="10"/>
      <c r="AG319" s="11">
        <f t="shared" si="4"/>
        <v>43270</v>
      </c>
    </row>
    <row r="320" spans="1:33">
      <c r="A320" s="7" t="s">
        <v>1730</v>
      </c>
      <c r="B320" s="7" t="s">
        <v>1730</v>
      </c>
      <c r="C320" s="7" t="s">
        <v>1731</v>
      </c>
      <c r="D320" s="7" t="s">
        <v>1732</v>
      </c>
      <c r="E320" s="7" t="s">
        <v>33</v>
      </c>
      <c r="F320" s="7" t="s">
        <v>34</v>
      </c>
      <c r="G320" s="7" t="s">
        <v>35</v>
      </c>
      <c r="H320" s="7"/>
      <c r="I320" s="7"/>
      <c r="J320" s="7" t="s">
        <v>36</v>
      </c>
      <c r="K320" s="7" t="s">
        <v>79</v>
      </c>
      <c r="L320" s="7" t="s">
        <v>80</v>
      </c>
      <c r="M320" s="7" t="s">
        <v>81</v>
      </c>
      <c r="N320" s="7" t="s">
        <v>33</v>
      </c>
      <c r="O320" s="7">
        <v>1</v>
      </c>
      <c r="P320" s="7" t="s">
        <v>40</v>
      </c>
      <c r="Q320" s="7">
        <v>91.99</v>
      </c>
      <c r="R320" s="7"/>
      <c r="S320" s="7"/>
      <c r="T320" s="7"/>
      <c r="U320" s="7"/>
      <c r="V320" s="7"/>
      <c r="W320" s="7"/>
      <c r="X320" s="7"/>
      <c r="Y320" s="7" t="s">
        <v>1733</v>
      </c>
      <c r="Z320" s="7" t="s">
        <v>64</v>
      </c>
      <c r="AA320" s="7" t="s">
        <v>1734</v>
      </c>
      <c r="AB320" s="7" t="s">
        <v>44</v>
      </c>
      <c r="AC320" s="7"/>
      <c r="AD320" s="10"/>
      <c r="AE320" s="10"/>
      <c r="AF320" s="10"/>
      <c r="AG320" s="11">
        <f t="shared" si="4"/>
        <v>43270</v>
      </c>
    </row>
    <row r="321" spans="1:33">
      <c r="A321" s="7" t="s">
        <v>1735</v>
      </c>
      <c r="B321" s="7" t="s">
        <v>1735</v>
      </c>
      <c r="C321" s="7" t="s">
        <v>1736</v>
      </c>
      <c r="D321" s="7" t="s">
        <v>1737</v>
      </c>
      <c r="E321" s="7" t="s">
        <v>54</v>
      </c>
      <c r="F321" s="7" t="s">
        <v>34</v>
      </c>
      <c r="G321" s="7" t="s">
        <v>35</v>
      </c>
      <c r="H321" s="7"/>
      <c r="I321" s="7"/>
      <c r="J321" s="7" t="s">
        <v>36</v>
      </c>
      <c r="K321" s="7" t="s">
        <v>48</v>
      </c>
      <c r="L321" s="7" t="s">
        <v>49</v>
      </c>
      <c r="M321" s="7" t="s">
        <v>50</v>
      </c>
      <c r="N321" s="7" t="s">
        <v>54</v>
      </c>
      <c r="O321" s="7">
        <v>0</v>
      </c>
      <c r="P321" s="7"/>
      <c r="Q321" s="7"/>
      <c r="R321" s="7"/>
      <c r="S321" s="7"/>
      <c r="T321" s="7"/>
      <c r="U321" s="7"/>
      <c r="V321" s="7"/>
      <c r="W321" s="7"/>
      <c r="X321" s="7"/>
      <c r="Y321" s="7" t="s">
        <v>1738</v>
      </c>
      <c r="Z321" s="7" t="s">
        <v>466</v>
      </c>
      <c r="AA321" s="7" t="s">
        <v>1739</v>
      </c>
      <c r="AB321" s="7" t="s">
        <v>44</v>
      </c>
      <c r="AC321" s="7"/>
      <c r="AD321" s="10"/>
      <c r="AE321" s="10"/>
      <c r="AF321" s="10"/>
      <c r="AG321" s="11">
        <f t="shared" si="4"/>
        <v>43270</v>
      </c>
    </row>
    <row r="322" spans="1:33">
      <c r="A322" s="7" t="s">
        <v>1740</v>
      </c>
      <c r="B322" s="7" t="s">
        <v>1740</v>
      </c>
      <c r="C322" s="7" t="s">
        <v>1741</v>
      </c>
      <c r="D322" s="7" t="s">
        <v>1742</v>
      </c>
      <c r="E322" s="7" t="s">
        <v>33</v>
      </c>
      <c r="F322" s="7" t="s">
        <v>34</v>
      </c>
      <c r="G322" s="7" t="s">
        <v>35</v>
      </c>
      <c r="H322" s="7"/>
      <c r="I322" s="7"/>
      <c r="J322" s="7" t="s">
        <v>36</v>
      </c>
      <c r="K322" s="7" t="s">
        <v>431</v>
      </c>
      <c r="L322" s="7" t="s">
        <v>432</v>
      </c>
      <c r="M322" s="7" t="s">
        <v>433</v>
      </c>
      <c r="N322" s="7" t="s">
        <v>33</v>
      </c>
      <c r="O322" s="7">
        <v>1</v>
      </c>
      <c r="P322" s="7" t="s">
        <v>40</v>
      </c>
      <c r="Q322" s="7">
        <v>89.99</v>
      </c>
      <c r="R322" s="7"/>
      <c r="S322" s="7"/>
      <c r="T322" s="7"/>
      <c r="U322" s="7"/>
      <c r="V322" s="7"/>
      <c r="W322" s="7"/>
      <c r="X322" s="7"/>
      <c r="Y322" s="7" t="s">
        <v>1743</v>
      </c>
      <c r="Z322" s="7" t="s">
        <v>348</v>
      </c>
      <c r="AA322" s="7" t="s">
        <v>1744</v>
      </c>
      <c r="AB322" s="7" t="s">
        <v>44</v>
      </c>
      <c r="AC322" s="7"/>
      <c r="AD322" s="10"/>
      <c r="AE322" s="10"/>
      <c r="AF322" s="10"/>
      <c r="AG322" s="11">
        <f t="shared" ref="AG322:AG385" si="5">DATEVALUE(LEFT(C322,10))</f>
        <v>43270</v>
      </c>
    </row>
    <row r="323" spans="1:33">
      <c r="A323" s="7" t="s">
        <v>1745</v>
      </c>
      <c r="B323" s="7" t="s">
        <v>1745</v>
      </c>
      <c r="C323" s="7" t="s">
        <v>1746</v>
      </c>
      <c r="D323" s="7" t="s">
        <v>1747</v>
      </c>
      <c r="E323" s="7" t="s">
        <v>33</v>
      </c>
      <c r="F323" s="7" t="s">
        <v>34</v>
      </c>
      <c r="G323" s="7" t="s">
        <v>35</v>
      </c>
      <c r="H323" s="7"/>
      <c r="I323" s="7"/>
      <c r="J323" s="7" t="s">
        <v>69</v>
      </c>
      <c r="K323" s="7" t="s">
        <v>79</v>
      </c>
      <c r="L323" s="7" t="s">
        <v>80</v>
      </c>
      <c r="M323" s="7" t="s">
        <v>81</v>
      </c>
      <c r="N323" s="7" t="s">
        <v>33</v>
      </c>
      <c r="O323" s="7">
        <v>1</v>
      </c>
      <c r="P323" s="7" t="s">
        <v>40</v>
      </c>
      <c r="Q323" s="7">
        <v>91.99</v>
      </c>
      <c r="R323" s="7"/>
      <c r="S323" s="7">
        <v>6.9</v>
      </c>
      <c r="T323" s="7"/>
      <c r="U323" s="7"/>
      <c r="V323" s="7"/>
      <c r="W323" s="7"/>
      <c r="X323" s="7">
        <v>6.9</v>
      </c>
      <c r="Y323" s="7" t="s">
        <v>1748</v>
      </c>
      <c r="Z323" s="7" t="s">
        <v>990</v>
      </c>
      <c r="AA323" s="7" t="s">
        <v>1749</v>
      </c>
      <c r="AB323" s="7" t="s">
        <v>44</v>
      </c>
      <c r="AC323" s="7" t="s">
        <v>75</v>
      </c>
      <c r="AD323" s="10"/>
      <c r="AE323" s="10"/>
      <c r="AF323" s="10"/>
      <c r="AG323" s="11">
        <f t="shared" si="5"/>
        <v>43270</v>
      </c>
    </row>
    <row r="324" spans="1:33">
      <c r="A324" s="7" t="s">
        <v>1750</v>
      </c>
      <c r="B324" s="7" t="s">
        <v>1750</v>
      </c>
      <c r="C324" s="7" t="s">
        <v>1751</v>
      </c>
      <c r="D324" s="7" t="s">
        <v>1752</v>
      </c>
      <c r="E324" s="7" t="s">
        <v>33</v>
      </c>
      <c r="F324" s="7" t="s">
        <v>34</v>
      </c>
      <c r="G324" s="7" t="s">
        <v>35</v>
      </c>
      <c r="H324" s="7"/>
      <c r="I324" s="7"/>
      <c r="J324" s="7" t="s">
        <v>69</v>
      </c>
      <c r="K324" s="7" t="s">
        <v>364</v>
      </c>
      <c r="L324" s="7" t="s">
        <v>365</v>
      </c>
      <c r="M324" s="7" t="s">
        <v>366</v>
      </c>
      <c r="N324" s="7" t="s">
        <v>33</v>
      </c>
      <c r="O324" s="7">
        <v>1</v>
      </c>
      <c r="P324" s="7" t="s">
        <v>40</v>
      </c>
      <c r="Q324" s="7">
        <v>89.99</v>
      </c>
      <c r="R324" s="7"/>
      <c r="S324" s="7">
        <v>8.39</v>
      </c>
      <c r="T324" s="7"/>
      <c r="U324" s="7"/>
      <c r="V324" s="7"/>
      <c r="W324" s="7"/>
      <c r="X324" s="7"/>
      <c r="Y324" s="7" t="s">
        <v>1753</v>
      </c>
      <c r="Z324" s="7" t="s">
        <v>452</v>
      </c>
      <c r="AA324" s="7" t="s">
        <v>1754</v>
      </c>
      <c r="AB324" s="7" t="s">
        <v>44</v>
      </c>
      <c r="AC324" s="7"/>
      <c r="AD324" s="10"/>
      <c r="AE324" s="10"/>
      <c r="AF324" s="10"/>
      <c r="AG324" s="11">
        <f t="shared" si="5"/>
        <v>43270</v>
      </c>
    </row>
    <row r="325" spans="1:33">
      <c r="A325" s="7" t="s">
        <v>1755</v>
      </c>
      <c r="B325" s="7" t="s">
        <v>1755</v>
      </c>
      <c r="C325" s="7" t="s">
        <v>1756</v>
      </c>
      <c r="D325" s="7" t="s">
        <v>1757</v>
      </c>
      <c r="E325" s="7" t="s">
        <v>33</v>
      </c>
      <c r="F325" s="7" t="s">
        <v>34</v>
      </c>
      <c r="G325" s="7" t="s">
        <v>35</v>
      </c>
      <c r="H325" s="7"/>
      <c r="I325" s="7"/>
      <c r="J325" s="7" t="s">
        <v>36</v>
      </c>
      <c r="K325" s="7" t="s">
        <v>698</v>
      </c>
      <c r="L325" s="7" t="s">
        <v>699</v>
      </c>
      <c r="M325" s="7" t="s">
        <v>700</v>
      </c>
      <c r="N325" s="7" t="s">
        <v>33</v>
      </c>
      <c r="O325" s="7">
        <v>1</v>
      </c>
      <c r="P325" s="7" t="s">
        <v>40</v>
      </c>
      <c r="Q325" s="7">
        <v>21.99</v>
      </c>
      <c r="R325" s="7"/>
      <c r="S325" s="7"/>
      <c r="T325" s="7"/>
      <c r="U325" s="7"/>
      <c r="V325" s="7"/>
      <c r="W325" s="7">
        <v>21.77</v>
      </c>
      <c r="X325" s="7"/>
      <c r="Y325" s="7" t="s">
        <v>229</v>
      </c>
      <c r="Z325" s="7" t="s">
        <v>230</v>
      </c>
      <c r="AA325" s="7" t="s">
        <v>231</v>
      </c>
      <c r="AB325" s="7" t="s">
        <v>44</v>
      </c>
      <c r="AC325" s="7" t="s">
        <v>209</v>
      </c>
      <c r="AD325" s="10"/>
      <c r="AE325" s="10"/>
      <c r="AF325" s="10"/>
      <c r="AG325" s="11">
        <f t="shared" si="5"/>
        <v>43270</v>
      </c>
    </row>
    <row r="326" spans="1:33">
      <c r="A326" s="7" t="s">
        <v>1758</v>
      </c>
      <c r="B326" s="7" t="s">
        <v>1758</v>
      </c>
      <c r="C326" s="7" t="s">
        <v>1759</v>
      </c>
      <c r="D326" s="7" t="s">
        <v>1760</v>
      </c>
      <c r="E326" s="7" t="s">
        <v>33</v>
      </c>
      <c r="F326" s="7" t="s">
        <v>34</v>
      </c>
      <c r="G326" s="7" t="s">
        <v>35</v>
      </c>
      <c r="H326" s="7"/>
      <c r="I326" s="7"/>
      <c r="J326" s="7" t="s">
        <v>36</v>
      </c>
      <c r="K326" s="7" t="s">
        <v>131</v>
      </c>
      <c r="L326" s="7" t="s">
        <v>132</v>
      </c>
      <c r="M326" s="7" t="s">
        <v>133</v>
      </c>
      <c r="N326" s="7" t="s">
        <v>33</v>
      </c>
      <c r="O326" s="7">
        <v>1</v>
      </c>
      <c r="P326" s="7" t="s">
        <v>40</v>
      </c>
      <c r="Q326" s="7">
        <v>89.99</v>
      </c>
      <c r="R326" s="7"/>
      <c r="S326" s="7"/>
      <c r="T326" s="7"/>
      <c r="U326" s="7"/>
      <c r="V326" s="7"/>
      <c r="W326" s="7"/>
      <c r="X326" s="7"/>
      <c r="Y326" s="7" t="s">
        <v>1761</v>
      </c>
      <c r="Z326" s="7" t="s">
        <v>316</v>
      </c>
      <c r="AA326" s="7" t="s">
        <v>1762</v>
      </c>
      <c r="AB326" s="7" t="s">
        <v>44</v>
      </c>
      <c r="AC326" s="7"/>
      <c r="AD326" s="10"/>
      <c r="AE326" s="10"/>
      <c r="AF326" s="10"/>
      <c r="AG326" s="11">
        <f t="shared" si="5"/>
        <v>43270</v>
      </c>
    </row>
    <row r="327" spans="1:33">
      <c r="A327" s="7" t="s">
        <v>1763</v>
      </c>
      <c r="B327" s="7" t="s">
        <v>1763</v>
      </c>
      <c r="C327" s="7" t="s">
        <v>1764</v>
      </c>
      <c r="D327" s="7" t="s">
        <v>1765</v>
      </c>
      <c r="E327" s="7" t="s">
        <v>33</v>
      </c>
      <c r="F327" s="7" t="s">
        <v>34</v>
      </c>
      <c r="G327" s="7" t="s">
        <v>35</v>
      </c>
      <c r="H327" s="7"/>
      <c r="I327" s="7"/>
      <c r="J327" s="7" t="s">
        <v>36</v>
      </c>
      <c r="K327" s="7" t="s">
        <v>1766</v>
      </c>
      <c r="L327" s="7" t="s">
        <v>1767</v>
      </c>
      <c r="M327" s="7" t="s">
        <v>1768</v>
      </c>
      <c r="N327" s="7" t="s">
        <v>33</v>
      </c>
      <c r="O327" s="7">
        <v>1</v>
      </c>
      <c r="P327" s="7" t="s">
        <v>40</v>
      </c>
      <c r="Q327" s="7">
        <v>21.99</v>
      </c>
      <c r="R327" s="7">
        <v>0.02</v>
      </c>
      <c r="S327" s="7"/>
      <c r="T327" s="7"/>
      <c r="U327" s="7"/>
      <c r="V327" s="7"/>
      <c r="W327" s="7">
        <v>21.77</v>
      </c>
      <c r="X327" s="7"/>
      <c r="Y327" s="7" t="s">
        <v>1191</v>
      </c>
      <c r="Z327" s="7" t="s">
        <v>97</v>
      </c>
      <c r="AA327" s="7" t="s">
        <v>1192</v>
      </c>
      <c r="AB327" s="7" t="s">
        <v>44</v>
      </c>
      <c r="AC327" s="7" t="s">
        <v>209</v>
      </c>
      <c r="AD327" s="10"/>
      <c r="AE327" s="10"/>
      <c r="AF327" s="10"/>
      <c r="AG327" s="11">
        <f t="shared" si="5"/>
        <v>43270</v>
      </c>
    </row>
    <row r="328" spans="1:33">
      <c r="A328" s="7" t="s">
        <v>1769</v>
      </c>
      <c r="B328" s="7" t="s">
        <v>1769</v>
      </c>
      <c r="C328" s="7" t="s">
        <v>1770</v>
      </c>
      <c r="D328" s="7" t="s">
        <v>1771</v>
      </c>
      <c r="E328" s="7" t="s">
        <v>33</v>
      </c>
      <c r="F328" s="7" t="s">
        <v>34</v>
      </c>
      <c r="G328" s="7" t="s">
        <v>35</v>
      </c>
      <c r="H328" s="7"/>
      <c r="I328" s="7"/>
      <c r="J328" s="7" t="s">
        <v>36</v>
      </c>
      <c r="K328" s="7" t="s">
        <v>1772</v>
      </c>
      <c r="L328" s="7" t="s">
        <v>1773</v>
      </c>
      <c r="M328" s="7" t="s">
        <v>1774</v>
      </c>
      <c r="N328" s="7" t="s">
        <v>33</v>
      </c>
      <c r="O328" s="7">
        <v>1</v>
      </c>
      <c r="P328" s="7" t="s">
        <v>40</v>
      </c>
      <c r="Q328" s="7">
        <v>89.99</v>
      </c>
      <c r="R328" s="7"/>
      <c r="S328" s="7"/>
      <c r="T328" s="7"/>
      <c r="U328" s="7"/>
      <c r="V328" s="7"/>
      <c r="W328" s="7"/>
      <c r="X328" s="7"/>
      <c r="Y328" s="7" t="s">
        <v>73</v>
      </c>
      <c r="Z328" s="7" t="s">
        <v>613</v>
      </c>
      <c r="AA328" s="7" t="s">
        <v>1775</v>
      </c>
      <c r="AB328" s="7" t="s">
        <v>44</v>
      </c>
      <c r="AC328" s="7"/>
      <c r="AD328" s="10"/>
      <c r="AE328" s="10"/>
      <c r="AF328" s="10"/>
      <c r="AG328" s="11">
        <f t="shared" si="5"/>
        <v>43270</v>
      </c>
    </row>
    <row r="329" spans="1:33">
      <c r="A329" s="7" t="s">
        <v>1769</v>
      </c>
      <c r="B329" s="7" t="s">
        <v>1769</v>
      </c>
      <c r="C329" s="7" t="s">
        <v>1770</v>
      </c>
      <c r="D329" s="7" t="s">
        <v>1771</v>
      </c>
      <c r="E329" s="7" t="s">
        <v>33</v>
      </c>
      <c r="F329" s="7" t="s">
        <v>34</v>
      </c>
      <c r="G329" s="7" t="s">
        <v>35</v>
      </c>
      <c r="H329" s="7"/>
      <c r="I329" s="7"/>
      <c r="J329" s="7" t="s">
        <v>36</v>
      </c>
      <c r="K329" s="7" t="s">
        <v>79</v>
      </c>
      <c r="L329" s="7" t="s">
        <v>80</v>
      </c>
      <c r="M329" s="7" t="s">
        <v>81</v>
      </c>
      <c r="N329" s="7" t="s">
        <v>33</v>
      </c>
      <c r="O329" s="7">
        <v>1</v>
      </c>
      <c r="P329" s="7" t="s">
        <v>40</v>
      </c>
      <c r="Q329" s="7">
        <v>91.99</v>
      </c>
      <c r="R329" s="7"/>
      <c r="S329" s="7"/>
      <c r="T329" s="7"/>
      <c r="U329" s="7"/>
      <c r="V329" s="7"/>
      <c r="W329" s="7"/>
      <c r="X329" s="7"/>
      <c r="Y329" s="7" t="s">
        <v>73</v>
      </c>
      <c r="Z329" s="7" t="s">
        <v>613</v>
      </c>
      <c r="AA329" s="7" t="s">
        <v>1775</v>
      </c>
      <c r="AB329" s="7" t="s">
        <v>44</v>
      </c>
      <c r="AC329" s="7"/>
      <c r="AD329" s="10"/>
      <c r="AE329" s="10"/>
      <c r="AF329" s="10"/>
      <c r="AG329" s="11">
        <f t="shared" si="5"/>
        <v>43270</v>
      </c>
    </row>
    <row r="330" spans="1:33">
      <c r="A330" s="7" t="s">
        <v>1776</v>
      </c>
      <c r="B330" s="7" t="s">
        <v>1776</v>
      </c>
      <c r="C330" s="7" t="s">
        <v>1777</v>
      </c>
      <c r="D330" s="7" t="s">
        <v>1778</v>
      </c>
      <c r="E330" s="7" t="s">
        <v>33</v>
      </c>
      <c r="F330" s="7" t="s">
        <v>34</v>
      </c>
      <c r="G330" s="7" t="s">
        <v>35</v>
      </c>
      <c r="H330" s="7"/>
      <c r="I330" s="7"/>
      <c r="J330" s="7" t="s">
        <v>36</v>
      </c>
      <c r="K330" s="7" t="s">
        <v>102</v>
      </c>
      <c r="L330" s="7" t="s">
        <v>103</v>
      </c>
      <c r="M330" s="7" t="s">
        <v>104</v>
      </c>
      <c r="N330" s="7" t="s">
        <v>33</v>
      </c>
      <c r="O330" s="7">
        <v>1</v>
      </c>
      <c r="P330" s="7" t="s">
        <v>40</v>
      </c>
      <c r="Q330" s="7">
        <v>89.99</v>
      </c>
      <c r="R330" s="7"/>
      <c r="S330" s="7"/>
      <c r="T330" s="7"/>
      <c r="U330" s="7"/>
      <c r="V330" s="7"/>
      <c r="W330" s="7"/>
      <c r="X330" s="7"/>
      <c r="Y330" s="7" t="s">
        <v>1779</v>
      </c>
      <c r="Z330" s="7" t="s">
        <v>1780</v>
      </c>
      <c r="AA330" s="7">
        <v>80007</v>
      </c>
      <c r="AB330" s="7" t="s">
        <v>44</v>
      </c>
      <c r="AC330" s="7"/>
      <c r="AD330" s="10"/>
      <c r="AE330" s="10"/>
      <c r="AF330" s="10"/>
      <c r="AG330" s="11">
        <f t="shared" si="5"/>
        <v>43270</v>
      </c>
    </row>
    <row r="331" spans="1:33">
      <c r="A331" s="7" t="s">
        <v>1781</v>
      </c>
      <c r="B331" s="7" t="s">
        <v>1781</v>
      </c>
      <c r="C331" s="7" t="s">
        <v>1782</v>
      </c>
      <c r="D331" s="7" t="s">
        <v>1783</v>
      </c>
      <c r="E331" s="7" t="s">
        <v>33</v>
      </c>
      <c r="F331" s="7" t="s">
        <v>34</v>
      </c>
      <c r="G331" s="7" t="s">
        <v>35</v>
      </c>
      <c r="H331" s="7"/>
      <c r="I331" s="7"/>
      <c r="J331" s="7" t="s">
        <v>69</v>
      </c>
      <c r="K331" s="7" t="s">
        <v>48</v>
      </c>
      <c r="L331" s="7" t="s">
        <v>49</v>
      </c>
      <c r="M331" s="7" t="s">
        <v>50</v>
      </c>
      <c r="N331" s="7" t="s">
        <v>33</v>
      </c>
      <c r="O331" s="7">
        <v>1</v>
      </c>
      <c r="P331" s="7" t="s">
        <v>40</v>
      </c>
      <c r="Q331" s="7">
        <v>89.99</v>
      </c>
      <c r="R331" s="7"/>
      <c r="S331" s="7">
        <v>8.28</v>
      </c>
      <c r="T331" s="7"/>
      <c r="U331" s="7"/>
      <c r="V331" s="7"/>
      <c r="W331" s="7"/>
      <c r="X331" s="7"/>
      <c r="Y331" s="7" t="s">
        <v>1784</v>
      </c>
      <c r="Z331" s="7" t="s">
        <v>497</v>
      </c>
      <c r="AA331" s="7" t="s">
        <v>1785</v>
      </c>
      <c r="AB331" s="7" t="s">
        <v>44</v>
      </c>
      <c r="AC331" s="7"/>
      <c r="AD331" s="10"/>
      <c r="AE331" s="10"/>
      <c r="AF331" s="10"/>
      <c r="AG331" s="11">
        <f t="shared" si="5"/>
        <v>43270</v>
      </c>
    </row>
    <row r="332" spans="1:33">
      <c r="A332" s="7" t="s">
        <v>1786</v>
      </c>
      <c r="B332" s="7" t="s">
        <v>1786</v>
      </c>
      <c r="C332" s="7" t="s">
        <v>1787</v>
      </c>
      <c r="D332" s="7" t="s">
        <v>1788</v>
      </c>
      <c r="E332" s="7" t="s">
        <v>54</v>
      </c>
      <c r="F332" s="7" t="s">
        <v>34</v>
      </c>
      <c r="G332" s="7" t="s">
        <v>35</v>
      </c>
      <c r="H332" s="7"/>
      <c r="I332" s="7"/>
      <c r="J332" s="7" t="s">
        <v>36</v>
      </c>
      <c r="K332" s="7" t="s">
        <v>137</v>
      </c>
      <c r="L332" s="7" t="s">
        <v>138</v>
      </c>
      <c r="M332" s="7" t="s">
        <v>139</v>
      </c>
      <c r="N332" s="7" t="s">
        <v>54</v>
      </c>
      <c r="O332" s="7">
        <v>0</v>
      </c>
      <c r="P332" s="7"/>
      <c r="Q332" s="7"/>
      <c r="R332" s="7"/>
      <c r="S332" s="7"/>
      <c r="T332" s="7"/>
      <c r="U332" s="7"/>
      <c r="V332" s="7"/>
      <c r="W332" s="7"/>
      <c r="X332" s="7"/>
      <c r="Y332" s="7" t="s">
        <v>823</v>
      </c>
      <c r="Z332" s="7" t="s">
        <v>83</v>
      </c>
      <c r="AA332" s="7" t="s">
        <v>824</v>
      </c>
      <c r="AB332" s="7" t="s">
        <v>44</v>
      </c>
      <c r="AC332" s="7"/>
      <c r="AD332" s="10"/>
      <c r="AE332" s="10"/>
      <c r="AF332" s="10"/>
      <c r="AG332" s="11">
        <f t="shared" si="5"/>
        <v>43270</v>
      </c>
    </row>
    <row r="333" spans="1:33">
      <c r="A333" s="7" t="s">
        <v>1789</v>
      </c>
      <c r="B333" s="7" t="s">
        <v>1789</v>
      </c>
      <c r="C333" s="7" t="s">
        <v>1790</v>
      </c>
      <c r="D333" s="7" t="s">
        <v>1791</v>
      </c>
      <c r="E333" s="7" t="s">
        <v>33</v>
      </c>
      <c r="F333" s="7" t="s">
        <v>34</v>
      </c>
      <c r="G333" s="7" t="s">
        <v>35</v>
      </c>
      <c r="H333" s="7"/>
      <c r="I333" s="7"/>
      <c r="J333" s="7" t="s">
        <v>36</v>
      </c>
      <c r="K333" s="7" t="s">
        <v>1772</v>
      </c>
      <c r="L333" s="7" t="s">
        <v>1773</v>
      </c>
      <c r="M333" s="7" t="s">
        <v>1774</v>
      </c>
      <c r="N333" s="7" t="s">
        <v>33</v>
      </c>
      <c r="O333" s="7">
        <v>1</v>
      </c>
      <c r="P333" s="7" t="s">
        <v>40</v>
      </c>
      <c r="Q333" s="7">
        <v>89.99</v>
      </c>
      <c r="R333" s="7">
        <v>8.01</v>
      </c>
      <c r="S333" s="7"/>
      <c r="T333" s="7"/>
      <c r="U333" s="7"/>
      <c r="V333" s="7"/>
      <c r="W333" s="7"/>
      <c r="X333" s="7"/>
      <c r="Y333" s="7" t="s">
        <v>1792</v>
      </c>
      <c r="Z333" s="7" t="s">
        <v>97</v>
      </c>
      <c r="AA333" s="7" t="s">
        <v>1793</v>
      </c>
      <c r="AB333" s="7" t="s">
        <v>44</v>
      </c>
      <c r="AC333" s="7"/>
      <c r="AD333" s="10"/>
      <c r="AE333" s="10"/>
      <c r="AF333" s="10"/>
      <c r="AG333" s="11">
        <f t="shared" si="5"/>
        <v>43270</v>
      </c>
    </row>
    <row r="334" spans="1:33">
      <c r="A334" s="7" t="s">
        <v>1794</v>
      </c>
      <c r="B334" s="7" t="s">
        <v>1794</v>
      </c>
      <c r="C334" s="7" t="s">
        <v>1795</v>
      </c>
      <c r="D334" s="7" t="s">
        <v>1796</v>
      </c>
      <c r="E334" s="7" t="s">
        <v>33</v>
      </c>
      <c r="F334" s="7" t="s">
        <v>34</v>
      </c>
      <c r="G334" s="7" t="s">
        <v>35</v>
      </c>
      <c r="H334" s="7"/>
      <c r="I334" s="7"/>
      <c r="J334" s="7" t="s">
        <v>36</v>
      </c>
      <c r="K334" s="7" t="s">
        <v>48</v>
      </c>
      <c r="L334" s="7" t="s">
        <v>49</v>
      </c>
      <c r="M334" s="7" t="s">
        <v>50</v>
      </c>
      <c r="N334" s="7" t="s">
        <v>33</v>
      </c>
      <c r="O334" s="7">
        <v>1</v>
      </c>
      <c r="P334" s="7" t="s">
        <v>40</v>
      </c>
      <c r="Q334" s="7">
        <v>89.99</v>
      </c>
      <c r="R334" s="7"/>
      <c r="S334" s="7"/>
      <c r="T334" s="7"/>
      <c r="U334" s="7"/>
      <c r="V334" s="7"/>
      <c r="W334" s="7"/>
      <c r="X334" s="7"/>
      <c r="Y334" s="7" t="s">
        <v>1599</v>
      </c>
      <c r="Z334" s="7" t="s">
        <v>1797</v>
      </c>
      <c r="AA334" s="7" t="s">
        <v>1798</v>
      </c>
      <c r="AB334" s="7" t="s">
        <v>44</v>
      </c>
      <c r="AC334" s="7"/>
      <c r="AD334" s="10"/>
      <c r="AE334" s="10"/>
      <c r="AF334" s="10"/>
      <c r="AG334" s="11">
        <f t="shared" si="5"/>
        <v>43270</v>
      </c>
    </row>
    <row r="335" spans="1:33">
      <c r="A335" s="7" t="s">
        <v>1799</v>
      </c>
      <c r="B335" s="7" t="s">
        <v>1799</v>
      </c>
      <c r="C335" s="7" t="s">
        <v>1800</v>
      </c>
      <c r="D335" s="7" t="s">
        <v>1801</v>
      </c>
      <c r="E335" s="7" t="s">
        <v>33</v>
      </c>
      <c r="F335" s="7" t="s">
        <v>34</v>
      </c>
      <c r="G335" s="7" t="s">
        <v>35</v>
      </c>
      <c r="H335" s="7"/>
      <c r="I335" s="7"/>
      <c r="J335" s="7" t="s">
        <v>69</v>
      </c>
      <c r="K335" s="7" t="s">
        <v>148</v>
      </c>
      <c r="L335" s="7" t="s">
        <v>149</v>
      </c>
      <c r="M335" s="7" t="s">
        <v>150</v>
      </c>
      <c r="N335" s="7" t="s">
        <v>33</v>
      </c>
      <c r="O335" s="7">
        <v>1</v>
      </c>
      <c r="P335" s="7" t="s">
        <v>40</v>
      </c>
      <c r="Q335" s="7">
        <v>98.99</v>
      </c>
      <c r="R335" s="7"/>
      <c r="S335" s="7">
        <v>4.92</v>
      </c>
      <c r="T335" s="7"/>
      <c r="U335" s="7"/>
      <c r="V335" s="7"/>
      <c r="W335" s="7"/>
      <c r="X335" s="7">
        <v>4.92</v>
      </c>
      <c r="Y335" s="7" t="s">
        <v>1802</v>
      </c>
      <c r="Z335" s="7" t="s">
        <v>152</v>
      </c>
      <c r="AA335" s="7" t="s">
        <v>1803</v>
      </c>
      <c r="AB335" s="7" t="s">
        <v>44</v>
      </c>
      <c r="AC335" s="7" t="s">
        <v>75</v>
      </c>
      <c r="AD335" s="10"/>
      <c r="AE335" s="10"/>
      <c r="AF335" s="10"/>
      <c r="AG335" s="11">
        <f t="shared" si="5"/>
        <v>43270</v>
      </c>
    </row>
    <row r="336" spans="1:33">
      <c r="A336" s="7" t="s">
        <v>1804</v>
      </c>
      <c r="B336" s="7" t="s">
        <v>1804</v>
      </c>
      <c r="C336" s="7" t="s">
        <v>1805</v>
      </c>
      <c r="D336" s="7" t="s">
        <v>1806</v>
      </c>
      <c r="E336" s="7" t="s">
        <v>33</v>
      </c>
      <c r="F336" s="7" t="s">
        <v>34</v>
      </c>
      <c r="G336" s="7" t="s">
        <v>35</v>
      </c>
      <c r="H336" s="7"/>
      <c r="I336" s="7"/>
      <c r="J336" s="7" t="s">
        <v>163</v>
      </c>
      <c r="K336" s="7" t="s">
        <v>1807</v>
      </c>
      <c r="L336" s="7" t="s">
        <v>1808</v>
      </c>
      <c r="M336" s="7" t="s">
        <v>1809</v>
      </c>
      <c r="N336" s="7" t="s">
        <v>33</v>
      </c>
      <c r="O336" s="7">
        <v>1</v>
      </c>
      <c r="P336" s="7" t="s">
        <v>40</v>
      </c>
      <c r="Q336" s="7">
        <v>79.99</v>
      </c>
      <c r="R336" s="7"/>
      <c r="S336" s="7"/>
      <c r="T336" s="7"/>
      <c r="U336" s="7"/>
      <c r="V336" s="7"/>
      <c r="W336" s="7"/>
      <c r="X336" s="7"/>
      <c r="Y336" s="7" t="s">
        <v>1810</v>
      </c>
      <c r="Z336" s="7" t="s">
        <v>83</v>
      </c>
      <c r="AA336" s="7" t="s">
        <v>1811</v>
      </c>
      <c r="AB336" s="7" t="s">
        <v>44</v>
      </c>
      <c r="AC336" s="7"/>
      <c r="AD336" s="10"/>
      <c r="AE336" s="10"/>
      <c r="AF336" s="10"/>
      <c r="AG336" s="11">
        <f t="shared" si="5"/>
        <v>43270</v>
      </c>
    </row>
    <row r="337" spans="1:33">
      <c r="A337" s="7" t="s">
        <v>1812</v>
      </c>
      <c r="B337" s="7" t="s">
        <v>1812</v>
      </c>
      <c r="C337" s="7" t="s">
        <v>1813</v>
      </c>
      <c r="D337" s="7" t="s">
        <v>1814</v>
      </c>
      <c r="E337" s="7" t="s">
        <v>54</v>
      </c>
      <c r="F337" s="7" t="s">
        <v>34</v>
      </c>
      <c r="G337" s="7" t="s">
        <v>35</v>
      </c>
      <c r="H337" s="7"/>
      <c r="I337" s="7"/>
      <c r="J337" s="7" t="s">
        <v>36</v>
      </c>
      <c r="K337" s="7" t="s">
        <v>70</v>
      </c>
      <c r="L337" s="7" t="s">
        <v>71</v>
      </c>
      <c r="M337" s="7" t="s">
        <v>72</v>
      </c>
      <c r="N337" s="7" t="s">
        <v>62</v>
      </c>
      <c r="O337" s="7">
        <v>1</v>
      </c>
      <c r="P337" s="7" t="s">
        <v>40</v>
      </c>
      <c r="Q337" s="7">
        <v>79.99</v>
      </c>
      <c r="R337" s="7"/>
      <c r="S337" s="7"/>
      <c r="T337" s="7"/>
      <c r="U337" s="7"/>
      <c r="V337" s="7"/>
      <c r="W337" s="7"/>
      <c r="X337" s="7"/>
      <c r="Y337" s="7" t="s">
        <v>1815</v>
      </c>
      <c r="Z337" s="7" t="s">
        <v>83</v>
      </c>
      <c r="AA337" s="7" t="s">
        <v>1816</v>
      </c>
      <c r="AB337" s="7" t="s">
        <v>44</v>
      </c>
      <c r="AC337" s="7"/>
      <c r="AD337" s="10"/>
      <c r="AE337" s="10"/>
      <c r="AF337" s="10"/>
      <c r="AG337" s="11">
        <f t="shared" si="5"/>
        <v>43270</v>
      </c>
    </row>
    <row r="338" spans="1:33">
      <c r="A338" s="7" t="s">
        <v>1817</v>
      </c>
      <c r="B338" s="7" t="s">
        <v>1817</v>
      </c>
      <c r="C338" s="7" t="s">
        <v>1818</v>
      </c>
      <c r="D338" s="7" t="s">
        <v>1819</v>
      </c>
      <c r="E338" s="7" t="s">
        <v>54</v>
      </c>
      <c r="F338" s="7" t="s">
        <v>34</v>
      </c>
      <c r="G338" s="7" t="s">
        <v>35</v>
      </c>
      <c r="H338" s="7"/>
      <c r="I338" s="7"/>
      <c r="J338" s="7" t="s">
        <v>36</v>
      </c>
      <c r="K338" s="7" t="s">
        <v>1820</v>
      </c>
      <c r="L338" s="7" t="s">
        <v>1821</v>
      </c>
      <c r="M338" s="7" t="s">
        <v>1822</v>
      </c>
      <c r="N338" s="7" t="s">
        <v>54</v>
      </c>
      <c r="O338" s="7">
        <v>0</v>
      </c>
      <c r="P338" s="7"/>
      <c r="Q338" s="7"/>
      <c r="R338" s="7"/>
      <c r="S338" s="7"/>
      <c r="T338" s="7"/>
      <c r="U338" s="7"/>
      <c r="V338" s="7"/>
      <c r="W338" s="7"/>
      <c r="X338" s="7"/>
      <c r="Y338" s="7" t="s">
        <v>1823</v>
      </c>
      <c r="Z338" s="7" t="s">
        <v>293</v>
      </c>
      <c r="AA338" s="7" t="s">
        <v>1824</v>
      </c>
      <c r="AB338" s="7" t="s">
        <v>44</v>
      </c>
      <c r="AC338" s="7"/>
      <c r="AD338" s="10"/>
      <c r="AE338" s="10"/>
      <c r="AF338" s="10"/>
      <c r="AG338" s="11">
        <f t="shared" si="5"/>
        <v>43270</v>
      </c>
    </row>
    <row r="339" spans="1:33">
      <c r="A339" s="7" t="s">
        <v>1825</v>
      </c>
      <c r="B339" s="7" t="s">
        <v>1825</v>
      </c>
      <c r="C339" s="7" t="s">
        <v>1826</v>
      </c>
      <c r="D339" s="7" t="s">
        <v>1827</v>
      </c>
      <c r="E339" s="7" t="s">
        <v>54</v>
      </c>
      <c r="F339" s="7" t="s">
        <v>34</v>
      </c>
      <c r="G339" s="7" t="s">
        <v>35</v>
      </c>
      <c r="H339" s="7"/>
      <c r="I339" s="7"/>
      <c r="J339" s="7" t="s">
        <v>58</v>
      </c>
      <c r="K339" s="7" t="s">
        <v>554</v>
      </c>
      <c r="L339" s="7" t="s">
        <v>555</v>
      </c>
      <c r="M339" s="7" t="s">
        <v>556</v>
      </c>
      <c r="N339" s="7" t="s">
        <v>54</v>
      </c>
      <c r="O339" s="7">
        <v>0</v>
      </c>
      <c r="P339" s="7"/>
      <c r="Q339" s="7"/>
      <c r="R339" s="7"/>
      <c r="S339" s="7"/>
      <c r="T339" s="7"/>
      <c r="U339" s="7"/>
      <c r="V339" s="7"/>
      <c r="W339" s="7"/>
      <c r="X339" s="7"/>
      <c r="Y339" s="7" t="s">
        <v>1828</v>
      </c>
      <c r="Z339" s="7" t="s">
        <v>152</v>
      </c>
      <c r="AA339" s="7" t="s">
        <v>1829</v>
      </c>
      <c r="AB339" s="7" t="s">
        <v>44</v>
      </c>
      <c r="AC339" s="7"/>
      <c r="AD339" s="10"/>
      <c r="AE339" s="10"/>
      <c r="AF339" s="10"/>
      <c r="AG339" s="11">
        <f t="shared" si="5"/>
        <v>43270</v>
      </c>
    </row>
    <row r="340" spans="1:33">
      <c r="A340" s="7" t="s">
        <v>1830</v>
      </c>
      <c r="B340" s="7" t="s">
        <v>1830</v>
      </c>
      <c r="C340" s="7" t="s">
        <v>1831</v>
      </c>
      <c r="D340" s="7" t="s">
        <v>1832</v>
      </c>
      <c r="E340" s="7" t="s">
        <v>33</v>
      </c>
      <c r="F340" s="7" t="s">
        <v>34</v>
      </c>
      <c r="G340" s="7" t="s">
        <v>35</v>
      </c>
      <c r="H340" s="7"/>
      <c r="I340" s="7"/>
      <c r="J340" s="7" t="s">
        <v>36</v>
      </c>
      <c r="K340" s="7" t="s">
        <v>148</v>
      </c>
      <c r="L340" s="7" t="s">
        <v>149</v>
      </c>
      <c r="M340" s="7" t="s">
        <v>150</v>
      </c>
      <c r="N340" s="7" t="s">
        <v>33</v>
      </c>
      <c r="O340" s="7">
        <v>1</v>
      </c>
      <c r="P340" s="7" t="s">
        <v>40</v>
      </c>
      <c r="Q340" s="7">
        <v>98.99</v>
      </c>
      <c r="R340" s="7"/>
      <c r="S340" s="7"/>
      <c r="T340" s="7"/>
      <c r="U340" s="7"/>
      <c r="V340" s="7"/>
      <c r="W340" s="7"/>
      <c r="X340" s="7"/>
      <c r="Y340" s="7" t="s">
        <v>1833</v>
      </c>
      <c r="Z340" s="7" t="s">
        <v>816</v>
      </c>
      <c r="AA340" s="7">
        <v>44212</v>
      </c>
      <c r="AB340" s="7" t="s">
        <v>44</v>
      </c>
      <c r="AC340" s="7"/>
      <c r="AD340" s="10"/>
      <c r="AE340" s="10"/>
      <c r="AF340" s="10"/>
      <c r="AG340" s="11">
        <f t="shared" si="5"/>
        <v>43270</v>
      </c>
    </row>
    <row r="341" spans="1:33">
      <c r="A341" s="7" t="s">
        <v>1834</v>
      </c>
      <c r="B341" s="7" t="s">
        <v>1834</v>
      </c>
      <c r="C341" s="7" t="s">
        <v>1835</v>
      </c>
      <c r="D341" s="7" t="s">
        <v>1836</v>
      </c>
      <c r="E341" s="7" t="s">
        <v>33</v>
      </c>
      <c r="F341" s="7" t="s">
        <v>34</v>
      </c>
      <c r="G341" s="7" t="s">
        <v>35</v>
      </c>
      <c r="H341" s="7"/>
      <c r="I341" s="7"/>
      <c r="J341" s="7" t="s">
        <v>36</v>
      </c>
      <c r="K341" s="7" t="s">
        <v>1837</v>
      </c>
      <c r="L341" s="7" t="s">
        <v>1838</v>
      </c>
      <c r="M341" s="7" t="s">
        <v>1839</v>
      </c>
      <c r="N341" s="7" t="s">
        <v>33</v>
      </c>
      <c r="O341" s="7">
        <v>1</v>
      </c>
      <c r="P341" s="7" t="s">
        <v>40</v>
      </c>
      <c r="Q341" s="7">
        <v>19.99</v>
      </c>
      <c r="R341" s="7"/>
      <c r="S341" s="7"/>
      <c r="T341" s="7"/>
      <c r="U341" s="7"/>
      <c r="V341" s="7"/>
      <c r="W341" s="7"/>
      <c r="X341" s="7"/>
      <c r="Y341" s="7" t="s">
        <v>1840</v>
      </c>
      <c r="Z341" s="7" t="s">
        <v>207</v>
      </c>
      <c r="AA341" s="7" t="s">
        <v>1841</v>
      </c>
      <c r="AB341" s="7" t="s">
        <v>44</v>
      </c>
      <c r="AC341" s="7"/>
      <c r="AD341" s="10"/>
      <c r="AE341" s="10"/>
      <c r="AF341" s="10"/>
      <c r="AG341" s="11">
        <f t="shared" si="5"/>
        <v>43270</v>
      </c>
    </row>
    <row r="342" spans="1:33">
      <c r="A342" s="7" t="s">
        <v>1842</v>
      </c>
      <c r="B342" s="7" t="s">
        <v>1842</v>
      </c>
      <c r="C342" s="7" t="s">
        <v>1843</v>
      </c>
      <c r="D342" s="7" t="s">
        <v>1844</v>
      </c>
      <c r="E342" s="7" t="s">
        <v>33</v>
      </c>
      <c r="F342" s="7" t="s">
        <v>34</v>
      </c>
      <c r="G342" s="7" t="s">
        <v>35</v>
      </c>
      <c r="H342" s="7"/>
      <c r="I342" s="7"/>
      <c r="J342" s="7" t="s">
        <v>163</v>
      </c>
      <c r="K342" s="7" t="s">
        <v>1517</v>
      </c>
      <c r="L342" s="7" t="s">
        <v>1518</v>
      </c>
      <c r="M342" s="7" t="s">
        <v>1519</v>
      </c>
      <c r="N342" s="7" t="s">
        <v>33</v>
      </c>
      <c r="O342" s="7">
        <v>1</v>
      </c>
      <c r="P342" s="7" t="s">
        <v>40</v>
      </c>
      <c r="Q342" s="7">
        <v>89.99</v>
      </c>
      <c r="R342" s="7"/>
      <c r="S342" s="7">
        <v>7.99</v>
      </c>
      <c r="T342" s="7"/>
      <c r="U342" s="7"/>
      <c r="V342" s="7"/>
      <c r="W342" s="7"/>
      <c r="X342" s="7">
        <v>7.99</v>
      </c>
      <c r="Y342" s="7" t="s">
        <v>584</v>
      </c>
      <c r="Z342" s="7" t="s">
        <v>391</v>
      </c>
      <c r="AA342" s="7" t="s">
        <v>585</v>
      </c>
      <c r="AB342" s="7" t="s">
        <v>44</v>
      </c>
      <c r="AC342" s="7"/>
      <c r="AD342" s="10"/>
      <c r="AE342" s="10"/>
      <c r="AF342" s="10"/>
      <c r="AG342" s="11">
        <f t="shared" si="5"/>
        <v>43270</v>
      </c>
    </row>
    <row r="343" spans="1:33">
      <c r="A343" s="7" t="s">
        <v>1845</v>
      </c>
      <c r="B343" s="7" t="s">
        <v>1845</v>
      </c>
      <c r="C343" s="7" t="s">
        <v>1846</v>
      </c>
      <c r="D343" s="7" t="s">
        <v>1847</v>
      </c>
      <c r="E343" s="7" t="s">
        <v>33</v>
      </c>
      <c r="F343" s="7" t="s">
        <v>34</v>
      </c>
      <c r="G343" s="7" t="s">
        <v>35</v>
      </c>
      <c r="H343" s="7"/>
      <c r="I343" s="7"/>
      <c r="J343" s="7" t="s">
        <v>36</v>
      </c>
      <c r="K343" s="7" t="s">
        <v>148</v>
      </c>
      <c r="L343" s="7" t="s">
        <v>149</v>
      </c>
      <c r="M343" s="7" t="s">
        <v>150</v>
      </c>
      <c r="N343" s="7" t="s">
        <v>33</v>
      </c>
      <c r="O343" s="7">
        <v>1</v>
      </c>
      <c r="P343" s="7" t="s">
        <v>40</v>
      </c>
      <c r="Q343" s="7">
        <v>98.99</v>
      </c>
      <c r="R343" s="7">
        <v>8.51</v>
      </c>
      <c r="S343" s="7"/>
      <c r="T343" s="7"/>
      <c r="U343" s="7"/>
      <c r="V343" s="7"/>
      <c r="W343" s="7"/>
      <c r="X343" s="7"/>
      <c r="Y343" s="7" t="s">
        <v>1848</v>
      </c>
      <c r="Z343" s="7" t="s">
        <v>97</v>
      </c>
      <c r="AA343" s="7" t="s">
        <v>1849</v>
      </c>
      <c r="AB343" s="7" t="s">
        <v>44</v>
      </c>
      <c r="AC343" s="7"/>
      <c r="AD343" s="10"/>
      <c r="AE343" s="10"/>
      <c r="AF343" s="10"/>
      <c r="AG343" s="11">
        <f t="shared" si="5"/>
        <v>43270</v>
      </c>
    </row>
    <row r="344" spans="1:33">
      <c r="A344" s="7" t="s">
        <v>1850</v>
      </c>
      <c r="B344" s="7" t="s">
        <v>1850</v>
      </c>
      <c r="C344" s="7" t="s">
        <v>1851</v>
      </c>
      <c r="D344" s="7" t="s">
        <v>1852</v>
      </c>
      <c r="E344" s="7" t="s">
        <v>33</v>
      </c>
      <c r="F344" s="7" t="s">
        <v>34</v>
      </c>
      <c r="G344" s="7" t="s">
        <v>35</v>
      </c>
      <c r="H344" s="7"/>
      <c r="I344" s="7"/>
      <c r="J344" s="7" t="s">
        <v>36</v>
      </c>
      <c r="K344" s="7" t="s">
        <v>226</v>
      </c>
      <c r="L344" s="7" t="s">
        <v>227</v>
      </c>
      <c r="M344" s="7" t="s">
        <v>228</v>
      </c>
      <c r="N344" s="7" t="s">
        <v>33</v>
      </c>
      <c r="O344" s="7">
        <v>1</v>
      </c>
      <c r="P344" s="7" t="s">
        <v>40</v>
      </c>
      <c r="Q344" s="7">
        <v>34.99</v>
      </c>
      <c r="R344" s="7"/>
      <c r="S344" s="7"/>
      <c r="T344" s="7"/>
      <c r="U344" s="7"/>
      <c r="V344" s="7"/>
      <c r="W344" s="7"/>
      <c r="X344" s="7"/>
      <c r="Y344" s="7" t="s">
        <v>1853</v>
      </c>
      <c r="Z344" s="7" t="s">
        <v>83</v>
      </c>
      <c r="AA344" s="7" t="s">
        <v>1854</v>
      </c>
      <c r="AB344" s="7" t="s">
        <v>44</v>
      </c>
      <c r="AC344" s="7"/>
      <c r="AD344" s="10"/>
      <c r="AE344" s="10"/>
      <c r="AF344" s="10"/>
      <c r="AG344" s="11">
        <f t="shared" si="5"/>
        <v>43270</v>
      </c>
    </row>
    <row r="345" spans="1:33">
      <c r="A345" s="7" t="s">
        <v>1855</v>
      </c>
      <c r="B345" s="7" t="s">
        <v>1855</v>
      </c>
      <c r="C345" s="7" t="s">
        <v>1856</v>
      </c>
      <c r="D345" s="7" t="s">
        <v>1857</v>
      </c>
      <c r="E345" s="7" t="s">
        <v>33</v>
      </c>
      <c r="F345" s="7" t="s">
        <v>34</v>
      </c>
      <c r="G345" s="7" t="s">
        <v>35</v>
      </c>
      <c r="H345" s="7"/>
      <c r="I345" s="7"/>
      <c r="J345" s="7" t="s">
        <v>36</v>
      </c>
      <c r="K345" s="7" t="s">
        <v>148</v>
      </c>
      <c r="L345" s="7" t="s">
        <v>149</v>
      </c>
      <c r="M345" s="7" t="s">
        <v>150</v>
      </c>
      <c r="N345" s="7" t="s">
        <v>33</v>
      </c>
      <c r="O345" s="7">
        <v>1</v>
      </c>
      <c r="P345" s="7" t="s">
        <v>40</v>
      </c>
      <c r="Q345" s="7">
        <v>98.99</v>
      </c>
      <c r="R345" s="7"/>
      <c r="S345" s="7"/>
      <c r="T345" s="7"/>
      <c r="U345" s="7"/>
      <c r="V345" s="7"/>
      <c r="W345" s="7"/>
      <c r="X345" s="7"/>
      <c r="Y345" s="7" t="s">
        <v>1858</v>
      </c>
      <c r="Z345" s="7" t="s">
        <v>42</v>
      </c>
      <c r="AA345" s="7">
        <v>76542</v>
      </c>
      <c r="AB345" s="7" t="s">
        <v>44</v>
      </c>
      <c r="AC345" s="7"/>
      <c r="AD345" s="10"/>
      <c r="AE345" s="10"/>
      <c r="AF345" s="10"/>
      <c r="AG345" s="11">
        <f t="shared" si="5"/>
        <v>43270</v>
      </c>
    </row>
    <row r="346" spans="1:33">
      <c r="A346" s="7" t="s">
        <v>1859</v>
      </c>
      <c r="B346" s="7" t="s">
        <v>1859</v>
      </c>
      <c r="C346" s="7" t="s">
        <v>1860</v>
      </c>
      <c r="D346" s="7" t="s">
        <v>1861</v>
      </c>
      <c r="E346" s="7" t="s">
        <v>33</v>
      </c>
      <c r="F346" s="7" t="s">
        <v>34</v>
      </c>
      <c r="G346" s="7" t="s">
        <v>35</v>
      </c>
      <c r="H346" s="7"/>
      <c r="I346" s="7"/>
      <c r="J346" s="7" t="s">
        <v>36</v>
      </c>
      <c r="K346" s="7" t="s">
        <v>213</v>
      </c>
      <c r="L346" s="7" t="s">
        <v>214</v>
      </c>
      <c r="M346" s="7" t="s">
        <v>215</v>
      </c>
      <c r="N346" s="7" t="s">
        <v>33</v>
      </c>
      <c r="O346" s="7">
        <v>1</v>
      </c>
      <c r="P346" s="7" t="s">
        <v>40</v>
      </c>
      <c r="Q346" s="7">
        <v>21.99</v>
      </c>
      <c r="R346" s="7"/>
      <c r="S346" s="7"/>
      <c r="T346" s="7"/>
      <c r="U346" s="7"/>
      <c r="V346" s="7"/>
      <c r="W346" s="7"/>
      <c r="X346" s="7"/>
      <c r="Y346" s="7" t="s">
        <v>1862</v>
      </c>
      <c r="Z346" s="7" t="s">
        <v>64</v>
      </c>
      <c r="AA346" s="7" t="s">
        <v>1863</v>
      </c>
      <c r="AB346" s="7" t="s">
        <v>44</v>
      </c>
      <c r="AC346" s="7"/>
      <c r="AD346" s="10"/>
      <c r="AE346" s="10"/>
      <c r="AF346" s="10"/>
      <c r="AG346" s="11">
        <f t="shared" si="5"/>
        <v>43270</v>
      </c>
    </row>
    <row r="347" spans="1:33">
      <c r="A347" s="7" t="s">
        <v>1864</v>
      </c>
      <c r="B347" s="7" t="s">
        <v>1864</v>
      </c>
      <c r="C347" s="7" t="s">
        <v>1865</v>
      </c>
      <c r="D347" s="7" t="s">
        <v>1866</v>
      </c>
      <c r="E347" s="7" t="s">
        <v>33</v>
      </c>
      <c r="F347" s="7" t="s">
        <v>34</v>
      </c>
      <c r="G347" s="7" t="s">
        <v>35</v>
      </c>
      <c r="H347" s="7"/>
      <c r="I347" s="7"/>
      <c r="J347" s="7" t="s">
        <v>36</v>
      </c>
      <c r="K347" s="7" t="s">
        <v>148</v>
      </c>
      <c r="L347" s="7" t="s">
        <v>149</v>
      </c>
      <c r="M347" s="7" t="s">
        <v>150</v>
      </c>
      <c r="N347" s="7" t="s">
        <v>33</v>
      </c>
      <c r="O347" s="7">
        <v>1</v>
      </c>
      <c r="P347" s="7" t="s">
        <v>40</v>
      </c>
      <c r="Q347" s="7">
        <v>98.99</v>
      </c>
      <c r="R347" s="7"/>
      <c r="S347" s="7"/>
      <c r="T347" s="7"/>
      <c r="U347" s="7"/>
      <c r="V347" s="7"/>
      <c r="W347" s="7"/>
      <c r="X347" s="7"/>
      <c r="Y347" s="7" t="s">
        <v>1867</v>
      </c>
      <c r="Z347" s="7" t="s">
        <v>83</v>
      </c>
      <c r="AA347" s="7" t="s">
        <v>1868</v>
      </c>
      <c r="AB347" s="7" t="s">
        <v>44</v>
      </c>
      <c r="AC347" s="7"/>
      <c r="AD347" s="10"/>
      <c r="AE347" s="10"/>
      <c r="AF347" s="10"/>
      <c r="AG347" s="11">
        <f t="shared" si="5"/>
        <v>43270</v>
      </c>
    </row>
    <row r="348" spans="1:33">
      <c r="A348" s="7" t="s">
        <v>1869</v>
      </c>
      <c r="B348" s="7" t="s">
        <v>1869</v>
      </c>
      <c r="C348" s="7" t="s">
        <v>1870</v>
      </c>
      <c r="D348" s="7" t="s">
        <v>1871</v>
      </c>
      <c r="E348" s="7" t="s">
        <v>33</v>
      </c>
      <c r="F348" s="7" t="s">
        <v>34</v>
      </c>
      <c r="G348" s="7" t="s">
        <v>35</v>
      </c>
      <c r="H348" s="7"/>
      <c r="I348" s="7"/>
      <c r="J348" s="7" t="s">
        <v>36</v>
      </c>
      <c r="K348" s="7" t="s">
        <v>526</v>
      </c>
      <c r="L348" s="7" t="s">
        <v>527</v>
      </c>
      <c r="M348" s="7" t="s">
        <v>528</v>
      </c>
      <c r="N348" s="7" t="s">
        <v>33</v>
      </c>
      <c r="O348" s="7">
        <v>1</v>
      </c>
      <c r="P348" s="7" t="s">
        <v>40</v>
      </c>
      <c r="Q348" s="7">
        <v>89.6</v>
      </c>
      <c r="R348" s="7">
        <v>7.71</v>
      </c>
      <c r="S348" s="7"/>
      <c r="T348" s="7"/>
      <c r="U348" s="7"/>
      <c r="V348" s="7"/>
      <c r="W348" s="7"/>
      <c r="X348" s="7"/>
      <c r="Y348" s="7" t="s">
        <v>1872</v>
      </c>
      <c r="Z348" s="7" t="s">
        <v>97</v>
      </c>
      <c r="AA348" s="7" t="s">
        <v>1873</v>
      </c>
      <c r="AB348" s="7" t="s">
        <v>44</v>
      </c>
      <c r="AC348" s="7"/>
      <c r="AD348" s="10"/>
      <c r="AE348" s="10"/>
      <c r="AF348" s="10"/>
      <c r="AG348" s="11">
        <f t="shared" si="5"/>
        <v>43270</v>
      </c>
    </row>
    <row r="349" spans="1:33">
      <c r="A349" s="7" t="s">
        <v>1874</v>
      </c>
      <c r="B349" s="7" t="s">
        <v>1874</v>
      </c>
      <c r="C349" s="7" t="s">
        <v>1875</v>
      </c>
      <c r="D349" s="7" t="s">
        <v>1876</v>
      </c>
      <c r="E349" s="7" t="s">
        <v>33</v>
      </c>
      <c r="F349" s="7" t="s">
        <v>34</v>
      </c>
      <c r="G349" s="7" t="s">
        <v>35</v>
      </c>
      <c r="H349" s="7"/>
      <c r="I349" s="7"/>
      <c r="J349" s="7" t="s">
        <v>58</v>
      </c>
      <c r="K349" s="7" t="s">
        <v>199</v>
      </c>
      <c r="L349" s="7" t="s">
        <v>200</v>
      </c>
      <c r="M349" s="7" t="s">
        <v>201</v>
      </c>
      <c r="N349" s="7" t="s">
        <v>33</v>
      </c>
      <c r="O349" s="7">
        <v>1</v>
      </c>
      <c r="P349" s="7" t="s">
        <v>40</v>
      </c>
      <c r="Q349" s="7">
        <v>99.6</v>
      </c>
      <c r="R349" s="7"/>
      <c r="S349" s="7">
        <v>7.99</v>
      </c>
      <c r="T349" s="7"/>
      <c r="U349" s="7"/>
      <c r="V349" s="7"/>
      <c r="W349" s="7"/>
      <c r="X349" s="7"/>
      <c r="Y349" s="7" t="s">
        <v>1877</v>
      </c>
      <c r="Z349" s="7" t="s">
        <v>1878</v>
      </c>
      <c r="AA349" s="7">
        <v>55347</v>
      </c>
      <c r="AB349" s="7" t="s">
        <v>44</v>
      </c>
      <c r="AC349" s="7"/>
      <c r="AD349" s="10"/>
      <c r="AE349" s="10"/>
      <c r="AF349" s="10"/>
      <c r="AG349" s="11">
        <f t="shared" si="5"/>
        <v>43270</v>
      </c>
    </row>
    <row r="350" spans="1:33">
      <c r="A350" s="7" t="s">
        <v>1879</v>
      </c>
      <c r="B350" s="7" t="s">
        <v>1879</v>
      </c>
      <c r="C350" s="7" t="s">
        <v>1880</v>
      </c>
      <c r="D350" s="7" t="s">
        <v>1881</v>
      </c>
      <c r="E350" s="7" t="s">
        <v>33</v>
      </c>
      <c r="F350" s="7" t="s">
        <v>34</v>
      </c>
      <c r="G350" s="7" t="s">
        <v>35</v>
      </c>
      <c r="H350" s="7"/>
      <c r="I350" s="7"/>
      <c r="J350" s="7" t="s">
        <v>36</v>
      </c>
      <c r="K350" s="7" t="s">
        <v>526</v>
      </c>
      <c r="L350" s="7" t="s">
        <v>527</v>
      </c>
      <c r="M350" s="7" t="s">
        <v>528</v>
      </c>
      <c r="N350" s="7" t="s">
        <v>33</v>
      </c>
      <c r="O350" s="7">
        <v>1</v>
      </c>
      <c r="P350" s="7" t="s">
        <v>40</v>
      </c>
      <c r="Q350" s="7">
        <v>89.6</v>
      </c>
      <c r="R350" s="7"/>
      <c r="S350" s="7"/>
      <c r="T350" s="7"/>
      <c r="U350" s="7"/>
      <c r="V350" s="7"/>
      <c r="W350" s="7"/>
      <c r="X350" s="7"/>
      <c r="Y350" s="7" t="s">
        <v>1882</v>
      </c>
      <c r="Z350" s="7" t="s">
        <v>440</v>
      </c>
      <c r="AA350" s="7" t="s">
        <v>1883</v>
      </c>
      <c r="AB350" s="7" t="s">
        <v>44</v>
      </c>
      <c r="AC350" s="7"/>
      <c r="AD350" s="10"/>
      <c r="AE350" s="10"/>
      <c r="AF350" s="10"/>
      <c r="AG350" s="11">
        <f t="shared" si="5"/>
        <v>43270</v>
      </c>
    </row>
    <row r="351" spans="1:33">
      <c r="A351" s="7" t="s">
        <v>1884</v>
      </c>
      <c r="B351" s="7" t="s">
        <v>1884</v>
      </c>
      <c r="C351" s="7" t="s">
        <v>1885</v>
      </c>
      <c r="D351" s="7" t="s">
        <v>1886</v>
      </c>
      <c r="E351" s="7" t="s">
        <v>33</v>
      </c>
      <c r="F351" s="7" t="s">
        <v>34</v>
      </c>
      <c r="G351" s="7" t="s">
        <v>35</v>
      </c>
      <c r="H351" s="7"/>
      <c r="I351" s="7"/>
      <c r="J351" s="7" t="s">
        <v>36</v>
      </c>
      <c r="K351" s="7" t="s">
        <v>88</v>
      </c>
      <c r="L351" s="7" t="s">
        <v>89</v>
      </c>
      <c r="M351" s="7" t="s">
        <v>90</v>
      </c>
      <c r="N351" s="7" t="s">
        <v>33</v>
      </c>
      <c r="O351" s="7">
        <v>1</v>
      </c>
      <c r="P351" s="7" t="s">
        <v>40</v>
      </c>
      <c r="Q351" s="7">
        <v>89.99</v>
      </c>
      <c r="R351" s="7"/>
      <c r="S351" s="7"/>
      <c r="T351" s="7"/>
      <c r="U351" s="7"/>
      <c r="V351" s="7"/>
      <c r="W351" s="7"/>
      <c r="X351" s="7"/>
      <c r="Y351" s="7" t="s">
        <v>1887</v>
      </c>
      <c r="Z351" s="7" t="s">
        <v>230</v>
      </c>
      <c r="AA351" s="7" t="s">
        <v>1888</v>
      </c>
      <c r="AB351" s="7" t="s">
        <v>44</v>
      </c>
      <c r="AC351" s="7"/>
      <c r="AD351" s="10"/>
      <c r="AE351" s="10"/>
      <c r="AF351" s="10"/>
      <c r="AG351" s="11">
        <f t="shared" si="5"/>
        <v>43270</v>
      </c>
    </row>
    <row r="352" spans="1:33">
      <c r="A352" s="7" t="s">
        <v>1889</v>
      </c>
      <c r="B352" s="7" t="s">
        <v>1889</v>
      </c>
      <c r="C352" s="7" t="s">
        <v>1890</v>
      </c>
      <c r="D352" s="7" t="s">
        <v>1891</v>
      </c>
      <c r="E352" s="7" t="s">
        <v>54</v>
      </c>
      <c r="F352" s="7" t="s">
        <v>34</v>
      </c>
      <c r="G352" s="7" t="s">
        <v>35</v>
      </c>
      <c r="H352" s="7"/>
      <c r="I352" s="7"/>
      <c r="J352" s="7" t="s">
        <v>36</v>
      </c>
      <c r="K352" s="7" t="s">
        <v>148</v>
      </c>
      <c r="L352" s="7" t="s">
        <v>149</v>
      </c>
      <c r="M352" s="7" t="s">
        <v>150</v>
      </c>
      <c r="N352" s="7" t="s">
        <v>62</v>
      </c>
      <c r="O352" s="7">
        <v>1</v>
      </c>
      <c r="P352" s="7" t="s">
        <v>40</v>
      </c>
      <c r="Q352" s="7">
        <v>98.99</v>
      </c>
      <c r="R352" s="7"/>
      <c r="S352" s="7"/>
      <c r="T352" s="7"/>
      <c r="U352" s="7"/>
      <c r="V352" s="7"/>
      <c r="W352" s="7"/>
      <c r="X352" s="7"/>
      <c r="Y352" s="7" t="s">
        <v>1892</v>
      </c>
      <c r="Z352" s="7" t="s">
        <v>92</v>
      </c>
      <c r="AA352" s="7" t="s">
        <v>1893</v>
      </c>
      <c r="AB352" s="7" t="s">
        <v>44</v>
      </c>
      <c r="AC352" s="7"/>
      <c r="AD352" s="10"/>
      <c r="AE352" s="10"/>
      <c r="AF352" s="10"/>
      <c r="AG352" s="11">
        <f t="shared" si="5"/>
        <v>43270</v>
      </c>
    </row>
    <row r="353" spans="1:33">
      <c r="A353" s="7" t="s">
        <v>1894</v>
      </c>
      <c r="B353" s="7" t="s">
        <v>1894</v>
      </c>
      <c r="C353" s="7" t="s">
        <v>1895</v>
      </c>
      <c r="D353" s="7" t="s">
        <v>1896</v>
      </c>
      <c r="E353" s="7" t="s">
        <v>33</v>
      </c>
      <c r="F353" s="7" t="s">
        <v>34</v>
      </c>
      <c r="G353" s="7" t="s">
        <v>35</v>
      </c>
      <c r="H353" s="7"/>
      <c r="I353" s="7"/>
      <c r="J353" s="7" t="s">
        <v>36</v>
      </c>
      <c r="K353" s="7" t="s">
        <v>148</v>
      </c>
      <c r="L353" s="7" t="s">
        <v>149</v>
      </c>
      <c r="M353" s="7" t="s">
        <v>150</v>
      </c>
      <c r="N353" s="7" t="s">
        <v>33</v>
      </c>
      <c r="O353" s="7">
        <v>1</v>
      </c>
      <c r="P353" s="7" t="s">
        <v>40</v>
      </c>
      <c r="Q353" s="7">
        <v>98.99</v>
      </c>
      <c r="R353" s="7"/>
      <c r="S353" s="7"/>
      <c r="T353" s="7"/>
      <c r="U353" s="7"/>
      <c r="V353" s="7"/>
      <c r="W353" s="7"/>
      <c r="X353" s="7"/>
      <c r="Y353" s="7" t="s">
        <v>1897</v>
      </c>
      <c r="Z353" s="7" t="s">
        <v>837</v>
      </c>
      <c r="AA353" s="7" t="s">
        <v>1898</v>
      </c>
      <c r="AB353" s="7" t="s">
        <v>44</v>
      </c>
      <c r="AC353" s="7"/>
      <c r="AD353" s="10"/>
      <c r="AE353" s="10"/>
      <c r="AF353" s="10"/>
      <c r="AG353" s="11">
        <f t="shared" si="5"/>
        <v>43270</v>
      </c>
    </row>
    <row r="354" spans="1:33">
      <c r="A354" s="7" t="s">
        <v>1899</v>
      </c>
      <c r="B354" s="7" t="s">
        <v>1899</v>
      </c>
      <c r="C354" s="7" t="s">
        <v>1900</v>
      </c>
      <c r="D354" s="7" t="s">
        <v>1901</v>
      </c>
      <c r="E354" s="7" t="s">
        <v>33</v>
      </c>
      <c r="F354" s="7" t="s">
        <v>34</v>
      </c>
      <c r="G354" s="7" t="s">
        <v>35</v>
      </c>
      <c r="H354" s="7"/>
      <c r="I354" s="7"/>
      <c r="J354" s="7" t="s">
        <v>36</v>
      </c>
      <c r="K354" s="7" t="s">
        <v>59</v>
      </c>
      <c r="L354" s="7" t="s">
        <v>60</v>
      </c>
      <c r="M354" s="7" t="s">
        <v>61</v>
      </c>
      <c r="N354" s="7" t="s">
        <v>33</v>
      </c>
      <c r="O354" s="7">
        <v>1</v>
      </c>
      <c r="P354" s="7" t="s">
        <v>40</v>
      </c>
      <c r="Q354" s="7">
        <v>89.99</v>
      </c>
      <c r="R354" s="7"/>
      <c r="S354" s="7"/>
      <c r="T354" s="7"/>
      <c r="U354" s="7"/>
      <c r="V354" s="7"/>
      <c r="W354" s="7"/>
      <c r="X354" s="7"/>
      <c r="Y354" s="7" t="s">
        <v>238</v>
      </c>
      <c r="Z354" s="7" t="s">
        <v>52</v>
      </c>
      <c r="AA354" s="7" t="s">
        <v>1902</v>
      </c>
      <c r="AB354" s="7" t="s">
        <v>44</v>
      </c>
      <c r="AC354" s="7"/>
      <c r="AD354" s="10"/>
      <c r="AE354" s="10"/>
      <c r="AF354" s="10"/>
      <c r="AG354" s="11">
        <f t="shared" si="5"/>
        <v>43270</v>
      </c>
    </row>
    <row r="355" spans="1:33">
      <c r="A355" s="7" t="s">
        <v>1903</v>
      </c>
      <c r="B355" s="7" t="s">
        <v>1903</v>
      </c>
      <c r="C355" s="7" t="s">
        <v>1904</v>
      </c>
      <c r="D355" s="7" t="s">
        <v>1905</v>
      </c>
      <c r="E355" s="7" t="s">
        <v>33</v>
      </c>
      <c r="F355" s="7" t="s">
        <v>34</v>
      </c>
      <c r="G355" s="7" t="s">
        <v>35</v>
      </c>
      <c r="H355" s="7"/>
      <c r="I355" s="7"/>
      <c r="J355" s="7" t="s">
        <v>36</v>
      </c>
      <c r="K355" s="7" t="s">
        <v>554</v>
      </c>
      <c r="L355" s="7" t="s">
        <v>555</v>
      </c>
      <c r="M355" s="7" t="s">
        <v>556</v>
      </c>
      <c r="N355" s="7" t="s">
        <v>33</v>
      </c>
      <c r="O355" s="7">
        <v>1</v>
      </c>
      <c r="P355" s="7" t="s">
        <v>40</v>
      </c>
      <c r="Q355" s="7">
        <v>89.99</v>
      </c>
      <c r="R355" s="7"/>
      <c r="S355" s="7"/>
      <c r="T355" s="7"/>
      <c r="U355" s="7"/>
      <c r="V355" s="7"/>
      <c r="W355" s="7">
        <v>9</v>
      </c>
      <c r="X355" s="7"/>
      <c r="Y355" s="7" t="s">
        <v>1906</v>
      </c>
      <c r="Z355" s="7" t="s">
        <v>787</v>
      </c>
      <c r="AA355" s="7" t="s">
        <v>1907</v>
      </c>
      <c r="AB355" s="7" t="s">
        <v>44</v>
      </c>
      <c r="AC355" s="7" t="s">
        <v>559</v>
      </c>
      <c r="AD355" s="10"/>
      <c r="AE355" s="10"/>
      <c r="AF355" s="10"/>
      <c r="AG355" s="11">
        <f t="shared" si="5"/>
        <v>43270</v>
      </c>
    </row>
    <row r="356" spans="1:33">
      <c r="A356" s="7" t="s">
        <v>1908</v>
      </c>
      <c r="B356" s="7" t="s">
        <v>1908</v>
      </c>
      <c r="C356" s="7" t="s">
        <v>1909</v>
      </c>
      <c r="D356" s="7" t="s">
        <v>1910</v>
      </c>
      <c r="E356" s="7" t="s">
        <v>33</v>
      </c>
      <c r="F356" s="7" t="s">
        <v>34</v>
      </c>
      <c r="G356" s="7" t="s">
        <v>35</v>
      </c>
      <c r="H356" s="7"/>
      <c r="I356" s="7"/>
      <c r="J356" s="7" t="s">
        <v>36</v>
      </c>
      <c r="K356" s="7" t="s">
        <v>59</v>
      </c>
      <c r="L356" s="7" t="s">
        <v>60</v>
      </c>
      <c r="M356" s="7" t="s">
        <v>61</v>
      </c>
      <c r="N356" s="7" t="s">
        <v>33</v>
      </c>
      <c r="O356" s="7">
        <v>1</v>
      </c>
      <c r="P356" s="7" t="s">
        <v>40</v>
      </c>
      <c r="Q356" s="7">
        <v>89.99</v>
      </c>
      <c r="R356" s="7"/>
      <c r="S356" s="7"/>
      <c r="T356" s="7"/>
      <c r="U356" s="7"/>
      <c r="V356" s="7"/>
      <c r="W356" s="7"/>
      <c r="X356" s="7"/>
      <c r="Y356" s="7" t="s">
        <v>927</v>
      </c>
      <c r="Z356" s="7" t="s">
        <v>52</v>
      </c>
      <c r="AA356" s="7" t="s">
        <v>928</v>
      </c>
      <c r="AB356" s="7" t="s">
        <v>44</v>
      </c>
      <c r="AC356" s="7"/>
      <c r="AD356" s="10"/>
      <c r="AE356" s="10"/>
      <c r="AF356" s="10"/>
      <c r="AG356" s="11">
        <f t="shared" si="5"/>
        <v>43270</v>
      </c>
    </row>
    <row r="357" spans="1:33">
      <c r="A357" s="7" t="s">
        <v>1911</v>
      </c>
      <c r="B357" s="7" t="s">
        <v>1911</v>
      </c>
      <c r="C357" s="7" t="s">
        <v>1912</v>
      </c>
      <c r="D357" s="7" t="s">
        <v>1913</v>
      </c>
      <c r="E357" s="7" t="s">
        <v>33</v>
      </c>
      <c r="F357" s="7" t="s">
        <v>34</v>
      </c>
      <c r="G357" s="7" t="s">
        <v>35</v>
      </c>
      <c r="H357" s="7"/>
      <c r="I357" s="7"/>
      <c r="J357" s="7" t="s">
        <v>36</v>
      </c>
      <c r="K357" s="7" t="s">
        <v>698</v>
      </c>
      <c r="L357" s="7" t="s">
        <v>699</v>
      </c>
      <c r="M357" s="7" t="s">
        <v>700</v>
      </c>
      <c r="N357" s="7" t="s">
        <v>33</v>
      </c>
      <c r="O357" s="7">
        <v>1</v>
      </c>
      <c r="P357" s="7" t="s">
        <v>40</v>
      </c>
      <c r="Q357" s="7">
        <v>21.99</v>
      </c>
      <c r="R357" s="7">
        <v>2.22</v>
      </c>
      <c r="S357" s="7"/>
      <c r="T357" s="7"/>
      <c r="U357" s="7"/>
      <c r="V357" s="7"/>
      <c r="W357" s="7"/>
      <c r="X357" s="7"/>
      <c r="Y357" s="7" t="s">
        <v>696</v>
      </c>
      <c r="Z357" s="7" t="s">
        <v>97</v>
      </c>
      <c r="AA357" s="7" t="s">
        <v>697</v>
      </c>
      <c r="AB357" s="7" t="s">
        <v>44</v>
      </c>
      <c r="AC357" s="7"/>
      <c r="AD357" s="10"/>
      <c r="AE357" s="10"/>
      <c r="AF357" s="10"/>
      <c r="AG357" s="11">
        <f t="shared" si="5"/>
        <v>43270</v>
      </c>
    </row>
    <row r="358" spans="1:33">
      <c r="A358" s="7" t="s">
        <v>1914</v>
      </c>
      <c r="B358" s="7" t="s">
        <v>1914</v>
      </c>
      <c r="C358" s="7" t="s">
        <v>1915</v>
      </c>
      <c r="D358" s="7" t="s">
        <v>1916</v>
      </c>
      <c r="E358" s="7" t="s">
        <v>54</v>
      </c>
      <c r="F358" s="7" t="s">
        <v>34</v>
      </c>
      <c r="G358" s="7" t="s">
        <v>35</v>
      </c>
      <c r="H358" s="7"/>
      <c r="I358" s="7"/>
      <c r="J358" s="7" t="s">
        <v>36</v>
      </c>
      <c r="K358" s="7" t="s">
        <v>1917</v>
      </c>
      <c r="L358" s="7" t="s">
        <v>1918</v>
      </c>
      <c r="M358" s="7" t="s">
        <v>1919</v>
      </c>
      <c r="N358" s="7" t="s">
        <v>62</v>
      </c>
      <c r="O358" s="7">
        <v>1</v>
      </c>
      <c r="P358" s="7" t="s">
        <v>40</v>
      </c>
      <c r="Q358" s="7">
        <v>79.99</v>
      </c>
      <c r="R358" s="7"/>
      <c r="S358" s="7"/>
      <c r="T358" s="7"/>
      <c r="U358" s="7"/>
      <c r="V358" s="7"/>
      <c r="W358" s="7"/>
      <c r="X358" s="7"/>
      <c r="Y358" s="7" t="s">
        <v>1815</v>
      </c>
      <c r="Z358" s="7" t="s">
        <v>83</v>
      </c>
      <c r="AA358" s="7" t="s">
        <v>1816</v>
      </c>
      <c r="AB358" s="7" t="s">
        <v>44</v>
      </c>
      <c r="AC358" s="7"/>
      <c r="AD358" s="10"/>
      <c r="AE358" s="10"/>
      <c r="AF358" s="10"/>
      <c r="AG358" s="11">
        <f t="shared" si="5"/>
        <v>43270</v>
      </c>
    </row>
    <row r="359" spans="1:33">
      <c r="A359" s="7" t="s">
        <v>1920</v>
      </c>
      <c r="B359" s="7" t="s">
        <v>1920</v>
      </c>
      <c r="C359" s="7" t="s">
        <v>1921</v>
      </c>
      <c r="D359" s="7" t="s">
        <v>1922</v>
      </c>
      <c r="E359" s="7" t="s">
        <v>33</v>
      </c>
      <c r="F359" s="7" t="s">
        <v>34</v>
      </c>
      <c r="G359" s="7" t="s">
        <v>35</v>
      </c>
      <c r="H359" s="7"/>
      <c r="I359" s="7"/>
      <c r="J359" s="7" t="s">
        <v>36</v>
      </c>
      <c r="K359" s="7" t="s">
        <v>79</v>
      </c>
      <c r="L359" s="7" t="s">
        <v>80</v>
      </c>
      <c r="M359" s="7" t="s">
        <v>81</v>
      </c>
      <c r="N359" s="7" t="s">
        <v>33</v>
      </c>
      <c r="O359" s="7">
        <v>1</v>
      </c>
      <c r="P359" s="7" t="s">
        <v>40</v>
      </c>
      <c r="Q359" s="7">
        <v>91.99</v>
      </c>
      <c r="R359" s="7"/>
      <c r="S359" s="7"/>
      <c r="T359" s="7"/>
      <c r="U359" s="7"/>
      <c r="V359" s="7"/>
      <c r="W359" s="7"/>
      <c r="X359" s="7"/>
      <c r="Y359" s="7" t="s">
        <v>1923</v>
      </c>
      <c r="Z359" s="7" t="s">
        <v>83</v>
      </c>
      <c r="AA359" s="7" t="s">
        <v>1924</v>
      </c>
      <c r="AB359" s="7" t="s">
        <v>44</v>
      </c>
      <c r="AC359" s="7"/>
      <c r="AD359" s="10"/>
      <c r="AE359" s="10"/>
      <c r="AF359" s="10"/>
      <c r="AG359" s="11">
        <f t="shared" si="5"/>
        <v>43270</v>
      </c>
    </row>
    <row r="360" spans="1:33">
      <c r="A360" s="7" t="s">
        <v>1925</v>
      </c>
      <c r="B360" s="7" t="s">
        <v>1925</v>
      </c>
      <c r="C360" s="7" t="s">
        <v>1926</v>
      </c>
      <c r="D360" s="7" t="s">
        <v>1927</v>
      </c>
      <c r="E360" s="7" t="s">
        <v>33</v>
      </c>
      <c r="F360" s="7" t="s">
        <v>34</v>
      </c>
      <c r="G360" s="7" t="s">
        <v>35</v>
      </c>
      <c r="H360" s="7"/>
      <c r="I360" s="7"/>
      <c r="J360" s="7" t="s">
        <v>36</v>
      </c>
      <c r="K360" s="7" t="s">
        <v>164</v>
      </c>
      <c r="L360" s="7" t="s">
        <v>165</v>
      </c>
      <c r="M360" s="7" t="s">
        <v>166</v>
      </c>
      <c r="N360" s="7" t="s">
        <v>33</v>
      </c>
      <c r="O360" s="7">
        <v>1</v>
      </c>
      <c r="P360" s="7" t="s">
        <v>40</v>
      </c>
      <c r="Q360" s="7">
        <v>21.99</v>
      </c>
      <c r="R360" s="7"/>
      <c r="S360" s="7"/>
      <c r="T360" s="7"/>
      <c r="U360" s="7"/>
      <c r="V360" s="7"/>
      <c r="W360" s="7"/>
      <c r="X360" s="7"/>
      <c r="Y360" s="7" t="s">
        <v>1928</v>
      </c>
      <c r="Z360" s="7" t="s">
        <v>52</v>
      </c>
      <c r="AA360" s="7" t="s">
        <v>1929</v>
      </c>
      <c r="AB360" s="7" t="s">
        <v>44</v>
      </c>
      <c r="AC360" s="7"/>
      <c r="AD360" s="10"/>
      <c r="AE360" s="10"/>
      <c r="AF360" s="10"/>
      <c r="AG360" s="11">
        <f t="shared" si="5"/>
        <v>43270</v>
      </c>
    </row>
    <row r="361" spans="1:33">
      <c r="A361" s="7" t="s">
        <v>1930</v>
      </c>
      <c r="B361" s="7" t="s">
        <v>1930</v>
      </c>
      <c r="C361" s="7" t="s">
        <v>1931</v>
      </c>
      <c r="D361" s="7" t="s">
        <v>1932</v>
      </c>
      <c r="E361" s="7" t="s">
        <v>33</v>
      </c>
      <c r="F361" s="7" t="s">
        <v>34</v>
      </c>
      <c r="G361" s="7" t="s">
        <v>35</v>
      </c>
      <c r="H361" s="7"/>
      <c r="I361" s="7"/>
      <c r="J361" s="7" t="s">
        <v>36</v>
      </c>
      <c r="K361" s="7" t="s">
        <v>1933</v>
      </c>
      <c r="L361" s="7" t="s">
        <v>1934</v>
      </c>
      <c r="M361" s="7" t="s">
        <v>1935</v>
      </c>
      <c r="N361" s="7" t="s">
        <v>33</v>
      </c>
      <c r="O361" s="7">
        <v>1</v>
      </c>
      <c r="P361" s="7" t="s">
        <v>40</v>
      </c>
      <c r="Q361" s="7">
        <v>79.99</v>
      </c>
      <c r="R361" s="7"/>
      <c r="S361" s="7"/>
      <c r="T361" s="7"/>
      <c r="U361" s="7"/>
      <c r="V361" s="7"/>
      <c r="W361" s="7"/>
      <c r="X361" s="7"/>
      <c r="Y361" s="7" t="s">
        <v>1936</v>
      </c>
      <c r="Z361" s="7" t="s">
        <v>541</v>
      </c>
      <c r="AA361" s="7" t="s">
        <v>1937</v>
      </c>
      <c r="AB361" s="7" t="s">
        <v>44</v>
      </c>
      <c r="AC361" s="7"/>
      <c r="AD361" s="10"/>
      <c r="AE361" s="10"/>
      <c r="AF361" s="10"/>
      <c r="AG361" s="11">
        <f t="shared" si="5"/>
        <v>43270</v>
      </c>
    </row>
    <row r="362" spans="1:33">
      <c r="A362" s="7" t="s">
        <v>1938</v>
      </c>
      <c r="B362" s="7" t="s">
        <v>1938</v>
      </c>
      <c r="C362" s="7" t="s">
        <v>1939</v>
      </c>
      <c r="D362" s="7" t="s">
        <v>1940</v>
      </c>
      <c r="E362" s="7" t="s">
        <v>33</v>
      </c>
      <c r="F362" s="7" t="s">
        <v>34</v>
      </c>
      <c r="G362" s="7" t="s">
        <v>35</v>
      </c>
      <c r="H362" s="7"/>
      <c r="I362" s="7"/>
      <c r="J362" s="7" t="s">
        <v>58</v>
      </c>
      <c r="K362" s="7" t="s">
        <v>123</v>
      </c>
      <c r="L362" s="7" t="s">
        <v>124</v>
      </c>
      <c r="M362" s="7" t="s">
        <v>125</v>
      </c>
      <c r="N362" s="7" t="s">
        <v>33</v>
      </c>
      <c r="O362" s="7">
        <v>1</v>
      </c>
      <c r="P362" s="7" t="s">
        <v>40</v>
      </c>
      <c r="Q362" s="7">
        <v>89.99</v>
      </c>
      <c r="R362" s="7"/>
      <c r="S362" s="7">
        <v>21.53</v>
      </c>
      <c r="T362" s="7"/>
      <c r="U362" s="7"/>
      <c r="V362" s="7"/>
      <c r="W362" s="7"/>
      <c r="X362" s="7"/>
      <c r="Y362" s="7" t="s">
        <v>1941</v>
      </c>
      <c r="Z362" s="7" t="s">
        <v>83</v>
      </c>
      <c r="AA362" s="7" t="s">
        <v>1942</v>
      </c>
      <c r="AB362" s="7" t="s">
        <v>44</v>
      </c>
      <c r="AC362" s="7"/>
      <c r="AD362" s="10"/>
      <c r="AE362" s="10"/>
      <c r="AF362" s="10"/>
      <c r="AG362" s="11">
        <f t="shared" si="5"/>
        <v>43270</v>
      </c>
    </row>
    <row r="363" spans="1:33">
      <c r="A363" s="7" t="s">
        <v>1943</v>
      </c>
      <c r="B363" s="7" t="s">
        <v>1943</v>
      </c>
      <c r="C363" s="7" t="s">
        <v>1944</v>
      </c>
      <c r="D363" s="7" t="s">
        <v>1945</v>
      </c>
      <c r="E363" s="7" t="s">
        <v>33</v>
      </c>
      <c r="F363" s="7" t="s">
        <v>34</v>
      </c>
      <c r="G363" s="7" t="s">
        <v>35</v>
      </c>
      <c r="H363" s="7"/>
      <c r="I363" s="7"/>
      <c r="J363" s="7" t="s">
        <v>36</v>
      </c>
      <c r="K363" s="7" t="s">
        <v>1215</v>
      </c>
      <c r="L363" s="7" t="s">
        <v>1216</v>
      </c>
      <c r="M363" s="7" t="s">
        <v>1217</v>
      </c>
      <c r="N363" s="7" t="s">
        <v>33</v>
      </c>
      <c r="O363" s="7">
        <v>1</v>
      </c>
      <c r="P363" s="7" t="s">
        <v>40</v>
      </c>
      <c r="Q363" s="7">
        <v>99.99</v>
      </c>
      <c r="R363" s="7"/>
      <c r="S363" s="7"/>
      <c r="T363" s="7"/>
      <c r="U363" s="7"/>
      <c r="V363" s="7"/>
      <c r="W363" s="7"/>
      <c r="X363" s="7"/>
      <c r="Y363" s="7" t="s">
        <v>390</v>
      </c>
      <c r="Z363" s="7" t="s">
        <v>391</v>
      </c>
      <c r="AA363" s="7" t="s">
        <v>1946</v>
      </c>
      <c r="AB363" s="7" t="s">
        <v>44</v>
      </c>
      <c r="AC363" s="7"/>
      <c r="AD363" s="10"/>
      <c r="AE363" s="10"/>
      <c r="AF363" s="10"/>
      <c r="AG363" s="11">
        <f t="shared" si="5"/>
        <v>43270</v>
      </c>
    </row>
    <row r="364" spans="1:33">
      <c r="A364" s="7" t="s">
        <v>1947</v>
      </c>
      <c r="B364" s="7" t="s">
        <v>1947</v>
      </c>
      <c r="C364" s="7" t="s">
        <v>1948</v>
      </c>
      <c r="D364" s="7" t="s">
        <v>1949</v>
      </c>
      <c r="E364" s="7" t="s">
        <v>33</v>
      </c>
      <c r="F364" s="7" t="s">
        <v>34</v>
      </c>
      <c r="G364" s="7" t="s">
        <v>35</v>
      </c>
      <c r="H364" s="7"/>
      <c r="I364" s="7"/>
      <c r="J364" s="7" t="s">
        <v>36</v>
      </c>
      <c r="K364" s="7" t="s">
        <v>1215</v>
      </c>
      <c r="L364" s="7" t="s">
        <v>1216</v>
      </c>
      <c r="M364" s="7" t="s">
        <v>1217</v>
      </c>
      <c r="N364" s="7" t="s">
        <v>33</v>
      </c>
      <c r="O364" s="7">
        <v>1</v>
      </c>
      <c r="P364" s="7" t="s">
        <v>40</v>
      </c>
      <c r="Q364" s="7">
        <v>99.99</v>
      </c>
      <c r="R364" s="7"/>
      <c r="S364" s="7"/>
      <c r="T364" s="7"/>
      <c r="U364" s="7"/>
      <c r="V364" s="7"/>
      <c r="W364" s="7"/>
      <c r="X364" s="7"/>
      <c r="Y364" s="7" t="s">
        <v>390</v>
      </c>
      <c r="Z364" s="7" t="s">
        <v>391</v>
      </c>
      <c r="AA364" s="7" t="s">
        <v>1946</v>
      </c>
      <c r="AB364" s="7" t="s">
        <v>44</v>
      </c>
      <c r="AC364" s="7"/>
      <c r="AD364" s="10"/>
      <c r="AE364" s="10"/>
      <c r="AF364" s="10"/>
      <c r="AG364" s="11">
        <f t="shared" si="5"/>
        <v>43270</v>
      </c>
    </row>
    <row r="365" spans="1:33">
      <c r="A365" s="7" t="s">
        <v>1950</v>
      </c>
      <c r="B365" s="7" t="s">
        <v>1950</v>
      </c>
      <c r="C365" s="7" t="s">
        <v>1951</v>
      </c>
      <c r="D365" s="7" t="s">
        <v>1952</v>
      </c>
      <c r="E365" s="7" t="s">
        <v>33</v>
      </c>
      <c r="F365" s="7" t="s">
        <v>34</v>
      </c>
      <c r="G365" s="7" t="s">
        <v>35</v>
      </c>
      <c r="H365" s="7"/>
      <c r="I365" s="7"/>
      <c r="J365" s="7" t="s">
        <v>36</v>
      </c>
      <c r="K365" s="7" t="s">
        <v>148</v>
      </c>
      <c r="L365" s="7" t="s">
        <v>149</v>
      </c>
      <c r="M365" s="7" t="s">
        <v>150</v>
      </c>
      <c r="N365" s="7" t="s">
        <v>33</v>
      </c>
      <c r="O365" s="7">
        <v>1</v>
      </c>
      <c r="P365" s="7" t="s">
        <v>40</v>
      </c>
      <c r="Q365" s="7">
        <v>98.99</v>
      </c>
      <c r="R365" s="7"/>
      <c r="S365" s="7"/>
      <c r="T365" s="7"/>
      <c r="U365" s="7"/>
      <c r="V365" s="7"/>
      <c r="W365" s="7"/>
      <c r="X365" s="7"/>
      <c r="Y365" s="7" t="s">
        <v>1953</v>
      </c>
      <c r="Z365" s="7" t="s">
        <v>861</v>
      </c>
      <c r="AA365" s="7" t="s">
        <v>1954</v>
      </c>
      <c r="AB365" s="7" t="s">
        <v>44</v>
      </c>
      <c r="AC365" s="7"/>
      <c r="AD365" s="10"/>
      <c r="AE365" s="10"/>
      <c r="AF365" s="10"/>
      <c r="AG365" s="11">
        <f t="shared" si="5"/>
        <v>43270</v>
      </c>
    </row>
    <row r="366" spans="1:33">
      <c r="A366" s="7" t="s">
        <v>1955</v>
      </c>
      <c r="B366" s="7" t="s">
        <v>1955</v>
      </c>
      <c r="C366" s="7" t="s">
        <v>1956</v>
      </c>
      <c r="D366" s="7" t="s">
        <v>1957</v>
      </c>
      <c r="E366" s="7" t="s">
        <v>33</v>
      </c>
      <c r="F366" s="7" t="s">
        <v>34</v>
      </c>
      <c r="G366" s="7" t="s">
        <v>35</v>
      </c>
      <c r="H366" s="7"/>
      <c r="I366" s="7"/>
      <c r="J366" s="7" t="s">
        <v>36</v>
      </c>
      <c r="K366" s="7" t="s">
        <v>79</v>
      </c>
      <c r="L366" s="7" t="s">
        <v>80</v>
      </c>
      <c r="M366" s="7" t="s">
        <v>81</v>
      </c>
      <c r="N366" s="7" t="s">
        <v>33</v>
      </c>
      <c r="O366" s="7">
        <v>1</v>
      </c>
      <c r="P366" s="7" t="s">
        <v>40</v>
      </c>
      <c r="Q366" s="7">
        <v>91.99</v>
      </c>
      <c r="R366" s="7"/>
      <c r="S366" s="7"/>
      <c r="T366" s="7"/>
      <c r="U366" s="7"/>
      <c r="V366" s="7"/>
      <c r="W366" s="7"/>
      <c r="X366" s="7"/>
      <c r="Y366" s="7" t="s">
        <v>1958</v>
      </c>
      <c r="Z366" s="7" t="s">
        <v>64</v>
      </c>
      <c r="AA366" s="7" t="s">
        <v>1959</v>
      </c>
      <c r="AB366" s="7" t="s">
        <v>44</v>
      </c>
      <c r="AC366" s="7"/>
      <c r="AD366" s="10"/>
      <c r="AE366" s="10"/>
      <c r="AF366" s="10"/>
      <c r="AG366" s="11">
        <f t="shared" si="5"/>
        <v>43270</v>
      </c>
    </row>
    <row r="367" spans="1:33">
      <c r="A367" s="7" t="s">
        <v>1960</v>
      </c>
      <c r="B367" s="7" t="s">
        <v>1960</v>
      </c>
      <c r="C367" s="7" t="s">
        <v>1961</v>
      </c>
      <c r="D367" s="7" t="s">
        <v>1962</v>
      </c>
      <c r="E367" s="7" t="s">
        <v>33</v>
      </c>
      <c r="F367" s="7" t="s">
        <v>34</v>
      </c>
      <c r="G367" s="7" t="s">
        <v>35</v>
      </c>
      <c r="H367" s="7"/>
      <c r="I367" s="7"/>
      <c r="J367" s="7" t="s">
        <v>36</v>
      </c>
      <c r="K367" s="7" t="s">
        <v>660</v>
      </c>
      <c r="L367" s="7" t="s">
        <v>661</v>
      </c>
      <c r="M367" s="7" t="s">
        <v>662</v>
      </c>
      <c r="N367" s="7" t="s">
        <v>33</v>
      </c>
      <c r="O367" s="7">
        <v>1</v>
      </c>
      <c r="P367" s="7" t="s">
        <v>40</v>
      </c>
      <c r="Q367" s="7">
        <v>79.99</v>
      </c>
      <c r="R367" s="7"/>
      <c r="S367" s="7"/>
      <c r="T367" s="7"/>
      <c r="U367" s="7"/>
      <c r="V367" s="7"/>
      <c r="W367" s="7"/>
      <c r="X367" s="7"/>
      <c r="Y367" s="7" t="s">
        <v>1963</v>
      </c>
      <c r="Z367" s="7" t="s">
        <v>83</v>
      </c>
      <c r="AA367" s="7" t="s">
        <v>1964</v>
      </c>
      <c r="AB367" s="7" t="s">
        <v>44</v>
      </c>
      <c r="AC367" s="7"/>
      <c r="AD367" s="10"/>
      <c r="AE367" s="10"/>
      <c r="AF367" s="10"/>
      <c r="AG367" s="11">
        <f t="shared" si="5"/>
        <v>43270</v>
      </c>
    </row>
    <row r="368" spans="1:33">
      <c r="A368" s="7" t="s">
        <v>1965</v>
      </c>
      <c r="B368" s="7" t="s">
        <v>1965</v>
      </c>
      <c r="C368" s="7" t="s">
        <v>1966</v>
      </c>
      <c r="D368" s="7" t="s">
        <v>1967</v>
      </c>
      <c r="E368" s="7" t="s">
        <v>33</v>
      </c>
      <c r="F368" s="7" t="s">
        <v>34</v>
      </c>
      <c r="G368" s="7" t="s">
        <v>35</v>
      </c>
      <c r="H368" s="7"/>
      <c r="I368" s="7"/>
      <c r="J368" s="7" t="s">
        <v>36</v>
      </c>
      <c r="K368" s="7" t="s">
        <v>431</v>
      </c>
      <c r="L368" s="7" t="s">
        <v>432</v>
      </c>
      <c r="M368" s="7" t="s">
        <v>433</v>
      </c>
      <c r="N368" s="7" t="s">
        <v>33</v>
      </c>
      <c r="O368" s="7">
        <v>1</v>
      </c>
      <c r="P368" s="7" t="s">
        <v>40</v>
      </c>
      <c r="Q368" s="7">
        <v>89.99</v>
      </c>
      <c r="R368" s="7"/>
      <c r="S368" s="7"/>
      <c r="T368" s="7"/>
      <c r="U368" s="7"/>
      <c r="V368" s="7"/>
      <c r="W368" s="7"/>
      <c r="X368" s="7"/>
      <c r="Y368" s="7" t="s">
        <v>1968</v>
      </c>
      <c r="Z368" s="7" t="s">
        <v>316</v>
      </c>
      <c r="AA368" s="7">
        <v>80138</v>
      </c>
      <c r="AB368" s="7" t="s">
        <v>44</v>
      </c>
      <c r="AC368" s="7"/>
      <c r="AD368" s="10"/>
      <c r="AE368" s="10"/>
      <c r="AF368" s="10"/>
      <c r="AG368" s="11">
        <f t="shared" si="5"/>
        <v>43270</v>
      </c>
    </row>
    <row r="369" spans="1:33">
      <c r="A369" s="7" t="s">
        <v>1969</v>
      </c>
      <c r="B369" s="7" t="s">
        <v>1969</v>
      </c>
      <c r="C369" s="7" t="s">
        <v>1970</v>
      </c>
      <c r="D369" s="7" t="s">
        <v>1971</v>
      </c>
      <c r="E369" s="7" t="s">
        <v>54</v>
      </c>
      <c r="F369" s="7" t="s">
        <v>34</v>
      </c>
      <c r="G369" s="7" t="s">
        <v>35</v>
      </c>
      <c r="H369" s="7"/>
      <c r="I369" s="7"/>
      <c r="J369" s="7" t="s">
        <v>58</v>
      </c>
      <c r="K369" s="7" t="s">
        <v>88</v>
      </c>
      <c r="L369" s="7" t="s">
        <v>89</v>
      </c>
      <c r="M369" s="7" t="s">
        <v>90</v>
      </c>
      <c r="N369" s="7" t="s">
        <v>54</v>
      </c>
      <c r="O369" s="7">
        <v>0</v>
      </c>
      <c r="P369" s="7"/>
      <c r="Q369" s="7"/>
      <c r="R369" s="7"/>
      <c r="S369" s="7"/>
      <c r="T369" s="7"/>
      <c r="U369" s="7"/>
      <c r="V369" s="7"/>
      <c r="W369" s="7"/>
      <c r="X369" s="7"/>
      <c r="Y369" s="7" t="s">
        <v>823</v>
      </c>
      <c r="Z369" s="7" t="s">
        <v>83</v>
      </c>
      <c r="AA369" s="7" t="s">
        <v>824</v>
      </c>
      <c r="AB369" s="7" t="s">
        <v>44</v>
      </c>
      <c r="AC369" s="7"/>
      <c r="AD369" s="10"/>
      <c r="AE369" s="10"/>
      <c r="AF369" s="10"/>
      <c r="AG369" s="11">
        <f t="shared" si="5"/>
        <v>43270</v>
      </c>
    </row>
    <row r="370" spans="1:33">
      <c r="A370" s="7" t="s">
        <v>1972</v>
      </c>
      <c r="B370" s="7" t="s">
        <v>1972</v>
      </c>
      <c r="C370" s="7" t="s">
        <v>1973</v>
      </c>
      <c r="D370" s="7" t="s">
        <v>1974</v>
      </c>
      <c r="E370" s="7" t="s">
        <v>33</v>
      </c>
      <c r="F370" s="7" t="s">
        <v>34</v>
      </c>
      <c r="G370" s="7" t="s">
        <v>35</v>
      </c>
      <c r="H370" s="7"/>
      <c r="I370" s="7"/>
      <c r="J370" s="7" t="s">
        <v>36</v>
      </c>
      <c r="K370" s="7" t="s">
        <v>1975</v>
      </c>
      <c r="L370" s="7" t="s">
        <v>1976</v>
      </c>
      <c r="M370" s="7" t="s">
        <v>1977</v>
      </c>
      <c r="N370" s="7" t="s">
        <v>33</v>
      </c>
      <c r="O370" s="7">
        <v>1</v>
      </c>
      <c r="P370" s="7" t="s">
        <v>40</v>
      </c>
      <c r="Q370" s="7">
        <v>94.99</v>
      </c>
      <c r="R370" s="7"/>
      <c r="S370" s="7"/>
      <c r="T370" s="7"/>
      <c r="U370" s="7"/>
      <c r="V370" s="7"/>
      <c r="W370" s="7"/>
      <c r="X370" s="7"/>
      <c r="Y370" s="7" t="s">
        <v>1978</v>
      </c>
      <c r="Z370" s="7" t="s">
        <v>452</v>
      </c>
      <c r="AA370" s="7" t="s">
        <v>1979</v>
      </c>
      <c r="AB370" s="7" t="s">
        <v>44</v>
      </c>
      <c r="AC370" s="7"/>
      <c r="AD370" s="10"/>
      <c r="AE370" s="10"/>
      <c r="AF370" s="10"/>
      <c r="AG370" s="11">
        <f t="shared" si="5"/>
        <v>43270</v>
      </c>
    </row>
    <row r="371" spans="1:33">
      <c r="A371" s="7" t="s">
        <v>1980</v>
      </c>
      <c r="B371" s="7" t="s">
        <v>1980</v>
      </c>
      <c r="C371" s="7" t="s">
        <v>1981</v>
      </c>
      <c r="D371" s="7" t="s">
        <v>1982</v>
      </c>
      <c r="E371" s="7" t="s">
        <v>54</v>
      </c>
      <c r="F371" s="7" t="s">
        <v>34</v>
      </c>
      <c r="G371" s="7" t="s">
        <v>35</v>
      </c>
      <c r="H371" s="7"/>
      <c r="I371" s="7"/>
      <c r="J371" s="7" t="s">
        <v>36</v>
      </c>
      <c r="K371" s="7" t="s">
        <v>88</v>
      </c>
      <c r="L371" s="7" t="s">
        <v>89</v>
      </c>
      <c r="M371" s="7" t="s">
        <v>90</v>
      </c>
      <c r="N371" s="7" t="s">
        <v>62</v>
      </c>
      <c r="O371" s="7">
        <v>1</v>
      </c>
      <c r="P371" s="7" t="s">
        <v>40</v>
      </c>
      <c r="Q371" s="7">
        <v>89.99</v>
      </c>
      <c r="R371" s="7"/>
      <c r="S371" s="7"/>
      <c r="T371" s="7"/>
      <c r="U371" s="7"/>
      <c r="V371" s="7"/>
      <c r="W371" s="7"/>
      <c r="X371" s="7"/>
      <c r="Y371" s="7" t="s">
        <v>1983</v>
      </c>
      <c r="Z371" s="7" t="s">
        <v>1342</v>
      </c>
      <c r="AA371" s="7" t="s">
        <v>1984</v>
      </c>
      <c r="AB371" s="7" t="s">
        <v>44</v>
      </c>
      <c r="AC371" s="7"/>
      <c r="AD371" s="10"/>
      <c r="AE371" s="10"/>
      <c r="AF371" s="10"/>
      <c r="AG371" s="11">
        <f t="shared" si="5"/>
        <v>43270</v>
      </c>
    </row>
    <row r="372" spans="1:33">
      <c r="A372" s="7" t="s">
        <v>1985</v>
      </c>
      <c r="B372" s="7" t="s">
        <v>1985</v>
      </c>
      <c r="C372" s="7" t="s">
        <v>1986</v>
      </c>
      <c r="D372" s="7" t="s">
        <v>1987</v>
      </c>
      <c r="E372" s="7" t="s">
        <v>54</v>
      </c>
      <c r="F372" s="7" t="s">
        <v>34</v>
      </c>
      <c r="G372" s="7" t="s">
        <v>35</v>
      </c>
      <c r="H372" s="7"/>
      <c r="I372" s="7"/>
      <c r="J372" s="7" t="s">
        <v>36</v>
      </c>
      <c r="K372" s="7" t="s">
        <v>88</v>
      </c>
      <c r="L372" s="7" t="s">
        <v>89</v>
      </c>
      <c r="M372" s="7" t="s">
        <v>90</v>
      </c>
      <c r="N372" s="7" t="s">
        <v>62</v>
      </c>
      <c r="O372" s="7">
        <v>1</v>
      </c>
      <c r="P372" s="7" t="s">
        <v>40</v>
      </c>
      <c r="Q372" s="7">
        <v>89.99</v>
      </c>
      <c r="R372" s="7"/>
      <c r="S372" s="7"/>
      <c r="T372" s="7"/>
      <c r="U372" s="7"/>
      <c r="V372" s="7"/>
      <c r="W372" s="7"/>
      <c r="X372" s="7"/>
      <c r="Y372" s="7" t="s">
        <v>1983</v>
      </c>
      <c r="Z372" s="7" t="s">
        <v>1342</v>
      </c>
      <c r="AA372" s="7" t="s">
        <v>1984</v>
      </c>
      <c r="AB372" s="7" t="s">
        <v>44</v>
      </c>
      <c r="AC372" s="7"/>
      <c r="AD372" s="10"/>
      <c r="AE372" s="10"/>
      <c r="AF372" s="10"/>
      <c r="AG372" s="11">
        <f t="shared" si="5"/>
        <v>43270</v>
      </c>
    </row>
    <row r="373" spans="1:33">
      <c r="A373" s="7" t="s">
        <v>1988</v>
      </c>
      <c r="B373" s="7" t="s">
        <v>1988</v>
      </c>
      <c r="C373" s="7" t="s">
        <v>1989</v>
      </c>
      <c r="D373" s="7" t="s">
        <v>1990</v>
      </c>
      <c r="E373" s="7" t="s">
        <v>33</v>
      </c>
      <c r="F373" s="7" t="s">
        <v>34</v>
      </c>
      <c r="G373" s="7" t="s">
        <v>35</v>
      </c>
      <c r="H373" s="7"/>
      <c r="I373" s="7"/>
      <c r="J373" s="7" t="s">
        <v>36</v>
      </c>
      <c r="K373" s="7" t="s">
        <v>526</v>
      </c>
      <c r="L373" s="7" t="s">
        <v>527</v>
      </c>
      <c r="M373" s="7" t="s">
        <v>528</v>
      </c>
      <c r="N373" s="7" t="s">
        <v>33</v>
      </c>
      <c r="O373" s="7">
        <v>1</v>
      </c>
      <c r="P373" s="7" t="s">
        <v>40</v>
      </c>
      <c r="Q373" s="7">
        <v>89.6</v>
      </c>
      <c r="R373" s="7"/>
      <c r="S373" s="7"/>
      <c r="T373" s="7"/>
      <c r="U373" s="7"/>
      <c r="V373" s="7"/>
      <c r="W373" s="7"/>
      <c r="X373" s="7"/>
      <c r="Y373" s="7" t="s">
        <v>1493</v>
      </c>
      <c r="Z373" s="7" t="s">
        <v>316</v>
      </c>
      <c r="AA373" s="7" t="s">
        <v>1991</v>
      </c>
      <c r="AB373" s="7" t="s">
        <v>44</v>
      </c>
      <c r="AC373" s="7"/>
      <c r="AD373" s="10"/>
      <c r="AE373" s="10"/>
      <c r="AF373" s="10"/>
      <c r="AG373" s="11">
        <f t="shared" si="5"/>
        <v>43270</v>
      </c>
    </row>
    <row r="374" spans="1:33">
      <c r="A374" s="7" t="s">
        <v>1992</v>
      </c>
      <c r="B374" s="7" t="s">
        <v>1992</v>
      </c>
      <c r="C374" s="7" t="s">
        <v>1993</v>
      </c>
      <c r="D374" s="7" t="s">
        <v>1994</v>
      </c>
      <c r="E374" s="7" t="s">
        <v>33</v>
      </c>
      <c r="F374" s="7" t="s">
        <v>34</v>
      </c>
      <c r="G374" s="7" t="s">
        <v>35</v>
      </c>
      <c r="H374" s="7"/>
      <c r="I374" s="7"/>
      <c r="J374" s="7" t="s">
        <v>36</v>
      </c>
      <c r="K374" s="7" t="s">
        <v>59</v>
      </c>
      <c r="L374" s="7" t="s">
        <v>60</v>
      </c>
      <c r="M374" s="7" t="s">
        <v>61</v>
      </c>
      <c r="N374" s="7" t="s">
        <v>33</v>
      </c>
      <c r="O374" s="7">
        <v>1</v>
      </c>
      <c r="P374" s="7" t="s">
        <v>40</v>
      </c>
      <c r="Q374" s="7">
        <v>89.99</v>
      </c>
      <c r="R374" s="7"/>
      <c r="S374" s="7"/>
      <c r="T374" s="7"/>
      <c r="U374" s="7"/>
      <c r="V374" s="7"/>
      <c r="W374" s="7"/>
      <c r="X374" s="7"/>
      <c r="Y374" s="7" t="s">
        <v>1444</v>
      </c>
      <c r="Z374" s="7" t="s">
        <v>52</v>
      </c>
      <c r="AA374" s="7" t="s">
        <v>1995</v>
      </c>
      <c r="AB374" s="7" t="s">
        <v>44</v>
      </c>
      <c r="AC374" s="7"/>
      <c r="AD374" s="10"/>
      <c r="AE374" s="10"/>
      <c r="AF374" s="10"/>
      <c r="AG374" s="11">
        <f t="shared" si="5"/>
        <v>43270</v>
      </c>
    </row>
    <row r="375" spans="1:33">
      <c r="A375" s="7" t="s">
        <v>1996</v>
      </c>
      <c r="B375" s="7" t="s">
        <v>1996</v>
      </c>
      <c r="C375" s="7" t="s">
        <v>1997</v>
      </c>
      <c r="D375" s="7" t="s">
        <v>1998</v>
      </c>
      <c r="E375" s="7" t="s">
        <v>33</v>
      </c>
      <c r="F375" s="7" t="s">
        <v>34</v>
      </c>
      <c r="G375" s="7" t="s">
        <v>35</v>
      </c>
      <c r="H375" s="7"/>
      <c r="I375" s="7"/>
      <c r="J375" s="7" t="s">
        <v>36</v>
      </c>
      <c r="K375" s="7" t="s">
        <v>88</v>
      </c>
      <c r="L375" s="7" t="s">
        <v>89</v>
      </c>
      <c r="M375" s="7" t="s">
        <v>90</v>
      </c>
      <c r="N375" s="7" t="s">
        <v>33</v>
      </c>
      <c r="O375" s="7">
        <v>1</v>
      </c>
      <c r="P375" s="7" t="s">
        <v>40</v>
      </c>
      <c r="Q375" s="7">
        <v>89.99</v>
      </c>
      <c r="R375" s="7"/>
      <c r="S375" s="7"/>
      <c r="T375" s="7"/>
      <c r="U375" s="7"/>
      <c r="V375" s="7"/>
      <c r="W375" s="7"/>
      <c r="X375" s="7"/>
      <c r="Y375" s="7" t="s">
        <v>1999</v>
      </c>
      <c r="Z375" s="7" t="s">
        <v>763</v>
      </c>
      <c r="AA375" s="7" t="s">
        <v>2000</v>
      </c>
      <c r="AB375" s="7" t="s">
        <v>44</v>
      </c>
      <c r="AC375" s="7"/>
      <c r="AD375" s="10"/>
      <c r="AE375" s="10"/>
      <c r="AF375" s="10"/>
      <c r="AG375" s="11">
        <f t="shared" si="5"/>
        <v>43270</v>
      </c>
    </row>
    <row r="376" spans="1:33">
      <c r="A376" s="7" t="s">
        <v>2001</v>
      </c>
      <c r="B376" s="7" t="s">
        <v>2001</v>
      </c>
      <c r="C376" s="7" t="s">
        <v>2002</v>
      </c>
      <c r="D376" s="7" t="s">
        <v>2003</v>
      </c>
      <c r="E376" s="7" t="s">
        <v>54</v>
      </c>
      <c r="F376" s="7" t="s">
        <v>34</v>
      </c>
      <c r="G376" s="7" t="s">
        <v>35</v>
      </c>
      <c r="H376" s="7"/>
      <c r="I376" s="7"/>
      <c r="J376" s="7" t="s">
        <v>69</v>
      </c>
      <c r="K376" s="7" t="s">
        <v>59</v>
      </c>
      <c r="L376" s="7" t="s">
        <v>60</v>
      </c>
      <c r="M376" s="7" t="s">
        <v>61</v>
      </c>
      <c r="N376" s="7" t="s">
        <v>54</v>
      </c>
      <c r="O376" s="7">
        <v>0</v>
      </c>
      <c r="P376" s="7"/>
      <c r="Q376" s="7"/>
      <c r="R376" s="7"/>
      <c r="S376" s="7"/>
      <c r="T376" s="7"/>
      <c r="U376" s="7"/>
      <c r="V376" s="7"/>
      <c r="W376" s="7"/>
      <c r="X376" s="7"/>
      <c r="Y376" s="7" t="s">
        <v>2004</v>
      </c>
      <c r="Z376" s="7" t="s">
        <v>322</v>
      </c>
      <c r="AA376" s="7">
        <v>31520</v>
      </c>
      <c r="AB376" s="7" t="s">
        <v>44</v>
      </c>
      <c r="AC376" s="7"/>
      <c r="AD376" s="10"/>
      <c r="AE376" s="10"/>
      <c r="AF376" s="10"/>
      <c r="AG376" s="11">
        <f t="shared" si="5"/>
        <v>43271</v>
      </c>
    </row>
    <row r="377" spans="1:33">
      <c r="A377" s="7" t="s">
        <v>2005</v>
      </c>
      <c r="B377" s="7" t="s">
        <v>2005</v>
      </c>
      <c r="C377" s="7" t="s">
        <v>2006</v>
      </c>
      <c r="D377" s="7" t="s">
        <v>2007</v>
      </c>
      <c r="E377" s="7" t="s">
        <v>33</v>
      </c>
      <c r="F377" s="7" t="s">
        <v>34</v>
      </c>
      <c r="G377" s="7" t="s">
        <v>35</v>
      </c>
      <c r="H377" s="7"/>
      <c r="I377" s="7"/>
      <c r="J377" s="7" t="s">
        <v>36</v>
      </c>
      <c r="K377" s="7" t="s">
        <v>79</v>
      </c>
      <c r="L377" s="7" t="s">
        <v>80</v>
      </c>
      <c r="M377" s="7" t="s">
        <v>81</v>
      </c>
      <c r="N377" s="7" t="s">
        <v>33</v>
      </c>
      <c r="O377" s="7">
        <v>1</v>
      </c>
      <c r="P377" s="7" t="s">
        <v>40</v>
      </c>
      <c r="Q377" s="7">
        <v>91.99</v>
      </c>
      <c r="R377" s="7"/>
      <c r="S377" s="7"/>
      <c r="T377" s="7"/>
      <c r="U377" s="7"/>
      <c r="V377" s="7"/>
      <c r="W377" s="7"/>
      <c r="X377" s="7"/>
      <c r="Y377" s="7" t="s">
        <v>2008</v>
      </c>
      <c r="Z377" s="7" t="s">
        <v>64</v>
      </c>
      <c r="AA377" s="7" t="s">
        <v>2009</v>
      </c>
      <c r="AB377" s="7" t="s">
        <v>44</v>
      </c>
      <c r="AC377" s="7"/>
      <c r="AD377" s="10"/>
      <c r="AE377" s="10"/>
      <c r="AF377" s="10"/>
      <c r="AG377" s="11">
        <f t="shared" si="5"/>
        <v>43271</v>
      </c>
    </row>
    <row r="378" spans="1:33">
      <c r="A378" s="7" t="s">
        <v>2005</v>
      </c>
      <c r="B378" s="7" t="s">
        <v>2005</v>
      </c>
      <c r="C378" s="7" t="s">
        <v>2006</v>
      </c>
      <c r="D378" s="7" t="s">
        <v>2007</v>
      </c>
      <c r="E378" s="7" t="s">
        <v>33</v>
      </c>
      <c r="F378" s="7" t="s">
        <v>34</v>
      </c>
      <c r="G378" s="7" t="s">
        <v>35</v>
      </c>
      <c r="H378" s="7"/>
      <c r="I378" s="7"/>
      <c r="J378" s="7" t="s">
        <v>36</v>
      </c>
      <c r="K378" s="7" t="s">
        <v>642</v>
      </c>
      <c r="L378" s="7" t="s">
        <v>643</v>
      </c>
      <c r="M378" s="7" t="s">
        <v>644</v>
      </c>
      <c r="N378" s="7" t="s">
        <v>33</v>
      </c>
      <c r="O378" s="7">
        <v>1</v>
      </c>
      <c r="P378" s="7" t="s">
        <v>40</v>
      </c>
      <c r="Q378" s="7">
        <v>21.99</v>
      </c>
      <c r="R378" s="7"/>
      <c r="S378" s="7"/>
      <c r="T378" s="7"/>
      <c r="U378" s="7"/>
      <c r="V378" s="7"/>
      <c r="W378" s="7"/>
      <c r="X378" s="7"/>
      <c r="Y378" s="7" t="s">
        <v>2008</v>
      </c>
      <c r="Z378" s="7" t="s">
        <v>64</v>
      </c>
      <c r="AA378" s="7" t="s">
        <v>2009</v>
      </c>
      <c r="AB378" s="7" t="s">
        <v>44</v>
      </c>
      <c r="AC378" s="7"/>
      <c r="AD378" s="10"/>
      <c r="AE378" s="10"/>
      <c r="AF378" s="10"/>
      <c r="AG378" s="11">
        <f t="shared" si="5"/>
        <v>43271</v>
      </c>
    </row>
    <row r="379" spans="1:33">
      <c r="A379" s="7" t="s">
        <v>2010</v>
      </c>
      <c r="B379" s="7" t="s">
        <v>2010</v>
      </c>
      <c r="C379" s="7" t="s">
        <v>2011</v>
      </c>
      <c r="D379" s="7" t="s">
        <v>2012</v>
      </c>
      <c r="E379" s="7" t="s">
        <v>54</v>
      </c>
      <c r="F379" s="7" t="s">
        <v>34</v>
      </c>
      <c r="G379" s="7" t="s">
        <v>35</v>
      </c>
      <c r="H379" s="7"/>
      <c r="I379" s="7"/>
      <c r="J379" s="7" t="s">
        <v>36</v>
      </c>
      <c r="K379" s="7" t="s">
        <v>2013</v>
      </c>
      <c r="L379" s="7" t="s">
        <v>2014</v>
      </c>
      <c r="M379" s="7" t="s">
        <v>2015</v>
      </c>
      <c r="N379" s="7" t="s">
        <v>54</v>
      </c>
      <c r="O379" s="7">
        <v>0</v>
      </c>
      <c r="P379" s="7"/>
      <c r="Q379" s="7"/>
      <c r="R379" s="7"/>
      <c r="S379" s="7"/>
      <c r="T379" s="7"/>
      <c r="U379" s="7"/>
      <c r="V379" s="7"/>
      <c r="W379" s="7"/>
      <c r="X379" s="7"/>
      <c r="Y379" s="7" t="s">
        <v>2016</v>
      </c>
      <c r="Z379" s="7" t="s">
        <v>996</v>
      </c>
      <c r="AA379" s="7" t="s">
        <v>2017</v>
      </c>
      <c r="AB379" s="7" t="s">
        <v>44</v>
      </c>
      <c r="AC379" s="7"/>
      <c r="AD379" s="10"/>
      <c r="AE379" s="10"/>
      <c r="AF379" s="10"/>
      <c r="AG379" s="11">
        <f t="shared" si="5"/>
        <v>43271</v>
      </c>
    </row>
    <row r="380" spans="1:33">
      <c r="A380" s="7" t="s">
        <v>2018</v>
      </c>
      <c r="B380" s="7" t="s">
        <v>2018</v>
      </c>
      <c r="C380" s="7" t="s">
        <v>2019</v>
      </c>
      <c r="D380" s="7" t="s">
        <v>2020</v>
      </c>
      <c r="E380" s="7" t="s">
        <v>33</v>
      </c>
      <c r="F380" s="7" t="s">
        <v>34</v>
      </c>
      <c r="G380" s="7" t="s">
        <v>35</v>
      </c>
      <c r="H380" s="7"/>
      <c r="I380" s="7"/>
      <c r="J380" s="7" t="s">
        <v>69</v>
      </c>
      <c r="K380" s="7" t="s">
        <v>2021</v>
      </c>
      <c r="L380" s="7" t="s">
        <v>2022</v>
      </c>
      <c r="M380" s="7" t="s">
        <v>2023</v>
      </c>
      <c r="N380" s="7" t="s">
        <v>33</v>
      </c>
      <c r="O380" s="7">
        <v>1</v>
      </c>
      <c r="P380" s="7" t="s">
        <v>40</v>
      </c>
      <c r="Q380" s="7">
        <v>32.99</v>
      </c>
      <c r="R380" s="7"/>
      <c r="S380" s="7">
        <v>5.74</v>
      </c>
      <c r="T380" s="7"/>
      <c r="U380" s="7"/>
      <c r="V380" s="7"/>
      <c r="W380" s="7"/>
      <c r="X380" s="7">
        <v>5.74</v>
      </c>
      <c r="Y380" s="7" t="s">
        <v>2024</v>
      </c>
      <c r="Z380" s="7" t="s">
        <v>207</v>
      </c>
      <c r="AA380" s="7">
        <v>48124</v>
      </c>
      <c r="AB380" s="7" t="s">
        <v>44</v>
      </c>
      <c r="AC380" s="7" t="s">
        <v>75</v>
      </c>
      <c r="AD380" s="10"/>
      <c r="AE380" s="10"/>
      <c r="AF380" s="10"/>
      <c r="AG380" s="11">
        <f t="shared" si="5"/>
        <v>43271</v>
      </c>
    </row>
    <row r="381" spans="1:33">
      <c r="A381" s="7" t="s">
        <v>2025</v>
      </c>
      <c r="B381" s="7" t="s">
        <v>2025</v>
      </c>
      <c r="C381" s="7" t="s">
        <v>2026</v>
      </c>
      <c r="D381" s="7" t="s">
        <v>2027</v>
      </c>
      <c r="E381" s="7" t="s">
        <v>33</v>
      </c>
      <c r="F381" s="7" t="s">
        <v>34</v>
      </c>
      <c r="G381" s="7" t="s">
        <v>35</v>
      </c>
      <c r="H381" s="7"/>
      <c r="I381" s="7"/>
      <c r="J381" s="7" t="s">
        <v>69</v>
      </c>
      <c r="K381" s="7" t="s">
        <v>364</v>
      </c>
      <c r="L381" s="7" t="s">
        <v>2028</v>
      </c>
      <c r="M381" s="7" t="s">
        <v>2029</v>
      </c>
      <c r="N381" s="7" t="s">
        <v>33</v>
      </c>
      <c r="O381" s="7">
        <v>1</v>
      </c>
      <c r="P381" s="7" t="s">
        <v>40</v>
      </c>
      <c r="Q381" s="7">
        <v>79.99</v>
      </c>
      <c r="R381" s="7">
        <v>4.8</v>
      </c>
      <c r="S381" s="7">
        <v>8.39</v>
      </c>
      <c r="T381" s="7">
        <v>0.5</v>
      </c>
      <c r="U381" s="7"/>
      <c r="V381" s="7"/>
      <c r="W381" s="7"/>
      <c r="X381" s="7"/>
      <c r="Y381" s="7" t="s">
        <v>2030</v>
      </c>
      <c r="Z381" s="7" t="s">
        <v>880</v>
      </c>
      <c r="AA381" s="7" t="s">
        <v>2031</v>
      </c>
      <c r="AB381" s="7" t="s">
        <v>44</v>
      </c>
      <c r="AC381" s="7"/>
      <c r="AD381" s="10"/>
      <c r="AE381" s="10"/>
      <c r="AF381" s="10"/>
      <c r="AG381" s="11">
        <f t="shared" si="5"/>
        <v>43271</v>
      </c>
    </row>
    <row r="382" spans="1:33">
      <c r="A382" s="7" t="s">
        <v>2032</v>
      </c>
      <c r="B382" s="7" t="s">
        <v>2032</v>
      </c>
      <c r="C382" s="7" t="s">
        <v>2033</v>
      </c>
      <c r="D382" s="7" t="s">
        <v>2034</v>
      </c>
      <c r="E382" s="7" t="s">
        <v>54</v>
      </c>
      <c r="F382" s="7" t="s">
        <v>34</v>
      </c>
      <c r="G382" s="7" t="s">
        <v>35</v>
      </c>
      <c r="H382" s="7"/>
      <c r="I382" s="7"/>
      <c r="J382" s="7" t="s">
        <v>58</v>
      </c>
      <c r="K382" s="7" t="s">
        <v>2035</v>
      </c>
      <c r="L382" s="7" t="s">
        <v>89</v>
      </c>
      <c r="M382" s="7" t="s">
        <v>90</v>
      </c>
      <c r="N382" s="7" t="s">
        <v>62</v>
      </c>
      <c r="O382" s="7">
        <v>1</v>
      </c>
      <c r="P382" s="7" t="s">
        <v>40</v>
      </c>
      <c r="Q382" s="7">
        <v>89.99</v>
      </c>
      <c r="R382" s="7"/>
      <c r="S382" s="7"/>
      <c r="T382" s="7"/>
      <c r="U382" s="7"/>
      <c r="V382" s="7"/>
      <c r="W382" s="7"/>
      <c r="X382" s="7"/>
      <c r="Y382" s="7" t="s">
        <v>2036</v>
      </c>
      <c r="Z382" s="7" t="s">
        <v>391</v>
      </c>
      <c r="AA382" s="7" t="s">
        <v>2037</v>
      </c>
      <c r="AB382" s="7" t="s">
        <v>44</v>
      </c>
      <c r="AC382" s="7"/>
      <c r="AD382" s="10"/>
      <c r="AE382" s="10"/>
      <c r="AF382" s="10"/>
      <c r="AG382" s="11">
        <f t="shared" si="5"/>
        <v>43271</v>
      </c>
    </row>
    <row r="383" spans="1:33">
      <c r="A383" s="7" t="s">
        <v>2038</v>
      </c>
      <c r="B383" s="7" t="s">
        <v>2038</v>
      </c>
      <c r="C383" s="7" t="s">
        <v>2039</v>
      </c>
      <c r="D383" s="7" t="s">
        <v>2040</v>
      </c>
      <c r="E383" s="7" t="s">
        <v>33</v>
      </c>
      <c r="F383" s="7" t="s">
        <v>34</v>
      </c>
      <c r="G383" s="7" t="s">
        <v>35</v>
      </c>
      <c r="H383" s="7"/>
      <c r="I383" s="7"/>
      <c r="J383" s="7" t="s">
        <v>36</v>
      </c>
      <c r="K383" s="7" t="s">
        <v>364</v>
      </c>
      <c r="L383" s="7" t="s">
        <v>365</v>
      </c>
      <c r="M383" s="7" t="s">
        <v>366</v>
      </c>
      <c r="N383" s="7" t="s">
        <v>33</v>
      </c>
      <c r="O383" s="7">
        <v>1</v>
      </c>
      <c r="P383" s="7" t="s">
        <v>40</v>
      </c>
      <c r="Q383" s="7">
        <v>89.99</v>
      </c>
      <c r="R383" s="7"/>
      <c r="S383" s="7"/>
      <c r="T383" s="7"/>
      <c r="U383" s="7"/>
      <c r="V383" s="7"/>
      <c r="W383" s="7"/>
      <c r="X383" s="7"/>
      <c r="Y383" s="7" t="s">
        <v>2041</v>
      </c>
      <c r="Z383" s="7" t="s">
        <v>299</v>
      </c>
      <c r="AA383" s="7" t="s">
        <v>2042</v>
      </c>
      <c r="AB383" s="7" t="s">
        <v>44</v>
      </c>
      <c r="AC383" s="7"/>
      <c r="AD383" s="10"/>
      <c r="AE383" s="10"/>
      <c r="AF383" s="10"/>
      <c r="AG383" s="11">
        <f t="shared" si="5"/>
        <v>43271</v>
      </c>
    </row>
    <row r="384" spans="1:33">
      <c r="A384" s="7" t="s">
        <v>2043</v>
      </c>
      <c r="B384" s="7" t="s">
        <v>2043</v>
      </c>
      <c r="C384" s="7" t="s">
        <v>2044</v>
      </c>
      <c r="D384" s="7" t="s">
        <v>2045</v>
      </c>
      <c r="E384" s="7" t="s">
        <v>33</v>
      </c>
      <c r="F384" s="7" t="s">
        <v>34</v>
      </c>
      <c r="G384" s="7" t="s">
        <v>35</v>
      </c>
      <c r="H384" s="7"/>
      <c r="I384" s="7"/>
      <c r="J384" s="7" t="s">
        <v>36</v>
      </c>
      <c r="K384" s="7" t="s">
        <v>2046</v>
      </c>
      <c r="L384" s="7" t="s">
        <v>2047</v>
      </c>
      <c r="M384" s="7" t="s">
        <v>2048</v>
      </c>
      <c r="N384" s="7" t="s">
        <v>33</v>
      </c>
      <c r="O384" s="7">
        <v>1</v>
      </c>
      <c r="P384" s="7" t="s">
        <v>40</v>
      </c>
      <c r="Q384" s="7">
        <v>104.99</v>
      </c>
      <c r="R384" s="7"/>
      <c r="S384" s="7"/>
      <c r="T384" s="7"/>
      <c r="U384" s="7"/>
      <c r="V384" s="7"/>
      <c r="W384" s="7"/>
      <c r="X384" s="7"/>
      <c r="Y384" s="7" t="s">
        <v>1444</v>
      </c>
      <c r="Z384" s="7" t="s">
        <v>52</v>
      </c>
      <c r="AA384" s="7" t="s">
        <v>2049</v>
      </c>
      <c r="AB384" s="7" t="s">
        <v>44</v>
      </c>
      <c r="AC384" s="7"/>
      <c r="AD384" s="10"/>
      <c r="AE384" s="10"/>
      <c r="AF384" s="10"/>
      <c r="AG384" s="11">
        <f t="shared" si="5"/>
        <v>43271</v>
      </c>
    </row>
    <row r="385" spans="1:33">
      <c r="A385" s="7" t="s">
        <v>2050</v>
      </c>
      <c r="B385" s="7" t="s">
        <v>2050</v>
      </c>
      <c r="C385" s="7" t="s">
        <v>2051</v>
      </c>
      <c r="D385" s="7" t="s">
        <v>2052</v>
      </c>
      <c r="E385" s="7" t="s">
        <v>33</v>
      </c>
      <c r="F385" s="7" t="s">
        <v>34</v>
      </c>
      <c r="G385" s="7" t="s">
        <v>35</v>
      </c>
      <c r="H385" s="7"/>
      <c r="I385" s="7"/>
      <c r="J385" s="7" t="s">
        <v>36</v>
      </c>
      <c r="K385" s="7" t="s">
        <v>1570</v>
      </c>
      <c r="L385" s="7" t="s">
        <v>1571</v>
      </c>
      <c r="M385" s="7" t="s">
        <v>1572</v>
      </c>
      <c r="N385" s="7" t="s">
        <v>33</v>
      </c>
      <c r="O385" s="7">
        <v>1</v>
      </c>
      <c r="P385" s="7" t="s">
        <v>40</v>
      </c>
      <c r="Q385" s="7">
        <v>89.99</v>
      </c>
      <c r="R385" s="7"/>
      <c r="S385" s="7"/>
      <c r="T385" s="7"/>
      <c r="U385" s="7"/>
      <c r="V385" s="7"/>
      <c r="W385" s="7"/>
      <c r="X385" s="7"/>
      <c r="Y385" s="7" t="s">
        <v>2053</v>
      </c>
      <c r="Z385" s="7" t="s">
        <v>189</v>
      </c>
      <c r="AA385" s="7" t="s">
        <v>2054</v>
      </c>
      <c r="AB385" s="7" t="s">
        <v>44</v>
      </c>
      <c r="AC385" s="7"/>
      <c r="AD385" s="10"/>
      <c r="AE385" s="10"/>
      <c r="AF385" s="10"/>
      <c r="AG385" s="11">
        <f t="shared" si="5"/>
        <v>43271</v>
      </c>
    </row>
    <row r="386" spans="1:33">
      <c r="A386" s="7" t="s">
        <v>2055</v>
      </c>
      <c r="B386" s="7" t="s">
        <v>2055</v>
      </c>
      <c r="C386" s="7" t="s">
        <v>2056</v>
      </c>
      <c r="D386" s="7" t="s">
        <v>2057</v>
      </c>
      <c r="E386" s="7" t="s">
        <v>33</v>
      </c>
      <c r="F386" s="7" t="s">
        <v>34</v>
      </c>
      <c r="G386" s="7" t="s">
        <v>35</v>
      </c>
      <c r="H386" s="7"/>
      <c r="I386" s="7"/>
      <c r="J386" s="7" t="s">
        <v>36</v>
      </c>
      <c r="K386" s="7" t="s">
        <v>820</v>
      </c>
      <c r="L386" s="7" t="s">
        <v>821</v>
      </c>
      <c r="M386" s="7" t="s">
        <v>822</v>
      </c>
      <c r="N386" s="7" t="s">
        <v>33</v>
      </c>
      <c r="O386" s="7">
        <v>1</v>
      </c>
      <c r="P386" s="7" t="s">
        <v>40</v>
      </c>
      <c r="Q386" s="7">
        <v>79.99</v>
      </c>
      <c r="R386" s="7"/>
      <c r="S386" s="7"/>
      <c r="T386" s="7"/>
      <c r="U386" s="7"/>
      <c r="V386" s="7"/>
      <c r="W386" s="7"/>
      <c r="X386" s="7"/>
      <c r="Y386" s="7" t="s">
        <v>584</v>
      </c>
      <c r="Z386" s="7" t="s">
        <v>391</v>
      </c>
      <c r="AA386" s="7" t="s">
        <v>585</v>
      </c>
      <c r="AB386" s="7" t="s">
        <v>44</v>
      </c>
      <c r="AC386" s="7"/>
      <c r="AD386" s="10"/>
      <c r="AE386" s="10"/>
      <c r="AF386" s="10"/>
      <c r="AG386" s="11">
        <f t="shared" ref="AG386:AG449" si="6">DATEVALUE(LEFT(C386,10))</f>
        <v>43271</v>
      </c>
    </row>
    <row r="387" spans="1:33">
      <c r="A387" s="7" t="s">
        <v>2058</v>
      </c>
      <c r="B387" s="7" t="s">
        <v>2058</v>
      </c>
      <c r="C387" s="7" t="s">
        <v>2059</v>
      </c>
      <c r="D387" s="7" t="s">
        <v>2060</v>
      </c>
      <c r="E387" s="7" t="s">
        <v>33</v>
      </c>
      <c r="F387" s="7" t="s">
        <v>34</v>
      </c>
      <c r="G387" s="7" t="s">
        <v>35</v>
      </c>
      <c r="H387" s="7"/>
      <c r="I387" s="7"/>
      <c r="J387" s="7" t="s">
        <v>36</v>
      </c>
      <c r="K387" s="7" t="s">
        <v>59</v>
      </c>
      <c r="L387" s="7" t="s">
        <v>60</v>
      </c>
      <c r="M387" s="7" t="s">
        <v>61</v>
      </c>
      <c r="N387" s="7" t="s">
        <v>33</v>
      </c>
      <c r="O387" s="7">
        <v>1</v>
      </c>
      <c r="P387" s="7" t="s">
        <v>40</v>
      </c>
      <c r="Q387" s="7">
        <v>89.99</v>
      </c>
      <c r="R387" s="7"/>
      <c r="S387" s="7"/>
      <c r="T387" s="7"/>
      <c r="U387" s="7"/>
      <c r="V387" s="7"/>
      <c r="W387" s="7"/>
      <c r="X387" s="7"/>
      <c r="Y387" s="7" t="s">
        <v>2061</v>
      </c>
      <c r="Z387" s="7" t="s">
        <v>990</v>
      </c>
      <c r="AA387" s="7" t="s">
        <v>2062</v>
      </c>
      <c r="AB387" s="7" t="s">
        <v>44</v>
      </c>
      <c r="AC387" s="7"/>
      <c r="AD387" s="10"/>
      <c r="AE387" s="10"/>
      <c r="AF387" s="10"/>
      <c r="AG387" s="11">
        <f t="shared" si="6"/>
        <v>43271</v>
      </c>
    </row>
    <row r="388" spans="1:33">
      <c r="A388" s="7" t="s">
        <v>2063</v>
      </c>
      <c r="B388" s="7" t="s">
        <v>2063</v>
      </c>
      <c r="C388" s="7" t="s">
        <v>2064</v>
      </c>
      <c r="D388" s="7" t="s">
        <v>2065</v>
      </c>
      <c r="E388" s="7" t="s">
        <v>33</v>
      </c>
      <c r="F388" s="7" t="s">
        <v>34</v>
      </c>
      <c r="G388" s="7" t="s">
        <v>35</v>
      </c>
      <c r="H388" s="7"/>
      <c r="I388" s="7"/>
      <c r="J388" s="7" t="s">
        <v>36</v>
      </c>
      <c r="K388" s="7" t="s">
        <v>148</v>
      </c>
      <c r="L388" s="7" t="s">
        <v>149</v>
      </c>
      <c r="M388" s="7" t="s">
        <v>150</v>
      </c>
      <c r="N388" s="7" t="s">
        <v>33</v>
      </c>
      <c r="O388" s="7">
        <v>1</v>
      </c>
      <c r="P388" s="7" t="s">
        <v>40</v>
      </c>
      <c r="Q388" s="7">
        <v>98.99</v>
      </c>
      <c r="R388" s="7"/>
      <c r="S388" s="7"/>
      <c r="T388" s="7"/>
      <c r="U388" s="7"/>
      <c r="V388" s="7"/>
      <c r="W388" s="7"/>
      <c r="X388" s="7"/>
      <c r="Y388" s="7" t="s">
        <v>2066</v>
      </c>
      <c r="Z388" s="7" t="s">
        <v>92</v>
      </c>
      <c r="AA388" s="7" t="s">
        <v>2067</v>
      </c>
      <c r="AB388" s="7" t="s">
        <v>44</v>
      </c>
      <c r="AC388" s="7"/>
      <c r="AD388" s="10"/>
      <c r="AE388" s="10"/>
      <c r="AF388" s="10"/>
      <c r="AG388" s="11">
        <f t="shared" si="6"/>
        <v>43271</v>
      </c>
    </row>
    <row r="389" spans="1:33">
      <c r="A389" s="7" t="s">
        <v>2068</v>
      </c>
      <c r="B389" s="7" t="s">
        <v>2068</v>
      </c>
      <c r="C389" s="7" t="s">
        <v>2069</v>
      </c>
      <c r="D389" s="7" t="s">
        <v>2070</v>
      </c>
      <c r="E389" s="7" t="s">
        <v>33</v>
      </c>
      <c r="F389" s="7" t="s">
        <v>34</v>
      </c>
      <c r="G389" s="7" t="s">
        <v>35</v>
      </c>
      <c r="H389" s="7"/>
      <c r="I389" s="7"/>
      <c r="J389" s="7" t="s">
        <v>69</v>
      </c>
      <c r="K389" s="7" t="s">
        <v>148</v>
      </c>
      <c r="L389" s="7" t="s">
        <v>149</v>
      </c>
      <c r="M389" s="7" t="s">
        <v>150</v>
      </c>
      <c r="N389" s="7" t="s">
        <v>33</v>
      </c>
      <c r="O389" s="7">
        <v>1</v>
      </c>
      <c r="P389" s="7" t="s">
        <v>40</v>
      </c>
      <c r="Q389" s="7">
        <v>98.99</v>
      </c>
      <c r="R389" s="7"/>
      <c r="S389" s="7">
        <v>6.35</v>
      </c>
      <c r="T389" s="7"/>
      <c r="U389" s="7"/>
      <c r="V389" s="7"/>
      <c r="W389" s="7"/>
      <c r="X389" s="7"/>
      <c r="Y389" s="7" t="s">
        <v>2071</v>
      </c>
      <c r="Z389" s="7" t="s">
        <v>51</v>
      </c>
      <c r="AA389" s="7" t="s">
        <v>2072</v>
      </c>
      <c r="AB389" s="7" t="s">
        <v>44</v>
      </c>
      <c r="AC389" s="7"/>
      <c r="AD389" s="10"/>
      <c r="AE389" s="10"/>
      <c r="AF389" s="10"/>
      <c r="AG389" s="11">
        <f t="shared" si="6"/>
        <v>43271</v>
      </c>
    </row>
    <row r="390" spans="1:33">
      <c r="A390" s="7" t="s">
        <v>2073</v>
      </c>
      <c r="B390" s="7" t="s">
        <v>2073</v>
      </c>
      <c r="C390" s="7" t="s">
        <v>2074</v>
      </c>
      <c r="D390" s="7" t="s">
        <v>2075</v>
      </c>
      <c r="E390" s="7" t="s">
        <v>33</v>
      </c>
      <c r="F390" s="7" t="s">
        <v>34</v>
      </c>
      <c r="G390" s="7" t="s">
        <v>35</v>
      </c>
      <c r="H390" s="7"/>
      <c r="I390" s="7"/>
      <c r="J390" s="7" t="s">
        <v>163</v>
      </c>
      <c r="K390" s="7" t="s">
        <v>102</v>
      </c>
      <c r="L390" s="7" t="s">
        <v>103</v>
      </c>
      <c r="M390" s="7" t="s">
        <v>104</v>
      </c>
      <c r="N390" s="7" t="s">
        <v>33</v>
      </c>
      <c r="O390" s="7">
        <v>1</v>
      </c>
      <c r="P390" s="7" t="s">
        <v>40</v>
      </c>
      <c r="Q390" s="7">
        <v>89.99</v>
      </c>
      <c r="R390" s="7"/>
      <c r="S390" s="7">
        <v>6.99</v>
      </c>
      <c r="T390" s="7"/>
      <c r="U390" s="7"/>
      <c r="V390" s="7"/>
      <c r="W390" s="7">
        <v>9</v>
      </c>
      <c r="X390" s="7">
        <v>6.99</v>
      </c>
      <c r="Y390" s="7" t="s">
        <v>2076</v>
      </c>
      <c r="Z390" s="7" t="s">
        <v>135</v>
      </c>
      <c r="AA390" s="7">
        <v>60503</v>
      </c>
      <c r="AB390" s="7" t="s">
        <v>44</v>
      </c>
      <c r="AC390" s="7" t="s">
        <v>798</v>
      </c>
      <c r="AD390" s="10"/>
      <c r="AE390" s="10"/>
      <c r="AF390" s="10"/>
      <c r="AG390" s="11">
        <f t="shared" si="6"/>
        <v>43271</v>
      </c>
    </row>
    <row r="391" spans="1:33">
      <c r="A391" s="7" t="s">
        <v>2077</v>
      </c>
      <c r="B391" s="7" t="s">
        <v>2077</v>
      </c>
      <c r="C391" s="7" t="s">
        <v>2078</v>
      </c>
      <c r="D391" s="7" t="s">
        <v>2079</v>
      </c>
      <c r="E391" s="7" t="s">
        <v>33</v>
      </c>
      <c r="F391" s="7" t="s">
        <v>34</v>
      </c>
      <c r="G391" s="7" t="s">
        <v>35</v>
      </c>
      <c r="H391" s="7"/>
      <c r="I391" s="7"/>
      <c r="J391" s="7" t="s">
        <v>69</v>
      </c>
      <c r="K391" s="7" t="s">
        <v>2080</v>
      </c>
      <c r="L391" s="7" t="s">
        <v>2081</v>
      </c>
      <c r="M391" s="7" t="s">
        <v>2082</v>
      </c>
      <c r="N391" s="7" t="s">
        <v>33</v>
      </c>
      <c r="O391" s="7">
        <v>1</v>
      </c>
      <c r="P391" s="7" t="s">
        <v>40</v>
      </c>
      <c r="Q391" s="7">
        <v>79.99</v>
      </c>
      <c r="R391" s="7"/>
      <c r="S391" s="7">
        <v>6.49</v>
      </c>
      <c r="T391" s="7"/>
      <c r="U391" s="7"/>
      <c r="V391" s="7"/>
      <c r="W391" s="7"/>
      <c r="X391" s="7">
        <v>6.49</v>
      </c>
      <c r="Y391" s="7" t="s">
        <v>2083</v>
      </c>
      <c r="Z391" s="7" t="s">
        <v>189</v>
      </c>
      <c r="AA391" s="7" t="s">
        <v>2084</v>
      </c>
      <c r="AB391" s="7" t="s">
        <v>44</v>
      </c>
      <c r="AC391" s="7" t="s">
        <v>75</v>
      </c>
      <c r="AD391" s="10"/>
      <c r="AE391" s="10"/>
      <c r="AF391" s="10"/>
      <c r="AG391" s="11">
        <f t="shared" si="6"/>
        <v>43271</v>
      </c>
    </row>
    <row r="392" spans="1:33">
      <c r="A392" s="7" t="s">
        <v>2085</v>
      </c>
      <c r="B392" s="7" t="s">
        <v>2085</v>
      </c>
      <c r="C392" s="7" t="s">
        <v>2086</v>
      </c>
      <c r="D392" s="7" t="s">
        <v>2087</v>
      </c>
      <c r="E392" s="7" t="s">
        <v>33</v>
      </c>
      <c r="F392" s="7" t="s">
        <v>34</v>
      </c>
      <c r="G392" s="7" t="s">
        <v>35</v>
      </c>
      <c r="H392" s="7"/>
      <c r="I392" s="7"/>
      <c r="J392" s="7" t="s">
        <v>36</v>
      </c>
      <c r="K392" s="7" t="s">
        <v>79</v>
      </c>
      <c r="L392" s="7" t="s">
        <v>80</v>
      </c>
      <c r="M392" s="7" t="s">
        <v>81</v>
      </c>
      <c r="N392" s="7" t="s">
        <v>33</v>
      </c>
      <c r="O392" s="7">
        <v>1</v>
      </c>
      <c r="P392" s="7" t="s">
        <v>40</v>
      </c>
      <c r="Q392" s="7">
        <v>91.99</v>
      </c>
      <c r="R392" s="7"/>
      <c r="S392" s="7"/>
      <c r="T392" s="7"/>
      <c r="U392" s="7"/>
      <c r="V392" s="7"/>
      <c r="W392" s="7"/>
      <c r="X392" s="7"/>
      <c r="Y392" s="7" t="s">
        <v>2088</v>
      </c>
      <c r="Z392" s="7" t="s">
        <v>293</v>
      </c>
      <c r="AA392" s="7" t="s">
        <v>2089</v>
      </c>
      <c r="AB392" s="7" t="s">
        <v>44</v>
      </c>
      <c r="AC392" s="7"/>
      <c r="AD392" s="10"/>
      <c r="AE392" s="10"/>
      <c r="AF392" s="10"/>
      <c r="AG392" s="11">
        <f t="shared" si="6"/>
        <v>43271</v>
      </c>
    </row>
    <row r="393" spans="1:33">
      <c r="A393" s="7" t="s">
        <v>2090</v>
      </c>
      <c r="B393" s="7" t="s">
        <v>2090</v>
      </c>
      <c r="C393" s="7" t="s">
        <v>2091</v>
      </c>
      <c r="D393" s="7" t="s">
        <v>2092</v>
      </c>
      <c r="E393" s="7" t="s">
        <v>33</v>
      </c>
      <c r="F393" s="7" t="s">
        <v>34</v>
      </c>
      <c r="G393" s="7" t="s">
        <v>35</v>
      </c>
      <c r="H393" s="7"/>
      <c r="I393" s="7"/>
      <c r="J393" s="7" t="s">
        <v>58</v>
      </c>
      <c r="K393" s="7" t="s">
        <v>2080</v>
      </c>
      <c r="L393" s="7" t="s">
        <v>2081</v>
      </c>
      <c r="M393" s="7" t="s">
        <v>2082</v>
      </c>
      <c r="N393" s="7" t="s">
        <v>33</v>
      </c>
      <c r="O393" s="7">
        <v>1</v>
      </c>
      <c r="P393" s="7" t="s">
        <v>40</v>
      </c>
      <c r="Q393" s="7">
        <v>79.99</v>
      </c>
      <c r="R393" s="7"/>
      <c r="S393" s="7">
        <v>6.99</v>
      </c>
      <c r="T393" s="7"/>
      <c r="U393" s="7"/>
      <c r="V393" s="7"/>
      <c r="W393" s="7"/>
      <c r="X393" s="7"/>
      <c r="Y393" s="7" t="s">
        <v>2093</v>
      </c>
      <c r="Z393" s="7" t="s">
        <v>2094</v>
      </c>
      <c r="AA393" s="7">
        <v>84648</v>
      </c>
      <c r="AB393" s="7" t="s">
        <v>44</v>
      </c>
      <c r="AC393" s="7"/>
      <c r="AD393" s="10"/>
      <c r="AE393" s="10"/>
      <c r="AF393" s="10"/>
      <c r="AG393" s="11">
        <f t="shared" si="6"/>
        <v>43271</v>
      </c>
    </row>
    <row r="394" spans="1:33">
      <c r="A394" s="7" t="s">
        <v>2095</v>
      </c>
      <c r="B394" s="7" t="s">
        <v>2095</v>
      </c>
      <c r="C394" s="7" t="s">
        <v>2096</v>
      </c>
      <c r="D394" s="7" t="s">
        <v>2097</v>
      </c>
      <c r="E394" s="7" t="s">
        <v>33</v>
      </c>
      <c r="F394" s="7" t="s">
        <v>34</v>
      </c>
      <c r="G394" s="7" t="s">
        <v>35</v>
      </c>
      <c r="H394" s="7"/>
      <c r="I394" s="7"/>
      <c r="J394" s="7" t="s">
        <v>36</v>
      </c>
      <c r="K394" s="7" t="s">
        <v>660</v>
      </c>
      <c r="L394" s="7" t="s">
        <v>661</v>
      </c>
      <c r="M394" s="7" t="s">
        <v>662</v>
      </c>
      <c r="N394" s="7" t="s">
        <v>33</v>
      </c>
      <c r="O394" s="7">
        <v>1</v>
      </c>
      <c r="P394" s="7" t="s">
        <v>40</v>
      </c>
      <c r="Q394" s="7">
        <v>79.99</v>
      </c>
      <c r="R394" s="7"/>
      <c r="S394" s="7"/>
      <c r="T394" s="7"/>
      <c r="U394" s="7"/>
      <c r="V394" s="7"/>
      <c r="W394" s="7"/>
      <c r="X394" s="7"/>
      <c r="Y394" s="7" t="s">
        <v>2098</v>
      </c>
      <c r="Z394" s="7" t="s">
        <v>288</v>
      </c>
      <c r="AA394" s="7">
        <v>14120</v>
      </c>
      <c r="AB394" s="7" t="s">
        <v>44</v>
      </c>
      <c r="AC394" s="7"/>
      <c r="AD394" s="10"/>
      <c r="AE394" s="10"/>
      <c r="AF394" s="10"/>
      <c r="AG394" s="11">
        <f t="shared" si="6"/>
        <v>43271</v>
      </c>
    </row>
    <row r="395" spans="1:33">
      <c r="A395" s="7" t="s">
        <v>2099</v>
      </c>
      <c r="B395" s="7" t="s">
        <v>2099</v>
      </c>
      <c r="C395" s="7" t="s">
        <v>2100</v>
      </c>
      <c r="D395" s="7" t="s">
        <v>2101</v>
      </c>
      <c r="E395" s="7" t="s">
        <v>33</v>
      </c>
      <c r="F395" s="7" t="s">
        <v>34</v>
      </c>
      <c r="G395" s="7" t="s">
        <v>35</v>
      </c>
      <c r="H395" s="7"/>
      <c r="I395" s="7"/>
      <c r="J395" s="7" t="s">
        <v>58</v>
      </c>
      <c r="K395" s="7" t="s">
        <v>148</v>
      </c>
      <c r="L395" s="7" t="s">
        <v>149</v>
      </c>
      <c r="M395" s="7" t="s">
        <v>150</v>
      </c>
      <c r="N395" s="7" t="s">
        <v>33</v>
      </c>
      <c r="O395" s="7">
        <v>1</v>
      </c>
      <c r="P395" s="7" t="s">
        <v>40</v>
      </c>
      <c r="Q395" s="7">
        <v>98.99</v>
      </c>
      <c r="R395" s="7"/>
      <c r="S395" s="7">
        <v>11.99</v>
      </c>
      <c r="T395" s="7"/>
      <c r="U395" s="7"/>
      <c r="V395" s="7"/>
      <c r="W395" s="7"/>
      <c r="X395" s="7"/>
      <c r="Y395" s="7" t="s">
        <v>2102</v>
      </c>
      <c r="Z395" s="7" t="s">
        <v>64</v>
      </c>
      <c r="AA395" s="7" t="s">
        <v>2103</v>
      </c>
      <c r="AB395" s="7" t="s">
        <v>44</v>
      </c>
      <c r="AC395" s="7"/>
      <c r="AD395" s="10"/>
      <c r="AE395" s="10"/>
      <c r="AF395" s="10"/>
      <c r="AG395" s="11">
        <f t="shared" si="6"/>
        <v>43271</v>
      </c>
    </row>
    <row r="396" spans="1:33">
      <c r="A396" s="7" t="s">
        <v>2104</v>
      </c>
      <c r="B396" s="7" t="s">
        <v>2104</v>
      </c>
      <c r="C396" s="7" t="s">
        <v>2100</v>
      </c>
      <c r="D396" s="7" t="s">
        <v>2105</v>
      </c>
      <c r="E396" s="7" t="s">
        <v>33</v>
      </c>
      <c r="F396" s="7" t="s">
        <v>34</v>
      </c>
      <c r="G396" s="7" t="s">
        <v>35</v>
      </c>
      <c r="H396" s="7"/>
      <c r="I396" s="7"/>
      <c r="J396" s="7" t="s">
        <v>36</v>
      </c>
      <c r="K396" s="7" t="s">
        <v>1975</v>
      </c>
      <c r="L396" s="7" t="s">
        <v>1976</v>
      </c>
      <c r="M396" s="7" t="s">
        <v>1977</v>
      </c>
      <c r="N396" s="7" t="s">
        <v>33</v>
      </c>
      <c r="O396" s="7">
        <v>1</v>
      </c>
      <c r="P396" s="7" t="s">
        <v>40</v>
      </c>
      <c r="Q396" s="7">
        <v>92.99</v>
      </c>
      <c r="R396" s="7"/>
      <c r="S396" s="7"/>
      <c r="T396" s="7"/>
      <c r="U396" s="7"/>
      <c r="V396" s="7"/>
      <c r="W396" s="7"/>
      <c r="X396" s="7"/>
      <c r="Y396" s="7" t="s">
        <v>2102</v>
      </c>
      <c r="Z396" s="7" t="s">
        <v>64</v>
      </c>
      <c r="AA396" s="7" t="s">
        <v>2103</v>
      </c>
      <c r="AB396" s="7" t="s">
        <v>44</v>
      </c>
      <c r="AC396" s="7"/>
      <c r="AD396" s="10"/>
      <c r="AE396" s="10"/>
      <c r="AF396" s="10"/>
      <c r="AG396" s="11">
        <f t="shared" si="6"/>
        <v>43271</v>
      </c>
    </row>
    <row r="397" spans="1:33">
      <c r="A397" s="7" t="s">
        <v>2106</v>
      </c>
      <c r="B397" s="7" t="s">
        <v>2106</v>
      </c>
      <c r="C397" s="7" t="s">
        <v>2107</v>
      </c>
      <c r="D397" s="7" t="s">
        <v>2108</v>
      </c>
      <c r="E397" s="7" t="s">
        <v>33</v>
      </c>
      <c r="F397" s="7" t="s">
        <v>34</v>
      </c>
      <c r="G397" s="7" t="s">
        <v>35</v>
      </c>
      <c r="H397" s="7"/>
      <c r="I397" s="7"/>
      <c r="J397" s="7" t="s">
        <v>36</v>
      </c>
      <c r="K397" s="7" t="s">
        <v>148</v>
      </c>
      <c r="L397" s="7" t="s">
        <v>149</v>
      </c>
      <c r="M397" s="7" t="s">
        <v>150</v>
      </c>
      <c r="N397" s="7" t="s">
        <v>33</v>
      </c>
      <c r="O397" s="7">
        <v>1</v>
      </c>
      <c r="P397" s="7" t="s">
        <v>40</v>
      </c>
      <c r="Q397" s="7">
        <v>98.99</v>
      </c>
      <c r="R397" s="7"/>
      <c r="S397" s="7"/>
      <c r="T397" s="7"/>
      <c r="U397" s="7"/>
      <c r="V397" s="7"/>
      <c r="W397" s="7"/>
      <c r="X397" s="7"/>
      <c r="Y397" s="7" t="s">
        <v>2109</v>
      </c>
      <c r="Z397" s="7" t="s">
        <v>391</v>
      </c>
      <c r="AA397" s="7" t="s">
        <v>2110</v>
      </c>
      <c r="AB397" s="7" t="s">
        <v>44</v>
      </c>
      <c r="AC397" s="7"/>
      <c r="AD397" s="10"/>
      <c r="AE397" s="10"/>
      <c r="AF397" s="10"/>
      <c r="AG397" s="11">
        <f t="shared" si="6"/>
        <v>43271</v>
      </c>
    </row>
    <row r="398" spans="1:33">
      <c r="A398" s="7" t="s">
        <v>2111</v>
      </c>
      <c r="B398" s="7" t="s">
        <v>2111</v>
      </c>
      <c r="C398" s="7" t="s">
        <v>2112</v>
      </c>
      <c r="D398" s="7" t="s">
        <v>2113</v>
      </c>
      <c r="E398" s="7" t="s">
        <v>33</v>
      </c>
      <c r="F398" s="7" t="s">
        <v>34</v>
      </c>
      <c r="G398" s="7" t="s">
        <v>35</v>
      </c>
      <c r="H398" s="7"/>
      <c r="I398" s="7"/>
      <c r="J398" s="7" t="s">
        <v>69</v>
      </c>
      <c r="K398" s="7" t="s">
        <v>1807</v>
      </c>
      <c r="L398" s="7" t="s">
        <v>1808</v>
      </c>
      <c r="M398" s="7" t="s">
        <v>1809</v>
      </c>
      <c r="N398" s="7" t="s">
        <v>33</v>
      </c>
      <c r="O398" s="7">
        <v>1</v>
      </c>
      <c r="P398" s="7" t="s">
        <v>40</v>
      </c>
      <c r="Q398" s="7">
        <v>69.99</v>
      </c>
      <c r="R398" s="7"/>
      <c r="S398" s="7">
        <v>4.84</v>
      </c>
      <c r="T398" s="7"/>
      <c r="U398" s="7"/>
      <c r="V398" s="7"/>
      <c r="W398" s="7"/>
      <c r="X398" s="7">
        <v>4.84</v>
      </c>
      <c r="Y398" s="7" t="s">
        <v>2114</v>
      </c>
      <c r="Z398" s="7" t="s">
        <v>271</v>
      </c>
      <c r="AA398" s="7">
        <v>32407</v>
      </c>
      <c r="AB398" s="7" t="s">
        <v>44</v>
      </c>
      <c r="AC398" s="7" t="s">
        <v>75</v>
      </c>
      <c r="AD398" s="10"/>
      <c r="AE398" s="10"/>
      <c r="AF398" s="10"/>
      <c r="AG398" s="11">
        <f t="shared" si="6"/>
        <v>43271</v>
      </c>
    </row>
    <row r="399" spans="1:33">
      <c r="A399" s="7" t="s">
        <v>2115</v>
      </c>
      <c r="B399" s="7" t="s">
        <v>2115</v>
      </c>
      <c r="C399" s="7" t="s">
        <v>2116</v>
      </c>
      <c r="D399" s="7" t="s">
        <v>2117</v>
      </c>
      <c r="E399" s="7" t="s">
        <v>33</v>
      </c>
      <c r="F399" s="7" t="s">
        <v>34</v>
      </c>
      <c r="G399" s="7" t="s">
        <v>35</v>
      </c>
      <c r="H399" s="7"/>
      <c r="I399" s="7"/>
      <c r="J399" s="7" t="s">
        <v>36</v>
      </c>
      <c r="K399" s="7" t="s">
        <v>275</v>
      </c>
      <c r="L399" s="7" t="s">
        <v>276</v>
      </c>
      <c r="M399" s="7" t="s">
        <v>277</v>
      </c>
      <c r="N399" s="7" t="s">
        <v>33</v>
      </c>
      <c r="O399" s="7">
        <v>1</v>
      </c>
      <c r="P399" s="7" t="s">
        <v>40</v>
      </c>
      <c r="Q399" s="7">
        <v>89.99</v>
      </c>
      <c r="R399" s="7"/>
      <c r="S399" s="7"/>
      <c r="T399" s="7"/>
      <c r="U399" s="7"/>
      <c r="V399" s="7"/>
      <c r="W399" s="7"/>
      <c r="X399" s="7"/>
      <c r="Y399" s="7" t="s">
        <v>2118</v>
      </c>
      <c r="Z399" s="7" t="s">
        <v>42</v>
      </c>
      <c r="AA399" s="7" t="s">
        <v>2119</v>
      </c>
      <c r="AB399" s="7" t="s">
        <v>44</v>
      </c>
      <c r="AC399" s="7"/>
      <c r="AD399" s="10"/>
      <c r="AE399" s="10"/>
      <c r="AF399" s="10"/>
      <c r="AG399" s="11">
        <f t="shared" si="6"/>
        <v>43271</v>
      </c>
    </row>
    <row r="400" spans="1:33">
      <c r="A400" s="7" t="s">
        <v>2120</v>
      </c>
      <c r="B400" s="7" t="s">
        <v>2120</v>
      </c>
      <c r="C400" s="7" t="s">
        <v>2121</v>
      </c>
      <c r="D400" s="7" t="s">
        <v>2122</v>
      </c>
      <c r="E400" s="7" t="s">
        <v>33</v>
      </c>
      <c r="F400" s="7" t="s">
        <v>34</v>
      </c>
      <c r="G400" s="7" t="s">
        <v>35</v>
      </c>
      <c r="H400" s="7"/>
      <c r="I400" s="7"/>
      <c r="J400" s="7" t="s">
        <v>36</v>
      </c>
      <c r="K400" s="7" t="s">
        <v>2035</v>
      </c>
      <c r="L400" s="7" t="s">
        <v>89</v>
      </c>
      <c r="M400" s="7" t="s">
        <v>90</v>
      </c>
      <c r="N400" s="7" t="s">
        <v>33</v>
      </c>
      <c r="O400" s="7">
        <v>1</v>
      </c>
      <c r="P400" s="7" t="s">
        <v>40</v>
      </c>
      <c r="Q400" s="7">
        <v>89.99</v>
      </c>
      <c r="R400" s="7"/>
      <c r="S400" s="7"/>
      <c r="T400" s="7"/>
      <c r="U400" s="7"/>
      <c r="V400" s="7"/>
      <c r="W400" s="7"/>
      <c r="X400" s="7"/>
      <c r="Y400" s="7" t="s">
        <v>2123</v>
      </c>
      <c r="Z400" s="7" t="s">
        <v>316</v>
      </c>
      <c r="AA400" s="7">
        <v>80112</v>
      </c>
      <c r="AB400" s="7" t="s">
        <v>44</v>
      </c>
      <c r="AC400" s="7"/>
      <c r="AD400" s="10"/>
      <c r="AE400" s="10"/>
      <c r="AF400" s="10"/>
      <c r="AG400" s="11">
        <f t="shared" si="6"/>
        <v>43271</v>
      </c>
    </row>
    <row r="401" spans="1:33">
      <c r="A401" s="7" t="s">
        <v>2124</v>
      </c>
      <c r="B401" s="7" t="s">
        <v>2124</v>
      </c>
      <c r="C401" s="7" t="s">
        <v>2125</v>
      </c>
      <c r="D401" s="7" t="s">
        <v>2126</v>
      </c>
      <c r="E401" s="7" t="s">
        <v>33</v>
      </c>
      <c r="F401" s="7" t="s">
        <v>34</v>
      </c>
      <c r="G401" s="7" t="s">
        <v>35</v>
      </c>
      <c r="H401" s="7"/>
      <c r="I401" s="7"/>
      <c r="J401" s="7" t="s">
        <v>69</v>
      </c>
      <c r="K401" s="7" t="s">
        <v>2127</v>
      </c>
      <c r="L401" s="7" t="s">
        <v>2128</v>
      </c>
      <c r="M401" s="7" t="s">
        <v>2129</v>
      </c>
      <c r="N401" s="7" t="s">
        <v>33</v>
      </c>
      <c r="O401" s="7">
        <v>1</v>
      </c>
      <c r="P401" s="7" t="s">
        <v>40</v>
      </c>
      <c r="Q401" s="7">
        <v>95.99</v>
      </c>
      <c r="R401" s="7"/>
      <c r="S401" s="7">
        <v>4.04</v>
      </c>
      <c r="T401" s="7"/>
      <c r="U401" s="7"/>
      <c r="V401" s="7"/>
      <c r="W401" s="7"/>
      <c r="X401" s="7">
        <v>4.04</v>
      </c>
      <c r="Y401" s="7" t="s">
        <v>2130</v>
      </c>
      <c r="Z401" s="7" t="s">
        <v>52</v>
      </c>
      <c r="AA401" s="7" t="s">
        <v>2131</v>
      </c>
      <c r="AB401" s="7" t="s">
        <v>44</v>
      </c>
      <c r="AC401" s="7" t="s">
        <v>75</v>
      </c>
      <c r="AD401" s="10"/>
      <c r="AE401" s="10"/>
      <c r="AF401" s="10"/>
      <c r="AG401" s="11">
        <f t="shared" si="6"/>
        <v>43271</v>
      </c>
    </row>
    <row r="402" spans="1:33">
      <c r="A402" s="7" t="s">
        <v>2132</v>
      </c>
      <c r="B402" s="7" t="s">
        <v>2132</v>
      </c>
      <c r="C402" s="7" t="s">
        <v>2133</v>
      </c>
      <c r="D402" s="7" t="s">
        <v>2134</v>
      </c>
      <c r="E402" s="7" t="s">
        <v>33</v>
      </c>
      <c r="F402" s="7" t="s">
        <v>34</v>
      </c>
      <c r="G402" s="7" t="s">
        <v>35</v>
      </c>
      <c r="H402" s="7"/>
      <c r="I402" s="7"/>
      <c r="J402" s="7" t="s">
        <v>36</v>
      </c>
      <c r="K402" s="7" t="s">
        <v>2135</v>
      </c>
      <c r="L402" s="7" t="s">
        <v>2136</v>
      </c>
      <c r="M402" s="7" t="s">
        <v>2137</v>
      </c>
      <c r="N402" s="7" t="s">
        <v>33</v>
      </c>
      <c r="O402" s="7">
        <v>1</v>
      </c>
      <c r="P402" s="7" t="s">
        <v>40</v>
      </c>
      <c r="Q402" s="7">
        <v>32.99</v>
      </c>
      <c r="R402" s="7"/>
      <c r="S402" s="7"/>
      <c r="T402" s="7"/>
      <c r="U402" s="7"/>
      <c r="V402" s="7"/>
      <c r="W402" s="7"/>
      <c r="X402" s="7"/>
      <c r="Y402" s="7" t="s">
        <v>2138</v>
      </c>
      <c r="Z402" s="7" t="s">
        <v>440</v>
      </c>
      <c r="AA402" s="7" t="s">
        <v>2139</v>
      </c>
      <c r="AB402" s="7" t="s">
        <v>44</v>
      </c>
      <c r="AC402" s="7"/>
      <c r="AD402" s="10"/>
      <c r="AE402" s="10"/>
      <c r="AF402" s="10"/>
      <c r="AG402" s="11">
        <f t="shared" si="6"/>
        <v>43271</v>
      </c>
    </row>
    <row r="403" spans="1:33">
      <c r="A403" s="7" t="s">
        <v>2140</v>
      </c>
      <c r="B403" s="7" t="s">
        <v>2140</v>
      </c>
      <c r="C403" s="7" t="s">
        <v>2141</v>
      </c>
      <c r="D403" s="7" t="s">
        <v>2142</v>
      </c>
      <c r="E403" s="7" t="s">
        <v>33</v>
      </c>
      <c r="F403" s="7" t="s">
        <v>34</v>
      </c>
      <c r="G403" s="7" t="s">
        <v>35</v>
      </c>
      <c r="H403" s="7"/>
      <c r="I403" s="7"/>
      <c r="J403" s="7" t="s">
        <v>36</v>
      </c>
      <c r="K403" s="7" t="s">
        <v>2035</v>
      </c>
      <c r="L403" s="7" t="s">
        <v>89</v>
      </c>
      <c r="M403" s="7" t="s">
        <v>90</v>
      </c>
      <c r="N403" s="7" t="s">
        <v>33</v>
      </c>
      <c r="O403" s="7">
        <v>1</v>
      </c>
      <c r="P403" s="7" t="s">
        <v>40</v>
      </c>
      <c r="Q403" s="7">
        <v>89.99</v>
      </c>
      <c r="R403" s="7"/>
      <c r="S403" s="7"/>
      <c r="T403" s="7"/>
      <c r="U403" s="7"/>
      <c r="V403" s="7"/>
      <c r="W403" s="7"/>
      <c r="X403" s="7"/>
      <c r="Y403" s="7" t="s">
        <v>2143</v>
      </c>
      <c r="Z403" s="7" t="s">
        <v>52</v>
      </c>
      <c r="AA403" s="7">
        <v>11235</v>
      </c>
      <c r="AB403" s="7" t="s">
        <v>44</v>
      </c>
      <c r="AC403" s="7"/>
      <c r="AD403" s="10"/>
      <c r="AE403" s="10"/>
      <c r="AF403" s="10"/>
      <c r="AG403" s="11">
        <f t="shared" si="6"/>
        <v>43271</v>
      </c>
    </row>
    <row r="404" spans="1:33">
      <c r="A404" s="7" t="s">
        <v>2144</v>
      </c>
      <c r="B404" s="7" t="s">
        <v>2144</v>
      </c>
      <c r="C404" s="7" t="s">
        <v>2145</v>
      </c>
      <c r="D404" s="7" t="s">
        <v>2146</v>
      </c>
      <c r="E404" s="7" t="s">
        <v>33</v>
      </c>
      <c r="F404" s="7" t="s">
        <v>34</v>
      </c>
      <c r="G404" s="7" t="s">
        <v>35</v>
      </c>
      <c r="H404" s="7"/>
      <c r="I404" s="7"/>
      <c r="J404" s="7" t="s">
        <v>36</v>
      </c>
      <c r="K404" s="7" t="s">
        <v>2147</v>
      </c>
      <c r="L404" s="7" t="s">
        <v>2148</v>
      </c>
      <c r="M404" s="7" t="s">
        <v>2149</v>
      </c>
      <c r="N404" s="7" t="s">
        <v>33</v>
      </c>
      <c r="O404" s="7">
        <v>1</v>
      </c>
      <c r="P404" s="7" t="s">
        <v>40</v>
      </c>
      <c r="Q404" s="7">
        <v>32.99</v>
      </c>
      <c r="R404" s="7"/>
      <c r="S404" s="7">
        <v>4.65</v>
      </c>
      <c r="T404" s="7"/>
      <c r="U404" s="7"/>
      <c r="V404" s="7"/>
      <c r="W404" s="7"/>
      <c r="X404" s="7"/>
      <c r="Y404" s="7" t="s">
        <v>73</v>
      </c>
      <c r="Z404" s="7" t="s">
        <v>64</v>
      </c>
      <c r="AA404" s="7" t="s">
        <v>2150</v>
      </c>
      <c r="AB404" s="7" t="s">
        <v>44</v>
      </c>
      <c r="AC404" s="7"/>
      <c r="AD404" s="10"/>
      <c r="AE404" s="10"/>
      <c r="AF404" s="10"/>
      <c r="AG404" s="11">
        <f t="shared" si="6"/>
        <v>43271</v>
      </c>
    </row>
    <row r="405" spans="1:33">
      <c r="A405" s="7" t="s">
        <v>2151</v>
      </c>
      <c r="B405" s="7" t="s">
        <v>2151</v>
      </c>
      <c r="C405" s="7" t="s">
        <v>2152</v>
      </c>
      <c r="D405" s="7" t="s">
        <v>2153</v>
      </c>
      <c r="E405" s="7" t="s">
        <v>33</v>
      </c>
      <c r="F405" s="7" t="s">
        <v>34</v>
      </c>
      <c r="G405" s="7" t="s">
        <v>35</v>
      </c>
      <c r="H405" s="7"/>
      <c r="I405" s="7"/>
      <c r="J405" s="7" t="s">
        <v>36</v>
      </c>
      <c r="K405" s="7" t="s">
        <v>632</v>
      </c>
      <c r="L405" s="7" t="s">
        <v>633</v>
      </c>
      <c r="M405" s="7" t="s">
        <v>634</v>
      </c>
      <c r="N405" s="7" t="s">
        <v>33</v>
      </c>
      <c r="O405" s="7">
        <v>1</v>
      </c>
      <c r="P405" s="7" t="s">
        <v>40</v>
      </c>
      <c r="Q405" s="7">
        <v>89.99</v>
      </c>
      <c r="R405" s="7"/>
      <c r="S405" s="7">
        <v>14.13</v>
      </c>
      <c r="T405" s="7"/>
      <c r="U405" s="7"/>
      <c r="V405" s="7"/>
      <c r="W405" s="7">
        <v>9</v>
      </c>
      <c r="X405" s="7"/>
      <c r="Y405" s="7" t="s">
        <v>2154</v>
      </c>
      <c r="Z405" s="7" t="s">
        <v>299</v>
      </c>
      <c r="AA405" s="7" t="s">
        <v>2155</v>
      </c>
      <c r="AB405" s="7" t="s">
        <v>44</v>
      </c>
      <c r="AC405" s="7" t="s">
        <v>2156</v>
      </c>
      <c r="AD405" s="10"/>
      <c r="AE405" s="10"/>
      <c r="AF405" s="10"/>
      <c r="AG405" s="11">
        <f t="shared" si="6"/>
        <v>43271</v>
      </c>
    </row>
    <row r="406" spans="1:33">
      <c r="A406" s="7" t="s">
        <v>2157</v>
      </c>
      <c r="B406" s="7" t="s">
        <v>2157</v>
      </c>
      <c r="C406" s="7" t="s">
        <v>2158</v>
      </c>
      <c r="D406" s="7" t="s">
        <v>2159</v>
      </c>
      <c r="E406" s="7" t="s">
        <v>33</v>
      </c>
      <c r="F406" s="7" t="s">
        <v>34</v>
      </c>
      <c r="G406" s="7" t="s">
        <v>35</v>
      </c>
      <c r="H406" s="7"/>
      <c r="I406" s="7"/>
      <c r="J406" s="7" t="s">
        <v>36</v>
      </c>
      <c r="K406" s="7" t="s">
        <v>431</v>
      </c>
      <c r="L406" s="7" t="s">
        <v>432</v>
      </c>
      <c r="M406" s="7" t="s">
        <v>433</v>
      </c>
      <c r="N406" s="7" t="s">
        <v>33</v>
      </c>
      <c r="O406" s="7">
        <v>1</v>
      </c>
      <c r="P406" s="7" t="s">
        <v>40</v>
      </c>
      <c r="Q406" s="7">
        <v>89.99</v>
      </c>
      <c r="R406" s="7"/>
      <c r="S406" s="7"/>
      <c r="T406" s="7"/>
      <c r="U406" s="7"/>
      <c r="V406" s="7"/>
      <c r="W406" s="7"/>
      <c r="X406" s="7"/>
      <c r="Y406" s="7" t="s">
        <v>2160</v>
      </c>
      <c r="Z406" s="7" t="s">
        <v>440</v>
      </c>
      <c r="AA406" s="7" t="s">
        <v>2161</v>
      </c>
      <c r="AB406" s="7" t="s">
        <v>44</v>
      </c>
      <c r="AC406" s="7"/>
      <c r="AD406" s="10"/>
      <c r="AE406" s="10"/>
      <c r="AF406" s="10"/>
      <c r="AG406" s="11">
        <f t="shared" si="6"/>
        <v>43271</v>
      </c>
    </row>
    <row r="407" spans="1:33">
      <c r="A407" s="7" t="s">
        <v>2162</v>
      </c>
      <c r="B407" s="7" t="s">
        <v>2162</v>
      </c>
      <c r="C407" s="7" t="s">
        <v>2163</v>
      </c>
      <c r="D407" s="7" t="s">
        <v>2164</v>
      </c>
      <c r="E407" s="7" t="s">
        <v>33</v>
      </c>
      <c r="F407" s="7" t="s">
        <v>34</v>
      </c>
      <c r="G407" s="7" t="s">
        <v>35</v>
      </c>
      <c r="H407" s="7"/>
      <c r="I407" s="7"/>
      <c r="J407" s="7" t="s">
        <v>36</v>
      </c>
      <c r="K407" s="7" t="s">
        <v>410</v>
      </c>
      <c r="L407" s="7" t="s">
        <v>411</v>
      </c>
      <c r="M407" s="7" t="s">
        <v>412</v>
      </c>
      <c r="N407" s="7" t="s">
        <v>33</v>
      </c>
      <c r="O407" s="7">
        <v>1</v>
      </c>
      <c r="P407" s="7" t="s">
        <v>40</v>
      </c>
      <c r="Q407" s="7">
        <v>21.99</v>
      </c>
      <c r="R407" s="7"/>
      <c r="S407" s="7"/>
      <c r="T407" s="7"/>
      <c r="U407" s="7"/>
      <c r="V407" s="7"/>
      <c r="W407" s="7">
        <v>21.77</v>
      </c>
      <c r="X407" s="7"/>
      <c r="Y407" s="7" t="s">
        <v>51</v>
      </c>
      <c r="Z407" s="7" t="s">
        <v>52</v>
      </c>
      <c r="AA407" s="7" t="s">
        <v>2165</v>
      </c>
      <c r="AB407" s="7" t="s">
        <v>44</v>
      </c>
      <c r="AC407" s="7" t="s">
        <v>209</v>
      </c>
      <c r="AD407" s="10"/>
      <c r="AE407" s="10"/>
      <c r="AF407" s="10"/>
      <c r="AG407" s="11">
        <f t="shared" si="6"/>
        <v>43271</v>
      </c>
    </row>
    <row r="408" spans="1:33">
      <c r="A408" s="7" t="s">
        <v>2166</v>
      </c>
      <c r="B408" s="7" t="s">
        <v>2166</v>
      </c>
      <c r="C408" s="7" t="s">
        <v>2167</v>
      </c>
      <c r="D408" s="7" t="s">
        <v>2168</v>
      </c>
      <c r="E408" s="7" t="s">
        <v>33</v>
      </c>
      <c r="F408" s="7" t="s">
        <v>34</v>
      </c>
      <c r="G408" s="7" t="s">
        <v>35</v>
      </c>
      <c r="H408" s="7"/>
      <c r="I408" s="7"/>
      <c r="J408" s="7" t="s">
        <v>36</v>
      </c>
      <c r="K408" s="7" t="s">
        <v>148</v>
      </c>
      <c r="L408" s="7" t="s">
        <v>149</v>
      </c>
      <c r="M408" s="7" t="s">
        <v>150</v>
      </c>
      <c r="N408" s="7" t="s">
        <v>33</v>
      </c>
      <c r="O408" s="7">
        <v>1</v>
      </c>
      <c r="P408" s="7" t="s">
        <v>40</v>
      </c>
      <c r="Q408" s="7">
        <v>98.99</v>
      </c>
      <c r="R408" s="7"/>
      <c r="S408" s="7"/>
      <c r="T408" s="7"/>
      <c r="U408" s="7"/>
      <c r="V408" s="7"/>
      <c r="W408" s="7"/>
      <c r="X408" s="7"/>
      <c r="Y408" s="7" t="s">
        <v>2169</v>
      </c>
      <c r="Z408" s="7" t="s">
        <v>42</v>
      </c>
      <c r="AA408" s="7" t="s">
        <v>2170</v>
      </c>
      <c r="AB408" s="7" t="s">
        <v>44</v>
      </c>
      <c r="AC408" s="7"/>
      <c r="AD408" s="10"/>
      <c r="AE408" s="10"/>
      <c r="AF408" s="10"/>
      <c r="AG408" s="11">
        <f t="shared" si="6"/>
        <v>43271</v>
      </c>
    </row>
    <row r="409" spans="1:33">
      <c r="A409" s="7" t="s">
        <v>2171</v>
      </c>
      <c r="B409" s="7" t="s">
        <v>2171</v>
      </c>
      <c r="C409" s="7" t="s">
        <v>2172</v>
      </c>
      <c r="D409" s="7" t="s">
        <v>2173</v>
      </c>
      <c r="E409" s="7" t="s">
        <v>33</v>
      </c>
      <c r="F409" s="7" t="s">
        <v>34</v>
      </c>
      <c r="G409" s="7" t="s">
        <v>35</v>
      </c>
      <c r="H409" s="7"/>
      <c r="I409" s="7"/>
      <c r="J409" s="7" t="s">
        <v>36</v>
      </c>
      <c r="K409" s="7" t="s">
        <v>698</v>
      </c>
      <c r="L409" s="7" t="s">
        <v>699</v>
      </c>
      <c r="M409" s="7" t="s">
        <v>700</v>
      </c>
      <c r="N409" s="7" t="s">
        <v>33</v>
      </c>
      <c r="O409" s="7">
        <v>1</v>
      </c>
      <c r="P409" s="7" t="s">
        <v>40</v>
      </c>
      <c r="Q409" s="7">
        <v>21.99</v>
      </c>
      <c r="R409" s="7"/>
      <c r="S409" s="7"/>
      <c r="T409" s="7"/>
      <c r="U409" s="7"/>
      <c r="V409" s="7"/>
      <c r="W409" s="7"/>
      <c r="X409" s="7"/>
      <c r="Y409" s="7" t="s">
        <v>2174</v>
      </c>
      <c r="Z409" s="7" t="s">
        <v>64</v>
      </c>
      <c r="AA409" s="7" t="s">
        <v>2175</v>
      </c>
      <c r="AB409" s="7" t="s">
        <v>44</v>
      </c>
      <c r="AC409" s="7"/>
      <c r="AD409" s="10"/>
      <c r="AE409" s="10"/>
      <c r="AF409" s="10"/>
      <c r="AG409" s="11">
        <f t="shared" si="6"/>
        <v>43271</v>
      </c>
    </row>
    <row r="410" spans="1:33">
      <c r="A410" s="7" t="s">
        <v>2171</v>
      </c>
      <c r="B410" s="7" t="s">
        <v>2171</v>
      </c>
      <c r="C410" s="7" t="s">
        <v>2172</v>
      </c>
      <c r="D410" s="7" t="s">
        <v>2173</v>
      </c>
      <c r="E410" s="7" t="s">
        <v>33</v>
      </c>
      <c r="F410" s="7" t="s">
        <v>34</v>
      </c>
      <c r="G410" s="7" t="s">
        <v>35</v>
      </c>
      <c r="H410" s="7"/>
      <c r="I410" s="7"/>
      <c r="J410" s="7" t="s">
        <v>36</v>
      </c>
      <c r="K410" s="7" t="s">
        <v>148</v>
      </c>
      <c r="L410" s="7" t="s">
        <v>149</v>
      </c>
      <c r="M410" s="7" t="s">
        <v>150</v>
      </c>
      <c r="N410" s="7" t="s">
        <v>33</v>
      </c>
      <c r="O410" s="7">
        <v>1</v>
      </c>
      <c r="P410" s="7" t="s">
        <v>40</v>
      </c>
      <c r="Q410" s="7">
        <v>98.99</v>
      </c>
      <c r="R410" s="7"/>
      <c r="S410" s="7"/>
      <c r="T410" s="7"/>
      <c r="U410" s="7"/>
      <c r="V410" s="7"/>
      <c r="W410" s="7"/>
      <c r="X410" s="7"/>
      <c r="Y410" s="7" t="s">
        <v>2174</v>
      </c>
      <c r="Z410" s="7" t="s">
        <v>64</v>
      </c>
      <c r="AA410" s="7" t="s">
        <v>2175</v>
      </c>
      <c r="AB410" s="7" t="s">
        <v>44</v>
      </c>
      <c r="AC410" s="7"/>
      <c r="AD410" s="10"/>
      <c r="AE410" s="10"/>
      <c r="AF410" s="10"/>
      <c r="AG410" s="11">
        <f t="shared" si="6"/>
        <v>43271</v>
      </c>
    </row>
    <row r="411" spans="1:33">
      <c r="A411" s="7" t="s">
        <v>2176</v>
      </c>
      <c r="B411" s="7" t="s">
        <v>2176</v>
      </c>
      <c r="C411" s="7" t="s">
        <v>2177</v>
      </c>
      <c r="D411" s="7" t="s">
        <v>2178</v>
      </c>
      <c r="E411" s="7" t="s">
        <v>33</v>
      </c>
      <c r="F411" s="7" t="s">
        <v>34</v>
      </c>
      <c r="G411" s="7" t="s">
        <v>35</v>
      </c>
      <c r="H411" s="7"/>
      <c r="I411" s="7"/>
      <c r="J411" s="7" t="s">
        <v>36</v>
      </c>
      <c r="K411" s="7" t="s">
        <v>79</v>
      </c>
      <c r="L411" s="7" t="s">
        <v>80</v>
      </c>
      <c r="M411" s="7" t="s">
        <v>81</v>
      </c>
      <c r="N411" s="7" t="s">
        <v>33</v>
      </c>
      <c r="O411" s="7">
        <v>1</v>
      </c>
      <c r="P411" s="7" t="s">
        <v>40</v>
      </c>
      <c r="Q411" s="7">
        <v>91.99</v>
      </c>
      <c r="R411" s="7"/>
      <c r="S411" s="7"/>
      <c r="T411" s="7"/>
      <c r="U411" s="7"/>
      <c r="V411" s="7"/>
      <c r="W411" s="7"/>
      <c r="X411" s="7"/>
      <c r="Y411" s="7" t="s">
        <v>2179</v>
      </c>
      <c r="Z411" s="7" t="s">
        <v>2180</v>
      </c>
      <c r="AA411" s="7">
        <v>83703</v>
      </c>
      <c r="AB411" s="7" t="s">
        <v>44</v>
      </c>
      <c r="AC411" s="7"/>
      <c r="AD411" s="10"/>
      <c r="AE411" s="10"/>
      <c r="AF411" s="10"/>
      <c r="AG411" s="11">
        <f t="shared" si="6"/>
        <v>43271</v>
      </c>
    </row>
    <row r="412" spans="1:33">
      <c r="A412" s="7" t="s">
        <v>2181</v>
      </c>
      <c r="B412" s="7" t="s">
        <v>2181</v>
      </c>
      <c r="C412" s="7" t="s">
        <v>2182</v>
      </c>
      <c r="D412" s="7" t="s">
        <v>2183</v>
      </c>
      <c r="E412" s="7" t="s">
        <v>33</v>
      </c>
      <c r="F412" s="7" t="s">
        <v>34</v>
      </c>
      <c r="G412" s="7" t="s">
        <v>35</v>
      </c>
      <c r="H412" s="7"/>
      <c r="I412" s="7"/>
      <c r="J412" s="7" t="s">
        <v>69</v>
      </c>
      <c r="K412" s="7" t="s">
        <v>235</v>
      </c>
      <c r="L412" s="7" t="s">
        <v>236</v>
      </c>
      <c r="M412" s="7" t="s">
        <v>237</v>
      </c>
      <c r="N412" s="7" t="s">
        <v>33</v>
      </c>
      <c r="O412" s="7">
        <v>1</v>
      </c>
      <c r="P412" s="7" t="s">
        <v>40</v>
      </c>
      <c r="Q412" s="7">
        <v>85.99</v>
      </c>
      <c r="R412" s="7"/>
      <c r="S412" s="7"/>
      <c r="T412" s="7"/>
      <c r="U412" s="7"/>
      <c r="V412" s="7"/>
      <c r="W412" s="7"/>
      <c r="X412" s="7"/>
      <c r="Y412" s="7" t="s">
        <v>2184</v>
      </c>
      <c r="Z412" s="7" t="s">
        <v>2185</v>
      </c>
      <c r="AA412" s="7">
        <v>4654</v>
      </c>
      <c r="AB412" s="7" t="s">
        <v>44</v>
      </c>
      <c r="AC412" s="7"/>
      <c r="AD412" s="10"/>
      <c r="AE412" s="10"/>
      <c r="AF412" s="10"/>
      <c r="AG412" s="11">
        <f t="shared" si="6"/>
        <v>43271</v>
      </c>
    </row>
    <row r="413" spans="1:33">
      <c r="A413" s="7" t="s">
        <v>2186</v>
      </c>
      <c r="B413" s="7" t="s">
        <v>2186</v>
      </c>
      <c r="C413" s="7" t="s">
        <v>2187</v>
      </c>
      <c r="D413" s="7" t="s">
        <v>2188</v>
      </c>
      <c r="E413" s="7" t="s">
        <v>33</v>
      </c>
      <c r="F413" s="7" t="s">
        <v>34</v>
      </c>
      <c r="G413" s="7" t="s">
        <v>35</v>
      </c>
      <c r="H413" s="7"/>
      <c r="I413" s="7"/>
      <c r="J413" s="7" t="s">
        <v>36</v>
      </c>
      <c r="K413" s="7" t="s">
        <v>70</v>
      </c>
      <c r="L413" s="7" t="s">
        <v>71</v>
      </c>
      <c r="M413" s="7" t="s">
        <v>72</v>
      </c>
      <c r="N413" s="7" t="s">
        <v>33</v>
      </c>
      <c r="O413" s="7">
        <v>1</v>
      </c>
      <c r="P413" s="7" t="s">
        <v>40</v>
      </c>
      <c r="Q413" s="7">
        <v>79.99</v>
      </c>
      <c r="R413" s="7"/>
      <c r="S413" s="7"/>
      <c r="T413" s="7"/>
      <c r="U413" s="7"/>
      <c r="V413" s="7"/>
      <c r="W413" s="7"/>
      <c r="X413" s="7"/>
      <c r="Y413" s="7" t="s">
        <v>2189</v>
      </c>
      <c r="Z413" s="7" t="s">
        <v>183</v>
      </c>
      <c r="AA413" s="7" t="s">
        <v>2190</v>
      </c>
      <c r="AB413" s="7" t="s">
        <v>44</v>
      </c>
      <c r="AC413" s="7"/>
      <c r="AD413" s="10"/>
      <c r="AE413" s="10"/>
      <c r="AF413" s="10"/>
      <c r="AG413" s="11">
        <f t="shared" si="6"/>
        <v>43271</v>
      </c>
    </row>
    <row r="414" spans="1:33">
      <c r="A414" s="7" t="s">
        <v>2191</v>
      </c>
      <c r="B414" s="7" t="s">
        <v>2191</v>
      </c>
      <c r="C414" s="7" t="s">
        <v>2192</v>
      </c>
      <c r="D414" s="7" t="s">
        <v>2193</v>
      </c>
      <c r="E414" s="7" t="s">
        <v>54</v>
      </c>
      <c r="F414" s="7" t="s">
        <v>34</v>
      </c>
      <c r="G414" s="7" t="s">
        <v>35</v>
      </c>
      <c r="H414" s="7"/>
      <c r="I414" s="7"/>
      <c r="J414" s="7" t="s">
        <v>36</v>
      </c>
      <c r="K414" s="7" t="s">
        <v>148</v>
      </c>
      <c r="L414" s="7" t="s">
        <v>149</v>
      </c>
      <c r="M414" s="7" t="s">
        <v>150</v>
      </c>
      <c r="N414" s="7" t="s">
        <v>62</v>
      </c>
      <c r="O414" s="7">
        <v>1</v>
      </c>
      <c r="P414" s="7" t="s">
        <v>40</v>
      </c>
      <c r="Q414" s="7">
        <v>98.99</v>
      </c>
      <c r="R414" s="7"/>
      <c r="S414" s="7"/>
      <c r="T414" s="7"/>
      <c r="U414" s="7"/>
      <c r="V414" s="7"/>
      <c r="W414" s="7"/>
      <c r="X414" s="7"/>
      <c r="Y414" s="7" t="s">
        <v>2194</v>
      </c>
      <c r="Z414" s="7" t="s">
        <v>391</v>
      </c>
      <c r="AA414" s="7" t="s">
        <v>2195</v>
      </c>
      <c r="AB414" s="7" t="s">
        <v>44</v>
      </c>
      <c r="AC414" s="7"/>
      <c r="AD414" s="10"/>
      <c r="AE414" s="10"/>
      <c r="AF414" s="10"/>
      <c r="AG414" s="11">
        <f t="shared" si="6"/>
        <v>43271</v>
      </c>
    </row>
    <row r="415" spans="1:33">
      <c r="A415" s="7" t="s">
        <v>2196</v>
      </c>
      <c r="B415" s="7" t="s">
        <v>2196</v>
      </c>
      <c r="C415" s="7" t="s">
        <v>2197</v>
      </c>
      <c r="D415" s="7" t="s">
        <v>2198</v>
      </c>
      <c r="E415" s="7" t="s">
        <v>33</v>
      </c>
      <c r="F415" s="7" t="s">
        <v>34</v>
      </c>
      <c r="G415" s="7" t="s">
        <v>35</v>
      </c>
      <c r="H415" s="7"/>
      <c r="I415" s="7"/>
      <c r="J415" s="7" t="s">
        <v>36</v>
      </c>
      <c r="K415" s="7" t="s">
        <v>48</v>
      </c>
      <c r="L415" s="7" t="s">
        <v>49</v>
      </c>
      <c r="M415" s="7" t="s">
        <v>50</v>
      </c>
      <c r="N415" s="7" t="s">
        <v>33</v>
      </c>
      <c r="O415" s="7">
        <v>1</v>
      </c>
      <c r="P415" s="7" t="s">
        <v>40</v>
      </c>
      <c r="Q415" s="7">
        <v>89.99</v>
      </c>
      <c r="R415" s="7"/>
      <c r="S415" s="7">
        <v>13.96</v>
      </c>
      <c r="T415" s="7"/>
      <c r="U415" s="7"/>
      <c r="V415" s="7"/>
      <c r="W415" s="7"/>
      <c r="X415" s="7"/>
      <c r="Y415" s="7" t="s">
        <v>2199</v>
      </c>
      <c r="Z415" s="7" t="s">
        <v>354</v>
      </c>
      <c r="AA415" s="7" t="s">
        <v>2200</v>
      </c>
      <c r="AB415" s="7" t="s">
        <v>44</v>
      </c>
      <c r="AC415" s="7"/>
      <c r="AD415" s="10"/>
      <c r="AE415" s="10"/>
      <c r="AF415" s="10"/>
      <c r="AG415" s="11">
        <f t="shared" si="6"/>
        <v>43271</v>
      </c>
    </row>
    <row r="416" spans="1:33">
      <c r="A416" s="7" t="s">
        <v>2201</v>
      </c>
      <c r="B416" s="7" t="s">
        <v>2201</v>
      </c>
      <c r="C416" s="7" t="s">
        <v>2202</v>
      </c>
      <c r="D416" s="7" t="s">
        <v>2203</v>
      </c>
      <c r="E416" s="7" t="s">
        <v>33</v>
      </c>
      <c r="F416" s="7" t="s">
        <v>34</v>
      </c>
      <c r="G416" s="7" t="s">
        <v>35</v>
      </c>
      <c r="H416" s="7"/>
      <c r="I416" s="7"/>
      <c r="J416" s="7" t="s">
        <v>36</v>
      </c>
      <c r="K416" s="7" t="s">
        <v>79</v>
      </c>
      <c r="L416" s="7" t="s">
        <v>80</v>
      </c>
      <c r="M416" s="7" t="s">
        <v>81</v>
      </c>
      <c r="N416" s="7" t="s">
        <v>33</v>
      </c>
      <c r="O416" s="7">
        <v>1</v>
      </c>
      <c r="P416" s="7" t="s">
        <v>40</v>
      </c>
      <c r="Q416" s="7">
        <v>91.99</v>
      </c>
      <c r="R416" s="7"/>
      <c r="S416" s="7"/>
      <c r="T416" s="7"/>
      <c r="U416" s="7"/>
      <c r="V416" s="7"/>
      <c r="W416" s="7"/>
      <c r="X416" s="7"/>
      <c r="Y416" s="7" t="s">
        <v>2204</v>
      </c>
      <c r="Z416" s="7" t="s">
        <v>279</v>
      </c>
      <c r="AA416" s="7" t="s">
        <v>2205</v>
      </c>
      <c r="AB416" s="7" t="s">
        <v>44</v>
      </c>
      <c r="AC416" s="7"/>
      <c r="AD416" s="10"/>
      <c r="AE416" s="10"/>
      <c r="AF416" s="10"/>
      <c r="AG416" s="11">
        <f t="shared" si="6"/>
        <v>43271</v>
      </c>
    </row>
    <row r="417" spans="1:33">
      <c r="A417" s="7" t="s">
        <v>2206</v>
      </c>
      <c r="B417" s="7" t="s">
        <v>2206</v>
      </c>
      <c r="C417" s="7" t="s">
        <v>2207</v>
      </c>
      <c r="D417" s="7" t="s">
        <v>2208</v>
      </c>
      <c r="E417" s="7" t="s">
        <v>33</v>
      </c>
      <c r="F417" s="7" t="s">
        <v>34</v>
      </c>
      <c r="G417" s="7" t="s">
        <v>35</v>
      </c>
      <c r="H417" s="7"/>
      <c r="I417" s="7"/>
      <c r="J417" s="7" t="s">
        <v>36</v>
      </c>
      <c r="K417" s="7" t="s">
        <v>566</v>
      </c>
      <c r="L417" s="7" t="s">
        <v>567</v>
      </c>
      <c r="M417" s="7" t="s">
        <v>568</v>
      </c>
      <c r="N417" s="7" t="s">
        <v>33</v>
      </c>
      <c r="O417" s="7">
        <v>1</v>
      </c>
      <c r="P417" s="7" t="s">
        <v>40</v>
      </c>
      <c r="Q417" s="7">
        <v>99.6</v>
      </c>
      <c r="R417" s="7"/>
      <c r="S417" s="7"/>
      <c r="T417" s="7"/>
      <c r="U417" s="7"/>
      <c r="V417" s="7"/>
      <c r="W417" s="7">
        <v>9.96</v>
      </c>
      <c r="X417" s="7"/>
      <c r="Y417" s="7" t="s">
        <v>2209</v>
      </c>
      <c r="Z417" s="7" t="s">
        <v>497</v>
      </c>
      <c r="AA417" s="7" t="s">
        <v>2210</v>
      </c>
      <c r="AB417" s="7" t="s">
        <v>44</v>
      </c>
      <c r="AC417" s="7" t="s">
        <v>2211</v>
      </c>
      <c r="AD417" s="10"/>
      <c r="AE417" s="10"/>
      <c r="AF417" s="10"/>
      <c r="AG417" s="11">
        <f t="shared" si="6"/>
        <v>43271</v>
      </c>
    </row>
    <row r="418" spans="1:33">
      <c r="A418" s="7" t="s">
        <v>2212</v>
      </c>
      <c r="B418" s="7" t="s">
        <v>2212</v>
      </c>
      <c r="C418" s="7" t="s">
        <v>2213</v>
      </c>
      <c r="D418" s="7" t="s">
        <v>2214</v>
      </c>
      <c r="E418" s="7" t="s">
        <v>33</v>
      </c>
      <c r="F418" s="7" t="s">
        <v>34</v>
      </c>
      <c r="G418" s="7" t="s">
        <v>35</v>
      </c>
      <c r="H418" s="7"/>
      <c r="I418" s="7"/>
      <c r="J418" s="7" t="s">
        <v>163</v>
      </c>
      <c r="K418" s="7" t="s">
        <v>2135</v>
      </c>
      <c r="L418" s="7" t="s">
        <v>2136</v>
      </c>
      <c r="M418" s="7" t="s">
        <v>2137</v>
      </c>
      <c r="N418" s="7" t="s">
        <v>33</v>
      </c>
      <c r="O418" s="7">
        <v>1</v>
      </c>
      <c r="P418" s="7" t="s">
        <v>40</v>
      </c>
      <c r="Q418" s="7">
        <v>32.99</v>
      </c>
      <c r="R418" s="7"/>
      <c r="S418" s="7">
        <v>5.99</v>
      </c>
      <c r="T418" s="7"/>
      <c r="U418" s="7"/>
      <c r="V418" s="7"/>
      <c r="W418" s="7"/>
      <c r="X418" s="7">
        <v>5.99</v>
      </c>
      <c r="Y418" s="7" t="s">
        <v>1963</v>
      </c>
      <c r="Z418" s="7" t="s">
        <v>83</v>
      </c>
      <c r="AA418" s="7" t="s">
        <v>2215</v>
      </c>
      <c r="AB418" s="7" t="s">
        <v>44</v>
      </c>
      <c r="AC418" s="7"/>
      <c r="AD418" s="10"/>
      <c r="AE418" s="10"/>
      <c r="AF418" s="10"/>
      <c r="AG418" s="11">
        <f t="shared" si="6"/>
        <v>43271</v>
      </c>
    </row>
    <row r="419" spans="1:33">
      <c r="A419" s="7" t="s">
        <v>2216</v>
      </c>
      <c r="B419" s="7" t="s">
        <v>2216</v>
      </c>
      <c r="C419" s="7" t="s">
        <v>2217</v>
      </c>
      <c r="D419" s="7" t="s">
        <v>2218</v>
      </c>
      <c r="E419" s="7" t="s">
        <v>33</v>
      </c>
      <c r="F419" s="7" t="s">
        <v>34</v>
      </c>
      <c r="G419" s="7" t="s">
        <v>35</v>
      </c>
      <c r="H419" s="7"/>
      <c r="I419" s="7"/>
      <c r="J419" s="7" t="s">
        <v>36</v>
      </c>
      <c r="K419" s="7" t="s">
        <v>79</v>
      </c>
      <c r="L419" s="7" t="s">
        <v>80</v>
      </c>
      <c r="M419" s="7" t="s">
        <v>81</v>
      </c>
      <c r="N419" s="7" t="s">
        <v>33</v>
      </c>
      <c r="O419" s="7">
        <v>1</v>
      </c>
      <c r="P419" s="7" t="s">
        <v>40</v>
      </c>
      <c r="Q419" s="7">
        <v>91.99</v>
      </c>
      <c r="R419" s="7"/>
      <c r="S419" s="7"/>
      <c r="T419" s="7"/>
      <c r="U419" s="7"/>
      <c r="V419" s="7"/>
      <c r="W419" s="7"/>
      <c r="X419" s="7"/>
      <c r="Y419" s="7" t="s">
        <v>2219</v>
      </c>
      <c r="Z419" s="7" t="s">
        <v>83</v>
      </c>
      <c r="AA419" s="7" t="s">
        <v>2220</v>
      </c>
      <c r="AB419" s="7" t="s">
        <v>44</v>
      </c>
      <c r="AC419" s="7"/>
      <c r="AD419" s="10"/>
      <c r="AE419" s="10"/>
      <c r="AF419" s="10"/>
      <c r="AG419" s="11">
        <f t="shared" si="6"/>
        <v>43271</v>
      </c>
    </row>
    <row r="420" spans="1:33">
      <c r="A420" s="7" t="s">
        <v>2221</v>
      </c>
      <c r="B420" s="7" t="s">
        <v>2221</v>
      </c>
      <c r="C420" s="7" t="s">
        <v>2222</v>
      </c>
      <c r="D420" s="7" t="s">
        <v>2223</v>
      </c>
      <c r="E420" s="7" t="s">
        <v>33</v>
      </c>
      <c r="F420" s="7" t="s">
        <v>34</v>
      </c>
      <c r="G420" s="7" t="s">
        <v>35</v>
      </c>
      <c r="H420" s="7"/>
      <c r="I420" s="7"/>
      <c r="J420" s="7" t="s">
        <v>69</v>
      </c>
      <c r="K420" s="7" t="s">
        <v>164</v>
      </c>
      <c r="L420" s="7" t="s">
        <v>165</v>
      </c>
      <c r="M420" s="7" t="s">
        <v>166</v>
      </c>
      <c r="N420" s="7" t="s">
        <v>33</v>
      </c>
      <c r="O420" s="7">
        <v>1</v>
      </c>
      <c r="P420" s="7" t="s">
        <v>40</v>
      </c>
      <c r="Q420" s="7">
        <v>21.99</v>
      </c>
      <c r="R420" s="7"/>
      <c r="S420" s="7">
        <v>5.99</v>
      </c>
      <c r="T420" s="7"/>
      <c r="U420" s="7"/>
      <c r="V420" s="7"/>
      <c r="W420" s="7">
        <v>21.77</v>
      </c>
      <c r="X420" s="7"/>
      <c r="Y420" s="7" t="s">
        <v>932</v>
      </c>
      <c r="Z420" s="7" t="s">
        <v>64</v>
      </c>
      <c r="AA420" s="7" t="s">
        <v>614</v>
      </c>
      <c r="AB420" s="7" t="s">
        <v>44</v>
      </c>
      <c r="AC420" s="7" t="s">
        <v>209</v>
      </c>
      <c r="AD420" s="10"/>
      <c r="AE420" s="10"/>
      <c r="AF420" s="10"/>
      <c r="AG420" s="11">
        <f t="shared" si="6"/>
        <v>43271</v>
      </c>
    </row>
    <row r="421" spans="1:33">
      <c r="A421" s="7" t="s">
        <v>2224</v>
      </c>
      <c r="B421" s="7" t="s">
        <v>2224</v>
      </c>
      <c r="C421" s="7" t="s">
        <v>2225</v>
      </c>
      <c r="D421" s="7" t="s">
        <v>2226</v>
      </c>
      <c r="E421" s="7" t="s">
        <v>33</v>
      </c>
      <c r="F421" s="7" t="s">
        <v>34</v>
      </c>
      <c r="G421" s="7" t="s">
        <v>35</v>
      </c>
      <c r="H421" s="7"/>
      <c r="I421" s="7"/>
      <c r="J421" s="7" t="s">
        <v>36</v>
      </c>
      <c r="K421" s="7" t="s">
        <v>123</v>
      </c>
      <c r="L421" s="7" t="s">
        <v>124</v>
      </c>
      <c r="M421" s="7" t="s">
        <v>125</v>
      </c>
      <c r="N421" s="7" t="s">
        <v>33</v>
      </c>
      <c r="O421" s="7">
        <v>1</v>
      </c>
      <c r="P421" s="7" t="s">
        <v>40</v>
      </c>
      <c r="Q421" s="7">
        <v>89.99</v>
      </c>
      <c r="R421" s="7"/>
      <c r="S421" s="7"/>
      <c r="T421" s="7"/>
      <c r="U421" s="7">
        <v>3.99</v>
      </c>
      <c r="V421" s="7"/>
      <c r="W421" s="7"/>
      <c r="X421" s="7"/>
      <c r="Y421" s="7" t="s">
        <v>2227</v>
      </c>
      <c r="Z421" s="7" t="s">
        <v>230</v>
      </c>
      <c r="AA421" s="7" t="s">
        <v>2228</v>
      </c>
      <c r="AB421" s="7" t="s">
        <v>44</v>
      </c>
      <c r="AC421" s="7"/>
      <c r="AD421" s="10"/>
      <c r="AE421" s="10"/>
      <c r="AF421" s="10"/>
      <c r="AG421" s="11">
        <f t="shared" si="6"/>
        <v>43271</v>
      </c>
    </row>
    <row r="422" spans="1:33">
      <c r="A422" s="7" t="s">
        <v>2229</v>
      </c>
      <c r="B422" s="7" t="s">
        <v>2229</v>
      </c>
      <c r="C422" s="7" t="s">
        <v>2230</v>
      </c>
      <c r="D422" s="7" t="s">
        <v>2231</v>
      </c>
      <c r="E422" s="7" t="s">
        <v>33</v>
      </c>
      <c r="F422" s="7" t="s">
        <v>34</v>
      </c>
      <c r="G422" s="7" t="s">
        <v>35</v>
      </c>
      <c r="H422" s="7"/>
      <c r="I422" s="7"/>
      <c r="J422" s="7" t="s">
        <v>36</v>
      </c>
      <c r="K422" s="7" t="s">
        <v>719</v>
      </c>
      <c r="L422" s="7" t="s">
        <v>720</v>
      </c>
      <c r="M422" s="7" t="s">
        <v>721</v>
      </c>
      <c r="N422" s="7" t="s">
        <v>33</v>
      </c>
      <c r="O422" s="7">
        <v>1</v>
      </c>
      <c r="P422" s="7" t="s">
        <v>40</v>
      </c>
      <c r="Q422" s="7">
        <v>21.99</v>
      </c>
      <c r="R422" s="7"/>
      <c r="S422" s="7"/>
      <c r="T422" s="7"/>
      <c r="U422" s="7"/>
      <c r="V422" s="7"/>
      <c r="W422" s="7"/>
      <c r="X422" s="7"/>
      <c r="Y422" s="7" t="s">
        <v>2232</v>
      </c>
      <c r="Z422" s="7" t="s">
        <v>497</v>
      </c>
      <c r="AA422" s="7" t="s">
        <v>2233</v>
      </c>
      <c r="AB422" s="7" t="s">
        <v>44</v>
      </c>
      <c r="AC422" s="7"/>
      <c r="AD422" s="10"/>
      <c r="AE422" s="10"/>
      <c r="AF422" s="10"/>
      <c r="AG422" s="11">
        <f t="shared" si="6"/>
        <v>43271</v>
      </c>
    </row>
    <row r="423" spans="1:33">
      <c r="A423" s="7" t="s">
        <v>2234</v>
      </c>
      <c r="B423" s="7" t="s">
        <v>2234</v>
      </c>
      <c r="C423" s="7" t="s">
        <v>2235</v>
      </c>
      <c r="D423" s="7" t="s">
        <v>2236</v>
      </c>
      <c r="E423" s="7" t="s">
        <v>33</v>
      </c>
      <c r="F423" s="7" t="s">
        <v>34</v>
      </c>
      <c r="G423" s="7" t="s">
        <v>35</v>
      </c>
      <c r="H423" s="7"/>
      <c r="I423" s="7"/>
      <c r="J423" s="7" t="s">
        <v>36</v>
      </c>
      <c r="K423" s="7" t="s">
        <v>213</v>
      </c>
      <c r="L423" s="7" t="s">
        <v>214</v>
      </c>
      <c r="M423" s="7" t="s">
        <v>215</v>
      </c>
      <c r="N423" s="7" t="s">
        <v>33</v>
      </c>
      <c r="O423" s="7">
        <v>1</v>
      </c>
      <c r="P423" s="7" t="s">
        <v>40</v>
      </c>
      <c r="Q423" s="7">
        <v>21.99</v>
      </c>
      <c r="R423" s="7"/>
      <c r="S423" s="7"/>
      <c r="T423" s="7"/>
      <c r="U423" s="7"/>
      <c r="V423" s="7"/>
      <c r="W423" s="7">
        <v>21.77</v>
      </c>
      <c r="X423" s="7"/>
      <c r="Y423" s="7" t="s">
        <v>1853</v>
      </c>
      <c r="Z423" s="7" t="s">
        <v>83</v>
      </c>
      <c r="AA423" s="7" t="s">
        <v>1854</v>
      </c>
      <c r="AB423" s="7" t="s">
        <v>44</v>
      </c>
      <c r="AC423" s="7" t="s">
        <v>209</v>
      </c>
      <c r="AD423" s="10"/>
      <c r="AE423" s="10"/>
      <c r="AF423" s="10"/>
      <c r="AG423" s="11">
        <f t="shared" si="6"/>
        <v>43272</v>
      </c>
    </row>
    <row r="424" spans="1:33">
      <c r="A424" s="7" t="s">
        <v>2237</v>
      </c>
      <c r="B424" s="7" t="s">
        <v>2237</v>
      </c>
      <c r="C424" s="7" t="s">
        <v>2238</v>
      </c>
      <c r="D424" s="7" t="s">
        <v>2239</v>
      </c>
      <c r="E424" s="7" t="s">
        <v>33</v>
      </c>
      <c r="F424" s="7" t="s">
        <v>34</v>
      </c>
      <c r="G424" s="7" t="s">
        <v>35</v>
      </c>
      <c r="H424" s="7"/>
      <c r="I424" s="7"/>
      <c r="J424" s="7" t="s">
        <v>36</v>
      </c>
      <c r="K424" s="7" t="s">
        <v>660</v>
      </c>
      <c r="L424" s="7" t="s">
        <v>661</v>
      </c>
      <c r="M424" s="7" t="s">
        <v>662</v>
      </c>
      <c r="N424" s="7" t="s">
        <v>33</v>
      </c>
      <c r="O424" s="7">
        <v>1</v>
      </c>
      <c r="P424" s="7" t="s">
        <v>40</v>
      </c>
      <c r="Q424" s="7">
        <v>79.99</v>
      </c>
      <c r="R424" s="7"/>
      <c r="S424" s="7"/>
      <c r="T424" s="7"/>
      <c r="U424" s="7"/>
      <c r="V424" s="7"/>
      <c r="W424" s="7"/>
      <c r="X424" s="7"/>
      <c r="Y424" s="7" t="s">
        <v>2240</v>
      </c>
      <c r="Z424" s="7" t="s">
        <v>52</v>
      </c>
      <c r="AA424" s="7" t="s">
        <v>2241</v>
      </c>
      <c r="AB424" s="7" t="s">
        <v>44</v>
      </c>
      <c r="AC424" s="7"/>
      <c r="AD424" s="10"/>
      <c r="AE424" s="10"/>
      <c r="AF424" s="10"/>
      <c r="AG424" s="11">
        <f t="shared" si="6"/>
        <v>43272</v>
      </c>
    </row>
    <row r="425" spans="1:33">
      <c r="A425" s="7" t="s">
        <v>2242</v>
      </c>
      <c r="B425" s="7" t="s">
        <v>2242</v>
      </c>
      <c r="C425" s="7" t="s">
        <v>2243</v>
      </c>
      <c r="D425" s="7" t="s">
        <v>2244</v>
      </c>
      <c r="E425" s="7" t="s">
        <v>33</v>
      </c>
      <c r="F425" s="7" t="s">
        <v>34</v>
      </c>
      <c r="G425" s="7" t="s">
        <v>35</v>
      </c>
      <c r="H425" s="7"/>
      <c r="I425" s="7"/>
      <c r="J425" s="7" t="s">
        <v>36</v>
      </c>
      <c r="K425" s="7" t="s">
        <v>364</v>
      </c>
      <c r="L425" s="7" t="s">
        <v>365</v>
      </c>
      <c r="M425" s="7" t="s">
        <v>366</v>
      </c>
      <c r="N425" s="7" t="s">
        <v>33</v>
      </c>
      <c r="O425" s="7">
        <v>1</v>
      </c>
      <c r="P425" s="7" t="s">
        <v>40</v>
      </c>
      <c r="Q425" s="7">
        <v>89.99</v>
      </c>
      <c r="R425" s="7"/>
      <c r="S425" s="7"/>
      <c r="T425" s="7"/>
      <c r="U425" s="7"/>
      <c r="V425" s="7"/>
      <c r="W425" s="7"/>
      <c r="X425" s="7"/>
      <c r="Y425" s="7" t="s">
        <v>2245</v>
      </c>
      <c r="Z425" s="7" t="s">
        <v>83</v>
      </c>
      <c r="AA425" s="7" t="s">
        <v>2246</v>
      </c>
      <c r="AB425" s="7" t="s">
        <v>44</v>
      </c>
      <c r="AC425" s="7"/>
      <c r="AD425" s="10"/>
      <c r="AE425" s="10"/>
      <c r="AF425" s="10"/>
      <c r="AG425" s="11">
        <f t="shared" si="6"/>
        <v>43272</v>
      </c>
    </row>
    <row r="426" spans="1:33">
      <c r="A426" s="7" t="s">
        <v>2247</v>
      </c>
      <c r="B426" s="7" t="s">
        <v>2247</v>
      </c>
      <c r="C426" s="7" t="s">
        <v>2248</v>
      </c>
      <c r="D426" s="7" t="s">
        <v>2249</v>
      </c>
      <c r="E426" s="7" t="s">
        <v>33</v>
      </c>
      <c r="F426" s="7" t="s">
        <v>34</v>
      </c>
      <c r="G426" s="7" t="s">
        <v>35</v>
      </c>
      <c r="H426" s="7"/>
      <c r="I426" s="7"/>
      <c r="J426" s="7" t="s">
        <v>36</v>
      </c>
      <c r="K426" s="7" t="s">
        <v>275</v>
      </c>
      <c r="L426" s="7" t="s">
        <v>276</v>
      </c>
      <c r="M426" s="7" t="s">
        <v>277</v>
      </c>
      <c r="N426" s="7" t="s">
        <v>33</v>
      </c>
      <c r="O426" s="7">
        <v>1</v>
      </c>
      <c r="P426" s="7" t="s">
        <v>40</v>
      </c>
      <c r="Q426" s="7">
        <v>89.99</v>
      </c>
      <c r="R426" s="7"/>
      <c r="S426" s="7"/>
      <c r="T426" s="7"/>
      <c r="U426" s="7"/>
      <c r="V426" s="7"/>
      <c r="W426" s="7"/>
      <c r="X426" s="7"/>
      <c r="Y426" s="7" t="s">
        <v>2250</v>
      </c>
      <c r="Z426" s="7" t="s">
        <v>135</v>
      </c>
      <c r="AA426" s="7" t="s">
        <v>2251</v>
      </c>
      <c r="AB426" s="7" t="s">
        <v>44</v>
      </c>
      <c r="AC426" s="7"/>
      <c r="AD426" s="10"/>
      <c r="AE426" s="10"/>
      <c r="AF426" s="10"/>
      <c r="AG426" s="11">
        <f t="shared" si="6"/>
        <v>43272</v>
      </c>
    </row>
    <row r="427" spans="1:33">
      <c r="A427" s="7" t="s">
        <v>2252</v>
      </c>
      <c r="B427" s="7" t="s">
        <v>2252</v>
      </c>
      <c r="C427" s="7" t="s">
        <v>2253</v>
      </c>
      <c r="D427" s="7" t="s">
        <v>2254</v>
      </c>
      <c r="E427" s="7" t="s">
        <v>54</v>
      </c>
      <c r="F427" s="7" t="s">
        <v>34</v>
      </c>
      <c r="G427" s="7" t="s">
        <v>35</v>
      </c>
      <c r="H427" s="7"/>
      <c r="I427" s="7"/>
      <c r="J427" s="7" t="s">
        <v>36</v>
      </c>
      <c r="K427" s="7" t="s">
        <v>48</v>
      </c>
      <c r="L427" s="7" t="s">
        <v>49</v>
      </c>
      <c r="M427" s="7" t="s">
        <v>50</v>
      </c>
      <c r="N427" s="7" t="s">
        <v>54</v>
      </c>
      <c r="O427" s="7">
        <v>0</v>
      </c>
      <c r="P427" s="7"/>
      <c r="Q427" s="7"/>
      <c r="R427" s="7"/>
      <c r="S427" s="7"/>
      <c r="T427" s="7"/>
      <c r="U427" s="7"/>
      <c r="V427" s="7"/>
      <c r="W427" s="7"/>
      <c r="X427" s="7"/>
      <c r="Y427" s="7" t="s">
        <v>2255</v>
      </c>
      <c r="Z427" s="7" t="s">
        <v>207</v>
      </c>
      <c r="AA427" s="7" t="s">
        <v>2256</v>
      </c>
      <c r="AB427" s="7" t="s">
        <v>44</v>
      </c>
      <c r="AC427" s="7"/>
      <c r="AD427" s="10"/>
      <c r="AE427" s="10"/>
      <c r="AF427" s="10"/>
      <c r="AG427" s="11">
        <f t="shared" si="6"/>
        <v>43272</v>
      </c>
    </row>
    <row r="428" spans="1:33">
      <c r="A428" s="7" t="s">
        <v>2257</v>
      </c>
      <c r="B428" s="7" t="s">
        <v>2257</v>
      </c>
      <c r="C428" s="7" t="s">
        <v>2258</v>
      </c>
      <c r="D428" s="7" t="s">
        <v>2259</v>
      </c>
      <c r="E428" s="7" t="s">
        <v>54</v>
      </c>
      <c r="F428" s="7" t="s">
        <v>34</v>
      </c>
      <c r="G428" s="7" t="s">
        <v>35</v>
      </c>
      <c r="H428" s="7"/>
      <c r="I428" s="7"/>
      <c r="J428" s="7" t="s">
        <v>69</v>
      </c>
      <c r="K428" s="7" t="s">
        <v>698</v>
      </c>
      <c r="L428" s="7" t="s">
        <v>699</v>
      </c>
      <c r="M428" s="7" t="s">
        <v>700</v>
      </c>
      <c r="N428" s="7" t="s">
        <v>62</v>
      </c>
      <c r="O428" s="7">
        <v>2</v>
      </c>
      <c r="P428" s="7" t="s">
        <v>40</v>
      </c>
      <c r="Q428" s="7">
        <v>43.98</v>
      </c>
      <c r="R428" s="7"/>
      <c r="S428" s="7"/>
      <c r="T428" s="7"/>
      <c r="U428" s="7"/>
      <c r="V428" s="7"/>
      <c r="W428" s="7"/>
      <c r="X428" s="7"/>
      <c r="Y428" s="7" t="s">
        <v>2053</v>
      </c>
      <c r="Z428" s="7" t="s">
        <v>189</v>
      </c>
      <c r="AA428" s="7" t="s">
        <v>2260</v>
      </c>
      <c r="AB428" s="7" t="s">
        <v>44</v>
      </c>
      <c r="AC428" s="7"/>
      <c r="AD428" s="10"/>
      <c r="AE428" s="10"/>
      <c r="AF428" s="10"/>
      <c r="AG428" s="11">
        <f t="shared" si="6"/>
        <v>43272</v>
      </c>
    </row>
    <row r="429" spans="1:33">
      <c r="A429" s="7" t="s">
        <v>2261</v>
      </c>
      <c r="B429" s="7" t="s">
        <v>2261</v>
      </c>
      <c r="C429" s="7" t="s">
        <v>2262</v>
      </c>
      <c r="D429" s="7" t="s">
        <v>2263</v>
      </c>
      <c r="E429" s="7" t="s">
        <v>54</v>
      </c>
      <c r="F429" s="7" t="s">
        <v>34</v>
      </c>
      <c r="G429" s="7" t="s">
        <v>35</v>
      </c>
      <c r="H429" s="7"/>
      <c r="I429" s="7"/>
      <c r="J429" s="7" t="s">
        <v>69</v>
      </c>
      <c r="K429" s="7" t="s">
        <v>59</v>
      </c>
      <c r="L429" s="7" t="s">
        <v>60</v>
      </c>
      <c r="M429" s="7" t="s">
        <v>61</v>
      </c>
      <c r="N429" s="7" t="s">
        <v>62</v>
      </c>
      <c r="O429" s="7">
        <v>1</v>
      </c>
      <c r="P429" s="7" t="s">
        <v>40</v>
      </c>
      <c r="Q429" s="7">
        <v>89.99</v>
      </c>
      <c r="R429" s="7"/>
      <c r="S429" s="7"/>
      <c r="T429" s="7"/>
      <c r="U429" s="7"/>
      <c r="V429" s="7"/>
      <c r="W429" s="7"/>
      <c r="X429" s="7"/>
      <c r="Y429" s="7" t="s">
        <v>1594</v>
      </c>
      <c r="Z429" s="7" t="s">
        <v>1342</v>
      </c>
      <c r="AA429" s="7" t="s">
        <v>1595</v>
      </c>
      <c r="AB429" s="7" t="s">
        <v>44</v>
      </c>
      <c r="AC429" s="7"/>
      <c r="AD429" s="10"/>
      <c r="AE429" s="10"/>
      <c r="AF429" s="10"/>
      <c r="AG429" s="11">
        <f t="shared" si="6"/>
        <v>43272</v>
      </c>
    </row>
    <row r="430" spans="1:33">
      <c r="A430" s="7" t="s">
        <v>2264</v>
      </c>
      <c r="B430" s="7" t="s">
        <v>2264</v>
      </c>
      <c r="C430" s="7" t="s">
        <v>2265</v>
      </c>
      <c r="D430" s="7" t="s">
        <v>2266</v>
      </c>
      <c r="E430" s="7" t="s">
        <v>33</v>
      </c>
      <c r="F430" s="7" t="s">
        <v>34</v>
      </c>
      <c r="G430" s="7" t="s">
        <v>35</v>
      </c>
      <c r="H430" s="7"/>
      <c r="I430" s="7"/>
      <c r="J430" s="7" t="s">
        <v>36</v>
      </c>
      <c r="K430" s="7" t="s">
        <v>59</v>
      </c>
      <c r="L430" s="7" t="s">
        <v>60</v>
      </c>
      <c r="M430" s="7" t="s">
        <v>61</v>
      </c>
      <c r="N430" s="7" t="s">
        <v>33</v>
      </c>
      <c r="O430" s="7">
        <v>1</v>
      </c>
      <c r="P430" s="7" t="s">
        <v>40</v>
      </c>
      <c r="Q430" s="7">
        <v>89.99</v>
      </c>
      <c r="R430" s="7"/>
      <c r="S430" s="7"/>
      <c r="T430" s="7"/>
      <c r="U430" s="7"/>
      <c r="V430" s="7"/>
      <c r="W430" s="7"/>
      <c r="X430" s="7"/>
      <c r="Y430" s="7" t="s">
        <v>2267</v>
      </c>
      <c r="Z430" s="7" t="s">
        <v>996</v>
      </c>
      <c r="AA430" s="7" t="s">
        <v>2268</v>
      </c>
      <c r="AB430" s="7" t="s">
        <v>44</v>
      </c>
      <c r="AC430" s="7"/>
      <c r="AD430" s="10"/>
      <c r="AE430" s="10"/>
      <c r="AF430" s="10"/>
      <c r="AG430" s="11">
        <f t="shared" si="6"/>
        <v>43272</v>
      </c>
    </row>
    <row r="431" spans="1:33">
      <c r="A431" s="7" t="s">
        <v>2269</v>
      </c>
      <c r="B431" s="7" t="s">
        <v>2269</v>
      </c>
      <c r="C431" s="7" t="s">
        <v>2270</v>
      </c>
      <c r="D431" s="7" t="s">
        <v>2271</v>
      </c>
      <c r="E431" s="7" t="s">
        <v>33</v>
      </c>
      <c r="F431" s="7" t="s">
        <v>34</v>
      </c>
      <c r="G431" s="7" t="s">
        <v>35</v>
      </c>
      <c r="H431" s="7"/>
      <c r="I431" s="7"/>
      <c r="J431" s="7" t="s">
        <v>36</v>
      </c>
      <c r="K431" s="7" t="s">
        <v>2035</v>
      </c>
      <c r="L431" s="7" t="s">
        <v>89</v>
      </c>
      <c r="M431" s="7" t="s">
        <v>90</v>
      </c>
      <c r="N431" s="7" t="s">
        <v>33</v>
      </c>
      <c r="O431" s="7">
        <v>1</v>
      </c>
      <c r="P431" s="7" t="s">
        <v>40</v>
      </c>
      <c r="Q431" s="7">
        <v>89.99</v>
      </c>
      <c r="R431" s="7"/>
      <c r="S431" s="7"/>
      <c r="T431" s="7"/>
      <c r="U431" s="7"/>
      <c r="V431" s="7"/>
      <c r="W431" s="7"/>
      <c r="X431" s="7"/>
      <c r="Y431" s="7" t="s">
        <v>2272</v>
      </c>
      <c r="Z431" s="7" t="s">
        <v>42</v>
      </c>
      <c r="AA431" s="7" t="s">
        <v>2273</v>
      </c>
      <c r="AB431" s="7" t="s">
        <v>44</v>
      </c>
      <c r="AC431" s="7"/>
      <c r="AD431" s="10"/>
      <c r="AE431" s="10"/>
      <c r="AF431" s="10"/>
      <c r="AG431" s="11">
        <f t="shared" si="6"/>
        <v>43272</v>
      </c>
    </row>
    <row r="432" spans="1:33">
      <c r="A432" s="7" t="s">
        <v>2274</v>
      </c>
      <c r="B432" s="7" t="s">
        <v>2274</v>
      </c>
      <c r="C432" s="7" t="s">
        <v>2275</v>
      </c>
      <c r="D432" s="7" t="s">
        <v>2276</v>
      </c>
      <c r="E432" s="7" t="s">
        <v>33</v>
      </c>
      <c r="F432" s="7" t="s">
        <v>34</v>
      </c>
      <c r="G432" s="7" t="s">
        <v>35</v>
      </c>
      <c r="H432" s="7"/>
      <c r="I432" s="7"/>
      <c r="J432" s="7" t="s">
        <v>36</v>
      </c>
      <c r="K432" s="7" t="s">
        <v>148</v>
      </c>
      <c r="L432" s="7" t="s">
        <v>149</v>
      </c>
      <c r="M432" s="7" t="s">
        <v>150</v>
      </c>
      <c r="N432" s="7" t="s">
        <v>33</v>
      </c>
      <c r="O432" s="7">
        <v>1</v>
      </c>
      <c r="P432" s="7" t="s">
        <v>40</v>
      </c>
      <c r="Q432" s="7">
        <v>98.99</v>
      </c>
      <c r="R432" s="7"/>
      <c r="S432" s="7"/>
      <c r="T432" s="7"/>
      <c r="U432" s="7"/>
      <c r="V432" s="7"/>
      <c r="W432" s="7"/>
      <c r="X432" s="7"/>
      <c r="Y432" s="7" t="s">
        <v>1458</v>
      </c>
      <c r="Z432" s="7" t="s">
        <v>271</v>
      </c>
      <c r="AA432" s="7">
        <v>33162</v>
      </c>
      <c r="AB432" s="7" t="s">
        <v>44</v>
      </c>
      <c r="AC432" s="7"/>
      <c r="AD432" s="10"/>
      <c r="AE432" s="10"/>
      <c r="AF432" s="10"/>
      <c r="AG432" s="11">
        <f t="shared" si="6"/>
        <v>43272</v>
      </c>
    </row>
    <row r="433" spans="1:33">
      <c r="A433" s="7" t="s">
        <v>2277</v>
      </c>
      <c r="B433" s="7" t="s">
        <v>2277</v>
      </c>
      <c r="C433" s="7" t="s">
        <v>2278</v>
      </c>
      <c r="D433" s="7" t="s">
        <v>2279</v>
      </c>
      <c r="E433" s="7" t="s">
        <v>33</v>
      </c>
      <c r="F433" s="7" t="s">
        <v>34</v>
      </c>
      <c r="G433" s="7" t="s">
        <v>35</v>
      </c>
      <c r="H433" s="7"/>
      <c r="I433" s="7"/>
      <c r="J433" s="7" t="s">
        <v>69</v>
      </c>
      <c r="K433" s="7" t="s">
        <v>235</v>
      </c>
      <c r="L433" s="7" t="s">
        <v>236</v>
      </c>
      <c r="M433" s="7" t="s">
        <v>237</v>
      </c>
      <c r="N433" s="7" t="s">
        <v>33</v>
      </c>
      <c r="O433" s="7">
        <v>1</v>
      </c>
      <c r="P433" s="7" t="s">
        <v>40</v>
      </c>
      <c r="Q433" s="7">
        <v>85.99</v>
      </c>
      <c r="R433" s="7"/>
      <c r="S433" s="7">
        <v>7.85</v>
      </c>
      <c r="T433" s="7"/>
      <c r="U433" s="7"/>
      <c r="V433" s="7"/>
      <c r="W433" s="7"/>
      <c r="X433" s="7"/>
      <c r="Y433" s="7" t="s">
        <v>1897</v>
      </c>
      <c r="Z433" s="7" t="s">
        <v>837</v>
      </c>
      <c r="AA433" s="7" t="s">
        <v>2280</v>
      </c>
      <c r="AB433" s="7" t="s">
        <v>44</v>
      </c>
      <c r="AC433" s="7"/>
      <c r="AD433" s="10"/>
      <c r="AE433" s="10"/>
      <c r="AF433" s="10"/>
      <c r="AG433" s="11">
        <f t="shared" si="6"/>
        <v>43272</v>
      </c>
    </row>
    <row r="434" spans="1:33">
      <c r="A434" s="7" t="s">
        <v>2281</v>
      </c>
      <c r="B434" s="7" t="s">
        <v>2281</v>
      </c>
      <c r="C434" s="7" t="s">
        <v>2282</v>
      </c>
      <c r="D434" s="7" t="s">
        <v>2283</v>
      </c>
      <c r="E434" s="7" t="s">
        <v>33</v>
      </c>
      <c r="F434" s="7" t="s">
        <v>34</v>
      </c>
      <c r="G434" s="7" t="s">
        <v>35</v>
      </c>
      <c r="H434" s="7"/>
      <c r="I434" s="7"/>
      <c r="J434" s="7" t="s">
        <v>69</v>
      </c>
      <c r="K434" s="7" t="s">
        <v>37</v>
      </c>
      <c r="L434" s="7" t="s">
        <v>38</v>
      </c>
      <c r="M434" s="7" t="s">
        <v>39</v>
      </c>
      <c r="N434" s="7" t="s">
        <v>33</v>
      </c>
      <c r="O434" s="7">
        <v>1</v>
      </c>
      <c r="P434" s="7" t="s">
        <v>40</v>
      </c>
      <c r="Q434" s="7">
        <v>89.99</v>
      </c>
      <c r="R434" s="7"/>
      <c r="S434" s="7">
        <v>8.37</v>
      </c>
      <c r="T434" s="7"/>
      <c r="U434" s="7"/>
      <c r="V434" s="7"/>
      <c r="W434" s="7"/>
      <c r="X434" s="7"/>
      <c r="Y434" s="7" t="s">
        <v>2284</v>
      </c>
      <c r="Z434" s="7" t="s">
        <v>2285</v>
      </c>
      <c r="AA434" s="7">
        <v>52317</v>
      </c>
      <c r="AB434" s="7" t="s">
        <v>44</v>
      </c>
      <c r="AC434" s="7"/>
      <c r="AD434" s="10"/>
      <c r="AE434" s="10"/>
      <c r="AF434" s="10"/>
      <c r="AG434" s="11">
        <f t="shared" si="6"/>
        <v>43272</v>
      </c>
    </row>
    <row r="435" spans="1:33">
      <c r="A435" s="7" t="s">
        <v>2286</v>
      </c>
      <c r="B435" s="7" t="s">
        <v>2286</v>
      </c>
      <c r="C435" s="7" t="s">
        <v>2287</v>
      </c>
      <c r="D435" s="7" t="s">
        <v>2288</v>
      </c>
      <c r="E435" s="7" t="s">
        <v>33</v>
      </c>
      <c r="F435" s="7" t="s">
        <v>34</v>
      </c>
      <c r="G435" s="7" t="s">
        <v>35</v>
      </c>
      <c r="H435" s="7"/>
      <c r="I435" s="7"/>
      <c r="J435" s="7" t="s">
        <v>36</v>
      </c>
      <c r="K435" s="7" t="s">
        <v>148</v>
      </c>
      <c r="L435" s="7" t="s">
        <v>149</v>
      </c>
      <c r="M435" s="7" t="s">
        <v>150</v>
      </c>
      <c r="N435" s="7" t="s">
        <v>33</v>
      </c>
      <c r="O435" s="7">
        <v>1</v>
      </c>
      <c r="P435" s="7" t="s">
        <v>40</v>
      </c>
      <c r="Q435" s="7">
        <v>98.99</v>
      </c>
      <c r="R435" s="7"/>
      <c r="S435" s="7"/>
      <c r="T435" s="7"/>
      <c r="U435" s="7"/>
      <c r="V435" s="7"/>
      <c r="W435" s="7"/>
      <c r="X435" s="7"/>
      <c r="Y435" s="7" t="s">
        <v>2071</v>
      </c>
      <c r="Z435" s="7" t="s">
        <v>52</v>
      </c>
      <c r="AA435" s="7" t="s">
        <v>2289</v>
      </c>
      <c r="AB435" s="7" t="s">
        <v>44</v>
      </c>
      <c r="AC435" s="7"/>
      <c r="AD435" s="10"/>
      <c r="AE435" s="10"/>
      <c r="AF435" s="10"/>
      <c r="AG435" s="11">
        <f t="shared" si="6"/>
        <v>43272</v>
      </c>
    </row>
    <row r="436" spans="1:33">
      <c r="A436" s="7" t="s">
        <v>2290</v>
      </c>
      <c r="B436" s="7" t="s">
        <v>2290</v>
      </c>
      <c r="C436" s="7" t="s">
        <v>2291</v>
      </c>
      <c r="D436" s="7" t="s">
        <v>2292</v>
      </c>
      <c r="E436" s="7" t="s">
        <v>33</v>
      </c>
      <c r="F436" s="7" t="s">
        <v>34</v>
      </c>
      <c r="G436" s="7" t="s">
        <v>35</v>
      </c>
      <c r="H436" s="7"/>
      <c r="I436" s="7"/>
      <c r="J436" s="7" t="s">
        <v>36</v>
      </c>
      <c r="K436" s="7" t="s">
        <v>79</v>
      </c>
      <c r="L436" s="7" t="s">
        <v>80</v>
      </c>
      <c r="M436" s="7" t="s">
        <v>81</v>
      </c>
      <c r="N436" s="7" t="s">
        <v>33</v>
      </c>
      <c r="O436" s="7">
        <v>1</v>
      </c>
      <c r="P436" s="7" t="s">
        <v>40</v>
      </c>
      <c r="Q436" s="7">
        <v>91.99</v>
      </c>
      <c r="R436" s="7"/>
      <c r="S436" s="7"/>
      <c r="T436" s="7"/>
      <c r="U436" s="7"/>
      <c r="V436" s="7"/>
      <c r="W436" s="7"/>
      <c r="X436" s="7"/>
      <c r="Y436" s="7" t="s">
        <v>2293</v>
      </c>
      <c r="Z436" s="7" t="s">
        <v>497</v>
      </c>
      <c r="AA436" s="7">
        <v>28650</v>
      </c>
      <c r="AB436" s="7" t="s">
        <v>44</v>
      </c>
      <c r="AC436" s="7"/>
      <c r="AD436" s="10"/>
      <c r="AE436" s="10"/>
      <c r="AF436" s="10"/>
      <c r="AG436" s="11">
        <f t="shared" si="6"/>
        <v>43272</v>
      </c>
    </row>
    <row r="437" spans="1:33">
      <c r="A437" s="7" t="s">
        <v>2294</v>
      </c>
      <c r="B437" s="7" t="s">
        <v>2294</v>
      </c>
      <c r="C437" s="7" t="s">
        <v>2295</v>
      </c>
      <c r="D437" s="7" t="s">
        <v>2296</v>
      </c>
      <c r="E437" s="7" t="s">
        <v>33</v>
      </c>
      <c r="F437" s="7" t="s">
        <v>34</v>
      </c>
      <c r="G437" s="7" t="s">
        <v>35</v>
      </c>
      <c r="H437" s="7"/>
      <c r="I437" s="7"/>
      <c r="J437" s="7" t="s">
        <v>36</v>
      </c>
      <c r="K437" s="7" t="s">
        <v>79</v>
      </c>
      <c r="L437" s="7" t="s">
        <v>80</v>
      </c>
      <c r="M437" s="7" t="s">
        <v>81</v>
      </c>
      <c r="N437" s="7" t="s">
        <v>33</v>
      </c>
      <c r="O437" s="7">
        <v>1</v>
      </c>
      <c r="P437" s="7" t="s">
        <v>40</v>
      </c>
      <c r="Q437" s="7">
        <v>91.99</v>
      </c>
      <c r="R437" s="7"/>
      <c r="S437" s="7"/>
      <c r="T437" s="7"/>
      <c r="U437" s="7"/>
      <c r="V437" s="7"/>
      <c r="W437" s="7"/>
      <c r="X437" s="7"/>
      <c r="Y437" s="7" t="s">
        <v>2297</v>
      </c>
      <c r="Z437" s="7" t="s">
        <v>92</v>
      </c>
      <c r="AA437" s="7" t="s">
        <v>2298</v>
      </c>
      <c r="AB437" s="7" t="s">
        <v>44</v>
      </c>
      <c r="AC437" s="7"/>
      <c r="AD437" s="10"/>
      <c r="AE437" s="10"/>
      <c r="AF437" s="10"/>
      <c r="AG437" s="11">
        <f t="shared" si="6"/>
        <v>43272</v>
      </c>
    </row>
    <row r="438" spans="1:33">
      <c r="A438" s="7" t="s">
        <v>2299</v>
      </c>
      <c r="B438" s="7" t="s">
        <v>2299</v>
      </c>
      <c r="C438" s="7" t="s">
        <v>2300</v>
      </c>
      <c r="D438" s="7" t="s">
        <v>2301</v>
      </c>
      <c r="E438" s="7" t="s">
        <v>33</v>
      </c>
      <c r="F438" s="7" t="s">
        <v>34</v>
      </c>
      <c r="G438" s="7" t="s">
        <v>35</v>
      </c>
      <c r="H438" s="7"/>
      <c r="I438" s="7"/>
      <c r="J438" s="7" t="s">
        <v>69</v>
      </c>
      <c r="K438" s="7" t="s">
        <v>37</v>
      </c>
      <c r="L438" s="7" t="s">
        <v>38</v>
      </c>
      <c r="M438" s="7" t="s">
        <v>39</v>
      </c>
      <c r="N438" s="7" t="s">
        <v>33</v>
      </c>
      <c r="O438" s="7">
        <v>1</v>
      </c>
      <c r="P438" s="7" t="s">
        <v>40</v>
      </c>
      <c r="Q438" s="7">
        <v>89.99</v>
      </c>
      <c r="R438" s="7"/>
      <c r="S438" s="7">
        <v>8.37</v>
      </c>
      <c r="T438" s="7"/>
      <c r="U438" s="7"/>
      <c r="V438" s="7"/>
      <c r="W438" s="7"/>
      <c r="X438" s="7"/>
      <c r="Y438" s="7" t="s">
        <v>2302</v>
      </c>
      <c r="Z438" s="7" t="s">
        <v>2303</v>
      </c>
      <c r="AA438" s="7">
        <v>14551</v>
      </c>
      <c r="AB438" s="7" t="s">
        <v>44</v>
      </c>
      <c r="AC438" s="7"/>
      <c r="AD438" s="10"/>
      <c r="AE438" s="10"/>
      <c r="AF438" s="10"/>
      <c r="AG438" s="11">
        <f t="shared" si="6"/>
        <v>43272</v>
      </c>
    </row>
    <row r="439" spans="1:33">
      <c r="A439" s="7" t="s">
        <v>2304</v>
      </c>
      <c r="B439" s="7" t="s">
        <v>2304</v>
      </c>
      <c r="C439" s="7" t="s">
        <v>2305</v>
      </c>
      <c r="D439" s="7" t="s">
        <v>2306</v>
      </c>
      <c r="E439" s="7" t="s">
        <v>33</v>
      </c>
      <c r="F439" s="7" t="s">
        <v>34</v>
      </c>
      <c r="G439" s="7" t="s">
        <v>35</v>
      </c>
      <c r="H439" s="7"/>
      <c r="I439" s="7"/>
      <c r="J439" s="7" t="s">
        <v>163</v>
      </c>
      <c r="K439" s="7" t="s">
        <v>284</v>
      </c>
      <c r="L439" s="7" t="s">
        <v>285</v>
      </c>
      <c r="M439" s="7" t="s">
        <v>286</v>
      </c>
      <c r="N439" s="7" t="s">
        <v>33</v>
      </c>
      <c r="O439" s="7">
        <v>1</v>
      </c>
      <c r="P439" s="7" t="s">
        <v>40</v>
      </c>
      <c r="Q439" s="7">
        <v>89.99</v>
      </c>
      <c r="R439" s="7"/>
      <c r="S439" s="7">
        <v>7.99</v>
      </c>
      <c r="T439" s="7"/>
      <c r="U439" s="7"/>
      <c r="V439" s="7"/>
      <c r="W439" s="7"/>
      <c r="X439" s="7">
        <v>7.99</v>
      </c>
      <c r="Y439" s="7" t="s">
        <v>584</v>
      </c>
      <c r="Z439" s="7" t="s">
        <v>391</v>
      </c>
      <c r="AA439" s="7" t="s">
        <v>585</v>
      </c>
      <c r="AB439" s="7" t="s">
        <v>44</v>
      </c>
      <c r="AC439" s="7"/>
      <c r="AD439" s="10"/>
      <c r="AE439" s="10"/>
      <c r="AF439" s="10"/>
      <c r="AG439" s="11">
        <f t="shared" si="6"/>
        <v>43272</v>
      </c>
    </row>
    <row r="440" spans="1:33">
      <c r="A440" s="7" t="s">
        <v>2307</v>
      </c>
      <c r="B440" s="7" t="s">
        <v>2307</v>
      </c>
      <c r="C440" s="7" t="s">
        <v>2308</v>
      </c>
      <c r="D440" s="7" t="s">
        <v>2309</v>
      </c>
      <c r="E440" s="7" t="s">
        <v>33</v>
      </c>
      <c r="F440" s="7" t="s">
        <v>34</v>
      </c>
      <c r="G440" s="7" t="s">
        <v>35</v>
      </c>
      <c r="H440" s="7"/>
      <c r="I440" s="7"/>
      <c r="J440" s="7" t="s">
        <v>36</v>
      </c>
      <c r="K440" s="7" t="s">
        <v>2310</v>
      </c>
      <c r="L440" s="7" t="s">
        <v>2311</v>
      </c>
      <c r="M440" s="7" t="s">
        <v>2312</v>
      </c>
      <c r="N440" s="7" t="s">
        <v>33</v>
      </c>
      <c r="O440" s="7">
        <v>1</v>
      </c>
      <c r="P440" s="7" t="s">
        <v>40</v>
      </c>
      <c r="Q440" s="7">
        <v>89.99</v>
      </c>
      <c r="R440" s="7"/>
      <c r="S440" s="7"/>
      <c r="T440" s="7"/>
      <c r="U440" s="7"/>
      <c r="V440" s="7"/>
      <c r="W440" s="7"/>
      <c r="X440" s="7"/>
      <c r="Y440" s="7" t="s">
        <v>594</v>
      </c>
      <c r="Z440" s="7" t="s">
        <v>189</v>
      </c>
      <c r="AA440" s="7" t="s">
        <v>2313</v>
      </c>
      <c r="AB440" s="7" t="s">
        <v>44</v>
      </c>
      <c r="AC440" s="7"/>
      <c r="AD440" s="10"/>
      <c r="AE440" s="10"/>
      <c r="AF440" s="10"/>
      <c r="AG440" s="11">
        <f t="shared" si="6"/>
        <v>43272</v>
      </c>
    </row>
    <row r="441" spans="1:33">
      <c r="A441" s="7" t="s">
        <v>2314</v>
      </c>
      <c r="B441" s="7" t="s">
        <v>2314</v>
      </c>
      <c r="C441" s="7" t="s">
        <v>2315</v>
      </c>
      <c r="D441" s="7" t="s">
        <v>2316</v>
      </c>
      <c r="E441" s="7" t="s">
        <v>33</v>
      </c>
      <c r="F441" s="7" t="s">
        <v>34</v>
      </c>
      <c r="G441" s="7" t="s">
        <v>35</v>
      </c>
      <c r="H441" s="7"/>
      <c r="I441" s="7"/>
      <c r="J441" s="7" t="s">
        <v>69</v>
      </c>
      <c r="K441" s="7" t="s">
        <v>431</v>
      </c>
      <c r="L441" s="7" t="s">
        <v>432</v>
      </c>
      <c r="M441" s="7" t="s">
        <v>433</v>
      </c>
      <c r="N441" s="7" t="s">
        <v>33</v>
      </c>
      <c r="O441" s="7">
        <v>1</v>
      </c>
      <c r="P441" s="7" t="s">
        <v>40</v>
      </c>
      <c r="Q441" s="7">
        <v>89.99</v>
      </c>
      <c r="R441" s="7"/>
      <c r="S441" s="7">
        <v>8.45</v>
      </c>
      <c r="T441" s="7"/>
      <c r="U441" s="7"/>
      <c r="V441" s="7"/>
      <c r="W441" s="7"/>
      <c r="X441" s="7"/>
      <c r="Y441" s="7" t="s">
        <v>2317</v>
      </c>
      <c r="Z441" s="7" t="s">
        <v>2318</v>
      </c>
      <c r="AA441" s="7">
        <v>67870</v>
      </c>
      <c r="AB441" s="7" t="s">
        <v>44</v>
      </c>
      <c r="AC441" s="7"/>
      <c r="AD441" s="10"/>
      <c r="AE441" s="10"/>
      <c r="AF441" s="10"/>
      <c r="AG441" s="11">
        <f t="shared" si="6"/>
        <v>43272</v>
      </c>
    </row>
    <row r="442" spans="1:33">
      <c r="A442" s="7" t="s">
        <v>2319</v>
      </c>
      <c r="B442" s="7" t="s">
        <v>2319</v>
      </c>
      <c r="C442" s="7" t="s">
        <v>2320</v>
      </c>
      <c r="D442" s="7" t="s">
        <v>2321</v>
      </c>
      <c r="E442" s="7" t="s">
        <v>33</v>
      </c>
      <c r="F442" s="7" t="s">
        <v>34</v>
      </c>
      <c r="G442" s="7" t="s">
        <v>35</v>
      </c>
      <c r="H442" s="7"/>
      <c r="I442" s="7"/>
      <c r="J442" s="7" t="s">
        <v>36</v>
      </c>
      <c r="K442" s="7" t="s">
        <v>2322</v>
      </c>
      <c r="L442" s="7" t="s">
        <v>138</v>
      </c>
      <c r="M442" s="7" t="s">
        <v>139</v>
      </c>
      <c r="N442" s="7" t="s">
        <v>33</v>
      </c>
      <c r="O442" s="7">
        <v>1</v>
      </c>
      <c r="P442" s="7" t="s">
        <v>40</v>
      </c>
      <c r="Q442" s="7">
        <v>99.99</v>
      </c>
      <c r="R442" s="7"/>
      <c r="S442" s="7"/>
      <c r="T442" s="7"/>
      <c r="U442" s="7"/>
      <c r="V442" s="7"/>
      <c r="W442" s="7"/>
      <c r="X442" s="7"/>
      <c r="Y442" s="7" t="s">
        <v>2323</v>
      </c>
      <c r="Z442" s="7" t="s">
        <v>52</v>
      </c>
      <c r="AA442" s="7" t="s">
        <v>2324</v>
      </c>
      <c r="AB442" s="7" t="s">
        <v>44</v>
      </c>
      <c r="AC442" s="7"/>
      <c r="AD442" s="10"/>
      <c r="AE442" s="10"/>
      <c r="AF442" s="10"/>
      <c r="AG442" s="11">
        <f t="shared" si="6"/>
        <v>43272</v>
      </c>
    </row>
    <row r="443" spans="1:33">
      <c r="A443" s="7" t="s">
        <v>2325</v>
      </c>
      <c r="B443" s="7" t="s">
        <v>2325</v>
      </c>
      <c r="C443" s="7" t="s">
        <v>2326</v>
      </c>
      <c r="D443" s="7" t="s">
        <v>2327</v>
      </c>
      <c r="E443" s="7" t="s">
        <v>33</v>
      </c>
      <c r="F443" s="7" t="s">
        <v>34</v>
      </c>
      <c r="G443" s="7" t="s">
        <v>35</v>
      </c>
      <c r="H443" s="7"/>
      <c r="I443" s="7"/>
      <c r="J443" s="7" t="s">
        <v>36</v>
      </c>
      <c r="K443" s="7" t="s">
        <v>102</v>
      </c>
      <c r="L443" s="7" t="s">
        <v>103</v>
      </c>
      <c r="M443" s="7" t="s">
        <v>104</v>
      </c>
      <c r="N443" s="7" t="s">
        <v>33</v>
      </c>
      <c r="O443" s="7">
        <v>1</v>
      </c>
      <c r="P443" s="7" t="s">
        <v>40</v>
      </c>
      <c r="Q443" s="7">
        <v>89.99</v>
      </c>
      <c r="R443" s="7"/>
      <c r="S443" s="7"/>
      <c r="T443" s="7"/>
      <c r="U443" s="7"/>
      <c r="V443" s="7"/>
      <c r="W443" s="7"/>
      <c r="X443" s="7"/>
      <c r="Y443" s="7" t="s">
        <v>2328</v>
      </c>
      <c r="Z443" s="7" t="s">
        <v>64</v>
      </c>
      <c r="AA443" s="7" t="s">
        <v>2329</v>
      </c>
      <c r="AB443" s="7" t="s">
        <v>44</v>
      </c>
      <c r="AC443" s="7"/>
      <c r="AD443" s="10"/>
      <c r="AE443" s="10"/>
      <c r="AF443" s="10"/>
      <c r="AG443" s="11">
        <f t="shared" si="6"/>
        <v>43272</v>
      </c>
    </row>
    <row r="444" spans="1:33">
      <c r="A444" s="7" t="s">
        <v>2330</v>
      </c>
      <c r="B444" s="7" t="s">
        <v>2330</v>
      </c>
      <c r="C444" s="7" t="s">
        <v>2331</v>
      </c>
      <c r="D444" s="7" t="s">
        <v>2332</v>
      </c>
      <c r="E444" s="7" t="s">
        <v>33</v>
      </c>
      <c r="F444" s="7" t="s">
        <v>34</v>
      </c>
      <c r="G444" s="7" t="s">
        <v>35</v>
      </c>
      <c r="H444" s="7"/>
      <c r="I444" s="7"/>
      <c r="J444" s="7" t="s">
        <v>58</v>
      </c>
      <c r="K444" s="7" t="s">
        <v>148</v>
      </c>
      <c r="L444" s="7" t="s">
        <v>149</v>
      </c>
      <c r="M444" s="7" t="s">
        <v>150</v>
      </c>
      <c r="N444" s="7" t="s">
        <v>33</v>
      </c>
      <c r="O444" s="7">
        <v>1</v>
      </c>
      <c r="P444" s="7" t="s">
        <v>40</v>
      </c>
      <c r="Q444" s="7">
        <v>98.99</v>
      </c>
      <c r="R444" s="7"/>
      <c r="S444" s="7">
        <v>14.45</v>
      </c>
      <c r="T444" s="7"/>
      <c r="U444" s="7"/>
      <c r="V444" s="7"/>
      <c r="W444" s="7"/>
      <c r="X444" s="7"/>
      <c r="Y444" s="7" t="s">
        <v>2333</v>
      </c>
      <c r="Z444" s="7" t="s">
        <v>64</v>
      </c>
      <c r="AA444" s="7" t="s">
        <v>2334</v>
      </c>
      <c r="AB444" s="7" t="s">
        <v>44</v>
      </c>
      <c r="AC444" s="7"/>
      <c r="AD444" s="10"/>
      <c r="AE444" s="10"/>
      <c r="AF444" s="10"/>
      <c r="AG444" s="11">
        <f t="shared" si="6"/>
        <v>43272</v>
      </c>
    </row>
    <row r="445" spans="1:33">
      <c r="A445" s="7" t="s">
        <v>2335</v>
      </c>
      <c r="B445" s="7" t="s">
        <v>2335</v>
      </c>
      <c r="C445" s="7" t="s">
        <v>2336</v>
      </c>
      <c r="D445" s="7" t="s">
        <v>2337</v>
      </c>
      <c r="E445" s="7" t="s">
        <v>33</v>
      </c>
      <c r="F445" s="7" t="s">
        <v>34</v>
      </c>
      <c r="G445" s="7" t="s">
        <v>35</v>
      </c>
      <c r="H445" s="7"/>
      <c r="I445" s="7"/>
      <c r="J445" s="7" t="s">
        <v>163</v>
      </c>
      <c r="K445" s="7" t="s">
        <v>364</v>
      </c>
      <c r="L445" s="7" t="s">
        <v>2028</v>
      </c>
      <c r="M445" s="7" t="s">
        <v>2029</v>
      </c>
      <c r="N445" s="7" t="s">
        <v>33</v>
      </c>
      <c r="O445" s="7">
        <v>1</v>
      </c>
      <c r="P445" s="7" t="s">
        <v>40</v>
      </c>
      <c r="Q445" s="7">
        <v>79.99</v>
      </c>
      <c r="R445" s="7"/>
      <c r="S445" s="7">
        <v>5.99</v>
      </c>
      <c r="T445" s="7"/>
      <c r="U445" s="7"/>
      <c r="V445" s="7"/>
      <c r="W445" s="7"/>
      <c r="X445" s="7">
        <v>5.99</v>
      </c>
      <c r="Y445" s="7" t="s">
        <v>2338</v>
      </c>
      <c r="Z445" s="7" t="s">
        <v>135</v>
      </c>
      <c r="AA445" s="7" t="s">
        <v>2339</v>
      </c>
      <c r="AB445" s="7" t="s">
        <v>44</v>
      </c>
      <c r="AC445" s="7"/>
      <c r="AD445" s="10"/>
      <c r="AE445" s="10"/>
      <c r="AF445" s="10"/>
      <c r="AG445" s="11">
        <f t="shared" si="6"/>
        <v>43272</v>
      </c>
    </row>
    <row r="446" spans="1:33">
      <c r="A446" s="7" t="s">
        <v>2340</v>
      </c>
      <c r="B446" s="7" t="s">
        <v>2340</v>
      </c>
      <c r="C446" s="7" t="s">
        <v>2341</v>
      </c>
      <c r="D446" s="7" t="s">
        <v>2342</v>
      </c>
      <c r="E446" s="7" t="s">
        <v>33</v>
      </c>
      <c r="F446" s="7" t="s">
        <v>34</v>
      </c>
      <c r="G446" s="7" t="s">
        <v>35</v>
      </c>
      <c r="H446" s="7"/>
      <c r="I446" s="7"/>
      <c r="J446" s="7" t="s">
        <v>69</v>
      </c>
      <c r="K446" s="7" t="s">
        <v>387</v>
      </c>
      <c r="L446" s="7" t="s">
        <v>388</v>
      </c>
      <c r="M446" s="7" t="s">
        <v>389</v>
      </c>
      <c r="N446" s="7" t="s">
        <v>33</v>
      </c>
      <c r="O446" s="7">
        <v>1</v>
      </c>
      <c r="P446" s="7" t="s">
        <v>40</v>
      </c>
      <c r="Q446" s="7">
        <v>32.99</v>
      </c>
      <c r="R446" s="7"/>
      <c r="S446" s="7"/>
      <c r="T446" s="7"/>
      <c r="U446" s="7"/>
      <c r="V446" s="7"/>
      <c r="W446" s="7"/>
      <c r="X446" s="7"/>
      <c r="Y446" s="7" t="s">
        <v>2343</v>
      </c>
      <c r="Z446" s="7" t="s">
        <v>861</v>
      </c>
      <c r="AA446" s="7" t="s">
        <v>2344</v>
      </c>
      <c r="AB446" s="7" t="s">
        <v>44</v>
      </c>
      <c r="AC446" s="7"/>
      <c r="AD446" s="10"/>
      <c r="AE446" s="10"/>
      <c r="AF446" s="10"/>
      <c r="AG446" s="11">
        <f t="shared" si="6"/>
        <v>43272</v>
      </c>
    </row>
    <row r="447" spans="1:33">
      <c r="A447" s="7" t="s">
        <v>2345</v>
      </c>
      <c r="B447" s="7" t="s">
        <v>2345</v>
      </c>
      <c r="C447" s="7" t="s">
        <v>2346</v>
      </c>
      <c r="D447" s="7" t="s">
        <v>2347</v>
      </c>
      <c r="E447" s="7" t="s">
        <v>33</v>
      </c>
      <c r="F447" s="7" t="s">
        <v>34</v>
      </c>
      <c r="G447" s="7" t="s">
        <v>35</v>
      </c>
      <c r="H447" s="7"/>
      <c r="I447" s="7"/>
      <c r="J447" s="7" t="s">
        <v>36</v>
      </c>
      <c r="K447" s="7" t="s">
        <v>213</v>
      </c>
      <c r="L447" s="7" t="s">
        <v>214</v>
      </c>
      <c r="M447" s="7" t="s">
        <v>215</v>
      </c>
      <c r="N447" s="7" t="s">
        <v>33</v>
      </c>
      <c r="O447" s="7">
        <v>1</v>
      </c>
      <c r="P447" s="7" t="s">
        <v>40</v>
      </c>
      <c r="Q447" s="7">
        <v>21.99</v>
      </c>
      <c r="R447" s="7"/>
      <c r="S447" s="7"/>
      <c r="T447" s="7"/>
      <c r="U447" s="7"/>
      <c r="V447" s="7"/>
      <c r="W447" s="7"/>
      <c r="X447" s="7"/>
      <c r="Y447" s="7" t="s">
        <v>2348</v>
      </c>
      <c r="Z447" s="7" t="s">
        <v>497</v>
      </c>
      <c r="AA447" s="7" t="s">
        <v>2349</v>
      </c>
      <c r="AB447" s="7" t="s">
        <v>44</v>
      </c>
      <c r="AC447" s="7"/>
      <c r="AD447" s="10"/>
      <c r="AE447" s="10"/>
      <c r="AF447" s="10"/>
      <c r="AG447" s="11">
        <f t="shared" si="6"/>
        <v>43272</v>
      </c>
    </row>
    <row r="448" spans="1:33">
      <c r="A448" s="7" t="s">
        <v>2350</v>
      </c>
      <c r="B448" s="7" t="s">
        <v>2350</v>
      </c>
      <c r="C448" s="7" t="s">
        <v>2351</v>
      </c>
      <c r="D448" s="7" t="s">
        <v>2352</v>
      </c>
      <c r="E448" s="7" t="s">
        <v>33</v>
      </c>
      <c r="F448" s="7" t="s">
        <v>34</v>
      </c>
      <c r="G448" s="7" t="s">
        <v>35</v>
      </c>
      <c r="H448" s="7"/>
      <c r="I448" s="7"/>
      <c r="J448" s="7" t="s">
        <v>36</v>
      </c>
      <c r="K448" s="7" t="s">
        <v>148</v>
      </c>
      <c r="L448" s="7" t="s">
        <v>149</v>
      </c>
      <c r="M448" s="7" t="s">
        <v>150</v>
      </c>
      <c r="N448" s="7" t="s">
        <v>33</v>
      </c>
      <c r="O448" s="7">
        <v>1</v>
      </c>
      <c r="P448" s="7" t="s">
        <v>40</v>
      </c>
      <c r="Q448" s="7">
        <v>98.99</v>
      </c>
      <c r="R448" s="7"/>
      <c r="S448" s="7"/>
      <c r="T448" s="7"/>
      <c r="U448" s="7"/>
      <c r="V448" s="7"/>
      <c r="W448" s="7"/>
      <c r="X448" s="7"/>
      <c r="Y448" s="7" t="s">
        <v>2353</v>
      </c>
      <c r="Z448" s="7" t="s">
        <v>135</v>
      </c>
      <c r="AA448" s="7" t="s">
        <v>2354</v>
      </c>
      <c r="AB448" s="7" t="s">
        <v>44</v>
      </c>
      <c r="AC448" s="7"/>
      <c r="AD448" s="10"/>
      <c r="AE448" s="10"/>
      <c r="AF448" s="10"/>
      <c r="AG448" s="11">
        <f t="shared" si="6"/>
        <v>43272</v>
      </c>
    </row>
    <row r="449" spans="1:33">
      <c r="A449" s="7" t="s">
        <v>2355</v>
      </c>
      <c r="B449" s="7" t="s">
        <v>2355</v>
      </c>
      <c r="C449" s="7" t="s">
        <v>2356</v>
      </c>
      <c r="D449" s="7" t="s">
        <v>2357</v>
      </c>
      <c r="E449" s="7" t="s">
        <v>54</v>
      </c>
      <c r="F449" s="7" t="s">
        <v>34</v>
      </c>
      <c r="G449" s="7" t="s">
        <v>35</v>
      </c>
      <c r="H449" s="7"/>
      <c r="I449" s="7"/>
      <c r="J449" s="7" t="s">
        <v>69</v>
      </c>
      <c r="K449" s="7" t="s">
        <v>213</v>
      </c>
      <c r="L449" s="7" t="s">
        <v>214</v>
      </c>
      <c r="M449" s="7" t="s">
        <v>215</v>
      </c>
      <c r="N449" s="7" t="s">
        <v>62</v>
      </c>
      <c r="O449" s="7">
        <v>1</v>
      </c>
      <c r="P449" s="7" t="s">
        <v>40</v>
      </c>
      <c r="Q449" s="7">
        <v>21.99</v>
      </c>
      <c r="R449" s="7"/>
      <c r="S449" s="7"/>
      <c r="T449" s="7"/>
      <c r="U449" s="7"/>
      <c r="V449" s="7"/>
      <c r="W449" s="7"/>
      <c r="X449" s="7"/>
      <c r="Y449" s="7" t="s">
        <v>2138</v>
      </c>
      <c r="Z449" s="7" t="s">
        <v>440</v>
      </c>
      <c r="AA449" s="7" t="s">
        <v>2358</v>
      </c>
      <c r="AB449" s="7" t="s">
        <v>44</v>
      </c>
      <c r="AC449" s="7"/>
      <c r="AD449" s="10"/>
      <c r="AE449" s="10"/>
      <c r="AF449" s="10"/>
      <c r="AG449" s="11">
        <f t="shared" si="6"/>
        <v>43272</v>
      </c>
    </row>
    <row r="450" spans="1:33">
      <c r="A450" s="7" t="s">
        <v>2359</v>
      </c>
      <c r="B450" s="7" t="s">
        <v>2359</v>
      </c>
      <c r="C450" s="7" t="s">
        <v>2360</v>
      </c>
      <c r="D450" s="7" t="s">
        <v>2361</v>
      </c>
      <c r="E450" s="7" t="s">
        <v>33</v>
      </c>
      <c r="F450" s="7" t="s">
        <v>34</v>
      </c>
      <c r="G450" s="7" t="s">
        <v>35</v>
      </c>
      <c r="H450" s="7"/>
      <c r="I450" s="7"/>
      <c r="J450" s="7" t="s">
        <v>36</v>
      </c>
      <c r="K450" s="7" t="s">
        <v>719</v>
      </c>
      <c r="L450" s="7" t="s">
        <v>720</v>
      </c>
      <c r="M450" s="7" t="s">
        <v>721</v>
      </c>
      <c r="N450" s="7" t="s">
        <v>33</v>
      </c>
      <c r="O450" s="7">
        <v>1</v>
      </c>
      <c r="P450" s="7" t="s">
        <v>40</v>
      </c>
      <c r="Q450" s="7">
        <v>21.99</v>
      </c>
      <c r="R450" s="7"/>
      <c r="S450" s="7"/>
      <c r="T450" s="7"/>
      <c r="U450" s="7"/>
      <c r="V450" s="7"/>
      <c r="W450" s="7">
        <v>21.77</v>
      </c>
      <c r="X450" s="7"/>
      <c r="Y450" s="7" t="s">
        <v>1573</v>
      </c>
      <c r="Z450" s="7" t="s">
        <v>466</v>
      </c>
      <c r="AA450" s="7">
        <v>47714</v>
      </c>
      <c r="AB450" s="7" t="s">
        <v>44</v>
      </c>
      <c r="AC450" s="7" t="s">
        <v>209</v>
      </c>
      <c r="AD450" s="10"/>
      <c r="AE450" s="10"/>
      <c r="AF450" s="10"/>
      <c r="AG450" s="11">
        <f t="shared" ref="AG450:AG513" si="7">DATEVALUE(LEFT(C450,10))</f>
        <v>43272</v>
      </c>
    </row>
    <row r="451" spans="1:33">
      <c r="A451" s="7" t="s">
        <v>2362</v>
      </c>
      <c r="B451" s="7" t="s">
        <v>2362</v>
      </c>
      <c r="C451" s="7" t="s">
        <v>2363</v>
      </c>
      <c r="D451" s="7" t="s">
        <v>2364</v>
      </c>
      <c r="E451" s="7" t="s">
        <v>54</v>
      </c>
      <c r="F451" s="7" t="s">
        <v>34</v>
      </c>
      <c r="G451" s="7" t="s">
        <v>35</v>
      </c>
      <c r="H451" s="7"/>
      <c r="I451" s="7"/>
      <c r="J451" s="7" t="s">
        <v>36</v>
      </c>
      <c r="K451" s="7" t="s">
        <v>2322</v>
      </c>
      <c r="L451" s="7" t="s">
        <v>138</v>
      </c>
      <c r="M451" s="7" t="s">
        <v>139</v>
      </c>
      <c r="N451" s="7" t="s">
        <v>54</v>
      </c>
      <c r="O451" s="7">
        <v>0</v>
      </c>
      <c r="P451" s="7"/>
      <c r="Q451" s="7"/>
      <c r="R451" s="7"/>
      <c r="S451" s="7"/>
      <c r="T451" s="7"/>
      <c r="U451" s="7"/>
      <c r="V451" s="7"/>
      <c r="W451" s="7"/>
      <c r="X451" s="7"/>
      <c r="Y451" s="7" t="s">
        <v>2365</v>
      </c>
      <c r="Z451" s="7" t="s">
        <v>1342</v>
      </c>
      <c r="AA451" s="7" t="s">
        <v>2366</v>
      </c>
      <c r="AB451" s="7" t="s">
        <v>44</v>
      </c>
      <c r="AC451" s="7"/>
      <c r="AD451" s="10"/>
      <c r="AE451" s="10"/>
      <c r="AF451" s="10"/>
      <c r="AG451" s="11">
        <f t="shared" si="7"/>
        <v>43272</v>
      </c>
    </row>
    <row r="452" spans="1:33">
      <c r="A452" s="7" t="s">
        <v>2367</v>
      </c>
      <c r="B452" s="7" t="s">
        <v>2367</v>
      </c>
      <c r="C452" s="7" t="s">
        <v>2368</v>
      </c>
      <c r="D452" s="7" t="s">
        <v>2369</v>
      </c>
      <c r="E452" s="7" t="s">
        <v>33</v>
      </c>
      <c r="F452" s="7" t="s">
        <v>34</v>
      </c>
      <c r="G452" s="7" t="s">
        <v>35</v>
      </c>
      <c r="H452" s="7"/>
      <c r="I452" s="7"/>
      <c r="J452" s="7" t="s">
        <v>36</v>
      </c>
      <c r="K452" s="7" t="s">
        <v>364</v>
      </c>
      <c r="L452" s="7" t="s">
        <v>2028</v>
      </c>
      <c r="M452" s="7" t="s">
        <v>2029</v>
      </c>
      <c r="N452" s="7" t="s">
        <v>33</v>
      </c>
      <c r="O452" s="7">
        <v>1</v>
      </c>
      <c r="P452" s="7" t="s">
        <v>40</v>
      </c>
      <c r="Q452" s="7">
        <v>79.99</v>
      </c>
      <c r="R452" s="7"/>
      <c r="S452" s="7"/>
      <c r="T452" s="7"/>
      <c r="U452" s="7"/>
      <c r="V452" s="7"/>
      <c r="W452" s="7"/>
      <c r="X452" s="7"/>
      <c r="Y452" s="7" t="s">
        <v>2370</v>
      </c>
      <c r="Z452" s="7" t="s">
        <v>2371</v>
      </c>
      <c r="AA452" s="7" t="s">
        <v>2372</v>
      </c>
      <c r="AB452" s="7" t="s">
        <v>44</v>
      </c>
      <c r="AC452" s="7"/>
      <c r="AD452" s="10"/>
      <c r="AE452" s="10"/>
      <c r="AF452" s="10"/>
      <c r="AG452" s="11">
        <f t="shared" si="7"/>
        <v>43272</v>
      </c>
    </row>
    <row r="453" spans="1:33">
      <c r="A453" s="7" t="s">
        <v>2373</v>
      </c>
      <c r="B453" s="7" t="s">
        <v>2373</v>
      </c>
      <c r="C453" s="7" t="s">
        <v>2374</v>
      </c>
      <c r="D453" s="7" t="s">
        <v>2375</v>
      </c>
      <c r="E453" s="7" t="s">
        <v>54</v>
      </c>
      <c r="F453" s="7" t="s">
        <v>34</v>
      </c>
      <c r="G453" s="7" t="s">
        <v>35</v>
      </c>
      <c r="H453" s="7"/>
      <c r="I453" s="7"/>
      <c r="J453" s="7" t="s">
        <v>58</v>
      </c>
      <c r="K453" s="7" t="s">
        <v>2376</v>
      </c>
      <c r="L453" s="7" t="s">
        <v>2377</v>
      </c>
      <c r="M453" s="7" t="s">
        <v>2378</v>
      </c>
      <c r="N453" s="7" t="s">
        <v>62</v>
      </c>
      <c r="O453" s="7">
        <v>1</v>
      </c>
      <c r="P453" s="7" t="s">
        <v>40</v>
      </c>
      <c r="Q453" s="7">
        <v>79.99</v>
      </c>
      <c r="R453" s="7"/>
      <c r="S453" s="7"/>
      <c r="T453" s="7"/>
      <c r="U453" s="7"/>
      <c r="V453" s="7"/>
      <c r="W453" s="7"/>
      <c r="X453" s="7"/>
      <c r="Y453" s="7" t="s">
        <v>1815</v>
      </c>
      <c r="Z453" s="7" t="s">
        <v>83</v>
      </c>
      <c r="AA453" s="7" t="s">
        <v>1816</v>
      </c>
      <c r="AB453" s="7" t="s">
        <v>44</v>
      </c>
      <c r="AC453" s="7"/>
      <c r="AD453" s="10"/>
      <c r="AE453" s="10"/>
      <c r="AF453" s="10"/>
      <c r="AG453" s="11">
        <f t="shared" si="7"/>
        <v>43272</v>
      </c>
    </row>
    <row r="454" spans="1:33">
      <c r="A454" s="7" t="s">
        <v>2379</v>
      </c>
      <c r="B454" s="7" t="s">
        <v>2379</v>
      </c>
      <c r="C454" s="7" t="s">
        <v>2380</v>
      </c>
      <c r="D454" s="7" t="s">
        <v>2381</v>
      </c>
      <c r="E454" s="7" t="s">
        <v>33</v>
      </c>
      <c r="F454" s="7" t="s">
        <v>34</v>
      </c>
      <c r="G454" s="7" t="s">
        <v>35</v>
      </c>
      <c r="H454" s="7"/>
      <c r="I454" s="7"/>
      <c r="J454" s="7" t="s">
        <v>36</v>
      </c>
      <c r="K454" s="7" t="s">
        <v>1766</v>
      </c>
      <c r="L454" s="7" t="s">
        <v>2382</v>
      </c>
      <c r="M454" s="7" t="s">
        <v>1768</v>
      </c>
      <c r="N454" s="7" t="s">
        <v>33</v>
      </c>
      <c r="O454" s="7">
        <v>1</v>
      </c>
      <c r="P454" s="7" t="s">
        <v>40</v>
      </c>
      <c r="Q454" s="7">
        <v>21.99</v>
      </c>
      <c r="R454" s="7"/>
      <c r="S454" s="7"/>
      <c r="T454" s="7"/>
      <c r="U454" s="7"/>
      <c r="V454" s="7"/>
      <c r="W454" s="7">
        <v>21.77</v>
      </c>
      <c r="X454" s="7"/>
      <c r="Y454" s="7" t="s">
        <v>2383</v>
      </c>
      <c r="Z454" s="7" t="s">
        <v>52</v>
      </c>
      <c r="AA454" s="7" t="s">
        <v>2384</v>
      </c>
      <c r="AB454" s="7" t="s">
        <v>44</v>
      </c>
      <c r="AC454" s="7" t="s">
        <v>209</v>
      </c>
      <c r="AD454" s="10"/>
      <c r="AE454" s="10"/>
      <c r="AF454" s="10"/>
      <c r="AG454" s="11">
        <f t="shared" si="7"/>
        <v>43272</v>
      </c>
    </row>
    <row r="455" spans="1:33">
      <c r="A455" s="7" t="s">
        <v>2385</v>
      </c>
      <c r="B455" s="7" t="s">
        <v>2386</v>
      </c>
      <c r="C455" s="7" t="s">
        <v>2387</v>
      </c>
      <c r="D455" s="7" t="s">
        <v>2388</v>
      </c>
      <c r="E455" s="7" t="s">
        <v>2389</v>
      </c>
      <c r="F455" s="7" t="s">
        <v>34</v>
      </c>
      <c r="G455" s="7" t="s">
        <v>950</v>
      </c>
      <c r="H455" s="7"/>
      <c r="I455" s="7"/>
      <c r="J455" s="7" t="s">
        <v>69</v>
      </c>
      <c r="K455" s="7" t="s">
        <v>59</v>
      </c>
      <c r="L455" s="7" t="s">
        <v>60</v>
      </c>
      <c r="M455" s="7" t="s">
        <v>61</v>
      </c>
      <c r="N455" s="7" t="s">
        <v>62</v>
      </c>
      <c r="O455" s="7">
        <v>1</v>
      </c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11">
        <f t="shared" si="7"/>
        <v>43273</v>
      </c>
    </row>
    <row r="456" spans="1:33">
      <c r="A456" s="7" t="s">
        <v>2390</v>
      </c>
      <c r="B456" s="7" t="s">
        <v>2390</v>
      </c>
      <c r="C456" s="7" t="s">
        <v>2391</v>
      </c>
      <c r="D456" s="7" t="s">
        <v>2392</v>
      </c>
      <c r="E456" s="7" t="s">
        <v>33</v>
      </c>
      <c r="F456" s="7" t="s">
        <v>34</v>
      </c>
      <c r="G456" s="7" t="s">
        <v>35</v>
      </c>
      <c r="H456" s="7"/>
      <c r="I456" s="7"/>
      <c r="J456" s="7" t="s">
        <v>36</v>
      </c>
      <c r="K456" s="7" t="s">
        <v>79</v>
      </c>
      <c r="L456" s="7" t="s">
        <v>80</v>
      </c>
      <c r="M456" s="7" t="s">
        <v>81</v>
      </c>
      <c r="N456" s="7" t="s">
        <v>33</v>
      </c>
      <c r="O456" s="7">
        <v>1</v>
      </c>
      <c r="P456" s="7" t="s">
        <v>40</v>
      </c>
      <c r="Q456" s="7">
        <v>91.99</v>
      </c>
      <c r="R456" s="7"/>
      <c r="S456" s="7"/>
      <c r="T456" s="7"/>
      <c r="U456" s="7"/>
      <c r="V456" s="7"/>
      <c r="W456" s="7"/>
      <c r="X456" s="7"/>
      <c r="Y456" s="7" t="s">
        <v>2393</v>
      </c>
      <c r="Z456" s="7" t="s">
        <v>152</v>
      </c>
      <c r="AA456" s="7" t="s">
        <v>2394</v>
      </c>
      <c r="AB456" s="7" t="s">
        <v>44</v>
      </c>
      <c r="AC456" s="7"/>
      <c r="AD456" s="10"/>
      <c r="AE456" s="10"/>
      <c r="AF456" s="10"/>
      <c r="AG456" s="11">
        <f t="shared" si="7"/>
        <v>43273</v>
      </c>
    </row>
    <row r="457" spans="1:33">
      <c r="A457" s="7" t="s">
        <v>2395</v>
      </c>
      <c r="B457" s="7" t="s">
        <v>2395</v>
      </c>
      <c r="C457" s="7" t="s">
        <v>2396</v>
      </c>
      <c r="D457" s="7" t="s">
        <v>2397</v>
      </c>
      <c r="E457" s="7" t="s">
        <v>33</v>
      </c>
      <c r="F457" s="7" t="s">
        <v>34</v>
      </c>
      <c r="G457" s="7" t="s">
        <v>35</v>
      </c>
      <c r="H457" s="7"/>
      <c r="I457" s="7"/>
      <c r="J457" s="7" t="s">
        <v>36</v>
      </c>
      <c r="K457" s="7" t="s">
        <v>2398</v>
      </c>
      <c r="L457" s="7" t="s">
        <v>2399</v>
      </c>
      <c r="M457" s="7" t="s">
        <v>2400</v>
      </c>
      <c r="N457" s="7" t="s">
        <v>33</v>
      </c>
      <c r="O457" s="7">
        <v>1</v>
      </c>
      <c r="P457" s="7" t="s">
        <v>40</v>
      </c>
      <c r="Q457" s="7">
        <v>34.99</v>
      </c>
      <c r="R457" s="7">
        <v>2.83</v>
      </c>
      <c r="S457" s="7"/>
      <c r="T457" s="7"/>
      <c r="U457" s="7"/>
      <c r="V457" s="7"/>
      <c r="W457" s="7"/>
      <c r="X457" s="7"/>
      <c r="Y457" s="7" t="s">
        <v>2401</v>
      </c>
      <c r="Z457" s="7" t="s">
        <v>97</v>
      </c>
      <c r="AA457" s="7" t="s">
        <v>2402</v>
      </c>
      <c r="AB457" s="7" t="s">
        <v>44</v>
      </c>
      <c r="AC457" s="7"/>
      <c r="AD457" s="10"/>
      <c r="AE457" s="10"/>
      <c r="AF457" s="10"/>
      <c r="AG457" s="11">
        <f t="shared" si="7"/>
        <v>43273</v>
      </c>
    </row>
    <row r="458" spans="1:33">
      <c r="A458" s="7" t="s">
        <v>2403</v>
      </c>
      <c r="B458" s="7" t="s">
        <v>2403</v>
      </c>
      <c r="C458" s="7" t="s">
        <v>2404</v>
      </c>
      <c r="D458" s="7" t="s">
        <v>2405</v>
      </c>
      <c r="E458" s="7" t="s">
        <v>33</v>
      </c>
      <c r="F458" s="7" t="s">
        <v>34</v>
      </c>
      <c r="G458" s="7" t="s">
        <v>35</v>
      </c>
      <c r="H458" s="7"/>
      <c r="I458" s="7"/>
      <c r="J458" s="7" t="s">
        <v>36</v>
      </c>
      <c r="K458" s="7" t="s">
        <v>179</v>
      </c>
      <c r="L458" s="7" t="s">
        <v>180</v>
      </c>
      <c r="M458" s="7" t="s">
        <v>181</v>
      </c>
      <c r="N458" s="7" t="s">
        <v>33</v>
      </c>
      <c r="O458" s="7">
        <v>1</v>
      </c>
      <c r="P458" s="7" t="s">
        <v>40</v>
      </c>
      <c r="Q458" s="7">
        <v>85.99</v>
      </c>
      <c r="R458" s="7"/>
      <c r="S458" s="7"/>
      <c r="T458" s="7"/>
      <c r="U458" s="7"/>
      <c r="V458" s="7"/>
      <c r="W458" s="7"/>
      <c r="X458" s="7"/>
      <c r="Y458" s="7" t="s">
        <v>2406</v>
      </c>
      <c r="Z458" s="7" t="s">
        <v>1342</v>
      </c>
      <c r="AA458" s="7">
        <v>70452</v>
      </c>
      <c r="AB458" s="7" t="s">
        <v>44</v>
      </c>
      <c r="AC458" s="7"/>
      <c r="AD458" s="10"/>
      <c r="AE458" s="10"/>
      <c r="AF458" s="10"/>
      <c r="AG458" s="11">
        <f t="shared" si="7"/>
        <v>43273</v>
      </c>
    </row>
    <row r="459" spans="1:33">
      <c r="A459" s="7" t="s">
        <v>2407</v>
      </c>
      <c r="B459" s="7" t="s">
        <v>2407</v>
      </c>
      <c r="C459" s="7" t="s">
        <v>2408</v>
      </c>
      <c r="D459" s="7" t="s">
        <v>2409</v>
      </c>
      <c r="E459" s="7" t="s">
        <v>33</v>
      </c>
      <c r="F459" s="7" t="s">
        <v>34</v>
      </c>
      <c r="G459" s="7" t="s">
        <v>35</v>
      </c>
      <c r="H459" s="7"/>
      <c r="I459" s="7"/>
      <c r="J459" s="7" t="s">
        <v>36</v>
      </c>
      <c r="K459" s="7" t="s">
        <v>618</v>
      </c>
      <c r="L459" s="7" t="s">
        <v>619</v>
      </c>
      <c r="M459" s="7" t="s">
        <v>620</v>
      </c>
      <c r="N459" s="7" t="s">
        <v>33</v>
      </c>
      <c r="O459" s="7">
        <v>1</v>
      </c>
      <c r="P459" s="7" t="s">
        <v>40</v>
      </c>
      <c r="Q459" s="7">
        <v>99.99</v>
      </c>
      <c r="R459" s="7"/>
      <c r="S459" s="7"/>
      <c r="T459" s="7"/>
      <c r="U459" s="7"/>
      <c r="V459" s="7"/>
      <c r="W459" s="7"/>
      <c r="X459" s="7"/>
      <c r="Y459" s="7" t="s">
        <v>2410</v>
      </c>
      <c r="Z459" s="7" t="s">
        <v>990</v>
      </c>
      <c r="AA459" s="7" t="s">
        <v>2411</v>
      </c>
      <c r="AB459" s="7" t="s">
        <v>44</v>
      </c>
      <c r="AC459" s="7"/>
      <c r="AD459" s="10"/>
      <c r="AE459" s="10"/>
      <c r="AF459" s="10"/>
      <c r="AG459" s="11">
        <f t="shared" si="7"/>
        <v>43273</v>
      </c>
    </row>
    <row r="460" spans="1:33">
      <c r="A460" s="7" t="s">
        <v>2412</v>
      </c>
      <c r="B460" s="7" t="s">
        <v>2412</v>
      </c>
      <c r="C460" s="7" t="s">
        <v>2413</v>
      </c>
      <c r="D460" s="7" t="s">
        <v>2414</v>
      </c>
      <c r="E460" s="7" t="s">
        <v>33</v>
      </c>
      <c r="F460" s="7" t="s">
        <v>34</v>
      </c>
      <c r="G460" s="7" t="s">
        <v>35</v>
      </c>
      <c r="H460" s="7"/>
      <c r="I460" s="7"/>
      <c r="J460" s="7" t="s">
        <v>36</v>
      </c>
      <c r="K460" s="7" t="s">
        <v>37</v>
      </c>
      <c r="L460" s="7" t="s">
        <v>38</v>
      </c>
      <c r="M460" s="7" t="s">
        <v>39</v>
      </c>
      <c r="N460" s="7" t="s">
        <v>33</v>
      </c>
      <c r="O460" s="7">
        <v>1</v>
      </c>
      <c r="P460" s="7" t="s">
        <v>40</v>
      </c>
      <c r="Q460" s="7">
        <v>89.99</v>
      </c>
      <c r="R460" s="7">
        <v>5.4</v>
      </c>
      <c r="S460" s="7"/>
      <c r="T460" s="7"/>
      <c r="U460" s="7"/>
      <c r="V460" s="7"/>
      <c r="W460" s="7"/>
      <c r="X460" s="7"/>
      <c r="Y460" s="7" t="s">
        <v>2415</v>
      </c>
      <c r="Z460" s="7" t="s">
        <v>880</v>
      </c>
      <c r="AA460" s="7" t="s">
        <v>2416</v>
      </c>
      <c r="AB460" s="7" t="s">
        <v>44</v>
      </c>
      <c r="AC460" s="7"/>
      <c r="AD460" s="10"/>
      <c r="AE460" s="10"/>
      <c r="AF460" s="10"/>
      <c r="AG460" s="11">
        <f t="shared" si="7"/>
        <v>43273</v>
      </c>
    </row>
    <row r="461" spans="1:33">
      <c r="A461" s="7" t="s">
        <v>2417</v>
      </c>
      <c r="B461" s="7" t="s">
        <v>2417</v>
      </c>
      <c r="C461" s="7" t="s">
        <v>2418</v>
      </c>
      <c r="D461" s="7" t="s">
        <v>2419</v>
      </c>
      <c r="E461" s="7" t="s">
        <v>33</v>
      </c>
      <c r="F461" s="7" t="s">
        <v>34</v>
      </c>
      <c r="G461" s="7" t="s">
        <v>35</v>
      </c>
      <c r="H461" s="7"/>
      <c r="I461" s="7"/>
      <c r="J461" s="7" t="s">
        <v>36</v>
      </c>
      <c r="K461" s="7" t="s">
        <v>148</v>
      </c>
      <c r="L461" s="7" t="s">
        <v>149</v>
      </c>
      <c r="M461" s="7" t="s">
        <v>150</v>
      </c>
      <c r="N461" s="7" t="s">
        <v>33</v>
      </c>
      <c r="O461" s="7">
        <v>1</v>
      </c>
      <c r="P461" s="7" t="s">
        <v>40</v>
      </c>
      <c r="Q461" s="7">
        <v>98.99</v>
      </c>
      <c r="R461" s="7"/>
      <c r="S461" s="7"/>
      <c r="T461" s="7"/>
      <c r="U461" s="7"/>
      <c r="V461" s="7"/>
      <c r="W461" s="7"/>
      <c r="X461" s="7"/>
      <c r="Y461" s="7" t="s">
        <v>521</v>
      </c>
      <c r="Z461" s="7" t="s">
        <v>64</v>
      </c>
      <c r="AA461" s="7">
        <v>32311</v>
      </c>
      <c r="AB461" s="7" t="s">
        <v>44</v>
      </c>
      <c r="AC461" s="7"/>
      <c r="AD461" s="10"/>
      <c r="AE461" s="10"/>
      <c r="AF461" s="10"/>
      <c r="AG461" s="11">
        <f t="shared" si="7"/>
        <v>43273</v>
      </c>
    </row>
    <row r="462" spans="1:33">
      <c r="A462" s="7" t="s">
        <v>2420</v>
      </c>
      <c r="B462" s="7" t="s">
        <v>2420</v>
      </c>
      <c r="C462" s="7" t="s">
        <v>2421</v>
      </c>
      <c r="D462" s="7" t="s">
        <v>2422</v>
      </c>
      <c r="E462" s="7" t="s">
        <v>33</v>
      </c>
      <c r="F462" s="7" t="s">
        <v>34</v>
      </c>
      <c r="G462" s="7" t="s">
        <v>35</v>
      </c>
      <c r="H462" s="7"/>
      <c r="I462" s="7"/>
      <c r="J462" s="7" t="s">
        <v>36</v>
      </c>
      <c r="K462" s="7" t="s">
        <v>37</v>
      </c>
      <c r="L462" s="7" t="s">
        <v>38</v>
      </c>
      <c r="M462" s="7" t="s">
        <v>39</v>
      </c>
      <c r="N462" s="7" t="s">
        <v>33</v>
      </c>
      <c r="O462" s="7">
        <v>1</v>
      </c>
      <c r="P462" s="7" t="s">
        <v>40</v>
      </c>
      <c r="Q462" s="7">
        <v>89.99</v>
      </c>
      <c r="R462" s="7"/>
      <c r="S462" s="7"/>
      <c r="T462" s="7"/>
      <c r="U462" s="7">
        <v>4.99</v>
      </c>
      <c r="V462" s="7"/>
      <c r="W462" s="7"/>
      <c r="X462" s="7"/>
      <c r="Y462" s="7" t="s">
        <v>2423</v>
      </c>
      <c r="Z462" s="7" t="s">
        <v>207</v>
      </c>
      <c r="AA462" s="7" t="s">
        <v>2424</v>
      </c>
      <c r="AB462" s="7" t="s">
        <v>44</v>
      </c>
      <c r="AC462" s="7"/>
      <c r="AD462" s="10"/>
      <c r="AE462" s="10"/>
      <c r="AF462" s="10"/>
      <c r="AG462" s="11">
        <f t="shared" si="7"/>
        <v>43273</v>
      </c>
    </row>
    <row r="463" s="8" customFormat="1" spans="1:33">
      <c r="A463" s="7" t="s">
        <v>2425</v>
      </c>
      <c r="B463" s="7" t="s">
        <v>2425</v>
      </c>
      <c r="C463" s="7" t="s">
        <v>2426</v>
      </c>
      <c r="D463" s="7" t="s">
        <v>2427</v>
      </c>
      <c r="E463" s="7" t="s">
        <v>33</v>
      </c>
      <c r="F463" s="7" t="s">
        <v>34</v>
      </c>
      <c r="G463" s="7" t="s">
        <v>35</v>
      </c>
      <c r="H463" s="7"/>
      <c r="I463" s="7"/>
      <c r="J463" s="7" t="s">
        <v>36</v>
      </c>
      <c r="K463" s="7" t="s">
        <v>1270</v>
      </c>
      <c r="L463" s="7" t="s">
        <v>1271</v>
      </c>
      <c r="M463" s="7" t="s">
        <v>1272</v>
      </c>
      <c r="N463" s="7" t="s">
        <v>33</v>
      </c>
      <c r="O463" s="7">
        <v>1</v>
      </c>
      <c r="P463" s="7" t="s">
        <v>40</v>
      </c>
      <c r="Q463" s="7">
        <v>32.99</v>
      </c>
      <c r="R463" s="7">
        <v>1.98</v>
      </c>
      <c r="S463" s="7"/>
      <c r="T463" s="7"/>
      <c r="U463" s="7"/>
      <c r="V463" s="7"/>
      <c r="W463" s="7"/>
      <c r="X463" s="7"/>
      <c r="Y463" s="7" t="s">
        <v>2030</v>
      </c>
      <c r="Z463" s="7" t="s">
        <v>880</v>
      </c>
      <c r="AA463" s="7" t="s">
        <v>2428</v>
      </c>
      <c r="AB463" s="7" t="s">
        <v>44</v>
      </c>
      <c r="AC463" s="7"/>
      <c r="AD463" s="10"/>
      <c r="AE463" s="10"/>
      <c r="AF463" s="10"/>
      <c r="AG463" s="11">
        <f t="shared" si="7"/>
        <v>43273</v>
      </c>
    </row>
    <row r="464" s="8" customFormat="1" spans="1:33">
      <c r="A464" s="7" t="s">
        <v>2429</v>
      </c>
      <c r="B464" s="7" t="s">
        <v>2429</v>
      </c>
      <c r="C464" s="7" t="s">
        <v>2430</v>
      </c>
      <c r="D464" s="7" t="s">
        <v>2431</v>
      </c>
      <c r="E464" s="7" t="s">
        <v>33</v>
      </c>
      <c r="F464" s="7" t="s">
        <v>34</v>
      </c>
      <c r="G464" s="7" t="s">
        <v>35</v>
      </c>
      <c r="H464" s="7"/>
      <c r="I464" s="7"/>
      <c r="J464" s="7" t="s">
        <v>69</v>
      </c>
      <c r="K464" s="7" t="s">
        <v>1975</v>
      </c>
      <c r="L464" s="7" t="s">
        <v>1976</v>
      </c>
      <c r="M464" s="7" t="s">
        <v>1977</v>
      </c>
      <c r="N464" s="7" t="s">
        <v>33</v>
      </c>
      <c r="O464" s="7">
        <v>1</v>
      </c>
      <c r="P464" s="7" t="s">
        <v>40</v>
      </c>
      <c r="Q464" s="7">
        <v>92.99</v>
      </c>
      <c r="R464" s="7"/>
      <c r="S464" s="7">
        <v>7.6</v>
      </c>
      <c r="T464" s="7"/>
      <c r="U464" s="7">
        <v>4.99</v>
      </c>
      <c r="V464" s="7"/>
      <c r="W464" s="7"/>
      <c r="X464" s="7">
        <v>7.6</v>
      </c>
      <c r="Y464" s="7" t="s">
        <v>2432</v>
      </c>
      <c r="Z464" s="7" t="s">
        <v>2433</v>
      </c>
      <c r="AA464" s="7" t="s">
        <v>2434</v>
      </c>
      <c r="AB464" s="7" t="s">
        <v>44</v>
      </c>
      <c r="AC464" s="7" t="s">
        <v>75</v>
      </c>
      <c r="AD464" s="10"/>
      <c r="AE464" s="10"/>
      <c r="AF464" s="10"/>
      <c r="AG464" s="11">
        <f t="shared" si="7"/>
        <v>43273</v>
      </c>
    </row>
    <row r="465" s="8" customFormat="1" spans="1:33">
      <c r="A465" s="7" t="s">
        <v>2435</v>
      </c>
      <c r="B465" s="7" t="s">
        <v>2435</v>
      </c>
      <c r="C465" s="7" t="s">
        <v>2436</v>
      </c>
      <c r="D465" s="7" t="s">
        <v>2437</v>
      </c>
      <c r="E465" s="7" t="s">
        <v>33</v>
      </c>
      <c r="F465" s="7" t="s">
        <v>34</v>
      </c>
      <c r="G465" s="7" t="s">
        <v>35</v>
      </c>
      <c r="H465" s="7"/>
      <c r="I465" s="7"/>
      <c r="J465" s="7" t="s">
        <v>69</v>
      </c>
      <c r="K465" s="7" t="s">
        <v>660</v>
      </c>
      <c r="L465" s="7" t="s">
        <v>661</v>
      </c>
      <c r="M465" s="7" t="s">
        <v>662</v>
      </c>
      <c r="N465" s="7" t="s">
        <v>33</v>
      </c>
      <c r="O465" s="7">
        <v>1</v>
      </c>
      <c r="P465" s="7" t="s">
        <v>40</v>
      </c>
      <c r="Q465" s="7">
        <v>79.99</v>
      </c>
      <c r="R465" s="7"/>
      <c r="S465" s="7">
        <v>6.72</v>
      </c>
      <c r="T465" s="7"/>
      <c r="U465" s="7"/>
      <c r="V465" s="7"/>
      <c r="W465" s="7"/>
      <c r="X465" s="7">
        <v>6.72</v>
      </c>
      <c r="Y465" s="7" t="s">
        <v>51</v>
      </c>
      <c r="Z465" s="7" t="s">
        <v>52</v>
      </c>
      <c r="AA465" s="7" t="s">
        <v>2438</v>
      </c>
      <c r="AB465" s="7" t="s">
        <v>44</v>
      </c>
      <c r="AC465" s="7" t="s">
        <v>75</v>
      </c>
      <c r="AD465" s="10"/>
      <c r="AE465" s="10"/>
      <c r="AF465" s="10"/>
      <c r="AG465" s="11">
        <f t="shared" si="7"/>
        <v>43273</v>
      </c>
    </row>
    <row r="466" s="8" customFormat="1" spans="1:33">
      <c r="A466" s="7" t="s">
        <v>2439</v>
      </c>
      <c r="B466" s="7" t="s">
        <v>2439</v>
      </c>
      <c r="C466" s="7" t="s">
        <v>2440</v>
      </c>
      <c r="D466" s="7" t="s">
        <v>2441</v>
      </c>
      <c r="E466" s="7" t="s">
        <v>33</v>
      </c>
      <c r="F466" s="7" t="s">
        <v>34</v>
      </c>
      <c r="G466" s="7" t="s">
        <v>35</v>
      </c>
      <c r="H466" s="7"/>
      <c r="I466" s="7"/>
      <c r="J466" s="7" t="s">
        <v>36</v>
      </c>
      <c r="K466" s="7" t="s">
        <v>2442</v>
      </c>
      <c r="L466" s="7" t="s">
        <v>2443</v>
      </c>
      <c r="M466" s="7" t="s">
        <v>2444</v>
      </c>
      <c r="N466" s="7" t="s">
        <v>33</v>
      </c>
      <c r="O466" s="7">
        <v>1</v>
      </c>
      <c r="P466" s="7" t="s">
        <v>40</v>
      </c>
      <c r="Q466" s="7">
        <v>89.99</v>
      </c>
      <c r="R466" s="7"/>
      <c r="S466" s="7"/>
      <c r="T466" s="7"/>
      <c r="U466" s="7"/>
      <c r="V466" s="7"/>
      <c r="W466" s="7"/>
      <c r="X466" s="7"/>
      <c r="Y466" s="7" t="s">
        <v>2445</v>
      </c>
      <c r="Z466" s="7" t="s">
        <v>2446</v>
      </c>
      <c r="AA466" s="7">
        <v>31064</v>
      </c>
      <c r="AB466" s="7" t="s">
        <v>44</v>
      </c>
      <c r="AC466" s="7"/>
      <c r="AD466" s="10"/>
      <c r="AE466" s="10"/>
      <c r="AF466" s="10"/>
      <c r="AG466" s="11">
        <f t="shared" si="7"/>
        <v>43273</v>
      </c>
    </row>
    <row r="467" s="8" customFormat="1" spans="1:33">
      <c r="A467" s="7" t="s">
        <v>2447</v>
      </c>
      <c r="B467" s="7" t="s">
        <v>2447</v>
      </c>
      <c r="C467" s="7" t="s">
        <v>2448</v>
      </c>
      <c r="D467" s="7" t="s">
        <v>2449</v>
      </c>
      <c r="E467" s="7" t="s">
        <v>33</v>
      </c>
      <c r="F467" s="7" t="s">
        <v>34</v>
      </c>
      <c r="G467" s="7" t="s">
        <v>35</v>
      </c>
      <c r="H467" s="7"/>
      <c r="I467" s="7"/>
      <c r="J467" s="7" t="s">
        <v>69</v>
      </c>
      <c r="K467" s="7" t="s">
        <v>79</v>
      </c>
      <c r="L467" s="7" t="s">
        <v>80</v>
      </c>
      <c r="M467" s="7" t="s">
        <v>81</v>
      </c>
      <c r="N467" s="7" t="s">
        <v>33</v>
      </c>
      <c r="O467" s="7">
        <v>1</v>
      </c>
      <c r="P467" s="7" t="s">
        <v>40</v>
      </c>
      <c r="Q467" s="7">
        <v>91.99</v>
      </c>
      <c r="R467" s="7"/>
      <c r="S467" s="7">
        <v>2.67</v>
      </c>
      <c r="T467" s="7"/>
      <c r="U467" s="7"/>
      <c r="V467" s="7"/>
      <c r="W467" s="7"/>
      <c r="X467" s="7"/>
      <c r="Y467" s="7" t="s">
        <v>2071</v>
      </c>
      <c r="Z467" s="7" t="s">
        <v>52</v>
      </c>
      <c r="AA467" s="7" t="s">
        <v>2450</v>
      </c>
      <c r="AB467" s="7" t="s">
        <v>44</v>
      </c>
      <c r="AC467" s="7"/>
      <c r="AD467" s="10"/>
      <c r="AE467" s="10"/>
      <c r="AF467" s="10"/>
      <c r="AG467" s="11">
        <f t="shared" si="7"/>
        <v>43273</v>
      </c>
    </row>
    <row r="468" s="8" customFormat="1" spans="1:33">
      <c r="A468" s="7" t="s">
        <v>2451</v>
      </c>
      <c r="B468" s="7" t="s">
        <v>2451</v>
      </c>
      <c r="C468" s="7" t="s">
        <v>2452</v>
      </c>
      <c r="D468" s="7" t="s">
        <v>2453</v>
      </c>
      <c r="E468" s="7" t="s">
        <v>33</v>
      </c>
      <c r="F468" s="7" t="s">
        <v>34</v>
      </c>
      <c r="G468" s="7" t="s">
        <v>35</v>
      </c>
      <c r="H468" s="7"/>
      <c r="I468" s="7"/>
      <c r="J468" s="7" t="s">
        <v>36</v>
      </c>
      <c r="K468" s="7" t="s">
        <v>1270</v>
      </c>
      <c r="L468" s="7" t="s">
        <v>1271</v>
      </c>
      <c r="M468" s="7" t="s">
        <v>1272</v>
      </c>
      <c r="N468" s="7" t="s">
        <v>33</v>
      </c>
      <c r="O468" s="7">
        <v>1</v>
      </c>
      <c r="P468" s="7" t="s">
        <v>40</v>
      </c>
      <c r="Q468" s="7">
        <v>32.99</v>
      </c>
      <c r="R468" s="7"/>
      <c r="S468" s="7"/>
      <c r="T468" s="7"/>
      <c r="U468" s="7"/>
      <c r="V468" s="7"/>
      <c r="W468" s="7"/>
      <c r="X468" s="7"/>
      <c r="Y468" s="7" t="s">
        <v>2454</v>
      </c>
      <c r="Z468" s="7" t="s">
        <v>207</v>
      </c>
      <c r="AA468" s="7" t="s">
        <v>2455</v>
      </c>
      <c r="AB468" s="7" t="s">
        <v>44</v>
      </c>
      <c r="AC468" s="7"/>
      <c r="AD468" s="10"/>
      <c r="AE468" s="10"/>
      <c r="AF468" s="10"/>
      <c r="AG468" s="11">
        <f t="shared" si="7"/>
        <v>43273</v>
      </c>
    </row>
    <row r="469" s="8" customFormat="1" spans="1:33">
      <c r="A469" s="7" t="s">
        <v>2456</v>
      </c>
      <c r="B469" s="7" t="s">
        <v>2456</v>
      </c>
      <c r="C469" s="7" t="s">
        <v>2457</v>
      </c>
      <c r="D469" s="7" t="s">
        <v>2458</v>
      </c>
      <c r="E469" s="7" t="s">
        <v>33</v>
      </c>
      <c r="F469" s="7" t="s">
        <v>34</v>
      </c>
      <c r="G469" s="7" t="s">
        <v>35</v>
      </c>
      <c r="H469" s="7"/>
      <c r="I469" s="7"/>
      <c r="J469" s="7" t="s">
        <v>69</v>
      </c>
      <c r="K469" s="7" t="s">
        <v>2459</v>
      </c>
      <c r="L469" s="7" t="s">
        <v>365</v>
      </c>
      <c r="M469" s="7" t="s">
        <v>366</v>
      </c>
      <c r="N469" s="7" t="s">
        <v>33</v>
      </c>
      <c r="O469" s="7">
        <v>1</v>
      </c>
      <c r="P469" s="7" t="s">
        <v>40</v>
      </c>
      <c r="Q469" s="7">
        <v>89.99</v>
      </c>
      <c r="R469" s="7"/>
      <c r="S469" s="7">
        <v>8.39</v>
      </c>
      <c r="T469" s="7"/>
      <c r="U469" s="7"/>
      <c r="V469" s="7"/>
      <c r="W469" s="7"/>
      <c r="X469" s="7"/>
      <c r="Y469" s="7" t="s">
        <v>2460</v>
      </c>
      <c r="Z469" s="7" t="s">
        <v>42</v>
      </c>
      <c r="AA469" s="7" t="s">
        <v>2461</v>
      </c>
      <c r="AB469" s="7" t="s">
        <v>44</v>
      </c>
      <c r="AC469" s="7"/>
      <c r="AD469" s="10"/>
      <c r="AE469" s="10"/>
      <c r="AF469" s="10"/>
      <c r="AG469" s="11">
        <f t="shared" si="7"/>
        <v>43273</v>
      </c>
    </row>
    <row r="470" s="8" customFormat="1" spans="1:33">
      <c r="A470" s="7" t="s">
        <v>2462</v>
      </c>
      <c r="B470" s="7" t="s">
        <v>2462</v>
      </c>
      <c r="C470" s="7" t="s">
        <v>2463</v>
      </c>
      <c r="D470" s="7" t="s">
        <v>2464</v>
      </c>
      <c r="E470" s="7" t="s">
        <v>33</v>
      </c>
      <c r="F470" s="7" t="s">
        <v>34</v>
      </c>
      <c r="G470" s="7" t="s">
        <v>35</v>
      </c>
      <c r="H470" s="7"/>
      <c r="I470" s="7"/>
      <c r="J470" s="7" t="s">
        <v>36</v>
      </c>
      <c r="K470" s="7" t="s">
        <v>59</v>
      </c>
      <c r="L470" s="7" t="s">
        <v>60</v>
      </c>
      <c r="M470" s="7" t="s">
        <v>61</v>
      </c>
      <c r="N470" s="7" t="s">
        <v>33</v>
      </c>
      <c r="O470" s="7">
        <v>1</v>
      </c>
      <c r="P470" s="7" t="s">
        <v>40</v>
      </c>
      <c r="Q470" s="7">
        <v>89.99</v>
      </c>
      <c r="R470" s="7"/>
      <c r="S470" s="7"/>
      <c r="T470" s="7"/>
      <c r="U470" s="7"/>
      <c r="V470" s="7"/>
      <c r="W470" s="7"/>
      <c r="X470" s="7"/>
      <c r="Y470" s="7" t="s">
        <v>2465</v>
      </c>
      <c r="Z470" s="7" t="s">
        <v>189</v>
      </c>
      <c r="AA470" s="7" t="s">
        <v>2466</v>
      </c>
      <c r="AB470" s="7" t="s">
        <v>44</v>
      </c>
      <c r="AC470" s="7"/>
      <c r="AD470" s="10"/>
      <c r="AE470" s="10"/>
      <c r="AF470" s="10"/>
      <c r="AG470" s="11">
        <f t="shared" si="7"/>
        <v>43273</v>
      </c>
    </row>
    <row r="471" s="8" customFormat="1" spans="1:33">
      <c r="A471" s="7" t="s">
        <v>2467</v>
      </c>
      <c r="B471" s="7" t="s">
        <v>2467</v>
      </c>
      <c r="C471" s="7" t="s">
        <v>2468</v>
      </c>
      <c r="D471" s="7" t="s">
        <v>2469</v>
      </c>
      <c r="E471" s="7" t="s">
        <v>33</v>
      </c>
      <c r="F471" s="7" t="s">
        <v>34</v>
      </c>
      <c r="G471" s="7" t="s">
        <v>35</v>
      </c>
      <c r="H471" s="7"/>
      <c r="I471" s="7"/>
      <c r="J471" s="7" t="s">
        <v>163</v>
      </c>
      <c r="K471" s="7" t="s">
        <v>37</v>
      </c>
      <c r="L471" s="7" t="s">
        <v>38</v>
      </c>
      <c r="M471" s="7" t="s">
        <v>39</v>
      </c>
      <c r="N471" s="7" t="s">
        <v>33</v>
      </c>
      <c r="O471" s="7">
        <v>1</v>
      </c>
      <c r="P471" s="7" t="s">
        <v>40</v>
      </c>
      <c r="Q471" s="7">
        <v>89.99</v>
      </c>
      <c r="R471" s="7"/>
      <c r="S471" s="7">
        <v>9.98</v>
      </c>
      <c r="T471" s="7"/>
      <c r="U471" s="7"/>
      <c r="V471" s="7"/>
      <c r="W471" s="7"/>
      <c r="X471" s="7"/>
      <c r="Y471" s="7" t="s">
        <v>390</v>
      </c>
      <c r="Z471" s="7" t="s">
        <v>391</v>
      </c>
      <c r="AA471" s="7" t="s">
        <v>2470</v>
      </c>
      <c r="AB471" s="7" t="s">
        <v>44</v>
      </c>
      <c r="AC471" s="7"/>
      <c r="AD471" s="10"/>
      <c r="AE471" s="10"/>
      <c r="AF471" s="10"/>
      <c r="AG471" s="11">
        <f t="shared" si="7"/>
        <v>43273</v>
      </c>
    </row>
    <row r="472" s="8" customFormat="1" spans="1:33">
      <c r="A472" s="7" t="s">
        <v>2471</v>
      </c>
      <c r="B472" s="7" t="s">
        <v>2471</v>
      </c>
      <c r="C472" s="7" t="s">
        <v>2472</v>
      </c>
      <c r="D472" s="7" t="s">
        <v>2473</v>
      </c>
      <c r="E472" s="7" t="s">
        <v>33</v>
      </c>
      <c r="F472" s="7" t="s">
        <v>34</v>
      </c>
      <c r="G472" s="7" t="s">
        <v>35</v>
      </c>
      <c r="H472" s="7"/>
      <c r="I472" s="7"/>
      <c r="J472" s="7" t="s">
        <v>36</v>
      </c>
      <c r="K472" s="7" t="s">
        <v>642</v>
      </c>
      <c r="L472" s="7" t="s">
        <v>643</v>
      </c>
      <c r="M472" s="7" t="s">
        <v>644</v>
      </c>
      <c r="N472" s="7" t="s">
        <v>33</v>
      </c>
      <c r="O472" s="7">
        <v>1</v>
      </c>
      <c r="P472" s="7" t="s">
        <v>40</v>
      </c>
      <c r="Q472" s="7">
        <v>21.99</v>
      </c>
      <c r="R472" s="7"/>
      <c r="S472" s="7"/>
      <c r="T472" s="7"/>
      <c r="U472" s="7"/>
      <c r="V472" s="7"/>
      <c r="W472" s="7"/>
      <c r="X472" s="7"/>
      <c r="Y472" s="7" t="s">
        <v>2474</v>
      </c>
      <c r="Z472" s="7" t="s">
        <v>484</v>
      </c>
      <c r="AA472" s="7" t="s">
        <v>2475</v>
      </c>
      <c r="AB472" s="7" t="s">
        <v>44</v>
      </c>
      <c r="AC472" s="7"/>
      <c r="AD472" s="10"/>
      <c r="AE472" s="10"/>
      <c r="AF472" s="10"/>
      <c r="AG472" s="11">
        <f t="shared" si="7"/>
        <v>43273</v>
      </c>
    </row>
    <row r="473" s="8" customFormat="1" spans="1:33">
      <c r="A473" s="7" t="s">
        <v>2471</v>
      </c>
      <c r="B473" s="7" t="s">
        <v>2471</v>
      </c>
      <c r="C473" s="7" t="s">
        <v>2472</v>
      </c>
      <c r="D473" s="7" t="s">
        <v>2473</v>
      </c>
      <c r="E473" s="7" t="s">
        <v>33</v>
      </c>
      <c r="F473" s="7" t="s">
        <v>34</v>
      </c>
      <c r="G473" s="7" t="s">
        <v>35</v>
      </c>
      <c r="H473" s="7"/>
      <c r="I473" s="7"/>
      <c r="J473" s="7" t="s">
        <v>36</v>
      </c>
      <c r="K473" s="7" t="s">
        <v>79</v>
      </c>
      <c r="L473" s="7" t="s">
        <v>80</v>
      </c>
      <c r="M473" s="7" t="s">
        <v>81</v>
      </c>
      <c r="N473" s="7" t="s">
        <v>33</v>
      </c>
      <c r="O473" s="7">
        <v>1</v>
      </c>
      <c r="P473" s="7" t="s">
        <v>40</v>
      </c>
      <c r="Q473" s="7">
        <v>91.99</v>
      </c>
      <c r="R473" s="7"/>
      <c r="S473" s="7"/>
      <c r="T473" s="7"/>
      <c r="U473" s="7"/>
      <c r="V473" s="7"/>
      <c r="W473" s="7"/>
      <c r="X473" s="7"/>
      <c r="Y473" s="7" t="s">
        <v>2474</v>
      </c>
      <c r="Z473" s="7" t="s">
        <v>484</v>
      </c>
      <c r="AA473" s="7" t="s">
        <v>2475</v>
      </c>
      <c r="AB473" s="7" t="s">
        <v>44</v>
      </c>
      <c r="AC473" s="7"/>
      <c r="AD473" s="10"/>
      <c r="AE473" s="10"/>
      <c r="AF473" s="10"/>
      <c r="AG473" s="11">
        <f t="shared" si="7"/>
        <v>43273</v>
      </c>
    </row>
    <row r="474" s="8" customFormat="1" spans="1:33">
      <c r="A474" s="7" t="s">
        <v>2476</v>
      </c>
      <c r="B474" s="7" t="s">
        <v>2476</v>
      </c>
      <c r="C474" s="7" t="s">
        <v>2477</v>
      </c>
      <c r="D474" s="7" t="s">
        <v>2478</v>
      </c>
      <c r="E474" s="7" t="s">
        <v>33</v>
      </c>
      <c r="F474" s="7" t="s">
        <v>34</v>
      </c>
      <c r="G474" s="7" t="s">
        <v>35</v>
      </c>
      <c r="H474" s="7"/>
      <c r="I474" s="7"/>
      <c r="J474" s="7" t="s">
        <v>36</v>
      </c>
      <c r="K474" s="7" t="s">
        <v>79</v>
      </c>
      <c r="L474" s="7" t="s">
        <v>80</v>
      </c>
      <c r="M474" s="7" t="s">
        <v>81</v>
      </c>
      <c r="N474" s="7" t="s">
        <v>33</v>
      </c>
      <c r="O474" s="7">
        <v>1</v>
      </c>
      <c r="P474" s="7" t="s">
        <v>40</v>
      </c>
      <c r="Q474" s="7">
        <v>91.99</v>
      </c>
      <c r="R474" s="7"/>
      <c r="S474" s="7"/>
      <c r="T474" s="7"/>
      <c r="U474" s="7"/>
      <c r="V474" s="7"/>
      <c r="W474" s="7"/>
      <c r="X474" s="7"/>
      <c r="Y474" s="7" t="s">
        <v>2479</v>
      </c>
      <c r="Z474" s="7" t="s">
        <v>484</v>
      </c>
      <c r="AA474" s="7" t="s">
        <v>2480</v>
      </c>
      <c r="AB474" s="7" t="s">
        <v>44</v>
      </c>
      <c r="AC474" s="7"/>
      <c r="AD474" s="10"/>
      <c r="AE474" s="10"/>
      <c r="AF474" s="10"/>
      <c r="AG474" s="11">
        <f t="shared" si="7"/>
        <v>43273</v>
      </c>
    </row>
    <row r="475" s="8" customFormat="1" spans="1:33">
      <c r="A475" s="7" t="s">
        <v>2481</v>
      </c>
      <c r="B475" s="7" t="s">
        <v>2481</v>
      </c>
      <c r="C475" s="7" t="s">
        <v>2482</v>
      </c>
      <c r="D475" s="7" t="s">
        <v>2483</v>
      </c>
      <c r="E475" s="7" t="s">
        <v>33</v>
      </c>
      <c r="F475" s="7" t="s">
        <v>34</v>
      </c>
      <c r="G475" s="7" t="s">
        <v>35</v>
      </c>
      <c r="H475" s="7"/>
      <c r="I475" s="7"/>
      <c r="J475" s="7" t="s">
        <v>163</v>
      </c>
      <c r="K475" s="7" t="s">
        <v>2484</v>
      </c>
      <c r="L475" s="7" t="s">
        <v>633</v>
      </c>
      <c r="M475" s="7" t="s">
        <v>634</v>
      </c>
      <c r="N475" s="7" t="s">
        <v>33</v>
      </c>
      <c r="O475" s="7">
        <v>1</v>
      </c>
      <c r="P475" s="7" t="s">
        <v>40</v>
      </c>
      <c r="Q475" s="7">
        <v>89.99</v>
      </c>
      <c r="R475" s="7"/>
      <c r="S475" s="7">
        <v>7.99</v>
      </c>
      <c r="T475" s="7"/>
      <c r="U475" s="7"/>
      <c r="V475" s="7"/>
      <c r="W475" s="7"/>
      <c r="X475" s="7">
        <v>7.99</v>
      </c>
      <c r="Y475" s="7" t="s">
        <v>2485</v>
      </c>
      <c r="Z475" s="7" t="s">
        <v>723</v>
      </c>
      <c r="AA475" s="7">
        <v>53142</v>
      </c>
      <c r="AB475" s="7" t="s">
        <v>44</v>
      </c>
      <c r="AC475" s="7"/>
      <c r="AD475" s="10"/>
      <c r="AE475" s="10"/>
      <c r="AF475" s="10"/>
      <c r="AG475" s="11">
        <f t="shared" si="7"/>
        <v>43273</v>
      </c>
    </row>
    <row r="476" s="8" customFormat="1" spans="1:33">
      <c r="A476" s="7" t="s">
        <v>2486</v>
      </c>
      <c r="B476" s="7" t="s">
        <v>2486</v>
      </c>
      <c r="C476" s="7" t="s">
        <v>2487</v>
      </c>
      <c r="D476" s="7" t="s">
        <v>2488</v>
      </c>
      <c r="E476" s="7" t="s">
        <v>54</v>
      </c>
      <c r="F476" s="7" t="s">
        <v>34</v>
      </c>
      <c r="G476" s="7" t="s">
        <v>35</v>
      </c>
      <c r="H476" s="7"/>
      <c r="I476" s="7"/>
      <c r="J476" s="7" t="s">
        <v>163</v>
      </c>
      <c r="K476" s="7" t="s">
        <v>2484</v>
      </c>
      <c r="L476" s="7" t="s">
        <v>633</v>
      </c>
      <c r="M476" s="7" t="s">
        <v>634</v>
      </c>
      <c r="N476" s="7" t="s">
        <v>54</v>
      </c>
      <c r="O476" s="7">
        <v>0</v>
      </c>
      <c r="P476" s="7"/>
      <c r="Q476" s="7"/>
      <c r="R476" s="7"/>
      <c r="S476" s="7"/>
      <c r="T476" s="7"/>
      <c r="U476" s="7"/>
      <c r="V476" s="7"/>
      <c r="W476" s="7"/>
      <c r="X476" s="7"/>
      <c r="Y476" s="7" t="s">
        <v>2485</v>
      </c>
      <c r="Z476" s="7" t="s">
        <v>723</v>
      </c>
      <c r="AA476" s="7">
        <v>53142</v>
      </c>
      <c r="AB476" s="7" t="s">
        <v>44</v>
      </c>
      <c r="AC476" s="7"/>
      <c r="AD476" s="10"/>
      <c r="AE476" s="10"/>
      <c r="AF476" s="10"/>
      <c r="AG476" s="11">
        <f t="shared" si="7"/>
        <v>43273</v>
      </c>
    </row>
    <row r="477" s="8" customFormat="1" spans="1:33">
      <c r="A477" s="7" t="s">
        <v>2489</v>
      </c>
      <c r="B477" s="7" t="s">
        <v>2489</v>
      </c>
      <c r="C477" s="7" t="s">
        <v>2490</v>
      </c>
      <c r="D477" s="7" t="s">
        <v>2488</v>
      </c>
      <c r="E477" s="7" t="s">
        <v>54</v>
      </c>
      <c r="F477" s="7" t="s">
        <v>34</v>
      </c>
      <c r="G477" s="7" t="s">
        <v>35</v>
      </c>
      <c r="H477" s="7"/>
      <c r="I477" s="7"/>
      <c r="J477" s="7" t="s">
        <v>36</v>
      </c>
      <c r="K477" s="7" t="s">
        <v>2484</v>
      </c>
      <c r="L477" s="7" t="s">
        <v>633</v>
      </c>
      <c r="M477" s="7" t="s">
        <v>634</v>
      </c>
      <c r="N477" s="7" t="s">
        <v>54</v>
      </c>
      <c r="O477" s="7">
        <v>0</v>
      </c>
      <c r="P477" s="7"/>
      <c r="Q477" s="7"/>
      <c r="R477" s="7"/>
      <c r="S477" s="7"/>
      <c r="T477" s="7"/>
      <c r="U477" s="7"/>
      <c r="V477" s="7"/>
      <c r="W477" s="7"/>
      <c r="X477" s="7"/>
      <c r="Y477" s="7" t="s">
        <v>2485</v>
      </c>
      <c r="Z477" s="7" t="s">
        <v>723</v>
      </c>
      <c r="AA477" s="7">
        <v>53142</v>
      </c>
      <c r="AB477" s="7" t="s">
        <v>44</v>
      </c>
      <c r="AC477" s="7"/>
      <c r="AD477" s="10"/>
      <c r="AE477" s="10"/>
      <c r="AF477" s="10"/>
      <c r="AG477" s="11">
        <f t="shared" si="7"/>
        <v>43273</v>
      </c>
    </row>
    <row r="478" s="8" customFormat="1" spans="1:33">
      <c r="A478" s="7" t="s">
        <v>2491</v>
      </c>
      <c r="B478" s="7" t="s">
        <v>2491</v>
      </c>
      <c r="C478" s="7" t="s">
        <v>2492</v>
      </c>
      <c r="D478" s="7" t="s">
        <v>2493</v>
      </c>
      <c r="E478" s="7" t="s">
        <v>33</v>
      </c>
      <c r="F478" s="7" t="s">
        <v>34</v>
      </c>
      <c r="G478" s="7" t="s">
        <v>35</v>
      </c>
      <c r="H478" s="7"/>
      <c r="I478" s="7"/>
      <c r="J478" s="7" t="s">
        <v>36</v>
      </c>
      <c r="K478" s="7" t="s">
        <v>79</v>
      </c>
      <c r="L478" s="7" t="s">
        <v>80</v>
      </c>
      <c r="M478" s="7" t="s">
        <v>81</v>
      </c>
      <c r="N478" s="7" t="s">
        <v>33</v>
      </c>
      <c r="O478" s="7">
        <v>1</v>
      </c>
      <c r="P478" s="7" t="s">
        <v>40</v>
      </c>
      <c r="Q478" s="7">
        <v>91.99</v>
      </c>
      <c r="R478" s="7"/>
      <c r="S478" s="7"/>
      <c r="T478" s="7"/>
      <c r="U478" s="7"/>
      <c r="V478" s="7"/>
      <c r="W478" s="7"/>
      <c r="X478" s="7"/>
      <c r="Y478" s="7" t="s">
        <v>2494</v>
      </c>
      <c r="Z478" s="7" t="s">
        <v>293</v>
      </c>
      <c r="AA478" s="7" t="s">
        <v>2495</v>
      </c>
      <c r="AB478" s="7" t="s">
        <v>44</v>
      </c>
      <c r="AC478" s="7"/>
      <c r="AD478" s="10"/>
      <c r="AE478" s="10"/>
      <c r="AF478" s="10"/>
      <c r="AG478" s="11">
        <f t="shared" si="7"/>
        <v>43273</v>
      </c>
    </row>
    <row r="479" s="8" customFormat="1" spans="1:33">
      <c r="A479" s="7" t="s">
        <v>2496</v>
      </c>
      <c r="B479" s="7" t="s">
        <v>2496</v>
      </c>
      <c r="C479" s="7" t="s">
        <v>2497</v>
      </c>
      <c r="D479" s="7" t="s">
        <v>2498</v>
      </c>
      <c r="E479" s="7" t="s">
        <v>33</v>
      </c>
      <c r="F479" s="7" t="s">
        <v>34</v>
      </c>
      <c r="G479" s="7" t="s">
        <v>35</v>
      </c>
      <c r="H479" s="7"/>
      <c r="I479" s="7"/>
      <c r="J479" s="7" t="s">
        <v>36</v>
      </c>
      <c r="K479" s="7" t="s">
        <v>2484</v>
      </c>
      <c r="L479" s="7" t="s">
        <v>2499</v>
      </c>
      <c r="M479" s="7" t="s">
        <v>634</v>
      </c>
      <c r="N479" s="7" t="s">
        <v>33</v>
      </c>
      <c r="O479" s="7">
        <v>1</v>
      </c>
      <c r="P479" s="7" t="s">
        <v>40</v>
      </c>
      <c r="Q479" s="7">
        <v>79.99</v>
      </c>
      <c r="R479" s="7"/>
      <c r="S479" s="7"/>
      <c r="T479" s="7"/>
      <c r="U479" s="7"/>
      <c r="V479" s="7"/>
      <c r="W479" s="7">
        <v>9</v>
      </c>
      <c r="X479" s="7"/>
      <c r="Y479" s="7" t="s">
        <v>2500</v>
      </c>
      <c r="Z479" s="7" t="s">
        <v>497</v>
      </c>
      <c r="AA479" s="7" t="s">
        <v>2501</v>
      </c>
      <c r="AB479" s="7" t="s">
        <v>44</v>
      </c>
      <c r="AC479" s="7" t="s">
        <v>2156</v>
      </c>
      <c r="AD479" s="10"/>
      <c r="AE479" s="10"/>
      <c r="AF479" s="10"/>
      <c r="AG479" s="11">
        <f t="shared" si="7"/>
        <v>43273</v>
      </c>
    </row>
    <row r="480" s="8" customFormat="1" spans="1:33">
      <c r="A480" s="7" t="s">
        <v>2502</v>
      </c>
      <c r="B480" s="7" t="s">
        <v>2502</v>
      </c>
      <c r="C480" s="7" t="s">
        <v>2503</v>
      </c>
      <c r="D480" s="7" t="s">
        <v>2504</v>
      </c>
      <c r="E480" s="7" t="s">
        <v>33</v>
      </c>
      <c r="F480" s="7" t="s">
        <v>34</v>
      </c>
      <c r="G480" s="7" t="s">
        <v>35</v>
      </c>
      <c r="H480" s="7"/>
      <c r="I480" s="7"/>
      <c r="J480" s="7" t="s">
        <v>36</v>
      </c>
      <c r="K480" s="7" t="s">
        <v>275</v>
      </c>
      <c r="L480" s="7" t="s">
        <v>276</v>
      </c>
      <c r="M480" s="7" t="s">
        <v>277</v>
      </c>
      <c r="N480" s="7" t="s">
        <v>33</v>
      </c>
      <c r="O480" s="7">
        <v>1</v>
      </c>
      <c r="P480" s="7" t="s">
        <v>40</v>
      </c>
      <c r="Q480" s="7">
        <v>89.99</v>
      </c>
      <c r="R480" s="7"/>
      <c r="S480" s="7"/>
      <c r="T480" s="7"/>
      <c r="U480" s="7"/>
      <c r="V480" s="7"/>
      <c r="W480" s="7"/>
      <c r="X480" s="7"/>
      <c r="Y480" s="7" t="s">
        <v>2505</v>
      </c>
      <c r="Z480" s="7" t="s">
        <v>135</v>
      </c>
      <c r="AA480" s="7" t="s">
        <v>2506</v>
      </c>
      <c r="AB480" s="7" t="s">
        <v>44</v>
      </c>
      <c r="AC480" s="7"/>
      <c r="AD480" s="10"/>
      <c r="AE480" s="10"/>
      <c r="AF480" s="10"/>
      <c r="AG480" s="11">
        <f t="shared" si="7"/>
        <v>43273</v>
      </c>
    </row>
    <row r="481" s="8" customFormat="1" spans="1:33">
      <c r="A481" s="7" t="s">
        <v>2507</v>
      </c>
      <c r="B481" s="7" t="s">
        <v>2507</v>
      </c>
      <c r="C481" s="7" t="s">
        <v>2508</v>
      </c>
      <c r="D481" s="7" t="s">
        <v>2509</v>
      </c>
      <c r="E481" s="7" t="s">
        <v>54</v>
      </c>
      <c r="F481" s="7" t="s">
        <v>34</v>
      </c>
      <c r="G481" s="7" t="s">
        <v>35</v>
      </c>
      <c r="H481" s="7"/>
      <c r="I481" s="7"/>
      <c r="J481" s="7" t="s">
        <v>36</v>
      </c>
      <c r="K481" s="7" t="s">
        <v>275</v>
      </c>
      <c r="L481" s="7" t="s">
        <v>276</v>
      </c>
      <c r="M481" s="7" t="s">
        <v>277</v>
      </c>
      <c r="N481" s="7" t="s">
        <v>54</v>
      </c>
      <c r="O481" s="7">
        <v>0</v>
      </c>
      <c r="P481" s="7"/>
      <c r="Q481" s="7"/>
      <c r="R481" s="7"/>
      <c r="S481" s="7"/>
      <c r="T481" s="7"/>
      <c r="U481" s="7"/>
      <c r="V481" s="7"/>
      <c r="W481" s="7"/>
      <c r="X481" s="7"/>
      <c r="Y481" s="7" t="s">
        <v>2505</v>
      </c>
      <c r="Z481" s="7" t="s">
        <v>135</v>
      </c>
      <c r="AA481" s="7" t="s">
        <v>2506</v>
      </c>
      <c r="AB481" s="7" t="s">
        <v>44</v>
      </c>
      <c r="AC481" s="7"/>
      <c r="AD481" s="10"/>
      <c r="AE481" s="10"/>
      <c r="AF481" s="10"/>
      <c r="AG481" s="11">
        <f t="shared" si="7"/>
        <v>43273</v>
      </c>
    </row>
    <row r="482" s="8" customFormat="1" spans="1:33">
      <c r="A482" s="7" t="s">
        <v>2510</v>
      </c>
      <c r="B482" s="7" t="s">
        <v>2510</v>
      </c>
      <c r="C482" s="7" t="s">
        <v>2511</v>
      </c>
      <c r="D482" s="7" t="s">
        <v>2512</v>
      </c>
      <c r="E482" s="7" t="s">
        <v>33</v>
      </c>
      <c r="F482" s="7" t="s">
        <v>34</v>
      </c>
      <c r="G482" s="7" t="s">
        <v>35</v>
      </c>
      <c r="H482" s="7"/>
      <c r="I482" s="7"/>
      <c r="J482" s="7" t="s">
        <v>36</v>
      </c>
      <c r="K482" s="7" t="s">
        <v>79</v>
      </c>
      <c r="L482" s="7" t="s">
        <v>80</v>
      </c>
      <c r="M482" s="7" t="s">
        <v>81</v>
      </c>
      <c r="N482" s="7" t="s">
        <v>33</v>
      </c>
      <c r="O482" s="7">
        <v>1</v>
      </c>
      <c r="P482" s="7" t="s">
        <v>40</v>
      </c>
      <c r="Q482" s="7">
        <v>91.99</v>
      </c>
      <c r="R482" s="7"/>
      <c r="S482" s="7"/>
      <c r="T482" s="7"/>
      <c r="U482" s="7"/>
      <c r="V482" s="7"/>
      <c r="W482" s="7"/>
      <c r="X482" s="7"/>
      <c r="Y482" s="7" t="s">
        <v>2513</v>
      </c>
      <c r="Z482" s="7" t="s">
        <v>299</v>
      </c>
      <c r="AA482" s="7" t="s">
        <v>2514</v>
      </c>
      <c r="AB482" s="7" t="s">
        <v>44</v>
      </c>
      <c r="AC482" s="7"/>
      <c r="AD482" s="10"/>
      <c r="AE482" s="10"/>
      <c r="AF482" s="10"/>
      <c r="AG482" s="11">
        <f t="shared" si="7"/>
        <v>43273</v>
      </c>
    </row>
    <row r="483" s="8" customFormat="1" spans="1:33">
      <c r="A483" s="7" t="s">
        <v>2515</v>
      </c>
      <c r="B483" s="7" t="s">
        <v>2515</v>
      </c>
      <c r="C483" s="7" t="s">
        <v>2516</v>
      </c>
      <c r="D483" s="7" t="s">
        <v>2517</v>
      </c>
      <c r="E483" s="7" t="s">
        <v>33</v>
      </c>
      <c r="F483" s="7" t="s">
        <v>34</v>
      </c>
      <c r="G483" s="7" t="s">
        <v>35</v>
      </c>
      <c r="H483" s="7"/>
      <c r="I483" s="7"/>
      <c r="J483" s="7" t="s">
        <v>69</v>
      </c>
      <c r="K483" s="7" t="s">
        <v>431</v>
      </c>
      <c r="L483" s="7" t="s">
        <v>432</v>
      </c>
      <c r="M483" s="7" t="s">
        <v>433</v>
      </c>
      <c r="N483" s="7" t="s">
        <v>33</v>
      </c>
      <c r="O483" s="7">
        <v>1</v>
      </c>
      <c r="P483" s="7" t="s">
        <v>40</v>
      </c>
      <c r="Q483" s="7">
        <v>89.99</v>
      </c>
      <c r="R483" s="7"/>
      <c r="S483" s="7">
        <v>7.54</v>
      </c>
      <c r="T483" s="7"/>
      <c r="U483" s="7"/>
      <c r="V483" s="7"/>
      <c r="W483" s="7"/>
      <c r="X483" s="7">
        <v>7.54</v>
      </c>
      <c r="Y483" s="7" t="s">
        <v>2518</v>
      </c>
      <c r="Z483" s="7" t="s">
        <v>52</v>
      </c>
      <c r="AA483" s="7" t="s">
        <v>2519</v>
      </c>
      <c r="AB483" s="7" t="s">
        <v>44</v>
      </c>
      <c r="AC483" s="7" t="s">
        <v>75</v>
      </c>
      <c r="AD483" s="10"/>
      <c r="AE483" s="10"/>
      <c r="AF483" s="10"/>
      <c r="AG483" s="11">
        <f t="shared" si="7"/>
        <v>43273</v>
      </c>
    </row>
    <row r="484" s="8" customFormat="1" spans="1:33">
      <c r="A484" s="7" t="s">
        <v>2520</v>
      </c>
      <c r="B484" s="7" t="s">
        <v>2520</v>
      </c>
      <c r="C484" s="7" t="s">
        <v>2521</v>
      </c>
      <c r="D484" s="7" t="s">
        <v>2522</v>
      </c>
      <c r="E484" s="7" t="s">
        <v>33</v>
      </c>
      <c r="F484" s="7" t="s">
        <v>34</v>
      </c>
      <c r="G484" s="7" t="s">
        <v>35</v>
      </c>
      <c r="H484" s="7"/>
      <c r="I484" s="7"/>
      <c r="J484" s="7" t="s">
        <v>36</v>
      </c>
      <c r="K484" s="7" t="s">
        <v>2013</v>
      </c>
      <c r="L484" s="7" t="s">
        <v>2014</v>
      </c>
      <c r="M484" s="7" t="s">
        <v>2015</v>
      </c>
      <c r="N484" s="7" t="s">
        <v>33</v>
      </c>
      <c r="O484" s="7">
        <v>1</v>
      </c>
      <c r="P484" s="7" t="s">
        <v>40</v>
      </c>
      <c r="Q484" s="7">
        <v>99.99</v>
      </c>
      <c r="R484" s="7"/>
      <c r="S484" s="7">
        <v>8.63</v>
      </c>
      <c r="T484" s="7"/>
      <c r="U484" s="7"/>
      <c r="V484" s="7"/>
      <c r="W484" s="7"/>
      <c r="X484" s="7"/>
      <c r="Y484" s="7" t="s">
        <v>51</v>
      </c>
      <c r="Z484" s="7" t="s">
        <v>52</v>
      </c>
      <c r="AA484" s="7" t="s">
        <v>2523</v>
      </c>
      <c r="AB484" s="7" t="s">
        <v>44</v>
      </c>
      <c r="AC484" s="7"/>
      <c r="AD484" s="7"/>
      <c r="AE484" s="7"/>
      <c r="AF484" s="7"/>
      <c r="AG484" s="11">
        <f t="shared" si="7"/>
        <v>43273</v>
      </c>
    </row>
    <row r="485" s="8" customFormat="1" spans="1:33">
      <c r="A485" s="7" t="s">
        <v>2524</v>
      </c>
      <c r="B485" s="7" t="s">
        <v>2524</v>
      </c>
      <c r="C485" s="7" t="s">
        <v>2525</v>
      </c>
      <c r="D485" s="7" t="s">
        <v>2526</v>
      </c>
      <c r="E485" s="7" t="s">
        <v>33</v>
      </c>
      <c r="F485" s="7" t="s">
        <v>34</v>
      </c>
      <c r="G485" s="7" t="s">
        <v>35</v>
      </c>
      <c r="H485" s="7"/>
      <c r="I485" s="7"/>
      <c r="J485" s="7" t="s">
        <v>36</v>
      </c>
      <c r="K485" s="7" t="s">
        <v>2459</v>
      </c>
      <c r="L485" s="7" t="s">
        <v>365</v>
      </c>
      <c r="M485" s="7" t="s">
        <v>366</v>
      </c>
      <c r="N485" s="7" t="s">
        <v>33</v>
      </c>
      <c r="O485" s="7">
        <v>1</v>
      </c>
      <c r="P485" s="7" t="s">
        <v>40</v>
      </c>
      <c r="Q485" s="7">
        <v>89.99</v>
      </c>
      <c r="R485" s="7"/>
      <c r="S485" s="7"/>
      <c r="T485" s="7"/>
      <c r="U485" s="7"/>
      <c r="V485" s="7"/>
      <c r="W485" s="7"/>
      <c r="X485" s="7"/>
      <c r="Y485" s="7" t="s">
        <v>2527</v>
      </c>
      <c r="Z485" s="7" t="s">
        <v>440</v>
      </c>
      <c r="AA485" s="7">
        <v>30104</v>
      </c>
      <c r="AB485" s="7" t="s">
        <v>44</v>
      </c>
      <c r="AC485" s="7"/>
      <c r="AD485" s="10"/>
      <c r="AE485" s="10"/>
      <c r="AF485" s="10"/>
      <c r="AG485" s="11">
        <f t="shared" si="7"/>
        <v>43273</v>
      </c>
    </row>
    <row r="486" s="8" customFormat="1" spans="1:33">
      <c r="A486" s="7" t="s">
        <v>2528</v>
      </c>
      <c r="B486" s="7" t="s">
        <v>2528</v>
      </c>
      <c r="C486" s="7" t="s">
        <v>2529</v>
      </c>
      <c r="D486" s="7" t="s">
        <v>2530</v>
      </c>
      <c r="E486" s="7" t="s">
        <v>33</v>
      </c>
      <c r="F486" s="7" t="s">
        <v>34</v>
      </c>
      <c r="G486" s="7" t="s">
        <v>35</v>
      </c>
      <c r="H486" s="7"/>
      <c r="I486" s="7"/>
      <c r="J486" s="7" t="s">
        <v>36</v>
      </c>
      <c r="K486" s="7" t="s">
        <v>1215</v>
      </c>
      <c r="L486" s="7" t="s">
        <v>1216</v>
      </c>
      <c r="M486" s="7" t="s">
        <v>1217</v>
      </c>
      <c r="N486" s="7" t="s">
        <v>33</v>
      </c>
      <c r="O486" s="7">
        <v>1</v>
      </c>
      <c r="P486" s="7" t="s">
        <v>40</v>
      </c>
      <c r="Q486" s="7">
        <v>99.99</v>
      </c>
      <c r="R486" s="7"/>
      <c r="S486" s="7"/>
      <c r="T486" s="7"/>
      <c r="U486" s="7"/>
      <c r="V486" s="7"/>
      <c r="W486" s="7"/>
      <c r="X486" s="7"/>
      <c r="Y486" s="7" t="s">
        <v>2531</v>
      </c>
      <c r="Z486" s="7" t="s">
        <v>135</v>
      </c>
      <c r="AA486" s="7" t="s">
        <v>2532</v>
      </c>
      <c r="AB486" s="7" t="s">
        <v>44</v>
      </c>
      <c r="AC486" s="7"/>
      <c r="AD486" s="10"/>
      <c r="AE486" s="10"/>
      <c r="AF486" s="10"/>
      <c r="AG486" s="11">
        <f t="shared" si="7"/>
        <v>43273</v>
      </c>
    </row>
    <row r="487" s="8" customFormat="1" spans="1:33">
      <c r="A487" s="7" t="s">
        <v>2533</v>
      </c>
      <c r="B487" s="7" t="s">
        <v>2533</v>
      </c>
      <c r="C487" s="7" t="s">
        <v>2534</v>
      </c>
      <c r="D487" s="7" t="s">
        <v>2535</v>
      </c>
      <c r="E487" s="7" t="s">
        <v>33</v>
      </c>
      <c r="F487" s="7" t="s">
        <v>34</v>
      </c>
      <c r="G487" s="7" t="s">
        <v>35</v>
      </c>
      <c r="H487" s="7"/>
      <c r="I487" s="7"/>
      <c r="J487" s="7" t="s">
        <v>36</v>
      </c>
      <c r="K487" s="7" t="s">
        <v>2021</v>
      </c>
      <c r="L487" s="7" t="s">
        <v>2022</v>
      </c>
      <c r="M487" s="7" t="s">
        <v>2023</v>
      </c>
      <c r="N487" s="7" t="s">
        <v>33</v>
      </c>
      <c r="O487" s="7">
        <v>1</v>
      </c>
      <c r="P487" s="7" t="s">
        <v>40</v>
      </c>
      <c r="Q487" s="7">
        <v>32.99</v>
      </c>
      <c r="R487" s="7"/>
      <c r="S487" s="7"/>
      <c r="T487" s="7"/>
      <c r="U487" s="7"/>
      <c r="V487" s="7"/>
      <c r="W487" s="7"/>
      <c r="X487" s="7"/>
      <c r="Y487" s="7" t="s">
        <v>1887</v>
      </c>
      <c r="Z487" s="7" t="s">
        <v>230</v>
      </c>
      <c r="AA487" s="7" t="s">
        <v>2536</v>
      </c>
      <c r="AB487" s="7" t="s">
        <v>44</v>
      </c>
      <c r="AC487" s="7"/>
      <c r="AD487" s="10"/>
      <c r="AE487" s="10"/>
      <c r="AF487" s="10"/>
      <c r="AG487" s="11">
        <f t="shared" si="7"/>
        <v>43273</v>
      </c>
    </row>
    <row r="488" s="8" customFormat="1" spans="1:33">
      <c r="A488" s="7" t="s">
        <v>2537</v>
      </c>
      <c r="B488" s="7" t="s">
        <v>2537</v>
      </c>
      <c r="C488" s="7" t="s">
        <v>2538</v>
      </c>
      <c r="D488" s="7" t="s">
        <v>2539</v>
      </c>
      <c r="E488" s="7" t="s">
        <v>33</v>
      </c>
      <c r="F488" s="7" t="s">
        <v>34</v>
      </c>
      <c r="G488" s="7" t="s">
        <v>35</v>
      </c>
      <c r="H488" s="7"/>
      <c r="I488" s="7"/>
      <c r="J488" s="7" t="s">
        <v>36</v>
      </c>
      <c r="K488" s="7" t="s">
        <v>2540</v>
      </c>
      <c r="L488" s="7" t="s">
        <v>2541</v>
      </c>
      <c r="M488" s="7" t="s">
        <v>2542</v>
      </c>
      <c r="N488" s="7" t="s">
        <v>33</v>
      </c>
      <c r="O488" s="7">
        <v>1</v>
      </c>
      <c r="P488" s="7" t="s">
        <v>40</v>
      </c>
      <c r="Q488" s="7">
        <v>26.99</v>
      </c>
      <c r="R488" s="7"/>
      <c r="S488" s="7"/>
      <c r="T488" s="7"/>
      <c r="U488" s="7"/>
      <c r="V488" s="7"/>
      <c r="W488" s="7"/>
      <c r="X488" s="7"/>
      <c r="Y488" s="7" t="s">
        <v>2543</v>
      </c>
      <c r="Z488" s="7" t="s">
        <v>452</v>
      </c>
      <c r="AA488" s="7" t="s">
        <v>2544</v>
      </c>
      <c r="AB488" s="7" t="s">
        <v>44</v>
      </c>
      <c r="AC488" s="7"/>
      <c r="AD488" s="10"/>
      <c r="AE488" s="10"/>
      <c r="AF488" s="10"/>
      <c r="AG488" s="11">
        <f t="shared" si="7"/>
        <v>43273</v>
      </c>
    </row>
    <row r="489" s="8" customFormat="1" spans="1:33">
      <c r="A489" s="7" t="s">
        <v>2545</v>
      </c>
      <c r="B489" s="7" t="s">
        <v>2545</v>
      </c>
      <c r="C489" s="7" t="s">
        <v>2546</v>
      </c>
      <c r="D489" s="7" t="s">
        <v>2547</v>
      </c>
      <c r="E489" s="7" t="s">
        <v>33</v>
      </c>
      <c r="F489" s="7" t="s">
        <v>34</v>
      </c>
      <c r="G489" s="7" t="s">
        <v>35</v>
      </c>
      <c r="H489" s="7"/>
      <c r="I489" s="7"/>
      <c r="J489" s="7" t="s">
        <v>36</v>
      </c>
      <c r="K489" s="7" t="s">
        <v>1807</v>
      </c>
      <c r="L489" s="7" t="s">
        <v>1808</v>
      </c>
      <c r="M489" s="7" t="s">
        <v>1809</v>
      </c>
      <c r="N489" s="7" t="s">
        <v>33</v>
      </c>
      <c r="O489" s="7">
        <v>1</v>
      </c>
      <c r="P489" s="7" t="s">
        <v>40</v>
      </c>
      <c r="Q489" s="7">
        <v>79.99</v>
      </c>
      <c r="R489" s="7"/>
      <c r="S489" s="7"/>
      <c r="T489" s="7"/>
      <c r="U489" s="7"/>
      <c r="V489" s="7"/>
      <c r="W489" s="7"/>
      <c r="X489" s="7"/>
      <c r="Y489" s="7" t="s">
        <v>2548</v>
      </c>
      <c r="Z489" s="7" t="s">
        <v>207</v>
      </c>
      <c r="AA489" s="7" t="s">
        <v>2549</v>
      </c>
      <c r="AB489" s="7" t="s">
        <v>44</v>
      </c>
      <c r="AC489" s="7"/>
      <c r="AD489" s="10"/>
      <c r="AE489" s="10"/>
      <c r="AF489" s="10"/>
      <c r="AG489" s="11">
        <f t="shared" si="7"/>
        <v>43273</v>
      </c>
    </row>
    <row r="490" s="8" customFormat="1" spans="1:33">
      <c r="A490" s="7" t="s">
        <v>2550</v>
      </c>
      <c r="B490" s="7" t="s">
        <v>2550</v>
      </c>
      <c r="C490" s="7" t="s">
        <v>2551</v>
      </c>
      <c r="D490" s="7" t="s">
        <v>2552</v>
      </c>
      <c r="E490" s="7" t="s">
        <v>33</v>
      </c>
      <c r="F490" s="7" t="s">
        <v>34</v>
      </c>
      <c r="G490" s="7" t="s">
        <v>35</v>
      </c>
      <c r="H490" s="7"/>
      <c r="I490" s="7"/>
      <c r="J490" s="7" t="s">
        <v>36</v>
      </c>
      <c r="K490" s="7" t="s">
        <v>660</v>
      </c>
      <c r="L490" s="7" t="s">
        <v>661</v>
      </c>
      <c r="M490" s="7" t="s">
        <v>662</v>
      </c>
      <c r="N490" s="7" t="s">
        <v>33</v>
      </c>
      <c r="O490" s="7">
        <v>1</v>
      </c>
      <c r="P490" s="7" t="s">
        <v>40</v>
      </c>
      <c r="Q490" s="7">
        <v>79.99</v>
      </c>
      <c r="R490" s="7"/>
      <c r="S490" s="7"/>
      <c r="T490" s="7"/>
      <c r="U490" s="7"/>
      <c r="V490" s="7"/>
      <c r="W490" s="7"/>
      <c r="X490" s="7"/>
      <c r="Y490" s="7" t="s">
        <v>2553</v>
      </c>
      <c r="Z490" s="7" t="s">
        <v>83</v>
      </c>
      <c r="AA490" s="7" t="s">
        <v>2554</v>
      </c>
      <c r="AB490" s="7" t="s">
        <v>44</v>
      </c>
      <c r="AC490" s="7"/>
      <c r="AD490" s="10"/>
      <c r="AE490" s="10"/>
      <c r="AF490" s="10"/>
      <c r="AG490" s="11">
        <f t="shared" si="7"/>
        <v>43273</v>
      </c>
    </row>
    <row r="491" s="8" customFormat="1" spans="1:33">
      <c r="A491" s="7" t="s">
        <v>2555</v>
      </c>
      <c r="B491" s="7" t="s">
        <v>2555</v>
      </c>
      <c r="C491" s="7" t="s">
        <v>2556</v>
      </c>
      <c r="D491" s="7" t="s">
        <v>2557</v>
      </c>
      <c r="E491" s="7" t="s">
        <v>33</v>
      </c>
      <c r="F491" s="7" t="s">
        <v>34</v>
      </c>
      <c r="G491" s="7" t="s">
        <v>35</v>
      </c>
      <c r="H491" s="7"/>
      <c r="I491" s="7"/>
      <c r="J491" s="7" t="s">
        <v>163</v>
      </c>
      <c r="K491" s="7" t="s">
        <v>2035</v>
      </c>
      <c r="L491" s="7" t="s">
        <v>89</v>
      </c>
      <c r="M491" s="7" t="s">
        <v>90</v>
      </c>
      <c r="N491" s="7" t="s">
        <v>33</v>
      </c>
      <c r="O491" s="7">
        <v>1</v>
      </c>
      <c r="P491" s="7" t="s">
        <v>40</v>
      </c>
      <c r="Q491" s="7">
        <v>89.99</v>
      </c>
      <c r="R491" s="7"/>
      <c r="S491" s="7">
        <v>9.98</v>
      </c>
      <c r="T491" s="7"/>
      <c r="U491" s="7"/>
      <c r="V491" s="7"/>
      <c r="W491" s="7"/>
      <c r="X491" s="7"/>
      <c r="Y491" s="7" t="s">
        <v>2558</v>
      </c>
      <c r="Z491" s="7" t="s">
        <v>230</v>
      </c>
      <c r="AA491" s="7" t="s">
        <v>2559</v>
      </c>
      <c r="AB491" s="7" t="s">
        <v>44</v>
      </c>
      <c r="AC491" s="7"/>
      <c r="AD491" s="10"/>
      <c r="AE491" s="10"/>
      <c r="AF491" s="10"/>
      <c r="AG491" s="11">
        <f t="shared" si="7"/>
        <v>43273</v>
      </c>
    </row>
    <row r="492" s="8" customFormat="1" spans="1:33">
      <c r="A492" s="7" t="s">
        <v>2560</v>
      </c>
      <c r="B492" s="7" t="s">
        <v>2560</v>
      </c>
      <c r="C492" s="7" t="s">
        <v>2561</v>
      </c>
      <c r="D492" s="7" t="s">
        <v>2562</v>
      </c>
      <c r="E492" s="7" t="s">
        <v>54</v>
      </c>
      <c r="F492" s="7" t="s">
        <v>34</v>
      </c>
      <c r="G492" s="7" t="s">
        <v>35</v>
      </c>
      <c r="H492" s="7"/>
      <c r="I492" s="7"/>
      <c r="J492" s="7" t="s">
        <v>36</v>
      </c>
      <c r="K492" s="7" t="s">
        <v>2322</v>
      </c>
      <c r="L492" s="7" t="s">
        <v>138</v>
      </c>
      <c r="M492" s="7" t="s">
        <v>139</v>
      </c>
      <c r="N492" s="7" t="s">
        <v>62</v>
      </c>
      <c r="O492" s="7">
        <v>1</v>
      </c>
      <c r="P492" s="7" t="s">
        <v>40</v>
      </c>
      <c r="Q492" s="7">
        <v>99.99</v>
      </c>
      <c r="R492" s="7"/>
      <c r="S492" s="7"/>
      <c r="T492" s="7"/>
      <c r="U492" s="7"/>
      <c r="V492" s="7"/>
      <c r="W492" s="7"/>
      <c r="X492" s="7"/>
      <c r="Y492" s="7" t="s">
        <v>2563</v>
      </c>
      <c r="Z492" s="7" t="s">
        <v>189</v>
      </c>
      <c r="AA492" s="7" t="s">
        <v>2564</v>
      </c>
      <c r="AB492" s="7" t="s">
        <v>44</v>
      </c>
      <c r="AC492" s="7"/>
      <c r="AD492" s="10"/>
      <c r="AE492" s="10"/>
      <c r="AF492" s="10"/>
      <c r="AG492" s="11">
        <f t="shared" si="7"/>
        <v>43273</v>
      </c>
    </row>
    <row r="493" s="8" customFormat="1" spans="1:33">
      <c r="A493" s="7" t="s">
        <v>2565</v>
      </c>
      <c r="B493" s="7" t="s">
        <v>2565</v>
      </c>
      <c r="C493" s="7" t="s">
        <v>2566</v>
      </c>
      <c r="D493" s="7" t="s">
        <v>2567</v>
      </c>
      <c r="E493" s="7" t="s">
        <v>33</v>
      </c>
      <c r="F493" s="7" t="s">
        <v>34</v>
      </c>
      <c r="G493" s="7" t="s">
        <v>35</v>
      </c>
      <c r="H493" s="7"/>
      <c r="I493" s="7"/>
      <c r="J493" s="7" t="s">
        <v>69</v>
      </c>
      <c r="K493" s="7" t="s">
        <v>79</v>
      </c>
      <c r="L493" s="7" t="s">
        <v>80</v>
      </c>
      <c r="M493" s="7" t="s">
        <v>81</v>
      </c>
      <c r="N493" s="7" t="s">
        <v>33</v>
      </c>
      <c r="O493" s="7">
        <v>1</v>
      </c>
      <c r="P493" s="7" t="s">
        <v>40</v>
      </c>
      <c r="Q493" s="7">
        <v>91.99</v>
      </c>
      <c r="R493" s="7"/>
      <c r="S493" s="7">
        <v>4.68</v>
      </c>
      <c r="T493" s="7"/>
      <c r="U493" s="7"/>
      <c r="V493" s="7"/>
      <c r="W493" s="7"/>
      <c r="X493" s="7">
        <v>4.68</v>
      </c>
      <c r="Y493" s="7" t="s">
        <v>2568</v>
      </c>
      <c r="Z493" s="7" t="s">
        <v>83</v>
      </c>
      <c r="AA493" s="7" t="s">
        <v>2569</v>
      </c>
      <c r="AB493" s="7" t="s">
        <v>44</v>
      </c>
      <c r="AC493" s="7" t="s">
        <v>75</v>
      </c>
      <c r="AD493" s="10"/>
      <c r="AE493" s="10"/>
      <c r="AF493" s="10"/>
      <c r="AG493" s="11">
        <f t="shared" si="7"/>
        <v>43273</v>
      </c>
    </row>
    <row r="494" s="8" customFormat="1" spans="1:33">
      <c r="A494" s="7" t="s">
        <v>2570</v>
      </c>
      <c r="B494" s="7" t="s">
        <v>2570</v>
      </c>
      <c r="C494" s="7" t="s">
        <v>2571</v>
      </c>
      <c r="D494" s="7" t="s">
        <v>2572</v>
      </c>
      <c r="E494" s="7" t="s">
        <v>54</v>
      </c>
      <c r="F494" s="7" t="s">
        <v>34</v>
      </c>
      <c r="G494" s="7" t="s">
        <v>35</v>
      </c>
      <c r="H494" s="7"/>
      <c r="I494" s="7"/>
      <c r="J494" s="7" t="s">
        <v>69</v>
      </c>
      <c r="K494" s="7" t="s">
        <v>59</v>
      </c>
      <c r="L494" s="7" t="s">
        <v>60</v>
      </c>
      <c r="M494" s="7" t="s">
        <v>61</v>
      </c>
      <c r="N494" s="7" t="s">
        <v>62</v>
      </c>
      <c r="O494" s="7">
        <v>1</v>
      </c>
      <c r="P494" s="7" t="s">
        <v>40</v>
      </c>
      <c r="Q494" s="7">
        <v>89.99</v>
      </c>
      <c r="R494" s="7"/>
      <c r="S494" s="7"/>
      <c r="T494" s="7"/>
      <c r="U494" s="7"/>
      <c r="V494" s="7"/>
      <c r="W494" s="7"/>
      <c r="X494" s="7"/>
      <c r="Y494" s="7" t="s">
        <v>1594</v>
      </c>
      <c r="Z494" s="7" t="s">
        <v>1342</v>
      </c>
      <c r="AA494" s="7" t="s">
        <v>1595</v>
      </c>
      <c r="AB494" s="7" t="s">
        <v>44</v>
      </c>
      <c r="AC494" s="7"/>
      <c r="AD494" s="10"/>
      <c r="AE494" s="10"/>
      <c r="AF494" s="10"/>
      <c r="AG494" s="11">
        <f t="shared" si="7"/>
        <v>43273</v>
      </c>
    </row>
    <row r="495" s="8" customFormat="1" spans="1:33">
      <c r="A495" s="7" t="s">
        <v>2573</v>
      </c>
      <c r="B495" s="7" t="s">
        <v>2573</v>
      </c>
      <c r="C495" s="7" t="s">
        <v>2574</v>
      </c>
      <c r="D495" s="7" t="s">
        <v>2575</v>
      </c>
      <c r="E495" s="7" t="s">
        <v>54</v>
      </c>
      <c r="F495" s="7" t="s">
        <v>34</v>
      </c>
      <c r="G495" s="7" t="s">
        <v>35</v>
      </c>
      <c r="H495" s="7"/>
      <c r="I495" s="7"/>
      <c r="J495" s="7" t="s">
        <v>36</v>
      </c>
      <c r="K495" s="7" t="s">
        <v>59</v>
      </c>
      <c r="L495" s="7" t="s">
        <v>60</v>
      </c>
      <c r="M495" s="7" t="s">
        <v>61</v>
      </c>
      <c r="N495" s="7" t="s">
        <v>62</v>
      </c>
      <c r="O495" s="7">
        <v>1</v>
      </c>
      <c r="P495" s="7" t="s">
        <v>40</v>
      </c>
      <c r="Q495" s="7">
        <v>89.99</v>
      </c>
      <c r="R495" s="7"/>
      <c r="S495" s="7"/>
      <c r="T495" s="7"/>
      <c r="U495" s="7"/>
      <c r="V495" s="7"/>
      <c r="W495" s="7"/>
      <c r="X495" s="7"/>
      <c r="Y495" s="7" t="s">
        <v>1594</v>
      </c>
      <c r="Z495" s="7" t="s">
        <v>1342</v>
      </c>
      <c r="AA495" s="7" t="s">
        <v>1595</v>
      </c>
      <c r="AB495" s="7" t="s">
        <v>44</v>
      </c>
      <c r="AC495" s="7"/>
      <c r="AD495" s="10"/>
      <c r="AE495" s="10"/>
      <c r="AF495" s="10"/>
      <c r="AG495" s="11">
        <f t="shared" si="7"/>
        <v>43273</v>
      </c>
    </row>
    <row r="496" s="8" customFormat="1" spans="1:33">
      <c r="A496" s="7" t="s">
        <v>2576</v>
      </c>
      <c r="B496" s="7" t="s">
        <v>2576</v>
      </c>
      <c r="C496" s="7" t="s">
        <v>2577</v>
      </c>
      <c r="D496" s="7" t="s">
        <v>2578</v>
      </c>
      <c r="E496" s="7" t="s">
        <v>54</v>
      </c>
      <c r="F496" s="7" t="s">
        <v>34</v>
      </c>
      <c r="G496" s="7" t="s">
        <v>35</v>
      </c>
      <c r="H496" s="7"/>
      <c r="I496" s="7"/>
      <c r="J496" s="7" t="s">
        <v>36</v>
      </c>
      <c r="K496" s="7" t="s">
        <v>2035</v>
      </c>
      <c r="L496" s="7" t="s">
        <v>89</v>
      </c>
      <c r="M496" s="7" t="s">
        <v>90</v>
      </c>
      <c r="N496" s="7" t="s">
        <v>62</v>
      </c>
      <c r="O496" s="7">
        <v>1</v>
      </c>
      <c r="P496" s="7" t="s">
        <v>40</v>
      </c>
      <c r="Q496" s="7">
        <v>89.99</v>
      </c>
      <c r="R496" s="7"/>
      <c r="S496" s="7"/>
      <c r="T496" s="7"/>
      <c r="U496" s="7"/>
      <c r="V496" s="7"/>
      <c r="W496" s="7"/>
      <c r="X496" s="7"/>
      <c r="Y496" s="7" t="s">
        <v>815</v>
      </c>
      <c r="Z496" s="7" t="s">
        <v>816</v>
      </c>
      <c r="AA496" s="7">
        <v>44110</v>
      </c>
      <c r="AB496" s="7" t="s">
        <v>44</v>
      </c>
      <c r="AC496" s="7"/>
      <c r="AD496" s="10"/>
      <c r="AE496" s="10"/>
      <c r="AF496" s="10"/>
      <c r="AG496" s="11">
        <f t="shared" si="7"/>
        <v>43273</v>
      </c>
    </row>
    <row r="497" s="8" customFormat="1" spans="1:33">
      <c r="A497" s="7" t="s">
        <v>2579</v>
      </c>
      <c r="B497" s="7" t="s">
        <v>2579</v>
      </c>
      <c r="C497" s="7" t="s">
        <v>2580</v>
      </c>
      <c r="D497" s="7" t="s">
        <v>2581</v>
      </c>
      <c r="E497" s="7" t="s">
        <v>33</v>
      </c>
      <c r="F497" s="7" t="s">
        <v>34</v>
      </c>
      <c r="G497" s="7" t="s">
        <v>35</v>
      </c>
      <c r="H497" s="7"/>
      <c r="I497" s="7"/>
      <c r="J497" s="7" t="s">
        <v>69</v>
      </c>
      <c r="K497" s="7" t="s">
        <v>213</v>
      </c>
      <c r="L497" s="7" t="s">
        <v>214</v>
      </c>
      <c r="M497" s="7" t="s">
        <v>215</v>
      </c>
      <c r="N497" s="7" t="s">
        <v>33</v>
      </c>
      <c r="O497" s="7">
        <v>1</v>
      </c>
      <c r="P497" s="7" t="s">
        <v>40</v>
      </c>
      <c r="Q497" s="7">
        <v>21.99</v>
      </c>
      <c r="R497" s="7"/>
      <c r="S497" s="7">
        <v>5.99</v>
      </c>
      <c r="T497" s="7"/>
      <c r="U497" s="7"/>
      <c r="V497" s="7"/>
      <c r="W497" s="7"/>
      <c r="X497" s="7"/>
      <c r="Y497" s="7" t="s">
        <v>2582</v>
      </c>
      <c r="Z497" s="7" t="s">
        <v>763</v>
      </c>
      <c r="AA497" s="7" t="s">
        <v>2583</v>
      </c>
      <c r="AB497" s="7" t="s">
        <v>44</v>
      </c>
      <c r="AC497" s="7"/>
      <c r="AD497" s="10"/>
      <c r="AE497" s="10"/>
      <c r="AF497" s="10"/>
      <c r="AG497" s="11">
        <f t="shared" si="7"/>
        <v>43273</v>
      </c>
    </row>
    <row r="498" s="8" customFormat="1" spans="1:33">
      <c r="A498" s="7" t="s">
        <v>2584</v>
      </c>
      <c r="B498" s="7" t="s">
        <v>2584</v>
      </c>
      <c r="C498" s="7" t="s">
        <v>2585</v>
      </c>
      <c r="D498" s="7" t="s">
        <v>2586</v>
      </c>
      <c r="E498" s="7" t="s">
        <v>33</v>
      </c>
      <c r="F498" s="7" t="s">
        <v>34</v>
      </c>
      <c r="G498" s="7" t="s">
        <v>35</v>
      </c>
      <c r="H498" s="7"/>
      <c r="I498" s="7"/>
      <c r="J498" s="7" t="s">
        <v>36</v>
      </c>
      <c r="K498" s="7" t="s">
        <v>749</v>
      </c>
      <c r="L498" s="7" t="s">
        <v>750</v>
      </c>
      <c r="M498" s="7" t="s">
        <v>751</v>
      </c>
      <c r="N498" s="7" t="s">
        <v>33</v>
      </c>
      <c r="O498" s="7">
        <v>1</v>
      </c>
      <c r="P498" s="7" t="s">
        <v>40</v>
      </c>
      <c r="Q498" s="7">
        <v>89.99</v>
      </c>
      <c r="R498" s="7"/>
      <c r="S498" s="7"/>
      <c r="T498" s="7"/>
      <c r="U498" s="7"/>
      <c r="V498" s="7"/>
      <c r="W498" s="7"/>
      <c r="X498" s="7"/>
      <c r="Y498" s="7" t="s">
        <v>900</v>
      </c>
      <c r="Z498" s="7" t="s">
        <v>316</v>
      </c>
      <c r="AA498" s="7" t="s">
        <v>2587</v>
      </c>
      <c r="AB498" s="7" t="s">
        <v>44</v>
      </c>
      <c r="AC498" s="7"/>
      <c r="AD498" s="10"/>
      <c r="AE498" s="10"/>
      <c r="AF498" s="10"/>
      <c r="AG498" s="11">
        <f t="shared" si="7"/>
        <v>43273</v>
      </c>
    </row>
    <row r="499" s="8" customFormat="1" spans="1:33">
      <c r="A499" s="7" t="s">
        <v>2588</v>
      </c>
      <c r="B499" s="7" t="s">
        <v>2588</v>
      </c>
      <c r="C499" s="7" t="s">
        <v>2589</v>
      </c>
      <c r="D499" s="7" t="s">
        <v>2590</v>
      </c>
      <c r="E499" s="7" t="s">
        <v>54</v>
      </c>
      <c r="F499" s="7" t="s">
        <v>34</v>
      </c>
      <c r="G499" s="7" t="s">
        <v>35</v>
      </c>
      <c r="H499" s="7"/>
      <c r="I499" s="7"/>
      <c r="J499" s="7" t="s">
        <v>36</v>
      </c>
      <c r="K499" s="7" t="s">
        <v>79</v>
      </c>
      <c r="L499" s="7" t="s">
        <v>80</v>
      </c>
      <c r="M499" s="7" t="s">
        <v>81</v>
      </c>
      <c r="N499" s="7" t="s">
        <v>54</v>
      </c>
      <c r="O499" s="7">
        <v>0</v>
      </c>
      <c r="P499" s="7"/>
      <c r="Q499" s="7"/>
      <c r="R499" s="7"/>
      <c r="S499" s="7"/>
      <c r="T499" s="7"/>
      <c r="U499" s="7"/>
      <c r="V499" s="7"/>
      <c r="W499" s="7"/>
      <c r="X499" s="7"/>
      <c r="Y499" s="7" t="s">
        <v>2591</v>
      </c>
      <c r="Z499" s="7" t="s">
        <v>52</v>
      </c>
      <c r="AA499" s="7" t="s">
        <v>2592</v>
      </c>
      <c r="AB499" s="7" t="s">
        <v>44</v>
      </c>
      <c r="AC499" s="7"/>
      <c r="AD499" s="10"/>
      <c r="AE499" s="10"/>
      <c r="AF499" s="10"/>
      <c r="AG499" s="11">
        <f t="shared" si="7"/>
        <v>43273</v>
      </c>
    </row>
    <row r="500" s="8" customFormat="1" spans="1:33">
      <c r="A500" s="7" t="s">
        <v>2593</v>
      </c>
      <c r="B500" s="7" t="s">
        <v>2593</v>
      </c>
      <c r="C500" s="7" t="s">
        <v>2594</v>
      </c>
      <c r="D500" s="7" t="s">
        <v>2595</v>
      </c>
      <c r="E500" s="7" t="s">
        <v>33</v>
      </c>
      <c r="F500" s="7" t="s">
        <v>34</v>
      </c>
      <c r="G500" s="7" t="s">
        <v>35</v>
      </c>
      <c r="H500" s="7"/>
      <c r="I500" s="7"/>
      <c r="J500" s="7" t="s">
        <v>36</v>
      </c>
      <c r="K500" s="7" t="s">
        <v>148</v>
      </c>
      <c r="L500" s="7" t="s">
        <v>149</v>
      </c>
      <c r="M500" s="7" t="s">
        <v>150</v>
      </c>
      <c r="N500" s="7" t="s">
        <v>33</v>
      </c>
      <c r="O500" s="7">
        <v>1</v>
      </c>
      <c r="P500" s="7" t="s">
        <v>40</v>
      </c>
      <c r="Q500" s="7">
        <v>98.99</v>
      </c>
      <c r="R500" s="7"/>
      <c r="S500" s="7"/>
      <c r="T500" s="7"/>
      <c r="U500" s="7"/>
      <c r="V500" s="7"/>
      <c r="W500" s="7"/>
      <c r="X500" s="7"/>
      <c r="Y500" s="7" t="s">
        <v>2596</v>
      </c>
      <c r="Z500" s="7" t="s">
        <v>52</v>
      </c>
      <c r="AA500" s="7" t="s">
        <v>2597</v>
      </c>
      <c r="AB500" s="7" t="s">
        <v>44</v>
      </c>
      <c r="AC500" s="7"/>
      <c r="AD500" s="10"/>
      <c r="AE500" s="10"/>
      <c r="AF500" s="10"/>
      <c r="AG500" s="11">
        <f t="shared" si="7"/>
        <v>43273</v>
      </c>
    </row>
    <row r="501" s="8" customFormat="1" spans="1:33">
      <c r="A501" s="7" t="s">
        <v>2598</v>
      </c>
      <c r="B501" s="7" t="s">
        <v>2598</v>
      </c>
      <c r="C501" s="7" t="s">
        <v>2599</v>
      </c>
      <c r="D501" s="7" t="s">
        <v>2600</v>
      </c>
      <c r="E501" s="7" t="s">
        <v>33</v>
      </c>
      <c r="F501" s="7" t="s">
        <v>34</v>
      </c>
      <c r="G501" s="7" t="s">
        <v>35</v>
      </c>
      <c r="H501" s="7"/>
      <c r="I501" s="7"/>
      <c r="J501" s="7" t="s">
        <v>36</v>
      </c>
      <c r="K501" s="7" t="s">
        <v>632</v>
      </c>
      <c r="L501" s="7" t="s">
        <v>633</v>
      </c>
      <c r="M501" s="7" t="s">
        <v>634</v>
      </c>
      <c r="N501" s="7" t="s">
        <v>33</v>
      </c>
      <c r="O501" s="7">
        <v>1</v>
      </c>
      <c r="P501" s="7" t="s">
        <v>40</v>
      </c>
      <c r="Q501" s="7">
        <v>89.99</v>
      </c>
      <c r="R501" s="7"/>
      <c r="S501" s="7"/>
      <c r="T501" s="7"/>
      <c r="U501" s="7"/>
      <c r="V501" s="7"/>
      <c r="W501" s="7">
        <v>9</v>
      </c>
      <c r="X501" s="7"/>
      <c r="Y501" s="7" t="s">
        <v>885</v>
      </c>
      <c r="Z501" s="7" t="s">
        <v>83</v>
      </c>
      <c r="AA501" s="7" t="s">
        <v>2601</v>
      </c>
      <c r="AB501" s="7" t="s">
        <v>44</v>
      </c>
      <c r="AC501" s="7" t="s">
        <v>2156</v>
      </c>
      <c r="AD501" s="10"/>
      <c r="AE501" s="10"/>
      <c r="AF501" s="10"/>
      <c r="AG501" s="11">
        <f t="shared" si="7"/>
        <v>43273</v>
      </c>
    </row>
    <row r="502" s="8" customFormat="1" spans="1:33">
      <c r="A502" s="7" t="s">
        <v>2602</v>
      </c>
      <c r="B502" s="7" t="s">
        <v>2602</v>
      </c>
      <c r="C502" s="7" t="s">
        <v>2603</v>
      </c>
      <c r="D502" s="7" t="s">
        <v>2604</v>
      </c>
      <c r="E502" s="7" t="s">
        <v>33</v>
      </c>
      <c r="F502" s="7" t="s">
        <v>34</v>
      </c>
      <c r="G502" s="7" t="s">
        <v>35</v>
      </c>
      <c r="H502" s="7"/>
      <c r="I502" s="7"/>
      <c r="J502" s="7" t="s">
        <v>36</v>
      </c>
      <c r="K502" s="7" t="s">
        <v>2376</v>
      </c>
      <c r="L502" s="7" t="s">
        <v>2377</v>
      </c>
      <c r="M502" s="7" t="s">
        <v>2378</v>
      </c>
      <c r="N502" s="7" t="s">
        <v>33</v>
      </c>
      <c r="O502" s="7">
        <v>1</v>
      </c>
      <c r="P502" s="7" t="s">
        <v>40</v>
      </c>
      <c r="Q502" s="7">
        <v>79.99</v>
      </c>
      <c r="R502" s="7"/>
      <c r="S502" s="7"/>
      <c r="T502" s="7"/>
      <c r="U502" s="7"/>
      <c r="V502" s="7"/>
      <c r="W502" s="7"/>
      <c r="X502" s="7"/>
      <c r="Y502" s="7" t="s">
        <v>2605</v>
      </c>
      <c r="Z502" s="7" t="s">
        <v>183</v>
      </c>
      <c r="AA502" s="7" t="s">
        <v>2606</v>
      </c>
      <c r="AB502" s="7" t="s">
        <v>44</v>
      </c>
      <c r="AC502" s="7"/>
      <c r="AD502" s="10"/>
      <c r="AE502" s="10"/>
      <c r="AF502" s="10"/>
      <c r="AG502" s="11">
        <f t="shared" si="7"/>
        <v>43273</v>
      </c>
    </row>
    <row r="503" s="8" customFormat="1" spans="1:33">
      <c r="A503" s="7" t="s">
        <v>2607</v>
      </c>
      <c r="B503" s="7" t="s">
        <v>2607</v>
      </c>
      <c r="C503" s="7" t="s">
        <v>2608</v>
      </c>
      <c r="D503" s="7" t="s">
        <v>2609</v>
      </c>
      <c r="E503" s="7" t="s">
        <v>54</v>
      </c>
      <c r="F503" s="7" t="s">
        <v>34</v>
      </c>
      <c r="G503" s="7" t="s">
        <v>35</v>
      </c>
      <c r="H503" s="7"/>
      <c r="I503" s="7"/>
      <c r="J503" s="7" t="s">
        <v>36</v>
      </c>
      <c r="K503" s="7" t="s">
        <v>1807</v>
      </c>
      <c r="L503" s="7" t="s">
        <v>1808</v>
      </c>
      <c r="M503" s="7" t="s">
        <v>1809</v>
      </c>
      <c r="N503" s="7" t="s">
        <v>54</v>
      </c>
      <c r="O503" s="7">
        <v>0</v>
      </c>
      <c r="P503" s="7"/>
      <c r="Q503" s="7"/>
      <c r="R503" s="7"/>
      <c r="S503" s="7"/>
      <c r="T503" s="7"/>
      <c r="U503" s="7"/>
      <c r="V503" s="7"/>
      <c r="W503" s="7"/>
      <c r="X503" s="7"/>
      <c r="Y503" s="7" t="s">
        <v>2548</v>
      </c>
      <c r="Z503" s="7" t="s">
        <v>207</v>
      </c>
      <c r="AA503" s="7" t="s">
        <v>2549</v>
      </c>
      <c r="AB503" s="7" t="s">
        <v>44</v>
      </c>
      <c r="AC503" s="7"/>
      <c r="AD503" s="10"/>
      <c r="AE503" s="10"/>
      <c r="AF503" s="10"/>
      <c r="AG503" s="11">
        <f t="shared" si="7"/>
        <v>43273</v>
      </c>
    </row>
    <row r="504" s="8" customFormat="1" spans="1:33">
      <c r="A504" s="7" t="s">
        <v>2610</v>
      </c>
      <c r="B504" s="7" t="s">
        <v>2610</v>
      </c>
      <c r="C504" s="7" t="s">
        <v>2611</v>
      </c>
      <c r="D504" s="7" t="s">
        <v>2612</v>
      </c>
      <c r="E504" s="7" t="s">
        <v>33</v>
      </c>
      <c r="F504" s="7" t="s">
        <v>34</v>
      </c>
      <c r="G504" s="7" t="s">
        <v>35</v>
      </c>
      <c r="H504" s="7"/>
      <c r="I504" s="7"/>
      <c r="J504" s="7" t="s">
        <v>36</v>
      </c>
      <c r="K504" s="7" t="s">
        <v>986</v>
      </c>
      <c r="L504" s="7" t="s">
        <v>987</v>
      </c>
      <c r="M504" s="7" t="s">
        <v>988</v>
      </c>
      <c r="N504" s="7" t="s">
        <v>33</v>
      </c>
      <c r="O504" s="7">
        <v>1</v>
      </c>
      <c r="P504" s="7" t="s">
        <v>40</v>
      </c>
      <c r="Q504" s="7">
        <v>99.99</v>
      </c>
      <c r="R504" s="7"/>
      <c r="S504" s="7"/>
      <c r="T504" s="7"/>
      <c r="U504" s="7"/>
      <c r="V504" s="7"/>
      <c r="W504" s="7"/>
      <c r="X504" s="7"/>
      <c r="Y504" s="7" t="s">
        <v>2613</v>
      </c>
      <c r="Z504" s="7" t="s">
        <v>990</v>
      </c>
      <c r="AA504" s="7" t="s">
        <v>2614</v>
      </c>
      <c r="AB504" s="7" t="s">
        <v>44</v>
      </c>
      <c r="AC504" s="7"/>
      <c r="AD504" s="10"/>
      <c r="AE504" s="10"/>
      <c r="AF504" s="10"/>
      <c r="AG504" s="11">
        <f t="shared" si="7"/>
        <v>43274</v>
      </c>
    </row>
    <row r="505" s="8" customFormat="1" spans="1:33">
      <c r="A505" s="7" t="s">
        <v>2615</v>
      </c>
      <c r="B505" s="7" t="s">
        <v>2615</v>
      </c>
      <c r="C505" s="7" t="s">
        <v>2616</v>
      </c>
      <c r="D505" s="7" t="s">
        <v>2617</v>
      </c>
      <c r="E505" s="7" t="s">
        <v>54</v>
      </c>
      <c r="F505" s="7" t="s">
        <v>34</v>
      </c>
      <c r="G505" s="7" t="s">
        <v>35</v>
      </c>
      <c r="H505" s="7"/>
      <c r="I505" s="7"/>
      <c r="J505" s="7" t="s">
        <v>36</v>
      </c>
      <c r="K505" s="7" t="s">
        <v>431</v>
      </c>
      <c r="L505" s="7" t="s">
        <v>432</v>
      </c>
      <c r="M505" s="7" t="s">
        <v>433</v>
      </c>
      <c r="N505" s="7" t="s">
        <v>54</v>
      </c>
      <c r="O505" s="7">
        <v>0</v>
      </c>
      <c r="P505" s="7"/>
      <c r="Q505" s="7"/>
      <c r="R505" s="7"/>
      <c r="S505" s="7"/>
      <c r="T505" s="7"/>
      <c r="U505" s="7"/>
      <c r="V505" s="7"/>
      <c r="W505" s="7"/>
      <c r="X505" s="7"/>
      <c r="Y505" s="7" t="s">
        <v>2618</v>
      </c>
      <c r="Z505" s="7" t="s">
        <v>466</v>
      </c>
      <c r="AA505" s="7" t="s">
        <v>2619</v>
      </c>
      <c r="AB505" s="7" t="s">
        <v>44</v>
      </c>
      <c r="AC505" s="7"/>
      <c r="AD505" s="10"/>
      <c r="AE505" s="10"/>
      <c r="AF505" s="10"/>
      <c r="AG505" s="11">
        <f t="shared" si="7"/>
        <v>43274</v>
      </c>
    </row>
    <row r="506" s="8" customFormat="1" spans="1:33">
      <c r="A506" s="7" t="s">
        <v>2620</v>
      </c>
      <c r="B506" s="7" t="s">
        <v>2620</v>
      </c>
      <c r="C506" s="7" t="s">
        <v>2621</v>
      </c>
      <c r="D506" s="7" t="s">
        <v>2622</v>
      </c>
      <c r="E506" s="7" t="s">
        <v>33</v>
      </c>
      <c r="F506" s="7" t="s">
        <v>34</v>
      </c>
      <c r="G506" s="7" t="s">
        <v>35</v>
      </c>
      <c r="H506" s="7"/>
      <c r="I506" s="7"/>
      <c r="J506" s="7" t="s">
        <v>36</v>
      </c>
      <c r="K506" s="7" t="s">
        <v>2540</v>
      </c>
      <c r="L506" s="7" t="s">
        <v>2541</v>
      </c>
      <c r="M506" s="7" t="s">
        <v>2542</v>
      </c>
      <c r="N506" s="7" t="s">
        <v>33</v>
      </c>
      <c r="O506" s="7">
        <v>1</v>
      </c>
      <c r="P506" s="7" t="s">
        <v>40</v>
      </c>
      <c r="Q506" s="7">
        <v>26.99</v>
      </c>
      <c r="R506" s="7"/>
      <c r="S506" s="7"/>
      <c r="T506" s="7"/>
      <c r="U506" s="7"/>
      <c r="V506" s="7"/>
      <c r="W506" s="7"/>
      <c r="X506" s="7"/>
      <c r="Y506" s="7" t="s">
        <v>2623</v>
      </c>
      <c r="Z506" s="7" t="s">
        <v>440</v>
      </c>
      <c r="AA506" s="7" t="s">
        <v>2624</v>
      </c>
      <c r="AB506" s="7" t="s">
        <v>44</v>
      </c>
      <c r="AC506" s="7"/>
      <c r="AD506" s="10"/>
      <c r="AE506" s="10"/>
      <c r="AF506" s="10"/>
      <c r="AG506" s="11">
        <f t="shared" si="7"/>
        <v>43274</v>
      </c>
    </row>
    <row r="507" s="8" customFormat="1" spans="1:33">
      <c r="A507" s="7" t="s">
        <v>2620</v>
      </c>
      <c r="B507" s="7" t="s">
        <v>2620</v>
      </c>
      <c r="C507" s="7" t="s">
        <v>2621</v>
      </c>
      <c r="D507" s="7" t="s">
        <v>2622</v>
      </c>
      <c r="E507" s="7" t="s">
        <v>33</v>
      </c>
      <c r="F507" s="7" t="s">
        <v>34</v>
      </c>
      <c r="G507" s="7" t="s">
        <v>35</v>
      </c>
      <c r="H507" s="7"/>
      <c r="I507" s="7"/>
      <c r="J507" s="7" t="s">
        <v>36</v>
      </c>
      <c r="K507" s="7" t="s">
        <v>2625</v>
      </c>
      <c r="L507" s="7" t="s">
        <v>2626</v>
      </c>
      <c r="M507" s="7" t="s">
        <v>2627</v>
      </c>
      <c r="N507" s="7" t="s">
        <v>33</v>
      </c>
      <c r="O507" s="7">
        <v>1</v>
      </c>
      <c r="P507" s="7" t="s">
        <v>40</v>
      </c>
      <c r="Q507" s="7">
        <v>26.99</v>
      </c>
      <c r="R507" s="7"/>
      <c r="S507" s="7"/>
      <c r="T507" s="7"/>
      <c r="U507" s="7"/>
      <c r="V507" s="7"/>
      <c r="W507" s="7"/>
      <c r="X507" s="7"/>
      <c r="Y507" s="7" t="s">
        <v>2623</v>
      </c>
      <c r="Z507" s="7" t="s">
        <v>440</v>
      </c>
      <c r="AA507" s="7" t="s">
        <v>2624</v>
      </c>
      <c r="AB507" s="7" t="s">
        <v>44</v>
      </c>
      <c r="AC507" s="7"/>
      <c r="AD507" s="10"/>
      <c r="AE507" s="10"/>
      <c r="AF507" s="10"/>
      <c r="AG507" s="11">
        <f t="shared" si="7"/>
        <v>43274</v>
      </c>
    </row>
    <row r="508" s="8" customFormat="1" spans="1:33">
      <c r="A508" s="7" t="s">
        <v>2628</v>
      </c>
      <c r="B508" s="7" t="s">
        <v>2628</v>
      </c>
      <c r="C508" s="7" t="s">
        <v>2629</v>
      </c>
      <c r="D508" s="7" t="s">
        <v>2630</v>
      </c>
      <c r="E508" s="7" t="s">
        <v>33</v>
      </c>
      <c r="F508" s="7" t="s">
        <v>34</v>
      </c>
      <c r="G508" s="7" t="s">
        <v>35</v>
      </c>
      <c r="H508" s="7"/>
      <c r="I508" s="7"/>
      <c r="J508" s="7" t="s">
        <v>36</v>
      </c>
      <c r="K508" s="7" t="s">
        <v>59</v>
      </c>
      <c r="L508" s="7" t="s">
        <v>60</v>
      </c>
      <c r="M508" s="7" t="s">
        <v>61</v>
      </c>
      <c r="N508" s="7" t="s">
        <v>33</v>
      </c>
      <c r="O508" s="7">
        <v>1</v>
      </c>
      <c r="P508" s="7" t="s">
        <v>40</v>
      </c>
      <c r="Q508" s="7">
        <v>89.99</v>
      </c>
      <c r="R508" s="7"/>
      <c r="S508" s="7"/>
      <c r="T508" s="7"/>
      <c r="U508" s="7"/>
      <c r="V508" s="7"/>
      <c r="W508" s="7"/>
      <c r="X508" s="7"/>
      <c r="Y508" s="7" t="s">
        <v>2631</v>
      </c>
      <c r="Z508" s="7" t="s">
        <v>52</v>
      </c>
      <c r="AA508" s="7" t="s">
        <v>2632</v>
      </c>
      <c r="AB508" s="7" t="s">
        <v>44</v>
      </c>
      <c r="AC508" s="7"/>
      <c r="AD508" s="10"/>
      <c r="AE508" s="10"/>
      <c r="AF508" s="10"/>
      <c r="AG508" s="11">
        <f t="shared" si="7"/>
        <v>43274</v>
      </c>
    </row>
    <row r="509" s="8" customFormat="1" spans="1:33">
      <c r="A509" s="7" t="s">
        <v>2633</v>
      </c>
      <c r="B509" s="7" t="s">
        <v>2633</v>
      </c>
      <c r="C509" s="7" t="s">
        <v>2634</v>
      </c>
      <c r="D509" s="7" t="s">
        <v>2635</v>
      </c>
      <c r="E509" s="7" t="s">
        <v>33</v>
      </c>
      <c r="F509" s="7" t="s">
        <v>34</v>
      </c>
      <c r="G509" s="7" t="s">
        <v>35</v>
      </c>
      <c r="H509" s="7"/>
      <c r="I509" s="7"/>
      <c r="J509" s="7" t="s">
        <v>36</v>
      </c>
      <c r="K509" s="7" t="s">
        <v>477</v>
      </c>
      <c r="L509" s="7" t="s">
        <v>478</v>
      </c>
      <c r="M509" s="7" t="s">
        <v>479</v>
      </c>
      <c r="N509" s="7" t="s">
        <v>33</v>
      </c>
      <c r="O509" s="7">
        <v>1</v>
      </c>
      <c r="P509" s="7" t="s">
        <v>40</v>
      </c>
      <c r="Q509" s="7">
        <v>94.6</v>
      </c>
      <c r="R509" s="7"/>
      <c r="S509" s="7"/>
      <c r="T509" s="7"/>
      <c r="U509" s="7"/>
      <c r="V509" s="7"/>
      <c r="W509" s="7"/>
      <c r="X509" s="7"/>
      <c r="Y509" s="7" t="s">
        <v>2636</v>
      </c>
      <c r="Z509" s="7" t="s">
        <v>1342</v>
      </c>
      <c r="AA509" s="7" t="s">
        <v>2637</v>
      </c>
      <c r="AB509" s="7" t="s">
        <v>44</v>
      </c>
      <c r="AC509" s="7"/>
      <c r="AD509" s="10"/>
      <c r="AE509" s="10"/>
      <c r="AF509" s="10"/>
      <c r="AG509" s="11">
        <f t="shared" si="7"/>
        <v>43274</v>
      </c>
    </row>
    <row r="510" s="8" customFormat="1" spans="1:33">
      <c r="A510" s="7" t="s">
        <v>2638</v>
      </c>
      <c r="B510" s="7" t="s">
        <v>2638</v>
      </c>
      <c r="C510" s="7" t="s">
        <v>2639</v>
      </c>
      <c r="D510" s="7" t="s">
        <v>2640</v>
      </c>
      <c r="E510" s="7" t="s">
        <v>33</v>
      </c>
      <c r="F510" s="7" t="s">
        <v>34</v>
      </c>
      <c r="G510" s="7" t="s">
        <v>35</v>
      </c>
      <c r="H510" s="7"/>
      <c r="I510" s="7"/>
      <c r="J510" s="7" t="s">
        <v>69</v>
      </c>
      <c r="K510" s="7" t="s">
        <v>59</v>
      </c>
      <c r="L510" s="7" t="s">
        <v>60</v>
      </c>
      <c r="M510" s="7" t="s">
        <v>61</v>
      </c>
      <c r="N510" s="7" t="s">
        <v>33</v>
      </c>
      <c r="O510" s="7">
        <v>1</v>
      </c>
      <c r="P510" s="7" t="s">
        <v>40</v>
      </c>
      <c r="Q510" s="7">
        <v>89.99</v>
      </c>
      <c r="R510" s="7"/>
      <c r="S510" s="7">
        <v>8.37</v>
      </c>
      <c r="T510" s="7"/>
      <c r="U510" s="7"/>
      <c r="V510" s="7"/>
      <c r="W510" s="7"/>
      <c r="X510" s="7"/>
      <c r="Y510" s="7" t="s">
        <v>73</v>
      </c>
      <c r="Z510" s="7" t="s">
        <v>64</v>
      </c>
      <c r="AA510" s="7" t="s">
        <v>2641</v>
      </c>
      <c r="AB510" s="7" t="s">
        <v>44</v>
      </c>
      <c r="AC510" s="7"/>
      <c r="AD510" s="10"/>
      <c r="AE510" s="10"/>
      <c r="AF510" s="10"/>
      <c r="AG510" s="11">
        <f t="shared" si="7"/>
        <v>43274</v>
      </c>
    </row>
    <row r="511" s="8" customFormat="1" spans="1:33">
      <c r="A511" s="7" t="s">
        <v>2642</v>
      </c>
      <c r="B511" s="7" t="s">
        <v>2642</v>
      </c>
      <c r="C511" s="7" t="s">
        <v>2643</v>
      </c>
      <c r="D511" s="7" t="s">
        <v>2644</v>
      </c>
      <c r="E511" s="7" t="s">
        <v>33</v>
      </c>
      <c r="F511" s="7" t="s">
        <v>34</v>
      </c>
      <c r="G511" s="7" t="s">
        <v>35</v>
      </c>
      <c r="H511" s="7"/>
      <c r="I511" s="7"/>
      <c r="J511" s="7" t="s">
        <v>36</v>
      </c>
      <c r="K511" s="7" t="s">
        <v>79</v>
      </c>
      <c r="L511" s="7" t="s">
        <v>80</v>
      </c>
      <c r="M511" s="7" t="s">
        <v>81</v>
      </c>
      <c r="N511" s="7" t="s">
        <v>33</v>
      </c>
      <c r="O511" s="7">
        <v>1</v>
      </c>
      <c r="P511" s="7" t="s">
        <v>40</v>
      </c>
      <c r="Q511" s="7">
        <v>91.99</v>
      </c>
      <c r="R511" s="7"/>
      <c r="S511" s="7"/>
      <c r="T511" s="7"/>
      <c r="U511" s="7"/>
      <c r="V511" s="7"/>
      <c r="W511" s="7"/>
      <c r="X511" s="7"/>
      <c r="Y511" s="7" t="s">
        <v>2645</v>
      </c>
      <c r="Z511" s="7" t="s">
        <v>484</v>
      </c>
      <c r="AA511" s="7" t="s">
        <v>2646</v>
      </c>
      <c r="AB511" s="7" t="s">
        <v>44</v>
      </c>
      <c r="AC511" s="7"/>
      <c r="AD511" s="10"/>
      <c r="AE511" s="10"/>
      <c r="AF511" s="10"/>
      <c r="AG511" s="11">
        <f t="shared" si="7"/>
        <v>43274</v>
      </c>
    </row>
    <row r="512" s="8" customFormat="1" spans="1:33">
      <c r="A512" s="7" t="s">
        <v>2647</v>
      </c>
      <c r="B512" s="7" t="s">
        <v>2647</v>
      </c>
      <c r="C512" s="7" t="s">
        <v>2648</v>
      </c>
      <c r="D512" s="7" t="s">
        <v>2649</v>
      </c>
      <c r="E512" s="7" t="s">
        <v>33</v>
      </c>
      <c r="F512" s="7" t="s">
        <v>34</v>
      </c>
      <c r="G512" s="7" t="s">
        <v>35</v>
      </c>
      <c r="H512" s="7"/>
      <c r="I512" s="7"/>
      <c r="J512" s="7" t="s">
        <v>36</v>
      </c>
      <c r="K512" s="7" t="s">
        <v>2650</v>
      </c>
      <c r="L512" s="7" t="s">
        <v>2651</v>
      </c>
      <c r="M512" s="7" t="s">
        <v>2652</v>
      </c>
      <c r="N512" s="7" t="s">
        <v>33</v>
      </c>
      <c r="O512" s="7">
        <v>1</v>
      </c>
      <c r="P512" s="7" t="s">
        <v>40</v>
      </c>
      <c r="Q512" s="7">
        <v>108.99</v>
      </c>
      <c r="R512" s="7"/>
      <c r="S512" s="7"/>
      <c r="T512" s="7"/>
      <c r="U512" s="7"/>
      <c r="V512" s="7"/>
      <c r="W512" s="7">
        <v>10.9</v>
      </c>
      <c r="X512" s="7"/>
      <c r="Y512" s="7" t="s">
        <v>2653</v>
      </c>
      <c r="Z512" s="7" t="s">
        <v>613</v>
      </c>
      <c r="AA512" s="7" t="s">
        <v>2654</v>
      </c>
      <c r="AB512" s="7" t="s">
        <v>44</v>
      </c>
      <c r="AC512" s="7" t="s">
        <v>2655</v>
      </c>
      <c r="AD512" s="10"/>
      <c r="AE512" s="10"/>
      <c r="AF512" s="10"/>
      <c r="AG512" s="11">
        <f t="shared" si="7"/>
        <v>43274</v>
      </c>
    </row>
    <row r="513" s="8" customFormat="1" spans="1:33">
      <c r="A513" s="7" t="s">
        <v>2656</v>
      </c>
      <c r="B513" s="7" t="s">
        <v>2656</v>
      </c>
      <c r="C513" s="7" t="s">
        <v>2657</v>
      </c>
      <c r="D513" s="7" t="s">
        <v>2658</v>
      </c>
      <c r="E513" s="7" t="s">
        <v>33</v>
      </c>
      <c r="F513" s="7" t="s">
        <v>34</v>
      </c>
      <c r="G513" s="7" t="s">
        <v>35</v>
      </c>
      <c r="H513" s="7"/>
      <c r="I513" s="7"/>
      <c r="J513" s="7" t="s">
        <v>36</v>
      </c>
      <c r="K513" s="7" t="s">
        <v>148</v>
      </c>
      <c r="L513" s="7" t="s">
        <v>149</v>
      </c>
      <c r="M513" s="7" t="s">
        <v>150</v>
      </c>
      <c r="N513" s="7" t="s">
        <v>33</v>
      </c>
      <c r="O513" s="7">
        <v>1</v>
      </c>
      <c r="P513" s="7" t="s">
        <v>40</v>
      </c>
      <c r="Q513" s="7">
        <v>98.99</v>
      </c>
      <c r="R513" s="7"/>
      <c r="S513" s="7"/>
      <c r="T513" s="7"/>
      <c r="U513" s="7"/>
      <c r="V513" s="7"/>
      <c r="W513" s="7"/>
      <c r="X513" s="7"/>
      <c r="Y513" s="7" t="s">
        <v>2659</v>
      </c>
      <c r="Z513" s="7" t="s">
        <v>2660</v>
      </c>
      <c r="AA513" s="7">
        <v>97068</v>
      </c>
      <c r="AB513" s="7" t="s">
        <v>44</v>
      </c>
      <c r="AC513" s="7"/>
      <c r="AD513" s="10"/>
      <c r="AE513" s="10"/>
      <c r="AF513" s="10"/>
      <c r="AG513" s="11">
        <f t="shared" si="7"/>
        <v>43274</v>
      </c>
    </row>
    <row r="514" s="8" customFormat="1" spans="1:33">
      <c r="A514" s="7" t="s">
        <v>2661</v>
      </c>
      <c r="B514" s="7" t="s">
        <v>2661</v>
      </c>
      <c r="C514" s="7" t="s">
        <v>2662</v>
      </c>
      <c r="D514" s="7" t="s">
        <v>2663</v>
      </c>
      <c r="E514" s="7" t="s">
        <v>33</v>
      </c>
      <c r="F514" s="7" t="s">
        <v>34</v>
      </c>
      <c r="G514" s="7" t="s">
        <v>35</v>
      </c>
      <c r="H514" s="7"/>
      <c r="I514" s="7"/>
      <c r="J514" s="7" t="s">
        <v>69</v>
      </c>
      <c r="K514" s="7" t="s">
        <v>226</v>
      </c>
      <c r="L514" s="7" t="s">
        <v>227</v>
      </c>
      <c r="M514" s="7" t="s">
        <v>228</v>
      </c>
      <c r="N514" s="7" t="s">
        <v>33</v>
      </c>
      <c r="O514" s="7">
        <v>1</v>
      </c>
      <c r="P514" s="7" t="s">
        <v>40</v>
      </c>
      <c r="Q514" s="7">
        <v>34.99</v>
      </c>
      <c r="R514" s="7"/>
      <c r="S514" s="7">
        <v>7.42</v>
      </c>
      <c r="T514" s="7"/>
      <c r="U514" s="7"/>
      <c r="V514" s="7"/>
      <c r="W514" s="7"/>
      <c r="X514" s="7"/>
      <c r="Y514" s="7" t="s">
        <v>2664</v>
      </c>
      <c r="Z514" s="7" t="s">
        <v>550</v>
      </c>
      <c r="AA514" s="7">
        <v>92394</v>
      </c>
      <c r="AB514" s="7" t="s">
        <v>44</v>
      </c>
      <c r="AC514" s="7"/>
      <c r="AD514" s="10"/>
      <c r="AE514" s="10"/>
      <c r="AF514" s="10"/>
      <c r="AG514" s="11">
        <f t="shared" ref="AG514:AG577" si="8">DATEVALUE(LEFT(C514,10))</f>
        <v>43274</v>
      </c>
    </row>
    <row r="515" s="8" customFormat="1" spans="1:33">
      <c r="A515" s="7" t="s">
        <v>2665</v>
      </c>
      <c r="B515" s="7" t="s">
        <v>2665</v>
      </c>
      <c r="C515" s="7" t="s">
        <v>2666</v>
      </c>
      <c r="D515" s="7" t="s">
        <v>2667</v>
      </c>
      <c r="E515" s="7" t="s">
        <v>54</v>
      </c>
      <c r="F515" s="7" t="s">
        <v>34</v>
      </c>
      <c r="G515" s="7" t="s">
        <v>35</v>
      </c>
      <c r="H515" s="7"/>
      <c r="I515" s="7"/>
      <c r="J515" s="7" t="s">
        <v>36</v>
      </c>
      <c r="K515" s="7" t="s">
        <v>48</v>
      </c>
      <c r="L515" s="7" t="s">
        <v>49</v>
      </c>
      <c r="M515" s="7" t="s">
        <v>50</v>
      </c>
      <c r="N515" s="7" t="s">
        <v>54</v>
      </c>
      <c r="O515" s="7">
        <v>0</v>
      </c>
      <c r="P515" s="7"/>
      <c r="Q515" s="7"/>
      <c r="R515" s="7"/>
      <c r="S515" s="7"/>
      <c r="T515" s="7"/>
      <c r="U515" s="7"/>
      <c r="V515" s="7"/>
      <c r="W515" s="7"/>
      <c r="X515" s="7"/>
      <c r="Y515" s="7" t="s">
        <v>2596</v>
      </c>
      <c r="Z515" s="7" t="s">
        <v>52</v>
      </c>
      <c r="AA515" s="7" t="s">
        <v>2668</v>
      </c>
      <c r="AB515" s="7" t="s">
        <v>44</v>
      </c>
      <c r="AC515" s="7"/>
      <c r="AD515" s="10"/>
      <c r="AE515" s="10"/>
      <c r="AF515" s="10"/>
      <c r="AG515" s="11">
        <f t="shared" si="8"/>
        <v>43274</v>
      </c>
    </row>
    <row r="516" s="8" customFormat="1" spans="1:33">
      <c r="A516" s="7" t="s">
        <v>2669</v>
      </c>
      <c r="B516" s="7" t="s">
        <v>2669</v>
      </c>
      <c r="C516" s="7" t="s">
        <v>2670</v>
      </c>
      <c r="D516" s="7" t="s">
        <v>2671</v>
      </c>
      <c r="E516" s="7" t="s">
        <v>33</v>
      </c>
      <c r="F516" s="7" t="s">
        <v>34</v>
      </c>
      <c r="G516" s="7" t="s">
        <v>35</v>
      </c>
      <c r="H516" s="7"/>
      <c r="I516" s="7"/>
      <c r="J516" s="7" t="s">
        <v>36</v>
      </c>
      <c r="K516" s="7" t="s">
        <v>164</v>
      </c>
      <c r="L516" s="7" t="s">
        <v>165</v>
      </c>
      <c r="M516" s="7" t="s">
        <v>166</v>
      </c>
      <c r="N516" s="7" t="s">
        <v>33</v>
      </c>
      <c r="O516" s="7">
        <v>1</v>
      </c>
      <c r="P516" s="7" t="s">
        <v>40</v>
      </c>
      <c r="Q516" s="7">
        <v>21.99</v>
      </c>
      <c r="R516" s="7"/>
      <c r="S516" s="7"/>
      <c r="T516" s="7"/>
      <c r="U516" s="7"/>
      <c r="V516" s="7"/>
      <c r="W516" s="7">
        <v>21.77</v>
      </c>
      <c r="X516" s="7"/>
      <c r="Y516" s="7" t="s">
        <v>2353</v>
      </c>
      <c r="Z516" s="7" t="s">
        <v>135</v>
      </c>
      <c r="AA516" s="7" t="s">
        <v>2354</v>
      </c>
      <c r="AB516" s="7" t="s">
        <v>44</v>
      </c>
      <c r="AC516" s="7" t="s">
        <v>209</v>
      </c>
      <c r="AD516" s="10"/>
      <c r="AE516" s="10"/>
      <c r="AF516" s="10"/>
      <c r="AG516" s="11">
        <f t="shared" si="8"/>
        <v>43274</v>
      </c>
    </row>
    <row r="517" s="8" customFormat="1" spans="1:33">
      <c r="A517" s="7" t="s">
        <v>2672</v>
      </c>
      <c r="B517" s="7" t="s">
        <v>2672</v>
      </c>
      <c r="C517" s="7" t="s">
        <v>2673</v>
      </c>
      <c r="D517" s="7" t="s">
        <v>2674</v>
      </c>
      <c r="E517" s="7" t="s">
        <v>33</v>
      </c>
      <c r="F517" s="7" t="s">
        <v>34</v>
      </c>
      <c r="G517" s="7" t="s">
        <v>35</v>
      </c>
      <c r="H517" s="7"/>
      <c r="I517" s="7"/>
      <c r="J517" s="7" t="s">
        <v>36</v>
      </c>
      <c r="K517" s="7" t="s">
        <v>59</v>
      </c>
      <c r="L517" s="7" t="s">
        <v>60</v>
      </c>
      <c r="M517" s="7" t="s">
        <v>61</v>
      </c>
      <c r="N517" s="7" t="s">
        <v>33</v>
      </c>
      <c r="O517" s="7">
        <v>1</v>
      </c>
      <c r="P517" s="7" t="s">
        <v>40</v>
      </c>
      <c r="Q517" s="7">
        <v>89.99</v>
      </c>
      <c r="R517" s="7"/>
      <c r="S517" s="7"/>
      <c r="T517" s="7"/>
      <c r="U517" s="7"/>
      <c r="V517" s="7"/>
      <c r="W517" s="7"/>
      <c r="X517" s="7"/>
      <c r="Y517" s="7" t="s">
        <v>2675</v>
      </c>
      <c r="Z517" s="7" t="s">
        <v>189</v>
      </c>
      <c r="AA517" s="7" t="s">
        <v>2676</v>
      </c>
      <c r="AB517" s="7" t="s">
        <v>44</v>
      </c>
      <c r="AC517" s="7"/>
      <c r="AD517" s="10"/>
      <c r="AE517" s="10"/>
      <c r="AF517" s="10"/>
      <c r="AG517" s="11">
        <f t="shared" si="8"/>
        <v>43274</v>
      </c>
    </row>
    <row r="518" s="8" customFormat="1" spans="1:33">
      <c r="A518" s="7" t="s">
        <v>2677</v>
      </c>
      <c r="B518" s="7" t="s">
        <v>2677</v>
      </c>
      <c r="C518" s="7" t="s">
        <v>2678</v>
      </c>
      <c r="D518" s="7" t="s">
        <v>2679</v>
      </c>
      <c r="E518" s="7" t="s">
        <v>33</v>
      </c>
      <c r="F518" s="7" t="s">
        <v>34</v>
      </c>
      <c r="G518" s="7" t="s">
        <v>35</v>
      </c>
      <c r="H518" s="7"/>
      <c r="I518" s="7"/>
      <c r="J518" s="7" t="s">
        <v>36</v>
      </c>
      <c r="K518" s="7" t="s">
        <v>618</v>
      </c>
      <c r="L518" s="7" t="s">
        <v>619</v>
      </c>
      <c r="M518" s="7" t="s">
        <v>620</v>
      </c>
      <c r="N518" s="7" t="s">
        <v>33</v>
      </c>
      <c r="O518" s="7">
        <v>1</v>
      </c>
      <c r="P518" s="7" t="s">
        <v>40</v>
      </c>
      <c r="Q518" s="7">
        <v>99.99</v>
      </c>
      <c r="R518" s="7"/>
      <c r="S518" s="7"/>
      <c r="T518" s="7"/>
      <c r="U518" s="7"/>
      <c r="V518" s="7"/>
      <c r="W518" s="7"/>
      <c r="X518" s="7"/>
      <c r="Y518" s="7" t="s">
        <v>2680</v>
      </c>
      <c r="Z518" s="7" t="s">
        <v>293</v>
      </c>
      <c r="AA518" s="7" t="s">
        <v>2681</v>
      </c>
      <c r="AB518" s="7" t="s">
        <v>44</v>
      </c>
      <c r="AC518" s="7"/>
      <c r="AD518" s="10"/>
      <c r="AE518" s="10"/>
      <c r="AF518" s="10"/>
      <c r="AG518" s="11">
        <f t="shared" si="8"/>
        <v>43274</v>
      </c>
    </row>
    <row r="519" s="8" customFormat="1" spans="1:33">
      <c r="A519" s="7" t="s">
        <v>2682</v>
      </c>
      <c r="B519" s="7" t="s">
        <v>2682</v>
      </c>
      <c r="C519" s="7" t="s">
        <v>2683</v>
      </c>
      <c r="D519" s="7" t="s">
        <v>2684</v>
      </c>
      <c r="E519" s="7" t="s">
        <v>33</v>
      </c>
      <c r="F519" s="7" t="s">
        <v>34</v>
      </c>
      <c r="G519" s="7" t="s">
        <v>35</v>
      </c>
      <c r="H519" s="7"/>
      <c r="I519" s="7"/>
      <c r="J519" s="7" t="s">
        <v>36</v>
      </c>
      <c r="K519" s="7" t="s">
        <v>1409</v>
      </c>
      <c r="L519" s="7" t="s">
        <v>2685</v>
      </c>
      <c r="M519" s="7" t="s">
        <v>1411</v>
      </c>
      <c r="N519" s="7" t="s">
        <v>33</v>
      </c>
      <c r="O519" s="7">
        <v>1</v>
      </c>
      <c r="P519" s="7" t="s">
        <v>40</v>
      </c>
      <c r="Q519" s="7">
        <v>32.99</v>
      </c>
      <c r="R519" s="7"/>
      <c r="S519" s="7"/>
      <c r="T519" s="7"/>
      <c r="U519" s="7"/>
      <c r="V519" s="7"/>
      <c r="W519" s="7"/>
      <c r="X519" s="7"/>
      <c r="Y519" s="7" t="s">
        <v>2686</v>
      </c>
      <c r="Z519" s="7" t="s">
        <v>189</v>
      </c>
      <c r="AA519" s="7" t="s">
        <v>2687</v>
      </c>
      <c r="AB519" s="7" t="s">
        <v>44</v>
      </c>
      <c r="AC519" s="7"/>
      <c r="AD519" s="10"/>
      <c r="AE519" s="10"/>
      <c r="AF519" s="10"/>
      <c r="AG519" s="11">
        <f t="shared" si="8"/>
        <v>43274</v>
      </c>
    </row>
    <row r="520" s="8" customFormat="1" spans="1:33">
      <c r="A520" s="7" t="s">
        <v>2688</v>
      </c>
      <c r="B520" s="7" t="s">
        <v>2688</v>
      </c>
      <c r="C520" s="7" t="s">
        <v>2689</v>
      </c>
      <c r="D520" s="7" t="s">
        <v>2690</v>
      </c>
      <c r="E520" s="7" t="s">
        <v>33</v>
      </c>
      <c r="F520" s="7" t="s">
        <v>34</v>
      </c>
      <c r="G520" s="7" t="s">
        <v>35</v>
      </c>
      <c r="H520" s="7"/>
      <c r="I520" s="7"/>
      <c r="J520" s="7" t="s">
        <v>36</v>
      </c>
      <c r="K520" s="7" t="s">
        <v>2035</v>
      </c>
      <c r="L520" s="7" t="s">
        <v>89</v>
      </c>
      <c r="M520" s="7" t="s">
        <v>90</v>
      </c>
      <c r="N520" s="7" t="s">
        <v>33</v>
      </c>
      <c r="O520" s="7">
        <v>1</v>
      </c>
      <c r="P520" s="7" t="s">
        <v>40</v>
      </c>
      <c r="Q520" s="7">
        <v>89.99</v>
      </c>
      <c r="R520" s="7"/>
      <c r="S520" s="7"/>
      <c r="T520" s="7"/>
      <c r="U520" s="7"/>
      <c r="V520" s="7"/>
      <c r="W520" s="7"/>
      <c r="X520" s="7"/>
      <c r="Y520" s="7" t="s">
        <v>73</v>
      </c>
      <c r="Z520" s="7" t="s">
        <v>64</v>
      </c>
      <c r="AA520" s="7" t="s">
        <v>2691</v>
      </c>
      <c r="AB520" s="7" t="s">
        <v>44</v>
      </c>
      <c r="AC520" s="7"/>
      <c r="AD520" s="10"/>
      <c r="AE520" s="10"/>
      <c r="AF520" s="10"/>
      <c r="AG520" s="11">
        <f t="shared" si="8"/>
        <v>43274</v>
      </c>
    </row>
    <row r="521" s="8" customFormat="1" spans="1:33">
      <c r="A521" s="7" t="s">
        <v>2692</v>
      </c>
      <c r="B521" s="7" t="s">
        <v>2692</v>
      </c>
      <c r="C521" s="7" t="s">
        <v>2693</v>
      </c>
      <c r="D521" s="7" t="s">
        <v>2694</v>
      </c>
      <c r="E521" s="7" t="s">
        <v>33</v>
      </c>
      <c r="F521" s="7" t="s">
        <v>34</v>
      </c>
      <c r="G521" s="7" t="s">
        <v>35</v>
      </c>
      <c r="H521" s="7"/>
      <c r="I521" s="7"/>
      <c r="J521" s="7" t="s">
        <v>36</v>
      </c>
      <c r="K521" s="7" t="s">
        <v>131</v>
      </c>
      <c r="L521" s="7" t="s">
        <v>132</v>
      </c>
      <c r="M521" s="7" t="s">
        <v>133</v>
      </c>
      <c r="N521" s="7" t="s">
        <v>33</v>
      </c>
      <c r="O521" s="7">
        <v>1</v>
      </c>
      <c r="P521" s="7" t="s">
        <v>40</v>
      </c>
      <c r="Q521" s="7">
        <v>89.99</v>
      </c>
      <c r="R521" s="7"/>
      <c r="S521" s="7"/>
      <c r="T521" s="7"/>
      <c r="U521" s="7"/>
      <c r="V521" s="7"/>
      <c r="W521" s="7"/>
      <c r="X521" s="7"/>
      <c r="Y521" s="7" t="s">
        <v>885</v>
      </c>
      <c r="Z521" s="7" t="s">
        <v>83</v>
      </c>
      <c r="AA521" s="7" t="s">
        <v>2695</v>
      </c>
      <c r="AB521" s="7" t="s">
        <v>44</v>
      </c>
      <c r="AC521" s="7"/>
      <c r="AD521" s="10"/>
      <c r="AE521" s="10"/>
      <c r="AF521" s="10"/>
      <c r="AG521" s="11">
        <f t="shared" si="8"/>
        <v>43274</v>
      </c>
    </row>
    <row r="522" s="8" customFormat="1" spans="1:33">
      <c r="A522" s="7" t="s">
        <v>2696</v>
      </c>
      <c r="B522" s="7" t="s">
        <v>2696</v>
      </c>
      <c r="C522" s="7" t="s">
        <v>2697</v>
      </c>
      <c r="D522" s="7" t="s">
        <v>2698</v>
      </c>
      <c r="E522" s="7" t="s">
        <v>33</v>
      </c>
      <c r="F522" s="7" t="s">
        <v>34</v>
      </c>
      <c r="G522" s="7" t="s">
        <v>35</v>
      </c>
      <c r="H522" s="7"/>
      <c r="I522" s="7"/>
      <c r="J522" s="7" t="s">
        <v>69</v>
      </c>
      <c r="K522" s="7" t="s">
        <v>364</v>
      </c>
      <c r="L522" s="7" t="s">
        <v>2028</v>
      </c>
      <c r="M522" s="7" t="s">
        <v>2029</v>
      </c>
      <c r="N522" s="7" t="s">
        <v>33</v>
      </c>
      <c r="O522" s="7">
        <v>1</v>
      </c>
      <c r="P522" s="7" t="s">
        <v>40</v>
      </c>
      <c r="Q522" s="7">
        <v>82.99</v>
      </c>
      <c r="R522" s="7"/>
      <c r="S522" s="7">
        <v>8.39</v>
      </c>
      <c r="T522" s="7"/>
      <c r="U522" s="7"/>
      <c r="V522" s="7"/>
      <c r="W522" s="7"/>
      <c r="X522" s="7"/>
      <c r="Y522" s="7" t="s">
        <v>2699</v>
      </c>
      <c r="Z522" s="7" t="s">
        <v>1342</v>
      </c>
      <c r="AA522" s="7" t="s">
        <v>2700</v>
      </c>
      <c r="AB522" s="7" t="s">
        <v>44</v>
      </c>
      <c r="AC522" s="7"/>
      <c r="AD522" s="10"/>
      <c r="AE522" s="10"/>
      <c r="AF522" s="10"/>
      <c r="AG522" s="11">
        <f t="shared" si="8"/>
        <v>43274</v>
      </c>
    </row>
    <row r="523" s="8" customFormat="1" spans="1:33">
      <c r="A523" s="7" t="s">
        <v>2701</v>
      </c>
      <c r="B523" s="7" t="s">
        <v>2701</v>
      </c>
      <c r="C523" s="7" t="s">
        <v>2702</v>
      </c>
      <c r="D523" s="7" t="s">
        <v>2703</v>
      </c>
      <c r="E523" s="7" t="s">
        <v>33</v>
      </c>
      <c r="F523" s="7" t="s">
        <v>34</v>
      </c>
      <c r="G523" s="7" t="s">
        <v>35</v>
      </c>
      <c r="H523" s="7"/>
      <c r="I523" s="7"/>
      <c r="J523" s="7" t="s">
        <v>36</v>
      </c>
      <c r="K523" s="7" t="s">
        <v>37</v>
      </c>
      <c r="L523" s="7" t="s">
        <v>38</v>
      </c>
      <c r="M523" s="7" t="s">
        <v>39</v>
      </c>
      <c r="N523" s="7" t="s">
        <v>33</v>
      </c>
      <c r="O523" s="7">
        <v>1</v>
      </c>
      <c r="P523" s="7" t="s">
        <v>40</v>
      </c>
      <c r="Q523" s="7">
        <v>89.99</v>
      </c>
      <c r="R523" s="7"/>
      <c r="S523" s="7"/>
      <c r="T523" s="7"/>
      <c r="U523" s="7"/>
      <c r="V523" s="7"/>
      <c r="W523" s="7"/>
      <c r="X523" s="7"/>
      <c r="Y523" s="7" t="s">
        <v>2704</v>
      </c>
      <c r="Z523" s="7" t="s">
        <v>541</v>
      </c>
      <c r="AA523" s="7" t="s">
        <v>2705</v>
      </c>
      <c r="AB523" s="7" t="s">
        <v>44</v>
      </c>
      <c r="AC523" s="7"/>
      <c r="AD523" s="10"/>
      <c r="AE523" s="10"/>
      <c r="AF523" s="10"/>
      <c r="AG523" s="11">
        <f t="shared" si="8"/>
        <v>43274</v>
      </c>
    </row>
    <row r="524" s="8" customFormat="1" spans="1:33">
      <c r="A524" s="7" t="s">
        <v>2706</v>
      </c>
      <c r="B524" s="7" t="s">
        <v>2706</v>
      </c>
      <c r="C524" s="7" t="s">
        <v>2707</v>
      </c>
      <c r="D524" s="7" t="s">
        <v>2708</v>
      </c>
      <c r="E524" s="7" t="s">
        <v>33</v>
      </c>
      <c r="F524" s="7" t="s">
        <v>34</v>
      </c>
      <c r="G524" s="7" t="s">
        <v>35</v>
      </c>
      <c r="H524" s="7"/>
      <c r="I524" s="7"/>
      <c r="J524" s="7" t="s">
        <v>163</v>
      </c>
      <c r="K524" s="7" t="s">
        <v>79</v>
      </c>
      <c r="L524" s="7" t="s">
        <v>80</v>
      </c>
      <c r="M524" s="7" t="s">
        <v>81</v>
      </c>
      <c r="N524" s="7" t="s">
        <v>33</v>
      </c>
      <c r="O524" s="7">
        <v>1</v>
      </c>
      <c r="P524" s="7" t="s">
        <v>40</v>
      </c>
      <c r="Q524" s="7">
        <v>91.99</v>
      </c>
      <c r="R524" s="7"/>
      <c r="S524" s="7">
        <v>5.99</v>
      </c>
      <c r="T524" s="7"/>
      <c r="U524" s="7"/>
      <c r="V524" s="7"/>
      <c r="W524" s="7"/>
      <c r="X524" s="7">
        <v>5.99</v>
      </c>
      <c r="Y524" s="7" t="s">
        <v>2709</v>
      </c>
      <c r="Z524" s="7" t="s">
        <v>83</v>
      </c>
      <c r="AA524" s="7" t="s">
        <v>2710</v>
      </c>
      <c r="AB524" s="7" t="s">
        <v>44</v>
      </c>
      <c r="AC524" s="7"/>
      <c r="AD524" s="10"/>
      <c r="AE524" s="10"/>
      <c r="AF524" s="10"/>
      <c r="AG524" s="11">
        <f t="shared" si="8"/>
        <v>43274</v>
      </c>
    </row>
    <row r="525" s="8" customFormat="1" spans="1:33">
      <c r="A525" s="7" t="s">
        <v>2711</v>
      </c>
      <c r="B525" s="7" t="s">
        <v>2711</v>
      </c>
      <c r="C525" s="7" t="s">
        <v>2712</v>
      </c>
      <c r="D525" s="7" t="s">
        <v>2713</v>
      </c>
      <c r="E525" s="7" t="s">
        <v>33</v>
      </c>
      <c r="F525" s="7" t="s">
        <v>34</v>
      </c>
      <c r="G525" s="7" t="s">
        <v>35</v>
      </c>
      <c r="H525" s="7"/>
      <c r="I525" s="7"/>
      <c r="J525" s="7" t="s">
        <v>36</v>
      </c>
      <c r="K525" s="7" t="s">
        <v>148</v>
      </c>
      <c r="L525" s="7" t="s">
        <v>149</v>
      </c>
      <c r="M525" s="7" t="s">
        <v>150</v>
      </c>
      <c r="N525" s="7" t="s">
        <v>33</v>
      </c>
      <c r="O525" s="7">
        <v>1</v>
      </c>
      <c r="P525" s="7" t="s">
        <v>40</v>
      </c>
      <c r="Q525" s="7">
        <v>98.99</v>
      </c>
      <c r="R525" s="7"/>
      <c r="S525" s="7"/>
      <c r="T525" s="7"/>
      <c r="U525" s="7"/>
      <c r="V525" s="7"/>
      <c r="W525" s="7"/>
      <c r="X525" s="7"/>
      <c r="Y525" s="7" t="s">
        <v>2714</v>
      </c>
      <c r="Z525" s="7" t="s">
        <v>83</v>
      </c>
      <c r="AA525" s="7" t="s">
        <v>2715</v>
      </c>
      <c r="AB525" s="7" t="s">
        <v>44</v>
      </c>
      <c r="AC525" s="7"/>
      <c r="AD525" s="10"/>
      <c r="AE525" s="10"/>
      <c r="AF525" s="10"/>
      <c r="AG525" s="11">
        <f t="shared" si="8"/>
        <v>43274</v>
      </c>
    </row>
    <row r="526" s="8" customFormat="1" spans="1:33">
      <c r="A526" s="7" t="s">
        <v>2716</v>
      </c>
      <c r="B526" s="7" t="s">
        <v>2716</v>
      </c>
      <c r="C526" s="7" t="s">
        <v>2717</v>
      </c>
      <c r="D526" s="7" t="s">
        <v>2718</v>
      </c>
      <c r="E526" s="7" t="s">
        <v>33</v>
      </c>
      <c r="F526" s="7" t="s">
        <v>34</v>
      </c>
      <c r="G526" s="7" t="s">
        <v>35</v>
      </c>
      <c r="H526" s="7"/>
      <c r="I526" s="7"/>
      <c r="J526" s="7" t="s">
        <v>36</v>
      </c>
      <c r="K526" s="7" t="s">
        <v>59</v>
      </c>
      <c r="L526" s="7" t="s">
        <v>60</v>
      </c>
      <c r="M526" s="7" t="s">
        <v>61</v>
      </c>
      <c r="N526" s="7" t="s">
        <v>33</v>
      </c>
      <c r="O526" s="7">
        <v>1</v>
      </c>
      <c r="P526" s="7" t="s">
        <v>40</v>
      </c>
      <c r="Q526" s="7">
        <v>89.99</v>
      </c>
      <c r="R526" s="7"/>
      <c r="S526" s="7"/>
      <c r="T526" s="7"/>
      <c r="U526" s="7"/>
      <c r="V526" s="7"/>
      <c r="W526" s="7"/>
      <c r="X526" s="7"/>
      <c r="Y526" s="7" t="s">
        <v>2719</v>
      </c>
      <c r="Z526" s="7" t="s">
        <v>990</v>
      </c>
      <c r="AA526" s="7" t="s">
        <v>2720</v>
      </c>
      <c r="AB526" s="7" t="s">
        <v>44</v>
      </c>
      <c r="AC526" s="7"/>
      <c r="AD526" s="10"/>
      <c r="AE526" s="10"/>
      <c r="AF526" s="10"/>
      <c r="AG526" s="11">
        <f t="shared" si="8"/>
        <v>43274</v>
      </c>
    </row>
    <row r="527" s="8" customFormat="1" spans="1:33">
      <c r="A527" s="7" t="s">
        <v>2721</v>
      </c>
      <c r="B527" s="7" t="s">
        <v>2721</v>
      </c>
      <c r="C527" s="7" t="s">
        <v>2722</v>
      </c>
      <c r="D527" s="7" t="s">
        <v>2723</v>
      </c>
      <c r="E527" s="7" t="s">
        <v>33</v>
      </c>
      <c r="F527" s="7" t="s">
        <v>34</v>
      </c>
      <c r="G527" s="7" t="s">
        <v>35</v>
      </c>
      <c r="H527" s="7"/>
      <c r="I527" s="7"/>
      <c r="J527" s="7" t="s">
        <v>69</v>
      </c>
      <c r="K527" s="7" t="s">
        <v>2322</v>
      </c>
      <c r="L527" s="7" t="s">
        <v>138</v>
      </c>
      <c r="M527" s="7" t="s">
        <v>139</v>
      </c>
      <c r="N527" s="7" t="s">
        <v>33</v>
      </c>
      <c r="O527" s="7">
        <v>1</v>
      </c>
      <c r="P527" s="7" t="s">
        <v>40</v>
      </c>
      <c r="Q527" s="7">
        <v>99.99</v>
      </c>
      <c r="R527" s="7"/>
      <c r="S527" s="7">
        <v>3.39</v>
      </c>
      <c r="T527" s="7"/>
      <c r="U527" s="7"/>
      <c r="V527" s="7"/>
      <c r="W527" s="7"/>
      <c r="X527" s="7"/>
      <c r="Y527" s="7" t="s">
        <v>51</v>
      </c>
      <c r="Z527" s="7" t="s">
        <v>52</v>
      </c>
      <c r="AA527" s="7" t="s">
        <v>2724</v>
      </c>
      <c r="AB527" s="7" t="s">
        <v>44</v>
      </c>
      <c r="AC527" s="7"/>
      <c r="AD527" s="10"/>
      <c r="AE527" s="10"/>
      <c r="AF527" s="10"/>
      <c r="AG527" s="11">
        <f t="shared" si="8"/>
        <v>43274</v>
      </c>
    </row>
    <row r="528" s="8" customFormat="1" spans="1:33">
      <c r="A528" s="7" t="s">
        <v>2725</v>
      </c>
      <c r="B528" s="7" t="s">
        <v>2725</v>
      </c>
      <c r="C528" s="7" t="s">
        <v>2726</v>
      </c>
      <c r="D528" s="7" t="s">
        <v>2727</v>
      </c>
      <c r="E528" s="7" t="s">
        <v>33</v>
      </c>
      <c r="F528" s="7" t="s">
        <v>34</v>
      </c>
      <c r="G528" s="7" t="s">
        <v>35</v>
      </c>
      <c r="H528" s="7"/>
      <c r="I528" s="7"/>
      <c r="J528" s="7" t="s">
        <v>36</v>
      </c>
      <c r="K528" s="7" t="s">
        <v>1772</v>
      </c>
      <c r="L528" s="7" t="s">
        <v>1773</v>
      </c>
      <c r="M528" s="7" t="s">
        <v>1774</v>
      </c>
      <c r="N528" s="7" t="s">
        <v>33</v>
      </c>
      <c r="O528" s="7">
        <v>1</v>
      </c>
      <c r="P528" s="7" t="s">
        <v>40</v>
      </c>
      <c r="Q528" s="7">
        <v>89.99</v>
      </c>
      <c r="R528" s="7"/>
      <c r="S528" s="7"/>
      <c r="T528" s="7"/>
      <c r="U528" s="7"/>
      <c r="V528" s="7"/>
      <c r="W528" s="7"/>
      <c r="X528" s="7"/>
      <c r="Y528" s="7" t="s">
        <v>2728</v>
      </c>
      <c r="Z528" s="7" t="s">
        <v>348</v>
      </c>
      <c r="AA528" s="7">
        <v>43964</v>
      </c>
      <c r="AB528" s="7" t="s">
        <v>44</v>
      </c>
      <c r="AC528" s="7"/>
      <c r="AD528" s="10"/>
      <c r="AE528" s="10"/>
      <c r="AF528" s="10"/>
      <c r="AG528" s="11">
        <f t="shared" si="8"/>
        <v>43274</v>
      </c>
    </row>
    <row r="529" s="8" customFormat="1" spans="1:33">
      <c r="A529" s="7" t="s">
        <v>2729</v>
      </c>
      <c r="B529" s="7" t="s">
        <v>2729</v>
      </c>
      <c r="C529" s="7" t="s">
        <v>2730</v>
      </c>
      <c r="D529" s="7" t="s">
        <v>2731</v>
      </c>
      <c r="E529" s="7" t="s">
        <v>33</v>
      </c>
      <c r="F529" s="7" t="s">
        <v>34</v>
      </c>
      <c r="G529" s="7" t="s">
        <v>35</v>
      </c>
      <c r="H529" s="7"/>
      <c r="I529" s="7"/>
      <c r="J529" s="7" t="s">
        <v>36</v>
      </c>
      <c r="K529" s="7" t="s">
        <v>1517</v>
      </c>
      <c r="L529" s="7" t="s">
        <v>1518</v>
      </c>
      <c r="M529" s="7" t="s">
        <v>1519</v>
      </c>
      <c r="N529" s="7" t="s">
        <v>33</v>
      </c>
      <c r="O529" s="7">
        <v>1</v>
      </c>
      <c r="P529" s="7" t="s">
        <v>40</v>
      </c>
      <c r="Q529" s="7">
        <v>89.99</v>
      </c>
      <c r="R529" s="7"/>
      <c r="S529" s="7"/>
      <c r="T529" s="7"/>
      <c r="U529" s="7"/>
      <c r="V529" s="7"/>
      <c r="W529" s="7"/>
      <c r="X529" s="7"/>
      <c r="Y529" s="7" t="s">
        <v>2732</v>
      </c>
      <c r="Z529" s="7" t="s">
        <v>271</v>
      </c>
      <c r="AA529" s="7">
        <v>33351</v>
      </c>
      <c r="AB529" s="7" t="s">
        <v>44</v>
      </c>
      <c r="AC529" s="7"/>
      <c r="AD529" s="10"/>
      <c r="AE529" s="10"/>
      <c r="AF529" s="10"/>
      <c r="AG529" s="11">
        <f t="shared" si="8"/>
        <v>43274</v>
      </c>
    </row>
    <row r="530" s="8" customFormat="1" spans="1:33">
      <c r="A530" s="7" t="s">
        <v>2733</v>
      </c>
      <c r="B530" s="7" t="s">
        <v>2733</v>
      </c>
      <c r="C530" s="7" t="s">
        <v>2734</v>
      </c>
      <c r="D530" s="7" t="s">
        <v>2735</v>
      </c>
      <c r="E530" s="7" t="s">
        <v>33</v>
      </c>
      <c r="F530" s="7" t="s">
        <v>34</v>
      </c>
      <c r="G530" s="7" t="s">
        <v>35</v>
      </c>
      <c r="H530" s="7"/>
      <c r="I530" s="7"/>
      <c r="J530" s="7" t="s">
        <v>36</v>
      </c>
      <c r="K530" s="7" t="s">
        <v>2035</v>
      </c>
      <c r="L530" s="7" t="s">
        <v>89</v>
      </c>
      <c r="M530" s="7" t="s">
        <v>90</v>
      </c>
      <c r="N530" s="7" t="s">
        <v>33</v>
      </c>
      <c r="O530" s="7">
        <v>1</v>
      </c>
      <c r="P530" s="7" t="s">
        <v>40</v>
      </c>
      <c r="Q530" s="7">
        <v>89.99</v>
      </c>
      <c r="R530" s="7"/>
      <c r="S530" s="7"/>
      <c r="T530" s="7"/>
      <c r="U530" s="7"/>
      <c r="V530" s="7"/>
      <c r="W530" s="7"/>
      <c r="X530" s="7"/>
      <c r="Y530" s="7" t="s">
        <v>2736</v>
      </c>
      <c r="Z530" s="7" t="s">
        <v>207</v>
      </c>
      <c r="AA530" s="7" t="s">
        <v>2737</v>
      </c>
      <c r="AB530" s="7" t="s">
        <v>44</v>
      </c>
      <c r="AC530" s="7"/>
      <c r="AD530" s="10"/>
      <c r="AE530" s="10"/>
      <c r="AF530" s="10"/>
      <c r="AG530" s="11">
        <f t="shared" si="8"/>
        <v>43274</v>
      </c>
    </row>
    <row r="531" s="8" customFormat="1" spans="1:33">
      <c r="A531" s="7" t="s">
        <v>2738</v>
      </c>
      <c r="B531" s="7" t="s">
        <v>2738</v>
      </c>
      <c r="C531" s="7" t="s">
        <v>2739</v>
      </c>
      <c r="D531" s="7" t="s">
        <v>2740</v>
      </c>
      <c r="E531" s="7" t="s">
        <v>54</v>
      </c>
      <c r="F531" s="7" t="s">
        <v>34</v>
      </c>
      <c r="G531" s="7" t="s">
        <v>35</v>
      </c>
      <c r="H531" s="7"/>
      <c r="I531" s="7"/>
      <c r="J531" s="7" t="s">
        <v>69</v>
      </c>
      <c r="K531" s="7" t="s">
        <v>2625</v>
      </c>
      <c r="L531" s="7" t="s">
        <v>2626</v>
      </c>
      <c r="M531" s="7" t="s">
        <v>2627</v>
      </c>
      <c r="N531" s="7" t="s">
        <v>62</v>
      </c>
      <c r="O531" s="7">
        <v>1</v>
      </c>
      <c r="P531" s="7" t="s">
        <v>40</v>
      </c>
      <c r="Q531" s="7">
        <v>26.99</v>
      </c>
      <c r="R531" s="7"/>
      <c r="S531" s="7"/>
      <c r="T531" s="7"/>
      <c r="U531" s="7"/>
      <c r="V531" s="7"/>
      <c r="W531" s="7"/>
      <c r="X531" s="7"/>
      <c r="Y531" s="7" t="s">
        <v>2741</v>
      </c>
      <c r="Z531" s="7" t="s">
        <v>152</v>
      </c>
      <c r="AA531" s="7" t="s">
        <v>2742</v>
      </c>
      <c r="AB531" s="7" t="s">
        <v>44</v>
      </c>
      <c r="AC531" s="7"/>
      <c r="AD531" s="10"/>
      <c r="AE531" s="10"/>
      <c r="AF531" s="10"/>
      <c r="AG531" s="11">
        <f t="shared" si="8"/>
        <v>43274</v>
      </c>
    </row>
    <row r="532" s="8" customFormat="1" spans="1:33">
      <c r="A532" s="7" t="s">
        <v>2743</v>
      </c>
      <c r="B532" s="7" t="s">
        <v>2743</v>
      </c>
      <c r="C532" s="7" t="s">
        <v>2744</v>
      </c>
      <c r="D532" s="7" t="s">
        <v>2745</v>
      </c>
      <c r="E532" s="7" t="s">
        <v>33</v>
      </c>
      <c r="F532" s="7" t="s">
        <v>34</v>
      </c>
      <c r="G532" s="7" t="s">
        <v>35</v>
      </c>
      <c r="H532" s="7"/>
      <c r="I532" s="7"/>
      <c r="J532" s="7" t="s">
        <v>36</v>
      </c>
      <c r="K532" s="7" t="s">
        <v>148</v>
      </c>
      <c r="L532" s="7" t="s">
        <v>149</v>
      </c>
      <c r="M532" s="7" t="s">
        <v>150</v>
      </c>
      <c r="N532" s="7" t="s">
        <v>33</v>
      </c>
      <c r="O532" s="7">
        <v>1</v>
      </c>
      <c r="P532" s="7" t="s">
        <v>40</v>
      </c>
      <c r="Q532" s="7">
        <v>98.99</v>
      </c>
      <c r="R532" s="7">
        <v>7.72</v>
      </c>
      <c r="S532" s="7"/>
      <c r="T532" s="7"/>
      <c r="U532" s="7"/>
      <c r="V532" s="7"/>
      <c r="W532" s="7"/>
      <c r="X532" s="7"/>
      <c r="Y532" s="7" t="s">
        <v>2401</v>
      </c>
      <c r="Z532" s="7" t="s">
        <v>97</v>
      </c>
      <c r="AA532" s="7" t="s">
        <v>2746</v>
      </c>
      <c r="AB532" s="7" t="s">
        <v>44</v>
      </c>
      <c r="AC532" s="7"/>
      <c r="AD532" s="10"/>
      <c r="AE532" s="10"/>
      <c r="AF532" s="10"/>
      <c r="AG532" s="11">
        <f t="shared" si="8"/>
        <v>43274</v>
      </c>
    </row>
    <row r="533" s="8" customFormat="1" spans="1:33">
      <c r="A533" s="7" t="s">
        <v>2747</v>
      </c>
      <c r="B533" s="7" t="s">
        <v>2747</v>
      </c>
      <c r="C533" s="7" t="s">
        <v>2748</v>
      </c>
      <c r="D533" s="7" t="s">
        <v>2749</v>
      </c>
      <c r="E533" s="7" t="s">
        <v>33</v>
      </c>
      <c r="F533" s="7" t="s">
        <v>34</v>
      </c>
      <c r="G533" s="7" t="s">
        <v>35</v>
      </c>
      <c r="H533" s="7"/>
      <c r="I533" s="7"/>
      <c r="J533" s="7" t="s">
        <v>36</v>
      </c>
      <c r="K533" s="7" t="s">
        <v>546</v>
      </c>
      <c r="L533" s="7" t="s">
        <v>547</v>
      </c>
      <c r="M533" s="7" t="s">
        <v>548</v>
      </c>
      <c r="N533" s="7" t="s">
        <v>33</v>
      </c>
      <c r="O533" s="7">
        <v>1</v>
      </c>
      <c r="P533" s="7" t="s">
        <v>40</v>
      </c>
      <c r="Q533" s="7">
        <v>89.99</v>
      </c>
      <c r="R533" s="7"/>
      <c r="S533" s="7"/>
      <c r="T533" s="7"/>
      <c r="U533" s="7"/>
      <c r="V533" s="7"/>
      <c r="W533" s="7">
        <v>10</v>
      </c>
      <c r="X533" s="7"/>
      <c r="Y533" s="7" t="s">
        <v>2750</v>
      </c>
      <c r="Z533" s="7" t="s">
        <v>64</v>
      </c>
      <c r="AA533" s="7" t="s">
        <v>2751</v>
      </c>
      <c r="AB533" s="7" t="s">
        <v>44</v>
      </c>
      <c r="AC533" s="7" t="s">
        <v>2752</v>
      </c>
      <c r="AD533" s="10"/>
      <c r="AE533" s="10"/>
      <c r="AF533" s="10"/>
      <c r="AG533" s="11">
        <f t="shared" si="8"/>
        <v>43274</v>
      </c>
    </row>
    <row r="534" s="8" customFormat="1" spans="1:33">
      <c r="A534" s="7" t="s">
        <v>2753</v>
      </c>
      <c r="B534" s="7" t="s">
        <v>2753</v>
      </c>
      <c r="C534" s="7" t="s">
        <v>2754</v>
      </c>
      <c r="D534" s="7" t="s">
        <v>2755</v>
      </c>
      <c r="E534" s="7" t="s">
        <v>33</v>
      </c>
      <c r="F534" s="7" t="s">
        <v>34</v>
      </c>
      <c r="G534" s="7" t="s">
        <v>35</v>
      </c>
      <c r="H534" s="7"/>
      <c r="I534" s="7"/>
      <c r="J534" s="7" t="s">
        <v>36</v>
      </c>
      <c r="K534" s="7" t="s">
        <v>37</v>
      </c>
      <c r="L534" s="7" t="s">
        <v>38</v>
      </c>
      <c r="M534" s="7" t="s">
        <v>39</v>
      </c>
      <c r="N534" s="7" t="s">
        <v>33</v>
      </c>
      <c r="O534" s="7">
        <v>1</v>
      </c>
      <c r="P534" s="7" t="s">
        <v>40</v>
      </c>
      <c r="Q534" s="7">
        <v>89.99</v>
      </c>
      <c r="R534" s="7"/>
      <c r="S534" s="7"/>
      <c r="T534" s="7"/>
      <c r="U534" s="7"/>
      <c r="V534" s="7"/>
      <c r="W534" s="7"/>
      <c r="X534" s="7"/>
      <c r="Y534" s="7" t="s">
        <v>2756</v>
      </c>
      <c r="Z534" s="7" t="s">
        <v>299</v>
      </c>
      <c r="AA534" s="7" t="s">
        <v>2757</v>
      </c>
      <c r="AB534" s="7" t="s">
        <v>44</v>
      </c>
      <c r="AC534" s="7"/>
      <c r="AD534" s="10"/>
      <c r="AE534" s="10"/>
      <c r="AF534" s="10"/>
      <c r="AG534" s="11">
        <f t="shared" si="8"/>
        <v>43274</v>
      </c>
    </row>
    <row r="535" s="8" customFormat="1" spans="1:33">
      <c r="A535" s="7" t="s">
        <v>2758</v>
      </c>
      <c r="B535" s="7" t="s">
        <v>2758</v>
      </c>
      <c r="C535" s="7" t="s">
        <v>2759</v>
      </c>
      <c r="D535" s="7" t="s">
        <v>2760</v>
      </c>
      <c r="E535" s="7" t="s">
        <v>33</v>
      </c>
      <c r="F535" s="7" t="s">
        <v>34</v>
      </c>
      <c r="G535" s="7" t="s">
        <v>35</v>
      </c>
      <c r="H535" s="7"/>
      <c r="I535" s="7"/>
      <c r="J535" s="7" t="s">
        <v>36</v>
      </c>
      <c r="K535" s="7" t="s">
        <v>364</v>
      </c>
      <c r="L535" s="7" t="s">
        <v>2028</v>
      </c>
      <c r="M535" s="7" t="s">
        <v>2029</v>
      </c>
      <c r="N535" s="7" t="s">
        <v>33</v>
      </c>
      <c r="O535" s="7">
        <v>1</v>
      </c>
      <c r="P535" s="7" t="s">
        <v>40</v>
      </c>
      <c r="Q535" s="7">
        <v>82.99</v>
      </c>
      <c r="R535" s="7"/>
      <c r="S535" s="7"/>
      <c r="T535" s="7"/>
      <c r="U535" s="7"/>
      <c r="V535" s="7"/>
      <c r="W535" s="7"/>
      <c r="X535" s="7"/>
      <c r="Y535" s="7" t="s">
        <v>359</v>
      </c>
      <c r="Z535" s="7" t="s">
        <v>230</v>
      </c>
      <c r="AA535" s="7" t="s">
        <v>2761</v>
      </c>
      <c r="AB535" s="7" t="s">
        <v>44</v>
      </c>
      <c r="AC535" s="7"/>
      <c r="AD535" s="10"/>
      <c r="AE535" s="10"/>
      <c r="AF535" s="10"/>
      <c r="AG535" s="11">
        <f t="shared" si="8"/>
        <v>43274</v>
      </c>
    </row>
    <row r="536" s="8" customFormat="1" spans="1:33">
      <c r="A536" s="7" t="s">
        <v>2762</v>
      </c>
      <c r="B536" s="7" t="s">
        <v>2762</v>
      </c>
      <c r="C536" s="7" t="s">
        <v>2763</v>
      </c>
      <c r="D536" s="7" t="s">
        <v>2764</v>
      </c>
      <c r="E536" s="7" t="s">
        <v>33</v>
      </c>
      <c r="F536" s="7" t="s">
        <v>34</v>
      </c>
      <c r="G536" s="7" t="s">
        <v>35</v>
      </c>
      <c r="H536" s="7"/>
      <c r="I536" s="7"/>
      <c r="J536" s="7" t="s">
        <v>36</v>
      </c>
      <c r="K536" s="7" t="s">
        <v>79</v>
      </c>
      <c r="L536" s="7" t="s">
        <v>80</v>
      </c>
      <c r="M536" s="7" t="s">
        <v>81</v>
      </c>
      <c r="N536" s="7" t="s">
        <v>33</v>
      </c>
      <c r="O536" s="7">
        <v>1</v>
      </c>
      <c r="P536" s="7" t="s">
        <v>40</v>
      </c>
      <c r="Q536" s="7">
        <v>91.99</v>
      </c>
      <c r="R536" s="7"/>
      <c r="S536" s="7"/>
      <c r="T536" s="7"/>
      <c r="U536" s="7"/>
      <c r="V536" s="7"/>
      <c r="W536" s="7"/>
      <c r="X536" s="7"/>
      <c r="Y536" s="7" t="s">
        <v>2765</v>
      </c>
      <c r="Z536" s="7" t="s">
        <v>52</v>
      </c>
      <c r="AA536" s="7" t="s">
        <v>2766</v>
      </c>
      <c r="AB536" s="7" t="s">
        <v>44</v>
      </c>
      <c r="AC536" s="7"/>
      <c r="AD536" s="10"/>
      <c r="AE536" s="10"/>
      <c r="AF536" s="10"/>
      <c r="AG536" s="11">
        <f t="shared" si="8"/>
        <v>43274</v>
      </c>
    </row>
    <row r="537" s="8" customFormat="1" spans="1:33">
      <c r="A537" s="7" t="s">
        <v>2767</v>
      </c>
      <c r="B537" s="7" t="s">
        <v>2767</v>
      </c>
      <c r="C537" s="7" t="s">
        <v>2768</v>
      </c>
      <c r="D537" s="7" t="s">
        <v>2769</v>
      </c>
      <c r="E537" s="7" t="s">
        <v>33</v>
      </c>
      <c r="F537" s="7" t="s">
        <v>34</v>
      </c>
      <c r="G537" s="7" t="s">
        <v>35</v>
      </c>
      <c r="H537" s="7"/>
      <c r="I537" s="7"/>
      <c r="J537" s="7" t="s">
        <v>69</v>
      </c>
      <c r="K537" s="7" t="s">
        <v>79</v>
      </c>
      <c r="L537" s="7" t="s">
        <v>80</v>
      </c>
      <c r="M537" s="7" t="s">
        <v>81</v>
      </c>
      <c r="N537" s="7" t="s">
        <v>33</v>
      </c>
      <c r="O537" s="7">
        <v>2</v>
      </c>
      <c r="P537" s="7" t="s">
        <v>40</v>
      </c>
      <c r="Q537" s="7">
        <v>183.98</v>
      </c>
      <c r="R537" s="7"/>
      <c r="S537" s="7">
        <v>5.02</v>
      </c>
      <c r="T537" s="7"/>
      <c r="U537" s="7"/>
      <c r="V537" s="7"/>
      <c r="W537" s="7"/>
      <c r="X537" s="7">
        <v>5.02</v>
      </c>
      <c r="Y537" s="7" t="s">
        <v>2770</v>
      </c>
      <c r="Z537" s="7" t="s">
        <v>92</v>
      </c>
      <c r="AA537" s="7" t="s">
        <v>2771</v>
      </c>
      <c r="AB537" s="7" t="s">
        <v>44</v>
      </c>
      <c r="AC537" s="7" t="s">
        <v>75</v>
      </c>
      <c r="AD537" s="10"/>
      <c r="AE537" s="10"/>
      <c r="AF537" s="10"/>
      <c r="AG537" s="11">
        <f t="shared" si="8"/>
        <v>43274</v>
      </c>
    </row>
    <row r="538" s="8" customFormat="1" spans="1:33">
      <c r="A538" s="7" t="s">
        <v>2772</v>
      </c>
      <c r="B538" s="7" t="s">
        <v>2772</v>
      </c>
      <c r="C538" s="7" t="s">
        <v>2773</v>
      </c>
      <c r="D538" s="7" t="s">
        <v>2774</v>
      </c>
      <c r="E538" s="7" t="s">
        <v>33</v>
      </c>
      <c r="F538" s="7" t="s">
        <v>34</v>
      </c>
      <c r="G538" s="7" t="s">
        <v>35</v>
      </c>
      <c r="H538" s="7"/>
      <c r="I538" s="7"/>
      <c r="J538" s="7" t="s">
        <v>36</v>
      </c>
      <c r="K538" s="7" t="s">
        <v>1700</v>
      </c>
      <c r="L538" s="7" t="s">
        <v>1701</v>
      </c>
      <c r="M538" s="7" t="s">
        <v>1702</v>
      </c>
      <c r="N538" s="7" t="s">
        <v>33</v>
      </c>
      <c r="O538" s="7">
        <v>1</v>
      </c>
      <c r="P538" s="7" t="s">
        <v>40</v>
      </c>
      <c r="Q538" s="7">
        <v>99.99</v>
      </c>
      <c r="R538" s="7"/>
      <c r="S538" s="7"/>
      <c r="T538" s="7"/>
      <c r="U538" s="7"/>
      <c r="V538" s="7"/>
      <c r="W538" s="7"/>
      <c r="X538" s="7"/>
      <c r="Y538" s="7" t="s">
        <v>1073</v>
      </c>
      <c r="Z538" s="7" t="s">
        <v>64</v>
      </c>
      <c r="AA538" s="7" t="s">
        <v>2775</v>
      </c>
      <c r="AB538" s="7" t="s">
        <v>44</v>
      </c>
      <c r="AC538" s="7"/>
      <c r="AD538" s="10"/>
      <c r="AE538" s="10"/>
      <c r="AF538" s="10"/>
      <c r="AG538" s="11">
        <f t="shared" si="8"/>
        <v>43274</v>
      </c>
    </row>
    <row r="539" s="8" customFormat="1" spans="1:33">
      <c r="A539" s="7" t="s">
        <v>2776</v>
      </c>
      <c r="B539" s="7" t="s">
        <v>2776</v>
      </c>
      <c r="C539" s="7" t="s">
        <v>2777</v>
      </c>
      <c r="D539" s="7" t="s">
        <v>2778</v>
      </c>
      <c r="E539" s="7" t="s">
        <v>33</v>
      </c>
      <c r="F539" s="7" t="s">
        <v>34</v>
      </c>
      <c r="G539" s="7" t="s">
        <v>35</v>
      </c>
      <c r="H539" s="7"/>
      <c r="I539" s="7"/>
      <c r="J539" s="7" t="s">
        <v>36</v>
      </c>
      <c r="K539" s="7" t="s">
        <v>275</v>
      </c>
      <c r="L539" s="7" t="s">
        <v>276</v>
      </c>
      <c r="M539" s="7" t="s">
        <v>277</v>
      </c>
      <c r="N539" s="7" t="s">
        <v>33</v>
      </c>
      <c r="O539" s="7">
        <v>1</v>
      </c>
      <c r="P539" s="7" t="s">
        <v>40</v>
      </c>
      <c r="Q539" s="7">
        <v>89.99</v>
      </c>
      <c r="R539" s="7"/>
      <c r="S539" s="7"/>
      <c r="T539" s="7"/>
      <c r="U539" s="7"/>
      <c r="V539" s="7"/>
      <c r="W539" s="7"/>
      <c r="X539" s="7"/>
      <c r="Y539" s="7" t="s">
        <v>2779</v>
      </c>
      <c r="Z539" s="7" t="s">
        <v>52</v>
      </c>
      <c r="AA539" s="7" t="s">
        <v>2780</v>
      </c>
      <c r="AB539" s="7" t="s">
        <v>44</v>
      </c>
      <c r="AC539" s="7"/>
      <c r="AD539" s="10"/>
      <c r="AE539" s="10"/>
      <c r="AF539" s="10"/>
      <c r="AG539" s="11">
        <f t="shared" si="8"/>
        <v>43274</v>
      </c>
    </row>
    <row r="540" s="8" customFormat="1" spans="1:33">
      <c r="A540" s="7" t="s">
        <v>2781</v>
      </c>
      <c r="B540" s="7" t="s">
        <v>2781</v>
      </c>
      <c r="C540" s="7" t="s">
        <v>2782</v>
      </c>
      <c r="D540" s="7" t="s">
        <v>2783</v>
      </c>
      <c r="E540" s="7" t="s">
        <v>33</v>
      </c>
      <c r="F540" s="7" t="s">
        <v>34</v>
      </c>
      <c r="G540" s="7" t="s">
        <v>35</v>
      </c>
      <c r="H540" s="7"/>
      <c r="I540" s="7"/>
      <c r="J540" s="7" t="s">
        <v>36</v>
      </c>
      <c r="K540" s="7" t="s">
        <v>1270</v>
      </c>
      <c r="L540" s="7" t="s">
        <v>1271</v>
      </c>
      <c r="M540" s="7" t="s">
        <v>1272</v>
      </c>
      <c r="N540" s="7" t="s">
        <v>33</v>
      </c>
      <c r="O540" s="7">
        <v>1</v>
      </c>
      <c r="P540" s="7" t="s">
        <v>40</v>
      </c>
      <c r="Q540" s="7">
        <v>32.99</v>
      </c>
      <c r="R540" s="7"/>
      <c r="S540" s="7"/>
      <c r="T540" s="7"/>
      <c r="U540" s="7"/>
      <c r="V540" s="7"/>
      <c r="W540" s="7"/>
      <c r="X540" s="7"/>
      <c r="Y540" s="7" t="s">
        <v>2784</v>
      </c>
      <c r="Z540" s="7" t="s">
        <v>230</v>
      </c>
      <c r="AA540" s="7" t="s">
        <v>2785</v>
      </c>
      <c r="AB540" s="7" t="s">
        <v>44</v>
      </c>
      <c r="AC540" s="7"/>
      <c r="AD540" s="10"/>
      <c r="AE540" s="10"/>
      <c r="AF540" s="10"/>
      <c r="AG540" s="11">
        <f t="shared" si="8"/>
        <v>43274</v>
      </c>
    </row>
    <row r="541" s="8" customFormat="1" spans="1:33">
      <c r="A541" s="7" t="s">
        <v>2786</v>
      </c>
      <c r="B541" s="7" t="s">
        <v>2786</v>
      </c>
      <c r="C541" s="7" t="s">
        <v>2787</v>
      </c>
      <c r="D541" s="7" t="s">
        <v>2788</v>
      </c>
      <c r="E541" s="7" t="s">
        <v>33</v>
      </c>
      <c r="F541" s="7" t="s">
        <v>34</v>
      </c>
      <c r="G541" s="7" t="s">
        <v>35</v>
      </c>
      <c r="H541" s="7"/>
      <c r="I541" s="7"/>
      <c r="J541" s="7" t="s">
        <v>69</v>
      </c>
      <c r="K541" s="7" t="s">
        <v>642</v>
      </c>
      <c r="L541" s="7" t="s">
        <v>643</v>
      </c>
      <c r="M541" s="7" t="s">
        <v>644</v>
      </c>
      <c r="N541" s="7" t="s">
        <v>33</v>
      </c>
      <c r="O541" s="7">
        <v>1</v>
      </c>
      <c r="P541" s="7" t="s">
        <v>40</v>
      </c>
      <c r="Q541" s="7">
        <v>21.99</v>
      </c>
      <c r="R541" s="7"/>
      <c r="S541" s="7">
        <v>0.73</v>
      </c>
      <c r="T541" s="7"/>
      <c r="U541" s="7"/>
      <c r="V541" s="7"/>
      <c r="W541" s="7"/>
      <c r="X541" s="7"/>
      <c r="Y541" s="7" t="s">
        <v>1444</v>
      </c>
      <c r="Z541" s="7" t="s">
        <v>52</v>
      </c>
      <c r="AA541" s="7" t="s">
        <v>2789</v>
      </c>
      <c r="AB541" s="7" t="s">
        <v>44</v>
      </c>
      <c r="AC541" s="7"/>
      <c r="AD541" s="10"/>
      <c r="AE541" s="10"/>
      <c r="AF541" s="10"/>
      <c r="AG541" s="11">
        <f t="shared" si="8"/>
        <v>43274</v>
      </c>
    </row>
    <row r="542" s="8" customFormat="1" spans="1:33">
      <c r="A542" s="7" t="s">
        <v>2786</v>
      </c>
      <c r="B542" s="7" t="s">
        <v>2786</v>
      </c>
      <c r="C542" s="7" t="s">
        <v>2787</v>
      </c>
      <c r="D542" s="7" t="s">
        <v>2788</v>
      </c>
      <c r="E542" s="7" t="s">
        <v>33</v>
      </c>
      <c r="F542" s="7" t="s">
        <v>34</v>
      </c>
      <c r="G542" s="7" t="s">
        <v>35</v>
      </c>
      <c r="H542" s="7"/>
      <c r="I542" s="7"/>
      <c r="J542" s="7" t="s">
        <v>69</v>
      </c>
      <c r="K542" s="7" t="s">
        <v>79</v>
      </c>
      <c r="L542" s="7" t="s">
        <v>80</v>
      </c>
      <c r="M542" s="7" t="s">
        <v>81</v>
      </c>
      <c r="N542" s="7" t="s">
        <v>33</v>
      </c>
      <c r="O542" s="7">
        <v>1</v>
      </c>
      <c r="P542" s="7" t="s">
        <v>40</v>
      </c>
      <c r="Q542" s="7">
        <v>91.99</v>
      </c>
      <c r="R542" s="7"/>
      <c r="S542" s="7">
        <v>7.47</v>
      </c>
      <c r="T542" s="7"/>
      <c r="U542" s="7"/>
      <c r="V542" s="7"/>
      <c r="W542" s="7"/>
      <c r="X542" s="7"/>
      <c r="Y542" s="7" t="s">
        <v>1444</v>
      </c>
      <c r="Z542" s="7" t="s">
        <v>52</v>
      </c>
      <c r="AA542" s="7" t="s">
        <v>2789</v>
      </c>
      <c r="AB542" s="7" t="s">
        <v>44</v>
      </c>
      <c r="AC542" s="7"/>
      <c r="AD542" s="10"/>
      <c r="AE542" s="10"/>
      <c r="AF542" s="10"/>
      <c r="AG542" s="11">
        <f t="shared" si="8"/>
        <v>43274</v>
      </c>
    </row>
    <row r="543" s="8" customFormat="1" spans="1:33">
      <c r="A543" s="7" t="s">
        <v>2790</v>
      </c>
      <c r="B543" s="7" t="s">
        <v>2790</v>
      </c>
      <c r="C543" s="7" t="s">
        <v>2791</v>
      </c>
      <c r="D543" s="7" t="s">
        <v>2792</v>
      </c>
      <c r="E543" s="7" t="s">
        <v>33</v>
      </c>
      <c r="F543" s="7" t="s">
        <v>34</v>
      </c>
      <c r="G543" s="7" t="s">
        <v>35</v>
      </c>
      <c r="H543" s="7"/>
      <c r="I543" s="7"/>
      <c r="J543" s="7" t="s">
        <v>36</v>
      </c>
      <c r="K543" s="7" t="s">
        <v>79</v>
      </c>
      <c r="L543" s="7" t="s">
        <v>80</v>
      </c>
      <c r="M543" s="7" t="s">
        <v>81</v>
      </c>
      <c r="N543" s="7" t="s">
        <v>33</v>
      </c>
      <c r="O543" s="7">
        <v>1</v>
      </c>
      <c r="P543" s="7" t="s">
        <v>40</v>
      </c>
      <c r="Q543" s="7">
        <v>91.99</v>
      </c>
      <c r="R543" s="7"/>
      <c r="S543" s="7"/>
      <c r="T543" s="7"/>
      <c r="U543" s="7"/>
      <c r="V543" s="7"/>
      <c r="W543" s="7"/>
      <c r="X543" s="7"/>
      <c r="Y543" s="7" t="s">
        <v>2793</v>
      </c>
      <c r="Z543" s="7" t="s">
        <v>2794</v>
      </c>
      <c r="AA543" s="7">
        <v>8036</v>
      </c>
      <c r="AB543" s="7" t="s">
        <v>44</v>
      </c>
      <c r="AC543" s="7"/>
      <c r="AD543" s="10"/>
      <c r="AE543" s="10"/>
      <c r="AF543" s="10"/>
      <c r="AG543" s="11">
        <f t="shared" si="8"/>
        <v>43274</v>
      </c>
    </row>
    <row r="544" s="8" customFormat="1" spans="1:33">
      <c r="A544" s="7" t="s">
        <v>2795</v>
      </c>
      <c r="B544" s="7" t="s">
        <v>2795</v>
      </c>
      <c r="C544" s="7" t="s">
        <v>2796</v>
      </c>
      <c r="D544" s="7" t="s">
        <v>2797</v>
      </c>
      <c r="E544" s="7" t="s">
        <v>33</v>
      </c>
      <c r="F544" s="7" t="s">
        <v>34</v>
      </c>
      <c r="G544" s="7" t="s">
        <v>35</v>
      </c>
      <c r="H544" s="7"/>
      <c r="I544" s="7"/>
      <c r="J544" s="7" t="s">
        <v>36</v>
      </c>
      <c r="K544" s="7" t="s">
        <v>48</v>
      </c>
      <c r="L544" s="7" t="s">
        <v>49</v>
      </c>
      <c r="M544" s="7" t="s">
        <v>50</v>
      </c>
      <c r="N544" s="7" t="s">
        <v>33</v>
      </c>
      <c r="O544" s="7">
        <v>1</v>
      </c>
      <c r="P544" s="7" t="s">
        <v>40</v>
      </c>
      <c r="Q544" s="7">
        <v>89.99</v>
      </c>
      <c r="R544" s="7"/>
      <c r="S544" s="7"/>
      <c r="T544" s="7"/>
      <c r="U544" s="7"/>
      <c r="V544" s="7"/>
      <c r="W544" s="7"/>
      <c r="X544" s="7"/>
      <c r="Y544" s="7" t="s">
        <v>96</v>
      </c>
      <c r="Z544" s="7" t="s">
        <v>244</v>
      </c>
      <c r="AA544" s="7">
        <v>2840</v>
      </c>
      <c r="AB544" s="7" t="s">
        <v>44</v>
      </c>
      <c r="AC544" s="7"/>
      <c r="AD544" s="10"/>
      <c r="AE544" s="10"/>
      <c r="AF544" s="10"/>
      <c r="AG544" s="11">
        <f t="shared" si="8"/>
        <v>43274</v>
      </c>
    </row>
    <row r="545" s="8" customFormat="1" spans="1:33">
      <c r="A545" s="7" t="s">
        <v>2798</v>
      </c>
      <c r="B545" s="7" t="s">
        <v>2798</v>
      </c>
      <c r="C545" s="7" t="s">
        <v>2799</v>
      </c>
      <c r="D545" s="7" t="s">
        <v>2800</v>
      </c>
      <c r="E545" s="7" t="s">
        <v>33</v>
      </c>
      <c r="F545" s="7" t="s">
        <v>34</v>
      </c>
      <c r="G545" s="7" t="s">
        <v>35</v>
      </c>
      <c r="H545" s="7"/>
      <c r="I545" s="7"/>
      <c r="J545" s="7" t="s">
        <v>69</v>
      </c>
      <c r="K545" s="7" t="s">
        <v>148</v>
      </c>
      <c r="L545" s="7" t="s">
        <v>149</v>
      </c>
      <c r="M545" s="7" t="s">
        <v>150</v>
      </c>
      <c r="N545" s="7" t="s">
        <v>33</v>
      </c>
      <c r="O545" s="7">
        <v>1</v>
      </c>
      <c r="P545" s="7" t="s">
        <v>40</v>
      </c>
      <c r="Q545" s="7">
        <v>98.99</v>
      </c>
      <c r="R545" s="7"/>
      <c r="S545" s="7">
        <v>7.14</v>
      </c>
      <c r="T545" s="7"/>
      <c r="U545" s="7"/>
      <c r="V545" s="7"/>
      <c r="W545" s="7"/>
      <c r="X545" s="7">
        <v>7.14</v>
      </c>
      <c r="Y545" s="7" t="s">
        <v>704</v>
      </c>
      <c r="Z545" s="7" t="s">
        <v>613</v>
      </c>
      <c r="AA545" s="7">
        <v>33312</v>
      </c>
      <c r="AB545" s="7" t="s">
        <v>44</v>
      </c>
      <c r="AC545" s="7" t="s">
        <v>75</v>
      </c>
      <c r="AD545" s="10"/>
      <c r="AE545" s="10"/>
      <c r="AF545" s="10"/>
      <c r="AG545" s="11">
        <f t="shared" si="8"/>
        <v>43274</v>
      </c>
    </row>
    <row r="546" s="8" customFormat="1" spans="1:33">
      <c r="A546" s="7" t="s">
        <v>2801</v>
      </c>
      <c r="B546" s="7" t="s">
        <v>2801</v>
      </c>
      <c r="C546" s="7" t="s">
        <v>2802</v>
      </c>
      <c r="D546" s="7" t="s">
        <v>2803</v>
      </c>
      <c r="E546" s="7" t="s">
        <v>33</v>
      </c>
      <c r="F546" s="7" t="s">
        <v>34</v>
      </c>
      <c r="G546" s="7" t="s">
        <v>35</v>
      </c>
      <c r="H546" s="7"/>
      <c r="I546" s="7"/>
      <c r="J546" s="7" t="s">
        <v>69</v>
      </c>
      <c r="K546" s="7" t="s">
        <v>2080</v>
      </c>
      <c r="L546" s="7" t="s">
        <v>2081</v>
      </c>
      <c r="M546" s="7" t="s">
        <v>2082</v>
      </c>
      <c r="N546" s="7" t="s">
        <v>33</v>
      </c>
      <c r="O546" s="7">
        <v>1</v>
      </c>
      <c r="P546" s="7" t="s">
        <v>40</v>
      </c>
      <c r="Q546" s="7">
        <v>79.99</v>
      </c>
      <c r="R546" s="7"/>
      <c r="S546" s="7">
        <v>1.13</v>
      </c>
      <c r="T546" s="7"/>
      <c r="U546" s="7"/>
      <c r="V546" s="7"/>
      <c r="W546" s="7"/>
      <c r="X546" s="7"/>
      <c r="Y546" s="7" t="s">
        <v>2804</v>
      </c>
      <c r="Z546" s="7" t="s">
        <v>64</v>
      </c>
      <c r="AA546" s="7" t="s">
        <v>2805</v>
      </c>
      <c r="AB546" s="7" t="s">
        <v>44</v>
      </c>
      <c r="AC546" s="7"/>
      <c r="AD546" s="10"/>
      <c r="AE546" s="10"/>
      <c r="AF546" s="10"/>
      <c r="AG546" s="11">
        <f t="shared" si="8"/>
        <v>43275</v>
      </c>
    </row>
    <row r="547" s="8" customFormat="1" spans="1:33">
      <c r="A547" s="7" t="s">
        <v>2806</v>
      </c>
      <c r="B547" s="7" t="s">
        <v>2806</v>
      </c>
      <c r="C547" s="7" t="s">
        <v>2807</v>
      </c>
      <c r="D547" s="7" t="s">
        <v>2808</v>
      </c>
      <c r="E547" s="7" t="s">
        <v>33</v>
      </c>
      <c r="F547" s="7" t="s">
        <v>34</v>
      </c>
      <c r="G547" s="7" t="s">
        <v>35</v>
      </c>
      <c r="H547" s="7"/>
      <c r="I547" s="7"/>
      <c r="J547" s="7" t="s">
        <v>36</v>
      </c>
      <c r="K547" s="7" t="s">
        <v>79</v>
      </c>
      <c r="L547" s="7" t="s">
        <v>80</v>
      </c>
      <c r="M547" s="7" t="s">
        <v>81</v>
      </c>
      <c r="N547" s="7" t="s">
        <v>33</v>
      </c>
      <c r="O547" s="7">
        <v>1</v>
      </c>
      <c r="P547" s="7" t="s">
        <v>40</v>
      </c>
      <c r="Q547" s="7">
        <v>91.99</v>
      </c>
      <c r="R547" s="7"/>
      <c r="S547" s="7"/>
      <c r="T547" s="7"/>
      <c r="U547" s="7"/>
      <c r="V547" s="7"/>
      <c r="W547" s="7"/>
      <c r="X547" s="7"/>
      <c r="Y547" s="7" t="s">
        <v>2809</v>
      </c>
      <c r="Z547" s="7" t="s">
        <v>83</v>
      </c>
      <c r="AA547" s="7">
        <v>94063</v>
      </c>
      <c r="AB547" s="7" t="s">
        <v>44</v>
      </c>
      <c r="AC547" s="7"/>
      <c r="AD547" s="10"/>
      <c r="AE547" s="10"/>
      <c r="AF547" s="10"/>
      <c r="AG547" s="11">
        <f t="shared" si="8"/>
        <v>43275</v>
      </c>
    </row>
    <row r="548" s="8" customFormat="1" spans="1:33">
      <c r="A548" s="7" t="s">
        <v>2806</v>
      </c>
      <c r="B548" s="7" t="s">
        <v>2806</v>
      </c>
      <c r="C548" s="7" t="s">
        <v>2807</v>
      </c>
      <c r="D548" s="7" t="s">
        <v>2808</v>
      </c>
      <c r="E548" s="7" t="s">
        <v>33</v>
      </c>
      <c r="F548" s="7" t="s">
        <v>34</v>
      </c>
      <c r="G548" s="7" t="s">
        <v>35</v>
      </c>
      <c r="H548" s="7"/>
      <c r="I548" s="7"/>
      <c r="J548" s="7" t="s">
        <v>36</v>
      </c>
      <c r="K548" s="7" t="s">
        <v>1975</v>
      </c>
      <c r="L548" s="7" t="s">
        <v>1976</v>
      </c>
      <c r="M548" s="7" t="s">
        <v>1977</v>
      </c>
      <c r="N548" s="7" t="s">
        <v>33</v>
      </c>
      <c r="O548" s="7">
        <v>1</v>
      </c>
      <c r="P548" s="7" t="s">
        <v>40</v>
      </c>
      <c r="Q548" s="7">
        <v>92.99</v>
      </c>
      <c r="R548" s="7"/>
      <c r="S548" s="7"/>
      <c r="T548" s="7"/>
      <c r="U548" s="7"/>
      <c r="V548" s="7"/>
      <c r="W548" s="7"/>
      <c r="X548" s="7"/>
      <c r="Y548" s="7" t="s">
        <v>2809</v>
      </c>
      <c r="Z548" s="7" t="s">
        <v>83</v>
      </c>
      <c r="AA548" s="7">
        <v>94063</v>
      </c>
      <c r="AB548" s="7" t="s">
        <v>44</v>
      </c>
      <c r="AC548" s="7"/>
      <c r="AD548" s="10"/>
      <c r="AE548" s="10"/>
      <c r="AF548" s="10"/>
      <c r="AG548" s="11">
        <f t="shared" si="8"/>
        <v>43275</v>
      </c>
    </row>
    <row r="549" s="8" customFormat="1" spans="1:33">
      <c r="A549" s="7" t="s">
        <v>2810</v>
      </c>
      <c r="B549" s="7" t="s">
        <v>2810</v>
      </c>
      <c r="C549" s="7" t="s">
        <v>2811</v>
      </c>
      <c r="D549" s="7" t="s">
        <v>2812</v>
      </c>
      <c r="E549" s="7" t="s">
        <v>33</v>
      </c>
      <c r="F549" s="7" t="s">
        <v>34</v>
      </c>
      <c r="G549" s="7" t="s">
        <v>35</v>
      </c>
      <c r="H549" s="7"/>
      <c r="I549" s="7"/>
      <c r="J549" s="7" t="s">
        <v>36</v>
      </c>
      <c r="K549" s="7" t="s">
        <v>387</v>
      </c>
      <c r="L549" s="7" t="s">
        <v>388</v>
      </c>
      <c r="M549" s="7" t="s">
        <v>389</v>
      </c>
      <c r="N549" s="7" t="s">
        <v>33</v>
      </c>
      <c r="O549" s="7">
        <v>1</v>
      </c>
      <c r="P549" s="7" t="s">
        <v>40</v>
      </c>
      <c r="Q549" s="7">
        <v>32.99</v>
      </c>
      <c r="R549" s="7"/>
      <c r="S549" s="7"/>
      <c r="T549" s="7"/>
      <c r="U549" s="7"/>
      <c r="V549" s="7"/>
      <c r="W549" s="7"/>
      <c r="X549" s="7"/>
      <c r="Y549" s="7" t="s">
        <v>2813</v>
      </c>
      <c r="Z549" s="7" t="s">
        <v>391</v>
      </c>
      <c r="AA549" s="7" t="s">
        <v>2814</v>
      </c>
      <c r="AB549" s="7" t="s">
        <v>44</v>
      </c>
      <c r="AC549" s="7"/>
      <c r="AD549" s="10"/>
      <c r="AE549" s="10"/>
      <c r="AF549" s="10"/>
      <c r="AG549" s="11">
        <f t="shared" si="8"/>
        <v>43275</v>
      </c>
    </row>
    <row r="550" s="8" customFormat="1" spans="1:33">
      <c r="A550" s="7" t="s">
        <v>2815</v>
      </c>
      <c r="B550" s="7" t="s">
        <v>2815</v>
      </c>
      <c r="C550" s="7" t="s">
        <v>2816</v>
      </c>
      <c r="D550" s="7" t="s">
        <v>2817</v>
      </c>
      <c r="E550" s="7" t="s">
        <v>33</v>
      </c>
      <c r="F550" s="7" t="s">
        <v>34</v>
      </c>
      <c r="G550" s="7" t="s">
        <v>35</v>
      </c>
      <c r="H550" s="7"/>
      <c r="I550" s="7"/>
      <c r="J550" s="7" t="s">
        <v>69</v>
      </c>
      <c r="K550" s="7" t="s">
        <v>975</v>
      </c>
      <c r="L550" s="7" t="s">
        <v>976</v>
      </c>
      <c r="M550" s="7" t="s">
        <v>977</v>
      </c>
      <c r="N550" s="7" t="s">
        <v>33</v>
      </c>
      <c r="O550" s="7">
        <v>1</v>
      </c>
      <c r="P550" s="7" t="s">
        <v>40</v>
      </c>
      <c r="Q550" s="7">
        <v>89.99</v>
      </c>
      <c r="R550" s="7"/>
      <c r="S550" s="7">
        <v>8.41</v>
      </c>
      <c r="T550" s="7"/>
      <c r="U550" s="7"/>
      <c r="V550" s="7"/>
      <c r="W550" s="7"/>
      <c r="X550" s="7"/>
      <c r="Y550" s="7" t="s">
        <v>2818</v>
      </c>
      <c r="Z550" s="7" t="s">
        <v>207</v>
      </c>
      <c r="AA550" s="7" t="s">
        <v>2819</v>
      </c>
      <c r="AB550" s="7" t="s">
        <v>44</v>
      </c>
      <c r="AC550" s="7"/>
      <c r="AD550" s="10"/>
      <c r="AE550" s="10"/>
      <c r="AF550" s="10"/>
      <c r="AG550" s="11">
        <f t="shared" si="8"/>
        <v>43275</v>
      </c>
    </row>
    <row r="551" s="8" customFormat="1" spans="1:33">
      <c r="A551" s="7" t="s">
        <v>2820</v>
      </c>
      <c r="B551" s="7" t="s">
        <v>2820</v>
      </c>
      <c r="C551" s="7" t="s">
        <v>2821</v>
      </c>
      <c r="D551" s="7" t="s">
        <v>2822</v>
      </c>
      <c r="E551" s="7" t="s">
        <v>54</v>
      </c>
      <c r="F551" s="7" t="s">
        <v>34</v>
      </c>
      <c r="G551" s="7" t="s">
        <v>35</v>
      </c>
      <c r="H551" s="7"/>
      <c r="I551" s="7"/>
      <c r="J551" s="7" t="s">
        <v>36</v>
      </c>
      <c r="K551" s="7" t="s">
        <v>1215</v>
      </c>
      <c r="L551" s="7" t="s">
        <v>1216</v>
      </c>
      <c r="M551" s="7" t="s">
        <v>1217</v>
      </c>
      <c r="N551" s="7" t="s">
        <v>54</v>
      </c>
      <c r="O551" s="7">
        <v>0</v>
      </c>
      <c r="P551" s="7"/>
      <c r="Q551" s="7"/>
      <c r="R551" s="7"/>
      <c r="S551" s="7"/>
      <c r="T551" s="7"/>
      <c r="U551" s="7"/>
      <c r="V551" s="7"/>
      <c r="W551" s="7"/>
      <c r="X551" s="7"/>
      <c r="Y551" s="7" t="s">
        <v>2823</v>
      </c>
      <c r="Z551" s="7" t="s">
        <v>2824</v>
      </c>
      <c r="AA551" s="7">
        <v>46701</v>
      </c>
      <c r="AB551" s="7" t="s">
        <v>44</v>
      </c>
      <c r="AC551" s="7"/>
      <c r="AD551" s="10"/>
      <c r="AE551" s="10"/>
      <c r="AF551" s="10"/>
      <c r="AG551" s="11">
        <f t="shared" si="8"/>
        <v>43275</v>
      </c>
    </row>
    <row r="552" s="8" customFormat="1" spans="1:33">
      <c r="A552" s="7" t="s">
        <v>2825</v>
      </c>
      <c r="B552" s="7" t="s">
        <v>2825</v>
      </c>
      <c r="C552" s="7" t="s">
        <v>2826</v>
      </c>
      <c r="D552" s="7" t="s">
        <v>2827</v>
      </c>
      <c r="E552" s="7" t="s">
        <v>54</v>
      </c>
      <c r="F552" s="7" t="s">
        <v>34</v>
      </c>
      <c r="G552" s="7" t="s">
        <v>35</v>
      </c>
      <c r="H552" s="7"/>
      <c r="I552" s="7"/>
      <c r="J552" s="7" t="s">
        <v>36</v>
      </c>
      <c r="K552" s="7" t="s">
        <v>660</v>
      </c>
      <c r="L552" s="7" t="s">
        <v>661</v>
      </c>
      <c r="M552" s="7" t="s">
        <v>662</v>
      </c>
      <c r="N552" s="7" t="s">
        <v>62</v>
      </c>
      <c r="O552" s="7">
        <v>1</v>
      </c>
      <c r="P552" s="7" t="s">
        <v>40</v>
      </c>
      <c r="Q552" s="7">
        <v>79.99</v>
      </c>
      <c r="R552" s="7"/>
      <c r="S552" s="7"/>
      <c r="T552" s="7"/>
      <c r="U552" s="7"/>
      <c r="V552" s="7"/>
      <c r="W552" s="7"/>
      <c r="X552" s="7"/>
      <c r="Y552" s="7" t="s">
        <v>73</v>
      </c>
      <c r="Z552" s="7" t="s">
        <v>64</v>
      </c>
      <c r="AA552" s="7" t="s">
        <v>2828</v>
      </c>
      <c r="AB552" s="7" t="s">
        <v>44</v>
      </c>
      <c r="AC552" s="7"/>
      <c r="AD552" s="10"/>
      <c r="AE552" s="10"/>
      <c r="AF552" s="10"/>
      <c r="AG552" s="11">
        <f t="shared" si="8"/>
        <v>43275</v>
      </c>
    </row>
    <row r="553" s="8" customFormat="1" spans="1:33">
      <c r="A553" s="7" t="s">
        <v>2829</v>
      </c>
      <c r="B553" s="7" t="s">
        <v>2829</v>
      </c>
      <c r="C553" s="7" t="s">
        <v>2830</v>
      </c>
      <c r="D553" s="7" t="s">
        <v>2831</v>
      </c>
      <c r="E553" s="7" t="s">
        <v>33</v>
      </c>
      <c r="F553" s="7" t="s">
        <v>34</v>
      </c>
      <c r="G553" s="7" t="s">
        <v>35</v>
      </c>
      <c r="H553" s="7"/>
      <c r="I553" s="7"/>
      <c r="J553" s="7" t="s">
        <v>69</v>
      </c>
      <c r="K553" s="7" t="s">
        <v>477</v>
      </c>
      <c r="L553" s="7" t="s">
        <v>478</v>
      </c>
      <c r="M553" s="7" t="s">
        <v>479</v>
      </c>
      <c r="N553" s="7" t="s">
        <v>33</v>
      </c>
      <c r="O553" s="7">
        <v>1</v>
      </c>
      <c r="P553" s="7" t="s">
        <v>40</v>
      </c>
      <c r="Q553" s="7">
        <v>94.6</v>
      </c>
      <c r="R553" s="7"/>
      <c r="S553" s="7">
        <v>8.28</v>
      </c>
      <c r="T553" s="7"/>
      <c r="U553" s="7"/>
      <c r="V553" s="7"/>
      <c r="W553" s="7"/>
      <c r="X553" s="7"/>
      <c r="Y553" s="7" t="s">
        <v>2832</v>
      </c>
      <c r="Z553" s="7" t="s">
        <v>354</v>
      </c>
      <c r="AA553" s="7" t="s">
        <v>2833</v>
      </c>
      <c r="AB553" s="7" t="s">
        <v>44</v>
      </c>
      <c r="AC553" s="7"/>
      <c r="AD553" s="10"/>
      <c r="AE553" s="10"/>
      <c r="AF553" s="10"/>
      <c r="AG553" s="11">
        <f t="shared" si="8"/>
        <v>43275</v>
      </c>
    </row>
    <row r="554" s="8" customFormat="1" spans="1:33">
      <c r="A554" s="7" t="s">
        <v>2834</v>
      </c>
      <c r="B554" s="7" t="s">
        <v>2834</v>
      </c>
      <c r="C554" s="7" t="s">
        <v>2835</v>
      </c>
      <c r="D554" s="7" t="s">
        <v>2836</v>
      </c>
      <c r="E554" s="7" t="s">
        <v>33</v>
      </c>
      <c r="F554" s="7" t="s">
        <v>34</v>
      </c>
      <c r="G554" s="7" t="s">
        <v>35</v>
      </c>
      <c r="H554" s="7"/>
      <c r="I554" s="7"/>
      <c r="J554" s="7" t="s">
        <v>36</v>
      </c>
      <c r="K554" s="7" t="s">
        <v>275</v>
      </c>
      <c r="L554" s="7" t="s">
        <v>276</v>
      </c>
      <c r="M554" s="7" t="s">
        <v>277</v>
      </c>
      <c r="N554" s="7" t="s">
        <v>33</v>
      </c>
      <c r="O554" s="7">
        <v>1</v>
      </c>
      <c r="P554" s="7" t="s">
        <v>40</v>
      </c>
      <c r="Q554" s="7">
        <v>89.99</v>
      </c>
      <c r="R554" s="7"/>
      <c r="S554" s="7"/>
      <c r="T554" s="7"/>
      <c r="U554" s="7"/>
      <c r="V554" s="7"/>
      <c r="W554" s="7"/>
      <c r="X554" s="7"/>
      <c r="Y554" s="7" t="s">
        <v>1733</v>
      </c>
      <c r="Z554" s="7" t="s">
        <v>64</v>
      </c>
      <c r="AA554" s="7" t="s">
        <v>2837</v>
      </c>
      <c r="AB554" s="7" t="s">
        <v>44</v>
      </c>
      <c r="AC554" s="7"/>
      <c r="AD554" s="10"/>
      <c r="AE554" s="10"/>
      <c r="AF554" s="10"/>
      <c r="AG554" s="11">
        <f t="shared" si="8"/>
        <v>43275</v>
      </c>
    </row>
    <row r="555" s="8" customFormat="1" spans="1:33">
      <c r="A555" s="7" t="s">
        <v>2838</v>
      </c>
      <c r="B555" s="7" t="s">
        <v>2838</v>
      </c>
      <c r="C555" s="7" t="s">
        <v>2839</v>
      </c>
      <c r="D555" s="7" t="s">
        <v>2840</v>
      </c>
      <c r="E555" s="7" t="s">
        <v>33</v>
      </c>
      <c r="F555" s="7" t="s">
        <v>34</v>
      </c>
      <c r="G555" s="7" t="s">
        <v>35</v>
      </c>
      <c r="H555" s="7"/>
      <c r="I555" s="7"/>
      <c r="J555" s="7" t="s">
        <v>69</v>
      </c>
      <c r="K555" s="7" t="s">
        <v>79</v>
      </c>
      <c r="L555" s="7" t="s">
        <v>80</v>
      </c>
      <c r="M555" s="7" t="s">
        <v>81</v>
      </c>
      <c r="N555" s="7" t="s">
        <v>33</v>
      </c>
      <c r="O555" s="7">
        <v>1</v>
      </c>
      <c r="P555" s="7" t="s">
        <v>40</v>
      </c>
      <c r="Q555" s="7">
        <v>91.99</v>
      </c>
      <c r="R555" s="7"/>
      <c r="S555" s="7">
        <v>8.09</v>
      </c>
      <c r="T555" s="7"/>
      <c r="U555" s="7"/>
      <c r="V555" s="7"/>
      <c r="W555" s="7"/>
      <c r="X555" s="7"/>
      <c r="Y555" s="7" t="s">
        <v>2841</v>
      </c>
      <c r="Z555" s="7" t="s">
        <v>83</v>
      </c>
      <c r="AA555" s="7" t="s">
        <v>2842</v>
      </c>
      <c r="AB555" s="7" t="s">
        <v>44</v>
      </c>
      <c r="AC555" s="7"/>
      <c r="AD555" s="10"/>
      <c r="AE555" s="10"/>
      <c r="AF555" s="10"/>
      <c r="AG555" s="11">
        <f t="shared" si="8"/>
        <v>43275</v>
      </c>
    </row>
    <row r="556" s="8" customFormat="1" spans="1:33">
      <c r="A556" s="7" t="s">
        <v>2843</v>
      </c>
      <c r="B556" s="7" t="s">
        <v>2843</v>
      </c>
      <c r="C556" s="7" t="s">
        <v>2844</v>
      </c>
      <c r="D556" s="7" t="s">
        <v>2845</v>
      </c>
      <c r="E556" s="7" t="s">
        <v>33</v>
      </c>
      <c r="F556" s="7" t="s">
        <v>34</v>
      </c>
      <c r="G556" s="7" t="s">
        <v>35</v>
      </c>
      <c r="H556" s="7"/>
      <c r="I556" s="7"/>
      <c r="J556" s="7" t="s">
        <v>36</v>
      </c>
      <c r="K556" s="7" t="s">
        <v>410</v>
      </c>
      <c r="L556" s="7" t="s">
        <v>411</v>
      </c>
      <c r="M556" s="7" t="s">
        <v>412</v>
      </c>
      <c r="N556" s="7" t="s">
        <v>33</v>
      </c>
      <c r="O556" s="7">
        <v>1</v>
      </c>
      <c r="P556" s="7" t="s">
        <v>40</v>
      </c>
      <c r="Q556" s="7">
        <v>21.99</v>
      </c>
      <c r="R556" s="7"/>
      <c r="S556" s="7"/>
      <c r="T556" s="7"/>
      <c r="U556" s="7"/>
      <c r="V556" s="7"/>
      <c r="W556" s="7">
        <v>21.76</v>
      </c>
      <c r="X556" s="7"/>
      <c r="Y556" s="7" t="s">
        <v>2454</v>
      </c>
      <c r="Z556" s="7" t="s">
        <v>207</v>
      </c>
      <c r="AA556" s="7" t="s">
        <v>2455</v>
      </c>
      <c r="AB556" s="7" t="s">
        <v>44</v>
      </c>
      <c r="AC556" s="7" t="s">
        <v>209</v>
      </c>
      <c r="AD556" s="10"/>
      <c r="AE556" s="10"/>
      <c r="AF556" s="10"/>
      <c r="AG556" s="11">
        <f t="shared" si="8"/>
        <v>43275</v>
      </c>
    </row>
    <row r="557" s="8" customFormat="1" spans="1:33">
      <c r="A557" s="7" t="s">
        <v>2843</v>
      </c>
      <c r="B557" s="7" t="s">
        <v>2843</v>
      </c>
      <c r="C557" s="7" t="s">
        <v>2844</v>
      </c>
      <c r="D557" s="7" t="s">
        <v>2845</v>
      </c>
      <c r="E557" s="7" t="s">
        <v>33</v>
      </c>
      <c r="F557" s="7" t="s">
        <v>34</v>
      </c>
      <c r="G557" s="7" t="s">
        <v>35</v>
      </c>
      <c r="H557" s="7"/>
      <c r="I557" s="7"/>
      <c r="J557" s="7" t="s">
        <v>36</v>
      </c>
      <c r="K557" s="7" t="s">
        <v>719</v>
      </c>
      <c r="L557" s="7" t="s">
        <v>720</v>
      </c>
      <c r="M557" s="7" t="s">
        <v>721</v>
      </c>
      <c r="N557" s="7" t="s">
        <v>33</v>
      </c>
      <c r="O557" s="7">
        <v>1</v>
      </c>
      <c r="P557" s="7" t="s">
        <v>40</v>
      </c>
      <c r="Q557" s="7">
        <v>21.99</v>
      </c>
      <c r="R557" s="7"/>
      <c r="S557" s="7"/>
      <c r="T557" s="7"/>
      <c r="U557" s="7"/>
      <c r="V557" s="7"/>
      <c r="W557" s="7">
        <v>21.77</v>
      </c>
      <c r="X557" s="7"/>
      <c r="Y557" s="7" t="s">
        <v>2454</v>
      </c>
      <c r="Z557" s="7" t="s">
        <v>207</v>
      </c>
      <c r="AA557" s="7" t="s">
        <v>2455</v>
      </c>
      <c r="AB557" s="7" t="s">
        <v>44</v>
      </c>
      <c r="AC557" s="7" t="s">
        <v>209</v>
      </c>
      <c r="AD557" s="10"/>
      <c r="AE557" s="10"/>
      <c r="AF557" s="10"/>
      <c r="AG557" s="11">
        <f t="shared" si="8"/>
        <v>43275</v>
      </c>
    </row>
    <row r="558" s="8" customFormat="1" spans="1:33">
      <c r="A558" s="7" t="s">
        <v>2843</v>
      </c>
      <c r="B558" s="7" t="s">
        <v>2843</v>
      </c>
      <c r="C558" s="7" t="s">
        <v>2844</v>
      </c>
      <c r="D558" s="7" t="s">
        <v>2845</v>
      </c>
      <c r="E558" s="7" t="s">
        <v>33</v>
      </c>
      <c r="F558" s="7" t="s">
        <v>34</v>
      </c>
      <c r="G558" s="7" t="s">
        <v>35</v>
      </c>
      <c r="H558" s="7"/>
      <c r="I558" s="7"/>
      <c r="J558" s="7" t="s">
        <v>36</v>
      </c>
      <c r="K558" s="7" t="s">
        <v>2846</v>
      </c>
      <c r="L558" s="7" t="s">
        <v>2847</v>
      </c>
      <c r="M558" s="7" t="s">
        <v>2848</v>
      </c>
      <c r="N558" s="7" t="s">
        <v>33</v>
      </c>
      <c r="O558" s="7">
        <v>1</v>
      </c>
      <c r="P558" s="7" t="s">
        <v>40</v>
      </c>
      <c r="Q558" s="7">
        <v>21.99</v>
      </c>
      <c r="R558" s="7"/>
      <c r="S558" s="7"/>
      <c r="T558" s="7"/>
      <c r="U558" s="7"/>
      <c r="V558" s="7"/>
      <c r="W558" s="7">
        <v>21.77</v>
      </c>
      <c r="X558" s="7"/>
      <c r="Y558" s="7" t="s">
        <v>2454</v>
      </c>
      <c r="Z558" s="7" t="s">
        <v>207</v>
      </c>
      <c r="AA558" s="7" t="s">
        <v>2455</v>
      </c>
      <c r="AB558" s="7" t="s">
        <v>44</v>
      </c>
      <c r="AC558" s="7" t="s">
        <v>209</v>
      </c>
      <c r="AD558" s="10"/>
      <c r="AE558" s="10"/>
      <c r="AF558" s="10"/>
      <c r="AG558" s="11">
        <f t="shared" si="8"/>
        <v>43275</v>
      </c>
    </row>
    <row r="559" s="8" customFormat="1" spans="1:33">
      <c r="A559" s="7" t="s">
        <v>2843</v>
      </c>
      <c r="B559" s="7" t="s">
        <v>2843</v>
      </c>
      <c r="C559" s="7" t="s">
        <v>2844</v>
      </c>
      <c r="D559" s="7" t="s">
        <v>2845</v>
      </c>
      <c r="E559" s="7" t="s">
        <v>33</v>
      </c>
      <c r="F559" s="7" t="s">
        <v>34</v>
      </c>
      <c r="G559" s="7" t="s">
        <v>35</v>
      </c>
      <c r="H559" s="7"/>
      <c r="I559" s="7"/>
      <c r="J559" s="7" t="s">
        <v>36</v>
      </c>
      <c r="K559" s="7" t="s">
        <v>213</v>
      </c>
      <c r="L559" s="7" t="s">
        <v>214</v>
      </c>
      <c r="M559" s="7" t="s">
        <v>215</v>
      </c>
      <c r="N559" s="7" t="s">
        <v>33</v>
      </c>
      <c r="O559" s="7">
        <v>1</v>
      </c>
      <c r="P559" s="7" t="s">
        <v>40</v>
      </c>
      <c r="Q559" s="7">
        <v>21.99</v>
      </c>
      <c r="R559" s="7"/>
      <c r="S559" s="7"/>
      <c r="T559" s="7"/>
      <c r="U559" s="7"/>
      <c r="V559" s="7"/>
      <c r="W559" s="7">
        <v>21.78</v>
      </c>
      <c r="X559" s="7"/>
      <c r="Y559" s="7" t="s">
        <v>2454</v>
      </c>
      <c r="Z559" s="7" t="s">
        <v>207</v>
      </c>
      <c r="AA559" s="7" t="s">
        <v>2455</v>
      </c>
      <c r="AB559" s="7" t="s">
        <v>44</v>
      </c>
      <c r="AC559" s="7" t="s">
        <v>209</v>
      </c>
      <c r="AD559" s="10"/>
      <c r="AE559" s="10"/>
      <c r="AF559" s="10"/>
      <c r="AG559" s="11">
        <f t="shared" si="8"/>
        <v>43275</v>
      </c>
    </row>
    <row r="560" s="8" customFormat="1" spans="1:33">
      <c r="A560" s="7" t="s">
        <v>2849</v>
      </c>
      <c r="B560" s="7" t="s">
        <v>2849</v>
      </c>
      <c r="C560" s="7" t="s">
        <v>2850</v>
      </c>
      <c r="D560" s="7" t="s">
        <v>2851</v>
      </c>
      <c r="E560" s="7" t="s">
        <v>33</v>
      </c>
      <c r="F560" s="7" t="s">
        <v>34</v>
      </c>
      <c r="G560" s="7" t="s">
        <v>35</v>
      </c>
      <c r="H560" s="7"/>
      <c r="I560" s="7"/>
      <c r="J560" s="7" t="s">
        <v>36</v>
      </c>
      <c r="K560" s="7" t="s">
        <v>660</v>
      </c>
      <c r="L560" s="7" t="s">
        <v>661</v>
      </c>
      <c r="M560" s="7" t="s">
        <v>662</v>
      </c>
      <c r="N560" s="7" t="s">
        <v>33</v>
      </c>
      <c r="O560" s="7">
        <v>1</v>
      </c>
      <c r="P560" s="7" t="s">
        <v>40</v>
      </c>
      <c r="Q560" s="7">
        <v>79.99</v>
      </c>
      <c r="R560" s="7"/>
      <c r="S560" s="7"/>
      <c r="T560" s="7"/>
      <c r="U560" s="7"/>
      <c r="V560" s="7"/>
      <c r="W560" s="7"/>
      <c r="X560" s="7"/>
      <c r="Y560" s="7" t="s">
        <v>2631</v>
      </c>
      <c r="Z560" s="7" t="s">
        <v>52</v>
      </c>
      <c r="AA560" s="7" t="s">
        <v>2852</v>
      </c>
      <c r="AB560" s="7" t="s">
        <v>44</v>
      </c>
      <c r="AC560" s="7"/>
      <c r="AD560" s="10"/>
      <c r="AE560" s="10"/>
      <c r="AF560" s="10"/>
      <c r="AG560" s="11">
        <f t="shared" si="8"/>
        <v>43275</v>
      </c>
    </row>
    <row r="561" s="8" customFormat="1" spans="1:33">
      <c r="A561" s="7" t="s">
        <v>2853</v>
      </c>
      <c r="B561" s="7" t="s">
        <v>2853</v>
      </c>
      <c r="C561" s="7" t="s">
        <v>2854</v>
      </c>
      <c r="D561" s="7" t="s">
        <v>2855</v>
      </c>
      <c r="E561" s="7" t="s">
        <v>33</v>
      </c>
      <c r="F561" s="7" t="s">
        <v>34</v>
      </c>
      <c r="G561" s="7" t="s">
        <v>35</v>
      </c>
      <c r="H561" s="7"/>
      <c r="I561" s="7"/>
      <c r="J561" s="7" t="s">
        <v>36</v>
      </c>
      <c r="K561" s="7" t="s">
        <v>79</v>
      </c>
      <c r="L561" s="7" t="s">
        <v>80</v>
      </c>
      <c r="M561" s="7" t="s">
        <v>81</v>
      </c>
      <c r="N561" s="7" t="s">
        <v>33</v>
      </c>
      <c r="O561" s="7">
        <v>1</v>
      </c>
      <c r="P561" s="7" t="s">
        <v>40</v>
      </c>
      <c r="Q561" s="7">
        <v>91.99</v>
      </c>
      <c r="R561" s="7"/>
      <c r="S561" s="7"/>
      <c r="T561" s="7"/>
      <c r="U561" s="7"/>
      <c r="V561" s="7"/>
      <c r="W561" s="7"/>
      <c r="X561" s="7"/>
      <c r="Y561" s="7" t="s">
        <v>2856</v>
      </c>
      <c r="Z561" s="7" t="s">
        <v>92</v>
      </c>
      <c r="AA561" s="7" t="s">
        <v>2857</v>
      </c>
      <c r="AB561" s="7" t="s">
        <v>44</v>
      </c>
      <c r="AC561" s="7"/>
      <c r="AD561" s="10"/>
      <c r="AE561" s="10"/>
      <c r="AF561" s="10"/>
      <c r="AG561" s="11">
        <f t="shared" si="8"/>
        <v>43275</v>
      </c>
    </row>
    <row r="562" s="8" customFormat="1" spans="1:33">
      <c r="A562" s="7" t="s">
        <v>2858</v>
      </c>
      <c r="B562" s="7" t="s">
        <v>2858</v>
      </c>
      <c r="C562" s="7" t="s">
        <v>2859</v>
      </c>
      <c r="D562" s="7" t="s">
        <v>2860</v>
      </c>
      <c r="E562" s="7" t="s">
        <v>54</v>
      </c>
      <c r="F562" s="7" t="s">
        <v>34</v>
      </c>
      <c r="G562" s="7" t="s">
        <v>35</v>
      </c>
      <c r="H562" s="7"/>
      <c r="I562" s="7"/>
      <c r="J562" s="7" t="s">
        <v>36</v>
      </c>
      <c r="K562" s="7" t="s">
        <v>1215</v>
      </c>
      <c r="L562" s="7" t="s">
        <v>1216</v>
      </c>
      <c r="M562" s="7" t="s">
        <v>1217</v>
      </c>
      <c r="N562" s="7" t="s">
        <v>62</v>
      </c>
      <c r="O562" s="7">
        <v>1</v>
      </c>
      <c r="P562" s="7" t="s">
        <v>40</v>
      </c>
      <c r="Q562" s="7">
        <v>99.99</v>
      </c>
      <c r="R562" s="7"/>
      <c r="S562" s="7"/>
      <c r="T562" s="7"/>
      <c r="U562" s="7"/>
      <c r="V562" s="7"/>
      <c r="W562" s="7"/>
      <c r="X562" s="7"/>
      <c r="Y562" s="7" t="s">
        <v>2823</v>
      </c>
      <c r="Z562" s="7" t="s">
        <v>2824</v>
      </c>
      <c r="AA562" s="7">
        <v>46701</v>
      </c>
      <c r="AB562" s="7" t="s">
        <v>44</v>
      </c>
      <c r="AC562" s="7"/>
      <c r="AD562" s="10"/>
      <c r="AE562" s="10"/>
      <c r="AF562" s="10"/>
      <c r="AG562" s="11">
        <f t="shared" si="8"/>
        <v>43275</v>
      </c>
    </row>
    <row r="563" s="8" customFormat="1" spans="1:33">
      <c r="A563" s="7" t="s">
        <v>2861</v>
      </c>
      <c r="B563" s="7" t="s">
        <v>2861</v>
      </c>
      <c r="C563" s="7" t="s">
        <v>2862</v>
      </c>
      <c r="D563" s="7" t="s">
        <v>2863</v>
      </c>
      <c r="E563" s="7" t="s">
        <v>33</v>
      </c>
      <c r="F563" s="7" t="s">
        <v>34</v>
      </c>
      <c r="G563" s="7" t="s">
        <v>35</v>
      </c>
      <c r="H563" s="7"/>
      <c r="I563" s="7"/>
      <c r="J563" s="7" t="s">
        <v>36</v>
      </c>
      <c r="K563" s="7" t="s">
        <v>719</v>
      </c>
      <c r="L563" s="7" t="s">
        <v>720</v>
      </c>
      <c r="M563" s="7" t="s">
        <v>721</v>
      </c>
      <c r="N563" s="7" t="s">
        <v>33</v>
      </c>
      <c r="O563" s="7">
        <v>1</v>
      </c>
      <c r="P563" s="7" t="s">
        <v>40</v>
      </c>
      <c r="Q563" s="7">
        <v>21.99</v>
      </c>
      <c r="R563" s="7"/>
      <c r="S563" s="7"/>
      <c r="T563" s="7"/>
      <c r="U563" s="7"/>
      <c r="V563" s="7"/>
      <c r="W563" s="7">
        <v>21.77</v>
      </c>
      <c r="X563" s="7"/>
      <c r="Y563" s="7" t="s">
        <v>1604</v>
      </c>
      <c r="Z563" s="7" t="s">
        <v>2864</v>
      </c>
      <c r="AA563" s="7">
        <v>66213</v>
      </c>
      <c r="AB563" s="7" t="s">
        <v>44</v>
      </c>
      <c r="AC563" s="7" t="s">
        <v>209</v>
      </c>
      <c r="AD563" s="10"/>
      <c r="AE563" s="10"/>
      <c r="AF563" s="10"/>
      <c r="AG563" s="11">
        <f t="shared" si="8"/>
        <v>43275</v>
      </c>
    </row>
    <row r="564" s="8" customFormat="1" spans="1:33">
      <c r="A564" s="7" t="s">
        <v>2865</v>
      </c>
      <c r="B564" s="7" t="s">
        <v>2865</v>
      </c>
      <c r="C564" s="7" t="s">
        <v>2866</v>
      </c>
      <c r="D564" s="7" t="s">
        <v>2867</v>
      </c>
      <c r="E564" s="7" t="s">
        <v>33</v>
      </c>
      <c r="F564" s="7" t="s">
        <v>34</v>
      </c>
      <c r="G564" s="7" t="s">
        <v>35</v>
      </c>
      <c r="H564" s="7"/>
      <c r="I564" s="7"/>
      <c r="J564" s="7" t="s">
        <v>36</v>
      </c>
      <c r="K564" s="7" t="s">
        <v>148</v>
      </c>
      <c r="L564" s="7" t="s">
        <v>149</v>
      </c>
      <c r="M564" s="7" t="s">
        <v>150</v>
      </c>
      <c r="N564" s="7" t="s">
        <v>33</v>
      </c>
      <c r="O564" s="7">
        <v>1</v>
      </c>
      <c r="P564" s="7" t="s">
        <v>40</v>
      </c>
      <c r="Q564" s="7">
        <v>98.99</v>
      </c>
      <c r="R564" s="7"/>
      <c r="S564" s="7"/>
      <c r="T564" s="7"/>
      <c r="U564" s="7"/>
      <c r="V564" s="7"/>
      <c r="W564" s="7"/>
      <c r="X564" s="7"/>
      <c r="Y564" s="7" t="s">
        <v>932</v>
      </c>
      <c r="Z564" s="7" t="s">
        <v>64</v>
      </c>
      <c r="AA564" s="7" t="s">
        <v>2868</v>
      </c>
      <c r="AB564" s="7" t="s">
        <v>44</v>
      </c>
      <c r="AC564" s="7"/>
      <c r="AD564" s="10"/>
      <c r="AE564" s="10"/>
      <c r="AF564" s="10"/>
      <c r="AG564" s="11">
        <f t="shared" si="8"/>
        <v>43275</v>
      </c>
    </row>
    <row r="565" s="8" customFormat="1" spans="1:33">
      <c r="A565" s="7" t="s">
        <v>2869</v>
      </c>
      <c r="B565" s="7" t="s">
        <v>2869</v>
      </c>
      <c r="C565" s="7" t="s">
        <v>2870</v>
      </c>
      <c r="D565" s="7" t="s">
        <v>2871</v>
      </c>
      <c r="E565" s="7" t="s">
        <v>33</v>
      </c>
      <c r="F565" s="7" t="s">
        <v>34</v>
      </c>
      <c r="G565" s="7" t="s">
        <v>35</v>
      </c>
      <c r="H565" s="7"/>
      <c r="I565" s="7"/>
      <c r="J565" s="7" t="s">
        <v>36</v>
      </c>
      <c r="K565" s="7" t="s">
        <v>431</v>
      </c>
      <c r="L565" s="7" t="s">
        <v>432</v>
      </c>
      <c r="M565" s="7" t="s">
        <v>433</v>
      </c>
      <c r="N565" s="7" t="s">
        <v>33</v>
      </c>
      <c r="O565" s="7">
        <v>1</v>
      </c>
      <c r="P565" s="7" t="s">
        <v>40</v>
      </c>
      <c r="Q565" s="7">
        <v>89.99</v>
      </c>
      <c r="R565" s="7"/>
      <c r="S565" s="7"/>
      <c r="T565" s="7"/>
      <c r="U565" s="7"/>
      <c r="V565" s="7"/>
      <c r="W565" s="7"/>
      <c r="X565" s="7"/>
      <c r="Y565" s="7" t="s">
        <v>2872</v>
      </c>
      <c r="Z565" s="7" t="s">
        <v>52</v>
      </c>
      <c r="AA565" s="7" t="s">
        <v>2873</v>
      </c>
      <c r="AB565" s="7" t="s">
        <v>44</v>
      </c>
      <c r="AC565" s="7"/>
      <c r="AD565" s="10"/>
      <c r="AE565" s="10"/>
      <c r="AF565" s="10"/>
      <c r="AG565" s="11">
        <f t="shared" si="8"/>
        <v>43275</v>
      </c>
    </row>
    <row r="566" s="8" customFormat="1" spans="1:33">
      <c r="A566" s="7" t="s">
        <v>2874</v>
      </c>
      <c r="B566" s="7" t="s">
        <v>2874</v>
      </c>
      <c r="C566" s="7" t="s">
        <v>2875</v>
      </c>
      <c r="D566" s="7" t="s">
        <v>2876</v>
      </c>
      <c r="E566" s="7" t="s">
        <v>33</v>
      </c>
      <c r="F566" s="7" t="s">
        <v>34</v>
      </c>
      <c r="G566" s="7" t="s">
        <v>35</v>
      </c>
      <c r="H566" s="7"/>
      <c r="I566" s="7"/>
      <c r="J566" s="7" t="s">
        <v>36</v>
      </c>
      <c r="K566" s="7" t="s">
        <v>660</v>
      </c>
      <c r="L566" s="7" t="s">
        <v>661</v>
      </c>
      <c r="M566" s="7" t="s">
        <v>662</v>
      </c>
      <c r="N566" s="7" t="s">
        <v>33</v>
      </c>
      <c r="O566" s="7">
        <v>1</v>
      </c>
      <c r="P566" s="7" t="s">
        <v>40</v>
      </c>
      <c r="Q566" s="7">
        <v>79.99</v>
      </c>
      <c r="R566" s="7"/>
      <c r="S566" s="7"/>
      <c r="T566" s="7"/>
      <c r="U566" s="7"/>
      <c r="V566" s="7"/>
      <c r="W566" s="7"/>
      <c r="X566" s="7"/>
      <c r="Y566" s="7" t="s">
        <v>460</v>
      </c>
      <c r="Z566" s="7" t="s">
        <v>52</v>
      </c>
      <c r="AA566" s="7" t="s">
        <v>2877</v>
      </c>
      <c r="AB566" s="7" t="s">
        <v>44</v>
      </c>
      <c r="AC566" s="7"/>
      <c r="AD566" s="10"/>
      <c r="AE566" s="10"/>
      <c r="AF566" s="10"/>
      <c r="AG566" s="11">
        <f t="shared" si="8"/>
        <v>43275</v>
      </c>
    </row>
    <row r="567" s="8" customFormat="1" spans="1:33">
      <c r="A567" s="7" t="s">
        <v>2878</v>
      </c>
      <c r="B567" s="7" t="s">
        <v>2878</v>
      </c>
      <c r="C567" s="7" t="s">
        <v>2879</v>
      </c>
      <c r="D567" s="7" t="s">
        <v>2880</v>
      </c>
      <c r="E567" s="7" t="s">
        <v>33</v>
      </c>
      <c r="F567" s="7" t="s">
        <v>34</v>
      </c>
      <c r="G567" s="7" t="s">
        <v>35</v>
      </c>
      <c r="H567" s="7"/>
      <c r="I567" s="7"/>
      <c r="J567" s="7" t="s">
        <v>36</v>
      </c>
      <c r="K567" s="7" t="s">
        <v>79</v>
      </c>
      <c r="L567" s="7" t="s">
        <v>80</v>
      </c>
      <c r="M567" s="7" t="s">
        <v>81</v>
      </c>
      <c r="N567" s="7" t="s">
        <v>33</v>
      </c>
      <c r="O567" s="7">
        <v>1</v>
      </c>
      <c r="P567" s="7" t="s">
        <v>40</v>
      </c>
      <c r="Q567" s="7">
        <v>91.99</v>
      </c>
      <c r="R567" s="7"/>
      <c r="S567" s="7"/>
      <c r="T567" s="7"/>
      <c r="U567" s="7"/>
      <c r="V567" s="7"/>
      <c r="W567" s="7"/>
      <c r="X567" s="7"/>
      <c r="Y567" s="7" t="s">
        <v>2881</v>
      </c>
      <c r="Z567" s="7" t="s">
        <v>42</v>
      </c>
      <c r="AA567" s="7" t="s">
        <v>2882</v>
      </c>
      <c r="AB567" s="7" t="s">
        <v>44</v>
      </c>
      <c r="AC567" s="7"/>
      <c r="AD567" s="10"/>
      <c r="AE567" s="10"/>
      <c r="AF567" s="10"/>
      <c r="AG567" s="11">
        <f t="shared" si="8"/>
        <v>43275</v>
      </c>
    </row>
    <row r="568" s="8" customFormat="1" spans="1:33">
      <c r="A568" s="7" t="s">
        <v>2883</v>
      </c>
      <c r="B568" s="7" t="s">
        <v>2883</v>
      </c>
      <c r="C568" s="7" t="s">
        <v>2884</v>
      </c>
      <c r="D568" s="7" t="s">
        <v>2885</v>
      </c>
      <c r="E568" s="7" t="s">
        <v>33</v>
      </c>
      <c r="F568" s="7" t="s">
        <v>34</v>
      </c>
      <c r="G568" s="7" t="s">
        <v>35</v>
      </c>
      <c r="H568" s="7"/>
      <c r="I568" s="7"/>
      <c r="J568" s="7" t="s">
        <v>36</v>
      </c>
      <c r="K568" s="7" t="s">
        <v>2625</v>
      </c>
      <c r="L568" s="7" t="s">
        <v>2626</v>
      </c>
      <c r="M568" s="7" t="s">
        <v>2627</v>
      </c>
      <c r="N568" s="7" t="s">
        <v>33</v>
      </c>
      <c r="O568" s="7">
        <v>1</v>
      </c>
      <c r="P568" s="7" t="s">
        <v>40</v>
      </c>
      <c r="Q568" s="7">
        <v>26.99</v>
      </c>
      <c r="R568" s="7">
        <v>2.73</v>
      </c>
      <c r="S568" s="7"/>
      <c r="T568" s="7"/>
      <c r="U568" s="7"/>
      <c r="V568" s="7"/>
      <c r="W568" s="7"/>
      <c r="X568" s="7"/>
      <c r="Y568" s="7" t="s">
        <v>2886</v>
      </c>
      <c r="Z568" s="7" t="s">
        <v>97</v>
      </c>
      <c r="AA568" s="7" t="s">
        <v>2887</v>
      </c>
      <c r="AB568" s="7" t="s">
        <v>44</v>
      </c>
      <c r="AC568" s="7"/>
      <c r="AD568" s="10"/>
      <c r="AE568" s="10"/>
      <c r="AF568" s="10"/>
      <c r="AG568" s="11">
        <f t="shared" si="8"/>
        <v>43275</v>
      </c>
    </row>
    <row r="569" s="8" customFormat="1" spans="1:33">
      <c r="A569" s="7" t="s">
        <v>2888</v>
      </c>
      <c r="B569" s="7" t="s">
        <v>2888</v>
      </c>
      <c r="C569" s="7" t="s">
        <v>2889</v>
      </c>
      <c r="D569" s="7" t="s">
        <v>2890</v>
      </c>
      <c r="E569" s="7" t="s">
        <v>33</v>
      </c>
      <c r="F569" s="7" t="s">
        <v>34</v>
      </c>
      <c r="G569" s="7" t="s">
        <v>35</v>
      </c>
      <c r="H569" s="7"/>
      <c r="I569" s="7"/>
      <c r="J569" s="7" t="s">
        <v>36</v>
      </c>
      <c r="K569" s="7" t="s">
        <v>2322</v>
      </c>
      <c r="L569" s="7" t="s">
        <v>138</v>
      </c>
      <c r="M569" s="7" t="s">
        <v>139</v>
      </c>
      <c r="N569" s="7" t="s">
        <v>33</v>
      </c>
      <c r="O569" s="7">
        <v>1</v>
      </c>
      <c r="P569" s="7" t="s">
        <v>40</v>
      </c>
      <c r="Q569" s="7">
        <v>99.99</v>
      </c>
      <c r="R569" s="7"/>
      <c r="S569" s="7"/>
      <c r="T569" s="7"/>
      <c r="U569" s="7"/>
      <c r="V569" s="7"/>
      <c r="W569" s="7"/>
      <c r="X569" s="7"/>
      <c r="Y569" s="7" t="s">
        <v>2891</v>
      </c>
      <c r="Z569" s="7" t="s">
        <v>837</v>
      </c>
      <c r="AA569" s="7" t="s">
        <v>2892</v>
      </c>
      <c r="AB569" s="7" t="s">
        <v>44</v>
      </c>
      <c r="AC569" s="7"/>
      <c r="AD569" s="10"/>
      <c r="AE569" s="10"/>
      <c r="AF569" s="10"/>
      <c r="AG569" s="11">
        <f t="shared" si="8"/>
        <v>43275</v>
      </c>
    </row>
    <row r="570" s="8" customFormat="1" spans="1:33">
      <c r="A570" s="7" t="s">
        <v>2893</v>
      </c>
      <c r="B570" s="7" t="s">
        <v>2893</v>
      </c>
      <c r="C570" s="7" t="s">
        <v>2894</v>
      </c>
      <c r="D570" s="7" t="s">
        <v>2895</v>
      </c>
      <c r="E570" s="7" t="s">
        <v>33</v>
      </c>
      <c r="F570" s="7" t="s">
        <v>34</v>
      </c>
      <c r="G570" s="7" t="s">
        <v>35</v>
      </c>
      <c r="H570" s="7"/>
      <c r="I570" s="7"/>
      <c r="J570" s="7" t="s">
        <v>36</v>
      </c>
      <c r="K570" s="7" t="s">
        <v>48</v>
      </c>
      <c r="L570" s="7" t="s">
        <v>49</v>
      </c>
      <c r="M570" s="7" t="s">
        <v>50</v>
      </c>
      <c r="N570" s="7" t="s">
        <v>33</v>
      </c>
      <c r="O570" s="7">
        <v>1</v>
      </c>
      <c r="P570" s="7" t="s">
        <v>40</v>
      </c>
      <c r="Q570" s="7">
        <v>89.99</v>
      </c>
      <c r="R570" s="7"/>
      <c r="S570" s="7"/>
      <c r="T570" s="7"/>
      <c r="U570" s="7"/>
      <c r="V570" s="7"/>
      <c r="W570" s="7"/>
      <c r="X570" s="7"/>
      <c r="Y570" s="7" t="s">
        <v>937</v>
      </c>
      <c r="Z570" s="7" t="s">
        <v>92</v>
      </c>
      <c r="AA570" s="7" t="s">
        <v>2896</v>
      </c>
      <c r="AB570" s="7" t="s">
        <v>44</v>
      </c>
      <c r="AC570" s="7"/>
      <c r="AD570" s="10"/>
      <c r="AE570" s="10"/>
      <c r="AF570" s="10"/>
      <c r="AG570" s="11">
        <f t="shared" si="8"/>
        <v>43275</v>
      </c>
    </row>
    <row r="571" s="8" customFormat="1" spans="1:33">
      <c r="A571" s="7" t="s">
        <v>2897</v>
      </c>
      <c r="B571" s="7" t="s">
        <v>2897</v>
      </c>
      <c r="C571" s="7" t="s">
        <v>2898</v>
      </c>
      <c r="D571" s="7" t="s">
        <v>2899</v>
      </c>
      <c r="E571" s="7" t="s">
        <v>33</v>
      </c>
      <c r="F571" s="7" t="s">
        <v>34</v>
      </c>
      <c r="G571" s="7" t="s">
        <v>35</v>
      </c>
      <c r="H571" s="7"/>
      <c r="I571" s="7"/>
      <c r="J571" s="7" t="s">
        <v>69</v>
      </c>
      <c r="K571" s="7" t="s">
        <v>59</v>
      </c>
      <c r="L571" s="7" t="s">
        <v>60</v>
      </c>
      <c r="M571" s="7" t="s">
        <v>61</v>
      </c>
      <c r="N571" s="7" t="s">
        <v>33</v>
      </c>
      <c r="O571" s="7">
        <v>1</v>
      </c>
      <c r="P571" s="7" t="s">
        <v>40</v>
      </c>
      <c r="Q571" s="7">
        <v>89.99</v>
      </c>
      <c r="R571" s="7"/>
      <c r="S571" s="7"/>
      <c r="T571" s="7"/>
      <c r="U571" s="7"/>
      <c r="V571" s="7"/>
      <c r="W571" s="7"/>
      <c r="X571" s="7"/>
      <c r="Y571" s="7" t="s">
        <v>2900</v>
      </c>
      <c r="Z571" s="7" t="s">
        <v>42</v>
      </c>
      <c r="AA571" s="7" t="s">
        <v>2901</v>
      </c>
      <c r="AB571" s="7" t="s">
        <v>44</v>
      </c>
      <c r="AC571" s="7"/>
      <c r="AD571" s="10"/>
      <c r="AE571" s="10"/>
      <c r="AF571" s="10"/>
      <c r="AG571" s="11">
        <f t="shared" si="8"/>
        <v>43275</v>
      </c>
    </row>
    <row r="572" s="8" customFormat="1" spans="1:33">
      <c r="A572" s="7" t="s">
        <v>2902</v>
      </c>
      <c r="B572" s="7" t="s">
        <v>2902</v>
      </c>
      <c r="C572" s="7" t="s">
        <v>2903</v>
      </c>
      <c r="D572" s="7" t="s">
        <v>2904</v>
      </c>
      <c r="E572" s="7" t="s">
        <v>33</v>
      </c>
      <c r="F572" s="7" t="s">
        <v>34</v>
      </c>
      <c r="G572" s="7" t="s">
        <v>35</v>
      </c>
      <c r="H572" s="7"/>
      <c r="I572" s="7"/>
      <c r="J572" s="7" t="s">
        <v>36</v>
      </c>
      <c r="K572" s="7" t="s">
        <v>1837</v>
      </c>
      <c r="L572" s="7" t="s">
        <v>1838</v>
      </c>
      <c r="M572" s="7" t="s">
        <v>1839</v>
      </c>
      <c r="N572" s="7" t="s">
        <v>33</v>
      </c>
      <c r="O572" s="7">
        <v>1</v>
      </c>
      <c r="P572" s="7" t="s">
        <v>40</v>
      </c>
      <c r="Q572" s="7">
        <v>19.99</v>
      </c>
      <c r="R572" s="7"/>
      <c r="S572" s="7"/>
      <c r="T572" s="7"/>
      <c r="U572" s="7"/>
      <c r="V572" s="7"/>
      <c r="W572" s="7"/>
      <c r="X572" s="7"/>
      <c r="Y572" s="7" t="s">
        <v>2905</v>
      </c>
      <c r="Z572" s="7" t="s">
        <v>327</v>
      </c>
      <c r="AA572" s="7" t="s">
        <v>2906</v>
      </c>
      <c r="AB572" s="7" t="s">
        <v>44</v>
      </c>
      <c r="AC572" s="7"/>
      <c r="AD572" s="10"/>
      <c r="AE572" s="10"/>
      <c r="AF572" s="10"/>
      <c r="AG572" s="11">
        <f t="shared" si="8"/>
        <v>43275</v>
      </c>
    </row>
    <row r="573" s="8" customFormat="1" spans="1:33">
      <c r="A573" s="7" t="s">
        <v>2907</v>
      </c>
      <c r="B573" s="7" t="s">
        <v>2907</v>
      </c>
      <c r="C573" s="7" t="s">
        <v>2908</v>
      </c>
      <c r="D573" s="7" t="s">
        <v>2909</v>
      </c>
      <c r="E573" s="7" t="s">
        <v>54</v>
      </c>
      <c r="F573" s="7" t="s">
        <v>34</v>
      </c>
      <c r="G573" s="7" t="s">
        <v>35</v>
      </c>
      <c r="H573" s="7"/>
      <c r="I573" s="7"/>
      <c r="J573" s="7" t="s">
        <v>58</v>
      </c>
      <c r="K573" s="7" t="s">
        <v>148</v>
      </c>
      <c r="L573" s="7" t="s">
        <v>149</v>
      </c>
      <c r="M573" s="7" t="s">
        <v>150</v>
      </c>
      <c r="N573" s="7" t="s">
        <v>54</v>
      </c>
      <c r="O573" s="7">
        <v>0</v>
      </c>
      <c r="P573" s="7"/>
      <c r="Q573" s="7"/>
      <c r="R573" s="7"/>
      <c r="S573" s="7"/>
      <c r="T573" s="7"/>
      <c r="U573" s="7"/>
      <c r="V573" s="7"/>
      <c r="W573" s="7"/>
      <c r="X573" s="7"/>
      <c r="Y573" s="7" t="s">
        <v>2910</v>
      </c>
      <c r="Z573" s="7" t="s">
        <v>64</v>
      </c>
      <c r="AA573" s="7" t="s">
        <v>2911</v>
      </c>
      <c r="AB573" s="7" t="s">
        <v>44</v>
      </c>
      <c r="AC573" s="7"/>
      <c r="AD573" s="10"/>
      <c r="AE573" s="10"/>
      <c r="AF573" s="10"/>
      <c r="AG573" s="11">
        <f t="shared" si="8"/>
        <v>43275</v>
      </c>
    </row>
    <row r="574" s="8" customFormat="1" spans="1:33">
      <c r="A574" s="7" t="s">
        <v>2912</v>
      </c>
      <c r="B574" s="7" t="s">
        <v>2912</v>
      </c>
      <c r="C574" s="7" t="s">
        <v>2913</v>
      </c>
      <c r="D574" s="7" t="s">
        <v>2914</v>
      </c>
      <c r="E574" s="7" t="s">
        <v>33</v>
      </c>
      <c r="F574" s="7" t="s">
        <v>34</v>
      </c>
      <c r="G574" s="7" t="s">
        <v>35</v>
      </c>
      <c r="H574" s="7"/>
      <c r="I574" s="7"/>
      <c r="J574" s="7" t="s">
        <v>36</v>
      </c>
      <c r="K574" s="7" t="s">
        <v>2915</v>
      </c>
      <c r="L574" s="7" t="s">
        <v>2916</v>
      </c>
      <c r="M574" s="7" t="s">
        <v>2917</v>
      </c>
      <c r="N574" s="7" t="s">
        <v>33</v>
      </c>
      <c r="O574" s="7">
        <v>1</v>
      </c>
      <c r="P574" s="7" t="s">
        <v>40</v>
      </c>
      <c r="Q574" s="7">
        <v>85.99</v>
      </c>
      <c r="R574" s="7"/>
      <c r="S574" s="7"/>
      <c r="T574" s="7"/>
      <c r="U574" s="7"/>
      <c r="V574" s="7"/>
      <c r="W574" s="7"/>
      <c r="X574" s="7"/>
      <c r="Y574" s="7" t="s">
        <v>2918</v>
      </c>
      <c r="Z574" s="7" t="s">
        <v>52</v>
      </c>
      <c r="AA574" s="7" t="s">
        <v>2919</v>
      </c>
      <c r="AB574" s="7" t="s">
        <v>44</v>
      </c>
      <c r="AC574" s="7"/>
      <c r="AD574" s="10"/>
      <c r="AE574" s="10"/>
      <c r="AF574" s="10"/>
      <c r="AG574" s="11">
        <f t="shared" si="8"/>
        <v>43275</v>
      </c>
    </row>
    <row r="575" s="8" customFormat="1" spans="1:33">
      <c r="A575" s="7" t="s">
        <v>2920</v>
      </c>
      <c r="B575" s="7" t="s">
        <v>2920</v>
      </c>
      <c r="C575" s="7" t="s">
        <v>2921</v>
      </c>
      <c r="D575" s="7" t="s">
        <v>2922</v>
      </c>
      <c r="E575" s="7" t="s">
        <v>54</v>
      </c>
      <c r="F575" s="7" t="s">
        <v>34</v>
      </c>
      <c r="G575" s="7" t="s">
        <v>35</v>
      </c>
      <c r="H575" s="7"/>
      <c r="I575" s="7"/>
      <c r="J575" s="7" t="s">
        <v>36</v>
      </c>
      <c r="K575" s="7" t="s">
        <v>2035</v>
      </c>
      <c r="L575" s="7" t="s">
        <v>89</v>
      </c>
      <c r="M575" s="7" t="s">
        <v>90</v>
      </c>
      <c r="N575" s="7" t="s">
        <v>54</v>
      </c>
      <c r="O575" s="7">
        <v>0</v>
      </c>
      <c r="P575" s="7"/>
      <c r="Q575" s="7"/>
      <c r="R575" s="7"/>
      <c r="S575" s="7"/>
      <c r="T575" s="7"/>
      <c r="U575" s="7"/>
      <c r="V575" s="7"/>
      <c r="W575" s="7"/>
      <c r="X575" s="7"/>
      <c r="Y575" s="7" t="s">
        <v>823</v>
      </c>
      <c r="Z575" s="7" t="s">
        <v>83</v>
      </c>
      <c r="AA575" s="7" t="s">
        <v>824</v>
      </c>
      <c r="AB575" s="7" t="s">
        <v>44</v>
      </c>
      <c r="AC575" s="7"/>
      <c r="AD575" s="10"/>
      <c r="AE575" s="10"/>
      <c r="AF575" s="10"/>
      <c r="AG575" s="11">
        <f t="shared" si="8"/>
        <v>43275</v>
      </c>
    </row>
    <row r="576" s="8" customFormat="1" spans="1:33">
      <c r="A576" s="7" t="s">
        <v>2923</v>
      </c>
      <c r="B576" s="7" t="s">
        <v>2923</v>
      </c>
      <c r="C576" s="7" t="s">
        <v>2924</v>
      </c>
      <c r="D576" s="7" t="s">
        <v>2925</v>
      </c>
      <c r="E576" s="7" t="s">
        <v>33</v>
      </c>
      <c r="F576" s="7" t="s">
        <v>34</v>
      </c>
      <c r="G576" s="7" t="s">
        <v>35</v>
      </c>
      <c r="H576" s="7"/>
      <c r="I576" s="7"/>
      <c r="J576" s="7" t="s">
        <v>163</v>
      </c>
      <c r="K576" s="7" t="s">
        <v>2035</v>
      </c>
      <c r="L576" s="7" t="s">
        <v>89</v>
      </c>
      <c r="M576" s="7" t="s">
        <v>90</v>
      </c>
      <c r="N576" s="7" t="s">
        <v>33</v>
      </c>
      <c r="O576" s="7">
        <v>1</v>
      </c>
      <c r="P576" s="7" t="s">
        <v>40</v>
      </c>
      <c r="Q576" s="7">
        <v>89.99</v>
      </c>
      <c r="R576" s="7"/>
      <c r="S576" s="7">
        <v>9.98</v>
      </c>
      <c r="T576" s="7"/>
      <c r="U576" s="7"/>
      <c r="V576" s="7"/>
      <c r="W576" s="7"/>
      <c r="X576" s="7"/>
      <c r="Y576" s="7" t="s">
        <v>2558</v>
      </c>
      <c r="Z576" s="7" t="s">
        <v>230</v>
      </c>
      <c r="AA576" s="7" t="s">
        <v>2559</v>
      </c>
      <c r="AB576" s="7" t="s">
        <v>44</v>
      </c>
      <c r="AC576" s="7"/>
      <c r="AD576" s="10"/>
      <c r="AE576" s="10"/>
      <c r="AF576" s="10"/>
      <c r="AG576" s="11">
        <f t="shared" si="8"/>
        <v>43275</v>
      </c>
    </row>
    <row r="577" s="8" customFormat="1" spans="1:33">
      <c r="A577" s="7" t="s">
        <v>2926</v>
      </c>
      <c r="B577" s="7" t="s">
        <v>2926</v>
      </c>
      <c r="C577" s="7" t="s">
        <v>2927</v>
      </c>
      <c r="D577" s="7" t="s">
        <v>2928</v>
      </c>
      <c r="E577" s="7" t="s">
        <v>33</v>
      </c>
      <c r="F577" s="7" t="s">
        <v>34</v>
      </c>
      <c r="G577" s="7" t="s">
        <v>35</v>
      </c>
      <c r="H577" s="7"/>
      <c r="I577" s="7"/>
      <c r="J577" s="7" t="s">
        <v>36</v>
      </c>
      <c r="K577" s="7" t="s">
        <v>2459</v>
      </c>
      <c r="L577" s="7" t="s">
        <v>365</v>
      </c>
      <c r="M577" s="7" t="s">
        <v>366</v>
      </c>
      <c r="N577" s="7" t="s">
        <v>33</v>
      </c>
      <c r="O577" s="7">
        <v>1</v>
      </c>
      <c r="P577" s="7" t="s">
        <v>40</v>
      </c>
      <c r="Q577" s="7">
        <v>89.99</v>
      </c>
      <c r="R577" s="7"/>
      <c r="S577" s="7"/>
      <c r="T577" s="7"/>
      <c r="U577" s="7"/>
      <c r="V577" s="7"/>
      <c r="W577" s="7"/>
      <c r="X577" s="7"/>
      <c r="Y577" s="7" t="s">
        <v>2929</v>
      </c>
      <c r="Z577" s="7" t="s">
        <v>64</v>
      </c>
      <c r="AA577" s="7" t="s">
        <v>2930</v>
      </c>
      <c r="AB577" s="7" t="s">
        <v>44</v>
      </c>
      <c r="AC577" s="7"/>
      <c r="AD577" s="10"/>
      <c r="AE577" s="10"/>
      <c r="AF577" s="10"/>
      <c r="AG577" s="11">
        <f t="shared" si="8"/>
        <v>43275</v>
      </c>
    </row>
    <row r="578" s="8" customFormat="1" spans="1:33">
      <c r="A578" s="7" t="s">
        <v>2931</v>
      </c>
      <c r="B578" s="7" t="s">
        <v>2931</v>
      </c>
      <c r="C578" s="7" t="s">
        <v>2932</v>
      </c>
      <c r="D578" s="7" t="s">
        <v>2933</v>
      </c>
      <c r="E578" s="7" t="s">
        <v>54</v>
      </c>
      <c r="F578" s="7" t="s">
        <v>34</v>
      </c>
      <c r="G578" s="7" t="s">
        <v>35</v>
      </c>
      <c r="H578" s="7"/>
      <c r="I578" s="7"/>
      <c r="J578" s="7" t="s">
        <v>69</v>
      </c>
      <c r="K578" s="7" t="s">
        <v>1249</v>
      </c>
      <c r="L578" s="7" t="s">
        <v>1250</v>
      </c>
      <c r="M578" s="7" t="s">
        <v>1251</v>
      </c>
      <c r="N578" s="7" t="s">
        <v>54</v>
      </c>
      <c r="O578" s="7">
        <v>0</v>
      </c>
      <c r="P578" s="7"/>
      <c r="Q578" s="7"/>
      <c r="R578" s="7"/>
      <c r="S578" s="7"/>
      <c r="T578" s="7"/>
      <c r="U578" s="7"/>
      <c r="V578" s="7"/>
      <c r="W578" s="7"/>
      <c r="X578" s="7"/>
      <c r="Y578" s="7" t="s">
        <v>2934</v>
      </c>
      <c r="Z578" s="7" t="s">
        <v>990</v>
      </c>
      <c r="AA578" s="7" t="s">
        <v>2935</v>
      </c>
      <c r="AB578" s="7" t="s">
        <v>44</v>
      </c>
      <c r="AC578" s="7"/>
      <c r="AD578" s="10"/>
      <c r="AE578" s="10"/>
      <c r="AF578" s="10"/>
      <c r="AG578" s="11">
        <f t="shared" ref="AG578:AG641" si="9">DATEVALUE(LEFT(C578,10))</f>
        <v>43275</v>
      </c>
    </row>
    <row r="579" s="8" customFormat="1" spans="1:33">
      <c r="A579" s="7" t="s">
        <v>2936</v>
      </c>
      <c r="B579" s="7" t="s">
        <v>2936</v>
      </c>
      <c r="C579" s="7" t="s">
        <v>2937</v>
      </c>
      <c r="D579" s="7" t="s">
        <v>2938</v>
      </c>
      <c r="E579" s="7" t="s">
        <v>54</v>
      </c>
      <c r="F579" s="7" t="s">
        <v>34</v>
      </c>
      <c r="G579" s="7" t="s">
        <v>35</v>
      </c>
      <c r="H579" s="7"/>
      <c r="I579" s="7"/>
      <c r="J579" s="7" t="s">
        <v>36</v>
      </c>
      <c r="K579" s="7" t="s">
        <v>1249</v>
      </c>
      <c r="L579" s="7" t="s">
        <v>1250</v>
      </c>
      <c r="M579" s="7" t="s">
        <v>1251</v>
      </c>
      <c r="N579" s="7" t="s">
        <v>54</v>
      </c>
      <c r="O579" s="7">
        <v>0</v>
      </c>
      <c r="P579" s="7"/>
      <c r="Q579" s="7"/>
      <c r="R579" s="7"/>
      <c r="S579" s="7"/>
      <c r="T579" s="7"/>
      <c r="U579" s="7"/>
      <c r="V579" s="7"/>
      <c r="W579" s="7"/>
      <c r="X579" s="7"/>
      <c r="Y579" s="7" t="s">
        <v>2934</v>
      </c>
      <c r="Z579" s="7" t="s">
        <v>990</v>
      </c>
      <c r="AA579" s="7" t="s">
        <v>2935</v>
      </c>
      <c r="AB579" s="7" t="s">
        <v>44</v>
      </c>
      <c r="AC579" s="7"/>
      <c r="AD579" s="10"/>
      <c r="AE579" s="10"/>
      <c r="AF579" s="10"/>
      <c r="AG579" s="11">
        <f t="shared" si="9"/>
        <v>43275</v>
      </c>
    </row>
    <row r="580" s="8" customFormat="1" spans="1:33">
      <c r="A580" s="7" t="s">
        <v>2939</v>
      </c>
      <c r="B580" s="7" t="s">
        <v>2939</v>
      </c>
      <c r="C580" s="7" t="s">
        <v>2940</v>
      </c>
      <c r="D580" s="7" t="s">
        <v>2941</v>
      </c>
      <c r="E580" s="7" t="s">
        <v>33</v>
      </c>
      <c r="F580" s="7" t="s">
        <v>34</v>
      </c>
      <c r="G580" s="7" t="s">
        <v>35</v>
      </c>
      <c r="H580" s="7"/>
      <c r="I580" s="7"/>
      <c r="J580" s="7" t="s">
        <v>36</v>
      </c>
      <c r="K580" s="7" t="s">
        <v>2322</v>
      </c>
      <c r="L580" s="7" t="s">
        <v>138</v>
      </c>
      <c r="M580" s="7" t="s">
        <v>139</v>
      </c>
      <c r="N580" s="7" t="s">
        <v>33</v>
      </c>
      <c r="O580" s="7">
        <v>1</v>
      </c>
      <c r="P580" s="7" t="s">
        <v>40</v>
      </c>
      <c r="Q580" s="7">
        <v>99.99</v>
      </c>
      <c r="R580" s="7"/>
      <c r="S580" s="7"/>
      <c r="T580" s="7"/>
      <c r="U580" s="7"/>
      <c r="V580" s="7"/>
      <c r="W580" s="7"/>
      <c r="X580" s="7"/>
      <c r="Y580" s="7" t="s">
        <v>2942</v>
      </c>
      <c r="Z580" s="7" t="s">
        <v>83</v>
      </c>
      <c r="AA580" s="7" t="s">
        <v>2943</v>
      </c>
      <c r="AB580" s="7" t="s">
        <v>44</v>
      </c>
      <c r="AC580" s="7"/>
      <c r="AD580" s="10"/>
      <c r="AE580" s="10"/>
      <c r="AF580" s="10"/>
      <c r="AG580" s="11">
        <f t="shared" si="9"/>
        <v>43275</v>
      </c>
    </row>
    <row r="581" s="8" customFormat="1" spans="1:33">
      <c r="A581" s="7" t="s">
        <v>2939</v>
      </c>
      <c r="B581" s="7" t="s">
        <v>2939</v>
      </c>
      <c r="C581" s="7" t="s">
        <v>2940</v>
      </c>
      <c r="D581" s="7" t="s">
        <v>2941</v>
      </c>
      <c r="E581" s="7" t="s">
        <v>33</v>
      </c>
      <c r="F581" s="7" t="s">
        <v>34</v>
      </c>
      <c r="G581" s="7" t="s">
        <v>35</v>
      </c>
      <c r="H581" s="7"/>
      <c r="I581" s="7"/>
      <c r="J581" s="7" t="s">
        <v>36</v>
      </c>
      <c r="K581" s="7" t="s">
        <v>37</v>
      </c>
      <c r="L581" s="7" t="s">
        <v>38</v>
      </c>
      <c r="M581" s="7" t="s">
        <v>39</v>
      </c>
      <c r="N581" s="7" t="s">
        <v>33</v>
      </c>
      <c r="O581" s="7">
        <v>1</v>
      </c>
      <c r="P581" s="7" t="s">
        <v>40</v>
      </c>
      <c r="Q581" s="7">
        <v>89.99</v>
      </c>
      <c r="R581" s="7"/>
      <c r="S581" s="7"/>
      <c r="T581" s="7"/>
      <c r="U581" s="7"/>
      <c r="V581" s="7"/>
      <c r="W581" s="7"/>
      <c r="X581" s="7"/>
      <c r="Y581" s="7" t="s">
        <v>2942</v>
      </c>
      <c r="Z581" s="7" t="s">
        <v>83</v>
      </c>
      <c r="AA581" s="7" t="s">
        <v>2943</v>
      </c>
      <c r="AB581" s="7" t="s">
        <v>44</v>
      </c>
      <c r="AC581" s="7"/>
      <c r="AD581" s="10"/>
      <c r="AE581" s="10"/>
      <c r="AF581" s="10"/>
      <c r="AG581" s="11">
        <f t="shared" si="9"/>
        <v>43275</v>
      </c>
    </row>
    <row r="582" s="8" customFormat="1" spans="1:33">
      <c r="A582" s="7" t="s">
        <v>2944</v>
      </c>
      <c r="B582" s="7" t="s">
        <v>2944</v>
      </c>
      <c r="C582" s="7" t="s">
        <v>2945</v>
      </c>
      <c r="D582" s="7" t="s">
        <v>2946</v>
      </c>
      <c r="E582" s="7" t="s">
        <v>33</v>
      </c>
      <c r="F582" s="7" t="s">
        <v>34</v>
      </c>
      <c r="G582" s="7" t="s">
        <v>35</v>
      </c>
      <c r="H582" s="7"/>
      <c r="I582" s="7"/>
      <c r="J582" s="7" t="s">
        <v>36</v>
      </c>
      <c r="K582" s="7" t="s">
        <v>1436</v>
      </c>
      <c r="L582" s="7" t="s">
        <v>1437</v>
      </c>
      <c r="M582" s="7" t="s">
        <v>1438</v>
      </c>
      <c r="N582" s="7" t="s">
        <v>33</v>
      </c>
      <c r="O582" s="7">
        <v>1</v>
      </c>
      <c r="P582" s="7" t="s">
        <v>40</v>
      </c>
      <c r="Q582" s="7">
        <v>99.6</v>
      </c>
      <c r="R582" s="7"/>
      <c r="S582" s="7"/>
      <c r="T582" s="7"/>
      <c r="U582" s="7"/>
      <c r="V582" s="7"/>
      <c r="W582" s="7"/>
      <c r="X582" s="7"/>
      <c r="Y582" s="7" t="s">
        <v>2947</v>
      </c>
      <c r="Z582" s="7" t="s">
        <v>183</v>
      </c>
      <c r="AA582" s="7" t="s">
        <v>2948</v>
      </c>
      <c r="AB582" s="7" t="s">
        <v>44</v>
      </c>
      <c r="AC582" s="7"/>
      <c r="AD582" s="10"/>
      <c r="AE582" s="10"/>
      <c r="AF582" s="10"/>
      <c r="AG582" s="11">
        <f t="shared" si="9"/>
        <v>43276</v>
      </c>
    </row>
    <row r="583" s="8" customFormat="1" spans="1:33">
      <c r="A583" s="7" t="s">
        <v>2949</v>
      </c>
      <c r="B583" s="7" t="s">
        <v>2949</v>
      </c>
      <c r="C583" s="7" t="s">
        <v>2950</v>
      </c>
      <c r="D583" s="7" t="s">
        <v>2951</v>
      </c>
      <c r="E583" s="7" t="s">
        <v>33</v>
      </c>
      <c r="F583" s="7" t="s">
        <v>34</v>
      </c>
      <c r="G583" s="7" t="s">
        <v>35</v>
      </c>
      <c r="H583" s="7"/>
      <c r="I583" s="7"/>
      <c r="J583" s="7" t="s">
        <v>69</v>
      </c>
      <c r="K583" s="7" t="s">
        <v>213</v>
      </c>
      <c r="L583" s="7" t="s">
        <v>214</v>
      </c>
      <c r="M583" s="7" t="s">
        <v>215</v>
      </c>
      <c r="N583" s="7" t="s">
        <v>33</v>
      </c>
      <c r="O583" s="7">
        <v>1</v>
      </c>
      <c r="P583" s="7" t="s">
        <v>40</v>
      </c>
      <c r="Q583" s="7">
        <v>21.99</v>
      </c>
      <c r="R583" s="7"/>
      <c r="S583" s="7">
        <v>0.38</v>
      </c>
      <c r="T583" s="7"/>
      <c r="U583" s="7"/>
      <c r="V583" s="7"/>
      <c r="W583" s="7"/>
      <c r="X583" s="7"/>
      <c r="Y583" s="7" t="s">
        <v>2952</v>
      </c>
      <c r="Z583" s="7" t="s">
        <v>207</v>
      </c>
      <c r="AA583" s="7" t="s">
        <v>2953</v>
      </c>
      <c r="AB583" s="7" t="s">
        <v>44</v>
      </c>
      <c r="AC583" s="7"/>
      <c r="AD583" s="10"/>
      <c r="AE583" s="10"/>
      <c r="AF583" s="10"/>
      <c r="AG583" s="11">
        <f t="shared" si="9"/>
        <v>43276</v>
      </c>
    </row>
    <row r="584" s="8" customFormat="1" spans="1:33">
      <c r="A584" s="7" t="s">
        <v>2954</v>
      </c>
      <c r="B584" s="7" t="s">
        <v>2954</v>
      </c>
      <c r="C584" s="7" t="s">
        <v>2955</v>
      </c>
      <c r="D584" s="7" t="s">
        <v>2956</v>
      </c>
      <c r="E584" s="7" t="s">
        <v>54</v>
      </c>
      <c r="F584" s="7" t="s">
        <v>34</v>
      </c>
      <c r="G584" s="7" t="s">
        <v>35</v>
      </c>
      <c r="H584" s="7"/>
      <c r="I584" s="7"/>
      <c r="J584" s="7" t="s">
        <v>69</v>
      </c>
      <c r="K584" s="7" t="s">
        <v>1065</v>
      </c>
      <c r="L584" s="7" t="s">
        <v>1066</v>
      </c>
      <c r="M584" s="7" t="s">
        <v>1067</v>
      </c>
      <c r="N584" s="7" t="s">
        <v>54</v>
      </c>
      <c r="O584" s="7">
        <v>0</v>
      </c>
      <c r="P584" s="7"/>
      <c r="Q584" s="7"/>
      <c r="R584" s="7"/>
      <c r="S584" s="7"/>
      <c r="T584" s="7"/>
      <c r="U584" s="7"/>
      <c r="V584" s="7"/>
      <c r="W584" s="7"/>
      <c r="X584" s="7"/>
      <c r="Y584" s="7" t="s">
        <v>672</v>
      </c>
      <c r="Z584" s="7" t="s">
        <v>135</v>
      </c>
      <c r="AA584" s="7" t="s">
        <v>2957</v>
      </c>
      <c r="AB584" s="7" t="s">
        <v>44</v>
      </c>
      <c r="AC584" s="7"/>
      <c r="AD584" s="10"/>
      <c r="AE584" s="10"/>
      <c r="AF584" s="10"/>
      <c r="AG584" s="11">
        <f t="shared" si="9"/>
        <v>43276</v>
      </c>
    </row>
    <row r="585" s="8" customFormat="1" spans="1:33">
      <c r="A585" s="7" t="s">
        <v>2958</v>
      </c>
      <c r="B585" s="7" t="s">
        <v>2958</v>
      </c>
      <c r="C585" s="7" t="s">
        <v>2959</v>
      </c>
      <c r="D585" s="7" t="s">
        <v>2960</v>
      </c>
      <c r="E585" s="7" t="s">
        <v>33</v>
      </c>
      <c r="F585" s="7" t="s">
        <v>34</v>
      </c>
      <c r="G585" s="7" t="s">
        <v>35</v>
      </c>
      <c r="H585" s="7"/>
      <c r="I585" s="7"/>
      <c r="J585" s="7" t="s">
        <v>58</v>
      </c>
      <c r="K585" s="7" t="s">
        <v>387</v>
      </c>
      <c r="L585" s="7" t="s">
        <v>388</v>
      </c>
      <c r="M585" s="7" t="s">
        <v>389</v>
      </c>
      <c r="N585" s="7" t="s">
        <v>33</v>
      </c>
      <c r="O585" s="7">
        <v>1</v>
      </c>
      <c r="P585" s="7" t="s">
        <v>40</v>
      </c>
      <c r="Q585" s="7">
        <v>32.99</v>
      </c>
      <c r="R585" s="7"/>
      <c r="S585" s="7">
        <v>5.99</v>
      </c>
      <c r="T585" s="7"/>
      <c r="U585" s="7"/>
      <c r="V585" s="7"/>
      <c r="W585" s="7"/>
      <c r="X585" s="7"/>
      <c r="Y585" s="7" t="s">
        <v>927</v>
      </c>
      <c r="Z585" s="7" t="s">
        <v>52</v>
      </c>
      <c r="AA585" s="7" t="s">
        <v>2961</v>
      </c>
      <c r="AB585" s="7" t="s">
        <v>44</v>
      </c>
      <c r="AC585" s="7"/>
      <c r="AD585" s="10"/>
      <c r="AE585" s="10"/>
      <c r="AF585" s="10"/>
      <c r="AG585" s="11">
        <f t="shared" si="9"/>
        <v>43276</v>
      </c>
    </row>
    <row r="586" s="8" customFormat="1" spans="1:33">
      <c r="A586" s="7" t="s">
        <v>2962</v>
      </c>
      <c r="B586" s="7" t="s">
        <v>2962</v>
      </c>
      <c r="C586" s="7" t="s">
        <v>2963</v>
      </c>
      <c r="D586" s="7" t="s">
        <v>2964</v>
      </c>
      <c r="E586" s="7" t="s">
        <v>33</v>
      </c>
      <c r="F586" s="7" t="s">
        <v>34</v>
      </c>
      <c r="G586" s="7" t="s">
        <v>35</v>
      </c>
      <c r="H586" s="7"/>
      <c r="I586" s="7"/>
      <c r="J586" s="7" t="s">
        <v>36</v>
      </c>
      <c r="K586" s="7" t="s">
        <v>226</v>
      </c>
      <c r="L586" s="7" t="s">
        <v>227</v>
      </c>
      <c r="M586" s="7" t="s">
        <v>228</v>
      </c>
      <c r="N586" s="7" t="s">
        <v>33</v>
      </c>
      <c r="O586" s="7">
        <v>1</v>
      </c>
      <c r="P586" s="7" t="s">
        <v>40</v>
      </c>
      <c r="Q586" s="7">
        <v>34.99</v>
      </c>
      <c r="R586" s="7"/>
      <c r="S586" s="7"/>
      <c r="T586" s="7"/>
      <c r="U586" s="7"/>
      <c r="V586" s="7"/>
      <c r="W586" s="7"/>
      <c r="X586" s="7"/>
      <c r="Y586" s="7" t="s">
        <v>2965</v>
      </c>
      <c r="Z586" s="7" t="s">
        <v>64</v>
      </c>
      <c r="AA586" s="7" t="s">
        <v>2966</v>
      </c>
      <c r="AB586" s="7" t="s">
        <v>44</v>
      </c>
      <c r="AC586" s="7"/>
      <c r="AD586" s="10"/>
      <c r="AE586" s="10"/>
      <c r="AF586" s="10"/>
      <c r="AG586" s="11">
        <f t="shared" si="9"/>
        <v>43276</v>
      </c>
    </row>
    <row r="587" s="8" customFormat="1" spans="1:33">
      <c r="A587" s="7" t="s">
        <v>2967</v>
      </c>
      <c r="B587" s="7" t="s">
        <v>2967</v>
      </c>
      <c r="C587" s="7" t="s">
        <v>2968</v>
      </c>
      <c r="D587" s="7" t="s">
        <v>2969</v>
      </c>
      <c r="E587" s="7" t="s">
        <v>33</v>
      </c>
      <c r="F587" s="7" t="s">
        <v>34</v>
      </c>
      <c r="G587" s="7" t="s">
        <v>35</v>
      </c>
      <c r="H587" s="7"/>
      <c r="I587" s="7"/>
      <c r="J587" s="7" t="s">
        <v>163</v>
      </c>
      <c r="K587" s="7" t="s">
        <v>37</v>
      </c>
      <c r="L587" s="7" t="s">
        <v>38</v>
      </c>
      <c r="M587" s="7" t="s">
        <v>39</v>
      </c>
      <c r="N587" s="7" t="s">
        <v>33</v>
      </c>
      <c r="O587" s="7">
        <v>1</v>
      </c>
      <c r="P587" s="7" t="s">
        <v>40</v>
      </c>
      <c r="Q587" s="7">
        <v>89.99</v>
      </c>
      <c r="R587" s="7"/>
      <c r="S587" s="7">
        <v>7.99</v>
      </c>
      <c r="T587" s="7"/>
      <c r="U587" s="7">
        <v>4.99</v>
      </c>
      <c r="V587" s="7"/>
      <c r="W587" s="7"/>
      <c r="X587" s="7">
        <v>7.99</v>
      </c>
      <c r="Y587" s="7" t="s">
        <v>1525</v>
      </c>
      <c r="Z587" s="7" t="s">
        <v>42</v>
      </c>
      <c r="AA587" s="7" t="s">
        <v>2970</v>
      </c>
      <c r="AB587" s="7" t="s">
        <v>44</v>
      </c>
      <c r="AC587" s="7"/>
      <c r="AD587" s="10"/>
      <c r="AE587" s="10"/>
      <c r="AF587" s="10"/>
      <c r="AG587" s="11">
        <f t="shared" si="9"/>
        <v>43276</v>
      </c>
    </row>
    <row r="588" s="8" customFormat="1" spans="1:33">
      <c r="A588" s="7" t="s">
        <v>2971</v>
      </c>
      <c r="B588" s="7" t="s">
        <v>2971</v>
      </c>
      <c r="C588" s="7" t="s">
        <v>2972</v>
      </c>
      <c r="D588" s="7" t="s">
        <v>2973</v>
      </c>
      <c r="E588" s="7" t="s">
        <v>33</v>
      </c>
      <c r="F588" s="7" t="s">
        <v>34</v>
      </c>
      <c r="G588" s="7" t="s">
        <v>35</v>
      </c>
      <c r="H588" s="7"/>
      <c r="I588" s="7"/>
      <c r="J588" s="7" t="s">
        <v>36</v>
      </c>
      <c r="K588" s="7" t="s">
        <v>148</v>
      </c>
      <c r="L588" s="7" t="s">
        <v>149</v>
      </c>
      <c r="M588" s="7" t="s">
        <v>150</v>
      </c>
      <c r="N588" s="7" t="s">
        <v>33</v>
      </c>
      <c r="O588" s="7">
        <v>1</v>
      </c>
      <c r="P588" s="7" t="s">
        <v>40</v>
      </c>
      <c r="Q588" s="7">
        <v>98.99</v>
      </c>
      <c r="R588" s="7"/>
      <c r="S588" s="7"/>
      <c r="T588" s="7"/>
      <c r="U588" s="7"/>
      <c r="V588" s="7"/>
      <c r="W588" s="7"/>
      <c r="X588" s="7"/>
      <c r="Y588" s="7" t="s">
        <v>2974</v>
      </c>
      <c r="Z588" s="7" t="s">
        <v>42</v>
      </c>
      <c r="AA588" s="7" t="s">
        <v>2975</v>
      </c>
      <c r="AB588" s="7" t="s">
        <v>44</v>
      </c>
      <c r="AC588" s="7"/>
      <c r="AD588" s="10"/>
      <c r="AE588" s="10"/>
      <c r="AF588" s="10"/>
      <c r="AG588" s="11">
        <f t="shared" si="9"/>
        <v>43276</v>
      </c>
    </row>
    <row r="589" s="8" customFormat="1" spans="1:33">
      <c r="A589" s="7" t="s">
        <v>2976</v>
      </c>
      <c r="B589" s="7" t="s">
        <v>2976</v>
      </c>
      <c r="C589" s="7" t="s">
        <v>2977</v>
      </c>
      <c r="D589" s="7" t="s">
        <v>2978</v>
      </c>
      <c r="E589" s="7" t="s">
        <v>33</v>
      </c>
      <c r="F589" s="7" t="s">
        <v>34</v>
      </c>
      <c r="G589" s="7" t="s">
        <v>35</v>
      </c>
      <c r="H589" s="7"/>
      <c r="I589" s="7"/>
      <c r="J589" s="7" t="s">
        <v>36</v>
      </c>
      <c r="K589" s="7" t="s">
        <v>48</v>
      </c>
      <c r="L589" s="7" t="s">
        <v>49</v>
      </c>
      <c r="M589" s="7" t="s">
        <v>50</v>
      </c>
      <c r="N589" s="7" t="s">
        <v>33</v>
      </c>
      <c r="O589" s="7">
        <v>1</v>
      </c>
      <c r="P589" s="7" t="s">
        <v>40</v>
      </c>
      <c r="Q589" s="7">
        <v>89.99</v>
      </c>
      <c r="R589" s="7"/>
      <c r="S589" s="7"/>
      <c r="T589" s="7"/>
      <c r="U589" s="7"/>
      <c r="V589" s="7"/>
      <c r="W589" s="7"/>
      <c r="X589" s="7"/>
      <c r="Y589" s="7" t="s">
        <v>2979</v>
      </c>
      <c r="Z589" s="7" t="s">
        <v>135</v>
      </c>
      <c r="AA589" s="7" t="s">
        <v>2980</v>
      </c>
      <c r="AB589" s="7" t="s">
        <v>44</v>
      </c>
      <c r="AC589" s="7"/>
      <c r="AD589" s="10"/>
      <c r="AE589" s="10"/>
      <c r="AF589" s="10"/>
      <c r="AG589" s="11">
        <f t="shared" si="9"/>
        <v>43276</v>
      </c>
    </row>
    <row r="590" s="8" customFormat="1" spans="1:33">
      <c r="A590" s="7" t="s">
        <v>2981</v>
      </c>
      <c r="B590" s="7" t="s">
        <v>2981</v>
      </c>
      <c r="C590" s="7" t="s">
        <v>2982</v>
      </c>
      <c r="D590" s="7" t="s">
        <v>2983</v>
      </c>
      <c r="E590" s="7" t="s">
        <v>33</v>
      </c>
      <c r="F590" s="7" t="s">
        <v>34</v>
      </c>
      <c r="G590" s="7" t="s">
        <v>35</v>
      </c>
      <c r="H590" s="7"/>
      <c r="I590" s="7"/>
      <c r="J590" s="7" t="s">
        <v>36</v>
      </c>
      <c r="K590" s="7" t="s">
        <v>123</v>
      </c>
      <c r="L590" s="7" t="s">
        <v>124</v>
      </c>
      <c r="M590" s="7" t="s">
        <v>125</v>
      </c>
      <c r="N590" s="7" t="s">
        <v>33</v>
      </c>
      <c r="O590" s="7">
        <v>1</v>
      </c>
      <c r="P590" s="7" t="s">
        <v>40</v>
      </c>
      <c r="Q590" s="7">
        <v>89.99</v>
      </c>
      <c r="R590" s="7"/>
      <c r="S590" s="7"/>
      <c r="T590" s="7"/>
      <c r="U590" s="7"/>
      <c r="V590" s="7"/>
      <c r="W590" s="7"/>
      <c r="X590" s="7"/>
      <c r="Y590" s="7" t="s">
        <v>2984</v>
      </c>
      <c r="Z590" s="7" t="s">
        <v>837</v>
      </c>
      <c r="AA590" s="7" t="s">
        <v>2985</v>
      </c>
      <c r="AB590" s="7" t="s">
        <v>44</v>
      </c>
      <c r="AC590" s="7"/>
      <c r="AD590" s="10"/>
      <c r="AE590" s="10"/>
      <c r="AF590" s="10"/>
      <c r="AG590" s="11">
        <f t="shared" si="9"/>
        <v>43276</v>
      </c>
    </row>
    <row r="591" s="8" customFormat="1" spans="1:33">
      <c r="A591" s="7" t="s">
        <v>2986</v>
      </c>
      <c r="B591" s="7" t="s">
        <v>2986</v>
      </c>
      <c r="C591" s="7" t="s">
        <v>2987</v>
      </c>
      <c r="D591" s="7" t="s">
        <v>2988</v>
      </c>
      <c r="E591" s="7" t="s">
        <v>33</v>
      </c>
      <c r="F591" s="7" t="s">
        <v>34</v>
      </c>
      <c r="G591" s="7" t="s">
        <v>35</v>
      </c>
      <c r="H591" s="7"/>
      <c r="I591" s="7"/>
      <c r="J591" s="7" t="s">
        <v>69</v>
      </c>
      <c r="K591" s="7" t="s">
        <v>148</v>
      </c>
      <c r="L591" s="7" t="s">
        <v>149</v>
      </c>
      <c r="M591" s="7" t="s">
        <v>150</v>
      </c>
      <c r="N591" s="7" t="s">
        <v>33</v>
      </c>
      <c r="O591" s="7">
        <v>1</v>
      </c>
      <c r="P591" s="7" t="s">
        <v>40</v>
      </c>
      <c r="Q591" s="7">
        <v>98.99</v>
      </c>
      <c r="R591" s="7"/>
      <c r="S591" s="7">
        <v>8.22</v>
      </c>
      <c r="T591" s="7"/>
      <c r="U591" s="7"/>
      <c r="V591" s="7"/>
      <c r="W591" s="7"/>
      <c r="X591" s="7"/>
      <c r="Y591" s="7" t="s">
        <v>2989</v>
      </c>
      <c r="Z591" s="7" t="s">
        <v>83</v>
      </c>
      <c r="AA591" s="7" t="s">
        <v>2990</v>
      </c>
      <c r="AB591" s="7" t="s">
        <v>44</v>
      </c>
      <c r="AC591" s="7"/>
      <c r="AD591" s="10"/>
      <c r="AE591" s="10"/>
      <c r="AF591" s="10"/>
      <c r="AG591" s="11">
        <f t="shared" si="9"/>
        <v>43276</v>
      </c>
    </row>
    <row r="592" s="8" customFormat="1" spans="1:33">
      <c r="A592" s="7" t="s">
        <v>2991</v>
      </c>
      <c r="B592" s="7" t="s">
        <v>2991</v>
      </c>
      <c r="C592" s="7" t="s">
        <v>2992</v>
      </c>
      <c r="D592" s="7" t="s">
        <v>2993</v>
      </c>
      <c r="E592" s="7" t="s">
        <v>33</v>
      </c>
      <c r="F592" s="7" t="s">
        <v>34</v>
      </c>
      <c r="G592" s="7" t="s">
        <v>35</v>
      </c>
      <c r="H592" s="7"/>
      <c r="I592" s="7"/>
      <c r="J592" s="7" t="s">
        <v>36</v>
      </c>
      <c r="K592" s="7" t="s">
        <v>79</v>
      </c>
      <c r="L592" s="7" t="s">
        <v>80</v>
      </c>
      <c r="M592" s="7" t="s">
        <v>81</v>
      </c>
      <c r="N592" s="7" t="s">
        <v>33</v>
      </c>
      <c r="O592" s="7">
        <v>1</v>
      </c>
      <c r="P592" s="7" t="s">
        <v>40</v>
      </c>
      <c r="Q592" s="7">
        <v>91.99</v>
      </c>
      <c r="R592" s="7">
        <v>9.29</v>
      </c>
      <c r="S592" s="7"/>
      <c r="T592" s="7"/>
      <c r="U592" s="7"/>
      <c r="V592" s="7"/>
      <c r="W592" s="7"/>
      <c r="X592" s="7"/>
      <c r="Y592" s="7" t="s">
        <v>2994</v>
      </c>
      <c r="Z592" s="7" t="s">
        <v>97</v>
      </c>
      <c r="AA592" s="7" t="s">
        <v>2995</v>
      </c>
      <c r="AB592" s="7" t="s">
        <v>44</v>
      </c>
      <c r="AC592" s="7"/>
      <c r="AD592" s="10"/>
      <c r="AE592" s="10"/>
      <c r="AF592" s="10"/>
      <c r="AG592" s="11">
        <f t="shared" si="9"/>
        <v>43276</v>
      </c>
    </row>
    <row r="593" s="8" customFormat="1" spans="1:33">
      <c r="A593" s="7" t="s">
        <v>2996</v>
      </c>
      <c r="B593" s="7" t="s">
        <v>2996</v>
      </c>
      <c r="C593" s="7" t="s">
        <v>2997</v>
      </c>
      <c r="D593" s="7" t="s">
        <v>2998</v>
      </c>
      <c r="E593" s="7" t="s">
        <v>33</v>
      </c>
      <c r="F593" s="7" t="s">
        <v>34</v>
      </c>
      <c r="G593" s="7" t="s">
        <v>35</v>
      </c>
      <c r="H593" s="7"/>
      <c r="I593" s="7"/>
      <c r="J593" s="7" t="s">
        <v>36</v>
      </c>
      <c r="K593" s="7" t="s">
        <v>2625</v>
      </c>
      <c r="L593" s="7" t="s">
        <v>2626</v>
      </c>
      <c r="M593" s="7" t="s">
        <v>2627</v>
      </c>
      <c r="N593" s="7" t="s">
        <v>33</v>
      </c>
      <c r="O593" s="7">
        <v>1</v>
      </c>
      <c r="P593" s="7" t="s">
        <v>40</v>
      </c>
      <c r="Q593" s="7">
        <v>26.99</v>
      </c>
      <c r="R593" s="7"/>
      <c r="S593" s="7"/>
      <c r="T593" s="7"/>
      <c r="U593" s="7"/>
      <c r="V593" s="7"/>
      <c r="W593" s="7"/>
      <c r="X593" s="7"/>
      <c r="Y593" s="7" t="s">
        <v>1352</v>
      </c>
      <c r="Z593" s="7" t="s">
        <v>230</v>
      </c>
      <c r="AA593" s="7" t="s">
        <v>2999</v>
      </c>
      <c r="AB593" s="7" t="s">
        <v>44</v>
      </c>
      <c r="AC593" s="7"/>
      <c r="AD593" s="10"/>
      <c r="AE593" s="10"/>
      <c r="AF593" s="10"/>
      <c r="AG593" s="11">
        <f t="shared" si="9"/>
        <v>43276</v>
      </c>
    </row>
    <row r="594" s="8" customFormat="1" spans="1:33">
      <c r="A594" s="7" t="s">
        <v>3000</v>
      </c>
      <c r="B594" s="7" t="s">
        <v>3000</v>
      </c>
      <c r="C594" s="7" t="s">
        <v>3001</v>
      </c>
      <c r="D594" s="7" t="s">
        <v>3002</v>
      </c>
      <c r="E594" s="7" t="s">
        <v>33</v>
      </c>
      <c r="F594" s="7" t="s">
        <v>34</v>
      </c>
      <c r="G594" s="7" t="s">
        <v>35</v>
      </c>
      <c r="H594" s="7"/>
      <c r="I594" s="7"/>
      <c r="J594" s="7" t="s">
        <v>36</v>
      </c>
      <c r="K594" s="7" t="s">
        <v>1975</v>
      </c>
      <c r="L594" s="7" t="s">
        <v>1976</v>
      </c>
      <c r="M594" s="7" t="s">
        <v>1977</v>
      </c>
      <c r="N594" s="7" t="s">
        <v>33</v>
      </c>
      <c r="O594" s="7">
        <v>1</v>
      </c>
      <c r="P594" s="7" t="s">
        <v>40</v>
      </c>
      <c r="Q594" s="7">
        <v>92.99</v>
      </c>
      <c r="R594" s="7"/>
      <c r="S594" s="7"/>
      <c r="T594" s="7"/>
      <c r="U594" s="7"/>
      <c r="V594" s="7"/>
      <c r="W594" s="7"/>
      <c r="X594" s="7"/>
      <c r="Y594" s="7" t="s">
        <v>3003</v>
      </c>
      <c r="Z594" s="7" t="s">
        <v>990</v>
      </c>
      <c r="AA594" s="7">
        <v>29118</v>
      </c>
      <c r="AB594" s="7" t="s">
        <v>44</v>
      </c>
      <c r="AC594" s="7"/>
      <c r="AD594" s="10"/>
      <c r="AE594" s="10"/>
      <c r="AF594" s="10"/>
      <c r="AG594" s="11">
        <f t="shared" si="9"/>
        <v>43276</v>
      </c>
    </row>
    <row r="595" s="8" customFormat="1" spans="1:33">
      <c r="A595" s="7" t="s">
        <v>3004</v>
      </c>
      <c r="B595" s="7" t="s">
        <v>3004</v>
      </c>
      <c r="C595" s="7" t="s">
        <v>3005</v>
      </c>
      <c r="D595" s="7" t="s">
        <v>3006</v>
      </c>
      <c r="E595" s="7" t="s">
        <v>33</v>
      </c>
      <c r="F595" s="7" t="s">
        <v>34</v>
      </c>
      <c r="G595" s="7" t="s">
        <v>35</v>
      </c>
      <c r="H595" s="7"/>
      <c r="I595" s="7"/>
      <c r="J595" s="7" t="s">
        <v>36</v>
      </c>
      <c r="K595" s="7" t="s">
        <v>3007</v>
      </c>
      <c r="L595" s="7" t="s">
        <v>3008</v>
      </c>
      <c r="M595" s="7" t="s">
        <v>3009</v>
      </c>
      <c r="N595" s="7" t="s">
        <v>33</v>
      </c>
      <c r="O595" s="7">
        <v>1</v>
      </c>
      <c r="P595" s="7" t="s">
        <v>40</v>
      </c>
      <c r="Q595" s="7">
        <v>79.99</v>
      </c>
      <c r="R595" s="7"/>
      <c r="S595" s="7"/>
      <c r="T595" s="7"/>
      <c r="U595" s="7"/>
      <c r="V595" s="7"/>
      <c r="W595" s="7"/>
      <c r="X595" s="7"/>
      <c r="Y595" s="7" t="s">
        <v>3010</v>
      </c>
      <c r="Z595" s="7" t="s">
        <v>42</v>
      </c>
      <c r="AA595" s="7" t="s">
        <v>3011</v>
      </c>
      <c r="AB595" s="7" t="s">
        <v>44</v>
      </c>
      <c r="AC595" s="7"/>
      <c r="AD595" s="10"/>
      <c r="AE595" s="10"/>
      <c r="AF595" s="10"/>
      <c r="AG595" s="11">
        <f t="shared" si="9"/>
        <v>43276</v>
      </c>
    </row>
    <row r="596" s="8" customFormat="1" spans="1:33">
      <c r="A596" s="7" t="s">
        <v>3012</v>
      </c>
      <c r="B596" s="7" t="s">
        <v>3012</v>
      </c>
      <c r="C596" s="7" t="s">
        <v>3013</v>
      </c>
      <c r="D596" s="7" t="s">
        <v>3014</v>
      </c>
      <c r="E596" s="7" t="s">
        <v>33</v>
      </c>
      <c r="F596" s="7" t="s">
        <v>34</v>
      </c>
      <c r="G596" s="7" t="s">
        <v>35</v>
      </c>
      <c r="H596" s="7"/>
      <c r="I596" s="7"/>
      <c r="J596" s="7" t="s">
        <v>163</v>
      </c>
      <c r="K596" s="7" t="s">
        <v>226</v>
      </c>
      <c r="L596" s="7" t="s">
        <v>227</v>
      </c>
      <c r="M596" s="7" t="s">
        <v>228</v>
      </c>
      <c r="N596" s="7" t="s">
        <v>33</v>
      </c>
      <c r="O596" s="7">
        <v>1</v>
      </c>
      <c r="P596" s="7" t="s">
        <v>40</v>
      </c>
      <c r="Q596" s="7">
        <v>34.99</v>
      </c>
      <c r="R596" s="7">
        <v>3.5</v>
      </c>
      <c r="S596" s="7">
        <v>3</v>
      </c>
      <c r="T596" s="7"/>
      <c r="U596" s="7"/>
      <c r="V596" s="7"/>
      <c r="W596" s="7"/>
      <c r="X596" s="7">
        <v>3</v>
      </c>
      <c r="Y596" s="7" t="s">
        <v>3015</v>
      </c>
      <c r="Z596" s="7" t="s">
        <v>97</v>
      </c>
      <c r="AA596" s="7" t="s">
        <v>3016</v>
      </c>
      <c r="AB596" s="7" t="s">
        <v>44</v>
      </c>
      <c r="AC596" s="7"/>
      <c r="AD596" s="10"/>
      <c r="AE596" s="10"/>
      <c r="AF596" s="10"/>
      <c r="AG596" s="11">
        <f t="shared" si="9"/>
        <v>43276</v>
      </c>
    </row>
    <row r="597" s="8" customFormat="1" spans="1:33">
      <c r="A597" s="7" t="s">
        <v>3017</v>
      </c>
      <c r="B597" s="7" t="s">
        <v>3017</v>
      </c>
      <c r="C597" s="7" t="s">
        <v>3018</v>
      </c>
      <c r="D597" s="7" t="s">
        <v>3019</v>
      </c>
      <c r="E597" s="7" t="s">
        <v>33</v>
      </c>
      <c r="F597" s="7" t="s">
        <v>34</v>
      </c>
      <c r="G597" s="7" t="s">
        <v>35</v>
      </c>
      <c r="H597" s="7"/>
      <c r="I597" s="7"/>
      <c r="J597" s="7" t="s">
        <v>36</v>
      </c>
      <c r="K597" s="7" t="s">
        <v>48</v>
      </c>
      <c r="L597" s="7" t="s">
        <v>49</v>
      </c>
      <c r="M597" s="7" t="s">
        <v>50</v>
      </c>
      <c r="N597" s="7" t="s">
        <v>33</v>
      </c>
      <c r="O597" s="7">
        <v>1</v>
      </c>
      <c r="P597" s="7" t="s">
        <v>40</v>
      </c>
      <c r="Q597" s="7">
        <v>89.99</v>
      </c>
      <c r="R597" s="7"/>
      <c r="S597" s="7"/>
      <c r="T597" s="7"/>
      <c r="U597" s="7"/>
      <c r="V597" s="7"/>
      <c r="W597" s="7"/>
      <c r="X597" s="7"/>
      <c r="Y597" s="7" t="s">
        <v>1331</v>
      </c>
      <c r="Z597" s="7" t="s">
        <v>279</v>
      </c>
      <c r="AA597" s="7" t="s">
        <v>3020</v>
      </c>
      <c r="AB597" s="7" t="s">
        <v>44</v>
      </c>
      <c r="AC597" s="7"/>
      <c r="AD597" s="10"/>
      <c r="AE597" s="10"/>
      <c r="AF597" s="10"/>
      <c r="AG597" s="11">
        <f t="shared" si="9"/>
        <v>43276</v>
      </c>
    </row>
    <row r="598" s="8" customFormat="1" spans="1:33">
      <c r="A598" s="7" t="s">
        <v>3021</v>
      </c>
      <c r="B598" s="7" t="s">
        <v>3021</v>
      </c>
      <c r="C598" s="7" t="s">
        <v>3022</v>
      </c>
      <c r="D598" s="7" t="s">
        <v>3023</v>
      </c>
      <c r="E598" s="7" t="s">
        <v>33</v>
      </c>
      <c r="F598" s="7" t="s">
        <v>34</v>
      </c>
      <c r="G598" s="7" t="s">
        <v>35</v>
      </c>
      <c r="H598" s="7"/>
      <c r="I598" s="7"/>
      <c r="J598" s="7" t="s">
        <v>36</v>
      </c>
      <c r="K598" s="7" t="s">
        <v>79</v>
      </c>
      <c r="L598" s="7" t="s">
        <v>80</v>
      </c>
      <c r="M598" s="7" t="s">
        <v>81</v>
      </c>
      <c r="N598" s="7" t="s">
        <v>33</v>
      </c>
      <c r="O598" s="7">
        <v>1</v>
      </c>
      <c r="P598" s="7" t="s">
        <v>40</v>
      </c>
      <c r="Q598" s="7">
        <v>91.99</v>
      </c>
      <c r="R598" s="7"/>
      <c r="S598" s="7"/>
      <c r="T598" s="7"/>
      <c r="U598" s="7"/>
      <c r="V598" s="7"/>
      <c r="W598" s="7"/>
      <c r="X598" s="7"/>
      <c r="Y598" s="7" t="s">
        <v>3024</v>
      </c>
      <c r="Z598" s="7" t="s">
        <v>83</v>
      </c>
      <c r="AA598" s="7" t="s">
        <v>3025</v>
      </c>
      <c r="AB598" s="7" t="s">
        <v>44</v>
      </c>
      <c r="AC598" s="7"/>
      <c r="AD598" s="10"/>
      <c r="AE598" s="10"/>
      <c r="AF598" s="10"/>
      <c r="AG598" s="11">
        <f t="shared" si="9"/>
        <v>43276</v>
      </c>
    </row>
    <row r="599" s="8" customFormat="1" spans="1:33">
      <c r="A599" s="7" t="s">
        <v>3026</v>
      </c>
      <c r="B599" s="7" t="s">
        <v>3026</v>
      </c>
      <c r="C599" s="7" t="s">
        <v>3027</v>
      </c>
      <c r="D599" s="7" t="s">
        <v>3028</v>
      </c>
      <c r="E599" s="7" t="s">
        <v>33</v>
      </c>
      <c r="F599" s="7" t="s">
        <v>34</v>
      </c>
      <c r="G599" s="7" t="s">
        <v>35</v>
      </c>
      <c r="H599" s="7"/>
      <c r="I599" s="7"/>
      <c r="J599" s="7" t="s">
        <v>36</v>
      </c>
      <c r="K599" s="7" t="s">
        <v>660</v>
      </c>
      <c r="L599" s="7" t="s">
        <v>661</v>
      </c>
      <c r="M599" s="7" t="s">
        <v>662</v>
      </c>
      <c r="N599" s="7" t="s">
        <v>33</v>
      </c>
      <c r="O599" s="7">
        <v>1</v>
      </c>
      <c r="P599" s="7" t="s">
        <v>40</v>
      </c>
      <c r="Q599" s="7">
        <v>79.99</v>
      </c>
      <c r="R599" s="7"/>
      <c r="S599" s="7"/>
      <c r="T599" s="7"/>
      <c r="U599" s="7"/>
      <c r="V599" s="7"/>
      <c r="W599" s="7"/>
      <c r="X599" s="7"/>
      <c r="Y599" s="7" t="s">
        <v>1733</v>
      </c>
      <c r="Z599" s="7" t="s">
        <v>64</v>
      </c>
      <c r="AA599" s="7" t="s">
        <v>3029</v>
      </c>
      <c r="AB599" s="7" t="s">
        <v>44</v>
      </c>
      <c r="AC599" s="7"/>
      <c r="AD599" s="10"/>
      <c r="AE599" s="10"/>
      <c r="AF599" s="10"/>
      <c r="AG599" s="11">
        <f t="shared" si="9"/>
        <v>43276</v>
      </c>
    </row>
    <row r="600" s="8" customFormat="1" spans="1:33">
      <c r="A600" s="7" t="s">
        <v>3030</v>
      </c>
      <c r="B600" s="7" t="s">
        <v>3030</v>
      </c>
      <c r="C600" s="7" t="s">
        <v>3031</v>
      </c>
      <c r="D600" s="7" t="s">
        <v>3032</v>
      </c>
      <c r="E600" s="7" t="s">
        <v>33</v>
      </c>
      <c r="F600" s="7" t="s">
        <v>34</v>
      </c>
      <c r="G600" s="7" t="s">
        <v>35</v>
      </c>
      <c r="H600" s="7"/>
      <c r="I600" s="7"/>
      <c r="J600" s="7" t="s">
        <v>36</v>
      </c>
      <c r="K600" s="7" t="s">
        <v>642</v>
      </c>
      <c r="L600" s="7" t="s">
        <v>643</v>
      </c>
      <c r="M600" s="7" t="s">
        <v>644</v>
      </c>
      <c r="N600" s="7" t="s">
        <v>33</v>
      </c>
      <c r="O600" s="7">
        <v>1</v>
      </c>
      <c r="P600" s="7" t="s">
        <v>40</v>
      </c>
      <c r="Q600" s="7">
        <v>21.99</v>
      </c>
      <c r="R600" s="7"/>
      <c r="S600" s="7"/>
      <c r="T600" s="7"/>
      <c r="U600" s="7"/>
      <c r="V600" s="7"/>
      <c r="W600" s="7">
        <v>21.77</v>
      </c>
      <c r="X600" s="7"/>
      <c r="Y600" s="7" t="s">
        <v>1637</v>
      </c>
      <c r="Z600" s="7" t="s">
        <v>497</v>
      </c>
      <c r="AA600" s="7" t="s">
        <v>1638</v>
      </c>
      <c r="AB600" s="7" t="s">
        <v>44</v>
      </c>
      <c r="AC600" s="7" t="s">
        <v>209</v>
      </c>
      <c r="AD600" s="10"/>
      <c r="AE600" s="10"/>
      <c r="AF600" s="10"/>
      <c r="AG600" s="11">
        <f t="shared" si="9"/>
        <v>43276</v>
      </c>
    </row>
    <row r="601" s="8" customFormat="1" spans="1:33">
      <c r="A601" s="7" t="s">
        <v>3033</v>
      </c>
      <c r="B601" s="7" t="s">
        <v>3033</v>
      </c>
      <c r="C601" s="7" t="s">
        <v>3034</v>
      </c>
      <c r="D601" s="7" t="s">
        <v>3035</v>
      </c>
      <c r="E601" s="7" t="s">
        <v>33</v>
      </c>
      <c r="F601" s="7" t="s">
        <v>34</v>
      </c>
      <c r="G601" s="7" t="s">
        <v>35</v>
      </c>
      <c r="H601" s="7"/>
      <c r="I601" s="7"/>
      <c r="J601" s="7" t="s">
        <v>36</v>
      </c>
      <c r="K601" s="7" t="s">
        <v>284</v>
      </c>
      <c r="L601" s="7" t="s">
        <v>285</v>
      </c>
      <c r="M601" s="7" t="s">
        <v>286</v>
      </c>
      <c r="N601" s="7" t="s">
        <v>33</v>
      </c>
      <c r="O601" s="7">
        <v>1</v>
      </c>
      <c r="P601" s="7" t="s">
        <v>40</v>
      </c>
      <c r="Q601" s="7">
        <v>89.99</v>
      </c>
      <c r="R601" s="7"/>
      <c r="S601" s="7"/>
      <c r="T601" s="7"/>
      <c r="U601" s="7"/>
      <c r="V601" s="7"/>
      <c r="W601" s="7"/>
      <c r="X601" s="7"/>
      <c r="Y601" s="7" t="s">
        <v>3036</v>
      </c>
      <c r="Z601" s="7" t="s">
        <v>152</v>
      </c>
      <c r="AA601" s="7">
        <v>20603</v>
      </c>
      <c r="AB601" s="7" t="s">
        <v>44</v>
      </c>
      <c r="AC601" s="7"/>
      <c r="AD601" s="10"/>
      <c r="AE601" s="10"/>
      <c r="AF601" s="10"/>
      <c r="AG601" s="11">
        <f t="shared" si="9"/>
        <v>43276</v>
      </c>
    </row>
    <row r="602" s="8" customFormat="1" spans="1:33">
      <c r="A602" s="7" t="s">
        <v>3037</v>
      </c>
      <c r="B602" s="7" t="s">
        <v>3037</v>
      </c>
      <c r="C602" s="7" t="s">
        <v>3038</v>
      </c>
      <c r="D602" s="7" t="s">
        <v>3039</v>
      </c>
      <c r="E602" s="7" t="s">
        <v>54</v>
      </c>
      <c r="F602" s="7" t="s">
        <v>34</v>
      </c>
      <c r="G602" s="7" t="s">
        <v>35</v>
      </c>
      <c r="H602" s="7"/>
      <c r="I602" s="7"/>
      <c r="J602" s="7" t="s">
        <v>36</v>
      </c>
      <c r="K602" s="7" t="s">
        <v>37</v>
      </c>
      <c r="L602" s="7" t="s">
        <v>38</v>
      </c>
      <c r="M602" s="7" t="s">
        <v>39</v>
      </c>
      <c r="N602" s="7" t="s">
        <v>62</v>
      </c>
      <c r="O602" s="7">
        <v>1</v>
      </c>
      <c r="P602" s="7" t="s">
        <v>40</v>
      </c>
      <c r="Q602" s="7">
        <v>89.99</v>
      </c>
      <c r="R602" s="7"/>
      <c r="S602" s="7"/>
      <c r="T602" s="7"/>
      <c r="U602" s="7"/>
      <c r="V602" s="7"/>
      <c r="W602" s="7"/>
      <c r="X602" s="7"/>
      <c r="Y602" s="7" t="s">
        <v>3040</v>
      </c>
      <c r="Z602" s="7" t="s">
        <v>1342</v>
      </c>
      <c r="AA602" s="7" t="s">
        <v>3041</v>
      </c>
      <c r="AB602" s="7" t="s">
        <v>44</v>
      </c>
      <c r="AC602" s="7"/>
      <c r="AD602" s="10"/>
      <c r="AE602" s="10"/>
      <c r="AF602" s="10"/>
      <c r="AG602" s="11">
        <f t="shared" si="9"/>
        <v>43276</v>
      </c>
    </row>
    <row r="603" s="8" customFormat="1" spans="1:33">
      <c r="A603" s="7" t="s">
        <v>3042</v>
      </c>
      <c r="B603" s="7" t="s">
        <v>3042</v>
      </c>
      <c r="C603" s="7" t="s">
        <v>3043</v>
      </c>
      <c r="D603" s="7" t="s">
        <v>3044</v>
      </c>
      <c r="E603" s="7" t="s">
        <v>33</v>
      </c>
      <c r="F603" s="7" t="s">
        <v>34</v>
      </c>
      <c r="G603" s="7" t="s">
        <v>35</v>
      </c>
      <c r="H603" s="7"/>
      <c r="I603" s="7"/>
      <c r="J603" s="7" t="s">
        <v>36</v>
      </c>
      <c r="K603" s="7" t="s">
        <v>275</v>
      </c>
      <c r="L603" s="7" t="s">
        <v>276</v>
      </c>
      <c r="M603" s="7" t="s">
        <v>277</v>
      </c>
      <c r="N603" s="7" t="s">
        <v>33</v>
      </c>
      <c r="O603" s="7">
        <v>1</v>
      </c>
      <c r="P603" s="7" t="s">
        <v>40</v>
      </c>
      <c r="Q603" s="7">
        <v>89.99</v>
      </c>
      <c r="R603" s="7"/>
      <c r="S603" s="7"/>
      <c r="T603" s="7"/>
      <c r="U603" s="7"/>
      <c r="V603" s="7"/>
      <c r="W603" s="7"/>
      <c r="X603" s="7"/>
      <c r="Y603" s="7" t="s">
        <v>3045</v>
      </c>
      <c r="Z603" s="7" t="s">
        <v>207</v>
      </c>
      <c r="AA603" s="7">
        <v>48836</v>
      </c>
      <c r="AB603" s="7" t="s">
        <v>44</v>
      </c>
      <c r="AC603" s="7"/>
      <c r="AD603" s="10"/>
      <c r="AE603" s="10"/>
      <c r="AF603" s="10"/>
      <c r="AG603" s="11">
        <f t="shared" si="9"/>
        <v>43276</v>
      </c>
    </row>
    <row r="604" s="8" customFormat="1" spans="1:33">
      <c r="A604" s="7" t="s">
        <v>3046</v>
      </c>
      <c r="B604" s="7" t="s">
        <v>3046</v>
      </c>
      <c r="C604" s="7" t="s">
        <v>3047</v>
      </c>
      <c r="D604" s="7" t="s">
        <v>3048</v>
      </c>
      <c r="E604" s="7" t="s">
        <v>33</v>
      </c>
      <c r="F604" s="7" t="s">
        <v>34</v>
      </c>
      <c r="G604" s="7" t="s">
        <v>35</v>
      </c>
      <c r="H604" s="7"/>
      <c r="I604" s="7"/>
      <c r="J604" s="7" t="s">
        <v>36</v>
      </c>
      <c r="K604" s="7" t="s">
        <v>148</v>
      </c>
      <c r="L604" s="7" t="s">
        <v>149</v>
      </c>
      <c r="M604" s="7" t="s">
        <v>150</v>
      </c>
      <c r="N604" s="7" t="s">
        <v>33</v>
      </c>
      <c r="O604" s="7">
        <v>1</v>
      </c>
      <c r="P604" s="7" t="s">
        <v>40</v>
      </c>
      <c r="Q604" s="7">
        <v>98.99</v>
      </c>
      <c r="R604" s="7"/>
      <c r="S604" s="7"/>
      <c r="T604" s="7"/>
      <c r="U604" s="7"/>
      <c r="V604" s="7"/>
      <c r="W604" s="7"/>
      <c r="X604" s="7"/>
      <c r="Y604" s="7" t="s">
        <v>3049</v>
      </c>
      <c r="Z604" s="7" t="s">
        <v>723</v>
      </c>
      <c r="AA604" s="7" t="s">
        <v>3050</v>
      </c>
      <c r="AB604" s="7" t="s">
        <v>44</v>
      </c>
      <c r="AC604" s="7"/>
      <c r="AD604" s="10"/>
      <c r="AE604" s="10"/>
      <c r="AF604" s="10"/>
      <c r="AG604" s="11">
        <f t="shared" si="9"/>
        <v>43276</v>
      </c>
    </row>
    <row r="605" s="8" customFormat="1" spans="1:33">
      <c r="A605" s="7" t="s">
        <v>3051</v>
      </c>
      <c r="B605" s="7" t="s">
        <v>3051</v>
      </c>
      <c r="C605" s="7" t="s">
        <v>3052</v>
      </c>
      <c r="D605" s="7" t="s">
        <v>3053</v>
      </c>
      <c r="E605" s="7" t="s">
        <v>33</v>
      </c>
      <c r="F605" s="7" t="s">
        <v>34</v>
      </c>
      <c r="G605" s="7" t="s">
        <v>35</v>
      </c>
      <c r="H605" s="7"/>
      <c r="I605" s="7"/>
      <c r="J605" s="7" t="s">
        <v>36</v>
      </c>
      <c r="K605" s="7" t="s">
        <v>554</v>
      </c>
      <c r="L605" s="7" t="s">
        <v>555</v>
      </c>
      <c r="M605" s="7" t="s">
        <v>556</v>
      </c>
      <c r="N605" s="7" t="s">
        <v>33</v>
      </c>
      <c r="O605" s="7">
        <v>1</v>
      </c>
      <c r="P605" s="7" t="s">
        <v>40</v>
      </c>
      <c r="Q605" s="7">
        <v>89.99</v>
      </c>
      <c r="R605" s="7"/>
      <c r="S605" s="7">
        <v>8.95</v>
      </c>
      <c r="T605" s="7"/>
      <c r="U605" s="7"/>
      <c r="V605" s="7"/>
      <c r="W605" s="7">
        <v>9</v>
      </c>
      <c r="X605" s="7"/>
      <c r="Y605" s="7" t="s">
        <v>2741</v>
      </c>
      <c r="Z605" s="7" t="s">
        <v>152</v>
      </c>
      <c r="AA605" s="7" t="s">
        <v>3054</v>
      </c>
      <c r="AB605" s="7" t="s">
        <v>44</v>
      </c>
      <c r="AC605" s="7" t="s">
        <v>559</v>
      </c>
      <c r="AD605" s="10"/>
      <c r="AE605" s="10"/>
      <c r="AF605" s="10"/>
      <c r="AG605" s="11">
        <f t="shared" si="9"/>
        <v>43276</v>
      </c>
    </row>
    <row r="606" s="8" customFormat="1" spans="1:33">
      <c r="A606" s="7" t="s">
        <v>3055</v>
      </c>
      <c r="B606" s="7" t="s">
        <v>3055</v>
      </c>
      <c r="C606" s="7" t="s">
        <v>3056</v>
      </c>
      <c r="D606" s="7" t="s">
        <v>3057</v>
      </c>
      <c r="E606" s="7" t="s">
        <v>33</v>
      </c>
      <c r="F606" s="7" t="s">
        <v>34</v>
      </c>
      <c r="G606" s="7" t="s">
        <v>35</v>
      </c>
      <c r="H606" s="7"/>
      <c r="I606" s="7"/>
      <c r="J606" s="7" t="s">
        <v>58</v>
      </c>
      <c r="K606" s="7" t="s">
        <v>3058</v>
      </c>
      <c r="L606" s="7" t="s">
        <v>3059</v>
      </c>
      <c r="M606" s="7" t="s">
        <v>3060</v>
      </c>
      <c r="N606" s="7" t="s">
        <v>33</v>
      </c>
      <c r="O606" s="7">
        <v>1</v>
      </c>
      <c r="P606" s="7" t="s">
        <v>40</v>
      </c>
      <c r="Q606" s="7">
        <v>79.99</v>
      </c>
      <c r="R606" s="7"/>
      <c r="S606" s="7">
        <v>5.99</v>
      </c>
      <c r="T606" s="7"/>
      <c r="U606" s="7"/>
      <c r="V606" s="7"/>
      <c r="W606" s="7"/>
      <c r="X606" s="7"/>
      <c r="Y606" s="7" t="s">
        <v>439</v>
      </c>
      <c r="Z606" s="7" t="s">
        <v>440</v>
      </c>
      <c r="AA606" s="7" t="s">
        <v>3061</v>
      </c>
      <c r="AB606" s="7" t="s">
        <v>44</v>
      </c>
      <c r="AC606" s="7"/>
      <c r="AD606" s="10"/>
      <c r="AE606" s="10"/>
      <c r="AF606" s="10"/>
      <c r="AG606" s="11">
        <f t="shared" si="9"/>
        <v>43276</v>
      </c>
    </row>
    <row r="607" s="8" customFormat="1" spans="1:33">
      <c r="A607" s="7" t="s">
        <v>3062</v>
      </c>
      <c r="B607" s="7" t="s">
        <v>3062</v>
      </c>
      <c r="C607" s="7" t="s">
        <v>3063</v>
      </c>
      <c r="D607" s="7" t="s">
        <v>3064</v>
      </c>
      <c r="E607" s="7" t="s">
        <v>33</v>
      </c>
      <c r="F607" s="7" t="s">
        <v>34</v>
      </c>
      <c r="G607" s="7" t="s">
        <v>35</v>
      </c>
      <c r="H607" s="7"/>
      <c r="I607" s="7"/>
      <c r="J607" s="7" t="s">
        <v>36</v>
      </c>
      <c r="K607" s="7" t="s">
        <v>213</v>
      </c>
      <c r="L607" s="7" t="s">
        <v>214</v>
      </c>
      <c r="M607" s="7" t="s">
        <v>215</v>
      </c>
      <c r="N607" s="7" t="s">
        <v>33</v>
      </c>
      <c r="O607" s="7">
        <v>1</v>
      </c>
      <c r="P607" s="7" t="s">
        <v>40</v>
      </c>
      <c r="Q607" s="7">
        <v>21.99</v>
      </c>
      <c r="R607" s="7"/>
      <c r="S607" s="7"/>
      <c r="T607" s="7"/>
      <c r="U607" s="7"/>
      <c r="V607" s="7"/>
      <c r="W607" s="7">
        <v>21.77</v>
      </c>
      <c r="X607" s="7"/>
      <c r="Y607" s="7" t="s">
        <v>3065</v>
      </c>
      <c r="Z607" s="7" t="s">
        <v>52</v>
      </c>
      <c r="AA607" s="7" t="s">
        <v>3066</v>
      </c>
      <c r="AB607" s="7" t="s">
        <v>44</v>
      </c>
      <c r="AC607" s="7" t="s">
        <v>209</v>
      </c>
      <c r="AD607" s="10"/>
      <c r="AE607" s="10"/>
      <c r="AF607" s="10"/>
      <c r="AG607" s="11">
        <f t="shared" si="9"/>
        <v>43276</v>
      </c>
    </row>
    <row r="608" s="8" customFormat="1" spans="1:33">
      <c r="A608" s="7" t="s">
        <v>3067</v>
      </c>
      <c r="B608" s="7" t="s">
        <v>3067</v>
      </c>
      <c r="C608" s="7" t="s">
        <v>3068</v>
      </c>
      <c r="D608" s="7" t="s">
        <v>3069</v>
      </c>
      <c r="E608" s="7" t="s">
        <v>33</v>
      </c>
      <c r="F608" s="7" t="s">
        <v>34</v>
      </c>
      <c r="G608" s="7" t="s">
        <v>35</v>
      </c>
      <c r="H608" s="7"/>
      <c r="I608" s="7"/>
      <c r="J608" s="7" t="s">
        <v>36</v>
      </c>
      <c r="K608" s="7" t="s">
        <v>3070</v>
      </c>
      <c r="L608" s="7" t="s">
        <v>3071</v>
      </c>
      <c r="M608" s="7" t="s">
        <v>3072</v>
      </c>
      <c r="N608" s="7" t="s">
        <v>33</v>
      </c>
      <c r="O608" s="7">
        <v>1</v>
      </c>
      <c r="P608" s="7" t="s">
        <v>40</v>
      </c>
      <c r="Q608" s="7">
        <v>32.99</v>
      </c>
      <c r="R608" s="7"/>
      <c r="S608" s="7"/>
      <c r="T608" s="7"/>
      <c r="U608" s="7"/>
      <c r="V608" s="7"/>
      <c r="W608" s="7"/>
      <c r="X608" s="7"/>
      <c r="Y608" s="7" t="s">
        <v>3073</v>
      </c>
      <c r="Z608" s="7" t="s">
        <v>158</v>
      </c>
      <c r="AA608" s="7" t="s">
        <v>3074</v>
      </c>
      <c r="AB608" s="7" t="s">
        <v>44</v>
      </c>
      <c r="AC608" s="7"/>
      <c r="AD608" s="10"/>
      <c r="AE608" s="10"/>
      <c r="AF608" s="10"/>
      <c r="AG608" s="11">
        <f t="shared" si="9"/>
        <v>43276</v>
      </c>
    </row>
    <row r="609" s="8" customFormat="1" spans="1:33">
      <c r="A609" s="7" t="s">
        <v>3075</v>
      </c>
      <c r="B609" s="7" t="s">
        <v>3075</v>
      </c>
      <c r="C609" s="7" t="s">
        <v>3076</v>
      </c>
      <c r="D609" s="7" t="s">
        <v>3077</v>
      </c>
      <c r="E609" s="7" t="s">
        <v>33</v>
      </c>
      <c r="F609" s="7" t="s">
        <v>34</v>
      </c>
      <c r="G609" s="7" t="s">
        <v>35</v>
      </c>
      <c r="H609" s="7"/>
      <c r="I609" s="7"/>
      <c r="J609" s="7" t="s">
        <v>36</v>
      </c>
      <c r="K609" s="7" t="s">
        <v>1807</v>
      </c>
      <c r="L609" s="7" t="s">
        <v>1808</v>
      </c>
      <c r="M609" s="7" t="s">
        <v>1809</v>
      </c>
      <c r="N609" s="7" t="s">
        <v>33</v>
      </c>
      <c r="O609" s="7">
        <v>1</v>
      </c>
      <c r="P609" s="7" t="s">
        <v>40</v>
      </c>
      <c r="Q609" s="7">
        <v>79.99</v>
      </c>
      <c r="R609" s="7"/>
      <c r="S609" s="7"/>
      <c r="T609" s="7"/>
      <c r="U609" s="7"/>
      <c r="V609" s="7"/>
      <c r="W609" s="7"/>
      <c r="X609" s="7"/>
      <c r="Y609" s="7" t="s">
        <v>3078</v>
      </c>
      <c r="Z609" s="7" t="s">
        <v>64</v>
      </c>
      <c r="AA609" s="7" t="s">
        <v>3079</v>
      </c>
      <c r="AB609" s="7" t="s">
        <v>44</v>
      </c>
      <c r="AC609" s="7"/>
      <c r="AD609" s="10"/>
      <c r="AE609" s="10"/>
      <c r="AF609" s="10"/>
      <c r="AG609" s="11">
        <f t="shared" si="9"/>
        <v>43276</v>
      </c>
    </row>
    <row r="610" s="8" customFormat="1" spans="1:33">
      <c r="A610" s="7" t="s">
        <v>3080</v>
      </c>
      <c r="B610" s="7" t="s">
        <v>3080</v>
      </c>
      <c r="C610" s="7" t="s">
        <v>3081</v>
      </c>
      <c r="D610" s="7" t="s">
        <v>3082</v>
      </c>
      <c r="E610" s="7" t="s">
        <v>33</v>
      </c>
      <c r="F610" s="7" t="s">
        <v>34</v>
      </c>
      <c r="G610" s="7" t="s">
        <v>35</v>
      </c>
      <c r="H610" s="7"/>
      <c r="I610" s="7"/>
      <c r="J610" s="7" t="s">
        <v>36</v>
      </c>
      <c r="K610" s="7" t="s">
        <v>226</v>
      </c>
      <c r="L610" s="7" t="s">
        <v>227</v>
      </c>
      <c r="M610" s="7" t="s">
        <v>228</v>
      </c>
      <c r="N610" s="7" t="s">
        <v>33</v>
      </c>
      <c r="O610" s="7">
        <v>1</v>
      </c>
      <c r="P610" s="7" t="s">
        <v>40</v>
      </c>
      <c r="Q610" s="7">
        <v>34.99</v>
      </c>
      <c r="R610" s="7"/>
      <c r="S610" s="7"/>
      <c r="T610" s="7"/>
      <c r="U610" s="7"/>
      <c r="V610" s="7"/>
      <c r="W610" s="7"/>
      <c r="X610" s="7"/>
      <c r="Y610" s="7" t="s">
        <v>3083</v>
      </c>
      <c r="Z610" s="7" t="s">
        <v>83</v>
      </c>
      <c r="AA610" s="7" t="s">
        <v>3084</v>
      </c>
      <c r="AB610" s="7" t="s">
        <v>44</v>
      </c>
      <c r="AC610" s="7"/>
      <c r="AD610" s="10"/>
      <c r="AE610" s="10"/>
      <c r="AF610" s="10"/>
      <c r="AG610" s="11">
        <f t="shared" si="9"/>
        <v>43276</v>
      </c>
    </row>
    <row r="611" s="8" customFormat="1" spans="1:33">
      <c r="A611" s="7" t="s">
        <v>3085</v>
      </c>
      <c r="B611" s="7" t="s">
        <v>3085</v>
      </c>
      <c r="C611" s="7" t="s">
        <v>3086</v>
      </c>
      <c r="D611" s="7" t="s">
        <v>3087</v>
      </c>
      <c r="E611" s="7" t="s">
        <v>33</v>
      </c>
      <c r="F611" s="7" t="s">
        <v>34</v>
      </c>
      <c r="G611" s="7" t="s">
        <v>35</v>
      </c>
      <c r="H611" s="7"/>
      <c r="I611" s="7"/>
      <c r="J611" s="7" t="s">
        <v>36</v>
      </c>
      <c r="K611" s="7" t="s">
        <v>59</v>
      </c>
      <c r="L611" s="7" t="s">
        <v>60</v>
      </c>
      <c r="M611" s="7" t="s">
        <v>61</v>
      </c>
      <c r="N611" s="7" t="s">
        <v>33</v>
      </c>
      <c r="O611" s="7">
        <v>1</v>
      </c>
      <c r="P611" s="7" t="s">
        <v>40</v>
      </c>
      <c r="Q611" s="7">
        <v>89.99</v>
      </c>
      <c r="R611" s="7"/>
      <c r="S611" s="7"/>
      <c r="T611" s="7"/>
      <c r="U611" s="7"/>
      <c r="V611" s="7"/>
      <c r="W611" s="7"/>
      <c r="X611" s="7"/>
      <c r="Y611" s="7" t="s">
        <v>3088</v>
      </c>
      <c r="Z611" s="7" t="s">
        <v>3089</v>
      </c>
      <c r="AA611" s="7">
        <v>7013</v>
      </c>
      <c r="AB611" s="7" t="s">
        <v>44</v>
      </c>
      <c r="AC611" s="7"/>
      <c r="AD611" s="10"/>
      <c r="AE611" s="10"/>
      <c r="AF611" s="10"/>
      <c r="AG611" s="11">
        <f t="shared" si="9"/>
        <v>43276</v>
      </c>
    </row>
    <row r="612" s="8" customFormat="1" spans="1:33">
      <c r="A612" s="7" t="s">
        <v>3090</v>
      </c>
      <c r="B612" s="7" t="s">
        <v>3090</v>
      </c>
      <c r="C612" s="7" t="s">
        <v>3091</v>
      </c>
      <c r="D612" s="7" t="s">
        <v>3092</v>
      </c>
      <c r="E612" s="7" t="s">
        <v>33</v>
      </c>
      <c r="F612" s="7" t="s">
        <v>34</v>
      </c>
      <c r="G612" s="7" t="s">
        <v>35</v>
      </c>
      <c r="H612" s="7"/>
      <c r="I612" s="7"/>
      <c r="J612" s="7" t="s">
        <v>36</v>
      </c>
      <c r="K612" s="7" t="s">
        <v>148</v>
      </c>
      <c r="L612" s="7" t="s">
        <v>149</v>
      </c>
      <c r="M612" s="7" t="s">
        <v>150</v>
      </c>
      <c r="N612" s="7" t="s">
        <v>33</v>
      </c>
      <c r="O612" s="7">
        <v>1</v>
      </c>
      <c r="P612" s="7" t="s">
        <v>40</v>
      </c>
      <c r="Q612" s="7">
        <v>98.99</v>
      </c>
      <c r="R612" s="7"/>
      <c r="S612" s="7"/>
      <c r="T612" s="7"/>
      <c r="U612" s="7"/>
      <c r="V612" s="7"/>
      <c r="W612" s="7"/>
      <c r="X612" s="7"/>
      <c r="Y612" s="7" t="s">
        <v>2194</v>
      </c>
      <c r="Z612" s="7" t="s">
        <v>391</v>
      </c>
      <c r="AA612" s="7" t="s">
        <v>2195</v>
      </c>
      <c r="AB612" s="7" t="s">
        <v>44</v>
      </c>
      <c r="AC612" s="7"/>
      <c r="AD612" s="10"/>
      <c r="AE612" s="10"/>
      <c r="AF612" s="10"/>
      <c r="AG612" s="11">
        <f t="shared" si="9"/>
        <v>43276</v>
      </c>
    </row>
    <row r="613" s="8" customFormat="1" spans="1:33">
      <c r="A613" s="7" t="s">
        <v>3093</v>
      </c>
      <c r="B613" s="7" t="s">
        <v>3093</v>
      </c>
      <c r="C613" s="7" t="s">
        <v>3094</v>
      </c>
      <c r="D613" s="7" t="s">
        <v>3095</v>
      </c>
      <c r="E613" s="7" t="s">
        <v>33</v>
      </c>
      <c r="F613" s="7" t="s">
        <v>34</v>
      </c>
      <c r="G613" s="7" t="s">
        <v>35</v>
      </c>
      <c r="H613" s="7"/>
      <c r="I613" s="7"/>
      <c r="J613" s="7" t="s">
        <v>69</v>
      </c>
      <c r="K613" s="7" t="s">
        <v>123</v>
      </c>
      <c r="L613" s="7" t="s">
        <v>124</v>
      </c>
      <c r="M613" s="7" t="s">
        <v>125</v>
      </c>
      <c r="N613" s="7" t="s">
        <v>33</v>
      </c>
      <c r="O613" s="7">
        <v>1</v>
      </c>
      <c r="P613" s="7" t="s">
        <v>40</v>
      </c>
      <c r="Q613" s="7">
        <v>89.99</v>
      </c>
      <c r="R613" s="7"/>
      <c r="S613" s="7"/>
      <c r="T613" s="7"/>
      <c r="U613" s="7"/>
      <c r="V613" s="7"/>
      <c r="W613" s="7"/>
      <c r="X613" s="7"/>
      <c r="Y613" s="7" t="s">
        <v>3096</v>
      </c>
      <c r="Z613" s="7" t="s">
        <v>3097</v>
      </c>
      <c r="AA613" s="7" t="s">
        <v>3098</v>
      </c>
      <c r="AB613" s="7" t="s">
        <v>44</v>
      </c>
      <c r="AC613" s="7"/>
      <c r="AD613" s="10"/>
      <c r="AE613" s="10"/>
      <c r="AF613" s="10"/>
      <c r="AG613" s="11">
        <f t="shared" si="9"/>
        <v>43276</v>
      </c>
    </row>
    <row r="614" s="8" customFormat="1" spans="1:33">
      <c r="A614" s="7" t="s">
        <v>3099</v>
      </c>
      <c r="B614" s="7" t="s">
        <v>3099</v>
      </c>
      <c r="C614" s="7" t="s">
        <v>3100</v>
      </c>
      <c r="D614" s="7" t="s">
        <v>3101</v>
      </c>
      <c r="E614" s="7" t="s">
        <v>33</v>
      </c>
      <c r="F614" s="7" t="s">
        <v>34</v>
      </c>
      <c r="G614" s="7" t="s">
        <v>35</v>
      </c>
      <c r="H614" s="7"/>
      <c r="I614" s="7"/>
      <c r="J614" s="7" t="s">
        <v>36</v>
      </c>
      <c r="K614" s="7" t="s">
        <v>1249</v>
      </c>
      <c r="L614" s="7" t="s">
        <v>1250</v>
      </c>
      <c r="M614" s="7" t="s">
        <v>1251</v>
      </c>
      <c r="N614" s="7" t="s">
        <v>33</v>
      </c>
      <c r="O614" s="7">
        <v>1</v>
      </c>
      <c r="P614" s="7" t="s">
        <v>40</v>
      </c>
      <c r="Q614" s="7">
        <v>99.99</v>
      </c>
      <c r="R614" s="7"/>
      <c r="S614" s="7"/>
      <c r="T614" s="7"/>
      <c r="U614" s="7"/>
      <c r="V614" s="7"/>
      <c r="W614" s="7"/>
      <c r="X614" s="7"/>
      <c r="Y614" s="7" t="s">
        <v>1963</v>
      </c>
      <c r="Z614" s="7" t="s">
        <v>83</v>
      </c>
      <c r="AA614" s="7" t="s">
        <v>1964</v>
      </c>
      <c r="AB614" s="7" t="s">
        <v>44</v>
      </c>
      <c r="AC614" s="7"/>
      <c r="AD614" s="10"/>
      <c r="AE614" s="10"/>
      <c r="AF614" s="10"/>
      <c r="AG614" s="11">
        <f t="shared" si="9"/>
        <v>43276</v>
      </c>
    </row>
    <row r="615" s="8" customFormat="1" spans="1:33">
      <c r="A615" s="7" t="s">
        <v>3102</v>
      </c>
      <c r="B615" s="7" t="s">
        <v>3102</v>
      </c>
      <c r="C615" s="7" t="s">
        <v>3103</v>
      </c>
      <c r="D615" s="7" t="s">
        <v>3104</v>
      </c>
      <c r="E615" s="7" t="s">
        <v>33</v>
      </c>
      <c r="F615" s="7" t="s">
        <v>34</v>
      </c>
      <c r="G615" s="7" t="s">
        <v>35</v>
      </c>
      <c r="H615" s="7"/>
      <c r="I615" s="7"/>
      <c r="J615" s="7" t="s">
        <v>36</v>
      </c>
      <c r="K615" s="7" t="s">
        <v>79</v>
      </c>
      <c r="L615" s="7" t="s">
        <v>80</v>
      </c>
      <c r="M615" s="7" t="s">
        <v>81</v>
      </c>
      <c r="N615" s="7" t="s">
        <v>33</v>
      </c>
      <c r="O615" s="7">
        <v>1</v>
      </c>
      <c r="P615" s="7" t="s">
        <v>40</v>
      </c>
      <c r="Q615" s="7">
        <v>91.99</v>
      </c>
      <c r="R615" s="7"/>
      <c r="S615" s="7"/>
      <c r="T615" s="7"/>
      <c r="U615" s="7"/>
      <c r="V615" s="7"/>
      <c r="W615" s="7"/>
      <c r="X615" s="7"/>
      <c r="Y615" s="7" t="s">
        <v>3105</v>
      </c>
      <c r="Z615" s="7" t="s">
        <v>83</v>
      </c>
      <c r="AA615" s="7" t="s">
        <v>3106</v>
      </c>
      <c r="AB615" s="7" t="s">
        <v>44</v>
      </c>
      <c r="AC615" s="7"/>
      <c r="AD615" s="10"/>
      <c r="AE615" s="10"/>
      <c r="AF615" s="10"/>
      <c r="AG615" s="11">
        <f t="shared" si="9"/>
        <v>43276</v>
      </c>
    </row>
    <row r="616" s="8" customFormat="1" spans="1:33">
      <c r="A616" s="7" t="s">
        <v>3107</v>
      </c>
      <c r="B616" s="7" t="s">
        <v>3107</v>
      </c>
      <c r="C616" s="7" t="s">
        <v>3108</v>
      </c>
      <c r="D616" s="7" t="s">
        <v>3109</v>
      </c>
      <c r="E616" s="7" t="s">
        <v>33</v>
      </c>
      <c r="F616" s="7" t="s">
        <v>34</v>
      </c>
      <c r="G616" s="7" t="s">
        <v>35</v>
      </c>
      <c r="H616" s="7"/>
      <c r="I616" s="7"/>
      <c r="J616" s="7" t="s">
        <v>36</v>
      </c>
      <c r="K616" s="7" t="s">
        <v>2035</v>
      </c>
      <c r="L616" s="7" t="s">
        <v>89</v>
      </c>
      <c r="M616" s="7" t="s">
        <v>90</v>
      </c>
      <c r="N616" s="7" t="s">
        <v>33</v>
      </c>
      <c r="O616" s="7">
        <v>1</v>
      </c>
      <c r="P616" s="7" t="s">
        <v>40</v>
      </c>
      <c r="Q616" s="7">
        <v>89.99</v>
      </c>
      <c r="R616" s="7"/>
      <c r="S616" s="7"/>
      <c r="T616" s="7"/>
      <c r="U616" s="7"/>
      <c r="V616" s="7"/>
      <c r="W616" s="7"/>
      <c r="X616" s="7"/>
      <c r="Y616" s="7" t="s">
        <v>3110</v>
      </c>
      <c r="Z616" s="7" t="s">
        <v>484</v>
      </c>
      <c r="AA616" s="7" t="s">
        <v>3111</v>
      </c>
      <c r="AB616" s="7" t="s">
        <v>44</v>
      </c>
      <c r="AC616" s="7"/>
      <c r="AD616" s="10"/>
      <c r="AE616" s="10"/>
      <c r="AF616" s="10"/>
      <c r="AG616" s="11">
        <f t="shared" si="9"/>
        <v>43276</v>
      </c>
    </row>
    <row r="617" s="8" customFormat="1" spans="1:33">
      <c r="A617" s="7" t="s">
        <v>3112</v>
      </c>
      <c r="B617" s="7" t="s">
        <v>3112</v>
      </c>
      <c r="C617" s="7" t="s">
        <v>3113</v>
      </c>
      <c r="D617" s="7" t="s">
        <v>3114</v>
      </c>
      <c r="E617" s="7" t="s">
        <v>33</v>
      </c>
      <c r="F617" s="7" t="s">
        <v>34</v>
      </c>
      <c r="G617" s="7" t="s">
        <v>35</v>
      </c>
      <c r="H617" s="7"/>
      <c r="I617" s="7"/>
      <c r="J617" s="7" t="s">
        <v>36</v>
      </c>
      <c r="K617" s="7" t="s">
        <v>3115</v>
      </c>
      <c r="L617" s="7" t="s">
        <v>3116</v>
      </c>
      <c r="M617" s="7" t="s">
        <v>3117</v>
      </c>
      <c r="N617" s="7" t="s">
        <v>33</v>
      </c>
      <c r="O617" s="7">
        <v>1</v>
      </c>
      <c r="P617" s="7" t="s">
        <v>40</v>
      </c>
      <c r="Q617" s="7">
        <v>32.99</v>
      </c>
      <c r="R617" s="7"/>
      <c r="S617" s="7"/>
      <c r="T617" s="7"/>
      <c r="U617" s="7"/>
      <c r="V617" s="7"/>
      <c r="W617" s="7"/>
      <c r="X617" s="7"/>
      <c r="Y617" s="7" t="s">
        <v>672</v>
      </c>
      <c r="Z617" s="7" t="s">
        <v>135</v>
      </c>
      <c r="AA617" s="7" t="s">
        <v>3118</v>
      </c>
      <c r="AB617" s="7" t="s">
        <v>44</v>
      </c>
      <c r="AC617" s="7"/>
      <c r="AD617" s="10"/>
      <c r="AE617" s="10"/>
      <c r="AF617" s="10"/>
      <c r="AG617" s="11">
        <f t="shared" si="9"/>
        <v>43276</v>
      </c>
    </row>
    <row r="618" s="8" customFormat="1" spans="1:33">
      <c r="A618" s="7" t="s">
        <v>3119</v>
      </c>
      <c r="B618" s="7" t="s">
        <v>3119</v>
      </c>
      <c r="C618" s="7" t="s">
        <v>3120</v>
      </c>
      <c r="D618" s="7" t="s">
        <v>3121</v>
      </c>
      <c r="E618" s="7" t="s">
        <v>33</v>
      </c>
      <c r="F618" s="7" t="s">
        <v>34</v>
      </c>
      <c r="G618" s="7" t="s">
        <v>35</v>
      </c>
      <c r="H618" s="7"/>
      <c r="I618" s="7"/>
      <c r="J618" s="7" t="s">
        <v>36</v>
      </c>
      <c r="K618" s="7" t="s">
        <v>148</v>
      </c>
      <c r="L618" s="7" t="s">
        <v>149</v>
      </c>
      <c r="M618" s="7" t="s">
        <v>150</v>
      </c>
      <c r="N618" s="7" t="s">
        <v>33</v>
      </c>
      <c r="O618" s="7">
        <v>1</v>
      </c>
      <c r="P618" s="7" t="s">
        <v>40</v>
      </c>
      <c r="Q618" s="7">
        <v>98.99</v>
      </c>
      <c r="R618" s="7"/>
      <c r="S618" s="7"/>
      <c r="T618" s="7"/>
      <c r="U618" s="7"/>
      <c r="V618" s="7"/>
      <c r="W618" s="7"/>
      <c r="X618" s="7"/>
      <c r="Y618" s="7" t="s">
        <v>3122</v>
      </c>
      <c r="Z618" s="7" t="s">
        <v>83</v>
      </c>
      <c r="AA618" s="7" t="s">
        <v>3123</v>
      </c>
      <c r="AB618" s="7" t="s">
        <v>44</v>
      </c>
      <c r="AC618" s="7"/>
      <c r="AD618" s="10"/>
      <c r="AE618" s="10"/>
      <c r="AF618" s="10"/>
      <c r="AG618" s="11">
        <f t="shared" si="9"/>
        <v>43276</v>
      </c>
    </row>
    <row r="619" s="8" customFormat="1" spans="1:33">
      <c r="A619" s="7" t="s">
        <v>3124</v>
      </c>
      <c r="B619" s="7" t="s">
        <v>3124</v>
      </c>
      <c r="C619" s="7" t="s">
        <v>3125</v>
      </c>
      <c r="D619" s="7" t="s">
        <v>3126</v>
      </c>
      <c r="E619" s="7" t="s">
        <v>33</v>
      </c>
      <c r="F619" s="7" t="s">
        <v>34</v>
      </c>
      <c r="G619" s="7" t="s">
        <v>35</v>
      </c>
      <c r="H619" s="7"/>
      <c r="I619" s="7"/>
      <c r="J619" s="7" t="s">
        <v>36</v>
      </c>
      <c r="K619" s="7" t="s">
        <v>1270</v>
      </c>
      <c r="L619" s="7" t="s">
        <v>1271</v>
      </c>
      <c r="M619" s="7" t="s">
        <v>1272</v>
      </c>
      <c r="N619" s="7" t="s">
        <v>33</v>
      </c>
      <c r="O619" s="7">
        <v>1</v>
      </c>
      <c r="P619" s="7" t="s">
        <v>40</v>
      </c>
      <c r="Q619" s="7">
        <v>32.99</v>
      </c>
      <c r="R619" s="7"/>
      <c r="S619" s="7"/>
      <c r="T619" s="7"/>
      <c r="U619" s="7"/>
      <c r="V619" s="7"/>
      <c r="W619" s="7"/>
      <c r="X619" s="7"/>
      <c r="Y619" s="7" t="s">
        <v>3127</v>
      </c>
      <c r="Z619" s="7" t="s">
        <v>92</v>
      </c>
      <c r="AA619" s="7">
        <v>7646</v>
      </c>
      <c r="AB619" s="7" t="s">
        <v>44</v>
      </c>
      <c r="AC619" s="7"/>
      <c r="AD619" s="10"/>
      <c r="AE619" s="10"/>
      <c r="AF619" s="10"/>
      <c r="AG619" s="11">
        <f t="shared" si="9"/>
        <v>43276</v>
      </c>
    </row>
    <row r="620" s="8" customFormat="1" spans="1:33">
      <c r="A620" s="7" t="s">
        <v>3128</v>
      </c>
      <c r="B620" s="7" t="s">
        <v>3128</v>
      </c>
      <c r="C620" s="7" t="s">
        <v>3129</v>
      </c>
      <c r="D620" s="7" t="s">
        <v>3130</v>
      </c>
      <c r="E620" s="7" t="s">
        <v>54</v>
      </c>
      <c r="F620" s="7" t="s">
        <v>34</v>
      </c>
      <c r="G620" s="7" t="s">
        <v>35</v>
      </c>
      <c r="H620" s="7"/>
      <c r="I620" s="7"/>
      <c r="J620" s="7" t="s">
        <v>69</v>
      </c>
      <c r="K620" s="7" t="s">
        <v>2484</v>
      </c>
      <c r="L620" s="7" t="s">
        <v>633</v>
      </c>
      <c r="M620" s="7" t="s">
        <v>634</v>
      </c>
      <c r="N620" s="7" t="s">
        <v>54</v>
      </c>
      <c r="O620" s="7">
        <v>0</v>
      </c>
      <c r="P620" s="7"/>
      <c r="Q620" s="7"/>
      <c r="R620" s="7"/>
      <c r="S620" s="7"/>
      <c r="T620" s="7"/>
      <c r="U620" s="7"/>
      <c r="V620" s="7"/>
      <c r="W620" s="7"/>
      <c r="X620" s="7"/>
      <c r="Y620" s="7" t="s">
        <v>3131</v>
      </c>
      <c r="Z620" s="7" t="s">
        <v>3132</v>
      </c>
      <c r="AA620" s="7">
        <v>48193</v>
      </c>
      <c r="AB620" s="7" t="s">
        <v>44</v>
      </c>
      <c r="AC620" s="7"/>
      <c r="AD620" s="10"/>
      <c r="AE620" s="10"/>
      <c r="AF620" s="10"/>
      <c r="AG620" s="11">
        <f t="shared" si="9"/>
        <v>43276</v>
      </c>
    </row>
    <row r="621" s="8" customFormat="1" spans="1:33">
      <c r="A621" s="7" t="s">
        <v>3133</v>
      </c>
      <c r="B621" s="7" t="s">
        <v>3133</v>
      </c>
      <c r="C621" s="7" t="s">
        <v>3134</v>
      </c>
      <c r="D621" s="7" t="s">
        <v>3135</v>
      </c>
      <c r="E621" s="7" t="s">
        <v>33</v>
      </c>
      <c r="F621" s="7" t="s">
        <v>34</v>
      </c>
      <c r="G621" s="7" t="s">
        <v>35</v>
      </c>
      <c r="H621" s="7"/>
      <c r="I621" s="7"/>
      <c r="J621" s="7" t="s">
        <v>36</v>
      </c>
      <c r="K621" s="7" t="s">
        <v>148</v>
      </c>
      <c r="L621" s="7" t="s">
        <v>149</v>
      </c>
      <c r="M621" s="7" t="s">
        <v>150</v>
      </c>
      <c r="N621" s="7" t="s">
        <v>33</v>
      </c>
      <c r="O621" s="7">
        <v>1</v>
      </c>
      <c r="P621" s="7" t="s">
        <v>40</v>
      </c>
      <c r="Q621" s="7">
        <v>98.99</v>
      </c>
      <c r="R621" s="7"/>
      <c r="S621" s="7">
        <v>6.62</v>
      </c>
      <c r="T621" s="7"/>
      <c r="U621" s="7"/>
      <c r="V621" s="7"/>
      <c r="W621" s="7"/>
      <c r="X621" s="7"/>
      <c r="Y621" s="7" t="s">
        <v>704</v>
      </c>
      <c r="Z621" s="7" t="s">
        <v>64</v>
      </c>
      <c r="AA621" s="7" t="s">
        <v>3136</v>
      </c>
      <c r="AB621" s="7" t="s">
        <v>44</v>
      </c>
      <c r="AC621" s="7"/>
      <c r="AD621" s="10"/>
      <c r="AE621" s="10"/>
      <c r="AF621" s="10"/>
      <c r="AG621" s="11">
        <f t="shared" si="9"/>
        <v>43276</v>
      </c>
    </row>
    <row r="622" s="8" customFormat="1" spans="1:33">
      <c r="A622" s="7" t="s">
        <v>3137</v>
      </c>
      <c r="B622" s="7" t="s">
        <v>3137</v>
      </c>
      <c r="C622" s="7" t="s">
        <v>3138</v>
      </c>
      <c r="D622" s="7" t="s">
        <v>3139</v>
      </c>
      <c r="E622" s="7" t="s">
        <v>33</v>
      </c>
      <c r="F622" s="7" t="s">
        <v>34</v>
      </c>
      <c r="G622" s="7" t="s">
        <v>35</v>
      </c>
      <c r="H622" s="7"/>
      <c r="I622" s="7"/>
      <c r="J622" s="7" t="s">
        <v>36</v>
      </c>
      <c r="K622" s="7" t="s">
        <v>2310</v>
      </c>
      <c r="L622" s="7" t="s">
        <v>2311</v>
      </c>
      <c r="M622" s="7" t="s">
        <v>2312</v>
      </c>
      <c r="N622" s="7" t="s">
        <v>33</v>
      </c>
      <c r="O622" s="7">
        <v>1</v>
      </c>
      <c r="P622" s="7" t="s">
        <v>40</v>
      </c>
      <c r="Q622" s="7">
        <v>89.99</v>
      </c>
      <c r="R622" s="7"/>
      <c r="S622" s="7"/>
      <c r="T622" s="7"/>
      <c r="U622" s="7"/>
      <c r="V622" s="7"/>
      <c r="W622" s="7"/>
      <c r="X622" s="7"/>
      <c r="Y622" s="7" t="s">
        <v>2596</v>
      </c>
      <c r="Z622" s="7" t="s">
        <v>51</v>
      </c>
      <c r="AA622" s="7" t="s">
        <v>3140</v>
      </c>
      <c r="AB622" s="7" t="s">
        <v>44</v>
      </c>
      <c r="AC622" s="7"/>
      <c r="AD622" s="10"/>
      <c r="AE622" s="10"/>
      <c r="AF622" s="10"/>
      <c r="AG622" s="11">
        <f t="shared" si="9"/>
        <v>43276</v>
      </c>
    </row>
    <row r="623" s="8" customFormat="1" spans="1:33">
      <c r="A623" s="7" t="s">
        <v>3137</v>
      </c>
      <c r="B623" s="7" t="s">
        <v>3137</v>
      </c>
      <c r="C623" s="7" t="s">
        <v>3138</v>
      </c>
      <c r="D623" s="7" t="s">
        <v>3139</v>
      </c>
      <c r="E623" s="7" t="s">
        <v>33</v>
      </c>
      <c r="F623" s="7" t="s">
        <v>34</v>
      </c>
      <c r="G623" s="7" t="s">
        <v>35</v>
      </c>
      <c r="H623" s="7"/>
      <c r="I623" s="7"/>
      <c r="J623" s="7" t="s">
        <v>36</v>
      </c>
      <c r="K623" s="7" t="s">
        <v>79</v>
      </c>
      <c r="L623" s="7" t="s">
        <v>80</v>
      </c>
      <c r="M623" s="7" t="s">
        <v>81</v>
      </c>
      <c r="N623" s="7" t="s">
        <v>33</v>
      </c>
      <c r="O623" s="7">
        <v>1</v>
      </c>
      <c r="P623" s="7" t="s">
        <v>40</v>
      </c>
      <c r="Q623" s="7">
        <v>91.99</v>
      </c>
      <c r="R623" s="7"/>
      <c r="S623" s="7"/>
      <c r="T623" s="7"/>
      <c r="U623" s="7"/>
      <c r="V623" s="7"/>
      <c r="W623" s="7"/>
      <c r="X623" s="7"/>
      <c r="Y623" s="7" t="s">
        <v>2596</v>
      </c>
      <c r="Z623" s="7" t="s">
        <v>51</v>
      </c>
      <c r="AA623" s="7" t="s">
        <v>3140</v>
      </c>
      <c r="AB623" s="7" t="s">
        <v>44</v>
      </c>
      <c r="AC623" s="7"/>
      <c r="AD623" s="10"/>
      <c r="AE623" s="10"/>
      <c r="AF623" s="10"/>
      <c r="AG623" s="11">
        <f t="shared" si="9"/>
        <v>43276</v>
      </c>
    </row>
    <row r="624" s="8" customFormat="1" spans="1:33">
      <c r="A624" s="7" t="s">
        <v>3137</v>
      </c>
      <c r="B624" s="7" t="s">
        <v>3137</v>
      </c>
      <c r="C624" s="7" t="s">
        <v>3138</v>
      </c>
      <c r="D624" s="7" t="s">
        <v>3139</v>
      </c>
      <c r="E624" s="7" t="s">
        <v>33</v>
      </c>
      <c r="F624" s="7" t="s">
        <v>34</v>
      </c>
      <c r="G624" s="7" t="s">
        <v>35</v>
      </c>
      <c r="H624" s="7"/>
      <c r="I624" s="7"/>
      <c r="J624" s="7" t="s">
        <v>36</v>
      </c>
      <c r="K624" s="7" t="s">
        <v>749</v>
      </c>
      <c r="L624" s="7" t="s">
        <v>750</v>
      </c>
      <c r="M624" s="7" t="s">
        <v>751</v>
      </c>
      <c r="N624" s="7" t="s">
        <v>33</v>
      </c>
      <c r="O624" s="7">
        <v>1</v>
      </c>
      <c r="P624" s="7" t="s">
        <v>40</v>
      </c>
      <c r="Q624" s="7">
        <v>89.99</v>
      </c>
      <c r="R624" s="7"/>
      <c r="S624" s="7"/>
      <c r="T624" s="7"/>
      <c r="U624" s="7"/>
      <c r="V624" s="7"/>
      <c r="W624" s="7"/>
      <c r="X624" s="7"/>
      <c r="Y624" s="7" t="s">
        <v>2596</v>
      </c>
      <c r="Z624" s="7" t="s">
        <v>51</v>
      </c>
      <c r="AA624" s="7" t="s">
        <v>3140</v>
      </c>
      <c r="AB624" s="7" t="s">
        <v>44</v>
      </c>
      <c r="AC624" s="7"/>
      <c r="AD624" s="10"/>
      <c r="AE624" s="10"/>
      <c r="AF624" s="10"/>
      <c r="AG624" s="11">
        <f t="shared" si="9"/>
        <v>43276</v>
      </c>
    </row>
    <row r="625" s="8" customFormat="1" spans="1:33">
      <c r="A625" s="7" t="s">
        <v>3141</v>
      </c>
      <c r="B625" s="7" t="s">
        <v>3141</v>
      </c>
      <c r="C625" s="7" t="s">
        <v>3142</v>
      </c>
      <c r="D625" s="7" t="s">
        <v>3143</v>
      </c>
      <c r="E625" s="7" t="s">
        <v>33</v>
      </c>
      <c r="F625" s="7" t="s">
        <v>34</v>
      </c>
      <c r="G625" s="7" t="s">
        <v>35</v>
      </c>
      <c r="H625" s="7"/>
      <c r="I625" s="7"/>
      <c r="J625" s="7" t="s">
        <v>36</v>
      </c>
      <c r="K625" s="7" t="s">
        <v>698</v>
      </c>
      <c r="L625" s="7" t="s">
        <v>699</v>
      </c>
      <c r="M625" s="7" t="s">
        <v>700</v>
      </c>
      <c r="N625" s="7" t="s">
        <v>33</v>
      </c>
      <c r="O625" s="7">
        <v>1</v>
      </c>
      <c r="P625" s="7" t="s">
        <v>40</v>
      </c>
      <c r="Q625" s="7">
        <v>21.99</v>
      </c>
      <c r="R625" s="7"/>
      <c r="S625" s="7"/>
      <c r="T625" s="7"/>
      <c r="U625" s="7"/>
      <c r="V625" s="7"/>
      <c r="W625" s="7">
        <v>21.77</v>
      </c>
      <c r="X625" s="7"/>
      <c r="Y625" s="7" t="s">
        <v>3144</v>
      </c>
      <c r="Z625" s="7" t="s">
        <v>207</v>
      </c>
      <c r="AA625" s="7" t="s">
        <v>3145</v>
      </c>
      <c r="AB625" s="7" t="s">
        <v>44</v>
      </c>
      <c r="AC625" s="7" t="s">
        <v>209</v>
      </c>
      <c r="AD625" s="10"/>
      <c r="AE625" s="10"/>
      <c r="AF625" s="10"/>
      <c r="AG625" s="11">
        <f t="shared" si="9"/>
        <v>43276</v>
      </c>
    </row>
    <row r="626" s="8" customFormat="1" spans="1:33">
      <c r="A626" s="7" t="s">
        <v>3146</v>
      </c>
      <c r="B626" s="7" t="s">
        <v>3146</v>
      </c>
      <c r="C626" s="7" t="s">
        <v>3147</v>
      </c>
      <c r="D626" s="7" t="s">
        <v>3148</v>
      </c>
      <c r="E626" s="7" t="s">
        <v>33</v>
      </c>
      <c r="F626" s="7" t="s">
        <v>34</v>
      </c>
      <c r="G626" s="7" t="s">
        <v>35</v>
      </c>
      <c r="H626" s="7"/>
      <c r="I626" s="7"/>
      <c r="J626" s="7" t="s">
        <v>36</v>
      </c>
      <c r="K626" s="7" t="s">
        <v>1065</v>
      </c>
      <c r="L626" s="7" t="s">
        <v>1066</v>
      </c>
      <c r="M626" s="7" t="s">
        <v>1067</v>
      </c>
      <c r="N626" s="7" t="s">
        <v>33</v>
      </c>
      <c r="O626" s="7">
        <v>1</v>
      </c>
      <c r="P626" s="7" t="s">
        <v>40</v>
      </c>
      <c r="Q626" s="7">
        <v>26.99</v>
      </c>
      <c r="R626" s="7"/>
      <c r="S626" s="7"/>
      <c r="T626" s="7"/>
      <c r="U626" s="7"/>
      <c r="V626" s="7"/>
      <c r="W626" s="7"/>
      <c r="X626" s="7"/>
      <c r="Y626" s="7" t="s">
        <v>3149</v>
      </c>
      <c r="Z626" s="7" t="s">
        <v>996</v>
      </c>
      <c r="AA626" s="7" t="s">
        <v>3150</v>
      </c>
      <c r="AB626" s="7" t="s">
        <v>44</v>
      </c>
      <c r="AC626" s="7"/>
      <c r="AD626" s="10"/>
      <c r="AE626" s="10"/>
      <c r="AF626" s="10"/>
      <c r="AG626" s="11">
        <f t="shared" si="9"/>
        <v>43276</v>
      </c>
    </row>
    <row r="627" s="8" customFormat="1" spans="1:33">
      <c r="A627" s="7" t="s">
        <v>3151</v>
      </c>
      <c r="B627" s="7" t="s">
        <v>3151</v>
      </c>
      <c r="C627" s="7" t="s">
        <v>3152</v>
      </c>
      <c r="D627" s="7" t="s">
        <v>3153</v>
      </c>
      <c r="E627" s="7" t="s">
        <v>33</v>
      </c>
      <c r="F627" s="7" t="s">
        <v>34</v>
      </c>
      <c r="G627" s="7" t="s">
        <v>35</v>
      </c>
      <c r="H627" s="7"/>
      <c r="I627" s="7"/>
      <c r="J627" s="7" t="s">
        <v>163</v>
      </c>
      <c r="K627" s="7" t="s">
        <v>749</v>
      </c>
      <c r="L627" s="7" t="s">
        <v>750</v>
      </c>
      <c r="M627" s="7" t="s">
        <v>751</v>
      </c>
      <c r="N627" s="7" t="s">
        <v>33</v>
      </c>
      <c r="O627" s="7">
        <v>1</v>
      </c>
      <c r="P627" s="7" t="s">
        <v>40</v>
      </c>
      <c r="Q627" s="7">
        <v>89.99</v>
      </c>
      <c r="R627" s="7"/>
      <c r="S627" s="7">
        <v>5.99</v>
      </c>
      <c r="T627" s="7"/>
      <c r="U627" s="7"/>
      <c r="V627" s="7"/>
      <c r="W627" s="7"/>
      <c r="X627" s="7">
        <v>5.99</v>
      </c>
      <c r="Y627" s="7" t="s">
        <v>3154</v>
      </c>
      <c r="Z627" s="7" t="s">
        <v>466</v>
      </c>
      <c r="AA627" s="7" t="s">
        <v>3155</v>
      </c>
      <c r="AB627" s="7" t="s">
        <v>44</v>
      </c>
      <c r="AC627" s="7"/>
      <c r="AD627" s="10"/>
      <c r="AE627" s="10"/>
      <c r="AF627" s="10"/>
      <c r="AG627" s="11">
        <f t="shared" si="9"/>
        <v>43276</v>
      </c>
    </row>
    <row r="628" s="8" customFormat="1" spans="1:33">
      <c r="A628" s="7" t="s">
        <v>3156</v>
      </c>
      <c r="B628" s="7" t="s">
        <v>3156</v>
      </c>
      <c r="C628" s="7" t="s">
        <v>3157</v>
      </c>
      <c r="D628" s="7" t="s">
        <v>3158</v>
      </c>
      <c r="E628" s="7" t="s">
        <v>54</v>
      </c>
      <c r="F628" s="7" t="s">
        <v>34</v>
      </c>
      <c r="G628" s="7" t="s">
        <v>35</v>
      </c>
      <c r="H628" s="7"/>
      <c r="I628" s="7"/>
      <c r="J628" s="7" t="s">
        <v>36</v>
      </c>
      <c r="K628" s="7" t="s">
        <v>284</v>
      </c>
      <c r="L628" s="7" t="s">
        <v>285</v>
      </c>
      <c r="M628" s="7" t="s">
        <v>286</v>
      </c>
      <c r="N628" s="7" t="s">
        <v>62</v>
      </c>
      <c r="O628" s="7">
        <v>1</v>
      </c>
      <c r="P628" s="7" t="s">
        <v>40</v>
      </c>
      <c r="Q628" s="7">
        <v>89.99</v>
      </c>
      <c r="R628" s="7"/>
      <c r="S628" s="7"/>
      <c r="T628" s="7"/>
      <c r="U628" s="7"/>
      <c r="V628" s="7"/>
      <c r="W628" s="7"/>
      <c r="X628" s="7"/>
      <c r="Y628" s="7" t="s">
        <v>73</v>
      </c>
      <c r="Z628" s="7" t="s">
        <v>64</v>
      </c>
      <c r="AA628" s="7" t="s">
        <v>3159</v>
      </c>
      <c r="AB628" s="7" t="s">
        <v>44</v>
      </c>
      <c r="AC628" s="7"/>
      <c r="AD628" s="10"/>
      <c r="AE628" s="10"/>
      <c r="AF628" s="10"/>
      <c r="AG628" s="11">
        <f t="shared" si="9"/>
        <v>43276</v>
      </c>
    </row>
    <row r="629" s="8" customFormat="1" spans="1:33">
      <c r="A629" s="7" t="s">
        <v>3160</v>
      </c>
      <c r="B629" s="7" t="s">
        <v>3160</v>
      </c>
      <c r="C629" s="7" t="s">
        <v>3161</v>
      </c>
      <c r="D629" s="7" t="s">
        <v>3162</v>
      </c>
      <c r="E629" s="7" t="s">
        <v>33</v>
      </c>
      <c r="F629" s="7" t="s">
        <v>34</v>
      </c>
      <c r="G629" s="7" t="s">
        <v>35</v>
      </c>
      <c r="H629" s="7"/>
      <c r="I629" s="7"/>
      <c r="J629" s="7" t="s">
        <v>69</v>
      </c>
      <c r="K629" s="7" t="s">
        <v>660</v>
      </c>
      <c r="L629" s="7" t="s">
        <v>661</v>
      </c>
      <c r="M629" s="7" t="s">
        <v>662</v>
      </c>
      <c r="N629" s="7" t="s">
        <v>33</v>
      </c>
      <c r="O629" s="7">
        <v>1</v>
      </c>
      <c r="P629" s="7" t="s">
        <v>40</v>
      </c>
      <c r="Q629" s="7">
        <v>79.99</v>
      </c>
      <c r="R629" s="7"/>
      <c r="S629" s="7">
        <v>4.08</v>
      </c>
      <c r="T629" s="7"/>
      <c r="U629" s="7"/>
      <c r="V629" s="7"/>
      <c r="W629" s="7"/>
      <c r="X629" s="7">
        <v>4.08</v>
      </c>
      <c r="Y629" s="7" t="s">
        <v>704</v>
      </c>
      <c r="Z629" s="7" t="s">
        <v>64</v>
      </c>
      <c r="AA629" s="7" t="s">
        <v>3163</v>
      </c>
      <c r="AB629" s="7" t="s">
        <v>44</v>
      </c>
      <c r="AC629" s="7" t="s">
        <v>75</v>
      </c>
      <c r="AD629" s="10"/>
      <c r="AE629" s="10"/>
      <c r="AF629" s="10"/>
      <c r="AG629" s="11">
        <f t="shared" si="9"/>
        <v>43277</v>
      </c>
    </row>
    <row r="630" s="8" customFormat="1" spans="1:33">
      <c r="A630" s="7" t="s">
        <v>3164</v>
      </c>
      <c r="B630" s="7" t="s">
        <v>3164</v>
      </c>
      <c r="C630" s="7" t="s">
        <v>3165</v>
      </c>
      <c r="D630" s="7" t="s">
        <v>3166</v>
      </c>
      <c r="E630" s="7" t="s">
        <v>54</v>
      </c>
      <c r="F630" s="7" t="s">
        <v>34</v>
      </c>
      <c r="G630" s="7" t="s">
        <v>35</v>
      </c>
      <c r="H630" s="7"/>
      <c r="I630" s="7"/>
      <c r="J630" s="7" t="s">
        <v>69</v>
      </c>
      <c r="K630" s="7" t="s">
        <v>660</v>
      </c>
      <c r="L630" s="7" t="s">
        <v>661</v>
      </c>
      <c r="M630" s="7" t="s">
        <v>662</v>
      </c>
      <c r="N630" s="7" t="s">
        <v>54</v>
      </c>
      <c r="O630" s="7">
        <v>0</v>
      </c>
      <c r="P630" s="7"/>
      <c r="Q630" s="7"/>
      <c r="R630" s="7"/>
      <c r="S630" s="7"/>
      <c r="T630" s="7"/>
      <c r="U630" s="7"/>
      <c r="V630" s="7"/>
      <c r="W630" s="7"/>
      <c r="X630" s="7"/>
      <c r="Y630" s="7" t="s">
        <v>704</v>
      </c>
      <c r="Z630" s="7" t="s">
        <v>64</v>
      </c>
      <c r="AA630" s="7" t="s">
        <v>3163</v>
      </c>
      <c r="AB630" s="7" t="s">
        <v>44</v>
      </c>
      <c r="AC630" s="7"/>
      <c r="AD630" s="10"/>
      <c r="AE630" s="10"/>
      <c r="AF630" s="10"/>
      <c r="AG630" s="11">
        <f t="shared" si="9"/>
        <v>43277</v>
      </c>
    </row>
    <row r="631" s="8" customFormat="1" spans="1:33">
      <c r="A631" s="7" t="s">
        <v>3167</v>
      </c>
      <c r="B631" s="7" t="s">
        <v>3167</v>
      </c>
      <c r="C631" s="7" t="s">
        <v>3168</v>
      </c>
      <c r="D631" s="7" t="s">
        <v>3169</v>
      </c>
      <c r="E631" s="7" t="s">
        <v>33</v>
      </c>
      <c r="F631" s="7" t="s">
        <v>34</v>
      </c>
      <c r="G631" s="7" t="s">
        <v>35</v>
      </c>
      <c r="H631" s="7"/>
      <c r="I631" s="7"/>
      <c r="J631" s="7" t="s">
        <v>36</v>
      </c>
      <c r="K631" s="7" t="s">
        <v>284</v>
      </c>
      <c r="L631" s="7" t="s">
        <v>285</v>
      </c>
      <c r="M631" s="7" t="s">
        <v>286</v>
      </c>
      <c r="N631" s="7" t="s">
        <v>33</v>
      </c>
      <c r="O631" s="7">
        <v>1</v>
      </c>
      <c r="P631" s="7" t="s">
        <v>40</v>
      </c>
      <c r="Q631" s="7">
        <v>89.99</v>
      </c>
      <c r="R631" s="7"/>
      <c r="S631" s="7"/>
      <c r="T631" s="7"/>
      <c r="U631" s="7"/>
      <c r="V631" s="7"/>
      <c r="W631" s="7"/>
      <c r="X631" s="7"/>
      <c r="Y631" s="7" t="s">
        <v>3170</v>
      </c>
      <c r="Z631" s="7" t="s">
        <v>42</v>
      </c>
      <c r="AA631" s="7" t="s">
        <v>3171</v>
      </c>
      <c r="AB631" s="7" t="s">
        <v>44</v>
      </c>
      <c r="AC631" s="7"/>
      <c r="AD631" s="10"/>
      <c r="AE631" s="10"/>
      <c r="AF631" s="10"/>
      <c r="AG631" s="11">
        <f t="shared" si="9"/>
        <v>43277</v>
      </c>
    </row>
    <row r="632" s="8" customFormat="1" spans="1:33">
      <c r="A632" s="7" t="s">
        <v>3172</v>
      </c>
      <c r="B632" s="7" t="s">
        <v>3172</v>
      </c>
      <c r="C632" s="7" t="s">
        <v>3173</v>
      </c>
      <c r="D632" s="7" t="s">
        <v>3174</v>
      </c>
      <c r="E632" s="7" t="s">
        <v>33</v>
      </c>
      <c r="F632" s="7" t="s">
        <v>34</v>
      </c>
      <c r="G632" s="7" t="s">
        <v>35</v>
      </c>
      <c r="H632" s="7"/>
      <c r="I632" s="7"/>
      <c r="J632" s="7" t="s">
        <v>36</v>
      </c>
      <c r="K632" s="7" t="s">
        <v>59</v>
      </c>
      <c r="L632" s="7" t="s">
        <v>60</v>
      </c>
      <c r="M632" s="7" t="s">
        <v>61</v>
      </c>
      <c r="N632" s="7" t="s">
        <v>33</v>
      </c>
      <c r="O632" s="7">
        <v>1</v>
      </c>
      <c r="P632" s="7" t="s">
        <v>40</v>
      </c>
      <c r="Q632" s="7">
        <v>89.99</v>
      </c>
      <c r="R632" s="7"/>
      <c r="S632" s="7"/>
      <c r="T632" s="7"/>
      <c r="U632" s="7"/>
      <c r="V632" s="7"/>
      <c r="W632" s="7"/>
      <c r="X632" s="7"/>
      <c r="Y632" s="7" t="s">
        <v>3175</v>
      </c>
      <c r="Z632" s="7" t="s">
        <v>837</v>
      </c>
      <c r="AA632" s="7" t="s">
        <v>3176</v>
      </c>
      <c r="AB632" s="7" t="s">
        <v>44</v>
      </c>
      <c r="AC632" s="7"/>
      <c r="AD632" s="10"/>
      <c r="AE632" s="10"/>
      <c r="AF632" s="10"/>
      <c r="AG632" s="11">
        <f t="shared" si="9"/>
        <v>43277</v>
      </c>
    </row>
    <row r="633" s="8" customFormat="1" spans="1:33">
      <c r="A633" s="7" t="s">
        <v>3177</v>
      </c>
      <c r="B633" s="7" t="s">
        <v>3177</v>
      </c>
      <c r="C633" s="7" t="s">
        <v>3178</v>
      </c>
      <c r="D633" s="7" t="s">
        <v>3179</v>
      </c>
      <c r="E633" s="7" t="s">
        <v>33</v>
      </c>
      <c r="F633" s="7" t="s">
        <v>34</v>
      </c>
      <c r="G633" s="7" t="s">
        <v>35</v>
      </c>
      <c r="H633" s="7"/>
      <c r="I633" s="7"/>
      <c r="J633" s="7" t="s">
        <v>36</v>
      </c>
      <c r="K633" s="7" t="s">
        <v>123</v>
      </c>
      <c r="L633" s="7" t="s">
        <v>124</v>
      </c>
      <c r="M633" s="7" t="s">
        <v>125</v>
      </c>
      <c r="N633" s="7" t="s">
        <v>33</v>
      </c>
      <c r="O633" s="7">
        <v>1</v>
      </c>
      <c r="P633" s="7" t="s">
        <v>40</v>
      </c>
      <c r="Q633" s="7">
        <v>89.99</v>
      </c>
      <c r="R633" s="7"/>
      <c r="S633" s="7"/>
      <c r="T633" s="7"/>
      <c r="U633" s="7"/>
      <c r="V633" s="7"/>
      <c r="W633" s="7"/>
      <c r="X633" s="7"/>
      <c r="Y633" s="7" t="s">
        <v>3180</v>
      </c>
      <c r="Z633" s="7" t="s">
        <v>92</v>
      </c>
      <c r="AA633" s="7">
        <v>7024</v>
      </c>
      <c r="AB633" s="7" t="s">
        <v>44</v>
      </c>
      <c r="AC633" s="7"/>
      <c r="AD633" s="10"/>
      <c r="AE633" s="10"/>
      <c r="AF633" s="10"/>
      <c r="AG633" s="11">
        <f t="shared" si="9"/>
        <v>43277</v>
      </c>
    </row>
    <row r="634" s="8" customFormat="1" spans="1:33">
      <c r="A634" s="7" t="s">
        <v>3181</v>
      </c>
      <c r="B634" s="7" t="s">
        <v>3181</v>
      </c>
      <c r="C634" s="7" t="s">
        <v>3182</v>
      </c>
      <c r="D634" s="7" t="s">
        <v>3183</v>
      </c>
      <c r="E634" s="7" t="s">
        <v>33</v>
      </c>
      <c r="F634" s="7" t="s">
        <v>34</v>
      </c>
      <c r="G634" s="7" t="s">
        <v>35</v>
      </c>
      <c r="H634" s="7"/>
      <c r="I634" s="7"/>
      <c r="J634" s="7" t="s">
        <v>36</v>
      </c>
      <c r="K634" s="7" t="s">
        <v>3058</v>
      </c>
      <c r="L634" s="7" t="s">
        <v>3059</v>
      </c>
      <c r="M634" s="7" t="s">
        <v>3060</v>
      </c>
      <c r="N634" s="7" t="s">
        <v>33</v>
      </c>
      <c r="O634" s="7">
        <v>1</v>
      </c>
      <c r="P634" s="7" t="s">
        <v>40</v>
      </c>
      <c r="Q634" s="7">
        <v>79.99</v>
      </c>
      <c r="R634" s="7"/>
      <c r="S634" s="7"/>
      <c r="T634" s="7"/>
      <c r="U634" s="7"/>
      <c r="V634" s="7"/>
      <c r="W634" s="7"/>
      <c r="X634" s="7"/>
      <c r="Y634" s="7" t="s">
        <v>3184</v>
      </c>
      <c r="Z634" s="7" t="s">
        <v>230</v>
      </c>
      <c r="AA634" s="7" t="s">
        <v>3185</v>
      </c>
      <c r="AB634" s="7" t="s">
        <v>44</v>
      </c>
      <c r="AC634" s="7"/>
      <c r="AD634" s="10"/>
      <c r="AE634" s="10"/>
      <c r="AF634" s="10"/>
      <c r="AG634" s="11">
        <f t="shared" si="9"/>
        <v>43277</v>
      </c>
    </row>
    <row r="635" s="8" customFormat="1" spans="1:33">
      <c r="A635" s="7" t="s">
        <v>3186</v>
      </c>
      <c r="B635" s="7" t="s">
        <v>3186</v>
      </c>
      <c r="C635" s="7" t="s">
        <v>3187</v>
      </c>
      <c r="D635" s="7" t="s">
        <v>3188</v>
      </c>
      <c r="E635" s="7" t="s">
        <v>33</v>
      </c>
      <c r="F635" s="7" t="s">
        <v>34</v>
      </c>
      <c r="G635" s="7" t="s">
        <v>35</v>
      </c>
      <c r="H635" s="7"/>
      <c r="I635" s="7"/>
      <c r="J635" s="7" t="s">
        <v>36</v>
      </c>
      <c r="K635" s="7" t="s">
        <v>79</v>
      </c>
      <c r="L635" s="7" t="s">
        <v>80</v>
      </c>
      <c r="M635" s="7" t="s">
        <v>81</v>
      </c>
      <c r="N635" s="7" t="s">
        <v>33</v>
      </c>
      <c r="O635" s="7">
        <v>1</v>
      </c>
      <c r="P635" s="7" t="s">
        <v>40</v>
      </c>
      <c r="Q635" s="7">
        <v>91.99</v>
      </c>
      <c r="R635" s="7"/>
      <c r="S635" s="7"/>
      <c r="T635" s="7"/>
      <c r="U635" s="7"/>
      <c r="V635" s="7"/>
      <c r="W635" s="7"/>
      <c r="X635" s="7"/>
      <c r="Y635" s="7" t="s">
        <v>73</v>
      </c>
      <c r="Z635" s="7" t="s">
        <v>64</v>
      </c>
      <c r="AA635" s="7" t="s">
        <v>3189</v>
      </c>
      <c r="AB635" s="7" t="s">
        <v>44</v>
      </c>
      <c r="AC635" s="7"/>
      <c r="AD635" s="10"/>
      <c r="AE635" s="10"/>
      <c r="AF635" s="10"/>
      <c r="AG635" s="11">
        <f t="shared" si="9"/>
        <v>43277</v>
      </c>
    </row>
    <row r="636" s="8" customFormat="1" spans="1:33">
      <c r="A636" s="7" t="s">
        <v>3190</v>
      </c>
      <c r="B636" s="7" t="s">
        <v>3190</v>
      </c>
      <c r="C636" s="7" t="s">
        <v>3191</v>
      </c>
      <c r="D636" s="7" t="s">
        <v>3192</v>
      </c>
      <c r="E636" s="7" t="s">
        <v>33</v>
      </c>
      <c r="F636" s="7" t="s">
        <v>34</v>
      </c>
      <c r="G636" s="7" t="s">
        <v>35</v>
      </c>
      <c r="H636" s="7"/>
      <c r="I636" s="7"/>
      <c r="J636" s="7" t="s">
        <v>36</v>
      </c>
      <c r="K636" s="7" t="s">
        <v>2080</v>
      </c>
      <c r="L636" s="7" t="s">
        <v>2081</v>
      </c>
      <c r="M636" s="7" t="s">
        <v>2082</v>
      </c>
      <c r="N636" s="7" t="s">
        <v>33</v>
      </c>
      <c r="O636" s="7">
        <v>1</v>
      </c>
      <c r="P636" s="7" t="s">
        <v>40</v>
      </c>
      <c r="Q636" s="7">
        <v>79.99</v>
      </c>
      <c r="R636" s="7"/>
      <c r="S636" s="7"/>
      <c r="T636" s="7"/>
      <c r="U636" s="7"/>
      <c r="V636" s="7"/>
      <c r="W636" s="7"/>
      <c r="X636" s="7"/>
      <c r="Y636" s="7" t="s">
        <v>73</v>
      </c>
      <c r="Z636" s="7" t="s">
        <v>64</v>
      </c>
      <c r="AA636" s="7">
        <v>33206</v>
      </c>
      <c r="AB636" s="7" t="s">
        <v>44</v>
      </c>
      <c r="AC636" s="7"/>
      <c r="AD636" s="10"/>
      <c r="AE636" s="10"/>
      <c r="AF636" s="10"/>
      <c r="AG636" s="11">
        <f t="shared" si="9"/>
        <v>43277</v>
      </c>
    </row>
    <row r="637" s="8" customFormat="1" spans="1:33">
      <c r="A637" s="7" t="s">
        <v>3193</v>
      </c>
      <c r="B637" s="7" t="s">
        <v>3193</v>
      </c>
      <c r="C637" s="7" t="s">
        <v>3194</v>
      </c>
      <c r="D637" s="7" t="s">
        <v>3195</v>
      </c>
      <c r="E637" s="7" t="s">
        <v>33</v>
      </c>
      <c r="F637" s="7" t="s">
        <v>34</v>
      </c>
      <c r="G637" s="7" t="s">
        <v>35</v>
      </c>
      <c r="H637" s="7"/>
      <c r="I637" s="7"/>
      <c r="J637" s="7" t="s">
        <v>36</v>
      </c>
      <c r="K637" s="7" t="s">
        <v>148</v>
      </c>
      <c r="L637" s="7" t="s">
        <v>149</v>
      </c>
      <c r="M637" s="7" t="s">
        <v>150</v>
      </c>
      <c r="N637" s="7" t="s">
        <v>33</v>
      </c>
      <c r="O637" s="7">
        <v>1</v>
      </c>
      <c r="P637" s="7" t="s">
        <v>40</v>
      </c>
      <c r="Q637" s="7">
        <v>98.99</v>
      </c>
      <c r="R637" s="7"/>
      <c r="S637" s="7"/>
      <c r="T637" s="7"/>
      <c r="U637" s="7"/>
      <c r="V637" s="7"/>
      <c r="W637" s="7"/>
      <c r="X637" s="7"/>
      <c r="Y637" s="7" t="s">
        <v>1733</v>
      </c>
      <c r="Z637" s="7" t="s">
        <v>64</v>
      </c>
      <c r="AA637" s="7" t="s">
        <v>3196</v>
      </c>
      <c r="AB637" s="7" t="s">
        <v>44</v>
      </c>
      <c r="AC637" s="7"/>
      <c r="AD637" s="10"/>
      <c r="AE637" s="10"/>
      <c r="AF637" s="10"/>
      <c r="AG637" s="11">
        <f t="shared" si="9"/>
        <v>43277</v>
      </c>
    </row>
    <row r="638" s="8" customFormat="1" spans="1:33">
      <c r="A638" s="7" t="s">
        <v>3197</v>
      </c>
      <c r="B638" s="7" t="s">
        <v>3197</v>
      </c>
      <c r="C638" s="7" t="s">
        <v>3198</v>
      </c>
      <c r="D638" s="7" t="s">
        <v>3199</v>
      </c>
      <c r="E638" s="7" t="s">
        <v>33</v>
      </c>
      <c r="F638" s="7" t="s">
        <v>34</v>
      </c>
      <c r="G638" s="7" t="s">
        <v>35</v>
      </c>
      <c r="H638" s="7"/>
      <c r="I638" s="7"/>
      <c r="J638" s="7" t="s">
        <v>36</v>
      </c>
      <c r="K638" s="7" t="s">
        <v>3070</v>
      </c>
      <c r="L638" s="7" t="s">
        <v>3071</v>
      </c>
      <c r="M638" s="7" t="s">
        <v>3072</v>
      </c>
      <c r="N638" s="7" t="s">
        <v>33</v>
      </c>
      <c r="O638" s="7">
        <v>1</v>
      </c>
      <c r="P638" s="7" t="s">
        <v>40</v>
      </c>
      <c r="Q638" s="7">
        <v>32.99</v>
      </c>
      <c r="R638" s="7"/>
      <c r="S638" s="7"/>
      <c r="T638" s="7"/>
      <c r="U638" s="7"/>
      <c r="V638" s="7"/>
      <c r="W638" s="7"/>
      <c r="X638" s="7"/>
      <c r="Y638" s="7" t="s">
        <v>3200</v>
      </c>
      <c r="Z638" s="7" t="s">
        <v>3201</v>
      </c>
      <c r="AA638" s="7">
        <v>85936</v>
      </c>
      <c r="AB638" s="7" t="s">
        <v>44</v>
      </c>
      <c r="AC638" s="7"/>
      <c r="AD638" s="10"/>
      <c r="AE638" s="10"/>
      <c r="AF638" s="10"/>
      <c r="AG638" s="11">
        <f t="shared" si="9"/>
        <v>43277</v>
      </c>
    </row>
    <row r="639" s="8" customFormat="1" spans="1:33">
      <c r="A639" s="7" t="s">
        <v>3202</v>
      </c>
      <c r="B639" s="7" t="s">
        <v>3202</v>
      </c>
      <c r="C639" s="7" t="s">
        <v>3203</v>
      </c>
      <c r="D639" s="7" t="s">
        <v>3204</v>
      </c>
      <c r="E639" s="7" t="s">
        <v>33</v>
      </c>
      <c r="F639" s="7" t="s">
        <v>34</v>
      </c>
      <c r="G639" s="7" t="s">
        <v>35</v>
      </c>
      <c r="H639" s="7"/>
      <c r="I639" s="7"/>
      <c r="J639" s="7" t="s">
        <v>163</v>
      </c>
      <c r="K639" s="7" t="s">
        <v>660</v>
      </c>
      <c r="L639" s="7" t="s">
        <v>661</v>
      </c>
      <c r="M639" s="7" t="s">
        <v>662</v>
      </c>
      <c r="N639" s="7" t="s">
        <v>33</v>
      </c>
      <c r="O639" s="7">
        <v>1</v>
      </c>
      <c r="P639" s="7" t="s">
        <v>40</v>
      </c>
      <c r="Q639" s="7">
        <v>79.99</v>
      </c>
      <c r="R639" s="7"/>
      <c r="S639" s="7">
        <v>5.99</v>
      </c>
      <c r="T639" s="7"/>
      <c r="U639" s="7"/>
      <c r="V639" s="7"/>
      <c r="W639" s="7"/>
      <c r="X639" s="7">
        <v>5.99</v>
      </c>
      <c r="Y639" s="7" t="s">
        <v>3205</v>
      </c>
      <c r="Z639" s="7" t="s">
        <v>64</v>
      </c>
      <c r="AA639" s="7" t="s">
        <v>3206</v>
      </c>
      <c r="AB639" s="7" t="s">
        <v>44</v>
      </c>
      <c r="AC639" s="7"/>
      <c r="AD639" s="10"/>
      <c r="AE639" s="10"/>
      <c r="AF639" s="10"/>
      <c r="AG639" s="11">
        <f t="shared" si="9"/>
        <v>43277</v>
      </c>
    </row>
    <row r="640" s="8" customFormat="1" spans="1:33">
      <c r="A640" s="7" t="s">
        <v>3207</v>
      </c>
      <c r="B640" s="7" t="s">
        <v>3207</v>
      </c>
      <c r="C640" s="7" t="s">
        <v>3208</v>
      </c>
      <c r="D640" s="7" t="s">
        <v>3209</v>
      </c>
      <c r="E640" s="7" t="s">
        <v>33</v>
      </c>
      <c r="F640" s="7" t="s">
        <v>34</v>
      </c>
      <c r="G640" s="7" t="s">
        <v>35</v>
      </c>
      <c r="H640" s="7"/>
      <c r="I640" s="7"/>
      <c r="J640" s="7" t="s">
        <v>36</v>
      </c>
      <c r="K640" s="7" t="s">
        <v>1975</v>
      </c>
      <c r="L640" s="7" t="s">
        <v>1976</v>
      </c>
      <c r="M640" s="7" t="s">
        <v>1977</v>
      </c>
      <c r="N640" s="7" t="s">
        <v>33</v>
      </c>
      <c r="O640" s="7">
        <v>1</v>
      </c>
      <c r="P640" s="7" t="s">
        <v>40</v>
      </c>
      <c r="Q640" s="7">
        <v>92.99</v>
      </c>
      <c r="R640" s="7"/>
      <c r="S640" s="7"/>
      <c r="T640" s="7"/>
      <c r="U640" s="7"/>
      <c r="V640" s="7"/>
      <c r="W640" s="7"/>
      <c r="X640" s="7"/>
      <c r="Y640" s="7" t="s">
        <v>3210</v>
      </c>
      <c r="Z640" s="7" t="s">
        <v>990</v>
      </c>
      <c r="AA640" s="7" t="s">
        <v>3211</v>
      </c>
      <c r="AB640" s="7" t="s">
        <v>44</v>
      </c>
      <c r="AC640" s="7"/>
      <c r="AD640" s="10"/>
      <c r="AE640" s="10"/>
      <c r="AF640" s="10"/>
      <c r="AG640" s="11">
        <f t="shared" si="9"/>
        <v>43277</v>
      </c>
    </row>
    <row r="641" s="8" customFormat="1" spans="1:33">
      <c r="A641" s="7" t="s">
        <v>3212</v>
      </c>
      <c r="B641" s="7" t="s">
        <v>3212</v>
      </c>
      <c r="C641" s="7" t="s">
        <v>3213</v>
      </c>
      <c r="D641" s="7" t="s">
        <v>3214</v>
      </c>
      <c r="E641" s="7" t="s">
        <v>33</v>
      </c>
      <c r="F641" s="7" t="s">
        <v>34</v>
      </c>
      <c r="G641" s="7" t="s">
        <v>35</v>
      </c>
      <c r="H641" s="7"/>
      <c r="I641" s="7"/>
      <c r="J641" s="7" t="s">
        <v>36</v>
      </c>
      <c r="K641" s="7" t="s">
        <v>275</v>
      </c>
      <c r="L641" s="7" t="s">
        <v>276</v>
      </c>
      <c r="M641" s="7" t="s">
        <v>277</v>
      </c>
      <c r="N641" s="7" t="s">
        <v>33</v>
      </c>
      <c r="O641" s="7">
        <v>1</v>
      </c>
      <c r="P641" s="7" t="s">
        <v>40</v>
      </c>
      <c r="Q641" s="7">
        <v>89.99</v>
      </c>
      <c r="R641" s="7"/>
      <c r="S641" s="7"/>
      <c r="T641" s="7"/>
      <c r="U641" s="7"/>
      <c r="V641" s="7"/>
      <c r="W641" s="7"/>
      <c r="X641" s="7"/>
      <c r="Y641" s="7" t="s">
        <v>3215</v>
      </c>
      <c r="Z641" s="7" t="s">
        <v>207</v>
      </c>
      <c r="AA641" s="7">
        <v>48168</v>
      </c>
      <c r="AB641" s="7" t="s">
        <v>44</v>
      </c>
      <c r="AC641" s="7"/>
      <c r="AD641" s="10"/>
      <c r="AE641" s="10"/>
      <c r="AF641" s="10"/>
      <c r="AG641" s="11">
        <f t="shared" si="9"/>
        <v>43277</v>
      </c>
    </row>
    <row r="642" s="8" customFormat="1" spans="1:33">
      <c r="A642" s="7" t="s">
        <v>3216</v>
      </c>
      <c r="B642" s="7" t="s">
        <v>3216</v>
      </c>
      <c r="C642" s="7" t="s">
        <v>3217</v>
      </c>
      <c r="D642" s="7" t="s">
        <v>3218</v>
      </c>
      <c r="E642" s="7" t="s">
        <v>33</v>
      </c>
      <c r="F642" s="7" t="s">
        <v>34</v>
      </c>
      <c r="G642" s="7" t="s">
        <v>35</v>
      </c>
      <c r="H642" s="7"/>
      <c r="I642" s="7"/>
      <c r="J642" s="7" t="s">
        <v>36</v>
      </c>
      <c r="K642" s="7" t="s">
        <v>37</v>
      </c>
      <c r="L642" s="7" t="s">
        <v>38</v>
      </c>
      <c r="M642" s="7" t="s">
        <v>39</v>
      </c>
      <c r="N642" s="7" t="s">
        <v>33</v>
      </c>
      <c r="O642" s="7">
        <v>1</v>
      </c>
      <c r="P642" s="7" t="s">
        <v>40</v>
      </c>
      <c r="Q642" s="7">
        <v>89.99</v>
      </c>
      <c r="R642" s="7"/>
      <c r="S642" s="7"/>
      <c r="T642" s="7"/>
      <c r="U642" s="7"/>
      <c r="V642" s="7"/>
      <c r="W642" s="7"/>
      <c r="X642" s="7"/>
      <c r="Y642" s="7" t="s">
        <v>3219</v>
      </c>
      <c r="Z642" s="7" t="s">
        <v>207</v>
      </c>
      <c r="AA642" s="7" t="s">
        <v>3220</v>
      </c>
      <c r="AB642" s="7" t="s">
        <v>44</v>
      </c>
      <c r="AC642" s="7"/>
      <c r="AD642" s="10"/>
      <c r="AE642" s="10"/>
      <c r="AF642" s="10"/>
      <c r="AG642" s="11">
        <f t="shared" ref="AG642:AG705" si="10">DATEVALUE(LEFT(C642,10))</f>
        <v>43277</v>
      </c>
    </row>
    <row r="643" s="8" customFormat="1" spans="1:33">
      <c r="A643" s="7" t="s">
        <v>3221</v>
      </c>
      <c r="B643" s="7" t="s">
        <v>3221</v>
      </c>
      <c r="C643" s="7" t="s">
        <v>3222</v>
      </c>
      <c r="D643" s="7" t="s">
        <v>3223</v>
      </c>
      <c r="E643" s="7" t="s">
        <v>33</v>
      </c>
      <c r="F643" s="7" t="s">
        <v>34</v>
      </c>
      <c r="G643" s="7" t="s">
        <v>35</v>
      </c>
      <c r="H643" s="7"/>
      <c r="I643" s="7"/>
      <c r="J643" s="7" t="s">
        <v>36</v>
      </c>
      <c r="K643" s="7" t="s">
        <v>3224</v>
      </c>
      <c r="L643" s="7" t="s">
        <v>3225</v>
      </c>
      <c r="M643" s="7" t="s">
        <v>3226</v>
      </c>
      <c r="N643" s="7" t="s">
        <v>33</v>
      </c>
      <c r="O643" s="7">
        <v>1</v>
      </c>
      <c r="P643" s="7" t="s">
        <v>40</v>
      </c>
      <c r="Q643" s="7">
        <v>89.6</v>
      </c>
      <c r="R643" s="7"/>
      <c r="S643" s="7"/>
      <c r="T643" s="7"/>
      <c r="U643" s="7"/>
      <c r="V643" s="7"/>
      <c r="W643" s="7"/>
      <c r="X643" s="7"/>
      <c r="Y643" s="7" t="s">
        <v>3227</v>
      </c>
      <c r="Z643" s="7" t="s">
        <v>466</v>
      </c>
      <c r="AA643" s="7" t="s">
        <v>3228</v>
      </c>
      <c r="AB643" s="7" t="s">
        <v>44</v>
      </c>
      <c r="AC643" s="7"/>
      <c r="AD643" s="10"/>
      <c r="AE643" s="10"/>
      <c r="AF643" s="10"/>
      <c r="AG643" s="11">
        <f t="shared" si="10"/>
        <v>43277</v>
      </c>
    </row>
    <row r="644" s="8" customFormat="1" spans="1:33">
      <c r="A644" s="7" t="s">
        <v>3229</v>
      </c>
      <c r="B644" s="7" t="s">
        <v>3229</v>
      </c>
      <c r="C644" s="7" t="s">
        <v>3230</v>
      </c>
      <c r="D644" s="7" t="s">
        <v>3231</v>
      </c>
      <c r="E644" s="7" t="s">
        <v>33</v>
      </c>
      <c r="F644" s="7" t="s">
        <v>34</v>
      </c>
      <c r="G644" s="7" t="s">
        <v>35</v>
      </c>
      <c r="H644" s="7"/>
      <c r="I644" s="7"/>
      <c r="J644" s="7" t="s">
        <v>69</v>
      </c>
      <c r="K644" s="7" t="s">
        <v>102</v>
      </c>
      <c r="L644" s="7" t="s">
        <v>103</v>
      </c>
      <c r="M644" s="7" t="s">
        <v>104</v>
      </c>
      <c r="N644" s="7" t="s">
        <v>33</v>
      </c>
      <c r="O644" s="7">
        <v>1</v>
      </c>
      <c r="P644" s="7" t="s">
        <v>40</v>
      </c>
      <c r="Q644" s="7">
        <v>89.99</v>
      </c>
      <c r="R644" s="7">
        <v>5.4</v>
      </c>
      <c r="S644" s="7">
        <v>8.2</v>
      </c>
      <c r="T644" s="7">
        <v>0.49</v>
      </c>
      <c r="U644" s="7"/>
      <c r="V644" s="7"/>
      <c r="W644" s="7"/>
      <c r="X644" s="7"/>
      <c r="Y644" s="7" t="s">
        <v>3232</v>
      </c>
      <c r="Z644" s="7" t="s">
        <v>880</v>
      </c>
      <c r="AA644" s="7" t="s">
        <v>3233</v>
      </c>
      <c r="AB644" s="7" t="s">
        <v>44</v>
      </c>
      <c r="AC644" s="7"/>
      <c r="AD644" s="10"/>
      <c r="AE644" s="10"/>
      <c r="AF644" s="10"/>
      <c r="AG644" s="11">
        <f t="shared" si="10"/>
        <v>43277</v>
      </c>
    </row>
    <row r="645" s="8" customFormat="1" spans="1:33">
      <c r="A645" s="7" t="s">
        <v>3234</v>
      </c>
      <c r="B645" s="7" t="s">
        <v>3234</v>
      </c>
      <c r="C645" s="7" t="s">
        <v>3235</v>
      </c>
      <c r="D645" s="7" t="s">
        <v>3236</v>
      </c>
      <c r="E645" s="7" t="s">
        <v>33</v>
      </c>
      <c r="F645" s="7" t="s">
        <v>34</v>
      </c>
      <c r="G645" s="7" t="s">
        <v>35</v>
      </c>
      <c r="H645" s="7"/>
      <c r="I645" s="7"/>
      <c r="J645" s="7" t="s">
        <v>36</v>
      </c>
      <c r="K645" s="7" t="s">
        <v>457</v>
      </c>
      <c r="L645" s="7" t="s">
        <v>458</v>
      </c>
      <c r="M645" s="7" t="s">
        <v>459</v>
      </c>
      <c r="N645" s="7" t="s">
        <v>33</v>
      </c>
      <c r="O645" s="7">
        <v>1</v>
      </c>
      <c r="P645" s="7" t="s">
        <v>40</v>
      </c>
      <c r="Q645" s="7">
        <v>79.99</v>
      </c>
      <c r="R645" s="7"/>
      <c r="S645" s="7"/>
      <c r="T645" s="7"/>
      <c r="U645" s="7"/>
      <c r="V645" s="7"/>
      <c r="W645" s="7"/>
      <c r="X645" s="7"/>
      <c r="Y645" s="7" t="s">
        <v>3237</v>
      </c>
      <c r="Z645" s="7" t="s">
        <v>484</v>
      </c>
      <c r="AA645" s="7" t="s">
        <v>3238</v>
      </c>
      <c r="AB645" s="7" t="s">
        <v>44</v>
      </c>
      <c r="AC645" s="7"/>
      <c r="AD645" s="10"/>
      <c r="AE645" s="10"/>
      <c r="AF645" s="10"/>
      <c r="AG645" s="11">
        <f t="shared" si="10"/>
        <v>43277</v>
      </c>
    </row>
    <row r="646" s="8" customFormat="1" spans="1:33">
      <c r="A646" s="7" t="s">
        <v>3239</v>
      </c>
      <c r="B646" s="7" t="s">
        <v>3239</v>
      </c>
      <c r="C646" s="7" t="s">
        <v>3240</v>
      </c>
      <c r="D646" s="7" t="s">
        <v>3241</v>
      </c>
      <c r="E646" s="7" t="s">
        <v>33</v>
      </c>
      <c r="F646" s="7" t="s">
        <v>34</v>
      </c>
      <c r="G646" s="7" t="s">
        <v>35</v>
      </c>
      <c r="H646" s="7"/>
      <c r="I646" s="7"/>
      <c r="J646" s="7" t="s">
        <v>36</v>
      </c>
      <c r="K646" s="7" t="s">
        <v>79</v>
      </c>
      <c r="L646" s="7" t="s">
        <v>80</v>
      </c>
      <c r="M646" s="7" t="s">
        <v>81</v>
      </c>
      <c r="N646" s="7" t="s">
        <v>33</v>
      </c>
      <c r="O646" s="7">
        <v>1</v>
      </c>
      <c r="P646" s="7" t="s">
        <v>40</v>
      </c>
      <c r="Q646" s="7">
        <v>91.99</v>
      </c>
      <c r="R646" s="7"/>
      <c r="S646" s="7"/>
      <c r="T646" s="7"/>
      <c r="U646" s="7"/>
      <c r="V646" s="7"/>
      <c r="W646" s="7"/>
      <c r="X646" s="7"/>
      <c r="Y646" s="7" t="s">
        <v>216</v>
      </c>
      <c r="Z646" s="7" t="s">
        <v>83</v>
      </c>
      <c r="AA646" s="7" t="s">
        <v>3242</v>
      </c>
      <c r="AB646" s="7" t="s">
        <v>44</v>
      </c>
      <c r="AC646" s="7"/>
      <c r="AD646" s="10"/>
      <c r="AE646" s="10"/>
      <c r="AF646" s="10"/>
      <c r="AG646" s="11">
        <f t="shared" si="10"/>
        <v>43277</v>
      </c>
    </row>
    <row r="647" s="8" customFormat="1" spans="1:33">
      <c r="A647" s="7" t="s">
        <v>3243</v>
      </c>
      <c r="B647" s="7" t="s">
        <v>3243</v>
      </c>
      <c r="C647" s="7" t="s">
        <v>3244</v>
      </c>
      <c r="D647" s="7" t="s">
        <v>3245</v>
      </c>
      <c r="E647" s="7" t="s">
        <v>33</v>
      </c>
      <c r="F647" s="7" t="s">
        <v>34</v>
      </c>
      <c r="G647" s="7" t="s">
        <v>35</v>
      </c>
      <c r="H647" s="7"/>
      <c r="I647" s="7"/>
      <c r="J647" s="7" t="s">
        <v>36</v>
      </c>
      <c r="K647" s="7" t="s">
        <v>2376</v>
      </c>
      <c r="L647" s="7" t="s">
        <v>2377</v>
      </c>
      <c r="M647" s="7" t="s">
        <v>2378</v>
      </c>
      <c r="N647" s="7" t="s">
        <v>33</v>
      </c>
      <c r="O647" s="7">
        <v>1</v>
      </c>
      <c r="P647" s="7" t="s">
        <v>40</v>
      </c>
      <c r="Q647" s="7">
        <v>79.99</v>
      </c>
      <c r="R647" s="7">
        <v>4.8</v>
      </c>
      <c r="S647" s="7"/>
      <c r="T647" s="7"/>
      <c r="U647" s="7"/>
      <c r="V647" s="7"/>
      <c r="W647" s="7"/>
      <c r="X647" s="7"/>
      <c r="Y647" s="7" t="s">
        <v>3246</v>
      </c>
      <c r="Z647" s="7" t="s">
        <v>880</v>
      </c>
      <c r="AA647" s="7" t="s">
        <v>3247</v>
      </c>
      <c r="AB647" s="7" t="s">
        <v>44</v>
      </c>
      <c r="AC647" s="7"/>
      <c r="AD647" s="10"/>
      <c r="AE647" s="10"/>
      <c r="AF647" s="10"/>
      <c r="AG647" s="11">
        <f t="shared" si="10"/>
        <v>43277</v>
      </c>
    </row>
    <row r="648" s="8" customFormat="1" spans="1:33">
      <c r="A648" s="7" t="s">
        <v>3248</v>
      </c>
      <c r="B648" s="7" t="s">
        <v>3248</v>
      </c>
      <c r="C648" s="7" t="s">
        <v>3249</v>
      </c>
      <c r="D648" s="7" t="s">
        <v>3250</v>
      </c>
      <c r="E648" s="7" t="s">
        <v>33</v>
      </c>
      <c r="F648" s="7" t="s">
        <v>34</v>
      </c>
      <c r="G648" s="7" t="s">
        <v>35</v>
      </c>
      <c r="H648" s="7"/>
      <c r="I648" s="7"/>
      <c r="J648" s="7" t="s">
        <v>36</v>
      </c>
      <c r="K648" s="7" t="s">
        <v>3251</v>
      </c>
      <c r="L648" s="7" t="s">
        <v>3252</v>
      </c>
      <c r="M648" s="7" t="s">
        <v>3253</v>
      </c>
      <c r="N648" s="7" t="s">
        <v>33</v>
      </c>
      <c r="O648" s="7">
        <v>1</v>
      </c>
      <c r="P648" s="7" t="s">
        <v>40</v>
      </c>
      <c r="Q648" s="7">
        <v>23.99</v>
      </c>
      <c r="R648" s="7"/>
      <c r="S648" s="7"/>
      <c r="T648" s="7"/>
      <c r="U648" s="7"/>
      <c r="V648" s="7"/>
      <c r="W648" s="7"/>
      <c r="X648" s="7"/>
      <c r="Y648" s="7" t="s">
        <v>3254</v>
      </c>
      <c r="Z648" s="7" t="s">
        <v>723</v>
      </c>
      <c r="AA648" s="7" t="s">
        <v>3255</v>
      </c>
      <c r="AB648" s="7" t="s">
        <v>44</v>
      </c>
      <c r="AC648" s="7"/>
      <c r="AD648" s="10"/>
      <c r="AE648" s="10"/>
      <c r="AF648" s="10"/>
      <c r="AG648" s="11">
        <f t="shared" si="10"/>
        <v>43277</v>
      </c>
    </row>
    <row r="649" s="8" customFormat="1" spans="1:33">
      <c r="A649" s="7" t="s">
        <v>3256</v>
      </c>
      <c r="B649" s="7" t="s">
        <v>3256</v>
      </c>
      <c r="C649" s="7" t="s">
        <v>3257</v>
      </c>
      <c r="D649" s="7" t="s">
        <v>3258</v>
      </c>
      <c r="E649" s="7" t="s">
        <v>33</v>
      </c>
      <c r="F649" s="7" t="s">
        <v>34</v>
      </c>
      <c r="G649" s="7" t="s">
        <v>35</v>
      </c>
      <c r="H649" s="7"/>
      <c r="I649" s="7"/>
      <c r="J649" s="7" t="s">
        <v>36</v>
      </c>
      <c r="K649" s="7" t="s">
        <v>3058</v>
      </c>
      <c r="L649" s="7" t="s">
        <v>3059</v>
      </c>
      <c r="M649" s="7" t="s">
        <v>3060</v>
      </c>
      <c r="N649" s="7" t="s">
        <v>33</v>
      </c>
      <c r="O649" s="7">
        <v>1</v>
      </c>
      <c r="P649" s="7" t="s">
        <v>40</v>
      </c>
      <c r="Q649" s="7">
        <v>79.99</v>
      </c>
      <c r="R649" s="7"/>
      <c r="S649" s="7"/>
      <c r="T649" s="7"/>
      <c r="U649" s="7"/>
      <c r="V649" s="7"/>
      <c r="W649" s="7"/>
      <c r="X649" s="7"/>
      <c r="Y649" s="7" t="s">
        <v>1983</v>
      </c>
      <c r="Z649" s="7" t="s">
        <v>1342</v>
      </c>
      <c r="AA649" s="7" t="s">
        <v>3259</v>
      </c>
      <c r="AB649" s="7" t="s">
        <v>44</v>
      </c>
      <c r="AC649" s="7"/>
      <c r="AD649" s="10"/>
      <c r="AE649" s="10"/>
      <c r="AF649" s="10"/>
      <c r="AG649" s="11">
        <f t="shared" si="10"/>
        <v>43277</v>
      </c>
    </row>
    <row r="650" s="8" customFormat="1" spans="1:33">
      <c r="A650" s="7" t="s">
        <v>3260</v>
      </c>
      <c r="B650" s="7" t="s">
        <v>3260</v>
      </c>
      <c r="C650" s="7" t="s">
        <v>3261</v>
      </c>
      <c r="D650" s="7" t="s">
        <v>3262</v>
      </c>
      <c r="E650" s="7" t="s">
        <v>54</v>
      </c>
      <c r="F650" s="7" t="s">
        <v>34</v>
      </c>
      <c r="G650" s="7" t="s">
        <v>35</v>
      </c>
      <c r="H650" s="7"/>
      <c r="I650" s="7"/>
      <c r="J650" s="7" t="s">
        <v>69</v>
      </c>
      <c r="K650" s="7" t="s">
        <v>123</v>
      </c>
      <c r="L650" s="7" t="s">
        <v>124</v>
      </c>
      <c r="M650" s="7" t="s">
        <v>125</v>
      </c>
      <c r="N650" s="7" t="s">
        <v>54</v>
      </c>
      <c r="O650" s="7">
        <v>0</v>
      </c>
      <c r="P650" s="7"/>
      <c r="Q650" s="7"/>
      <c r="R650" s="7"/>
      <c r="S650" s="7"/>
      <c r="T650" s="7"/>
      <c r="U650" s="7"/>
      <c r="V650" s="7"/>
      <c r="W650" s="7"/>
      <c r="X650" s="7"/>
      <c r="Y650" s="7" t="s">
        <v>3263</v>
      </c>
      <c r="Z650" s="7" t="s">
        <v>446</v>
      </c>
      <c r="AA650" s="7" t="s">
        <v>3264</v>
      </c>
      <c r="AB650" s="7" t="s">
        <v>44</v>
      </c>
      <c r="AC650" s="7"/>
      <c r="AD650" s="10"/>
      <c r="AE650" s="10"/>
      <c r="AF650" s="10"/>
      <c r="AG650" s="11">
        <f t="shared" si="10"/>
        <v>43277</v>
      </c>
    </row>
    <row r="651" s="8" customFormat="1" spans="1:33">
      <c r="A651" s="7" t="s">
        <v>3265</v>
      </c>
      <c r="B651" s="7" t="s">
        <v>3265</v>
      </c>
      <c r="C651" s="7" t="s">
        <v>3266</v>
      </c>
      <c r="D651" s="7" t="s">
        <v>3267</v>
      </c>
      <c r="E651" s="7" t="s">
        <v>33</v>
      </c>
      <c r="F651" s="7" t="s">
        <v>34</v>
      </c>
      <c r="G651" s="7" t="s">
        <v>35</v>
      </c>
      <c r="H651" s="7"/>
      <c r="I651" s="7"/>
      <c r="J651" s="7" t="s">
        <v>36</v>
      </c>
      <c r="K651" s="7" t="s">
        <v>1042</v>
      </c>
      <c r="L651" s="7" t="s">
        <v>1043</v>
      </c>
      <c r="M651" s="7" t="s">
        <v>1044</v>
      </c>
      <c r="N651" s="7" t="s">
        <v>33</v>
      </c>
      <c r="O651" s="7">
        <v>1</v>
      </c>
      <c r="P651" s="7" t="s">
        <v>40</v>
      </c>
      <c r="Q651" s="7">
        <v>79.99</v>
      </c>
      <c r="R651" s="7"/>
      <c r="S651" s="7"/>
      <c r="T651" s="7"/>
      <c r="U651" s="7"/>
      <c r="V651" s="7"/>
      <c r="W651" s="7"/>
      <c r="X651" s="7"/>
      <c r="Y651" s="7" t="s">
        <v>3268</v>
      </c>
      <c r="Z651" s="7" t="s">
        <v>293</v>
      </c>
      <c r="AA651" s="7" t="s">
        <v>3269</v>
      </c>
      <c r="AB651" s="7" t="s">
        <v>44</v>
      </c>
      <c r="AC651" s="7"/>
      <c r="AD651" s="10"/>
      <c r="AE651" s="10"/>
      <c r="AF651" s="10"/>
      <c r="AG651" s="11">
        <f t="shared" si="10"/>
        <v>43277</v>
      </c>
    </row>
    <row r="652" s="8" customFormat="1" spans="1:33">
      <c r="A652" s="7" t="s">
        <v>3270</v>
      </c>
      <c r="B652" s="7" t="s">
        <v>3270</v>
      </c>
      <c r="C652" s="7" t="s">
        <v>3271</v>
      </c>
      <c r="D652" s="7" t="s">
        <v>3272</v>
      </c>
      <c r="E652" s="7" t="s">
        <v>33</v>
      </c>
      <c r="F652" s="7" t="s">
        <v>34</v>
      </c>
      <c r="G652" s="7" t="s">
        <v>35</v>
      </c>
      <c r="H652" s="7"/>
      <c r="I652" s="7"/>
      <c r="J652" s="7" t="s">
        <v>58</v>
      </c>
      <c r="K652" s="7" t="s">
        <v>70</v>
      </c>
      <c r="L652" s="7" t="s">
        <v>71</v>
      </c>
      <c r="M652" s="7" t="s">
        <v>72</v>
      </c>
      <c r="N652" s="7" t="s">
        <v>33</v>
      </c>
      <c r="O652" s="7">
        <v>1</v>
      </c>
      <c r="P652" s="7" t="s">
        <v>40</v>
      </c>
      <c r="Q652" s="7">
        <v>79.99</v>
      </c>
      <c r="R652" s="7"/>
      <c r="S652" s="7">
        <v>6.99</v>
      </c>
      <c r="T652" s="7"/>
      <c r="U652" s="7"/>
      <c r="V652" s="7"/>
      <c r="W652" s="7"/>
      <c r="X652" s="7"/>
      <c r="Y652" s="7" t="s">
        <v>3273</v>
      </c>
      <c r="Z652" s="7" t="s">
        <v>580</v>
      </c>
      <c r="AA652" s="7">
        <v>5602</v>
      </c>
      <c r="AB652" s="7" t="s">
        <v>44</v>
      </c>
      <c r="AC652" s="7"/>
      <c r="AD652" s="10"/>
      <c r="AE652" s="10"/>
      <c r="AF652" s="10"/>
      <c r="AG652" s="11">
        <f t="shared" si="10"/>
        <v>43277</v>
      </c>
    </row>
    <row r="653" s="8" customFormat="1" spans="1:33">
      <c r="A653" s="7" t="s">
        <v>3274</v>
      </c>
      <c r="B653" s="7" t="s">
        <v>3274</v>
      </c>
      <c r="C653" s="7" t="s">
        <v>3275</v>
      </c>
      <c r="D653" s="7" t="s">
        <v>3276</v>
      </c>
      <c r="E653" s="7" t="s">
        <v>33</v>
      </c>
      <c r="F653" s="7" t="s">
        <v>34</v>
      </c>
      <c r="G653" s="7" t="s">
        <v>35</v>
      </c>
      <c r="H653" s="7"/>
      <c r="I653" s="7"/>
      <c r="J653" s="7" t="s">
        <v>58</v>
      </c>
      <c r="K653" s="7" t="s">
        <v>2310</v>
      </c>
      <c r="L653" s="7" t="s">
        <v>3277</v>
      </c>
      <c r="M653" s="7" t="s">
        <v>2312</v>
      </c>
      <c r="N653" s="7" t="s">
        <v>33</v>
      </c>
      <c r="O653" s="7">
        <v>1</v>
      </c>
      <c r="P653" s="7" t="s">
        <v>40</v>
      </c>
      <c r="Q653" s="7">
        <v>89.99</v>
      </c>
      <c r="R653" s="7"/>
      <c r="S653" s="7">
        <v>5.99</v>
      </c>
      <c r="T653" s="7"/>
      <c r="U653" s="7"/>
      <c r="V653" s="7"/>
      <c r="W653" s="7"/>
      <c r="X653" s="7"/>
      <c r="Y653" s="7" t="s">
        <v>3154</v>
      </c>
      <c r="Z653" s="7" t="s">
        <v>466</v>
      </c>
      <c r="AA653" s="7" t="s">
        <v>3155</v>
      </c>
      <c r="AB653" s="7" t="s">
        <v>44</v>
      </c>
      <c r="AC653" s="7"/>
      <c r="AD653" s="10"/>
      <c r="AE653" s="10"/>
      <c r="AF653" s="10"/>
      <c r="AG653" s="11">
        <f t="shared" si="10"/>
        <v>43277</v>
      </c>
    </row>
    <row r="654" s="8" customFormat="1" spans="1:33">
      <c r="A654" s="7" t="s">
        <v>3278</v>
      </c>
      <c r="B654" s="7" t="s">
        <v>3278</v>
      </c>
      <c r="C654" s="7" t="s">
        <v>3279</v>
      </c>
      <c r="D654" s="7" t="s">
        <v>3280</v>
      </c>
      <c r="E654" s="7" t="s">
        <v>33</v>
      </c>
      <c r="F654" s="7" t="s">
        <v>34</v>
      </c>
      <c r="G654" s="7" t="s">
        <v>35</v>
      </c>
      <c r="H654" s="7"/>
      <c r="I654" s="7"/>
      <c r="J654" s="7" t="s">
        <v>36</v>
      </c>
      <c r="K654" s="7" t="s">
        <v>1772</v>
      </c>
      <c r="L654" s="7" t="s">
        <v>1773</v>
      </c>
      <c r="M654" s="7" t="s">
        <v>1774</v>
      </c>
      <c r="N654" s="7" t="s">
        <v>33</v>
      </c>
      <c r="O654" s="7">
        <v>1</v>
      </c>
      <c r="P654" s="7" t="s">
        <v>40</v>
      </c>
      <c r="Q654" s="7">
        <v>89.99</v>
      </c>
      <c r="R654" s="7"/>
      <c r="S654" s="7"/>
      <c r="T654" s="7"/>
      <c r="U654" s="7"/>
      <c r="V654" s="7"/>
      <c r="W654" s="7"/>
      <c r="X654" s="7"/>
      <c r="Y654" s="7" t="s">
        <v>3281</v>
      </c>
      <c r="Z654" s="7" t="s">
        <v>440</v>
      </c>
      <c r="AA654" s="7" t="s">
        <v>3282</v>
      </c>
      <c r="AB654" s="7" t="s">
        <v>44</v>
      </c>
      <c r="AC654" s="7"/>
      <c r="AD654" s="10"/>
      <c r="AE654" s="10"/>
      <c r="AF654" s="10"/>
      <c r="AG654" s="11">
        <f t="shared" si="10"/>
        <v>43277</v>
      </c>
    </row>
    <row r="655" s="8" customFormat="1" spans="1:33">
      <c r="A655" s="7" t="s">
        <v>3283</v>
      </c>
      <c r="B655" s="7" t="s">
        <v>3283</v>
      </c>
      <c r="C655" s="7" t="s">
        <v>3284</v>
      </c>
      <c r="D655" s="7" t="s">
        <v>3285</v>
      </c>
      <c r="E655" s="7" t="s">
        <v>33</v>
      </c>
      <c r="F655" s="7" t="s">
        <v>34</v>
      </c>
      <c r="G655" s="7" t="s">
        <v>35</v>
      </c>
      <c r="H655" s="7"/>
      <c r="I655" s="7"/>
      <c r="J655" s="7" t="s">
        <v>36</v>
      </c>
      <c r="K655" s="7" t="s">
        <v>312</v>
      </c>
      <c r="L655" s="7" t="s">
        <v>313</v>
      </c>
      <c r="M655" s="7" t="s">
        <v>314</v>
      </c>
      <c r="N655" s="7" t="s">
        <v>33</v>
      </c>
      <c r="O655" s="7">
        <v>1</v>
      </c>
      <c r="P655" s="7" t="s">
        <v>40</v>
      </c>
      <c r="Q655" s="7">
        <v>37.99</v>
      </c>
      <c r="R655" s="7"/>
      <c r="S655" s="7"/>
      <c r="T655" s="7"/>
      <c r="U655" s="7"/>
      <c r="V655" s="7"/>
      <c r="W655" s="7"/>
      <c r="X655" s="7"/>
      <c r="Y655" s="7" t="s">
        <v>3286</v>
      </c>
      <c r="Z655" s="7" t="s">
        <v>452</v>
      </c>
      <c r="AA655" s="7">
        <v>52336</v>
      </c>
      <c r="AB655" s="7" t="s">
        <v>44</v>
      </c>
      <c r="AC655" s="7"/>
      <c r="AD655" s="10"/>
      <c r="AE655" s="10"/>
      <c r="AF655" s="10"/>
      <c r="AG655" s="11">
        <f t="shared" si="10"/>
        <v>43277</v>
      </c>
    </row>
    <row r="656" s="8" customFormat="1" spans="1:33">
      <c r="A656" s="7" t="s">
        <v>3287</v>
      </c>
      <c r="B656" s="7" t="s">
        <v>3287</v>
      </c>
      <c r="C656" s="7" t="s">
        <v>3288</v>
      </c>
      <c r="D656" s="7" t="s">
        <v>3289</v>
      </c>
      <c r="E656" s="7" t="s">
        <v>33</v>
      </c>
      <c r="F656" s="7" t="s">
        <v>34</v>
      </c>
      <c r="G656" s="7" t="s">
        <v>35</v>
      </c>
      <c r="H656" s="7"/>
      <c r="I656" s="7"/>
      <c r="J656" s="7" t="s">
        <v>69</v>
      </c>
      <c r="K656" s="7" t="s">
        <v>3290</v>
      </c>
      <c r="L656" s="7" t="s">
        <v>3291</v>
      </c>
      <c r="M656" s="7" t="s">
        <v>3292</v>
      </c>
      <c r="N656" s="7" t="s">
        <v>33</v>
      </c>
      <c r="O656" s="7">
        <v>1</v>
      </c>
      <c r="P656" s="7" t="s">
        <v>40</v>
      </c>
      <c r="Q656" s="7">
        <v>79.6</v>
      </c>
      <c r="R656" s="7"/>
      <c r="S656" s="7">
        <v>8.71</v>
      </c>
      <c r="T656" s="7"/>
      <c r="U656" s="7"/>
      <c r="V656" s="7"/>
      <c r="W656" s="7"/>
      <c r="X656" s="7"/>
      <c r="Y656" s="7" t="s">
        <v>3293</v>
      </c>
      <c r="Z656" s="7" t="s">
        <v>52</v>
      </c>
      <c r="AA656" s="7" t="s">
        <v>3294</v>
      </c>
      <c r="AB656" s="7" t="s">
        <v>44</v>
      </c>
      <c r="AC656" s="7"/>
      <c r="AD656" s="10"/>
      <c r="AE656" s="10"/>
      <c r="AF656" s="10"/>
      <c r="AG656" s="11">
        <f t="shared" si="10"/>
        <v>43277</v>
      </c>
    </row>
    <row r="657" s="8" customFormat="1" spans="1:33">
      <c r="A657" s="7" t="s">
        <v>3295</v>
      </c>
      <c r="B657" s="7" t="s">
        <v>3295</v>
      </c>
      <c r="C657" s="7" t="s">
        <v>3296</v>
      </c>
      <c r="D657" s="7" t="s">
        <v>3297</v>
      </c>
      <c r="E657" s="7" t="s">
        <v>33</v>
      </c>
      <c r="F657" s="7" t="s">
        <v>34</v>
      </c>
      <c r="G657" s="7" t="s">
        <v>35</v>
      </c>
      <c r="H657" s="7"/>
      <c r="I657" s="7"/>
      <c r="J657" s="7" t="s">
        <v>36</v>
      </c>
      <c r="K657" s="7" t="s">
        <v>660</v>
      </c>
      <c r="L657" s="7" t="s">
        <v>661</v>
      </c>
      <c r="M657" s="7" t="s">
        <v>662</v>
      </c>
      <c r="N657" s="7" t="s">
        <v>33</v>
      </c>
      <c r="O657" s="7">
        <v>1</v>
      </c>
      <c r="P657" s="7" t="s">
        <v>40</v>
      </c>
      <c r="Q657" s="7">
        <v>79.99</v>
      </c>
      <c r="R657" s="7"/>
      <c r="S657" s="7"/>
      <c r="T657" s="7"/>
      <c r="U657" s="7"/>
      <c r="V657" s="7"/>
      <c r="W657" s="7"/>
      <c r="X657" s="7"/>
      <c r="Y657" s="7" t="s">
        <v>3298</v>
      </c>
      <c r="Z657" s="7" t="s">
        <v>83</v>
      </c>
      <c r="AA657" s="7">
        <v>91011</v>
      </c>
      <c r="AB657" s="7" t="s">
        <v>44</v>
      </c>
      <c r="AC657" s="7"/>
      <c r="AD657" s="10"/>
      <c r="AE657" s="10"/>
      <c r="AF657" s="10"/>
      <c r="AG657" s="11">
        <f t="shared" si="10"/>
        <v>43277</v>
      </c>
    </row>
    <row r="658" s="8" customFormat="1" spans="1:33">
      <c r="A658" s="7" t="s">
        <v>3299</v>
      </c>
      <c r="B658" s="7" t="s">
        <v>3299</v>
      </c>
      <c r="C658" s="7" t="s">
        <v>3300</v>
      </c>
      <c r="D658" s="7" t="s">
        <v>3301</v>
      </c>
      <c r="E658" s="7" t="s">
        <v>54</v>
      </c>
      <c r="F658" s="7" t="s">
        <v>34</v>
      </c>
      <c r="G658" s="7" t="s">
        <v>35</v>
      </c>
      <c r="H658" s="7"/>
      <c r="I658" s="7"/>
      <c r="J658" s="7" t="s">
        <v>36</v>
      </c>
      <c r="K658" s="7" t="s">
        <v>3302</v>
      </c>
      <c r="L658" s="7" t="s">
        <v>3303</v>
      </c>
      <c r="M658" s="7" t="s">
        <v>3304</v>
      </c>
      <c r="N658" s="7" t="s">
        <v>62</v>
      </c>
      <c r="O658" s="7">
        <v>1</v>
      </c>
      <c r="P658" s="7" t="s">
        <v>40</v>
      </c>
      <c r="Q658" s="7">
        <v>16.99</v>
      </c>
      <c r="R658" s="7"/>
      <c r="S658" s="7"/>
      <c r="T658" s="7"/>
      <c r="U658" s="7"/>
      <c r="V658" s="7"/>
      <c r="W658" s="7"/>
      <c r="X658" s="7"/>
      <c r="Y658" s="7" t="s">
        <v>1395</v>
      </c>
      <c r="Z658" s="7" t="s">
        <v>400</v>
      </c>
      <c r="AA658" s="7">
        <v>77021</v>
      </c>
      <c r="AB658" s="7" t="s">
        <v>44</v>
      </c>
      <c r="AC658" s="7"/>
      <c r="AD658" s="10"/>
      <c r="AE658" s="10"/>
      <c r="AF658" s="10"/>
      <c r="AG658" s="11">
        <f t="shared" si="10"/>
        <v>43277</v>
      </c>
    </row>
    <row r="659" s="8" customFormat="1" spans="1:33">
      <c r="A659" s="7" t="s">
        <v>3305</v>
      </c>
      <c r="B659" s="7" t="s">
        <v>3305</v>
      </c>
      <c r="C659" s="7" t="s">
        <v>3306</v>
      </c>
      <c r="D659" s="7" t="s">
        <v>3307</v>
      </c>
      <c r="E659" s="7" t="s">
        <v>33</v>
      </c>
      <c r="F659" s="7" t="s">
        <v>34</v>
      </c>
      <c r="G659" s="7" t="s">
        <v>35</v>
      </c>
      <c r="H659" s="7"/>
      <c r="I659" s="7"/>
      <c r="J659" s="7" t="s">
        <v>69</v>
      </c>
      <c r="K659" s="7" t="s">
        <v>2035</v>
      </c>
      <c r="L659" s="7" t="s">
        <v>89</v>
      </c>
      <c r="M659" s="7" t="s">
        <v>90</v>
      </c>
      <c r="N659" s="7" t="s">
        <v>33</v>
      </c>
      <c r="O659" s="7">
        <v>1</v>
      </c>
      <c r="P659" s="7" t="s">
        <v>40</v>
      </c>
      <c r="Q659" s="7">
        <v>89.99</v>
      </c>
      <c r="R659" s="7"/>
      <c r="S659" s="7">
        <v>2.27</v>
      </c>
      <c r="T659" s="7"/>
      <c r="U659" s="7"/>
      <c r="V659" s="7"/>
      <c r="W659" s="7"/>
      <c r="X659" s="7"/>
      <c r="Y659" s="7" t="s">
        <v>3308</v>
      </c>
      <c r="Z659" s="7" t="s">
        <v>52</v>
      </c>
      <c r="AA659" s="7" t="s">
        <v>3309</v>
      </c>
      <c r="AB659" s="7" t="s">
        <v>44</v>
      </c>
      <c r="AC659" s="7"/>
      <c r="AD659" s="10"/>
      <c r="AE659" s="10"/>
      <c r="AF659" s="10"/>
      <c r="AG659" s="11">
        <f t="shared" si="10"/>
        <v>43277</v>
      </c>
    </row>
    <row r="660" s="8" customFormat="1" spans="1:33">
      <c r="A660" s="7" t="s">
        <v>3310</v>
      </c>
      <c r="B660" s="7" t="s">
        <v>3310</v>
      </c>
      <c r="C660" s="7" t="s">
        <v>3311</v>
      </c>
      <c r="D660" s="7" t="s">
        <v>3312</v>
      </c>
      <c r="E660" s="7" t="s">
        <v>33</v>
      </c>
      <c r="F660" s="7" t="s">
        <v>34</v>
      </c>
      <c r="G660" s="7" t="s">
        <v>35</v>
      </c>
      <c r="H660" s="7"/>
      <c r="I660" s="7"/>
      <c r="J660" s="7" t="s">
        <v>36</v>
      </c>
      <c r="K660" s="7" t="s">
        <v>477</v>
      </c>
      <c r="L660" s="7" t="s">
        <v>478</v>
      </c>
      <c r="M660" s="7" t="s">
        <v>479</v>
      </c>
      <c r="N660" s="7" t="s">
        <v>33</v>
      </c>
      <c r="O660" s="7">
        <v>1</v>
      </c>
      <c r="P660" s="7" t="s">
        <v>40</v>
      </c>
      <c r="Q660" s="7">
        <v>94.6</v>
      </c>
      <c r="R660" s="7"/>
      <c r="S660" s="7"/>
      <c r="T660" s="7"/>
      <c r="U660" s="7"/>
      <c r="V660" s="7"/>
      <c r="W660" s="7"/>
      <c r="X660" s="7"/>
      <c r="Y660" s="7" t="s">
        <v>3313</v>
      </c>
      <c r="Z660" s="7" t="s">
        <v>3314</v>
      </c>
      <c r="AA660" s="7">
        <v>73072</v>
      </c>
      <c r="AB660" s="7" t="s">
        <v>44</v>
      </c>
      <c r="AC660" s="7"/>
      <c r="AD660" s="10"/>
      <c r="AE660" s="10"/>
      <c r="AF660" s="10"/>
      <c r="AG660" s="11">
        <f t="shared" si="10"/>
        <v>43277</v>
      </c>
    </row>
    <row r="661" s="8" customFormat="1" spans="1:33">
      <c r="A661" s="7" t="s">
        <v>3315</v>
      </c>
      <c r="B661" s="7" t="s">
        <v>3315</v>
      </c>
      <c r="C661" s="7" t="s">
        <v>3316</v>
      </c>
      <c r="D661" s="7" t="s">
        <v>3317</v>
      </c>
      <c r="E661" s="7" t="s">
        <v>33</v>
      </c>
      <c r="F661" s="7" t="s">
        <v>34</v>
      </c>
      <c r="G661" s="7" t="s">
        <v>35</v>
      </c>
      <c r="H661" s="7"/>
      <c r="I661" s="7"/>
      <c r="J661" s="7" t="s">
        <v>36</v>
      </c>
      <c r="K661" s="7" t="s">
        <v>164</v>
      </c>
      <c r="L661" s="7" t="s">
        <v>165</v>
      </c>
      <c r="M661" s="7" t="s">
        <v>166</v>
      </c>
      <c r="N661" s="7" t="s">
        <v>33</v>
      </c>
      <c r="O661" s="7">
        <v>1</v>
      </c>
      <c r="P661" s="7" t="s">
        <v>40</v>
      </c>
      <c r="Q661" s="7">
        <v>21.99</v>
      </c>
      <c r="R661" s="7"/>
      <c r="S661" s="7"/>
      <c r="T661" s="7"/>
      <c r="U661" s="7"/>
      <c r="V661" s="7"/>
      <c r="W661" s="7">
        <v>21.77</v>
      </c>
      <c r="X661" s="7"/>
      <c r="Y661" s="7" t="s">
        <v>2568</v>
      </c>
      <c r="Z661" s="7" t="s">
        <v>83</v>
      </c>
      <c r="AA661" s="7" t="s">
        <v>3318</v>
      </c>
      <c r="AB661" s="7" t="s">
        <v>44</v>
      </c>
      <c r="AC661" s="7" t="s">
        <v>209</v>
      </c>
      <c r="AD661" s="10"/>
      <c r="AE661" s="10"/>
      <c r="AF661" s="10"/>
      <c r="AG661" s="11">
        <f t="shared" si="10"/>
        <v>43277</v>
      </c>
    </row>
    <row r="662" s="8" customFormat="1" spans="1:33">
      <c r="A662" s="7" t="s">
        <v>3319</v>
      </c>
      <c r="B662" s="7" t="s">
        <v>3319</v>
      </c>
      <c r="C662" s="7" t="s">
        <v>3320</v>
      </c>
      <c r="D662" s="7" t="s">
        <v>3321</v>
      </c>
      <c r="E662" s="7" t="s">
        <v>33</v>
      </c>
      <c r="F662" s="7" t="s">
        <v>34</v>
      </c>
      <c r="G662" s="7" t="s">
        <v>35</v>
      </c>
      <c r="H662" s="7"/>
      <c r="I662" s="7"/>
      <c r="J662" s="7" t="s">
        <v>36</v>
      </c>
      <c r="K662" s="7" t="s">
        <v>70</v>
      </c>
      <c r="L662" s="7" t="s">
        <v>71</v>
      </c>
      <c r="M662" s="7" t="s">
        <v>72</v>
      </c>
      <c r="N662" s="7" t="s">
        <v>33</v>
      </c>
      <c r="O662" s="7">
        <v>1</v>
      </c>
      <c r="P662" s="7" t="s">
        <v>40</v>
      </c>
      <c r="Q662" s="7">
        <v>79.99</v>
      </c>
      <c r="R662" s="7"/>
      <c r="S662" s="7"/>
      <c r="T662" s="7"/>
      <c r="U662" s="7"/>
      <c r="V662" s="7"/>
      <c r="W662" s="7"/>
      <c r="X662" s="7"/>
      <c r="Y662" s="7" t="s">
        <v>3322</v>
      </c>
      <c r="Z662" s="7" t="s">
        <v>135</v>
      </c>
      <c r="AA662" s="7" t="s">
        <v>3323</v>
      </c>
      <c r="AB662" s="7" t="s">
        <v>44</v>
      </c>
      <c r="AC662" s="7"/>
      <c r="AD662" s="10"/>
      <c r="AE662" s="10"/>
      <c r="AF662" s="10"/>
      <c r="AG662" s="11">
        <f t="shared" si="10"/>
        <v>43277</v>
      </c>
    </row>
    <row r="663" s="8" customFormat="1" spans="1:33">
      <c r="A663" s="7" t="s">
        <v>3324</v>
      </c>
      <c r="B663" s="7" t="s">
        <v>3324</v>
      </c>
      <c r="C663" s="7" t="s">
        <v>3325</v>
      </c>
      <c r="D663" s="7" t="s">
        <v>3326</v>
      </c>
      <c r="E663" s="7" t="s">
        <v>33</v>
      </c>
      <c r="F663" s="7" t="s">
        <v>34</v>
      </c>
      <c r="G663" s="7" t="s">
        <v>35</v>
      </c>
      <c r="H663" s="7"/>
      <c r="I663" s="7"/>
      <c r="J663" s="7" t="s">
        <v>36</v>
      </c>
      <c r="K663" s="7" t="s">
        <v>2625</v>
      </c>
      <c r="L663" s="7" t="s">
        <v>2626</v>
      </c>
      <c r="M663" s="7" t="s">
        <v>2627</v>
      </c>
      <c r="N663" s="7" t="s">
        <v>33</v>
      </c>
      <c r="O663" s="7">
        <v>1</v>
      </c>
      <c r="P663" s="7" t="s">
        <v>40</v>
      </c>
      <c r="Q663" s="7">
        <v>26.99</v>
      </c>
      <c r="R663" s="7"/>
      <c r="S663" s="7"/>
      <c r="T663" s="7"/>
      <c r="U663" s="7">
        <v>3.99</v>
      </c>
      <c r="V663" s="7"/>
      <c r="W663" s="7"/>
      <c r="X663" s="7"/>
      <c r="Y663" s="7" t="s">
        <v>3327</v>
      </c>
      <c r="Z663" s="7" t="s">
        <v>440</v>
      </c>
      <c r="AA663" s="7" t="s">
        <v>3328</v>
      </c>
      <c r="AB663" s="7" t="s">
        <v>44</v>
      </c>
      <c r="AC663" s="7"/>
      <c r="AD663" s="10"/>
      <c r="AE663" s="10"/>
      <c r="AF663" s="10"/>
      <c r="AG663" s="11">
        <f t="shared" si="10"/>
        <v>43277</v>
      </c>
    </row>
    <row r="664" s="8" customFormat="1" spans="1:33">
      <c r="A664" s="7" t="s">
        <v>3329</v>
      </c>
      <c r="B664" s="7" t="s">
        <v>3329</v>
      </c>
      <c r="C664" s="7" t="s">
        <v>3077</v>
      </c>
      <c r="D664" s="7" t="s">
        <v>3330</v>
      </c>
      <c r="E664" s="7" t="s">
        <v>33</v>
      </c>
      <c r="F664" s="7" t="s">
        <v>34</v>
      </c>
      <c r="G664" s="7" t="s">
        <v>35</v>
      </c>
      <c r="H664" s="7"/>
      <c r="I664" s="7"/>
      <c r="J664" s="7" t="s">
        <v>36</v>
      </c>
      <c r="K664" s="7" t="s">
        <v>37</v>
      </c>
      <c r="L664" s="7" t="s">
        <v>38</v>
      </c>
      <c r="M664" s="7" t="s">
        <v>39</v>
      </c>
      <c r="N664" s="7" t="s">
        <v>33</v>
      </c>
      <c r="O664" s="7">
        <v>1</v>
      </c>
      <c r="P664" s="7" t="s">
        <v>40</v>
      </c>
      <c r="Q664" s="7">
        <v>89.99</v>
      </c>
      <c r="R664" s="7"/>
      <c r="S664" s="7"/>
      <c r="T664" s="7"/>
      <c r="U664" s="7"/>
      <c r="V664" s="7"/>
      <c r="W664" s="7"/>
      <c r="X664" s="7"/>
      <c r="Y664" s="7" t="s">
        <v>3331</v>
      </c>
      <c r="Z664" s="7" t="s">
        <v>787</v>
      </c>
      <c r="AA664" s="7" t="s">
        <v>3332</v>
      </c>
      <c r="AB664" s="7" t="s">
        <v>44</v>
      </c>
      <c r="AC664" s="7"/>
      <c r="AD664" s="10"/>
      <c r="AE664" s="10"/>
      <c r="AF664" s="10"/>
      <c r="AG664" s="11">
        <f t="shared" si="10"/>
        <v>43277</v>
      </c>
    </row>
    <row r="665" s="8" customFormat="1" spans="1:33">
      <c r="A665" s="7" t="s">
        <v>3333</v>
      </c>
      <c r="B665" s="7" t="s">
        <v>3333</v>
      </c>
      <c r="C665" s="7" t="s">
        <v>3334</v>
      </c>
      <c r="D665" s="7" t="s">
        <v>3335</v>
      </c>
      <c r="E665" s="7" t="s">
        <v>33</v>
      </c>
      <c r="F665" s="7" t="s">
        <v>34</v>
      </c>
      <c r="G665" s="7" t="s">
        <v>35</v>
      </c>
      <c r="H665" s="7"/>
      <c r="I665" s="7"/>
      <c r="J665" s="7" t="s">
        <v>69</v>
      </c>
      <c r="K665" s="7" t="s">
        <v>70</v>
      </c>
      <c r="L665" s="7" t="s">
        <v>71</v>
      </c>
      <c r="M665" s="7" t="s">
        <v>72</v>
      </c>
      <c r="N665" s="7" t="s">
        <v>33</v>
      </c>
      <c r="O665" s="7">
        <v>1</v>
      </c>
      <c r="P665" s="7" t="s">
        <v>40</v>
      </c>
      <c r="Q665" s="7">
        <v>79.99</v>
      </c>
      <c r="R665" s="7"/>
      <c r="S665" s="7">
        <v>5.94</v>
      </c>
      <c r="T665" s="7"/>
      <c r="U665" s="7"/>
      <c r="V665" s="7"/>
      <c r="W665" s="7"/>
      <c r="X665" s="7"/>
      <c r="Y665" s="7" t="s">
        <v>890</v>
      </c>
      <c r="Z665" s="7" t="s">
        <v>92</v>
      </c>
      <c r="AA665" s="7" t="s">
        <v>3336</v>
      </c>
      <c r="AB665" s="7" t="s">
        <v>44</v>
      </c>
      <c r="AC665" s="7"/>
      <c r="AD665" s="10"/>
      <c r="AE665" s="10"/>
      <c r="AF665" s="10"/>
      <c r="AG665" s="11">
        <f t="shared" si="10"/>
        <v>43277</v>
      </c>
    </row>
    <row r="666" s="8" customFormat="1" spans="1:33">
      <c r="A666" s="7" t="s">
        <v>3337</v>
      </c>
      <c r="B666" s="7" t="s">
        <v>3337</v>
      </c>
      <c r="C666" s="7" t="s">
        <v>3338</v>
      </c>
      <c r="D666" s="7" t="s">
        <v>3339</v>
      </c>
      <c r="E666" s="7" t="s">
        <v>33</v>
      </c>
      <c r="F666" s="7" t="s">
        <v>34</v>
      </c>
      <c r="G666" s="7" t="s">
        <v>35</v>
      </c>
      <c r="H666" s="7"/>
      <c r="I666" s="7"/>
      <c r="J666" s="7" t="s">
        <v>69</v>
      </c>
      <c r="K666" s="7" t="s">
        <v>418</v>
      </c>
      <c r="L666" s="7" t="s">
        <v>419</v>
      </c>
      <c r="M666" s="7" t="s">
        <v>420</v>
      </c>
      <c r="N666" s="7" t="s">
        <v>33</v>
      </c>
      <c r="O666" s="7">
        <v>1</v>
      </c>
      <c r="P666" s="7" t="s">
        <v>40</v>
      </c>
      <c r="Q666" s="7">
        <v>89.99</v>
      </c>
      <c r="R666" s="7"/>
      <c r="S666" s="7">
        <v>6.49</v>
      </c>
      <c r="T666" s="7"/>
      <c r="U666" s="7"/>
      <c r="V666" s="7"/>
      <c r="W666" s="7"/>
      <c r="X666" s="7">
        <v>6.49</v>
      </c>
      <c r="Y666" s="7" t="s">
        <v>3340</v>
      </c>
      <c r="Z666" s="7" t="s">
        <v>723</v>
      </c>
      <c r="AA666" s="7" t="s">
        <v>3341</v>
      </c>
      <c r="AB666" s="7" t="s">
        <v>44</v>
      </c>
      <c r="AC666" s="7" t="s">
        <v>75</v>
      </c>
      <c r="AD666" s="10"/>
      <c r="AE666" s="10"/>
      <c r="AF666" s="10"/>
      <c r="AG666" s="11">
        <f t="shared" si="10"/>
        <v>43277</v>
      </c>
    </row>
    <row r="667" s="8" customFormat="1" spans="1:33">
      <c r="A667" s="7" t="s">
        <v>3342</v>
      </c>
      <c r="B667" s="7" t="s">
        <v>3342</v>
      </c>
      <c r="C667" s="7" t="s">
        <v>3343</v>
      </c>
      <c r="D667" s="7" t="s">
        <v>3344</v>
      </c>
      <c r="E667" s="7" t="s">
        <v>54</v>
      </c>
      <c r="F667" s="7" t="s">
        <v>34</v>
      </c>
      <c r="G667" s="7" t="s">
        <v>35</v>
      </c>
      <c r="H667" s="7"/>
      <c r="I667" s="7"/>
      <c r="J667" s="7" t="s">
        <v>163</v>
      </c>
      <c r="K667" s="7" t="s">
        <v>493</v>
      </c>
      <c r="L667" s="7" t="s">
        <v>494</v>
      </c>
      <c r="M667" s="7" t="s">
        <v>495</v>
      </c>
      <c r="N667" s="7" t="s">
        <v>54</v>
      </c>
      <c r="O667" s="7">
        <v>0</v>
      </c>
      <c r="P667" s="7"/>
      <c r="Q667" s="7"/>
      <c r="R667" s="7"/>
      <c r="S667" s="7"/>
      <c r="T667" s="7"/>
      <c r="U667" s="7"/>
      <c r="V667" s="7"/>
      <c r="W667" s="7"/>
      <c r="X667" s="7"/>
      <c r="Y667" s="7" t="s">
        <v>823</v>
      </c>
      <c r="Z667" s="7" t="s">
        <v>83</v>
      </c>
      <c r="AA667" s="7" t="s">
        <v>824</v>
      </c>
      <c r="AB667" s="7" t="s">
        <v>44</v>
      </c>
      <c r="AC667" s="7"/>
      <c r="AD667" s="10"/>
      <c r="AE667" s="10"/>
      <c r="AF667" s="10"/>
      <c r="AG667" s="11">
        <f t="shared" si="10"/>
        <v>43277</v>
      </c>
    </row>
    <row r="668" s="8" customFormat="1" spans="1:33">
      <c r="A668" s="7" t="s">
        <v>3345</v>
      </c>
      <c r="B668" s="7" t="s">
        <v>3345</v>
      </c>
      <c r="C668" s="7" t="s">
        <v>3346</v>
      </c>
      <c r="D668" s="7" t="s">
        <v>3347</v>
      </c>
      <c r="E668" s="7" t="s">
        <v>54</v>
      </c>
      <c r="F668" s="7" t="s">
        <v>34</v>
      </c>
      <c r="G668" s="7" t="s">
        <v>35</v>
      </c>
      <c r="H668" s="7"/>
      <c r="I668" s="7"/>
      <c r="J668" s="7" t="s">
        <v>36</v>
      </c>
      <c r="K668" s="7" t="s">
        <v>493</v>
      </c>
      <c r="L668" s="7" t="s">
        <v>494</v>
      </c>
      <c r="M668" s="7" t="s">
        <v>495</v>
      </c>
      <c r="N668" s="7" t="s">
        <v>54</v>
      </c>
      <c r="O668" s="7">
        <v>0</v>
      </c>
      <c r="P668" s="7"/>
      <c r="Q668" s="7"/>
      <c r="R668" s="7"/>
      <c r="S668" s="7"/>
      <c r="T668" s="7"/>
      <c r="U668" s="7"/>
      <c r="V668" s="7"/>
      <c r="W668" s="7"/>
      <c r="X668" s="7"/>
      <c r="Y668" s="7" t="s">
        <v>823</v>
      </c>
      <c r="Z668" s="7" t="s">
        <v>83</v>
      </c>
      <c r="AA668" s="7" t="s">
        <v>824</v>
      </c>
      <c r="AB668" s="7" t="s">
        <v>44</v>
      </c>
      <c r="AC668" s="7"/>
      <c r="AD668" s="10"/>
      <c r="AE668" s="10"/>
      <c r="AF668" s="10"/>
      <c r="AG668" s="11">
        <f t="shared" si="10"/>
        <v>43277</v>
      </c>
    </row>
    <row r="669" s="8" customFormat="1" spans="1:33">
      <c r="A669" s="7" t="s">
        <v>3348</v>
      </c>
      <c r="B669" s="7" t="s">
        <v>3348</v>
      </c>
      <c r="C669" s="7" t="s">
        <v>3349</v>
      </c>
      <c r="D669" s="7" t="s">
        <v>3350</v>
      </c>
      <c r="E669" s="7" t="s">
        <v>33</v>
      </c>
      <c r="F669" s="7" t="s">
        <v>34</v>
      </c>
      <c r="G669" s="7" t="s">
        <v>35</v>
      </c>
      <c r="H669" s="7"/>
      <c r="I669" s="7"/>
      <c r="J669" s="7" t="s">
        <v>36</v>
      </c>
      <c r="K669" s="7" t="s">
        <v>48</v>
      </c>
      <c r="L669" s="7" t="s">
        <v>49</v>
      </c>
      <c r="M669" s="7" t="s">
        <v>50</v>
      </c>
      <c r="N669" s="7" t="s">
        <v>33</v>
      </c>
      <c r="O669" s="7">
        <v>1</v>
      </c>
      <c r="P669" s="7" t="s">
        <v>40</v>
      </c>
      <c r="Q669" s="7">
        <v>89.99</v>
      </c>
      <c r="R669" s="7"/>
      <c r="S669" s="7"/>
      <c r="T669" s="7"/>
      <c r="U669" s="7"/>
      <c r="V669" s="7"/>
      <c r="W669" s="7"/>
      <c r="X669" s="7"/>
      <c r="Y669" s="7" t="s">
        <v>3351</v>
      </c>
      <c r="Z669" s="7" t="s">
        <v>497</v>
      </c>
      <c r="AA669" s="7" t="s">
        <v>3352</v>
      </c>
      <c r="AB669" s="7" t="s">
        <v>44</v>
      </c>
      <c r="AC669" s="7"/>
      <c r="AD669" s="10"/>
      <c r="AE669" s="10"/>
      <c r="AF669" s="10"/>
      <c r="AG669" s="11">
        <f t="shared" si="10"/>
        <v>43277</v>
      </c>
    </row>
    <row r="670" s="8" customFormat="1" spans="1:33">
      <c r="A670" s="7" t="s">
        <v>3353</v>
      </c>
      <c r="B670" s="7" t="s">
        <v>3353</v>
      </c>
      <c r="C670" s="7" t="s">
        <v>3354</v>
      </c>
      <c r="D670" s="7" t="s">
        <v>3355</v>
      </c>
      <c r="E670" s="7" t="s">
        <v>33</v>
      </c>
      <c r="F670" s="7" t="s">
        <v>34</v>
      </c>
      <c r="G670" s="7" t="s">
        <v>35</v>
      </c>
      <c r="H670" s="7"/>
      <c r="I670" s="7"/>
      <c r="J670" s="7" t="s">
        <v>36</v>
      </c>
      <c r="K670" s="7" t="s">
        <v>79</v>
      </c>
      <c r="L670" s="7" t="s">
        <v>80</v>
      </c>
      <c r="M670" s="7" t="s">
        <v>81</v>
      </c>
      <c r="N670" s="7" t="s">
        <v>33</v>
      </c>
      <c r="O670" s="7">
        <v>1</v>
      </c>
      <c r="P670" s="7" t="s">
        <v>40</v>
      </c>
      <c r="Q670" s="7">
        <v>91.99</v>
      </c>
      <c r="R670" s="7"/>
      <c r="S670" s="7"/>
      <c r="T670" s="7"/>
      <c r="U670" s="7"/>
      <c r="V670" s="7"/>
      <c r="W670" s="7"/>
      <c r="X670" s="7"/>
      <c r="Y670" s="7" t="s">
        <v>51</v>
      </c>
      <c r="Z670" s="7" t="s">
        <v>52</v>
      </c>
      <c r="AA670" s="7" t="s">
        <v>3356</v>
      </c>
      <c r="AB670" s="7" t="s">
        <v>44</v>
      </c>
      <c r="AC670" s="7"/>
      <c r="AD670" s="10"/>
      <c r="AE670" s="10"/>
      <c r="AF670" s="10"/>
      <c r="AG670" s="11">
        <f t="shared" si="10"/>
        <v>43277</v>
      </c>
    </row>
    <row r="671" s="8" customFormat="1" spans="1:33">
      <c r="A671" s="7" t="s">
        <v>3357</v>
      </c>
      <c r="B671" s="7" t="s">
        <v>3357</v>
      </c>
      <c r="C671" s="7" t="s">
        <v>3358</v>
      </c>
      <c r="D671" s="7" t="s">
        <v>3359</v>
      </c>
      <c r="E671" s="7" t="s">
        <v>33</v>
      </c>
      <c r="F671" s="7" t="s">
        <v>34</v>
      </c>
      <c r="G671" s="7" t="s">
        <v>35</v>
      </c>
      <c r="H671" s="7"/>
      <c r="I671" s="7"/>
      <c r="J671" s="7" t="s">
        <v>36</v>
      </c>
      <c r="K671" s="7" t="s">
        <v>284</v>
      </c>
      <c r="L671" s="7" t="s">
        <v>285</v>
      </c>
      <c r="M671" s="7" t="s">
        <v>286</v>
      </c>
      <c r="N671" s="7" t="s">
        <v>33</v>
      </c>
      <c r="O671" s="7">
        <v>1</v>
      </c>
      <c r="P671" s="7" t="s">
        <v>40</v>
      </c>
      <c r="Q671" s="7">
        <v>89.99</v>
      </c>
      <c r="R671" s="7"/>
      <c r="S671" s="7"/>
      <c r="T671" s="7"/>
      <c r="U671" s="7"/>
      <c r="V671" s="7"/>
      <c r="W671" s="7"/>
      <c r="X671" s="7"/>
      <c r="Y671" s="7" t="s">
        <v>3360</v>
      </c>
      <c r="Z671" s="7" t="s">
        <v>189</v>
      </c>
      <c r="AA671" s="7" t="s">
        <v>3361</v>
      </c>
      <c r="AB671" s="7" t="s">
        <v>44</v>
      </c>
      <c r="AC671" s="7"/>
      <c r="AD671" s="10"/>
      <c r="AE671" s="10"/>
      <c r="AF671" s="10"/>
      <c r="AG671" s="11">
        <f t="shared" si="10"/>
        <v>43277</v>
      </c>
    </row>
    <row r="672" s="8" customFormat="1" spans="1:33">
      <c r="A672" s="7" t="s">
        <v>3362</v>
      </c>
      <c r="B672" s="7" t="s">
        <v>3362</v>
      </c>
      <c r="C672" s="7" t="s">
        <v>3363</v>
      </c>
      <c r="D672" s="7" t="s">
        <v>3364</v>
      </c>
      <c r="E672" s="7" t="s">
        <v>33</v>
      </c>
      <c r="F672" s="7" t="s">
        <v>34</v>
      </c>
      <c r="G672" s="7" t="s">
        <v>35</v>
      </c>
      <c r="H672" s="7"/>
      <c r="I672" s="7"/>
      <c r="J672" s="7" t="s">
        <v>36</v>
      </c>
      <c r="K672" s="7" t="s">
        <v>986</v>
      </c>
      <c r="L672" s="7" t="s">
        <v>987</v>
      </c>
      <c r="M672" s="7" t="s">
        <v>988</v>
      </c>
      <c r="N672" s="7" t="s">
        <v>33</v>
      </c>
      <c r="O672" s="7">
        <v>1</v>
      </c>
      <c r="P672" s="7" t="s">
        <v>40</v>
      </c>
      <c r="Q672" s="7">
        <v>99.99</v>
      </c>
      <c r="R672" s="7"/>
      <c r="S672" s="7"/>
      <c r="T672" s="7"/>
      <c r="U672" s="7"/>
      <c r="V672" s="7"/>
      <c r="W672" s="7"/>
      <c r="X672" s="7"/>
      <c r="Y672" s="7" t="s">
        <v>3365</v>
      </c>
      <c r="Z672" s="7" t="s">
        <v>3366</v>
      </c>
      <c r="AA672" s="7">
        <v>47042</v>
      </c>
      <c r="AB672" s="7" t="s">
        <v>44</v>
      </c>
      <c r="AC672" s="7"/>
      <c r="AD672" s="10"/>
      <c r="AE672" s="10"/>
      <c r="AF672" s="10"/>
      <c r="AG672" s="11">
        <f t="shared" si="10"/>
        <v>43277</v>
      </c>
    </row>
    <row r="673" s="8" customFormat="1" spans="1:33">
      <c r="A673" s="7" t="s">
        <v>3367</v>
      </c>
      <c r="B673" s="7" t="s">
        <v>3367</v>
      </c>
      <c r="C673" s="7" t="s">
        <v>3368</v>
      </c>
      <c r="D673" s="7" t="s">
        <v>3369</v>
      </c>
      <c r="E673" s="7" t="s">
        <v>33</v>
      </c>
      <c r="F673" s="7" t="s">
        <v>34</v>
      </c>
      <c r="G673" s="7" t="s">
        <v>35</v>
      </c>
      <c r="H673" s="7"/>
      <c r="I673" s="7"/>
      <c r="J673" s="7" t="s">
        <v>36</v>
      </c>
      <c r="K673" s="7" t="s">
        <v>364</v>
      </c>
      <c r="L673" s="7" t="s">
        <v>2028</v>
      </c>
      <c r="M673" s="7" t="s">
        <v>2029</v>
      </c>
      <c r="N673" s="7" t="s">
        <v>33</v>
      </c>
      <c r="O673" s="7">
        <v>1</v>
      </c>
      <c r="P673" s="7" t="s">
        <v>40</v>
      </c>
      <c r="Q673" s="7">
        <v>82.99</v>
      </c>
      <c r="R673" s="7"/>
      <c r="S673" s="7"/>
      <c r="T673" s="7"/>
      <c r="U673" s="7"/>
      <c r="V673" s="7"/>
      <c r="W673" s="7"/>
      <c r="X673" s="7"/>
      <c r="Y673" s="7" t="s">
        <v>2227</v>
      </c>
      <c r="Z673" s="7" t="s">
        <v>230</v>
      </c>
      <c r="AA673" s="7" t="s">
        <v>3370</v>
      </c>
      <c r="AB673" s="7" t="s">
        <v>44</v>
      </c>
      <c r="AC673" s="7"/>
      <c r="AD673" s="10"/>
      <c r="AE673" s="10"/>
      <c r="AF673" s="10"/>
      <c r="AG673" s="11">
        <f t="shared" si="10"/>
        <v>43278</v>
      </c>
    </row>
    <row r="674" s="8" customFormat="1" spans="1:33">
      <c r="A674" s="7" t="s">
        <v>3371</v>
      </c>
      <c r="B674" s="7" t="s">
        <v>3371</v>
      </c>
      <c r="C674" s="7" t="s">
        <v>3372</v>
      </c>
      <c r="D674" s="7" t="s">
        <v>3373</v>
      </c>
      <c r="E674" s="7" t="s">
        <v>33</v>
      </c>
      <c r="F674" s="7" t="s">
        <v>34</v>
      </c>
      <c r="G674" s="7" t="s">
        <v>35</v>
      </c>
      <c r="H674" s="7"/>
      <c r="I674" s="7"/>
      <c r="J674" s="7" t="s">
        <v>36</v>
      </c>
      <c r="K674" s="7" t="s">
        <v>199</v>
      </c>
      <c r="L674" s="7" t="s">
        <v>200</v>
      </c>
      <c r="M674" s="7" t="s">
        <v>201</v>
      </c>
      <c r="N674" s="7" t="s">
        <v>33</v>
      </c>
      <c r="O674" s="7">
        <v>1</v>
      </c>
      <c r="P674" s="7" t="s">
        <v>40</v>
      </c>
      <c r="Q674" s="7">
        <v>99.6</v>
      </c>
      <c r="R674" s="7"/>
      <c r="S674" s="7"/>
      <c r="T674" s="7"/>
      <c r="U674" s="7"/>
      <c r="V674" s="7"/>
      <c r="W674" s="7"/>
      <c r="X674" s="7"/>
      <c r="Y674" s="7" t="s">
        <v>3374</v>
      </c>
      <c r="Z674" s="7" t="s">
        <v>64</v>
      </c>
      <c r="AA674" s="7">
        <v>34232</v>
      </c>
      <c r="AB674" s="7" t="s">
        <v>44</v>
      </c>
      <c r="AC674" s="7"/>
      <c r="AD674" s="10"/>
      <c r="AE674" s="10"/>
      <c r="AF674" s="10"/>
      <c r="AG674" s="11">
        <f t="shared" si="10"/>
        <v>43278</v>
      </c>
    </row>
    <row r="675" s="8" customFormat="1" spans="1:33">
      <c r="A675" s="7" t="s">
        <v>3375</v>
      </c>
      <c r="B675" s="7" t="s">
        <v>3375</v>
      </c>
      <c r="C675" s="7" t="s">
        <v>3376</v>
      </c>
      <c r="D675" s="7" t="s">
        <v>3377</v>
      </c>
      <c r="E675" s="7" t="s">
        <v>54</v>
      </c>
      <c r="F675" s="7" t="s">
        <v>34</v>
      </c>
      <c r="G675" s="7" t="s">
        <v>35</v>
      </c>
      <c r="H675" s="7"/>
      <c r="I675" s="7"/>
      <c r="J675" s="7" t="s">
        <v>36</v>
      </c>
      <c r="K675" s="7" t="s">
        <v>199</v>
      </c>
      <c r="L675" s="7" t="s">
        <v>200</v>
      </c>
      <c r="M675" s="7" t="s">
        <v>201</v>
      </c>
      <c r="N675" s="7" t="s">
        <v>54</v>
      </c>
      <c r="O675" s="7">
        <v>0</v>
      </c>
      <c r="P675" s="7"/>
      <c r="Q675" s="7"/>
      <c r="R675" s="7"/>
      <c r="S675" s="7"/>
      <c r="T675" s="7"/>
      <c r="U675" s="7"/>
      <c r="V675" s="7"/>
      <c r="W675" s="7"/>
      <c r="X675" s="7"/>
      <c r="Y675" s="7" t="s">
        <v>3374</v>
      </c>
      <c r="Z675" s="7" t="s">
        <v>64</v>
      </c>
      <c r="AA675" s="7">
        <v>34232</v>
      </c>
      <c r="AB675" s="7" t="s">
        <v>44</v>
      </c>
      <c r="AC675" s="7"/>
      <c r="AD675" s="10"/>
      <c r="AE675" s="10"/>
      <c r="AF675" s="10"/>
      <c r="AG675" s="11">
        <f t="shared" si="10"/>
        <v>43278</v>
      </c>
    </row>
    <row r="676" s="8" customFormat="1" spans="1:33">
      <c r="A676" s="7" t="s">
        <v>3378</v>
      </c>
      <c r="B676" s="7" t="s">
        <v>3378</v>
      </c>
      <c r="C676" s="7" t="s">
        <v>3379</v>
      </c>
      <c r="D676" s="7" t="s">
        <v>3380</v>
      </c>
      <c r="E676" s="7" t="s">
        <v>54</v>
      </c>
      <c r="F676" s="7" t="s">
        <v>34</v>
      </c>
      <c r="G676" s="7" t="s">
        <v>35</v>
      </c>
      <c r="H676" s="7"/>
      <c r="I676" s="7"/>
      <c r="J676" s="7" t="s">
        <v>69</v>
      </c>
      <c r="K676" s="7" t="s">
        <v>1065</v>
      </c>
      <c r="L676" s="7" t="s">
        <v>1066</v>
      </c>
      <c r="M676" s="7" t="s">
        <v>1067</v>
      </c>
      <c r="N676" s="7" t="s">
        <v>62</v>
      </c>
      <c r="O676" s="7">
        <v>1</v>
      </c>
      <c r="P676" s="7" t="s">
        <v>40</v>
      </c>
      <c r="Q676" s="7">
        <v>26.99</v>
      </c>
      <c r="R676" s="7"/>
      <c r="S676" s="7"/>
      <c r="T676" s="7"/>
      <c r="U676" s="7"/>
      <c r="V676" s="7"/>
      <c r="W676" s="7"/>
      <c r="X676" s="7"/>
      <c r="Y676" s="7" t="s">
        <v>3381</v>
      </c>
      <c r="Z676" s="7" t="s">
        <v>42</v>
      </c>
      <c r="AA676" s="7" t="s">
        <v>3382</v>
      </c>
      <c r="AB676" s="7" t="s">
        <v>44</v>
      </c>
      <c r="AC676" s="7"/>
      <c r="AD676" s="10"/>
      <c r="AE676" s="10"/>
      <c r="AF676" s="10"/>
      <c r="AG676" s="11">
        <f t="shared" si="10"/>
        <v>43278</v>
      </c>
    </row>
    <row r="677" s="8" customFormat="1" spans="1:33">
      <c r="A677" s="7" t="s">
        <v>3378</v>
      </c>
      <c r="B677" s="7" t="s">
        <v>3378</v>
      </c>
      <c r="C677" s="7" t="s">
        <v>3379</v>
      </c>
      <c r="D677" s="7" t="s">
        <v>3380</v>
      </c>
      <c r="E677" s="7" t="s">
        <v>54</v>
      </c>
      <c r="F677" s="7" t="s">
        <v>34</v>
      </c>
      <c r="G677" s="7" t="s">
        <v>35</v>
      </c>
      <c r="H677" s="7"/>
      <c r="I677" s="7"/>
      <c r="J677" s="7" t="s">
        <v>69</v>
      </c>
      <c r="K677" s="7" t="s">
        <v>975</v>
      </c>
      <c r="L677" s="7" t="s">
        <v>976</v>
      </c>
      <c r="M677" s="7" t="s">
        <v>977</v>
      </c>
      <c r="N677" s="7" t="s">
        <v>62</v>
      </c>
      <c r="O677" s="7">
        <v>1</v>
      </c>
      <c r="P677" s="7" t="s">
        <v>40</v>
      </c>
      <c r="Q677" s="7">
        <v>89.99</v>
      </c>
      <c r="R677" s="7"/>
      <c r="S677" s="7"/>
      <c r="T677" s="7"/>
      <c r="U677" s="7"/>
      <c r="V677" s="7"/>
      <c r="W677" s="7"/>
      <c r="X677" s="7"/>
      <c r="Y677" s="7" t="s">
        <v>3381</v>
      </c>
      <c r="Z677" s="7" t="s">
        <v>42</v>
      </c>
      <c r="AA677" s="7" t="s">
        <v>3382</v>
      </c>
      <c r="AB677" s="7" t="s">
        <v>44</v>
      </c>
      <c r="AC677" s="7"/>
      <c r="AD677" s="10"/>
      <c r="AE677" s="10"/>
      <c r="AF677" s="10"/>
      <c r="AG677" s="11">
        <f t="shared" si="10"/>
        <v>43278</v>
      </c>
    </row>
    <row r="678" s="8" customFormat="1" spans="1:33">
      <c r="A678" s="7" t="s">
        <v>3383</v>
      </c>
      <c r="B678" s="7" t="s">
        <v>3383</v>
      </c>
      <c r="C678" s="7" t="s">
        <v>3384</v>
      </c>
      <c r="D678" s="7" t="s">
        <v>3385</v>
      </c>
      <c r="E678" s="7" t="s">
        <v>33</v>
      </c>
      <c r="F678" s="7" t="s">
        <v>34</v>
      </c>
      <c r="G678" s="7" t="s">
        <v>35</v>
      </c>
      <c r="H678" s="7"/>
      <c r="I678" s="7"/>
      <c r="J678" s="7" t="s">
        <v>69</v>
      </c>
      <c r="K678" s="7" t="s">
        <v>79</v>
      </c>
      <c r="L678" s="7" t="s">
        <v>80</v>
      </c>
      <c r="M678" s="7" t="s">
        <v>81</v>
      </c>
      <c r="N678" s="7" t="s">
        <v>33</v>
      </c>
      <c r="O678" s="7">
        <v>1</v>
      </c>
      <c r="P678" s="7" t="s">
        <v>40</v>
      </c>
      <c r="Q678" s="7">
        <v>91.99</v>
      </c>
      <c r="R678" s="7"/>
      <c r="S678" s="7">
        <v>6.9</v>
      </c>
      <c r="T678" s="7"/>
      <c r="U678" s="7"/>
      <c r="V678" s="7"/>
      <c r="W678" s="7"/>
      <c r="X678" s="7">
        <v>6.9</v>
      </c>
      <c r="Y678" s="7" t="s">
        <v>3386</v>
      </c>
      <c r="Z678" s="7" t="s">
        <v>861</v>
      </c>
      <c r="AA678" s="7" t="s">
        <v>3387</v>
      </c>
      <c r="AB678" s="7" t="s">
        <v>44</v>
      </c>
      <c r="AC678" s="7" t="s">
        <v>75</v>
      </c>
      <c r="AD678" s="10"/>
      <c r="AE678" s="10"/>
      <c r="AF678" s="10"/>
      <c r="AG678" s="11">
        <f t="shared" si="10"/>
        <v>43278</v>
      </c>
    </row>
    <row r="679" s="8" customFormat="1" spans="1:33">
      <c r="A679" s="7" t="s">
        <v>3388</v>
      </c>
      <c r="B679" s="7" t="s">
        <v>3388</v>
      </c>
      <c r="C679" s="7" t="s">
        <v>3389</v>
      </c>
      <c r="D679" s="7" t="s">
        <v>3390</v>
      </c>
      <c r="E679" s="7" t="s">
        <v>33</v>
      </c>
      <c r="F679" s="7" t="s">
        <v>34</v>
      </c>
      <c r="G679" s="7" t="s">
        <v>35</v>
      </c>
      <c r="H679" s="7"/>
      <c r="I679" s="7"/>
      <c r="J679" s="7" t="s">
        <v>36</v>
      </c>
      <c r="K679" s="7" t="s">
        <v>719</v>
      </c>
      <c r="L679" s="7" t="s">
        <v>720</v>
      </c>
      <c r="M679" s="7" t="s">
        <v>721</v>
      </c>
      <c r="N679" s="7" t="s">
        <v>33</v>
      </c>
      <c r="O679" s="7">
        <v>1</v>
      </c>
      <c r="P679" s="7" t="s">
        <v>40</v>
      </c>
      <c r="Q679" s="7">
        <v>21.99</v>
      </c>
      <c r="R679" s="7"/>
      <c r="S679" s="7"/>
      <c r="T679" s="7"/>
      <c r="U679" s="7"/>
      <c r="V679" s="7"/>
      <c r="W679" s="7"/>
      <c r="X679" s="7"/>
      <c r="Y679" s="7" t="s">
        <v>3122</v>
      </c>
      <c r="Z679" s="7" t="s">
        <v>83</v>
      </c>
      <c r="AA679" s="7" t="s">
        <v>3123</v>
      </c>
      <c r="AB679" s="7" t="s">
        <v>44</v>
      </c>
      <c r="AC679" s="7"/>
      <c r="AD679" s="10"/>
      <c r="AE679" s="10"/>
      <c r="AF679" s="10"/>
      <c r="AG679" s="11">
        <f t="shared" si="10"/>
        <v>43278</v>
      </c>
    </row>
    <row r="680" s="8" customFormat="1" spans="1:33">
      <c r="A680" s="7" t="s">
        <v>3391</v>
      </c>
      <c r="B680" s="7" t="s">
        <v>3391</v>
      </c>
      <c r="C680" s="7" t="s">
        <v>3392</v>
      </c>
      <c r="D680" s="7" t="s">
        <v>3393</v>
      </c>
      <c r="E680" s="7" t="s">
        <v>33</v>
      </c>
      <c r="F680" s="7" t="s">
        <v>34</v>
      </c>
      <c r="G680" s="7" t="s">
        <v>35</v>
      </c>
      <c r="H680" s="7"/>
      <c r="I680" s="7"/>
      <c r="J680" s="7" t="s">
        <v>69</v>
      </c>
      <c r="K680" s="7" t="s">
        <v>59</v>
      </c>
      <c r="L680" s="7" t="s">
        <v>60</v>
      </c>
      <c r="M680" s="7" t="s">
        <v>61</v>
      </c>
      <c r="N680" s="7" t="s">
        <v>33</v>
      </c>
      <c r="O680" s="7">
        <v>1</v>
      </c>
      <c r="P680" s="7" t="s">
        <v>40</v>
      </c>
      <c r="Q680" s="7">
        <v>89.99</v>
      </c>
      <c r="R680" s="7"/>
      <c r="S680" s="7">
        <v>4.07</v>
      </c>
      <c r="T680" s="7"/>
      <c r="U680" s="7"/>
      <c r="V680" s="7"/>
      <c r="W680" s="7"/>
      <c r="X680" s="7">
        <v>4.07</v>
      </c>
      <c r="Y680" s="7" t="s">
        <v>73</v>
      </c>
      <c r="Z680" s="7" t="s">
        <v>64</v>
      </c>
      <c r="AA680" s="7" t="s">
        <v>3394</v>
      </c>
      <c r="AB680" s="7" t="s">
        <v>44</v>
      </c>
      <c r="AC680" s="7" t="s">
        <v>75</v>
      </c>
      <c r="AD680" s="10"/>
      <c r="AE680" s="10"/>
      <c r="AF680" s="10"/>
      <c r="AG680" s="11">
        <f t="shared" si="10"/>
        <v>43278</v>
      </c>
    </row>
    <row r="681" s="8" customFormat="1" spans="1:33">
      <c r="A681" s="7" t="s">
        <v>3395</v>
      </c>
      <c r="B681" s="7" t="s">
        <v>3395</v>
      </c>
      <c r="C681" s="7" t="s">
        <v>3396</v>
      </c>
      <c r="D681" s="7" t="s">
        <v>3397</v>
      </c>
      <c r="E681" s="7" t="s">
        <v>54</v>
      </c>
      <c r="F681" s="7" t="s">
        <v>34</v>
      </c>
      <c r="G681" s="7" t="s">
        <v>35</v>
      </c>
      <c r="H681" s="7"/>
      <c r="I681" s="7"/>
      <c r="J681" s="7" t="s">
        <v>58</v>
      </c>
      <c r="K681" s="7" t="s">
        <v>3398</v>
      </c>
      <c r="L681" s="7" t="s">
        <v>3399</v>
      </c>
      <c r="M681" s="7" t="s">
        <v>3400</v>
      </c>
      <c r="N681" s="7" t="s">
        <v>62</v>
      </c>
      <c r="O681" s="7">
        <v>1</v>
      </c>
      <c r="P681" s="7" t="s">
        <v>40</v>
      </c>
      <c r="Q681" s="7">
        <v>79.99</v>
      </c>
      <c r="R681" s="7"/>
      <c r="S681" s="7"/>
      <c r="T681" s="7"/>
      <c r="U681" s="7"/>
      <c r="V681" s="7"/>
      <c r="W681" s="7"/>
      <c r="X681" s="7"/>
      <c r="Y681" s="7" t="s">
        <v>3401</v>
      </c>
      <c r="Z681" s="7" t="s">
        <v>837</v>
      </c>
      <c r="AA681" s="7" t="s">
        <v>3402</v>
      </c>
      <c r="AB681" s="7" t="s">
        <v>44</v>
      </c>
      <c r="AC681" s="7"/>
      <c r="AD681" s="10"/>
      <c r="AE681" s="10"/>
      <c r="AF681" s="10"/>
      <c r="AG681" s="11">
        <f t="shared" si="10"/>
        <v>43278</v>
      </c>
    </row>
    <row r="682" s="8" customFormat="1" spans="1:33">
      <c r="A682" s="7" t="s">
        <v>3395</v>
      </c>
      <c r="B682" s="7" t="s">
        <v>3395</v>
      </c>
      <c r="C682" s="7" t="s">
        <v>3396</v>
      </c>
      <c r="D682" s="7" t="s">
        <v>3397</v>
      </c>
      <c r="E682" s="7" t="s">
        <v>54</v>
      </c>
      <c r="F682" s="7" t="s">
        <v>34</v>
      </c>
      <c r="G682" s="7" t="s">
        <v>35</v>
      </c>
      <c r="H682" s="7"/>
      <c r="I682" s="7"/>
      <c r="J682" s="7" t="s">
        <v>58</v>
      </c>
      <c r="K682" s="7" t="s">
        <v>1215</v>
      </c>
      <c r="L682" s="7" t="s">
        <v>1216</v>
      </c>
      <c r="M682" s="7" t="s">
        <v>1217</v>
      </c>
      <c r="N682" s="7" t="s">
        <v>62</v>
      </c>
      <c r="O682" s="7">
        <v>1</v>
      </c>
      <c r="P682" s="7" t="s">
        <v>40</v>
      </c>
      <c r="Q682" s="7">
        <v>99.99</v>
      </c>
      <c r="R682" s="7"/>
      <c r="S682" s="7"/>
      <c r="T682" s="7"/>
      <c r="U682" s="7"/>
      <c r="V682" s="7"/>
      <c r="W682" s="7"/>
      <c r="X682" s="7"/>
      <c r="Y682" s="7" t="s">
        <v>3401</v>
      </c>
      <c r="Z682" s="7" t="s">
        <v>837</v>
      </c>
      <c r="AA682" s="7" t="s">
        <v>3402</v>
      </c>
      <c r="AB682" s="7" t="s">
        <v>44</v>
      </c>
      <c r="AC682" s="7"/>
      <c r="AD682" s="10"/>
      <c r="AE682" s="10"/>
      <c r="AF682" s="10"/>
      <c r="AG682" s="11">
        <f t="shared" si="10"/>
        <v>43278</v>
      </c>
    </row>
    <row r="683" s="8" customFormat="1" spans="1:33">
      <c r="A683" s="7" t="s">
        <v>3395</v>
      </c>
      <c r="B683" s="7" t="s">
        <v>3395</v>
      </c>
      <c r="C683" s="7" t="s">
        <v>3396</v>
      </c>
      <c r="D683" s="7" t="s">
        <v>3397</v>
      </c>
      <c r="E683" s="7" t="s">
        <v>54</v>
      </c>
      <c r="F683" s="7" t="s">
        <v>34</v>
      </c>
      <c r="G683" s="7" t="s">
        <v>35</v>
      </c>
      <c r="H683" s="7"/>
      <c r="I683" s="7"/>
      <c r="J683" s="7" t="s">
        <v>58</v>
      </c>
      <c r="K683" s="7" t="s">
        <v>37</v>
      </c>
      <c r="L683" s="7" t="s">
        <v>38</v>
      </c>
      <c r="M683" s="7" t="s">
        <v>39</v>
      </c>
      <c r="N683" s="7" t="s">
        <v>62</v>
      </c>
      <c r="O683" s="7">
        <v>1</v>
      </c>
      <c r="P683" s="7" t="s">
        <v>40</v>
      </c>
      <c r="Q683" s="7">
        <v>89.99</v>
      </c>
      <c r="R683" s="7"/>
      <c r="S683" s="7"/>
      <c r="T683" s="7"/>
      <c r="U683" s="7"/>
      <c r="V683" s="7"/>
      <c r="W683" s="7"/>
      <c r="X683" s="7"/>
      <c r="Y683" s="7" t="s">
        <v>3401</v>
      </c>
      <c r="Z683" s="7" t="s">
        <v>837</v>
      </c>
      <c r="AA683" s="7" t="s">
        <v>3402</v>
      </c>
      <c r="AB683" s="7" t="s">
        <v>44</v>
      </c>
      <c r="AC683" s="7"/>
      <c r="AD683" s="10"/>
      <c r="AE683" s="10"/>
      <c r="AF683" s="10"/>
      <c r="AG683" s="11">
        <f t="shared" si="10"/>
        <v>43278</v>
      </c>
    </row>
    <row r="684" s="8" customFormat="1" spans="1:33">
      <c r="A684" s="7" t="s">
        <v>3395</v>
      </c>
      <c r="B684" s="7" t="s">
        <v>3395</v>
      </c>
      <c r="C684" s="7" t="s">
        <v>3396</v>
      </c>
      <c r="D684" s="7" t="s">
        <v>3397</v>
      </c>
      <c r="E684" s="7" t="s">
        <v>54</v>
      </c>
      <c r="F684" s="7" t="s">
        <v>34</v>
      </c>
      <c r="G684" s="7" t="s">
        <v>35</v>
      </c>
      <c r="H684" s="7"/>
      <c r="I684" s="7"/>
      <c r="J684" s="7" t="s">
        <v>58</v>
      </c>
      <c r="K684" s="7" t="s">
        <v>2322</v>
      </c>
      <c r="L684" s="7" t="s">
        <v>138</v>
      </c>
      <c r="M684" s="7" t="s">
        <v>139</v>
      </c>
      <c r="N684" s="7" t="s">
        <v>62</v>
      </c>
      <c r="O684" s="7">
        <v>1</v>
      </c>
      <c r="P684" s="7" t="s">
        <v>40</v>
      </c>
      <c r="Q684" s="7">
        <v>99.99</v>
      </c>
      <c r="R684" s="7"/>
      <c r="S684" s="7"/>
      <c r="T684" s="7"/>
      <c r="U684" s="7"/>
      <c r="V684" s="7"/>
      <c r="W684" s="7"/>
      <c r="X684" s="7"/>
      <c r="Y684" s="7" t="s">
        <v>3401</v>
      </c>
      <c r="Z684" s="7" t="s">
        <v>837</v>
      </c>
      <c r="AA684" s="7" t="s">
        <v>3402</v>
      </c>
      <c r="AB684" s="7" t="s">
        <v>44</v>
      </c>
      <c r="AC684" s="7"/>
      <c r="AD684" s="10"/>
      <c r="AE684" s="10"/>
      <c r="AF684" s="10"/>
      <c r="AG684" s="11">
        <f t="shared" si="10"/>
        <v>43278</v>
      </c>
    </row>
    <row r="685" s="8" customFormat="1" spans="1:33">
      <c r="A685" s="7" t="s">
        <v>3403</v>
      </c>
      <c r="B685" s="7" t="s">
        <v>3403</v>
      </c>
      <c r="C685" s="7" t="s">
        <v>3404</v>
      </c>
      <c r="D685" s="7" t="s">
        <v>3405</v>
      </c>
      <c r="E685" s="7" t="s">
        <v>33</v>
      </c>
      <c r="F685" s="7" t="s">
        <v>34</v>
      </c>
      <c r="G685" s="7" t="s">
        <v>35</v>
      </c>
      <c r="H685" s="7"/>
      <c r="I685" s="7"/>
      <c r="J685" s="7" t="s">
        <v>36</v>
      </c>
      <c r="K685" s="7" t="s">
        <v>213</v>
      </c>
      <c r="L685" s="7" t="s">
        <v>214</v>
      </c>
      <c r="M685" s="7" t="s">
        <v>215</v>
      </c>
      <c r="N685" s="7" t="s">
        <v>33</v>
      </c>
      <c r="O685" s="7">
        <v>1</v>
      </c>
      <c r="P685" s="7" t="s">
        <v>40</v>
      </c>
      <c r="Q685" s="7">
        <v>21.99</v>
      </c>
      <c r="R685" s="7"/>
      <c r="S685" s="7"/>
      <c r="T685" s="7"/>
      <c r="U685" s="7"/>
      <c r="V685" s="7"/>
      <c r="W685" s="7"/>
      <c r="X685" s="7"/>
      <c r="Y685" s="7" t="s">
        <v>3406</v>
      </c>
      <c r="Z685" s="7" t="s">
        <v>440</v>
      </c>
      <c r="AA685" s="7" t="s">
        <v>3407</v>
      </c>
      <c r="AB685" s="7" t="s">
        <v>44</v>
      </c>
      <c r="AC685" s="7"/>
      <c r="AD685" s="10"/>
      <c r="AE685" s="10"/>
      <c r="AF685" s="10"/>
      <c r="AG685" s="11">
        <f t="shared" si="10"/>
        <v>43278</v>
      </c>
    </row>
    <row r="686" s="8" customFormat="1" spans="1:33">
      <c r="A686" s="7" t="s">
        <v>3408</v>
      </c>
      <c r="B686" s="7" t="s">
        <v>3408</v>
      </c>
      <c r="C686" s="7" t="s">
        <v>3409</v>
      </c>
      <c r="D686" s="7" t="s">
        <v>3410</v>
      </c>
      <c r="E686" s="7" t="s">
        <v>33</v>
      </c>
      <c r="F686" s="7" t="s">
        <v>34</v>
      </c>
      <c r="G686" s="7" t="s">
        <v>35</v>
      </c>
      <c r="H686" s="7"/>
      <c r="I686" s="7"/>
      <c r="J686" s="7" t="s">
        <v>163</v>
      </c>
      <c r="K686" s="7" t="s">
        <v>79</v>
      </c>
      <c r="L686" s="7" t="s">
        <v>80</v>
      </c>
      <c r="M686" s="7" t="s">
        <v>81</v>
      </c>
      <c r="N686" s="7" t="s">
        <v>33</v>
      </c>
      <c r="O686" s="7">
        <v>1</v>
      </c>
      <c r="P686" s="7" t="s">
        <v>40</v>
      </c>
      <c r="Q686" s="7">
        <v>91.99</v>
      </c>
      <c r="R686" s="7"/>
      <c r="S686" s="7">
        <v>6.99</v>
      </c>
      <c r="T686" s="7"/>
      <c r="U686" s="7"/>
      <c r="V686" s="7"/>
      <c r="W686" s="7"/>
      <c r="X686" s="7">
        <v>6.99</v>
      </c>
      <c r="Y686" s="7" t="s">
        <v>3411</v>
      </c>
      <c r="Z686" s="7" t="s">
        <v>52</v>
      </c>
      <c r="AA686" s="7">
        <v>11735</v>
      </c>
      <c r="AB686" s="7" t="s">
        <v>44</v>
      </c>
      <c r="AC686" s="7"/>
      <c r="AD686" s="10"/>
      <c r="AE686" s="10"/>
      <c r="AF686" s="10"/>
      <c r="AG686" s="11">
        <f t="shared" si="10"/>
        <v>43278</v>
      </c>
    </row>
    <row r="687" s="8" customFormat="1" spans="1:33">
      <c r="A687" s="7" t="s">
        <v>3412</v>
      </c>
      <c r="B687" s="7" t="s">
        <v>3412</v>
      </c>
      <c r="C687" s="7" t="s">
        <v>3413</v>
      </c>
      <c r="D687" s="7" t="s">
        <v>3414</v>
      </c>
      <c r="E687" s="7" t="s">
        <v>33</v>
      </c>
      <c r="F687" s="7" t="s">
        <v>34</v>
      </c>
      <c r="G687" s="7" t="s">
        <v>35</v>
      </c>
      <c r="H687" s="7"/>
      <c r="I687" s="7"/>
      <c r="J687" s="7" t="s">
        <v>36</v>
      </c>
      <c r="K687" s="7" t="s">
        <v>1436</v>
      </c>
      <c r="L687" s="7" t="s">
        <v>1437</v>
      </c>
      <c r="M687" s="7" t="s">
        <v>1438</v>
      </c>
      <c r="N687" s="7" t="s">
        <v>33</v>
      </c>
      <c r="O687" s="7">
        <v>1</v>
      </c>
      <c r="P687" s="7" t="s">
        <v>40</v>
      </c>
      <c r="Q687" s="7">
        <v>99.6</v>
      </c>
      <c r="R687" s="7"/>
      <c r="S687" s="7"/>
      <c r="T687" s="7"/>
      <c r="U687" s="7"/>
      <c r="V687" s="7"/>
      <c r="W687" s="7"/>
      <c r="X687" s="7"/>
      <c r="Y687" s="7" t="s">
        <v>1525</v>
      </c>
      <c r="Z687" s="7" t="s">
        <v>42</v>
      </c>
      <c r="AA687" s="7" t="s">
        <v>3415</v>
      </c>
      <c r="AB687" s="7" t="s">
        <v>44</v>
      </c>
      <c r="AC687" s="7"/>
      <c r="AD687" s="10"/>
      <c r="AE687" s="10"/>
      <c r="AF687" s="10"/>
      <c r="AG687" s="11">
        <f t="shared" si="10"/>
        <v>43278</v>
      </c>
    </row>
    <row r="688" s="8" customFormat="1" spans="1:33">
      <c r="A688" s="7" t="s">
        <v>3416</v>
      </c>
      <c r="B688" s="7" t="s">
        <v>3416</v>
      </c>
      <c r="C688" s="7" t="s">
        <v>3417</v>
      </c>
      <c r="D688" s="7" t="s">
        <v>3418</v>
      </c>
      <c r="E688" s="7" t="s">
        <v>33</v>
      </c>
      <c r="F688" s="7" t="s">
        <v>34</v>
      </c>
      <c r="G688" s="7" t="s">
        <v>35</v>
      </c>
      <c r="H688" s="7"/>
      <c r="I688" s="7"/>
      <c r="J688" s="7" t="s">
        <v>69</v>
      </c>
      <c r="K688" s="7" t="s">
        <v>1010</v>
      </c>
      <c r="L688" s="7" t="s">
        <v>1011</v>
      </c>
      <c r="M688" s="7" t="s">
        <v>1012</v>
      </c>
      <c r="N688" s="7" t="s">
        <v>33</v>
      </c>
      <c r="O688" s="7">
        <v>1</v>
      </c>
      <c r="P688" s="7" t="s">
        <v>40</v>
      </c>
      <c r="Q688" s="7">
        <v>89.99</v>
      </c>
      <c r="R688" s="7"/>
      <c r="S688" s="7">
        <v>7.42</v>
      </c>
      <c r="T688" s="7"/>
      <c r="U688" s="7"/>
      <c r="V688" s="7"/>
      <c r="W688" s="7">
        <v>9</v>
      </c>
      <c r="X688" s="7"/>
      <c r="Y688" s="7" t="s">
        <v>3419</v>
      </c>
      <c r="Z688" s="7" t="s">
        <v>92</v>
      </c>
      <c r="AA688" s="7" t="s">
        <v>3420</v>
      </c>
      <c r="AB688" s="7" t="s">
        <v>44</v>
      </c>
      <c r="AC688" s="7" t="s">
        <v>559</v>
      </c>
      <c r="AD688" s="10"/>
      <c r="AE688" s="10"/>
      <c r="AF688" s="10"/>
      <c r="AG688" s="11">
        <f t="shared" si="10"/>
        <v>43278</v>
      </c>
    </row>
    <row r="689" s="8" customFormat="1" spans="1:33">
      <c r="A689" s="7" t="s">
        <v>3421</v>
      </c>
      <c r="B689" s="7" t="s">
        <v>3421</v>
      </c>
      <c r="C689" s="7" t="s">
        <v>3422</v>
      </c>
      <c r="D689" s="7" t="s">
        <v>3423</v>
      </c>
      <c r="E689" s="7" t="s">
        <v>33</v>
      </c>
      <c r="F689" s="7" t="s">
        <v>34</v>
      </c>
      <c r="G689" s="7" t="s">
        <v>35</v>
      </c>
      <c r="H689" s="7"/>
      <c r="I689" s="7"/>
      <c r="J689" s="7" t="s">
        <v>36</v>
      </c>
      <c r="K689" s="7" t="s">
        <v>213</v>
      </c>
      <c r="L689" s="7" t="s">
        <v>214</v>
      </c>
      <c r="M689" s="7" t="s">
        <v>215</v>
      </c>
      <c r="N689" s="7" t="s">
        <v>33</v>
      </c>
      <c r="O689" s="7">
        <v>1</v>
      </c>
      <c r="P689" s="7" t="s">
        <v>40</v>
      </c>
      <c r="Q689" s="7">
        <v>21.99</v>
      </c>
      <c r="R689" s="7"/>
      <c r="S689" s="7"/>
      <c r="T689" s="7"/>
      <c r="U689" s="7"/>
      <c r="V689" s="7"/>
      <c r="W689" s="7">
        <v>21.77</v>
      </c>
      <c r="X689" s="7"/>
      <c r="Y689" s="7" t="s">
        <v>2984</v>
      </c>
      <c r="Z689" s="7" t="s">
        <v>837</v>
      </c>
      <c r="AA689" s="7" t="s">
        <v>2985</v>
      </c>
      <c r="AB689" s="7" t="s">
        <v>44</v>
      </c>
      <c r="AC689" s="7" t="s">
        <v>209</v>
      </c>
      <c r="AD689" s="10"/>
      <c r="AE689" s="10"/>
      <c r="AF689" s="10"/>
      <c r="AG689" s="11">
        <f t="shared" si="10"/>
        <v>43278</v>
      </c>
    </row>
    <row r="690" s="8" customFormat="1" spans="1:33">
      <c r="A690" s="7" t="s">
        <v>3424</v>
      </c>
      <c r="B690" s="7" t="s">
        <v>3424</v>
      </c>
      <c r="C690" s="7" t="s">
        <v>3425</v>
      </c>
      <c r="D690" s="7" t="s">
        <v>3426</v>
      </c>
      <c r="E690" s="7" t="s">
        <v>33</v>
      </c>
      <c r="F690" s="7" t="s">
        <v>34</v>
      </c>
      <c r="G690" s="7" t="s">
        <v>35</v>
      </c>
      <c r="H690" s="7"/>
      <c r="I690" s="7"/>
      <c r="J690" s="7" t="s">
        <v>36</v>
      </c>
      <c r="K690" s="7" t="s">
        <v>226</v>
      </c>
      <c r="L690" s="7" t="s">
        <v>227</v>
      </c>
      <c r="M690" s="7" t="s">
        <v>228</v>
      </c>
      <c r="N690" s="7" t="s">
        <v>33</v>
      </c>
      <c r="O690" s="7">
        <v>1</v>
      </c>
      <c r="P690" s="7" t="s">
        <v>40</v>
      </c>
      <c r="Q690" s="7">
        <v>34.99</v>
      </c>
      <c r="R690" s="7"/>
      <c r="S690" s="7"/>
      <c r="T690" s="7"/>
      <c r="U690" s="7"/>
      <c r="V690" s="7"/>
      <c r="W690" s="7"/>
      <c r="X690" s="7"/>
      <c r="Y690" s="7" t="s">
        <v>3427</v>
      </c>
      <c r="Z690" s="7" t="s">
        <v>42</v>
      </c>
      <c r="AA690" s="7" t="s">
        <v>3428</v>
      </c>
      <c r="AB690" s="7" t="s">
        <v>44</v>
      </c>
      <c r="AC690" s="7"/>
      <c r="AD690" s="10"/>
      <c r="AE690" s="10"/>
      <c r="AF690" s="10"/>
      <c r="AG690" s="11">
        <f t="shared" si="10"/>
        <v>43278</v>
      </c>
    </row>
    <row r="691" s="8" customFormat="1" spans="1:33">
      <c r="A691" s="7" t="s">
        <v>3429</v>
      </c>
      <c r="B691" s="7" t="s">
        <v>3429</v>
      </c>
      <c r="C691" s="7" t="s">
        <v>3430</v>
      </c>
      <c r="D691" s="7" t="s">
        <v>3431</v>
      </c>
      <c r="E691" s="7" t="s">
        <v>54</v>
      </c>
      <c r="F691" s="7" t="s">
        <v>34</v>
      </c>
      <c r="G691" s="7" t="s">
        <v>35</v>
      </c>
      <c r="H691" s="7"/>
      <c r="I691" s="7"/>
      <c r="J691" s="7" t="s">
        <v>69</v>
      </c>
      <c r="K691" s="7" t="s">
        <v>235</v>
      </c>
      <c r="L691" s="7" t="s">
        <v>236</v>
      </c>
      <c r="M691" s="7" t="s">
        <v>237</v>
      </c>
      <c r="N691" s="7" t="s">
        <v>62</v>
      </c>
      <c r="O691" s="7">
        <v>1</v>
      </c>
      <c r="P691" s="7" t="s">
        <v>40</v>
      </c>
      <c r="Q691" s="7">
        <v>85.99</v>
      </c>
      <c r="R691" s="7"/>
      <c r="S691" s="7"/>
      <c r="T691" s="7"/>
      <c r="U691" s="7"/>
      <c r="V691" s="7"/>
      <c r="W691" s="7"/>
      <c r="X691" s="7"/>
      <c r="Y691" s="7" t="s">
        <v>3401</v>
      </c>
      <c r="Z691" s="7" t="s">
        <v>837</v>
      </c>
      <c r="AA691" s="7" t="s">
        <v>3402</v>
      </c>
      <c r="AB691" s="7" t="s">
        <v>44</v>
      </c>
      <c r="AC691" s="7"/>
      <c r="AD691" s="10"/>
      <c r="AE691" s="10"/>
      <c r="AF691" s="10"/>
      <c r="AG691" s="11">
        <f t="shared" si="10"/>
        <v>43278</v>
      </c>
    </row>
    <row r="692" s="8" customFormat="1" spans="1:33">
      <c r="A692" s="7" t="s">
        <v>3429</v>
      </c>
      <c r="B692" s="7" t="s">
        <v>3429</v>
      </c>
      <c r="C692" s="7" t="s">
        <v>3430</v>
      </c>
      <c r="D692" s="7" t="s">
        <v>3431</v>
      </c>
      <c r="E692" s="7" t="s">
        <v>54</v>
      </c>
      <c r="F692" s="7" t="s">
        <v>34</v>
      </c>
      <c r="G692" s="7" t="s">
        <v>35</v>
      </c>
      <c r="H692" s="7"/>
      <c r="I692" s="7"/>
      <c r="J692" s="7" t="s">
        <v>69</v>
      </c>
      <c r="K692" s="7" t="s">
        <v>59</v>
      </c>
      <c r="L692" s="7" t="s">
        <v>60</v>
      </c>
      <c r="M692" s="7" t="s">
        <v>61</v>
      </c>
      <c r="N692" s="7" t="s">
        <v>62</v>
      </c>
      <c r="O692" s="7">
        <v>1</v>
      </c>
      <c r="P692" s="7" t="s">
        <v>40</v>
      </c>
      <c r="Q692" s="7">
        <v>89.99</v>
      </c>
      <c r="R692" s="7"/>
      <c r="S692" s="7"/>
      <c r="T692" s="7"/>
      <c r="U692" s="7"/>
      <c r="V692" s="7"/>
      <c r="W692" s="7"/>
      <c r="X692" s="7"/>
      <c r="Y692" s="7" t="s">
        <v>3401</v>
      </c>
      <c r="Z692" s="7" t="s">
        <v>837</v>
      </c>
      <c r="AA692" s="7" t="s">
        <v>3402</v>
      </c>
      <c r="AB692" s="7" t="s">
        <v>44</v>
      </c>
      <c r="AC692" s="7"/>
      <c r="AD692" s="10"/>
      <c r="AE692" s="10"/>
      <c r="AF692" s="10"/>
      <c r="AG692" s="11">
        <f t="shared" si="10"/>
        <v>43278</v>
      </c>
    </row>
    <row r="693" s="8" customFormat="1" spans="1:33">
      <c r="A693" s="7" t="s">
        <v>3429</v>
      </c>
      <c r="B693" s="7" t="s">
        <v>3429</v>
      </c>
      <c r="C693" s="7" t="s">
        <v>3430</v>
      </c>
      <c r="D693" s="7" t="s">
        <v>3431</v>
      </c>
      <c r="E693" s="7" t="s">
        <v>54</v>
      </c>
      <c r="F693" s="7" t="s">
        <v>34</v>
      </c>
      <c r="G693" s="7" t="s">
        <v>35</v>
      </c>
      <c r="H693" s="7"/>
      <c r="I693" s="7"/>
      <c r="J693" s="7" t="s">
        <v>69</v>
      </c>
      <c r="K693" s="7" t="s">
        <v>1215</v>
      </c>
      <c r="L693" s="7" t="s">
        <v>1216</v>
      </c>
      <c r="M693" s="7" t="s">
        <v>1217</v>
      </c>
      <c r="N693" s="7" t="s">
        <v>62</v>
      </c>
      <c r="O693" s="7">
        <v>1</v>
      </c>
      <c r="P693" s="7" t="s">
        <v>40</v>
      </c>
      <c r="Q693" s="7">
        <v>99.99</v>
      </c>
      <c r="R693" s="7"/>
      <c r="S693" s="7"/>
      <c r="T693" s="7"/>
      <c r="U693" s="7"/>
      <c r="V693" s="7"/>
      <c r="W693" s="7"/>
      <c r="X693" s="7"/>
      <c r="Y693" s="7" t="s">
        <v>3401</v>
      </c>
      <c r="Z693" s="7" t="s">
        <v>837</v>
      </c>
      <c r="AA693" s="7" t="s">
        <v>3402</v>
      </c>
      <c r="AB693" s="7" t="s">
        <v>44</v>
      </c>
      <c r="AC693" s="7"/>
      <c r="AD693" s="10"/>
      <c r="AE693" s="10"/>
      <c r="AF693" s="10"/>
      <c r="AG693" s="11">
        <f t="shared" si="10"/>
        <v>43278</v>
      </c>
    </row>
    <row r="694" s="8" customFormat="1" spans="1:33">
      <c r="A694" s="7" t="s">
        <v>3429</v>
      </c>
      <c r="B694" s="7" t="s">
        <v>3429</v>
      </c>
      <c r="C694" s="7" t="s">
        <v>3430</v>
      </c>
      <c r="D694" s="7" t="s">
        <v>3431</v>
      </c>
      <c r="E694" s="7" t="s">
        <v>54</v>
      </c>
      <c r="F694" s="7" t="s">
        <v>34</v>
      </c>
      <c r="G694" s="7" t="s">
        <v>35</v>
      </c>
      <c r="H694" s="7"/>
      <c r="I694" s="7"/>
      <c r="J694" s="7" t="s">
        <v>69</v>
      </c>
      <c r="K694" s="7" t="s">
        <v>131</v>
      </c>
      <c r="L694" s="7" t="s">
        <v>132</v>
      </c>
      <c r="M694" s="7" t="s">
        <v>133</v>
      </c>
      <c r="N694" s="7" t="s">
        <v>62</v>
      </c>
      <c r="O694" s="7">
        <v>1</v>
      </c>
      <c r="P694" s="7" t="s">
        <v>40</v>
      </c>
      <c r="Q694" s="7">
        <v>89.99</v>
      </c>
      <c r="R694" s="7"/>
      <c r="S694" s="7"/>
      <c r="T694" s="7"/>
      <c r="U694" s="7"/>
      <c r="V694" s="7"/>
      <c r="W694" s="7"/>
      <c r="X694" s="7"/>
      <c r="Y694" s="7" t="s">
        <v>3401</v>
      </c>
      <c r="Z694" s="7" t="s">
        <v>837</v>
      </c>
      <c r="AA694" s="7" t="s">
        <v>3402</v>
      </c>
      <c r="AB694" s="7" t="s">
        <v>44</v>
      </c>
      <c r="AC694" s="7"/>
      <c r="AD694" s="10"/>
      <c r="AE694" s="10"/>
      <c r="AF694" s="10"/>
      <c r="AG694" s="11">
        <f t="shared" si="10"/>
        <v>43278</v>
      </c>
    </row>
    <row r="695" s="8" customFormat="1" spans="1:33">
      <c r="A695" s="7" t="s">
        <v>3429</v>
      </c>
      <c r="B695" s="7" t="s">
        <v>3429</v>
      </c>
      <c r="C695" s="7" t="s">
        <v>3430</v>
      </c>
      <c r="D695" s="7" t="s">
        <v>3431</v>
      </c>
      <c r="E695" s="7" t="s">
        <v>54</v>
      </c>
      <c r="F695" s="7" t="s">
        <v>34</v>
      </c>
      <c r="G695" s="7" t="s">
        <v>35</v>
      </c>
      <c r="H695" s="7"/>
      <c r="I695" s="7"/>
      <c r="J695" s="7" t="s">
        <v>69</v>
      </c>
      <c r="K695" s="7" t="s">
        <v>2310</v>
      </c>
      <c r="L695" s="7" t="s">
        <v>3277</v>
      </c>
      <c r="M695" s="7" t="s">
        <v>2312</v>
      </c>
      <c r="N695" s="7" t="s">
        <v>62</v>
      </c>
      <c r="O695" s="7">
        <v>1</v>
      </c>
      <c r="P695" s="7" t="s">
        <v>40</v>
      </c>
      <c r="Q695" s="7">
        <v>89.99</v>
      </c>
      <c r="R695" s="7"/>
      <c r="S695" s="7"/>
      <c r="T695" s="7"/>
      <c r="U695" s="7"/>
      <c r="V695" s="7"/>
      <c r="W695" s="7"/>
      <c r="X695" s="7"/>
      <c r="Y695" s="7" t="s">
        <v>3401</v>
      </c>
      <c r="Z695" s="7" t="s">
        <v>837</v>
      </c>
      <c r="AA695" s="7" t="s">
        <v>3402</v>
      </c>
      <c r="AB695" s="7" t="s">
        <v>44</v>
      </c>
      <c r="AC695" s="7"/>
      <c r="AD695" s="10"/>
      <c r="AE695" s="10"/>
      <c r="AF695" s="10"/>
      <c r="AG695" s="11">
        <f t="shared" si="10"/>
        <v>43278</v>
      </c>
    </row>
    <row r="696" s="8" customFormat="1" spans="1:33">
      <c r="A696" s="7" t="s">
        <v>3432</v>
      </c>
      <c r="B696" s="7" t="s">
        <v>3432</v>
      </c>
      <c r="C696" s="7" t="s">
        <v>3433</v>
      </c>
      <c r="D696" s="7" t="s">
        <v>3434</v>
      </c>
      <c r="E696" s="7" t="s">
        <v>54</v>
      </c>
      <c r="F696" s="7" t="s">
        <v>34</v>
      </c>
      <c r="G696" s="7" t="s">
        <v>35</v>
      </c>
      <c r="H696" s="7"/>
      <c r="I696" s="7"/>
      <c r="J696" s="7" t="s">
        <v>163</v>
      </c>
      <c r="K696" s="7" t="s">
        <v>2035</v>
      </c>
      <c r="L696" s="7" t="s">
        <v>89</v>
      </c>
      <c r="M696" s="7" t="s">
        <v>90</v>
      </c>
      <c r="N696" s="7" t="s">
        <v>62</v>
      </c>
      <c r="O696" s="7">
        <v>1</v>
      </c>
      <c r="P696" s="7" t="s">
        <v>40</v>
      </c>
      <c r="Q696" s="7">
        <v>89.99</v>
      </c>
      <c r="R696" s="7"/>
      <c r="S696" s="7"/>
      <c r="T696" s="7"/>
      <c r="U696" s="7"/>
      <c r="V696" s="7"/>
      <c r="W696" s="7"/>
      <c r="X696" s="7"/>
      <c r="Y696" s="7" t="s">
        <v>3435</v>
      </c>
      <c r="Z696" s="7" t="s">
        <v>64</v>
      </c>
      <c r="AA696" s="7" t="s">
        <v>3436</v>
      </c>
      <c r="AB696" s="7" t="s">
        <v>44</v>
      </c>
      <c r="AC696" s="7"/>
      <c r="AD696" s="10"/>
      <c r="AE696" s="10"/>
      <c r="AF696" s="10"/>
      <c r="AG696" s="11">
        <f t="shared" si="10"/>
        <v>43278</v>
      </c>
    </row>
    <row r="697" s="8" customFormat="1" spans="1:33">
      <c r="A697" s="7" t="s">
        <v>3437</v>
      </c>
      <c r="B697" s="7" t="s">
        <v>3437</v>
      </c>
      <c r="C697" s="7" t="s">
        <v>3438</v>
      </c>
      <c r="D697" s="7" t="s">
        <v>3439</v>
      </c>
      <c r="E697" s="7" t="s">
        <v>33</v>
      </c>
      <c r="F697" s="7" t="s">
        <v>34</v>
      </c>
      <c r="G697" s="7" t="s">
        <v>35</v>
      </c>
      <c r="H697" s="7"/>
      <c r="I697" s="7"/>
      <c r="J697" s="7" t="s">
        <v>36</v>
      </c>
      <c r="K697" s="7" t="s">
        <v>79</v>
      </c>
      <c r="L697" s="7" t="s">
        <v>80</v>
      </c>
      <c r="M697" s="7" t="s">
        <v>81</v>
      </c>
      <c r="N697" s="7" t="s">
        <v>33</v>
      </c>
      <c r="O697" s="7">
        <v>1</v>
      </c>
      <c r="P697" s="7" t="s">
        <v>40</v>
      </c>
      <c r="Q697" s="7">
        <v>91.99</v>
      </c>
      <c r="R697" s="7"/>
      <c r="S697" s="7"/>
      <c r="T697" s="7"/>
      <c r="U697" s="7"/>
      <c r="V697" s="7"/>
      <c r="W697" s="7"/>
      <c r="X697" s="7"/>
      <c r="Y697" s="7" t="s">
        <v>3440</v>
      </c>
      <c r="Z697" s="7" t="s">
        <v>613</v>
      </c>
      <c r="AA697" s="7" t="s">
        <v>3441</v>
      </c>
      <c r="AB697" s="7" t="s">
        <v>44</v>
      </c>
      <c r="AC697" s="7"/>
      <c r="AD697" s="10"/>
      <c r="AE697" s="10"/>
      <c r="AF697" s="10"/>
      <c r="AG697" s="11">
        <f t="shared" si="10"/>
        <v>43278</v>
      </c>
    </row>
    <row r="698" s="8" customFormat="1" spans="1:33">
      <c r="A698" s="7" t="s">
        <v>3442</v>
      </c>
      <c r="B698" s="7" t="s">
        <v>3442</v>
      </c>
      <c r="C698" s="7" t="s">
        <v>3443</v>
      </c>
      <c r="D698" s="7" t="s">
        <v>3444</v>
      </c>
      <c r="E698" s="7" t="s">
        <v>33</v>
      </c>
      <c r="F698" s="7" t="s">
        <v>34</v>
      </c>
      <c r="G698" s="7" t="s">
        <v>35</v>
      </c>
      <c r="H698" s="7"/>
      <c r="I698" s="7"/>
      <c r="J698" s="7" t="s">
        <v>36</v>
      </c>
      <c r="K698" s="7" t="s">
        <v>79</v>
      </c>
      <c r="L698" s="7" t="s">
        <v>80</v>
      </c>
      <c r="M698" s="7" t="s">
        <v>81</v>
      </c>
      <c r="N698" s="7" t="s">
        <v>33</v>
      </c>
      <c r="O698" s="7">
        <v>1</v>
      </c>
      <c r="P698" s="7" t="s">
        <v>40</v>
      </c>
      <c r="Q698" s="7">
        <v>91.99</v>
      </c>
      <c r="R698" s="7"/>
      <c r="S698" s="7"/>
      <c r="T698" s="7"/>
      <c r="U698" s="7"/>
      <c r="V698" s="7"/>
      <c r="W698" s="7"/>
      <c r="X698" s="7"/>
      <c r="Y698" s="7" t="s">
        <v>3445</v>
      </c>
      <c r="Z698" s="7" t="s">
        <v>42</v>
      </c>
      <c r="AA698" s="7" t="s">
        <v>3446</v>
      </c>
      <c r="AB698" s="7" t="s">
        <v>44</v>
      </c>
      <c r="AC698" s="7"/>
      <c r="AD698" s="10"/>
      <c r="AE698" s="10"/>
      <c r="AF698" s="10"/>
      <c r="AG698" s="11">
        <f t="shared" si="10"/>
        <v>43278</v>
      </c>
    </row>
    <row r="699" s="8" customFormat="1" spans="1:33">
      <c r="A699" s="7" t="s">
        <v>3447</v>
      </c>
      <c r="B699" s="7" t="s">
        <v>3447</v>
      </c>
      <c r="C699" s="7" t="s">
        <v>3448</v>
      </c>
      <c r="D699" s="7" t="s">
        <v>3449</v>
      </c>
      <c r="E699" s="7" t="s">
        <v>33</v>
      </c>
      <c r="F699" s="7" t="s">
        <v>34</v>
      </c>
      <c r="G699" s="7" t="s">
        <v>35</v>
      </c>
      <c r="H699" s="7"/>
      <c r="I699" s="7"/>
      <c r="J699" s="7" t="s">
        <v>36</v>
      </c>
      <c r="K699" s="7" t="s">
        <v>79</v>
      </c>
      <c r="L699" s="7" t="s">
        <v>80</v>
      </c>
      <c r="M699" s="7" t="s">
        <v>81</v>
      </c>
      <c r="N699" s="7" t="s">
        <v>33</v>
      </c>
      <c r="O699" s="7">
        <v>1</v>
      </c>
      <c r="P699" s="7" t="s">
        <v>40</v>
      </c>
      <c r="Q699" s="7">
        <v>91.99</v>
      </c>
      <c r="R699" s="7"/>
      <c r="S699" s="7"/>
      <c r="T699" s="7"/>
      <c r="U699" s="7"/>
      <c r="V699" s="7"/>
      <c r="W699" s="7"/>
      <c r="X699" s="7"/>
      <c r="Y699" s="7" t="s">
        <v>1417</v>
      </c>
      <c r="Z699" s="7" t="s">
        <v>484</v>
      </c>
      <c r="AA699" s="7" t="s">
        <v>3450</v>
      </c>
      <c r="AB699" s="7" t="s">
        <v>44</v>
      </c>
      <c r="AC699" s="7"/>
      <c r="AD699" s="10"/>
      <c r="AE699" s="10"/>
      <c r="AF699" s="10"/>
      <c r="AG699" s="11">
        <f t="shared" si="10"/>
        <v>43278</v>
      </c>
    </row>
    <row r="700" s="8" customFormat="1" spans="1:33">
      <c r="A700" s="7" t="s">
        <v>3451</v>
      </c>
      <c r="B700" s="7" t="s">
        <v>3451</v>
      </c>
      <c r="C700" s="7" t="s">
        <v>3452</v>
      </c>
      <c r="D700" s="7" t="s">
        <v>3453</v>
      </c>
      <c r="E700" s="7" t="s">
        <v>33</v>
      </c>
      <c r="F700" s="7" t="s">
        <v>34</v>
      </c>
      <c r="G700" s="7" t="s">
        <v>35</v>
      </c>
      <c r="H700" s="7"/>
      <c r="I700" s="7"/>
      <c r="J700" s="7" t="s">
        <v>36</v>
      </c>
      <c r="K700" s="7" t="s">
        <v>3454</v>
      </c>
      <c r="L700" s="7" t="s">
        <v>3455</v>
      </c>
      <c r="M700" s="7" t="s">
        <v>3456</v>
      </c>
      <c r="N700" s="7" t="s">
        <v>33</v>
      </c>
      <c r="O700" s="7">
        <v>1</v>
      </c>
      <c r="P700" s="7" t="s">
        <v>40</v>
      </c>
      <c r="Q700" s="7">
        <v>79.99</v>
      </c>
      <c r="R700" s="7"/>
      <c r="S700" s="7"/>
      <c r="T700" s="7"/>
      <c r="U700" s="7"/>
      <c r="V700" s="7"/>
      <c r="W700" s="7"/>
      <c r="X700" s="7"/>
      <c r="Y700" s="7" t="s">
        <v>621</v>
      </c>
      <c r="Z700" s="7" t="s">
        <v>391</v>
      </c>
      <c r="AA700" s="7" t="s">
        <v>3457</v>
      </c>
      <c r="AB700" s="7" t="s">
        <v>44</v>
      </c>
      <c r="AC700" s="7"/>
      <c r="AD700" s="10"/>
      <c r="AE700" s="10"/>
      <c r="AF700" s="10"/>
      <c r="AG700" s="11">
        <f t="shared" si="10"/>
        <v>43278</v>
      </c>
    </row>
    <row r="701" s="8" customFormat="1" spans="1:33">
      <c r="A701" s="7" t="s">
        <v>3458</v>
      </c>
      <c r="B701" s="7" t="s">
        <v>3458</v>
      </c>
      <c r="C701" s="7" t="s">
        <v>3459</v>
      </c>
      <c r="D701" s="7" t="s">
        <v>3460</v>
      </c>
      <c r="E701" s="7" t="s">
        <v>33</v>
      </c>
      <c r="F701" s="7" t="s">
        <v>34</v>
      </c>
      <c r="G701" s="7" t="s">
        <v>35</v>
      </c>
      <c r="H701" s="7"/>
      <c r="I701" s="7"/>
      <c r="J701" s="7" t="s">
        <v>36</v>
      </c>
      <c r="K701" s="7" t="s">
        <v>2398</v>
      </c>
      <c r="L701" s="7" t="s">
        <v>2399</v>
      </c>
      <c r="M701" s="7" t="s">
        <v>2400</v>
      </c>
      <c r="N701" s="7" t="s">
        <v>33</v>
      </c>
      <c r="O701" s="7">
        <v>1</v>
      </c>
      <c r="P701" s="7" t="s">
        <v>40</v>
      </c>
      <c r="Q701" s="7">
        <v>34.99</v>
      </c>
      <c r="R701" s="7"/>
      <c r="S701" s="7"/>
      <c r="T701" s="7"/>
      <c r="U701" s="7"/>
      <c r="V701" s="7"/>
      <c r="W701" s="7"/>
      <c r="X701" s="7"/>
      <c r="Y701" s="7" t="s">
        <v>2053</v>
      </c>
      <c r="Z701" s="7" t="s">
        <v>42</v>
      </c>
      <c r="AA701" s="7" t="s">
        <v>3461</v>
      </c>
      <c r="AB701" s="7" t="s">
        <v>44</v>
      </c>
      <c r="AC701" s="7"/>
      <c r="AD701" s="10"/>
      <c r="AE701" s="10"/>
      <c r="AF701" s="10"/>
      <c r="AG701" s="11">
        <f t="shared" si="10"/>
        <v>43278</v>
      </c>
    </row>
    <row r="702" s="8" customFormat="1" spans="1:33">
      <c r="A702" s="7" t="s">
        <v>3462</v>
      </c>
      <c r="B702" s="7" t="s">
        <v>3462</v>
      </c>
      <c r="C702" s="7" t="s">
        <v>3463</v>
      </c>
      <c r="D702" s="7" t="s">
        <v>3464</v>
      </c>
      <c r="E702" s="7" t="s">
        <v>33</v>
      </c>
      <c r="F702" s="7" t="s">
        <v>34</v>
      </c>
      <c r="G702" s="7" t="s">
        <v>35</v>
      </c>
      <c r="H702" s="7"/>
      <c r="I702" s="7"/>
      <c r="J702" s="7" t="s">
        <v>36</v>
      </c>
      <c r="K702" s="7" t="s">
        <v>642</v>
      </c>
      <c r="L702" s="7" t="s">
        <v>643</v>
      </c>
      <c r="M702" s="7" t="s">
        <v>644</v>
      </c>
      <c r="N702" s="7" t="s">
        <v>33</v>
      </c>
      <c r="O702" s="7">
        <v>1</v>
      </c>
      <c r="P702" s="7" t="s">
        <v>40</v>
      </c>
      <c r="Q702" s="7">
        <v>21.99</v>
      </c>
      <c r="R702" s="7"/>
      <c r="S702" s="7"/>
      <c r="T702" s="7"/>
      <c r="U702" s="7"/>
      <c r="V702" s="7"/>
      <c r="W702" s="7">
        <v>21.77</v>
      </c>
      <c r="X702" s="7"/>
      <c r="Y702" s="7" t="s">
        <v>1963</v>
      </c>
      <c r="Z702" s="7" t="s">
        <v>83</v>
      </c>
      <c r="AA702" s="7" t="s">
        <v>1964</v>
      </c>
      <c r="AB702" s="7" t="s">
        <v>44</v>
      </c>
      <c r="AC702" s="7" t="s">
        <v>209</v>
      </c>
      <c r="AD702" s="10"/>
      <c r="AE702" s="10"/>
      <c r="AF702" s="10"/>
      <c r="AG702" s="11">
        <f t="shared" si="10"/>
        <v>43278</v>
      </c>
    </row>
    <row r="703" s="8" customFormat="1" spans="1:33">
      <c r="A703" s="7" t="s">
        <v>3465</v>
      </c>
      <c r="B703" s="7" t="s">
        <v>3465</v>
      </c>
      <c r="C703" s="7" t="s">
        <v>3466</v>
      </c>
      <c r="D703" s="7" t="s">
        <v>3467</v>
      </c>
      <c r="E703" s="7" t="s">
        <v>33</v>
      </c>
      <c r="F703" s="7" t="s">
        <v>34</v>
      </c>
      <c r="G703" s="7" t="s">
        <v>35</v>
      </c>
      <c r="H703" s="7"/>
      <c r="I703" s="7"/>
      <c r="J703" s="7" t="s">
        <v>36</v>
      </c>
      <c r="K703" s="7" t="s">
        <v>1517</v>
      </c>
      <c r="L703" s="7" t="s">
        <v>1518</v>
      </c>
      <c r="M703" s="7" t="s">
        <v>1519</v>
      </c>
      <c r="N703" s="7" t="s">
        <v>33</v>
      </c>
      <c r="O703" s="7">
        <v>1</v>
      </c>
      <c r="P703" s="7" t="s">
        <v>40</v>
      </c>
      <c r="Q703" s="7">
        <v>89.99</v>
      </c>
      <c r="R703" s="7"/>
      <c r="S703" s="7"/>
      <c r="T703" s="7"/>
      <c r="U703" s="7"/>
      <c r="V703" s="7"/>
      <c r="W703" s="7"/>
      <c r="X703" s="7"/>
      <c r="Y703" s="7" t="s">
        <v>3468</v>
      </c>
      <c r="Z703" s="7" t="s">
        <v>83</v>
      </c>
      <c r="AA703" s="7" t="s">
        <v>3469</v>
      </c>
      <c r="AB703" s="7" t="s">
        <v>44</v>
      </c>
      <c r="AC703" s="7"/>
      <c r="AD703" s="10"/>
      <c r="AE703" s="10"/>
      <c r="AF703" s="10"/>
      <c r="AG703" s="11">
        <f t="shared" si="10"/>
        <v>43278</v>
      </c>
    </row>
    <row r="704" s="8" customFormat="1" spans="1:33">
      <c r="A704" s="7" t="s">
        <v>3470</v>
      </c>
      <c r="B704" s="7" t="s">
        <v>3470</v>
      </c>
      <c r="C704" s="7" t="s">
        <v>3471</v>
      </c>
      <c r="D704" s="7" t="s">
        <v>3472</v>
      </c>
      <c r="E704" s="7" t="s">
        <v>33</v>
      </c>
      <c r="F704" s="7" t="s">
        <v>34</v>
      </c>
      <c r="G704" s="7" t="s">
        <v>35</v>
      </c>
      <c r="H704" s="7"/>
      <c r="I704" s="7"/>
      <c r="J704" s="7" t="s">
        <v>36</v>
      </c>
      <c r="K704" s="7" t="s">
        <v>2459</v>
      </c>
      <c r="L704" s="7" t="s">
        <v>365</v>
      </c>
      <c r="M704" s="7" t="s">
        <v>366</v>
      </c>
      <c r="N704" s="7" t="s">
        <v>33</v>
      </c>
      <c r="O704" s="7">
        <v>1</v>
      </c>
      <c r="P704" s="7" t="s">
        <v>40</v>
      </c>
      <c r="Q704" s="7">
        <v>89.99</v>
      </c>
      <c r="R704" s="7"/>
      <c r="S704" s="7"/>
      <c r="T704" s="7"/>
      <c r="U704" s="7"/>
      <c r="V704" s="7"/>
      <c r="W704" s="7"/>
      <c r="X704" s="7"/>
      <c r="Y704" s="7" t="s">
        <v>51</v>
      </c>
      <c r="Z704" s="7" t="s">
        <v>52</v>
      </c>
      <c r="AA704" s="7" t="s">
        <v>3473</v>
      </c>
      <c r="AB704" s="7" t="s">
        <v>44</v>
      </c>
      <c r="AC704" s="7"/>
      <c r="AD704" s="10"/>
      <c r="AE704" s="10"/>
      <c r="AF704" s="10"/>
      <c r="AG704" s="11">
        <f t="shared" si="10"/>
        <v>43278</v>
      </c>
    </row>
    <row r="705" s="8" customFormat="1" spans="1:33">
      <c r="A705" s="7" t="s">
        <v>3474</v>
      </c>
      <c r="B705" s="7" t="s">
        <v>3474</v>
      </c>
      <c r="C705" s="7" t="s">
        <v>3475</v>
      </c>
      <c r="D705" s="7" t="s">
        <v>3476</v>
      </c>
      <c r="E705" s="7" t="s">
        <v>33</v>
      </c>
      <c r="F705" s="7" t="s">
        <v>34</v>
      </c>
      <c r="G705" s="7" t="s">
        <v>35</v>
      </c>
      <c r="H705" s="7"/>
      <c r="I705" s="7"/>
      <c r="J705" s="7" t="s">
        <v>36</v>
      </c>
      <c r="K705" s="7" t="s">
        <v>148</v>
      </c>
      <c r="L705" s="7" t="s">
        <v>149</v>
      </c>
      <c r="M705" s="7" t="s">
        <v>150</v>
      </c>
      <c r="N705" s="7" t="s">
        <v>33</v>
      </c>
      <c r="O705" s="7">
        <v>1</v>
      </c>
      <c r="P705" s="7" t="s">
        <v>40</v>
      </c>
      <c r="Q705" s="7">
        <v>98.99</v>
      </c>
      <c r="R705" s="7"/>
      <c r="S705" s="7"/>
      <c r="T705" s="7"/>
      <c r="U705" s="7"/>
      <c r="V705" s="7"/>
      <c r="W705" s="7"/>
      <c r="X705" s="7"/>
      <c r="Y705" s="7" t="s">
        <v>3477</v>
      </c>
      <c r="Z705" s="7" t="s">
        <v>497</v>
      </c>
      <c r="AA705" s="7" t="s">
        <v>3478</v>
      </c>
      <c r="AB705" s="7" t="s">
        <v>44</v>
      </c>
      <c r="AC705" s="7"/>
      <c r="AD705" s="10"/>
      <c r="AE705" s="10"/>
      <c r="AF705" s="10"/>
      <c r="AG705" s="11">
        <f t="shared" si="10"/>
        <v>43278</v>
      </c>
    </row>
    <row r="706" s="8" customFormat="1" spans="1:33">
      <c r="A706" s="7" t="s">
        <v>3479</v>
      </c>
      <c r="B706" s="7" t="s">
        <v>3479</v>
      </c>
      <c r="C706" s="7" t="s">
        <v>3480</v>
      </c>
      <c r="D706" s="7" t="s">
        <v>3481</v>
      </c>
      <c r="E706" s="7" t="s">
        <v>33</v>
      </c>
      <c r="F706" s="7" t="s">
        <v>34</v>
      </c>
      <c r="G706" s="7" t="s">
        <v>35</v>
      </c>
      <c r="H706" s="7"/>
      <c r="I706" s="7"/>
      <c r="J706" s="7" t="s">
        <v>36</v>
      </c>
      <c r="K706" s="7" t="s">
        <v>2035</v>
      </c>
      <c r="L706" s="7" t="s">
        <v>89</v>
      </c>
      <c r="M706" s="7" t="s">
        <v>90</v>
      </c>
      <c r="N706" s="7" t="s">
        <v>33</v>
      </c>
      <c r="O706" s="7">
        <v>1</v>
      </c>
      <c r="P706" s="7" t="s">
        <v>40</v>
      </c>
      <c r="Q706" s="7">
        <v>89.99</v>
      </c>
      <c r="R706" s="7"/>
      <c r="S706" s="7"/>
      <c r="T706" s="7"/>
      <c r="U706" s="7"/>
      <c r="V706" s="7"/>
      <c r="W706" s="7"/>
      <c r="X706" s="7"/>
      <c r="Y706" s="7" t="s">
        <v>1444</v>
      </c>
      <c r="Z706" s="7" t="s">
        <v>52</v>
      </c>
      <c r="AA706" s="7" t="s">
        <v>3482</v>
      </c>
      <c r="AB706" s="7" t="s">
        <v>44</v>
      </c>
      <c r="AC706" s="7"/>
      <c r="AD706" s="10"/>
      <c r="AE706" s="10"/>
      <c r="AF706" s="10"/>
      <c r="AG706" s="11">
        <f t="shared" ref="AG706:AG769" si="11">DATEVALUE(LEFT(C706,10))</f>
        <v>43278</v>
      </c>
    </row>
    <row r="707" s="8" customFormat="1" spans="1:33">
      <c r="A707" s="7" t="s">
        <v>3483</v>
      </c>
      <c r="B707" s="7" t="s">
        <v>3483</v>
      </c>
      <c r="C707" s="7" t="s">
        <v>3484</v>
      </c>
      <c r="D707" s="7" t="s">
        <v>3485</v>
      </c>
      <c r="E707" s="7" t="s">
        <v>33</v>
      </c>
      <c r="F707" s="7" t="s">
        <v>34</v>
      </c>
      <c r="G707" s="7" t="s">
        <v>35</v>
      </c>
      <c r="H707" s="7"/>
      <c r="I707" s="7"/>
      <c r="J707" s="7" t="s">
        <v>36</v>
      </c>
      <c r="K707" s="7" t="s">
        <v>131</v>
      </c>
      <c r="L707" s="7" t="s">
        <v>132</v>
      </c>
      <c r="M707" s="7" t="s">
        <v>133</v>
      </c>
      <c r="N707" s="7" t="s">
        <v>33</v>
      </c>
      <c r="O707" s="7">
        <v>1</v>
      </c>
      <c r="P707" s="7" t="s">
        <v>40</v>
      </c>
      <c r="Q707" s="7">
        <v>89.99</v>
      </c>
      <c r="R707" s="7"/>
      <c r="S707" s="7"/>
      <c r="T707" s="7"/>
      <c r="U707" s="7"/>
      <c r="V707" s="7"/>
      <c r="W707" s="7"/>
      <c r="X707" s="7"/>
      <c r="Y707" s="7" t="s">
        <v>2460</v>
      </c>
      <c r="Z707" s="7" t="s">
        <v>42</v>
      </c>
      <c r="AA707" s="7" t="s">
        <v>3486</v>
      </c>
      <c r="AB707" s="7" t="s">
        <v>44</v>
      </c>
      <c r="AC707" s="7"/>
      <c r="AD707" s="10"/>
      <c r="AE707" s="10"/>
      <c r="AF707" s="10"/>
      <c r="AG707" s="11">
        <f t="shared" si="11"/>
        <v>43278</v>
      </c>
    </row>
    <row r="708" s="8" customFormat="1" spans="1:33">
      <c r="A708" s="7" t="s">
        <v>3487</v>
      </c>
      <c r="B708" s="7" t="s">
        <v>3487</v>
      </c>
      <c r="C708" s="7" t="s">
        <v>3488</v>
      </c>
      <c r="D708" s="7" t="s">
        <v>3489</v>
      </c>
      <c r="E708" s="7" t="s">
        <v>33</v>
      </c>
      <c r="F708" s="7" t="s">
        <v>34</v>
      </c>
      <c r="G708" s="7" t="s">
        <v>35</v>
      </c>
      <c r="H708" s="7"/>
      <c r="I708" s="7"/>
      <c r="J708" s="7" t="s">
        <v>36</v>
      </c>
      <c r="K708" s="7" t="s">
        <v>213</v>
      </c>
      <c r="L708" s="7" t="s">
        <v>214</v>
      </c>
      <c r="M708" s="7" t="s">
        <v>215</v>
      </c>
      <c r="N708" s="7" t="s">
        <v>33</v>
      </c>
      <c r="O708" s="7">
        <v>1</v>
      </c>
      <c r="P708" s="7" t="s">
        <v>40</v>
      </c>
      <c r="Q708" s="7">
        <v>21.99</v>
      </c>
      <c r="R708" s="7"/>
      <c r="S708" s="7"/>
      <c r="T708" s="7"/>
      <c r="U708" s="7"/>
      <c r="V708" s="7"/>
      <c r="W708" s="7"/>
      <c r="X708" s="7"/>
      <c r="Y708" s="7" t="s">
        <v>421</v>
      </c>
      <c r="Z708" s="7" t="s">
        <v>42</v>
      </c>
      <c r="AA708" s="7" t="s">
        <v>3490</v>
      </c>
      <c r="AB708" s="7" t="s">
        <v>44</v>
      </c>
      <c r="AC708" s="7"/>
      <c r="AD708" s="10"/>
      <c r="AE708" s="10"/>
      <c r="AF708" s="10"/>
      <c r="AG708" s="11">
        <f t="shared" si="11"/>
        <v>43278</v>
      </c>
    </row>
    <row r="709" s="8" customFormat="1" spans="1:33">
      <c r="A709" s="7" t="s">
        <v>3491</v>
      </c>
      <c r="B709" s="7" t="s">
        <v>3491</v>
      </c>
      <c r="C709" s="7" t="s">
        <v>3492</v>
      </c>
      <c r="D709" s="7" t="s">
        <v>3493</v>
      </c>
      <c r="E709" s="7" t="s">
        <v>33</v>
      </c>
      <c r="F709" s="7" t="s">
        <v>34</v>
      </c>
      <c r="G709" s="7" t="s">
        <v>35</v>
      </c>
      <c r="H709" s="7"/>
      <c r="I709" s="7"/>
      <c r="J709" s="7" t="s">
        <v>36</v>
      </c>
      <c r="K709" s="7" t="s">
        <v>457</v>
      </c>
      <c r="L709" s="7" t="s">
        <v>458</v>
      </c>
      <c r="M709" s="7" t="s">
        <v>459</v>
      </c>
      <c r="N709" s="7" t="s">
        <v>33</v>
      </c>
      <c r="O709" s="7">
        <v>1</v>
      </c>
      <c r="P709" s="7" t="s">
        <v>40</v>
      </c>
      <c r="Q709" s="7">
        <v>79.99</v>
      </c>
      <c r="R709" s="7"/>
      <c r="S709" s="7"/>
      <c r="T709" s="7"/>
      <c r="U709" s="7"/>
      <c r="V709" s="7"/>
      <c r="W709" s="7"/>
      <c r="X709" s="7"/>
      <c r="Y709" s="7" t="s">
        <v>3494</v>
      </c>
      <c r="Z709" s="7" t="s">
        <v>1536</v>
      </c>
      <c r="AA709" s="7" t="s">
        <v>3495</v>
      </c>
      <c r="AB709" s="7" t="s">
        <v>44</v>
      </c>
      <c r="AC709" s="7"/>
      <c r="AD709" s="10"/>
      <c r="AE709" s="10"/>
      <c r="AF709" s="10"/>
      <c r="AG709" s="11">
        <f t="shared" si="11"/>
        <v>43278</v>
      </c>
    </row>
    <row r="710" s="8" customFormat="1" spans="1:33">
      <c r="A710" s="7" t="s">
        <v>3496</v>
      </c>
      <c r="B710" s="7" t="s">
        <v>3496</v>
      </c>
      <c r="C710" s="7" t="s">
        <v>3497</v>
      </c>
      <c r="D710" s="7" t="s">
        <v>3498</v>
      </c>
      <c r="E710" s="7" t="s">
        <v>33</v>
      </c>
      <c r="F710" s="7" t="s">
        <v>34</v>
      </c>
      <c r="G710" s="7" t="s">
        <v>35</v>
      </c>
      <c r="H710" s="7"/>
      <c r="I710" s="7"/>
      <c r="J710" s="7" t="s">
        <v>58</v>
      </c>
      <c r="K710" s="7" t="s">
        <v>3499</v>
      </c>
      <c r="L710" s="7" t="s">
        <v>3059</v>
      </c>
      <c r="M710" s="7" t="s">
        <v>3060</v>
      </c>
      <c r="N710" s="7" t="s">
        <v>33</v>
      </c>
      <c r="O710" s="7">
        <v>1</v>
      </c>
      <c r="P710" s="7" t="s">
        <v>40</v>
      </c>
      <c r="Q710" s="7">
        <v>85.99</v>
      </c>
      <c r="R710" s="7"/>
      <c r="S710" s="7">
        <v>5.99</v>
      </c>
      <c r="T710" s="7"/>
      <c r="U710" s="7"/>
      <c r="V710" s="7"/>
      <c r="W710" s="7"/>
      <c r="X710" s="7"/>
      <c r="Y710" s="7" t="s">
        <v>3500</v>
      </c>
      <c r="Z710" s="7" t="s">
        <v>484</v>
      </c>
      <c r="AA710" s="7" t="s">
        <v>3501</v>
      </c>
      <c r="AB710" s="7" t="s">
        <v>44</v>
      </c>
      <c r="AC710" s="7"/>
      <c r="AD710" s="10"/>
      <c r="AE710" s="10"/>
      <c r="AF710" s="10"/>
      <c r="AG710" s="11">
        <f t="shared" si="11"/>
        <v>43278</v>
      </c>
    </row>
    <row r="711" s="8" customFormat="1" spans="1:33">
      <c r="A711" s="7" t="s">
        <v>3502</v>
      </c>
      <c r="B711" s="7" t="s">
        <v>3502</v>
      </c>
      <c r="C711" s="7" t="s">
        <v>3503</v>
      </c>
      <c r="D711" s="7" t="s">
        <v>3504</v>
      </c>
      <c r="E711" s="7" t="s">
        <v>33</v>
      </c>
      <c r="F711" s="7" t="s">
        <v>34</v>
      </c>
      <c r="G711" s="7" t="s">
        <v>35</v>
      </c>
      <c r="H711" s="7"/>
      <c r="I711" s="7"/>
      <c r="J711" s="7" t="s">
        <v>69</v>
      </c>
      <c r="K711" s="7" t="s">
        <v>431</v>
      </c>
      <c r="L711" s="7" t="s">
        <v>432</v>
      </c>
      <c r="M711" s="7" t="s">
        <v>433</v>
      </c>
      <c r="N711" s="7" t="s">
        <v>33</v>
      </c>
      <c r="O711" s="7">
        <v>1</v>
      </c>
      <c r="P711" s="7" t="s">
        <v>40</v>
      </c>
      <c r="Q711" s="7">
        <v>89.99</v>
      </c>
      <c r="R711" s="7">
        <v>5.4</v>
      </c>
      <c r="S711" s="7">
        <v>8.45</v>
      </c>
      <c r="T711" s="7">
        <v>0.51</v>
      </c>
      <c r="U711" s="7"/>
      <c r="V711" s="7"/>
      <c r="W711" s="7"/>
      <c r="X711" s="7"/>
      <c r="Y711" s="7" t="s">
        <v>3505</v>
      </c>
      <c r="Z711" s="7" t="s">
        <v>880</v>
      </c>
      <c r="AA711" s="7" t="s">
        <v>3506</v>
      </c>
      <c r="AB711" s="7" t="s">
        <v>44</v>
      </c>
      <c r="AC711" s="7"/>
      <c r="AD711" s="10"/>
      <c r="AE711" s="10"/>
      <c r="AF711" s="10"/>
      <c r="AG711" s="11">
        <f t="shared" si="11"/>
        <v>43278</v>
      </c>
    </row>
    <row r="712" s="8" customFormat="1" spans="1:33">
      <c r="A712" s="7" t="s">
        <v>3507</v>
      </c>
      <c r="B712" s="7" t="s">
        <v>3507</v>
      </c>
      <c r="C712" s="7" t="s">
        <v>3508</v>
      </c>
      <c r="D712" s="7" t="s">
        <v>3509</v>
      </c>
      <c r="E712" s="7" t="s">
        <v>33</v>
      </c>
      <c r="F712" s="7" t="s">
        <v>34</v>
      </c>
      <c r="G712" s="7" t="s">
        <v>35</v>
      </c>
      <c r="H712" s="7"/>
      <c r="I712" s="7"/>
      <c r="J712" s="7" t="s">
        <v>36</v>
      </c>
      <c r="K712" s="7" t="s">
        <v>79</v>
      </c>
      <c r="L712" s="7" t="s">
        <v>80</v>
      </c>
      <c r="M712" s="7" t="s">
        <v>81</v>
      </c>
      <c r="N712" s="7" t="s">
        <v>33</v>
      </c>
      <c r="O712" s="7">
        <v>1</v>
      </c>
      <c r="P712" s="7" t="s">
        <v>40</v>
      </c>
      <c r="Q712" s="7">
        <v>91.99</v>
      </c>
      <c r="R712" s="7"/>
      <c r="S712" s="7"/>
      <c r="T712" s="7"/>
      <c r="U712" s="7"/>
      <c r="V712" s="7"/>
      <c r="W712" s="7"/>
      <c r="X712" s="7"/>
      <c r="Y712" s="7" t="s">
        <v>2905</v>
      </c>
      <c r="Z712" s="7" t="s">
        <v>466</v>
      </c>
      <c r="AA712" s="7" t="s">
        <v>3510</v>
      </c>
      <c r="AB712" s="7" t="s">
        <v>44</v>
      </c>
      <c r="AC712" s="7"/>
      <c r="AD712" s="10"/>
      <c r="AE712" s="10"/>
      <c r="AF712" s="10"/>
      <c r="AG712" s="11">
        <f t="shared" si="11"/>
        <v>43278</v>
      </c>
    </row>
    <row r="713" s="8" customFormat="1" spans="1:33">
      <c r="A713" s="7" t="s">
        <v>3511</v>
      </c>
      <c r="B713" s="7" t="s">
        <v>3511</v>
      </c>
      <c r="C713" s="7" t="s">
        <v>3512</v>
      </c>
      <c r="D713" s="7" t="s">
        <v>3513</v>
      </c>
      <c r="E713" s="7" t="s">
        <v>33</v>
      </c>
      <c r="F713" s="7" t="s">
        <v>34</v>
      </c>
      <c r="G713" s="7" t="s">
        <v>35</v>
      </c>
      <c r="H713" s="7"/>
      <c r="I713" s="7"/>
      <c r="J713" s="7" t="s">
        <v>36</v>
      </c>
      <c r="K713" s="7" t="s">
        <v>48</v>
      </c>
      <c r="L713" s="7" t="s">
        <v>49</v>
      </c>
      <c r="M713" s="7" t="s">
        <v>50</v>
      </c>
      <c r="N713" s="7" t="s">
        <v>33</v>
      </c>
      <c r="O713" s="7">
        <v>1</v>
      </c>
      <c r="P713" s="7" t="s">
        <v>40</v>
      </c>
      <c r="Q713" s="7">
        <v>89.99</v>
      </c>
      <c r="R713" s="7"/>
      <c r="S713" s="7"/>
      <c r="T713" s="7"/>
      <c r="U713" s="7"/>
      <c r="V713" s="7"/>
      <c r="W713" s="7"/>
      <c r="X713" s="7"/>
      <c r="Y713" s="7" t="s">
        <v>3514</v>
      </c>
      <c r="Z713" s="7" t="s">
        <v>440</v>
      </c>
      <c r="AA713" s="7" t="s">
        <v>3515</v>
      </c>
      <c r="AB713" s="7" t="s">
        <v>44</v>
      </c>
      <c r="AC713" s="7"/>
      <c r="AD713" s="10"/>
      <c r="AE713" s="10"/>
      <c r="AF713" s="10"/>
      <c r="AG713" s="11">
        <f t="shared" si="11"/>
        <v>43278</v>
      </c>
    </row>
    <row r="714" s="8" customFormat="1" spans="1:33">
      <c r="A714" s="7" t="s">
        <v>3516</v>
      </c>
      <c r="B714" s="7" t="s">
        <v>3516</v>
      </c>
      <c r="C714" s="7" t="s">
        <v>3517</v>
      </c>
      <c r="D714" s="7" t="s">
        <v>3518</v>
      </c>
      <c r="E714" s="7" t="s">
        <v>33</v>
      </c>
      <c r="F714" s="7" t="s">
        <v>34</v>
      </c>
      <c r="G714" s="7" t="s">
        <v>35</v>
      </c>
      <c r="H714" s="7"/>
      <c r="I714" s="7"/>
      <c r="J714" s="7" t="s">
        <v>36</v>
      </c>
      <c r="K714" s="7" t="s">
        <v>284</v>
      </c>
      <c r="L714" s="7" t="s">
        <v>285</v>
      </c>
      <c r="M714" s="7" t="s">
        <v>286</v>
      </c>
      <c r="N714" s="7" t="s">
        <v>33</v>
      </c>
      <c r="O714" s="7">
        <v>1</v>
      </c>
      <c r="P714" s="7" t="s">
        <v>40</v>
      </c>
      <c r="Q714" s="7">
        <v>89.99</v>
      </c>
      <c r="R714" s="7"/>
      <c r="S714" s="7">
        <v>8.81</v>
      </c>
      <c r="T714" s="7"/>
      <c r="U714" s="7"/>
      <c r="V714" s="7"/>
      <c r="W714" s="7"/>
      <c r="X714" s="7"/>
      <c r="Y714" s="7" t="s">
        <v>3519</v>
      </c>
      <c r="Z714" s="7" t="s">
        <v>723</v>
      </c>
      <c r="AA714" s="7" t="s">
        <v>3520</v>
      </c>
      <c r="AB714" s="7" t="s">
        <v>44</v>
      </c>
      <c r="AC714" s="7"/>
      <c r="AD714" s="10"/>
      <c r="AE714" s="10"/>
      <c r="AF714" s="10"/>
      <c r="AG714" s="11">
        <f t="shared" si="11"/>
        <v>43278</v>
      </c>
    </row>
    <row r="715" s="8" customFormat="1" spans="1:33">
      <c r="A715" s="7" t="s">
        <v>3521</v>
      </c>
      <c r="B715" s="7" t="s">
        <v>3521</v>
      </c>
      <c r="C715" s="7" t="s">
        <v>3522</v>
      </c>
      <c r="D715" s="7" t="s">
        <v>3523</v>
      </c>
      <c r="E715" s="7" t="s">
        <v>33</v>
      </c>
      <c r="F715" s="7" t="s">
        <v>34</v>
      </c>
      <c r="G715" s="7" t="s">
        <v>35</v>
      </c>
      <c r="H715" s="7"/>
      <c r="I715" s="7"/>
      <c r="J715" s="7" t="s">
        <v>36</v>
      </c>
      <c r="K715" s="7" t="s">
        <v>148</v>
      </c>
      <c r="L715" s="7" t="s">
        <v>149</v>
      </c>
      <c r="M715" s="7" t="s">
        <v>150</v>
      </c>
      <c r="N715" s="7" t="s">
        <v>33</v>
      </c>
      <c r="O715" s="7">
        <v>1</v>
      </c>
      <c r="P715" s="7" t="s">
        <v>40</v>
      </c>
      <c r="Q715" s="7">
        <v>98.99</v>
      </c>
      <c r="R715" s="7"/>
      <c r="S715" s="7"/>
      <c r="T715" s="7"/>
      <c r="U715" s="7"/>
      <c r="V715" s="7"/>
      <c r="W715" s="7"/>
      <c r="X715" s="7"/>
      <c r="Y715" s="7" t="s">
        <v>3524</v>
      </c>
      <c r="Z715" s="7" t="s">
        <v>497</v>
      </c>
      <c r="AA715" s="7">
        <v>27282</v>
      </c>
      <c r="AB715" s="7" t="s">
        <v>44</v>
      </c>
      <c r="AC715" s="7"/>
      <c r="AD715" s="10"/>
      <c r="AE715" s="10"/>
      <c r="AF715" s="10"/>
      <c r="AG715" s="11">
        <f t="shared" si="11"/>
        <v>43278</v>
      </c>
    </row>
    <row r="716" s="8" customFormat="1" spans="1:33">
      <c r="A716" s="7" t="s">
        <v>3525</v>
      </c>
      <c r="B716" s="7" t="s">
        <v>3525</v>
      </c>
      <c r="C716" s="7" t="s">
        <v>3526</v>
      </c>
      <c r="D716" s="7" t="s">
        <v>3527</v>
      </c>
      <c r="E716" s="7" t="s">
        <v>33</v>
      </c>
      <c r="F716" s="7" t="s">
        <v>34</v>
      </c>
      <c r="G716" s="7" t="s">
        <v>35</v>
      </c>
      <c r="H716" s="7"/>
      <c r="I716" s="7"/>
      <c r="J716" s="7" t="s">
        <v>36</v>
      </c>
      <c r="K716" s="7" t="s">
        <v>642</v>
      </c>
      <c r="L716" s="7" t="s">
        <v>643</v>
      </c>
      <c r="M716" s="7" t="s">
        <v>644</v>
      </c>
      <c r="N716" s="7" t="s">
        <v>33</v>
      </c>
      <c r="O716" s="7">
        <v>1</v>
      </c>
      <c r="P716" s="7" t="s">
        <v>40</v>
      </c>
      <c r="Q716" s="7">
        <v>21.99</v>
      </c>
      <c r="R716" s="7"/>
      <c r="S716" s="7"/>
      <c r="T716" s="7"/>
      <c r="U716" s="7"/>
      <c r="V716" s="7"/>
      <c r="W716" s="7">
        <v>21.77</v>
      </c>
      <c r="X716" s="7"/>
      <c r="Y716" s="7" t="s">
        <v>2675</v>
      </c>
      <c r="Z716" s="7" t="s">
        <v>189</v>
      </c>
      <c r="AA716" s="7" t="s">
        <v>2676</v>
      </c>
      <c r="AB716" s="7" t="s">
        <v>44</v>
      </c>
      <c r="AC716" s="7" t="s">
        <v>209</v>
      </c>
      <c r="AD716" s="10"/>
      <c r="AE716" s="10"/>
      <c r="AF716" s="10"/>
      <c r="AG716" s="11">
        <f t="shared" si="11"/>
        <v>43278</v>
      </c>
    </row>
    <row r="717" s="8" customFormat="1" spans="1:33">
      <c r="A717" s="7" t="s">
        <v>3528</v>
      </c>
      <c r="B717" s="7" t="s">
        <v>3528</v>
      </c>
      <c r="C717" s="7" t="s">
        <v>3529</v>
      </c>
      <c r="D717" s="7" t="s">
        <v>3530</v>
      </c>
      <c r="E717" s="7" t="s">
        <v>33</v>
      </c>
      <c r="F717" s="7" t="s">
        <v>34</v>
      </c>
      <c r="G717" s="7" t="s">
        <v>35</v>
      </c>
      <c r="H717" s="7"/>
      <c r="I717" s="7"/>
      <c r="J717" s="7" t="s">
        <v>163</v>
      </c>
      <c r="K717" s="7" t="s">
        <v>48</v>
      </c>
      <c r="L717" s="7" t="s">
        <v>49</v>
      </c>
      <c r="M717" s="7" t="s">
        <v>50</v>
      </c>
      <c r="N717" s="7" t="s">
        <v>33</v>
      </c>
      <c r="O717" s="7">
        <v>1</v>
      </c>
      <c r="P717" s="7" t="s">
        <v>40</v>
      </c>
      <c r="Q717" s="7">
        <v>89.99</v>
      </c>
      <c r="R717" s="7"/>
      <c r="S717" s="7">
        <v>7.99</v>
      </c>
      <c r="T717" s="7"/>
      <c r="U717" s="7"/>
      <c r="V717" s="7"/>
      <c r="W717" s="7"/>
      <c r="X717" s="7">
        <v>7.99</v>
      </c>
      <c r="Y717" s="7" t="s">
        <v>3531</v>
      </c>
      <c r="Z717" s="7" t="s">
        <v>466</v>
      </c>
      <c r="AA717" s="7" t="s">
        <v>3532</v>
      </c>
      <c r="AB717" s="7" t="s">
        <v>44</v>
      </c>
      <c r="AC717" s="7"/>
      <c r="AD717" s="10"/>
      <c r="AE717" s="10"/>
      <c r="AF717" s="10"/>
      <c r="AG717" s="11">
        <f t="shared" si="11"/>
        <v>43278</v>
      </c>
    </row>
    <row r="718" s="8" customFormat="1" spans="1:33">
      <c r="A718" s="7" t="s">
        <v>3533</v>
      </c>
      <c r="B718" s="7" t="s">
        <v>3533</v>
      </c>
      <c r="C718" s="7" t="s">
        <v>3534</v>
      </c>
      <c r="D718" s="7" t="s">
        <v>3535</v>
      </c>
      <c r="E718" s="7" t="s">
        <v>33</v>
      </c>
      <c r="F718" s="7" t="s">
        <v>34</v>
      </c>
      <c r="G718" s="7" t="s">
        <v>35</v>
      </c>
      <c r="H718" s="7"/>
      <c r="I718" s="7"/>
      <c r="J718" s="7" t="s">
        <v>69</v>
      </c>
      <c r="K718" s="7" t="s">
        <v>493</v>
      </c>
      <c r="L718" s="7" t="s">
        <v>494</v>
      </c>
      <c r="M718" s="7" t="s">
        <v>495</v>
      </c>
      <c r="N718" s="7" t="s">
        <v>33</v>
      </c>
      <c r="O718" s="7">
        <v>1</v>
      </c>
      <c r="P718" s="7" t="s">
        <v>40</v>
      </c>
      <c r="Q718" s="7">
        <v>106.99</v>
      </c>
      <c r="R718" s="7"/>
      <c r="S718" s="7">
        <v>4.37</v>
      </c>
      <c r="T718" s="7"/>
      <c r="U718" s="7"/>
      <c r="V718" s="7"/>
      <c r="W718" s="7"/>
      <c r="X718" s="7">
        <v>4.37</v>
      </c>
      <c r="Y718" s="7" t="s">
        <v>3536</v>
      </c>
      <c r="Z718" s="7" t="s">
        <v>64</v>
      </c>
      <c r="AA718" s="7" t="s">
        <v>3537</v>
      </c>
      <c r="AB718" s="7" t="s">
        <v>44</v>
      </c>
      <c r="AC718" s="7" t="s">
        <v>75</v>
      </c>
      <c r="AD718" s="10"/>
      <c r="AE718" s="10"/>
      <c r="AF718" s="10"/>
      <c r="AG718" s="11">
        <f t="shared" si="11"/>
        <v>43278</v>
      </c>
    </row>
    <row r="719" s="8" customFormat="1" spans="1:33">
      <c r="A719" s="7" t="s">
        <v>3538</v>
      </c>
      <c r="B719" s="7" t="s">
        <v>3538</v>
      </c>
      <c r="C719" s="7" t="s">
        <v>3539</v>
      </c>
      <c r="D719" s="7" t="s">
        <v>3540</v>
      </c>
      <c r="E719" s="7" t="s">
        <v>33</v>
      </c>
      <c r="F719" s="7" t="s">
        <v>34</v>
      </c>
      <c r="G719" s="7" t="s">
        <v>35</v>
      </c>
      <c r="H719" s="7"/>
      <c r="I719" s="7"/>
      <c r="J719" s="7" t="s">
        <v>36</v>
      </c>
      <c r="K719" s="7" t="s">
        <v>79</v>
      </c>
      <c r="L719" s="7" t="s">
        <v>80</v>
      </c>
      <c r="M719" s="7" t="s">
        <v>81</v>
      </c>
      <c r="N719" s="7" t="s">
        <v>33</v>
      </c>
      <c r="O719" s="7">
        <v>1</v>
      </c>
      <c r="P719" s="7" t="s">
        <v>40</v>
      </c>
      <c r="Q719" s="7">
        <v>91.99</v>
      </c>
      <c r="R719" s="7"/>
      <c r="S719" s="7"/>
      <c r="T719" s="7"/>
      <c r="U719" s="7"/>
      <c r="V719" s="7"/>
      <c r="W719" s="7"/>
      <c r="X719" s="7"/>
      <c r="Y719" s="7" t="s">
        <v>3541</v>
      </c>
      <c r="Z719" s="7" t="s">
        <v>3542</v>
      </c>
      <c r="AA719" s="7">
        <v>78621</v>
      </c>
      <c r="AB719" s="7" t="s">
        <v>44</v>
      </c>
      <c r="AC719" s="7"/>
      <c r="AD719" s="10"/>
      <c r="AE719" s="10"/>
      <c r="AF719" s="10"/>
      <c r="AG719" s="11">
        <f t="shared" si="11"/>
        <v>43278</v>
      </c>
    </row>
    <row r="720" s="8" customFormat="1" spans="1:33">
      <c r="A720" s="7" t="s">
        <v>3543</v>
      </c>
      <c r="B720" s="7" t="s">
        <v>3543</v>
      </c>
      <c r="C720" s="7" t="s">
        <v>3544</v>
      </c>
      <c r="D720" s="7" t="s">
        <v>3545</v>
      </c>
      <c r="E720" s="7" t="s">
        <v>33</v>
      </c>
      <c r="F720" s="7" t="s">
        <v>34</v>
      </c>
      <c r="G720" s="7" t="s">
        <v>35</v>
      </c>
      <c r="H720" s="7"/>
      <c r="I720" s="7"/>
      <c r="J720" s="7" t="s">
        <v>36</v>
      </c>
      <c r="K720" s="7" t="s">
        <v>148</v>
      </c>
      <c r="L720" s="7" t="s">
        <v>149</v>
      </c>
      <c r="M720" s="7" t="s">
        <v>150</v>
      </c>
      <c r="N720" s="7" t="s">
        <v>33</v>
      </c>
      <c r="O720" s="7">
        <v>1</v>
      </c>
      <c r="P720" s="7" t="s">
        <v>40</v>
      </c>
      <c r="Q720" s="7">
        <v>98.99</v>
      </c>
      <c r="R720" s="7"/>
      <c r="S720" s="7"/>
      <c r="T720" s="7"/>
      <c r="U720" s="7"/>
      <c r="V720" s="7"/>
      <c r="W720" s="7"/>
      <c r="X720" s="7"/>
      <c r="Y720" s="7" t="s">
        <v>3546</v>
      </c>
      <c r="Z720" s="7" t="s">
        <v>541</v>
      </c>
      <c r="AA720" s="7" t="s">
        <v>3547</v>
      </c>
      <c r="AB720" s="7" t="s">
        <v>44</v>
      </c>
      <c r="AC720" s="7"/>
      <c r="AD720" s="10"/>
      <c r="AE720" s="10"/>
      <c r="AF720" s="10"/>
      <c r="AG720" s="11">
        <f t="shared" si="11"/>
        <v>43278</v>
      </c>
    </row>
    <row r="721" s="8" customFormat="1" spans="1:33">
      <c r="A721" s="7" t="s">
        <v>3548</v>
      </c>
      <c r="B721" s="7" t="s">
        <v>3548</v>
      </c>
      <c r="C721" s="7" t="s">
        <v>3549</v>
      </c>
      <c r="D721" s="7" t="s">
        <v>3550</v>
      </c>
      <c r="E721" s="7" t="s">
        <v>33</v>
      </c>
      <c r="F721" s="7" t="s">
        <v>34</v>
      </c>
      <c r="G721" s="7" t="s">
        <v>35</v>
      </c>
      <c r="H721" s="7"/>
      <c r="I721" s="7"/>
      <c r="J721" s="7" t="s">
        <v>69</v>
      </c>
      <c r="K721" s="7" t="s">
        <v>48</v>
      </c>
      <c r="L721" s="7" t="s">
        <v>49</v>
      </c>
      <c r="M721" s="7" t="s">
        <v>50</v>
      </c>
      <c r="N721" s="7" t="s">
        <v>33</v>
      </c>
      <c r="O721" s="7">
        <v>1</v>
      </c>
      <c r="P721" s="7" t="s">
        <v>40</v>
      </c>
      <c r="Q721" s="7">
        <v>89.99</v>
      </c>
      <c r="R721" s="7"/>
      <c r="S721" s="7">
        <v>7.24</v>
      </c>
      <c r="T721" s="7"/>
      <c r="U721" s="7"/>
      <c r="V721" s="7"/>
      <c r="W721" s="7"/>
      <c r="X721" s="7">
        <v>7.24</v>
      </c>
      <c r="Y721" s="7" t="s">
        <v>1073</v>
      </c>
      <c r="Z721" s="7" t="s">
        <v>64</v>
      </c>
      <c r="AA721" s="7" t="s">
        <v>3551</v>
      </c>
      <c r="AB721" s="7" t="s">
        <v>44</v>
      </c>
      <c r="AC721" s="7" t="s">
        <v>75</v>
      </c>
      <c r="AD721" s="10"/>
      <c r="AE721" s="10"/>
      <c r="AF721" s="10"/>
      <c r="AG721" s="11">
        <f t="shared" si="11"/>
        <v>43278</v>
      </c>
    </row>
    <row r="722" s="8" customFormat="1" spans="1:33">
      <c r="A722" s="7" t="s">
        <v>3552</v>
      </c>
      <c r="B722" s="7" t="s">
        <v>3552</v>
      </c>
      <c r="C722" s="7" t="s">
        <v>3553</v>
      </c>
      <c r="D722" s="7" t="s">
        <v>3554</v>
      </c>
      <c r="E722" s="7" t="s">
        <v>33</v>
      </c>
      <c r="F722" s="7" t="s">
        <v>34</v>
      </c>
      <c r="G722" s="7" t="s">
        <v>35</v>
      </c>
      <c r="H722" s="7"/>
      <c r="I722" s="7"/>
      <c r="J722" s="7" t="s">
        <v>36</v>
      </c>
      <c r="K722" s="7" t="s">
        <v>2398</v>
      </c>
      <c r="L722" s="7" t="s">
        <v>2399</v>
      </c>
      <c r="M722" s="7" t="s">
        <v>2400</v>
      </c>
      <c r="N722" s="7" t="s">
        <v>33</v>
      </c>
      <c r="O722" s="7">
        <v>1</v>
      </c>
      <c r="P722" s="7" t="s">
        <v>40</v>
      </c>
      <c r="Q722" s="7">
        <v>34.99</v>
      </c>
      <c r="R722" s="7">
        <v>2.94</v>
      </c>
      <c r="S722" s="7"/>
      <c r="T722" s="7"/>
      <c r="U722" s="7"/>
      <c r="V722" s="7"/>
      <c r="W722" s="7"/>
      <c r="X722" s="7"/>
      <c r="Y722" s="7" t="s">
        <v>3555</v>
      </c>
      <c r="Z722" s="7" t="s">
        <v>97</v>
      </c>
      <c r="AA722" s="7" t="s">
        <v>3556</v>
      </c>
      <c r="AB722" s="7" t="s">
        <v>44</v>
      </c>
      <c r="AC722" s="7"/>
      <c r="AD722" s="10"/>
      <c r="AE722" s="10"/>
      <c r="AF722" s="10"/>
      <c r="AG722" s="11">
        <f t="shared" si="11"/>
        <v>43278</v>
      </c>
    </row>
    <row r="723" s="8" customFormat="1" spans="1:33">
      <c r="A723" s="7" t="s">
        <v>3557</v>
      </c>
      <c r="B723" s="7" t="s">
        <v>3557</v>
      </c>
      <c r="C723" s="7" t="s">
        <v>3558</v>
      </c>
      <c r="D723" s="7" t="s">
        <v>3559</v>
      </c>
      <c r="E723" s="7" t="s">
        <v>54</v>
      </c>
      <c r="F723" s="7" t="s">
        <v>34</v>
      </c>
      <c r="G723" s="7" t="s">
        <v>35</v>
      </c>
      <c r="H723" s="7"/>
      <c r="I723" s="7"/>
      <c r="J723" s="7" t="s">
        <v>58</v>
      </c>
      <c r="K723" s="7" t="s">
        <v>2035</v>
      </c>
      <c r="L723" s="7" t="s">
        <v>89</v>
      </c>
      <c r="M723" s="7" t="s">
        <v>90</v>
      </c>
      <c r="N723" s="7" t="s">
        <v>62</v>
      </c>
      <c r="O723" s="7">
        <v>2</v>
      </c>
      <c r="P723" s="7" t="s">
        <v>40</v>
      </c>
      <c r="Q723" s="7">
        <v>179.98</v>
      </c>
      <c r="R723" s="7"/>
      <c r="S723" s="7"/>
      <c r="T723" s="7"/>
      <c r="U723" s="7"/>
      <c r="V723" s="7"/>
      <c r="W723" s="7"/>
      <c r="X723" s="7"/>
      <c r="Y723" s="7" t="s">
        <v>413</v>
      </c>
      <c r="Z723" s="7" t="s">
        <v>183</v>
      </c>
      <c r="AA723" s="7" t="s">
        <v>3560</v>
      </c>
      <c r="AB723" s="7" t="s">
        <v>44</v>
      </c>
      <c r="AC723" s="7"/>
      <c r="AD723" s="10"/>
      <c r="AE723" s="10"/>
      <c r="AF723" s="10"/>
      <c r="AG723" s="11">
        <f t="shared" si="11"/>
        <v>43278</v>
      </c>
    </row>
    <row r="724" s="8" customFormat="1" spans="1:33">
      <c r="A724" s="7" t="s">
        <v>3557</v>
      </c>
      <c r="B724" s="7" t="s">
        <v>3557</v>
      </c>
      <c r="C724" s="7" t="s">
        <v>3558</v>
      </c>
      <c r="D724" s="7" t="s">
        <v>3559</v>
      </c>
      <c r="E724" s="7" t="s">
        <v>54</v>
      </c>
      <c r="F724" s="7" t="s">
        <v>34</v>
      </c>
      <c r="G724" s="7" t="s">
        <v>35</v>
      </c>
      <c r="H724" s="7"/>
      <c r="I724" s="7"/>
      <c r="J724" s="7" t="s">
        <v>58</v>
      </c>
      <c r="K724" s="7" t="s">
        <v>410</v>
      </c>
      <c r="L724" s="7" t="s">
        <v>411</v>
      </c>
      <c r="M724" s="7" t="s">
        <v>412</v>
      </c>
      <c r="N724" s="7" t="s">
        <v>62</v>
      </c>
      <c r="O724" s="7">
        <v>1</v>
      </c>
      <c r="P724" s="7" t="s">
        <v>40</v>
      </c>
      <c r="Q724" s="7">
        <v>21.99</v>
      </c>
      <c r="R724" s="7"/>
      <c r="S724" s="7"/>
      <c r="T724" s="7"/>
      <c r="U724" s="7"/>
      <c r="V724" s="7"/>
      <c r="W724" s="7"/>
      <c r="X724" s="7"/>
      <c r="Y724" s="7" t="s">
        <v>413</v>
      </c>
      <c r="Z724" s="7" t="s">
        <v>183</v>
      </c>
      <c r="AA724" s="7" t="s">
        <v>3560</v>
      </c>
      <c r="AB724" s="7" t="s">
        <v>44</v>
      </c>
      <c r="AC724" s="7"/>
      <c r="AD724" s="10"/>
      <c r="AE724" s="10"/>
      <c r="AF724" s="10"/>
      <c r="AG724" s="11">
        <f t="shared" si="11"/>
        <v>43278</v>
      </c>
    </row>
    <row r="725" s="8" customFormat="1" spans="1:33">
      <c r="A725" s="7" t="s">
        <v>3561</v>
      </c>
      <c r="B725" s="7" t="s">
        <v>3561</v>
      </c>
      <c r="C725" s="7" t="s">
        <v>3562</v>
      </c>
      <c r="D725" s="7" t="s">
        <v>3563</v>
      </c>
      <c r="E725" s="7" t="s">
        <v>33</v>
      </c>
      <c r="F725" s="7" t="s">
        <v>34</v>
      </c>
      <c r="G725" s="7" t="s">
        <v>35</v>
      </c>
      <c r="H725" s="7"/>
      <c r="I725" s="7"/>
      <c r="J725" s="7" t="s">
        <v>36</v>
      </c>
      <c r="K725" s="7" t="s">
        <v>2021</v>
      </c>
      <c r="L725" s="7" t="s">
        <v>2022</v>
      </c>
      <c r="M725" s="7" t="s">
        <v>2023</v>
      </c>
      <c r="N725" s="7" t="s">
        <v>33</v>
      </c>
      <c r="O725" s="7">
        <v>1</v>
      </c>
      <c r="P725" s="7" t="s">
        <v>40</v>
      </c>
      <c r="Q725" s="7">
        <v>32.99</v>
      </c>
      <c r="R725" s="7"/>
      <c r="S725" s="7"/>
      <c r="T725" s="7"/>
      <c r="U725" s="7"/>
      <c r="V725" s="7"/>
      <c r="W725" s="7"/>
      <c r="X725" s="7"/>
      <c r="Y725" s="7" t="s">
        <v>3564</v>
      </c>
      <c r="Z725" s="7" t="s">
        <v>996</v>
      </c>
      <c r="AA725" s="7" t="s">
        <v>3565</v>
      </c>
      <c r="AB725" s="7" t="s">
        <v>44</v>
      </c>
      <c r="AC725" s="7"/>
      <c r="AD725" s="10"/>
      <c r="AE725" s="10"/>
      <c r="AF725" s="10"/>
      <c r="AG725" s="11">
        <f t="shared" si="11"/>
        <v>43278</v>
      </c>
    </row>
    <row r="726" s="8" customFormat="1" spans="1:33">
      <c r="A726" s="7" t="s">
        <v>3566</v>
      </c>
      <c r="B726" s="7" t="s">
        <v>3566</v>
      </c>
      <c r="C726" s="7" t="s">
        <v>3567</v>
      </c>
      <c r="D726" s="7" t="s">
        <v>3568</v>
      </c>
      <c r="E726" s="7" t="s">
        <v>33</v>
      </c>
      <c r="F726" s="7" t="s">
        <v>34</v>
      </c>
      <c r="G726" s="7" t="s">
        <v>35</v>
      </c>
      <c r="H726" s="7"/>
      <c r="I726" s="7"/>
      <c r="J726" s="7" t="s">
        <v>36</v>
      </c>
      <c r="K726" s="7" t="s">
        <v>387</v>
      </c>
      <c r="L726" s="7" t="s">
        <v>388</v>
      </c>
      <c r="M726" s="7" t="s">
        <v>389</v>
      </c>
      <c r="N726" s="7" t="s">
        <v>33</v>
      </c>
      <c r="O726" s="7">
        <v>1</v>
      </c>
      <c r="P726" s="7" t="s">
        <v>40</v>
      </c>
      <c r="Q726" s="7">
        <v>32.99</v>
      </c>
      <c r="R726" s="7"/>
      <c r="S726" s="7"/>
      <c r="T726" s="7"/>
      <c r="U726" s="7"/>
      <c r="V726" s="7"/>
      <c r="W726" s="7"/>
      <c r="X726" s="7"/>
      <c r="Y726" s="7" t="s">
        <v>672</v>
      </c>
      <c r="Z726" s="7" t="s">
        <v>135</v>
      </c>
      <c r="AA726" s="7" t="s">
        <v>3569</v>
      </c>
      <c r="AB726" s="7" t="s">
        <v>44</v>
      </c>
      <c r="AC726" s="7"/>
      <c r="AD726" s="10"/>
      <c r="AE726" s="10"/>
      <c r="AF726" s="10"/>
      <c r="AG726" s="11">
        <f t="shared" si="11"/>
        <v>43278</v>
      </c>
    </row>
    <row r="727" s="8" customFormat="1" spans="1:33">
      <c r="A727" s="7" t="s">
        <v>3570</v>
      </c>
      <c r="B727" s="7" t="s">
        <v>3570</v>
      </c>
      <c r="C727" s="7" t="s">
        <v>3571</v>
      </c>
      <c r="D727" s="7" t="s">
        <v>3572</v>
      </c>
      <c r="E727" s="7" t="s">
        <v>54</v>
      </c>
      <c r="F727" s="7" t="s">
        <v>34</v>
      </c>
      <c r="G727" s="7" t="s">
        <v>35</v>
      </c>
      <c r="H727" s="7"/>
      <c r="I727" s="7"/>
      <c r="J727" s="7" t="s">
        <v>36</v>
      </c>
      <c r="K727" s="7" t="s">
        <v>1570</v>
      </c>
      <c r="L727" s="7" t="s">
        <v>1571</v>
      </c>
      <c r="M727" s="7" t="s">
        <v>1572</v>
      </c>
      <c r="N727" s="7" t="s">
        <v>54</v>
      </c>
      <c r="O727" s="7">
        <v>0</v>
      </c>
      <c r="P727" s="7"/>
      <c r="Q727" s="7"/>
      <c r="R727" s="7"/>
      <c r="S727" s="7"/>
      <c r="T727" s="7"/>
      <c r="U727" s="7"/>
      <c r="V727" s="7"/>
      <c r="W727" s="7"/>
      <c r="X727" s="7"/>
      <c r="Y727" s="7" t="s">
        <v>3573</v>
      </c>
      <c r="Z727" s="7" t="s">
        <v>3574</v>
      </c>
      <c r="AA727" s="7">
        <v>85392</v>
      </c>
      <c r="AB727" s="7" t="s">
        <v>44</v>
      </c>
      <c r="AC727" s="7"/>
      <c r="AD727" s="10"/>
      <c r="AE727" s="10"/>
      <c r="AF727" s="10"/>
      <c r="AG727" s="11">
        <f t="shared" si="11"/>
        <v>43278</v>
      </c>
    </row>
    <row r="728" s="8" customFormat="1" spans="1:33">
      <c r="A728" s="7" t="s">
        <v>3575</v>
      </c>
      <c r="B728" s="7" t="s">
        <v>3575</v>
      </c>
      <c r="C728" s="7" t="s">
        <v>3576</v>
      </c>
      <c r="D728" s="7" t="s">
        <v>3577</v>
      </c>
      <c r="E728" s="7" t="s">
        <v>33</v>
      </c>
      <c r="F728" s="7" t="s">
        <v>34</v>
      </c>
      <c r="G728" s="7" t="s">
        <v>35</v>
      </c>
      <c r="H728" s="7"/>
      <c r="I728" s="7"/>
      <c r="J728" s="7" t="s">
        <v>36</v>
      </c>
      <c r="K728" s="7" t="s">
        <v>3578</v>
      </c>
      <c r="L728" s="7" t="s">
        <v>3579</v>
      </c>
      <c r="M728" s="7" t="s">
        <v>3580</v>
      </c>
      <c r="N728" s="7" t="s">
        <v>33</v>
      </c>
      <c r="O728" s="7">
        <v>1</v>
      </c>
      <c r="P728" s="7" t="s">
        <v>40</v>
      </c>
      <c r="Q728" s="7">
        <v>32.99</v>
      </c>
      <c r="R728" s="7"/>
      <c r="S728" s="7">
        <v>11.88</v>
      </c>
      <c r="T728" s="7"/>
      <c r="U728" s="7"/>
      <c r="V728" s="7"/>
      <c r="W728" s="7"/>
      <c r="X728" s="7"/>
      <c r="Y728" s="7" t="s">
        <v>3581</v>
      </c>
      <c r="Z728" s="7" t="s">
        <v>996</v>
      </c>
      <c r="AA728" s="7" t="s">
        <v>3582</v>
      </c>
      <c r="AB728" s="7" t="s">
        <v>44</v>
      </c>
      <c r="AC728" s="7"/>
      <c r="AD728" s="10"/>
      <c r="AE728" s="10"/>
      <c r="AF728" s="10"/>
      <c r="AG728" s="11">
        <f t="shared" si="11"/>
        <v>43278</v>
      </c>
    </row>
    <row r="729" s="8" customFormat="1" spans="1:33">
      <c r="A729" s="7" t="s">
        <v>3583</v>
      </c>
      <c r="B729" s="7" t="s">
        <v>3583</v>
      </c>
      <c r="C729" s="7" t="s">
        <v>3584</v>
      </c>
      <c r="D729" s="7" t="s">
        <v>3585</v>
      </c>
      <c r="E729" s="7" t="s">
        <v>33</v>
      </c>
      <c r="F729" s="7" t="s">
        <v>34</v>
      </c>
      <c r="G729" s="7" t="s">
        <v>35</v>
      </c>
      <c r="H729" s="7"/>
      <c r="I729" s="7"/>
      <c r="J729" s="7" t="s">
        <v>36</v>
      </c>
      <c r="K729" s="7" t="s">
        <v>148</v>
      </c>
      <c r="L729" s="7" t="s">
        <v>149</v>
      </c>
      <c r="M729" s="7" t="s">
        <v>150</v>
      </c>
      <c r="N729" s="7" t="s">
        <v>33</v>
      </c>
      <c r="O729" s="7">
        <v>1</v>
      </c>
      <c r="P729" s="7" t="s">
        <v>40</v>
      </c>
      <c r="Q729" s="7">
        <v>98.99</v>
      </c>
      <c r="R729" s="7"/>
      <c r="S729" s="7"/>
      <c r="T729" s="7"/>
      <c r="U729" s="7"/>
      <c r="V729" s="7"/>
      <c r="W729" s="7"/>
      <c r="X729" s="7"/>
      <c r="Y729" s="7" t="s">
        <v>3586</v>
      </c>
      <c r="Z729" s="7" t="s">
        <v>3587</v>
      </c>
      <c r="AA729" s="7" t="s">
        <v>3588</v>
      </c>
      <c r="AB729" s="7" t="s">
        <v>44</v>
      </c>
      <c r="AC729" s="7"/>
      <c r="AD729" s="10"/>
      <c r="AE729" s="10"/>
      <c r="AF729" s="10"/>
      <c r="AG729" s="11">
        <f t="shared" si="11"/>
        <v>43278</v>
      </c>
    </row>
    <row r="730" s="8" customFormat="1" spans="1:33">
      <c r="A730" s="7" t="s">
        <v>3589</v>
      </c>
      <c r="B730" s="7" t="s">
        <v>3589</v>
      </c>
      <c r="C730" s="7" t="s">
        <v>3590</v>
      </c>
      <c r="D730" s="7" t="s">
        <v>3591</v>
      </c>
      <c r="E730" s="7" t="s">
        <v>33</v>
      </c>
      <c r="F730" s="7" t="s">
        <v>34</v>
      </c>
      <c r="G730" s="7" t="s">
        <v>35</v>
      </c>
      <c r="H730" s="7"/>
      <c r="I730" s="7"/>
      <c r="J730" s="7" t="s">
        <v>36</v>
      </c>
      <c r="K730" s="7" t="s">
        <v>2540</v>
      </c>
      <c r="L730" s="7" t="s">
        <v>2541</v>
      </c>
      <c r="M730" s="7" t="s">
        <v>2542</v>
      </c>
      <c r="N730" s="7" t="s">
        <v>33</v>
      </c>
      <c r="O730" s="7">
        <v>1</v>
      </c>
      <c r="P730" s="7" t="s">
        <v>40</v>
      </c>
      <c r="Q730" s="7">
        <v>26.99</v>
      </c>
      <c r="R730" s="7"/>
      <c r="S730" s="7"/>
      <c r="T730" s="7"/>
      <c r="U730" s="7"/>
      <c r="V730" s="7"/>
      <c r="W730" s="7"/>
      <c r="X730" s="7"/>
      <c r="Y730" s="7" t="s">
        <v>3592</v>
      </c>
      <c r="Z730" s="7" t="s">
        <v>83</v>
      </c>
      <c r="AA730" s="7" t="s">
        <v>3593</v>
      </c>
      <c r="AB730" s="7" t="s">
        <v>44</v>
      </c>
      <c r="AC730" s="7"/>
      <c r="AD730" s="10"/>
      <c r="AE730" s="10"/>
      <c r="AF730" s="10"/>
      <c r="AG730" s="11">
        <f t="shared" si="11"/>
        <v>43278</v>
      </c>
    </row>
    <row r="731" s="8" customFormat="1" spans="1:33">
      <c r="A731" s="7" t="s">
        <v>3594</v>
      </c>
      <c r="B731" s="7" t="s">
        <v>3594</v>
      </c>
      <c r="C731" s="7" t="s">
        <v>3595</v>
      </c>
      <c r="D731" s="7" t="s">
        <v>3596</v>
      </c>
      <c r="E731" s="7" t="s">
        <v>33</v>
      </c>
      <c r="F731" s="7" t="s">
        <v>34</v>
      </c>
      <c r="G731" s="7" t="s">
        <v>35</v>
      </c>
      <c r="H731" s="7"/>
      <c r="I731" s="7"/>
      <c r="J731" s="7" t="s">
        <v>36</v>
      </c>
      <c r="K731" s="7" t="s">
        <v>2459</v>
      </c>
      <c r="L731" s="7" t="s">
        <v>365</v>
      </c>
      <c r="M731" s="7" t="s">
        <v>366</v>
      </c>
      <c r="N731" s="7" t="s">
        <v>33</v>
      </c>
      <c r="O731" s="7">
        <v>1</v>
      </c>
      <c r="P731" s="7" t="s">
        <v>40</v>
      </c>
      <c r="Q731" s="7">
        <v>89.99</v>
      </c>
      <c r="R731" s="7"/>
      <c r="S731" s="7"/>
      <c r="T731" s="7"/>
      <c r="U731" s="7"/>
      <c r="V731" s="7"/>
      <c r="W731" s="7"/>
      <c r="X731" s="7"/>
      <c r="Y731" s="7" t="s">
        <v>3597</v>
      </c>
      <c r="Z731" s="7" t="s">
        <v>541</v>
      </c>
      <c r="AA731" s="7" t="s">
        <v>3598</v>
      </c>
      <c r="AB731" s="7" t="s">
        <v>44</v>
      </c>
      <c r="AC731" s="7"/>
      <c r="AD731" s="10"/>
      <c r="AE731" s="10"/>
      <c r="AF731" s="10"/>
      <c r="AG731" s="11">
        <f t="shared" si="11"/>
        <v>43278</v>
      </c>
    </row>
    <row r="732" s="8" customFormat="1" spans="1:33">
      <c r="A732" s="7" t="s">
        <v>3599</v>
      </c>
      <c r="B732" s="7" t="s">
        <v>3599</v>
      </c>
      <c r="C732" s="7" t="s">
        <v>3600</v>
      </c>
      <c r="D732" s="7" t="s">
        <v>3601</v>
      </c>
      <c r="E732" s="7" t="s">
        <v>33</v>
      </c>
      <c r="F732" s="7" t="s">
        <v>34</v>
      </c>
      <c r="G732" s="7" t="s">
        <v>35</v>
      </c>
      <c r="H732" s="7"/>
      <c r="I732" s="7"/>
      <c r="J732" s="7" t="s">
        <v>36</v>
      </c>
      <c r="K732" s="7" t="s">
        <v>148</v>
      </c>
      <c r="L732" s="7" t="s">
        <v>149</v>
      </c>
      <c r="M732" s="7" t="s">
        <v>150</v>
      </c>
      <c r="N732" s="7" t="s">
        <v>33</v>
      </c>
      <c r="O732" s="7">
        <v>1</v>
      </c>
      <c r="P732" s="7" t="s">
        <v>40</v>
      </c>
      <c r="Q732" s="7">
        <v>98.99</v>
      </c>
      <c r="R732" s="7"/>
      <c r="S732" s="7"/>
      <c r="T732" s="7"/>
      <c r="U732" s="7"/>
      <c r="V732" s="7"/>
      <c r="W732" s="7"/>
      <c r="X732" s="7"/>
      <c r="Y732" s="7" t="s">
        <v>3602</v>
      </c>
      <c r="Z732" s="7" t="s">
        <v>174</v>
      </c>
      <c r="AA732" s="7" t="s">
        <v>3603</v>
      </c>
      <c r="AB732" s="7" t="s">
        <v>44</v>
      </c>
      <c r="AC732" s="7"/>
      <c r="AD732" s="10"/>
      <c r="AE732" s="10"/>
      <c r="AF732" s="10"/>
      <c r="AG732" s="11">
        <f t="shared" si="11"/>
        <v>43278</v>
      </c>
    </row>
    <row r="733" s="8" customFormat="1" spans="1:33">
      <c r="A733" s="7" t="s">
        <v>3604</v>
      </c>
      <c r="B733" s="7" t="s">
        <v>3604</v>
      </c>
      <c r="C733" s="7" t="s">
        <v>3605</v>
      </c>
      <c r="D733" s="7" t="s">
        <v>3606</v>
      </c>
      <c r="E733" s="7" t="s">
        <v>33</v>
      </c>
      <c r="F733" s="7" t="s">
        <v>34</v>
      </c>
      <c r="G733" s="7" t="s">
        <v>35</v>
      </c>
      <c r="H733" s="7"/>
      <c r="I733" s="7"/>
      <c r="J733" s="7" t="s">
        <v>36</v>
      </c>
      <c r="K733" s="7" t="s">
        <v>3058</v>
      </c>
      <c r="L733" s="7" t="s">
        <v>3059</v>
      </c>
      <c r="M733" s="7" t="s">
        <v>3060</v>
      </c>
      <c r="N733" s="7" t="s">
        <v>33</v>
      </c>
      <c r="O733" s="7">
        <v>1</v>
      </c>
      <c r="P733" s="7" t="s">
        <v>40</v>
      </c>
      <c r="Q733" s="7">
        <v>79.99</v>
      </c>
      <c r="R733" s="7"/>
      <c r="S733" s="7"/>
      <c r="T733" s="7"/>
      <c r="U733" s="7"/>
      <c r="V733" s="7"/>
      <c r="W733" s="7"/>
      <c r="X733" s="7"/>
      <c r="Y733" s="7" t="s">
        <v>3607</v>
      </c>
      <c r="Z733" s="7" t="s">
        <v>183</v>
      </c>
      <c r="AA733" s="7" t="s">
        <v>3608</v>
      </c>
      <c r="AB733" s="7" t="s">
        <v>44</v>
      </c>
      <c r="AC733" s="7"/>
      <c r="AD733" s="10"/>
      <c r="AE733" s="10"/>
      <c r="AF733" s="10"/>
      <c r="AG733" s="11">
        <f t="shared" si="11"/>
        <v>43278</v>
      </c>
    </row>
    <row r="734" s="8" customFormat="1" spans="1:33">
      <c r="A734" s="7" t="s">
        <v>3609</v>
      </c>
      <c r="B734" s="7" t="s">
        <v>3609</v>
      </c>
      <c r="C734" s="7" t="s">
        <v>3610</v>
      </c>
      <c r="D734" s="7" t="s">
        <v>3611</v>
      </c>
      <c r="E734" s="7" t="s">
        <v>33</v>
      </c>
      <c r="F734" s="7" t="s">
        <v>34</v>
      </c>
      <c r="G734" s="7" t="s">
        <v>35</v>
      </c>
      <c r="H734" s="7"/>
      <c r="I734" s="7"/>
      <c r="J734" s="7" t="s">
        <v>69</v>
      </c>
      <c r="K734" s="7" t="s">
        <v>59</v>
      </c>
      <c r="L734" s="7" t="s">
        <v>60</v>
      </c>
      <c r="M734" s="7" t="s">
        <v>61</v>
      </c>
      <c r="N734" s="7" t="s">
        <v>33</v>
      </c>
      <c r="O734" s="7">
        <v>1</v>
      </c>
      <c r="P734" s="7" t="s">
        <v>40</v>
      </c>
      <c r="Q734" s="7">
        <v>89.99</v>
      </c>
      <c r="R734" s="7"/>
      <c r="S734" s="7">
        <v>8.37</v>
      </c>
      <c r="T734" s="7"/>
      <c r="U734" s="7"/>
      <c r="V734" s="7"/>
      <c r="W734" s="7"/>
      <c r="X734" s="7"/>
      <c r="Y734" s="7" t="s">
        <v>3612</v>
      </c>
      <c r="Z734" s="7" t="s">
        <v>316</v>
      </c>
      <c r="AA734" s="7" t="s">
        <v>3613</v>
      </c>
      <c r="AB734" s="7" t="s">
        <v>44</v>
      </c>
      <c r="AC734" s="7"/>
      <c r="AD734" s="10"/>
      <c r="AE734" s="10"/>
      <c r="AF734" s="10"/>
      <c r="AG734" s="11">
        <f t="shared" si="11"/>
        <v>43278</v>
      </c>
    </row>
    <row r="735" s="8" customFormat="1" spans="1:33">
      <c r="A735" s="7" t="s">
        <v>3614</v>
      </c>
      <c r="B735" s="7" t="s">
        <v>3614</v>
      </c>
      <c r="C735" s="7" t="s">
        <v>3615</v>
      </c>
      <c r="D735" s="7" t="s">
        <v>3616</v>
      </c>
      <c r="E735" s="7" t="s">
        <v>33</v>
      </c>
      <c r="F735" s="7" t="s">
        <v>34</v>
      </c>
      <c r="G735" s="7" t="s">
        <v>35</v>
      </c>
      <c r="H735" s="7"/>
      <c r="I735" s="7"/>
      <c r="J735" s="7" t="s">
        <v>36</v>
      </c>
      <c r="K735" s="7" t="s">
        <v>37</v>
      </c>
      <c r="L735" s="7" t="s">
        <v>38</v>
      </c>
      <c r="M735" s="7" t="s">
        <v>39</v>
      </c>
      <c r="N735" s="7" t="s">
        <v>33</v>
      </c>
      <c r="O735" s="7">
        <v>1</v>
      </c>
      <c r="P735" s="7" t="s">
        <v>40</v>
      </c>
      <c r="Q735" s="7">
        <v>89.99</v>
      </c>
      <c r="R735" s="7"/>
      <c r="S735" s="7"/>
      <c r="T735" s="7"/>
      <c r="U735" s="7"/>
      <c r="V735" s="7"/>
      <c r="W735" s="7"/>
      <c r="X735" s="7"/>
      <c r="Y735" s="7" t="s">
        <v>3597</v>
      </c>
      <c r="Z735" s="7" t="s">
        <v>541</v>
      </c>
      <c r="AA735" s="7" t="s">
        <v>3617</v>
      </c>
      <c r="AB735" s="7" t="s">
        <v>44</v>
      </c>
      <c r="AC735" s="7"/>
      <c r="AD735" s="10"/>
      <c r="AE735" s="10"/>
      <c r="AF735" s="10"/>
      <c r="AG735" s="11">
        <f t="shared" si="11"/>
        <v>43279</v>
      </c>
    </row>
    <row r="736" s="8" customFormat="1" spans="1:33">
      <c r="A736" s="7" t="s">
        <v>3618</v>
      </c>
      <c r="B736" s="7" t="s">
        <v>3618</v>
      </c>
      <c r="C736" s="7" t="s">
        <v>3619</v>
      </c>
      <c r="D736" s="7" t="s">
        <v>3620</v>
      </c>
      <c r="E736" s="7" t="s">
        <v>33</v>
      </c>
      <c r="F736" s="7" t="s">
        <v>34</v>
      </c>
      <c r="G736" s="7" t="s">
        <v>35</v>
      </c>
      <c r="H736" s="7"/>
      <c r="I736" s="7"/>
      <c r="J736" s="7" t="s">
        <v>36</v>
      </c>
      <c r="K736" s="7" t="s">
        <v>235</v>
      </c>
      <c r="L736" s="7" t="s">
        <v>236</v>
      </c>
      <c r="M736" s="7" t="s">
        <v>237</v>
      </c>
      <c r="N736" s="7" t="s">
        <v>33</v>
      </c>
      <c r="O736" s="7">
        <v>1</v>
      </c>
      <c r="P736" s="7" t="s">
        <v>40</v>
      </c>
      <c r="Q736" s="7">
        <v>85.99</v>
      </c>
      <c r="R736" s="7"/>
      <c r="S736" s="7"/>
      <c r="T736" s="7"/>
      <c r="U736" s="7"/>
      <c r="V736" s="7"/>
      <c r="W736" s="7"/>
      <c r="X736" s="7"/>
      <c r="Y736" s="7" t="s">
        <v>2881</v>
      </c>
      <c r="Z736" s="7" t="s">
        <v>1156</v>
      </c>
      <c r="AA736" s="7" t="s">
        <v>3621</v>
      </c>
      <c r="AB736" s="7" t="s">
        <v>44</v>
      </c>
      <c r="AC736" s="7"/>
      <c r="AD736" s="10"/>
      <c r="AE736" s="10"/>
      <c r="AF736" s="10"/>
      <c r="AG736" s="11">
        <f t="shared" si="11"/>
        <v>43279</v>
      </c>
    </row>
    <row r="737" s="8" customFormat="1" spans="1:33">
      <c r="A737" s="7" t="s">
        <v>3622</v>
      </c>
      <c r="B737" s="7" t="s">
        <v>3622</v>
      </c>
      <c r="C737" s="7" t="s">
        <v>3623</v>
      </c>
      <c r="D737" s="7" t="s">
        <v>3624</v>
      </c>
      <c r="E737" s="7" t="s">
        <v>33</v>
      </c>
      <c r="F737" s="7" t="s">
        <v>34</v>
      </c>
      <c r="G737" s="7" t="s">
        <v>35</v>
      </c>
      <c r="H737" s="7"/>
      <c r="I737" s="7"/>
      <c r="J737" s="7" t="s">
        <v>36</v>
      </c>
      <c r="K737" s="7" t="s">
        <v>284</v>
      </c>
      <c r="L737" s="7" t="s">
        <v>285</v>
      </c>
      <c r="M737" s="7" t="s">
        <v>286</v>
      </c>
      <c r="N737" s="7" t="s">
        <v>33</v>
      </c>
      <c r="O737" s="7">
        <v>1</v>
      </c>
      <c r="P737" s="7" t="s">
        <v>40</v>
      </c>
      <c r="Q737" s="7">
        <v>89.99</v>
      </c>
      <c r="R737" s="7"/>
      <c r="S737" s="7"/>
      <c r="T737" s="7"/>
      <c r="U737" s="7"/>
      <c r="V737" s="7"/>
      <c r="W737" s="7"/>
      <c r="X737" s="7"/>
      <c r="Y737" s="7" t="s">
        <v>3625</v>
      </c>
      <c r="Z737" s="7" t="s">
        <v>3626</v>
      </c>
      <c r="AA737" s="7" t="s">
        <v>3627</v>
      </c>
      <c r="AB737" s="7" t="s">
        <v>44</v>
      </c>
      <c r="AC737" s="7"/>
      <c r="AD737" s="10"/>
      <c r="AE737" s="10"/>
      <c r="AF737" s="10"/>
      <c r="AG737" s="11">
        <f t="shared" si="11"/>
        <v>43279</v>
      </c>
    </row>
    <row r="738" s="8" customFormat="1" spans="1:33">
      <c r="A738" s="7" t="s">
        <v>3628</v>
      </c>
      <c r="B738" s="7" t="s">
        <v>3628</v>
      </c>
      <c r="C738" s="7" t="s">
        <v>3629</v>
      </c>
      <c r="D738" s="7" t="s">
        <v>3630</v>
      </c>
      <c r="E738" s="7" t="s">
        <v>33</v>
      </c>
      <c r="F738" s="7" t="s">
        <v>34</v>
      </c>
      <c r="G738" s="7" t="s">
        <v>35</v>
      </c>
      <c r="H738" s="7"/>
      <c r="I738" s="7"/>
      <c r="J738" s="7" t="s">
        <v>36</v>
      </c>
      <c r="K738" s="7" t="s">
        <v>3631</v>
      </c>
      <c r="L738" s="7" t="s">
        <v>3579</v>
      </c>
      <c r="M738" s="7" t="s">
        <v>3580</v>
      </c>
      <c r="N738" s="7" t="s">
        <v>33</v>
      </c>
      <c r="O738" s="7">
        <v>1</v>
      </c>
      <c r="P738" s="7" t="s">
        <v>40</v>
      </c>
      <c r="Q738" s="7">
        <v>32.99</v>
      </c>
      <c r="R738" s="7"/>
      <c r="S738" s="7"/>
      <c r="T738" s="7"/>
      <c r="U738" s="7"/>
      <c r="V738" s="7"/>
      <c r="W738" s="7"/>
      <c r="X738" s="7"/>
      <c r="Y738" s="7" t="s">
        <v>3632</v>
      </c>
      <c r="Z738" s="7" t="s">
        <v>207</v>
      </c>
      <c r="AA738" s="7" t="s">
        <v>3633</v>
      </c>
      <c r="AB738" s="7" t="s">
        <v>44</v>
      </c>
      <c r="AC738" s="7"/>
      <c r="AD738" s="10"/>
      <c r="AE738" s="10"/>
      <c r="AF738" s="10"/>
      <c r="AG738" s="11">
        <f t="shared" si="11"/>
        <v>43279</v>
      </c>
    </row>
    <row r="739" s="8" customFormat="1" spans="1:33">
      <c r="A739" s="7" t="s">
        <v>3634</v>
      </c>
      <c r="B739" s="7" t="s">
        <v>3634</v>
      </c>
      <c r="C739" s="7" t="s">
        <v>3635</v>
      </c>
      <c r="D739" s="7" t="s">
        <v>3636</v>
      </c>
      <c r="E739" s="7" t="s">
        <v>33</v>
      </c>
      <c r="F739" s="7" t="s">
        <v>34</v>
      </c>
      <c r="G739" s="7" t="s">
        <v>35</v>
      </c>
      <c r="H739" s="7"/>
      <c r="I739" s="7"/>
      <c r="J739" s="7" t="s">
        <v>36</v>
      </c>
      <c r="K739" s="7" t="s">
        <v>284</v>
      </c>
      <c r="L739" s="7" t="s">
        <v>285</v>
      </c>
      <c r="M739" s="7" t="s">
        <v>286</v>
      </c>
      <c r="N739" s="7" t="s">
        <v>33</v>
      </c>
      <c r="O739" s="7">
        <v>1</v>
      </c>
      <c r="P739" s="7" t="s">
        <v>40</v>
      </c>
      <c r="Q739" s="7">
        <v>89.99</v>
      </c>
      <c r="R739" s="7"/>
      <c r="S739" s="7"/>
      <c r="T739" s="7"/>
      <c r="U739" s="7"/>
      <c r="V739" s="7"/>
      <c r="W739" s="7"/>
      <c r="X739" s="7"/>
      <c r="Y739" s="7" t="s">
        <v>3637</v>
      </c>
      <c r="Z739" s="7" t="s">
        <v>293</v>
      </c>
      <c r="AA739" s="7" t="s">
        <v>3638</v>
      </c>
      <c r="AB739" s="7" t="s">
        <v>44</v>
      </c>
      <c r="AC739" s="7"/>
      <c r="AD739" s="10"/>
      <c r="AE739" s="10"/>
      <c r="AF739" s="10"/>
      <c r="AG739" s="11">
        <f t="shared" si="11"/>
        <v>43279</v>
      </c>
    </row>
    <row r="740" s="8" customFormat="1" spans="1:33">
      <c r="A740" s="7" t="s">
        <v>3639</v>
      </c>
      <c r="B740" s="7" t="s">
        <v>3639</v>
      </c>
      <c r="C740" s="7" t="s">
        <v>3640</v>
      </c>
      <c r="D740" s="7" t="s">
        <v>3641</v>
      </c>
      <c r="E740" s="7" t="s">
        <v>33</v>
      </c>
      <c r="F740" s="7" t="s">
        <v>34</v>
      </c>
      <c r="G740" s="7" t="s">
        <v>35</v>
      </c>
      <c r="H740" s="7"/>
      <c r="I740" s="7"/>
      <c r="J740" s="7" t="s">
        <v>36</v>
      </c>
      <c r="K740" s="7" t="s">
        <v>59</v>
      </c>
      <c r="L740" s="7" t="s">
        <v>60</v>
      </c>
      <c r="M740" s="7" t="s">
        <v>61</v>
      </c>
      <c r="N740" s="7" t="s">
        <v>33</v>
      </c>
      <c r="O740" s="7">
        <v>1</v>
      </c>
      <c r="P740" s="7" t="s">
        <v>40</v>
      </c>
      <c r="Q740" s="7">
        <v>89.99</v>
      </c>
      <c r="R740" s="7"/>
      <c r="S740" s="7"/>
      <c r="T740" s="7"/>
      <c r="U740" s="7"/>
      <c r="V740" s="7"/>
      <c r="W740" s="7"/>
      <c r="X740" s="7"/>
      <c r="Y740" s="7" t="s">
        <v>3642</v>
      </c>
      <c r="Z740" s="7" t="s">
        <v>484</v>
      </c>
      <c r="AA740" s="7" t="s">
        <v>3643</v>
      </c>
      <c r="AB740" s="7" t="s">
        <v>44</v>
      </c>
      <c r="AC740" s="7"/>
      <c r="AD740" s="10"/>
      <c r="AE740" s="10"/>
      <c r="AF740" s="10"/>
      <c r="AG740" s="11">
        <f t="shared" si="11"/>
        <v>43279</v>
      </c>
    </row>
    <row r="741" s="8" customFormat="1" spans="1:33">
      <c r="A741" s="7" t="s">
        <v>3644</v>
      </c>
      <c r="B741" s="7" t="s">
        <v>3644</v>
      </c>
      <c r="C741" s="7" t="s">
        <v>3645</v>
      </c>
      <c r="D741" s="7" t="s">
        <v>3646</v>
      </c>
      <c r="E741" s="7" t="s">
        <v>33</v>
      </c>
      <c r="F741" s="7" t="s">
        <v>34</v>
      </c>
      <c r="G741" s="7" t="s">
        <v>35</v>
      </c>
      <c r="H741" s="7"/>
      <c r="I741" s="7"/>
      <c r="J741" s="7" t="s">
        <v>36</v>
      </c>
      <c r="K741" s="7" t="s">
        <v>2035</v>
      </c>
      <c r="L741" s="7" t="s">
        <v>89</v>
      </c>
      <c r="M741" s="7" t="s">
        <v>90</v>
      </c>
      <c r="N741" s="7" t="s">
        <v>33</v>
      </c>
      <c r="O741" s="7">
        <v>1</v>
      </c>
      <c r="P741" s="7" t="s">
        <v>40</v>
      </c>
      <c r="Q741" s="7">
        <v>89.99</v>
      </c>
      <c r="R741" s="7"/>
      <c r="S741" s="7"/>
      <c r="T741" s="7"/>
      <c r="U741" s="7"/>
      <c r="V741" s="7"/>
      <c r="W741" s="7"/>
      <c r="X741" s="7"/>
      <c r="Y741" s="7" t="s">
        <v>3647</v>
      </c>
      <c r="Z741" s="7" t="s">
        <v>837</v>
      </c>
      <c r="AA741" s="7" t="s">
        <v>3648</v>
      </c>
      <c r="AB741" s="7" t="s">
        <v>44</v>
      </c>
      <c r="AC741" s="7"/>
      <c r="AD741" s="10"/>
      <c r="AE741" s="10"/>
      <c r="AF741" s="10"/>
      <c r="AG741" s="11">
        <f t="shared" si="11"/>
        <v>43279</v>
      </c>
    </row>
    <row r="742" s="8" customFormat="1" spans="1:33">
      <c r="A742" s="7" t="s">
        <v>3649</v>
      </c>
      <c r="B742" s="7" t="s">
        <v>3649</v>
      </c>
      <c r="C742" s="7" t="s">
        <v>3650</v>
      </c>
      <c r="D742" s="7" t="s">
        <v>3651</v>
      </c>
      <c r="E742" s="7" t="s">
        <v>33</v>
      </c>
      <c r="F742" s="7" t="s">
        <v>34</v>
      </c>
      <c r="G742" s="7" t="s">
        <v>35</v>
      </c>
      <c r="H742" s="7"/>
      <c r="I742" s="7"/>
      <c r="J742" s="7" t="s">
        <v>36</v>
      </c>
      <c r="K742" s="7" t="s">
        <v>3398</v>
      </c>
      <c r="L742" s="7" t="s">
        <v>3399</v>
      </c>
      <c r="M742" s="7" t="s">
        <v>3400</v>
      </c>
      <c r="N742" s="7" t="s">
        <v>33</v>
      </c>
      <c r="O742" s="7">
        <v>1</v>
      </c>
      <c r="P742" s="7" t="s">
        <v>40</v>
      </c>
      <c r="Q742" s="7">
        <v>79.99</v>
      </c>
      <c r="R742" s="7"/>
      <c r="S742" s="7"/>
      <c r="T742" s="7"/>
      <c r="U742" s="7"/>
      <c r="V742" s="7"/>
      <c r="W742" s="7"/>
      <c r="X742" s="7"/>
      <c r="Y742" s="7" t="s">
        <v>1055</v>
      </c>
      <c r="Z742" s="7" t="s">
        <v>42</v>
      </c>
      <c r="AA742" s="7" t="s">
        <v>3652</v>
      </c>
      <c r="AB742" s="7" t="s">
        <v>44</v>
      </c>
      <c r="AC742" s="7"/>
      <c r="AD742" s="10"/>
      <c r="AE742" s="10"/>
      <c r="AF742" s="10"/>
      <c r="AG742" s="11">
        <f t="shared" si="11"/>
        <v>43279</v>
      </c>
    </row>
    <row r="743" s="8" customFormat="1" spans="1:33">
      <c r="A743" s="7" t="s">
        <v>3653</v>
      </c>
      <c r="B743" s="7" t="s">
        <v>3653</v>
      </c>
      <c r="C743" s="7" t="s">
        <v>3654</v>
      </c>
      <c r="D743" s="7" t="s">
        <v>3655</v>
      </c>
      <c r="E743" s="7" t="s">
        <v>33</v>
      </c>
      <c r="F743" s="7" t="s">
        <v>34</v>
      </c>
      <c r="G743" s="7" t="s">
        <v>35</v>
      </c>
      <c r="H743" s="7"/>
      <c r="I743" s="7"/>
      <c r="J743" s="7" t="s">
        <v>36</v>
      </c>
      <c r="K743" s="7" t="s">
        <v>660</v>
      </c>
      <c r="L743" s="7" t="s">
        <v>661</v>
      </c>
      <c r="M743" s="7" t="s">
        <v>662</v>
      </c>
      <c r="N743" s="7" t="s">
        <v>33</v>
      </c>
      <c r="O743" s="7">
        <v>1</v>
      </c>
      <c r="P743" s="7" t="s">
        <v>40</v>
      </c>
      <c r="Q743" s="7">
        <v>79.99</v>
      </c>
      <c r="R743" s="7"/>
      <c r="S743" s="7"/>
      <c r="T743" s="7"/>
      <c r="U743" s="7"/>
      <c r="V743" s="7"/>
      <c r="W743" s="7"/>
      <c r="X743" s="7"/>
      <c r="Y743" s="7" t="s">
        <v>73</v>
      </c>
      <c r="Z743" s="7" t="s">
        <v>64</v>
      </c>
      <c r="AA743" s="7" t="s">
        <v>2828</v>
      </c>
      <c r="AB743" s="7" t="s">
        <v>44</v>
      </c>
      <c r="AC743" s="7"/>
      <c r="AD743" s="7"/>
      <c r="AE743" s="7"/>
      <c r="AF743" s="7"/>
      <c r="AG743" s="11">
        <f t="shared" si="11"/>
        <v>43279</v>
      </c>
    </row>
    <row r="744" s="8" customFormat="1" spans="1:33">
      <c r="A744" s="7" t="s">
        <v>3656</v>
      </c>
      <c r="B744" s="7" t="s">
        <v>3656</v>
      </c>
      <c r="C744" s="7" t="s">
        <v>3657</v>
      </c>
      <c r="D744" s="7" t="s">
        <v>3658</v>
      </c>
      <c r="E744" s="7" t="s">
        <v>33</v>
      </c>
      <c r="F744" s="7" t="s">
        <v>34</v>
      </c>
      <c r="G744" s="7" t="s">
        <v>35</v>
      </c>
      <c r="H744" s="7"/>
      <c r="I744" s="7"/>
      <c r="J744" s="7" t="s">
        <v>36</v>
      </c>
      <c r="K744" s="7" t="s">
        <v>275</v>
      </c>
      <c r="L744" s="7" t="s">
        <v>276</v>
      </c>
      <c r="M744" s="7" t="s">
        <v>277</v>
      </c>
      <c r="N744" s="7" t="s">
        <v>33</v>
      </c>
      <c r="O744" s="7">
        <v>1</v>
      </c>
      <c r="P744" s="7" t="s">
        <v>40</v>
      </c>
      <c r="Q744" s="7">
        <v>89.99</v>
      </c>
      <c r="R744" s="7"/>
      <c r="S744" s="7"/>
      <c r="T744" s="7"/>
      <c r="U744" s="7"/>
      <c r="V744" s="7"/>
      <c r="W744" s="7"/>
      <c r="X744" s="7"/>
      <c r="Y744" s="7" t="s">
        <v>3659</v>
      </c>
      <c r="Z744" s="7" t="s">
        <v>42</v>
      </c>
      <c r="AA744" s="7" t="s">
        <v>3660</v>
      </c>
      <c r="AB744" s="7" t="s">
        <v>44</v>
      </c>
      <c r="AC744" s="7"/>
      <c r="AD744" s="10"/>
      <c r="AE744" s="10"/>
      <c r="AF744" s="10"/>
      <c r="AG744" s="11">
        <f t="shared" si="11"/>
        <v>43279</v>
      </c>
    </row>
    <row r="745" s="8" customFormat="1" spans="1:33">
      <c r="A745" s="7" t="s">
        <v>3661</v>
      </c>
      <c r="B745" s="7" t="s">
        <v>3661</v>
      </c>
      <c r="C745" s="7" t="s">
        <v>3662</v>
      </c>
      <c r="D745" s="7" t="s">
        <v>3663</v>
      </c>
      <c r="E745" s="7" t="s">
        <v>33</v>
      </c>
      <c r="F745" s="7" t="s">
        <v>34</v>
      </c>
      <c r="G745" s="7" t="s">
        <v>35</v>
      </c>
      <c r="H745" s="7"/>
      <c r="I745" s="7"/>
      <c r="J745" s="7" t="s">
        <v>36</v>
      </c>
      <c r="K745" s="7" t="s">
        <v>2135</v>
      </c>
      <c r="L745" s="7" t="s">
        <v>2136</v>
      </c>
      <c r="M745" s="7" t="s">
        <v>2137</v>
      </c>
      <c r="N745" s="7" t="s">
        <v>33</v>
      </c>
      <c r="O745" s="7">
        <v>1</v>
      </c>
      <c r="P745" s="7" t="s">
        <v>40</v>
      </c>
      <c r="Q745" s="7">
        <v>32.99</v>
      </c>
      <c r="R745" s="7"/>
      <c r="S745" s="7"/>
      <c r="T745" s="7"/>
      <c r="U745" s="7"/>
      <c r="V745" s="7"/>
      <c r="W745" s="7"/>
      <c r="X745" s="7"/>
      <c r="Y745" s="7" t="s">
        <v>3664</v>
      </c>
      <c r="Z745" s="7" t="s">
        <v>42</v>
      </c>
      <c r="AA745" s="7" t="s">
        <v>3665</v>
      </c>
      <c r="AB745" s="7" t="s">
        <v>44</v>
      </c>
      <c r="AC745" s="7"/>
      <c r="AD745" s="10"/>
      <c r="AE745" s="10"/>
      <c r="AF745" s="10"/>
      <c r="AG745" s="11">
        <f t="shared" si="11"/>
        <v>43279</v>
      </c>
    </row>
    <row r="746" s="8" customFormat="1" spans="1:33">
      <c r="A746" s="7" t="s">
        <v>3666</v>
      </c>
      <c r="B746" s="7" t="s">
        <v>3666</v>
      </c>
      <c r="C746" s="7" t="s">
        <v>3667</v>
      </c>
      <c r="D746" s="7" t="s">
        <v>3668</v>
      </c>
      <c r="E746" s="7" t="s">
        <v>33</v>
      </c>
      <c r="F746" s="7" t="s">
        <v>34</v>
      </c>
      <c r="G746" s="7" t="s">
        <v>35</v>
      </c>
      <c r="H746" s="7"/>
      <c r="I746" s="7"/>
      <c r="J746" s="7" t="s">
        <v>69</v>
      </c>
      <c r="K746" s="7" t="s">
        <v>48</v>
      </c>
      <c r="L746" s="7" t="s">
        <v>49</v>
      </c>
      <c r="M746" s="7" t="s">
        <v>50</v>
      </c>
      <c r="N746" s="7" t="s">
        <v>33</v>
      </c>
      <c r="O746" s="7">
        <v>1</v>
      </c>
      <c r="P746" s="7" t="s">
        <v>40</v>
      </c>
      <c r="Q746" s="7">
        <v>89.99</v>
      </c>
      <c r="R746" s="7"/>
      <c r="S746" s="7">
        <v>3.05</v>
      </c>
      <c r="T746" s="7"/>
      <c r="U746" s="7"/>
      <c r="V746" s="7"/>
      <c r="W746" s="7"/>
      <c r="X746" s="7"/>
      <c r="Y746" s="7" t="s">
        <v>3669</v>
      </c>
      <c r="Z746" s="7" t="s">
        <v>183</v>
      </c>
      <c r="AA746" s="7" t="s">
        <v>3670</v>
      </c>
      <c r="AB746" s="7" t="s">
        <v>44</v>
      </c>
      <c r="AC746" s="7"/>
      <c r="AD746" s="10"/>
      <c r="AE746" s="10"/>
      <c r="AF746" s="10"/>
      <c r="AG746" s="11">
        <f t="shared" si="11"/>
        <v>43279</v>
      </c>
    </row>
    <row r="747" s="8" customFormat="1" spans="1:33">
      <c r="A747" s="7" t="s">
        <v>3671</v>
      </c>
      <c r="B747" s="7" t="s">
        <v>3671</v>
      </c>
      <c r="C747" s="7" t="s">
        <v>3672</v>
      </c>
      <c r="D747" s="7" t="s">
        <v>3673</v>
      </c>
      <c r="E747" s="7" t="s">
        <v>33</v>
      </c>
      <c r="F747" s="7" t="s">
        <v>34</v>
      </c>
      <c r="G747" s="7" t="s">
        <v>35</v>
      </c>
      <c r="H747" s="7"/>
      <c r="I747" s="7"/>
      <c r="J747" s="7" t="s">
        <v>36</v>
      </c>
      <c r="K747" s="7" t="s">
        <v>213</v>
      </c>
      <c r="L747" s="7" t="s">
        <v>214</v>
      </c>
      <c r="M747" s="7" t="s">
        <v>215</v>
      </c>
      <c r="N747" s="7" t="s">
        <v>33</v>
      </c>
      <c r="O747" s="7">
        <v>1</v>
      </c>
      <c r="P747" s="7" t="s">
        <v>40</v>
      </c>
      <c r="Q747" s="7">
        <v>21.99</v>
      </c>
      <c r="R747" s="7"/>
      <c r="S747" s="7"/>
      <c r="T747" s="7"/>
      <c r="U747" s="7"/>
      <c r="V747" s="7"/>
      <c r="W747" s="7"/>
      <c r="X747" s="7"/>
      <c r="Y747" s="7" t="s">
        <v>3674</v>
      </c>
      <c r="Z747" s="7" t="s">
        <v>158</v>
      </c>
      <c r="AA747" s="7">
        <v>72209</v>
      </c>
      <c r="AB747" s="7" t="s">
        <v>44</v>
      </c>
      <c r="AC747" s="7"/>
      <c r="AD747" s="10"/>
      <c r="AE747" s="10"/>
      <c r="AF747" s="10"/>
      <c r="AG747" s="11">
        <f t="shared" si="11"/>
        <v>43279</v>
      </c>
    </row>
    <row r="748" s="8" customFormat="1" spans="1:33">
      <c r="A748" s="7" t="s">
        <v>3675</v>
      </c>
      <c r="B748" s="7" t="s">
        <v>3675</v>
      </c>
      <c r="C748" s="7" t="s">
        <v>3676</v>
      </c>
      <c r="D748" s="7" t="s">
        <v>3677</v>
      </c>
      <c r="E748" s="7" t="s">
        <v>33</v>
      </c>
      <c r="F748" s="7" t="s">
        <v>34</v>
      </c>
      <c r="G748" s="7" t="s">
        <v>35</v>
      </c>
      <c r="H748" s="7"/>
      <c r="I748" s="7"/>
      <c r="J748" s="7" t="s">
        <v>36</v>
      </c>
      <c r="K748" s="7" t="s">
        <v>642</v>
      </c>
      <c r="L748" s="7" t="s">
        <v>643</v>
      </c>
      <c r="M748" s="7" t="s">
        <v>644</v>
      </c>
      <c r="N748" s="7" t="s">
        <v>54</v>
      </c>
      <c r="O748" s="7">
        <v>0</v>
      </c>
      <c r="P748" s="7"/>
      <c r="Q748" s="7"/>
      <c r="R748" s="7"/>
      <c r="S748" s="7"/>
      <c r="T748" s="7"/>
      <c r="U748" s="7"/>
      <c r="V748" s="7"/>
      <c r="W748" s="7"/>
      <c r="X748" s="7"/>
      <c r="Y748" s="7" t="s">
        <v>3674</v>
      </c>
      <c r="Z748" s="7" t="s">
        <v>158</v>
      </c>
      <c r="AA748" s="7">
        <v>72209</v>
      </c>
      <c r="AB748" s="7" t="s">
        <v>44</v>
      </c>
      <c r="AC748" s="7"/>
      <c r="AD748" s="10"/>
      <c r="AE748" s="10"/>
      <c r="AF748" s="10"/>
      <c r="AG748" s="11">
        <f t="shared" si="11"/>
        <v>43279</v>
      </c>
    </row>
    <row r="749" s="8" customFormat="1" spans="1:33">
      <c r="A749" s="7" t="s">
        <v>3675</v>
      </c>
      <c r="B749" s="7" t="s">
        <v>3675</v>
      </c>
      <c r="C749" s="7" t="s">
        <v>3676</v>
      </c>
      <c r="D749" s="7" t="s">
        <v>3677</v>
      </c>
      <c r="E749" s="7" t="s">
        <v>33</v>
      </c>
      <c r="F749" s="7" t="s">
        <v>34</v>
      </c>
      <c r="G749" s="7" t="s">
        <v>35</v>
      </c>
      <c r="H749" s="7"/>
      <c r="I749" s="7"/>
      <c r="J749" s="7" t="s">
        <v>36</v>
      </c>
      <c r="K749" s="7" t="s">
        <v>79</v>
      </c>
      <c r="L749" s="7" t="s">
        <v>80</v>
      </c>
      <c r="M749" s="7" t="s">
        <v>81</v>
      </c>
      <c r="N749" s="7" t="s">
        <v>33</v>
      </c>
      <c r="O749" s="7">
        <v>2</v>
      </c>
      <c r="P749" s="7" t="s">
        <v>40</v>
      </c>
      <c r="Q749" s="7">
        <v>183.98</v>
      </c>
      <c r="R749" s="7"/>
      <c r="S749" s="7"/>
      <c r="T749" s="7"/>
      <c r="U749" s="7"/>
      <c r="V749" s="7"/>
      <c r="W749" s="7"/>
      <c r="X749" s="7"/>
      <c r="Y749" s="7" t="s">
        <v>3674</v>
      </c>
      <c r="Z749" s="7" t="s">
        <v>158</v>
      </c>
      <c r="AA749" s="7">
        <v>72209</v>
      </c>
      <c r="AB749" s="7" t="s">
        <v>44</v>
      </c>
      <c r="AC749" s="7"/>
      <c r="AD749" s="10"/>
      <c r="AE749" s="10"/>
      <c r="AF749" s="10"/>
      <c r="AG749" s="11">
        <f t="shared" si="11"/>
        <v>43279</v>
      </c>
    </row>
    <row r="750" s="8" customFormat="1" spans="1:33">
      <c r="A750" s="7" t="s">
        <v>3678</v>
      </c>
      <c r="B750" s="7" t="s">
        <v>3678</v>
      </c>
      <c r="C750" s="7" t="s">
        <v>3679</v>
      </c>
      <c r="D750" s="7" t="s">
        <v>3680</v>
      </c>
      <c r="E750" s="7" t="s">
        <v>33</v>
      </c>
      <c r="F750" s="7" t="s">
        <v>34</v>
      </c>
      <c r="G750" s="7" t="s">
        <v>35</v>
      </c>
      <c r="H750" s="7"/>
      <c r="I750" s="7"/>
      <c r="J750" s="7" t="s">
        <v>36</v>
      </c>
      <c r="K750" s="7" t="s">
        <v>235</v>
      </c>
      <c r="L750" s="7" t="s">
        <v>236</v>
      </c>
      <c r="M750" s="7" t="s">
        <v>237</v>
      </c>
      <c r="N750" s="7" t="s">
        <v>33</v>
      </c>
      <c r="O750" s="7">
        <v>1</v>
      </c>
      <c r="P750" s="7" t="s">
        <v>40</v>
      </c>
      <c r="Q750" s="7">
        <v>85.99</v>
      </c>
      <c r="R750" s="7"/>
      <c r="S750" s="7"/>
      <c r="T750" s="7"/>
      <c r="U750" s="7"/>
      <c r="V750" s="7"/>
      <c r="W750" s="7"/>
      <c r="X750" s="7"/>
      <c r="Y750" s="7" t="s">
        <v>3681</v>
      </c>
      <c r="Z750" s="7" t="s">
        <v>92</v>
      </c>
      <c r="AA750" s="7" t="s">
        <v>3682</v>
      </c>
      <c r="AB750" s="7" t="s">
        <v>44</v>
      </c>
      <c r="AC750" s="7"/>
      <c r="AD750" s="10"/>
      <c r="AE750" s="10"/>
      <c r="AF750" s="10"/>
      <c r="AG750" s="11">
        <f t="shared" si="11"/>
        <v>43279</v>
      </c>
    </row>
    <row r="751" s="8" customFormat="1" spans="1:33">
      <c r="A751" s="7" t="s">
        <v>3683</v>
      </c>
      <c r="B751" s="7" t="s">
        <v>3683</v>
      </c>
      <c r="C751" s="7" t="s">
        <v>3684</v>
      </c>
      <c r="D751" s="7" t="s">
        <v>3685</v>
      </c>
      <c r="E751" s="7" t="s">
        <v>33</v>
      </c>
      <c r="F751" s="7" t="s">
        <v>34</v>
      </c>
      <c r="G751" s="7" t="s">
        <v>35</v>
      </c>
      <c r="H751" s="7"/>
      <c r="I751" s="7"/>
      <c r="J751" s="7" t="s">
        <v>36</v>
      </c>
      <c r="K751" s="7" t="s">
        <v>3686</v>
      </c>
      <c r="L751" s="7" t="s">
        <v>3687</v>
      </c>
      <c r="M751" s="7" t="s">
        <v>3688</v>
      </c>
      <c r="N751" s="7" t="s">
        <v>33</v>
      </c>
      <c r="O751" s="7">
        <v>1</v>
      </c>
      <c r="P751" s="7" t="s">
        <v>40</v>
      </c>
      <c r="Q751" s="7">
        <v>29.99</v>
      </c>
      <c r="R751" s="7">
        <v>2.58</v>
      </c>
      <c r="S751" s="7"/>
      <c r="T751" s="7"/>
      <c r="U751" s="7"/>
      <c r="V751" s="7"/>
      <c r="W751" s="7"/>
      <c r="X751" s="7"/>
      <c r="Y751" s="7" t="s">
        <v>3689</v>
      </c>
      <c r="Z751" s="7" t="s">
        <v>97</v>
      </c>
      <c r="AA751" s="7" t="s">
        <v>3690</v>
      </c>
      <c r="AB751" s="7" t="s">
        <v>44</v>
      </c>
      <c r="AC751" s="7"/>
      <c r="AD751" s="10"/>
      <c r="AE751" s="10"/>
      <c r="AF751" s="10"/>
      <c r="AG751" s="11">
        <f t="shared" si="11"/>
        <v>43279</v>
      </c>
    </row>
    <row r="752" s="8" customFormat="1" spans="1:33">
      <c r="A752" s="7" t="s">
        <v>3691</v>
      </c>
      <c r="B752" s="7" t="s">
        <v>3691</v>
      </c>
      <c r="C752" s="7" t="s">
        <v>3692</v>
      </c>
      <c r="D752" s="7" t="s">
        <v>3693</v>
      </c>
      <c r="E752" s="7" t="s">
        <v>33</v>
      </c>
      <c r="F752" s="7" t="s">
        <v>34</v>
      </c>
      <c r="G752" s="7" t="s">
        <v>35</v>
      </c>
      <c r="H752" s="7"/>
      <c r="I752" s="7"/>
      <c r="J752" s="7" t="s">
        <v>36</v>
      </c>
      <c r="K752" s="7" t="s">
        <v>213</v>
      </c>
      <c r="L752" s="7" t="s">
        <v>214</v>
      </c>
      <c r="M752" s="7" t="s">
        <v>215</v>
      </c>
      <c r="N752" s="7" t="s">
        <v>33</v>
      </c>
      <c r="O752" s="7">
        <v>1</v>
      </c>
      <c r="P752" s="7" t="s">
        <v>40</v>
      </c>
      <c r="Q752" s="7">
        <v>21.99</v>
      </c>
      <c r="R752" s="7"/>
      <c r="S752" s="7"/>
      <c r="T752" s="7"/>
      <c r="U752" s="7"/>
      <c r="V752" s="7"/>
      <c r="W752" s="7"/>
      <c r="X752" s="7"/>
      <c r="Y752" s="7" t="s">
        <v>3694</v>
      </c>
      <c r="Z752" s="7" t="s">
        <v>189</v>
      </c>
      <c r="AA752" s="7" t="s">
        <v>3695</v>
      </c>
      <c r="AB752" s="7" t="s">
        <v>44</v>
      </c>
      <c r="AC752" s="7"/>
      <c r="AD752" s="10"/>
      <c r="AE752" s="10"/>
      <c r="AF752" s="10"/>
      <c r="AG752" s="11">
        <f t="shared" si="11"/>
        <v>43279</v>
      </c>
    </row>
    <row r="753" s="8" customFormat="1" spans="1:33">
      <c r="A753" s="7" t="s">
        <v>3696</v>
      </c>
      <c r="B753" s="7" t="s">
        <v>3696</v>
      </c>
      <c r="C753" s="7" t="s">
        <v>3697</v>
      </c>
      <c r="D753" s="7" t="s">
        <v>3698</v>
      </c>
      <c r="E753" s="7" t="s">
        <v>54</v>
      </c>
      <c r="F753" s="7" t="s">
        <v>34</v>
      </c>
      <c r="G753" s="7" t="s">
        <v>35</v>
      </c>
      <c r="H753" s="7"/>
      <c r="I753" s="7"/>
      <c r="J753" s="7" t="s">
        <v>58</v>
      </c>
      <c r="K753" s="7" t="s">
        <v>37</v>
      </c>
      <c r="L753" s="7" t="s">
        <v>38</v>
      </c>
      <c r="M753" s="7" t="s">
        <v>39</v>
      </c>
      <c r="N753" s="7" t="s">
        <v>62</v>
      </c>
      <c r="O753" s="7">
        <v>1</v>
      </c>
      <c r="P753" s="7" t="s">
        <v>40</v>
      </c>
      <c r="Q753" s="7">
        <v>89.99</v>
      </c>
      <c r="R753" s="7"/>
      <c r="S753" s="7"/>
      <c r="T753" s="7"/>
      <c r="U753" s="7"/>
      <c r="V753" s="7"/>
      <c r="W753" s="7"/>
      <c r="X753" s="7"/>
      <c r="Y753" s="7" t="s">
        <v>3699</v>
      </c>
      <c r="Z753" s="7" t="s">
        <v>158</v>
      </c>
      <c r="AA753" s="7" t="s">
        <v>3700</v>
      </c>
      <c r="AB753" s="7" t="s">
        <v>44</v>
      </c>
      <c r="AC753" s="7"/>
      <c r="AD753" s="10"/>
      <c r="AE753" s="10"/>
      <c r="AF753" s="10"/>
      <c r="AG753" s="11">
        <f t="shared" si="11"/>
        <v>43279</v>
      </c>
    </row>
    <row r="754" s="8" customFormat="1" spans="1:33">
      <c r="A754" s="7" t="s">
        <v>3701</v>
      </c>
      <c r="B754" s="7" t="s">
        <v>3701</v>
      </c>
      <c r="C754" s="7" t="s">
        <v>3702</v>
      </c>
      <c r="D754" s="7" t="s">
        <v>3703</v>
      </c>
      <c r="E754" s="7" t="s">
        <v>33</v>
      </c>
      <c r="F754" s="7" t="s">
        <v>34</v>
      </c>
      <c r="G754" s="7" t="s">
        <v>35</v>
      </c>
      <c r="H754" s="7"/>
      <c r="I754" s="7"/>
      <c r="J754" s="7" t="s">
        <v>36</v>
      </c>
      <c r="K754" s="7" t="s">
        <v>1517</v>
      </c>
      <c r="L754" s="7" t="s">
        <v>1518</v>
      </c>
      <c r="M754" s="7" t="s">
        <v>1519</v>
      </c>
      <c r="N754" s="7" t="s">
        <v>33</v>
      </c>
      <c r="O754" s="7">
        <v>1</v>
      </c>
      <c r="P754" s="7" t="s">
        <v>40</v>
      </c>
      <c r="Q754" s="7">
        <v>89.99</v>
      </c>
      <c r="R754" s="7"/>
      <c r="S754" s="7"/>
      <c r="T754" s="7"/>
      <c r="U754" s="7"/>
      <c r="V754" s="7"/>
      <c r="W754" s="7"/>
      <c r="X754" s="7"/>
      <c r="Y754" s="7" t="s">
        <v>1146</v>
      </c>
      <c r="Z754" s="7" t="s">
        <v>64</v>
      </c>
      <c r="AA754" s="7" t="s">
        <v>3704</v>
      </c>
      <c r="AB754" s="7" t="s">
        <v>44</v>
      </c>
      <c r="AC754" s="7"/>
      <c r="AD754" s="10"/>
      <c r="AE754" s="10"/>
      <c r="AF754" s="10"/>
      <c r="AG754" s="11">
        <f t="shared" si="11"/>
        <v>43279</v>
      </c>
    </row>
    <row r="755" s="8" customFormat="1" spans="1:33">
      <c r="A755" s="7" t="s">
        <v>3705</v>
      </c>
      <c r="B755" s="7" t="s">
        <v>3705</v>
      </c>
      <c r="C755" s="7" t="s">
        <v>3706</v>
      </c>
      <c r="D755" s="7" t="s">
        <v>3707</v>
      </c>
      <c r="E755" s="7" t="s">
        <v>33</v>
      </c>
      <c r="F755" s="7" t="s">
        <v>34</v>
      </c>
      <c r="G755" s="7" t="s">
        <v>35</v>
      </c>
      <c r="H755" s="7"/>
      <c r="I755" s="7"/>
      <c r="J755" s="7" t="s">
        <v>36</v>
      </c>
      <c r="K755" s="7" t="s">
        <v>148</v>
      </c>
      <c r="L755" s="7" t="s">
        <v>149</v>
      </c>
      <c r="M755" s="7" t="s">
        <v>150</v>
      </c>
      <c r="N755" s="7" t="s">
        <v>33</v>
      </c>
      <c r="O755" s="7">
        <v>1</v>
      </c>
      <c r="P755" s="7" t="s">
        <v>40</v>
      </c>
      <c r="Q755" s="7">
        <v>98.99</v>
      </c>
      <c r="R755" s="7"/>
      <c r="S755" s="7"/>
      <c r="T755" s="7"/>
      <c r="U755" s="7"/>
      <c r="V755" s="7"/>
      <c r="W755" s="7"/>
      <c r="X755" s="7"/>
      <c r="Y755" s="7" t="s">
        <v>3708</v>
      </c>
      <c r="Z755" s="7" t="s">
        <v>990</v>
      </c>
      <c r="AA755" s="7" t="s">
        <v>3709</v>
      </c>
      <c r="AB755" s="7" t="s">
        <v>44</v>
      </c>
      <c r="AC755" s="7"/>
      <c r="AD755" s="10"/>
      <c r="AE755" s="10"/>
      <c r="AF755" s="10"/>
      <c r="AG755" s="11">
        <f t="shared" si="11"/>
        <v>43279</v>
      </c>
    </row>
    <row r="756" s="8" customFormat="1" spans="1:33">
      <c r="A756" s="7" t="s">
        <v>3710</v>
      </c>
      <c r="B756" s="7" t="s">
        <v>3710</v>
      </c>
      <c r="C756" s="7" t="s">
        <v>3711</v>
      </c>
      <c r="D756" s="7" t="s">
        <v>3712</v>
      </c>
      <c r="E756" s="7" t="s">
        <v>33</v>
      </c>
      <c r="F756" s="7" t="s">
        <v>34</v>
      </c>
      <c r="G756" s="7" t="s">
        <v>35</v>
      </c>
      <c r="H756" s="7"/>
      <c r="I756" s="7"/>
      <c r="J756" s="7" t="s">
        <v>69</v>
      </c>
      <c r="K756" s="7" t="s">
        <v>2540</v>
      </c>
      <c r="L756" s="7" t="s">
        <v>2541</v>
      </c>
      <c r="M756" s="7" t="s">
        <v>2542</v>
      </c>
      <c r="N756" s="7" t="s">
        <v>33</v>
      </c>
      <c r="O756" s="7">
        <v>1</v>
      </c>
      <c r="P756" s="7" t="s">
        <v>40</v>
      </c>
      <c r="Q756" s="7">
        <v>26.99</v>
      </c>
      <c r="R756" s="7"/>
      <c r="S756" s="7">
        <v>5.53</v>
      </c>
      <c r="T756" s="7"/>
      <c r="U756" s="7"/>
      <c r="V756" s="7"/>
      <c r="W756" s="7"/>
      <c r="X756" s="7">
        <v>5.53</v>
      </c>
      <c r="Y756" s="7" t="s">
        <v>3632</v>
      </c>
      <c r="Z756" s="7" t="s">
        <v>207</v>
      </c>
      <c r="AA756" s="7" t="s">
        <v>3713</v>
      </c>
      <c r="AB756" s="7" t="s">
        <v>44</v>
      </c>
      <c r="AC756" s="7" t="s">
        <v>75</v>
      </c>
      <c r="AD756" s="10"/>
      <c r="AE756" s="10"/>
      <c r="AF756" s="10"/>
      <c r="AG756" s="11">
        <f t="shared" si="11"/>
        <v>43279</v>
      </c>
    </row>
    <row r="757" s="8" customFormat="1" spans="1:33">
      <c r="A757" s="7" t="s">
        <v>3714</v>
      </c>
      <c r="B757" s="7" t="s">
        <v>3714</v>
      </c>
      <c r="C757" s="7" t="s">
        <v>3715</v>
      </c>
      <c r="D757" s="7" t="s">
        <v>3716</v>
      </c>
      <c r="E757" s="7" t="s">
        <v>33</v>
      </c>
      <c r="F757" s="7" t="s">
        <v>34</v>
      </c>
      <c r="G757" s="7" t="s">
        <v>35</v>
      </c>
      <c r="H757" s="7"/>
      <c r="I757" s="7"/>
      <c r="J757" s="7" t="s">
        <v>69</v>
      </c>
      <c r="K757" s="7" t="s">
        <v>2484</v>
      </c>
      <c r="L757" s="7" t="s">
        <v>633</v>
      </c>
      <c r="M757" s="7" t="s">
        <v>634</v>
      </c>
      <c r="N757" s="7" t="s">
        <v>33</v>
      </c>
      <c r="O757" s="7">
        <v>1</v>
      </c>
      <c r="P757" s="7" t="s">
        <v>40</v>
      </c>
      <c r="Q757" s="7">
        <v>89.99</v>
      </c>
      <c r="R757" s="7"/>
      <c r="S757" s="7">
        <v>4.88</v>
      </c>
      <c r="T757" s="7"/>
      <c r="U757" s="7"/>
      <c r="V757" s="7"/>
      <c r="W757" s="7">
        <v>9</v>
      </c>
      <c r="X757" s="7">
        <v>4.88</v>
      </c>
      <c r="Y757" s="7" t="s">
        <v>3717</v>
      </c>
      <c r="Z757" s="7" t="s">
        <v>64</v>
      </c>
      <c r="AA757" s="7" t="s">
        <v>3718</v>
      </c>
      <c r="AB757" s="7" t="s">
        <v>44</v>
      </c>
      <c r="AC757" s="7" t="s">
        <v>637</v>
      </c>
      <c r="AD757" s="10"/>
      <c r="AE757" s="10"/>
      <c r="AF757" s="10"/>
      <c r="AG757" s="11">
        <f t="shared" si="11"/>
        <v>43279</v>
      </c>
    </row>
    <row r="758" s="8" customFormat="1" spans="1:33">
      <c r="A758" s="7" t="s">
        <v>3714</v>
      </c>
      <c r="B758" s="7" t="s">
        <v>3714</v>
      </c>
      <c r="C758" s="7" t="s">
        <v>3715</v>
      </c>
      <c r="D758" s="7" t="s">
        <v>3716</v>
      </c>
      <c r="E758" s="7" t="s">
        <v>33</v>
      </c>
      <c r="F758" s="7" t="s">
        <v>34</v>
      </c>
      <c r="G758" s="7" t="s">
        <v>35</v>
      </c>
      <c r="H758" s="7"/>
      <c r="I758" s="7"/>
      <c r="J758" s="7" t="s">
        <v>69</v>
      </c>
      <c r="K758" s="7" t="s">
        <v>48</v>
      </c>
      <c r="L758" s="7" t="s">
        <v>49</v>
      </c>
      <c r="M758" s="7" t="s">
        <v>50</v>
      </c>
      <c r="N758" s="7" t="s">
        <v>33</v>
      </c>
      <c r="O758" s="7">
        <v>1</v>
      </c>
      <c r="P758" s="7" t="s">
        <v>40</v>
      </c>
      <c r="Q758" s="7">
        <v>89.99</v>
      </c>
      <c r="R758" s="7"/>
      <c r="S758" s="7">
        <v>4.74</v>
      </c>
      <c r="T758" s="7"/>
      <c r="U758" s="7"/>
      <c r="V758" s="7"/>
      <c r="W758" s="7"/>
      <c r="X758" s="7">
        <v>4.74</v>
      </c>
      <c r="Y758" s="7" t="s">
        <v>3717</v>
      </c>
      <c r="Z758" s="7" t="s">
        <v>64</v>
      </c>
      <c r="AA758" s="7" t="s">
        <v>3718</v>
      </c>
      <c r="AB758" s="7" t="s">
        <v>44</v>
      </c>
      <c r="AC758" s="7" t="s">
        <v>75</v>
      </c>
      <c r="AD758" s="10"/>
      <c r="AE758" s="10"/>
      <c r="AF758" s="10"/>
      <c r="AG758" s="11">
        <f t="shared" si="11"/>
        <v>43279</v>
      </c>
    </row>
    <row r="759" s="8" customFormat="1" spans="1:33">
      <c r="A759" s="7" t="s">
        <v>3719</v>
      </c>
      <c r="B759" s="7" t="s">
        <v>3719</v>
      </c>
      <c r="C759" s="7" t="s">
        <v>3720</v>
      </c>
      <c r="D759" s="7" t="s">
        <v>3721</v>
      </c>
      <c r="E759" s="7" t="s">
        <v>33</v>
      </c>
      <c r="F759" s="7" t="s">
        <v>34</v>
      </c>
      <c r="G759" s="7" t="s">
        <v>35</v>
      </c>
      <c r="H759" s="7"/>
      <c r="I759" s="7"/>
      <c r="J759" s="7" t="s">
        <v>69</v>
      </c>
      <c r="K759" s="7" t="s">
        <v>59</v>
      </c>
      <c r="L759" s="7" t="s">
        <v>60</v>
      </c>
      <c r="M759" s="7" t="s">
        <v>61</v>
      </c>
      <c r="N759" s="7" t="s">
        <v>33</v>
      </c>
      <c r="O759" s="7">
        <v>1</v>
      </c>
      <c r="P759" s="7" t="s">
        <v>40</v>
      </c>
      <c r="Q759" s="7">
        <v>89.99</v>
      </c>
      <c r="R759" s="7"/>
      <c r="S759" s="7">
        <v>6.73</v>
      </c>
      <c r="T759" s="7"/>
      <c r="U759" s="7"/>
      <c r="V759" s="7"/>
      <c r="W759" s="7"/>
      <c r="X759" s="7">
        <v>6.73</v>
      </c>
      <c r="Y759" s="7" t="s">
        <v>3722</v>
      </c>
      <c r="Z759" s="7" t="s">
        <v>293</v>
      </c>
      <c r="AA759" s="7" t="s">
        <v>3723</v>
      </c>
      <c r="AB759" s="7" t="s">
        <v>44</v>
      </c>
      <c r="AC759" s="7" t="s">
        <v>75</v>
      </c>
      <c r="AD759" s="10"/>
      <c r="AE759" s="10"/>
      <c r="AF759" s="10"/>
      <c r="AG759" s="11">
        <f t="shared" si="11"/>
        <v>43279</v>
      </c>
    </row>
    <row r="760" s="8" customFormat="1" spans="1:33">
      <c r="A760" s="7" t="s">
        <v>3724</v>
      </c>
      <c r="B760" s="7" t="s">
        <v>3724</v>
      </c>
      <c r="C760" s="7" t="s">
        <v>3725</v>
      </c>
      <c r="D760" s="7" t="s">
        <v>3726</v>
      </c>
      <c r="E760" s="7" t="s">
        <v>33</v>
      </c>
      <c r="F760" s="7" t="s">
        <v>34</v>
      </c>
      <c r="G760" s="7" t="s">
        <v>35</v>
      </c>
      <c r="H760" s="7"/>
      <c r="I760" s="7"/>
      <c r="J760" s="7" t="s">
        <v>58</v>
      </c>
      <c r="K760" s="7" t="s">
        <v>275</v>
      </c>
      <c r="L760" s="7" t="s">
        <v>276</v>
      </c>
      <c r="M760" s="7" t="s">
        <v>277</v>
      </c>
      <c r="N760" s="7" t="s">
        <v>33</v>
      </c>
      <c r="O760" s="7">
        <v>1</v>
      </c>
      <c r="P760" s="7" t="s">
        <v>40</v>
      </c>
      <c r="Q760" s="7">
        <v>89.99</v>
      </c>
      <c r="R760" s="7"/>
      <c r="S760" s="7">
        <v>16.35</v>
      </c>
      <c r="T760" s="7"/>
      <c r="U760" s="7"/>
      <c r="V760" s="7"/>
      <c r="W760" s="7"/>
      <c r="X760" s="7"/>
      <c r="Y760" s="7" t="s">
        <v>3727</v>
      </c>
      <c r="Z760" s="7" t="s">
        <v>327</v>
      </c>
      <c r="AA760" s="7" t="s">
        <v>3728</v>
      </c>
      <c r="AB760" s="7" t="s">
        <v>44</v>
      </c>
      <c r="AC760" s="7"/>
      <c r="AD760" s="10"/>
      <c r="AE760" s="10"/>
      <c r="AF760" s="10"/>
      <c r="AG760" s="11">
        <f t="shared" si="11"/>
        <v>43279</v>
      </c>
    </row>
    <row r="761" s="8" customFormat="1" spans="1:33">
      <c r="A761" s="7" t="s">
        <v>3729</v>
      </c>
      <c r="B761" s="7" t="s">
        <v>3729</v>
      </c>
      <c r="C761" s="7" t="s">
        <v>3730</v>
      </c>
      <c r="D761" s="7" t="s">
        <v>3731</v>
      </c>
      <c r="E761" s="7" t="s">
        <v>54</v>
      </c>
      <c r="F761" s="7" t="s">
        <v>34</v>
      </c>
      <c r="G761" s="7" t="s">
        <v>35</v>
      </c>
      <c r="H761" s="7"/>
      <c r="I761" s="7"/>
      <c r="J761" s="7" t="s">
        <v>69</v>
      </c>
      <c r="K761" s="7" t="s">
        <v>2540</v>
      </c>
      <c r="L761" s="7" t="s">
        <v>2541</v>
      </c>
      <c r="M761" s="7" t="s">
        <v>2542</v>
      </c>
      <c r="N761" s="7" t="s">
        <v>54</v>
      </c>
      <c r="O761" s="7">
        <v>0</v>
      </c>
      <c r="P761" s="7"/>
      <c r="Q761" s="7"/>
      <c r="R761" s="7"/>
      <c r="S761" s="7"/>
      <c r="T761" s="7"/>
      <c r="U761" s="7"/>
      <c r="V761" s="7"/>
      <c r="W761" s="7"/>
      <c r="X761" s="7"/>
      <c r="Y761" s="7" t="s">
        <v>3632</v>
      </c>
      <c r="Z761" s="7" t="s">
        <v>207</v>
      </c>
      <c r="AA761" s="7" t="s">
        <v>3713</v>
      </c>
      <c r="AB761" s="7" t="s">
        <v>44</v>
      </c>
      <c r="AC761" s="7"/>
      <c r="AD761" s="10"/>
      <c r="AE761" s="10"/>
      <c r="AF761" s="10"/>
      <c r="AG761" s="11">
        <f t="shared" si="11"/>
        <v>43279</v>
      </c>
    </row>
    <row r="762" s="8" customFormat="1" spans="1:33">
      <c r="A762" s="7" t="s">
        <v>3732</v>
      </c>
      <c r="B762" s="7" t="s">
        <v>3732</v>
      </c>
      <c r="C762" s="7" t="s">
        <v>3733</v>
      </c>
      <c r="D762" s="7" t="s">
        <v>3734</v>
      </c>
      <c r="E762" s="7" t="s">
        <v>33</v>
      </c>
      <c r="F762" s="7" t="s">
        <v>34</v>
      </c>
      <c r="G762" s="7" t="s">
        <v>35</v>
      </c>
      <c r="H762" s="7"/>
      <c r="I762" s="7"/>
      <c r="J762" s="7" t="s">
        <v>36</v>
      </c>
      <c r="K762" s="7" t="s">
        <v>2484</v>
      </c>
      <c r="L762" s="7" t="s">
        <v>633</v>
      </c>
      <c r="M762" s="7" t="s">
        <v>634</v>
      </c>
      <c r="N762" s="7" t="s">
        <v>33</v>
      </c>
      <c r="O762" s="7">
        <v>1</v>
      </c>
      <c r="P762" s="7" t="s">
        <v>40</v>
      </c>
      <c r="Q762" s="7">
        <v>89.99</v>
      </c>
      <c r="R762" s="7"/>
      <c r="S762" s="7"/>
      <c r="T762" s="7"/>
      <c r="U762" s="7"/>
      <c r="V762" s="7"/>
      <c r="W762" s="7">
        <v>9</v>
      </c>
      <c r="X762" s="7"/>
      <c r="Y762" s="7" t="s">
        <v>3735</v>
      </c>
      <c r="Z762" s="7" t="s">
        <v>207</v>
      </c>
      <c r="AA762" s="7" t="s">
        <v>3736</v>
      </c>
      <c r="AB762" s="7" t="s">
        <v>44</v>
      </c>
      <c r="AC762" s="7" t="s">
        <v>2156</v>
      </c>
      <c r="AD762" s="10"/>
      <c r="AE762" s="10"/>
      <c r="AF762" s="10"/>
      <c r="AG762" s="11">
        <f t="shared" si="11"/>
        <v>43279</v>
      </c>
    </row>
    <row r="763" s="8" customFormat="1" spans="1:33">
      <c r="A763" s="7" t="s">
        <v>3737</v>
      </c>
      <c r="B763" s="7" t="s">
        <v>3737</v>
      </c>
      <c r="C763" s="7" t="s">
        <v>3738</v>
      </c>
      <c r="D763" s="7" t="s">
        <v>3739</v>
      </c>
      <c r="E763" s="7" t="s">
        <v>33</v>
      </c>
      <c r="F763" s="7" t="s">
        <v>34</v>
      </c>
      <c r="G763" s="7" t="s">
        <v>35</v>
      </c>
      <c r="H763" s="7"/>
      <c r="I763" s="7"/>
      <c r="J763" s="7" t="s">
        <v>36</v>
      </c>
      <c r="K763" s="7" t="s">
        <v>1807</v>
      </c>
      <c r="L763" s="7" t="s">
        <v>1808</v>
      </c>
      <c r="M763" s="7" t="s">
        <v>1809</v>
      </c>
      <c r="N763" s="7" t="s">
        <v>33</v>
      </c>
      <c r="O763" s="7">
        <v>1</v>
      </c>
      <c r="P763" s="7" t="s">
        <v>40</v>
      </c>
      <c r="Q763" s="7">
        <v>79.99</v>
      </c>
      <c r="R763" s="7"/>
      <c r="S763" s="7"/>
      <c r="T763" s="7"/>
      <c r="U763" s="7"/>
      <c r="V763" s="7"/>
      <c r="W763" s="7"/>
      <c r="X763" s="7"/>
      <c r="Y763" s="7" t="s">
        <v>2841</v>
      </c>
      <c r="Z763" s="7" t="s">
        <v>83</v>
      </c>
      <c r="AA763" s="7" t="s">
        <v>3740</v>
      </c>
      <c r="AB763" s="7" t="s">
        <v>44</v>
      </c>
      <c r="AC763" s="7"/>
      <c r="AD763" s="10"/>
      <c r="AE763" s="10"/>
      <c r="AF763" s="10"/>
      <c r="AG763" s="11">
        <f t="shared" si="11"/>
        <v>43279</v>
      </c>
    </row>
    <row r="764" s="8" customFormat="1" spans="1:33">
      <c r="A764" s="7" t="s">
        <v>3741</v>
      </c>
      <c r="B764" s="7" t="s">
        <v>3741</v>
      </c>
      <c r="C764" s="7" t="s">
        <v>3742</v>
      </c>
      <c r="D764" s="7" t="s">
        <v>3743</v>
      </c>
      <c r="E764" s="7" t="s">
        <v>33</v>
      </c>
      <c r="F764" s="7" t="s">
        <v>34</v>
      </c>
      <c r="G764" s="7" t="s">
        <v>35</v>
      </c>
      <c r="H764" s="7"/>
      <c r="I764" s="7"/>
      <c r="J764" s="7" t="s">
        <v>36</v>
      </c>
      <c r="K764" s="7" t="s">
        <v>235</v>
      </c>
      <c r="L764" s="7" t="s">
        <v>236</v>
      </c>
      <c r="M764" s="7" t="s">
        <v>237</v>
      </c>
      <c r="N764" s="7" t="s">
        <v>33</v>
      </c>
      <c r="O764" s="7">
        <v>1</v>
      </c>
      <c r="P764" s="7" t="s">
        <v>40</v>
      </c>
      <c r="Q764" s="7">
        <v>85.99</v>
      </c>
      <c r="R764" s="7"/>
      <c r="S764" s="7"/>
      <c r="T764" s="7"/>
      <c r="U764" s="7"/>
      <c r="V764" s="7"/>
      <c r="W764" s="7"/>
      <c r="X764" s="7"/>
      <c r="Y764" s="7" t="s">
        <v>3744</v>
      </c>
      <c r="Z764" s="7" t="s">
        <v>497</v>
      </c>
      <c r="AA764" s="7" t="s">
        <v>3745</v>
      </c>
      <c r="AB764" s="7" t="s">
        <v>44</v>
      </c>
      <c r="AC764" s="7"/>
      <c r="AD764" s="10"/>
      <c r="AE764" s="10"/>
      <c r="AF764" s="10"/>
      <c r="AG764" s="11">
        <f t="shared" si="11"/>
        <v>43279</v>
      </c>
    </row>
    <row r="765" s="8" customFormat="1" spans="1:33">
      <c r="A765" s="7" t="s">
        <v>3746</v>
      </c>
      <c r="B765" s="7" t="s">
        <v>3746</v>
      </c>
      <c r="C765" s="7" t="s">
        <v>3747</v>
      </c>
      <c r="D765" s="7" t="s">
        <v>3748</v>
      </c>
      <c r="E765" s="7" t="s">
        <v>33</v>
      </c>
      <c r="F765" s="7" t="s">
        <v>34</v>
      </c>
      <c r="G765" s="7" t="s">
        <v>35</v>
      </c>
      <c r="H765" s="7"/>
      <c r="I765" s="7"/>
      <c r="J765" s="7" t="s">
        <v>36</v>
      </c>
      <c r="K765" s="7" t="s">
        <v>2035</v>
      </c>
      <c r="L765" s="7" t="s">
        <v>89</v>
      </c>
      <c r="M765" s="7" t="s">
        <v>90</v>
      </c>
      <c r="N765" s="7" t="s">
        <v>33</v>
      </c>
      <c r="O765" s="7">
        <v>1</v>
      </c>
      <c r="P765" s="7" t="s">
        <v>40</v>
      </c>
      <c r="Q765" s="7">
        <v>89.99</v>
      </c>
      <c r="R765" s="7"/>
      <c r="S765" s="7"/>
      <c r="T765" s="7"/>
      <c r="U765" s="7"/>
      <c r="V765" s="7"/>
      <c r="W765" s="7"/>
      <c r="X765" s="7"/>
      <c r="Y765" s="7" t="s">
        <v>3749</v>
      </c>
      <c r="Z765" s="7" t="s">
        <v>158</v>
      </c>
      <c r="AA765" s="7" t="s">
        <v>3750</v>
      </c>
      <c r="AB765" s="7" t="s">
        <v>44</v>
      </c>
      <c r="AC765" s="7"/>
      <c r="AD765" s="10"/>
      <c r="AE765" s="10"/>
      <c r="AF765" s="10"/>
      <c r="AG765" s="11">
        <f t="shared" si="11"/>
        <v>43279</v>
      </c>
    </row>
    <row r="766" s="8" customFormat="1" spans="1:33">
      <c r="A766" s="7" t="s">
        <v>3751</v>
      </c>
      <c r="B766" s="7" t="s">
        <v>3751</v>
      </c>
      <c r="C766" s="7" t="s">
        <v>3752</v>
      </c>
      <c r="D766" s="7" t="s">
        <v>3753</v>
      </c>
      <c r="E766" s="7" t="s">
        <v>33</v>
      </c>
      <c r="F766" s="7" t="s">
        <v>34</v>
      </c>
      <c r="G766" s="7" t="s">
        <v>35</v>
      </c>
      <c r="H766" s="7"/>
      <c r="I766" s="7"/>
      <c r="J766" s="7" t="s">
        <v>36</v>
      </c>
      <c r="K766" s="7" t="s">
        <v>698</v>
      </c>
      <c r="L766" s="7" t="s">
        <v>699</v>
      </c>
      <c r="M766" s="7" t="s">
        <v>700</v>
      </c>
      <c r="N766" s="7" t="s">
        <v>33</v>
      </c>
      <c r="O766" s="7">
        <v>1</v>
      </c>
      <c r="P766" s="7" t="s">
        <v>40</v>
      </c>
      <c r="Q766" s="7">
        <v>21.99</v>
      </c>
      <c r="R766" s="7"/>
      <c r="S766" s="7"/>
      <c r="T766" s="7"/>
      <c r="U766" s="7"/>
      <c r="V766" s="7"/>
      <c r="W766" s="7">
        <v>21.77</v>
      </c>
      <c r="X766" s="7"/>
      <c r="Y766" s="7" t="s">
        <v>2250</v>
      </c>
      <c r="Z766" s="7" t="s">
        <v>135</v>
      </c>
      <c r="AA766" s="7" t="s">
        <v>2251</v>
      </c>
      <c r="AB766" s="7" t="s">
        <v>44</v>
      </c>
      <c r="AC766" s="7" t="s">
        <v>209</v>
      </c>
      <c r="AD766" s="10"/>
      <c r="AE766" s="10"/>
      <c r="AF766" s="10"/>
      <c r="AG766" s="11">
        <f t="shared" si="11"/>
        <v>43279</v>
      </c>
    </row>
    <row r="767" s="8" customFormat="1" spans="1:33">
      <c r="A767" s="7" t="s">
        <v>3754</v>
      </c>
      <c r="B767" s="7" t="s">
        <v>3754</v>
      </c>
      <c r="C767" s="7" t="s">
        <v>3755</v>
      </c>
      <c r="D767" s="7" t="s">
        <v>3756</v>
      </c>
      <c r="E767" s="7" t="s">
        <v>54</v>
      </c>
      <c r="F767" s="7" t="s">
        <v>34</v>
      </c>
      <c r="G767" s="7" t="s">
        <v>35</v>
      </c>
      <c r="H767" s="7"/>
      <c r="I767" s="7"/>
      <c r="J767" s="7" t="s">
        <v>69</v>
      </c>
      <c r="K767" s="7" t="s">
        <v>148</v>
      </c>
      <c r="L767" s="7" t="s">
        <v>149</v>
      </c>
      <c r="M767" s="7" t="s">
        <v>150</v>
      </c>
      <c r="N767" s="7" t="s">
        <v>62</v>
      </c>
      <c r="O767" s="7">
        <v>1</v>
      </c>
      <c r="P767" s="7" t="s">
        <v>40</v>
      </c>
      <c r="Q767" s="7">
        <v>98.99</v>
      </c>
      <c r="R767" s="7"/>
      <c r="S767" s="7"/>
      <c r="T767" s="7"/>
      <c r="U767" s="7"/>
      <c r="V767" s="7"/>
      <c r="W767" s="7"/>
      <c r="X767" s="7"/>
      <c r="Y767" s="7" t="s">
        <v>3757</v>
      </c>
      <c r="Z767" s="7" t="s">
        <v>42</v>
      </c>
      <c r="AA767" s="7" t="s">
        <v>3758</v>
      </c>
      <c r="AB767" s="7" t="s">
        <v>44</v>
      </c>
      <c r="AC767" s="7"/>
      <c r="AD767" s="10"/>
      <c r="AE767" s="10"/>
      <c r="AF767" s="10"/>
      <c r="AG767" s="11">
        <f t="shared" si="11"/>
        <v>43279</v>
      </c>
    </row>
    <row r="768" s="8" customFormat="1" spans="1:33">
      <c r="A768" s="7" t="s">
        <v>3759</v>
      </c>
      <c r="B768" s="7" t="s">
        <v>3759</v>
      </c>
      <c r="C768" s="7" t="s">
        <v>3760</v>
      </c>
      <c r="D768" s="7" t="s">
        <v>3761</v>
      </c>
      <c r="E768" s="7" t="s">
        <v>54</v>
      </c>
      <c r="F768" s="7" t="s">
        <v>34</v>
      </c>
      <c r="G768" s="7" t="s">
        <v>35</v>
      </c>
      <c r="H768" s="7"/>
      <c r="I768" s="7"/>
      <c r="J768" s="7" t="s">
        <v>36</v>
      </c>
      <c r="K768" s="7" t="s">
        <v>364</v>
      </c>
      <c r="L768" s="7" t="s">
        <v>648</v>
      </c>
      <c r="M768" s="7" t="s">
        <v>649</v>
      </c>
      <c r="N768" s="7" t="s">
        <v>54</v>
      </c>
      <c r="O768" s="7">
        <v>0</v>
      </c>
      <c r="P768" s="7"/>
      <c r="Q768" s="7"/>
      <c r="R768" s="7"/>
      <c r="S768" s="7"/>
      <c r="T768" s="7"/>
      <c r="U768" s="7"/>
      <c r="V768" s="7"/>
      <c r="W768" s="7"/>
      <c r="X768" s="7"/>
      <c r="Y768" s="7" t="s">
        <v>3762</v>
      </c>
      <c r="Z768" s="7" t="s">
        <v>271</v>
      </c>
      <c r="AA768" s="7">
        <v>34788</v>
      </c>
      <c r="AB768" s="7" t="s">
        <v>44</v>
      </c>
      <c r="AC768" s="7"/>
      <c r="AD768" s="10"/>
      <c r="AE768" s="10"/>
      <c r="AF768" s="10"/>
      <c r="AG768" s="11">
        <f t="shared" si="11"/>
        <v>43279</v>
      </c>
    </row>
    <row r="769" s="8" customFormat="1" spans="1:33">
      <c r="A769" s="7" t="s">
        <v>3763</v>
      </c>
      <c r="B769" s="7" t="s">
        <v>3763</v>
      </c>
      <c r="C769" s="7" t="s">
        <v>3764</v>
      </c>
      <c r="D769" s="7" t="s">
        <v>3765</v>
      </c>
      <c r="E769" s="7" t="s">
        <v>54</v>
      </c>
      <c r="F769" s="7" t="s">
        <v>34</v>
      </c>
      <c r="G769" s="7" t="s">
        <v>35</v>
      </c>
      <c r="H769" s="7"/>
      <c r="I769" s="7"/>
      <c r="J769" s="7" t="s">
        <v>69</v>
      </c>
      <c r="K769" s="7" t="s">
        <v>148</v>
      </c>
      <c r="L769" s="7" t="s">
        <v>149</v>
      </c>
      <c r="M769" s="7" t="s">
        <v>150</v>
      </c>
      <c r="N769" s="7" t="s">
        <v>62</v>
      </c>
      <c r="O769" s="7">
        <v>1</v>
      </c>
      <c r="P769" s="7" t="s">
        <v>40</v>
      </c>
      <c r="Q769" s="7">
        <v>98.99</v>
      </c>
      <c r="R769" s="7"/>
      <c r="S769" s="7"/>
      <c r="T769" s="7"/>
      <c r="U769" s="7"/>
      <c r="V769" s="7"/>
      <c r="W769" s="7"/>
      <c r="X769" s="7"/>
      <c r="Y769" s="7" t="s">
        <v>3015</v>
      </c>
      <c r="Z769" s="7" t="s">
        <v>452</v>
      </c>
      <c r="AA769" s="7" t="s">
        <v>3766</v>
      </c>
      <c r="AB769" s="7" t="s">
        <v>44</v>
      </c>
      <c r="AC769" s="7"/>
      <c r="AD769" s="10"/>
      <c r="AE769" s="10"/>
      <c r="AF769" s="10"/>
      <c r="AG769" s="11">
        <f t="shared" si="11"/>
        <v>43279</v>
      </c>
    </row>
    <row r="770" s="8" customFormat="1" spans="1:33">
      <c r="A770" s="7" t="s">
        <v>3767</v>
      </c>
      <c r="B770" s="7" t="s">
        <v>3767</v>
      </c>
      <c r="C770" s="7" t="s">
        <v>3768</v>
      </c>
      <c r="D770" s="7" t="s">
        <v>3769</v>
      </c>
      <c r="E770" s="7" t="s">
        <v>33</v>
      </c>
      <c r="F770" s="7" t="s">
        <v>34</v>
      </c>
      <c r="G770" s="7" t="s">
        <v>35</v>
      </c>
      <c r="H770" s="7"/>
      <c r="I770" s="7"/>
      <c r="J770" s="7" t="s">
        <v>36</v>
      </c>
      <c r="K770" s="7" t="s">
        <v>48</v>
      </c>
      <c r="L770" s="7" t="s">
        <v>49</v>
      </c>
      <c r="M770" s="7" t="s">
        <v>50</v>
      </c>
      <c r="N770" s="7" t="s">
        <v>33</v>
      </c>
      <c r="O770" s="7">
        <v>1</v>
      </c>
      <c r="P770" s="7" t="s">
        <v>40</v>
      </c>
      <c r="Q770" s="7">
        <v>89.99</v>
      </c>
      <c r="R770" s="7"/>
      <c r="S770" s="7"/>
      <c r="T770" s="7"/>
      <c r="U770" s="7">
        <v>3.99</v>
      </c>
      <c r="V770" s="7"/>
      <c r="W770" s="7"/>
      <c r="X770" s="7"/>
      <c r="Y770" s="7" t="s">
        <v>3770</v>
      </c>
      <c r="Z770" s="7" t="s">
        <v>83</v>
      </c>
      <c r="AA770" s="7" t="s">
        <v>3771</v>
      </c>
      <c r="AB770" s="7" t="s">
        <v>44</v>
      </c>
      <c r="AC770" s="7"/>
      <c r="AD770" s="10"/>
      <c r="AE770" s="10"/>
      <c r="AF770" s="10"/>
      <c r="AG770" s="11">
        <f t="shared" ref="AG770:AG833" si="12">DATEVALUE(LEFT(C770,10))</f>
        <v>43279</v>
      </c>
    </row>
    <row r="771" s="8" customFormat="1" spans="1:33">
      <c r="A771" s="7" t="s">
        <v>3772</v>
      </c>
      <c r="B771" s="7" t="s">
        <v>3772</v>
      </c>
      <c r="C771" s="7" t="s">
        <v>3773</v>
      </c>
      <c r="D771" s="7" t="s">
        <v>3774</v>
      </c>
      <c r="E771" s="7" t="s">
        <v>33</v>
      </c>
      <c r="F771" s="7" t="s">
        <v>34</v>
      </c>
      <c r="G771" s="7" t="s">
        <v>35</v>
      </c>
      <c r="H771" s="7"/>
      <c r="I771" s="7"/>
      <c r="J771" s="7" t="s">
        <v>36</v>
      </c>
      <c r="K771" s="7" t="s">
        <v>2484</v>
      </c>
      <c r="L771" s="7" t="s">
        <v>633</v>
      </c>
      <c r="M771" s="7" t="s">
        <v>634</v>
      </c>
      <c r="N771" s="7" t="s">
        <v>33</v>
      </c>
      <c r="O771" s="7">
        <v>1</v>
      </c>
      <c r="P771" s="7" t="s">
        <v>40</v>
      </c>
      <c r="Q771" s="7">
        <v>89.99</v>
      </c>
      <c r="R771" s="7"/>
      <c r="S771" s="7"/>
      <c r="T771" s="7"/>
      <c r="U771" s="7"/>
      <c r="V771" s="7"/>
      <c r="W771" s="7"/>
      <c r="X771" s="7"/>
      <c r="Y771" s="7" t="s">
        <v>3775</v>
      </c>
      <c r="Z771" s="7" t="s">
        <v>422</v>
      </c>
      <c r="AA771" s="7" t="s">
        <v>3776</v>
      </c>
      <c r="AB771" s="7" t="s">
        <v>44</v>
      </c>
      <c r="AC771" s="7"/>
      <c r="AD771" s="10"/>
      <c r="AE771" s="10"/>
      <c r="AF771" s="10"/>
      <c r="AG771" s="11">
        <f t="shared" si="12"/>
        <v>43279</v>
      </c>
    </row>
    <row r="772" s="8" customFormat="1" spans="1:33">
      <c r="A772" s="7" t="s">
        <v>3777</v>
      </c>
      <c r="B772" s="7" t="s">
        <v>3777</v>
      </c>
      <c r="C772" s="7" t="s">
        <v>3778</v>
      </c>
      <c r="D772" s="7" t="s">
        <v>3779</v>
      </c>
      <c r="E772" s="7" t="s">
        <v>33</v>
      </c>
      <c r="F772" s="7" t="s">
        <v>34</v>
      </c>
      <c r="G772" s="7" t="s">
        <v>35</v>
      </c>
      <c r="H772" s="7"/>
      <c r="I772" s="7"/>
      <c r="J772" s="7" t="s">
        <v>36</v>
      </c>
      <c r="K772" s="7" t="s">
        <v>3454</v>
      </c>
      <c r="L772" s="7" t="s">
        <v>3455</v>
      </c>
      <c r="M772" s="7" t="s">
        <v>3456</v>
      </c>
      <c r="N772" s="7" t="s">
        <v>33</v>
      </c>
      <c r="O772" s="7">
        <v>1</v>
      </c>
      <c r="P772" s="7" t="s">
        <v>40</v>
      </c>
      <c r="Q772" s="7">
        <v>79.99</v>
      </c>
      <c r="R772" s="7"/>
      <c r="S772" s="7"/>
      <c r="T772" s="7"/>
      <c r="U772" s="7"/>
      <c r="V772" s="7"/>
      <c r="W772" s="7"/>
      <c r="X772" s="7"/>
      <c r="Y772" s="7" t="s">
        <v>3780</v>
      </c>
      <c r="Z772" s="7" t="s">
        <v>484</v>
      </c>
      <c r="AA772" s="7" t="s">
        <v>3781</v>
      </c>
      <c r="AB772" s="7" t="s">
        <v>44</v>
      </c>
      <c r="AC772" s="7"/>
      <c r="AD772" s="10"/>
      <c r="AE772" s="10"/>
      <c r="AF772" s="10"/>
      <c r="AG772" s="11">
        <f t="shared" si="12"/>
        <v>43279</v>
      </c>
    </row>
    <row r="773" s="8" customFormat="1" spans="1:33">
      <c r="A773" s="7" t="s">
        <v>3782</v>
      </c>
      <c r="B773" s="7" t="s">
        <v>3782</v>
      </c>
      <c r="C773" s="7" t="s">
        <v>3783</v>
      </c>
      <c r="D773" s="7" t="s">
        <v>3784</v>
      </c>
      <c r="E773" s="7" t="s">
        <v>33</v>
      </c>
      <c r="F773" s="7" t="s">
        <v>34</v>
      </c>
      <c r="G773" s="7" t="s">
        <v>35</v>
      </c>
      <c r="H773" s="7"/>
      <c r="I773" s="7"/>
      <c r="J773" s="7" t="s">
        <v>36</v>
      </c>
      <c r="K773" s="7" t="s">
        <v>660</v>
      </c>
      <c r="L773" s="7" t="s">
        <v>661</v>
      </c>
      <c r="M773" s="7" t="s">
        <v>662</v>
      </c>
      <c r="N773" s="7" t="s">
        <v>33</v>
      </c>
      <c r="O773" s="7">
        <v>1</v>
      </c>
      <c r="P773" s="7" t="s">
        <v>40</v>
      </c>
      <c r="Q773" s="7">
        <v>79.99</v>
      </c>
      <c r="R773" s="7"/>
      <c r="S773" s="7"/>
      <c r="T773" s="7"/>
      <c r="U773" s="7"/>
      <c r="V773" s="7"/>
      <c r="W773" s="7"/>
      <c r="X773" s="7"/>
      <c r="Y773" s="7" t="s">
        <v>3785</v>
      </c>
      <c r="Z773" s="7" t="s">
        <v>3786</v>
      </c>
      <c r="AA773" s="7">
        <v>93675</v>
      </c>
      <c r="AB773" s="7" t="s">
        <v>44</v>
      </c>
      <c r="AC773" s="7"/>
      <c r="AD773" s="10"/>
      <c r="AE773" s="10"/>
      <c r="AF773" s="10"/>
      <c r="AG773" s="11">
        <f t="shared" si="12"/>
        <v>43279</v>
      </c>
    </row>
    <row r="774" s="8" customFormat="1" spans="1:33">
      <c r="A774" s="7" t="s">
        <v>3787</v>
      </c>
      <c r="B774" s="7" t="s">
        <v>3787</v>
      </c>
      <c r="C774" s="7" t="s">
        <v>3788</v>
      </c>
      <c r="D774" s="7" t="s">
        <v>3789</v>
      </c>
      <c r="E774" s="7" t="s">
        <v>33</v>
      </c>
      <c r="F774" s="7" t="s">
        <v>34</v>
      </c>
      <c r="G774" s="7" t="s">
        <v>35</v>
      </c>
      <c r="H774" s="7"/>
      <c r="I774" s="7"/>
      <c r="J774" s="7" t="s">
        <v>36</v>
      </c>
      <c r="K774" s="7" t="s">
        <v>2035</v>
      </c>
      <c r="L774" s="7" t="s">
        <v>89</v>
      </c>
      <c r="M774" s="7" t="s">
        <v>90</v>
      </c>
      <c r="N774" s="7" t="s">
        <v>33</v>
      </c>
      <c r="O774" s="7">
        <v>1</v>
      </c>
      <c r="P774" s="7" t="s">
        <v>40</v>
      </c>
      <c r="Q774" s="7">
        <v>89.99</v>
      </c>
      <c r="R774" s="7"/>
      <c r="S774" s="7"/>
      <c r="T774" s="7"/>
      <c r="U774" s="7"/>
      <c r="V774" s="7"/>
      <c r="W774" s="7"/>
      <c r="X774" s="7"/>
      <c r="Y774" s="7" t="s">
        <v>1323</v>
      </c>
      <c r="Z774" s="7" t="s">
        <v>52</v>
      </c>
      <c r="AA774" s="7" t="s">
        <v>3790</v>
      </c>
      <c r="AB774" s="7" t="s">
        <v>44</v>
      </c>
      <c r="AC774" s="7"/>
      <c r="AD774" s="10"/>
      <c r="AE774" s="10"/>
      <c r="AF774" s="10"/>
      <c r="AG774" s="11">
        <f t="shared" si="12"/>
        <v>43279</v>
      </c>
    </row>
    <row r="775" s="8" customFormat="1" spans="1:33">
      <c r="A775" s="7" t="s">
        <v>3791</v>
      </c>
      <c r="B775" s="7" t="s">
        <v>3791</v>
      </c>
      <c r="C775" s="7" t="s">
        <v>3792</v>
      </c>
      <c r="D775" s="7" t="s">
        <v>3793</v>
      </c>
      <c r="E775" s="7" t="s">
        <v>33</v>
      </c>
      <c r="F775" s="7" t="s">
        <v>34</v>
      </c>
      <c r="G775" s="7" t="s">
        <v>35</v>
      </c>
      <c r="H775" s="7"/>
      <c r="I775" s="7"/>
      <c r="J775" s="7" t="s">
        <v>69</v>
      </c>
      <c r="K775" s="7" t="s">
        <v>3794</v>
      </c>
      <c r="L775" s="7" t="s">
        <v>3795</v>
      </c>
      <c r="M775" s="7" t="s">
        <v>3796</v>
      </c>
      <c r="N775" s="7" t="s">
        <v>33</v>
      </c>
      <c r="O775" s="7">
        <v>1</v>
      </c>
      <c r="P775" s="7" t="s">
        <v>40</v>
      </c>
      <c r="Q775" s="7">
        <v>89.6</v>
      </c>
      <c r="R775" s="7"/>
      <c r="S775" s="7">
        <v>8.34</v>
      </c>
      <c r="T775" s="7"/>
      <c r="U775" s="7"/>
      <c r="V775" s="7"/>
      <c r="W775" s="7"/>
      <c r="X775" s="7"/>
      <c r="Y775" s="7" t="s">
        <v>937</v>
      </c>
      <c r="Z775" s="7" t="s">
        <v>92</v>
      </c>
      <c r="AA775" s="7" t="s">
        <v>3797</v>
      </c>
      <c r="AB775" s="7" t="s">
        <v>44</v>
      </c>
      <c r="AC775" s="7"/>
      <c r="AD775" s="10"/>
      <c r="AE775" s="10"/>
      <c r="AF775" s="10"/>
      <c r="AG775" s="11">
        <f t="shared" si="12"/>
        <v>43279</v>
      </c>
    </row>
    <row r="776" s="8" customFormat="1" spans="1:33">
      <c r="A776" s="7" t="s">
        <v>3798</v>
      </c>
      <c r="B776" s="7" t="s">
        <v>3798</v>
      </c>
      <c r="C776" s="7" t="s">
        <v>3799</v>
      </c>
      <c r="D776" s="7" t="s">
        <v>3800</v>
      </c>
      <c r="E776" s="7" t="s">
        <v>33</v>
      </c>
      <c r="F776" s="7" t="s">
        <v>34</v>
      </c>
      <c r="G776" s="7" t="s">
        <v>35</v>
      </c>
      <c r="H776" s="7"/>
      <c r="I776" s="7"/>
      <c r="J776" s="7" t="s">
        <v>36</v>
      </c>
      <c r="K776" s="7" t="s">
        <v>284</v>
      </c>
      <c r="L776" s="7" t="s">
        <v>285</v>
      </c>
      <c r="M776" s="7" t="s">
        <v>286</v>
      </c>
      <c r="N776" s="7" t="s">
        <v>33</v>
      </c>
      <c r="O776" s="7">
        <v>1</v>
      </c>
      <c r="P776" s="7" t="s">
        <v>40</v>
      </c>
      <c r="Q776" s="7">
        <v>89.99</v>
      </c>
      <c r="R776" s="7"/>
      <c r="S776" s="7"/>
      <c r="T776" s="7"/>
      <c r="U776" s="7"/>
      <c r="V776" s="7"/>
      <c r="W776" s="7"/>
      <c r="X776" s="7"/>
      <c r="Y776" s="7" t="s">
        <v>3801</v>
      </c>
      <c r="Z776" s="7" t="s">
        <v>207</v>
      </c>
      <c r="AA776" s="7" t="s">
        <v>3802</v>
      </c>
      <c r="AB776" s="7" t="s">
        <v>44</v>
      </c>
      <c r="AC776" s="7"/>
      <c r="AD776" s="10"/>
      <c r="AE776" s="10"/>
      <c r="AF776" s="10"/>
      <c r="AG776" s="11">
        <f t="shared" si="12"/>
        <v>43279</v>
      </c>
    </row>
    <row r="777" s="8" customFormat="1" spans="1:33">
      <c r="A777" s="7" t="s">
        <v>3803</v>
      </c>
      <c r="B777" s="7" t="s">
        <v>3803</v>
      </c>
      <c r="C777" s="7" t="s">
        <v>3804</v>
      </c>
      <c r="D777" s="7" t="s">
        <v>3805</v>
      </c>
      <c r="E777" s="7" t="s">
        <v>33</v>
      </c>
      <c r="F777" s="7" t="s">
        <v>34</v>
      </c>
      <c r="G777" s="7" t="s">
        <v>35</v>
      </c>
      <c r="H777" s="7"/>
      <c r="I777" s="7"/>
      <c r="J777" s="7" t="s">
        <v>36</v>
      </c>
      <c r="K777" s="7" t="s">
        <v>148</v>
      </c>
      <c r="L777" s="7" t="s">
        <v>149</v>
      </c>
      <c r="M777" s="7" t="s">
        <v>150</v>
      </c>
      <c r="N777" s="7" t="s">
        <v>33</v>
      </c>
      <c r="O777" s="7">
        <v>1</v>
      </c>
      <c r="P777" s="7" t="s">
        <v>40</v>
      </c>
      <c r="Q777" s="7">
        <v>98.99</v>
      </c>
      <c r="R777" s="7"/>
      <c r="S777" s="7"/>
      <c r="T777" s="7"/>
      <c r="U777" s="7"/>
      <c r="V777" s="7"/>
      <c r="W777" s="7"/>
      <c r="X777" s="7"/>
      <c r="Y777" s="7" t="s">
        <v>3806</v>
      </c>
      <c r="Z777" s="7" t="s">
        <v>466</v>
      </c>
      <c r="AA777" s="7">
        <v>46706</v>
      </c>
      <c r="AB777" s="7" t="s">
        <v>44</v>
      </c>
      <c r="AC777" s="7"/>
      <c r="AD777" s="10"/>
      <c r="AE777" s="10"/>
      <c r="AF777" s="10"/>
      <c r="AG777" s="11">
        <f t="shared" si="12"/>
        <v>43279</v>
      </c>
    </row>
    <row r="778" s="8" customFormat="1" spans="1:33">
      <c r="A778" s="7" t="s">
        <v>3807</v>
      </c>
      <c r="B778" s="7" t="s">
        <v>3807</v>
      </c>
      <c r="C778" s="7" t="s">
        <v>3808</v>
      </c>
      <c r="D778" s="7" t="s">
        <v>3809</v>
      </c>
      <c r="E778" s="7" t="s">
        <v>33</v>
      </c>
      <c r="F778" s="7" t="s">
        <v>34</v>
      </c>
      <c r="G778" s="7" t="s">
        <v>35</v>
      </c>
      <c r="H778" s="7"/>
      <c r="I778" s="7"/>
      <c r="J778" s="7" t="s">
        <v>36</v>
      </c>
      <c r="K778" s="7" t="s">
        <v>284</v>
      </c>
      <c r="L778" s="7" t="s">
        <v>285</v>
      </c>
      <c r="M778" s="7" t="s">
        <v>286</v>
      </c>
      <c r="N778" s="7" t="s">
        <v>33</v>
      </c>
      <c r="O778" s="7">
        <v>1</v>
      </c>
      <c r="P778" s="7" t="s">
        <v>40</v>
      </c>
      <c r="Q778" s="7">
        <v>89.99</v>
      </c>
      <c r="R778" s="7"/>
      <c r="S778" s="7"/>
      <c r="T778" s="7"/>
      <c r="U778" s="7"/>
      <c r="V778" s="7"/>
      <c r="W778" s="7"/>
      <c r="X778" s="7"/>
      <c r="Y778" s="7" t="s">
        <v>1958</v>
      </c>
      <c r="Z778" s="7" t="s">
        <v>64</v>
      </c>
      <c r="AA778" s="7">
        <v>33837</v>
      </c>
      <c r="AB778" s="7" t="s">
        <v>44</v>
      </c>
      <c r="AC778" s="7"/>
      <c r="AD778" s="10"/>
      <c r="AE778" s="10"/>
      <c r="AF778" s="10"/>
      <c r="AG778" s="11">
        <f t="shared" si="12"/>
        <v>43279</v>
      </c>
    </row>
    <row r="779" s="8" customFormat="1" spans="1:33">
      <c r="A779" s="7" t="s">
        <v>3810</v>
      </c>
      <c r="B779" s="7" t="s">
        <v>3810</v>
      </c>
      <c r="C779" s="7" t="s">
        <v>3811</v>
      </c>
      <c r="D779" s="7" t="s">
        <v>3812</v>
      </c>
      <c r="E779" s="7" t="s">
        <v>33</v>
      </c>
      <c r="F779" s="7" t="s">
        <v>34</v>
      </c>
      <c r="G779" s="7" t="s">
        <v>35</v>
      </c>
      <c r="H779" s="7"/>
      <c r="I779" s="7"/>
      <c r="J779" s="7" t="s">
        <v>36</v>
      </c>
      <c r="K779" s="7" t="s">
        <v>148</v>
      </c>
      <c r="L779" s="7" t="s">
        <v>149</v>
      </c>
      <c r="M779" s="7" t="s">
        <v>150</v>
      </c>
      <c r="N779" s="7" t="s">
        <v>33</v>
      </c>
      <c r="O779" s="7">
        <v>1</v>
      </c>
      <c r="P779" s="7" t="s">
        <v>40</v>
      </c>
      <c r="Q779" s="7">
        <v>98.99</v>
      </c>
      <c r="R779" s="7"/>
      <c r="S779" s="7"/>
      <c r="T779" s="7"/>
      <c r="U779" s="7"/>
      <c r="V779" s="7"/>
      <c r="W779" s="7"/>
      <c r="X779" s="7"/>
      <c r="Y779" s="7" t="s">
        <v>3813</v>
      </c>
      <c r="Z779" s="7" t="s">
        <v>293</v>
      </c>
      <c r="AA779" s="7" t="s">
        <v>3814</v>
      </c>
      <c r="AB779" s="7" t="s">
        <v>44</v>
      </c>
      <c r="AC779" s="7"/>
      <c r="AD779" s="10"/>
      <c r="AE779" s="10"/>
      <c r="AF779" s="10"/>
      <c r="AG779" s="11">
        <f t="shared" si="12"/>
        <v>43279</v>
      </c>
    </row>
    <row r="780" s="8" customFormat="1" spans="1:33">
      <c r="A780" s="7" t="s">
        <v>3815</v>
      </c>
      <c r="B780" s="7" t="s">
        <v>3815</v>
      </c>
      <c r="C780" s="7" t="s">
        <v>3816</v>
      </c>
      <c r="D780" s="7" t="s">
        <v>3817</v>
      </c>
      <c r="E780" s="7" t="s">
        <v>33</v>
      </c>
      <c r="F780" s="7" t="s">
        <v>34</v>
      </c>
      <c r="G780" s="7" t="s">
        <v>35</v>
      </c>
      <c r="H780" s="7"/>
      <c r="I780" s="7"/>
      <c r="J780" s="7" t="s">
        <v>36</v>
      </c>
      <c r="K780" s="7" t="s">
        <v>79</v>
      </c>
      <c r="L780" s="7" t="s">
        <v>80</v>
      </c>
      <c r="M780" s="7" t="s">
        <v>81</v>
      </c>
      <c r="N780" s="7" t="s">
        <v>33</v>
      </c>
      <c r="O780" s="7">
        <v>1</v>
      </c>
      <c r="P780" s="7" t="s">
        <v>40</v>
      </c>
      <c r="Q780" s="7">
        <v>91.99</v>
      </c>
      <c r="R780" s="7"/>
      <c r="S780" s="7"/>
      <c r="T780" s="7"/>
      <c r="U780" s="7"/>
      <c r="V780" s="7"/>
      <c r="W780" s="7"/>
      <c r="X780" s="7"/>
      <c r="Y780" s="7" t="s">
        <v>73</v>
      </c>
      <c r="Z780" s="7" t="s">
        <v>64</v>
      </c>
      <c r="AA780" s="7" t="s">
        <v>3818</v>
      </c>
      <c r="AB780" s="7" t="s">
        <v>44</v>
      </c>
      <c r="AC780" s="7"/>
      <c r="AD780" s="7"/>
      <c r="AE780" s="7"/>
      <c r="AF780" s="7"/>
      <c r="AG780" s="11">
        <f t="shared" si="12"/>
        <v>43280</v>
      </c>
    </row>
    <row r="781" s="8" customFormat="1" spans="1:33">
      <c r="A781" s="7" t="s">
        <v>3819</v>
      </c>
      <c r="B781" s="7" t="s">
        <v>3819</v>
      </c>
      <c r="C781" s="7" t="s">
        <v>3820</v>
      </c>
      <c r="D781" s="7" t="s">
        <v>3821</v>
      </c>
      <c r="E781" s="7" t="s">
        <v>33</v>
      </c>
      <c r="F781" s="7" t="s">
        <v>34</v>
      </c>
      <c r="G781" s="7" t="s">
        <v>35</v>
      </c>
      <c r="H781" s="7"/>
      <c r="I781" s="7"/>
      <c r="J781" s="7" t="s">
        <v>36</v>
      </c>
      <c r="K781" s="7" t="s">
        <v>79</v>
      </c>
      <c r="L781" s="7" t="s">
        <v>80</v>
      </c>
      <c r="M781" s="7" t="s">
        <v>81</v>
      </c>
      <c r="N781" s="7" t="s">
        <v>33</v>
      </c>
      <c r="O781" s="7">
        <v>1</v>
      </c>
      <c r="P781" s="7" t="s">
        <v>40</v>
      </c>
      <c r="Q781" s="7">
        <v>91.99</v>
      </c>
      <c r="R781" s="7"/>
      <c r="S781" s="7"/>
      <c r="T781" s="7"/>
      <c r="U781" s="7"/>
      <c r="V781" s="7"/>
      <c r="W781" s="7"/>
      <c r="X781" s="7"/>
      <c r="Y781" s="7" t="s">
        <v>3822</v>
      </c>
      <c r="Z781" s="7" t="s">
        <v>52</v>
      </c>
      <c r="AA781" s="7">
        <v>13606</v>
      </c>
      <c r="AB781" s="7" t="s">
        <v>44</v>
      </c>
      <c r="AC781" s="7"/>
      <c r="AD781" s="7"/>
      <c r="AE781" s="7"/>
      <c r="AF781" s="7"/>
      <c r="AG781" s="11">
        <f t="shared" si="12"/>
        <v>43280</v>
      </c>
    </row>
    <row r="782" s="8" customFormat="1" spans="1:33">
      <c r="A782" s="7" t="s">
        <v>3819</v>
      </c>
      <c r="B782" s="7" t="s">
        <v>3819</v>
      </c>
      <c r="C782" s="7" t="s">
        <v>3820</v>
      </c>
      <c r="D782" s="7" t="s">
        <v>3821</v>
      </c>
      <c r="E782" s="7" t="s">
        <v>33</v>
      </c>
      <c r="F782" s="7" t="s">
        <v>34</v>
      </c>
      <c r="G782" s="7" t="s">
        <v>35</v>
      </c>
      <c r="H782" s="7"/>
      <c r="I782" s="7"/>
      <c r="J782" s="7" t="s">
        <v>36</v>
      </c>
      <c r="K782" s="7" t="s">
        <v>749</v>
      </c>
      <c r="L782" s="7" t="s">
        <v>750</v>
      </c>
      <c r="M782" s="7" t="s">
        <v>751</v>
      </c>
      <c r="N782" s="7" t="s">
        <v>33</v>
      </c>
      <c r="O782" s="7">
        <v>1</v>
      </c>
      <c r="P782" s="7" t="s">
        <v>40</v>
      </c>
      <c r="Q782" s="7">
        <v>89.99</v>
      </c>
      <c r="R782" s="7"/>
      <c r="S782" s="7"/>
      <c r="T782" s="7"/>
      <c r="U782" s="7"/>
      <c r="V782" s="7"/>
      <c r="W782" s="7"/>
      <c r="X782" s="7"/>
      <c r="Y782" s="7" t="s">
        <v>3822</v>
      </c>
      <c r="Z782" s="7" t="s">
        <v>52</v>
      </c>
      <c r="AA782" s="7">
        <v>13606</v>
      </c>
      <c r="AB782" s="7" t="s">
        <v>44</v>
      </c>
      <c r="AC782" s="7"/>
      <c r="AD782" s="7"/>
      <c r="AE782" s="7"/>
      <c r="AF782" s="7"/>
      <c r="AG782" s="11">
        <f t="shared" si="12"/>
        <v>43280</v>
      </c>
    </row>
    <row r="783" s="8" customFormat="1" spans="1:33">
      <c r="A783" s="7" t="s">
        <v>3823</v>
      </c>
      <c r="B783" s="7" t="s">
        <v>3823</v>
      </c>
      <c r="C783" s="7" t="s">
        <v>3824</v>
      </c>
      <c r="D783" s="7" t="s">
        <v>3825</v>
      </c>
      <c r="E783" s="7" t="s">
        <v>33</v>
      </c>
      <c r="F783" s="7" t="s">
        <v>34</v>
      </c>
      <c r="G783" s="7" t="s">
        <v>35</v>
      </c>
      <c r="H783" s="7"/>
      <c r="I783" s="7"/>
      <c r="J783" s="7" t="s">
        <v>36</v>
      </c>
      <c r="K783" s="7" t="s">
        <v>79</v>
      </c>
      <c r="L783" s="7" t="s">
        <v>80</v>
      </c>
      <c r="M783" s="7" t="s">
        <v>81</v>
      </c>
      <c r="N783" s="7" t="s">
        <v>33</v>
      </c>
      <c r="O783" s="7">
        <v>1</v>
      </c>
      <c r="P783" s="7" t="s">
        <v>40</v>
      </c>
      <c r="Q783" s="7">
        <v>91.99</v>
      </c>
      <c r="R783" s="7"/>
      <c r="S783" s="7"/>
      <c r="T783" s="7"/>
      <c r="U783" s="7"/>
      <c r="V783" s="7"/>
      <c r="W783" s="7"/>
      <c r="X783" s="7"/>
      <c r="Y783" s="7" t="s">
        <v>3826</v>
      </c>
      <c r="Z783" s="7" t="s">
        <v>92</v>
      </c>
      <c r="AA783" s="7" t="s">
        <v>3827</v>
      </c>
      <c r="AB783" s="7" t="s">
        <v>44</v>
      </c>
      <c r="AC783" s="7"/>
      <c r="AD783" s="7"/>
      <c r="AE783" s="7"/>
      <c r="AF783" s="7"/>
      <c r="AG783" s="11">
        <f t="shared" si="12"/>
        <v>43280</v>
      </c>
    </row>
    <row r="784" s="8" customFormat="1" spans="1:33">
      <c r="A784" s="7" t="s">
        <v>3828</v>
      </c>
      <c r="B784" s="7" t="s">
        <v>3828</v>
      </c>
      <c r="C784" s="7" t="s">
        <v>3829</v>
      </c>
      <c r="D784" s="7" t="s">
        <v>3830</v>
      </c>
      <c r="E784" s="7" t="s">
        <v>33</v>
      </c>
      <c r="F784" s="7" t="s">
        <v>34</v>
      </c>
      <c r="G784" s="7" t="s">
        <v>35</v>
      </c>
      <c r="H784" s="7"/>
      <c r="I784" s="7"/>
      <c r="J784" s="7" t="s">
        <v>36</v>
      </c>
      <c r="K784" s="7" t="s">
        <v>275</v>
      </c>
      <c r="L784" s="7" t="s">
        <v>276</v>
      </c>
      <c r="M784" s="7" t="s">
        <v>277</v>
      </c>
      <c r="N784" s="7" t="s">
        <v>33</v>
      </c>
      <c r="O784" s="7">
        <v>1</v>
      </c>
      <c r="P784" s="7" t="s">
        <v>40</v>
      </c>
      <c r="Q784" s="7">
        <v>89.99</v>
      </c>
      <c r="R784" s="7"/>
      <c r="S784" s="7">
        <v>14.36</v>
      </c>
      <c r="T784" s="7"/>
      <c r="U784" s="7"/>
      <c r="V784" s="7"/>
      <c r="W784" s="7"/>
      <c r="X784" s="7"/>
      <c r="Y784" s="7" t="s">
        <v>3831</v>
      </c>
      <c r="Z784" s="7" t="s">
        <v>484</v>
      </c>
      <c r="AA784" s="7" t="s">
        <v>3832</v>
      </c>
      <c r="AB784" s="7" t="s">
        <v>44</v>
      </c>
      <c r="AC784" s="7"/>
      <c r="AD784" s="7"/>
      <c r="AE784" s="7"/>
      <c r="AF784" s="7"/>
      <c r="AG784" s="11">
        <f t="shared" si="12"/>
        <v>43280</v>
      </c>
    </row>
    <row r="785" s="8" customFormat="1" spans="1:33">
      <c r="A785" s="7" t="s">
        <v>3833</v>
      </c>
      <c r="B785" s="7" t="s">
        <v>3833</v>
      </c>
      <c r="C785" s="7" t="s">
        <v>3834</v>
      </c>
      <c r="D785" s="7" t="s">
        <v>3835</v>
      </c>
      <c r="E785" s="7" t="s">
        <v>33</v>
      </c>
      <c r="F785" s="7" t="s">
        <v>34</v>
      </c>
      <c r="G785" s="7" t="s">
        <v>35</v>
      </c>
      <c r="H785" s="7"/>
      <c r="I785" s="7"/>
      <c r="J785" s="7" t="s">
        <v>163</v>
      </c>
      <c r="K785" s="7" t="s">
        <v>48</v>
      </c>
      <c r="L785" s="7" t="s">
        <v>49</v>
      </c>
      <c r="M785" s="7" t="s">
        <v>50</v>
      </c>
      <c r="N785" s="7" t="s">
        <v>33</v>
      </c>
      <c r="O785" s="7">
        <v>1</v>
      </c>
      <c r="P785" s="7" t="s">
        <v>40</v>
      </c>
      <c r="Q785" s="7">
        <v>89.99</v>
      </c>
      <c r="R785" s="7"/>
      <c r="S785" s="7">
        <v>7.99</v>
      </c>
      <c r="T785" s="7"/>
      <c r="U785" s="7"/>
      <c r="V785" s="7"/>
      <c r="W785" s="7"/>
      <c r="X785" s="7">
        <v>7.99</v>
      </c>
      <c r="Y785" s="7" t="s">
        <v>3836</v>
      </c>
      <c r="Z785" s="7" t="s">
        <v>391</v>
      </c>
      <c r="AA785" s="7">
        <v>85249</v>
      </c>
      <c r="AB785" s="7" t="s">
        <v>44</v>
      </c>
      <c r="AC785" s="7"/>
      <c r="AD785" s="7"/>
      <c r="AE785" s="7"/>
      <c r="AF785" s="7"/>
      <c r="AG785" s="11">
        <f t="shared" si="12"/>
        <v>43280</v>
      </c>
    </row>
    <row r="786" s="8" customFormat="1" spans="1:33">
      <c r="A786" s="7" t="s">
        <v>3837</v>
      </c>
      <c r="B786" s="7" t="s">
        <v>3837</v>
      </c>
      <c r="C786" s="7" t="s">
        <v>3838</v>
      </c>
      <c r="D786" s="7" t="s">
        <v>3839</v>
      </c>
      <c r="E786" s="7" t="s">
        <v>33</v>
      </c>
      <c r="F786" s="7" t="s">
        <v>34</v>
      </c>
      <c r="G786" s="7" t="s">
        <v>35</v>
      </c>
      <c r="H786" s="7"/>
      <c r="I786" s="7"/>
      <c r="J786" s="7" t="s">
        <v>36</v>
      </c>
      <c r="K786" s="7" t="s">
        <v>387</v>
      </c>
      <c r="L786" s="7" t="s">
        <v>388</v>
      </c>
      <c r="M786" s="7" t="s">
        <v>389</v>
      </c>
      <c r="N786" s="7" t="s">
        <v>33</v>
      </c>
      <c r="O786" s="7">
        <v>1</v>
      </c>
      <c r="P786" s="7" t="s">
        <v>40</v>
      </c>
      <c r="Q786" s="7">
        <v>32.99</v>
      </c>
      <c r="R786" s="7">
        <v>2.87</v>
      </c>
      <c r="S786" s="7"/>
      <c r="T786" s="7"/>
      <c r="U786" s="7"/>
      <c r="V786" s="7"/>
      <c r="W786" s="7"/>
      <c r="X786" s="7"/>
      <c r="Y786" s="7" t="s">
        <v>1244</v>
      </c>
      <c r="Z786" s="7" t="s">
        <v>353</v>
      </c>
      <c r="AA786" s="7" t="s">
        <v>3840</v>
      </c>
      <c r="AB786" s="7" t="s">
        <v>44</v>
      </c>
      <c r="AC786" s="7"/>
      <c r="AD786" s="7"/>
      <c r="AE786" s="7"/>
      <c r="AF786" s="7"/>
      <c r="AG786" s="11">
        <f t="shared" si="12"/>
        <v>43280</v>
      </c>
    </row>
    <row r="787" s="8" customFormat="1" spans="1:33">
      <c r="A787" s="7" t="s">
        <v>3841</v>
      </c>
      <c r="B787" s="7" t="s">
        <v>3841</v>
      </c>
      <c r="C787" s="7" t="s">
        <v>3842</v>
      </c>
      <c r="D787" s="7" t="s">
        <v>3843</v>
      </c>
      <c r="E787" s="7" t="s">
        <v>33</v>
      </c>
      <c r="F787" s="7" t="s">
        <v>34</v>
      </c>
      <c r="G787" s="7" t="s">
        <v>35</v>
      </c>
      <c r="H787" s="7"/>
      <c r="I787" s="7"/>
      <c r="J787" s="7" t="s">
        <v>36</v>
      </c>
      <c r="K787" s="7" t="s">
        <v>2035</v>
      </c>
      <c r="L787" s="7" t="s">
        <v>89</v>
      </c>
      <c r="M787" s="7" t="s">
        <v>90</v>
      </c>
      <c r="N787" s="7" t="s">
        <v>33</v>
      </c>
      <c r="O787" s="7">
        <v>1</v>
      </c>
      <c r="P787" s="7" t="s">
        <v>40</v>
      </c>
      <c r="Q787" s="7">
        <v>89.99</v>
      </c>
      <c r="R787" s="7"/>
      <c r="S787" s="7"/>
      <c r="T787" s="7"/>
      <c r="U787" s="7"/>
      <c r="V787" s="7"/>
      <c r="W787" s="7"/>
      <c r="X787" s="7"/>
      <c r="Y787" s="7" t="s">
        <v>3844</v>
      </c>
      <c r="Z787" s="7" t="s">
        <v>763</v>
      </c>
      <c r="AA787" s="7" t="s">
        <v>3845</v>
      </c>
      <c r="AB787" s="7" t="s">
        <v>44</v>
      </c>
      <c r="AC787" s="7"/>
      <c r="AD787" s="7"/>
      <c r="AE787" s="7"/>
      <c r="AF787" s="7"/>
      <c r="AG787" s="11">
        <f t="shared" si="12"/>
        <v>43280</v>
      </c>
    </row>
    <row r="788" s="8" customFormat="1" spans="1:33">
      <c r="A788" s="7" t="s">
        <v>3846</v>
      </c>
      <c r="B788" s="7" t="s">
        <v>3846</v>
      </c>
      <c r="C788" s="7" t="s">
        <v>3847</v>
      </c>
      <c r="D788" s="7" t="s">
        <v>3848</v>
      </c>
      <c r="E788" s="7" t="s">
        <v>33</v>
      </c>
      <c r="F788" s="7" t="s">
        <v>34</v>
      </c>
      <c r="G788" s="7" t="s">
        <v>35</v>
      </c>
      <c r="H788" s="7"/>
      <c r="I788" s="7"/>
      <c r="J788" s="7" t="s">
        <v>69</v>
      </c>
      <c r="K788" s="7" t="s">
        <v>213</v>
      </c>
      <c r="L788" s="7" t="s">
        <v>214</v>
      </c>
      <c r="M788" s="7" t="s">
        <v>215</v>
      </c>
      <c r="N788" s="7" t="s">
        <v>33</v>
      </c>
      <c r="O788" s="7">
        <v>1</v>
      </c>
      <c r="P788" s="7" t="s">
        <v>40</v>
      </c>
      <c r="Q788" s="7">
        <v>21.99</v>
      </c>
      <c r="R788" s="7"/>
      <c r="S788" s="7">
        <v>5.99</v>
      </c>
      <c r="T788" s="7"/>
      <c r="U788" s="7"/>
      <c r="V788" s="7"/>
      <c r="W788" s="7">
        <v>21.77</v>
      </c>
      <c r="X788" s="7"/>
      <c r="Y788" s="7" t="s">
        <v>3581</v>
      </c>
      <c r="Z788" s="7" t="s">
        <v>996</v>
      </c>
      <c r="AA788" s="7" t="s">
        <v>3582</v>
      </c>
      <c r="AB788" s="7" t="s">
        <v>44</v>
      </c>
      <c r="AC788" s="7" t="s">
        <v>209</v>
      </c>
      <c r="AD788" s="7"/>
      <c r="AE788" s="7"/>
      <c r="AF788" s="7"/>
      <c r="AG788" s="11">
        <f t="shared" si="12"/>
        <v>43280</v>
      </c>
    </row>
    <row r="789" s="8" customFormat="1" spans="1:33">
      <c r="A789" s="7" t="s">
        <v>3849</v>
      </c>
      <c r="B789" s="7" t="s">
        <v>3849</v>
      </c>
      <c r="C789" s="7" t="s">
        <v>3850</v>
      </c>
      <c r="D789" s="7" t="s">
        <v>3851</v>
      </c>
      <c r="E789" s="7" t="s">
        <v>33</v>
      </c>
      <c r="F789" s="7" t="s">
        <v>34</v>
      </c>
      <c r="G789" s="7" t="s">
        <v>35</v>
      </c>
      <c r="H789" s="7"/>
      <c r="I789" s="7"/>
      <c r="J789" s="7" t="s">
        <v>36</v>
      </c>
      <c r="K789" s="7" t="s">
        <v>48</v>
      </c>
      <c r="L789" s="7" t="s">
        <v>49</v>
      </c>
      <c r="M789" s="7" t="s">
        <v>50</v>
      </c>
      <c r="N789" s="7" t="s">
        <v>33</v>
      </c>
      <c r="O789" s="7">
        <v>1</v>
      </c>
      <c r="P789" s="7" t="s">
        <v>40</v>
      </c>
      <c r="Q789" s="7">
        <v>89.99</v>
      </c>
      <c r="R789" s="7"/>
      <c r="S789" s="7"/>
      <c r="T789" s="7"/>
      <c r="U789" s="7"/>
      <c r="V789" s="7"/>
      <c r="W789" s="7"/>
      <c r="X789" s="7"/>
      <c r="Y789" s="7" t="s">
        <v>1530</v>
      </c>
      <c r="Z789" s="7" t="s">
        <v>168</v>
      </c>
      <c r="AA789" s="7" t="s">
        <v>3852</v>
      </c>
      <c r="AB789" s="7" t="s">
        <v>44</v>
      </c>
      <c r="AC789" s="7"/>
      <c r="AD789" s="7"/>
      <c r="AE789" s="7"/>
      <c r="AF789" s="7"/>
      <c r="AG789" s="11">
        <f t="shared" si="12"/>
        <v>43280</v>
      </c>
    </row>
    <row r="790" s="8" customFormat="1" spans="1:33">
      <c r="A790" s="7" t="s">
        <v>3853</v>
      </c>
      <c r="B790" s="7" t="s">
        <v>3853</v>
      </c>
      <c r="C790" s="7" t="s">
        <v>3854</v>
      </c>
      <c r="D790" s="7" t="s">
        <v>3855</v>
      </c>
      <c r="E790" s="7" t="s">
        <v>33</v>
      </c>
      <c r="F790" s="7" t="s">
        <v>34</v>
      </c>
      <c r="G790" s="7" t="s">
        <v>35</v>
      </c>
      <c r="H790" s="7"/>
      <c r="I790" s="7"/>
      <c r="J790" s="7" t="s">
        <v>36</v>
      </c>
      <c r="K790" s="7" t="s">
        <v>48</v>
      </c>
      <c r="L790" s="7" t="s">
        <v>49</v>
      </c>
      <c r="M790" s="7" t="s">
        <v>50</v>
      </c>
      <c r="N790" s="7" t="s">
        <v>33</v>
      </c>
      <c r="O790" s="7">
        <v>1</v>
      </c>
      <c r="P790" s="7" t="s">
        <v>40</v>
      </c>
      <c r="Q790" s="7">
        <v>89.99</v>
      </c>
      <c r="R790" s="7"/>
      <c r="S790" s="7"/>
      <c r="T790" s="7"/>
      <c r="U790" s="7"/>
      <c r="V790" s="7"/>
      <c r="W790" s="7"/>
      <c r="X790" s="7"/>
      <c r="Y790" s="7" t="s">
        <v>3856</v>
      </c>
      <c r="Z790" s="7" t="s">
        <v>83</v>
      </c>
      <c r="AA790" s="7" t="s">
        <v>3857</v>
      </c>
      <c r="AB790" s="7" t="s">
        <v>44</v>
      </c>
      <c r="AC790" s="7"/>
      <c r="AD790" s="7"/>
      <c r="AE790" s="7"/>
      <c r="AF790" s="7"/>
      <c r="AG790" s="11">
        <f t="shared" si="12"/>
        <v>43280</v>
      </c>
    </row>
    <row r="791" s="8" customFormat="1" spans="1:33">
      <c r="A791" s="7" t="s">
        <v>3858</v>
      </c>
      <c r="B791" s="7" t="s">
        <v>3858</v>
      </c>
      <c r="C791" s="7" t="s">
        <v>3859</v>
      </c>
      <c r="D791" s="7" t="s">
        <v>3860</v>
      </c>
      <c r="E791" s="7" t="s">
        <v>54</v>
      </c>
      <c r="F791" s="7" t="s">
        <v>34</v>
      </c>
      <c r="G791" s="7" t="s">
        <v>35</v>
      </c>
      <c r="H791" s="7"/>
      <c r="I791" s="7"/>
      <c r="J791" s="7" t="s">
        <v>69</v>
      </c>
      <c r="K791" s="7" t="s">
        <v>1766</v>
      </c>
      <c r="L791" s="7" t="s">
        <v>2382</v>
      </c>
      <c r="M791" s="7" t="s">
        <v>1768</v>
      </c>
      <c r="N791" s="7" t="s">
        <v>54</v>
      </c>
      <c r="O791" s="7">
        <v>0</v>
      </c>
      <c r="P791" s="7"/>
      <c r="Q791" s="7"/>
      <c r="R791" s="7"/>
      <c r="S791" s="7"/>
      <c r="T791" s="7"/>
      <c r="U791" s="7"/>
      <c r="V791" s="7"/>
      <c r="W791" s="7"/>
      <c r="X791" s="7"/>
      <c r="Y791" s="7" t="s">
        <v>3861</v>
      </c>
      <c r="Z791" s="7" t="s">
        <v>64</v>
      </c>
      <c r="AA791" s="7" t="s">
        <v>3862</v>
      </c>
      <c r="AB791" s="7" t="s">
        <v>44</v>
      </c>
      <c r="AC791" s="7"/>
      <c r="AD791" s="7"/>
      <c r="AE791" s="7"/>
      <c r="AF791" s="7"/>
      <c r="AG791" s="11">
        <f t="shared" si="12"/>
        <v>43280</v>
      </c>
    </row>
    <row r="792" s="8" customFormat="1" spans="1:33">
      <c r="A792" s="7" t="s">
        <v>3863</v>
      </c>
      <c r="B792" s="7" t="s">
        <v>3863</v>
      </c>
      <c r="C792" s="7" t="s">
        <v>3864</v>
      </c>
      <c r="D792" s="7" t="s">
        <v>3865</v>
      </c>
      <c r="E792" s="7" t="s">
        <v>33</v>
      </c>
      <c r="F792" s="7" t="s">
        <v>34</v>
      </c>
      <c r="G792" s="7" t="s">
        <v>35</v>
      </c>
      <c r="H792" s="7"/>
      <c r="I792" s="7"/>
      <c r="J792" s="7" t="s">
        <v>36</v>
      </c>
      <c r="K792" s="7" t="s">
        <v>566</v>
      </c>
      <c r="L792" s="7" t="s">
        <v>567</v>
      </c>
      <c r="M792" s="7" t="s">
        <v>568</v>
      </c>
      <c r="N792" s="7" t="s">
        <v>33</v>
      </c>
      <c r="O792" s="7">
        <v>1</v>
      </c>
      <c r="P792" s="7" t="s">
        <v>40</v>
      </c>
      <c r="Q792" s="7">
        <v>99.6</v>
      </c>
      <c r="R792" s="7">
        <v>5.38</v>
      </c>
      <c r="S792" s="7"/>
      <c r="T792" s="7"/>
      <c r="U792" s="7"/>
      <c r="V792" s="7"/>
      <c r="W792" s="7">
        <v>9.96</v>
      </c>
      <c r="X792" s="7"/>
      <c r="Y792" s="7" t="s">
        <v>3866</v>
      </c>
      <c r="Z792" s="7" t="s">
        <v>682</v>
      </c>
      <c r="AA792" s="7">
        <v>15235</v>
      </c>
      <c r="AB792" s="7" t="s">
        <v>44</v>
      </c>
      <c r="AC792" s="7" t="s">
        <v>2211</v>
      </c>
      <c r="AD792" s="7"/>
      <c r="AE792" s="7"/>
      <c r="AF792" s="7"/>
      <c r="AG792" s="11">
        <f t="shared" si="12"/>
        <v>43280</v>
      </c>
    </row>
    <row r="793" s="8" customFormat="1" spans="1:33">
      <c r="A793" s="7" t="s">
        <v>3867</v>
      </c>
      <c r="B793" s="7" t="s">
        <v>3867</v>
      </c>
      <c r="C793" s="7" t="s">
        <v>3868</v>
      </c>
      <c r="D793" s="7" t="s">
        <v>3869</v>
      </c>
      <c r="E793" s="7" t="s">
        <v>33</v>
      </c>
      <c r="F793" s="7" t="s">
        <v>34</v>
      </c>
      <c r="G793" s="7" t="s">
        <v>35</v>
      </c>
      <c r="H793" s="7"/>
      <c r="I793" s="7"/>
      <c r="J793" s="7" t="s">
        <v>36</v>
      </c>
      <c r="K793" s="7" t="s">
        <v>79</v>
      </c>
      <c r="L793" s="7" t="s">
        <v>80</v>
      </c>
      <c r="M793" s="7" t="s">
        <v>81</v>
      </c>
      <c r="N793" s="7" t="s">
        <v>33</v>
      </c>
      <c r="O793" s="7">
        <v>1</v>
      </c>
      <c r="P793" s="7" t="s">
        <v>40</v>
      </c>
      <c r="Q793" s="7">
        <v>91.99</v>
      </c>
      <c r="R793" s="7"/>
      <c r="S793" s="7"/>
      <c r="T793" s="7"/>
      <c r="U793" s="7"/>
      <c r="V793" s="7"/>
      <c r="W793" s="7"/>
      <c r="X793" s="7"/>
      <c r="Y793" s="7" t="s">
        <v>3870</v>
      </c>
      <c r="Z793" s="7" t="s">
        <v>440</v>
      </c>
      <c r="AA793" s="7" t="s">
        <v>3871</v>
      </c>
      <c r="AB793" s="7" t="s">
        <v>44</v>
      </c>
      <c r="AC793" s="7"/>
      <c r="AD793" s="7"/>
      <c r="AE793" s="7"/>
      <c r="AF793" s="7"/>
      <c r="AG793" s="11">
        <f t="shared" si="12"/>
        <v>43280</v>
      </c>
    </row>
    <row r="794" s="8" customFormat="1" spans="1:33">
      <c r="A794" s="7" t="s">
        <v>3872</v>
      </c>
      <c r="B794" s="7" t="s">
        <v>3872</v>
      </c>
      <c r="C794" s="7" t="s">
        <v>3873</v>
      </c>
      <c r="D794" s="7" t="s">
        <v>3874</v>
      </c>
      <c r="E794" s="7" t="s">
        <v>33</v>
      </c>
      <c r="F794" s="7" t="s">
        <v>34</v>
      </c>
      <c r="G794" s="7" t="s">
        <v>35</v>
      </c>
      <c r="H794" s="7"/>
      <c r="I794" s="7"/>
      <c r="J794" s="7" t="s">
        <v>36</v>
      </c>
      <c r="K794" s="7" t="s">
        <v>3875</v>
      </c>
      <c r="L794" s="7" t="s">
        <v>3876</v>
      </c>
      <c r="M794" s="7" t="s">
        <v>3877</v>
      </c>
      <c r="N794" s="7" t="s">
        <v>33</v>
      </c>
      <c r="O794" s="7">
        <v>1</v>
      </c>
      <c r="P794" s="7" t="s">
        <v>40</v>
      </c>
      <c r="Q794" s="7">
        <v>89.99</v>
      </c>
      <c r="R794" s="7"/>
      <c r="S794" s="7"/>
      <c r="T794" s="7"/>
      <c r="U794" s="7"/>
      <c r="V794" s="7"/>
      <c r="W794" s="7"/>
      <c r="X794" s="7"/>
      <c r="Y794" s="7" t="s">
        <v>3878</v>
      </c>
      <c r="Z794" s="7" t="s">
        <v>3879</v>
      </c>
      <c r="AA794" s="7">
        <v>77571</v>
      </c>
      <c r="AB794" s="7" t="s">
        <v>44</v>
      </c>
      <c r="AC794" s="7"/>
      <c r="AD794" s="7"/>
      <c r="AE794" s="7"/>
      <c r="AF794" s="7"/>
      <c r="AG794" s="11">
        <f t="shared" si="12"/>
        <v>43280</v>
      </c>
    </row>
    <row r="795" s="8" customFormat="1" spans="1:33">
      <c r="A795" s="7" t="s">
        <v>3880</v>
      </c>
      <c r="B795" s="7" t="s">
        <v>3880</v>
      </c>
      <c r="C795" s="7" t="s">
        <v>3881</v>
      </c>
      <c r="D795" s="7" t="s">
        <v>3882</v>
      </c>
      <c r="E795" s="7" t="s">
        <v>33</v>
      </c>
      <c r="F795" s="7" t="s">
        <v>34</v>
      </c>
      <c r="G795" s="7" t="s">
        <v>35</v>
      </c>
      <c r="H795" s="7"/>
      <c r="I795" s="7"/>
      <c r="J795" s="7" t="s">
        <v>36</v>
      </c>
      <c r="K795" s="7" t="s">
        <v>3794</v>
      </c>
      <c r="L795" s="7" t="s">
        <v>3795</v>
      </c>
      <c r="M795" s="7" t="s">
        <v>3796</v>
      </c>
      <c r="N795" s="7" t="s">
        <v>33</v>
      </c>
      <c r="O795" s="7">
        <v>1</v>
      </c>
      <c r="P795" s="7" t="s">
        <v>40</v>
      </c>
      <c r="Q795" s="7">
        <v>89.6</v>
      </c>
      <c r="R795" s="7"/>
      <c r="S795" s="7"/>
      <c r="T795" s="7"/>
      <c r="U795" s="7"/>
      <c r="V795" s="7"/>
      <c r="W795" s="7"/>
      <c r="X795" s="7"/>
      <c r="Y795" s="7" t="s">
        <v>3883</v>
      </c>
      <c r="Z795" s="7" t="s">
        <v>230</v>
      </c>
      <c r="AA795" s="7" t="s">
        <v>3884</v>
      </c>
      <c r="AB795" s="7" t="s">
        <v>44</v>
      </c>
      <c r="AC795" s="7"/>
      <c r="AD795" s="7"/>
      <c r="AE795" s="7"/>
      <c r="AF795" s="7"/>
      <c r="AG795" s="11">
        <f t="shared" si="12"/>
        <v>43280</v>
      </c>
    </row>
    <row r="796" s="8" customFormat="1" spans="1:33">
      <c r="A796" s="7" t="s">
        <v>3885</v>
      </c>
      <c r="B796" s="7" t="s">
        <v>3885</v>
      </c>
      <c r="C796" s="7" t="s">
        <v>3886</v>
      </c>
      <c r="D796" s="7" t="s">
        <v>3887</v>
      </c>
      <c r="E796" s="7" t="s">
        <v>33</v>
      </c>
      <c r="F796" s="7" t="s">
        <v>34</v>
      </c>
      <c r="G796" s="7" t="s">
        <v>35</v>
      </c>
      <c r="H796" s="7"/>
      <c r="I796" s="7"/>
      <c r="J796" s="7" t="s">
        <v>36</v>
      </c>
      <c r="K796" s="7" t="s">
        <v>148</v>
      </c>
      <c r="L796" s="7" t="s">
        <v>149</v>
      </c>
      <c r="M796" s="7" t="s">
        <v>150</v>
      </c>
      <c r="N796" s="7" t="s">
        <v>33</v>
      </c>
      <c r="O796" s="7">
        <v>1</v>
      </c>
      <c r="P796" s="7" t="s">
        <v>40</v>
      </c>
      <c r="Q796" s="7">
        <v>98.99</v>
      </c>
      <c r="R796" s="7"/>
      <c r="S796" s="7"/>
      <c r="T796" s="7"/>
      <c r="U796" s="7"/>
      <c r="V796" s="7"/>
      <c r="W796" s="7"/>
      <c r="X796" s="7"/>
      <c r="Y796" s="7" t="s">
        <v>353</v>
      </c>
      <c r="Z796" s="7" t="s">
        <v>735</v>
      </c>
      <c r="AA796" s="7" t="s">
        <v>3888</v>
      </c>
      <c r="AB796" s="7" t="s">
        <v>44</v>
      </c>
      <c r="AC796" s="7"/>
      <c r="AD796" s="7"/>
      <c r="AE796" s="7"/>
      <c r="AF796" s="7"/>
      <c r="AG796" s="11">
        <f t="shared" si="12"/>
        <v>43280</v>
      </c>
    </row>
    <row r="797" s="8" customFormat="1" spans="1:33">
      <c r="A797" s="7" t="s">
        <v>3889</v>
      </c>
      <c r="B797" s="7" t="s">
        <v>3889</v>
      </c>
      <c r="C797" s="7" t="s">
        <v>3890</v>
      </c>
      <c r="D797" s="7" t="s">
        <v>3891</v>
      </c>
      <c r="E797" s="7" t="s">
        <v>33</v>
      </c>
      <c r="F797" s="7" t="s">
        <v>34</v>
      </c>
      <c r="G797" s="7" t="s">
        <v>35</v>
      </c>
      <c r="H797" s="7"/>
      <c r="I797" s="7"/>
      <c r="J797" s="7" t="s">
        <v>36</v>
      </c>
      <c r="K797" s="7" t="s">
        <v>410</v>
      </c>
      <c r="L797" s="7" t="s">
        <v>411</v>
      </c>
      <c r="M797" s="7" t="s">
        <v>412</v>
      </c>
      <c r="N797" s="7" t="s">
        <v>33</v>
      </c>
      <c r="O797" s="7">
        <v>1</v>
      </c>
      <c r="P797" s="7" t="s">
        <v>40</v>
      </c>
      <c r="Q797" s="7">
        <v>21.99</v>
      </c>
      <c r="R797" s="7"/>
      <c r="S797" s="7"/>
      <c r="T797" s="7"/>
      <c r="U797" s="7"/>
      <c r="V797" s="7"/>
      <c r="W797" s="7"/>
      <c r="X797" s="7"/>
      <c r="Y797" s="7" t="s">
        <v>3154</v>
      </c>
      <c r="Z797" s="7" t="s">
        <v>466</v>
      </c>
      <c r="AA797" s="7" t="s">
        <v>3155</v>
      </c>
      <c r="AB797" s="7" t="s">
        <v>44</v>
      </c>
      <c r="AC797" s="7"/>
      <c r="AD797" s="10"/>
      <c r="AE797" s="10"/>
      <c r="AF797" s="10"/>
      <c r="AG797" s="11">
        <f t="shared" si="12"/>
        <v>43280</v>
      </c>
    </row>
    <row r="798" s="8" customFormat="1" spans="1:33">
      <c r="A798" s="7" t="s">
        <v>3892</v>
      </c>
      <c r="B798" s="7" t="s">
        <v>3892</v>
      </c>
      <c r="C798" s="7" t="s">
        <v>3893</v>
      </c>
      <c r="D798" s="7" t="s">
        <v>3894</v>
      </c>
      <c r="E798" s="7" t="s">
        <v>33</v>
      </c>
      <c r="F798" s="7" t="s">
        <v>34</v>
      </c>
      <c r="G798" s="7" t="s">
        <v>35</v>
      </c>
      <c r="H798" s="7"/>
      <c r="I798" s="7"/>
      <c r="J798" s="7" t="s">
        <v>36</v>
      </c>
      <c r="K798" s="7" t="s">
        <v>213</v>
      </c>
      <c r="L798" s="7" t="s">
        <v>214</v>
      </c>
      <c r="M798" s="7" t="s">
        <v>215</v>
      </c>
      <c r="N798" s="7" t="s">
        <v>33</v>
      </c>
      <c r="O798" s="7">
        <v>1</v>
      </c>
      <c r="P798" s="7" t="s">
        <v>40</v>
      </c>
      <c r="Q798" s="7">
        <v>21.99</v>
      </c>
      <c r="R798" s="7"/>
      <c r="S798" s="7"/>
      <c r="T798" s="7"/>
      <c r="U798" s="7"/>
      <c r="V798" s="7"/>
      <c r="W798" s="7">
        <v>21.77</v>
      </c>
      <c r="X798" s="7"/>
      <c r="Y798" s="7" t="s">
        <v>3154</v>
      </c>
      <c r="Z798" s="7" t="s">
        <v>466</v>
      </c>
      <c r="AA798" s="7" t="s">
        <v>3155</v>
      </c>
      <c r="AB798" s="7" t="s">
        <v>44</v>
      </c>
      <c r="AC798" s="7" t="s">
        <v>209</v>
      </c>
      <c r="AD798" s="10"/>
      <c r="AE798" s="10"/>
      <c r="AF798" s="10"/>
      <c r="AG798" s="11">
        <f t="shared" si="12"/>
        <v>43280</v>
      </c>
    </row>
    <row r="799" s="8" customFormat="1" spans="1:33">
      <c r="A799" s="7" t="s">
        <v>3895</v>
      </c>
      <c r="B799" s="7" t="s">
        <v>3895</v>
      </c>
      <c r="C799" s="7" t="s">
        <v>3896</v>
      </c>
      <c r="D799" s="7" t="s">
        <v>3897</v>
      </c>
      <c r="E799" s="7" t="s">
        <v>33</v>
      </c>
      <c r="F799" s="7" t="s">
        <v>34</v>
      </c>
      <c r="G799" s="7" t="s">
        <v>35</v>
      </c>
      <c r="H799" s="7"/>
      <c r="I799" s="7"/>
      <c r="J799" s="7" t="s">
        <v>69</v>
      </c>
      <c r="K799" s="7" t="s">
        <v>1065</v>
      </c>
      <c r="L799" s="7" t="s">
        <v>1066</v>
      </c>
      <c r="M799" s="7" t="s">
        <v>1067</v>
      </c>
      <c r="N799" s="7" t="s">
        <v>33</v>
      </c>
      <c r="O799" s="7">
        <v>1</v>
      </c>
      <c r="P799" s="7" t="s">
        <v>40</v>
      </c>
      <c r="Q799" s="7">
        <v>26.99</v>
      </c>
      <c r="R799" s="7"/>
      <c r="S799" s="7">
        <v>3.52</v>
      </c>
      <c r="T799" s="7"/>
      <c r="U799" s="7"/>
      <c r="V799" s="7"/>
      <c r="W799" s="7"/>
      <c r="X799" s="7">
        <v>3.52</v>
      </c>
      <c r="Y799" s="7" t="s">
        <v>3898</v>
      </c>
      <c r="Z799" s="7" t="s">
        <v>422</v>
      </c>
      <c r="AA799" s="7" t="s">
        <v>3899</v>
      </c>
      <c r="AB799" s="7" t="s">
        <v>44</v>
      </c>
      <c r="AC799" s="7" t="s">
        <v>75</v>
      </c>
      <c r="AD799" s="10"/>
      <c r="AE799" s="10"/>
      <c r="AF799" s="10"/>
      <c r="AG799" s="11">
        <f t="shared" si="12"/>
        <v>43280</v>
      </c>
    </row>
    <row r="800" s="8" customFormat="1" spans="1:33">
      <c r="A800" s="7" t="s">
        <v>3900</v>
      </c>
      <c r="B800" s="7" t="s">
        <v>3900</v>
      </c>
      <c r="C800" s="7" t="s">
        <v>3901</v>
      </c>
      <c r="D800" s="7" t="s">
        <v>3902</v>
      </c>
      <c r="E800" s="7" t="s">
        <v>33</v>
      </c>
      <c r="F800" s="7" t="s">
        <v>34</v>
      </c>
      <c r="G800" s="7" t="s">
        <v>35</v>
      </c>
      <c r="H800" s="7"/>
      <c r="I800" s="7"/>
      <c r="J800" s="7" t="s">
        <v>36</v>
      </c>
      <c r="K800" s="7" t="s">
        <v>387</v>
      </c>
      <c r="L800" s="7" t="s">
        <v>388</v>
      </c>
      <c r="M800" s="7" t="s">
        <v>389</v>
      </c>
      <c r="N800" s="7" t="s">
        <v>33</v>
      </c>
      <c r="O800" s="7">
        <v>1</v>
      </c>
      <c r="P800" s="7" t="s">
        <v>40</v>
      </c>
      <c r="Q800" s="7">
        <v>32.99</v>
      </c>
      <c r="R800" s="7"/>
      <c r="S800" s="7"/>
      <c r="T800" s="7"/>
      <c r="U800" s="7"/>
      <c r="V800" s="7"/>
      <c r="W800" s="7"/>
      <c r="X800" s="7"/>
      <c r="Y800" s="7" t="s">
        <v>3903</v>
      </c>
      <c r="Z800" s="7" t="s">
        <v>990</v>
      </c>
      <c r="AA800" s="7" t="s">
        <v>3904</v>
      </c>
      <c r="AB800" s="7" t="s">
        <v>44</v>
      </c>
      <c r="AC800" s="7"/>
      <c r="AD800" s="10"/>
      <c r="AE800" s="10"/>
      <c r="AF800" s="10"/>
      <c r="AG800" s="11">
        <f t="shared" si="12"/>
        <v>43280</v>
      </c>
    </row>
    <row r="801" s="8" customFormat="1" spans="1:33">
      <c r="A801" s="7" t="s">
        <v>3905</v>
      </c>
      <c r="B801" s="7" t="s">
        <v>3905</v>
      </c>
      <c r="C801" s="7" t="s">
        <v>3906</v>
      </c>
      <c r="D801" s="7" t="s">
        <v>3907</v>
      </c>
      <c r="E801" s="7" t="s">
        <v>33</v>
      </c>
      <c r="F801" s="7" t="s">
        <v>34</v>
      </c>
      <c r="G801" s="7" t="s">
        <v>35</v>
      </c>
      <c r="H801" s="7"/>
      <c r="I801" s="7"/>
      <c r="J801" s="7" t="s">
        <v>36</v>
      </c>
      <c r="K801" s="7" t="s">
        <v>2035</v>
      </c>
      <c r="L801" s="7" t="s">
        <v>89</v>
      </c>
      <c r="M801" s="7" t="s">
        <v>90</v>
      </c>
      <c r="N801" s="7" t="s">
        <v>33</v>
      </c>
      <c r="O801" s="7">
        <v>1</v>
      </c>
      <c r="P801" s="7" t="s">
        <v>40</v>
      </c>
      <c r="Q801" s="7">
        <v>89.99</v>
      </c>
      <c r="R801" s="7"/>
      <c r="S801" s="7"/>
      <c r="T801" s="7"/>
      <c r="U801" s="7"/>
      <c r="V801" s="7"/>
      <c r="W801" s="7"/>
      <c r="X801" s="7"/>
      <c r="Y801" s="7" t="s">
        <v>421</v>
      </c>
      <c r="Z801" s="7" t="s">
        <v>42</v>
      </c>
      <c r="AA801" s="7" t="s">
        <v>3908</v>
      </c>
      <c r="AB801" s="7" t="s">
        <v>44</v>
      </c>
      <c r="AC801" s="7"/>
      <c r="AD801" s="10"/>
      <c r="AE801" s="10"/>
      <c r="AF801" s="10"/>
      <c r="AG801" s="11">
        <f t="shared" si="12"/>
        <v>43280</v>
      </c>
    </row>
    <row r="802" s="8" customFormat="1" spans="1:33">
      <c r="A802" s="7" t="s">
        <v>3909</v>
      </c>
      <c r="B802" s="7" t="s">
        <v>3909</v>
      </c>
      <c r="C802" s="7" t="s">
        <v>3910</v>
      </c>
      <c r="D802" s="7" t="s">
        <v>3911</v>
      </c>
      <c r="E802" s="7" t="s">
        <v>33</v>
      </c>
      <c r="F802" s="7" t="s">
        <v>34</v>
      </c>
      <c r="G802" s="7" t="s">
        <v>35</v>
      </c>
      <c r="H802" s="7"/>
      <c r="I802" s="7"/>
      <c r="J802" s="7" t="s">
        <v>36</v>
      </c>
      <c r="K802" s="7" t="s">
        <v>2459</v>
      </c>
      <c r="L802" s="7" t="s">
        <v>365</v>
      </c>
      <c r="M802" s="7" t="s">
        <v>366</v>
      </c>
      <c r="N802" s="7" t="s">
        <v>33</v>
      </c>
      <c r="O802" s="7">
        <v>1</v>
      </c>
      <c r="P802" s="7" t="s">
        <v>40</v>
      </c>
      <c r="Q802" s="7">
        <v>89.99</v>
      </c>
      <c r="R802" s="7"/>
      <c r="S802" s="7"/>
      <c r="T802" s="7"/>
      <c r="U802" s="7"/>
      <c r="V802" s="7"/>
      <c r="W802" s="7"/>
      <c r="X802" s="7"/>
      <c r="Y802" s="7" t="s">
        <v>3912</v>
      </c>
      <c r="Z802" s="7" t="s">
        <v>990</v>
      </c>
      <c r="AA802" s="7" t="s">
        <v>3913</v>
      </c>
      <c r="AB802" s="7" t="s">
        <v>44</v>
      </c>
      <c r="AC802" s="7"/>
      <c r="AD802" s="10"/>
      <c r="AE802" s="10"/>
      <c r="AF802" s="10"/>
      <c r="AG802" s="11">
        <f t="shared" si="12"/>
        <v>43280</v>
      </c>
    </row>
    <row r="803" s="8" customFormat="1" spans="1:33">
      <c r="A803" s="7" t="s">
        <v>3914</v>
      </c>
      <c r="B803" s="7" t="s">
        <v>3914</v>
      </c>
      <c r="C803" s="7" t="s">
        <v>3915</v>
      </c>
      <c r="D803" s="7" t="s">
        <v>3916</v>
      </c>
      <c r="E803" s="7" t="s">
        <v>33</v>
      </c>
      <c r="F803" s="7" t="s">
        <v>34</v>
      </c>
      <c r="G803" s="7" t="s">
        <v>35</v>
      </c>
      <c r="H803" s="7"/>
      <c r="I803" s="7"/>
      <c r="J803" s="7" t="s">
        <v>36</v>
      </c>
      <c r="K803" s="7" t="s">
        <v>213</v>
      </c>
      <c r="L803" s="7" t="s">
        <v>214</v>
      </c>
      <c r="M803" s="7" t="s">
        <v>215</v>
      </c>
      <c r="N803" s="7" t="s">
        <v>33</v>
      </c>
      <c r="O803" s="7">
        <v>1</v>
      </c>
      <c r="P803" s="7" t="s">
        <v>40</v>
      </c>
      <c r="Q803" s="7">
        <v>21.99</v>
      </c>
      <c r="R803" s="7"/>
      <c r="S803" s="7"/>
      <c r="T803" s="7"/>
      <c r="U803" s="7"/>
      <c r="V803" s="7"/>
      <c r="W803" s="7">
        <v>21.77</v>
      </c>
      <c r="X803" s="7"/>
      <c r="Y803" s="7" t="s">
        <v>3597</v>
      </c>
      <c r="Z803" s="7" t="s">
        <v>541</v>
      </c>
      <c r="AA803" s="7" t="s">
        <v>3598</v>
      </c>
      <c r="AB803" s="7" t="s">
        <v>44</v>
      </c>
      <c r="AC803" s="7" t="s">
        <v>209</v>
      </c>
      <c r="AD803" s="10"/>
      <c r="AE803" s="10"/>
      <c r="AF803" s="10"/>
      <c r="AG803" s="11">
        <f t="shared" si="12"/>
        <v>43280</v>
      </c>
    </row>
    <row r="804" s="8" customFormat="1" spans="1:33">
      <c r="A804" s="7" t="s">
        <v>3917</v>
      </c>
      <c r="B804" s="7" t="s">
        <v>3917</v>
      </c>
      <c r="C804" s="7" t="s">
        <v>3918</v>
      </c>
      <c r="D804" s="7" t="s">
        <v>3919</v>
      </c>
      <c r="E804" s="7" t="s">
        <v>33</v>
      </c>
      <c r="F804" s="7" t="s">
        <v>34</v>
      </c>
      <c r="G804" s="7" t="s">
        <v>35</v>
      </c>
      <c r="H804" s="7"/>
      <c r="I804" s="7"/>
      <c r="J804" s="7" t="s">
        <v>69</v>
      </c>
      <c r="K804" s="7" t="s">
        <v>148</v>
      </c>
      <c r="L804" s="7" t="s">
        <v>149</v>
      </c>
      <c r="M804" s="7" t="s">
        <v>150</v>
      </c>
      <c r="N804" s="7" t="s">
        <v>33</v>
      </c>
      <c r="O804" s="7">
        <v>1</v>
      </c>
      <c r="P804" s="7" t="s">
        <v>40</v>
      </c>
      <c r="Q804" s="7">
        <v>98.99</v>
      </c>
      <c r="R804" s="7"/>
      <c r="S804" s="7">
        <v>8.22</v>
      </c>
      <c r="T804" s="7"/>
      <c r="U804" s="7"/>
      <c r="V804" s="7"/>
      <c r="W804" s="7"/>
      <c r="X804" s="7"/>
      <c r="Y804" s="7" t="s">
        <v>3920</v>
      </c>
      <c r="Z804" s="7" t="s">
        <v>183</v>
      </c>
      <c r="AA804" s="7" t="s">
        <v>3921</v>
      </c>
      <c r="AB804" s="7" t="s">
        <v>44</v>
      </c>
      <c r="AC804" s="7"/>
      <c r="AD804" s="10"/>
      <c r="AE804" s="10"/>
      <c r="AF804" s="10"/>
      <c r="AG804" s="11">
        <f t="shared" si="12"/>
        <v>43280</v>
      </c>
    </row>
    <row r="805" s="8" customFormat="1" spans="1:33">
      <c r="A805" s="7" t="s">
        <v>3922</v>
      </c>
      <c r="B805" s="7" t="s">
        <v>3922</v>
      </c>
      <c r="C805" s="7" t="s">
        <v>3923</v>
      </c>
      <c r="D805" s="7" t="s">
        <v>3924</v>
      </c>
      <c r="E805" s="7" t="s">
        <v>33</v>
      </c>
      <c r="F805" s="7" t="s">
        <v>34</v>
      </c>
      <c r="G805" s="7" t="s">
        <v>35</v>
      </c>
      <c r="H805" s="7"/>
      <c r="I805" s="7"/>
      <c r="J805" s="7" t="s">
        <v>36</v>
      </c>
      <c r="K805" s="7" t="s">
        <v>48</v>
      </c>
      <c r="L805" s="7" t="s">
        <v>49</v>
      </c>
      <c r="M805" s="7" t="s">
        <v>50</v>
      </c>
      <c r="N805" s="7" t="s">
        <v>33</v>
      </c>
      <c r="O805" s="7">
        <v>1</v>
      </c>
      <c r="P805" s="7" t="s">
        <v>40</v>
      </c>
      <c r="Q805" s="7">
        <v>89.99</v>
      </c>
      <c r="R805" s="7"/>
      <c r="S805" s="7"/>
      <c r="T805" s="7"/>
      <c r="U805" s="7"/>
      <c r="V805" s="7"/>
      <c r="W805" s="7"/>
      <c r="X805" s="7"/>
      <c r="Y805" s="7" t="s">
        <v>3925</v>
      </c>
      <c r="Z805" s="7" t="s">
        <v>52</v>
      </c>
      <c r="AA805" s="7" t="s">
        <v>3926</v>
      </c>
      <c r="AB805" s="7" t="s">
        <v>44</v>
      </c>
      <c r="AC805" s="7"/>
      <c r="AD805" s="10"/>
      <c r="AE805" s="10"/>
      <c r="AF805" s="10"/>
      <c r="AG805" s="11">
        <f t="shared" si="12"/>
        <v>43280</v>
      </c>
    </row>
    <row r="806" s="8" customFormat="1" spans="1:33">
      <c r="A806" s="7" t="s">
        <v>3927</v>
      </c>
      <c r="B806" s="7" t="s">
        <v>3927</v>
      </c>
      <c r="C806" s="7" t="s">
        <v>3928</v>
      </c>
      <c r="D806" s="7" t="s">
        <v>3929</v>
      </c>
      <c r="E806" s="7" t="s">
        <v>33</v>
      </c>
      <c r="F806" s="7" t="s">
        <v>34</v>
      </c>
      <c r="G806" s="7" t="s">
        <v>35</v>
      </c>
      <c r="H806" s="7"/>
      <c r="I806" s="7"/>
      <c r="J806" s="7" t="s">
        <v>36</v>
      </c>
      <c r="K806" s="7" t="s">
        <v>37</v>
      </c>
      <c r="L806" s="7" t="s">
        <v>38</v>
      </c>
      <c r="M806" s="7" t="s">
        <v>39</v>
      </c>
      <c r="N806" s="7" t="s">
        <v>33</v>
      </c>
      <c r="O806" s="7">
        <v>1</v>
      </c>
      <c r="P806" s="7" t="s">
        <v>40</v>
      </c>
      <c r="Q806" s="7">
        <v>89.99</v>
      </c>
      <c r="R806" s="7"/>
      <c r="S806" s="7"/>
      <c r="T806" s="7"/>
      <c r="U806" s="7"/>
      <c r="V806" s="7"/>
      <c r="W806" s="7"/>
      <c r="X806" s="7"/>
      <c r="Y806" s="7" t="s">
        <v>3930</v>
      </c>
      <c r="Z806" s="7" t="s">
        <v>135</v>
      </c>
      <c r="AA806" s="7" t="s">
        <v>3931</v>
      </c>
      <c r="AB806" s="7" t="s">
        <v>44</v>
      </c>
      <c r="AC806" s="7"/>
      <c r="AD806" s="10"/>
      <c r="AE806" s="10"/>
      <c r="AF806" s="10"/>
      <c r="AG806" s="11">
        <f t="shared" si="12"/>
        <v>43280</v>
      </c>
    </row>
    <row r="807" s="8" customFormat="1" spans="1:33">
      <c r="A807" s="7" t="s">
        <v>3932</v>
      </c>
      <c r="B807" s="7" t="s">
        <v>3932</v>
      </c>
      <c r="C807" s="7" t="s">
        <v>3933</v>
      </c>
      <c r="D807" s="7" t="s">
        <v>3934</v>
      </c>
      <c r="E807" s="7" t="s">
        <v>54</v>
      </c>
      <c r="F807" s="7" t="s">
        <v>34</v>
      </c>
      <c r="G807" s="7" t="s">
        <v>35</v>
      </c>
      <c r="H807" s="7"/>
      <c r="I807" s="7"/>
      <c r="J807" s="7" t="s">
        <v>36</v>
      </c>
      <c r="K807" s="7" t="s">
        <v>48</v>
      </c>
      <c r="L807" s="7" t="s">
        <v>49</v>
      </c>
      <c r="M807" s="7" t="s">
        <v>50</v>
      </c>
      <c r="N807" s="7" t="s">
        <v>54</v>
      </c>
      <c r="O807" s="7">
        <v>0</v>
      </c>
      <c r="P807" s="7"/>
      <c r="Q807" s="7"/>
      <c r="R807" s="7"/>
      <c r="S807" s="7"/>
      <c r="T807" s="7"/>
      <c r="U807" s="7"/>
      <c r="V807" s="7"/>
      <c r="W807" s="7"/>
      <c r="X807" s="7"/>
      <c r="Y807" s="7" t="s">
        <v>51</v>
      </c>
      <c r="Z807" s="7" t="s">
        <v>52</v>
      </c>
      <c r="AA807" s="7" t="s">
        <v>3935</v>
      </c>
      <c r="AB807" s="7" t="s">
        <v>44</v>
      </c>
      <c r="AC807" s="7"/>
      <c r="AD807" s="10"/>
      <c r="AE807" s="10"/>
      <c r="AF807" s="10"/>
      <c r="AG807" s="11">
        <f t="shared" si="12"/>
        <v>43280</v>
      </c>
    </row>
    <row r="808" s="8" customFormat="1" spans="1:33">
      <c r="A808" s="7" t="s">
        <v>3936</v>
      </c>
      <c r="B808" s="7" t="s">
        <v>3936</v>
      </c>
      <c r="C808" s="7" t="s">
        <v>3937</v>
      </c>
      <c r="D808" s="7" t="s">
        <v>3938</v>
      </c>
      <c r="E808" s="7" t="s">
        <v>33</v>
      </c>
      <c r="F808" s="7" t="s">
        <v>34</v>
      </c>
      <c r="G808" s="7" t="s">
        <v>35</v>
      </c>
      <c r="H808" s="7"/>
      <c r="I808" s="7"/>
      <c r="J808" s="7" t="s">
        <v>163</v>
      </c>
      <c r="K808" s="7" t="s">
        <v>148</v>
      </c>
      <c r="L808" s="7" t="s">
        <v>149</v>
      </c>
      <c r="M808" s="7" t="s">
        <v>150</v>
      </c>
      <c r="N808" s="7" t="s">
        <v>33</v>
      </c>
      <c r="O808" s="7">
        <v>1</v>
      </c>
      <c r="P808" s="7" t="s">
        <v>40</v>
      </c>
      <c r="Q808" s="7">
        <v>98.99</v>
      </c>
      <c r="R808" s="7"/>
      <c r="S808" s="7">
        <v>9.98</v>
      </c>
      <c r="T808" s="7"/>
      <c r="U808" s="7"/>
      <c r="V808" s="7"/>
      <c r="W808" s="7"/>
      <c r="X808" s="7"/>
      <c r="Y808" s="7" t="s">
        <v>3831</v>
      </c>
      <c r="Z808" s="7" t="s">
        <v>484</v>
      </c>
      <c r="AA808" s="7" t="s">
        <v>3832</v>
      </c>
      <c r="AB808" s="7" t="s">
        <v>44</v>
      </c>
      <c r="AC808" s="7"/>
      <c r="AD808" s="10"/>
      <c r="AE808" s="10"/>
      <c r="AF808" s="10"/>
      <c r="AG808" s="11">
        <f t="shared" si="12"/>
        <v>43280</v>
      </c>
    </row>
    <row r="809" s="8" customFormat="1" spans="1:33">
      <c r="A809" s="7" t="s">
        <v>3939</v>
      </c>
      <c r="B809" s="7" t="s">
        <v>3939</v>
      </c>
      <c r="C809" s="7" t="s">
        <v>3940</v>
      </c>
      <c r="D809" s="7" t="s">
        <v>3941</v>
      </c>
      <c r="E809" s="7" t="s">
        <v>33</v>
      </c>
      <c r="F809" s="7" t="s">
        <v>34</v>
      </c>
      <c r="G809" s="7" t="s">
        <v>35</v>
      </c>
      <c r="H809" s="7"/>
      <c r="I809" s="7"/>
      <c r="J809" s="7" t="s">
        <v>36</v>
      </c>
      <c r="K809" s="7" t="s">
        <v>660</v>
      </c>
      <c r="L809" s="7" t="s">
        <v>661</v>
      </c>
      <c r="M809" s="7" t="s">
        <v>662</v>
      </c>
      <c r="N809" s="7" t="s">
        <v>33</v>
      </c>
      <c r="O809" s="7">
        <v>1</v>
      </c>
      <c r="P809" s="7" t="s">
        <v>40</v>
      </c>
      <c r="Q809" s="7">
        <v>79.99</v>
      </c>
      <c r="R809" s="7">
        <v>4.8</v>
      </c>
      <c r="S809" s="7"/>
      <c r="T809" s="7"/>
      <c r="U809" s="7"/>
      <c r="V809" s="7"/>
      <c r="W809" s="7"/>
      <c r="X809" s="7"/>
      <c r="Y809" s="7" t="s">
        <v>1449</v>
      </c>
      <c r="Z809" s="7" t="s">
        <v>880</v>
      </c>
      <c r="AA809" s="7" t="s">
        <v>3942</v>
      </c>
      <c r="AB809" s="7" t="s">
        <v>44</v>
      </c>
      <c r="AC809" s="7"/>
      <c r="AD809" s="10"/>
      <c r="AE809" s="10"/>
      <c r="AF809" s="10"/>
      <c r="AG809" s="11">
        <f t="shared" si="12"/>
        <v>43280</v>
      </c>
    </row>
    <row r="810" s="8" customFormat="1" spans="1:33">
      <c r="A810" s="7" t="s">
        <v>3943</v>
      </c>
      <c r="B810" s="7" t="s">
        <v>3943</v>
      </c>
      <c r="C810" s="7" t="s">
        <v>3944</v>
      </c>
      <c r="D810" s="7" t="s">
        <v>3945</v>
      </c>
      <c r="E810" s="7" t="s">
        <v>33</v>
      </c>
      <c r="F810" s="7" t="s">
        <v>34</v>
      </c>
      <c r="G810" s="7" t="s">
        <v>35</v>
      </c>
      <c r="H810" s="7"/>
      <c r="I810" s="7"/>
      <c r="J810" s="7" t="s">
        <v>36</v>
      </c>
      <c r="K810" s="7" t="s">
        <v>3946</v>
      </c>
      <c r="L810" s="7" t="s">
        <v>853</v>
      </c>
      <c r="M810" s="7" t="s">
        <v>854</v>
      </c>
      <c r="N810" s="7" t="s">
        <v>33</v>
      </c>
      <c r="O810" s="7">
        <v>1</v>
      </c>
      <c r="P810" s="7" t="s">
        <v>40</v>
      </c>
      <c r="Q810" s="7">
        <v>79.99</v>
      </c>
      <c r="R810" s="7"/>
      <c r="S810" s="7"/>
      <c r="T810" s="7"/>
      <c r="U810" s="7"/>
      <c r="V810" s="7"/>
      <c r="W810" s="7"/>
      <c r="X810" s="7"/>
      <c r="Y810" s="7" t="s">
        <v>855</v>
      </c>
      <c r="Z810" s="7" t="s">
        <v>497</v>
      </c>
      <c r="AA810" s="7" t="s">
        <v>3947</v>
      </c>
      <c r="AB810" s="7" t="s">
        <v>44</v>
      </c>
      <c r="AC810" s="7"/>
      <c r="AD810" s="10"/>
      <c r="AE810" s="10"/>
      <c r="AF810" s="10"/>
      <c r="AG810" s="11">
        <f t="shared" si="12"/>
        <v>43280</v>
      </c>
    </row>
    <row r="811" s="8" customFormat="1" spans="1:33">
      <c r="A811" s="7" t="s">
        <v>3948</v>
      </c>
      <c r="B811" s="7" t="s">
        <v>3948</v>
      </c>
      <c r="C811" s="7" t="s">
        <v>3949</v>
      </c>
      <c r="D811" s="7" t="s">
        <v>3950</v>
      </c>
      <c r="E811" s="7" t="s">
        <v>33</v>
      </c>
      <c r="F811" s="7" t="s">
        <v>34</v>
      </c>
      <c r="G811" s="7" t="s">
        <v>35</v>
      </c>
      <c r="H811" s="7"/>
      <c r="I811" s="7"/>
      <c r="J811" s="7" t="s">
        <v>163</v>
      </c>
      <c r="K811" s="7" t="s">
        <v>48</v>
      </c>
      <c r="L811" s="7" t="s">
        <v>49</v>
      </c>
      <c r="M811" s="7" t="s">
        <v>50</v>
      </c>
      <c r="N811" s="7" t="s">
        <v>33</v>
      </c>
      <c r="O811" s="7">
        <v>1</v>
      </c>
      <c r="P811" s="7" t="s">
        <v>40</v>
      </c>
      <c r="Q811" s="7">
        <v>89.99</v>
      </c>
      <c r="R811" s="7"/>
      <c r="S811" s="7">
        <v>5.99</v>
      </c>
      <c r="T811" s="7"/>
      <c r="U811" s="7"/>
      <c r="V811" s="7"/>
      <c r="W811" s="7"/>
      <c r="X811" s="7">
        <v>5.99</v>
      </c>
      <c r="Y811" s="7" t="s">
        <v>3951</v>
      </c>
      <c r="Z811" s="7" t="s">
        <v>83</v>
      </c>
      <c r="AA811" s="7" t="s">
        <v>3952</v>
      </c>
      <c r="AB811" s="7" t="s">
        <v>44</v>
      </c>
      <c r="AC811" s="7"/>
      <c r="AD811" s="10"/>
      <c r="AE811" s="10"/>
      <c r="AF811" s="10"/>
      <c r="AG811" s="11">
        <f t="shared" si="12"/>
        <v>43280</v>
      </c>
    </row>
    <row r="812" s="8" customFormat="1" spans="1:33">
      <c r="A812" s="7" t="s">
        <v>3953</v>
      </c>
      <c r="B812" s="7" t="s">
        <v>3953</v>
      </c>
      <c r="C812" s="7" t="s">
        <v>3954</v>
      </c>
      <c r="D812" s="7" t="s">
        <v>3955</v>
      </c>
      <c r="E812" s="7" t="s">
        <v>33</v>
      </c>
      <c r="F812" s="7" t="s">
        <v>34</v>
      </c>
      <c r="G812" s="7" t="s">
        <v>35</v>
      </c>
      <c r="H812" s="7"/>
      <c r="I812" s="7"/>
      <c r="J812" s="7" t="s">
        <v>69</v>
      </c>
      <c r="K812" s="7" t="s">
        <v>660</v>
      </c>
      <c r="L812" s="7" t="s">
        <v>661</v>
      </c>
      <c r="M812" s="7" t="s">
        <v>662</v>
      </c>
      <c r="N812" s="7" t="s">
        <v>33</v>
      </c>
      <c r="O812" s="7">
        <v>1</v>
      </c>
      <c r="P812" s="7" t="s">
        <v>40</v>
      </c>
      <c r="Q812" s="7">
        <v>79.99</v>
      </c>
      <c r="R812" s="7"/>
      <c r="S812" s="7">
        <v>6.72</v>
      </c>
      <c r="T812" s="7"/>
      <c r="U812" s="7"/>
      <c r="V812" s="7"/>
      <c r="W812" s="7"/>
      <c r="X812" s="7">
        <v>6.72</v>
      </c>
      <c r="Y812" s="7" t="s">
        <v>249</v>
      </c>
      <c r="Z812" s="7" t="s">
        <v>64</v>
      </c>
      <c r="AA812" s="7" t="s">
        <v>3956</v>
      </c>
      <c r="AB812" s="7" t="s">
        <v>44</v>
      </c>
      <c r="AC812" s="7" t="s">
        <v>75</v>
      </c>
      <c r="AD812" s="10"/>
      <c r="AE812" s="10"/>
      <c r="AF812" s="10"/>
      <c r="AG812" s="11">
        <f t="shared" si="12"/>
        <v>43280</v>
      </c>
    </row>
    <row r="813" s="8" customFormat="1" spans="1:33">
      <c r="A813" s="7" t="s">
        <v>3957</v>
      </c>
      <c r="B813" s="7" t="s">
        <v>3957</v>
      </c>
      <c r="C813" s="7" t="s">
        <v>3958</v>
      </c>
      <c r="D813" s="7" t="s">
        <v>3959</v>
      </c>
      <c r="E813" s="7" t="s">
        <v>54</v>
      </c>
      <c r="F813" s="7" t="s">
        <v>34</v>
      </c>
      <c r="G813" s="7" t="s">
        <v>35</v>
      </c>
      <c r="H813" s="7"/>
      <c r="I813" s="7"/>
      <c r="J813" s="7" t="s">
        <v>36</v>
      </c>
      <c r="K813" s="7" t="s">
        <v>431</v>
      </c>
      <c r="L813" s="7" t="s">
        <v>432</v>
      </c>
      <c r="M813" s="7" t="s">
        <v>433</v>
      </c>
      <c r="N813" s="7" t="s">
        <v>54</v>
      </c>
      <c r="O813" s="7">
        <v>0</v>
      </c>
      <c r="P813" s="7"/>
      <c r="Q813" s="7"/>
      <c r="R813" s="7"/>
      <c r="S813" s="7"/>
      <c r="T813" s="7"/>
      <c r="U813" s="7"/>
      <c r="V813" s="7"/>
      <c r="W813" s="7"/>
      <c r="X813" s="7"/>
      <c r="Y813" s="7" t="s">
        <v>621</v>
      </c>
      <c r="Z813" s="7" t="s">
        <v>106</v>
      </c>
      <c r="AA813" s="7" t="s">
        <v>3960</v>
      </c>
      <c r="AB813" s="7" t="s">
        <v>44</v>
      </c>
      <c r="AC813" s="7"/>
      <c r="AD813" s="10"/>
      <c r="AE813" s="10"/>
      <c r="AF813" s="10"/>
      <c r="AG813" s="11">
        <f t="shared" si="12"/>
        <v>43280</v>
      </c>
    </row>
    <row r="814" s="8" customFormat="1" spans="1:33">
      <c r="A814" s="7" t="s">
        <v>3961</v>
      </c>
      <c r="B814" s="7" t="s">
        <v>3961</v>
      </c>
      <c r="C814" s="7" t="s">
        <v>3962</v>
      </c>
      <c r="D814" s="7" t="s">
        <v>3963</v>
      </c>
      <c r="E814" s="7" t="s">
        <v>33</v>
      </c>
      <c r="F814" s="7" t="s">
        <v>34</v>
      </c>
      <c r="G814" s="7" t="s">
        <v>35</v>
      </c>
      <c r="H814" s="7"/>
      <c r="I814" s="7"/>
      <c r="J814" s="7" t="s">
        <v>36</v>
      </c>
      <c r="K814" s="7" t="s">
        <v>123</v>
      </c>
      <c r="L814" s="7" t="s">
        <v>124</v>
      </c>
      <c r="M814" s="7" t="s">
        <v>125</v>
      </c>
      <c r="N814" s="7" t="s">
        <v>33</v>
      </c>
      <c r="O814" s="7">
        <v>1</v>
      </c>
      <c r="P814" s="7" t="s">
        <v>40</v>
      </c>
      <c r="Q814" s="7">
        <v>89.99</v>
      </c>
      <c r="R814" s="7"/>
      <c r="S814" s="7"/>
      <c r="T814" s="7"/>
      <c r="U814" s="7"/>
      <c r="V814" s="7"/>
      <c r="W814" s="7"/>
      <c r="X814" s="7"/>
      <c r="Y814" s="7" t="s">
        <v>3964</v>
      </c>
      <c r="Z814" s="7" t="s">
        <v>299</v>
      </c>
      <c r="AA814" s="7" t="s">
        <v>3965</v>
      </c>
      <c r="AB814" s="7" t="s">
        <v>44</v>
      </c>
      <c r="AC814" s="7"/>
      <c r="AD814" s="10"/>
      <c r="AE814" s="10"/>
      <c r="AF814" s="10"/>
      <c r="AG814" s="11">
        <f t="shared" si="12"/>
        <v>43280</v>
      </c>
    </row>
    <row r="815" s="8" customFormat="1" spans="1:33">
      <c r="A815" s="7" t="s">
        <v>3966</v>
      </c>
      <c r="B815" s="7" t="s">
        <v>3966</v>
      </c>
      <c r="C815" s="7" t="s">
        <v>3967</v>
      </c>
      <c r="D815" s="7" t="s">
        <v>3968</v>
      </c>
      <c r="E815" s="7" t="s">
        <v>33</v>
      </c>
      <c r="F815" s="7" t="s">
        <v>34</v>
      </c>
      <c r="G815" s="7" t="s">
        <v>35</v>
      </c>
      <c r="H815" s="7"/>
      <c r="I815" s="7"/>
      <c r="J815" s="7" t="s">
        <v>36</v>
      </c>
      <c r="K815" s="7" t="s">
        <v>2625</v>
      </c>
      <c r="L815" s="7" t="s">
        <v>2626</v>
      </c>
      <c r="M815" s="7" t="s">
        <v>2627</v>
      </c>
      <c r="N815" s="7" t="s">
        <v>33</v>
      </c>
      <c r="O815" s="7">
        <v>1</v>
      </c>
      <c r="P815" s="7" t="s">
        <v>40</v>
      </c>
      <c r="Q815" s="7">
        <v>26.99</v>
      </c>
      <c r="R815" s="7"/>
      <c r="S815" s="7"/>
      <c r="T815" s="7"/>
      <c r="U815" s="7"/>
      <c r="V815" s="7"/>
      <c r="W815" s="7"/>
      <c r="X815" s="7"/>
      <c r="Y815" s="7" t="s">
        <v>1449</v>
      </c>
      <c r="Z815" s="7" t="s">
        <v>880</v>
      </c>
      <c r="AA815" s="7" t="s">
        <v>3969</v>
      </c>
      <c r="AB815" s="7" t="s">
        <v>44</v>
      </c>
      <c r="AC815" s="7"/>
      <c r="AD815" s="10"/>
      <c r="AE815" s="10"/>
      <c r="AF815" s="10"/>
      <c r="AG815" s="11">
        <f t="shared" si="12"/>
        <v>43280</v>
      </c>
    </row>
    <row r="816" s="8" customFormat="1" spans="1:33">
      <c r="A816" s="7" t="s">
        <v>3970</v>
      </c>
      <c r="B816" s="7" t="s">
        <v>3970</v>
      </c>
      <c r="C816" s="7" t="s">
        <v>3971</v>
      </c>
      <c r="D816" s="7" t="s">
        <v>3972</v>
      </c>
      <c r="E816" s="7" t="s">
        <v>33</v>
      </c>
      <c r="F816" s="7" t="s">
        <v>34</v>
      </c>
      <c r="G816" s="7" t="s">
        <v>35</v>
      </c>
      <c r="H816" s="7"/>
      <c r="I816" s="7"/>
      <c r="J816" s="7" t="s">
        <v>69</v>
      </c>
      <c r="K816" s="7" t="s">
        <v>284</v>
      </c>
      <c r="L816" s="7" t="s">
        <v>285</v>
      </c>
      <c r="M816" s="7" t="s">
        <v>286</v>
      </c>
      <c r="N816" s="7" t="s">
        <v>33</v>
      </c>
      <c r="O816" s="7">
        <v>1</v>
      </c>
      <c r="P816" s="7" t="s">
        <v>40</v>
      </c>
      <c r="Q816" s="7">
        <v>89.99</v>
      </c>
      <c r="R816" s="7"/>
      <c r="S816" s="7">
        <v>8.43</v>
      </c>
      <c r="T816" s="7"/>
      <c r="U816" s="7"/>
      <c r="V816" s="7"/>
      <c r="W816" s="7"/>
      <c r="X816" s="7"/>
      <c r="Y816" s="7" t="s">
        <v>3973</v>
      </c>
      <c r="Z816" s="7" t="s">
        <v>83</v>
      </c>
      <c r="AA816" s="7" t="s">
        <v>3974</v>
      </c>
      <c r="AB816" s="7" t="s">
        <v>44</v>
      </c>
      <c r="AC816" s="7"/>
      <c r="AD816" s="10"/>
      <c r="AE816" s="10"/>
      <c r="AF816" s="10"/>
      <c r="AG816" s="11">
        <f t="shared" si="12"/>
        <v>43280</v>
      </c>
    </row>
    <row r="817" s="8" customFormat="1" spans="1:33">
      <c r="A817" s="7" t="s">
        <v>3975</v>
      </c>
      <c r="B817" s="7" t="s">
        <v>3975</v>
      </c>
      <c r="C817" s="7" t="s">
        <v>3976</v>
      </c>
      <c r="D817" s="7" t="s">
        <v>3977</v>
      </c>
      <c r="E817" s="7" t="s">
        <v>33</v>
      </c>
      <c r="F817" s="7" t="s">
        <v>34</v>
      </c>
      <c r="G817" s="7" t="s">
        <v>35</v>
      </c>
      <c r="H817" s="7"/>
      <c r="I817" s="7"/>
      <c r="J817" s="7" t="s">
        <v>36</v>
      </c>
      <c r="K817" s="7" t="s">
        <v>275</v>
      </c>
      <c r="L817" s="7" t="s">
        <v>276</v>
      </c>
      <c r="M817" s="7" t="s">
        <v>277</v>
      </c>
      <c r="N817" s="7" t="s">
        <v>33</v>
      </c>
      <c r="O817" s="7">
        <v>1</v>
      </c>
      <c r="P817" s="7" t="s">
        <v>40</v>
      </c>
      <c r="Q817" s="7">
        <v>89.99</v>
      </c>
      <c r="R817" s="7"/>
      <c r="S817" s="7"/>
      <c r="T817" s="7"/>
      <c r="U817" s="7"/>
      <c r="V817" s="7"/>
      <c r="W817" s="7"/>
      <c r="X817" s="7"/>
      <c r="Y817" s="7" t="s">
        <v>978</v>
      </c>
      <c r="Z817" s="7" t="s">
        <v>42</v>
      </c>
      <c r="AA817" s="7" t="s">
        <v>3978</v>
      </c>
      <c r="AB817" s="7" t="s">
        <v>44</v>
      </c>
      <c r="AC817" s="7"/>
      <c r="AD817" s="10"/>
      <c r="AE817" s="10"/>
      <c r="AF817" s="10"/>
      <c r="AG817" s="11">
        <f t="shared" si="12"/>
        <v>43280</v>
      </c>
    </row>
    <row r="818" s="8" customFormat="1" spans="1:33">
      <c r="A818" s="7" t="s">
        <v>3979</v>
      </c>
      <c r="B818" s="7" t="s">
        <v>3979</v>
      </c>
      <c r="C818" s="7" t="s">
        <v>3980</v>
      </c>
      <c r="D818" s="7" t="s">
        <v>3981</v>
      </c>
      <c r="E818" s="7" t="s">
        <v>54</v>
      </c>
      <c r="F818" s="7" t="s">
        <v>34</v>
      </c>
      <c r="G818" s="7" t="s">
        <v>35</v>
      </c>
      <c r="H818" s="7"/>
      <c r="I818" s="7"/>
      <c r="J818" s="7" t="s">
        <v>36</v>
      </c>
      <c r="K818" s="7" t="s">
        <v>986</v>
      </c>
      <c r="L818" s="7" t="s">
        <v>987</v>
      </c>
      <c r="M818" s="7" t="s">
        <v>988</v>
      </c>
      <c r="N818" s="7" t="s">
        <v>62</v>
      </c>
      <c r="O818" s="7">
        <v>1</v>
      </c>
      <c r="P818" s="7" t="s">
        <v>40</v>
      </c>
      <c r="Q818" s="7">
        <v>99.99</v>
      </c>
      <c r="R818" s="7"/>
      <c r="S818" s="7"/>
      <c r="T818" s="7"/>
      <c r="U818" s="7"/>
      <c r="V818" s="7"/>
      <c r="W818" s="7"/>
      <c r="X818" s="7"/>
      <c r="Y818" s="7" t="s">
        <v>3982</v>
      </c>
      <c r="Z818" s="7" t="s">
        <v>293</v>
      </c>
      <c r="AA818" s="7" t="s">
        <v>3983</v>
      </c>
      <c r="AB818" s="7" t="s">
        <v>44</v>
      </c>
      <c r="AC818" s="7"/>
      <c r="AD818" s="10"/>
      <c r="AE818" s="10"/>
      <c r="AF818" s="10"/>
      <c r="AG818" s="11">
        <f t="shared" si="12"/>
        <v>43280</v>
      </c>
    </row>
    <row r="819" s="8" customFormat="1" spans="1:33">
      <c r="A819" s="7" t="s">
        <v>3984</v>
      </c>
      <c r="B819" s="7" t="s">
        <v>3984</v>
      </c>
      <c r="C819" s="7" t="s">
        <v>3985</v>
      </c>
      <c r="D819" s="7" t="s">
        <v>3986</v>
      </c>
      <c r="E819" s="7" t="s">
        <v>33</v>
      </c>
      <c r="F819" s="7" t="s">
        <v>34</v>
      </c>
      <c r="G819" s="7" t="s">
        <v>35</v>
      </c>
      <c r="H819" s="7"/>
      <c r="I819" s="7"/>
      <c r="J819" s="7" t="s">
        <v>36</v>
      </c>
      <c r="K819" s="7" t="s">
        <v>3686</v>
      </c>
      <c r="L819" s="7" t="s">
        <v>3987</v>
      </c>
      <c r="M819" s="7" t="s">
        <v>3688</v>
      </c>
      <c r="N819" s="7" t="s">
        <v>33</v>
      </c>
      <c r="O819" s="7">
        <v>1</v>
      </c>
      <c r="P819" s="7" t="s">
        <v>40</v>
      </c>
      <c r="Q819" s="7">
        <v>32.99</v>
      </c>
      <c r="R819" s="7">
        <v>3.4</v>
      </c>
      <c r="S819" s="7"/>
      <c r="T819" s="7"/>
      <c r="U819" s="7"/>
      <c r="V819" s="7"/>
      <c r="W819" s="7"/>
      <c r="X819" s="7"/>
      <c r="Y819" s="7" t="s">
        <v>3988</v>
      </c>
      <c r="Z819" s="7" t="s">
        <v>97</v>
      </c>
      <c r="AA819" s="7" t="s">
        <v>3989</v>
      </c>
      <c r="AB819" s="7" t="s">
        <v>44</v>
      </c>
      <c r="AC819" s="7"/>
      <c r="AD819" s="10"/>
      <c r="AE819" s="10"/>
      <c r="AF819" s="10"/>
      <c r="AG819" s="11">
        <f t="shared" si="12"/>
        <v>43280</v>
      </c>
    </row>
    <row r="820" s="8" customFormat="1" spans="1:33">
      <c r="A820" s="7" t="s">
        <v>3990</v>
      </c>
      <c r="B820" s="7" t="s">
        <v>3990</v>
      </c>
      <c r="C820" s="7" t="s">
        <v>3991</v>
      </c>
      <c r="D820" s="7" t="s">
        <v>3992</v>
      </c>
      <c r="E820" s="7" t="s">
        <v>33</v>
      </c>
      <c r="F820" s="7" t="s">
        <v>34</v>
      </c>
      <c r="G820" s="7" t="s">
        <v>35</v>
      </c>
      <c r="H820" s="7"/>
      <c r="I820" s="7"/>
      <c r="J820" s="7" t="s">
        <v>163</v>
      </c>
      <c r="K820" s="7" t="s">
        <v>37</v>
      </c>
      <c r="L820" s="7" t="s">
        <v>38</v>
      </c>
      <c r="M820" s="7" t="s">
        <v>39</v>
      </c>
      <c r="N820" s="7" t="s">
        <v>33</v>
      </c>
      <c r="O820" s="7">
        <v>1</v>
      </c>
      <c r="P820" s="7" t="s">
        <v>40</v>
      </c>
      <c r="Q820" s="7">
        <v>89.99</v>
      </c>
      <c r="R820" s="7"/>
      <c r="S820" s="7">
        <v>5.99</v>
      </c>
      <c r="T820" s="7"/>
      <c r="U820" s="7"/>
      <c r="V820" s="7"/>
      <c r="W820" s="7"/>
      <c r="X820" s="7">
        <v>5.99</v>
      </c>
      <c r="Y820" s="7" t="s">
        <v>3993</v>
      </c>
      <c r="Z820" s="7" t="s">
        <v>484</v>
      </c>
      <c r="AA820" s="7" t="s">
        <v>3994</v>
      </c>
      <c r="AB820" s="7" t="s">
        <v>44</v>
      </c>
      <c r="AC820" s="7"/>
      <c r="AD820" s="10"/>
      <c r="AE820" s="10"/>
      <c r="AF820" s="10"/>
      <c r="AG820" s="11">
        <f t="shared" si="12"/>
        <v>43280</v>
      </c>
    </row>
    <row r="821" s="8" customFormat="1" spans="1:33">
      <c r="A821" s="7" t="s">
        <v>3995</v>
      </c>
      <c r="B821" s="7" t="s">
        <v>3995</v>
      </c>
      <c r="C821" s="7" t="s">
        <v>3996</v>
      </c>
      <c r="D821" s="7" t="s">
        <v>3997</v>
      </c>
      <c r="E821" s="7" t="s">
        <v>54</v>
      </c>
      <c r="F821" s="7" t="s">
        <v>34</v>
      </c>
      <c r="G821" s="7" t="s">
        <v>35</v>
      </c>
      <c r="H821" s="7"/>
      <c r="I821" s="7"/>
      <c r="J821" s="7" t="s">
        <v>36</v>
      </c>
      <c r="K821" s="7" t="s">
        <v>37</v>
      </c>
      <c r="L821" s="7" t="s">
        <v>38</v>
      </c>
      <c r="M821" s="7" t="s">
        <v>39</v>
      </c>
      <c r="N821" s="7" t="s">
        <v>62</v>
      </c>
      <c r="O821" s="7">
        <v>1</v>
      </c>
      <c r="P821" s="7" t="s">
        <v>40</v>
      </c>
      <c r="Q821" s="7">
        <v>89.99</v>
      </c>
      <c r="R821" s="7"/>
      <c r="S821" s="7"/>
      <c r="T821" s="7"/>
      <c r="U821" s="7"/>
      <c r="V821" s="7"/>
      <c r="W821" s="7"/>
      <c r="X821" s="7"/>
      <c r="Y821" s="7" t="s">
        <v>1073</v>
      </c>
      <c r="Z821" s="7" t="s">
        <v>64</v>
      </c>
      <c r="AA821" s="7" t="s">
        <v>3998</v>
      </c>
      <c r="AB821" s="7" t="s">
        <v>44</v>
      </c>
      <c r="AC821" s="7"/>
      <c r="AD821" s="10"/>
      <c r="AE821" s="10"/>
      <c r="AF821" s="10"/>
      <c r="AG821" s="11">
        <f t="shared" si="12"/>
        <v>43280</v>
      </c>
    </row>
    <row r="822" s="8" customFormat="1" spans="1:33">
      <c r="A822" s="7" t="s">
        <v>3995</v>
      </c>
      <c r="B822" s="7" t="s">
        <v>3995</v>
      </c>
      <c r="C822" s="7" t="s">
        <v>3996</v>
      </c>
      <c r="D822" s="7" t="s">
        <v>3997</v>
      </c>
      <c r="E822" s="7" t="s">
        <v>54</v>
      </c>
      <c r="F822" s="7" t="s">
        <v>34</v>
      </c>
      <c r="G822" s="7" t="s">
        <v>35</v>
      </c>
      <c r="H822" s="7"/>
      <c r="I822" s="7"/>
      <c r="J822" s="7" t="s">
        <v>36</v>
      </c>
      <c r="K822" s="7" t="s">
        <v>2035</v>
      </c>
      <c r="L822" s="7" t="s">
        <v>89</v>
      </c>
      <c r="M822" s="7" t="s">
        <v>90</v>
      </c>
      <c r="N822" s="7" t="s">
        <v>62</v>
      </c>
      <c r="O822" s="7">
        <v>1</v>
      </c>
      <c r="P822" s="7" t="s">
        <v>40</v>
      </c>
      <c r="Q822" s="7">
        <v>89.99</v>
      </c>
      <c r="R822" s="7"/>
      <c r="S822" s="7"/>
      <c r="T822" s="7"/>
      <c r="U822" s="7"/>
      <c r="V822" s="7"/>
      <c r="W822" s="7"/>
      <c r="X822" s="7"/>
      <c r="Y822" s="7" t="s">
        <v>1073</v>
      </c>
      <c r="Z822" s="7" t="s">
        <v>64</v>
      </c>
      <c r="AA822" s="7" t="s">
        <v>3998</v>
      </c>
      <c r="AB822" s="7" t="s">
        <v>44</v>
      </c>
      <c r="AC822" s="7"/>
      <c r="AD822" s="10"/>
      <c r="AE822" s="10"/>
      <c r="AF822" s="10"/>
      <c r="AG822" s="11">
        <f t="shared" si="12"/>
        <v>43280</v>
      </c>
    </row>
    <row r="823" s="8" customFormat="1" spans="1:33">
      <c r="A823" s="7" t="s">
        <v>3999</v>
      </c>
      <c r="B823" s="7" t="s">
        <v>3999</v>
      </c>
      <c r="C823" s="7" t="s">
        <v>4000</v>
      </c>
      <c r="D823" s="7" t="s">
        <v>4001</v>
      </c>
      <c r="E823" s="7" t="s">
        <v>54</v>
      </c>
      <c r="F823" s="7" t="s">
        <v>34</v>
      </c>
      <c r="G823" s="7" t="s">
        <v>35</v>
      </c>
      <c r="H823" s="7"/>
      <c r="I823" s="7"/>
      <c r="J823" s="7" t="s">
        <v>69</v>
      </c>
      <c r="K823" s="7" t="s">
        <v>235</v>
      </c>
      <c r="L823" s="7" t="s">
        <v>236</v>
      </c>
      <c r="M823" s="7" t="s">
        <v>237</v>
      </c>
      <c r="N823" s="7" t="s">
        <v>62</v>
      </c>
      <c r="O823" s="7">
        <v>1</v>
      </c>
      <c r="P823" s="7" t="s">
        <v>40</v>
      </c>
      <c r="Q823" s="7">
        <v>85.99</v>
      </c>
      <c r="R823" s="7"/>
      <c r="S823" s="7"/>
      <c r="T823" s="7"/>
      <c r="U823" s="7"/>
      <c r="V823" s="7"/>
      <c r="W823" s="7"/>
      <c r="X823" s="7"/>
      <c r="Y823" s="7" t="s">
        <v>1963</v>
      </c>
      <c r="Z823" s="7" t="s">
        <v>83</v>
      </c>
      <c r="AA823" s="7" t="s">
        <v>4002</v>
      </c>
      <c r="AB823" s="7" t="s">
        <v>44</v>
      </c>
      <c r="AC823" s="7"/>
      <c r="AD823" s="7"/>
      <c r="AE823" s="7"/>
      <c r="AF823" s="7"/>
      <c r="AG823" s="11">
        <f t="shared" si="12"/>
        <v>43281</v>
      </c>
    </row>
    <row r="824" s="8" customFormat="1" spans="1:33">
      <c r="A824" s="7" t="s">
        <v>4003</v>
      </c>
      <c r="B824" s="7" t="s">
        <v>4003</v>
      </c>
      <c r="C824" s="7" t="s">
        <v>4004</v>
      </c>
      <c r="D824" s="7" t="s">
        <v>4005</v>
      </c>
      <c r="E824" s="7" t="s">
        <v>54</v>
      </c>
      <c r="F824" s="7" t="s">
        <v>34</v>
      </c>
      <c r="G824" s="7" t="s">
        <v>35</v>
      </c>
      <c r="H824" s="7"/>
      <c r="I824" s="7"/>
      <c r="J824" s="7" t="s">
        <v>69</v>
      </c>
      <c r="K824" s="7" t="s">
        <v>235</v>
      </c>
      <c r="L824" s="7" t="s">
        <v>236</v>
      </c>
      <c r="M824" s="7" t="s">
        <v>237</v>
      </c>
      <c r="N824" s="7" t="s">
        <v>62</v>
      </c>
      <c r="O824" s="7">
        <v>1</v>
      </c>
      <c r="P824" s="7" t="s">
        <v>40</v>
      </c>
      <c r="Q824" s="7">
        <v>85.99</v>
      </c>
      <c r="R824" s="7"/>
      <c r="S824" s="7"/>
      <c r="T824" s="7"/>
      <c r="U824" s="7"/>
      <c r="V824" s="7"/>
      <c r="W824" s="7"/>
      <c r="X824" s="7"/>
      <c r="Y824" s="7" t="s">
        <v>1963</v>
      </c>
      <c r="Z824" s="7" t="s">
        <v>83</v>
      </c>
      <c r="AA824" s="7" t="s">
        <v>4002</v>
      </c>
      <c r="AB824" s="7" t="s">
        <v>44</v>
      </c>
      <c r="AC824" s="7"/>
      <c r="AD824" s="7"/>
      <c r="AE824" s="7"/>
      <c r="AF824" s="7"/>
      <c r="AG824" s="11">
        <f t="shared" si="12"/>
        <v>43281</v>
      </c>
    </row>
    <row r="825" s="8" customFormat="1" spans="1:33">
      <c r="A825" s="7" t="s">
        <v>4006</v>
      </c>
      <c r="B825" s="7" t="s">
        <v>4006</v>
      </c>
      <c r="C825" s="7" t="s">
        <v>4007</v>
      </c>
      <c r="D825" s="7" t="s">
        <v>4008</v>
      </c>
      <c r="E825" s="7" t="s">
        <v>54</v>
      </c>
      <c r="F825" s="7" t="s">
        <v>34</v>
      </c>
      <c r="G825" s="7" t="s">
        <v>35</v>
      </c>
      <c r="H825" s="7"/>
      <c r="I825" s="7"/>
      <c r="J825" s="7" t="s">
        <v>69</v>
      </c>
      <c r="K825" s="7" t="s">
        <v>235</v>
      </c>
      <c r="L825" s="7" t="s">
        <v>236</v>
      </c>
      <c r="M825" s="7" t="s">
        <v>237</v>
      </c>
      <c r="N825" s="7" t="s">
        <v>62</v>
      </c>
      <c r="O825" s="7">
        <v>2</v>
      </c>
      <c r="P825" s="7" t="s">
        <v>40</v>
      </c>
      <c r="Q825" s="7">
        <v>171.98</v>
      </c>
      <c r="R825" s="7"/>
      <c r="S825" s="7"/>
      <c r="T825" s="7"/>
      <c r="U825" s="7"/>
      <c r="V825" s="7"/>
      <c r="W825" s="7"/>
      <c r="X825" s="7"/>
      <c r="Y825" s="7" t="s">
        <v>1963</v>
      </c>
      <c r="Z825" s="7" t="s">
        <v>83</v>
      </c>
      <c r="AA825" s="7" t="s">
        <v>4002</v>
      </c>
      <c r="AB825" s="7" t="s">
        <v>44</v>
      </c>
      <c r="AC825" s="7"/>
      <c r="AD825" s="7"/>
      <c r="AE825" s="7"/>
      <c r="AF825" s="7"/>
      <c r="AG825" s="11">
        <f t="shared" si="12"/>
        <v>43281</v>
      </c>
    </row>
    <row r="826" s="8" customFormat="1" spans="1:33">
      <c r="A826" s="7" t="s">
        <v>4009</v>
      </c>
      <c r="B826" s="7" t="s">
        <v>4009</v>
      </c>
      <c r="C826" s="7" t="s">
        <v>4010</v>
      </c>
      <c r="D826" s="7" t="s">
        <v>4011</v>
      </c>
      <c r="E826" s="7" t="s">
        <v>54</v>
      </c>
      <c r="F826" s="7" t="s">
        <v>34</v>
      </c>
      <c r="G826" s="7" t="s">
        <v>35</v>
      </c>
      <c r="H826" s="7"/>
      <c r="I826" s="7"/>
      <c r="J826" s="7" t="s">
        <v>69</v>
      </c>
      <c r="K826" s="7" t="s">
        <v>235</v>
      </c>
      <c r="L826" s="7" t="s">
        <v>236</v>
      </c>
      <c r="M826" s="7" t="s">
        <v>237</v>
      </c>
      <c r="N826" s="7" t="s">
        <v>62</v>
      </c>
      <c r="O826" s="7">
        <v>1</v>
      </c>
      <c r="P826" s="7" t="s">
        <v>40</v>
      </c>
      <c r="Q826" s="7">
        <v>85.99</v>
      </c>
      <c r="R826" s="7"/>
      <c r="S826" s="7"/>
      <c r="T826" s="7"/>
      <c r="U826" s="7"/>
      <c r="V826" s="7"/>
      <c r="W826" s="7"/>
      <c r="X826" s="7"/>
      <c r="Y826" s="7" t="s">
        <v>1963</v>
      </c>
      <c r="Z826" s="7" t="s">
        <v>83</v>
      </c>
      <c r="AA826" s="7" t="s">
        <v>4002</v>
      </c>
      <c r="AB826" s="7" t="s">
        <v>44</v>
      </c>
      <c r="AC826" s="7"/>
      <c r="AD826" s="7"/>
      <c r="AE826" s="7"/>
      <c r="AF826" s="7"/>
      <c r="AG826" s="11">
        <f t="shared" si="12"/>
        <v>43281</v>
      </c>
    </row>
    <row r="827" s="8" customFormat="1" spans="1:33">
      <c r="A827" s="7" t="s">
        <v>4012</v>
      </c>
      <c r="B827" s="7" t="s">
        <v>4012</v>
      </c>
      <c r="C827" s="7" t="s">
        <v>4013</v>
      </c>
      <c r="D827" s="7" t="s">
        <v>4014</v>
      </c>
      <c r="E827" s="7" t="s">
        <v>33</v>
      </c>
      <c r="F827" s="7" t="s">
        <v>34</v>
      </c>
      <c r="G827" s="7" t="s">
        <v>35</v>
      </c>
      <c r="H827" s="7"/>
      <c r="I827" s="7"/>
      <c r="J827" s="7" t="s">
        <v>36</v>
      </c>
      <c r="K827" s="7" t="s">
        <v>48</v>
      </c>
      <c r="L827" s="7" t="s">
        <v>49</v>
      </c>
      <c r="M827" s="7" t="s">
        <v>50</v>
      </c>
      <c r="N827" s="7" t="s">
        <v>33</v>
      </c>
      <c r="O827" s="7">
        <v>1</v>
      </c>
      <c r="P827" s="7" t="s">
        <v>40</v>
      </c>
      <c r="Q827" s="7">
        <v>89.99</v>
      </c>
      <c r="R827" s="7"/>
      <c r="S827" s="7"/>
      <c r="T827" s="7"/>
      <c r="U827" s="7"/>
      <c r="V827" s="7"/>
      <c r="W827" s="7"/>
      <c r="X827" s="7"/>
      <c r="Y827" s="7" t="s">
        <v>4015</v>
      </c>
      <c r="Z827" s="7" t="s">
        <v>135</v>
      </c>
      <c r="AA827" s="7">
        <v>60025</v>
      </c>
      <c r="AB827" s="7" t="s">
        <v>44</v>
      </c>
      <c r="AC827" s="7"/>
      <c r="AD827" s="10"/>
      <c r="AE827" s="10"/>
      <c r="AF827" s="10"/>
      <c r="AG827" s="11">
        <f t="shared" si="12"/>
        <v>43281</v>
      </c>
    </row>
    <row r="828" s="8" customFormat="1" spans="1:33">
      <c r="A828" s="7" t="s">
        <v>4016</v>
      </c>
      <c r="B828" s="7" t="s">
        <v>4016</v>
      </c>
      <c r="C828" s="7" t="s">
        <v>4017</v>
      </c>
      <c r="D828" s="7" t="s">
        <v>4018</v>
      </c>
      <c r="E828" s="7" t="s">
        <v>33</v>
      </c>
      <c r="F828" s="7" t="s">
        <v>34</v>
      </c>
      <c r="G828" s="7" t="s">
        <v>35</v>
      </c>
      <c r="H828" s="7"/>
      <c r="I828" s="7"/>
      <c r="J828" s="7" t="s">
        <v>36</v>
      </c>
      <c r="K828" s="7" t="s">
        <v>2035</v>
      </c>
      <c r="L828" s="7" t="s">
        <v>89</v>
      </c>
      <c r="M828" s="7" t="s">
        <v>90</v>
      </c>
      <c r="N828" s="7" t="s">
        <v>33</v>
      </c>
      <c r="O828" s="7">
        <v>1</v>
      </c>
      <c r="P828" s="7" t="s">
        <v>40</v>
      </c>
      <c r="Q828" s="7">
        <v>89.99</v>
      </c>
      <c r="R828" s="7"/>
      <c r="S828" s="7"/>
      <c r="T828" s="7"/>
      <c r="U828" s="7"/>
      <c r="V828" s="7"/>
      <c r="W828" s="7"/>
      <c r="X828" s="7"/>
      <c r="Y828" s="7" t="s">
        <v>4019</v>
      </c>
      <c r="Z828" s="7" t="s">
        <v>42</v>
      </c>
      <c r="AA828" s="7" t="s">
        <v>4020</v>
      </c>
      <c r="AB828" s="7" t="s">
        <v>44</v>
      </c>
      <c r="AC828" s="7"/>
      <c r="AD828" s="10"/>
      <c r="AE828" s="10"/>
      <c r="AF828" s="10"/>
      <c r="AG828" s="11">
        <f t="shared" si="12"/>
        <v>43281</v>
      </c>
    </row>
    <row r="829" s="8" customFormat="1" spans="1:33">
      <c r="A829" s="7" t="s">
        <v>4021</v>
      </c>
      <c r="B829" s="7" t="s">
        <v>4021</v>
      </c>
      <c r="C829" s="7" t="s">
        <v>4022</v>
      </c>
      <c r="D829" s="7" t="s">
        <v>4023</v>
      </c>
      <c r="E829" s="7" t="s">
        <v>33</v>
      </c>
      <c r="F829" s="7" t="s">
        <v>34</v>
      </c>
      <c r="G829" s="7" t="s">
        <v>35</v>
      </c>
      <c r="H829" s="7"/>
      <c r="I829" s="7"/>
      <c r="J829" s="7" t="s">
        <v>36</v>
      </c>
      <c r="K829" s="7" t="s">
        <v>2035</v>
      </c>
      <c r="L829" s="7" t="s">
        <v>89</v>
      </c>
      <c r="M829" s="7" t="s">
        <v>90</v>
      </c>
      <c r="N829" s="7" t="s">
        <v>33</v>
      </c>
      <c r="O829" s="7">
        <v>1</v>
      </c>
      <c r="P829" s="7" t="s">
        <v>40</v>
      </c>
      <c r="Q829" s="7">
        <v>89.99</v>
      </c>
      <c r="R829" s="7"/>
      <c r="S829" s="7"/>
      <c r="T829" s="7"/>
      <c r="U829" s="7"/>
      <c r="V829" s="7"/>
      <c r="W829" s="7"/>
      <c r="X829" s="7"/>
      <c r="Y829" s="7" t="s">
        <v>2942</v>
      </c>
      <c r="Z829" s="7" t="s">
        <v>83</v>
      </c>
      <c r="AA829" s="7" t="s">
        <v>4024</v>
      </c>
      <c r="AB829" s="7" t="s">
        <v>44</v>
      </c>
      <c r="AC829" s="7"/>
      <c r="AD829" s="10"/>
      <c r="AE829" s="10"/>
      <c r="AF829" s="10"/>
      <c r="AG829" s="11">
        <f t="shared" si="12"/>
        <v>43281</v>
      </c>
    </row>
    <row r="830" s="8" customFormat="1" spans="1:33">
      <c r="A830" s="7" t="s">
        <v>4025</v>
      </c>
      <c r="B830" s="7" t="s">
        <v>4025</v>
      </c>
      <c r="C830" s="7" t="s">
        <v>4026</v>
      </c>
      <c r="D830" s="7" t="s">
        <v>4027</v>
      </c>
      <c r="E830" s="7" t="s">
        <v>33</v>
      </c>
      <c r="F830" s="7" t="s">
        <v>34</v>
      </c>
      <c r="G830" s="7" t="s">
        <v>35</v>
      </c>
      <c r="H830" s="7"/>
      <c r="I830" s="7"/>
      <c r="J830" s="7" t="s">
        <v>36</v>
      </c>
      <c r="K830" s="7" t="s">
        <v>2035</v>
      </c>
      <c r="L830" s="7" t="s">
        <v>89</v>
      </c>
      <c r="M830" s="7" t="s">
        <v>90</v>
      </c>
      <c r="N830" s="7" t="s">
        <v>33</v>
      </c>
      <c r="O830" s="7">
        <v>1</v>
      </c>
      <c r="P830" s="7" t="s">
        <v>40</v>
      </c>
      <c r="Q830" s="7">
        <v>89.99</v>
      </c>
      <c r="R830" s="7"/>
      <c r="S830" s="7"/>
      <c r="T830" s="7"/>
      <c r="U830" s="7"/>
      <c r="V830" s="7"/>
      <c r="W830" s="7"/>
      <c r="X830" s="7"/>
      <c r="Y830" s="7" t="s">
        <v>4028</v>
      </c>
      <c r="Z830" s="7" t="s">
        <v>52</v>
      </c>
      <c r="AA830" s="7" t="s">
        <v>4029</v>
      </c>
      <c r="AB830" s="7" t="s">
        <v>44</v>
      </c>
      <c r="AC830" s="7"/>
      <c r="AD830" s="10"/>
      <c r="AE830" s="10"/>
      <c r="AF830" s="10"/>
      <c r="AG830" s="11">
        <f t="shared" si="12"/>
        <v>43281</v>
      </c>
    </row>
    <row r="831" s="8" customFormat="1" spans="1:33">
      <c r="A831" s="7" t="s">
        <v>4030</v>
      </c>
      <c r="B831" s="7" t="s">
        <v>4030</v>
      </c>
      <c r="C831" s="7" t="s">
        <v>4031</v>
      </c>
      <c r="D831" s="7" t="s">
        <v>4032</v>
      </c>
      <c r="E831" s="7" t="s">
        <v>33</v>
      </c>
      <c r="F831" s="7" t="s">
        <v>34</v>
      </c>
      <c r="G831" s="7" t="s">
        <v>35</v>
      </c>
      <c r="H831" s="7"/>
      <c r="I831" s="7"/>
      <c r="J831" s="7" t="s">
        <v>36</v>
      </c>
      <c r="K831" s="7" t="s">
        <v>431</v>
      </c>
      <c r="L831" s="7" t="s">
        <v>432</v>
      </c>
      <c r="M831" s="7" t="s">
        <v>433</v>
      </c>
      <c r="N831" s="7" t="s">
        <v>33</v>
      </c>
      <c r="O831" s="7">
        <v>1</v>
      </c>
      <c r="P831" s="7" t="s">
        <v>40</v>
      </c>
      <c r="Q831" s="7">
        <v>89.99</v>
      </c>
      <c r="R831" s="7"/>
      <c r="S831" s="7"/>
      <c r="T831" s="7"/>
      <c r="U831" s="7"/>
      <c r="V831" s="7"/>
      <c r="W831" s="7"/>
      <c r="X831" s="7"/>
      <c r="Y831" s="7" t="s">
        <v>4033</v>
      </c>
      <c r="Z831" s="7" t="s">
        <v>271</v>
      </c>
      <c r="AA831" s="7">
        <v>33024</v>
      </c>
      <c r="AB831" s="7" t="s">
        <v>44</v>
      </c>
      <c r="AC831" s="7"/>
      <c r="AD831" s="10"/>
      <c r="AE831" s="10"/>
      <c r="AF831" s="10"/>
      <c r="AG831" s="11">
        <f t="shared" si="12"/>
        <v>43281</v>
      </c>
    </row>
    <row r="832" s="8" customFormat="1" spans="1:33">
      <c r="A832" s="7" t="s">
        <v>4034</v>
      </c>
      <c r="B832" s="7" t="s">
        <v>4034</v>
      </c>
      <c r="C832" s="7" t="s">
        <v>4035</v>
      </c>
      <c r="D832" s="7" t="s">
        <v>4036</v>
      </c>
      <c r="E832" s="7" t="s">
        <v>33</v>
      </c>
      <c r="F832" s="7" t="s">
        <v>34</v>
      </c>
      <c r="G832" s="7" t="s">
        <v>35</v>
      </c>
      <c r="H832" s="7"/>
      <c r="I832" s="7"/>
      <c r="J832" s="7" t="s">
        <v>36</v>
      </c>
      <c r="K832" s="7" t="s">
        <v>164</v>
      </c>
      <c r="L832" s="7" t="s">
        <v>165</v>
      </c>
      <c r="M832" s="7" t="s">
        <v>166</v>
      </c>
      <c r="N832" s="7" t="s">
        <v>33</v>
      </c>
      <c r="O832" s="7">
        <v>1</v>
      </c>
      <c r="P832" s="7" t="s">
        <v>40</v>
      </c>
      <c r="Q832" s="7">
        <v>21.99</v>
      </c>
      <c r="R832" s="7"/>
      <c r="S832" s="7"/>
      <c r="T832" s="7"/>
      <c r="U832" s="7"/>
      <c r="V832" s="7"/>
      <c r="W832" s="7">
        <v>21.77</v>
      </c>
      <c r="X832" s="7"/>
      <c r="Y832" s="7" t="s">
        <v>3813</v>
      </c>
      <c r="Z832" s="7" t="s">
        <v>293</v>
      </c>
      <c r="AA832" s="7" t="s">
        <v>3814</v>
      </c>
      <c r="AB832" s="7" t="s">
        <v>44</v>
      </c>
      <c r="AC832" s="7" t="s">
        <v>209</v>
      </c>
      <c r="AD832" s="10"/>
      <c r="AE832" s="10"/>
      <c r="AF832" s="10"/>
      <c r="AG832" s="11">
        <f t="shared" si="12"/>
        <v>43281</v>
      </c>
    </row>
    <row r="833" s="8" customFormat="1" spans="1:33">
      <c r="A833" s="7" t="s">
        <v>4037</v>
      </c>
      <c r="B833" s="7" t="s">
        <v>4037</v>
      </c>
      <c r="C833" s="7" t="s">
        <v>4038</v>
      </c>
      <c r="D833" s="7" t="s">
        <v>4039</v>
      </c>
      <c r="E833" s="7" t="s">
        <v>33</v>
      </c>
      <c r="F833" s="7" t="s">
        <v>34</v>
      </c>
      <c r="G833" s="7" t="s">
        <v>35</v>
      </c>
      <c r="H833" s="7"/>
      <c r="I833" s="7"/>
      <c r="J833" s="7" t="s">
        <v>36</v>
      </c>
      <c r="K833" s="7" t="s">
        <v>698</v>
      </c>
      <c r="L833" s="7" t="s">
        <v>699</v>
      </c>
      <c r="M833" s="7" t="s">
        <v>700</v>
      </c>
      <c r="N833" s="7" t="s">
        <v>33</v>
      </c>
      <c r="O833" s="7">
        <v>1</v>
      </c>
      <c r="P833" s="7" t="s">
        <v>40</v>
      </c>
      <c r="Q833" s="7">
        <v>21.99</v>
      </c>
      <c r="R833" s="7"/>
      <c r="S833" s="7"/>
      <c r="T833" s="7"/>
      <c r="U833" s="7"/>
      <c r="V833" s="7"/>
      <c r="W833" s="7"/>
      <c r="X833" s="7"/>
      <c r="Y833" s="7" t="s">
        <v>4040</v>
      </c>
      <c r="Z833" s="7" t="s">
        <v>52</v>
      </c>
      <c r="AA833" s="7" t="s">
        <v>4041</v>
      </c>
      <c r="AB833" s="7" t="s">
        <v>44</v>
      </c>
      <c r="AC833" s="7"/>
      <c r="AD833" s="10"/>
      <c r="AE833" s="10"/>
      <c r="AF833" s="10"/>
      <c r="AG833" s="11">
        <f t="shared" si="12"/>
        <v>43281</v>
      </c>
    </row>
    <row r="834" s="8" customFormat="1" spans="1:33">
      <c r="A834" s="7" t="s">
        <v>4042</v>
      </c>
      <c r="B834" s="7" t="s">
        <v>4042</v>
      </c>
      <c r="C834" s="7" t="s">
        <v>4043</v>
      </c>
      <c r="D834" s="7" t="s">
        <v>4044</v>
      </c>
      <c r="E834" s="7" t="s">
        <v>33</v>
      </c>
      <c r="F834" s="7" t="s">
        <v>34</v>
      </c>
      <c r="G834" s="7" t="s">
        <v>35</v>
      </c>
      <c r="H834" s="7"/>
      <c r="I834" s="7"/>
      <c r="J834" s="7" t="s">
        <v>36</v>
      </c>
      <c r="K834" s="7" t="s">
        <v>3398</v>
      </c>
      <c r="L834" s="7" t="s">
        <v>3399</v>
      </c>
      <c r="M834" s="7" t="s">
        <v>3400</v>
      </c>
      <c r="N834" s="7" t="s">
        <v>33</v>
      </c>
      <c r="O834" s="7">
        <v>1</v>
      </c>
      <c r="P834" s="7" t="s">
        <v>40</v>
      </c>
      <c r="Q834" s="7">
        <v>79.99</v>
      </c>
      <c r="R834" s="7"/>
      <c r="S834" s="7"/>
      <c r="T834" s="7"/>
      <c r="U834" s="7"/>
      <c r="V834" s="7"/>
      <c r="W834" s="7"/>
      <c r="X834" s="7"/>
      <c r="Y834" s="7" t="s">
        <v>4045</v>
      </c>
      <c r="Z834" s="7" t="s">
        <v>452</v>
      </c>
      <c r="AA834" s="7" t="s">
        <v>4046</v>
      </c>
      <c r="AB834" s="7" t="s">
        <v>44</v>
      </c>
      <c r="AC834" s="7"/>
      <c r="AD834" s="10"/>
      <c r="AE834" s="10"/>
      <c r="AF834" s="10"/>
      <c r="AG834" s="11">
        <f t="shared" ref="AG834:AG897" si="13">DATEVALUE(LEFT(C834,10))</f>
        <v>43281</v>
      </c>
    </row>
    <row r="835" s="8" customFormat="1" spans="1:33">
      <c r="A835" s="7" t="s">
        <v>4047</v>
      </c>
      <c r="B835" s="7" t="s">
        <v>4047</v>
      </c>
      <c r="C835" s="7" t="s">
        <v>4048</v>
      </c>
      <c r="D835" s="7" t="s">
        <v>4049</v>
      </c>
      <c r="E835" s="7" t="s">
        <v>54</v>
      </c>
      <c r="F835" s="7" t="s">
        <v>34</v>
      </c>
      <c r="G835" s="7" t="s">
        <v>35</v>
      </c>
      <c r="H835" s="7"/>
      <c r="I835" s="7"/>
      <c r="J835" s="7" t="s">
        <v>36</v>
      </c>
      <c r="K835" s="7" t="s">
        <v>1766</v>
      </c>
      <c r="L835" s="7" t="s">
        <v>2382</v>
      </c>
      <c r="M835" s="7" t="s">
        <v>1768</v>
      </c>
      <c r="N835" s="7" t="s">
        <v>62</v>
      </c>
      <c r="O835" s="7">
        <v>1</v>
      </c>
      <c r="P835" s="7" t="s">
        <v>40</v>
      </c>
      <c r="Q835" s="7">
        <v>21.99</v>
      </c>
      <c r="R835" s="7"/>
      <c r="S835" s="7"/>
      <c r="T835" s="7"/>
      <c r="U835" s="7"/>
      <c r="V835" s="7"/>
      <c r="W835" s="7"/>
      <c r="X835" s="7"/>
      <c r="Y835" s="7" t="s">
        <v>4050</v>
      </c>
      <c r="Z835" s="7" t="s">
        <v>52</v>
      </c>
      <c r="AA835" s="7" t="s">
        <v>4051</v>
      </c>
      <c r="AB835" s="7" t="s">
        <v>44</v>
      </c>
      <c r="AC835" s="7"/>
      <c r="AD835" s="10"/>
      <c r="AE835" s="10"/>
      <c r="AF835" s="10"/>
      <c r="AG835" s="11">
        <f t="shared" si="13"/>
        <v>43281</v>
      </c>
    </row>
    <row r="836" s="8" customFormat="1" spans="1:33">
      <c r="A836" s="7" t="s">
        <v>4052</v>
      </c>
      <c r="B836" s="7" t="s">
        <v>4052</v>
      </c>
      <c r="C836" s="7" t="s">
        <v>4053</v>
      </c>
      <c r="D836" s="7" t="s">
        <v>4054</v>
      </c>
      <c r="E836" s="7" t="s">
        <v>33</v>
      </c>
      <c r="F836" s="7" t="s">
        <v>34</v>
      </c>
      <c r="G836" s="7" t="s">
        <v>35</v>
      </c>
      <c r="H836" s="7"/>
      <c r="I836" s="7"/>
      <c r="J836" s="7" t="s">
        <v>69</v>
      </c>
      <c r="K836" s="7" t="s">
        <v>148</v>
      </c>
      <c r="L836" s="7" t="s">
        <v>149</v>
      </c>
      <c r="M836" s="7" t="s">
        <v>150</v>
      </c>
      <c r="N836" s="7" t="s">
        <v>33</v>
      </c>
      <c r="O836" s="7">
        <v>1</v>
      </c>
      <c r="P836" s="7" t="s">
        <v>40</v>
      </c>
      <c r="Q836" s="7">
        <v>98.99</v>
      </c>
      <c r="R836" s="7"/>
      <c r="S836" s="7"/>
      <c r="T836" s="7"/>
      <c r="U836" s="7"/>
      <c r="V836" s="7"/>
      <c r="W836" s="7"/>
      <c r="X836" s="7"/>
      <c r="Y836" s="7" t="s">
        <v>2881</v>
      </c>
      <c r="Z836" s="7" t="s">
        <v>42</v>
      </c>
      <c r="AA836" s="7" t="s">
        <v>4055</v>
      </c>
      <c r="AB836" s="7" t="s">
        <v>44</v>
      </c>
      <c r="AC836" s="7"/>
      <c r="AD836" s="10"/>
      <c r="AE836" s="10"/>
      <c r="AF836" s="10"/>
      <c r="AG836" s="11">
        <f t="shared" si="13"/>
        <v>43281</v>
      </c>
    </row>
    <row r="837" s="8" customFormat="1" spans="1:33">
      <c r="A837" s="7" t="s">
        <v>4056</v>
      </c>
      <c r="B837" s="7" t="s">
        <v>4056</v>
      </c>
      <c r="C837" s="7" t="s">
        <v>4057</v>
      </c>
      <c r="D837" s="7" t="s">
        <v>4058</v>
      </c>
      <c r="E837" s="7" t="s">
        <v>33</v>
      </c>
      <c r="F837" s="7" t="s">
        <v>34</v>
      </c>
      <c r="G837" s="7" t="s">
        <v>35</v>
      </c>
      <c r="H837" s="7"/>
      <c r="I837" s="7"/>
      <c r="J837" s="7" t="s">
        <v>36</v>
      </c>
      <c r="K837" s="7" t="s">
        <v>102</v>
      </c>
      <c r="L837" s="7" t="s">
        <v>103</v>
      </c>
      <c r="M837" s="7" t="s">
        <v>104</v>
      </c>
      <c r="N837" s="7" t="s">
        <v>33</v>
      </c>
      <c r="O837" s="7">
        <v>1</v>
      </c>
      <c r="P837" s="7" t="s">
        <v>40</v>
      </c>
      <c r="Q837" s="7">
        <v>89.99</v>
      </c>
      <c r="R837" s="7"/>
      <c r="S837" s="7"/>
      <c r="T837" s="7"/>
      <c r="U837" s="7"/>
      <c r="V837" s="7"/>
      <c r="W837" s="7"/>
      <c r="X837" s="7"/>
      <c r="Y837" s="7" t="s">
        <v>4059</v>
      </c>
      <c r="Z837" s="7" t="s">
        <v>4060</v>
      </c>
      <c r="AA837" s="7">
        <v>48138</v>
      </c>
      <c r="AB837" s="7" t="s">
        <v>44</v>
      </c>
      <c r="AC837" s="7"/>
      <c r="AD837" s="10"/>
      <c r="AE837" s="10"/>
      <c r="AF837" s="10"/>
      <c r="AG837" s="11">
        <f t="shared" si="13"/>
        <v>43281</v>
      </c>
    </row>
    <row r="838" s="8" customFormat="1" spans="1:33">
      <c r="A838" s="7" t="s">
        <v>4061</v>
      </c>
      <c r="B838" s="7" t="s">
        <v>4061</v>
      </c>
      <c r="C838" s="7" t="s">
        <v>4062</v>
      </c>
      <c r="D838" s="7" t="s">
        <v>4063</v>
      </c>
      <c r="E838" s="7" t="s">
        <v>33</v>
      </c>
      <c r="F838" s="7" t="s">
        <v>34</v>
      </c>
      <c r="G838" s="7" t="s">
        <v>35</v>
      </c>
      <c r="H838" s="7"/>
      <c r="I838" s="7"/>
      <c r="J838" s="7" t="s">
        <v>36</v>
      </c>
      <c r="K838" s="7" t="s">
        <v>431</v>
      </c>
      <c r="L838" s="7" t="s">
        <v>432</v>
      </c>
      <c r="M838" s="7" t="s">
        <v>433</v>
      </c>
      <c r="N838" s="7" t="s">
        <v>33</v>
      </c>
      <c r="O838" s="7">
        <v>1</v>
      </c>
      <c r="P838" s="7" t="s">
        <v>40</v>
      </c>
      <c r="Q838" s="7">
        <v>89.99</v>
      </c>
      <c r="R838" s="7"/>
      <c r="S838" s="7"/>
      <c r="T838" s="7"/>
      <c r="U838" s="7"/>
      <c r="V838" s="7"/>
      <c r="W838" s="7"/>
      <c r="X838" s="7"/>
      <c r="Y838" s="7" t="s">
        <v>4064</v>
      </c>
      <c r="Z838" s="7" t="s">
        <v>83</v>
      </c>
      <c r="AA838" s="7" t="s">
        <v>4065</v>
      </c>
      <c r="AB838" s="7" t="s">
        <v>44</v>
      </c>
      <c r="AC838" s="7"/>
      <c r="AD838" s="10"/>
      <c r="AE838" s="10"/>
      <c r="AF838" s="10"/>
      <c r="AG838" s="11">
        <f t="shared" si="13"/>
        <v>43281</v>
      </c>
    </row>
    <row r="839" s="8" customFormat="1" spans="1:33">
      <c r="A839" s="7" t="s">
        <v>4066</v>
      </c>
      <c r="B839" s="7" t="s">
        <v>4066</v>
      </c>
      <c r="C839" s="7" t="s">
        <v>4067</v>
      </c>
      <c r="D839" s="7" t="s">
        <v>4068</v>
      </c>
      <c r="E839" s="7" t="s">
        <v>54</v>
      </c>
      <c r="F839" s="7" t="s">
        <v>34</v>
      </c>
      <c r="G839" s="7" t="s">
        <v>35</v>
      </c>
      <c r="H839" s="7"/>
      <c r="I839" s="7"/>
      <c r="J839" s="7" t="s">
        <v>36</v>
      </c>
      <c r="K839" s="7" t="s">
        <v>1807</v>
      </c>
      <c r="L839" s="7" t="s">
        <v>1808</v>
      </c>
      <c r="M839" s="7" t="s">
        <v>1809</v>
      </c>
      <c r="N839" s="7" t="s">
        <v>54</v>
      </c>
      <c r="O839" s="7">
        <v>0</v>
      </c>
      <c r="P839" s="7"/>
      <c r="Q839" s="7"/>
      <c r="R839" s="7"/>
      <c r="S839" s="7"/>
      <c r="T839" s="7"/>
      <c r="U839" s="7"/>
      <c r="V839" s="7"/>
      <c r="W839" s="7"/>
      <c r="X839" s="7"/>
      <c r="Y839" s="7" t="s">
        <v>4069</v>
      </c>
      <c r="Z839" s="7" t="s">
        <v>440</v>
      </c>
      <c r="AA839" s="7" t="s">
        <v>4070</v>
      </c>
      <c r="AB839" s="7" t="s">
        <v>44</v>
      </c>
      <c r="AC839" s="7"/>
      <c r="AD839" s="10"/>
      <c r="AE839" s="10"/>
      <c r="AF839" s="10"/>
      <c r="AG839" s="11">
        <f t="shared" si="13"/>
        <v>43281</v>
      </c>
    </row>
    <row r="840" s="8" customFormat="1" spans="1:33">
      <c r="A840" s="7" t="s">
        <v>4071</v>
      </c>
      <c r="B840" s="7" t="s">
        <v>4071</v>
      </c>
      <c r="C840" s="7" t="s">
        <v>4072</v>
      </c>
      <c r="D840" s="7" t="s">
        <v>4073</v>
      </c>
      <c r="E840" s="7" t="s">
        <v>33</v>
      </c>
      <c r="F840" s="7" t="s">
        <v>34</v>
      </c>
      <c r="G840" s="7" t="s">
        <v>35</v>
      </c>
      <c r="H840" s="7"/>
      <c r="I840" s="7"/>
      <c r="J840" s="7" t="s">
        <v>69</v>
      </c>
      <c r="K840" s="7" t="s">
        <v>131</v>
      </c>
      <c r="L840" s="7" t="s">
        <v>132</v>
      </c>
      <c r="M840" s="7" t="s">
        <v>133</v>
      </c>
      <c r="N840" s="7" t="s">
        <v>33</v>
      </c>
      <c r="O840" s="7">
        <v>1</v>
      </c>
      <c r="P840" s="7" t="s">
        <v>40</v>
      </c>
      <c r="Q840" s="7">
        <v>89.99</v>
      </c>
      <c r="R840" s="7"/>
      <c r="S840" s="7">
        <v>7.28</v>
      </c>
      <c r="T840" s="7"/>
      <c r="U840" s="7"/>
      <c r="V840" s="7"/>
      <c r="W840" s="7"/>
      <c r="X840" s="7">
        <v>7.28</v>
      </c>
      <c r="Y840" s="7" t="s">
        <v>4074</v>
      </c>
      <c r="Z840" s="7" t="s">
        <v>550</v>
      </c>
      <c r="AA840" s="7">
        <v>93610</v>
      </c>
      <c r="AB840" s="7" t="s">
        <v>44</v>
      </c>
      <c r="AC840" s="7" t="s">
        <v>75</v>
      </c>
      <c r="AD840" s="10"/>
      <c r="AE840" s="10"/>
      <c r="AF840" s="10"/>
      <c r="AG840" s="11">
        <f t="shared" si="13"/>
        <v>43281</v>
      </c>
    </row>
    <row r="841" s="8" customFormat="1" spans="1:33">
      <c r="A841" s="7" t="s">
        <v>4075</v>
      </c>
      <c r="B841" s="7" t="s">
        <v>4075</v>
      </c>
      <c r="C841" s="7" t="s">
        <v>4076</v>
      </c>
      <c r="D841" s="7" t="s">
        <v>4077</v>
      </c>
      <c r="E841" s="7" t="s">
        <v>33</v>
      </c>
      <c r="F841" s="7" t="s">
        <v>34</v>
      </c>
      <c r="G841" s="7" t="s">
        <v>35</v>
      </c>
      <c r="H841" s="7"/>
      <c r="I841" s="7"/>
      <c r="J841" s="7" t="s">
        <v>36</v>
      </c>
      <c r="K841" s="7" t="s">
        <v>123</v>
      </c>
      <c r="L841" s="7" t="s">
        <v>124</v>
      </c>
      <c r="M841" s="7" t="s">
        <v>125</v>
      </c>
      <c r="N841" s="7" t="s">
        <v>33</v>
      </c>
      <c r="O841" s="7">
        <v>1</v>
      </c>
      <c r="P841" s="7" t="s">
        <v>40</v>
      </c>
      <c r="Q841" s="7">
        <v>89.99</v>
      </c>
      <c r="R841" s="7"/>
      <c r="S841" s="7">
        <v>5.42</v>
      </c>
      <c r="T841" s="7"/>
      <c r="U841" s="7"/>
      <c r="V841" s="7"/>
      <c r="W841" s="7"/>
      <c r="X841" s="7"/>
      <c r="Y841" s="7" t="s">
        <v>978</v>
      </c>
      <c r="Z841" s="7" t="s">
        <v>42</v>
      </c>
      <c r="AA841" s="7" t="s">
        <v>4078</v>
      </c>
      <c r="AB841" s="7" t="s">
        <v>44</v>
      </c>
      <c r="AC841" s="7"/>
      <c r="AD841" s="10"/>
      <c r="AE841" s="10"/>
      <c r="AF841" s="10"/>
      <c r="AG841" s="11">
        <f t="shared" si="13"/>
        <v>43281</v>
      </c>
    </row>
    <row r="842" s="8" customFormat="1" spans="1:33">
      <c r="A842" s="7" t="s">
        <v>4079</v>
      </c>
      <c r="B842" s="7" t="s">
        <v>4079</v>
      </c>
      <c r="C842" s="7" t="s">
        <v>4080</v>
      </c>
      <c r="D842" s="7" t="s">
        <v>4081</v>
      </c>
      <c r="E842" s="7" t="s">
        <v>33</v>
      </c>
      <c r="F842" s="7" t="s">
        <v>34</v>
      </c>
      <c r="G842" s="7" t="s">
        <v>35</v>
      </c>
      <c r="H842" s="7"/>
      <c r="I842" s="7"/>
      <c r="J842" s="7" t="s">
        <v>36</v>
      </c>
      <c r="K842" s="7" t="s">
        <v>79</v>
      </c>
      <c r="L842" s="7" t="s">
        <v>80</v>
      </c>
      <c r="M842" s="7" t="s">
        <v>81</v>
      </c>
      <c r="N842" s="7" t="s">
        <v>33</v>
      </c>
      <c r="O842" s="7">
        <v>1</v>
      </c>
      <c r="P842" s="7" t="s">
        <v>40</v>
      </c>
      <c r="Q842" s="7">
        <v>91.99</v>
      </c>
      <c r="R842" s="7"/>
      <c r="S842" s="7"/>
      <c r="T842" s="7"/>
      <c r="U842" s="7"/>
      <c r="V842" s="7"/>
      <c r="W842" s="7"/>
      <c r="X842" s="7"/>
      <c r="Y842" s="7" t="s">
        <v>4082</v>
      </c>
      <c r="Z842" s="7" t="s">
        <v>64</v>
      </c>
      <c r="AA842" s="7" t="s">
        <v>4083</v>
      </c>
      <c r="AB842" s="7" t="s">
        <v>44</v>
      </c>
      <c r="AC842" s="7"/>
      <c r="AD842" s="10"/>
      <c r="AE842" s="10"/>
      <c r="AF842" s="10"/>
      <c r="AG842" s="11">
        <f t="shared" si="13"/>
        <v>43281</v>
      </c>
    </row>
    <row r="843" s="8" customFormat="1" spans="1:33">
      <c r="A843" s="7" t="s">
        <v>4084</v>
      </c>
      <c r="B843" s="7" t="s">
        <v>4084</v>
      </c>
      <c r="C843" s="7" t="s">
        <v>4085</v>
      </c>
      <c r="D843" s="7" t="s">
        <v>4086</v>
      </c>
      <c r="E843" s="7" t="s">
        <v>33</v>
      </c>
      <c r="F843" s="7" t="s">
        <v>34</v>
      </c>
      <c r="G843" s="7" t="s">
        <v>35</v>
      </c>
      <c r="H843" s="7"/>
      <c r="I843" s="7"/>
      <c r="J843" s="7" t="s">
        <v>36</v>
      </c>
      <c r="K843" s="7" t="s">
        <v>418</v>
      </c>
      <c r="L843" s="7" t="s">
        <v>419</v>
      </c>
      <c r="M843" s="7" t="s">
        <v>420</v>
      </c>
      <c r="N843" s="7" t="s">
        <v>33</v>
      </c>
      <c r="O843" s="7">
        <v>1</v>
      </c>
      <c r="P843" s="7" t="s">
        <v>40</v>
      </c>
      <c r="Q843" s="7">
        <v>89.99</v>
      </c>
      <c r="R843" s="7"/>
      <c r="S843" s="7"/>
      <c r="T843" s="7"/>
      <c r="U843" s="7"/>
      <c r="V843" s="7"/>
      <c r="W843" s="7"/>
      <c r="X843" s="7"/>
      <c r="Y843" s="7" t="s">
        <v>4087</v>
      </c>
      <c r="Z843" s="7" t="s">
        <v>293</v>
      </c>
      <c r="AA843" s="7" t="s">
        <v>4088</v>
      </c>
      <c r="AB843" s="7" t="s">
        <v>44</v>
      </c>
      <c r="AC843" s="7"/>
      <c r="AD843" s="10"/>
      <c r="AE843" s="10"/>
      <c r="AF843" s="10"/>
      <c r="AG843" s="11">
        <f t="shared" si="13"/>
        <v>43281</v>
      </c>
    </row>
    <row r="844" s="8" customFormat="1" spans="1:33">
      <c r="A844" s="7" t="s">
        <v>4089</v>
      </c>
      <c r="B844" s="7" t="s">
        <v>4089</v>
      </c>
      <c r="C844" s="7" t="s">
        <v>4090</v>
      </c>
      <c r="D844" s="7" t="s">
        <v>4091</v>
      </c>
      <c r="E844" s="7" t="s">
        <v>33</v>
      </c>
      <c r="F844" s="7" t="s">
        <v>34</v>
      </c>
      <c r="G844" s="7" t="s">
        <v>35</v>
      </c>
      <c r="H844" s="7"/>
      <c r="I844" s="7"/>
      <c r="J844" s="7" t="s">
        <v>69</v>
      </c>
      <c r="K844" s="7" t="s">
        <v>164</v>
      </c>
      <c r="L844" s="7" t="s">
        <v>165</v>
      </c>
      <c r="M844" s="7" t="s">
        <v>166</v>
      </c>
      <c r="N844" s="7" t="s">
        <v>33</v>
      </c>
      <c r="O844" s="7">
        <v>1</v>
      </c>
      <c r="P844" s="7" t="s">
        <v>40</v>
      </c>
      <c r="Q844" s="7">
        <v>21.99</v>
      </c>
      <c r="R844" s="7"/>
      <c r="S844" s="7">
        <v>5.99</v>
      </c>
      <c r="T844" s="7"/>
      <c r="U844" s="7"/>
      <c r="V844" s="7"/>
      <c r="W844" s="7">
        <v>21.77</v>
      </c>
      <c r="X844" s="7"/>
      <c r="Y844" s="7" t="s">
        <v>557</v>
      </c>
      <c r="Z844" s="7" t="s">
        <v>174</v>
      </c>
      <c r="AA844" s="7" t="s">
        <v>558</v>
      </c>
      <c r="AB844" s="7" t="s">
        <v>44</v>
      </c>
      <c r="AC844" s="7" t="s">
        <v>209</v>
      </c>
      <c r="AD844" s="10"/>
      <c r="AE844" s="10"/>
      <c r="AF844" s="10"/>
      <c r="AG844" s="11">
        <f t="shared" si="13"/>
        <v>43281</v>
      </c>
    </row>
    <row r="845" s="8" customFormat="1" spans="1:33">
      <c r="A845" s="7" t="s">
        <v>4092</v>
      </c>
      <c r="B845" s="7" t="s">
        <v>4092</v>
      </c>
      <c r="C845" s="7" t="s">
        <v>4093</v>
      </c>
      <c r="D845" s="7" t="s">
        <v>4094</v>
      </c>
      <c r="E845" s="7" t="s">
        <v>33</v>
      </c>
      <c r="F845" s="7" t="s">
        <v>34</v>
      </c>
      <c r="G845" s="7" t="s">
        <v>35</v>
      </c>
      <c r="H845" s="7"/>
      <c r="I845" s="7"/>
      <c r="J845" s="7" t="s">
        <v>36</v>
      </c>
      <c r="K845" s="7" t="s">
        <v>1215</v>
      </c>
      <c r="L845" s="7" t="s">
        <v>1216</v>
      </c>
      <c r="M845" s="7" t="s">
        <v>1217</v>
      </c>
      <c r="N845" s="7" t="s">
        <v>33</v>
      </c>
      <c r="O845" s="7">
        <v>1</v>
      </c>
      <c r="P845" s="7" t="s">
        <v>40</v>
      </c>
      <c r="Q845" s="7">
        <v>99.99</v>
      </c>
      <c r="R845" s="7">
        <v>6</v>
      </c>
      <c r="S845" s="7"/>
      <c r="T845" s="7"/>
      <c r="U845" s="7"/>
      <c r="V845" s="7"/>
      <c r="W845" s="7"/>
      <c r="X845" s="7"/>
      <c r="Y845" s="7" t="s">
        <v>4095</v>
      </c>
      <c r="Z845" s="7" t="s">
        <v>880</v>
      </c>
      <c r="AA845" s="7" t="s">
        <v>4096</v>
      </c>
      <c r="AB845" s="7" t="s">
        <v>44</v>
      </c>
      <c r="AC845" s="7"/>
      <c r="AD845" s="10"/>
      <c r="AE845" s="10"/>
      <c r="AF845" s="10"/>
      <c r="AG845" s="11">
        <f t="shared" si="13"/>
        <v>43281</v>
      </c>
    </row>
    <row r="846" s="8" customFormat="1" spans="1:33">
      <c r="A846" s="7" t="s">
        <v>4097</v>
      </c>
      <c r="B846" s="7" t="s">
        <v>4097</v>
      </c>
      <c r="C846" s="7" t="s">
        <v>4098</v>
      </c>
      <c r="D846" s="7" t="s">
        <v>4099</v>
      </c>
      <c r="E846" s="7" t="s">
        <v>33</v>
      </c>
      <c r="F846" s="7" t="s">
        <v>34</v>
      </c>
      <c r="G846" s="7" t="s">
        <v>35</v>
      </c>
      <c r="H846" s="7"/>
      <c r="I846" s="7"/>
      <c r="J846" s="7" t="s">
        <v>163</v>
      </c>
      <c r="K846" s="7" t="s">
        <v>213</v>
      </c>
      <c r="L846" s="7" t="s">
        <v>214</v>
      </c>
      <c r="M846" s="7" t="s">
        <v>215</v>
      </c>
      <c r="N846" s="7" t="s">
        <v>33</v>
      </c>
      <c r="O846" s="7">
        <v>1</v>
      </c>
      <c r="P846" s="7" t="s">
        <v>40</v>
      </c>
      <c r="Q846" s="7">
        <v>21.99</v>
      </c>
      <c r="R846" s="7"/>
      <c r="S846" s="7">
        <v>5.99</v>
      </c>
      <c r="T846" s="7"/>
      <c r="U846" s="7"/>
      <c r="V846" s="7"/>
      <c r="W846" s="7"/>
      <c r="X846" s="7">
        <v>5.99</v>
      </c>
      <c r="Y846" s="7" t="s">
        <v>4100</v>
      </c>
      <c r="Z846" s="7" t="s">
        <v>83</v>
      </c>
      <c r="AA846" s="7">
        <v>92886</v>
      </c>
      <c r="AB846" s="7" t="s">
        <v>44</v>
      </c>
      <c r="AC846" s="7"/>
      <c r="AD846" s="7"/>
      <c r="AE846" s="7"/>
      <c r="AF846" s="7"/>
      <c r="AG846" s="11">
        <f t="shared" si="13"/>
        <v>43281</v>
      </c>
    </row>
    <row r="847" s="8" customFormat="1" spans="1:33">
      <c r="A847" s="7" t="s">
        <v>4101</v>
      </c>
      <c r="B847" s="7" t="s">
        <v>4101</v>
      </c>
      <c r="C847" s="7" t="s">
        <v>4102</v>
      </c>
      <c r="D847" s="7" t="s">
        <v>4103</v>
      </c>
      <c r="E847" s="7" t="s">
        <v>54</v>
      </c>
      <c r="F847" s="7" t="s">
        <v>34</v>
      </c>
      <c r="G847" s="7" t="s">
        <v>35</v>
      </c>
      <c r="H847" s="7"/>
      <c r="I847" s="7"/>
      <c r="J847" s="7" t="s">
        <v>58</v>
      </c>
      <c r="K847" s="7" t="s">
        <v>566</v>
      </c>
      <c r="L847" s="7" t="s">
        <v>567</v>
      </c>
      <c r="M847" s="7" t="s">
        <v>568</v>
      </c>
      <c r="N847" s="7" t="s">
        <v>54</v>
      </c>
      <c r="O847" s="7">
        <v>0</v>
      </c>
      <c r="P847" s="7"/>
      <c r="Q847" s="7"/>
      <c r="R847" s="7"/>
      <c r="S847" s="7"/>
      <c r="T847" s="7"/>
      <c r="U847" s="7"/>
      <c r="V847" s="7"/>
      <c r="W847" s="7"/>
      <c r="X847" s="7"/>
      <c r="Y847" s="7" t="s">
        <v>4104</v>
      </c>
      <c r="Z847" s="7" t="s">
        <v>64</v>
      </c>
      <c r="AA847" s="7" t="s">
        <v>4105</v>
      </c>
      <c r="AB847" s="7" t="s">
        <v>44</v>
      </c>
      <c r="AC847" s="7"/>
      <c r="AD847" s="7"/>
      <c r="AE847" s="7"/>
      <c r="AF847" s="7"/>
      <c r="AG847" s="11">
        <f t="shared" si="13"/>
        <v>43281</v>
      </c>
    </row>
    <row r="848" s="8" customFormat="1" spans="1:33">
      <c r="A848" s="7" t="s">
        <v>4106</v>
      </c>
      <c r="B848" s="7" t="s">
        <v>4106</v>
      </c>
      <c r="C848" s="7" t="s">
        <v>4107</v>
      </c>
      <c r="D848" s="7" t="s">
        <v>4108</v>
      </c>
      <c r="E848" s="7" t="s">
        <v>33</v>
      </c>
      <c r="F848" s="7" t="s">
        <v>34</v>
      </c>
      <c r="G848" s="7" t="s">
        <v>35</v>
      </c>
      <c r="H848" s="7"/>
      <c r="I848" s="7"/>
      <c r="J848" s="7" t="s">
        <v>36</v>
      </c>
      <c r="K848" s="7" t="s">
        <v>79</v>
      </c>
      <c r="L848" s="7" t="s">
        <v>80</v>
      </c>
      <c r="M848" s="7" t="s">
        <v>81</v>
      </c>
      <c r="N848" s="7" t="s">
        <v>33</v>
      </c>
      <c r="O848" s="7">
        <v>1</v>
      </c>
      <c r="P848" s="7" t="s">
        <v>40</v>
      </c>
      <c r="Q848" s="7">
        <v>91.99</v>
      </c>
      <c r="R848" s="7"/>
      <c r="S848" s="7"/>
      <c r="T848" s="7"/>
      <c r="U848" s="7"/>
      <c r="V848" s="7"/>
      <c r="W848" s="7"/>
      <c r="X848" s="7"/>
      <c r="Y848" s="7" t="s">
        <v>4109</v>
      </c>
      <c r="Z848" s="7" t="s">
        <v>996</v>
      </c>
      <c r="AA848" s="7" t="s">
        <v>4110</v>
      </c>
      <c r="AB848" s="7" t="s">
        <v>44</v>
      </c>
      <c r="AC848" s="7"/>
      <c r="AD848" s="7"/>
      <c r="AE848" s="7"/>
      <c r="AF848" s="7"/>
      <c r="AG848" s="11">
        <f t="shared" si="13"/>
        <v>43281</v>
      </c>
    </row>
    <row r="849" s="8" customFormat="1" spans="1:33">
      <c r="A849" s="7" t="s">
        <v>4111</v>
      </c>
      <c r="B849" s="7" t="s">
        <v>4111</v>
      </c>
      <c r="C849" s="7" t="s">
        <v>4112</v>
      </c>
      <c r="D849" s="7" t="s">
        <v>4113</v>
      </c>
      <c r="E849" s="7" t="s">
        <v>33</v>
      </c>
      <c r="F849" s="7" t="s">
        <v>34</v>
      </c>
      <c r="G849" s="7" t="s">
        <v>35</v>
      </c>
      <c r="H849" s="7"/>
      <c r="I849" s="7"/>
      <c r="J849" s="7" t="s">
        <v>36</v>
      </c>
      <c r="K849" s="7" t="s">
        <v>48</v>
      </c>
      <c r="L849" s="7" t="s">
        <v>49</v>
      </c>
      <c r="M849" s="7" t="s">
        <v>50</v>
      </c>
      <c r="N849" s="7" t="s">
        <v>33</v>
      </c>
      <c r="O849" s="7">
        <v>1</v>
      </c>
      <c r="P849" s="7" t="s">
        <v>40</v>
      </c>
      <c r="Q849" s="7">
        <v>89.99</v>
      </c>
      <c r="R849" s="7"/>
      <c r="S849" s="7"/>
      <c r="T849" s="7"/>
      <c r="U849" s="7"/>
      <c r="V849" s="7"/>
      <c r="W849" s="7"/>
      <c r="X849" s="7"/>
      <c r="Y849" s="7" t="s">
        <v>4114</v>
      </c>
      <c r="Z849" s="7" t="s">
        <v>92</v>
      </c>
      <c r="AA849" s="7" t="s">
        <v>4115</v>
      </c>
      <c r="AB849" s="7" t="s">
        <v>44</v>
      </c>
      <c r="AC849" s="7"/>
      <c r="AD849" s="7"/>
      <c r="AE849" s="7"/>
      <c r="AF849" s="7"/>
      <c r="AG849" s="11">
        <f t="shared" si="13"/>
        <v>43281</v>
      </c>
    </row>
    <row r="850" s="8" customFormat="1" spans="1:33">
      <c r="A850" s="7" t="s">
        <v>4116</v>
      </c>
      <c r="B850" s="7" t="s">
        <v>4116</v>
      </c>
      <c r="C850" s="7" t="s">
        <v>4117</v>
      </c>
      <c r="D850" s="7" t="s">
        <v>4118</v>
      </c>
      <c r="E850" s="7" t="s">
        <v>33</v>
      </c>
      <c r="F850" s="7" t="s">
        <v>34</v>
      </c>
      <c r="G850" s="7" t="s">
        <v>35</v>
      </c>
      <c r="H850" s="7"/>
      <c r="I850" s="7"/>
      <c r="J850" s="7" t="s">
        <v>36</v>
      </c>
      <c r="K850" s="7" t="s">
        <v>986</v>
      </c>
      <c r="L850" s="7" t="s">
        <v>987</v>
      </c>
      <c r="M850" s="7" t="s">
        <v>988</v>
      </c>
      <c r="N850" s="7" t="s">
        <v>33</v>
      </c>
      <c r="O850" s="7">
        <v>1</v>
      </c>
      <c r="P850" s="7" t="s">
        <v>40</v>
      </c>
      <c r="Q850" s="7">
        <v>99.99</v>
      </c>
      <c r="R850" s="7"/>
      <c r="S850" s="7"/>
      <c r="T850" s="7"/>
      <c r="U850" s="7"/>
      <c r="V850" s="7"/>
      <c r="W850" s="7"/>
      <c r="X850" s="7"/>
      <c r="Y850" s="7" t="s">
        <v>4119</v>
      </c>
      <c r="Z850" s="7" t="s">
        <v>484</v>
      </c>
      <c r="AA850" s="7" t="s">
        <v>4120</v>
      </c>
      <c r="AB850" s="7" t="s">
        <v>44</v>
      </c>
      <c r="AC850" s="7"/>
      <c r="AD850" s="7"/>
      <c r="AE850" s="7"/>
      <c r="AF850" s="7"/>
      <c r="AG850" s="11">
        <f t="shared" si="13"/>
        <v>43281</v>
      </c>
    </row>
    <row r="851" s="8" customFormat="1" spans="1:33">
      <c r="A851" s="7" t="s">
        <v>4121</v>
      </c>
      <c r="B851" s="7" t="s">
        <v>4121</v>
      </c>
      <c r="C851" s="7" t="s">
        <v>4122</v>
      </c>
      <c r="D851" s="7" t="s">
        <v>4123</v>
      </c>
      <c r="E851" s="7" t="s">
        <v>33</v>
      </c>
      <c r="F851" s="7" t="s">
        <v>34</v>
      </c>
      <c r="G851" s="7" t="s">
        <v>35</v>
      </c>
      <c r="H851" s="7"/>
      <c r="I851" s="7"/>
      <c r="J851" s="7" t="s">
        <v>36</v>
      </c>
      <c r="K851" s="7" t="s">
        <v>70</v>
      </c>
      <c r="L851" s="7" t="s">
        <v>71</v>
      </c>
      <c r="M851" s="7" t="s">
        <v>72</v>
      </c>
      <c r="N851" s="7" t="s">
        <v>33</v>
      </c>
      <c r="O851" s="7">
        <v>1</v>
      </c>
      <c r="P851" s="7" t="s">
        <v>40</v>
      </c>
      <c r="Q851" s="7">
        <v>79.99</v>
      </c>
      <c r="R851" s="7"/>
      <c r="S851" s="7"/>
      <c r="T851" s="7"/>
      <c r="U851" s="7"/>
      <c r="V851" s="7"/>
      <c r="W851" s="7"/>
      <c r="X851" s="7"/>
      <c r="Y851" s="7" t="s">
        <v>4124</v>
      </c>
      <c r="Z851" s="7" t="s">
        <v>64</v>
      </c>
      <c r="AA851" s="7" t="s">
        <v>4125</v>
      </c>
      <c r="AB851" s="7" t="s">
        <v>44</v>
      </c>
      <c r="AC851" s="7"/>
      <c r="AD851" s="7"/>
      <c r="AE851" s="7"/>
      <c r="AF851" s="7"/>
      <c r="AG851" s="11">
        <f t="shared" si="13"/>
        <v>43281</v>
      </c>
    </row>
    <row r="852" s="8" customFormat="1" spans="1:33">
      <c r="A852" s="7" t="s">
        <v>4126</v>
      </c>
      <c r="B852" s="7" t="s">
        <v>4126</v>
      </c>
      <c r="C852" s="7" t="s">
        <v>4127</v>
      </c>
      <c r="D852" s="7" t="s">
        <v>4128</v>
      </c>
      <c r="E852" s="7" t="s">
        <v>33</v>
      </c>
      <c r="F852" s="7" t="s">
        <v>34</v>
      </c>
      <c r="G852" s="7" t="s">
        <v>35</v>
      </c>
      <c r="H852" s="7"/>
      <c r="I852" s="7"/>
      <c r="J852" s="7" t="s">
        <v>163</v>
      </c>
      <c r="K852" s="7" t="s">
        <v>37</v>
      </c>
      <c r="L852" s="7" t="s">
        <v>38</v>
      </c>
      <c r="M852" s="7" t="s">
        <v>39</v>
      </c>
      <c r="N852" s="7" t="s">
        <v>33</v>
      </c>
      <c r="O852" s="7">
        <v>1</v>
      </c>
      <c r="P852" s="7" t="s">
        <v>40</v>
      </c>
      <c r="Q852" s="7">
        <v>89.99</v>
      </c>
      <c r="R852" s="7"/>
      <c r="S852" s="7">
        <v>5.99</v>
      </c>
      <c r="T852" s="7"/>
      <c r="U852" s="7"/>
      <c r="V852" s="7"/>
      <c r="W852" s="7"/>
      <c r="X852" s="7">
        <v>5.99</v>
      </c>
      <c r="Y852" s="7" t="s">
        <v>1958</v>
      </c>
      <c r="Z852" s="7" t="s">
        <v>64</v>
      </c>
      <c r="AA852" s="7" t="s">
        <v>4129</v>
      </c>
      <c r="AB852" s="7" t="s">
        <v>44</v>
      </c>
      <c r="AC852" s="7"/>
      <c r="AD852" s="7"/>
      <c r="AE852" s="7"/>
      <c r="AF852" s="7"/>
      <c r="AG852" s="11">
        <f t="shared" si="13"/>
        <v>43281</v>
      </c>
    </row>
    <row r="853" s="8" customFormat="1" spans="1:33">
      <c r="A853" s="7" t="s">
        <v>4130</v>
      </c>
      <c r="B853" s="7" t="s">
        <v>4130</v>
      </c>
      <c r="C853" s="7" t="s">
        <v>4131</v>
      </c>
      <c r="D853" s="7" t="s">
        <v>4132</v>
      </c>
      <c r="E853" s="7" t="s">
        <v>33</v>
      </c>
      <c r="F853" s="7" t="s">
        <v>34</v>
      </c>
      <c r="G853" s="7" t="s">
        <v>35</v>
      </c>
      <c r="H853" s="7"/>
      <c r="I853" s="7"/>
      <c r="J853" s="7" t="s">
        <v>36</v>
      </c>
      <c r="K853" s="7" t="s">
        <v>213</v>
      </c>
      <c r="L853" s="7" t="s">
        <v>214</v>
      </c>
      <c r="M853" s="7" t="s">
        <v>215</v>
      </c>
      <c r="N853" s="7" t="s">
        <v>33</v>
      </c>
      <c r="O853" s="7">
        <v>1</v>
      </c>
      <c r="P853" s="7" t="s">
        <v>40</v>
      </c>
      <c r="Q853" s="7">
        <v>21.99</v>
      </c>
      <c r="R853" s="7"/>
      <c r="S853" s="7"/>
      <c r="T853" s="7"/>
      <c r="U853" s="7"/>
      <c r="V853" s="7"/>
      <c r="W853" s="7"/>
      <c r="X853" s="7"/>
      <c r="Y853" s="7" t="s">
        <v>4133</v>
      </c>
      <c r="Z853" s="7" t="s">
        <v>42</v>
      </c>
      <c r="AA853" s="7" t="s">
        <v>4134</v>
      </c>
      <c r="AB853" s="7" t="s">
        <v>44</v>
      </c>
      <c r="AC853" s="7"/>
      <c r="AD853" s="7"/>
      <c r="AE853" s="7"/>
      <c r="AF853" s="7"/>
      <c r="AG853" s="11">
        <f t="shared" si="13"/>
        <v>43281</v>
      </c>
    </row>
    <row r="854" s="8" customFormat="1" spans="1:33">
      <c r="A854" s="7" t="s">
        <v>4135</v>
      </c>
      <c r="B854" s="7" t="s">
        <v>4135</v>
      </c>
      <c r="C854" s="7" t="s">
        <v>4136</v>
      </c>
      <c r="D854" s="7" t="s">
        <v>4137</v>
      </c>
      <c r="E854" s="7" t="s">
        <v>33</v>
      </c>
      <c r="F854" s="7" t="s">
        <v>34</v>
      </c>
      <c r="G854" s="7" t="s">
        <v>35</v>
      </c>
      <c r="H854" s="7"/>
      <c r="I854" s="7"/>
      <c r="J854" s="7" t="s">
        <v>36</v>
      </c>
      <c r="K854" s="7" t="s">
        <v>131</v>
      </c>
      <c r="L854" s="7" t="s">
        <v>132</v>
      </c>
      <c r="M854" s="7" t="s">
        <v>133</v>
      </c>
      <c r="N854" s="7" t="s">
        <v>33</v>
      </c>
      <c r="O854" s="7">
        <v>1</v>
      </c>
      <c r="P854" s="7" t="s">
        <v>40</v>
      </c>
      <c r="Q854" s="7">
        <v>89.99</v>
      </c>
      <c r="R854" s="7"/>
      <c r="S854" s="7"/>
      <c r="T854" s="7"/>
      <c r="U854" s="7"/>
      <c r="V854" s="7"/>
      <c r="W854" s="7"/>
      <c r="X854" s="7"/>
      <c r="Y854" s="7" t="s">
        <v>1958</v>
      </c>
      <c r="Z854" s="7" t="s">
        <v>64</v>
      </c>
      <c r="AA854" s="7" t="s">
        <v>4138</v>
      </c>
      <c r="AB854" s="7" t="s">
        <v>44</v>
      </c>
      <c r="AC854" s="7"/>
      <c r="AD854" s="7"/>
      <c r="AE854" s="7"/>
      <c r="AF854" s="7"/>
      <c r="AG854" s="11">
        <f t="shared" si="13"/>
        <v>43281</v>
      </c>
    </row>
    <row r="855" s="8" customFormat="1" spans="1:33">
      <c r="A855" s="7" t="s">
        <v>4139</v>
      </c>
      <c r="B855" s="7" t="s">
        <v>4139</v>
      </c>
      <c r="C855" s="7" t="s">
        <v>4140</v>
      </c>
      <c r="D855" s="7" t="s">
        <v>4141</v>
      </c>
      <c r="E855" s="7" t="s">
        <v>33</v>
      </c>
      <c r="F855" s="7" t="s">
        <v>34</v>
      </c>
      <c r="G855" s="7" t="s">
        <v>35</v>
      </c>
      <c r="H855" s="7"/>
      <c r="I855" s="7"/>
      <c r="J855" s="7" t="s">
        <v>69</v>
      </c>
      <c r="K855" s="7" t="s">
        <v>79</v>
      </c>
      <c r="L855" s="7" t="s">
        <v>80</v>
      </c>
      <c r="M855" s="7" t="s">
        <v>81</v>
      </c>
      <c r="N855" s="7" t="s">
        <v>33</v>
      </c>
      <c r="O855" s="7">
        <v>1</v>
      </c>
      <c r="P855" s="7" t="s">
        <v>40</v>
      </c>
      <c r="Q855" s="7">
        <v>91.99</v>
      </c>
      <c r="R855" s="7"/>
      <c r="S855" s="7">
        <v>3.22</v>
      </c>
      <c r="T855" s="7"/>
      <c r="U855" s="7"/>
      <c r="V855" s="7"/>
      <c r="W855" s="7"/>
      <c r="X855" s="7">
        <v>3.22</v>
      </c>
      <c r="Y855" s="7" t="s">
        <v>4142</v>
      </c>
      <c r="Z855" s="7" t="s">
        <v>152</v>
      </c>
      <c r="AA855" s="7" t="s">
        <v>4143</v>
      </c>
      <c r="AB855" s="7" t="s">
        <v>44</v>
      </c>
      <c r="AC855" s="7" t="s">
        <v>75</v>
      </c>
      <c r="AD855" s="7"/>
      <c r="AE855" s="7"/>
      <c r="AF855" s="7"/>
      <c r="AG855" s="11">
        <f t="shared" si="13"/>
        <v>43281</v>
      </c>
    </row>
    <row r="856" s="8" customFormat="1" spans="1:33">
      <c r="A856" s="7" t="s">
        <v>4144</v>
      </c>
      <c r="B856" s="7" t="s">
        <v>4144</v>
      </c>
      <c r="C856" s="7" t="s">
        <v>4145</v>
      </c>
      <c r="D856" s="7" t="s">
        <v>4146</v>
      </c>
      <c r="E856" s="7" t="s">
        <v>33</v>
      </c>
      <c r="F856" s="7" t="s">
        <v>34</v>
      </c>
      <c r="G856" s="7" t="s">
        <v>35</v>
      </c>
      <c r="H856" s="7"/>
      <c r="I856" s="7"/>
      <c r="J856" s="7" t="s">
        <v>36</v>
      </c>
      <c r="K856" s="7" t="s">
        <v>2035</v>
      </c>
      <c r="L856" s="7" t="s">
        <v>89</v>
      </c>
      <c r="M856" s="7" t="s">
        <v>90</v>
      </c>
      <c r="N856" s="7" t="s">
        <v>33</v>
      </c>
      <c r="O856" s="7">
        <v>1</v>
      </c>
      <c r="P856" s="7" t="s">
        <v>40</v>
      </c>
      <c r="Q856" s="7">
        <v>89.99</v>
      </c>
      <c r="R856" s="7"/>
      <c r="S856" s="7"/>
      <c r="T856" s="7"/>
      <c r="U856" s="7">
        <v>4.99</v>
      </c>
      <c r="V856" s="7"/>
      <c r="W856" s="7"/>
      <c r="X856" s="7"/>
      <c r="Y856" s="7" t="s">
        <v>4147</v>
      </c>
      <c r="Z856" s="7" t="s">
        <v>787</v>
      </c>
      <c r="AA856" s="7" t="s">
        <v>4148</v>
      </c>
      <c r="AB856" s="7" t="s">
        <v>44</v>
      </c>
      <c r="AC856" s="7"/>
      <c r="AD856" s="7"/>
      <c r="AE856" s="7"/>
      <c r="AF856" s="7"/>
      <c r="AG856" s="11">
        <f t="shared" si="13"/>
        <v>43281</v>
      </c>
    </row>
    <row r="857" s="8" customFormat="1" spans="1:33">
      <c r="A857" s="7" t="s">
        <v>4149</v>
      </c>
      <c r="B857" s="7" t="s">
        <v>4149</v>
      </c>
      <c r="C857" s="7" t="s">
        <v>4150</v>
      </c>
      <c r="D857" s="7" t="s">
        <v>4151</v>
      </c>
      <c r="E857" s="7" t="s">
        <v>33</v>
      </c>
      <c r="F857" s="7" t="s">
        <v>34</v>
      </c>
      <c r="G857" s="7" t="s">
        <v>35</v>
      </c>
      <c r="H857" s="7"/>
      <c r="I857" s="7"/>
      <c r="J857" s="7" t="s">
        <v>36</v>
      </c>
      <c r="K857" s="7" t="s">
        <v>2035</v>
      </c>
      <c r="L857" s="7" t="s">
        <v>89</v>
      </c>
      <c r="M857" s="7" t="s">
        <v>90</v>
      </c>
      <c r="N857" s="7" t="s">
        <v>33</v>
      </c>
      <c r="O857" s="7">
        <v>1</v>
      </c>
      <c r="P857" s="7" t="s">
        <v>40</v>
      </c>
      <c r="Q857" s="7">
        <v>89.99</v>
      </c>
      <c r="R857" s="7"/>
      <c r="S857" s="7"/>
      <c r="T857" s="7"/>
      <c r="U857" s="7"/>
      <c r="V857" s="7"/>
      <c r="W857" s="7"/>
      <c r="X857" s="7"/>
      <c r="Y857" s="7" t="s">
        <v>2623</v>
      </c>
      <c r="Z857" s="7" t="s">
        <v>92</v>
      </c>
      <c r="AA857" s="7" t="s">
        <v>4152</v>
      </c>
      <c r="AB857" s="7" t="s">
        <v>44</v>
      </c>
      <c r="AC857" s="7"/>
      <c r="AD857" s="7"/>
      <c r="AE857" s="7"/>
      <c r="AF857" s="7"/>
      <c r="AG857" s="11">
        <f t="shared" si="13"/>
        <v>43281</v>
      </c>
    </row>
    <row r="858" s="8" customFormat="1" spans="1:33">
      <c r="A858" s="7" t="s">
        <v>4153</v>
      </c>
      <c r="B858" s="7" t="s">
        <v>4153</v>
      </c>
      <c r="C858" s="7" t="s">
        <v>4154</v>
      </c>
      <c r="D858" s="7" t="s">
        <v>4155</v>
      </c>
      <c r="E858" s="7" t="s">
        <v>33</v>
      </c>
      <c r="F858" s="7" t="s">
        <v>34</v>
      </c>
      <c r="G858" s="7" t="s">
        <v>35</v>
      </c>
      <c r="H858" s="7"/>
      <c r="I858" s="7"/>
      <c r="J858" s="7" t="s">
        <v>58</v>
      </c>
      <c r="K858" s="7" t="s">
        <v>1099</v>
      </c>
      <c r="L858" s="7" t="s">
        <v>1100</v>
      </c>
      <c r="M858" s="7" t="s">
        <v>1101</v>
      </c>
      <c r="N858" s="7" t="s">
        <v>33</v>
      </c>
      <c r="O858" s="7">
        <v>1</v>
      </c>
      <c r="P858" s="7" t="s">
        <v>40</v>
      </c>
      <c r="Q858" s="7">
        <v>108.99</v>
      </c>
      <c r="R858" s="7"/>
      <c r="S858" s="7">
        <v>5.99</v>
      </c>
      <c r="T858" s="7"/>
      <c r="U858" s="7"/>
      <c r="V858" s="7"/>
      <c r="W858" s="7"/>
      <c r="X858" s="7"/>
      <c r="Y858" s="7" t="s">
        <v>1733</v>
      </c>
      <c r="Z858" s="7" t="s">
        <v>64</v>
      </c>
      <c r="AA858" s="7" t="s">
        <v>4156</v>
      </c>
      <c r="AB858" s="7" t="s">
        <v>44</v>
      </c>
      <c r="AC858" s="7"/>
      <c r="AD858" s="7"/>
      <c r="AE858" s="7"/>
      <c r="AF858" s="7"/>
      <c r="AG858" s="11">
        <f t="shared" si="13"/>
        <v>43281</v>
      </c>
    </row>
    <row r="859" s="8" customFormat="1" spans="1:33">
      <c r="A859" s="7" t="s">
        <v>4157</v>
      </c>
      <c r="B859" s="7" t="s">
        <v>4157</v>
      </c>
      <c r="C859" s="7" t="s">
        <v>4158</v>
      </c>
      <c r="D859" s="7" t="s">
        <v>4159</v>
      </c>
      <c r="E859" s="7" t="s">
        <v>33</v>
      </c>
      <c r="F859" s="7" t="s">
        <v>34</v>
      </c>
      <c r="G859" s="7" t="s">
        <v>35</v>
      </c>
      <c r="H859" s="7"/>
      <c r="I859" s="7"/>
      <c r="J859" s="7" t="s">
        <v>36</v>
      </c>
      <c r="K859" s="7" t="s">
        <v>275</v>
      </c>
      <c r="L859" s="7" t="s">
        <v>276</v>
      </c>
      <c r="M859" s="7" t="s">
        <v>277</v>
      </c>
      <c r="N859" s="7" t="s">
        <v>33</v>
      </c>
      <c r="O859" s="7">
        <v>1</v>
      </c>
      <c r="P859" s="7" t="s">
        <v>40</v>
      </c>
      <c r="Q859" s="7">
        <v>89.99</v>
      </c>
      <c r="R859" s="7"/>
      <c r="S859" s="7"/>
      <c r="T859" s="7"/>
      <c r="U859" s="7"/>
      <c r="V859" s="7"/>
      <c r="W859" s="7"/>
      <c r="X859" s="7"/>
      <c r="Y859" s="7" t="s">
        <v>4160</v>
      </c>
      <c r="Z859" s="7" t="s">
        <v>299</v>
      </c>
      <c r="AA859" s="7" t="s">
        <v>4161</v>
      </c>
      <c r="AB859" s="7" t="s">
        <v>44</v>
      </c>
      <c r="AC859" s="7"/>
      <c r="AD859" s="7"/>
      <c r="AE859" s="7"/>
      <c r="AF859" s="7"/>
      <c r="AG859" s="11">
        <f t="shared" si="13"/>
        <v>43281</v>
      </c>
    </row>
    <row r="860" s="8" customFormat="1" spans="1:33">
      <c r="A860" s="7" t="s">
        <v>4162</v>
      </c>
      <c r="B860" s="7" t="s">
        <v>4162</v>
      </c>
      <c r="C860" s="7" t="s">
        <v>4163</v>
      </c>
      <c r="D860" s="7" t="s">
        <v>4164</v>
      </c>
      <c r="E860" s="7" t="s">
        <v>33</v>
      </c>
      <c r="F860" s="7" t="s">
        <v>34</v>
      </c>
      <c r="G860" s="7" t="s">
        <v>35</v>
      </c>
      <c r="H860" s="7"/>
      <c r="I860" s="7"/>
      <c r="J860" s="7" t="s">
        <v>36</v>
      </c>
      <c r="K860" s="7" t="s">
        <v>37</v>
      </c>
      <c r="L860" s="7" t="s">
        <v>38</v>
      </c>
      <c r="M860" s="7" t="s">
        <v>39</v>
      </c>
      <c r="N860" s="7" t="s">
        <v>33</v>
      </c>
      <c r="O860" s="7">
        <v>1</v>
      </c>
      <c r="P860" s="7" t="s">
        <v>40</v>
      </c>
      <c r="Q860" s="7">
        <v>89.99</v>
      </c>
      <c r="R860" s="7"/>
      <c r="S860" s="7"/>
      <c r="T860" s="7"/>
      <c r="U860" s="7"/>
      <c r="V860" s="7"/>
      <c r="W860" s="7"/>
      <c r="X860" s="7"/>
      <c r="Y860" s="7" t="s">
        <v>4165</v>
      </c>
      <c r="Z860" s="7" t="s">
        <v>230</v>
      </c>
      <c r="AA860" s="7" t="s">
        <v>4166</v>
      </c>
      <c r="AB860" s="7" t="s">
        <v>44</v>
      </c>
      <c r="AC860" s="7"/>
      <c r="AD860" s="7"/>
      <c r="AE860" s="7"/>
      <c r="AF860" s="7"/>
      <c r="AG860" s="11">
        <f t="shared" si="13"/>
        <v>43281</v>
      </c>
    </row>
    <row r="861" s="8" customFormat="1" spans="1:33">
      <c r="A861" s="7" t="s">
        <v>4167</v>
      </c>
      <c r="B861" s="7" t="s">
        <v>4167</v>
      </c>
      <c r="C861" s="7" t="s">
        <v>4168</v>
      </c>
      <c r="D861" s="7" t="s">
        <v>4169</v>
      </c>
      <c r="E861" s="7" t="s">
        <v>33</v>
      </c>
      <c r="F861" s="7" t="s">
        <v>34</v>
      </c>
      <c r="G861" s="7" t="s">
        <v>35</v>
      </c>
      <c r="H861" s="7"/>
      <c r="I861" s="7"/>
      <c r="J861" s="7" t="s">
        <v>36</v>
      </c>
      <c r="K861" s="7" t="s">
        <v>554</v>
      </c>
      <c r="L861" s="7" t="s">
        <v>555</v>
      </c>
      <c r="M861" s="7" t="s">
        <v>556</v>
      </c>
      <c r="N861" s="7" t="s">
        <v>33</v>
      </c>
      <c r="O861" s="7">
        <v>1</v>
      </c>
      <c r="P861" s="7" t="s">
        <v>40</v>
      </c>
      <c r="Q861" s="7">
        <v>89.99</v>
      </c>
      <c r="R861" s="7"/>
      <c r="S861" s="7"/>
      <c r="T861" s="7"/>
      <c r="U861" s="7"/>
      <c r="V861" s="7"/>
      <c r="W861" s="7">
        <v>9</v>
      </c>
      <c r="X861" s="7"/>
      <c r="Y861" s="7" t="s">
        <v>4133</v>
      </c>
      <c r="Z861" s="7" t="s">
        <v>42</v>
      </c>
      <c r="AA861" s="7" t="s">
        <v>4134</v>
      </c>
      <c r="AB861" s="7" t="s">
        <v>44</v>
      </c>
      <c r="AC861" s="7" t="s">
        <v>559</v>
      </c>
      <c r="AD861" s="7"/>
      <c r="AE861" s="7"/>
      <c r="AF861" s="7"/>
      <c r="AG861" s="11">
        <f t="shared" si="13"/>
        <v>43281</v>
      </c>
    </row>
    <row r="862" s="8" customFormat="1" spans="1:33">
      <c r="A862" s="7" t="s">
        <v>4170</v>
      </c>
      <c r="B862" s="7" t="s">
        <v>4170</v>
      </c>
      <c r="C862" s="7" t="s">
        <v>4171</v>
      </c>
      <c r="D862" s="7" t="s">
        <v>4172</v>
      </c>
      <c r="E862" s="7" t="s">
        <v>33</v>
      </c>
      <c r="F862" s="7" t="s">
        <v>34</v>
      </c>
      <c r="G862" s="7" t="s">
        <v>35</v>
      </c>
      <c r="H862" s="7"/>
      <c r="I862" s="7"/>
      <c r="J862" s="7" t="s">
        <v>36</v>
      </c>
      <c r="K862" s="7" t="s">
        <v>2625</v>
      </c>
      <c r="L862" s="7" t="s">
        <v>2626</v>
      </c>
      <c r="M862" s="7" t="s">
        <v>2627</v>
      </c>
      <c r="N862" s="7" t="s">
        <v>33</v>
      </c>
      <c r="O862" s="7">
        <v>1</v>
      </c>
      <c r="P862" s="7" t="s">
        <v>40</v>
      </c>
      <c r="Q862" s="7">
        <v>26.99</v>
      </c>
      <c r="R862" s="7"/>
      <c r="S862" s="7"/>
      <c r="T862" s="7"/>
      <c r="U862" s="7"/>
      <c r="V862" s="7"/>
      <c r="W862" s="7"/>
      <c r="X862" s="7"/>
      <c r="Y862" s="7" t="s">
        <v>421</v>
      </c>
      <c r="Z862" s="7" t="s">
        <v>42</v>
      </c>
      <c r="AA862" s="7" t="s">
        <v>4173</v>
      </c>
      <c r="AB862" s="7" t="s">
        <v>44</v>
      </c>
      <c r="AC862" s="7"/>
      <c r="AD862" s="7"/>
      <c r="AE862" s="7"/>
      <c r="AF862" s="7"/>
      <c r="AG862" s="11">
        <f t="shared" si="13"/>
        <v>43281</v>
      </c>
    </row>
    <row r="863" s="8" customFormat="1" spans="1:33">
      <c r="A863" s="7" t="s">
        <v>4174</v>
      </c>
      <c r="B863" s="7" t="s">
        <v>4174</v>
      </c>
      <c r="C863" s="7" t="s">
        <v>4175</v>
      </c>
      <c r="D863" s="7" t="s">
        <v>4176</v>
      </c>
      <c r="E863" s="7" t="s">
        <v>33</v>
      </c>
      <c r="F863" s="7" t="s">
        <v>34</v>
      </c>
      <c r="G863" s="7" t="s">
        <v>35</v>
      </c>
      <c r="H863" s="7"/>
      <c r="I863" s="7"/>
      <c r="J863" s="7" t="s">
        <v>36</v>
      </c>
      <c r="K863" s="7" t="s">
        <v>79</v>
      </c>
      <c r="L863" s="7" t="s">
        <v>80</v>
      </c>
      <c r="M863" s="7" t="s">
        <v>81</v>
      </c>
      <c r="N863" s="7" t="s">
        <v>33</v>
      </c>
      <c r="O863" s="7">
        <v>1</v>
      </c>
      <c r="P863" s="7" t="s">
        <v>40</v>
      </c>
      <c r="Q863" s="7">
        <v>91.99</v>
      </c>
      <c r="R863" s="7"/>
      <c r="S863" s="7"/>
      <c r="T863" s="7"/>
      <c r="U863" s="7"/>
      <c r="V863" s="7"/>
      <c r="W863" s="7"/>
      <c r="X863" s="7"/>
      <c r="Y863" s="7" t="s">
        <v>4177</v>
      </c>
      <c r="Z863" s="7" t="s">
        <v>52</v>
      </c>
      <c r="AA863" s="7">
        <v>11413</v>
      </c>
      <c r="AB863" s="7" t="s">
        <v>44</v>
      </c>
      <c r="AC863" s="7"/>
      <c r="AD863" s="7"/>
      <c r="AE863" s="7"/>
      <c r="AF863" s="7"/>
      <c r="AG863" s="11">
        <f t="shared" si="13"/>
        <v>43281</v>
      </c>
    </row>
    <row r="864" s="8" customFormat="1" spans="1:33">
      <c r="A864" s="7" t="s">
        <v>4178</v>
      </c>
      <c r="B864" s="7" t="s">
        <v>4178</v>
      </c>
      <c r="C864" s="7" t="s">
        <v>4179</v>
      </c>
      <c r="D864" s="7" t="s">
        <v>4180</v>
      </c>
      <c r="E864" s="7" t="s">
        <v>33</v>
      </c>
      <c r="F864" s="7" t="s">
        <v>34</v>
      </c>
      <c r="G864" s="7" t="s">
        <v>35</v>
      </c>
      <c r="H864" s="7"/>
      <c r="I864" s="7"/>
      <c r="J864" s="7" t="s">
        <v>69</v>
      </c>
      <c r="K864" s="7" t="s">
        <v>2080</v>
      </c>
      <c r="L864" s="7" t="s">
        <v>2081</v>
      </c>
      <c r="M864" s="7" t="s">
        <v>2082</v>
      </c>
      <c r="N864" s="7" t="s">
        <v>33</v>
      </c>
      <c r="O864" s="7">
        <v>1</v>
      </c>
      <c r="P864" s="7" t="s">
        <v>40</v>
      </c>
      <c r="Q864" s="7">
        <v>79.99</v>
      </c>
      <c r="R864" s="7"/>
      <c r="S864" s="7">
        <v>6.49</v>
      </c>
      <c r="T864" s="7"/>
      <c r="U864" s="7"/>
      <c r="V864" s="7"/>
      <c r="W864" s="7"/>
      <c r="X864" s="7">
        <v>6.49</v>
      </c>
      <c r="Y864" s="7" t="s">
        <v>4181</v>
      </c>
      <c r="Z864" s="7" t="s">
        <v>316</v>
      </c>
      <c r="AA864" s="7" t="s">
        <v>4182</v>
      </c>
      <c r="AB864" s="7" t="s">
        <v>44</v>
      </c>
      <c r="AC864" s="7" t="s">
        <v>75</v>
      </c>
      <c r="AD864" s="7"/>
      <c r="AE864" s="7"/>
      <c r="AF864" s="7"/>
      <c r="AG864" s="11">
        <f t="shared" si="13"/>
        <v>43281</v>
      </c>
    </row>
    <row r="865" s="8" customFormat="1" spans="1:33">
      <c r="A865" s="7" t="s">
        <v>4183</v>
      </c>
      <c r="B865" s="7" t="s">
        <v>4184</v>
      </c>
      <c r="C865" s="7" t="s">
        <v>4185</v>
      </c>
      <c r="D865" s="7" t="s">
        <v>4186</v>
      </c>
      <c r="E865" s="7" t="s">
        <v>2389</v>
      </c>
      <c r="F865" s="7" t="s">
        <v>34</v>
      </c>
      <c r="G865" s="7" t="s">
        <v>950</v>
      </c>
      <c r="H865" s="7"/>
      <c r="I865" s="7"/>
      <c r="J865" s="7" t="s">
        <v>69</v>
      </c>
      <c r="K865" s="7" t="s">
        <v>1262</v>
      </c>
      <c r="L865" s="7" t="s">
        <v>1263</v>
      </c>
      <c r="M865" s="7" t="s">
        <v>1264</v>
      </c>
      <c r="N865" s="7" t="s">
        <v>62</v>
      </c>
      <c r="O865" s="7">
        <v>1</v>
      </c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11">
        <f t="shared" si="13"/>
        <v>43282</v>
      </c>
    </row>
    <row r="866" s="8" customFormat="1" spans="1:33">
      <c r="A866" s="7" t="s">
        <v>4187</v>
      </c>
      <c r="B866" s="7" t="s">
        <v>4187</v>
      </c>
      <c r="C866" s="7" t="s">
        <v>4188</v>
      </c>
      <c r="D866" s="7" t="s">
        <v>4189</v>
      </c>
      <c r="E866" s="7" t="s">
        <v>33</v>
      </c>
      <c r="F866" s="7" t="s">
        <v>34</v>
      </c>
      <c r="G866" s="7" t="s">
        <v>35</v>
      </c>
      <c r="H866" s="7"/>
      <c r="I866" s="7"/>
      <c r="J866" s="7" t="s">
        <v>36</v>
      </c>
      <c r="K866" s="7" t="s">
        <v>4190</v>
      </c>
      <c r="L866" s="7" t="s">
        <v>4191</v>
      </c>
      <c r="M866" s="7" t="s">
        <v>4192</v>
      </c>
      <c r="N866" s="7" t="s">
        <v>33</v>
      </c>
      <c r="O866" s="7">
        <v>1</v>
      </c>
      <c r="P866" s="7" t="s">
        <v>40</v>
      </c>
      <c r="Q866" s="7">
        <v>89.6</v>
      </c>
      <c r="R866" s="7">
        <v>5.38</v>
      </c>
      <c r="S866" s="7"/>
      <c r="T866" s="7"/>
      <c r="U866" s="7"/>
      <c r="V866" s="7"/>
      <c r="W866" s="7"/>
      <c r="X866" s="7"/>
      <c r="Y866" s="7" t="s">
        <v>4193</v>
      </c>
      <c r="Z866" s="7" t="s">
        <v>880</v>
      </c>
      <c r="AA866" s="7" t="s">
        <v>4194</v>
      </c>
      <c r="AB866" s="7" t="s">
        <v>44</v>
      </c>
      <c r="AC866" s="7"/>
      <c r="AD866" s="7"/>
      <c r="AE866" s="7"/>
      <c r="AF866" s="7"/>
      <c r="AG866" s="11">
        <f t="shared" si="13"/>
        <v>43282</v>
      </c>
    </row>
    <row r="867" s="8" customFormat="1" spans="1:33">
      <c r="A867" s="7" t="s">
        <v>4195</v>
      </c>
      <c r="B867" s="7" t="s">
        <v>4195</v>
      </c>
      <c r="C867" s="7" t="s">
        <v>4196</v>
      </c>
      <c r="D867" s="7" t="s">
        <v>4197</v>
      </c>
      <c r="E867" s="7" t="s">
        <v>33</v>
      </c>
      <c r="F867" s="7" t="s">
        <v>34</v>
      </c>
      <c r="G867" s="7" t="s">
        <v>35</v>
      </c>
      <c r="H867" s="7"/>
      <c r="I867" s="7"/>
      <c r="J867" s="7" t="s">
        <v>36</v>
      </c>
      <c r="K867" s="7" t="s">
        <v>4198</v>
      </c>
      <c r="L867" s="7" t="s">
        <v>4199</v>
      </c>
      <c r="M867" s="7" t="s">
        <v>4200</v>
      </c>
      <c r="N867" s="7" t="s">
        <v>33</v>
      </c>
      <c r="O867" s="7">
        <v>1</v>
      </c>
      <c r="P867" s="7" t="s">
        <v>40</v>
      </c>
      <c r="Q867" s="7">
        <v>89.99</v>
      </c>
      <c r="R867" s="7"/>
      <c r="S867" s="7"/>
      <c r="T867" s="7"/>
      <c r="U867" s="7"/>
      <c r="V867" s="7"/>
      <c r="W867" s="7"/>
      <c r="X867" s="7"/>
      <c r="Y867" s="7" t="s">
        <v>4201</v>
      </c>
      <c r="Z867" s="7" t="s">
        <v>497</v>
      </c>
      <c r="AA867" s="7" t="s">
        <v>4202</v>
      </c>
      <c r="AB867" s="7" t="s">
        <v>44</v>
      </c>
      <c r="AC867" s="7"/>
      <c r="AD867" s="7"/>
      <c r="AE867" s="7"/>
      <c r="AF867" s="7"/>
      <c r="AG867" s="11">
        <f t="shared" si="13"/>
        <v>43282</v>
      </c>
    </row>
    <row r="868" s="8" customFormat="1" spans="1:33">
      <c r="A868" s="7" t="s">
        <v>4203</v>
      </c>
      <c r="B868" s="7" t="s">
        <v>4203</v>
      </c>
      <c r="C868" s="7" t="s">
        <v>4204</v>
      </c>
      <c r="D868" s="7" t="s">
        <v>4205</v>
      </c>
      <c r="E868" s="7" t="s">
        <v>33</v>
      </c>
      <c r="F868" s="7" t="s">
        <v>34</v>
      </c>
      <c r="G868" s="7" t="s">
        <v>35</v>
      </c>
      <c r="H868" s="7"/>
      <c r="I868" s="7"/>
      <c r="J868" s="7" t="s">
        <v>36</v>
      </c>
      <c r="K868" s="7" t="s">
        <v>275</v>
      </c>
      <c r="L868" s="7" t="s">
        <v>276</v>
      </c>
      <c r="M868" s="7" t="s">
        <v>277</v>
      </c>
      <c r="N868" s="7" t="s">
        <v>33</v>
      </c>
      <c r="O868" s="7">
        <v>1</v>
      </c>
      <c r="P868" s="7" t="s">
        <v>40</v>
      </c>
      <c r="Q868" s="7">
        <v>89.99</v>
      </c>
      <c r="R868" s="7"/>
      <c r="S868" s="7"/>
      <c r="T868" s="7"/>
      <c r="U868" s="7"/>
      <c r="V868" s="7"/>
      <c r="W868" s="7"/>
      <c r="X868" s="7"/>
      <c r="Y868" s="7" t="s">
        <v>4206</v>
      </c>
      <c r="Z868" s="7" t="s">
        <v>83</v>
      </c>
      <c r="AA868" s="7" t="s">
        <v>4207</v>
      </c>
      <c r="AB868" s="7" t="s">
        <v>44</v>
      </c>
      <c r="AC868" s="7"/>
      <c r="AD868" s="7"/>
      <c r="AE868" s="7"/>
      <c r="AF868" s="7"/>
      <c r="AG868" s="11">
        <f t="shared" si="13"/>
        <v>43282</v>
      </c>
    </row>
    <row r="869" s="8" customFormat="1" spans="1:33">
      <c r="A869" s="7" t="s">
        <v>4208</v>
      </c>
      <c r="B869" s="7" t="s">
        <v>4208</v>
      </c>
      <c r="C869" s="7" t="s">
        <v>4209</v>
      </c>
      <c r="D869" s="7" t="s">
        <v>4210</v>
      </c>
      <c r="E869" s="7" t="s">
        <v>33</v>
      </c>
      <c r="F869" s="7" t="s">
        <v>34</v>
      </c>
      <c r="G869" s="7" t="s">
        <v>35</v>
      </c>
      <c r="H869" s="7"/>
      <c r="I869" s="7"/>
      <c r="J869" s="7" t="s">
        <v>36</v>
      </c>
      <c r="K869" s="7" t="s">
        <v>131</v>
      </c>
      <c r="L869" s="7" t="s">
        <v>132</v>
      </c>
      <c r="M869" s="7" t="s">
        <v>133</v>
      </c>
      <c r="N869" s="7" t="s">
        <v>33</v>
      </c>
      <c r="O869" s="7">
        <v>1</v>
      </c>
      <c r="P869" s="7" t="s">
        <v>40</v>
      </c>
      <c r="Q869" s="7">
        <v>89.99</v>
      </c>
      <c r="R869" s="7"/>
      <c r="S869" s="7"/>
      <c r="T869" s="7"/>
      <c r="U869" s="7"/>
      <c r="V869" s="7"/>
      <c r="W869" s="7"/>
      <c r="X869" s="7"/>
      <c r="Y869" s="7" t="s">
        <v>4211</v>
      </c>
      <c r="Z869" s="7" t="s">
        <v>484</v>
      </c>
      <c r="AA869" s="7" t="s">
        <v>4212</v>
      </c>
      <c r="AB869" s="7" t="s">
        <v>44</v>
      </c>
      <c r="AC869" s="7"/>
      <c r="AD869" s="7"/>
      <c r="AE869" s="7"/>
      <c r="AF869" s="7"/>
      <c r="AG869" s="11">
        <f t="shared" si="13"/>
        <v>43282</v>
      </c>
    </row>
    <row r="870" s="8" customFormat="1" spans="1:33">
      <c r="A870" s="7" t="s">
        <v>4213</v>
      </c>
      <c r="B870" s="7" t="s">
        <v>4213</v>
      </c>
      <c r="C870" s="7" t="s">
        <v>4214</v>
      </c>
      <c r="D870" s="7" t="s">
        <v>4215</v>
      </c>
      <c r="E870" s="7" t="s">
        <v>33</v>
      </c>
      <c r="F870" s="7" t="s">
        <v>34</v>
      </c>
      <c r="G870" s="7" t="s">
        <v>35</v>
      </c>
      <c r="H870" s="7"/>
      <c r="I870" s="7"/>
      <c r="J870" s="7" t="s">
        <v>36</v>
      </c>
      <c r="K870" s="7" t="s">
        <v>148</v>
      </c>
      <c r="L870" s="7" t="s">
        <v>149</v>
      </c>
      <c r="M870" s="7" t="s">
        <v>150</v>
      </c>
      <c r="N870" s="7" t="s">
        <v>33</v>
      </c>
      <c r="O870" s="7">
        <v>1</v>
      </c>
      <c r="P870" s="7" t="s">
        <v>40</v>
      </c>
      <c r="Q870" s="7">
        <v>98.99</v>
      </c>
      <c r="R870" s="7"/>
      <c r="S870" s="7"/>
      <c r="T870" s="7"/>
      <c r="U870" s="7"/>
      <c r="V870" s="7"/>
      <c r="W870" s="7"/>
      <c r="X870" s="7"/>
      <c r="Y870" s="7" t="s">
        <v>4216</v>
      </c>
      <c r="Z870" s="7" t="s">
        <v>1342</v>
      </c>
      <c r="AA870" s="7" t="s">
        <v>4217</v>
      </c>
      <c r="AB870" s="7" t="s">
        <v>44</v>
      </c>
      <c r="AC870" s="7"/>
      <c r="AD870" s="7"/>
      <c r="AE870" s="7"/>
      <c r="AF870" s="7"/>
      <c r="AG870" s="11">
        <f t="shared" si="13"/>
        <v>43282</v>
      </c>
    </row>
    <row r="871" s="8" customFormat="1" spans="1:33">
      <c r="A871" s="7" t="s">
        <v>4218</v>
      </c>
      <c r="B871" s="7" t="s">
        <v>4218</v>
      </c>
      <c r="C871" s="7" t="s">
        <v>4219</v>
      </c>
      <c r="D871" s="7" t="s">
        <v>4220</v>
      </c>
      <c r="E871" s="7" t="s">
        <v>33</v>
      </c>
      <c r="F871" s="7" t="s">
        <v>34</v>
      </c>
      <c r="G871" s="7" t="s">
        <v>35</v>
      </c>
      <c r="H871" s="7"/>
      <c r="I871" s="7"/>
      <c r="J871" s="7" t="s">
        <v>36</v>
      </c>
      <c r="K871" s="7" t="s">
        <v>235</v>
      </c>
      <c r="L871" s="7" t="s">
        <v>236</v>
      </c>
      <c r="M871" s="7" t="s">
        <v>237</v>
      </c>
      <c r="N871" s="7" t="s">
        <v>33</v>
      </c>
      <c r="O871" s="7">
        <v>1</v>
      </c>
      <c r="P871" s="7" t="s">
        <v>40</v>
      </c>
      <c r="Q871" s="7">
        <v>85.99</v>
      </c>
      <c r="R871" s="7"/>
      <c r="S871" s="7"/>
      <c r="T871" s="7"/>
      <c r="U871" s="7"/>
      <c r="V871" s="7"/>
      <c r="W871" s="7"/>
      <c r="X871" s="7"/>
      <c r="Y871" s="7" t="s">
        <v>4221</v>
      </c>
      <c r="Z871" s="7" t="s">
        <v>4222</v>
      </c>
      <c r="AA871" s="7">
        <v>77429</v>
      </c>
      <c r="AB871" s="7" t="s">
        <v>44</v>
      </c>
      <c r="AC871" s="7"/>
      <c r="AD871" s="7"/>
      <c r="AE871" s="7"/>
      <c r="AF871" s="7"/>
      <c r="AG871" s="11">
        <f t="shared" si="13"/>
        <v>43282</v>
      </c>
    </row>
    <row r="872" s="8" customFormat="1" spans="1:33">
      <c r="A872" s="7" t="s">
        <v>4223</v>
      </c>
      <c r="B872" s="7" t="s">
        <v>4223</v>
      </c>
      <c r="C872" s="7" t="s">
        <v>4224</v>
      </c>
      <c r="D872" s="7" t="s">
        <v>4225</v>
      </c>
      <c r="E872" s="7" t="s">
        <v>33</v>
      </c>
      <c r="F872" s="7" t="s">
        <v>34</v>
      </c>
      <c r="G872" s="7" t="s">
        <v>35</v>
      </c>
      <c r="H872" s="7"/>
      <c r="I872" s="7"/>
      <c r="J872" s="7" t="s">
        <v>36</v>
      </c>
      <c r="K872" s="7" t="s">
        <v>986</v>
      </c>
      <c r="L872" s="7" t="s">
        <v>987</v>
      </c>
      <c r="M872" s="7" t="s">
        <v>988</v>
      </c>
      <c r="N872" s="7" t="s">
        <v>33</v>
      </c>
      <c r="O872" s="7">
        <v>1</v>
      </c>
      <c r="P872" s="7" t="s">
        <v>40</v>
      </c>
      <c r="Q872" s="7">
        <v>99.99</v>
      </c>
      <c r="R872" s="7"/>
      <c r="S872" s="7"/>
      <c r="T872" s="7"/>
      <c r="U872" s="7"/>
      <c r="V872" s="7"/>
      <c r="W872" s="7"/>
      <c r="X872" s="7"/>
      <c r="Y872" s="7" t="s">
        <v>4226</v>
      </c>
      <c r="Z872" s="7" t="s">
        <v>440</v>
      </c>
      <c r="AA872" s="7" t="s">
        <v>4227</v>
      </c>
      <c r="AB872" s="7" t="s">
        <v>44</v>
      </c>
      <c r="AC872" s="7"/>
      <c r="AD872" s="7"/>
      <c r="AE872" s="7"/>
      <c r="AF872" s="7"/>
      <c r="AG872" s="11">
        <f t="shared" si="13"/>
        <v>43282</v>
      </c>
    </row>
    <row r="873" s="8" customFormat="1" spans="1:33">
      <c r="A873" s="7" t="s">
        <v>4228</v>
      </c>
      <c r="B873" s="7" t="s">
        <v>4228</v>
      </c>
      <c r="C873" s="7" t="s">
        <v>4229</v>
      </c>
      <c r="D873" s="7" t="s">
        <v>4230</v>
      </c>
      <c r="E873" s="7" t="s">
        <v>33</v>
      </c>
      <c r="F873" s="7" t="s">
        <v>34</v>
      </c>
      <c r="G873" s="7" t="s">
        <v>35</v>
      </c>
      <c r="H873" s="7"/>
      <c r="I873" s="7"/>
      <c r="J873" s="7" t="s">
        <v>36</v>
      </c>
      <c r="K873" s="7" t="s">
        <v>59</v>
      </c>
      <c r="L873" s="7" t="s">
        <v>60</v>
      </c>
      <c r="M873" s="7" t="s">
        <v>61</v>
      </c>
      <c r="N873" s="7" t="s">
        <v>33</v>
      </c>
      <c r="O873" s="7">
        <v>1</v>
      </c>
      <c r="P873" s="7" t="s">
        <v>40</v>
      </c>
      <c r="Q873" s="7">
        <v>89.99</v>
      </c>
      <c r="R873" s="7"/>
      <c r="S873" s="7"/>
      <c r="T873" s="7"/>
      <c r="U873" s="7"/>
      <c r="V873" s="7"/>
      <c r="W873" s="7"/>
      <c r="X873" s="7"/>
      <c r="Y873" s="7" t="s">
        <v>4231</v>
      </c>
      <c r="Z873" s="7" t="s">
        <v>83</v>
      </c>
      <c r="AA873" s="7" t="s">
        <v>4232</v>
      </c>
      <c r="AB873" s="7" t="s">
        <v>44</v>
      </c>
      <c r="AC873" s="7"/>
      <c r="AD873" s="7"/>
      <c r="AE873" s="7"/>
      <c r="AF873" s="7"/>
      <c r="AG873" s="11">
        <f t="shared" si="13"/>
        <v>43282</v>
      </c>
    </row>
    <row r="874" s="8" customFormat="1" spans="1:33">
      <c r="A874" s="7" t="s">
        <v>4233</v>
      </c>
      <c r="B874" s="7" t="s">
        <v>4233</v>
      </c>
      <c r="C874" s="7" t="s">
        <v>4234</v>
      </c>
      <c r="D874" s="7" t="s">
        <v>4235</v>
      </c>
      <c r="E874" s="7" t="s">
        <v>33</v>
      </c>
      <c r="F874" s="7" t="s">
        <v>34</v>
      </c>
      <c r="G874" s="7" t="s">
        <v>35</v>
      </c>
      <c r="H874" s="7"/>
      <c r="I874" s="7"/>
      <c r="J874" s="7" t="s">
        <v>36</v>
      </c>
      <c r="K874" s="7" t="s">
        <v>3499</v>
      </c>
      <c r="L874" s="7" t="s">
        <v>3059</v>
      </c>
      <c r="M874" s="7" t="s">
        <v>3060</v>
      </c>
      <c r="N874" s="7" t="s">
        <v>33</v>
      </c>
      <c r="O874" s="7">
        <v>1</v>
      </c>
      <c r="P874" s="7" t="s">
        <v>40</v>
      </c>
      <c r="Q874" s="7">
        <v>85.99</v>
      </c>
      <c r="R874" s="7"/>
      <c r="S874" s="7"/>
      <c r="T874" s="7"/>
      <c r="U874" s="7"/>
      <c r="V874" s="7"/>
      <c r="W874" s="7"/>
      <c r="X874" s="7"/>
      <c r="Y874" s="7" t="s">
        <v>4236</v>
      </c>
      <c r="Z874" s="7" t="s">
        <v>484</v>
      </c>
      <c r="AA874" s="7" t="s">
        <v>4237</v>
      </c>
      <c r="AB874" s="7" t="s">
        <v>44</v>
      </c>
      <c r="AC874" s="7"/>
      <c r="AD874" s="7"/>
      <c r="AE874" s="7"/>
      <c r="AF874" s="7"/>
      <c r="AG874" s="11">
        <f t="shared" si="13"/>
        <v>43282</v>
      </c>
    </row>
    <row r="875" s="8" customFormat="1" spans="1:33">
      <c r="A875" s="7" t="s">
        <v>4238</v>
      </c>
      <c r="B875" s="7" t="s">
        <v>4238</v>
      </c>
      <c r="C875" s="7" t="s">
        <v>4239</v>
      </c>
      <c r="D875" s="7" t="s">
        <v>4240</v>
      </c>
      <c r="E875" s="7" t="s">
        <v>33</v>
      </c>
      <c r="F875" s="7" t="s">
        <v>34</v>
      </c>
      <c r="G875" s="7" t="s">
        <v>35</v>
      </c>
      <c r="H875" s="7"/>
      <c r="I875" s="7"/>
      <c r="J875" s="7" t="s">
        <v>36</v>
      </c>
      <c r="K875" s="7" t="s">
        <v>642</v>
      </c>
      <c r="L875" s="7" t="s">
        <v>643</v>
      </c>
      <c r="M875" s="7" t="s">
        <v>644</v>
      </c>
      <c r="N875" s="7" t="s">
        <v>33</v>
      </c>
      <c r="O875" s="7">
        <v>1</v>
      </c>
      <c r="P875" s="7" t="s">
        <v>40</v>
      </c>
      <c r="Q875" s="7">
        <v>21.99</v>
      </c>
      <c r="R875" s="7"/>
      <c r="S875" s="7"/>
      <c r="T875" s="7"/>
      <c r="U875" s="7"/>
      <c r="V875" s="7"/>
      <c r="W875" s="7"/>
      <c r="X875" s="7"/>
      <c r="Y875" s="7" t="s">
        <v>3664</v>
      </c>
      <c r="Z875" s="7" t="s">
        <v>42</v>
      </c>
      <c r="AA875" s="7" t="s">
        <v>3665</v>
      </c>
      <c r="AB875" s="7" t="s">
        <v>44</v>
      </c>
      <c r="AC875" s="7"/>
      <c r="AD875" s="7"/>
      <c r="AE875" s="7"/>
      <c r="AF875" s="7"/>
      <c r="AG875" s="11">
        <f t="shared" si="13"/>
        <v>43282</v>
      </c>
    </row>
    <row r="876" s="8" customFormat="1" spans="1:33">
      <c r="A876" s="7" t="s">
        <v>4241</v>
      </c>
      <c r="B876" s="7" t="s">
        <v>4241</v>
      </c>
      <c r="C876" s="7" t="s">
        <v>4242</v>
      </c>
      <c r="D876" s="7" t="s">
        <v>4243</v>
      </c>
      <c r="E876" s="7" t="s">
        <v>33</v>
      </c>
      <c r="F876" s="7" t="s">
        <v>34</v>
      </c>
      <c r="G876" s="7" t="s">
        <v>35</v>
      </c>
      <c r="H876" s="7"/>
      <c r="I876" s="7"/>
      <c r="J876" s="7" t="s">
        <v>36</v>
      </c>
      <c r="K876" s="7" t="s">
        <v>698</v>
      </c>
      <c r="L876" s="7" t="s">
        <v>699</v>
      </c>
      <c r="M876" s="7" t="s">
        <v>700</v>
      </c>
      <c r="N876" s="7" t="s">
        <v>33</v>
      </c>
      <c r="O876" s="7">
        <v>1</v>
      </c>
      <c r="P876" s="7" t="s">
        <v>40</v>
      </c>
      <c r="Q876" s="7">
        <v>21.99</v>
      </c>
      <c r="R876" s="7"/>
      <c r="S876" s="7"/>
      <c r="T876" s="7"/>
      <c r="U876" s="7"/>
      <c r="V876" s="7"/>
      <c r="W876" s="7"/>
      <c r="X876" s="7"/>
      <c r="Y876" s="7" t="s">
        <v>73</v>
      </c>
      <c r="Z876" s="7" t="s">
        <v>64</v>
      </c>
      <c r="AA876" s="7" t="s">
        <v>4244</v>
      </c>
      <c r="AB876" s="7" t="s">
        <v>44</v>
      </c>
      <c r="AC876" s="7"/>
      <c r="AD876" s="7"/>
      <c r="AE876" s="7"/>
      <c r="AF876" s="7"/>
      <c r="AG876" s="11">
        <f t="shared" si="13"/>
        <v>43282</v>
      </c>
    </row>
    <row r="877" s="8" customFormat="1" spans="1:33">
      <c r="A877" s="7" t="s">
        <v>4241</v>
      </c>
      <c r="B877" s="7" t="s">
        <v>4241</v>
      </c>
      <c r="C877" s="7" t="s">
        <v>4242</v>
      </c>
      <c r="D877" s="7" t="s">
        <v>4243</v>
      </c>
      <c r="E877" s="7" t="s">
        <v>33</v>
      </c>
      <c r="F877" s="7" t="s">
        <v>34</v>
      </c>
      <c r="G877" s="7" t="s">
        <v>35</v>
      </c>
      <c r="H877" s="7"/>
      <c r="I877" s="7"/>
      <c r="J877" s="7" t="s">
        <v>36</v>
      </c>
      <c r="K877" s="7" t="s">
        <v>148</v>
      </c>
      <c r="L877" s="7" t="s">
        <v>149</v>
      </c>
      <c r="M877" s="7" t="s">
        <v>150</v>
      </c>
      <c r="N877" s="7" t="s">
        <v>33</v>
      </c>
      <c r="O877" s="7">
        <v>1</v>
      </c>
      <c r="P877" s="7" t="s">
        <v>40</v>
      </c>
      <c r="Q877" s="7">
        <v>98.99</v>
      </c>
      <c r="R877" s="7"/>
      <c r="S877" s="7"/>
      <c r="T877" s="7"/>
      <c r="U877" s="7"/>
      <c r="V877" s="7"/>
      <c r="W877" s="7"/>
      <c r="X877" s="7"/>
      <c r="Y877" s="7" t="s">
        <v>73</v>
      </c>
      <c r="Z877" s="7" t="s">
        <v>64</v>
      </c>
      <c r="AA877" s="7" t="s">
        <v>4244</v>
      </c>
      <c r="AB877" s="7" t="s">
        <v>44</v>
      </c>
      <c r="AC877" s="7"/>
      <c r="AD877" s="7"/>
      <c r="AE877" s="7"/>
      <c r="AF877" s="7"/>
      <c r="AG877" s="11">
        <f t="shared" si="13"/>
        <v>43282</v>
      </c>
    </row>
    <row r="878" s="8" customFormat="1" spans="1:33">
      <c r="A878" s="7" t="s">
        <v>4245</v>
      </c>
      <c r="B878" s="7" t="s">
        <v>4245</v>
      </c>
      <c r="C878" s="7" t="s">
        <v>4246</v>
      </c>
      <c r="D878" s="7" t="s">
        <v>4247</v>
      </c>
      <c r="E878" s="7" t="s">
        <v>33</v>
      </c>
      <c r="F878" s="7" t="s">
        <v>34</v>
      </c>
      <c r="G878" s="7" t="s">
        <v>35</v>
      </c>
      <c r="H878" s="7"/>
      <c r="I878" s="7"/>
      <c r="J878" s="7" t="s">
        <v>36</v>
      </c>
      <c r="K878" s="7" t="s">
        <v>37</v>
      </c>
      <c r="L878" s="7" t="s">
        <v>38</v>
      </c>
      <c r="M878" s="7" t="s">
        <v>39</v>
      </c>
      <c r="N878" s="7" t="s">
        <v>33</v>
      </c>
      <c r="O878" s="7">
        <v>1</v>
      </c>
      <c r="P878" s="7" t="s">
        <v>40</v>
      </c>
      <c r="Q878" s="7">
        <v>89.99</v>
      </c>
      <c r="R878" s="7"/>
      <c r="S878" s="7"/>
      <c r="T878" s="7"/>
      <c r="U878" s="7"/>
      <c r="V878" s="7"/>
      <c r="W878" s="7"/>
      <c r="X878" s="7"/>
      <c r="Y878" s="7" t="s">
        <v>4248</v>
      </c>
      <c r="Z878" s="7" t="s">
        <v>422</v>
      </c>
      <c r="AA878" s="7" t="s">
        <v>4249</v>
      </c>
      <c r="AB878" s="7" t="s">
        <v>44</v>
      </c>
      <c r="AC878" s="7"/>
      <c r="AD878" s="7"/>
      <c r="AE878" s="7"/>
      <c r="AF878" s="7"/>
      <c r="AG878" s="11">
        <f t="shared" si="13"/>
        <v>43282</v>
      </c>
    </row>
    <row r="879" s="8" customFormat="1" spans="1:33">
      <c r="A879" s="7" t="s">
        <v>4250</v>
      </c>
      <c r="B879" s="7" t="s">
        <v>4250</v>
      </c>
      <c r="C879" s="7" t="s">
        <v>4251</v>
      </c>
      <c r="D879" s="7" t="s">
        <v>4252</v>
      </c>
      <c r="E879" s="7" t="s">
        <v>33</v>
      </c>
      <c r="F879" s="7" t="s">
        <v>34</v>
      </c>
      <c r="G879" s="7" t="s">
        <v>35</v>
      </c>
      <c r="H879" s="7"/>
      <c r="I879" s="7"/>
      <c r="J879" s="7" t="s">
        <v>36</v>
      </c>
      <c r="K879" s="7" t="s">
        <v>148</v>
      </c>
      <c r="L879" s="7" t="s">
        <v>149</v>
      </c>
      <c r="M879" s="7" t="s">
        <v>150</v>
      </c>
      <c r="N879" s="7" t="s">
        <v>33</v>
      </c>
      <c r="O879" s="7">
        <v>1</v>
      </c>
      <c r="P879" s="7" t="s">
        <v>40</v>
      </c>
      <c r="Q879" s="7">
        <v>98.99</v>
      </c>
      <c r="R879" s="7"/>
      <c r="S879" s="7"/>
      <c r="T879" s="7"/>
      <c r="U879" s="7"/>
      <c r="V879" s="7"/>
      <c r="W879" s="7"/>
      <c r="X879" s="7"/>
      <c r="Y879" s="7" t="s">
        <v>4253</v>
      </c>
      <c r="Z879" s="7" t="s">
        <v>92</v>
      </c>
      <c r="AA879" s="7" t="s">
        <v>4254</v>
      </c>
      <c r="AB879" s="7" t="s">
        <v>44</v>
      </c>
      <c r="AC879" s="7"/>
      <c r="AD879" s="7"/>
      <c r="AE879" s="7"/>
      <c r="AF879" s="7"/>
      <c r="AG879" s="11">
        <f t="shared" si="13"/>
        <v>43282</v>
      </c>
    </row>
    <row r="880" s="8" customFormat="1" spans="1:33">
      <c r="A880" s="7" t="s">
        <v>4255</v>
      </c>
      <c r="B880" s="7" t="s">
        <v>4255</v>
      </c>
      <c r="C880" s="7" t="s">
        <v>4256</v>
      </c>
      <c r="D880" s="7" t="s">
        <v>4257</v>
      </c>
      <c r="E880" s="7" t="s">
        <v>33</v>
      </c>
      <c r="F880" s="7" t="s">
        <v>34</v>
      </c>
      <c r="G880" s="7" t="s">
        <v>35</v>
      </c>
      <c r="H880" s="7"/>
      <c r="I880" s="7"/>
      <c r="J880" s="7" t="s">
        <v>36</v>
      </c>
      <c r="K880" s="7" t="s">
        <v>3454</v>
      </c>
      <c r="L880" s="7" t="s">
        <v>3455</v>
      </c>
      <c r="M880" s="7" t="s">
        <v>3456</v>
      </c>
      <c r="N880" s="7" t="s">
        <v>33</v>
      </c>
      <c r="O880" s="7">
        <v>1</v>
      </c>
      <c r="P880" s="7" t="s">
        <v>40</v>
      </c>
      <c r="Q880" s="7">
        <v>79.99</v>
      </c>
      <c r="R880" s="7"/>
      <c r="S880" s="7"/>
      <c r="T880" s="7"/>
      <c r="U880" s="7"/>
      <c r="V880" s="7"/>
      <c r="W880" s="7"/>
      <c r="X880" s="7"/>
      <c r="Y880" s="7" t="s">
        <v>4258</v>
      </c>
      <c r="Z880" s="7" t="s">
        <v>613</v>
      </c>
      <c r="AA880" s="7" t="s">
        <v>4259</v>
      </c>
      <c r="AB880" s="7" t="s">
        <v>44</v>
      </c>
      <c r="AC880" s="7"/>
      <c r="AD880" s="7"/>
      <c r="AE880" s="7"/>
      <c r="AF880" s="7"/>
      <c r="AG880" s="11">
        <f t="shared" si="13"/>
        <v>43282</v>
      </c>
    </row>
    <row r="881" s="8" customFormat="1" spans="1:33">
      <c r="A881" s="7" t="s">
        <v>4260</v>
      </c>
      <c r="B881" s="7" t="s">
        <v>4260</v>
      </c>
      <c r="C881" s="7" t="s">
        <v>4261</v>
      </c>
      <c r="D881" s="7" t="s">
        <v>4262</v>
      </c>
      <c r="E881" s="7" t="s">
        <v>33</v>
      </c>
      <c r="F881" s="7" t="s">
        <v>34</v>
      </c>
      <c r="G881" s="7" t="s">
        <v>35</v>
      </c>
      <c r="H881" s="7"/>
      <c r="I881" s="7"/>
      <c r="J881" s="7" t="s">
        <v>36</v>
      </c>
      <c r="K881" s="7" t="s">
        <v>1975</v>
      </c>
      <c r="L881" s="7" t="s">
        <v>1976</v>
      </c>
      <c r="M881" s="7" t="s">
        <v>1977</v>
      </c>
      <c r="N881" s="7" t="s">
        <v>33</v>
      </c>
      <c r="O881" s="7">
        <v>1</v>
      </c>
      <c r="P881" s="7" t="s">
        <v>40</v>
      </c>
      <c r="Q881" s="7">
        <v>92.99</v>
      </c>
      <c r="R881" s="7"/>
      <c r="S881" s="7"/>
      <c r="T881" s="7"/>
      <c r="U881" s="7"/>
      <c r="V881" s="7"/>
      <c r="W881" s="7"/>
      <c r="X881" s="7"/>
      <c r="Y881" s="7" t="s">
        <v>512</v>
      </c>
      <c r="Z881" s="7" t="s">
        <v>466</v>
      </c>
      <c r="AA881" s="7" t="s">
        <v>4263</v>
      </c>
      <c r="AB881" s="7" t="s">
        <v>44</v>
      </c>
      <c r="AC881" s="7"/>
      <c r="AD881" s="7"/>
      <c r="AE881" s="7"/>
      <c r="AF881" s="7"/>
      <c r="AG881" s="11">
        <f t="shared" si="13"/>
        <v>43282</v>
      </c>
    </row>
    <row r="882" s="8" customFormat="1" spans="1:33">
      <c r="A882" s="7" t="s">
        <v>4264</v>
      </c>
      <c r="B882" s="7" t="s">
        <v>4264</v>
      </c>
      <c r="C882" s="7" t="s">
        <v>4265</v>
      </c>
      <c r="D882" s="7" t="s">
        <v>4266</v>
      </c>
      <c r="E882" s="7" t="s">
        <v>33</v>
      </c>
      <c r="F882" s="7" t="s">
        <v>34</v>
      </c>
      <c r="G882" s="7" t="s">
        <v>35</v>
      </c>
      <c r="H882" s="7"/>
      <c r="I882" s="7"/>
      <c r="J882" s="7" t="s">
        <v>36</v>
      </c>
      <c r="K882" s="7" t="s">
        <v>1917</v>
      </c>
      <c r="L882" s="7" t="s">
        <v>1918</v>
      </c>
      <c r="M882" s="7" t="s">
        <v>1919</v>
      </c>
      <c r="N882" s="7" t="s">
        <v>33</v>
      </c>
      <c r="O882" s="7">
        <v>1</v>
      </c>
      <c r="P882" s="7" t="s">
        <v>40</v>
      </c>
      <c r="Q882" s="7">
        <v>79.99</v>
      </c>
      <c r="R882" s="7"/>
      <c r="S882" s="7"/>
      <c r="T882" s="7"/>
      <c r="U882" s="7"/>
      <c r="V882" s="7"/>
      <c r="W882" s="7"/>
      <c r="X882" s="7"/>
      <c r="Y882" s="7" t="s">
        <v>4267</v>
      </c>
      <c r="Z882" s="7" t="s">
        <v>293</v>
      </c>
      <c r="AA882" s="7" t="s">
        <v>4268</v>
      </c>
      <c r="AB882" s="7" t="s">
        <v>44</v>
      </c>
      <c r="AC882" s="7"/>
      <c r="AD882" s="7"/>
      <c r="AE882" s="7"/>
      <c r="AF882" s="7"/>
      <c r="AG882" s="11">
        <f t="shared" si="13"/>
        <v>43282</v>
      </c>
    </row>
    <row r="883" s="8" customFormat="1" spans="1:33">
      <c r="A883" s="7" t="s">
        <v>4269</v>
      </c>
      <c r="B883" s="7" t="s">
        <v>4269</v>
      </c>
      <c r="C883" s="7" t="s">
        <v>4270</v>
      </c>
      <c r="D883" s="7" t="s">
        <v>4271</v>
      </c>
      <c r="E883" s="7" t="s">
        <v>33</v>
      </c>
      <c r="F883" s="7" t="s">
        <v>34</v>
      </c>
      <c r="G883" s="7" t="s">
        <v>35</v>
      </c>
      <c r="H883" s="7"/>
      <c r="I883" s="7"/>
      <c r="J883" s="7" t="s">
        <v>36</v>
      </c>
      <c r="K883" s="7" t="s">
        <v>2147</v>
      </c>
      <c r="L883" s="7" t="s">
        <v>4272</v>
      </c>
      <c r="M883" s="7" t="s">
        <v>2149</v>
      </c>
      <c r="N883" s="7" t="s">
        <v>33</v>
      </c>
      <c r="O883" s="7">
        <v>1</v>
      </c>
      <c r="P883" s="7" t="s">
        <v>40</v>
      </c>
      <c r="Q883" s="7">
        <v>32.99</v>
      </c>
      <c r="R883" s="7"/>
      <c r="S883" s="7"/>
      <c r="T883" s="7"/>
      <c r="U883" s="7"/>
      <c r="V883" s="7"/>
      <c r="W883" s="7"/>
      <c r="X883" s="7"/>
      <c r="Y883" s="7" t="s">
        <v>4273</v>
      </c>
      <c r="Z883" s="7" t="s">
        <v>152</v>
      </c>
      <c r="AA883" s="7" t="s">
        <v>4274</v>
      </c>
      <c r="AB883" s="7" t="s">
        <v>44</v>
      </c>
      <c r="AC883" s="7"/>
      <c r="AD883" s="7"/>
      <c r="AE883" s="7"/>
      <c r="AF883" s="7"/>
      <c r="AG883" s="11">
        <f t="shared" si="13"/>
        <v>43282</v>
      </c>
    </row>
    <row r="884" s="8" customFormat="1" spans="1:33">
      <c r="A884" s="7" t="s">
        <v>4275</v>
      </c>
      <c r="B884" s="7" t="s">
        <v>4275</v>
      </c>
      <c r="C884" s="7" t="s">
        <v>4276</v>
      </c>
      <c r="D884" s="7" t="s">
        <v>4277</v>
      </c>
      <c r="E884" s="7" t="s">
        <v>33</v>
      </c>
      <c r="F884" s="7" t="s">
        <v>34</v>
      </c>
      <c r="G884" s="7" t="s">
        <v>35</v>
      </c>
      <c r="H884" s="7"/>
      <c r="I884" s="7"/>
      <c r="J884" s="7" t="s">
        <v>36</v>
      </c>
      <c r="K884" s="7" t="s">
        <v>1099</v>
      </c>
      <c r="L884" s="7" t="s">
        <v>1100</v>
      </c>
      <c r="M884" s="7" t="s">
        <v>1101</v>
      </c>
      <c r="N884" s="7" t="s">
        <v>33</v>
      </c>
      <c r="O884" s="7">
        <v>1</v>
      </c>
      <c r="P884" s="7" t="s">
        <v>40</v>
      </c>
      <c r="Q884" s="7">
        <v>108.99</v>
      </c>
      <c r="R884" s="7"/>
      <c r="S884" s="7"/>
      <c r="T884" s="7"/>
      <c r="U884" s="7"/>
      <c r="V884" s="7"/>
      <c r="W884" s="7"/>
      <c r="X884" s="7"/>
      <c r="Y884" s="7" t="s">
        <v>2518</v>
      </c>
      <c r="Z884" s="7" t="s">
        <v>484</v>
      </c>
      <c r="AA884" s="7" t="s">
        <v>4278</v>
      </c>
      <c r="AB884" s="7" t="s">
        <v>44</v>
      </c>
      <c r="AC884" s="7"/>
      <c r="AD884" s="7"/>
      <c r="AE884" s="7"/>
      <c r="AF884" s="7"/>
      <c r="AG884" s="11">
        <f t="shared" si="13"/>
        <v>43282</v>
      </c>
    </row>
    <row r="885" s="8" customFormat="1" spans="1:33">
      <c r="A885" s="7" t="s">
        <v>4279</v>
      </c>
      <c r="B885" s="7" t="s">
        <v>4279</v>
      </c>
      <c r="C885" s="7" t="s">
        <v>4280</v>
      </c>
      <c r="D885" s="7" t="s">
        <v>4281</v>
      </c>
      <c r="E885" s="7" t="s">
        <v>54</v>
      </c>
      <c r="F885" s="7" t="s">
        <v>34</v>
      </c>
      <c r="G885" s="7" t="s">
        <v>35</v>
      </c>
      <c r="H885" s="7"/>
      <c r="I885" s="7"/>
      <c r="J885" s="7" t="s">
        <v>36</v>
      </c>
      <c r="K885" s="7" t="s">
        <v>148</v>
      </c>
      <c r="L885" s="7" t="s">
        <v>149</v>
      </c>
      <c r="M885" s="7" t="s">
        <v>150</v>
      </c>
      <c r="N885" s="7" t="s">
        <v>62</v>
      </c>
      <c r="O885" s="7">
        <v>1</v>
      </c>
      <c r="P885" s="7" t="s">
        <v>40</v>
      </c>
      <c r="Q885" s="7">
        <v>98.99</v>
      </c>
      <c r="R885" s="7"/>
      <c r="S885" s="7"/>
      <c r="T885" s="7"/>
      <c r="U885" s="7"/>
      <c r="V885" s="7"/>
      <c r="W885" s="7"/>
      <c r="X885" s="7"/>
      <c r="Y885" s="7" t="s">
        <v>73</v>
      </c>
      <c r="Z885" s="7" t="s">
        <v>64</v>
      </c>
      <c r="AA885" s="7" t="s">
        <v>4282</v>
      </c>
      <c r="AB885" s="7" t="s">
        <v>44</v>
      </c>
      <c r="AC885" s="7"/>
      <c r="AD885" s="7"/>
      <c r="AE885" s="7"/>
      <c r="AF885" s="7"/>
      <c r="AG885" s="11">
        <f t="shared" si="13"/>
        <v>43282</v>
      </c>
    </row>
    <row r="886" s="8" customFormat="1" spans="1:33">
      <c r="A886" s="7" t="s">
        <v>4283</v>
      </c>
      <c r="B886" s="7" t="s">
        <v>4283</v>
      </c>
      <c r="C886" s="7" t="s">
        <v>4284</v>
      </c>
      <c r="D886" s="7" t="s">
        <v>4285</v>
      </c>
      <c r="E886" s="7" t="s">
        <v>33</v>
      </c>
      <c r="F886" s="7" t="s">
        <v>34</v>
      </c>
      <c r="G886" s="7" t="s">
        <v>35</v>
      </c>
      <c r="H886" s="7"/>
      <c r="I886" s="7"/>
      <c r="J886" s="7" t="s">
        <v>36</v>
      </c>
      <c r="K886" s="7" t="s">
        <v>148</v>
      </c>
      <c r="L886" s="7" t="s">
        <v>149</v>
      </c>
      <c r="M886" s="7" t="s">
        <v>150</v>
      </c>
      <c r="N886" s="7" t="s">
        <v>33</v>
      </c>
      <c r="O886" s="7">
        <v>1</v>
      </c>
      <c r="P886" s="7" t="s">
        <v>40</v>
      </c>
      <c r="Q886" s="7">
        <v>98.99</v>
      </c>
      <c r="R886" s="7"/>
      <c r="S886" s="7"/>
      <c r="T886" s="7"/>
      <c r="U886" s="7"/>
      <c r="V886" s="7"/>
      <c r="W886" s="7"/>
      <c r="X886" s="7"/>
      <c r="Y886" s="7" t="s">
        <v>4286</v>
      </c>
      <c r="Z886" s="7" t="s">
        <v>42</v>
      </c>
      <c r="AA886" s="7" t="s">
        <v>4287</v>
      </c>
      <c r="AB886" s="7" t="s">
        <v>44</v>
      </c>
      <c r="AC886" s="7"/>
      <c r="AD886" s="7"/>
      <c r="AE886" s="7"/>
      <c r="AF886" s="7"/>
      <c r="AG886" s="11">
        <f t="shared" si="13"/>
        <v>43282</v>
      </c>
    </row>
    <row r="887" s="8" customFormat="1" spans="1:33">
      <c r="A887" s="7" t="s">
        <v>4288</v>
      </c>
      <c r="B887" s="7" t="s">
        <v>4288</v>
      </c>
      <c r="C887" s="7" t="s">
        <v>4289</v>
      </c>
      <c r="D887" s="7" t="s">
        <v>4290</v>
      </c>
      <c r="E887" s="7" t="s">
        <v>33</v>
      </c>
      <c r="F887" s="7" t="s">
        <v>34</v>
      </c>
      <c r="G887" s="7" t="s">
        <v>35</v>
      </c>
      <c r="H887" s="7"/>
      <c r="I887" s="7"/>
      <c r="J887" s="7" t="s">
        <v>36</v>
      </c>
      <c r="K887" s="7" t="s">
        <v>148</v>
      </c>
      <c r="L887" s="7" t="s">
        <v>149</v>
      </c>
      <c r="M887" s="7" t="s">
        <v>150</v>
      </c>
      <c r="N887" s="7" t="s">
        <v>33</v>
      </c>
      <c r="O887" s="7">
        <v>1</v>
      </c>
      <c r="P887" s="7" t="s">
        <v>40</v>
      </c>
      <c r="Q887" s="7">
        <v>98.99</v>
      </c>
      <c r="R887" s="7"/>
      <c r="S887" s="7"/>
      <c r="T887" s="7"/>
      <c r="U887" s="7"/>
      <c r="V887" s="7"/>
      <c r="W887" s="7"/>
      <c r="X887" s="7"/>
      <c r="Y887" s="7" t="s">
        <v>3988</v>
      </c>
      <c r="Z887" s="7" t="s">
        <v>484</v>
      </c>
      <c r="AA887" s="7" t="s">
        <v>4291</v>
      </c>
      <c r="AB887" s="7" t="s">
        <v>44</v>
      </c>
      <c r="AC887" s="7"/>
      <c r="AD887" s="7"/>
      <c r="AE887" s="7"/>
      <c r="AF887" s="7"/>
      <c r="AG887" s="11">
        <f t="shared" si="13"/>
        <v>43282</v>
      </c>
    </row>
    <row r="888" s="8" customFormat="1" spans="1:33">
      <c r="A888" s="7" t="s">
        <v>4292</v>
      </c>
      <c r="B888" s="7" t="s">
        <v>4292</v>
      </c>
      <c r="C888" s="7" t="s">
        <v>4293</v>
      </c>
      <c r="D888" s="7" t="s">
        <v>4294</v>
      </c>
      <c r="E888" s="7" t="s">
        <v>54</v>
      </c>
      <c r="F888" s="7" t="s">
        <v>34</v>
      </c>
      <c r="G888" s="7" t="s">
        <v>35</v>
      </c>
      <c r="H888" s="7"/>
      <c r="I888" s="7"/>
      <c r="J888" s="7" t="s">
        <v>69</v>
      </c>
      <c r="K888" s="7" t="s">
        <v>2625</v>
      </c>
      <c r="L888" s="7" t="s">
        <v>2626</v>
      </c>
      <c r="M888" s="7" t="s">
        <v>2627</v>
      </c>
      <c r="N888" s="7" t="s">
        <v>54</v>
      </c>
      <c r="O888" s="7">
        <v>0</v>
      </c>
      <c r="P888" s="7"/>
      <c r="Q888" s="7"/>
      <c r="R888" s="7"/>
      <c r="S888" s="7"/>
      <c r="T888" s="7"/>
      <c r="U888" s="7"/>
      <c r="V888" s="7"/>
      <c r="W888" s="7"/>
      <c r="X888" s="7"/>
      <c r="Y888" s="7" t="s">
        <v>1525</v>
      </c>
      <c r="Z888" s="7" t="s">
        <v>42</v>
      </c>
      <c r="AA888" s="7" t="s">
        <v>4295</v>
      </c>
      <c r="AB888" s="7" t="s">
        <v>44</v>
      </c>
      <c r="AC888" s="7"/>
      <c r="AD888" s="7"/>
      <c r="AE888" s="7"/>
      <c r="AF888" s="7"/>
      <c r="AG888" s="11">
        <f t="shared" si="13"/>
        <v>43282</v>
      </c>
    </row>
    <row r="889" s="8" customFormat="1" spans="1:33">
      <c r="A889" s="7" t="s">
        <v>4296</v>
      </c>
      <c r="B889" s="7" t="s">
        <v>4296</v>
      </c>
      <c r="C889" s="7" t="s">
        <v>4297</v>
      </c>
      <c r="D889" s="7" t="s">
        <v>4298</v>
      </c>
      <c r="E889" s="7" t="s">
        <v>33</v>
      </c>
      <c r="F889" s="7" t="s">
        <v>34</v>
      </c>
      <c r="G889" s="7" t="s">
        <v>35</v>
      </c>
      <c r="H889" s="7"/>
      <c r="I889" s="7"/>
      <c r="J889" s="7" t="s">
        <v>36</v>
      </c>
      <c r="K889" s="7" t="s">
        <v>148</v>
      </c>
      <c r="L889" s="7" t="s">
        <v>149</v>
      </c>
      <c r="M889" s="7" t="s">
        <v>150</v>
      </c>
      <c r="N889" s="7" t="s">
        <v>33</v>
      </c>
      <c r="O889" s="7">
        <v>1</v>
      </c>
      <c r="P889" s="7" t="s">
        <v>40</v>
      </c>
      <c r="Q889" s="7">
        <v>98.99</v>
      </c>
      <c r="R889" s="7"/>
      <c r="S889" s="7"/>
      <c r="T889" s="7"/>
      <c r="U889" s="7"/>
      <c r="V889" s="7"/>
      <c r="W889" s="7"/>
      <c r="X889" s="7"/>
      <c r="Y889" s="7" t="s">
        <v>4299</v>
      </c>
      <c r="Z889" s="7" t="s">
        <v>83</v>
      </c>
      <c r="AA889" s="7" t="s">
        <v>4300</v>
      </c>
      <c r="AB889" s="7" t="s">
        <v>44</v>
      </c>
      <c r="AC889" s="7"/>
      <c r="AD889" s="7"/>
      <c r="AE889" s="7"/>
      <c r="AF889" s="7"/>
      <c r="AG889" s="11">
        <f t="shared" si="13"/>
        <v>43282</v>
      </c>
    </row>
    <row r="890" s="8" customFormat="1" spans="1:33">
      <c r="A890" s="7" t="s">
        <v>4301</v>
      </c>
      <c r="B890" s="7" t="s">
        <v>4301</v>
      </c>
      <c r="C890" s="7" t="s">
        <v>4302</v>
      </c>
      <c r="D890" s="7" t="s">
        <v>4303</v>
      </c>
      <c r="E890" s="7" t="s">
        <v>33</v>
      </c>
      <c r="F890" s="7" t="s">
        <v>34</v>
      </c>
      <c r="G890" s="7" t="s">
        <v>35</v>
      </c>
      <c r="H890" s="7"/>
      <c r="I890" s="7"/>
      <c r="J890" s="7" t="s">
        <v>69</v>
      </c>
      <c r="K890" s="7" t="s">
        <v>275</v>
      </c>
      <c r="L890" s="7" t="s">
        <v>276</v>
      </c>
      <c r="M890" s="7" t="s">
        <v>277</v>
      </c>
      <c r="N890" s="7" t="s">
        <v>33</v>
      </c>
      <c r="O890" s="7">
        <v>1</v>
      </c>
      <c r="P890" s="7" t="s">
        <v>40</v>
      </c>
      <c r="Q890" s="7">
        <v>89.99</v>
      </c>
      <c r="R890" s="7"/>
      <c r="S890" s="7">
        <v>4.47</v>
      </c>
      <c r="T890" s="7"/>
      <c r="U890" s="7"/>
      <c r="V890" s="7"/>
      <c r="W890" s="7"/>
      <c r="X890" s="7">
        <v>4.47</v>
      </c>
      <c r="Y890" s="7" t="s">
        <v>4304</v>
      </c>
      <c r="Z890" s="7" t="s">
        <v>106</v>
      </c>
      <c r="AA890" s="7" t="s">
        <v>4305</v>
      </c>
      <c r="AB890" s="7" t="s">
        <v>44</v>
      </c>
      <c r="AC890" s="7" t="s">
        <v>75</v>
      </c>
      <c r="AD890" s="7"/>
      <c r="AE890" s="7"/>
      <c r="AF890" s="7"/>
      <c r="AG890" s="11">
        <f t="shared" si="13"/>
        <v>43282</v>
      </c>
    </row>
    <row r="891" s="8" customFormat="1" spans="1:33">
      <c r="A891" s="7" t="s">
        <v>4306</v>
      </c>
      <c r="B891" s="7" t="s">
        <v>4306</v>
      </c>
      <c r="C891" s="7" t="s">
        <v>4307</v>
      </c>
      <c r="D891" s="7" t="s">
        <v>4308</v>
      </c>
      <c r="E891" s="7" t="s">
        <v>33</v>
      </c>
      <c r="F891" s="7" t="s">
        <v>34</v>
      </c>
      <c r="G891" s="7" t="s">
        <v>35</v>
      </c>
      <c r="H891" s="7"/>
      <c r="I891" s="7"/>
      <c r="J891" s="7" t="s">
        <v>36</v>
      </c>
      <c r="K891" s="7" t="s">
        <v>698</v>
      </c>
      <c r="L891" s="7" t="s">
        <v>699</v>
      </c>
      <c r="M891" s="7" t="s">
        <v>700</v>
      </c>
      <c r="N891" s="7" t="s">
        <v>33</v>
      </c>
      <c r="O891" s="7">
        <v>1</v>
      </c>
      <c r="P891" s="7" t="s">
        <v>40</v>
      </c>
      <c r="Q891" s="7">
        <v>21.99</v>
      </c>
      <c r="R891" s="7"/>
      <c r="S891" s="7"/>
      <c r="T891" s="7"/>
      <c r="U891" s="7"/>
      <c r="V891" s="7"/>
      <c r="W891" s="7">
        <v>21.77</v>
      </c>
      <c r="X891" s="7"/>
      <c r="Y891" s="7" t="s">
        <v>3440</v>
      </c>
      <c r="Z891" s="7" t="s">
        <v>613</v>
      </c>
      <c r="AA891" s="7" t="s">
        <v>3441</v>
      </c>
      <c r="AB891" s="7" t="s">
        <v>44</v>
      </c>
      <c r="AC891" s="7" t="s">
        <v>209</v>
      </c>
      <c r="AD891" s="7"/>
      <c r="AE891" s="7"/>
      <c r="AF891" s="7"/>
      <c r="AG891" s="11">
        <f t="shared" si="13"/>
        <v>43282</v>
      </c>
    </row>
    <row r="892" s="8" customFormat="1" spans="1:33">
      <c r="A892" s="7" t="s">
        <v>4309</v>
      </c>
      <c r="B892" s="7" t="s">
        <v>4309</v>
      </c>
      <c r="C892" s="7" t="s">
        <v>4310</v>
      </c>
      <c r="D892" s="7" t="s">
        <v>4311</v>
      </c>
      <c r="E892" s="7" t="s">
        <v>33</v>
      </c>
      <c r="F892" s="7" t="s">
        <v>34</v>
      </c>
      <c r="G892" s="7" t="s">
        <v>35</v>
      </c>
      <c r="H892" s="7"/>
      <c r="I892" s="7"/>
      <c r="J892" s="7" t="s">
        <v>36</v>
      </c>
      <c r="K892" s="7" t="s">
        <v>457</v>
      </c>
      <c r="L892" s="7" t="s">
        <v>458</v>
      </c>
      <c r="M892" s="7" t="s">
        <v>459</v>
      </c>
      <c r="N892" s="7" t="s">
        <v>33</v>
      </c>
      <c r="O892" s="7">
        <v>1</v>
      </c>
      <c r="P892" s="7" t="s">
        <v>40</v>
      </c>
      <c r="Q892" s="7">
        <v>79.99</v>
      </c>
      <c r="R892" s="7"/>
      <c r="S892" s="7"/>
      <c r="T892" s="7"/>
      <c r="U892" s="7"/>
      <c r="V892" s="7"/>
      <c r="W892" s="7"/>
      <c r="X892" s="7"/>
      <c r="Y892" s="7" t="s">
        <v>4312</v>
      </c>
      <c r="Z892" s="7" t="s">
        <v>42</v>
      </c>
      <c r="AA892" s="7" t="s">
        <v>4313</v>
      </c>
      <c r="AB892" s="7" t="s">
        <v>44</v>
      </c>
      <c r="AC892" s="7"/>
      <c r="AD892" s="7"/>
      <c r="AE892" s="7"/>
      <c r="AF892" s="7"/>
      <c r="AG892" s="11">
        <f t="shared" si="13"/>
        <v>43282</v>
      </c>
    </row>
    <row r="893" s="8" customFormat="1" spans="1:33">
      <c r="A893" s="7" t="s">
        <v>4314</v>
      </c>
      <c r="B893" s="7" t="s">
        <v>4314</v>
      </c>
      <c r="C893" s="7" t="s">
        <v>4315</v>
      </c>
      <c r="D893" s="7" t="s">
        <v>4316</v>
      </c>
      <c r="E893" s="7" t="s">
        <v>33</v>
      </c>
      <c r="F893" s="7" t="s">
        <v>34</v>
      </c>
      <c r="G893" s="7" t="s">
        <v>35</v>
      </c>
      <c r="H893" s="7"/>
      <c r="I893" s="7"/>
      <c r="J893" s="7" t="s">
        <v>36</v>
      </c>
      <c r="K893" s="7" t="s">
        <v>131</v>
      </c>
      <c r="L893" s="7" t="s">
        <v>132</v>
      </c>
      <c r="M893" s="7" t="s">
        <v>133</v>
      </c>
      <c r="N893" s="7" t="s">
        <v>33</v>
      </c>
      <c r="O893" s="7">
        <v>1</v>
      </c>
      <c r="P893" s="7" t="s">
        <v>40</v>
      </c>
      <c r="Q893" s="7">
        <v>89.99</v>
      </c>
      <c r="R893" s="7"/>
      <c r="S893" s="7"/>
      <c r="T893" s="7"/>
      <c r="U893" s="7"/>
      <c r="V893" s="7"/>
      <c r="W893" s="7"/>
      <c r="X893" s="7"/>
      <c r="Y893" s="7" t="s">
        <v>3586</v>
      </c>
      <c r="Z893" s="7" t="s">
        <v>3587</v>
      </c>
      <c r="AA893" s="7" t="s">
        <v>4317</v>
      </c>
      <c r="AB893" s="7" t="s">
        <v>44</v>
      </c>
      <c r="AC893" s="7"/>
      <c r="AD893" s="7"/>
      <c r="AE893" s="7"/>
      <c r="AF893" s="7"/>
      <c r="AG893" s="11">
        <f t="shared" si="13"/>
        <v>43282</v>
      </c>
    </row>
    <row r="894" s="8" customFormat="1" spans="1:33">
      <c r="A894" s="7" t="s">
        <v>4318</v>
      </c>
      <c r="B894" s="7" t="s">
        <v>4318</v>
      </c>
      <c r="C894" s="7" t="s">
        <v>4319</v>
      </c>
      <c r="D894" s="7" t="s">
        <v>4320</v>
      </c>
      <c r="E894" s="7" t="s">
        <v>54</v>
      </c>
      <c r="F894" s="7" t="s">
        <v>34</v>
      </c>
      <c r="G894" s="7" t="s">
        <v>35</v>
      </c>
      <c r="H894" s="7"/>
      <c r="I894" s="7"/>
      <c r="J894" s="7" t="s">
        <v>69</v>
      </c>
      <c r="K894" s="7" t="s">
        <v>1387</v>
      </c>
      <c r="L894" s="7" t="s">
        <v>1388</v>
      </c>
      <c r="M894" s="7" t="s">
        <v>1389</v>
      </c>
      <c r="N894" s="7" t="s">
        <v>62</v>
      </c>
      <c r="O894" s="7">
        <v>1</v>
      </c>
      <c r="P894" s="7" t="s">
        <v>40</v>
      </c>
      <c r="Q894" s="7">
        <v>86.9</v>
      </c>
      <c r="R894" s="7"/>
      <c r="S894" s="7"/>
      <c r="T894" s="7"/>
      <c r="U894" s="7"/>
      <c r="V894" s="7"/>
      <c r="W894" s="7"/>
      <c r="X894" s="7"/>
      <c r="Y894" s="7" t="s">
        <v>1073</v>
      </c>
      <c r="Z894" s="7" t="s">
        <v>64</v>
      </c>
      <c r="AA894" s="7" t="s">
        <v>3998</v>
      </c>
      <c r="AB894" s="7" t="s">
        <v>44</v>
      </c>
      <c r="AC894" s="7"/>
      <c r="AD894" s="7"/>
      <c r="AE894" s="7"/>
      <c r="AF894" s="7"/>
      <c r="AG894" s="11">
        <f t="shared" si="13"/>
        <v>43283</v>
      </c>
    </row>
    <row r="895" s="8" customFormat="1" spans="1:33">
      <c r="A895" s="7" t="s">
        <v>4321</v>
      </c>
      <c r="B895" s="7" t="s">
        <v>4321</v>
      </c>
      <c r="C895" s="7" t="s">
        <v>4322</v>
      </c>
      <c r="D895" s="7" t="s">
        <v>4323</v>
      </c>
      <c r="E895" s="7" t="s">
        <v>33</v>
      </c>
      <c r="F895" s="7" t="s">
        <v>34</v>
      </c>
      <c r="G895" s="7" t="s">
        <v>35</v>
      </c>
      <c r="H895" s="7"/>
      <c r="I895" s="7"/>
      <c r="J895" s="7" t="s">
        <v>36</v>
      </c>
      <c r="K895" s="7" t="s">
        <v>79</v>
      </c>
      <c r="L895" s="7" t="s">
        <v>80</v>
      </c>
      <c r="M895" s="7" t="s">
        <v>81</v>
      </c>
      <c r="N895" s="7" t="s">
        <v>33</v>
      </c>
      <c r="O895" s="7">
        <v>1</v>
      </c>
      <c r="P895" s="7" t="s">
        <v>40</v>
      </c>
      <c r="Q895" s="7">
        <v>91.99</v>
      </c>
      <c r="R895" s="7"/>
      <c r="S895" s="7"/>
      <c r="T895" s="7"/>
      <c r="U895" s="7"/>
      <c r="V895" s="7"/>
      <c r="W895" s="7"/>
      <c r="X895" s="7"/>
      <c r="Y895" s="7" t="s">
        <v>937</v>
      </c>
      <c r="Z895" s="7" t="s">
        <v>92</v>
      </c>
      <c r="AA895" s="7" t="s">
        <v>4324</v>
      </c>
      <c r="AB895" s="7" t="s">
        <v>44</v>
      </c>
      <c r="AC895" s="7"/>
      <c r="AD895" s="7"/>
      <c r="AE895" s="7"/>
      <c r="AF895" s="7"/>
      <c r="AG895" s="11">
        <f t="shared" si="13"/>
        <v>43283</v>
      </c>
    </row>
    <row r="896" s="8" customFormat="1" spans="1:33">
      <c r="A896" s="7" t="s">
        <v>4325</v>
      </c>
      <c r="B896" s="7" t="s">
        <v>4325</v>
      </c>
      <c r="C896" s="7" t="s">
        <v>4326</v>
      </c>
      <c r="D896" s="7" t="s">
        <v>4327</v>
      </c>
      <c r="E896" s="7" t="s">
        <v>33</v>
      </c>
      <c r="F896" s="7" t="s">
        <v>34</v>
      </c>
      <c r="G896" s="7" t="s">
        <v>35</v>
      </c>
      <c r="H896" s="7"/>
      <c r="I896" s="7"/>
      <c r="J896" s="7" t="s">
        <v>36</v>
      </c>
      <c r="K896" s="7" t="s">
        <v>2459</v>
      </c>
      <c r="L896" s="7" t="s">
        <v>365</v>
      </c>
      <c r="M896" s="7" t="s">
        <v>366</v>
      </c>
      <c r="N896" s="7" t="s">
        <v>33</v>
      </c>
      <c r="O896" s="7">
        <v>1</v>
      </c>
      <c r="P896" s="7" t="s">
        <v>40</v>
      </c>
      <c r="Q896" s="7">
        <v>89.99</v>
      </c>
      <c r="R896" s="7"/>
      <c r="S896" s="7"/>
      <c r="T896" s="7"/>
      <c r="U896" s="7"/>
      <c r="V896" s="7"/>
      <c r="W896" s="7"/>
      <c r="X896" s="7"/>
      <c r="Y896" s="7" t="s">
        <v>4328</v>
      </c>
      <c r="Z896" s="7" t="s">
        <v>452</v>
      </c>
      <c r="AA896" s="7" t="s">
        <v>4329</v>
      </c>
      <c r="AB896" s="7" t="s">
        <v>44</v>
      </c>
      <c r="AC896" s="7"/>
      <c r="AD896" s="7"/>
      <c r="AE896" s="7"/>
      <c r="AF896" s="7"/>
      <c r="AG896" s="11">
        <f t="shared" si="13"/>
        <v>43283</v>
      </c>
    </row>
    <row r="897" s="8" customFormat="1" spans="1:33">
      <c r="A897" s="7" t="s">
        <v>4330</v>
      </c>
      <c r="B897" s="7" t="s">
        <v>4330</v>
      </c>
      <c r="C897" s="7" t="s">
        <v>4331</v>
      </c>
      <c r="D897" s="7" t="s">
        <v>4332</v>
      </c>
      <c r="E897" s="7" t="s">
        <v>54</v>
      </c>
      <c r="F897" s="7" t="s">
        <v>34</v>
      </c>
      <c r="G897" s="7" t="s">
        <v>35</v>
      </c>
      <c r="H897" s="7"/>
      <c r="I897" s="7"/>
      <c r="J897" s="7" t="s">
        <v>36</v>
      </c>
      <c r="K897" s="7" t="s">
        <v>1975</v>
      </c>
      <c r="L897" s="7" t="s">
        <v>1976</v>
      </c>
      <c r="M897" s="7" t="s">
        <v>1977</v>
      </c>
      <c r="N897" s="7" t="s">
        <v>62</v>
      </c>
      <c r="O897" s="7">
        <v>1</v>
      </c>
      <c r="P897" s="7" t="s">
        <v>40</v>
      </c>
      <c r="Q897" s="7">
        <v>92.99</v>
      </c>
      <c r="R897" s="7"/>
      <c r="S897" s="7"/>
      <c r="T897" s="7"/>
      <c r="U897" s="7"/>
      <c r="V897" s="7"/>
      <c r="W897" s="7"/>
      <c r="X897" s="7"/>
      <c r="Y897" s="7" t="s">
        <v>4333</v>
      </c>
      <c r="Z897" s="7" t="s">
        <v>52</v>
      </c>
      <c r="AA897" s="7" t="s">
        <v>4334</v>
      </c>
      <c r="AB897" s="7" t="s">
        <v>44</v>
      </c>
      <c r="AC897" s="7"/>
      <c r="AD897" s="7"/>
      <c r="AE897" s="7"/>
      <c r="AF897" s="7"/>
      <c r="AG897" s="11">
        <f t="shared" si="13"/>
        <v>43283</v>
      </c>
    </row>
    <row r="898" s="8" customFormat="1" spans="1:33">
      <c r="A898" s="7" t="s">
        <v>4335</v>
      </c>
      <c r="B898" s="7" t="s">
        <v>4335</v>
      </c>
      <c r="C898" s="7" t="s">
        <v>4336</v>
      </c>
      <c r="D898" s="7" t="s">
        <v>4337</v>
      </c>
      <c r="E898" s="7" t="s">
        <v>33</v>
      </c>
      <c r="F898" s="7" t="s">
        <v>34</v>
      </c>
      <c r="G898" s="7" t="s">
        <v>35</v>
      </c>
      <c r="H898" s="7"/>
      <c r="I898" s="7"/>
      <c r="J898" s="7" t="s">
        <v>69</v>
      </c>
      <c r="K898" s="7" t="s">
        <v>4198</v>
      </c>
      <c r="L898" s="7" t="s">
        <v>4199</v>
      </c>
      <c r="M898" s="7" t="s">
        <v>4200</v>
      </c>
      <c r="N898" s="7" t="s">
        <v>33</v>
      </c>
      <c r="O898" s="7">
        <v>1</v>
      </c>
      <c r="P898" s="7" t="s">
        <v>40</v>
      </c>
      <c r="Q898" s="7">
        <v>89.99</v>
      </c>
      <c r="R898" s="7"/>
      <c r="S898" s="7">
        <v>7.54</v>
      </c>
      <c r="T898" s="7"/>
      <c r="U898" s="7"/>
      <c r="V898" s="7"/>
      <c r="W898" s="7"/>
      <c r="X898" s="7">
        <v>7.54</v>
      </c>
      <c r="Y898" s="7" t="s">
        <v>772</v>
      </c>
      <c r="Z898" s="7" t="s">
        <v>135</v>
      </c>
      <c r="AA898" s="7" t="s">
        <v>4338</v>
      </c>
      <c r="AB898" s="7" t="s">
        <v>44</v>
      </c>
      <c r="AC898" s="7" t="s">
        <v>75</v>
      </c>
      <c r="AD898" s="7"/>
      <c r="AE898" s="7"/>
      <c r="AF898" s="7"/>
      <c r="AG898" s="11">
        <f t="shared" ref="AG898:AG961" si="14">DATEVALUE(LEFT(C898,10))</f>
        <v>43283</v>
      </c>
    </row>
    <row r="899" s="8" customFormat="1" spans="1:33">
      <c r="A899" s="7" t="s">
        <v>4339</v>
      </c>
      <c r="B899" s="7" t="s">
        <v>4339</v>
      </c>
      <c r="C899" s="7" t="s">
        <v>4340</v>
      </c>
      <c r="D899" s="7" t="s">
        <v>4341</v>
      </c>
      <c r="E899" s="7" t="s">
        <v>33</v>
      </c>
      <c r="F899" s="7" t="s">
        <v>34</v>
      </c>
      <c r="G899" s="7" t="s">
        <v>35</v>
      </c>
      <c r="H899" s="7"/>
      <c r="I899" s="7"/>
      <c r="J899" s="7" t="s">
        <v>36</v>
      </c>
      <c r="K899" s="7" t="s">
        <v>275</v>
      </c>
      <c r="L899" s="7" t="s">
        <v>276</v>
      </c>
      <c r="M899" s="7" t="s">
        <v>277</v>
      </c>
      <c r="N899" s="7" t="s">
        <v>33</v>
      </c>
      <c r="O899" s="7">
        <v>1</v>
      </c>
      <c r="P899" s="7" t="s">
        <v>40</v>
      </c>
      <c r="Q899" s="7">
        <v>89.99</v>
      </c>
      <c r="R899" s="7"/>
      <c r="S899" s="7"/>
      <c r="T899" s="7"/>
      <c r="U899" s="7"/>
      <c r="V899" s="7"/>
      <c r="W899" s="7"/>
      <c r="X899" s="7"/>
      <c r="Y899" s="7" t="s">
        <v>4342</v>
      </c>
      <c r="Z899" s="7" t="s">
        <v>52</v>
      </c>
      <c r="AA899" s="7" t="s">
        <v>4343</v>
      </c>
      <c r="AB899" s="7" t="s">
        <v>44</v>
      </c>
      <c r="AC899" s="7"/>
      <c r="AD899" s="7"/>
      <c r="AE899" s="7"/>
      <c r="AF899" s="7"/>
      <c r="AG899" s="11">
        <f t="shared" si="14"/>
        <v>43283</v>
      </c>
    </row>
    <row r="900" s="8" customFormat="1" spans="1:33">
      <c r="A900" s="7" t="s">
        <v>4344</v>
      </c>
      <c r="B900" s="7" t="s">
        <v>4344</v>
      </c>
      <c r="C900" s="7" t="s">
        <v>4345</v>
      </c>
      <c r="D900" s="7" t="s">
        <v>4346</v>
      </c>
      <c r="E900" s="7" t="s">
        <v>33</v>
      </c>
      <c r="F900" s="7" t="s">
        <v>34</v>
      </c>
      <c r="G900" s="7" t="s">
        <v>35</v>
      </c>
      <c r="H900" s="7"/>
      <c r="I900" s="7"/>
      <c r="J900" s="7" t="s">
        <v>69</v>
      </c>
      <c r="K900" s="7" t="s">
        <v>431</v>
      </c>
      <c r="L900" s="7" t="s">
        <v>432</v>
      </c>
      <c r="M900" s="7" t="s">
        <v>433</v>
      </c>
      <c r="N900" s="7" t="s">
        <v>33</v>
      </c>
      <c r="O900" s="7">
        <v>1</v>
      </c>
      <c r="P900" s="7" t="s">
        <v>40</v>
      </c>
      <c r="Q900" s="7">
        <v>89.99</v>
      </c>
      <c r="R900" s="7"/>
      <c r="S900" s="7">
        <v>8.45</v>
      </c>
      <c r="T900" s="7"/>
      <c r="U900" s="7"/>
      <c r="V900" s="7"/>
      <c r="W900" s="7"/>
      <c r="X900" s="7"/>
      <c r="Y900" s="7" t="s">
        <v>4347</v>
      </c>
      <c r="Z900" s="7" t="s">
        <v>152</v>
      </c>
      <c r="AA900" s="7" t="s">
        <v>4348</v>
      </c>
      <c r="AB900" s="7" t="s">
        <v>44</v>
      </c>
      <c r="AC900" s="7"/>
      <c r="AD900" s="7"/>
      <c r="AE900" s="7"/>
      <c r="AF900" s="7"/>
      <c r="AG900" s="11">
        <f t="shared" si="14"/>
        <v>43283</v>
      </c>
    </row>
    <row r="901" s="8" customFormat="1" spans="1:33">
      <c r="A901" s="7" t="s">
        <v>4349</v>
      </c>
      <c r="B901" s="7" t="s">
        <v>4349</v>
      </c>
      <c r="C901" s="7" t="s">
        <v>4350</v>
      </c>
      <c r="D901" s="7" t="s">
        <v>4351</v>
      </c>
      <c r="E901" s="7" t="s">
        <v>54</v>
      </c>
      <c r="F901" s="7" t="s">
        <v>34</v>
      </c>
      <c r="G901" s="7" t="s">
        <v>35</v>
      </c>
      <c r="H901" s="7"/>
      <c r="I901" s="7"/>
      <c r="J901" s="7" t="s">
        <v>36</v>
      </c>
      <c r="K901" s="7" t="s">
        <v>2459</v>
      </c>
      <c r="L901" s="7" t="s">
        <v>365</v>
      </c>
      <c r="M901" s="7" t="s">
        <v>366</v>
      </c>
      <c r="N901" s="7" t="s">
        <v>62</v>
      </c>
      <c r="O901" s="7">
        <v>1</v>
      </c>
      <c r="P901" s="7" t="s">
        <v>40</v>
      </c>
      <c r="Q901" s="7">
        <v>89.99</v>
      </c>
      <c r="R901" s="7"/>
      <c r="S901" s="7"/>
      <c r="T901" s="7"/>
      <c r="U901" s="7"/>
      <c r="V901" s="7"/>
      <c r="W901" s="7"/>
      <c r="X901" s="7"/>
      <c r="Y901" s="7" t="s">
        <v>3401</v>
      </c>
      <c r="Z901" s="7" t="s">
        <v>837</v>
      </c>
      <c r="AA901" s="7" t="s">
        <v>3402</v>
      </c>
      <c r="AB901" s="7" t="s">
        <v>44</v>
      </c>
      <c r="AC901" s="7"/>
      <c r="AD901" s="7"/>
      <c r="AE901" s="7"/>
      <c r="AF901" s="7"/>
      <c r="AG901" s="11">
        <f t="shared" si="14"/>
        <v>43283</v>
      </c>
    </row>
    <row r="902" s="8" customFormat="1" spans="1:33">
      <c r="A902" s="7" t="s">
        <v>4352</v>
      </c>
      <c r="B902" s="7" t="s">
        <v>4352</v>
      </c>
      <c r="C902" s="7" t="s">
        <v>4353</v>
      </c>
      <c r="D902" s="7" t="s">
        <v>4354</v>
      </c>
      <c r="E902" s="7" t="s">
        <v>33</v>
      </c>
      <c r="F902" s="7" t="s">
        <v>34</v>
      </c>
      <c r="G902" s="7" t="s">
        <v>35</v>
      </c>
      <c r="H902" s="7"/>
      <c r="I902" s="7"/>
      <c r="J902" s="7" t="s">
        <v>36</v>
      </c>
      <c r="K902" s="7" t="s">
        <v>660</v>
      </c>
      <c r="L902" s="7" t="s">
        <v>661</v>
      </c>
      <c r="M902" s="7" t="s">
        <v>662</v>
      </c>
      <c r="N902" s="7" t="s">
        <v>33</v>
      </c>
      <c r="O902" s="7">
        <v>1</v>
      </c>
      <c r="P902" s="7" t="s">
        <v>40</v>
      </c>
      <c r="Q902" s="7">
        <v>79.99</v>
      </c>
      <c r="R902" s="7"/>
      <c r="S902" s="7"/>
      <c r="T902" s="7"/>
      <c r="U902" s="7"/>
      <c r="V902" s="7"/>
      <c r="W902" s="7"/>
      <c r="X902" s="7"/>
      <c r="Y902" s="7" t="s">
        <v>4355</v>
      </c>
      <c r="Z902" s="7" t="s">
        <v>440</v>
      </c>
      <c r="AA902" s="7" t="s">
        <v>4356</v>
      </c>
      <c r="AB902" s="7" t="s">
        <v>44</v>
      </c>
      <c r="AC902" s="7"/>
      <c r="AD902" s="7"/>
      <c r="AE902" s="7"/>
      <c r="AF902" s="7"/>
      <c r="AG902" s="11">
        <f t="shared" si="14"/>
        <v>43283</v>
      </c>
    </row>
    <row r="903" s="8" customFormat="1" spans="1:33">
      <c r="A903" s="7" t="s">
        <v>4357</v>
      </c>
      <c r="B903" s="7" t="s">
        <v>4357</v>
      </c>
      <c r="C903" s="7" t="s">
        <v>4358</v>
      </c>
      <c r="D903" s="7" t="s">
        <v>4359</v>
      </c>
      <c r="E903" s="7" t="s">
        <v>33</v>
      </c>
      <c r="F903" s="7" t="s">
        <v>34</v>
      </c>
      <c r="G903" s="7" t="s">
        <v>35</v>
      </c>
      <c r="H903" s="7"/>
      <c r="I903" s="7"/>
      <c r="J903" s="7" t="s">
        <v>36</v>
      </c>
      <c r="K903" s="7" t="s">
        <v>4360</v>
      </c>
      <c r="L903" s="7" t="s">
        <v>4361</v>
      </c>
      <c r="M903" s="7" t="s">
        <v>4362</v>
      </c>
      <c r="N903" s="7" t="s">
        <v>33</v>
      </c>
      <c r="O903" s="7">
        <v>1</v>
      </c>
      <c r="P903" s="7" t="s">
        <v>40</v>
      </c>
      <c r="Q903" s="7">
        <v>79.99</v>
      </c>
      <c r="R903" s="7"/>
      <c r="S903" s="7"/>
      <c r="T903" s="7"/>
      <c r="U903" s="7"/>
      <c r="V903" s="7"/>
      <c r="W903" s="7"/>
      <c r="X903" s="7"/>
      <c r="Y903" s="7" t="s">
        <v>932</v>
      </c>
      <c r="Z903" s="7" t="s">
        <v>64</v>
      </c>
      <c r="AA903" s="7" t="s">
        <v>4363</v>
      </c>
      <c r="AB903" s="7" t="s">
        <v>44</v>
      </c>
      <c r="AC903" s="7"/>
      <c r="AD903" s="7"/>
      <c r="AE903" s="7"/>
      <c r="AF903" s="7"/>
      <c r="AG903" s="11">
        <f t="shared" si="14"/>
        <v>43283</v>
      </c>
    </row>
    <row r="904" s="8" customFormat="1" spans="1:33">
      <c r="A904" s="7" t="s">
        <v>4364</v>
      </c>
      <c r="B904" s="7" t="s">
        <v>4364</v>
      </c>
      <c r="C904" s="7" t="s">
        <v>4365</v>
      </c>
      <c r="D904" s="7" t="s">
        <v>4366</v>
      </c>
      <c r="E904" s="7" t="s">
        <v>33</v>
      </c>
      <c r="F904" s="7" t="s">
        <v>34</v>
      </c>
      <c r="G904" s="7" t="s">
        <v>35</v>
      </c>
      <c r="H904" s="7"/>
      <c r="I904" s="7"/>
      <c r="J904" s="7" t="s">
        <v>36</v>
      </c>
      <c r="K904" s="7" t="s">
        <v>975</v>
      </c>
      <c r="L904" s="7" t="s">
        <v>976</v>
      </c>
      <c r="M904" s="7" t="s">
        <v>977</v>
      </c>
      <c r="N904" s="7" t="s">
        <v>33</v>
      </c>
      <c r="O904" s="7">
        <v>1</v>
      </c>
      <c r="P904" s="7" t="s">
        <v>40</v>
      </c>
      <c r="Q904" s="7">
        <v>89.99</v>
      </c>
      <c r="R904" s="7"/>
      <c r="S904" s="7"/>
      <c r="T904" s="7"/>
      <c r="U904" s="7"/>
      <c r="V904" s="7"/>
      <c r="W904" s="7"/>
      <c r="X904" s="7"/>
      <c r="Y904" s="7" t="s">
        <v>4367</v>
      </c>
      <c r="Z904" s="7" t="s">
        <v>189</v>
      </c>
      <c r="AA904" s="7" t="s">
        <v>4368</v>
      </c>
      <c r="AB904" s="7" t="s">
        <v>44</v>
      </c>
      <c r="AC904" s="7"/>
      <c r="AD904" s="7"/>
      <c r="AE904" s="7"/>
      <c r="AF904" s="7"/>
      <c r="AG904" s="11">
        <f t="shared" si="14"/>
        <v>43283</v>
      </c>
    </row>
    <row r="905" s="8" customFormat="1" spans="1:33">
      <c r="A905" s="7" t="s">
        <v>4369</v>
      </c>
      <c r="B905" s="7" t="s">
        <v>4369</v>
      </c>
      <c r="C905" s="7" t="s">
        <v>4370</v>
      </c>
      <c r="D905" s="7" t="s">
        <v>4371</v>
      </c>
      <c r="E905" s="7" t="s">
        <v>54</v>
      </c>
      <c r="F905" s="7" t="s">
        <v>34</v>
      </c>
      <c r="G905" s="7" t="s">
        <v>35</v>
      </c>
      <c r="H905" s="7"/>
      <c r="I905" s="7"/>
      <c r="J905" s="7" t="s">
        <v>36</v>
      </c>
      <c r="K905" s="7" t="s">
        <v>2484</v>
      </c>
      <c r="L905" s="7" t="s">
        <v>633</v>
      </c>
      <c r="M905" s="7" t="s">
        <v>634</v>
      </c>
      <c r="N905" s="7" t="s">
        <v>62</v>
      </c>
      <c r="O905" s="7">
        <v>1</v>
      </c>
      <c r="P905" s="7" t="s">
        <v>40</v>
      </c>
      <c r="Q905" s="7">
        <v>89.99</v>
      </c>
      <c r="R905" s="7"/>
      <c r="S905" s="7"/>
      <c r="T905" s="7"/>
      <c r="U905" s="7"/>
      <c r="V905" s="7"/>
      <c r="W905" s="7"/>
      <c r="X905" s="7"/>
      <c r="Y905" s="7" t="s">
        <v>4069</v>
      </c>
      <c r="Z905" s="7" t="s">
        <v>440</v>
      </c>
      <c r="AA905" s="7" t="s">
        <v>4070</v>
      </c>
      <c r="AB905" s="7" t="s">
        <v>44</v>
      </c>
      <c r="AC905" s="7"/>
      <c r="AD905" s="7"/>
      <c r="AE905" s="7"/>
      <c r="AF905" s="7"/>
      <c r="AG905" s="11">
        <f t="shared" si="14"/>
        <v>43283</v>
      </c>
    </row>
    <row r="906" s="8" customFormat="1" spans="1:33">
      <c r="A906" s="7" t="s">
        <v>4372</v>
      </c>
      <c r="B906" s="7" t="s">
        <v>4372</v>
      </c>
      <c r="C906" s="7" t="s">
        <v>4373</v>
      </c>
      <c r="D906" s="7" t="s">
        <v>4371</v>
      </c>
      <c r="E906" s="7" t="s">
        <v>54</v>
      </c>
      <c r="F906" s="7" t="s">
        <v>34</v>
      </c>
      <c r="G906" s="7" t="s">
        <v>35</v>
      </c>
      <c r="H906" s="7"/>
      <c r="I906" s="7"/>
      <c r="J906" s="7" t="s">
        <v>36</v>
      </c>
      <c r="K906" s="7" t="s">
        <v>3499</v>
      </c>
      <c r="L906" s="7" t="s">
        <v>3059</v>
      </c>
      <c r="M906" s="7" t="s">
        <v>3060</v>
      </c>
      <c r="N906" s="7" t="s">
        <v>62</v>
      </c>
      <c r="O906" s="7">
        <v>1</v>
      </c>
      <c r="P906" s="7" t="s">
        <v>40</v>
      </c>
      <c r="Q906" s="7">
        <v>85.99</v>
      </c>
      <c r="R906" s="7"/>
      <c r="S906" s="7"/>
      <c r="T906" s="7"/>
      <c r="U906" s="7"/>
      <c r="V906" s="7"/>
      <c r="W906" s="7"/>
      <c r="X906" s="7"/>
      <c r="Y906" s="7" t="s">
        <v>4069</v>
      </c>
      <c r="Z906" s="7" t="s">
        <v>440</v>
      </c>
      <c r="AA906" s="7" t="s">
        <v>4070</v>
      </c>
      <c r="AB906" s="7" t="s">
        <v>44</v>
      </c>
      <c r="AC906" s="7"/>
      <c r="AD906" s="7"/>
      <c r="AE906" s="7"/>
      <c r="AF906" s="7"/>
      <c r="AG906" s="11">
        <f t="shared" si="14"/>
        <v>43283</v>
      </c>
    </row>
    <row r="907" s="8" customFormat="1" spans="1:33">
      <c r="A907" s="7" t="s">
        <v>4374</v>
      </c>
      <c r="B907" s="7" t="s">
        <v>4374</v>
      </c>
      <c r="C907" s="7" t="s">
        <v>4375</v>
      </c>
      <c r="D907" s="7" t="s">
        <v>4376</v>
      </c>
      <c r="E907" s="7" t="s">
        <v>54</v>
      </c>
      <c r="F907" s="7" t="s">
        <v>34</v>
      </c>
      <c r="G907" s="7" t="s">
        <v>35</v>
      </c>
      <c r="H907" s="7"/>
      <c r="I907" s="7"/>
      <c r="J907" s="7" t="s">
        <v>69</v>
      </c>
      <c r="K907" s="7" t="s">
        <v>2322</v>
      </c>
      <c r="L907" s="7" t="s">
        <v>138</v>
      </c>
      <c r="M907" s="7" t="s">
        <v>139</v>
      </c>
      <c r="N907" s="7" t="s">
        <v>54</v>
      </c>
      <c r="O907" s="7">
        <v>0</v>
      </c>
      <c r="P907" s="7"/>
      <c r="Q907" s="7"/>
      <c r="R907" s="7"/>
      <c r="S907" s="7"/>
      <c r="T907" s="7"/>
      <c r="U907" s="7"/>
      <c r="V907" s="7"/>
      <c r="W907" s="7"/>
      <c r="X907" s="7"/>
      <c r="Y907" s="7" t="s">
        <v>353</v>
      </c>
      <c r="Z907" s="7" t="s">
        <v>735</v>
      </c>
      <c r="AA907" s="7" t="s">
        <v>4377</v>
      </c>
      <c r="AB907" s="7" t="s">
        <v>44</v>
      </c>
      <c r="AC907" s="7"/>
      <c r="AD907" s="7"/>
      <c r="AE907" s="7"/>
      <c r="AF907" s="7"/>
      <c r="AG907" s="11">
        <f t="shared" si="14"/>
        <v>43283</v>
      </c>
    </row>
    <row r="908" s="8" customFormat="1" spans="1:33">
      <c r="A908" s="7" t="s">
        <v>4378</v>
      </c>
      <c r="B908" s="7" t="s">
        <v>4378</v>
      </c>
      <c r="C908" s="7" t="s">
        <v>4379</v>
      </c>
      <c r="D908" s="7" t="s">
        <v>4380</v>
      </c>
      <c r="E908" s="7" t="s">
        <v>54</v>
      </c>
      <c r="F908" s="7" t="s">
        <v>34</v>
      </c>
      <c r="G908" s="7" t="s">
        <v>35</v>
      </c>
      <c r="H908" s="7"/>
      <c r="I908" s="7"/>
      <c r="J908" s="7" t="s">
        <v>69</v>
      </c>
      <c r="K908" s="7" t="s">
        <v>2322</v>
      </c>
      <c r="L908" s="7" t="s">
        <v>138</v>
      </c>
      <c r="M908" s="7" t="s">
        <v>139</v>
      </c>
      <c r="N908" s="7" t="s">
        <v>54</v>
      </c>
      <c r="O908" s="7">
        <v>0</v>
      </c>
      <c r="P908" s="7"/>
      <c r="Q908" s="7"/>
      <c r="R908" s="7"/>
      <c r="S908" s="7"/>
      <c r="T908" s="7"/>
      <c r="U908" s="7"/>
      <c r="V908" s="7"/>
      <c r="W908" s="7"/>
      <c r="X908" s="7"/>
      <c r="Y908" s="7" t="s">
        <v>353</v>
      </c>
      <c r="Z908" s="7" t="s">
        <v>735</v>
      </c>
      <c r="AA908" s="7" t="s">
        <v>4377</v>
      </c>
      <c r="AB908" s="7" t="s">
        <v>44</v>
      </c>
      <c r="AC908" s="7"/>
      <c r="AD908" s="7"/>
      <c r="AE908" s="7"/>
      <c r="AF908" s="7"/>
      <c r="AG908" s="11">
        <f t="shared" si="14"/>
        <v>43283</v>
      </c>
    </row>
    <row r="909" s="8" customFormat="1" spans="1:33">
      <c r="A909" s="7" t="s">
        <v>4381</v>
      </c>
      <c r="B909" s="7" t="s">
        <v>4381</v>
      </c>
      <c r="C909" s="7" t="s">
        <v>4382</v>
      </c>
      <c r="D909" s="7" t="s">
        <v>4383</v>
      </c>
      <c r="E909" s="7" t="s">
        <v>33</v>
      </c>
      <c r="F909" s="7" t="s">
        <v>34</v>
      </c>
      <c r="G909" s="7" t="s">
        <v>35</v>
      </c>
      <c r="H909" s="7"/>
      <c r="I909" s="7"/>
      <c r="J909" s="7" t="s">
        <v>36</v>
      </c>
      <c r="K909" s="7" t="s">
        <v>59</v>
      </c>
      <c r="L909" s="7" t="s">
        <v>60</v>
      </c>
      <c r="M909" s="7" t="s">
        <v>61</v>
      </c>
      <c r="N909" s="7" t="s">
        <v>33</v>
      </c>
      <c r="O909" s="7">
        <v>1</v>
      </c>
      <c r="P909" s="7" t="s">
        <v>40</v>
      </c>
      <c r="Q909" s="7">
        <v>89.99</v>
      </c>
      <c r="R909" s="7"/>
      <c r="S909" s="7"/>
      <c r="T909" s="7"/>
      <c r="U909" s="7"/>
      <c r="V909" s="7"/>
      <c r="W909" s="7"/>
      <c r="X909" s="7"/>
      <c r="Y909" s="7" t="s">
        <v>2568</v>
      </c>
      <c r="Z909" s="7" t="s">
        <v>83</v>
      </c>
      <c r="AA909" s="7" t="s">
        <v>4384</v>
      </c>
      <c r="AB909" s="7" t="s">
        <v>44</v>
      </c>
      <c r="AC909" s="7"/>
      <c r="AD909" s="7"/>
      <c r="AE909" s="7"/>
      <c r="AF909" s="7"/>
      <c r="AG909" s="11">
        <f t="shared" si="14"/>
        <v>43283</v>
      </c>
    </row>
    <row r="910" s="8" customFormat="1" spans="1:33">
      <c r="A910" s="7" t="s">
        <v>4385</v>
      </c>
      <c r="B910" s="7" t="s">
        <v>4385</v>
      </c>
      <c r="C910" s="7" t="s">
        <v>4386</v>
      </c>
      <c r="D910" s="7" t="s">
        <v>4387</v>
      </c>
      <c r="E910" s="7" t="s">
        <v>33</v>
      </c>
      <c r="F910" s="7" t="s">
        <v>34</v>
      </c>
      <c r="G910" s="7" t="s">
        <v>35</v>
      </c>
      <c r="H910" s="7"/>
      <c r="I910" s="7"/>
      <c r="J910" s="7" t="s">
        <v>36</v>
      </c>
      <c r="K910" s="7" t="s">
        <v>79</v>
      </c>
      <c r="L910" s="7" t="s">
        <v>80</v>
      </c>
      <c r="M910" s="7" t="s">
        <v>81</v>
      </c>
      <c r="N910" s="7" t="s">
        <v>33</v>
      </c>
      <c r="O910" s="7">
        <v>1</v>
      </c>
      <c r="P910" s="7" t="s">
        <v>40</v>
      </c>
      <c r="Q910" s="7">
        <v>91.99</v>
      </c>
      <c r="R910" s="7">
        <v>8.46</v>
      </c>
      <c r="S910" s="7"/>
      <c r="T910" s="7"/>
      <c r="U910" s="7"/>
      <c r="V910" s="7"/>
      <c r="W910" s="7"/>
      <c r="X910" s="7"/>
      <c r="Y910" s="7" t="s">
        <v>4388</v>
      </c>
      <c r="Z910" s="7" t="s">
        <v>97</v>
      </c>
      <c r="AA910" s="7" t="s">
        <v>4389</v>
      </c>
      <c r="AB910" s="7" t="s">
        <v>44</v>
      </c>
      <c r="AC910" s="7"/>
      <c r="AD910" s="7"/>
      <c r="AE910" s="7"/>
      <c r="AF910" s="7"/>
      <c r="AG910" s="11">
        <f t="shared" si="14"/>
        <v>43283</v>
      </c>
    </row>
    <row r="911" s="8" customFormat="1" spans="1:33">
      <c r="A911" s="7" t="s">
        <v>4390</v>
      </c>
      <c r="B911" s="7" t="s">
        <v>4390</v>
      </c>
      <c r="C911" s="7" t="s">
        <v>4391</v>
      </c>
      <c r="D911" s="7" t="s">
        <v>4392</v>
      </c>
      <c r="E911" s="7" t="s">
        <v>33</v>
      </c>
      <c r="F911" s="7" t="s">
        <v>34</v>
      </c>
      <c r="G911" s="7" t="s">
        <v>35</v>
      </c>
      <c r="H911" s="7"/>
      <c r="I911" s="7"/>
      <c r="J911" s="7" t="s">
        <v>36</v>
      </c>
      <c r="K911" s="7" t="s">
        <v>79</v>
      </c>
      <c r="L911" s="7" t="s">
        <v>80</v>
      </c>
      <c r="M911" s="7" t="s">
        <v>81</v>
      </c>
      <c r="N911" s="7" t="s">
        <v>33</v>
      </c>
      <c r="O911" s="7">
        <v>1</v>
      </c>
      <c r="P911" s="7" t="s">
        <v>40</v>
      </c>
      <c r="Q911" s="7">
        <v>91.99</v>
      </c>
      <c r="R911" s="7"/>
      <c r="S911" s="7"/>
      <c r="T911" s="7"/>
      <c r="U911" s="7">
        <v>4.99</v>
      </c>
      <c r="V911" s="7"/>
      <c r="W911" s="7"/>
      <c r="X911" s="7"/>
      <c r="Y911" s="7" t="s">
        <v>4393</v>
      </c>
      <c r="Z911" s="7" t="s">
        <v>42</v>
      </c>
      <c r="AA911" s="7" t="s">
        <v>4394</v>
      </c>
      <c r="AB911" s="7" t="s">
        <v>44</v>
      </c>
      <c r="AC911" s="7"/>
      <c r="AD911" s="7"/>
      <c r="AE911" s="7"/>
      <c r="AF911" s="7"/>
      <c r="AG911" s="11">
        <f t="shared" si="14"/>
        <v>43283</v>
      </c>
    </row>
    <row r="912" s="8" customFormat="1" spans="1:33">
      <c r="A912" s="7" t="s">
        <v>4395</v>
      </c>
      <c r="B912" s="7" t="s">
        <v>4395</v>
      </c>
      <c r="C912" s="7" t="s">
        <v>4396</v>
      </c>
      <c r="D912" s="7" t="s">
        <v>4397</v>
      </c>
      <c r="E912" s="7" t="s">
        <v>33</v>
      </c>
      <c r="F912" s="7" t="s">
        <v>34</v>
      </c>
      <c r="G912" s="7" t="s">
        <v>35</v>
      </c>
      <c r="H912" s="7"/>
      <c r="I912" s="7"/>
      <c r="J912" s="7" t="s">
        <v>36</v>
      </c>
      <c r="K912" s="7" t="s">
        <v>431</v>
      </c>
      <c r="L912" s="7" t="s">
        <v>432</v>
      </c>
      <c r="M912" s="7" t="s">
        <v>433</v>
      </c>
      <c r="N912" s="7" t="s">
        <v>33</v>
      </c>
      <c r="O912" s="7">
        <v>1</v>
      </c>
      <c r="P912" s="7" t="s">
        <v>40</v>
      </c>
      <c r="Q912" s="7">
        <v>89.99</v>
      </c>
      <c r="R912" s="7"/>
      <c r="S912" s="7"/>
      <c r="T912" s="7"/>
      <c r="U912" s="7"/>
      <c r="V912" s="7"/>
      <c r="W912" s="7"/>
      <c r="X912" s="7"/>
      <c r="Y912" s="7" t="s">
        <v>621</v>
      </c>
      <c r="Z912" s="7" t="s">
        <v>106</v>
      </c>
      <c r="AA912" s="7" t="s">
        <v>3960</v>
      </c>
      <c r="AB912" s="7" t="s">
        <v>44</v>
      </c>
      <c r="AC912" s="7"/>
      <c r="AD912" s="7"/>
      <c r="AE912" s="7"/>
      <c r="AF912" s="7"/>
      <c r="AG912" s="11">
        <f t="shared" si="14"/>
        <v>43283</v>
      </c>
    </row>
    <row r="913" s="8" customFormat="1" spans="1:33">
      <c r="A913" s="7" t="s">
        <v>4398</v>
      </c>
      <c r="B913" s="7" t="s">
        <v>4398</v>
      </c>
      <c r="C913" s="7" t="s">
        <v>4399</v>
      </c>
      <c r="D913" s="7" t="s">
        <v>4400</v>
      </c>
      <c r="E913" s="7" t="s">
        <v>33</v>
      </c>
      <c r="F913" s="7" t="s">
        <v>34</v>
      </c>
      <c r="G913" s="7" t="s">
        <v>35</v>
      </c>
      <c r="H913" s="7"/>
      <c r="I913" s="7"/>
      <c r="J913" s="7" t="s">
        <v>36</v>
      </c>
      <c r="K913" s="7" t="s">
        <v>698</v>
      </c>
      <c r="L913" s="7" t="s">
        <v>699</v>
      </c>
      <c r="M913" s="7" t="s">
        <v>700</v>
      </c>
      <c r="N913" s="7" t="s">
        <v>33</v>
      </c>
      <c r="O913" s="7">
        <v>1</v>
      </c>
      <c r="P913" s="7" t="s">
        <v>40</v>
      </c>
      <c r="Q913" s="7">
        <v>21.99</v>
      </c>
      <c r="R913" s="7"/>
      <c r="S913" s="7"/>
      <c r="T913" s="7"/>
      <c r="U913" s="7"/>
      <c r="V913" s="7"/>
      <c r="W913" s="7">
        <v>21.77</v>
      </c>
      <c r="X913" s="7"/>
      <c r="Y913" s="7" t="s">
        <v>3170</v>
      </c>
      <c r="Z913" s="7" t="s">
        <v>42</v>
      </c>
      <c r="AA913" s="7" t="s">
        <v>3171</v>
      </c>
      <c r="AB913" s="7" t="s">
        <v>44</v>
      </c>
      <c r="AC913" s="7" t="s">
        <v>209</v>
      </c>
      <c r="AD913" s="7"/>
      <c r="AE913" s="7"/>
      <c r="AF913" s="7"/>
      <c r="AG913" s="11">
        <f t="shared" si="14"/>
        <v>43283</v>
      </c>
    </row>
    <row r="914" s="8" customFormat="1" spans="1:33">
      <c r="A914" s="7" t="s">
        <v>4401</v>
      </c>
      <c r="B914" s="7" t="s">
        <v>4401</v>
      </c>
      <c r="C914" s="7" t="s">
        <v>4402</v>
      </c>
      <c r="D914" s="7" t="s">
        <v>4403</v>
      </c>
      <c r="E914" s="7" t="s">
        <v>33</v>
      </c>
      <c r="F914" s="7" t="s">
        <v>34</v>
      </c>
      <c r="G914" s="7" t="s">
        <v>35</v>
      </c>
      <c r="H914" s="7"/>
      <c r="I914" s="7"/>
      <c r="J914" s="7" t="s">
        <v>36</v>
      </c>
      <c r="K914" s="7" t="s">
        <v>2035</v>
      </c>
      <c r="L914" s="7" t="s">
        <v>89</v>
      </c>
      <c r="M914" s="7" t="s">
        <v>90</v>
      </c>
      <c r="N914" s="7" t="s">
        <v>33</v>
      </c>
      <c r="O914" s="7">
        <v>1</v>
      </c>
      <c r="P914" s="7" t="s">
        <v>40</v>
      </c>
      <c r="Q914" s="7">
        <v>89.99</v>
      </c>
      <c r="R914" s="7"/>
      <c r="S914" s="7"/>
      <c r="T914" s="7"/>
      <c r="U914" s="7"/>
      <c r="V914" s="7"/>
      <c r="W914" s="7"/>
      <c r="X914" s="7"/>
      <c r="Y914" s="7" t="s">
        <v>254</v>
      </c>
      <c r="Z914" s="7" t="s">
        <v>996</v>
      </c>
      <c r="AA914" s="7" t="s">
        <v>4404</v>
      </c>
      <c r="AB914" s="7" t="s">
        <v>44</v>
      </c>
      <c r="AC914" s="7"/>
      <c r="AD914" s="7"/>
      <c r="AE914" s="7"/>
      <c r="AF914" s="7"/>
      <c r="AG914" s="11">
        <f t="shared" si="14"/>
        <v>43283</v>
      </c>
    </row>
    <row r="915" s="8" customFormat="1" spans="1:33">
      <c r="A915" s="7" t="s">
        <v>4405</v>
      </c>
      <c r="B915" s="7" t="s">
        <v>4405</v>
      </c>
      <c r="C915" s="7" t="s">
        <v>4406</v>
      </c>
      <c r="D915" s="7" t="s">
        <v>4407</v>
      </c>
      <c r="E915" s="7" t="s">
        <v>33</v>
      </c>
      <c r="F915" s="7" t="s">
        <v>34</v>
      </c>
      <c r="G915" s="7" t="s">
        <v>35</v>
      </c>
      <c r="H915" s="7"/>
      <c r="I915" s="7"/>
      <c r="J915" s="7" t="s">
        <v>58</v>
      </c>
      <c r="K915" s="7" t="s">
        <v>1807</v>
      </c>
      <c r="L915" s="7" t="s">
        <v>1808</v>
      </c>
      <c r="M915" s="7" t="s">
        <v>1809</v>
      </c>
      <c r="N915" s="7" t="s">
        <v>33</v>
      </c>
      <c r="O915" s="7">
        <v>1</v>
      </c>
      <c r="P915" s="7" t="s">
        <v>40</v>
      </c>
      <c r="Q915" s="7">
        <v>79.99</v>
      </c>
      <c r="R915" s="7"/>
      <c r="S915" s="7">
        <v>10.19</v>
      </c>
      <c r="T915" s="7"/>
      <c r="U915" s="7"/>
      <c r="V915" s="7"/>
      <c r="W915" s="7"/>
      <c r="X915" s="7"/>
      <c r="Y915" s="7" t="s">
        <v>1963</v>
      </c>
      <c r="Z915" s="7" t="s">
        <v>83</v>
      </c>
      <c r="AA915" s="7" t="s">
        <v>4408</v>
      </c>
      <c r="AB915" s="7" t="s">
        <v>44</v>
      </c>
      <c r="AC915" s="7"/>
      <c r="AD915" s="7"/>
      <c r="AE915" s="7"/>
      <c r="AF915" s="7"/>
      <c r="AG915" s="11">
        <f t="shared" si="14"/>
        <v>43283</v>
      </c>
    </row>
    <row r="916" s="8" customFormat="1" spans="1:33">
      <c r="A916" s="7" t="s">
        <v>4409</v>
      </c>
      <c r="B916" s="7" t="s">
        <v>4409</v>
      </c>
      <c r="C916" s="7" t="s">
        <v>4410</v>
      </c>
      <c r="D916" s="7" t="s">
        <v>4411</v>
      </c>
      <c r="E916" s="7" t="s">
        <v>54</v>
      </c>
      <c r="F916" s="7" t="s">
        <v>34</v>
      </c>
      <c r="G916" s="7" t="s">
        <v>35</v>
      </c>
      <c r="H916" s="7"/>
      <c r="I916" s="7"/>
      <c r="J916" s="7" t="s">
        <v>36</v>
      </c>
      <c r="K916" s="7" t="s">
        <v>2310</v>
      </c>
      <c r="L916" s="7" t="s">
        <v>2311</v>
      </c>
      <c r="M916" s="7" t="s">
        <v>2312</v>
      </c>
      <c r="N916" s="7" t="s">
        <v>54</v>
      </c>
      <c r="O916" s="7">
        <v>0</v>
      </c>
      <c r="P916" s="7"/>
      <c r="Q916" s="7"/>
      <c r="R916" s="7"/>
      <c r="S916" s="7"/>
      <c r="T916" s="7"/>
      <c r="U916" s="7"/>
      <c r="V916" s="7"/>
      <c r="W916" s="7"/>
      <c r="X916" s="7"/>
      <c r="Y916" s="7" t="s">
        <v>4069</v>
      </c>
      <c r="Z916" s="7" t="s">
        <v>440</v>
      </c>
      <c r="AA916" s="7" t="s">
        <v>4070</v>
      </c>
      <c r="AB916" s="7" t="s">
        <v>44</v>
      </c>
      <c r="AC916" s="7"/>
      <c r="AD916" s="7"/>
      <c r="AE916" s="7"/>
      <c r="AF916" s="7"/>
      <c r="AG916" s="11">
        <f t="shared" si="14"/>
        <v>43283</v>
      </c>
    </row>
    <row r="917" s="8" customFormat="1" spans="1:33">
      <c r="A917" s="7" t="s">
        <v>4412</v>
      </c>
      <c r="B917" s="7" t="s">
        <v>4412</v>
      </c>
      <c r="C917" s="7" t="s">
        <v>4413</v>
      </c>
      <c r="D917" s="7" t="s">
        <v>4414</v>
      </c>
      <c r="E917" s="7" t="s">
        <v>33</v>
      </c>
      <c r="F917" s="7" t="s">
        <v>34</v>
      </c>
      <c r="G917" s="7" t="s">
        <v>35</v>
      </c>
      <c r="H917" s="7"/>
      <c r="I917" s="7"/>
      <c r="J917" s="7" t="s">
        <v>36</v>
      </c>
      <c r="K917" s="7" t="s">
        <v>59</v>
      </c>
      <c r="L917" s="7" t="s">
        <v>60</v>
      </c>
      <c r="M917" s="7" t="s">
        <v>61</v>
      </c>
      <c r="N917" s="7" t="s">
        <v>33</v>
      </c>
      <c r="O917" s="7">
        <v>1</v>
      </c>
      <c r="P917" s="7" t="s">
        <v>40</v>
      </c>
      <c r="Q917" s="7">
        <v>89.99</v>
      </c>
      <c r="R917" s="7"/>
      <c r="S917" s="7"/>
      <c r="T917" s="7"/>
      <c r="U917" s="7"/>
      <c r="V917" s="7"/>
      <c r="W917" s="7"/>
      <c r="X917" s="7"/>
      <c r="Y917" s="7" t="s">
        <v>4415</v>
      </c>
      <c r="Z917" s="7" t="s">
        <v>452</v>
      </c>
      <c r="AA917" s="7" t="s">
        <v>4416</v>
      </c>
      <c r="AB917" s="7" t="s">
        <v>44</v>
      </c>
      <c r="AC917" s="7"/>
      <c r="AD917" s="7"/>
      <c r="AE917" s="7"/>
      <c r="AF917" s="7"/>
      <c r="AG917" s="11">
        <f t="shared" si="14"/>
        <v>43283</v>
      </c>
    </row>
    <row r="918" s="8" customFormat="1" spans="1:33">
      <c r="A918" s="7" t="s">
        <v>4417</v>
      </c>
      <c r="B918" s="7" t="s">
        <v>4417</v>
      </c>
      <c r="C918" s="7" t="s">
        <v>4418</v>
      </c>
      <c r="D918" s="7" t="s">
        <v>4419</v>
      </c>
      <c r="E918" s="7" t="s">
        <v>33</v>
      </c>
      <c r="F918" s="7" t="s">
        <v>34</v>
      </c>
      <c r="G918" s="7" t="s">
        <v>35</v>
      </c>
      <c r="H918" s="7"/>
      <c r="I918" s="7"/>
      <c r="J918" s="7" t="s">
        <v>36</v>
      </c>
      <c r="K918" s="7" t="s">
        <v>79</v>
      </c>
      <c r="L918" s="7" t="s">
        <v>80</v>
      </c>
      <c r="M918" s="7" t="s">
        <v>81</v>
      </c>
      <c r="N918" s="7" t="s">
        <v>33</v>
      </c>
      <c r="O918" s="7">
        <v>1</v>
      </c>
      <c r="P918" s="7" t="s">
        <v>40</v>
      </c>
      <c r="Q918" s="7">
        <v>91.99</v>
      </c>
      <c r="R918" s="7"/>
      <c r="S918" s="7"/>
      <c r="T918" s="7"/>
      <c r="U918" s="7"/>
      <c r="V918" s="7"/>
      <c r="W918" s="7"/>
      <c r="X918" s="7"/>
      <c r="Y918" s="7" t="s">
        <v>4420</v>
      </c>
      <c r="Z918" s="7" t="s">
        <v>207</v>
      </c>
      <c r="AA918" s="7" t="s">
        <v>4421</v>
      </c>
      <c r="AB918" s="7" t="s">
        <v>44</v>
      </c>
      <c r="AC918" s="7"/>
      <c r="AD918" s="7"/>
      <c r="AE918" s="7"/>
      <c r="AF918" s="7"/>
      <c r="AG918" s="11">
        <f t="shared" si="14"/>
        <v>43283</v>
      </c>
    </row>
    <row r="919" s="8" customFormat="1" spans="1:33">
      <c r="A919" s="7" t="s">
        <v>4422</v>
      </c>
      <c r="B919" s="7" t="s">
        <v>4422</v>
      </c>
      <c r="C919" s="7" t="s">
        <v>4423</v>
      </c>
      <c r="D919" s="7" t="s">
        <v>4424</v>
      </c>
      <c r="E919" s="7" t="s">
        <v>33</v>
      </c>
      <c r="F919" s="7" t="s">
        <v>34</v>
      </c>
      <c r="G919" s="7" t="s">
        <v>35</v>
      </c>
      <c r="H919" s="7"/>
      <c r="I919" s="7"/>
      <c r="J919" s="7" t="s">
        <v>58</v>
      </c>
      <c r="K919" s="7" t="s">
        <v>79</v>
      </c>
      <c r="L919" s="7" t="s">
        <v>80</v>
      </c>
      <c r="M919" s="7" t="s">
        <v>81</v>
      </c>
      <c r="N919" s="7" t="s">
        <v>33</v>
      </c>
      <c r="O919" s="7">
        <v>1</v>
      </c>
      <c r="P919" s="7" t="s">
        <v>40</v>
      </c>
      <c r="Q919" s="7">
        <v>91.99</v>
      </c>
      <c r="R919" s="7"/>
      <c r="S919" s="7">
        <v>6.99</v>
      </c>
      <c r="T919" s="7"/>
      <c r="U919" s="7"/>
      <c r="V919" s="7"/>
      <c r="W919" s="7"/>
      <c r="X919" s="7"/>
      <c r="Y919" s="7" t="s">
        <v>1784</v>
      </c>
      <c r="Z919" s="7" t="s">
        <v>497</v>
      </c>
      <c r="AA919" s="7" t="s">
        <v>4425</v>
      </c>
      <c r="AB919" s="7" t="s">
        <v>44</v>
      </c>
      <c r="AC919" s="7"/>
      <c r="AD919" s="7"/>
      <c r="AE919" s="7"/>
      <c r="AF919" s="7"/>
      <c r="AG919" s="11">
        <f t="shared" si="14"/>
        <v>43283</v>
      </c>
    </row>
    <row r="920" s="8" customFormat="1" spans="1:33">
      <c r="A920" s="7" t="s">
        <v>4426</v>
      </c>
      <c r="B920" s="7" t="s">
        <v>4426</v>
      </c>
      <c r="C920" s="7" t="s">
        <v>4427</v>
      </c>
      <c r="D920" s="7" t="s">
        <v>4428</v>
      </c>
      <c r="E920" s="7" t="s">
        <v>33</v>
      </c>
      <c r="F920" s="7" t="s">
        <v>34</v>
      </c>
      <c r="G920" s="7" t="s">
        <v>35</v>
      </c>
      <c r="H920" s="7"/>
      <c r="I920" s="7"/>
      <c r="J920" s="7" t="s">
        <v>36</v>
      </c>
      <c r="K920" s="7" t="s">
        <v>2035</v>
      </c>
      <c r="L920" s="7" t="s">
        <v>89</v>
      </c>
      <c r="M920" s="7" t="s">
        <v>90</v>
      </c>
      <c r="N920" s="7" t="s">
        <v>33</v>
      </c>
      <c r="O920" s="7">
        <v>1</v>
      </c>
      <c r="P920" s="7" t="s">
        <v>40</v>
      </c>
      <c r="Q920" s="7">
        <v>89.99</v>
      </c>
      <c r="R920" s="7"/>
      <c r="S920" s="7"/>
      <c r="T920" s="7"/>
      <c r="U920" s="7"/>
      <c r="V920" s="7"/>
      <c r="W920" s="7"/>
      <c r="X920" s="7"/>
      <c r="Y920" s="7" t="s">
        <v>4429</v>
      </c>
      <c r="Z920" s="7" t="s">
        <v>299</v>
      </c>
      <c r="AA920" s="7" t="s">
        <v>4430</v>
      </c>
      <c r="AB920" s="7" t="s">
        <v>44</v>
      </c>
      <c r="AC920" s="7"/>
      <c r="AD920" s="7"/>
      <c r="AE920" s="7"/>
      <c r="AF920" s="7"/>
      <c r="AG920" s="11">
        <f t="shared" si="14"/>
        <v>43283</v>
      </c>
    </row>
    <row r="921" s="8" customFormat="1" spans="1:33">
      <c r="A921" s="7" t="s">
        <v>4431</v>
      </c>
      <c r="B921" s="7" t="s">
        <v>4431</v>
      </c>
      <c r="C921" s="7" t="s">
        <v>4432</v>
      </c>
      <c r="D921" s="7" t="s">
        <v>4433</v>
      </c>
      <c r="E921" s="7" t="s">
        <v>33</v>
      </c>
      <c r="F921" s="7" t="s">
        <v>34</v>
      </c>
      <c r="G921" s="7" t="s">
        <v>35</v>
      </c>
      <c r="H921" s="7"/>
      <c r="I921" s="7"/>
      <c r="J921" s="7" t="s">
        <v>36</v>
      </c>
      <c r="K921" s="7" t="s">
        <v>387</v>
      </c>
      <c r="L921" s="7" t="s">
        <v>388</v>
      </c>
      <c r="M921" s="7" t="s">
        <v>389</v>
      </c>
      <c r="N921" s="7" t="s">
        <v>33</v>
      </c>
      <c r="O921" s="7">
        <v>1</v>
      </c>
      <c r="P921" s="7" t="s">
        <v>40</v>
      </c>
      <c r="Q921" s="7">
        <v>32.99</v>
      </c>
      <c r="R921" s="7"/>
      <c r="S921" s="7"/>
      <c r="T921" s="7"/>
      <c r="U921" s="7"/>
      <c r="V921" s="7"/>
      <c r="W921" s="7"/>
      <c r="X921" s="7"/>
      <c r="Y921" s="7" t="s">
        <v>4434</v>
      </c>
      <c r="Z921" s="7" t="s">
        <v>4435</v>
      </c>
      <c r="AA921" s="7" t="s">
        <v>4436</v>
      </c>
      <c r="AB921" s="7" t="s">
        <v>44</v>
      </c>
      <c r="AC921" s="7"/>
      <c r="AD921" s="7"/>
      <c r="AE921" s="7"/>
      <c r="AF921" s="7"/>
      <c r="AG921" s="11">
        <f t="shared" si="14"/>
        <v>43283</v>
      </c>
    </row>
    <row r="922" s="8" customFormat="1" spans="1:33">
      <c r="A922" s="7" t="s">
        <v>4437</v>
      </c>
      <c r="B922" s="7" t="s">
        <v>4437</v>
      </c>
      <c r="C922" s="7" t="s">
        <v>4438</v>
      </c>
      <c r="D922" s="7" t="s">
        <v>4439</v>
      </c>
      <c r="E922" s="7" t="s">
        <v>54</v>
      </c>
      <c r="F922" s="7" t="s">
        <v>34</v>
      </c>
      <c r="G922" s="7" t="s">
        <v>35</v>
      </c>
      <c r="H922" s="7"/>
      <c r="I922" s="7"/>
      <c r="J922" s="7" t="s">
        <v>36</v>
      </c>
      <c r="K922" s="7" t="s">
        <v>2035</v>
      </c>
      <c r="L922" s="7" t="s">
        <v>89</v>
      </c>
      <c r="M922" s="7" t="s">
        <v>90</v>
      </c>
      <c r="N922" s="7" t="s">
        <v>54</v>
      </c>
      <c r="O922" s="7">
        <v>0</v>
      </c>
      <c r="P922" s="7"/>
      <c r="Q922" s="7"/>
      <c r="R922" s="7"/>
      <c r="S922" s="7"/>
      <c r="T922" s="7"/>
      <c r="U922" s="7"/>
      <c r="V922" s="7"/>
      <c r="W922" s="7"/>
      <c r="X922" s="7"/>
      <c r="Y922" s="7" t="s">
        <v>4440</v>
      </c>
      <c r="Z922" s="7" t="s">
        <v>189</v>
      </c>
      <c r="AA922" s="7" t="s">
        <v>4441</v>
      </c>
      <c r="AB922" s="7" t="s">
        <v>44</v>
      </c>
      <c r="AC922" s="7"/>
      <c r="AD922" s="7"/>
      <c r="AE922" s="7"/>
      <c r="AF922" s="7"/>
      <c r="AG922" s="11">
        <f t="shared" si="14"/>
        <v>43283</v>
      </c>
    </row>
    <row r="923" s="8" customFormat="1" spans="1:33">
      <c r="A923" s="7" t="s">
        <v>4442</v>
      </c>
      <c r="B923" s="7" t="s">
        <v>4442</v>
      </c>
      <c r="C923" s="7" t="s">
        <v>4443</v>
      </c>
      <c r="D923" s="7" t="s">
        <v>4444</v>
      </c>
      <c r="E923" s="7" t="s">
        <v>33</v>
      </c>
      <c r="F923" s="7" t="s">
        <v>34</v>
      </c>
      <c r="G923" s="7" t="s">
        <v>35</v>
      </c>
      <c r="H923" s="7"/>
      <c r="I923" s="7"/>
      <c r="J923" s="7" t="s">
        <v>163</v>
      </c>
      <c r="K923" s="7" t="s">
        <v>79</v>
      </c>
      <c r="L923" s="7" t="s">
        <v>80</v>
      </c>
      <c r="M923" s="7" t="s">
        <v>81</v>
      </c>
      <c r="N923" s="7" t="s">
        <v>33</v>
      </c>
      <c r="O923" s="7">
        <v>1</v>
      </c>
      <c r="P923" s="7" t="s">
        <v>40</v>
      </c>
      <c r="Q923" s="7">
        <v>91.99</v>
      </c>
      <c r="R923" s="7"/>
      <c r="S923" s="7">
        <v>9.98</v>
      </c>
      <c r="T923" s="7"/>
      <c r="U923" s="7"/>
      <c r="V923" s="7"/>
      <c r="W923" s="7"/>
      <c r="X923" s="7"/>
      <c r="Y923" s="7" t="s">
        <v>4445</v>
      </c>
      <c r="Z923" s="7" t="s">
        <v>83</v>
      </c>
      <c r="AA923" s="7" t="s">
        <v>4446</v>
      </c>
      <c r="AB923" s="7" t="s">
        <v>44</v>
      </c>
      <c r="AC923" s="7"/>
      <c r="AD923" s="7"/>
      <c r="AE923" s="7"/>
      <c r="AF923" s="7"/>
      <c r="AG923" s="11">
        <f t="shared" si="14"/>
        <v>43283</v>
      </c>
    </row>
    <row r="924" s="8" customFormat="1" spans="1:33">
      <c r="A924" s="7" t="s">
        <v>4447</v>
      </c>
      <c r="B924" s="7" t="s">
        <v>4447</v>
      </c>
      <c r="C924" s="7" t="s">
        <v>4448</v>
      </c>
      <c r="D924" s="7" t="s">
        <v>4449</v>
      </c>
      <c r="E924" s="7" t="s">
        <v>33</v>
      </c>
      <c r="F924" s="7" t="s">
        <v>34</v>
      </c>
      <c r="G924" s="7" t="s">
        <v>35</v>
      </c>
      <c r="H924" s="7"/>
      <c r="I924" s="7"/>
      <c r="J924" s="7" t="s">
        <v>36</v>
      </c>
      <c r="K924" s="7" t="s">
        <v>148</v>
      </c>
      <c r="L924" s="7" t="s">
        <v>149</v>
      </c>
      <c r="M924" s="7" t="s">
        <v>150</v>
      </c>
      <c r="N924" s="7" t="s">
        <v>33</v>
      </c>
      <c r="O924" s="7">
        <v>1</v>
      </c>
      <c r="P924" s="7" t="s">
        <v>40</v>
      </c>
      <c r="Q924" s="7">
        <v>98.99</v>
      </c>
      <c r="R924" s="7"/>
      <c r="S924" s="7"/>
      <c r="T924" s="7"/>
      <c r="U924" s="7"/>
      <c r="V924" s="7"/>
      <c r="W924" s="7"/>
      <c r="X924" s="7"/>
      <c r="Y924" s="7" t="s">
        <v>4450</v>
      </c>
      <c r="Z924" s="7" t="s">
        <v>64</v>
      </c>
      <c r="AA924" s="7" t="s">
        <v>4451</v>
      </c>
      <c r="AB924" s="7" t="s">
        <v>44</v>
      </c>
      <c r="AC924" s="7"/>
      <c r="AD924" s="7"/>
      <c r="AE924" s="7"/>
      <c r="AF924" s="7"/>
      <c r="AG924" s="11">
        <f t="shared" si="14"/>
        <v>43283</v>
      </c>
    </row>
    <row r="925" s="8" customFormat="1" spans="1:33">
      <c r="A925" s="7" t="s">
        <v>4452</v>
      </c>
      <c r="B925" s="7" t="s">
        <v>4452</v>
      </c>
      <c r="C925" s="7" t="s">
        <v>4453</v>
      </c>
      <c r="D925" s="7" t="s">
        <v>4454</v>
      </c>
      <c r="E925" s="7" t="s">
        <v>33</v>
      </c>
      <c r="F925" s="7" t="s">
        <v>34</v>
      </c>
      <c r="G925" s="7" t="s">
        <v>35</v>
      </c>
      <c r="H925" s="7"/>
      <c r="I925" s="7"/>
      <c r="J925" s="7" t="s">
        <v>36</v>
      </c>
      <c r="K925" s="7" t="s">
        <v>123</v>
      </c>
      <c r="L925" s="7" t="s">
        <v>124</v>
      </c>
      <c r="M925" s="7" t="s">
        <v>125</v>
      </c>
      <c r="N925" s="7" t="s">
        <v>33</v>
      </c>
      <c r="O925" s="7">
        <v>1</v>
      </c>
      <c r="P925" s="7" t="s">
        <v>40</v>
      </c>
      <c r="Q925" s="7">
        <v>89.99</v>
      </c>
      <c r="R925" s="7"/>
      <c r="S925" s="7"/>
      <c r="T925" s="7"/>
      <c r="U925" s="7"/>
      <c r="V925" s="7"/>
      <c r="W925" s="7"/>
      <c r="X925" s="7"/>
      <c r="Y925" s="7" t="s">
        <v>4455</v>
      </c>
      <c r="Z925" s="7" t="s">
        <v>158</v>
      </c>
      <c r="AA925" s="7">
        <v>72801</v>
      </c>
      <c r="AB925" s="7" t="s">
        <v>44</v>
      </c>
      <c r="AC925" s="7"/>
      <c r="AD925" s="7"/>
      <c r="AE925" s="7"/>
      <c r="AF925" s="7"/>
      <c r="AG925" s="11">
        <f t="shared" si="14"/>
        <v>43283</v>
      </c>
    </row>
    <row r="926" s="8" customFormat="1" spans="1:33">
      <c r="A926" s="7" t="s">
        <v>4456</v>
      </c>
      <c r="B926" s="7" t="s">
        <v>4456</v>
      </c>
      <c r="C926" s="7" t="s">
        <v>4457</v>
      </c>
      <c r="D926" s="7" t="s">
        <v>4458</v>
      </c>
      <c r="E926" s="7" t="s">
        <v>33</v>
      </c>
      <c r="F926" s="7" t="s">
        <v>34</v>
      </c>
      <c r="G926" s="7" t="s">
        <v>35</v>
      </c>
      <c r="H926" s="7"/>
      <c r="I926" s="7"/>
      <c r="J926" s="7" t="s">
        <v>58</v>
      </c>
      <c r="K926" s="7" t="s">
        <v>2013</v>
      </c>
      <c r="L926" s="7" t="s">
        <v>2014</v>
      </c>
      <c r="M926" s="7" t="s">
        <v>2015</v>
      </c>
      <c r="N926" s="7" t="s">
        <v>33</v>
      </c>
      <c r="O926" s="7">
        <v>1</v>
      </c>
      <c r="P926" s="7" t="s">
        <v>40</v>
      </c>
      <c r="Q926" s="7">
        <v>99.99</v>
      </c>
      <c r="R926" s="7"/>
      <c r="S926" s="7">
        <v>30.48</v>
      </c>
      <c r="T926" s="7"/>
      <c r="U926" s="7"/>
      <c r="V926" s="7"/>
      <c r="W926" s="7"/>
      <c r="X926" s="7"/>
      <c r="Y926" s="7" t="s">
        <v>4459</v>
      </c>
      <c r="Z926" s="7" t="s">
        <v>484</v>
      </c>
      <c r="AA926" s="7" t="s">
        <v>4460</v>
      </c>
      <c r="AB926" s="7" t="s">
        <v>44</v>
      </c>
      <c r="AC926" s="7"/>
      <c r="AD926" s="7"/>
      <c r="AE926" s="7"/>
      <c r="AF926" s="7"/>
      <c r="AG926" s="11">
        <f t="shared" si="14"/>
        <v>43283</v>
      </c>
    </row>
    <row r="927" s="8" customFormat="1" spans="1:33">
      <c r="A927" s="7" t="s">
        <v>4461</v>
      </c>
      <c r="B927" s="7" t="s">
        <v>4461</v>
      </c>
      <c r="C927" s="7" t="s">
        <v>4462</v>
      </c>
      <c r="D927" s="7" t="s">
        <v>4463</v>
      </c>
      <c r="E927" s="7" t="s">
        <v>33</v>
      </c>
      <c r="F927" s="7" t="s">
        <v>34</v>
      </c>
      <c r="G927" s="7" t="s">
        <v>35</v>
      </c>
      <c r="H927" s="7"/>
      <c r="I927" s="7"/>
      <c r="J927" s="7" t="s">
        <v>163</v>
      </c>
      <c r="K927" s="7" t="s">
        <v>79</v>
      </c>
      <c r="L927" s="7" t="s">
        <v>80</v>
      </c>
      <c r="M927" s="7" t="s">
        <v>81</v>
      </c>
      <c r="N927" s="7" t="s">
        <v>33</v>
      </c>
      <c r="O927" s="7">
        <v>1</v>
      </c>
      <c r="P927" s="7" t="s">
        <v>40</v>
      </c>
      <c r="Q927" s="7">
        <v>91.99</v>
      </c>
      <c r="R927" s="7">
        <v>5.52</v>
      </c>
      <c r="S927" s="7">
        <v>6.99</v>
      </c>
      <c r="T927" s="7"/>
      <c r="U927" s="7"/>
      <c r="V927" s="7"/>
      <c r="W927" s="7"/>
      <c r="X927" s="7">
        <v>6.99</v>
      </c>
      <c r="Y927" s="7" t="s">
        <v>4464</v>
      </c>
      <c r="Z927" s="7" t="s">
        <v>880</v>
      </c>
      <c r="AA927" s="7" t="s">
        <v>4465</v>
      </c>
      <c r="AB927" s="7" t="s">
        <v>44</v>
      </c>
      <c r="AC927" s="7"/>
      <c r="AD927" s="7"/>
      <c r="AE927" s="7"/>
      <c r="AF927" s="7"/>
      <c r="AG927" s="11">
        <f t="shared" si="14"/>
        <v>43283</v>
      </c>
    </row>
    <row r="928" s="8" customFormat="1" spans="1:33">
      <c r="A928" s="7" t="s">
        <v>4466</v>
      </c>
      <c r="B928" s="7" t="s">
        <v>4466</v>
      </c>
      <c r="C928" s="7" t="s">
        <v>4467</v>
      </c>
      <c r="D928" s="7" t="s">
        <v>4468</v>
      </c>
      <c r="E928" s="7" t="s">
        <v>33</v>
      </c>
      <c r="F928" s="7" t="s">
        <v>34</v>
      </c>
      <c r="G928" s="7" t="s">
        <v>35</v>
      </c>
      <c r="H928" s="7"/>
      <c r="I928" s="7"/>
      <c r="J928" s="7" t="s">
        <v>36</v>
      </c>
      <c r="K928" s="7" t="s">
        <v>79</v>
      </c>
      <c r="L928" s="7" t="s">
        <v>80</v>
      </c>
      <c r="M928" s="7" t="s">
        <v>81</v>
      </c>
      <c r="N928" s="7" t="s">
        <v>33</v>
      </c>
      <c r="O928" s="7">
        <v>1</v>
      </c>
      <c r="P928" s="7" t="s">
        <v>40</v>
      </c>
      <c r="Q928" s="7">
        <v>91.99</v>
      </c>
      <c r="R928" s="7"/>
      <c r="S928" s="7"/>
      <c r="T928" s="7"/>
      <c r="U928" s="7"/>
      <c r="V928" s="7"/>
      <c r="W928" s="7"/>
      <c r="X928" s="7"/>
      <c r="Y928" s="7" t="s">
        <v>4469</v>
      </c>
      <c r="Z928" s="7" t="s">
        <v>83</v>
      </c>
      <c r="AA928" s="7" t="s">
        <v>4470</v>
      </c>
      <c r="AB928" s="7" t="s">
        <v>44</v>
      </c>
      <c r="AC928" s="7"/>
      <c r="AD928" s="7"/>
      <c r="AE928" s="7"/>
      <c r="AF928" s="7"/>
      <c r="AG928" s="11">
        <f t="shared" si="14"/>
        <v>43283</v>
      </c>
    </row>
    <row r="929" s="8" customFormat="1" spans="1:33">
      <c r="A929" s="7" t="s">
        <v>4471</v>
      </c>
      <c r="B929" s="7" t="s">
        <v>4471</v>
      </c>
      <c r="C929" s="7" t="s">
        <v>4472</v>
      </c>
      <c r="D929" s="7" t="s">
        <v>4473</v>
      </c>
      <c r="E929" s="7" t="s">
        <v>33</v>
      </c>
      <c r="F929" s="7" t="s">
        <v>34</v>
      </c>
      <c r="G929" s="7" t="s">
        <v>35</v>
      </c>
      <c r="H929" s="7"/>
      <c r="I929" s="7"/>
      <c r="J929" s="7" t="s">
        <v>36</v>
      </c>
      <c r="K929" s="7" t="s">
        <v>2625</v>
      </c>
      <c r="L929" s="7" t="s">
        <v>2626</v>
      </c>
      <c r="M929" s="7" t="s">
        <v>2627</v>
      </c>
      <c r="N929" s="7" t="s">
        <v>33</v>
      </c>
      <c r="O929" s="7">
        <v>1</v>
      </c>
      <c r="P929" s="7" t="s">
        <v>40</v>
      </c>
      <c r="Q929" s="7">
        <v>26.99</v>
      </c>
      <c r="R929" s="7"/>
      <c r="S929" s="7"/>
      <c r="T929" s="7"/>
      <c r="U929" s="7"/>
      <c r="V929" s="7"/>
      <c r="W929" s="7"/>
      <c r="X929" s="7"/>
      <c r="Y929" s="7" t="s">
        <v>4474</v>
      </c>
      <c r="Z929" s="7" t="s">
        <v>152</v>
      </c>
      <c r="AA929" s="7" t="s">
        <v>4475</v>
      </c>
      <c r="AB929" s="7" t="s">
        <v>44</v>
      </c>
      <c r="AC929" s="7"/>
      <c r="AD929" s="7"/>
      <c r="AE929" s="7"/>
      <c r="AF929" s="7"/>
      <c r="AG929" s="11">
        <f t="shared" si="14"/>
        <v>43283</v>
      </c>
    </row>
    <row r="930" s="8" customFormat="1" spans="1:33">
      <c r="A930" s="7" t="s">
        <v>4476</v>
      </c>
      <c r="B930" s="7" t="s">
        <v>4476</v>
      </c>
      <c r="C930" s="7" t="s">
        <v>4477</v>
      </c>
      <c r="D930" s="7" t="s">
        <v>4478</v>
      </c>
      <c r="E930" s="7" t="s">
        <v>33</v>
      </c>
      <c r="F930" s="7" t="s">
        <v>34</v>
      </c>
      <c r="G930" s="7" t="s">
        <v>35</v>
      </c>
      <c r="H930" s="7"/>
      <c r="I930" s="7"/>
      <c r="J930" s="7" t="s">
        <v>36</v>
      </c>
      <c r="K930" s="7" t="s">
        <v>2459</v>
      </c>
      <c r="L930" s="7" t="s">
        <v>365</v>
      </c>
      <c r="M930" s="7" t="s">
        <v>366</v>
      </c>
      <c r="N930" s="7" t="s">
        <v>33</v>
      </c>
      <c r="O930" s="7">
        <v>1</v>
      </c>
      <c r="P930" s="7" t="s">
        <v>40</v>
      </c>
      <c r="Q930" s="7">
        <v>89.99</v>
      </c>
      <c r="R930" s="7"/>
      <c r="S930" s="7"/>
      <c r="T930" s="7"/>
      <c r="U930" s="7"/>
      <c r="V930" s="7"/>
      <c r="W930" s="7"/>
      <c r="X930" s="7"/>
      <c r="Y930" s="7" t="s">
        <v>885</v>
      </c>
      <c r="Z930" s="7" t="s">
        <v>83</v>
      </c>
      <c r="AA930" s="7" t="s">
        <v>4479</v>
      </c>
      <c r="AB930" s="7" t="s">
        <v>44</v>
      </c>
      <c r="AC930" s="7"/>
      <c r="AD930" s="7"/>
      <c r="AE930" s="7"/>
      <c r="AF930" s="7"/>
      <c r="AG930" s="11">
        <f t="shared" si="14"/>
        <v>43283</v>
      </c>
    </row>
    <row r="931" s="8" customFormat="1" spans="1:33">
      <c r="A931" s="7" t="s">
        <v>4480</v>
      </c>
      <c r="B931" s="7" t="s">
        <v>4480</v>
      </c>
      <c r="C931" s="7" t="s">
        <v>4481</v>
      </c>
      <c r="D931" s="7" t="s">
        <v>4482</v>
      </c>
      <c r="E931" s="7" t="s">
        <v>33</v>
      </c>
      <c r="F931" s="7" t="s">
        <v>34</v>
      </c>
      <c r="G931" s="7" t="s">
        <v>35</v>
      </c>
      <c r="H931" s="7"/>
      <c r="I931" s="7"/>
      <c r="J931" s="7" t="s">
        <v>36</v>
      </c>
      <c r="K931" s="7" t="s">
        <v>2135</v>
      </c>
      <c r="L931" s="7" t="s">
        <v>2136</v>
      </c>
      <c r="M931" s="7" t="s">
        <v>2137</v>
      </c>
      <c r="N931" s="7" t="s">
        <v>33</v>
      </c>
      <c r="O931" s="7">
        <v>1</v>
      </c>
      <c r="P931" s="7" t="s">
        <v>40</v>
      </c>
      <c r="Q931" s="7">
        <v>32.99</v>
      </c>
      <c r="R931" s="7"/>
      <c r="S931" s="7"/>
      <c r="T931" s="7"/>
      <c r="U931" s="7"/>
      <c r="V931" s="7"/>
      <c r="W931" s="7"/>
      <c r="X931" s="7"/>
      <c r="Y931" s="7" t="s">
        <v>4483</v>
      </c>
      <c r="Z931" s="7" t="s">
        <v>497</v>
      </c>
      <c r="AA931" s="7" t="s">
        <v>4484</v>
      </c>
      <c r="AB931" s="7" t="s">
        <v>44</v>
      </c>
      <c r="AC931" s="7"/>
      <c r="AD931" s="7"/>
      <c r="AE931" s="7"/>
      <c r="AF931" s="7"/>
      <c r="AG931" s="11">
        <f t="shared" si="14"/>
        <v>43283</v>
      </c>
    </row>
    <row r="932" s="8" customFormat="1" spans="1:33">
      <c r="A932" s="7" t="s">
        <v>4485</v>
      </c>
      <c r="B932" s="7" t="s">
        <v>4485</v>
      </c>
      <c r="C932" s="7" t="s">
        <v>4486</v>
      </c>
      <c r="D932" s="7" t="s">
        <v>4487</v>
      </c>
      <c r="E932" s="7" t="s">
        <v>33</v>
      </c>
      <c r="F932" s="7" t="s">
        <v>34</v>
      </c>
      <c r="G932" s="7" t="s">
        <v>35</v>
      </c>
      <c r="H932" s="7"/>
      <c r="I932" s="7"/>
      <c r="J932" s="7" t="s">
        <v>36</v>
      </c>
      <c r="K932" s="7" t="s">
        <v>698</v>
      </c>
      <c r="L932" s="7" t="s">
        <v>699</v>
      </c>
      <c r="M932" s="7" t="s">
        <v>700</v>
      </c>
      <c r="N932" s="7" t="s">
        <v>33</v>
      </c>
      <c r="O932" s="7">
        <v>1</v>
      </c>
      <c r="P932" s="7" t="s">
        <v>40</v>
      </c>
      <c r="Q932" s="7">
        <v>21.99</v>
      </c>
      <c r="R932" s="7"/>
      <c r="S932" s="7"/>
      <c r="T932" s="7"/>
      <c r="U932" s="7"/>
      <c r="V932" s="7"/>
      <c r="W932" s="7">
        <v>21.77</v>
      </c>
      <c r="X932" s="7"/>
      <c r="Y932" s="7" t="s">
        <v>4488</v>
      </c>
      <c r="Z932" s="7" t="s">
        <v>3879</v>
      </c>
      <c r="AA932" s="7">
        <v>75078</v>
      </c>
      <c r="AB932" s="7" t="s">
        <v>44</v>
      </c>
      <c r="AC932" s="7" t="s">
        <v>209</v>
      </c>
      <c r="AD932" s="7"/>
      <c r="AE932" s="7"/>
      <c r="AF932" s="7"/>
      <c r="AG932" s="11">
        <f t="shared" si="14"/>
        <v>43283</v>
      </c>
    </row>
    <row r="933" s="8" customFormat="1" spans="1:33">
      <c r="A933" s="7" t="s">
        <v>4489</v>
      </c>
      <c r="B933" s="7" t="s">
        <v>4489</v>
      </c>
      <c r="C933" s="7" t="s">
        <v>4490</v>
      </c>
      <c r="D933" s="7" t="s">
        <v>4491</v>
      </c>
      <c r="E933" s="7" t="s">
        <v>33</v>
      </c>
      <c r="F933" s="7" t="s">
        <v>34</v>
      </c>
      <c r="G933" s="7" t="s">
        <v>35</v>
      </c>
      <c r="H933" s="7"/>
      <c r="I933" s="7"/>
      <c r="J933" s="7" t="s">
        <v>36</v>
      </c>
      <c r="K933" s="7" t="s">
        <v>3794</v>
      </c>
      <c r="L933" s="7" t="s">
        <v>3795</v>
      </c>
      <c r="M933" s="7" t="s">
        <v>3796</v>
      </c>
      <c r="N933" s="7" t="s">
        <v>33</v>
      </c>
      <c r="O933" s="7">
        <v>1</v>
      </c>
      <c r="P933" s="7" t="s">
        <v>40</v>
      </c>
      <c r="Q933" s="7">
        <v>89.6</v>
      </c>
      <c r="R933" s="7"/>
      <c r="S933" s="7"/>
      <c r="T933" s="7"/>
      <c r="U933" s="7"/>
      <c r="V933" s="7"/>
      <c r="W933" s="7"/>
      <c r="X933" s="7"/>
      <c r="Y933" s="7" t="s">
        <v>4492</v>
      </c>
      <c r="Z933" s="7" t="s">
        <v>4493</v>
      </c>
      <c r="AA933" s="7">
        <v>48154</v>
      </c>
      <c r="AB933" s="7" t="s">
        <v>44</v>
      </c>
      <c r="AC933" s="7"/>
      <c r="AD933" s="7"/>
      <c r="AE933" s="7"/>
      <c r="AF933" s="7"/>
      <c r="AG933" s="11">
        <f t="shared" si="14"/>
        <v>43283</v>
      </c>
    </row>
    <row r="934" s="8" customFormat="1" spans="1:33">
      <c r="A934" s="7" t="s">
        <v>4494</v>
      </c>
      <c r="B934" s="7" t="s">
        <v>4494</v>
      </c>
      <c r="C934" s="7" t="s">
        <v>4495</v>
      </c>
      <c r="D934" s="7" t="s">
        <v>4496</v>
      </c>
      <c r="E934" s="7" t="s">
        <v>33</v>
      </c>
      <c r="F934" s="7" t="s">
        <v>34</v>
      </c>
      <c r="G934" s="7" t="s">
        <v>35</v>
      </c>
      <c r="H934" s="7"/>
      <c r="I934" s="7"/>
      <c r="J934" s="7" t="s">
        <v>36</v>
      </c>
      <c r="K934" s="7" t="s">
        <v>275</v>
      </c>
      <c r="L934" s="7" t="s">
        <v>276</v>
      </c>
      <c r="M934" s="7" t="s">
        <v>277</v>
      </c>
      <c r="N934" s="7" t="s">
        <v>33</v>
      </c>
      <c r="O934" s="7">
        <v>1</v>
      </c>
      <c r="P934" s="7" t="s">
        <v>40</v>
      </c>
      <c r="Q934" s="7">
        <v>89.99</v>
      </c>
      <c r="R934" s="7"/>
      <c r="S934" s="7"/>
      <c r="T934" s="7"/>
      <c r="U934" s="7"/>
      <c r="V934" s="7"/>
      <c r="W934" s="7"/>
      <c r="X934" s="7"/>
      <c r="Y934" s="7" t="s">
        <v>4497</v>
      </c>
      <c r="Z934" s="7" t="s">
        <v>422</v>
      </c>
      <c r="AA934" s="7">
        <v>97630</v>
      </c>
      <c r="AB934" s="7" t="s">
        <v>44</v>
      </c>
      <c r="AC934" s="7"/>
      <c r="AD934" s="7"/>
      <c r="AE934" s="7"/>
      <c r="AF934" s="7"/>
      <c r="AG934" s="11">
        <f t="shared" si="14"/>
        <v>43283</v>
      </c>
    </row>
    <row r="935" s="8" customFormat="1" spans="1:33">
      <c r="A935" s="7" t="s">
        <v>4498</v>
      </c>
      <c r="B935" s="7" t="s">
        <v>4498</v>
      </c>
      <c r="C935" s="7" t="s">
        <v>4499</v>
      </c>
      <c r="D935" s="7" t="s">
        <v>4500</v>
      </c>
      <c r="E935" s="7" t="s">
        <v>33</v>
      </c>
      <c r="F935" s="7" t="s">
        <v>34</v>
      </c>
      <c r="G935" s="7" t="s">
        <v>35</v>
      </c>
      <c r="H935" s="7"/>
      <c r="I935" s="7"/>
      <c r="J935" s="7" t="s">
        <v>36</v>
      </c>
      <c r="K935" s="7" t="s">
        <v>1099</v>
      </c>
      <c r="L935" s="7" t="s">
        <v>1100</v>
      </c>
      <c r="M935" s="7" t="s">
        <v>1101</v>
      </c>
      <c r="N935" s="7" t="s">
        <v>33</v>
      </c>
      <c r="O935" s="7">
        <v>1</v>
      </c>
      <c r="P935" s="7" t="s">
        <v>40</v>
      </c>
      <c r="Q935" s="7">
        <v>108.99</v>
      </c>
      <c r="R935" s="7"/>
      <c r="S935" s="7"/>
      <c r="T935" s="7"/>
      <c r="U935" s="7"/>
      <c r="V935" s="7"/>
      <c r="W935" s="7"/>
      <c r="X935" s="7"/>
      <c r="Y935" s="7" t="s">
        <v>4501</v>
      </c>
      <c r="Z935" s="7" t="s">
        <v>52</v>
      </c>
      <c r="AA935" s="7" t="s">
        <v>4502</v>
      </c>
      <c r="AB935" s="7" t="s">
        <v>44</v>
      </c>
      <c r="AC935" s="7"/>
      <c r="AD935" s="7"/>
      <c r="AE935" s="7"/>
      <c r="AF935" s="7"/>
      <c r="AG935" s="11">
        <f t="shared" si="14"/>
        <v>43283</v>
      </c>
    </row>
    <row r="936" s="8" customFormat="1" spans="1:33">
      <c r="A936" s="7" t="s">
        <v>4503</v>
      </c>
      <c r="B936" s="7" t="s">
        <v>4503</v>
      </c>
      <c r="C936" s="7" t="s">
        <v>4504</v>
      </c>
      <c r="D936" s="7" t="s">
        <v>4505</v>
      </c>
      <c r="E936" s="7" t="s">
        <v>33</v>
      </c>
      <c r="F936" s="7" t="s">
        <v>34</v>
      </c>
      <c r="G936" s="7" t="s">
        <v>35</v>
      </c>
      <c r="H936" s="7"/>
      <c r="I936" s="7"/>
      <c r="J936" s="7" t="s">
        <v>36</v>
      </c>
      <c r="K936" s="7" t="s">
        <v>48</v>
      </c>
      <c r="L936" s="7" t="s">
        <v>49</v>
      </c>
      <c r="M936" s="7" t="s">
        <v>50</v>
      </c>
      <c r="N936" s="7" t="s">
        <v>33</v>
      </c>
      <c r="O936" s="7">
        <v>1</v>
      </c>
      <c r="P936" s="7" t="s">
        <v>40</v>
      </c>
      <c r="Q936" s="7">
        <v>89.99</v>
      </c>
      <c r="R936" s="7"/>
      <c r="S936" s="7"/>
      <c r="T936" s="7"/>
      <c r="U936" s="7"/>
      <c r="V936" s="7"/>
      <c r="W936" s="7"/>
      <c r="X936" s="7"/>
      <c r="Y936" s="7" t="s">
        <v>4506</v>
      </c>
      <c r="Z936" s="7" t="s">
        <v>316</v>
      </c>
      <c r="AA936" s="7" t="s">
        <v>4507</v>
      </c>
      <c r="AB936" s="7" t="s">
        <v>44</v>
      </c>
      <c r="AC936" s="7"/>
      <c r="AD936" s="7"/>
      <c r="AE936" s="7"/>
      <c r="AF936" s="7"/>
      <c r="AG936" s="11">
        <f t="shared" si="14"/>
        <v>43283</v>
      </c>
    </row>
    <row r="937" s="8" customFormat="1" spans="1:33">
      <c r="A937" s="7" t="s">
        <v>4508</v>
      </c>
      <c r="B937" s="7" t="s">
        <v>4508</v>
      </c>
      <c r="C937" s="7" t="s">
        <v>4509</v>
      </c>
      <c r="D937" s="7" t="s">
        <v>4510</v>
      </c>
      <c r="E937" s="7" t="s">
        <v>33</v>
      </c>
      <c r="F937" s="7" t="s">
        <v>34</v>
      </c>
      <c r="G937" s="7" t="s">
        <v>35</v>
      </c>
      <c r="H937" s="7"/>
      <c r="I937" s="7"/>
      <c r="J937" s="7" t="s">
        <v>36</v>
      </c>
      <c r="K937" s="7" t="s">
        <v>79</v>
      </c>
      <c r="L937" s="7" t="s">
        <v>80</v>
      </c>
      <c r="M937" s="7" t="s">
        <v>81</v>
      </c>
      <c r="N937" s="7" t="s">
        <v>33</v>
      </c>
      <c r="O937" s="7">
        <v>1</v>
      </c>
      <c r="P937" s="7" t="s">
        <v>40</v>
      </c>
      <c r="Q937" s="7">
        <v>91.99</v>
      </c>
      <c r="R937" s="7"/>
      <c r="S937" s="7"/>
      <c r="T937" s="7"/>
      <c r="U937" s="7"/>
      <c r="V937" s="7"/>
      <c r="W937" s="7"/>
      <c r="X937" s="7"/>
      <c r="Y937" s="7" t="s">
        <v>4511</v>
      </c>
      <c r="Z937" s="7" t="s">
        <v>42</v>
      </c>
      <c r="AA937" s="7" t="s">
        <v>4512</v>
      </c>
      <c r="AB937" s="7" t="s">
        <v>44</v>
      </c>
      <c r="AC937" s="7"/>
      <c r="AD937" s="7"/>
      <c r="AE937" s="7"/>
      <c r="AF937" s="7"/>
      <c r="AG937" s="11">
        <f t="shared" si="14"/>
        <v>43283</v>
      </c>
    </row>
    <row r="938" s="8" customFormat="1" spans="1:33">
      <c r="A938" s="7" t="s">
        <v>4513</v>
      </c>
      <c r="B938" s="7" t="s">
        <v>4513</v>
      </c>
      <c r="C938" s="7" t="s">
        <v>4514</v>
      </c>
      <c r="D938" s="7" t="s">
        <v>4515</v>
      </c>
      <c r="E938" s="7" t="s">
        <v>33</v>
      </c>
      <c r="F938" s="7" t="s">
        <v>34</v>
      </c>
      <c r="G938" s="7" t="s">
        <v>35</v>
      </c>
      <c r="H938" s="7"/>
      <c r="I938" s="7"/>
      <c r="J938" s="7" t="s">
        <v>36</v>
      </c>
      <c r="K938" s="7" t="s">
        <v>2013</v>
      </c>
      <c r="L938" s="7" t="s">
        <v>2014</v>
      </c>
      <c r="M938" s="7" t="s">
        <v>2015</v>
      </c>
      <c r="N938" s="7" t="s">
        <v>33</v>
      </c>
      <c r="O938" s="7">
        <v>1</v>
      </c>
      <c r="P938" s="7" t="s">
        <v>40</v>
      </c>
      <c r="Q938" s="7">
        <v>99.99</v>
      </c>
      <c r="R938" s="7"/>
      <c r="S938" s="7"/>
      <c r="T938" s="7"/>
      <c r="U938" s="7"/>
      <c r="V938" s="7"/>
      <c r="W938" s="7"/>
      <c r="X938" s="7"/>
      <c r="Y938" s="7" t="s">
        <v>4516</v>
      </c>
      <c r="Z938" s="7" t="s">
        <v>440</v>
      </c>
      <c r="AA938" s="7">
        <v>30016</v>
      </c>
      <c r="AB938" s="7" t="s">
        <v>44</v>
      </c>
      <c r="AC938" s="7"/>
      <c r="AD938" s="7"/>
      <c r="AE938" s="7"/>
      <c r="AF938" s="7"/>
      <c r="AG938" s="11">
        <f t="shared" si="14"/>
        <v>43283</v>
      </c>
    </row>
    <row r="939" s="8" customFormat="1" spans="1:33">
      <c r="A939" s="7" t="s">
        <v>4517</v>
      </c>
      <c r="B939" s="7" t="s">
        <v>4517</v>
      </c>
      <c r="C939" s="7" t="s">
        <v>4518</v>
      </c>
      <c r="D939" s="7" t="s">
        <v>4519</v>
      </c>
      <c r="E939" s="7" t="s">
        <v>33</v>
      </c>
      <c r="F939" s="7" t="s">
        <v>34</v>
      </c>
      <c r="G939" s="7" t="s">
        <v>35</v>
      </c>
      <c r="H939" s="7"/>
      <c r="I939" s="7"/>
      <c r="J939" s="7" t="s">
        <v>36</v>
      </c>
      <c r="K939" s="7" t="s">
        <v>719</v>
      </c>
      <c r="L939" s="7" t="s">
        <v>720</v>
      </c>
      <c r="M939" s="7" t="s">
        <v>721</v>
      </c>
      <c r="N939" s="7" t="s">
        <v>33</v>
      </c>
      <c r="O939" s="7">
        <v>1</v>
      </c>
      <c r="P939" s="7" t="s">
        <v>40</v>
      </c>
      <c r="Q939" s="7">
        <v>21.99</v>
      </c>
      <c r="R939" s="7"/>
      <c r="S939" s="7"/>
      <c r="T939" s="7"/>
      <c r="U939" s="7"/>
      <c r="V939" s="7"/>
      <c r="W939" s="7"/>
      <c r="X939" s="7"/>
      <c r="Y939" s="7" t="s">
        <v>3040</v>
      </c>
      <c r="Z939" s="7" t="s">
        <v>316</v>
      </c>
      <c r="AA939" s="7" t="s">
        <v>4520</v>
      </c>
      <c r="AB939" s="7" t="s">
        <v>44</v>
      </c>
      <c r="AC939" s="7"/>
      <c r="AD939" s="7"/>
      <c r="AE939" s="7"/>
      <c r="AF939" s="7"/>
      <c r="AG939" s="11">
        <f t="shared" si="14"/>
        <v>43284</v>
      </c>
    </row>
    <row r="940" s="8" customFormat="1" spans="1:33">
      <c r="A940" s="7" t="s">
        <v>4521</v>
      </c>
      <c r="B940" s="7" t="s">
        <v>4521</v>
      </c>
      <c r="C940" s="7" t="s">
        <v>4522</v>
      </c>
      <c r="D940" s="7" t="s">
        <v>4523</v>
      </c>
      <c r="E940" s="7" t="s">
        <v>54</v>
      </c>
      <c r="F940" s="7" t="s">
        <v>34</v>
      </c>
      <c r="G940" s="7" t="s">
        <v>35</v>
      </c>
      <c r="H940" s="7"/>
      <c r="I940" s="7"/>
      <c r="J940" s="7" t="s">
        <v>36</v>
      </c>
      <c r="K940" s="7" t="s">
        <v>59</v>
      </c>
      <c r="L940" s="7" t="s">
        <v>60</v>
      </c>
      <c r="M940" s="7" t="s">
        <v>61</v>
      </c>
      <c r="N940" s="7" t="s">
        <v>62</v>
      </c>
      <c r="O940" s="7">
        <v>1</v>
      </c>
      <c r="P940" s="7" t="s">
        <v>40</v>
      </c>
      <c r="Q940" s="7">
        <v>89.99</v>
      </c>
      <c r="R940" s="7"/>
      <c r="S940" s="7"/>
      <c r="T940" s="7"/>
      <c r="U940" s="7"/>
      <c r="V940" s="7"/>
      <c r="W940" s="7"/>
      <c r="X940" s="7"/>
      <c r="Y940" s="7" t="s">
        <v>83</v>
      </c>
      <c r="Z940" s="7" t="s">
        <v>550</v>
      </c>
      <c r="AA940" s="7">
        <v>95385</v>
      </c>
      <c r="AB940" s="7" t="s">
        <v>44</v>
      </c>
      <c r="AC940" s="7"/>
      <c r="AD940" s="7"/>
      <c r="AE940" s="7"/>
      <c r="AF940" s="7"/>
      <c r="AG940" s="11">
        <f t="shared" si="14"/>
        <v>43284</v>
      </c>
    </row>
    <row r="941" s="8" customFormat="1" spans="1:33">
      <c r="A941" s="7" t="s">
        <v>4524</v>
      </c>
      <c r="B941" s="7" t="s">
        <v>4524</v>
      </c>
      <c r="C941" s="7" t="s">
        <v>4525</v>
      </c>
      <c r="D941" s="7" t="s">
        <v>4526</v>
      </c>
      <c r="E941" s="7" t="s">
        <v>33</v>
      </c>
      <c r="F941" s="7" t="s">
        <v>34</v>
      </c>
      <c r="G941" s="7" t="s">
        <v>35</v>
      </c>
      <c r="H941" s="7"/>
      <c r="I941" s="7"/>
      <c r="J941" s="7" t="s">
        <v>36</v>
      </c>
      <c r="K941" s="7" t="s">
        <v>79</v>
      </c>
      <c r="L941" s="7" t="s">
        <v>80</v>
      </c>
      <c r="M941" s="7" t="s">
        <v>81</v>
      </c>
      <c r="N941" s="7" t="s">
        <v>33</v>
      </c>
      <c r="O941" s="7">
        <v>1</v>
      </c>
      <c r="P941" s="7" t="s">
        <v>40</v>
      </c>
      <c r="Q941" s="7">
        <v>91.99</v>
      </c>
      <c r="R941" s="7"/>
      <c r="S941" s="7"/>
      <c r="T941" s="7"/>
      <c r="U941" s="7"/>
      <c r="V941" s="7"/>
      <c r="W941" s="7"/>
      <c r="X941" s="7"/>
      <c r="Y941" s="7" t="s">
        <v>73</v>
      </c>
      <c r="Z941" s="7" t="s">
        <v>64</v>
      </c>
      <c r="AA941" s="7" t="s">
        <v>4527</v>
      </c>
      <c r="AB941" s="7" t="s">
        <v>44</v>
      </c>
      <c r="AC941" s="7"/>
      <c r="AD941" s="7"/>
      <c r="AE941" s="7"/>
      <c r="AF941" s="7"/>
      <c r="AG941" s="11">
        <f t="shared" si="14"/>
        <v>43284</v>
      </c>
    </row>
    <row r="942" s="8" customFormat="1" spans="1:33">
      <c r="A942" s="7" t="s">
        <v>4524</v>
      </c>
      <c r="B942" s="7" t="s">
        <v>4524</v>
      </c>
      <c r="C942" s="7" t="s">
        <v>4525</v>
      </c>
      <c r="D942" s="7" t="s">
        <v>4526</v>
      </c>
      <c r="E942" s="7" t="s">
        <v>33</v>
      </c>
      <c r="F942" s="7" t="s">
        <v>34</v>
      </c>
      <c r="G942" s="7" t="s">
        <v>35</v>
      </c>
      <c r="H942" s="7"/>
      <c r="I942" s="7"/>
      <c r="J942" s="7" t="s">
        <v>36</v>
      </c>
      <c r="K942" s="7" t="s">
        <v>698</v>
      </c>
      <c r="L942" s="7" t="s">
        <v>699</v>
      </c>
      <c r="M942" s="7" t="s">
        <v>700</v>
      </c>
      <c r="N942" s="7" t="s">
        <v>33</v>
      </c>
      <c r="O942" s="7">
        <v>1</v>
      </c>
      <c r="P942" s="7" t="s">
        <v>40</v>
      </c>
      <c r="Q942" s="7">
        <v>21.99</v>
      </c>
      <c r="R942" s="7"/>
      <c r="S942" s="7"/>
      <c r="T942" s="7"/>
      <c r="U942" s="7"/>
      <c r="V942" s="7"/>
      <c r="W942" s="7"/>
      <c r="X942" s="7"/>
      <c r="Y942" s="7" t="s">
        <v>73</v>
      </c>
      <c r="Z942" s="7" t="s">
        <v>64</v>
      </c>
      <c r="AA942" s="7" t="s">
        <v>4527</v>
      </c>
      <c r="AB942" s="7" t="s">
        <v>44</v>
      </c>
      <c r="AC942" s="7"/>
      <c r="AD942" s="7"/>
      <c r="AE942" s="7"/>
      <c r="AF942" s="7"/>
      <c r="AG942" s="11">
        <f t="shared" si="14"/>
        <v>43284</v>
      </c>
    </row>
    <row r="943" s="8" customFormat="1" spans="1:33">
      <c r="A943" s="7" t="s">
        <v>4528</v>
      </c>
      <c r="B943" s="7" t="s">
        <v>4528</v>
      </c>
      <c r="C943" s="7" t="s">
        <v>4529</v>
      </c>
      <c r="D943" s="7" t="s">
        <v>4530</v>
      </c>
      <c r="E943" s="7" t="s">
        <v>33</v>
      </c>
      <c r="F943" s="7" t="s">
        <v>34</v>
      </c>
      <c r="G943" s="7" t="s">
        <v>35</v>
      </c>
      <c r="H943" s="7"/>
      <c r="I943" s="7"/>
      <c r="J943" s="7" t="s">
        <v>36</v>
      </c>
      <c r="K943" s="7" t="s">
        <v>148</v>
      </c>
      <c r="L943" s="7" t="s">
        <v>149</v>
      </c>
      <c r="M943" s="7" t="s">
        <v>150</v>
      </c>
      <c r="N943" s="7" t="s">
        <v>33</v>
      </c>
      <c r="O943" s="7">
        <v>1</v>
      </c>
      <c r="P943" s="7" t="s">
        <v>40</v>
      </c>
      <c r="Q943" s="7">
        <v>98.99</v>
      </c>
      <c r="R943" s="7"/>
      <c r="S943" s="7"/>
      <c r="T943" s="7"/>
      <c r="U943" s="7"/>
      <c r="V943" s="7"/>
      <c r="W943" s="7"/>
      <c r="X943" s="7"/>
      <c r="Y943" s="7" t="s">
        <v>4531</v>
      </c>
      <c r="Z943" s="7" t="s">
        <v>4532</v>
      </c>
      <c r="AA943" s="7">
        <v>71667</v>
      </c>
      <c r="AB943" s="7" t="s">
        <v>44</v>
      </c>
      <c r="AC943" s="7"/>
      <c r="AD943" s="7"/>
      <c r="AE943" s="7"/>
      <c r="AF943" s="7"/>
      <c r="AG943" s="11">
        <f t="shared" si="14"/>
        <v>43284</v>
      </c>
    </row>
    <row r="944" s="8" customFormat="1" spans="1:33">
      <c r="A944" s="7" t="s">
        <v>4533</v>
      </c>
      <c r="B944" s="7" t="s">
        <v>4533</v>
      </c>
      <c r="C944" s="7" t="s">
        <v>4534</v>
      </c>
      <c r="D944" s="7" t="s">
        <v>4535</v>
      </c>
      <c r="E944" s="7" t="s">
        <v>54</v>
      </c>
      <c r="F944" s="7" t="s">
        <v>34</v>
      </c>
      <c r="G944" s="7" t="s">
        <v>35</v>
      </c>
      <c r="H944" s="7"/>
      <c r="I944" s="7"/>
      <c r="J944" s="7" t="s">
        <v>36</v>
      </c>
      <c r="K944" s="7" t="s">
        <v>698</v>
      </c>
      <c r="L944" s="7" t="s">
        <v>699</v>
      </c>
      <c r="M944" s="7" t="s">
        <v>700</v>
      </c>
      <c r="N944" s="7" t="s">
        <v>54</v>
      </c>
      <c r="O944" s="7">
        <v>0</v>
      </c>
      <c r="P944" s="7"/>
      <c r="Q944" s="7"/>
      <c r="R944" s="7"/>
      <c r="S944" s="7"/>
      <c r="T944" s="7"/>
      <c r="U944" s="7"/>
      <c r="V944" s="7"/>
      <c r="W944" s="7"/>
      <c r="X944" s="7"/>
      <c r="Y944" s="7" t="s">
        <v>73</v>
      </c>
      <c r="Z944" s="7" t="s">
        <v>64</v>
      </c>
      <c r="AA944" s="7" t="s">
        <v>4527</v>
      </c>
      <c r="AB944" s="7" t="s">
        <v>44</v>
      </c>
      <c r="AC944" s="7"/>
      <c r="AD944" s="7"/>
      <c r="AE944" s="7"/>
      <c r="AF944" s="7"/>
      <c r="AG944" s="11">
        <f t="shared" si="14"/>
        <v>43284</v>
      </c>
    </row>
    <row r="945" s="8" customFormat="1" spans="1:33">
      <c r="A945" s="7" t="s">
        <v>4533</v>
      </c>
      <c r="B945" s="7" t="s">
        <v>4533</v>
      </c>
      <c r="C945" s="7" t="s">
        <v>4534</v>
      </c>
      <c r="D945" s="7" t="s">
        <v>4535</v>
      </c>
      <c r="E945" s="7" t="s">
        <v>54</v>
      </c>
      <c r="F945" s="7" t="s">
        <v>34</v>
      </c>
      <c r="G945" s="7" t="s">
        <v>35</v>
      </c>
      <c r="H945" s="7"/>
      <c r="I945" s="7"/>
      <c r="J945" s="7" t="s">
        <v>36</v>
      </c>
      <c r="K945" s="7" t="s">
        <v>79</v>
      </c>
      <c r="L945" s="7" t="s">
        <v>80</v>
      </c>
      <c r="M945" s="7" t="s">
        <v>81</v>
      </c>
      <c r="N945" s="7" t="s">
        <v>54</v>
      </c>
      <c r="O945" s="7">
        <v>0</v>
      </c>
      <c r="P945" s="7"/>
      <c r="Q945" s="7"/>
      <c r="R945" s="7"/>
      <c r="S945" s="7"/>
      <c r="T945" s="7"/>
      <c r="U945" s="7"/>
      <c r="V945" s="7"/>
      <c r="W945" s="7"/>
      <c r="X945" s="7"/>
      <c r="Y945" s="7" t="s">
        <v>73</v>
      </c>
      <c r="Z945" s="7" t="s">
        <v>64</v>
      </c>
      <c r="AA945" s="7" t="s">
        <v>4527</v>
      </c>
      <c r="AB945" s="7" t="s">
        <v>44</v>
      </c>
      <c r="AC945" s="7"/>
      <c r="AD945" s="7"/>
      <c r="AE945" s="7"/>
      <c r="AF945" s="7"/>
      <c r="AG945" s="11">
        <f t="shared" si="14"/>
        <v>43284</v>
      </c>
    </row>
    <row r="946" s="8" customFormat="1" spans="1:33">
      <c r="A946" s="7" t="s">
        <v>4536</v>
      </c>
      <c r="B946" s="7" t="s">
        <v>4536</v>
      </c>
      <c r="C946" s="7" t="s">
        <v>4537</v>
      </c>
      <c r="D946" s="7" t="s">
        <v>4538</v>
      </c>
      <c r="E946" s="7" t="s">
        <v>33</v>
      </c>
      <c r="F946" s="7" t="s">
        <v>34</v>
      </c>
      <c r="G946" s="7" t="s">
        <v>35</v>
      </c>
      <c r="H946" s="7"/>
      <c r="I946" s="7"/>
      <c r="J946" s="7" t="s">
        <v>36</v>
      </c>
      <c r="K946" s="7" t="s">
        <v>3224</v>
      </c>
      <c r="L946" s="7" t="s">
        <v>3225</v>
      </c>
      <c r="M946" s="7" t="s">
        <v>3226</v>
      </c>
      <c r="N946" s="7" t="s">
        <v>33</v>
      </c>
      <c r="O946" s="7">
        <v>1</v>
      </c>
      <c r="P946" s="7" t="s">
        <v>40</v>
      </c>
      <c r="Q946" s="7">
        <v>89.6</v>
      </c>
      <c r="R946" s="7"/>
      <c r="S946" s="7"/>
      <c r="T946" s="7"/>
      <c r="U946" s="7"/>
      <c r="V946" s="7"/>
      <c r="W946" s="7"/>
      <c r="X946" s="7"/>
      <c r="Y946" s="7" t="s">
        <v>4539</v>
      </c>
      <c r="Z946" s="7" t="s">
        <v>271</v>
      </c>
      <c r="AA946" s="7">
        <v>32310</v>
      </c>
      <c r="AB946" s="7" t="s">
        <v>44</v>
      </c>
      <c r="AC946" s="7"/>
      <c r="AD946" s="7"/>
      <c r="AE946" s="7"/>
      <c r="AF946" s="7"/>
      <c r="AG946" s="11">
        <f t="shared" si="14"/>
        <v>43284</v>
      </c>
    </row>
    <row r="947" s="8" customFormat="1" spans="1:33">
      <c r="A947" s="7" t="s">
        <v>4540</v>
      </c>
      <c r="B947" s="7" t="s">
        <v>4540</v>
      </c>
      <c r="C947" s="7" t="s">
        <v>4541</v>
      </c>
      <c r="D947" s="7" t="s">
        <v>4542</v>
      </c>
      <c r="E947" s="7" t="s">
        <v>33</v>
      </c>
      <c r="F947" s="7" t="s">
        <v>34</v>
      </c>
      <c r="G947" s="7" t="s">
        <v>35</v>
      </c>
      <c r="H947" s="7"/>
      <c r="I947" s="7"/>
      <c r="J947" s="7" t="s">
        <v>36</v>
      </c>
      <c r="K947" s="7" t="s">
        <v>213</v>
      </c>
      <c r="L947" s="7" t="s">
        <v>214</v>
      </c>
      <c r="M947" s="7" t="s">
        <v>215</v>
      </c>
      <c r="N947" s="7" t="s">
        <v>33</v>
      </c>
      <c r="O947" s="7">
        <v>1</v>
      </c>
      <c r="P947" s="7" t="s">
        <v>40</v>
      </c>
      <c r="Q947" s="7">
        <v>21.99</v>
      </c>
      <c r="R947" s="7"/>
      <c r="S947" s="7"/>
      <c r="T947" s="7"/>
      <c r="U947" s="7"/>
      <c r="V947" s="7"/>
      <c r="W947" s="7">
        <v>21.77</v>
      </c>
      <c r="X947" s="7"/>
      <c r="Y947" s="7" t="s">
        <v>4124</v>
      </c>
      <c r="Z947" s="7" t="s">
        <v>64</v>
      </c>
      <c r="AA947" s="7" t="s">
        <v>4125</v>
      </c>
      <c r="AB947" s="7" t="s">
        <v>44</v>
      </c>
      <c r="AC947" s="7" t="s">
        <v>209</v>
      </c>
      <c r="AD947" s="7"/>
      <c r="AE947" s="7"/>
      <c r="AF947" s="7"/>
      <c r="AG947" s="11">
        <f t="shared" si="14"/>
        <v>43284</v>
      </c>
    </row>
    <row r="948" s="8" customFormat="1" spans="1:33">
      <c r="A948" s="7" t="s">
        <v>4543</v>
      </c>
      <c r="B948" s="7" t="s">
        <v>4543</v>
      </c>
      <c r="C948" s="7" t="s">
        <v>4544</v>
      </c>
      <c r="D948" s="7" t="s">
        <v>4545</v>
      </c>
      <c r="E948" s="7" t="s">
        <v>54</v>
      </c>
      <c r="F948" s="7" t="s">
        <v>34</v>
      </c>
      <c r="G948" s="7" t="s">
        <v>35</v>
      </c>
      <c r="H948" s="7"/>
      <c r="I948" s="7"/>
      <c r="J948" s="7" t="s">
        <v>69</v>
      </c>
      <c r="K948" s="7" t="s">
        <v>1215</v>
      </c>
      <c r="L948" s="7" t="s">
        <v>1216</v>
      </c>
      <c r="M948" s="7" t="s">
        <v>1217</v>
      </c>
      <c r="N948" s="7" t="s">
        <v>62</v>
      </c>
      <c r="O948" s="7">
        <v>1</v>
      </c>
      <c r="P948" s="7" t="s">
        <v>40</v>
      </c>
      <c r="Q948" s="7">
        <v>99.99</v>
      </c>
      <c r="R948" s="7"/>
      <c r="S948" s="7"/>
      <c r="T948" s="7"/>
      <c r="U948" s="7"/>
      <c r="V948" s="7"/>
      <c r="W948" s="7"/>
      <c r="X948" s="7"/>
      <c r="Y948" s="7" t="s">
        <v>1073</v>
      </c>
      <c r="Z948" s="7" t="s">
        <v>64</v>
      </c>
      <c r="AA948" s="7" t="s">
        <v>3998</v>
      </c>
      <c r="AB948" s="7" t="s">
        <v>44</v>
      </c>
      <c r="AC948" s="7"/>
      <c r="AD948" s="7"/>
      <c r="AE948" s="7"/>
      <c r="AF948" s="7"/>
      <c r="AG948" s="11">
        <f t="shared" si="14"/>
        <v>43284</v>
      </c>
    </row>
    <row r="949" s="8" customFormat="1" spans="1:33">
      <c r="A949" s="7" t="s">
        <v>4546</v>
      </c>
      <c r="B949" s="7" t="s">
        <v>4546</v>
      </c>
      <c r="C949" s="7" t="s">
        <v>4547</v>
      </c>
      <c r="D949" s="7" t="s">
        <v>4548</v>
      </c>
      <c r="E949" s="7" t="s">
        <v>33</v>
      </c>
      <c r="F949" s="7" t="s">
        <v>34</v>
      </c>
      <c r="G949" s="7" t="s">
        <v>35</v>
      </c>
      <c r="H949" s="7"/>
      <c r="I949" s="7"/>
      <c r="J949" s="7" t="s">
        <v>36</v>
      </c>
      <c r="K949" s="7" t="s">
        <v>1099</v>
      </c>
      <c r="L949" s="7" t="s">
        <v>1100</v>
      </c>
      <c r="M949" s="7" t="s">
        <v>1101</v>
      </c>
      <c r="N949" s="7" t="s">
        <v>33</v>
      </c>
      <c r="O949" s="7">
        <v>1</v>
      </c>
      <c r="P949" s="7" t="s">
        <v>40</v>
      </c>
      <c r="Q949" s="7">
        <v>108.99</v>
      </c>
      <c r="R949" s="7"/>
      <c r="S949" s="7"/>
      <c r="T949" s="7"/>
      <c r="U949" s="7"/>
      <c r="V949" s="7"/>
      <c r="W949" s="7"/>
      <c r="X949" s="7"/>
      <c r="Y949" s="7" t="s">
        <v>4549</v>
      </c>
      <c r="Z949" s="7" t="s">
        <v>763</v>
      </c>
      <c r="AA949" s="7" t="s">
        <v>4550</v>
      </c>
      <c r="AB949" s="7" t="s">
        <v>44</v>
      </c>
      <c r="AC949" s="7"/>
      <c r="AD949" s="7"/>
      <c r="AE949" s="7"/>
      <c r="AF949" s="7"/>
      <c r="AG949" s="11">
        <f t="shared" si="14"/>
        <v>43284</v>
      </c>
    </row>
    <row r="950" s="8" customFormat="1" spans="1:33">
      <c r="A950" s="7" t="s">
        <v>4551</v>
      </c>
      <c r="B950" s="7" t="s">
        <v>4551</v>
      </c>
      <c r="C950" s="7" t="s">
        <v>4552</v>
      </c>
      <c r="D950" s="7" t="s">
        <v>4553</v>
      </c>
      <c r="E950" s="7" t="s">
        <v>33</v>
      </c>
      <c r="F950" s="7" t="s">
        <v>34</v>
      </c>
      <c r="G950" s="7" t="s">
        <v>35</v>
      </c>
      <c r="H950" s="7"/>
      <c r="I950" s="7"/>
      <c r="J950" s="7" t="s">
        <v>36</v>
      </c>
      <c r="K950" s="7" t="s">
        <v>79</v>
      </c>
      <c r="L950" s="7" t="s">
        <v>80</v>
      </c>
      <c r="M950" s="7" t="s">
        <v>81</v>
      </c>
      <c r="N950" s="7" t="s">
        <v>33</v>
      </c>
      <c r="O950" s="7">
        <v>1</v>
      </c>
      <c r="P950" s="7" t="s">
        <v>40</v>
      </c>
      <c r="Q950" s="7">
        <v>91.99</v>
      </c>
      <c r="R950" s="7"/>
      <c r="S950" s="7"/>
      <c r="T950" s="7"/>
      <c r="U950" s="7"/>
      <c r="V950" s="7"/>
      <c r="W950" s="7"/>
      <c r="X950" s="7"/>
      <c r="Y950" s="7" t="s">
        <v>4554</v>
      </c>
      <c r="Z950" s="7" t="s">
        <v>92</v>
      </c>
      <c r="AA950" s="7" t="s">
        <v>4555</v>
      </c>
      <c r="AB950" s="7" t="s">
        <v>44</v>
      </c>
      <c r="AC950" s="7"/>
      <c r="AD950" s="7"/>
      <c r="AE950" s="7"/>
      <c r="AF950" s="7"/>
      <c r="AG950" s="11">
        <f t="shared" si="14"/>
        <v>43284</v>
      </c>
    </row>
    <row r="951" s="8" customFormat="1" spans="1:33">
      <c r="A951" s="7" t="s">
        <v>4556</v>
      </c>
      <c r="B951" s="7" t="s">
        <v>4556</v>
      </c>
      <c r="C951" s="7" t="s">
        <v>4557</v>
      </c>
      <c r="D951" s="7" t="s">
        <v>4558</v>
      </c>
      <c r="E951" s="7" t="s">
        <v>33</v>
      </c>
      <c r="F951" s="7" t="s">
        <v>34</v>
      </c>
      <c r="G951" s="7" t="s">
        <v>35</v>
      </c>
      <c r="H951" s="7"/>
      <c r="I951" s="7"/>
      <c r="J951" s="7" t="s">
        <v>36</v>
      </c>
      <c r="K951" s="7" t="s">
        <v>2035</v>
      </c>
      <c r="L951" s="7" t="s">
        <v>89</v>
      </c>
      <c r="M951" s="7" t="s">
        <v>90</v>
      </c>
      <c r="N951" s="7" t="s">
        <v>33</v>
      </c>
      <c r="O951" s="7">
        <v>1</v>
      </c>
      <c r="P951" s="7" t="s">
        <v>40</v>
      </c>
      <c r="Q951" s="7">
        <v>89.99</v>
      </c>
      <c r="R951" s="7"/>
      <c r="S951" s="7"/>
      <c r="T951" s="7"/>
      <c r="U951" s="7"/>
      <c r="V951" s="7"/>
      <c r="W951" s="7"/>
      <c r="X951" s="7"/>
      <c r="Y951" s="7" t="s">
        <v>4559</v>
      </c>
      <c r="Z951" s="7" t="s">
        <v>4560</v>
      </c>
      <c r="AA951" s="7">
        <v>89511</v>
      </c>
      <c r="AB951" s="7" t="s">
        <v>44</v>
      </c>
      <c r="AC951" s="7"/>
      <c r="AD951" s="7"/>
      <c r="AE951" s="7"/>
      <c r="AF951" s="7"/>
      <c r="AG951" s="11">
        <f t="shared" si="14"/>
        <v>43284</v>
      </c>
    </row>
    <row r="952" s="8" customFormat="1" spans="1:33">
      <c r="A952" s="7" t="s">
        <v>4561</v>
      </c>
      <c r="B952" s="7" t="s">
        <v>4561</v>
      </c>
      <c r="C952" s="7" t="s">
        <v>4562</v>
      </c>
      <c r="D952" s="7" t="s">
        <v>4563</v>
      </c>
      <c r="E952" s="7" t="s">
        <v>54</v>
      </c>
      <c r="F952" s="7" t="s">
        <v>34</v>
      </c>
      <c r="G952" s="7" t="s">
        <v>35</v>
      </c>
      <c r="H952" s="7"/>
      <c r="I952" s="7"/>
      <c r="J952" s="7" t="s">
        <v>69</v>
      </c>
      <c r="K952" s="7" t="s">
        <v>164</v>
      </c>
      <c r="L952" s="7" t="s">
        <v>165</v>
      </c>
      <c r="M952" s="7" t="s">
        <v>166</v>
      </c>
      <c r="N952" s="7" t="s">
        <v>62</v>
      </c>
      <c r="O952" s="7">
        <v>1</v>
      </c>
      <c r="P952" s="7" t="s">
        <v>40</v>
      </c>
      <c r="Q952" s="7">
        <v>21.99</v>
      </c>
      <c r="R952" s="7"/>
      <c r="S952" s="7"/>
      <c r="T952" s="7"/>
      <c r="U952" s="7"/>
      <c r="V952" s="7"/>
      <c r="W952" s="7"/>
      <c r="X952" s="7"/>
      <c r="Y952" s="7" t="s">
        <v>4564</v>
      </c>
      <c r="Z952" s="7" t="s">
        <v>440</v>
      </c>
      <c r="AA952" s="7" t="s">
        <v>4565</v>
      </c>
      <c r="AB952" s="7" t="s">
        <v>44</v>
      </c>
      <c r="AC952" s="7"/>
      <c r="AD952" s="7"/>
      <c r="AE952" s="7"/>
      <c r="AF952" s="7"/>
      <c r="AG952" s="11">
        <f t="shared" si="14"/>
        <v>43284</v>
      </c>
    </row>
    <row r="953" s="8" customFormat="1" spans="1:33">
      <c r="A953" s="7" t="s">
        <v>4566</v>
      </c>
      <c r="B953" s="7" t="s">
        <v>4566</v>
      </c>
      <c r="C953" s="7" t="s">
        <v>4567</v>
      </c>
      <c r="D953" s="7" t="s">
        <v>4568</v>
      </c>
      <c r="E953" s="7" t="s">
        <v>4569</v>
      </c>
      <c r="F953" s="7" t="s">
        <v>34</v>
      </c>
      <c r="G953" s="7" t="s">
        <v>35</v>
      </c>
      <c r="H953" s="7"/>
      <c r="I953" s="7"/>
      <c r="J953" s="7" t="s">
        <v>69</v>
      </c>
      <c r="K953" s="7" t="s">
        <v>48</v>
      </c>
      <c r="L953" s="7" t="s">
        <v>49</v>
      </c>
      <c r="M953" s="7" t="s">
        <v>50</v>
      </c>
      <c r="N953" s="7" t="s">
        <v>62</v>
      </c>
      <c r="O953" s="7">
        <v>1</v>
      </c>
      <c r="P953" s="7" t="s">
        <v>40</v>
      </c>
      <c r="Q953" s="7">
        <v>89.99</v>
      </c>
      <c r="R953" s="7"/>
      <c r="S953" s="7"/>
      <c r="T953" s="7"/>
      <c r="U953" s="7"/>
      <c r="V953" s="7"/>
      <c r="W953" s="7"/>
      <c r="X953" s="7"/>
      <c r="Y953" s="7" t="s">
        <v>4570</v>
      </c>
      <c r="Z953" s="7" t="s">
        <v>4571</v>
      </c>
      <c r="AA953" s="7">
        <v>20011</v>
      </c>
      <c r="AB953" s="7" t="s">
        <v>44</v>
      </c>
      <c r="AC953" s="7" t="s">
        <v>75</v>
      </c>
      <c r="AD953" s="7"/>
      <c r="AE953" s="7"/>
      <c r="AF953" s="7"/>
      <c r="AG953" s="11">
        <f t="shared" si="14"/>
        <v>43284</v>
      </c>
    </row>
    <row r="954" s="8" customFormat="1" spans="1:33">
      <c r="A954" s="7" t="s">
        <v>4572</v>
      </c>
      <c r="B954" s="7" t="s">
        <v>4572</v>
      </c>
      <c r="C954" s="7" t="s">
        <v>4573</v>
      </c>
      <c r="D954" s="7" t="s">
        <v>4574</v>
      </c>
      <c r="E954" s="7" t="s">
        <v>33</v>
      </c>
      <c r="F954" s="7" t="s">
        <v>34</v>
      </c>
      <c r="G954" s="7" t="s">
        <v>35</v>
      </c>
      <c r="H954" s="7"/>
      <c r="I954" s="7"/>
      <c r="J954" s="7" t="s">
        <v>36</v>
      </c>
      <c r="K954" s="7" t="s">
        <v>3631</v>
      </c>
      <c r="L954" s="7" t="s">
        <v>3579</v>
      </c>
      <c r="M954" s="7" t="s">
        <v>3580</v>
      </c>
      <c r="N954" s="7" t="s">
        <v>33</v>
      </c>
      <c r="O954" s="7">
        <v>1</v>
      </c>
      <c r="P954" s="7" t="s">
        <v>40</v>
      </c>
      <c r="Q954" s="7">
        <v>32.99</v>
      </c>
      <c r="R954" s="7"/>
      <c r="S954" s="7"/>
      <c r="T954" s="7"/>
      <c r="U954" s="7"/>
      <c r="V954" s="7"/>
      <c r="W954" s="7"/>
      <c r="X954" s="7"/>
      <c r="Y954" s="7" t="s">
        <v>4575</v>
      </c>
      <c r="Z954" s="7" t="s">
        <v>299</v>
      </c>
      <c r="AA954" s="7" t="s">
        <v>4576</v>
      </c>
      <c r="AB954" s="7" t="s">
        <v>44</v>
      </c>
      <c r="AC954" s="7"/>
      <c r="AD954" s="7"/>
      <c r="AE954" s="7"/>
      <c r="AF954" s="7"/>
      <c r="AG954" s="11">
        <f t="shared" si="14"/>
        <v>43284</v>
      </c>
    </row>
    <row r="955" s="8" customFormat="1" spans="1:33">
      <c r="A955" s="7" t="s">
        <v>4577</v>
      </c>
      <c r="B955" s="7" t="s">
        <v>4577</v>
      </c>
      <c r="C955" s="7" t="s">
        <v>4578</v>
      </c>
      <c r="D955" s="7" t="s">
        <v>4579</v>
      </c>
      <c r="E955" s="7" t="s">
        <v>33</v>
      </c>
      <c r="F955" s="7" t="s">
        <v>34</v>
      </c>
      <c r="G955" s="7" t="s">
        <v>35</v>
      </c>
      <c r="H955" s="7"/>
      <c r="I955" s="7"/>
      <c r="J955" s="7" t="s">
        <v>36</v>
      </c>
      <c r="K955" s="7" t="s">
        <v>48</v>
      </c>
      <c r="L955" s="7" t="s">
        <v>49</v>
      </c>
      <c r="M955" s="7" t="s">
        <v>50</v>
      </c>
      <c r="N955" s="7" t="s">
        <v>33</v>
      </c>
      <c r="O955" s="7">
        <v>1</v>
      </c>
      <c r="P955" s="7" t="s">
        <v>40</v>
      </c>
      <c r="Q955" s="7">
        <v>89.99</v>
      </c>
      <c r="R955" s="7"/>
      <c r="S955" s="7">
        <v>5.72</v>
      </c>
      <c r="T955" s="7"/>
      <c r="U955" s="7"/>
      <c r="V955" s="7"/>
      <c r="W955" s="7"/>
      <c r="X955" s="7"/>
      <c r="Y955" s="7" t="s">
        <v>932</v>
      </c>
      <c r="Z955" s="7" t="s">
        <v>64</v>
      </c>
      <c r="AA955" s="7" t="s">
        <v>4580</v>
      </c>
      <c r="AB955" s="7" t="s">
        <v>44</v>
      </c>
      <c r="AC955" s="7"/>
      <c r="AD955" s="7"/>
      <c r="AE955" s="7"/>
      <c r="AF955" s="7"/>
      <c r="AG955" s="11">
        <f t="shared" si="14"/>
        <v>43284</v>
      </c>
    </row>
    <row r="956" s="8" customFormat="1" spans="1:33">
      <c r="A956" s="7" t="s">
        <v>4581</v>
      </c>
      <c r="B956" s="7" t="s">
        <v>4581</v>
      </c>
      <c r="C956" s="7" t="s">
        <v>4582</v>
      </c>
      <c r="D956" s="7" t="s">
        <v>4583</v>
      </c>
      <c r="E956" s="7" t="s">
        <v>33</v>
      </c>
      <c r="F956" s="7" t="s">
        <v>34</v>
      </c>
      <c r="G956" s="7" t="s">
        <v>35</v>
      </c>
      <c r="H956" s="7"/>
      <c r="I956" s="7"/>
      <c r="J956" s="7" t="s">
        <v>36</v>
      </c>
      <c r="K956" s="7" t="s">
        <v>387</v>
      </c>
      <c r="L956" s="7" t="s">
        <v>388</v>
      </c>
      <c r="M956" s="7" t="s">
        <v>389</v>
      </c>
      <c r="N956" s="7" t="s">
        <v>33</v>
      </c>
      <c r="O956" s="7">
        <v>1</v>
      </c>
      <c r="P956" s="7" t="s">
        <v>40</v>
      </c>
      <c r="Q956" s="7">
        <v>32.99</v>
      </c>
      <c r="R956" s="7"/>
      <c r="S956" s="7"/>
      <c r="T956" s="7"/>
      <c r="U956" s="7"/>
      <c r="V956" s="7"/>
      <c r="W956" s="7"/>
      <c r="X956" s="7"/>
      <c r="Y956" s="7" t="s">
        <v>4584</v>
      </c>
      <c r="Z956" s="7" t="s">
        <v>440</v>
      </c>
      <c r="AA956" s="7" t="s">
        <v>4585</v>
      </c>
      <c r="AB956" s="7" t="s">
        <v>44</v>
      </c>
      <c r="AC956" s="7"/>
      <c r="AD956" s="7"/>
      <c r="AE956" s="7"/>
      <c r="AF956" s="7"/>
      <c r="AG956" s="11">
        <f t="shared" si="14"/>
        <v>43284</v>
      </c>
    </row>
    <row r="957" s="8" customFormat="1" spans="1:33">
      <c r="A957" s="7" t="s">
        <v>4586</v>
      </c>
      <c r="B957" s="7" t="s">
        <v>4586</v>
      </c>
      <c r="C957" s="7" t="s">
        <v>4587</v>
      </c>
      <c r="D957" s="7" t="s">
        <v>4588</v>
      </c>
      <c r="E957" s="7" t="s">
        <v>54</v>
      </c>
      <c r="F957" s="7" t="s">
        <v>34</v>
      </c>
      <c r="G957" s="7" t="s">
        <v>35</v>
      </c>
      <c r="H957" s="7"/>
      <c r="I957" s="7"/>
      <c r="J957" s="7" t="s">
        <v>58</v>
      </c>
      <c r="K957" s="7" t="s">
        <v>48</v>
      </c>
      <c r="L957" s="7" t="s">
        <v>49</v>
      </c>
      <c r="M957" s="7" t="s">
        <v>50</v>
      </c>
      <c r="N957" s="7" t="s">
        <v>54</v>
      </c>
      <c r="O957" s="7">
        <v>0</v>
      </c>
      <c r="P957" s="7"/>
      <c r="Q957" s="7"/>
      <c r="R957" s="7"/>
      <c r="S957" s="7"/>
      <c r="T957" s="7"/>
      <c r="U957" s="7"/>
      <c r="V957" s="7"/>
      <c r="W957" s="7"/>
      <c r="X957" s="7"/>
      <c r="Y957" s="7" t="s">
        <v>932</v>
      </c>
      <c r="Z957" s="7" t="s">
        <v>64</v>
      </c>
      <c r="AA957" s="7" t="s">
        <v>4580</v>
      </c>
      <c r="AB957" s="7" t="s">
        <v>44</v>
      </c>
      <c r="AC957" s="7"/>
      <c r="AD957" s="7"/>
      <c r="AE957" s="7"/>
      <c r="AF957" s="7"/>
      <c r="AG957" s="11">
        <f t="shared" si="14"/>
        <v>43284</v>
      </c>
    </row>
    <row r="958" s="8" customFormat="1" spans="1:33">
      <c r="A958" s="7" t="s">
        <v>4589</v>
      </c>
      <c r="B958" s="7" t="s">
        <v>4589</v>
      </c>
      <c r="C958" s="7" t="s">
        <v>4590</v>
      </c>
      <c r="D958" s="7" t="s">
        <v>4591</v>
      </c>
      <c r="E958" s="7" t="s">
        <v>33</v>
      </c>
      <c r="F958" s="7" t="s">
        <v>34</v>
      </c>
      <c r="G958" s="7" t="s">
        <v>35</v>
      </c>
      <c r="H958" s="7"/>
      <c r="I958" s="7"/>
      <c r="J958" s="7" t="s">
        <v>36</v>
      </c>
      <c r="K958" s="7" t="s">
        <v>431</v>
      </c>
      <c r="L958" s="7" t="s">
        <v>432</v>
      </c>
      <c r="M958" s="7" t="s">
        <v>433</v>
      </c>
      <c r="N958" s="7" t="s">
        <v>33</v>
      </c>
      <c r="O958" s="7">
        <v>1</v>
      </c>
      <c r="P958" s="7" t="s">
        <v>40</v>
      </c>
      <c r="Q958" s="7">
        <v>89.99</v>
      </c>
      <c r="R958" s="7"/>
      <c r="S958" s="7"/>
      <c r="T958" s="7"/>
      <c r="U958" s="7"/>
      <c r="V958" s="7"/>
      <c r="W958" s="7"/>
      <c r="X958" s="7"/>
      <c r="Y958" s="7" t="s">
        <v>4592</v>
      </c>
      <c r="Z958" s="7" t="s">
        <v>183</v>
      </c>
      <c r="AA958" s="7">
        <v>37211</v>
      </c>
      <c r="AB958" s="7" t="s">
        <v>44</v>
      </c>
      <c r="AC958" s="7"/>
      <c r="AD958" s="7"/>
      <c r="AE958" s="7"/>
      <c r="AF958" s="7"/>
      <c r="AG958" s="11">
        <f t="shared" si="14"/>
        <v>43284</v>
      </c>
    </row>
    <row r="959" s="8" customFormat="1" spans="1:33">
      <c r="A959" s="7" t="s">
        <v>4593</v>
      </c>
      <c r="B959" s="7" t="s">
        <v>4593</v>
      </c>
      <c r="C959" s="7" t="s">
        <v>4594</v>
      </c>
      <c r="D959" s="7" t="s">
        <v>4595</v>
      </c>
      <c r="E959" s="7" t="s">
        <v>54</v>
      </c>
      <c r="F959" s="7" t="s">
        <v>34</v>
      </c>
      <c r="G959" s="7" t="s">
        <v>35</v>
      </c>
      <c r="H959" s="7"/>
      <c r="I959" s="7"/>
      <c r="J959" s="7" t="s">
        <v>36</v>
      </c>
      <c r="K959" s="7" t="s">
        <v>1975</v>
      </c>
      <c r="L959" s="7" t="s">
        <v>1976</v>
      </c>
      <c r="M959" s="7" t="s">
        <v>1977</v>
      </c>
      <c r="N959" s="7" t="s">
        <v>54</v>
      </c>
      <c r="O959" s="7">
        <v>0</v>
      </c>
      <c r="P959" s="7"/>
      <c r="Q959" s="7"/>
      <c r="R959" s="7"/>
      <c r="S959" s="7"/>
      <c r="T959" s="7"/>
      <c r="U959" s="7"/>
      <c r="V959" s="7"/>
      <c r="W959" s="7"/>
      <c r="X959" s="7"/>
      <c r="Y959" s="7" t="s">
        <v>4596</v>
      </c>
      <c r="Z959" s="7" t="s">
        <v>484</v>
      </c>
      <c r="AA959" s="7" t="s">
        <v>4597</v>
      </c>
      <c r="AB959" s="7" t="s">
        <v>44</v>
      </c>
      <c r="AC959" s="7"/>
      <c r="AD959" s="7"/>
      <c r="AE959" s="7"/>
      <c r="AF959" s="7"/>
      <c r="AG959" s="11">
        <f t="shared" si="14"/>
        <v>43284</v>
      </c>
    </row>
    <row r="960" s="8" customFormat="1" spans="1:33">
      <c r="A960" s="7" t="s">
        <v>4598</v>
      </c>
      <c r="B960" s="7" t="s">
        <v>4598</v>
      </c>
      <c r="C960" s="7" t="s">
        <v>4599</v>
      </c>
      <c r="D960" s="7" t="s">
        <v>4600</v>
      </c>
      <c r="E960" s="7" t="s">
        <v>54</v>
      </c>
      <c r="F960" s="7" t="s">
        <v>34</v>
      </c>
      <c r="G960" s="7" t="s">
        <v>35</v>
      </c>
      <c r="H960" s="7"/>
      <c r="I960" s="7"/>
      <c r="J960" s="7" t="s">
        <v>36</v>
      </c>
      <c r="K960" s="7" t="s">
        <v>123</v>
      </c>
      <c r="L960" s="7" t="s">
        <v>124</v>
      </c>
      <c r="M960" s="7" t="s">
        <v>125</v>
      </c>
      <c r="N960" s="7" t="s">
        <v>62</v>
      </c>
      <c r="O960" s="7">
        <v>1</v>
      </c>
      <c r="P960" s="7" t="s">
        <v>40</v>
      </c>
      <c r="Q960" s="7">
        <v>89.99</v>
      </c>
      <c r="R960" s="7"/>
      <c r="S960" s="7"/>
      <c r="T960" s="7"/>
      <c r="U960" s="7"/>
      <c r="V960" s="7"/>
      <c r="W960" s="7"/>
      <c r="X960" s="7"/>
      <c r="Y960" s="7" t="s">
        <v>4596</v>
      </c>
      <c r="Z960" s="7" t="s">
        <v>484</v>
      </c>
      <c r="AA960" s="7" t="s">
        <v>4597</v>
      </c>
      <c r="AB960" s="7" t="s">
        <v>44</v>
      </c>
      <c r="AC960" s="7"/>
      <c r="AD960" s="7"/>
      <c r="AE960" s="7"/>
      <c r="AF960" s="7"/>
      <c r="AG960" s="11">
        <f t="shared" si="14"/>
        <v>43284</v>
      </c>
    </row>
    <row r="961" s="8" customFormat="1" spans="1:33">
      <c r="A961" s="7" t="s">
        <v>4601</v>
      </c>
      <c r="B961" s="7" t="s">
        <v>4601</v>
      </c>
      <c r="C961" s="7" t="s">
        <v>4602</v>
      </c>
      <c r="D961" s="7" t="s">
        <v>4603</v>
      </c>
      <c r="E961" s="7" t="s">
        <v>33</v>
      </c>
      <c r="F961" s="7" t="s">
        <v>34</v>
      </c>
      <c r="G961" s="7" t="s">
        <v>35</v>
      </c>
      <c r="H961" s="7"/>
      <c r="I961" s="7"/>
      <c r="J961" s="7" t="s">
        <v>36</v>
      </c>
      <c r="K961" s="7" t="s">
        <v>387</v>
      </c>
      <c r="L961" s="7" t="s">
        <v>388</v>
      </c>
      <c r="M961" s="7" t="s">
        <v>389</v>
      </c>
      <c r="N961" s="7" t="s">
        <v>33</v>
      </c>
      <c r="O961" s="7">
        <v>1</v>
      </c>
      <c r="P961" s="7" t="s">
        <v>40</v>
      </c>
      <c r="Q961" s="7">
        <v>32.99</v>
      </c>
      <c r="R961" s="7"/>
      <c r="S961" s="7"/>
      <c r="T961" s="7"/>
      <c r="U961" s="7"/>
      <c r="V961" s="7"/>
      <c r="W961" s="7"/>
      <c r="X961" s="7"/>
      <c r="Y961" s="7" t="s">
        <v>4604</v>
      </c>
      <c r="Z961" s="7" t="s">
        <v>106</v>
      </c>
      <c r="AA961" s="7">
        <v>25045</v>
      </c>
      <c r="AB961" s="7" t="s">
        <v>44</v>
      </c>
      <c r="AC961" s="7"/>
      <c r="AD961" s="7"/>
      <c r="AE961" s="7"/>
      <c r="AF961" s="7"/>
      <c r="AG961" s="11">
        <f t="shared" si="14"/>
        <v>43284</v>
      </c>
    </row>
    <row r="962" s="8" customFormat="1" spans="1:33">
      <c r="A962" s="7" t="s">
        <v>4605</v>
      </c>
      <c r="B962" s="7" t="s">
        <v>4605</v>
      </c>
      <c r="C962" s="7" t="s">
        <v>4606</v>
      </c>
      <c r="D962" s="7" t="s">
        <v>4607</v>
      </c>
      <c r="E962" s="7" t="s">
        <v>33</v>
      </c>
      <c r="F962" s="7" t="s">
        <v>34</v>
      </c>
      <c r="G962" s="7" t="s">
        <v>35</v>
      </c>
      <c r="H962" s="7"/>
      <c r="I962" s="7"/>
      <c r="J962" s="7" t="s">
        <v>69</v>
      </c>
      <c r="K962" s="7" t="s">
        <v>1065</v>
      </c>
      <c r="L962" s="7" t="s">
        <v>1066</v>
      </c>
      <c r="M962" s="7" t="s">
        <v>1067</v>
      </c>
      <c r="N962" s="7" t="s">
        <v>33</v>
      </c>
      <c r="O962" s="7">
        <v>1</v>
      </c>
      <c r="P962" s="7" t="s">
        <v>40</v>
      </c>
      <c r="Q962" s="7">
        <v>26.99</v>
      </c>
      <c r="R962" s="7"/>
      <c r="S962" s="7">
        <v>5.74</v>
      </c>
      <c r="T962" s="7"/>
      <c r="U962" s="7"/>
      <c r="V962" s="7"/>
      <c r="W962" s="7"/>
      <c r="X962" s="7">
        <v>5.74</v>
      </c>
      <c r="Y962" s="7" t="s">
        <v>4608</v>
      </c>
      <c r="Z962" s="7" t="s">
        <v>4609</v>
      </c>
      <c r="AA962" s="7">
        <v>70380</v>
      </c>
      <c r="AB962" s="7" t="s">
        <v>44</v>
      </c>
      <c r="AC962" s="7" t="s">
        <v>75</v>
      </c>
      <c r="AD962" s="7"/>
      <c r="AE962" s="7"/>
      <c r="AF962" s="7"/>
      <c r="AG962" s="11">
        <f t="shared" ref="AG962:AG1025" si="15">DATEVALUE(LEFT(C962,10))</f>
        <v>43284</v>
      </c>
    </row>
    <row r="963" s="8" customFormat="1" spans="1:33">
      <c r="A963" s="7" t="s">
        <v>4610</v>
      </c>
      <c r="B963" s="7" t="s">
        <v>4610</v>
      </c>
      <c r="C963" s="7" t="s">
        <v>4611</v>
      </c>
      <c r="D963" s="7" t="s">
        <v>4612</v>
      </c>
      <c r="E963" s="7" t="s">
        <v>33</v>
      </c>
      <c r="F963" s="7" t="s">
        <v>34</v>
      </c>
      <c r="G963" s="7" t="s">
        <v>35</v>
      </c>
      <c r="H963" s="7"/>
      <c r="I963" s="7"/>
      <c r="J963" s="7" t="s">
        <v>69</v>
      </c>
      <c r="K963" s="7" t="s">
        <v>59</v>
      </c>
      <c r="L963" s="7" t="s">
        <v>60</v>
      </c>
      <c r="M963" s="7" t="s">
        <v>61</v>
      </c>
      <c r="N963" s="7" t="s">
        <v>33</v>
      </c>
      <c r="O963" s="7">
        <v>1</v>
      </c>
      <c r="P963" s="7" t="s">
        <v>40</v>
      </c>
      <c r="Q963" s="7">
        <v>89.99</v>
      </c>
      <c r="R963" s="7"/>
      <c r="S963" s="7">
        <v>6.73</v>
      </c>
      <c r="T963" s="7"/>
      <c r="U963" s="7"/>
      <c r="V963" s="7"/>
      <c r="W963" s="7"/>
      <c r="X963" s="7">
        <v>6.73</v>
      </c>
      <c r="Y963" s="7" t="s">
        <v>4613</v>
      </c>
      <c r="Z963" s="7" t="s">
        <v>106</v>
      </c>
      <c r="AA963" s="7" t="s">
        <v>4614</v>
      </c>
      <c r="AB963" s="7" t="s">
        <v>44</v>
      </c>
      <c r="AC963" s="7" t="s">
        <v>75</v>
      </c>
      <c r="AD963" s="7"/>
      <c r="AE963" s="7"/>
      <c r="AF963" s="7"/>
      <c r="AG963" s="11">
        <f t="shared" si="15"/>
        <v>43284</v>
      </c>
    </row>
    <row r="964" s="8" customFormat="1" spans="1:33">
      <c r="A964" s="7" t="s">
        <v>4615</v>
      </c>
      <c r="B964" s="7" t="s">
        <v>4615</v>
      </c>
      <c r="C964" s="7" t="s">
        <v>4616</v>
      </c>
      <c r="D964" s="7" t="s">
        <v>4617</v>
      </c>
      <c r="E964" s="7" t="s">
        <v>33</v>
      </c>
      <c r="F964" s="7" t="s">
        <v>34</v>
      </c>
      <c r="G964" s="7" t="s">
        <v>35</v>
      </c>
      <c r="H964" s="7"/>
      <c r="I964" s="7"/>
      <c r="J964" s="7" t="s">
        <v>69</v>
      </c>
      <c r="K964" s="7" t="s">
        <v>1409</v>
      </c>
      <c r="L964" s="7" t="s">
        <v>1410</v>
      </c>
      <c r="M964" s="7" t="s">
        <v>1411</v>
      </c>
      <c r="N964" s="7" t="s">
        <v>33</v>
      </c>
      <c r="O964" s="7">
        <v>1</v>
      </c>
      <c r="P964" s="7" t="s">
        <v>40</v>
      </c>
      <c r="Q964" s="7">
        <v>32.99</v>
      </c>
      <c r="R964" s="7"/>
      <c r="S964" s="7">
        <v>7.45</v>
      </c>
      <c r="T964" s="7"/>
      <c r="U964" s="7"/>
      <c r="V964" s="7"/>
      <c r="W964" s="7"/>
      <c r="X964" s="7"/>
      <c r="Y964" s="7" t="s">
        <v>4618</v>
      </c>
      <c r="Z964" s="7" t="s">
        <v>440</v>
      </c>
      <c r="AA964" s="7" t="s">
        <v>4619</v>
      </c>
      <c r="AB964" s="7" t="s">
        <v>44</v>
      </c>
      <c r="AC964" s="7"/>
      <c r="AD964" s="7"/>
      <c r="AE964" s="7"/>
      <c r="AF964" s="7"/>
      <c r="AG964" s="11">
        <f t="shared" si="15"/>
        <v>43284</v>
      </c>
    </row>
    <row r="965" s="8" customFormat="1" spans="1:33">
      <c r="A965" s="7" t="s">
        <v>4620</v>
      </c>
      <c r="B965" s="7" t="s">
        <v>4620</v>
      </c>
      <c r="C965" s="7" t="s">
        <v>4621</v>
      </c>
      <c r="D965" s="7" t="s">
        <v>4622</v>
      </c>
      <c r="E965" s="7" t="s">
        <v>33</v>
      </c>
      <c r="F965" s="7" t="s">
        <v>34</v>
      </c>
      <c r="G965" s="7" t="s">
        <v>35</v>
      </c>
      <c r="H965" s="7"/>
      <c r="I965" s="7"/>
      <c r="J965" s="7" t="s">
        <v>163</v>
      </c>
      <c r="K965" s="7" t="s">
        <v>1387</v>
      </c>
      <c r="L965" s="7" t="s">
        <v>1388</v>
      </c>
      <c r="M965" s="7" t="s">
        <v>1389</v>
      </c>
      <c r="N965" s="7" t="s">
        <v>33</v>
      </c>
      <c r="O965" s="7">
        <v>1</v>
      </c>
      <c r="P965" s="7" t="s">
        <v>40</v>
      </c>
      <c r="Q965" s="7">
        <v>79.99</v>
      </c>
      <c r="R965" s="7"/>
      <c r="S965" s="7">
        <v>5.99</v>
      </c>
      <c r="T965" s="7"/>
      <c r="U965" s="7"/>
      <c r="V965" s="7"/>
      <c r="W965" s="7"/>
      <c r="X965" s="7">
        <v>5.99</v>
      </c>
      <c r="Y965" s="7" t="s">
        <v>238</v>
      </c>
      <c r="Z965" s="7" t="s">
        <v>52</v>
      </c>
      <c r="AA965" s="7" t="s">
        <v>4623</v>
      </c>
      <c r="AB965" s="7" t="s">
        <v>44</v>
      </c>
      <c r="AC965" s="7"/>
      <c r="AD965" s="7"/>
      <c r="AE965" s="7"/>
      <c r="AF965" s="7"/>
      <c r="AG965" s="11">
        <f t="shared" si="15"/>
        <v>43284</v>
      </c>
    </row>
    <row r="966" s="8" customFormat="1" spans="1:33">
      <c r="A966" s="7" t="s">
        <v>4624</v>
      </c>
      <c r="B966" s="7" t="s">
        <v>4624</v>
      </c>
      <c r="C966" s="7" t="s">
        <v>4625</v>
      </c>
      <c r="D966" s="7" t="s">
        <v>4626</v>
      </c>
      <c r="E966" s="7" t="s">
        <v>33</v>
      </c>
      <c r="F966" s="7" t="s">
        <v>34</v>
      </c>
      <c r="G966" s="7" t="s">
        <v>35</v>
      </c>
      <c r="H966" s="7"/>
      <c r="I966" s="7"/>
      <c r="J966" s="7" t="s">
        <v>36</v>
      </c>
      <c r="K966" s="7" t="s">
        <v>37</v>
      </c>
      <c r="L966" s="7" t="s">
        <v>38</v>
      </c>
      <c r="M966" s="7" t="s">
        <v>39</v>
      </c>
      <c r="N966" s="7" t="s">
        <v>33</v>
      </c>
      <c r="O966" s="7">
        <v>1</v>
      </c>
      <c r="P966" s="7" t="s">
        <v>40</v>
      </c>
      <c r="Q966" s="7">
        <v>89.99</v>
      </c>
      <c r="R966" s="7"/>
      <c r="S966" s="7"/>
      <c r="T966" s="7"/>
      <c r="U966" s="7"/>
      <c r="V966" s="7"/>
      <c r="W966" s="7"/>
      <c r="X966" s="7"/>
      <c r="Y966" s="7" t="s">
        <v>4627</v>
      </c>
      <c r="Z966" s="7" t="s">
        <v>52</v>
      </c>
      <c r="AA966" s="7" t="s">
        <v>4628</v>
      </c>
      <c r="AB966" s="7" t="s">
        <v>44</v>
      </c>
      <c r="AC966" s="7"/>
      <c r="AD966" s="7"/>
      <c r="AE966" s="7"/>
      <c r="AF966" s="7"/>
      <c r="AG966" s="11">
        <f t="shared" si="15"/>
        <v>43284</v>
      </c>
    </row>
    <row r="967" s="8" customFormat="1" spans="1:33">
      <c r="A967" s="7" t="s">
        <v>4629</v>
      </c>
      <c r="B967" s="7" t="s">
        <v>4629</v>
      </c>
      <c r="C967" s="7" t="s">
        <v>4630</v>
      </c>
      <c r="D967" s="7" t="s">
        <v>4631</v>
      </c>
      <c r="E967" s="7" t="s">
        <v>33</v>
      </c>
      <c r="F967" s="7" t="s">
        <v>34</v>
      </c>
      <c r="G967" s="7" t="s">
        <v>35</v>
      </c>
      <c r="H967" s="7"/>
      <c r="I967" s="7"/>
      <c r="J967" s="7" t="s">
        <v>36</v>
      </c>
      <c r="K967" s="7" t="s">
        <v>148</v>
      </c>
      <c r="L967" s="7" t="s">
        <v>149</v>
      </c>
      <c r="M967" s="7" t="s">
        <v>150</v>
      </c>
      <c r="N967" s="7" t="s">
        <v>33</v>
      </c>
      <c r="O967" s="7">
        <v>1</v>
      </c>
      <c r="P967" s="7" t="s">
        <v>40</v>
      </c>
      <c r="Q967" s="7">
        <v>98.99</v>
      </c>
      <c r="R967" s="7"/>
      <c r="S967" s="7"/>
      <c r="T967" s="7"/>
      <c r="U967" s="7"/>
      <c r="V967" s="7"/>
      <c r="W967" s="7"/>
      <c r="X967" s="7"/>
      <c r="Y967" s="7" t="s">
        <v>229</v>
      </c>
      <c r="Z967" s="7" t="s">
        <v>183</v>
      </c>
      <c r="AA967" s="7" t="s">
        <v>4632</v>
      </c>
      <c r="AB967" s="7" t="s">
        <v>44</v>
      </c>
      <c r="AC967" s="7"/>
      <c r="AD967" s="7"/>
      <c r="AE967" s="7"/>
      <c r="AF967" s="7"/>
      <c r="AG967" s="11">
        <f t="shared" si="15"/>
        <v>43284</v>
      </c>
    </row>
    <row r="968" s="8" customFormat="1" spans="1:33">
      <c r="A968" s="7" t="s">
        <v>4633</v>
      </c>
      <c r="B968" s="7" t="s">
        <v>4633</v>
      </c>
      <c r="C968" s="7" t="s">
        <v>4634</v>
      </c>
      <c r="D968" s="7" t="s">
        <v>4635</v>
      </c>
      <c r="E968" s="7" t="s">
        <v>33</v>
      </c>
      <c r="F968" s="7" t="s">
        <v>34</v>
      </c>
      <c r="G968" s="7" t="s">
        <v>35</v>
      </c>
      <c r="H968" s="7"/>
      <c r="I968" s="7"/>
      <c r="J968" s="7" t="s">
        <v>36</v>
      </c>
      <c r="K968" s="7" t="s">
        <v>275</v>
      </c>
      <c r="L968" s="7" t="s">
        <v>276</v>
      </c>
      <c r="M968" s="7" t="s">
        <v>277</v>
      </c>
      <c r="N968" s="7" t="s">
        <v>33</v>
      </c>
      <c r="O968" s="7">
        <v>1</v>
      </c>
      <c r="P968" s="7" t="s">
        <v>40</v>
      </c>
      <c r="Q968" s="7">
        <v>89.99</v>
      </c>
      <c r="R968" s="7"/>
      <c r="S968" s="7"/>
      <c r="T968" s="7"/>
      <c r="U968" s="7"/>
      <c r="V968" s="7"/>
      <c r="W968" s="7"/>
      <c r="X968" s="7"/>
      <c r="Y968" s="7" t="s">
        <v>238</v>
      </c>
      <c r="Z968" s="7" t="s">
        <v>52</v>
      </c>
      <c r="AA968" s="7" t="s">
        <v>4636</v>
      </c>
      <c r="AB968" s="7" t="s">
        <v>44</v>
      </c>
      <c r="AC968" s="7"/>
      <c r="AD968" s="7"/>
      <c r="AE968" s="7"/>
      <c r="AF968" s="7"/>
      <c r="AG968" s="11">
        <f t="shared" si="15"/>
        <v>43284</v>
      </c>
    </row>
    <row r="969" s="8" customFormat="1" spans="1:33">
      <c r="A969" s="7" t="s">
        <v>4637</v>
      </c>
      <c r="B969" s="7" t="s">
        <v>4637</v>
      </c>
      <c r="C969" s="7" t="s">
        <v>4638</v>
      </c>
      <c r="D969" s="7" t="s">
        <v>4639</v>
      </c>
      <c r="E969" s="7" t="s">
        <v>33</v>
      </c>
      <c r="F969" s="7" t="s">
        <v>34</v>
      </c>
      <c r="G969" s="7" t="s">
        <v>35</v>
      </c>
      <c r="H969" s="7"/>
      <c r="I969" s="7"/>
      <c r="J969" s="7" t="s">
        <v>36</v>
      </c>
      <c r="K969" s="7" t="s">
        <v>70</v>
      </c>
      <c r="L969" s="7" t="s">
        <v>71</v>
      </c>
      <c r="M969" s="7" t="s">
        <v>72</v>
      </c>
      <c r="N969" s="7" t="s">
        <v>33</v>
      </c>
      <c r="O969" s="7">
        <v>1</v>
      </c>
      <c r="P969" s="7" t="s">
        <v>40</v>
      </c>
      <c r="Q969" s="7">
        <v>79.99</v>
      </c>
      <c r="R969" s="7"/>
      <c r="S969" s="7"/>
      <c r="T969" s="7"/>
      <c r="U969" s="7"/>
      <c r="V969" s="7"/>
      <c r="W969" s="7"/>
      <c r="X969" s="7"/>
      <c r="Y969" s="7" t="s">
        <v>4640</v>
      </c>
      <c r="Z969" s="7" t="s">
        <v>42</v>
      </c>
      <c r="AA969" s="7" t="s">
        <v>4641</v>
      </c>
      <c r="AB969" s="7" t="s">
        <v>44</v>
      </c>
      <c r="AC969" s="7"/>
      <c r="AD969" s="7"/>
      <c r="AE969" s="7"/>
      <c r="AF969" s="7"/>
      <c r="AG969" s="11">
        <f t="shared" si="15"/>
        <v>43284</v>
      </c>
    </row>
    <row r="970" s="8" customFormat="1" spans="1:33">
      <c r="A970" s="7" t="s">
        <v>4642</v>
      </c>
      <c r="B970" s="7" t="s">
        <v>4642</v>
      </c>
      <c r="C970" s="7" t="s">
        <v>4643</v>
      </c>
      <c r="D970" s="7" t="s">
        <v>4644</v>
      </c>
      <c r="E970" s="7" t="s">
        <v>33</v>
      </c>
      <c r="F970" s="7" t="s">
        <v>34</v>
      </c>
      <c r="G970" s="7" t="s">
        <v>35</v>
      </c>
      <c r="H970" s="7"/>
      <c r="I970" s="7"/>
      <c r="J970" s="7" t="s">
        <v>36</v>
      </c>
      <c r="K970" s="7" t="s">
        <v>749</v>
      </c>
      <c r="L970" s="7" t="s">
        <v>750</v>
      </c>
      <c r="M970" s="7" t="s">
        <v>751</v>
      </c>
      <c r="N970" s="7" t="s">
        <v>33</v>
      </c>
      <c r="O970" s="7">
        <v>1</v>
      </c>
      <c r="P970" s="7" t="s">
        <v>40</v>
      </c>
      <c r="Q970" s="7">
        <v>89.99</v>
      </c>
      <c r="R970" s="7"/>
      <c r="S970" s="7"/>
      <c r="T970" s="7"/>
      <c r="U970" s="7"/>
      <c r="V970" s="7"/>
      <c r="W970" s="7"/>
      <c r="X970" s="7"/>
      <c r="Y970" s="7" t="s">
        <v>4645</v>
      </c>
      <c r="Z970" s="7" t="s">
        <v>299</v>
      </c>
      <c r="AA970" s="7" t="s">
        <v>4646</v>
      </c>
      <c r="AB970" s="7" t="s">
        <v>44</v>
      </c>
      <c r="AC970" s="7"/>
      <c r="AD970" s="7"/>
      <c r="AE970" s="7"/>
      <c r="AF970" s="7"/>
      <c r="AG970" s="11">
        <f t="shared" si="15"/>
        <v>43284</v>
      </c>
    </row>
    <row r="971" s="8" customFormat="1" spans="1:33">
      <c r="A971" s="7" t="s">
        <v>4647</v>
      </c>
      <c r="B971" s="7" t="s">
        <v>4647</v>
      </c>
      <c r="C971" s="7" t="s">
        <v>4648</v>
      </c>
      <c r="D971" s="7" t="s">
        <v>4649</v>
      </c>
      <c r="E971" s="7" t="s">
        <v>33</v>
      </c>
      <c r="F971" s="7" t="s">
        <v>34</v>
      </c>
      <c r="G971" s="7" t="s">
        <v>35</v>
      </c>
      <c r="H971" s="7"/>
      <c r="I971" s="7"/>
      <c r="J971" s="7" t="s">
        <v>36</v>
      </c>
      <c r="K971" s="7" t="s">
        <v>79</v>
      </c>
      <c r="L971" s="7" t="s">
        <v>80</v>
      </c>
      <c r="M971" s="7" t="s">
        <v>81</v>
      </c>
      <c r="N971" s="7" t="s">
        <v>33</v>
      </c>
      <c r="O971" s="7">
        <v>1</v>
      </c>
      <c r="P971" s="7" t="s">
        <v>40</v>
      </c>
      <c r="Q971" s="7">
        <v>91.99</v>
      </c>
      <c r="R971" s="7"/>
      <c r="S971" s="7"/>
      <c r="T971" s="7"/>
      <c r="U971" s="7"/>
      <c r="V971" s="7"/>
      <c r="W971" s="7"/>
      <c r="X971" s="7"/>
      <c r="Y971" s="7" t="s">
        <v>4650</v>
      </c>
      <c r="Z971" s="7" t="s">
        <v>244</v>
      </c>
      <c r="AA971" s="7" t="s">
        <v>4651</v>
      </c>
      <c r="AB971" s="7" t="s">
        <v>44</v>
      </c>
      <c r="AC971" s="7"/>
      <c r="AD971" s="7"/>
      <c r="AE971" s="7"/>
      <c r="AF971" s="7"/>
      <c r="AG971" s="11">
        <f t="shared" si="15"/>
        <v>43284</v>
      </c>
    </row>
    <row r="972" s="8" customFormat="1" spans="1:33">
      <c r="A972" s="7" t="s">
        <v>4652</v>
      </c>
      <c r="B972" s="7" t="s">
        <v>4652</v>
      </c>
      <c r="C972" s="7" t="s">
        <v>4653</v>
      </c>
      <c r="D972" s="7" t="s">
        <v>4654</v>
      </c>
      <c r="E972" s="7" t="s">
        <v>33</v>
      </c>
      <c r="F972" s="7" t="s">
        <v>34</v>
      </c>
      <c r="G972" s="7" t="s">
        <v>35</v>
      </c>
      <c r="H972" s="7"/>
      <c r="I972" s="7"/>
      <c r="J972" s="7" t="s">
        <v>36</v>
      </c>
      <c r="K972" s="7" t="s">
        <v>698</v>
      </c>
      <c r="L972" s="7" t="s">
        <v>699</v>
      </c>
      <c r="M972" s="7" t="s">
        <v>700</v>
      </c>
      <c r="N972" s="7" t="s">
        <v>33</v>
      </c>
      <c r="O972" s="7">
        <v>1</v>
      </c>
      <c r="P972" s="7" t="s">
        <v>40</v>
      </c>
      <c r="Q972" s="7">
        <v>21.99</v>
      </c>
      <c r="R972" s="7">
        <v>0.01</v>
      </c>
      <c r="S972" s="7"/>
      <c r="T972" s="7"/>
      <c r="U972" s="7"/>
      <c r="V972" s="7"/>
      <c r="W972" s="7">
        <v>21.77</v>
      </c>
      <c r="X972" s="7"/>
      <c r="Y972" s="7" t="s">
        <v>4655</v>
      </c>
      <c r="Z972" s="7" t="s">
        <v>880</v>
      </c>
      <c r="AA972" s="7" t="s">
        <v>4656</v>
      </c>
      <c r="AB972" s="7" t="s">
        <v>44</v>
      </c>
      <c r="AC972" s="7" t="s">
        <v>209</v>
      </c>
      <c r="AD972" s="7"/>
      <c r="AE972" s="7"/>
      <c r="AF972" s="7"/>
      <c r="AG972" s="11">
        <f t="shared" si="15"/>
        <v>43284</v>
      </c>
    </row>
    <row r="973" s="8" customFormat="1" spans="1:33">
      <c r="A973" s="7" t="s">
        <v>4657</v>
      </c>
      <c r="B973" s="7" t="s">
        <v>4657</v>
      </c>
      <c r="C973" s="7" t="s">
        <v>4658</v>
      </c>
      <c r="D973" s="7" t="s">
        <v>4659</v>
      </c>
      <c r="E973" s="7" t="s">
        <v>33</v>
      </c>
      <c r="F973" s="7" t="s">
        <v>34</v>
      </c>
      <c r="G973" s="7" t="s">
        <v>35</v>
      </c>
      <c r="H973" s="7"/>
      <c r="I973" s="7"/>
      <c r="J973" s="7" t="s">
        <v>163</v>
      </c>
      <c r="K973" s="7" t="s">
        <v>284</v>
      </c>
      <c r="L973" s="7" t="s">
        <v>285</v>
      </c>
      <c r="M973" s="7" t="s">
        <v>286</v>
      </c>
      <c r="N973" s="7" t="s">
        <v>33</v>
      </c>
      <c r="O973" s="7">
        <v>1</v>
      </c>
      <c r="P973" s="7" t="s">
        <v>40</v>
      </c>
      <c r="Q973" s="7">
        <v>89.99</v>
      </c>
      <c r="R973" s="7">
        <v>9</v>
      </c>
      <c r="S973" s="7">
        <v>5.99</v>
      </c>
      <c r="T973" s="7"/>
      <c r="U973" s="7"/>
      <c r="V973" s="7"/>
      <c r="W973" s="7"/>
      <c r="X973" s="7">
        <v>5.99</v>
      </c>
      <c r="Y973" s="7" t="s">
        <v>4660</v>
      </c>
      <c r="Z973" s="7" t="s">
        <v>97</v>
      </c>
      <c r="AA973" s="7">
        <v>98059</v>
      </c>
      <c r="AB973" s="7" t="s">
        <v>44</v>
      </c>
      <c r="AC973" s="7"/>
      <c r="AD973" s="7"/>
      <c r="AE973" s="7"/>
      <c r="AF973" s="7"/>
      <c r="AG973" s="11">
        <f t="shared" si="15"/>
        <v>43284</v>
      </c>
    </row>
    <row r="974" s="8" customFormat="1" spans="1:33">
      <c r="A974" s="7" t="s">
        <v>4661</v>
      </c>
      <c r="B974" s="7" t="s">
        <v>4661</v>
      </c>
      <c r="C974" s="7" t="s">
        <v>4662</v>
      </c>
      <c r="D974" s="7" t="s">
        <v>4663</v>
      </c>
      <c r="E974" s="7" t="s">
        <v>54</v>
      </c>
      <c r="F974" s="7" t="s">
        <v>34</v>
      </c>
      <c r="G974" s="7" t="s">
        <v>35</v>
      </c>
      <c r="H974" s="7"/>
      <c r="I974" s="7"/>
      <c r="J974" s="7" t="s">
        <v>36</v>
      </c>
      <c r="K974" s="7" t="s">
        <v>2322</v>
      </c>
      <c r="L974" s="7" t="s">
        <v>138</v>
      </c>
      <c r="M974" s="7" t="s">
        <v>139</v>
      </c>
      <c r="N974" s="7" t="s">
        <v>62</v>
      </c>
      <c r="O974" s="7">
        <v>1</v>
      </c>
      <c r="P974" s="7" t="s">
        <v>40</v>
      </c>
      <c r="Q974" s="7">
        <v>99.99</v>
      </c>
      <c r="R974" s="7"/>
      <c r="S974" s="7"/>
      <c r="T974" s="7"/>
      <c r="U974" s="7"/>
      <c r="V974" s="7"/>
      <c r="W974" s="7"/>
      <c r="X974" s="7"/>
      <c r="Y974" s="7" t="s">
        <v>353</v>
      </c>
      <c r="Z974" s="7" t="s">
        <v>735</v>
      </c>
      <c r="AA974" s="7" t="s">
        <v>4377</v>
      </c>
      <c r="AB974" s="7" t="s">
        <v>44</v>
      </c>
      <c r="AC974" s="7"/>
      <c r="AD974" s="7"/>
      <c r="AE974" s="7"/>
      <c r="AF974" s="7"/>
      <c r="AG974" s="11">
        <f t="shared" si="15"/>
        <v>43284</v>
      </c>
    </row>
    <row r="975" s="8" customFormat="1" spans="1:33">
      <c r="A975" s="7" t="s">
        <v>4664</v>
      </c>
      <c r="B975" s="7" t="s">
        <v>4664</v>
      </c>
      <c r="C975" s="7" t="s">
        <v>4665</v>
      </c>
      <c r="D975" s="7" t="s">
        <v>4666</v>
      </c>
      <c r="E975" s="7" t="s">
        <v>33</v>
      </c>
      <c r="F975" s="7" t="s">
        <v>34</v>
      </c>
      <c r="G975" s="7" t="s">
        <v>35</v>
      </c>
      <c r="H975" s="7"/>
      <c r="I975" s="7"/>
      <c r="J975" s="7" t="s">
        <v>36</v>
      </c>
      <c r="K975" s="7" t="s">
        <v>3686</v>
      </c>
      <c r="L975" s="7" t="s">
        <v>3987</v>
      </c>
      <c r="M975" s="7" t="s">
        <v>3688</v>
      </c>
      <c r="N975" s="7" t="s">
        <v>33</v>
      </c>
      <c r="O975" s="7">
        <v>1</v>
      </c>
      <c r="P975" s="7" t="s">
        <v>40</v>
      </c>
      <c r="Q975" s="7">
        <v>32.99</v>
      </c>
      <c r="R975" s="7">
        <v>3.4</v>
      </c>
      <c r="S975" s="7"/>
      <c r="T975" s="7"/>
      <c r="U975" s="7"/>
      <c r="V975" s="7"/>
      <c r="W975" s="7"/>
      <c r="X975" s="7"/>
      <c r="Y975" s="7" t="s">
        <v>3988</v>
      </c>
      <c r="Z975" s="7" t="s">
        <v>97</v>
      </c>
      <c r="AA975" s="7" t="s">
        <v>3989</v>
      </c>
      <c r="AB975" s="7" t="s">
        <v>44</v>
      </c>
      <c r="AC975" s="7"/>
      <c r="AD975" s="7"/>
      <c r="AE975" s="7"/>
      <c r="AF975" s="7"/>
      <c r="AG975" s="11">
        <f t="shared" si="15"/>
        <v>43284</v>
      </c>
    </row>
    <row r="976" s="8" customFormat="1" spans="1:33">
      <c r="A976" s="7" t="s">
        <v>4667</v>
      </c>
      <c r="B976" s="7" t="s">
        <v>4667</v>
      </c>
      <c r="C976" s="7" t="s">
        <v>4668</v>
      </c>
      <c r="D976" s="7" t="s">
        <v>4669</v>
      </c>
      <c r="E976" s="7" t="s">
        <v>33</v>
      </c>
      <c r="F976" s="7" t="s">
        <v>34</v>
      </c>
      <c r="G976" s="7" t="s">
        <v>35</v>
      </c>
      <c r="H976" s="7"/>
      <c r="I976" s="7"/>
      <c r="J976" s="7" t="s">
        <v>36</v>
      </c>
      <c r="K976" s="7" t="s">
        <v>1692</v>
      </c>
      <c r="L976" s="7" t="s">
        <v>1693</v>
      </c>
      <c r="M976" s="7" t="s">
        <v>1694</v>
      </c>
      <c r="N976" s="7" t="s">
        <v>33</v>
      </c>
      <c r="O976" s="7">
        <v>1</v>
      </c>
      <c r="P976" s="7" t="s">
        <v>40</v>
      </c>
      <c r="Q976" s="7">
        <v>79.99</v>
      </c>
      <c r="R976" s="7">
        <v>4.8</v>
      </c>
      <c r="S976" s="7"/>
      <c r="T976" s="7"/>
      <c r="U976" s="7"/>
      <c r="V976" s="7"/>
      <c r="W976" s="7"/>
      <c r="X976" s="7"/>
      <c r="Y976" s="7" t="s">
        <v>4670</v>
      </c>
      <c r="Z976" s="7" t="s">
        <v>880</v>
      </c>
      <c r="AA976" s="7">
        <v>19063</v>
      </c>
      <c r="AB976" s="7" t="s">
        <v>44</v>
      </c>
      <c r="AC976" s="7"/>
      <c r="AD976" s="7"/>
      <c r="AE976" s="7"/>
      <c r="AF976" s="7"/>
      <c r="AG976" s="11">
        <f t="shared" si="15"/>
        <v>43284</v>
      </c>
    </row>
    <row r="977" s="8" customFormat="1" spans="1:33">
      <c r="A977" s="7" t="s">
        <v>4671</v>
      </c>
      <c r="B977" s="7" t="s">
        <v>4671</v>
      </c>
      <c r="C977" s="7" t="s">
        <v>4672</v>
      </c>
      <c r="D977" s="7" t="s">
        <v>4673</v>
      </c>
      <c r="E977" s="7" t="s">
        <v>33</v>
      </c>
      <c r="F977" s="7" t="s">
        <v>34</v>
      </c>
      <c r="G977" s="7" t="s">
        <v>35</v>
      </c>
      <c r="H977" s="7"/>
      <c r="I977" s="7"/>
      <c r="J977" s="7" t="s">
        <v>36</v>
      </c>
      <c r="K977" s="7" t="s">
        <v>275</v>
      </c>
      <c r="L977" s="7" t="s">
        <v>276</v>
      </c>
      <c r="M977" s="7" t="s">
        <v>277</v>
      </c>
      <c r="N977" s="7" t="s">
        <v>33</v>
      </c>
      <c r="O977" s="7">
        <v>1</v>
      </c>
      <c r="P977" s="7" t="s">
        <v>40</v>
      </c>
      <c r="Q977" s="7">
        <v>89.99</v>
      </c>
      <c r="R977" s="7"/>
      <c r="S977" s="7"/>
      <c r="T977" s="7"/>
      <c r="U977" s="7"/>
      <c r="V977" s="7"/>
      <c r="W977" s="7"/>
      <c r="X977" s="7"/>
      <c r="Y977" s="7" t="s">
        <v>1695</v>
      </c>
      <c r="Z977" s="7" t="s">
        <v>83</v>
      </c>
      <c r="AA977" s="7" t="s">
        <v>1696</v>
      </c>
      <c r="AB977" s="7" t="s">
        <v>44</v>
      </c>
      <c r="AC977" s="7"/>
      <c r="AD977" s="7"/>
      <c r="AE977" s="7"/>
      <c r="AF977" s="7"/>
      <c r="AG977" s="11">
        <f t="shared" si="15"/>
        <v>43284</v>
      </c>
    </row>
    <row r="978" s="8" customFormat="1" spans="1:33">
      <c r="A978" s="7" t="s">
        <v>4674</v>
      </c>
      <c r="B978" s="7" t="s">
        <v>4674</v>
      </c>
      <c r="C978" s="7" t="s">
        <v>4675</v>
      </c>
      <c r="D978" s="7" t="s">
        <v>4676</v>
      </c>
      <c r="E978" s="7" t="s">
        <v>33</v>
      </c>
      <c r="F978" s="7" t="s">
        <v>34</v>
      </c>
      <c r="G978" s="7" t="s">
        <v>35</v>
      </c>
      <c r="H978" s="7"/>
      <c r="I978" s="7"/>
      <c r="J978" s="7" t="s">
        <v>36</v>
      </c>
      <c r="K978" s="7" t="s">
        <v>164</v>
      </c>
      <c r="L978" s="7" t="s">
        <v>165</v>
      </c>
      <c r="M978" s="7" t="s">
        <v>166</v>
      </c>
      <c r="N978" s="7" t="s">
        <v>33</v>
      </c>
      <c r="O978" s="7">
        <v>1</v>
      </c>
      <c r="P978" s="7" t="s">
        <v>40</v>
      </c>
      <c r="Q978" s="7">
        <v>21.99</v>
      </c>
      <c r="R978" s="7"/>
      <c r="S978" s="7"/>
      <c r="T978" s="7"/>
      <c r="U978" s="7"/>
      <c r="V978" s="7"/>
      <c r="W978" s="7">
        <v>21.77</v>
      </c>
      <c r="X978" s="7"/>
      <c r="Y978" s="7" t="s">
        <v>3219</v>
      </c>
      <c r="Z978" s="7" t="s">
        <v>207</v>
      </c>
      <c r="AA978" s="7" t="s">
        <v>3220</v>
      </c>
      <c r="AB978" s="7" t="s">
        <v>44</v>
      </c>
      <c r="AC978" s="7" t="s">
        <v>209</v>
      </c>
      <c r="AD978" s="7"/>
      <c r="AE978" s="7"/>
      <c r="AF978" s="7"/>
      <c r="AG978" s="11">
        <f t="shared" si="15"/>
        <v>43284</v>
      </c>
    </row>
    <row r="979" s="8" customFormat="1" spans="1:33">
      <c r="A979" s="7" t="s">
        <v>4677</v>
      </c>
      <c r="B979" s="7" t="s">
        <v>4677</v>
      </c>
      <c r="C979" s="7" t="s">
        <v>4678</v>
      </c>
      <c r="D979" s="7" t="s">
        <v>4679</v>
      </c>
      <c r="E979" s="7" t="s">
        <v>33</v>
      </c>
      <c r="F979" s="7" t="s">
        <v>34</v>
      </c>
      <c r="G979" s="7" t="s">
        <v>35</v>
      </c>
      <c r="H979" s="7"/>
      <c r="I979" s="7"/>
      <c r="J979" s="7" t="s">
        <v>36</v>
      </c>
      <c r="K979" s="7" t="s">
        <v>905</v>
      </c>
      <c r="L979" s="7" t="s">
        <v>906</v>
      </c>
      <c r="M979" s="7" t="s">
        <v>907</v>
      </c>
      <c r="N979" s="7" t="s">
        <v>33</v>
      </c>
      <c r="O979" s="7">
        <v>1</v>
      </c>
      <c r="P979" s="7" t="s">
        <v>40</v>
      </c>
      <c r="Q979" s="7">
        <v>19.99</v>
      </c>
      <c r="R979" s="7">
        <v>1.7</v>
      </c>
      <c r="S979" s="7"/>
      <c r="T979" s="7"/>
      <c r="U979" s="7"/>
      <c r="V979" s="7"/>
      <c r="W979" s="7"/>
      <c r="X979" s="7"/>
      <c r="Y979" s="7" t="s">
        <v>4680</v>
      </c>
      <c r="Z979" s="7" t="s">
        <v>279</v>
      </c>
      <c r="AA979" s="7" t="s">
        <v>4681</v>
      </c>
      <c r="AB979" s="7" t="s">
        <v>44</v>
      </c>
      <c r="AC979" s="7"/>
      <c r="AD979" s="7"/>
      <c r="AE979" s="7"/>
      <c r="AF979" s="7"/>
      <c r="AG979" s="11">
        <f t="shared" si="15"/>
        <v>43284</v>
      </c>
    </row>
    <row r="980" s="8" customFormat="1" spans="1:33">
      <c r="A980" s="7" t="s">
        <v>4682</v>
      </c>
      <c r="B980" s="7" t="s">
        <v>4682</v>
      </c>
      <c r="C980" s="7" t="s">
        <v>4683</v>
      </c>
      <c r="D980" s="7" t="s">
        <v>4684</v>
      </c>
      <c r="E980" s="7" t="s">
        <v>33</v>
      </c>
      <c r="F980" s="7" t="s">
        <v>34</v>
      </c>
      <c r="G980" s="7" t="s">
        <v>35</v>
      </c>
      <c r="H980" s="7"/>
      <c r="I980" s="7"/>
      <c r="J980" s="7" t="s">
        <v>69</v>
      </c>
      <c r="K980" s="7" t="s">
        <v>226</v>
      </c>
      <c r="L980" s="7" t="s">
        <v>227</v>
      </c>
      <c r="M980" s="7" t="s">
        <v>228</v>
      </c>
      <c r="N980" s="7" t="s">
        <v>33</v>
      </c>
      <c r="O980" s="7">
        <v>1</v>
      </c>
      <c r="P980" s="7" t="s">
        <v>40</v>
      </c>
      <c r="Q980" s="7">
        <v>34.99</v>
      </c>
      <c r="R980" s="7"/>
      <c r="S980" s="7">
        <v>4.84</v>
      </c>
      <c r="T980" s="7"/>
      <c r="U980" s="7"/>
      <c r="V980" s="7"/>
      <c r="W980" s="7"/>
      <c r="X980" s="7">
        <v>4.84</v>
      </c>
      <c r="Y980" s="7" t="s">
        <v>4685</v>
      </c>
      <c r="Z980" s="7" t="s">
        <v>293</v>
      </c>
      <c r="AA980" s="7" t="s">
        <v>4686</v>
      </c>
      <c r="AB980" s="7" t="s">
        <v>44</v>
      </c>
      <c r="AC980" s="7" t="s">
        <v>75</v>
      </c>
      <c r="AD980" s="7"/>
      <c r="AE980" s="7"/>
      <c r="AF980" s="7"/>
      <c r="AG980" s="11">
        <f t="shared" si="15"/>
        <v>43284</v>
      </c>
    </row>
    <row r="981" s="8" customFormat="1" spans="1:33">
      <c r="A981" s="7" t="s">
        <v>4687</v>
      </c>
      <c r="B981" s="7" t="s">
        <v>4687</v>
      </c>
      <c r="C981" s="7" t="s">
        <v>4688</v>
      </c>
      <c r="D981" s="7" t="s">
        <v>4689</v>
      </c>
      <c r="E981" s="7" t="s">
        <v>54</v>
      </c>
      <c r="F981" s="7" t="s">
        <v>34</v>
      </c>
      <c r="G981" s="7" t="s">
        <v>35</v>
      </c>
      <c r="H981" s="7"/>
      <c r="I981" s="7"/>
      <c r="J981" s="7" t="s">
        <v>36</v>
      </c>
      <c r="K981" s="7" t="s">
        <v>749</v>
      </c>
      <c r="L981" s="7" t="s">
        <v>750</v>
      </c>
      <c r="M981" s="7" t="s">
        <v>751</v>
      </c>
      <c r="N981" s="7" t="s">
        <v>62</v>
      </c>
      <c r="O981" s="7">
        <v>1</v>
      </c>
      <c r="P981" s="7" t="s">
        <v>40</v>
      </c>
      <c r="Q981" s="7">
        <v>89.99</v>
      </c>
      <c r="R981" s="7"/>
      <c r="S981" s="7"/>
      <c r="T981" s="7"/>
      <c r="U981" s="7"/>
      <c r="V981" s="7"/>
      <c r="W981" s="7"/>
      <c r="X981" s="7"/>
      <c r="Y981" s="7" t="s">
        <v>4069</v>
      </c>
      <c r="Z981" s="7" t="s">
        <v>440</v>
      </c>
      <c r="AA981" s="7" t="s">
        <v>4070</v>
      </c>
      <c r="AB981" s="7" t="s">
        <v>44</v>
      </c>
      <c r="AC981" s="7"/>
      <c r="AD981" s="7"/>
      <c r="AE981" s="7"/>
      <c r="AF981" s="7"/>
      <c r="AG981" s="11">
        <f t="shared" si="15"/>
        <v>43284</v>
      </c>
    </row>
    <row r="982" s="8" customFormat="1" spans="1:33">
      <c r="A982" s="7" t="s">
        <v>4690</v>
      </c>
      <c r="B982" s="7" t="s">
        <v>4690</v>
      </c>
      <c r="C982" s="7" t="s">
        <v>4691</v>
      </c>
      <c r="D982" s="7" t="s">
        <v>4692</v>
      </c>
      <c r="E982" s="7" t="s">
        <v>33</v>
      </c>
      <c r="F982" s="7" t="s">
        <v>34</v>
      </c>
      <c r="G982" s="7" t="s">
        <v>35</v>
      </c>
      <c r="H982" s="7"/>
      <c r="I982" s="7"/>
      <c r="J982" s="7" t="s">
        <v>36</v>
      </c>
      <c r="K982" s="7" t="s">
        <v>79</v>
      </c>
      <c r="L982" s="7" t="s">
        <v>80</v>
      </c>
      <c r="M982" s="7" t="s">
        <v>81</v>
      </c>
      <c r="N982" s="7" t="s">
        <v>33</v>
      </c>
      <c r="O982" s="7">
        <v>1</v>
      </c>
      <c r="P982" s="7" t="s">
        <v>40</v>
      </c>
      <c r="Q982" s="7">
        <v>91.99</v>
      </c>
      <c r="R982" s="7"/>
      <c r="S982" s="7"/>
      <c r="T982" s="7"/>
      <c r="U982" s="7"/>
      <c r="V982" s="7"/>
      <c r="W982" s="7"/>
      <c r="X982" s="7"/>
      <c r="Y982" s="7" t="s">
        <v>900</v>
      </c>
      <c r="Z982" s="7" t="s">
        <v>316</v>
      </c>
      <c r="AA982" s="7" t="s">
        <v>4693</v>
      </c>
      <c r="AB982" s="7" t="s">
        <v>44</v>
      </c>
      <c r="AC982" s="7"/>
      <c r="AD982" s="7"/>
      <c r="AE982" s="7"/>
      <c r="AF982" s="7"/>
      <c r="AG982" s="11">
        <f t="shared" si="15"/>
        <v>43284</v>
      </c>
    </row>
    <row r="983" s="8" customFormat="1" spans="1:33">
      <c r="A983" s="7" t="s">
        <v>4694</v>
      </c>
      <c r="B983" s="7" t="s">
        <v>4694</v>
      </c>
      <c r="C983" s="7" t="s">
        <v>4695</v>
      </c>
      <c r="D983" s="7" t="s">
        <v>4696</v>
      </c>
      <c r="E983" s="7" t="s">
        <v>33</v>
      </c>
      <c r="F983" s="7" t="s">
        <v>34</v>
      </c>
      <c r="G983" s="7" t="s">
        <v>35</v>
      </c>
      <c r="H983" s="7"/>
      <c r="I983" s="7"/>
      <c r="J983" s="7" t="s">
        <v>36</v>
      </c>
      <c r="K983" s="7" t="s">
        <v>1099</v>
      </c>
      <c r="L983" s="7" t="s">
        <v>1100</v>
      </c>
      <c r="M983" s="7" t="s">
        <v>1101</v>
      </c>
      <c r="N983" s="7" t="s">
        <v>33</v>
      </c>
      <c r="O983" s="7">
        <v>1</v>
      </c>
      <c r="P983" s="7" t="s">
        <v>40</v>
      </c>
      <c r="Q983" s="7">
        <v>108.99</v>
      </c>
      <c r="R983" s="7"/>
      <c r="S983" s="7"/>
      <c r="T983" s="7"/>
      <c r="U983" s="7"/>
      <c r="V983" s="7"/>
      <c r="W983" s="7"/>
      <c r="X983" s="7"/>
      <c r="Y983" s="7" t="s">
        <v>353</v>
      </c>
      <c r="Z983" s="7" t="s">
        <v>735</v>
      </c>
      <c r="AA983" s="7" t="s">
        <v>4697</v>
      </c>
      <c r="AB983" s="7" t="s">
        <v>44</v>
      </c>
      <c r="AC983" s="7"/>
      <c r="AD983" s="7"/>
      <c r="AE983" s="7"/>
      <c r="AF983" s="7"/>
      <c r="AG983" s="11">
        <f t="shared" si="15"/>
        <v>43285</v>
      </c>
    </row>
    <row r="984" s="8" customFormat="1" spans="1:33">
      <c r="A984" s="7" t="s">
        <v>4698</v>
      </c>
      <c r="B984" s="7" t="s">
        <v>4698</v>
      </c>
      <c r="C984" s="7" t="s">
        <v>4699</v>
      </c>
      <c r="D984" s="7" t="s">
        <v>4700</v>
      </c>
      <c r="E984" s="7" t="s">
        <v>33</v>
      </c>
      <c r="F984" s="7" t="s">
        <v>34</v>
      </c>
      <c r="G984" s="7" t="s">
        <v>35</v>
      </c>
      <c r="H984" s="7"/>
      <c r="I984" s="7"/>
      <c r="J984" s="7" t="s">
        <v>36</v>
      </c>
      <c r="K984" s="7" t="s">
        <v>2540</v>
      </c>
      <c r="L984" s="7" t="s">
        <v>2541</v>
      </c>
      <c r="M984" s="7" t="s">
        <v>2542</v>
      </c>
      <c r="N984" s="7" t="s">
        <v>33</v>
      </c>
      <c r="O984" s="7">
        <v>1</v>
      </c>
      <c r="P984" s="7" t="s">
        <v>40</v>
      </c>
      <c r="Q984" s="7">
        <v>29.99</v>
      </c>
      <c r="R984" s="7"/>
      <c r="S984" s="7"/>
      <c r="T984" s="7"/>
      <c r="U984" s="7"/>
      <c r="V984" s="7"/>
      <c r="W984" s="7"/>
      <c r="X984" s="7"/>
      <c r="Y984" s="7" t="s">
        <v>4701</v>
      </c>
      <c r="Z984" s="7" t="s">
        <v>440</v>
      </c>
      <c r="AA984" s="7" t="s">
        <v>4702</v>
      </c>
      <c r="AB984" s="7" t="s">
        <v>44</v>
      </c>
      <c r="AC984" s="7"/>
      <c r="AD984" s="7"/>
      <c r="AE984" s="7"/>
      <c r="AF984" s="7"/>
      <c r="AG984" s="11">
        <f t="shared" si="15"/>
        <v>43285</v>
      </c>
    </row>
    <row r="985" s="8" customFormat="1" spans="1:33">
      <c r="A985" s="7" t="s">
        <v>4703</v>
      </c>
      <c r="B985" s="7" t="s">
        <v>4703</v>
      </c>
      <c r="C985" s="7" t="s">
        <v>4704</v>
      </c>
      <c r="D985" s="7" t="s">
        <v>4705</v>
      </c>
      <c r="E985" s="7" t="s">
        <v>54</v>
      </c>
      <c r="F985" s="7" t="s">
        <v>34</v>
      </c>
      <c r="G985" s="7" t="s">
        <v>35</v>
      </c>
      <c r="H985" s="7"/>
      <c r="I985" s="7"/>
      <c r="J985" s="7" t="s">
        <v>69</v>
      </c>
      <c r="K985" s="7" t="s">
        <v>235</v>
      </c>
      <c r="L985" s="7" t="s">
        <v>236</v>
      </c>
      <c r="M985" s="7" t="s">
        <v>237</v>
      </c>
      <c r="N985" s="7" t="s">
        <v>62</v>
      </c>
      <c r="O985" s="7">
        <v>1</v>
      </c>
      <c r="P985" s="7" t="s">
        <v>40</v>
      </c>
      <c r="Q985" s="7">
        <v>85.99</v>
      </c>
      <c r="R985" s="7"/>
      <c r="S985" s="7"/>
      <c r="T985" s="7"/>
      <c r="U985" s="7"/>
      <c r="V985" s="7"/>
      <c r="W985" s="7"/>
      <c r="X985" s="7"/>
      <c r="Y985" s="7" t="s">
        <v>1963</v>
      </c>
      <c r="Z985" s="7" t="s">
        <v>83</v>
      </c>
      <c r="AA985" s="7" t="s">
        <v>4002</v>
      </c>
      <c r="AB985" s="7" t="s">
        <v>44</v>
      </c>
      <c r="AC985" s="7"/>
      <c r="AD985" s="7"/>
      <c r="AE985" s="7"/>
      <c r="AF985" s="7"/>
      <c r="AG985" s="11">
        <f t="shared" si="15"/>
        <v>43285</v>
      </c>
    </row>
    <row r="986" s="8" customFormat="1" spans="1:33">
      <c r="A986" s="7" t="s">
        <v>4706</v>
      </c>
      <c r="B986" s="7" t="s">
        <v>4706</v>
      </c>
      <c r="C986" s="7" t="s">
        <v>4707</v>
      </c>
      <c r="D986" s="7" t="s">
        <v>4708</v>
      </c>
      <c r="E986" s="7" t="s">
        <v>54</v>
      </c>
      <c r="F986" s="7" t="s">
        <v>34</v>
      </c>
      <c r="G986" s="7" t="s">
        <v>35</v>
      </c>
      <c r="H986" s="7"/>
      <c r="I986" s="7"/>
      <c r="J986" s="7" t="s">
        <v>69</v>
      </c>
      <c r="K986" s="7" t="s">
        <v>235</v>
      </c>
      <c r="L986" s="7" t="s">
        <v>236</v>
      </c>
      <c r="M986" s="7" t="s">
        <v>237</v>
      </c>
      <c r="N986" s="7" t="s">
        <v>62</v>
      </c>
      <c r="O986" s="7">
        <v>1</v>
      </c>
      <c r="P986" s="7" t="s">
        <v>40</v>
      </c>
      <c r="Q986" s="7">
        <v>85.99</v>
      </c>
      <c r="R986" s="7"/>
      <c r="S986" s="7"/>
      <c r="T986" s="7"/>
      <c r="U986" s="7"/>
      <c r="V986" s="7"/>
      <c r="W986" s="7"/>
      <c r="X986" s="7"/>
      <c r="Y986" s="7" t="s">
        <v>1963</v>
      </c>
      <c r="Z986" s="7" t="s">
        <v>83</v>
      </c>
      <c r="AA986" s="7" t="s">
        <v>4002</v>
      </c>
      <c r="AB986" s="7" t="s">
        <v>44</v>
      </c>
      <c r="AC986" s="7"/>
      <c r="AD986" s="7"/>
      <c r="AE986" s="7"/>
      <c r="AF986" s="7"/>
      <c r="AG986" s="11">
        <f t="shared" si="15"/>
        <v>43285</v>
      </c>
    </row>
    <row r="987" s="8" customFormat="1" spans="1:33">
      <c r="A987" s="7" t="s">
        <v>4709</v>
      </c>
      <c r="B987" s="7" t="s">
        <v>4709</v>
      </c>
      <c r="C987" s="7" t="s">
        <v>4710</v>
      </c>
      <c r="D987" s="7" t="s">
        <v>4711</v>
      </c>
      <c r="E987" s="7" t="s">
        <v>54</v>
      </c>
      <c r="F987" s="7" t="s">
        <v>34</v>
      </c>
      <c r="G987" s="7" t="s">
        <v>35</v>
      </c>
      <c r="H987" s="7"/>
      <c r="I987" s="7"/>
      <c r="J987" s="7" t="s">
        <v>69</v>
      </c>
      <c r="K987" s="7" t="s">
        <v>235</v>
      </c>
      <c r="L987" s="7" t="s">
        <v>236</v>
      </c>
      <c r="M987" s="7" t="s">
        <v>237</v>
      </c>
      <c r="N987" s="7" t="s">
        <v>62</v>
      </c>
      <c r="O987" s="7">
        <v>1</v>
      </c>
      <c r="P987" s="7" t="s">
        <v>40</v>
      </c>
      <c r="Q987" s="7">
        <v>85.99</v>
      </c>
      <c r="R987" s="7"/>
      <c r="S987" s="7"/>
      <c r="T987" s="7"/>
      <c r="U987" s="7"/>
      <c r="V987" s="7"/>
      <c r="W987" s="7"/>
      <c r="X987" s="7"/>
      <c r="Y987" s="7" t="s">
        <v>1963</v>
      </c>
      <c r="Z987" s="7" t="s">
        <v>83</v>
      </c>
      <c r="AA987" s="7" t="s">
        <v>4002</v>
      </c>
      <c r="AB987" s="7" t="s">
        <v>44</v>
      </c>
      <c r="AC987" s="7"/>
      <c r="AD987" s="7"/>
      <c r="AE987" s="7"/>
      <c r="AF987" s="7"/>
      <c r="AG987" s="11">
        <f t="shared" si="15"/>
        <v>43285</v>
      </c>
    </row>
    <row r="988" s="8" customFormat="1" spans="1:33">
      <c r="A988" s="7" t="s">
        <v>4712</v>
      </c>
      <c r="B988" s="7" t="s">
        <v>4712</v>
      </c>
      <c r="C988" s="7" t="s">
        <v>4713</v>
      </c>
      <c r="D988" s="7" t="s">
        <v>4714</v>
      </c>
      <c r="E988" s="7" t="s">
        <v>54</v>
      </c>
      <c r="F988" s="7" t="s">
        <v>34</v>
      </c>
      <c r="G988" s="7" t="s">
        <v>35</v>
      </c>
      <c r="H988" s="7"/>
      <c r="I988" s="7"/>
      <c r="J988" s="7" t="s">
        <v>69</v>
      </c>
      <c r="K988" s="7" t="s">
        <v>235</v>
      </c>
      <c r="L988" s="7" t="s">
        <v>236</v>
      </c>
      <c r="M988" s="7" t="s">
        <v>237</v>
      </c>
      <c r="N988" s="7" t="s">
        <v>62</v>
      </c>
      <c r="O988" s="7">
        <v>1</v>
      </c>
      <c r="P988" s="7" t="s">
        <v>40</v>
      </c>
      <c r="Q988" s="7">
        <v>85.99</v>
      </c>
      <c r="R988" s="7"/>
      <c r="S988" s="7"/>
      <c r="T988" s="7"/>
      <c r="U988" s="7"/>
      <c r="V988" s="7"/>
      <c r="W988" s="7"/>
      <c r="X988" s="7"/>
      <c r="Y988" s="7" t="s">
        <v>1963</v>
      </c>
      <c r="Z988" s="7" t="s">
        <v>83</v>
      </c>
      <c r="AA988" s="7" t="s">
        <v>4002</v>
      </c>
      <c r="AB988" s="7" t="s">
        <v>44</v>
      </c>
      <c r="AC988" s="7"/>
      <c r="AD988" s="7"/>
      <c r="AE988" s="7"/>
      <c r="AF988" s="7"/>
      <c r="AG988" s="11">
        <f t="shared" si="15"/>
        <v>43285</v>
      </c>
    </row>
    <row r="989" s="8" customFormat="1" spans="1:33">
      <c r="A989" s="7" t="s">
        <v>4715</v>
      </c>
      <c r="B989" s="7" t="s">
        <v>4715</v>
      </c>
      <c r="C989" s="7" t="s">
        <v>4716</v>
      </c>
      <c r="D989" s="7" t="s">
        <v>4717</v>
      </c>
      <c r="E989" s="7" t="s">
        <v>33</v>
      </c>
      <c r="F989" s="7" t="s">
        <v>34</v>
      </c>
      <c r="G989" s="7" t="s">
        <v>35</v>
      </c>
      <c r="H989" s="7"/>
      <c r="I989" s="7"/>
      <c r="J989" s="7" t="s">
        <v>36</v>
      </c>
      <c r="K989" s="7" t="s">
        <v>2459</v>
      </c>
      <c r="L989" s="7" t="s">
        <v>365</v>
      </c>
      <c r="M989" s="7" t="s">
        <v>366</v>
      </c>
      <c r="N989" s="7" t="s">
        <v>33</v>
      </c>
      <c r="O989" s="7">
        <v>1</v>
      </c>
      <c r="P989" s="7" t="s">
        <v>40</v>
      </c>
      <c r="Q989" s="7">
        <v>88.99</v>
      </c>
      <c r="R989" s="7"/>
      <c r="S989" s="7"/>
      <c r="T989" s="7"/>
      <c r="U989" s="7"/>
      <c r="V989" s="7"/>
      <c r="W989" s="7"/>
      <c r="X989" s="7"/>
      <c r="Y989" s="7" t="s">
        <v>4474</v>
      </c>
      <c r="Z989" s="7" t="s">
        <v>83</v>
      </c>
      <c r="AA989" s="7" t="s">
        <v>4718</v>
      </c>
      <c r="AB989" s="7" t="s">
        <v>44</v>
      </c>
      <c r="AC989" s="7"/>
      <c r="AD989" s="7"/>
      <c r="AE989" s="7"/>
      <c r="AF989" s="7"/>
      <c r="AG989" s="11">
        <f t="shared" si="15"/>
        <v>43285</v>
      </c>
    </row>
    <row r="990" s="8" customFormat="1" spans="1:33">
      <c r="A990" s="7" t="s">
        <v>4719</v>
      </c>
      <c r="B990" s="7" t="s">
        <v>4719</v>
      </c>
      <c r="C990" s="7" t="s">
        <v>4720</v>
      </c>
      <c r="D990" s="7" t="s">
        <v>4721</v>
      </c>
      <c r="E990" s="7" t="s">
        <v>33</v>
      </c>
      <c r="F990" s="7" t="s">
        <v>34</v>
      </c>
      <c r="G990" s="7" t="s">
        <v>35</v>
      </c>
      <c r="H990" s="7"/>
      <c r="I990" s="7"/>
      <c r="J990" s="7" t="s">
        <v>36</v>
      </c>
      <c r="K990" s="7" t="s">
        <v>2127</v>
      </c>
      <c r="L990" s="7" t="s">
        <v>2128</v>
      </c>
      <c r="M990" s="7" t="s">
        <v>2129</v>
      </c>
      <c r="N990" s="7" t="s">
        <v>33</v>
      </c>
      <c r="O990" s="7">
        <v>1</v>
      </c>
      <c r="P990" s="7" t="s">
        <v>40</v>
      </c>
      <c r="Q990" s="7">
        <v>95.99</v>
      </c>
      <c r="R990" s="7"/>
      <c r="S990" s="7"/>
      <c r="T990" s="7"/>
      <c r="U990" s="7"/>
      <c r="V990" s="7"/>
      <c r="W990" s="7"/>
      <c r="X990" s="7"/>
      <c r="Y990" s="7" t="s">
        <v>2881</v>
      </c>
      <c r="Z990" s="7" t="s">
        <v>42</v>
      </c>
      <c r="AA990" s="7" t="s">
        <v>4722</v>
      </c>
      <c r="AB990" s="7" t="s">
        <v>44</v>
      </c>
      <c r="AC990" s="7"/>
      <c r="AD990" s="7"/>
      <c r="AE990" s="7"/>
      <c r="AF990" s="7"/>
      <c r="AG990" s="11">
        <f t="shared" si="15"/>
        <v>43285</v>
      </c>
    </row>
    <row r="991" s="8" customFormat="1" spans="1:33">
      <c r="A991" s="7" t="s">
        <v>4723</v>
      </c>
      <c r="B991" s="7" t="s">
        <v>4723</v>
      </c>
      <c r="C991" s="7" t="s">
        <v>4724</v>
      </c>
      <c r="D991" s="7" t="s">
        <v>4725</v>
      </c>
      <c r="E991" s="7" t="s">
        <v>33</v>
      </c>
      <c r="F991" s="7" t="s">
        <v>34</v>
      </c>
      <c r="G991" s="7" t="s">
        <v>35</v>
      </c>
      <c r="H991" s="7"/>
      <c r="I991" s="7"/>
      <c r="J991" s="7" t="s">
        <v>36</v>
      </c>
      <c r="K991" s="7" t="s">
        <v>148</v>
      </c>
      <c r="L991" s="7" t="s">
        <v>149</v>
      </c>
      <c r="M991" s="7" t="s">
        <v>150</v>
      </c>
      <c r="N991" s="7" t="s">
        <v>33</v>
      </c>
      <c r="O991" s="7">
        <v>1</v>
      </c>
      <c r="P991" s="7" t="s">
        <v>40</v>
      </c>
      <c r="Q991" s="7">
        <v>98.99</v>
      </c>
      <c r="R991" s="7"/>
      <c r="S991" s="7"/>
      <c r="T991" s="7"/>
      <c r="U991" s="7"/>
      <c r="V991" s="7"/>
      <c r="W991" s="7"/>
      <c r="X991" s="7"/>
      <c r="Y991" s="7" t="s">
        <v>3625</v>
      </c>
      <c r="Z991" s="7" t="s">
        <v>446</v>
      </c>
      <c r="AA991" s="7" t="s">
        <v>4726</v>
      </c>
      <c r="AB991" s="7" t="s">
        <v>44</v>
      </c>
      <c r="AC991" s="7"/>
      <c r="AD991" s="7"/>
      <c r="AE991" s="7"/>
      <c r="AF991" s="7"/>
      <c r="AG991" s="11">
        <f t="shared" si="15"/>
        <v>43285</v>
      </c>
    </row>
    <row r="992" s="8" customFormat="1" spans="1:33">
      <c r="A992" s="7" t="s">
        <v>4727</v>
      </c>
      <c r="B992" s="7" t="s">
        <v>4727</v>
      </c>
      <c r="C992" s="7" t="s">
        <v>4728</v>
      </c>
      <c r="D992" s="7" t="s">
        <v>4729</v>
      </c>
      <c r="E992" s="7" t="s">
        <v>33</v>
      </c>
      <c r="F992" s="7" t="s">
        <v>34</v>
      </c>
      <c r="G992" s="7" t="s">
        <v>35</v>
      </c>
      <c r="H992" s="7"/>
      <c r="I992" s="7"/>
      <c r="J992" s="7" t="s">
        <v>36</v>
      </c>
      <c r="K992" s="7" t="s">
        <v>59</v>
      </c>
      <c r="L992" s="7" t="s">
        <v>60</v>
      </c>
      <c r="M992" s="7" t="s">
        <v>61</v>
      </c>
      <c r="N992" s="7" t="s">
        <v>33</v>
      </c>
      <c r="O992" s="7">
        <v>1</v>
      </c>
      <c r="P992" s="7" t="s">
        <v>40</v>
      </c>
      <c r="Q992" s="7">
        <v>89.99</v>
      </c>
      <c r="R992" s="7"/>
      <c r="S992" s="7"/>
      <c r="T992" s="7"/>
      <c r="U992" s="7"/>
      <c r="V992" s="7"/>
      <c r="W992" s="7"/>
      <c r="X992" s="7"/>
      <c r="Y992" s="7" t="s">
        <v>4730</v>
      </c>
      <c r="Z992" s="7" t="s">
        <v>391</v>
      </c>
      <c r="AA992" s="7" t="s">
        <v>4731</v>
      </c>
      <c r="AB992" s="7" t="s">
        <v>44</v>
      </c>
      <c r="AC992" s="7"/>
      <c r="AD992" s="7"/>
      <c r="AE992" s="7"/>
      <c r="AF992" s="7"/>
      <c r="AG992" s="11">
        <f t="shared" si="15"/>
        <v>43285</v>
      </c>
    </row>
    <row r="993" s="8" customFormat="1" spans="1:33">
      <c r="A993" s="7" t="s">
        <v>4732</v>
      </c>
      <c r="B993" s="7" t="s">
        <v>4732</v>
      </c>
      <c r="C993" s="7" t="s">
        <v>4733</v>
      </c>
      <c r="D993" s="7" t="s">
        <v>4734</v>
      </c>
      <c r="E993" s="7" t="s">
        <v>33</v>
      </c>
      <c r="F993" s="7" t="s">
        <v>34</v>
      </c>
      <c r="G993" s="7" t="s">
        <v>35</v>
      </c>
      <c r="H993" s="7"/>
      <c r="I993" s="7"/>
      <c r="J993" s="7" t="s">
        <v>36</v>
      </c>
      <c r="K993" s="7" t="s">
        <v>2459</v>
      </c>
      <c r="L993" s="7" t="s">
        <v>365</v>
      </c>
      <c r="M993" s="7" t="s">
        <v>366</v>
      </c>
      <c r="N993" s="7" t="s">
        <v>33</v>
      </c>
      <c r="O993" s="7">
        <v>1</v>
      </c>
      <c r="P993" s="7" t="s">
        <v>40</v>
      </c>
      <c r="Q993" s="7">
        <v>88.99</v>
      </c>
      <c r="R993" s="7"/>
      <c r="S993" s="7"/>
      <c r="T993" s="7"/>
      <c r="U993" s="7"/>
      <c r="V993" s="7"/>
      <c r="W993" s="7"/>
      <c r="X993" s="7"/>
      <c r="Y993" s="7" t="s">
        <v>4735</v>
      </c>
      <c r="Z993" s="7" t="s">
        <v>83</v>
      </c>
      <c r="AA993" s="7" t="s">
        <v>4736</v>
      </c>
      <c r="AB993" s="7" t="s">
        <v>44</v>
      </c>
      <c r="AC993" s="7"/>
      <c r="AD993" s="7"/>
      <c r="AE993" s="7"/>
      <c r="AF993" s="7"/>
      <c r="AG993" s="11">
        <f t="shared" si="15"/>
        <v>43285</v>
      </c>
    </row>
    <row r="994" s="8" customFormat="1" spans="1:33">
      <c r="A994" s="7" t="s">
        <v>4737</v>
      </c>
      <c r="B994" s="7" t="s">
        <v>4737</v>
      </c>
      <c r="C994" s="7" t="s">
        <v>4738</v>
      </c>
      <c r="D994" s="7" t="s">
        <v>4739</v>
      </c>
      <c r="E994" s="7" t="s">
        <v>33</v>
      </c>
      <c r="F994" s="7" t="s">
        <v>34</v>
      </c>
      <c r="G994" s="7" t="s">
        <v>35</v>
      </c>
      <c r="H994" s="7"/>
      <c r="I994" s="7"/>
      <c r="J994" s="7" t="s">
        <v>36</v>
      </c>
      <c r="K994" s="7" t="s">
        <v>48</v>
      </c>
      <c r="L994" s="7" t="s">
        <v>49</v>
      </c>
      <c r="M994" s="7" t="s">
        <v>50</v>
      </c>
      <c r="N994" s="7" t="s">
        <v>33</v>
      </c>
      <c r="O994" s="7">
        <v>1</v>
      </c>
      <c r="P994" s="7" t="s">
        <v>40</v>
      </c>
      <c r="Q994" s="7">
        <v>89.99</v>
      </c>
      <c r="R994" s="7"/>
      <c r="S994" s="7"/>
      <c r="T994" s="7"/>
      <c r="U994" s="7"/>
      <c r="V994" s="7"/>
      <c r="W994" s="7"/>
      <c r="X994" s="7"/>
      <c r="Y994" s="7" t="s">
        <v>4109</v>
      </c>
      <c r="Z994" s="7" t="s">
        <v>440</v>
      </c>
      <c r="AA994" s="7" t="s">
        <v>4740</v>
      </c>
      <c r="AB994" s="7" t="s">
        <v>44</v>
      </c>
      <c r="AC994" s="7"/>
      <c r="AD994" s="7"/>
      <c r="AE994" s="7"/>
      <c r="AF994" s="7"/>
      <c r="AG994" s="11">
        <f t="shared" si="15"/>
        <v>43285</v>
      </c>
    </row>
    <row r="995" s="8" customFormat="1" spans="1:33">
      <c r="A995" s="7" t="s">
        <v>4741</v>
      </c>
      <c r="B995" s="7" t="s">
        <v>4741</v>
      </c>
      <c r="C995" s="7" t="s">
        <v>4742</v>
      </c>
      <c r="D995" s="7" t="s">
        <v>4743</v>
      </c>
      <c r="E995" s="7" t="s">
        <v>33</v>
      </c>
      <c r="F995" s="7" t="s">
        <v>34</v>
      </c>
      <c r="G995" s="7" t="s">
        <v>35</v>
      </c>
      <c r="H995" s="7"/>
      <c r="I995" s="7"/>
      <c r="J995" s="7" t="s">
        <v>36</v>
      </c>
      <c r="K995" s="7" t="s">
        <v>148</v>
      </c>
      <c r="L995" s="7" t="s">
        <v>149</v>
      </c>
      <c r="M995" s="7" t="s">
        <v>150</v>
      </c>
      <c r="N995" s="7" t="s">
        <v>33</v>
      </c>
      <c r="O995" s="7">
        <v>2</v>
      </c>
      <c r="P995" s="7" t="s">
        <v>40</v>
      </c>
      <c r="Q995" s="7">
        <v>197.98</v>
      </c>
      <c r="R995" s="7"/>
      <c r="S995" s="7"/>
      <c r="T995" s="7"/>
      <c r="U995" s="7"/>
      <c r="V995" s="7"/>
      <c r="W995" s="7"/>
      <c r="X995" s="7"/>
      <c r="Y995" s="7" t="s">
        <v>4744</v>
      </c>
      <c r="Z995" s="7" t="s">
        <v>83</v>
      </c>
      <c r="AA995" s="7" t="s">
        <v>4745</v>
      </c>
      <c r="AB995" s="7" t="s">
        <v>44</v>
      </c>
      <c r="AC995" s="7"/>
      <c r="AD995" s="7"/>
      <c r="AE995" s="7"/>
      <c r="AF995" s="7"/>
      <c r="AG995" s="11">
        <f t="shared" si="15"/>
        <v>43285</v>
      </c>
    </row>
    <row r="996" s="8" customFormat="1" spans="1:33">
      <c r="A996" s="7" t="s">
        <v>4746</v>
      </c>
      <c r="B996" s="7" t="s">
        <v>4746</v>
      </c>
      <c r="C996" s="7" t="s">
        <v>4747</v>
      </c>
      <c r="D996" s="7" t="s">
        <v>4748</v>
      </c>
      <c r="E996" s="7" t="s">
        <v>33</v>
      </c>
      <c r="F996" s="7" t="s">
        <v>34</v>
      </c>
      <c r="G996" s="7" t="s">
        <v>35</v>
      </c>
      <c r="H996" s="7"/>
      <c r="I996" s="7"/>
      <c r="J996" s="7" t="s">
        <v>36</v>
      </c>
      <c r="K996" s="7" t="s">
        <v>698</v>
      </c>
      <c r="L996" s="7" t="s">
        <v>699</v>
      </c>
      <c r="M996" s="7" t="s">
        <v>700</v>
      </c>
      <c r="N996" s="7" t="s">
        <v>33</v>
      </c>
      <c r="O996" s="7">
        <v>1</v>
      </c>
      <c r="P996" s="7" t="s">
        <v>40</v>
      </c>
      <c r="Q996" s="7">
        <v>21.99</v>
      </c>
      <c r="R996" s="7"/>
      <c r="S996" s="7"/>
      <c r="T996" s="7"/>
      <c r="U996" s="7"/>
      <c r="V996" s="7"/>
      <c r="W996" s="7"/>
      <c r="X996" s="7"/>
      <c r="Y996" s="7" t="s">
        <v>4749</v>
      </c>
      <c r="Z996" s="7" t="s">
        <v>3587</v>
      </c>
      <c r="AA996" s="7" t="s">
        <v>4750</v>
      </c>
      <c r="AB996" s="7" t="s">
        <v>44</v>
      </c>
      <c r="AC996" s="7"/>
      <c r="AD996" s="7"/>
      <c r="AE996" s="7"/>
      <c r="AF996" s="7"/>
      <c r="AG996" s="11">
        <f t="shared" si="15"/>
        <v>43285</v>
      </c>
    </row>
    <row r="997" s="8" customFormat="1" spans="1:33">
      <c r="A997" s="7" t="s">
        <v>4751</v>
      </c>
      <c r="B997" s="7" t="s">
        <v>4751</v>
      </c>
      <c r="C997" s="7" t="s">
        <v>4752</v>
      </c>
      <c r="D997" s="7" t="s">
        <v>4753</v>
      </c>
      <c r="E997" s="7" t="s">
        <v>33</v>
      </c>
      <c r="F997" s="7" t="s">
        <v>34</v>
      </c>
      <c r="G997" s="7" t="s">
        <v>35</v>
      </c>
      <c r="H997" s="7"/>
      <c r="I997" s="7"/>
      <c r="J997" s="7" t="s">
        <v>36</v>
      </c>
      <c r="K997" s="7" t="s">
        <v>3290</v>
      </c>
      <c r="L997" s="7" t="s">
        <v>4754</v>
      </c>
      <c r="M997" s="7" t="s">
        <v>3292</v>
      </c>
      <c r="N997" s="7" t="s">
        <v>33</v>
      </c>
      <c r="O997" s="7">
        <v>1</v>
      </c>
      <c r="P997" s="7" t="s">
        <v>40</v>
      </c>
      <c r="Q997" s="7">
        <v>99.6</v>
      </c>
      <c r="R997" s="7"/>
      <c r="S997" s="7"/>
      <c r="T997" s="7"/>
      <c r="U997" s="7"/>
      <c r="V997" s="7"/>
      <c r="W997" s="7"/>
      <c r="X997" s="7"/>
      <c r="Y997" s="7" t="s">
        <v>932</v>
      </c>
      <c r="Z997" s="7" t="s">
        <v>64</v>
      </c>
      <c r="AA997" s="7" t="s">
        <v>4755</v>
      </c>
      <c r="AB997" s="7" t="s">
        <v>44</v>
      </c>
      <c r="AC997" s="7"/>
      <c r="AD997" s="7"/>
      <c r="AE997" s="7"/>
      <c r="AF997" s="7"/>
      <c r="AG997" s="11">
        <f t="shared" si="15"/>
        <v>43285</v>
      </c>
    </row>
    <row r="998" s="8" customFormat="1" spans="1:33">
      <c r="A998" s="7" t="s">
        <v>4756</v>
      </c>
      <c r="B998" s="7" t="s">
        <v>4756</v>
      </c>
      <c r="C998" s="7" t="s">
        <v>4757</v>
      </c>
      <c r="D998" s="7" t="s">
        <v>4758</v>
      </c>
      <c r="E998" s="7" t="s">
        <v>33</v>
      </c>
      <c r="F998" s="7" t="s">
        <v>34</v>
      </c>
      <c r="G998" s="7" t="s">
        <v>35</v>
      </c>
      <c r="H998" s="7"/>
      <c r="I998" s="7"/>
      <c r="J998" s="7" t="s">
        <v>36</v>
      </c>
      <c r="K998" s="7" t="s">
        <v>2310</v>
      </c>
      <c r="L998" s="7" t="s">
        <v>2311</v>
      </c>
      <c r="M998" s="7" t="s">
        <v>2312</v>
      </c>
      <c r="N998" s="7" t="s">
        <v>33</v>
      </c>
      <c r="O998" s="7">
        <v>1</v>
      </c>
      <c r="P998" s="7" t="s">
        <v>40</v>
      </c>
      <c r="Q998" s="7">
        <v>89.99</v>
      </c>
      <c r="R998" s="7"/>
      <c r="S998" s="7"/>
      <c r="T998" s="7"/>
      <c r="U998" s="7"/>
      <c r="V998" s="7"/>
      <c r="W998" s="7"/>
      <c r="X998" s="7"/>
      <c r="Y998" s="7" t="s">
        <v>4759</v>
      </c>
      <c r="Z998" s="7" t="s">
        <v>52</v>
      </c>
      <c r="AA998" s="7" t="s">
        <v>4760</v>
      </c>
      <c r="AB998" s="7" t="s">
        <v>44</v>
      </c>
      <c r="AC998" s="7"/>
      <c r="AD998" s="7"/>
      <c r="AE998" s="7"/>
      <c r="AF998" s="7"/>
      <c r="AG998" s="11">
        <f t="shared" si="15"/>
        <v>43285</v>
      </c>
    </row>
    <row r="999" s="8" customFormat="1" spans="1:33">
      <c r="A999" s="7" t="s">
        <v>4761</v>
      </c>
      <c r="B999" s="7" t="s">
        <v>4761</v>
      </c>
      <c r="C999" s="7" t="s">
        <v>4762</v>
      </c>
      <c r="D999" s="7" t="s">
        <v>4763</v>
      </c>
      <c r="E999" s="7" t="s">
        <v>33</v>
      </c>
      <c r="F999" s="7" t="s">
        <v>34</v>
      </c>
      <c r="G999" s="7" t="s">
        <v>35</v>
      </c>
      <c r="H999" s="7"/>
      <c r="I999" s="7"/>
      <c r="J999" s="7" t="s">
        <v>58</v>
      </c>
      <c r="K999" s="7" t="s">
        <v>4764</v>
      </c>
      <c r="L999" s="7" t="s">
        <v>4765</v>
      </c>
      <c r="M999" s="7" t="s">
        <v>4766</v>
      </c>
      <c r="N999" s="7" t="s">
        <v>33</v>
      </c>
      <c r="O999" s="7">
        <v>1</v>
      </c>
      <c r="P999" s="7" t="s">
        <v>40</v>
      </c>
      <c r="Q999" s="7">
        <v>99.99</v>
      </c>
      <c r="R999" s="7">
        <v>6</v>
      </c>
      <c r="S999" s="7">
        <v>6.99</v>
      </c>
      <c r="T999" s="7">
        <v>0.42</v>
      </c>
      <c r="U999" s="7"/>
      <c r="V999" s="7"/>
      <c r="W999" s="7"/>
      <c r="X999" s="7"/>
      <c r="Y999" s="7" t="s">
        <v>4767</v>
      </c>
      <c r="Z999" s="7" t="s">
        <v>880</v>
      </c>
      <c r="AA999" s="7" t="s">
        <v>4768</v>
      </c>
      <c r="AB999" s="7" t="s">
        <v>44</v>
      </c>
      <c r="AC999" s="7"/>
      <c r="AD999" s="7"/>
      <c r="AE999" s="7"/>
      <c r="AF999" s="7"/>
      <c r="AG999" s="11">
        <f t="shared" si="15"/>
        <v>43285</v>
      </c>
    </row>
    <row r="1000" s="8" customFormat="1" spans="1:33">
      <c r="A1000" s="7" t="s">
        <v>4769</v>
      </c>
      <c r="B1000" s="7" t="s">
        <v>4769</v>
      </c>
      <c r="C1000" s="7" t="s">
        <v>4770</v>
      </c>
      <c r="D1000" s="7" t="s">
        <v>4771</v>
      </c>
      <c r="E1000" s="7" t="s">
        <v>33</v>
      </c>
      <c r="F1000" s="7" t="s">
        <v>34</v>
      </c>
      <c r="G1000" s="7" t="s">
        <v>35</v>
      </c>
      <c r="H1000" s="7"/>
      <c r="I1000" s="7"/>
      <c r="J1000" s="7" t="s">
        <v>36</v>
      </c>
      <c r="K1000" s="7" t="s">
        <v>79</v>
      </c>
      <c r="L1000" s="7" t="s">
        <v>80</v>
      </c>
      <c r="M1000" s="7" t="s">
        <v>81</v>
      </c>
      <c r="N1000" s="7" t="s">
        <v>33</v>
      </c>
      <c r="O1000" s="7">
        <v>1</v>
      </c>
      <c r="P1000" s="7" t="s">
        <v>40</v>
      </c>
      <c r="Q1000" s="7">
        <v>91.99</v>
      </c>
      <c r="R1000" s="7"/>
      <c r="S1000" s="7"/>
      <c r="T1000" s="7"/>
      <c r="U1000" s="7"/>
      <c r="V1000" s="7"/>
      <c r="W1000" s="7"/>
      <c r="X1000" s="7"/>
      <c r="Y1000" s="7" t="s">
        <v>4772</v>
      </c>
      <c r="Z1000" s="7" t="s">
        <v>52</v>
      </c>
      <c r="AA1000" s="7">
        <v>11693</v>
      </c>
      <c r="AB1000" s="7" t="s">
        <v>44</v>
      </c>
      <c r="AC1000" s="7"/>
      <c r="AD1000" s="7"/>
      <c r="AE1000" s="7"/>
      <c r="AF1000" s="7"/>
      <c r="AG1000" s="11">
        <f t="shared" si="15"/>
        <v>43285</v>
      </c>
    </row>
    <row r="1001" s="8" customFormat="1" spans="1:33">
      <c r="A1001" s="7" t="s">
        <v>4773</v>
      </c>
      <c r="B1001" s="7" t="s">
        <v>4773</v>
      </c>
      <c r="C1001" s="7" t="s">
        <v>4774</v>
      </c>
      <c r="D1001" s="7" t="s">
        <v>4775</v>
      </c>
      <c r="E1001" s="7" t="s">
        <v>33</v>
      </c>
      <c r="F1001" s="7" t="s">
        <v>34</v>
      </c>
      <c r="G1001" s="7" t="s">
        <v>35</v>
      </c>
      <c r="H1001" s="7"/>
      <c r="I1001" s="7"/>
      <c r="J1001" s="7" t="s">
        <v>36</v>
      </c>
      <c r="K1001" s="7" t="s">
        <v>1772</v>
      </c>
      <c r="L1001" s="7" t="s">
        <v>1773</v>
      </c>
      <c r="M1001" s="7" t="s">
        <v>1774</v>
      </c>
      <c r="N1001" s="7" t="s">
        <v>33</v>
      </c>
      <c r="O1001" s="7">
        <v>1</v>
      </c>
      <c r="P1001" s="7" t="s">
        <v>40</v>
      </c>
      <c r="Q1001" s="7">
        <v>89.99</v>
      </c>
      <c r="R1001" s="7"/>
      <c r="S1001" s="7"/>
      <c r="T1001" s="7"/>
      <c r="U1001" s="7"/>
      <c r="V1001" s="7"/>
      <c r="W1001" s="7"/>
      <c r="X1001" s="7"/>
      <c r="Y1001" s="7" t="s">
        <v>4776</v>
      </c>
      <c r="Z1001" s="7" t="s">
        <v>293</v>
      </c>
      <c r="AA1001" s="7" t="s">
        <v>4777</v>
      </c>
      <c r="AB1001" s="7" t="s">
        <v>44</v>
      </c>
      <c r="AC1001" s="7"/>
      <c r="AD1001" s="7"/>
      <c r="AE1001" s="7"/>
      <c r="AF1001" s="7"/>
      <c r="AG1001" s="11">
        <f t="shared" si="15"/>
        <v>43285</v>
      </c>
    </row>
    <row r="1002" s="8" customFormat="1" spans="1:33">
      <c r="A1002" s="7" t="s">
        <v>4778</v>
      </c>
      <c r="B1002" s="7" t="s">
        <v>4778</v>
      </c>
      <c r="C1002" s="7" t="s">
        <v>4779</v>
      </c>
      <c r="D1002" s="7" t="s">
        <v>4780</v>
      </c>
      <c r="E1002" s="7" t="s">
        <v>33</v>
      </c>
      <c r="F1002" s="7" t="s">
        <v>34</v>
      </c>
      <c r="G1002" s="7" t="s">
        <v>35</v>
      </c>
      <c r="H1002" s="7"/>
      <c r="I1002" s="7"/>
      <c r="J1002" s="7" t="s">
        <v>36</v>
      </c>
      <c r="K1002" s="7" t="s">
        <v>48</v>
      </c>
      <c r="L1002" s="7" t="s">
        <v>49</v>
      </c>
      <c r="M1002" s="7" t="s">
        <v>50</v>
      </c>
      <c r="N1002" s="7" t="s">
        <v>33</v>
      </c>
      <c r="O1002" s="7">
        <v>1</v>
      </c>
      <c r="P1002" s="7" t="s">
        <v>40</v>
      </c>
      <c r="Q1002" s="7">
        <v>89.99</v>
      </c>
      <c r="R1002" s="7"/>
      <c r="S1002" s="7"/>
      <c r="T1002" s="7"/>
      <c r="U1002" s="7"/>
      <c r="V1002" s="7"/>
      <c r="W1002" s="7"/>
      <c r="X1002" s="7"/>
      <c r="Y1002" s="7" t="s">
        <v>4781</v>
      </c>
      <c r="Z1002" s="7" t="s">
        <v>92</v>
      </c>
      <c r="AA1002" s="7" t="s">
        <v>4782</v>
      </c>
      <c r="AB1002" s="7" t="s">
        <v>44</v>
      </c>
      <c r="AC1002" s="7"/>
      <c r="AD1002" s="7"/>
      <c r="AE1002" s="7"/>
      <c r="AF1002" s="7"/>
      <c r="AG1002" s="11">
        <f t="shared" si="15"/>
        <v>43285</v>
      </c>
    </row>
    <row r="1003" s="8" customFormat="1" spans="1:33">
      <c r="A1003" s="7" t="s">
        <v>4783</v>
      </c>
      <c r="B1003" s="7" t="s">
        <v>4783</v>
      </c>
      <c r="C1003" s="7" t="s">
        <v>4784</v>
      </c>
      <c r="D1003" s="7" t="s">
        <v>4785</v>
      </c>
      <c r="E1003" s="7" t="s">
        <v>33</v>
      </c>
      <c r="F1003" s="7" t="s">
        <v>34</v>
      </c>
      <c r="G1003" s="7" t="s">
        <v>35</v>
      </c>
      <c r="H1003" s="7"/>
      <c r="I1003" s="7"/>
      <c r="J1003" s="7" t="s">
        <v>36</v>
      </c>
      <c r="K1003" s="7" t="s">
        <v>1807</v>
      </c>
      <c r="L1003" s="7" t="s">
        <v>1808</v>
      </c>
      <c r="M1003" s="7" t="s">
        <v>1809</v>
      </c>
      <c r="N1003" s="7" t="s">
        <v>33</v>
      </c>
      <c r="O1003" s="7">
        <v>1</v>
      </c>
      <c r="P1003" s="7" t="s">
        <v>40</v>
      </c>
      <c r="Q1003" s="7">
        <v>85.99</v>
      </c>
      <c r="R1003" s="7"/>
      <c r="S1003" s="7">
        <v>4.89</v>
      </c>
      <c r="T1003" s="7"/>
      <c r="U1003" s="7"/>
      <c r="V1003" s="7"/>
      <c r="W1003" s="7"/>
      <c r="X1003" s="7"/>
      <c r="Y1003" s="7" t="s">
        <v>4786</v>
      </c>
      <c r="Z1003" s="7" t="s">
        <v>64</v>
      </c>
      <c r="AA1003" s="7" t="s">
        <v>4787</v>
      </c>
      <c r="AB1003" s="7" t="s">
        <v>44</v>
      </c>
      <c r="AC1003" s="7"/>
      <c r="AD1003" s="7"/>
      <c r="AE1003" s="7"/>
      <c r="AF1003" s="7"/>
      <c r="AG1003" s="11">
        <f t="shared" si="15"/>
        <v>43285</v>
      </c>
    </row>
    <row r="1004" s="8" customFormat="1" spans="1:33">
      <c r="A1004" s="7" t="s">
        <v>4788</v>
      </c>
      <c r="B1004" s="7" t="s">
        <v>4788</v>
      </c>
      <c r="C1004" s="7" t="s">
        <v>4789</v>
      </c>
      <c r="D1004" s="7" t="s">
        <v>4790</v>
      </c>
      <c r="E1004" s="7" t="s">
        <v>33</v>
      </c>
      <c r="F1004" s="7" t="s">
        <v>34</v>
      </c>
      <c r="G1004" s="7" t="s">
        <v>35</v>
      </c>
      <c r="H1004" s="7"/>
      <c r="I1004" s="7"/>
      <c r="J1004" s="7" t="s">
        <v>36</v>
      </c>
      <c r="K1004" s="7" t="s">
        <v>235</v>
      </c>
      <c r="L1004" s="7" t="s">
        <v>236</v>
      </c>
      <c r="M1004" s="7" t="s">
        <v>237</v>
      </c>
      <c r="N1004" s="7" t="s">
        <v>33</v>
      </c>
      <c r="O1004" s="7">
        <v>1</v>
      </c>
      <c r="P1004" s="7" t="s">
        <v>40</v>
      </c>
      <c r="Q1004" s="7">
        <v>85.99</v>
      </c>
      <c r="R1004" s="7"/>
      <c r="S1004" s="7"/>
      <c r="T1004" s="7"/>
      <c r="U1004" s="7"/>
      <c r="V1004" s="7"/>
      <c r="W1004" s="7"/>
      <c r="X1004" s="7"/>
      <c r="Y1004" s="7" t="s">
        <v>1897</v>
      </c>
      <c r="Z1004" s="7" t="s">
        <v>837</v>
      </c>
      <c r="AA1004" s="7" t="s">
        <v>4791</v>
      </c>
      <c r="AB1004" s="7" t="s">
        <v>44</v>
      </c>
      <c r="AC1004" s="7"/>
      <c r="AD1004" s="7"/>
      <c r="AE1004" s="7"/>
      <c r="AF1004" s="7"/>
      <c r="AG1004" s="11">
        <f t="shared" si="15"/>
        <v>43285</v>
      </c>
    </row>
    <row r="1005" s="8" customFormat="1" spans="1:33">
      <c r="A1005" s="7" t="s">
        <v>4792</v>
      </c>
      <c r="B1005" s="7" t="s">
        <v>4792</v>
      </c>
      <c r="C1005" s="7" t="s">
        <v>4793</v>
      </c>
      <c r="D1005" s="7" t="s">
        <v>4794</v>
      </c>
      <c r="E1005" s="7" t="s">
        <v>33</v>
      </c>
      <c r="F1005" s="7" t="s">
        <v>34</v>
      </c>
      <c r="G1005" s="7" t="s">
        <v>35</v>
      </c>
      <c r="H1005" s="7"/>
      <c r="I1005" s="7"/>
      <c r="J1005" s="7" t="s">
        <v>36</v>
      </c>
      <c r="K1005" s="7" t="s">
        <v>1975</v>
      </c>
      <c r="L1005" s="7" t="s">
        <v>1976</v>
      </c>
      <c r="M1005" s="7" t="s">
        <v>1977</v>
      </c>
      <c r="N1005" s="7" t="s">
        <v>33</v>
      </c>
      <c r="O1005" s="7">
        <v>1</v>
      </c>
      <c r="P1005" s="7" t="s">
        <v>40</v>
      </c>
      <c r="Q1005" s="7">
        <v>92.99</v>
      </c>
      <c r="R1005" s="7"/>
      <c r="S1005" s="7">
        <v>14.44</v>
      </c>
      <c r="T1005" s="7"/>
      <c r="U1005" s="7"/>
      <c r="V1005" s="7"/>
      <c r="W1005" s="7"/>
      <c r="X1005" s="7"/>
      <c r="Y1005" s="7" t="s">
        <v>4795</v>
      </c>
      <c r="Z1005" s="7" t="s">
        <v>83</v>
      </c>
      <c r="AA1005" s="7" t="s">
        <v>4796</v>
      </c>
      <c r="AB1005" s="7" t="s">
        <v>44</v>
      </c>
      <c r="AC1005" s="7"/>
      <c r="AD1005" s="7"/>
      <c r="AE1005" s="7"/>
      <c r="AF1005" s="7"/>
      <c r="AG1005" s="11">
        <f t="shared" si="15"/>
        <v>43285</v>
      </c>
    </row>
    <row r="1006" s="8" customFormat="1" spans="1:33">
      <c r="A1006" s="7" t="s">
        <v>4797</v>
      </c>
      <c r="B1006" s="7" t="s">
        <v>4797</v>
      </c>
      <c r="C1006" s="7" t="s">
        <v>4798</v>
      </c>
      <c r="D1006" s="7" t="s">
        <v>4799</v>
      </c>
      <c r="E1006" s="7" t="s">
        <v>33</v>
      </c>
      <c r="F1006" s="7" t="s">
        <v>34</v>
      </c>
      <c r="G1006" s="7" t="s">
        <v>35</v>
      </c>
      <c r="H1006" s="7"/>
      <c r="I1006" s="7"/>
      <c r="J1006" s="7" t="s">
        <v>36</v>
      </c>
      <c r="K1006" s="7" t="s">
        <v>275</v>
      </c>
      <c r="L1006" s="7" t="s">
        <v>276</v>
      </c>
      <c r="M1006" s="7" t="s">
        <v>277</v>
      </c>
      <c r="N1006" s="7" t="s">
        <v>33</v>
      </c>
      <c r="O1006" s="7">
        <v>1</v>
      </c>
      <c r="P1006" s="7" t="s">
        <v>40</v>
      </c>
      <c r="Q1006" s="7">
        <v>89.99</v>
      </c>
      <c r="R1006" s="7">
        <v>9</v>
      </c>
      <c r="S1006" s="7"/>
      <c r="T1006" s="7"/>
      <c r="U1006" s="7"/>
      <c r="V1006" s="7"/>
      <c r="W1006" s="7"/>
      <c r="X1006" s="7"/>
      <c r="Y1006" s="7" t="s">
        <v>4660</v>
      </c>
      <c r="Z1006" s="7" t="s">
        <v>97</v>
      </c>
      <c r="AA1006" s="7" t="s">
        <v>4800</v>
      </c>
      <c r="AB1006" s="7" t="s">
        <v>44</v>
      </c>
      <c r="AC1006" s="7"/>
      <c r="AD1006" s="7"/>
      <c r="AE1006" s="7"/>
      <c r="AF1006" s="7"/>
      <c r="AG1006" s="11">
        <f t="shared" si="15"/>
        <v>43285</v>
      </c>
    </row>
    <row r="1007" s="8" customFormat="1" spans="1:33">
      <c r="A1007" s="7" t="s">
        <v>4801</v>
      </c>
      <c r="B1007" s="7" t="s">
        <v>4801</v>
      </c>
      <c r="C1007" s="7" t="s">
        <v>4802</v>
      </c>
      <c r="D1007" s="7" t="s">
        <v>4803</v>
      </c>
      <c r="E1007" s="7" t="s">
        <v>33</v>
      </c>
      <c r="F1007" s="7" t="s">
        <v>34</v>
      </c>
      <c r="G1007" s="7" t="s">
        <v>35</v>
      </c>
      <c r="H1007" s="7"/>
      <c r="I1007" s="7"/>
      <c r="J1007" s="7" t="s">
        <v>36</v>
      </c>
      <c r="K1007" s="7" t="s">
        <v>70</v>
      </c>
      <c r="L1007" s="7" t="s">
        <v>71</v>
      </c>
      <c r="M1007" s="7" t="s">
        <v>72</v>
      </c>
      <c r="N1007" s="7" t="s">
        <v>33</v>
      </c>
      <c r="O1007" s="7">
        <v>1</v>
      </c>
      <c r="P1007" s="7" t="s">
        <v>40</v>
      </c>
      <c r="Q1007" s="7">
        <v>79.99</v>
      </c>
      <c r="R1007" s="7"/>
      <c r="S1007" s="7"/>
      <c r="T1007" s="7"/>
      <c r="U1007" s="7"/>
      <c r="V1007" s="7"/>
      <c r="W1007" s="7"/>
      <c r="X1007" s="7"/>
      <c r="Y1007" s="7" t="s">
        <v>4804</v>
      </c>
      <c r="Z1007" s="7" t="s">
        <v>541</v>
      </c>
      <c r="AA1007" s="7">
        <v>68047</v>
      </c>
      <c r="AB1007" s="7" t="s">
        <v>44</v>
      </c>
      <c r="AC1007" s="7"/>
      <c r="AD1007" s="7"/>
      <c r="AE1007" s="7"/>
      <c r="AF1007" s="7"/>
      <c r="AG1007" s="11">
        <f t="shared" si="15"/>
        <v>43285</v>
      </c>
    </row>
    <row r="1008" s="8" customFormat="1" spans="1:33">
      <c r="A1008" s="7" t="s">
        <v>4805</v>
      </c>
      <c r="B1008" s="7" t="s">
        <v>4805</v>
      </c>
      <c r="C1008" s="7" t="s">
        <v>4806</v>
      </c>
      <c r="D1008" s="7" t="s">
        <v>4807</v>
      </c>
      <c r="E1008" s="7" t="s">
        <v>33</v>
      </c>
      <c r="F1008" s="7" t="s">
        <v>34</v>
      </c>
      <c r="G1008" s="7" t="s">
        <v>35</v>
      </c>
      <c r="H1008" s="7"/>
      <c r="I1008" s="7"/>
      <c r="J1008" s="7" t="s">
        <v>36</v>
      </c>
      <c r="K1008" s="7" t="s">
        <v>59</v>
      </c>
      <c r="L1008" s="7" t="s">
        <v>60</v>
      </c>
      <c r="M1008" s="7" t="s">
        <v>61</v>
      </c>
      <c r="N1008" s="7" t="s">
        <v>33</v>
      </c>
      <c r="O1008" s="7">
        <v>1</v>
      </c>
      <c r="P1008" s="7" t="s">
        <v>40</v>
      </c>
      <c r="Q1008" s="7">
        <v>89.99</v>
      </c>
      <c r="R1008" s="7"/>
      <c r="S1008" s="7"/>
      <c r="T1008" s="7"/>
      <c r="U1008" s="7"/>
      <c r="V1008" s="7"/>
      <c r="W1008" s="7"/>
      <c r="X1008" s="7"/>
      <c r="Y1008" s="7" t="s">
        <v>4808</v>
      </c>
      <c r="Z1008" s="7" t="s">
        <v>83</v>
      </c>
      <c r="AA1008" s="7" t="s">
        <v>4809</v>
      </c>
      <c r="AB1008" s="7" t="s">
        <v>44</v>
      </c>
      <c r="AC1008" s="7"/>
      <c r="AD1008" s="7"/>
      <c r="AE1008" s="7"/>
      <c r="AF1008" s="7"/>
      <c r="AG1008" s="11">
        <f t="shared" si="15"/>
        <v>43285</v>
      </c>
    </row>
    <row r="1009" s="8" customFormat="1" spans="1:33">
      <c r="A1009" s="7" t="s">
        <v>4810</v>
      </c>
      <c r="B1009" s="7" t="s">
        <v>4810</v>
      </c>
      <c r="C1009" s="7" t="s">
        <v>4811</v>
      </c>
      <c r="D1009" s="7" t="s">
        <v>4812</v>
      </c>
      <c r="E1009" s="7" t="s">
        <v>33</v>
      </c>
      <c r="F1009" s="7" t="s">
        <v>34</v>
      </c>
      <c r="G1009" s="7" t="s">
        <v>35</v>
      </c>
      <c r="H1009" s="7"/>
      <c r="I1009" s="7"/>
      <c r="J1009" s="7" t="s">
        <v>36</v>
      </c>
      <c r="K1009" s="7" t="s">
        <v>698</v>
      </c>
      <c r="L1009" s="7" t="s">
        <v>699</v>
      </c>
      <c r="M1009" s="7" t="s">
        <v>700</v>
      </c>
      <c r="N1009" s="7" t="s">
        <v>33</v>
      </c>
      <c r="O1009" s="7">
        <v>1</v>
      </c>
      <c r="P1009" s="7" t="s">
        <v>40</v>
      </c>
      <c r="Q1009" s="7">
        <v>21.99</v>
      </c>
      <c r="R1009" s="7"/>
      <c r="S1009" s="7"/>
      <c r="T1009" s="7"/>
      <c r="U1009" s="7">
        <v>3.99</v>
      </c>
      <c r="V1009" s="7"/>
      <c r="W1009" s="7"/>
      <c r="X1009" s="7"/>
      <c r="Y1009" s="7" t="s">
        <v>1659</v>
      </c>
      <c r="Z1009" s="7" t="s">
        <v>1342</v>
      </c>
      <c r="AA1009" s="7">
        <v>70117</v>
      </c>
      <c r="AB1009" s="7" t="s">
        <v>44</v>
      </c>
      <c r="AC1009" s="7"/>
      <c r="AD1009" s="7"/>
      <c r="AE1009" s="7"/>
      <c r="AF1009" s="7"/>
      <c r="AG1009" s="11">
        <f t="shared" si="15"/>
        <v>43285</v>
      </c>
    </row>
    <row r="1010" s="8" customFormat="1" spans="1:33">
      <c r="A1010" s="7" t="s">
        <v>4813</v>
      </c>
      <c r="B1010" s="7" t="s">
        <v>4813</v>
      </c>
      <c r="C1010" s="7" t="s">
        <v>4814</v>
      </c>
      <c r="D1010" s="7" t="s">
        <v>4815</v>
      </c>
      <c r="E1010" s="7" t="s">
        <v>33</v>
      </c>
      <c r="F1010" s="7" t="s">
        <v>34</v>
      </c>
      <c r="G1010" s="7" t="s">
        <v>35</v>
      </c>
      <c r="H1010" s="7"/>
      <c r="I1010" s="7"/>
      <c r="J1010" s="7" t="s">
        <v>36</v>
      </c>
      <c r="K1010" s="7" t="s">
        <v>59</v>
      </c>
      <c r="L1010" s="7" t="s">
        <v>60</v>
      </c>
      <c r="M1010" s="7" t="s">
        <v>61</v>
      </c>
      <c r="N1010" s="7" t="s">
        <v>33</v>
      </c>
      <c r="O1010" s="7">
        <v>1</v>
      </c>
      <c r="P1010" s="7" t="s">
        <v>40</v>
      </c>
      <c r="Q1010" s="7">
        <v>89.99</v>
      </c>
      <c r="R1010" s="7"/>
      <c r="S1010" s="7"/>
      <c r="T1010" s="7"/>
      <c r="U1010" s="7"/>
      <c r="V1010" s="7"/>
      <c r="W1010" s="7"/>
      <c r="X1010" s="7"/>
      <c r="Y1010" s="7" t="s">
        <v>4816</v>
      </c>
      <c r="Z1010" s="7" t="s">
        <v>996</v>
      </c>
      <c r="AA1010" s="7">
        <v>67037</v>
      </c>
      <c r="AB1010" s="7" t="s">
        <v>44</v>
      </c>
      <c r="AC1010" s="7"/>
      <c r="AD1010" s="7"/>
      <c r="AE1010" s="7"/>
      <c r="AF1010" s="7"/>
      <c r="AG1010" s="11">
        <f t="shared" si="15"/>
        <v>43285</v>
      </c>
    </row>
    <row r="1011" s="8" customFormat="1" spans="1:33">
      <c r="A1011" s="7" t="s">
        <v>4817</v>
      </c>
      <c r="B1011" s="7" t="s">
        <v>4817</v>
      </c>
      <c r="C1011" s="7" t="s">
        <v>4818</v>
      </c>
      <c r="D1011" s="7" t="s">
        <v>4819</v>
      </c>
      <c r="E1011" s="7" t="s">
        <v>33</v>
      </c>
      <c r="F1011" s="7" t="s">
        <v>34</v>
      </c>
      <c r="G1011" s="7" t="s">
        <v>35</v>
      </c>
      <c r="H1011" s="7"/>
      <c r="I1011" s="7"/>
      <c r="J1011" s="7" t="s">
        <v>36</v>
      </c>
      <c r="K1011" s="7" t="s">
        <v>2035</v>
      </c>
      <c r="L1011" s="7" t="s">
        <v>89</v>
      </c>
      <c r="M1011" s="7" t="s">
        <v>90</v>
      </c>
      <c r="N1011" s="7" t="s">
        <v>33</v>
      </c>
      <c r="O1011" s="7">
        <v>1</v>
      </c>
      <c r="P1011" s="7" t="s">
        <v>40</v>
      </c>
      <c r="Q1011" s="7">
        <v>89.99</v>
      </c>
      <c r="R1011" s="7"/>
      <c r="S1011" s="7"/>
      <c r="T1011" s="7"/>
      <c r="U1011" s="7"/>
      <c r="V1011" s="7"/>
      <c r="W1011" s="7"/>
      <c r="X1011" s="7"/>
      <c r="Y1011" s="7" t="s">
        <v>672</v>
      </c>
      <c r="Z1011" s="7" t="s">
        <v>135</v>
      </c>
      <c r="AA1011" s="7" t="s">
        <v>4820</v>
      </c>
      <c r="AB1011" s="7" t="s">
        <v>44</v>
      </c>
      <c r="AC1011" s="7"/>
      <c r="AD1011" s="7"/>
      <c r="AE1011" s="7"/>
      <c r="AF1011" s="7"/>
      <c r="AG1011" s="11">
        <f t="shared" si="15"/>
        <v>43285</v>
      </c>
    </row>
    <row r="1012" s="8" customFormat="1" spans="1:33">
      <c r="A1012" s="7" t="s">
        <v>4821</v>
      </c>
      <c r="B1012" s="7" t="s">
        <v>4821</v>
      </c>
      <c r="C1012" s="7" t="s">
        <v>4822</v>
      </c>
      <c r="D1012" s="7" t="s">
        <v>4823</v>
      </c>
      <c r="E1012" s="7" t="s">
        <v>33</v>
      </c>
      <c r="F1012" s="7" t="s">
        <v>34</v>
      </c>
      <c r="G1012" s="7" t="s">
        <v>35</v>
      </c>
      <c r="H1012" s="7"/>
      <c r="I1012" s="7"/>
      <c r="J1012" s="7" t="s">
        <v>36</v>
      </c>
      <c r="K1012" s="7" t="s">
        <v>431</v>
      </c>
      <c r="L1012" s="7" t="s">
        <v>432</v>
      </c>
      <c r="M1012" s="7" t="s">
        <v>433</v>
      </c>
      <c r="N1012" s="7" t="s">
        <v>33</v>
      </c>
      <c r="O1012" s="7">
        <v>1</v>
      </c>
      <c r="P1012" s="7" t="s">
        <v>40</v>
      </c>
      <c r="Q1012" s="7">
        <v>89.99</v>
      </c>
      <c r="R1012" s="7"/>
      <c r="S1012" s="7"/>
      <c r="T1012" s="7"/>
      <c r="U1012" s="7"/>
      <c r="V1012" s="7"/>
      <c r="W1012" s="7"/>
      <c r="X1012" s="7"/>
      <c r="Y1012" s="7" t="s">
        <v>4824</v>
      </c>
      <c r="Z1012" s="7" t="s">
        <v>816</v>
      </c>
      <c r="AA1012" s="7">
        <v>43123</v>
      </c>
      <c r="AB1012" s="7" t="s">
        <v>44</v>
      </c>
      <c r="AC1012" s="7"/>
      <c r="AD1012" s="7"/>
      <c r="AE1012" s="7"/>
      <c r="AF1012" s="7"/>
      <c r="AG1012" s="11">
        <f t="shared" si="15"/>
        <v>43285</v>
      </c>
    </row>
    <row r="1013" s="8" customFormat="1" spans="1:33">
      <c r="A1013" s="7" t="s">
        <v>4825</v>
      </c>
      <c r="B1013" s="7" t="s">
        <v>4825</v>
      </c>
      <c r="C1013" s="7" t="s">
        <v>4826</v>
      </c>
      <c r="D1013" s="7" t="s">
        <v>4827</v>
      </c>
      <c r="E1013" s="7" t="s">
        <v>54</v>
      </c>
      <c r="F1013" s="7" t="s">
        <v>34</v>
      </c>
      <c r="G1013" s="7" t="s">
        <v>35</v>
      </c>
      <c r="H1013" s="7"/>
      <c r="I1013" s="7"/>
      <c r="J1013" s="7" t="s">
        <v>36</v>
      </c>
      <c r="K1013" s="7" t="s">
        <v>1807</v>
      </c>
      <c r="L1013" s="7" t="s">
        <v>1808</v>
      </c>
      <c r="M1013" s="7" t="s">
        <v>1809</v>
      </c>
      <c r="N1013" s="7" t="s">
        <v>54</v>
      </c>
      <c r="O1013" s="7">
        <v>0</v>
      </c>
      <c r="P1013" s="7"/>
      <c r="Q1013" s="7"/>
      <c r="R1013" s="7"/>
      <c r="S1013" s="7"/>
      <c r="T1013" s="7"/>
      <c r="U1013" s="7"/>
      <c r="V1013" s="7"/>
      <c r="W1013" s="7"/>
      <c r="X1013" s="7"/>
      <c r="Y1013" s="7" t="s">
        <v>4828</v>
      </c>
      <c r="Z1013" s="7" t="s">
        <v>135</v>
      </c>
      <c r="AA1013" s="7">
        <v>60185</v>
      </c>
      <c r="AB1013" s="7" t="s">
        <v>44</v>
      </c>
      <c r="AC1013" s="7"/>
      <c r="AD1013" s="7"/>
      <c r="AE1013" s="7"/>
      <c r="AF1013" s="7"/>
      <c r="AG1013" s="11">
        <f t="shared" si="15"/>
        <v>43285</v>
      </c>
    </row>
    <row r="1014" s="8" customFormat="1" spans="1:33">
      <c r="A1014" s="7" t="s">
        <v>4829</v>
      </c>
      <c r="B1014" s="7" t="s">
        <v>4829</v>
      </c>
      <c r="C1014" s="7" t="s">
        <v>4830</v>
      </c>
      <c r="D1014" s="7" t="s">
        <v>4831</v>
      </c>
      <c r="E1014" s="7" t="s">
        <v>33</v>
      </c>
      <c r="F1014" s="7" t="s">
        <v>34</v>
      </c>
      <c r="G1014" s="7" t="s">
        <v>35</v>
      </c>
      <c r="H1014" s="7"/>
      <c r="I1014" s="7"/>
      <c r="J1014" s="7" t="s">
        <v>69</v>
      </c>
      <c r="K1014" s="7" t="s">
        <v>59</v>
      </c>
      <c r="L1014" s="7" t="s">
        <v>60</v>
      </c>
      <c r="M1014" s="7" t="s">
        <v>61</v>
      </c>
      <c r="N1014" s="7" t="s">
        <v>33</v>
      </c>
      <c r="O1014" s="7">
        <v>1</v>
      </c>
      <c r="P1014" s="7" t="s">
        <v>40</v>
      </c>
      <c r="Q1014" s="7">
        <v>89.99</v>
      </c>
      <c r="R1014" s="7">
        <v>5.4</v>
      </c>
      <c r="S1014" s="7">
        <v>8.37</v>
      </c>
      <c r="T1014" s="7">
        <v>0.5</v>
      </c>
      <c r="U1014" s="7"/>
      <c r="V1014" s="7"/>
      <c r="W1014" s="7"/>
      <c r="X1014" s="7"/>
      <c r="Y1014" s="7" t="s">
        <v>4832</v>
      </c>
      <c r="Z1014" s="7" t="s">
        <v>880</v>
      </c>
      <c r="AA1014" s="7" t="s">
        <v>4833</v>
      </c>
      <c r="AB1014" s="7" t="s">
        <v>44</v>
      </c>
      <c r="AC1014" s="7"/>
      <c r="AD1014" s="7"/>
      <c r="AE1014" s="7"/>
      <c r="AF1014" s="7"/>
      <c r="AG1014" s="11">
        <f t="shared" si="15"/>
        <v>43285</v>
      </c>
    </row>
    <row r="1015" s="8" customFormat="1" spans="1:33">
      <c r="A1015" s="7" t="s">
        <v>4834</v>
      </c>
      <c r="B1015" s="7" t="s">
        <v>4834</v>
      </c>
      <c r="C1015" s="7" t="s">
        <v>4835</v>
      </c>
      <c r="D1015" s="7" t="s">
        <v>4836</v>
      </c>
      <c r="E1015" s="7" t="s">
        <v>33</v>
      </c>
      <c r="F1015" s="7" t="s">
        <v>34</v>
      </c>
      <c r="G1015" s="7" t="s">
        <v>35</v>
      </c>
      <c r="H1015" s="7"/>
      <c r="I1015" s="7"/>
      <c r="J1015" s="7" t="s">
        <v>36</v>
      </c>
      <c r="K1015" s="7" t="s">
        <v>2035</v>
      </c>
      <c r="L1015" s="7" t="s">
        <v>89</v>
      </c>
      <c r="M1015" s="7" t="s">
        <v>90</v>
      </c>
      <c r="N1015" s="7" t="s">
        <v>33</v>
      </c>
      <c r="O1015" s="7">
        <v>1</v>
      </c>
      <c r="P1015" s="7" t="s">
        <v>40</v>
      </c>
      <c r="Q1015" s="7">
        <v>89.99</v>
      </c>
      <c r="R1015" s="7"/>
      <c r="S1015" s="7"/>
      <c r="T1015" s="7"/>
      <c r="U1015" s="7"/>
      <c r="V1015" s="7"/>
      <c r="W1015" s="7"/>
      <c r="X1015" s="7"/>
      <c r="Y1015" s="7" t="s">
        <v>4837</v>
      </c>
      <c r="Z1015" s="7" t="s">
        <v>3626</v>
      </c>
      <c r="AA1015" s="7" t="s">
        <v>4838</v>
      </c>
      <c r="AB1015" s="7" t="s">
        <v>44</v>
      </c>
      <c r="AC1015" s="7"/>
      <c r="AD1015" s="7"/>
      <c r="AE1015" s="7"/>
      <c r="AF1015" s="7"/>
      <c r="AG1015" s="11">
        <f t="shared" si="15"/>
        <v>43286</v>
      </c>
    </row>
    <row r="1016" s="8" customFormat="1" spans="1:33">
      <c r="A1016" s="7" t="s">
        <v>4839</v>
      </c>
      <c r="B1016" s="7" t="s">
        <v>4839</v>
      </c>
      <c r="C1016" s="7" t="s">
        <v>4840</v>
      </c>
      <c r="D1016" s="7" t="s">
        <v>4841</v>
      </c>
      <c r="E1016" s="7" t="s">
        <v>33</v>
      </c>
      <c r="F1016" s="7" t="s">
        <v>34</v>
      </c>
      <c r="G1016" s="7" t="s">
        <v>35</v>
      </c>
      <c r="H1016" s="7"/>
      <c r="I1016" s="7"/>
      <c r="J1016" s="7" t="s">
        <v>36</v>
      </c>
      <c r="K1016" s="7" t="s">
        <v>618</v>
      </c>
      <c r="L1016" s="7" t="s">
        <v>619</v>
      </c>
      <c r="M1016" s="7" t="s">
        <v>620</v>
      </c>
      <c r="N1016" s="7" t="s">
        <v>33</v>
      </c>
      <c r="O1016" s="7">
        <v>1</v>
      </c>
      <c r="P1016" s="7" t="s">
        <v>40</v>
      </c>
      <c r="Q1016" s="7">
        <v>99.99</v>
      </c>
      <c r="R1016" s="7"/>
      <c r="S1016" s="7"/>
      <c r="T1016" s="7"/>
      <c r="U1016" s="7"/>
      <c r="V1016" s="7"/>
      <c r="W1016" s="7"/>
      <c r="X1016" s="7"/>
      <c r="Y1016" s="7" t="s">
        <v>4842</v>
      </c>
      <c r="Z1016" s="7" t="s">
        <v>3574</v>
      </c>
      <c r="AA1016" s="7">
        <v>85381</v>
      </c>
      <c r="AB1016" s="7" t="s">
        <v>44</v>
      </c>
      <c r="AC1016" s="7"/>
      <c r="AD1016" s="7"/>
      <c r="AE1016" s="7"/>
      <c r="AF1016" s="7"/>
      <c r="AG1016" s="11">
        <f t="shared" si="15"/>
        <v>43286</v>
      </c>
    </row>
    <row r="1017" s="8" customFormat="1" spans="1:33">
      <c r="A1017" s="7" t="s">
        <v>4843</v>
      </c>
      <c r="B1017" s="7" t="s">
        <v>4843</v>
      </c>
      <c r="C1017" s="7" t="s">
        <v>4844</v>
      </c>
      <c r="D1017" s="7" t="s">
        <v>4845</v>
      </c>
      <c r="E1017" s="7" t="s">
        <v>33</v>
      </c>
      <c r="F1017" s="7" t="s">
        <v>34</v>
      </c>
      <c r="G1017" s="7" t="s">
        <v>35</v>
      </c>
      <c r="H1017" s="7"/>
      <c r="I1017" s="7"/>
      <c r="J1017" s="7" t="s">
        <v>69</v>
      </c>
      <c r="K1017" s="7" t="s">
        <v>698</v>
      </c>
      <c r="L1017" s="7" t="s">
        <v>699</v>
      </c>
      <c r="M1017" s="7" t="s">
        <v>700</v>
      </c>
      <c r="N1017" s="7" t="s">
        <v>33</v>
      </c>
      <c r="O1017" s="7">
        <v>1</v>
      </c>
      <c r="P1017" s="7" t="s">
        <v>40</v>
      </c>
      <c r="Q1017" s="7">
        <v>21.99</v>
      </c>
      <c r="R1017" s="7"/>
      <c r="S1017" s="7">
        <v>0.24</v>
      </c>
      <c r="T1017" s="7"/>
      <c r="U1017" s="7"/>
      <c r="V1017" s="7"/>
      <c r="W1017" s="7"/>
      <c r="X1017" s="7"/>
      <c r="Y1017" s="7" t="s">
        <v>73</v>
      </c>
      <c r="Z1017" s="7" t="s">
        <v>64</v>
      </c>
      <c r="AA1017" s="7" t="s">
        <v>4846</v>
      </c>
      <c r="AB1017" s="7" t="s">
        <v>44</v>
      </c>
      <c r="AC1017" s="7"/>
      <c r="AD1017" s="7"/>
      <c r="AE1017" s="7"/>
      <c r="AF1017" s="7"/>
      <c r="AG1017" s="11">
        <f t="shared" si="15"/>
        <v>43286</v>
      </c>
    </row>
    <row r="1018" s="8" customFormat="1" spans="1:33">
      <c r="A1018" s="7" t="s">
        <v>4847</v>
      </c>
      <c r="B1018" s="7" t="s">
        <v>4847</v>
      </c>
      <c r="C1018" s="7" t="s">
        <v>4848</v>
      </c>
      <c r="D1018" s="7" t="s">
        <v>4849</v>
      </c>
      <c r="E1018" s="7" t="s">
        <v>4569</v>
      </c>
      <c r="F1018" s="7" t="s">
        <v>34</v>
      </c>
      <c r="G1018" s="7" t="s">
        <v>35</v>
      </c>
      <c r="H1018" s="7"/>
      <c r="I1018" s="7"/>
      <c r="J1018" s="7" t="s">
        <v>69</v>
      </c>
      <c r="K1018" s="7" t="s">
        <v>477</v>
      </c>
      <c r="L1018" s="7" t="s">
        <v>478</v>
      </c>
      <c r="M1018" s="7" t="s">
        <v>479</v>
      </c>
      <c r="N1018" s="7" t="s">
        <v>62</v>
      </c>
      <c r="O1018" s="7">
        <v>1</v>
      </c>
      <c r="P1018" s="7" t="s">
        <v>40</v>
      </c>
      <c r="Q1018" s="7">
        <v>94.6</v>
      </c>
      <c r="R1018" s="7"/>
      <c r="S1018" s="7"/>
      <c r="T1018" s="7"/>
      <c r="U1018" s="7"/>
      <c r="V1018" s="7"/>
      <c r="W1018" s="7"/>
      <c r="X1018" s="7"/>
      <c r="Y1018" s="7" t="s">
        <v>4850</v>
      </c>
      <c r="Z1018" s="7" t="s">
        <v>3097</v>
      </c>
      <c r="AA1018" s="7" t="s">
        <v>4851</v>
      </c>
      <c r="AB1018" s="7" t="s">
        <v>44</v>
      </c>
      <c r="AC1018" s="7" t="s">
        <v>75</v>
      </c>
      <c r="AD1018" s="7"/>
      <c r="AE1018" s="7"/>
      <c r="AF1018" s="7"/>
      <c r="AG1018" s="11">
        <f t="shared" si="15"/>
        <v>43286</v>
      </c>
    </row>
    <row r="1019" s="8" customFormat="1" spans="1:33">
      <c r="A1019" s="7" t="s">
        <v>4852</v>
      </c>
      <c r="B1019" s="7" t="s">
        <v>4852</v>
      </c>
      <c r="C1019" s="7" t="s">
        <v>4853</v>
      </c>
      <c r="D1019" s="7" t="s">
        <v>4854</v>
      </c>
      <c r="E1019" s="7" t="s">
        <v>33</v>
      </c>
      <c r="F1019" s="7" t="s">
        <v>34</v>
      </c>
      <c r="G1019" s="7" t="s">
        <v>35</v>
      </c>
      <c r="H1019" s="7"/>
      <c r="I1019" s="7"/>
      <c r="J1019" s="7" t="s">
        <v>36</v>
      </c>
      <c r="K1019" s="7" t="s">
        <v>148</v>
      </c>
      <c r="L1019" s="7" t="s">
        <v>149</v>
      </c>
      <c r="M1019" s="7" t="s">
        <v>150</v>
      </c>
      <c r="N1019" s="7" t="s">
        <v>33</v>
      </c>
      <c r="O1019" s="7">
        <v>1</v>
      </c>
      <c r="P1019" s="7" t="s">
        <v>40</v>
      </c>
      <c r="Q1019" s="7">
        <v>98.99</v>
      </c>
      <c r="R1019" s="7"/>
      <c r="S1019" s="7"/>
      <c r="T1019" s="7"/>
      <c r="U1019" s="7"/>
      <c r="V1019" s="7"/>
      <c r="W1019" s="7"/>
      <c r="X1019" s="7"/>
      <c r="Y1019" s="7" t="s">
        <v>4855</v>
      </c>
      <c r="Z1019" s="7" t="s">
        <v>64</v>
      </c>
      <c r="AA1019" s="7" t="s">
        <v>4856</v>
      </c>
      <c r="AB1019" s="7" t="s">
        <v>44</v>
      </c>
      <c r="AC1019" s="7"/>
      <c r="AD1019" s="7"/>
      <c r="AE1019" s="7"/>
      <c r="AF1019" s="7"/>
      <c r="AG1019" s="11">
        <f t="shared" si="15"/>
        <v>43286</v>
      </c>
    </row>
    <row r="1020" s="8" customFormat="1" spans="1:33">
      <c r="A1020" s="7" t="s">
        <v>4857</v>
      </c>
      <c r="B1020" s="7" t="s">
        <v>4857</v>
      </c>
      <c r="C1020" s="7" t="s">
        <v>4858</v>
      </c>
      <c r="D1020" s="7" t="s">
        <v>4859</v>
      </c>
      <c r="E1020" s="7" t="s">
        <v>33</v>
      </c>
      <c r="F1020" s="7" t="s">
        <v>34</v>
      </c>
      <c r="G1020" s="7" t="s">
        <v>35</v>
      </c>
      <c r="H1020" s="7"/>
      <c r="I1020" s="7"/>
      <c r="J1020" s="7" t="s">
        <v>69</v>
      </c>
      <c r="K1020" s="7" t="s">
        <v>48</v>
      </c>
      <c r="L1020" s="7" t="s">
        <v>49</v>
      </c>
      <c r="M1020" s="7" t="s">
        <v>50</v>
      </c>
      <c r="N1020" s="7" t="s">
        <v>33</v>
      </c>
      <c r="O1020" s="7">
        <v>1</v>
      </c>
      <c r="P1020" s="7" t="s">
        <v>40</v>
      </c>
      <c r="Q1020" s="7">
        <v>89.99</v>
      </c>
      <c r="R1020" s="7"/>
      <c r="S1020" s="7">
        <v>7.24</v>
      </c>
      <c r="T1020" s="7"/>
      <c r="U1020" s="7"/>
      <c r="V1020" s="7"/>
      <c r="W1020" s="7"/>
      <c r="X1020" s="7">
        <v>7.24</v>
      </c>
      <c r="Y1020" s="7" t="s">
        <v>932</v>
      </c>
      <c r="Z1020" s="7" t="s">
        <v>64</v>
      </c>
      <c r="AA1020" s="7" t="s">
        <v>4860</v>
      </c>
      <c r="AB1020" s="7" t="s">
        <v>44</v>
      </c>
      <c r="AC1020" s="7" t="s">
        <v>75</v>
      </c>
      <c r="AD1020" s="7"/>
      <c r="AE1020" s="7"/>
      <c r="AF1020" s="7"/>
      <c r="AG1020" s="11">
        <f t="shared" si="15"/>
        <v>43286</v>
      </c>
    </row>
    <row r="1021" s="8" customFormat="1" spans="1:33">
      <c r="A1021" s="7" t="s">
        <v>4861</v>
      </c>
      <c r="B1021" s="7" t="s">
        <v>4861</v>
      </c>
      <c r="C1021" s="7" t="s">
        <v>4862</v>
      </c>
      <c r="D1021" s="7" t="s">
        <v>4863</v>
      </c>
      <c r="E1021" s="7" t="s">
        <v>33</v>
      </c>
      <c r="F1021" s="7" t="s">
        <v>34</v>
      </c>
      <c r="G1021" s="7" t="s">
        <v>35</v>
      </c>
      <c r="H1021" s="7"/>
      <c r="I1021" s="7"/>
      <c r="J1021" s="7" t="s">
        <v>36</v>
      </c>
      <c r="K1021" s="7" t="s">
        <v>3631</v>
      </c>
      <c r="L1021" s="7" t="s">
        <v>3579</v>
      </c>
      <c r="M1021" s="7" t="s">
        <v>3580</v>
      </c>
      <c r="N1021" s="7" t="s">
        <v>33</v>
      </c>
      <c r="O1021" s="7">
        <v>1</v>
      </c>
      <c r="P1021" s="7" t="s">
        <v>40</v>
      </c>
      <c r="Q1021" s="7">
        <v>32.99</v>
      </c>
      <c r="R1021" s="7"/>
      <c r="S1021" s="7"/>
      <c r="T1021" s="7"/>
      <c r="U1021" s="7"/>
      <c r="V1021" s="7"/>
      <c r="W1021" s="7"/>
      <c r="X1021" s="7"/>
      <c r="Y1021" s="7" t="s">
        <v>4864</v>
      </c>
      <c r="Z1021" s="7" t="s">
        <v>1342</v>
      </c>
      <c r="AA1021" s="7">
        <v>71423</v>
      </c>
      <c r="AB1021" s="7" t="s">
        <v>44</v>
      </c>
      <c r="AC1021" s="7"/>
      <c r="AD1021" s="7"/>
      <c r="AE1021" s="7"/>
      <c r="AF1021" s="7"/>
      <c r="AG1021" s="11">
        <f t="shared" si="15"/>
        <v>43286</v>
      </c>
    </row>
    <row r="1022" s="8" customFormat="1" spans="1:33">
      <c r="A1022" s="7" t="s">
        <v>4865</v>
      </c>
      <c r="B1022" s="7" t="s">
        <v>4865</v>
      </c>
      <c r="C1022" s="7" t="s">
        <v>4866</v>
      </c>
      <c r="D1022" s="7" t="s">
        <v>4867</v>
      </c>
      <c r="E1022" s="7" t="s">
        <v>33</v>
      </c>
      <c r="F1022" s="7" t="s">
        <v>34</v>
      </c>
      <c r="G1022" s="7" t="s">
        <v>35</v>
      </c>
      <c r="H1022" s="7"/>
      <c r="I1022" s="7"/>
      <c r="J1022" s="7" t="s">
        <v>36</v>
      </c>
      <c r="K1022" s="7" t="s">
        <v>275</v>
      </c>
      <c r="L1022" s="7" t="s">
        <v>276</v>
      </c>
      <c r="M1022" s="7" t="s">
        <v>277</v>
      </c>
      <c r="N1022" s="7" t="s">
        <v>33</v>
      </c>
      <c r="O1022" s="7">
        <v>1</v>
      </c>
      <c r="P1022" s="7" t="s">
        <v>40</v>
      </c>
      <c r="Q1022" s="7">
        <v>89.99</v>
      </c>
      <c r="R1022" s="7"/>
      <c r="S1022" s="7"/>
      <c r="T1022" s="7"/>
      <c r="U1022" s="7"/>
      <c r="V1022" s="7"/>
      <c r="W1022" s="7"/>
      <c r="X1022" s="7"/>
      <c r="Y1022" s="7" t="s">
        <v>4868</v>
      </c>
      <c r="Z1022" s="7" t="s">
        <v>497</v>
      </c>
      <c r="AA1022" s="7" t="s">
        <v>4869</v>
      </c>
      <c r="AB1022" s="7" t="s">
        <v>44</v>
      </c>
      <c r="AC1022" s="7"/>
      <c r="AD1022" s="7"/>
      <c r="AE1022" s="7"/>
      <c r="AF1022" s="7"/>
      <c r="AG1022" s="11">
        <f t="shared" si="15"/>
        <v>43286</v>
      </c>
    </row>
    <row r="1023" s="8" customFormat="1" spans="1:33">
      <c r="A1023" s="7" t="s">
        <v>4870</v>
      </c>
      <c r="B1023" s="7" t="s">
        <v>4870</v>
      </c>
      <c r="C1023" s="7" t="s">
        <v>4871</v>
      </c>
      <c r="D1023" s="7" t="s">
        <v>4872</v>
      </c>
      <c r="E1023" s="7" t="s">
        <v>33</v>
      </c>
      <c r="F1023" s="7" t="s">
        <v>34</v>
      </c>
      <c r="G1023" s="7" t="s">
        <v>35</v>
      </c>
      <c r="H1023" s="7"/>
      <c r="I1023" s="7"/>
      <c r="J1023" s="7" t="s">
        <v>36</v>
      </c>
      <c r="K1023" s="7" t="s">
        <v>1517</v>
      </c>
      <c r="L1023" s="7" t="s">
        <v>1518</v>
      </c>
      <c r="M1023" s="7" t="s">
        <v>1519</v>
      </c>
      <c r="N1023" s="7" t="s">
        <v>54</v>
      </c>
      <c r="O1023" s="7">
        <v>0</v>
      </c>
      <c r="P1023" s="7"/>
      <c r="Q1023" s="7"/>
      <c r="R1023" s="7"/>
      <c r="S1023" s="7"/>
      <c r="T1023" s="7"/>
      <c r="U1023" s="7"/>
      <c r="V1023" s="7"/>
      <c r="W1023" s="7"/>
      <c r="X1023" s="7"/>
      <c r="Y1023" s="7" t="s">
        <v>4873</v>
      </c>
      <c r="Z1023" s="7" t="s">
        <v>207</v>
      </c>
      <c r="AA1023" s="7" t="s">
        <v>4874</v>
      </c>
      <c r="AB1023" s="7" t="s">
        <v>44</v>
      </c>
      <c r="AC1023" s="7"/>
      <c r="AD1023" s="7"/>
      <c r="AE1023" s="7"/>
      <c r="AF1023" s="7"/>
      <c r="AG1023" s="11">
        <f t="shared" si="15"/>
        <v>43286</v>
      </c>
    </row>
    <row r="1024" s="8" customFormat="1" spans="1:33">
      <c r="A1024" s="7" t="s">
        <v>4870</v>
      </c>
      <c r="B1024" s="7" t="s">
        <v>4870</v>
      </c>
      <c r="C1024" s="7" t="s">
        <v>4871</v>
      </c>
      <c r="D1024" s="7" t="s">
        <v>4872</v>
      </c>
      <c r="E1024" s="7" t="s">
        <v>33</v>
      </c>
      <c r="F1024" s="7" t="s">
        <v>34</v>
      </c>
      <c r="G1024" s="7" t="s">
        <v>35</v>
      </c>
      <c r="H1024" s="7"/>
      <c r="I1024" s="7"/>
      <c r="J1024" s="7" t="s">
        <v>36</v>
      </c>
      <c r="K1024" s="7" t="s">
        <v>79</v>
      </c>
      <c r="L1024" s="7" t="s">
        <v>80</v>
      </c>
      <c r="M1024" s="7" t="s">
        <v>81</v>
      </c>
      <c r="N1024" s="7" t="s">
        <v>33</v>
      </c>
      <c r="O1024" s="7">
        <v>1</v>
      </c>
      <c r="P1024" s="7" t="s">
        <v>40</v>
      </c>
      <c r="Q1024" s="7">
        <v>91.99</v>
      </c>
      <c r="R1024" s="7"/>
      <c r="S1024" s="7"/>
      <c r="T1024" s="7"/>
      <c r="U1024" s="7"/>
      <c r="V1024" s="7"/>
      <c r="W1024" s="7"/>
      <c r="X1024" s="7"/>
      <c r="Y1024" s="7" t="s">
        <v>4873</v>
      </c>
      <c r="Z1024" s="7" t="s">
        <v>207</v>
      </c>
      <c r="AA1024" s="7" t="s">
        <v>4874</v>
      </c>
      <c r="AB1024" s="7" t="s">
        <v>44</v>
      </c>
      <c r="AC1024" s="7"/>
      <c r="AD1024" s="7"/>
      <c r="AE1024" s="7"/>
      <c r="AF1024" s="7"/>
      <c r="AG1024" s="11">
        <f t="shared" si="15"/>
        <v>43286</v>
      </c>
    </row>
    <row r="1025" s="8" customFormat="1" spans="1:33">
      <c r="A1025" s="7" t="s">
        <v>4875</v>
      </c>
      <c r="B1025" s="7" t="s">
        <v>4875</v>
      </c>
      <c r="C1025" s="7" t="s">
        <v>4876</v>
      </c>
      <c r="D1025" s="7" t="s">
        <v>4877</v>
      </c>
      <c r="E1025" s="7" t="s">
        <v>33</v>
      </c>
      <c r="F1025" s="7" t="s">
        <v>34</v>
      </c>
      <c r="G1025" s="7" t="s">
        <v>35</v>
      </c>
      <c r="H1025" s="7"/>
      <c r="I1025" s="7"/>
      <c r="J1025" s="7" t="s">
        <v>163</v>
      </c>
      <c r="K1025" s="7" t="s">
        <v>48</v>
      </c>
      <c r="L1025" s="7" t="s">
        <v>49</v>
      </c>
      <c r="M1025" s="7" t="s">
        <v>50</v>
      </c>
      <c r="N1025" s="7" t="s">
        <v>33</v>
      </c>
      <c r="O1025" s="7">
        <v>1</v>
      </c>
      <c r="P1025" s="7" t="s">
        <v>40</v>
      </c>
      <c r="Q1025" s="7">
        <v>89.99</v>
      </c>
      <c r="R1025" s="7"/>
      <c r="S1025" s="7">
        <v>27.96</v>
      </c>
      <c r="T1025" s="7"/>
      <c r="U1025" s="7"/>
      <c r="V1025" s="7"/>
      <c r="W1025" s="7"/>
      <c r="X1025" s="7"/>
      <c r="Y1025" s="7" t="s">
        <v>4878</v>
      </c>
      <c r="Z1025" s="7" t="s">
        <v>2185</v>
      </c>
      <c r="AA1025" s="7" t="s">
        <v>4879</v>
      </c>
      <c r="AB1025" s="7" t="s">
        <v>44</v>
      </c>
      <c r="AC1025" s="7"/>
      <c r="AD1025" s="7"/>
      <c r="AE1025" s="7"/>
      <c r="AF1025" s="7"/>
      <c r="AG1025" s="11">
        <f t="shared" si="15"/>
        <v>43286</v>
      </c>
    </row>
    <row r="1026" s="8" customFormat="1" spans="1:33">
      <c r="A1026" s="7" t="s">
        <v>4880</v>
      </c>
      <c r="B1026" s="7" t="s">
        <v>4880</v>
      </c>
      <c r="C1026" s="7" t="s">
        <v>4881</v>
      </c>
      <c r="D1026" s="7" t="s">
        <v>4882</v>
      </c>
      <c r="E1026" s="7" t="s">
        <v>33</v>
      </c>
      <c r="F1026" s="7" t="s">
        <v>34</v>
      </c>
      <c r="G1026" s="7" t="s">
        <v>35</v>
      </c>
      <c r="H1026" s="7"/>
      <c r="I1026" s="7"/>
      <c r="J1026" s="7" t="s">
        <v>69</v>
      </c>
      <c r="K1026" s="7" t="s">
        <v>1975</v>
      </c>
      <c r="L1026" s="7" t="s">
        <v>1976</v>
      </c>
      <c r="M1026" s="7" t="s">
        <v>1977</v>
      </c>
      <c r="N1026" s="7" t="s">
        <v>33</v>
      </c>
      <c r="O1026" s="7">
        <v>1</v>
      </c>
      <c r="P1026" s="7" t="s">
        <v>40</v>
      </c>
      <c r="Q1026" s="7">
        <v>92.99</v>
      </c>
      <c r="R1026" s="7"/>
      <c r="S1026" s="7">
        <v>8.49</v>
      </c>
      <c r="T1026" s="7"/>
      <c r="U1026" s="7"/>
      <c r="V1026" s="7"/>
      <c r="W1026" s="7"/>
      <c r="X1026" s="7"/>
      <c r="Y1026" s="7" t="s">
        <v>4333</v>
      </c>
      <c r="Z1026" s="7" t="s">
        <v>52</v>
      </c>
      <c r="AA1026" s="7" t="s">
        <v>4334</v>
      </c>
      <c r="AB1026" s="7" t="s">
        <v>44</v>
      </c>
      <c r="AC1026" s="7"/>
      <c r="AD1026" s="7"/>
      <c r="AE1026" s="7"/>
      <c r="AF1026" s="7"/>
      <c r="AG1026" s="11">
        <f t="shared" ref="AG1026:AG1089" si="16">DATEVALUE(LEFT(C1026,10))</f>
        <v>43286</v>
      </c>
    </row>
    <row r="1027" s="8" customFormat="1" spans="1:33">
      <c r="A1027" s="7" t="s">
        <v>4883</v>
      </c>
      <c r="B1027" s="7" t="s">
        <v>4883</v>
      </c>
      <c r="C1027" s="7" t="s">
        <v>4884</v>
      </c>
      <c r="D1027" s="7" t="s">
        <v>4885</v>
      </c>
      <c r="E1027" s="7" t="s">
        <v>33</v>
      </c>
      <c r="F1027" s="7" t="s">
        <v>34</v>
      </c>
      <c r="G1027" s="7" t="s">
        <v>35</v>
      </c>
      <c r="H1027" s="7"/>
      <c r="I1027" s="7"/>
      <c r="J1027" s="7" t="s">
        <v>36</v>
      </c>
      <c r="K1027" s="7" t="s">
        <v>660</v>
      </c>
      <c r="L1027" s="7" t="s">
        <v>661</v>
      </c>
      <c r="M1027" s="7" t="s">
        <v>662</v>
      </c>
      <c r="N1027" s="7" t="s">
        <v>33</v>
      </c>
      <c r="O1027" s="7">
        <v>1</v>
      </c>
      <c r="P1027" s="7" t="s">
        <v>40</v>
      </c>
      <c r="Q1027" s="7">
        <v>79.99</v>
      </c>
      <c r="R1027" s="7"/>
      <c r="S1027" s="7"/>
      <c r="T1027" s="7"/>
      <c r="U1027" s="7"/>
      <c r="V1027" s="7"/>
      <c r="W1027" s="7"/>
      <c r="X1027" s="7"/>
      <c r="Y1027" s="7" t="s">
        <v>4886</v>
      </c>
      <c r="Z1027" s="7" t="s">
        <v>391</v>
      </c>
      <c r="AA1027" s="7" t="s">
        <v>4887</v>
      </c>
      <c r="AB1027" s="7" t="s">
        <v>44</v>
      </c>
      <c r="AC1027" s="7"/>
      <c r="AD1027" s="7"/>
      <c r="AE1027" s="7"/>
      <c r="AF1027" s="7"/>
      <c r="AG1027" s="11">
        <f t="shared" si="16"/>
        <v>43286</v>
      </c>
    </row>
    <row r="1028" s="8" customFormat="1" spans="1:33">
      <c r="A1028" s="7" t="s">
        <v>4888</v>
      </c>
      <c r="B1028" s="7" t="s">
        <v>4888</v>
      </c>
      <c r="C1028" s="7" t="s">
        <v>4889</v>
      </c>
      <c r="D1028" s="7" t="s">
        <v>4890</v>
      </c>
      <c r="E1028" s="7" t="s">
        <v>33</v>
      </c>
      <c r="F1028" s="7" t="s">
        <v>34</v>
      </c>
      <c r="G1028" s="7" t="s">
        <v>35</v>
      </c>
      <c r="H1028" s="7"/>
      <c r="I1028" s="7"/>
      <c r="J1028" s="7" t="s">
        <v>36</v>
      </c>
      <c r="K1028" s="7" t="s">
        <v>749</v>
      </c>
      <c r="L1028" s="7" t="s">
        <v>750</v>
      </c>
      <c r="M1028" s="7" t="s">
        <v>751</v>
      </c>
      <c r="N1028" s="7" t="s">
        <v>33</v>
      </c>
      <c r="O1028" s="7">
        <v>1</v>
      </c>
      <c r="P1028" s="7" t="s">
        <v>40</v>
      </c>
      <c r="Q1028" s="7">
        <v>89.99</v>
      </c>
      <c r="R1028" s="7">
        <v>5.4</v>
      </c>
      <c r="S1028" s="7"/>
      <c r="T1028" s="7"/>
      <c r="U1028" s="7"/>
      <c r="V1028" s="7"/>
      <c r="W1028" s="7"/>
      <c r="X1028" s="7"/>
      <c r="Y1028" s="7" t="s">
        <v>4891</v>
      </c>
      <c r="Z1028" s="7" t="s">
        <v>4892</v>
      </c>
      <c r="AA1028" s="7">
        <v>19075</v>
      </c>
      <c r="AB1028" s="7" t="s">
        <v>44</v>
      </c>
      <c r="AC1028" s="7"/>
      <c r="AD1028" s="7"/>
      <c r="AE1028" s="7"/>
      <c r="AF1028" s="7"/>
      <c r="AG1028" s="11">
        <f t="shared" si="16"/>
        <v>43286</v>
      </c>
    </row>
    <row r="1029" s="8" customFormat="1" spans="1:33">
      <c r="A1029" s="7" t="s">
        <v>4893</v>
      </c>
      <c r="B1029" s="7" t="s">
        <v>4893</v>
      </c>
      <c r="C1029" s="7" t="s">
        <v>4894</v>
      </c>
      <c r="D1029" s="7" t="s">
        <v>4895</v>
      </c>
      <c r="E1029" s="7" t="s">
        <v>33</v>
      </c>
      <c r="F1029" s="7" t="s">
        <v>34</v>
      </c>
      <c r="G1029" s="7" t="s">
        <v>35</v>
      </c>
      <c r="H1029" s="7"/>
      <c r="I1029" s="7"/>
      <c r="J1029" s="7" t="s">
        <v>36</v>
      </c>
      <c r="K1029" s="7" t="s">
        <v>59</v>
      </c>
      <c r="L1029" s="7" t="s">
        <v>60</v>
      </c>
      <c r="M1029" s="7" t="s">
        <v>61</v>
      </c>
      <c r="N1029" s="7" t="s">
        <v>33</v>
      </c>
      <c r="O1029" s="7">
        <v>1</v>
      </c>
      <c r="P1029" s="7" t="s">
        <v>40</v>
      </c>
      <c r="Q1029" s="7">
        <v>89.99</v>
      </c>
      <c r="R1029" s="7"/>
      <c r="S1029" s="7"/>
      <c r="T1029" s="7"/>
      <c r="U1029" s="7"/>
      <c r="V1029" s="7"/>
      <c r="W1029" s="7"/>
      <c r="X1029" s="7"/>
      <c r="Y1029" s="7" t="s">
        <v>4896</v>
      </c>
      <c r="Z1029" s="7" t="s">
        <v>92</v>
      </c>
      <c r="AA1029" s="7" t="s">
        <v>4897</v>
      </c>
      <c r="AB1029" s="7" t="s">
        <v>44</v>
      </c>
      <c r="AC1029" s="7"/>
      <c r="AD1029" s="7"/>
      <c r="AE1029" s="7"/>
      <c r="AF1029" s="7"/>
      <c r="AG1029" s="11">
        <f t="shared" si="16"/>
        <v>43286</v>
      </c>
    </row>
    <row r="1030" s="8" customFormat="1" spans="1:33">
      <c r="A1030" s="7" t="s">
        <v>4898</v>
      </c>
      <c r="B1030" s="7" t="s">
        <v>4898</v>
      </c>
      <c r="C1030" s="7" t="s">
        <v>4899</v>
      </c>
      <c r="D1030" s="7" t="s">
        <v>4900</v>
      </c>
      <c r="E1030" s="7" t="s">
        <v>33</v>
      </c>
      <c r="F1030" s="7" t="s">
        <v>34</v>
      </c>
      <c r="G1030" s="7" t="s">
        <v>35</v>
      </c>
      <c r="H1030" s="7"/>
      <c r="I1030" s="7"/>
      <c r="J1030" s="7" t="s">
        <v>36</v>
      </c>
      <c r="K1030" s="7" t="s">
        <v>660</v>
      </c>
      <c r="L1030" s="7" t="s">
        <v>661</v>
      </c>
      <c r="M1030" s="7" t="s">
        <v>662</v>
      </c>
      <c r="N1030" s="7" t="s">
        <v>33</v>
      </c>
      <c r="O1030" s="7">
        <v>1</v>
      </c>
      <c r="P1030" s="7" t="s">
        <v>40</v>
      </c>
      <c r="Q1030" s="7">
        <v>79.99</v>
      </c>
      <c r="R1030" s="7">
        <v>4.8</v>
      </c>
      <c r="S1030" s="7"/>
      <c r="T1030" s="7"/>
      <c r="U1030" s="7"/>
      <c r="V1030" s="7"/>
      <c r="W1030" s="7"/>
      <c r="X1030" s="7"/>
      <c r="Y1030" s="7" t="s">
        <v>1449</v>
      </c>
      <c r="Z1030" s="7" t="s">
        <v>880</v>
      </c>
      <c r="AA1030" s="7" t="s">
        <v>4901</v>
      </c>
      <c r="AB1030" s="7" t="s">
        <v>44</v>
      </c>
      <c r="AC1030" s="7"/>
      <c r="AD1030" s="7"/>
      <c r="AE1030" s="7"/>
      <c r="AF1030" s="7"/>
      <c r="AG1030" s="11">
        <f t="shared" si="16"/>
        <v>43286</v>
      </c>
    </row>
    <row r="1031" s="8" customFormat="1" spans="1:33">
      <c r="A1031" s="7" t="s">
        <v>4902</v>
      </c>
      <c r="B1031" s="7" t="s">
        <v>4902</v>
      </c>
      <c r="C1031" s="7" t="s">
        <v>4903</v>
      </c>
      <c r="D1031" s="7" t="s">
        <v>4904</v>
      </c>
      <c r="E1031" s="7" t="s">
        <v>33</v>
      </c>
      <c r="F1031" s="7" t="s">
        <v>34</v>
      </c>
      <c r="G1031" s="7" t="s">
        <v>35</v>
      </c>
      <c r="H1031" s="7"/>
      <c r="I1031" s="7"/>
      <c r="J1031" s="7" t="s">
        <v>36</v>
      </c>
      <c r="K1031" s="7" t="s">
        <v>70</v>
      </c>
      <c r="L1031" s="7" t="s">
        <v>71</v>
      </c>
      <c r="M1031" s="7" t="s">
        <v>72</v>
      </c>
      <c r="N1031" s="7" t="s">
        <v>33</v>
      </c>
      <c r="O1031" s="7">
        <v>1</v>
      </c>
      <c r="P1031" s="7" t="s">
        <v>40</v>
      </c>
      <c r="Q1031" s="7">
        <v>79.99</v>
      </c>
      <c r="R1031" s="7"/>
      <c r="S1031" s="7"/>
      <c r="T1031" s="7"/>
      <c r="U1031" s="7"/>
      <c r="V1031" s="7"/>
      <c r="W1031" s="7"/>
      <c r="X1031" s="7"/>
      <c r="Y1031" s="7" t="s">
        <v>4905</v>
      </c>
      <c r="Z1031" s="7" t="s">
        <v>64</v>
      </c>
      <c r="AA1031" s="7" t="s">
        <v>4906</v>
      </c>
      <c r="AB1031" s="7" t="s">
        <v>44</v>
      </c>
      <c r="AC1031" s="7"/>
      <c r="AD1031" s="7"/>
      <c r="AE1031" s="7"/>
      <c r="AF1031" s="7"/>
      <c r="AG1031" s="11">
        <f t="shared" si="16"/>
        <v>43286</v>
      </c>
    </row>
    <row r="1032" s="8" customFormat="1" spans="1:33">
      <c r="A1032" s="7" t="s">
        <v>4907</v>
      </c>
      <c r="B1032" s="7" t="s">
        <v>4907</v>
      </c>
      <c r="C1032" s="7" t="s">
        <v>4908</v>
      </c>
      <c r="D1032" s="7" t="s">
        <v>4909</v>
      </c>
      <c r="E1032" s="7" t="s">
        <v>33</v>
      </c>
      <c r="F1032" s="7" t="s">
        <v>34</v>
      </c>
      <c r="G1032" s="7" t="s">
        <v>35</v>
      </c>
      <c r="H1032" s="7"/>
      <c r="I1032" s="7"/>
      <c r="J1032" s="7" t="s">
        <v>36</v>
      </c>
      <c r="K1032" s="7" t="s">
        <v>3631</v>
      </c>
      <c r="L1032" s="7" t="s">
        <v>3579</v>
      </c>
      <c r="M1032" s="7" t="s">
        <v>3580</v>
      </c>
      <c r="N1032" s="7" t="s">
        <v>33</v>
      </c>
      <c r="O1032" s="7">
        <v>1</v>
      </c>
      <c r="P1032" s="7" t="s">
        <v>40</v>
      </c>
      <c r="Q1032" s="7">
        <v>32.99</v>
      </c>
      <c r="R1032" s="7">
        <v>1.98</v>
      </c>
      <c r="S1032" s="7"/>
      <c r="T1032" s="7"/>
      <c r="U1032" s="7"/>
      <c r="V1032" s="7"/>
      <c r="W1032" s="7"/>
      <c r="X1032" s="7"/>
      <c r="Y1032" s="7" t="s">
        <v>4910</v>
      </c>
      <c r="Z1032" s="7" t="s">
        <v>880</v>
      </c>
      <c r="AA1032" s="7">
        <v>16254</v>
      </c>
      <c r="AB1032" s="7" t="s">
        <v>44</v>
      </c>
      <c r="AC1032" s="7"/>
      <c r="AD1032" s="7"/>
      <c r="AE1032" s="7"/>
      <c r="AF1032" s="7"/>
      <c r="AG1032" s="11">
        <f t="shared" si="16"/>
        <v>43286</v>
      </c>
    </row>
    <row r="1033" s="8" customFormat="1" spans="1:33">
      <c r="A1033" s="7" t="s">
        <v>4911</v>
      </c>
      <c r="B1033" s="7" t="s">
        <v>4911</v>
      </c>
      <c r="C1033" s="7" t="s">
        <v>4912</v>
      </c>
      <c r="D1033" s="7" t="s">
        <v>4913</v>
      </c>
      <c r="E1033" s="7" t="s">
        <v>33</v>
      </c>
      <c r="F1033" s="7" t="s">
        <v>34</v>
      </c>
      <c r="G1033" s="7" t="s">
        <v>35</v>
      </c>
      <c r="H1033" s="7"/>
      <c r="I1033" s="7"/>
      <c r="J1033" s="7" t="s">
        <v>36</v>
      </c>
      <c r="K1033" s="7" t="s">
        <v>275</v>
      </c>
      <c r="L1033" s="7" t="s">
        <v>276</v>
      </c>
      <c r="M1033" s="7" t="s">
        <v>277</v>
      </c>
      <c r="N1033" s="7" t="s">
        <v>33</v>
      </c>
      <c r="O1033" s="7">
        <v>1</v>
      </c>
      <c r="P1033" s="7" t="s">
        <v>40</v>
      </c>
      <c r="Q1033" s="7">
        <v>89.99</v>
      </c>
      <c r="R1033" s="7"/>
      <c r="S1033" s="7"/>
      <c r="T1033" s="7"/>
      <c r="U1033" s="7"/>
      <c r="V1033" s="7"/>
      <c r="W1033" s="7"/>
      <c r="X1033" s="7"/>
      <c r="Y1033" s="7" t="s">
        <v>4914</v>
      </c>
      <c r="Z1033" s="7" t="s">
        <v>316</v>
      </c>
      <c r="AA1033" s="7" t="s">
        <v>4915</v>
      </c>
      <c r="AB1033" s="7" t="s">
        <v>44</v>
      </c>
      <c r="AC1033" s="7"/>
      <c r="AD1033" s="7"/>
      <c r="AE1033" s="7"/>
      <c r="AF1033" s="7"/>
      <c r="AG1033" s="11">
        <f t="shared" si="16"/>
        <v>43286</v>
      </c>
    </row>
    <row r="1034" s="8" customFormat="1" spans="1:33">
      <c r="A1034" s="7" t="s">
        <v>4916</v>
      </c>
      <c r="B1034" s="7" t="s">
        <v>4916</v>
      </c>
      <c r="C1034" s="7" t="s">
        <v>4917</v>
      </c>
      <c r="D1034" s="7" t="s">
        <v>4918</v>
      </c>
      <c r="E1034" s="7" t="s">
        <v>33</v>
      </c>
      <c r="F1034" s="7" t="s">
        <v>34</v>
      </c>
      <c r="G1034" s="7" t="s">
        <v>35</v>
      </c>
      <c r="H1034" s="7"/>
      <c r="I1034" s="7"/>
      <c r="J1034" s="7" t="s">
        <v>36</v>
      </c>
      <c r="K1034" s="7" t="s">
        <v>3499</v>
      </c>
      <c r="L1034" s="7" t="s">
        <v>3059</v>
      </c>
      <c r="M1034" s="7" t="s">
        <v>3060</v>
      </c>
      <c r="N1034" s="7" t="s">
        <v>33</v>
      </c>
      <c r="O1034" s="7">
        <v>1</v>
      </c>
      <c r="P1034" s="7" t="s">
        <v>40</v>
      </c>
      <c r="Q1034" s="7">
        <v>85.99</v>
      </c>
      <c r="R1034" s="7"/>
      <c r="S1034" s="7"/>
      <c r="T1034" s="7"/>
      <c r="U1034" s="7"/>
      <c r="V1034" s="7"/>
      <c r="W1034" s="7"/>
      <c r="X1034" s="7"/>
      <c r="Y1034" s="7" t="s">
        <v>4919</v>
      </c>
      <c r="Z1034" s="7" t="s">
        <v>42</v>
      </c>
      <c r="AA1034" s="7" t="s">
        <v>4920</v>
      </c>
      <c r="AB1034" s="7" t="s">
        <v>44</v>
      </c>
      <c r="AC1034" s="7"/>
      <c r="AD1034" s="7"/>
      <c r="AE1034" s="7"/>
      <c r="AF1034" s="7"/>
      <c r="AG1034" s="11">
        <f t="shared" si="16"/>
        <v>43286</v>
      </c>
    </row>
    <row r="1035" s="8" customFormat="1" spans="1:33">
      <c r="A1035" s="7" t="s">
        <v>4921</v>
      </c>
      <c r="B1035" s="7" t="s">
        <v>4921</v>
      </c>
      <c r="C1035" s="7" t="s">
        <v>4922</v>
      </c>
      <c r="D1035" s="7" t="s">
        <v>4923</v>
      </c>
      <c r="E1035" s="7" t="s">
        <v>33</v>
      </c>
      <c r="F1035" s="7" t="s">
        <v>34</v>
      </c>
      <c r="G1035" s="7" t="s">
        <v>35</v>
      </c>
      <c r="H1035" s="7"/>
      <c r="I1035" s="7"/>
      <c r="J1035" s="7" t="s">
        <v>36</v>
      </c>
      <c r="K1035" s="7" t="s">
        <v>387</v>
      </c>
      <c r="L1035" s="7" t="s">
        <v>388</v>
      </c>
      <c r="M1035" s="7" t="s">
        <v>389</v>
      </c>
      <c r="N1035" s="7" t="s">
        <v>33</v>
      </c>
      <c r="O1035" s="7">
        <v>1</v>
      </c>
      <c r="P1035" s="7" t="s">
        <v>40</v>
      </c>
      <c r="Q1035" s="7">
        <v>32.99</v>
      </c>
      <c r="R1035" s="7">
        <v>2.97</v>
      </c>
      <c r="S1035" s="7"/>
      <c r="T1035" s="7"/>
      <c r="U1035" s="7"/>
      <c r="V1035" s="7"/>
      <c r="W1035" s="7"/>
      <c r="X1035" s="7"/>
      <c r="Y1035" s="7" t="s">
        <v>2204</v>
      </c>
      <c r="Z1035" s="7" t="s">
        <v>279</v>
      </c>
      <c r="AA1035" s="7" t="s">
        <v>4924</v>
      </c>
      <c r="AB1035" s="7" t="s">
        <v>44</v>
      </c>
      <c r="AC1035" s="7"/>
      <c r="AD1035" s="7"/>
      <c r="AE1035" s="7"/>
      <c r="AF1035" s="7"/>
      <c r="AG1035" s="11">
        <f t="shared" si="16"/>
        <v>43286</v>
      </c>
    </row>
    <row r="1036" s="8" customFormat="1" spans="1:33">
      <c r="A1036" s="7" t="s">
        <v>4925</v>
      </c>
      <c r="B1036" s="7" t="s">
        <v>4925</v>
      </c>
      <c r="C1036" s="7" t="s">
        <v>4926</v>
      </c>
      <c r="D1036" s="7" t="s">
        <v>4927</v>
      </c>
      <c r="E1036" s="7" t="s">
        <v>54</v>
      </c>
      <c r="F1036" s="7" t="s">
        <v>34</v>
      </c>
      <c r="G1036" s="7" t="s">
        <v>35</v>
      </c>
      <c r="H1036" s="7"/>
      <c r="I1036" s="7"/>
      <c r="J1036" s="7" t="s">
        <v>36</v>
      </c>
      <c r="K1036" s="7" t="s">
        <v>79</v>
      </c>
      <c r="L1036" s="7" t="s">
        <v>80</v>
      </c>
      <c r="M1036" s="7" t="s">
        <v>81</v>
      </c>
      <c r="N1036" s="7" t="s">
        <v>54</v>
      </c>
      <c r="O1036" s="7">
        <v>0</v>
      </c>
      <c r="P1036" s="7"/>
      <c r="Q1036" s="7"/>
      <c r="R1036" s="7"/>
      <c r="S1036" s="7"/>
      <c r="T1036" s="7"/>
      <c r="U1036" s="7"/>
      <c r="V1036" s="7"/>
      <c r="W1036" s="7"/>
      <c r="X1036" s="7"/>
      <c r="Y1036" s="7" t="s">
        <v>1458</v>
      </c>
      <c r="Z1036" s="7" t="s">
        <v>271</v>
      </c>
      <c r="AA1036" s="7">
        <v>33025</v>
      </c>
      <c r="AB1036" s="7" t="s">
        <v>44</v>
      </c>
      <c r="AC1036" s="7"/>
      <c r="AD1036" s="7"/>
      <c r="AE1036" s="7"/>
      <c r="AF1036" s="7"/>
      <c r="AG1036" s="11">
        <f t="shared" si="16"/>
        <v>43286</v>
      </c>
    </row>
    <row r="1037" s="8" customFormat="1" spans="1:33">
      <c r="A1037" s="7" t="s">
        <v>4928</v>
      </c>
      <c r="B1037" s="7" t="s">
        <v>4928</v>
      </c>
      <c r="C1037" s="7" t="s">
        <v>4929</v>
      </c>
      <c r="D1037" s="7" t="s">
        <v>4930</v>
      </c>
      <c r="E1037" s="7" t="s">
        <v>33</v>
      </c>
      <c r="F1037" s="7" t="s">
        <v>34</v>
      </c>
      <c r="G1037" s="7" t="s">
        <v>35</v>
      </c>
      <c r="H1037" s="7"/>
      <c r="I1037" s="7"/>
      <c r="J1037" s="7" t="s">
        <v>36</v>
      </c>
      <c r="K1037" s="7" t="s">
        <v>148</v>
      </c>
      <c r="L1037" s="7" t="s">
        <v>149</v>
      </c>
      <c r="M1037" s="7" t="s">
        <v>150</v>
      </c>
      <c r="N1037" s="7" t="s">
        <v>33</v>
      </c>
      <c r="O1037" s="7">
        <v>1</v>
      </c>
      <c r="P1037" s="7" t="s">
        <v>40</v>
      </c>
      <c r="Q1037" s="7">
        <v>98.99</v>
      </c>
      <c r="R1037" s="7"/>
      <c r="S1037" s="7"/>
      <c r="T1037" s="7"/>
      <c r="U1037" s="7"/>
      <c r="V1037" s="7"/>
      <c r="W1037" s="7"/>
      <c r="X1037" s="7"/>
      <c r="Y1037" s="7" t="s">
        <v>4931</v>
      </c>
      <c r="Z1037" s="7" t="s">
        <v>183</v>
      </c>
      <c r="AA1037" s="7" t="s">
        <v>4932</v>
      </c>
      <c r="AB1037" s="7" t="s">
        <v>44</v>
      </c>
      <c r="AC1037" s="7"/>
      <c r="AD1037" s="7"/>
      <c r="AE1037" s="7"/>
      <c r="AF1037" s="7"/>
      <c r="AG1037" s="11">
        <f t="shared" si="16"/>
        <v>43286</v>
      </c>
    </row>
    <row r="1038" s="8" customFormat="1" spans="1:33">
      <c r="A1038" s="7" t="s">
        <v>4933</v>
      </c>
      <c r="B1038" s="7" t="s">
        <v>4933</v>
      </c>
      <c r="C1038" s="7" t="s">
        <v>4934</v>
      </c>
      <c r="D1038" s="7" t="s">
        <v>4935</v>
      </c>
      <c r="E1038" s="7" t="s">
        <v>54</v>
      </c>
      <c r="F1038" s="7" t="s">
        <v>34</v>
      </c>
      <c r="G1038" s="7" t="s">
        <v>35</v>
      </c>
      <c r="H1038" s="7"/>
      <c r="I1038" s="7"/>
      <c r="J1038" s="7" t="s">
        <v>36</v>
      </c>
      <c r="K1038" s="7" t="s">
        <v>387</v>
      </c>
      <c r="L1038" s="7" t="s">
        <v>388</v>
      </c>
      <c r="M1038" s="7" t="s">
        <v>389</v>
      </c>
      <c r="N1038" s="7" t="s">
        <v>62</v>
      </c>
      <c r="O1038" s="7">
        <v>1</v>
      </c>
      <c r="P1038" s="7" t="s">
        <v>40</v>
      </c>
      <c r="Q1038" s="7">
        <v>32.99</v>
      </c>
      <c r="R1038" s="7"/>
      <c r="S1038" s="7"/>
      <c r="T1038" s="7"/>
      <c r="U1038" s="7"/>
      <c r="V1038" s="7"/>
      <c r="W1038" s="7"/>
      <c r="X1038" s="7"/>
      <c r="Y1038" s="7" t="s">
        <v>4936</v>
      </c>
      <c r="Z1038" s="7" t="s">
        <v>440</v>
      </c>
      <c r="AA1038" s="7" t="s">
        <v>4937</v>
      </c>
      <c r="AB1038" s="7" t="s">
        <v>44</v>
      </c>
      <c r="AC1038" s="7"/>
      <c r="AD1038" s="7"/>
      <c r="AE1038" s="7"/>
      <c r="AF1038" s="7"/>
      <c r="AG1038" s="11">
        <f t="shared" si="16"/>
        <v>43286</v>
      </c>
    </row>
    <row r="1039" s="8" customFormat="1" spans="1:33">
      <c r="A1039" s="7" t="s">
        <v>4938</v>
      </c>
      <c r="B1039" s="7" t="s">
        <v>4938</v>
      </c>
      <c r="C1039" s="7" t="s">
        <v>4939</v>
      </c>
      <c r="D1039" s="7" t="s">
        <v>4940</v>
      </c>
      <c r="E1039" s="7" t="s">
        <v>54</v>
      </c>
      <c r="F1039" s="7" t="s">
        <v>34</v>
      </c>
      <c r="G1039" s="7" t="s">
        <v>35</v>
      </c>
      <c r="H1039" s="7"/>
      <c r="I1039" s="7"/>
      <c r="J1039" s="7" t="s">
        <v>36</v>
      </c>
      <c r="K1039" s="7" t="s">
        <v>387</v>
      </c>
      <c r="L1039" s="7" t="s">
        <v>388</v>
      </c>
      <c r="M1039" s="7" t="s">
        <v>389</v>
      </c>
      <c r="N1039" s="7" t="s">
        <v>62</v>
      </c>
      <c r="O1039" s="7">
        <v>1</v>
      </c>
      <c r="P1039" s="7" t="s">
        <v>40</v>
      </c>
      <c r="Q1039" s="7">
        <v>32.99</v>
      </c>
      <c r="R1039" s="7"/>
      <c r="S1039" s="7"/>
      <c r="T1039" s="7"/>
      <c r="U1039" s="7"/>
      <c r="V1039" s="7"/>
      <c r="W1039" s="7"/>
      <c r="X1039" s="7"/>
      <c r="Y1039" s="7" t="s">
        <v>4941</v>
      </c>
      <c r="Z1039" s="7" t="s">
        <v>4942</v>
      </c>
      <c r="AA1039" s="7">
        <v>30538</v>
      </c>
      <c r="AB1039" s="7" t="s">
        <v>44</v>
      </c>
      <c r="AC1039" s="7"/>
      <c r="AD1039" s="7"/>
      <c r="AE1039" s="7"/>
      <c r="AF1039" s="7"/>
      <c r="AG1039" s="11">
        <f t="shared" si="16"/>
        <v>43286</v>
      </c>
    </row>
    <row r="1040" s="8" customFormat="1" spans="1:33">
      <c r="A1040" s="7" t="s">
        <v>4943</v>
      </c>
      <c r="B1040" s="7" t="s">
        <v>4943</v>
      </c>
      <c r="C1040" s="7" t="s">
        <v>4944</v>
      </c>
      <c r="D1040" s="7" t="s">
        <v>4945</v>
      </c>
      <c r="E1040" s="7" t="s">
        <v>54</v>
      </c>
      <c r="F1040" s="7" t="s">
        <v>34</v>
      </c>
      <c r="G1040" s="7" t="s">
        <v>35</v>
      </c>
      <c r="H1040" s="7"/>
      <c r="I1040" s="7"/>
      <c r="J1040" s="7" t="s">
        <v>36</v>
      </c>
      <c r="K1040" s="7" t="s">
        <v>387</v>
      </c>
      <c r="L1040" s="7" t="s">
        <v>388</v>
      </c>
      <c r="M1040" s="7" t="s">
        <v>389</v>
      </c>
      <c r="N1040" s="7" t="s">
        <v>62</v>
      </c>
      <c r="O1040" s="7">
        <v>1</v>
      </c>
      <c r="P1040" s="7" t="s">
        <v>40</v>
      </c>
      <c r="Q1040" s="7">
        <v>32.99</v>
      </c>
      <c r="R1040" s="7"/>
      <c r="S1040" s="7"/>
      <c r="T1040" s="7"/>
      <c r="U1040" s="7"/>
      <c r="V1040" s="7"/>
      <c r="W1040" s="7"/>
      <c r="X1040" s="7"/>
      <c r="Y1040" s="7" t="s">
        <v>4941</v>
      </c>
      <c r="Z1040" s="7" t="s">
        <v>4942</v>
      </c>
      <c r="AA1040" s="7">
        <v>30538</v>
      </c>
      <c r="AB1040" s="7" t="s">
        <v>44</v>
      </c>
      <c r="AC1040" s="7"/>
      <c r="AD1040" s="7"/>
      <c r="AE1040" s="7"/>
      <c r="AF1040" s="7"/>
      <c r="AG1040" s="11">
        <f t="shared" si="16"/>
        <v>43286</v>
      </c>
    </row>
    <row r="1041" s="8" customFormat="1" spans="1:33">
      <c r="A1041" s="7" t="s">
        <v>4946</v>
      </c>
      <c r="B1041" s="7" t="s">
        <v>4946</v>
      </c>
      <c r="C1041" s="7" t="s">
        <v>4947</v>
      </c>
      <c r="D1041" s="7" t="s">
        <v>4948</v>
      </c>
      <c r="E1041" s="7" t="s">
        <v>33</v>
      </c>
      <c r="F1041" s="7" t="s">
        <v>34</v>
      </c>
      <c r="G1041" s="7" t="s">
        <v>35</v>
      </c>
      <c r="H1041" s="7"/>
      <c r="I1041" s="7"/>
      <c r="J1041" s="7" t="s">
        <v>36</v>
      </c>
      <c r="K1041" s="7" t="s">
        <v>2442</v>
      </c>
      <c r="L1041" s="7" t="s">
        <v>2443</v>
      </c>
      <c r="M1041" s="7" t="s">
        <v>2444</v>
      </c>
      <c r="N1041" s="7" t="s">
        <v>33</v>
      </c>
      <c r="O1041" s="7">
        <v>1</v>
      </c>
      <c r="P1041" s="7" t="s">
        <v>40</v>
      </c>
      <c r="Q1041" s="7">
        <v>89.99</v>
      </c>
      <c r="R1041" s="7"/>
      <c r="S1041" s="7"/>
      <c r="T1041" s="7"/>
      <c r="U1041" s="7"/>
      <c r="V1041" s="7"/>
      <c r="W1041" s="7"/>
      <c r="X1041" s="7"/>
      <c r="Y1041" s="7" t="s">
        <v>4949</v>
      </c>
      <c r="Z1041" s="7" t="s">
        <v>990</v>
      </c>
      <c r="AA1041" s="7" t="s">
        <v>4950</v>
      </c>
      <c r="AB1041" s="7" t="s">
        <v>44</v>
      </c>
      <c r="AC1041" s="7"/>
      <c r="AD1041" s="7"/>
      <c r="AE1041" s="7"/>
      <c r="AF1041" s="7"/>
      <c r="AG1041" s="11">
        <f t="shared" si="16"/>
        <v>43286</v>
      </c>
    </row>
    <row r="1042" s="8" customFormat="1" spans="1:33">
      <c r="A1042" s="7" t="s">
        <v>4951</v>
      </c>
      <c r="B1042" s="7" t="s">
        <v>4951</v>
      </c>
      <c r="C1042" s="7" t="s">
        <v>4952</v>
      </c>
      <c r="D1042" s="7" t="s">
        <v>4953</v>
      </c>
      <c r="E1042" s="7" t="s">
        <v>54</v>
      </c>
      <c r="F1042" s="7" t="s">
        <v>34</v>
      </c>
      <c r="G1042" s="7" t="s">
        <v>35</v>
      </c>
      <c r="H1042" s="7"/>
      <c r="I1042" s="7"/>
      <c r="J1042" s="7" t="s">
        <v>58</v>
      </c>
      <c r="K1042" s="7" t="s">
        <v>387</v>
      </c>
      <c r="L1042" s="7" t="s">
        <v>388</v>
      </c>
      <c r="M1042" s="7" t="s">
        <v>389</v>
      </c>
      <c r="N1042" s="7" t="s">
        <v>62</v>
      </c>
      <c r="O1042" s="7">
        <v>1</v>
      </c>
      <c r="P1042" s="7" t="s">
        <v>40</v>
      </c>
      <c r="Q1042" s="7">
        <v>32.99</v>
      </c>
      <c r="R1042" s="7"/>
      <c r="S1042" s="7"/>
      <c r="T1042" s="7"/>
      <c r="U1042" s="7"/>
      <c r="V1042" s="7"/>
      <c r="W1042" s="7"/>
      <c r="X1042" s="7"/>
      <c r="Y1042" s="7" t="s">
        <v>4941</v>
      </c>
      <c r="Z1042" s="7" t="s">
        <v>4942</v>
      </c>
      <c r="AA1042" s="7">
        <v>30538</v>
      </c>
      <c r="AB1042" s="7" t="s">
        <v>44</v>
      </c>
      <c r="AC1042" s="7"/>
      <c r="AD1042" s="7"/>
      <c r="AE1042" s="7"/>
      <c r="AF1042" s="7"/>
      <c r="AG1042" s="11">
        <f t="shared" si="16"/>
        <v>43286</v>
      </c>
    </row>
    <row r="1043" s="8" customFormat="1" spans="1:33">
      <c r="A1043" s="7" t="s">
        <v>4954</v>
      </c>
      <c r="B1043" s="7" t="s">
        <v>4954</v>
      </c>
      <c r="C1043" s="7" t="s">
        <v>4955</v>
      </c>
      <c r="D1043" s="7" t="s">
        <v>4956</v>
      </c>
      <c r="E1043" s="7" t="s">
        <v>33</v>
      </c>
      <c r="F1043" s="7" t="s">
        <v>34</v>
      </c>
      <c r="G1043" s="7" t="s">
        <v>35</v>
      </c>
      <c r="H1043" s="7"/>
      <c r="I1043" s="7"/>
      <c r="J1043" s="7" t="s">
        <v>36</v>
      </c>
      <c r="K1043" s="7" t="s">
        <v>1766</v>
      </c>
      <c r="L1043" s="7" t="s">
        <v>2382</v>
      </c>
      <c r="M1043" s="7" t="s">
        <v>1768</v>
      </c>
      <c r="N1043" s="7" t="s">
        <v>33</v>
      </c>
      <c r="O1043" s="7">
        <v>1</v>
      </c>
      <c r="P1043" s="7" t="s">
        <v>40</v>
      </c>
      <c r="Q1043" s="7">
        <v>21.99</v>
      </c>
      <c r="R1043" s="7"/>
      <c r="S1043" s="7"/>
      <c r="T1043" s="7"/>
      <c r="U1043" s="7"/>
      <c r="V1043" s="7"/>
      <c r="W1043" s="7"/>
      <c r="X1043" s="7"/>
      <c r="Y1043" s="7" t="s">
        <v>1073</v>
      </c>
      <c r="Z1043" s="7" t="s">
        <v>64</v>
      </c>
      <c r="AA1043" s="7" t="s">
        <v>4957</v>
      </c>
      <c r="AB1043" s="7" t="s">
        <v>44</v>
      </c>
      <c r="AC1043" s="7"/>
      <c r="AD1043" s="7"/>
      <c r="AE1043" s="7"/>
      <c r="AF1043" s="7"/>
      <c r="AG1043" s="11">
        <f t="shared" si="16"/>
        <v>43286</v>
      </c>
    </row>
    <row r="1044" s="8" customFormat="1" spans="1:33">
      <c r="A1044" s="7" t="s">
        <v>4958</v>
      </c>
      <c r="B1044" s="7" t="s">
        <v>4958</v>
      </c>
      <c r="C1044" s="7" t="s">
        <v>4959</v>
      </c>
      <c r="D1044" s="7" t="s">
        <v>4960</v>
      </c>
      <c r="E1044" s="7" t="s">
        <v>33</v>
      </c>
      <c r="F1044" s="7" t="s">
        <v>34</v>
      </c>
      <c r="G1044" s="7" t="s">
        <v>35</v>
      </c>
      <c r="H1044" s="7"/>
      <c r="I1044" s="7"/>
      <c r="J1044" s="7" t="s">
        <v>36</v>
      </c>
      <c r="K1044" s="7" t="s">
        <v>431</v>
      </c>
      <c r="L1044" s="7" t="s">
        <v>432</v>
      </c>
      <c r="M1044" s="7" t="s">
        <v>433</v>
      </c>
      <c r="N1044" s="7" t="s">
        <v>33</v>
      </c>
      <c r="O1044" s="7">
        <v>1</v>
      </c>
      <c r="P1044" s="7" t="s">
        <v>40</v>
      </c>
      <c r="Q1044" s="7">
        <v>89.99</v>
      </c>
      <c r="R1044" s="7"/>
      <c r="S1044" s="7"/>
      <c r="T1044" s="7"/>
      <c r="U1044" s="7"/>
      <c r="V1044" s="7"/>
      <c r="W1044" s="7"/>
      <c r="X1044" s="7"/>
      <c r="Y1044" s="7" t="s">
        <v>2563</v>
      </c>
      <c r="Z1044" s="7" t="s">
        <v>189</v>
      </c>
      <c r="AA1044" s="7">
        <v>45209</v>
      </c>
      <c r="AB1044" s="7" t="s">
        <v>44</v>
      </c>
      <c r="AC1044" s="7"/>
      <c r="AD1044" s="7"/>
      <c r="AE1044" s="7"/>
      <c r="AF1044" s="7"/>
      <c r="AG1044" s="11">
        <f t="shared" si="16"/>
        <v>43286</v>
      </c>
    </row>
    <row r="1045" s="8" customFormat="1" spans="1:33">
      <c r="A1045" s="7" t="s">
        <v>4961</v>
      </c>
      <c r="B1045" s="7" t="s">
        <v>4961</v>
      </c>
      <c r="C1045" s="7" t="s">
        <v>4962</v>
      </c>
      <c r="D1045" s="7" t="s">
        <v>4963</v>
      </c>
      <c r="E1045" s="7" t="s">
        <v>54</v>
      </c>
      <c r="F1045" s="7" t="s">
        <v>34</v>
      </c>
      <c r="G1045" s="7" t="s">
        <v>35</v>
      </c>
      <c r="H1045" s="7"/>
      <c r="I1045" s="7"/>
      <c r="J1045" s="7" t="s">
        <v>36</v>
      </c>
      <c r="K1045" s="7" t="s">
        <v>4198</v>
      </c>
      <c r="L1045" s="7" t="s">
        <v>4199</v>
      </c>
      <c r="M1045" s="7" t="s">
        <v>4200</v>
      </c>
      <c r="N1045" s="7" t="s">
        <v>54</v>
      </c>
      <c r="O1045" s="7">
        <v>0</v>
      </c>
      <c r="P1045" s="7"/>
      <c r="Q1045" s="7"/>
      <c r="R1045" s="7"/>
      <c r="S1045" s="7"/>
      <c r="T1045" s="7"/>
      <c r="U1045" s="7"/>
      <c r="V1045" s="7"/>
      <c r="W1045" s="7"/>
      <c r="X1045" s="7"/>
      <c r="Y1045" s="7" t="s">
        <v>4964</v>
      </c>
      <c r="Z1045" s="7" t="s">
        <v>484</v>
      </c>
      <c r="AA1045" s="7" t="s">
        <v>4965</v>
      </c>
      <c r="AB1045" s="7" t="s">
        <v>44</v>
      </c>
      <c r="AC1045" s="7"/>
      <c r="AD1045" s="7"/>
      <c r="AE1045" s="7"/>
      <c r="AF1045" s="7"/>
      <c r="AG1045" s="11">
        <f t="shared" si="16"/>
        <v>43286</v>
      </c>
    </row>
    <row r="1046" s="8" customFormat="1" spans="1:33">
      <c r="A1046" s="7" t="s">
        <v>4966</v>
      </c>
      <c r="B1046" s="7" t="s">
        <v>4966</v>
      </c>
      <c r="C1046" s="7" t="s">
        <v>4967</v>
      </c>
      <c r="D1046" s="7" t="s">
        <v>4968</v>
      </c>
      <c r="E1046" s="7" t="s">
        <v>33</v>
      </c>
      <c r="F1046" s="7" t="s">
        <v>34</v>
      </c>
      <c r="G1046" s="7" t="s">
        <v>35</v>
      </c>
      <c r="H1046" s="7"/>
      <c r="I1046" s="7"/>
      <c r="J1046" s="7" t="s">
        <v>58</v>
      </c>
      <c r="K1046" s="7" t="s">
        <v>698</v>
      </c>
      <c r="L1046" s="7" t="s">
        <v>699</v>
      </c>
      <c r="M1046" s="7" t="s">
        <v>700</v>
      </c>
      <c r="N1046" s="7" t="s">
        <v>33</v>
      </c>
      <c r="O1046" s="7">
        <v>1</v>
      </c>
      <c r="P1046" s="7" t="s">
        <v>40</v>
      </c>
      <c r="Q1046" s="7">
        <v>21.99</v>
      </c>
      <c r="R1046" s="7"/>
      <c r="S1046" s="7">
        <v>3.99</v>
      </c>
      <c r="T1046" s="7"/>
      <c r="U1046" s="7"/>
      <c r="V1046" s="7"/>
      <c r="W1046" s="7"/>
      <c r="X1046" s="7"/>
      <c r="Y1046" s="7" t="s">
        <v>4969</v>
      </c>
      <c r="Z1046" s="7" t="s">
        <v>135</v>
      </c>
      <c r="AA1046" s="7" t="s">
        <v>4970</v>
      </c>
      <c r="AB1046" s="7" t="s">
        <v>44</v>
      </c>
      <c r="AC1046" s="7"/>
      <c r="AD1046" s="7"/>
      <c r="AE1046" s="7"/>
      <c r="AF1046" s="7"/>
      <c r="AG1046" s="11">
        <f t="shared" si="16"/>
        <v>43286</v>
      </c>
    </row>
    <row r="1047" s="8" customFormat="1" spans="1:33">
      <c r="A1047" s="7" t="s">
        <v>4971</v>
      </c>
      <c r="B1047" s="7" t="s">
        <v>4971</v>
      </c>
      <c r="C1047" s="7" t="s">
        <v>4972</v>
      </c>
      <c r="D1047" s="7" t="s">
        <v>4973</v>
      </c>
      <c r="E1047" s="7" t="s">
        <v>33</v>
      </c>
      <c r="F1047" s="7" t="s">
        <v>34</v>
      </c>
      <c r="G1047" s="7" t="s">
        <v>35</v>
      </c>
      <c r="H1047" s="7"/>
      <c r="I1047" s="7"/>
      <c r="J1047" s="7" t="s">
        <v>69</v>
      </c>
      <c r="K1047" s="7" t="s">
        <v>275</v>
      </c>
      <c r="L1047" s="7" t="s">
        <v>276</v>
      </c>
      <c r="M1047" s="7" t="s">
        <v>277</v>
      </c>
      <c r="N1047" s="7" t="s">
        <v>33</v>
      </c>
      <c r="O1047" s="7">
        <v>1</v>
      </c>
      <c r="P1047" s="7" t="s">
        <v>40</v>
      </c>
      <c r="Q1047" s="7">
        <v>89.99</v>
      </c>
      <c r="R1047" s="7"/>
      <c r="S1047" s="7">
        <v>7.54</v>
      </c>
      <c r="T1047" s="7"/>
      <c r="U1047" s="7"/>
      <c r="V1047" s="7"/>
      <c r="W1047" s="7"/>
      <c r="X1047" s="7">
        <v>7.54</v>
      </c>
      <c r="Y1047" s="7" t="s">
        <v>4974</v>
      </c>
      <c r="Z1047" s="7" t="s">
        <v>64</v>
      </c>
      <c r="AA1047" s="7" t="s">
        <v>4975</v>
      </c>
      <c r="AB1047" s="7" t="s">
        <v>44</v>
      </c>
      <c r="AC1047" s="7" t="s">
        <v>75</v>
      </c>
      <c r="AD1047" s="7"/>
      <c r="AE1047" s="7"/>
      <c r="AF1047" s="7"/>
      <c r="AG1047" s="11">
        <f t="shared" si="16"/>
        <v>43286</v>
      </c>
    </row>
    <row r="1048" s="8" customFormat="1" spans="1:33">
      <c r="A1048" s="7" t="s">
        <v>4976</v>
      </c>
      <c r="B1048" s="7" t="s">
        <v>4976</v>
      </c>
      <c r="C1048" s="7" t="s">
        <v>4977</v>
      </c>
      <c r="D1048" s="7" t="s">
        <v>4978</v>
      </c>
      <c r="E1048" s="7" t="s">
        <v>54</v>
      </c>
      <c r="F1048" s="7" t="s">
        <v>34</v>
      </c>
      <c r="G1048" s="7" t="s">
        <v>35</v>
      </c>
      <c r="H1048" s="7"/>
      <c r="I1048" s="7"/>
      <c r="J1048" s="7" t="s">
        <v>58</v>
      </c>
      <c r="K1048" s="7" t="s">
        <v>148</v>
      </c>
      <c r="L1048" s="7" t="s">
        <v>149</v>
      </c>
      <c r="M1048" s="7" t="s">
        <v>150</v>
      </c>
      <c r="N1048" s="7" t="s">
        <v>54</v>
      </c>
      <c r="O1048" s="7">
        <v>0</v>
      </c>
      <c r="P1048" s="7"/>
      <c r="Q1048" s="7"/>
      <c r="R1048" s="7"/>
      <c r="S1048" s="7"/>
      <c r="T1048" s="7"/>
      <c r="U1048" s="7"/>
      <c r="V1048" s="7"/>
      <c r="W1048" s="7"/>
      <c r="X1048" s="7"/>
      <c r="Y1048" s="7" t="s">
        <v>1458</v>
      </c>
      <c r="Z1048" s="7" t="s">
        <v>64</v>
      </c>
      <c r="AA1048" s="7" t="s">
        <v>4979</v>
      </c>
      <c r="AB1048" s="7" t="s">
        <v>44</v>
      </c>
      <c r="AC1048" s="7"/>
      <c r="AD1048" s="7"/>
      <c r="AE1048" s="7"/>
      <c r="AF1048" s="7"/>
      <c r="AG1048" s="11">
        <f t="shared" si="16"/>
        <v>43286</v>
      </c>
    </row>
    <row r="1049" s="8" customFormat="1" spans="1:33">
      <c r="A1049" s="7" t="s">
        <v>4980</v>
      </c>
      <c r="B1049" s="7" t="s">
        <v>4980</v>
      </c>
      <c r="C1049" s="7" t="s">
        <v>4981</v>
      </c>
      <c r="D1049" s="7" t="s">
        <v>4982</v>
      </c>
      <c r="E1049" s="7" t="s">
        <v>54</v>
      </c>
      <c r="F1049" s="7" t="s">
        <v>34</v>
      </c>
      <c r="G1049" s="7" t="s">
        <v>35</v>
      </c>
      <c r="H1049" s="7"/>
      <c r="I1049" s="7"/>
      <c r="J1049" s="7" t="s">
        <v>69</v>
      </c>
      <c r="K1049" s="7" t="s">
        <v>235</v>
      </c>
      <c r="L1049" s="7" t="s">
        <v>236</v>
      </c>
      <c r="M1049" s="7" t="s">
        <v>237</v>
      </c>
      <c r="N1049" s="7" t="s">
        <v>62</v>
      </c>
      <c r="O1049" s="7">
        <v>1</v>
      </c>
      <c r="P1049" s="7" t="s">
        <v>40</v>
      </c>
      <c r="Q1049" s="7">
        <v>85.99</v>
      </c>
      <c r="R1049" s="7"/>
      <c r="S1049" s="7"/>
      <c r="T1049" s="7"/>
      <c r="U1049" s="7"/>
      <c r="V1049" s="7"/>
      <c r="W1049" s="7"/>
      <c r="X1049" s="7"/>
      <c r="Y1049" s="7" t="s">
        <v>1963</v>
      </c>
      <c r="Z1049" s="7" t="s">
        <v>83</v>
      </c>
      <c r="AA1049" s="7" t="s">
        <v>4002</v>
      </c>
      <c r="AB1049" s="7" t="s">
        <v>44</v>
      </c>
      <c r="AC1049" s="7"/>
      <c r="AD1049" s="7"/>
      <c r="AE1049" s="7"/>
      <c r="AF1049" s="7"/>
      <c r="AG1049" s="11">
        <f t="shared" si="16"/>
        <v>43286</v>
      </c>
    </row>
    <row r="1050" s="8" customFormat="1" spans="1:33">
      <c r="A1050" s="7" t="s">
        <v>4983</v>
      </c>
      <c r="B1050" s="7" t="s">
        <v>4983</v>
      </c>
      <c r="C1050" s="7" t="s">
        <v>4984</v>
      </c>
      <c r="D1050" s="7" t="s">
        <v>4985</v>
      </c>
      <c r="E1050" s="7" t="s">
        <v>54</v>
      </c>
      <c r="F1050" s="7" t="s">
        <v>34</v>
      </c>
      <c r="G1050" s="7" t="s">
        <v>35</v>
      </c>
      <c r="H1050" s="7"/>
      <c r="I1050" s="7"/>
      <c r="J1050" s="7" t="s">
        <v>69</v>
      </c>
      <c r="K1050" s="7" t="s">
        <v>235</v>
      </c>
      <c r="L1050" s="7" t="s">
        <v>236</v>
      </c>
      <c r="M1050" s="7" t="s">
        <v>237</v>
      </c>
      <c r="N1050" s="7" t="s">
        <v>62</v>
      </c>
      <c r="O1050" s="7">
        <v>1</v>
      </c>
      <c r="P1050" s="7" t="s">
        <v>40</v>
      </c>
      <c r="Q1050" s="7">
        <v>85.99</v>
      </c>
      <c r="R1050" s="7"/>
      <c r="S1050" s="7"/>
      <c r="T1050" s="7"/>
      <c r="U1050" s="7"/>
      <c r="V1050" s="7"/>
      <c r="W1050" s="7"/>
      <c r="X1050" s="7"/>
      <c r="Y1050" s="7" t="s">
        <v>1963</v>
      </c>
      <c r="Z1050" s="7" t="s">
        <v>83</v>
      </c>
      <c r="AA1050" s="7" t="s">
        <v>4002</v>
      </c>
      <c r="AB1050" s="7" t="s">
        <v>44</v>
      </c>
      <c r="AC1050" s="7"/>
      <c r="AD1050" s="7"/>
      <c r="AE1050" s="7"/>
      <c r="AF1050" s="7"/>
      <c r="AG1050" s="11">
        <f t="shared" si="16"/>
        <v>43286</v>
      </c>
    </row>
    <row r="1051" s="8" customFormat="1" spans="1:33">
      <c r="A1051" s="7" t="s">
        <v>4986</v>
      </c>
      <c r="B1051" s="7" t="s">
        <v>4986</v>
      </c>
      <c r="C1051" s="7" t="s">
        <v>4987</v>
      </c>
      <c r="D1051" s="7" t="s">
        <v>4988</v>
      </c>
      <c r="E1051" s="7" t="s">
        <v>33</v>
      </c>
      <c r="F1051" s="7" t="s">
        <v>34</v>
      </c>
      <c r="G1051" s="7" t="s">
        <v>35</v>
      </c>
      <c r="H1051" s="7"/>
      <c r="I1051" s="7"/>
      <c r="J1051" s="7" t="s">
        <v>36</v>
      </c>
      <c r="K1051" s="7" t="s">
        <v>148</v>
      </c>
      <c r="L1051" s="7" t="s">
        <v>149</v>
      </c>
      <c r="M1051" s="7" t="s">
        <v>150</v>
      </c>
      <c r="N1051" s="7" t="s">
        <v>33</v>
      </c>
      <c r="O1051" s="7">
        <v>1</v>
      </c>
      <c r="P1051" s="7" t="s">
        <v>40</v>
      </c>
      <c r="Q1051" s="7">
        <v>98.99</v>
      </c>
      <c r="R1051" s="7"/>
      <c r="S1051" s="7"/>
      <c r="T1051" s="7"/>
      <c r="U1051" s="7"/>
      <c r="V1051" s="7"/>
      <c r="W1051" s="7"/>
      <c r="X1051" s="7"/>
      <c r="Y1051" s="7" t="s">
        <v>4989</v>
      </c>
      <c r="Z1051" s="7" t="s">
        <v>183</v>
      </c>
      <c r="AA1051" s="7" t="s">
        <v>4990</v>
      </c>
      <c r="AB1051" s="7" t="s">
        <v>44</v>
      </c>
      <c r="AC1051" s="7"/>
      <c r="AD1051" s="7"/>
      <c r="AE1051" s="7"/>
      <c r="AF1051" s="7"/>
      <c r="AG1051" s="11">
        <f t="shared" si="16"/>
        <v>43286</v>
      </c>
    </row>
    <row r="1052" s="8" customFormat="1" spans="1:33">
      <c r="A1052" s="7" t="s">
        <v>4991</v>
      </c>
      <c r="B1052" s="7" t="s">
        <v>4991</v>
      </c>
      <c r="C1052" s="7" t="s">
        <v>4992</v>
      </c>
      <c r="D1052" s="7" t="s">
        <v>4993</v>
      </c>
      <c r="E1052" s="7" t="s">
        <v>33</v>
      </c>
      <c r="F1052" s="7" t="s">
        <v>34</v>
      </c>
      <c r="G1052" s="7" t="s">
        <v>35</v>
      </c>
      <c r="H1052" s="7"/>
      <c r="I1052" s="7"/>
      <c r="J1052" s="7" t="s">
        <v>58</v>
      </c>
      <c r="K1052" s="7" t="s">
        <v>4198</v>
      </c>
      <c r="L1052" s="7" t="s">
        <v>4199</v>
      </c>
      <c r="M1052" s="7" t="s">
        <v>4200</v>
      </c>
      <c r="N1052" s="7" t="s">
        <v>33</v>
      </c>
      <c r="O1052" s="7">
        <v>1</v>
      </c>
      <c r="P1052" s="7" t="s">
        <v>40</v>
      </c>
      <c r="Q1052" s="7">
        <v>89.99</v>
      </c>
      <c r="R1052" s="7"/>
      <c r="S1052" s="7">
        <v>7.99</v>
      </c>
      <c r="T1052" s="7"/>
      <c r="U1052" s="7"/>
      <c r="V1052" s="7"/>
      <c r="W1052" s="7"/>
      <c r="X1052" s="7"/>
      <c r="Y1052" s="7" t="s">
        <v>4994</v>
      </c>
      <c r="Z1052" s="7" t="s">
        <v>861</v>
      </c>
      <c r="AA1052" s="7" t="s">
        <v>4995</v>
      </c>
      <c r="AB1052" s="7" t="s">
        <v>44</v>
      </c>
      <c r="AC1052" s="7"/>
      <c r="AD1052" s="7"/>
      <c r="AE1052" s="7"/>
      <c r="AF1052" s="7"/>
      <c r="AG1052" s="11">
        <f t="shared" si="16"/>
        <v>43286</v>
      </c>
    </row>
    <row r="1053" s="8" customFormat="1" spans="1:33">
      <c r="A1053" s="7" t="s">
        <v>4996</v>
      </c>
      <c r="B1053" s="7" t="s">
        <v>4996</v>
      </c>
      <c r="C1053" s="7" t="s">
        <v>4997</v>
      </c>
      <c r="D1053" s="7" t="s">
        <v>4998</v>
      </c>
      <c r="E1053" s="7" t="s">
        <v>33</v>
      </c>
      <c r="F1053" s="7" t="s">
        <v>34</v>
      </c>
      <c r="G1053" s="7" t="s">
        <v>35</v>
      </c>
      <c r="H1053" s="7"/>
      <c r="I1053" s="7"/>
      <c r="J1053" s="7" t="s">
        <v>69</v>
      </c>
      <c r="K1053" s="7" t="s">
        <v>418</v>
      </c>
      <c r="L1053" s="7" t="s">
        <v>419</v>
      </c>
      <c r="M1053" s="7" t="s">
        <v>420</v>
      </c>
      <c r="N1053" s="7" t="s">
        <v>33</v>
      </c>
      <c r="O1053" s="7">
        <v>1</v>
      </c>
      <c r="P1053" s="7" t="s">
        <v>40</v>
      </c>
      <c r="Q1053" s="7">
        <v>89.99</v>
      </c>
      <c r="R1053" s="7"/>
      <c r="S1053" s="7">
        <v>6.49</v>
      </c>
      <c r="T1053" s="7"/>
      <c r="U1053" s="7"/>
      <c r="V1053" s="7"/>
      <c r="W1053" s="7"/>
      <c r="X1053" s="7">
        <v>6.49</v>
      </c>
      <c r="Y1053" s="7" t="s">
        <v>4999</v>
      </c>
      <c r="Z1053" s="7" t="s">
        <v>816</v>
      </c>
      <c r="AA1053" s="7">
        <v>44270</v>
      </c>
      <c r="AB1053" s="7" t="s">
        <v>44</v>
      </c>
      <c r="AC1053" s="7" t="s">
        <v>75</v>
      </c>
      <c r="AD1053" s="7"/>
      <c r="AE1053" s="7"/>
      <c r="AF1053" s="7"/>
      <c r="AG1053" s="11">
        <f t="shared" si="16"/>
        <v>43286</v>
      </c>
    </row>
    <row r="1054" s="8" customFormat="1" spans="1:33">
      <c r="A1054" s="7" t="s">
        <v>5000</v>
      </c>
      <c r="B1054" s="7" t="s">
        <v>5000</v>
      </c>
      <c r="C1054" s="7" t="s">
        <v>5001</v>
      </c>
      <c r="D1054" s="7" t="s">
        <v>5002</v>
      </c>
      <c r="E1054" s="7" t="s">
        <v>33</v>
      </c>
      <c r="F1054" s="7" t="s">
        <v>34</v>
      </c>
      <c r="G1054" s="7" t="s">
        <v>35</v>
      </c>
      <c r="H1054" s="7"/>
      <c r="I1054" s="7"/>
      <c r="J1054" s="7" t="s">
        <v>163</v>
      </c>
      <c r="K1054" s="7" t="s">
        <v>37</v>
      </c>
      <c r="L1054" s="7" t="s">
        <v>38</v>
      </c>
      <c r="M1054" s="7" t="s">
        <v>39</v>
      </c>
      <c r="N1054" s="7" t="s">
        <v>33</v>
      </c>
      <c r="O1054" s="7">
        <v>1</v>
      </c>
      <c r="P1054" s="7" t="s">
        <v>40</v>
      </c>
      <c r="Q1054" s="7">
        <v>89.99</v>
      </c>
      <c r="R1054" s="7"/>
      <c r="S1054" s="7">
        <v>7.99</v>
      </c>
      <c r="T1054" s="7"/>
      <c r="U1054" s="7"/>
      <c r="V1054" s="7"/>
      <c r="W1054" s="7"/>
      <c r="X1054" s="7">
        <v>7.99</v>
      </c>
      <c r="Y1054" s="7" t="s">
        <v>5003</v>
      </c>
      <c r="Z1054" s="7" t="s">
        <v>440</v>
      </c>
      <c r="AA1054" s="7" t="s">
        <v>5004</v>
      </c>
      <c r="AB1054" s="7" t="s">
        <v>44</v>
      </c>
      <c r="AC1054" s="7"/>
      <c r="AD1054" s="7"/>
      <c r="AE1054" s="7"/>
      <c r="AF1054" s="7"/>
      <c r="AG1054" s="11">
        <f t="shared" si="16"/>
        <v>43286</v>
      </c>
    </row>
    <row r="1055" s="8" customFormat="1" spans="1:33">
      <c r="A1055" s="7" t="s">
        <v>5005</v>
      </c>
      <c r="B1055" s="7" t="s">
        <v>5005</v>
      </c>
      <c r="C1055" s="7" t="s">
        <v>5006</v>
      </c>
      <c r="D1055" s="7" t="s">
        <v>5007</v>
      </c>
      <c r="E1055" s="7" t="s">
        <v>4569</v>
      </c>
      <c r="F1055" s="7" t="s">
        <v>34</v>
      </c>
      <c r="G1055" s="7" t="s">
        <v>35</v>
      </c>
      <c r="H1055" s="7"/>
      <c r="I1055" s="7"/>
      <c r="J1055" s="7" t="s">
        <v>69</v>
      </c>
      <c r="K1055" s="7" t="s">
        <v>566</v>
      </c>
      <c r="L1055" s="7" t="s">
        <v>567</v>
      </c>
      <c r="M1055" s="7" t="s">
        <v>568</v>
      </c>
      <c r="N1055" s="7" t="s">
        <v>62</v>
      </c>
      <c r="O1055" s="7">
        <v>1</v>
      </c>
      <c r="P1055" s="7" t="s">
        <v>40</v>
      </c>
      <c r="Q1055" s="7">
        <v>99.6</v>
      </c>
      <c r="R1055" s="7"/>
      <c r="S1055" s="7"/>
      <c r="T1055" s="7"/>
      <c r="U1055" s="7"/>
      <c r="V1055" s="7"/>
      <c r="W1055" s="7"/>
      <c r="X1055" s="7"/>
      <c r="Y1055" s="7" t="s">
        <v>5008</v>
      </c>
      <c r="Z1055" s="7" t="s">
        <v>92</v>
      </c>
      <c r="AA1055" s="7" t="s">
        <v>5009</v>
      </c>
      <c r="AB1055" s="7" t="s">
        <v>44</v>
      </c>
      <c r="AC1055" s="7" t="s">
        <v>571</v>
      </c>
      <c r="AD1055" s="7"/>
      <c r="AE1055" s="7"/>
      <c r="AF1055" s="7"/>
      <c r="AG1055" s="11">
        <f t="shared" si="16"/>
        <v>43286</v>
      </c>
    </row>
    <row r="1056" s="8" customFormat="1" spans="1:33">
      <c r="A1056" s="7" t="s">
        <v>5010</v>
      </c>
      <c r="B1056" s="7" t="s">
        <v>5011</v>
      </c>
      <c r="C1056" s="7" t="s">
        <v>5012</v>
      </c>
      <c r="D1056" s="7" t="s">
        <v>5013</v>
      </c>
      <c r="E1056" s="7" t="s">
        <v>2389</v>
      </c>
      <c r="F1056" s="7" t="s">
        <v>34</v>
      </c>
      <c r="G1056" s="7" t="s">
        <v>950</v>
      </c>
      <c r="H1056" s="7"/>
      <c r="I1056" s="7"/>
      <c r="J1056" s="7" t="s">
        <v>69</v>
      </c>
      <c r="K1056" s="7" t="s">
        <v>79</v>
      </c>
      <c r="L1056" s="7" t="s">
        <v>80</v>
      </c>
      <c r="M1056" s="7" t="s">
        <v>81</v>
      </c>
      <c r="N1056" s="7" t="s">
        <v>62</v>
      </c>
      <c r="O1056" s="7">
        <v>2</v>
      </c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11">
        <f t="shared" si="16"/>
        <v>43287</v>
      </c>
    </row>
    <row r="1057" s="8" customFormat="1" spans="1:33">
      <c r="A1057" s="7" t="s">
        <v>5014</v>
      </c>
      <c r="B1057" s="7" t="s">
        <v>5014</v>
      </c>
      <c r="C1057" s="7" t="s">
        <v>5015</v>
      </c>
      <c r="D1057" s="7" t="s">
        <v>5016</v>
      </c>
      <c r="E1057" s="7" t="s">
        <v>33</v>
      </c>
      <c r="F1057" s="7" t="s">
        <v>34</v>
      </c>
      <c r="G1057" s="7" t="s">
        <v>35</v>
      </c>
      <c r="H1057" s="7"/>
      <c r="I1057" s="7"/>
      <c r="J1057" s="7" t="s">
        <v>69</v>
      </c>
      <c r="K1057" s="7" t="s">
        <v>2080</v>
      </c>
      <c r="L1057" s="7" t="s">
        <v>2081</v>
      </c>
      <c r="M1057" s="7" t="s">
        <v>2082</v>
      </c>
      <c r="N1057" s="7" t="s">
        <v>33</v>
      </c>
      <c r="O1057" s="7">
        <v>1</v>
      </c>
      <c r="P1057" s="7" t="s">
        <v>40</v>
      </c>
      <c r="Q1057" s="7">
        <v>79.99</v>
      </c>
      <c r="R1057" s="7"/>
      <c r="S1057" s="7">
        <v>7.85</v>
      </c>
      <c r="T1057" s="7"/>
      <c r="U1057" s="7"/>
      <c r="V1057" s="7"/>
      <c r="W1057" s="7"/>
      <c r="X1057" s="7"/>
      <c r="Y1057" s="7" t="s">
        <v>4592</v>
      </c>
      <c r="Z1057" s="7" t="s">
        <v>183</v>
      </c>
      <c r="AA1057" s="7" t="s">
        <v>5017</v>
      </c>
      <c r="AB1057" s="7" t="s">
        <v>44</v>
      </c>
      <c r="AC1057" s="7"/>
      <c r="AD1057" s="7"/>
      <c r="AE1057" s="7"/>
      <c r="AF1057" s="7"/>
      <c r="AG1057" s="11">
        <f t="shared" si="16"/>
        <v>43287</v>
      </c>
    </row>
    <row r="1058" s="8" customFormat="1" spans="1:33">
      <c r="A1058" s="7" t="s">
        <v>5018</v>
      </c>
      <c r="B1058" s="7" t="s">
        <v>5018</v>
      </c>
      <c r="C1058" s="7" t="s">
        <v>5019</v>
      </c>
      <c r="D1058" s="7" t="s">
        <v>5020</v>
      </c>
      <c r="E1058" s="7" t="s">
        <v>33</v>
      </c>
      <c r="F1058" s="7" t="s">
        <v>34</v>
      </c>
      <c r="G1058" s="7" t="s">
        <v>35</v>
      </c>
      <c r="H1058" s="7"/>
      <c r="I1058" s="7"/>
      <c r="J1058" s="7" t="s">
        <v>36</v>
      </c>
      <c r="K1058" s="7" t="s">
        <v>148</v>
      </c>
      <c r="L1058" s="7" t="s">
        <v>149</v>
      </c>
      <c r="M1058" s="7" t="s">
        <v>150</v>
      </c>
      <c r="N1058" s="7" t="s">
        <v>33</v>
      </c>
      <c r="O1058" s="7">
        <v>1</v>
      </c>
      <c r="P1058" s="7" t="s">
        <v>40</v>
      </c>
      <c r="Q1058" s="7">
        <v>98.99</v>
      </c>
      <c r="R1058" s="7"/>
      <c r="S1058" s="7"/>
      <c r="T1058" s="7"/>
      <c r="U1058" s="7"/>
      <c r="V1058" s="7"/>
      <c r="W1058" s="7"/>
      <c r="X1058" s="7"/>
      <c r="Y1058" s="7" t="s">
        <v>5021</v>
      </c>
      <c r="Z1058" s="7" t="s">
        <v>5022</v>
      </c>
      <c r="AA1058" s="7">
        <v>7087</v>
      </c>
      <c r="AB1058" s="7" t="s">
        <v>44</v>
      </c>
      <c r="AC1058" s="7"/>
      <c r="AD1058" s="7"/>
      <c r="AE1058" s="7"/>
      <c r="AF1058" s="7"/>
      <c r="AG1058" s="11">
        <f t="shared" si="16"/>
        <v>43287</v>
      </c>
    </row>
    <row r="1059" s="8" customFormat="1" spans="1:33">
      <c r="A1059" s="7" t="s">
        <v>5023</v>
      </c>
      <c r="B1059" s="7" t="s">
        <v>5023</v>
      </c>
      <c r="C1059" s="7" t="s">
        <v>5024</v>
      </c>
      <c r="D1059" s="7" t="s">
        <v>5025</v>
      </c>
      <c r="E1059" s="7" t="s">
        <v>33</v>
      </c>
      <c r="F1059" s="7" t="s">
        <v>34</v>
      </c>
      <c r="G1059" s="7" t="s">
        <v>35</v>
      </c>
      <c r="H1059" s="7"/>
      <c r="I1059" s="7"/>
      <c r="J1059" s="7" t="s">
        <v>36</v>
      </c>
      <c r="K1059" s="7" t="s">
        <v>660</v>
      </c>
      <c r="L1059" s="7" t="s">
        <v>661</v>
      </c>
      <c r="M1059" s="7" t="s">
        <v>662</v>
      </c>
      <c r="N1059" s="7" t="s">
        <v>33</v>
      </c>
      <c r="O1059" s="7">
        <v>1</v>
      </c>
      <c r="P1059" s="7" t="s">
        <v>40</v>
      </c>
      <c r="Q1059" s="7">
        <v>79.99</v>
      </c>
      <c r="R1059" s="7"/>
      <c r="S1059" s="7"/>
      <c r="T1059" s="7"/>
      <c r="U1059" s="7"/>
      <c r="V1059" s="7"/>
      <c r="W1059" s="7"/>
      <c r="X1059" s="7"/>
      <c r="Y1059" s="7" t="s">
        <v>249</v>
      </c>
      <c r="Z1059" s="7" t="s">
        <v>64</v>
      </c>
      <c r="AA1059" s="7" t="s">
        <v>5026</v>
      </c>
      <c r="AB1059" s="7" t="s">
        <v>44</v>
      </c>
      <c r="AC1059" s="7"/>
      <c r="AD1059" s="7"/>
      <c r="AE1059" s="7"/>
      <c r="AF1059" s="7"/>
      <c r="AG1059" s="11">
        <f t="shared" si="16"/>
        <v>43287</v>
      </c>
    </row>
    <row r="1060" s="8" customFormat="1" spans="1:33">
      <c r="A1060" s="7" t="s">
        <v>5027</v>
      </c>
      <c r="B1060" s="7" t="s">
        <v>5027</v>
      </c>
      <c r="C1060" s="7" t="s">
        <v>5028</v>
      </c>
      <c r="D1060" s="7" t="s">
        <v>5029</v>
      </c>
      <c r="E1060" s="7" t="s">
        <v>33</v>
      </c>
      <c r="F1060" s="7" t="s">
        <v>34</v>
      </c>
      <c r="G1060" s="7" t="s">
        <v>35</v>
      </c>
      <c r="H1060" s="7"/>
      <c r="I1060" s="7"/>
      <c r="J1060" s="7" t="s">
        <v>36</v>
      </c>
      <c r="K1060" s="7" t="s">
        <v>698</v>
      </c>
      <c r="L1060" s="7" t="s">
        <v>699</v>
      </c>
      <c r="M1060" s="7" t="s">
        <v>700</v>
      </c>
      <c r="N1060" s="7" t="s">
        <v>33</v>
      </c>
      <c r="O1060" s="7">
        <v>1</v>
      </c>
      <c r="P1060" s="7" t="s">
        <v>40</v>
      </c>
      <c r="Q1060" s="7">
        <v>21.99</v>
      </c>
      <c r="R1060" s="7"/>
      <c r="S1060" s="7">
        <v>2.2</v>
      </c>
      <c r="T1060" s="7"/>
      <c r="U1060" s="7"/>
      <c r="V1060" s="7"/>
      <c r="W1060" s="7"/>
      <c r="X1060" s="7"/>
      <c r="Y1060" s="7" t="s">
        <v>5030</v>
      </c>
      <c r="Z1060" s="7" t="s">
        <v>52</v>
      </c>
      <c r="AA1060" s="7" t="s">
        <v>5031</v>
      </c>
      <c r="AB1060" s="7" t="s">
        <v>44</v>
      </c>
      <c r="AC1060" s="7"/>
      <c r="AD1060" s="7"/>
      <c r="AE1060" s="7"/>
      <c r="AF1060" s="7"/>
      <c r="AG1060" s="11">
        <f t="shared" si="16"/>
        <v>43287</v>
      </c>
    </row>
    <row r="1061" s="8" customFormat="1" spans="1:33">
      <c r="A1061" s="7" t="s">
        <v>5032</v>
      </c>
      <c r="B1061" s="7" t="s">
        <v>5032</v>
      </c>
      <c r="C1061" s="7" t="s">
        <v>5033</v>
      </c>
      <c r="D1061" s="7" t="s">
        <v>5034</v>
      </c>
      <c r="E1061" s="7" t="s">
        <v>33</v>
      </c>
      <c r="F1061" s="7" t="s">
        <v>34</v>
      </c>
      <c r="G1061" s="7" t="s">
        <v>35</v>
      </c>
      <c r="H1061" s="7"/>
      <c r="I1061" s="7"/>
      <c r="J1061" s="7" t="s">
        <v>69</v>
      </c>
      <c r="K1061" s="7" t="s">
        <v>2147</v>
      </c>
      <c r="L1061" s="7" t="s">
        <v>2148</v>
      </c>
      <c r="M1061" s="7" t="s">
        <v>2149</v>
      </c>
      <c r="N1061" s="7" t="s">
        <v>33</v>
      </c>
      <c r="O1061" s="7">
        <v>1</v>
      </c>
      <c r="P1061" s="7" t="s">
        <v>40</v>
      </c>
      <c r="Q1061" s="7">
        <v>32.99</v>
      </c>
      <c r="R1061" s="7"/>
      <c r="S1061" s="7">
        <v>5.74</v>
      </c>
      <c r="T1061" s="7"/>
      <c r="U1061" s="7"/>
      <c r="V1061" s="7"/>
      <c r="W1061" s="7"/>
      <c r="X1061" s="7">
        <v>5.74</v>
      </c>
      <c r="Y1061" s="7" t="s">
        <v>5035</v>
      </c>
      <c r="Z1061" s="7" t="s">
        <v>42</v>
      </c>
      <c r="AA1061" s="7" t="s">
        <v>5036</v>
      </c>
      <c r="AB1061" s="7" t="s">
        <v>44</v>
      </c>
      <c r="AC1061" s="7" t="s">
        <v>75</v>
      </c>
      <c r="AD1061" s="7"/>
      <c r="AE1061" s="7"/>
      <c r="AF1061" s="7"/>
      <c r="AG1061" s="11">
        <f t="shared" si="16"/>
        <v>43287</v>
      </c>
    </row>
    <row r="1062" s="8" customFormat="1" spans="1:33">
      <c r="A1062" s="7" t="s">
        <v>5037</v>
      </c>
      <c r="B1062" s="7" t="s">
        <v>5037</v>
      </c>
      <c r="C1062" s="7" t="s">
        <v>5038</v>
      </c>
      <c r="D1062" s="7" t="s">
        <v>5039</v>
      </c>
      <c r="E1062" s="7" t="s">
        <v>33</v>
      </c>
      <c r="F1062" s="7" t="s">
        <v>34</v>
      </c>
      <c r="G1062" s="7" t="s">
        <v>35</v>
      </c>
      <c r="H1062" s="7"/>
      <c r="I1062" s="7"/>
      <c r="J1062" s="7" t="s">
        <v>36</v>
      </c>
      <c r="K1062" s="7" t="s">
        <v>37</v>
      </c>
      <c r="L1062" s="7" t="s">
        <v>38</v>
      </c>
      <c r="M1062" s="7" t="s">
        <v>39</v>
      </c>
      <c r="N1062" s="7" t="s">
        <v>33</v>
      </c>
      <c r="O1062" s="7">
        <v>1</v>
      </c>
      <c r="P1062" s="7" t="s">
        <v>40</v>
      </c>
      <c r="Q1062" s="7">
        <v>89.99</v>
      </c>
      <c r="R1062" s="7"/>
      <c r="S1062" s="7"/>
      <c r="T1062" s="7"/>
      <c r="U1062" s="7"/>
      <c r="V1062" s="7"/>
      <c r="W1062" s="7"/>
      <c r="X1062" s="7"/>
      <c r="Y1062" s="7" t="s">
        <v>5040</v>
      </c>
      <c r="Z1062" s="7" t="s">
        <v>135</v>
      </c>
      <c r="AA1062" s="7" t="s">
        <v>5041</v>
      </c>
      <c r="AB1062" s="7" t="s">
        <v>44</v>
      </c>
      <c r="AC1062" s="7"/>
      <c r="AD1062" s="7"/>
      <c r="AE1062" s="7"/>
      <c r="AF1062" s="7"/>
      <c r="AG1062" s="11">
        <f t="shared" si="16"/>
        <v>43287</v>
      </c>
    </row>
    <row r="1063" s="8" customFormat="1" spans="1:33">
      <c r="A1063" s="7" t="s">
        <v>5042</v>
      </c>
      <c r="B1063" s="7" t="s">
        <v>5042</v>
      </c>
      <c r="C1063" s="7" t="s">
        <v>5043</v>
      </c>
      <c r="D1063" s="7" t="s">
        <v>5044</v>
      </c>
      <c r="E1063" s="7" t="s">
        <v>33</v>
      </c>
      <c r="F1063" s="7" t="s">
        <v>34</v>
      </c>
      <c r="G1063" s="7" t="s">
        <v>35</v>
      </c>
      <c r="H1063" s="7"/>
      <c r="I1063" s="7"/>
      <c r="J1063" s="7" t="s">
        <v>36</v>
      </c>
      <c r="K1063" s="7" t="s">
        <v>1975</v>
      </c>
      <c r="L1063" s="7" t="s">
        <v>1976</v>
      </c>
      <c r="M1063" s="7" t="s">
        <v>1977</v>
      </c>
      <c r="N1063" s="7" t="s">
        <v>33</v>
      </c>
      <c r="O1063" s="7">
        <v>1</v>
      </c>
      <c r="P1063" s="7" t="s">
        <v>40</v>
      </c>
      <c r="Q1063" s="7">
        <v>92.99</v>
      </c>
      <c r="R1063" s="7"/>
      <c r="S1063" s="7"/>
      <c r="T1063" s="7"/>
      <c r="U1063" s="7"/>
      <c r="V1063" s="7"/>
      <c r="W1063" s="7"/>
      <c r="X1063" s="7"/>
      <c r="Y1063" s="7" t="s">
        <v>5045</v>
      </c>
      <c r="Z1063" s="7" t="s">
        <v>135</v>
      </c>
      <c r="AA1063" s="7" t="s">
        <v>5046</v>
      </c>
      <c r="AB1063" s="7" t="s">
        <v>44</v>
      </c>
      <c r="AC1063" s="7"/>
      <c r="AD1063" s="7"/>
      <c r="AE1063" s="7"/>
      <c r="AF1063" s="7"/>
      <c r="AG1063" s="11">
        <f t="shared" si="16"/>
        <v>43287</v>
      </c>
    </row>
    <row r="1064" s="8" customFormat="1" spans="1:33">
      <c r="A1064" s="7" t="s">
        <v>5047</v>
      </c>
      <c r="B1064" s="7" t="s">
        <v>5047</v>
      </c>
      <c r="C1064" s="7" t="s">
        <v>5048</v>
      </c>
      <c r="D1064" s="7" t="s">
        <v>5049</v>
      </c>
      <c r="E1064" s="7" t="s">
        <v>33</v>
      </c>
      <c r="F1064" s="7" t="s">
        <v>34</v>
      </c>
      <c r="G1064" s="7" t="s">
        <v>35</v>
      </c>
      <c r="H1064" s="7"/>
      <c r="I1064" s="7"/>
      <c r="J1064" s="7" t="s">
        <v>163</v>
      </c>
      <c r="K1064" s="7" t="s">
        <v>2035</v>
      </c>
      <c r="L1064" s="7" t="s">
        <v>89</v>
      </c>
      <c r="M1064" s="7" t="s">
        <v>90</v>
      </c>
      <c r="N1064" s="7" t="s">
        <v>33</v>
      </c>
      <c r="O1064" s="7">
        <v>1</v>
      </c>
      <c r="P1064" s="7" t="s">
        <v>40</v>
      </c>
      <c r="Q1064" s="7">
        <v>89.99</v>
      </c>
      <c r="R1064" s="7"/>
      <c r="S1064" s="7">
        <v>7.99</v>
      </c>
      <c r="T1064" s="7"/>
      <c r="U1064" s="7"/>
      <c r="V1064" s="7"/>
      <c r="W1064" s="7"/>
      <c r="X1064" s="7">
        <v>7.99</v>
      </c>
      <c r="Y1064" s="7" t="s">
        <v>3381</v>
      </c>
      <c r="Z1064" s="7" t="s">
        <v>42</v>
      </c>
      <c r="AA1064" s="7" t="s">
        <v>5050</v>
      </c>
      <c r="AB1064" s="7" t="s">
        <v>44</v>
      </c>
      <c r="AC1064" s="7"/>
      <c r="AD1064" s="7"/>
      <c r="AE1064" s="7"/>
      <c r="AF1064" s="7"/>
      <c r="AG1064" s="11">
        <f t="shared" si="16"/>
        <v>43287</v>
      </c>
    </row>
    <row r="1065" s="8" customFormat="1" spans="1:33">
      <c r="A1065" s="7" t="s">
        <v>5051</v>
      </c>
      <c r="B1065" s="7" t="s">
        <v>5051</v>
      </c>
      <c r="C1065" s="7" t="s">
        <v>5052</v>
      </c>
      <c r="D1065" s="7" t="s">
        <v>5053</v>
      </c>
      <c r="E1065" s="7" t="s">
        <v>4569</v>
      </c>
      <c r="F1065" s="7" t="s">
        <v>34</v>
      </c>
      <c r="G1065" s="7" t="s">
        <v>35</v>
      </c>
      <c r="H1065" s="7"/>
      <c r="I1065" s="7"/>
      <c r="J1065" s="7" t="s">
        <v>69</v>
      </c>
      <c r="K1065" s="7" t="s">
        <v>79</v>
      </c>
      <c r="L1065" s="7" t="s">
        <v>80</v>
      </c>
      <c r="M1065" s="7" t="s">
        <v>81</v>
      </c>
      <c r="N1065" s="7" t="s">
        <v>62</v>
      </c>
      <c r="O1065" s="7">
        <v>1</v>
      </c>
      <c r="P1065" s="7" t="s">
        <v>40</v>
      </c>
      <c r="Q1065" s="7">
        <v>91.99</v>
      </c>
      <c r="R1065" s="7"/>
      <c r="S1065" s="7"/>
      <c r="T1065" s="7"/>
      <c r="U1065" s="7"/>
      <c r="V1065" s="7"/>
      <c r="W1065" s="7"/>
      <c r="X1065" s="7"/>
      <c r="Y1065" s="7" t="s">
        <v>5054</v>
      </c>
      <c r="Z1065" s="7" t="s">
        <v>452</v>
      </c>
      <c r="AA1065" s="7" t="s">
        <v>5055</v>
      </c>
      <c r="AB1065" s="7" t="s">
        <v>44</v>
      </c>
      <c r="AC1065" s="7" t="s">
        <v>75</v>
      </c>
      <c r="AD1065" s="7"/>
      <c r="AE1065" s="7"/>
      <c r="AF1065" s="7"/>
      <c r="AG1065" s="11">
        <f t="shared" si="16"/>
        <v>43287</v>
      </c>
    </row>
    <row r="1066" s="8" customFormat="1" spans="1:33">
      <c r="A1066" s="7" t="s">
        <v>5056</v>
      </c>
      <c r="B1066" s="7" t="s">
        <v>5056</v>
      </c>
      <c r="C1066" s="7" t="s">
        <v>5057</v>
      </c>
      <c r="D1066" s="7" t="s">
        <v>5058</v>
      </c>
      <c r="E1066" s="7" t="s">
        <v>33</v>
      </c>
      <c r="F1066" s="7" t="s">
        <v>34</v>
      </c>
      <c r="G1066" s="7" t="s">
        <v>35</v>
      </c>
      <c r="H1066" s="7"/>
      <c r="I1066" s="7"/>
      <c r="J1066" s="7" t="s">
        <v>36</v>
      </c>
      <c r="K1066" s="7" t="s">
        <v>2127</v>
      </c>
      <c r="L1066" s="7" t="s">
        <v>2128</v>
      </c>
      <c r="M1066" s="7" t="s">
        <v>2129</v>
      </c>
      <c r="N1066" s="7" t="s">
        <v>33</v>
      </c>
      <c r="O1066" s="7">
        <v>1</v>
      </c>
      <c r="P1066" s="7" t="s">
        <v>40</v>
      </c>
      <c r="Q1066" s="7">
        <v>95.99</v>
      </c>
      <c r="R1066" s="7">
        <v>5.76</v>
      </c>
      <c r="S1066" s="7"/>
      <c r="T1066" s="7"/>
      <c r="U1066" s="7"/>
      <c r="V1066" s="7"/>
      <c r="W1066" s="7"/>
      <c r="X1066" s="7"/>
      <c r="Y1066" s="7" t="s">
        <v>5059</v>
      </c>
      <c r="Z1066" s="7" t="s">
        <v>880</v>
      </c>
      <c r="AA1066" s="7" t="s">
        <v>5060</v>
      </c>
      <c r="AB1066" s="7" t="s">
        <v>44</v>
      </c>
      <c r="AC1066" s="7"/>
      <c r="AD1066" s="7"/>
      <c r="AE1066" s="7"/>
      <c r="AF1066" s="7"/>
      <c r="AG1066" s="11">
        <f t="shared" si="16"/>
        <v>43287</v>
      </c>
    </row>
    <row r="1067" s="8" customFormat="1" spans="1:33">
      <c r="A1067" s="7" t="s">
        <v>5061</v>
      </c>
      <c r="B1067" s="7" t="s">
        <v>5061</v>
      </c>
      <c r="C1067" s="7" t="s">
        <v>5062</v>
      </c>
      <c r="D1067" s="7" t="s">
        <v>5063</v>
      </c>
      <c r="E1067" s="7" t="s">
        <v>33</v>
      </c>
      <c r="F1067" s="7" t="s">
        <v>34</v>
      </c>
      <c r="G1067" s="7" t="s">
        <v>35</v>
      </c>
      <c r="H1067" s="7"/>
      <c r="I1067" s="7"/>
      <c r="J1067" s="7" t="s">
        <v>36</v>
      </c>
      <c r="K1067" s="7" t="s">
        <v>749</v>
      </c>
      <c r="L1067" s="7" t="s">
        <v>750</v>
      </c>
      <c r="M1067" s="7" t="s">
        <v>751</v>
      </c>
      <c r="N1067" s="7" t="s">
        <v>33</v>
      </c>
      <c r="O1067" s="7">
        <v>1</v>
      </c>
      <c r="P1067" s="7" t="s">
        <v>40</v>
      </c>
      <c r="Q1067" s="7">
        <v>89.99</v>
      </c>
      <c r="R1067" s="7"/>
      <c r="S1067" s="7"/>
      <c r="T1067" s="7"/>
      <c r="U1067" s="7"/>
      <c r="V1067" s="7"/>
      <c r="W1067" s="7"/>
      <c r="X1067" s="7"/>
      <c r="Y1067" s="7" t="s">
        <v>4124</v>
      </c>
      <c r="Z1067" s="7" t="s">
        <v>5064</v>
      </c>
      <c r="AA1067" s="7">
        <v>64097</v>
      </c>
      <c r="AB1067" s="7" t="s">
        <v>44</v>
      </c>
      <c r="AC1067" s="7"/>
      <c r="AD1067" s="7"/>
      <c r="AE1067" s="7"/>
      <c r="AF1067" s="7"/>
      <c r="AG1067" s="11">
        <f t="shared" si="16"/>
        <v>43287</v>
      </c>
    </row>
    <row r="1068" s="8" customFormat="1" spans="1:33">
      <c r="A1068" s="7" t="s">
        <v>5065</v>
      </c>
      <c r="B1068" s="7" t="s">
        <v>5065</v>
      </c>
      <c r="C1068" s="7" t="s">
        <v>5066</v>
      </c>
      <c r="D1068" s="7" t="s">
        <v>5067</v>
      </c>
      <c r="E1068" s="7" t="s">
        <v>54</v>
      </c>
      <c r="F1068" s="7" t="s">
        <v>34</v>
      </c>
      <c r="G1068" s="7" t="s">
        <v>35</v>
      </c>
      <c r="H1068" s="7"/>
      <c r="I1068" s="7"/>
      <c r="J1068" s="7" t="s">
        <v>36</v>
      </c>
      <c r="K1068" s="7" t="s">
        <v>3290</v>
      </c>
      <c r="L1068" s="7" t="s">
        <v>4754</v>
      </c>
      <c r="M1068" s="7" t="s">
        <v>3292</v>
      </c>
      <c r="N1068" s="7" t="s">
        <v>62</v>
      </c>
      <c r="O1068" s="7">
        <v>1</v>
      </c>
      <c r="P1068" s="7" t="s">
        <v>40</v>
      </c>
      <c r="Q1068" s="7">
        <v>99.6</v>
      </c>
      <c r="R1068" s="7"/>
      <c r="S1068" s="7"/>
      <c r="T1068" s="7"/>
      <c r="U1068" s="7"/>
      <c r="V1068" s="7"/>
      <c r="W1068" s="7"/>
      <c r="X1068" s="7"/>
      <c r="Y1068" s="7" t="s">
        <v>5068</v>
      </c>
      <c r="Z1068" s="7" t="s">
        <v>52</v>
      </c>
      <c r="AA1068" s="7" t="s">
        <v>5069</v>
      </c>
      <c r="AB1068" s="7" t="s">
        <v>44</v>
      </c>
      <c r="AC1068" s="7"/>
      <c r="AD1068" s="7"/>
      <c r="AE1068" s="7"/>
      <c r="AF1068" s="7"/>
      <c r="AG1068" s="11">
        <f t="shared" si="16"/>
        <v>43287</v>
      </c>
    </row>
    <row r="1069" s="8" customFormat="1" spans="1:33">
      <c r="A1069" s="7" t="s">
        <v>5070</v>
      </c>
      <c r="B1069" s="7" t="s">
        <v>5070</v>
      </c>
      <c r="C1069" s="7" t="s">
        <v>5071</v>
      </c>
      <c r="D1069" s="7" t="s">
        <v>5072</v>
      </c>
      <c r="E1069" s="7" t="s">
        <v>33</v>
      </c>
      <c r="F1069" s="7" t="s">
        <v>34</v>
      </c>
      <c r="G1069" s="7" t="s">
        <v>35</v>
      </c>
      <c r="H1069" s="7"/>
      <c r="I1069" s="7"/>
      <c r="J1069" s="7" t="s">
        <v>36</v>
      </c>
      <c r="K1069" s="7" t="s">
        <v>2322</v>
      </c>
      <c r="L1069" s="7" t="s">
        <v>138</v>
      </c>
      <c r="M1069" s="7" t="s">
        <v>139</v>
      </c>
      <c r="N1069" s="7" t="s">
        <v>33</v>
      </c>
      <c r="O1069" s="7">
        <v>1</v>
      </c>
      <c r="P1069" s="7" t="s">
        <v>40</v>
      </c>
      <c r="Q1069" s="7">
        <v>99.99</v>
      </c>
      <c r="R1069" s="7"/>
      <c r="S1069" s="7"/>
      <c r="T1069" s="7"/>
      <c r="U1069" s="7"/>
      <c r="V1069" s="7"/>
      <c r="W1069" s="7"/>
      <c r="X1069" s="7"/>
      <c r="Y1069" s="7" t="s">
        <v>5073</v>
      </c>
      <c r="Z1069" s="7" t="s">
        <v>42</v>
      </c>
      <c r="AA1069" s="7" t="s">
        <v>5074</v>
      </c>
      <c r="AB1069" s="7" t="s">
        <v>44</v>
      </c>
      <c r="AC1069" s="7"/>
      <c r="AD1069" s="7"/>
      <c r="AE1069" s="7"/>
      <c r="AF1069" s="7"/>
      <c r="AG1069" s="11">
        <f t="shared" si="16"/>
        <v>43287</v>
      </c>
    </row>
    <row r="1070" s="8" customFormat="1" spans="1:33">
      <c r="A1070" s="7" t="s">
        <v>5075</v>
      </c>
      <c r="B1070" s="7" t="s">
        <v>5075</v>
      </c>
      <c r="C1070" s="7" t="s">
        <v>5076</v>
      </c>
      <c r="D1070" s="7" t="s">
        <v>5077</v>
      </c>
      <c r="E1070" s="7" t="s">
        <v>33</v>
      </c>
      <c r="F1070" s="7" t="s">
        <v>34</v>
      </c>
      <c r="G1070" s="7" t="s">
        <v>35</v>
      </c>
      <c r="H1070" s="7"/>
      <c r="I1070" s="7"/>
      <c r="J1070" s="7" t="s">
        <v>69</v>
      </c>
      <c r="K1070" s="7" t="s">
        <v>1700</v>
      </c>
      <c r="L1070" s="7" t="s">
        <v>1701</v>
      </c>
      <c r="M1070" s="7" t="s">
        <v>1702</v>
      </c>
      <c r="N1070" s="7" t="s">
        <v>33</v>
      </c>
      <c r="O1070" s="7">
        <v>1</v>
      </c>
      <c r="P1070" s="7" t="s">
        <v>40</v>
      </c>
      <c r="Q1070" s="7">
        <v>99.99</v>
      </c>
      <c r="R1070" s="7"/>
      <c r="S1070" s="7">
        <v>7.99</v>
      </c>
      <c r="T1070" s="7"/>
      <c r="U1070" s="7"/>
      <c r="V1070" s="7"/>
      <c r="W1070" s="7"/>
      <c r="X1070" s="7">
        <v>7.99</v>
      </c>
      <c r="Y1070" s="7" t="s">
        <v>238</v>
      </c>
      <c r="Z1070" s="7" t="s">
        <v>52</v>
      </c>
      <c r="AA1070" s="7" t="s">
        <v>5078</v>
      </c>
      <c r="AB1070" s="7" t="s">
        <v>44</v>
      </c>
      <c r="AC1070" s="7" t="s">
        <v>75</v>
      </c>
      <c r="AD1070" s="7"/>
      <c r="AE1070" s="7"/>
      <c r="AF1070" s="7"/>
      <c r="AG1070" s="11">
        <f t="shared" si="16"/>
        <v>43287</v>
      </c>
    </row>
    <row r="1071" s="8" customFormat="1" spans="1:33">
      <c r="A1071" s="7" t="s">
        <v>5079</v>
      </c>
      <c r="B1071" s="7" t="s">
        <v>5079</v>
      </c>
      <c r="C1071" s="7" t="s">
        <v>5080</v>
      </c>
      <c r="D1071" s="7" t="s">
        <v>5081</v>
      </c>
      <c r="E1071" s="7" t="s">
        <v>4569</v>
      </c>
      <c r="F1071" s="7" t="s">
        <v>34</v>
      </c>
      <c r="G1071" s="7" t="s">
        <v>35</v>
      </c>
      <c r="H1071" s="7"/>
      <c r="I1071" s="7"/>
      <c r="J1071" s="7" t="s">
        <v>69</v>
      </c>
      <c r="K1071" s="7" t="s">
        <v>2080</v>
      </c>
      <c r="L1071" s="7" t="s">
        <v>2081</v>
      </c>
      <c r="M1071" s="7" t="s">
        <v>2082</v>
      </c>
      <c r="N1071" s="7" t="s">
        <v>62</v>
      </c>
      <c r="O1071" s="7">
        <v>1</v>
      </c>
      <c r="P1071" s="7" t="s">
        <v>40</v>
      </c>
      <c r="Q1071" s="7">
        <v>79.99</v>
      </c>
      <c r="R1071" s="7"/>
      <c r="S1071" s="7"/>
      <c r="T1071" s="7"/>
      <c r="U1071" s="7"/>
      <c r="V1071" s="7"/>
      <c r="W1071" s="7"/>
      <c r="X1071" s="7"/>
      <c r="Y1071" s="7" t="s">
        <v>5082</v>
      </c>
      <c r="Z1071" s="7" t="s">
        <v>106</v>
      </c>
      <c r="AA1071" s="7" t="s">
        <v>5083</v>
      </c>
      <c r="AB1071" s="7" t="s">
        <v>44</v>
      </c>
      <c r="AC1071" s="7" t="s">
        <v>75</v>
      </c>
      <c r="AD1071" s="7"/>
      <c r="AE1071" s="7"/>
      <c r="AF1071" s="7"/>
      <c r="AG1071" s="11">
        <f t="shared" si="16"/>
        <v>43287</v>
      </c>
    </row>
    <row r="1072" s="8" customFormat="1" spans="1:33">
      <c r="A1072" s="7" t="s">
        <v>5084</v>
      </c>
      <c r="B1072" s="7" t="s">
        <v>5084</v>
      </c>
      <c r="C1072" s="7" t="s">
        <v>5085</v>
      </c>
      <c r="D1072" s="7" t="s">
        <v>5086</v>
      </c>
      <c r="E1072" s="7" t="s">
        <v>33</v>
      </c>
      <c r="F1072" s="7" t="s">
        <v>34</v>
      </c>
      <c r="G1072" s="7" t="s">
        <v>35</v>
      </c>
      <c r="H1072" s="7"/>
      <c r="I1072" s="7"/>
      <c r="J1072" s="7" t="s">
        <v>36</v>
      </c>
      <c r="K1072" s="7" t="s">
        <v>148</v>
      </c>
      <c r="L1072" s="7" t="s">
        <v>149</v>
      </c>
      <c r="M1072" s="7" t="s">
        <v>150</v>
      </c>
      <c r="N1072" s="7" t="s">
        <v>33</v>
      </c>
      <c r="O1072" s="7">
        <v>1</v>
      </c>
      <c r="P1072" s="7" t="s">
        <v>40</v>
      </c>
      <c r="Q1072" s="7">
        <v>98.99</v>
      </c>
      <c r="R1072" s="7"/>
      <c r="S1072" s="7"/>
      <c r="T1072" s="7"/>
      <c r="U1072" s="7"/>
      <c r="V1072" s="7"/>
      <c r="W1072" s="7"/>
      <c r="X1072" s="7"/>
      <c r="Y1072" s="7" t="s">
        <v>5087</v>
      </c>
      <c r="Z1072" s="7" t="s">
        <v>787</v>
      </c>
      <c r="AA1072" s="7" t="s">
        <v>5088</v>
      </c>
      <c r="AB1072" s="7" t="s">
        <v>44</v>
      </c>
      <c r="AC1072" s="7"/>
      <c r="AD1072" s="7"/>
      <c r="AE1072" s="7"/>
      <c r="AF1072" s="7"/>
      <c r="AG1072" s="11">
        <f t="shared" si="16"/>
        <v>43287</v>
      </c>
    </row>
    <row r="1073" s="8" customFormat="1" spans="1:33">
      <c r="A1073" s="7" t="s">
        <v>5089</v>
      </c>
      <c r="B1073" s="7" t="s">
        <v>5089</v>
      </c>
      <c r="C1073" s="7" t="s">
        <v>5090</v>
      </c>
      <c r="D1073" s="7" t="s">
        <v>5091</v>
      </c>
      <c r="E1073" s="7" t="s">
        <v>33</v>
      </c>
      <c r="F1073" s="7" t="s">
        <v>34</v>
      </c>
      <c r="G1073" s="7" t="s">
        <v>35</v>
      </c>
      <c r="H1073" s="7"/>
      <c r="I1073" s="7"/>
      <c r="J1073" s="7" t="s">
        <v>36</v>
      </c>
      <c r="K1073" s="7" t="s">
        <v>660</v>
      </c>
      <c r="L1073" s="7" t="s">
        <v>661</v>
      </c>
      <c r="M1073" s="7" t="s">
        <v>662</v>
      </c>
      <c r="N1073" s="7" t="s">
        <v>33</v>
      </c>
      <c r="O1073" s="7">
        <v>1</v>
      </c>
      <c r="P1073" s="7" t="s">
        <v>40</v>
      </c>
      <c r="Q1073" s="7">
        <v>79.99</v>
      </c>
      <c r="R1073" s="7"/>
      <c r="S1073" s="7"/>
      <c r="T1073" s="7"/>
      <c r="U1073" s="7"/>
      <c r="V1073" s="7"/>
      <c r="W1073" s="7"/>
      <c r="X1073" s="7"/>
      <c r="Y1073" s="7" t="s">
        <v>1733</v>
      </c>
      <c r="Z1073" s="7" t="s">
        <v>64</v>
      </c>
      <c r="AA1073" s="7" t="s">
        <v>5092</v>
      </c>
      <c r="AB1073" s="7" t="s">
        <v>44</v>
      </c>
      <c r="AC1073" s="7"/>
      <c r="AD1073" s="7"/>
      <c r="AE1073" s="7"/>
      <c r="AF1073" s="7"/>
      <c r="AG1073" s="11">
        <f t="shared" si="16"/>
        <v>43287</v>
      </c>
    </row>
    <row r="1074" s="8" customFormat="1" spans="1:33">
      <c r="A1074" s="7" t="s">
        <v>5093</v>
      </c>
      <c r="B1074" s="7" t="s">
        <v>5093</v>
      </c>
      <c r="C1074" s="7" t="s">
        <v>5094</v>
      </c>
      <c r="D1074" s="7" t="s">
        <v>5095</v>
      </c>
      <c r="E1074" s="7" t="s">
        <v>33</v>
      </c>
      <c r="F1074" s="7" t="s">
        <v>34</v>
      </c>
      <c r="G1074" s="7" t="s">
        <v>35</v>
      </c>
      <c r="H1074" s="7"/>
      <c r="I1074" s="7"/>
      <c r="J1074" s="7" t="s">
        <v>163</v>
      </c>
      <c r="K1074" s="7" t="s">
        <v>431</v>
      </c>
      <c r="L1074" s="7" t="s">
        <v>432</v>
      </c>
      <c r="M1074" s="7" t="s">
        <v>433</v>
      </c>
      <c r="N1074" s="7" t="s">
        <v>33</v>
      </c>
      <c r="O1074" s="7">
        <v>1</v>
      </c>
      <c r="P1074" s="7" t="s">
        <v>40</v>
      </c>
      <c r="Q1074" s="7">
        <v>89.99</v>
      </c>
      <c r="R1074" s="7"/>
      <c r="S1074" s="7">
        <v>5.99</v>
      </c>
      <c r="T1074" s="7"/>
      <c r="U1074" s="7"/>
      <c r="V1074" s="7"/>
      <c r="W1074" s="7"/>
      <c r="X1074" s="7">
        <v>5.99</v>
      </c>
      <c r="Y1074" s="7" t="s">
        <v>5096</v>
      </c>
      <c r="Z1074" s="7" t="s">
        <v>152</v>
      </c>
      <c r="AA1074" s="7" t="s">
        <v>5097</v>
      </c>
      <c r="AB1074" s="7" t="s">
        <v>44</v>
      </c>
      <c r="AC1074" s="7"/>
      <c r="AD1074" s="7"/>
      <c r="AE1074" s="7"/>
      <c r="AF1074" s="7"/>
      <c r="AG1074" s="11">
        <f t="shared" si="16"/>
        <v>43287</v>
      </c>
    </row>
    <row r="1075" s="8" customFormat="1" spans="1:33">
      <c r="A1075" s="7" t="s">
        <v>5098</v>
      </c>
      <c r="B1075" s="7" t="s">
        <v>5098</v>
      </c>
      <c r="C1075" s="7" t="s">
        <v>5099</v>
      </c>
      <c r="D1075" s="7" t="s">
        <v>5100</v>
      </c>
      <c r="E1075" s="7" t="s">
        <v>33</v>
      </c>
      <c r="F1075" s="7" t="s">
        <v>34</v>
      </c>
      <c r="G1075" s="7" t="s">
        <v>35</v>
      </c>
      <c r="H1075" s="7"/>
      <c r="I1075" s="7"/>
      <c r="J1075" s="7" t="s">
        <v>163</v>
      </c>
      <c r="K1075" s="7" t="s">
        <v>102</v>
      </c>
      <c r="L1075" s="7" t="s">
        <v>103</v>
      </c>
      <c r="M1075" s="7" t="s">
        <v>104</v>
      </c>
      <c r="N1075" s="7" t="s">
        <v>33</v>
      </c>
      <c r="O1075" s="7">
        <v>1</v>
      </c>
      <c r="P1075" s="7" t="s">
        <v>40</v>
      </c>
      <c r="Q1075" s="7">
        <v>89.99</v>
      </c>
      <c r="R1075" s="7"/>
      <c r="S1075" s="7">
        <v>5.99</v>
      </c>
      <c r="T1075" s="7"/>
      <c r="U1075" s="7"/>
      <c r="V1075" s="7"/>
      <c r="W1075" s="7">
        <v>9</v>
      </c>
      <c r="X1075" s="7">
        <v>5.99</v>
      </c>
      <c r="Y1075" s="7" t="s">
        <v>5101</v>
      </c>
      <c r="Z1075" s="7" t="s">
        <v>135</v>
      </c>
      <c r="AA1075" s="7" t="s">
        <v>5102</v>
      </c>
      <c r="AB1075" s="7" t="s">
        <v>44</v>
      </c>
      <c r="AC1075" s="7" t="s">
        <v>798</v>
      </c>
      <c r="AD1075" s="7"/>
      <c r="AE1075" s="7"/>
      <c r="AF1075" s="7"/>
      <c r="AG1075" s="11">
        <f t="shared" si="16"/>
        <v>43287</v>
      </c>
    </row>
    <row r="1076" s="8" customFormat="1" spans="1:33">
      <c r="A1076" s="7" t="s">
        <v>5103</v>
      </c>
      <c r="B1076" s="7" t="s">
        <v>5103</v>
      </c>
      <c r="C1076" s="7" t="s">
        <v>5104</v>
      </c>
      <c r="D1076" s="7" t="s">
        <v>5105</v>
      </c>
      <c r="E1076" s="7" t="s">
        <v>33</v>
      </c>
      <c r="F1076" s="7" t="s">
        <v>34</v>
      </c>
      <c r="G1076" s="7" t="s">
        <v>35</v>
      </c>
      <c r="H1076" s="7"/>
      <c r="I1076" s="7"/>
      <c r="J1076" s="7" t="s">
        <v>163</v>
      </c>
      <c r="K1076" s="7" t="s">
        <v>1700</v>
      </c>
      <c r="L1076" s="7" t="s">
        <v>1701</v>
      </c>
      <c r="M1076" s="7" t="s">
        <v>1702</v>
      </c>
      <c r="N1076" s="7" t="s">
        <v>33</v>
      </c>
      <c r="O1076" s="7">
        <v>1</v>
      </c>
      <c r="P1076" s="7" t="s">
        <v>40</v>
      </c>
      <c r="Q1076" s="7">
        <v>99.99</v>
      </c>
      <c r="R1076" s="7"/>
      <c r="S1076" s="7">
        <v>29.95</v>
      </c>
      <c r="T1076" s="7"/>
      <c r="U1076" s="7"/>
      <c r="V1076" s="7"/>
      <c r="W1076" s="7"/>
      <c r="X1076" s="7"/>
      <c r="Y1076" s="7" t="s">
        <v>5106</v>
      </c>
      <c r="Z1076" s="7" t="s">
        <v>42</v>
      </c>
      <c r="AA1076" s="7" t="s">
        <v>5107</v>
      </c>
      <c r="AB1076" s="7" t="s">
        <v>44</v>
      </c>
      <c r="AC1076" s="7"/>
      <c r="AD1076" s="7"/>
      <c r="AE1076" s="7"/>
      <c r="AF1076" s="7"/>
      <c r="AG1076" s="11">
        <f t="shared" si="16"/>
        <v>43287</v>
      </c>
    </row>
    <row r="1077" s="8" customFormat="1" spans="1:33">
      <c r="A1077" s="7" t="s">
        <v>5108</v>
      </c>
      <c r="B1077" s="7" t="s">
        <v>5108</v>
      </c>
      <c r="C1077" s="7" t="s">
        <v>5109</v>
      </c>
      <c r="D1077" s="7" t="s">
        <v>5110</v>
      </c>
      <c r="E1077" s="7" t="s">
        <v>33</v>
      </c>
      <c r="F1077" s="7" t="s">
        <v>34</v>
      </c>
      <c r="G1077" s="7" t="s">
        <v>35</v>
      </c>
      <c r="H1077" s="7"/>
      <c r="I1077" s="7"/>
      <c r="J1077" s="7" t="s">
        <v>36</v>
      </c>
      <c r="K1077" s="7" t="s">
        <v>275</v>
      </c>
      <c r="L1077" s="7" t="s">
        <v>276</v>
      </c>
      <c r="M1077" s="7" t="s">
        <v>277</v>
      </c>
      <c r="N1077" s="7" t="s">
        <v>33</v>
      </c>
      <c r="O1077" s="7">
        <v>1</v>
      </c>
      <c r="P1077" s="7" t="s">
        <v>40</v>
      </c>
      <c r="Q1077" s="7">
        <v>89.99</v>
      </c>
      <c r="R1077" s="7"/>
      <c r="S1077" s="7"/>
      <c r="T1077" s="7"/>
      <c r="U1077" s="7"/>
      <c r="V1077" s="7"/>
      <c r="W1077" s="7"/>
      <c r="X1077" s="7"/>
      <c r="Y1077" s="7" t="s">
        <v>5111</v>
      </c>
      <c r="Z1077" s="7" t="s">
        <v>497</v>
      </c>
      <c r="AA1077" s="7" t="s">
        <v>5112</v>
      </c>
      <c r="AB1077" s="7" t="s">
        <v>44</v>
      </c>
      <c r="AC1077" s="7"/>
      <c r="AD1077" s="7"/>
      <c r="AE1077" s="7"/>
      <c r="AF1077" s="7"/>
      <c r="AG1077" s="11">
        <f t="shared" si="16"/>
        <v>43287</v>
      </c>
    </row>
    <row r="1078" s="8" customFormat="1" spans="1:33">
      <c r="A1078" s="7" t="s">
        <v>5113</v>
      </c>
      <c r="B1078" s="7" t="s">
        <v>5113</v>
      </c>
      <c r="C1078" s="7" t="s">
        <v>5114</v>
      </c>
      <c r="D1078" s="7" t="s">
        <v>5115</v>
      </c>
      <c r="E1078" s="7" t="s">
        <v>54</v>
      </c>
      <c r="F1078" s="7" t="s">
        <v>34</v>
      </c>
      <c r="G1078" s="7" t="s">
        <v>35</v>
      </c>
      <c r="H1078" s="7"/>
      <c r="I1078" s="7"/>
      <c r="J1078" s="7" t="s">
        <v>69</v>
      </c>
      <c r="K1078" s="7" t="s">
        <v>2625</v>
      </c>
      <c r="L1078" s="7" t="s">
        <v>2626</v>
      </c>
      <c r="M1078" s="7" t="s">
        <v>2627</v>
      </c>
      <c r="N1078" s="7" t="s">
        <v>54</v>
      </c>
      <c r="O1078" s="7">
        <v>0</v>
      </c>
      <c r="P1078" s="7"/>
      <c r="Q1078" s="7"/>
      <c r="R1078" s="7"/>
      <c r="S1078" s="7"/>
      <c r="T1078" s="7"/>
      <c r="U1078" s="7"/>
      <c r="V1078" s="7"/>
      <c r="W1078" s="7"/>
      <c r="X1078" s="7"/>
      <c r="Y1078" s="7" t="s">
        <v>2741</v>
      </c>
      <c r="Z1078" s="7" t="s">
        <v>152</v>
      </c>
      <c r="AA1078" s="7" t="s">
        <v>5116</v>
      </c>
      <c r="AB1078" s="7" t="s">
        <v>44</v>
      </c>
      <c r="AC1078" s="7"/>
      <c r="AD1078" s="7"/>
      <c r="AE1078" s="7"/>
      <c r="AF1078" s="7"/>
      <c r="AG1078" s="11">
        <f t="shared" si="16"/>
        <v>43287</v>
      </c>
    </row>
    <row r="1079" s="8" customFormat="1" spans="1:33">
      <c r="A1079" s="7" t="s">
        <v>5117</v>
      </c>
      <c r="B1079" s="7" t="s">
        <v>5117</v>
      </c>
      <c r="C1079" s="7" t="s">
        <v>5118</v>
      </c>
      <c r="D1079" s="7" t="s">
        <v>5119</v>
      </c>
      <c r="E1079" s="7" t="s">
        <v>33</v>
      </c>
      <c r="F1079" s="7" t="s">
        <v>34</v>
      </c>
      <c r="G1079" s="7" t="s">
        <v>35</v>
      </c>
      <c r="H1079" s="7"/>
      <c r="I1079" s="7"/>
      <c r="J1079" s="7" t="s">
        <v>36</v>
      </c>
      <c r="K1079" s="7" t="s">
        <v>37</v>
      </c>
      <c r="L1079" s="7" t="s">
        <v>38</v>
      </c>
      <c r="M1079" s="7" t="s">
        <v>39</v>
      </c>
      <c r="N1079" s="7" t="s">
        <v>33</v>
      </c>
      <c r="O1079" s="7">
        <v>1</v>
      </c>
      <c r="P1079" s="7" t="s">
        <v>40</v>
      </c>
      <c r="Q1079" s="7">
        <v>89.99</v>
      </c>
      <c r="R1079" s="7"/>
      <c r="S1079" s="7"/>
      <c r="T1079" s="7"/>
      <c r="U1079" s="7"/>
      <c r="V1079" s="7"/>
      <c r="W1079" s="7"/>
      <c r="X1079" s="7"/>
      <c r="Y1079" s="7" t="s">
        <v>4868</v>
      </c>
      <c r="Z1079" s="7" t="s">
        <v>837</v>
      </c>
      <c r="AA1079" s="7" t="s">
        <v>5120</v>
      </c>
      <c r="AB1079" s="7" t="s">
        <v>44</v>
      </c>
      <c r="AC1079" s="7"/>
      <c r="AD1079" s="7"/>
      <c r="AE1079" s="7"/>
      <c r="AF1079" s="7"/>
      <c r="AG1079" s="11">
        <f t="shared" si="16"/>
        <v>43287</v>
      </c>
    </row>
    <row r="1080" s="8" customFormat="1" spans="1:33">
      <c r="A1080" s="7" t="s">
        <v>5121</v>
      </c>
      <c r="B1080" s="7" t="s">
        <v>5121</v>
      </c>
      <c r="C1080" s="7" t="s">
        <v>5122</v>
      </c>
      <c r="D1080" s="7" t="s">
        <v>5123</v>
      </c>
      <c r="E1080" s="7" t="s">
        <v>33</v>
      </c>
      <c r="F1080" s="7" t="s">
        <v>34</v>
      </c>
      <c r="G1080" s="7" t="s">
        <v>35</v>
      </c>
      <c r="H1080" s="7"/>
      <c r="I1080" s="7"/>
      <c r="J1080" s="7" t="s">
        <v>36</v>
      </c>
      <c r="K1080" s="7" t="s">
        <v>79</v>
      </c>
      <c r="L1080" s="7" t="s">
        <v>80</v>
      </c>
      <c r="M1080" s="7" t="s">
        <v>81</v>
      </c>
      <c r="N1080" s="7" t="s">
        <v>33</v>
      </c>
      <c r="O1080" s="7">
        <v>1</v>
      </c>
      <c r="P1080" s="7" t="s">
        <v>40</v>
      </c>
      <c r="Q1080" s="7">
        <v>91.99</v>
      </c>
      <c r="R1080" s="7"/>
      <c r="S1080" s="7"/>
      <c r="T1080" s="7"/>
      <c r="U1080" s="7"/>
      <c r="V1080" s="7"/>
      <c r="W1080" s="7"/>
      <c r="X1080" s="7"/>
      <c r="Y1080" s="7" t="s">
        <v>5124</v>
      </c>
      <c r="Z1080" s="7" t="s">
        <v>244</v>
      </c>
      <c r="AA1080" s="7" t="s">
        <v>5125</v>
      </c>
      <c r="AB1080" s="7" t="s">
        <v>44</v>
      </c>
      <c r="AC1080" s="7"/>
      <c r="AD1080" s="7"/>
      <c r="AE1080" s="7"/>
      <c r="AF1080" s="7"/>
      <c r="AG1080" s="11">
        <f t="shared" si="16"/>
        <v>43287</v>
      </c>
    </row>
    <row r="1081" s="8" customFormat="1" spans="1:33">
      <c r="A1081" s="7" t="s">
        <v>5126</v>
      </c>
      <c r="B1081" s="7" t="s">
        <v>5126</v>
      </c>
      <c r="C1081" s="7" t="s">
        <v>5127</v>
      </c>
      <c r="D1081" s="7" t="s">
        <v>5128</v>
      </c>
      <c r="E1081" s="7" t="s">
        <v>33</v>
      </c>
      <c r="F1081" s="7" t="s">
        <v>34</v>
      </c>
      <c r="G1081" s="7" t="s">
        <v>35</v>
      </c>
      <c r="H1081" s="7"/>
      <c r="I1081" s="7"/>
      <c r="J1081" s="7" t="s">
        <v>36</v>
      </c>
      <c r="K1081" s="7" t="s">
        <v>275</v>
      </c>
      <c r="L1081" s="7" t="s">
        <v>276</v>
      </c>
      <c r="M1081" s="7" t="s">
        <v>277</v>
      </c>
      <c r="N1081" s="7" t="s">
        <v>33</v>
      </c>
      <c r="O1081" s="7">
        <v>1</v>
      </c>
      <c r="P1081" s="7" t="s">
        <v>40</v>
      </c>
      <c r="Q1081" s="7">
        <v>89.99</v>
      </c>
      <c r="R1081" s="7"/>
      <c r="S1081" s="7"/>
      <c r="T1081" s="7"/>
      <c r="U1081" s="7"/>
      <c r="V1081" s="7"/>
      <c r="W1081" s="7"/>
      <c r="X1081" s="7"/>
      <c r="Y1081" s="7" t="s">
        <v>5129</v>
      </c>
      <c r="Z1081" s="7" t="s">
        <v>42</v>
      </c>
      <c r="AA1081" s="7" t="s">
        <v>5130</v>
      </c>
      <c r="AB1081" s="7" t="s">
        <v>44</v>
      </c>
      <c r="AC1081" s="7"/>
      <c r="AD1081" s="7"/>
      <c r="AE1081" s="7"/>
      <c r="AF1081" s="7"/>
      <c r="AG1081" s="11">
        <f t="shared" si="16"/>
        <v>43287</v>
      </c>
    </row>
    <row r="1082" s="8" customFormat="1" spans="1:33">
      <c r="A1082" s="7" t="s">
        <v>5131</v>
      </c>
      <c r="B1082" s="7" t="s">
        <v>5131</v>
      </c>
      <c r="C1082" s="7" t="s">
        <v>5132</v>
      </c>
      <c r="D1082" s="7" t="s">
        <v>5133</v>
      </c>
      <c r="E1082" s="7" t="s">
        <v>33</v>
      </c>
      <c r="F1082" s="7" t="s">
        <v>34</v>
      </c>
      <c r="G1082" s="7" t="s">
        <v>35</v>
      </c>
      <c r="H1082" s="7"/>
      <c r="I1082" s="7"/>
      <c r="J1082" s="7" t="s">
        <v>36</v>
      </c>
      <c r="K1082" s="7" t="s">
        <v>493</v>
      </c>
      <c r="L1082" s="7" t="s">
        <v>494</v>
      </c>
      <c r="M1082" s="7" t="s">
        <v>495</v>
      </c>
      <c r="N1082" s="7" t="s">
        <v>33</v>
      </c>
      <c r="O1082" s="7">
        <v>1</v>
      </c>
      <c r="P1082" s="7" t="s">
        <v>40</v>
      </c>
      <c r="Q1082" s="7">
        <v>106.99</v>
      </c>
      <c r="R1082" s="7"/>
      <c r="S1082" s="7"/>
      <c r="T1082" s="7"/>
      <c r="U1082" s="7"/>
      <c r="V1082" s="7"/>
      <c r="W1082" s="7"/>
      <c r="X1082" s="7"/>
      <c r="Y1082" s="7" t="s">
        <v>1073</v>
      </c>
      <c r="Z1082" s="7" t="s">
        <v>64</v>
      </c>
      <c r="AA1082" s="7" t="s">
        <v>5134</v>
      </c>
      <c r="AB1082" s="7" t="s">
        <v>44</v>
      </c>
      <c r="AC1082" s="7"/>
      <c r="AD1082" s="7"/>
      <c r="AE1082" s="7"/>
      <c r="AF1082" s="7"/>
      <c r="AG1082" s="11">
        <f t="shared" si="16"/>
        <v>43287</v>
      </c>
    </row>
    <row r="1083" s="8" customFormat="1" spans="1:33">
      <c r="A1083" s="7" t="s">
        <v>5135</v>
      </c>
      <c r="B1083" s="7" t="s">
        <v>5135</v>
      </c>
      <c r="C1083" s="7" t="s">
        <v>5136</v>
      </c>
      <c r="D1083" s="7" t="s">
        <v>5137</v>
      </c>
      <c r="E1083" s="7" t="s">
        <v>54</v>
      </c>
      <c r="F1083" s="7" t="s">
        <v>34</v>
      </c>
      <c r="G1083" s="7" t="s">
        <v>35</v>
      </c>
      <c r="H1083" s="7"/>
      <c r="I1083" s="7"/>
      <c r="J1083" s="7" t="s">
        <v>36</v>
      </c>
      <c r="K1083" s="7" t="s">
        <v>364</v>
      </c>
      <c r="L1083" s="7" t="s">
        <v>648</v>
      </c>
      <c r="M1083" s="7" t="s">
        <v>649</v>
      </c>
      <c r="N1083" s="7" t="s">
        <v>54</v>
      </c>
      <c r="O1083" s="7">
        <v>0</v>
      </c>
      <c r="P1083" s="7"/>
      <c r="Q1083" s="7"/>
      <c r="R1083" s="7"/>
      <c r="S1083" s="7"/>
      <c r="T1083" s="7"/>
      <c r="U1083" s="7"/>
      <c r="V1083" s="7"/>
      <c r="W1083" s="7"/>
      <c r="X1083" s="7"/>
      <c r="Y1083" s="7" t="s">
        <v>5138</v>
      </c>
      <c r="Z1083" s="7" t="s">
        <v>42</v>
      </c>
      <c r="AA1083" s="7" t="s">
        <v>5139</v>
      </c>
      <c r="AB1083" s="7" t="s">
        <v>44</v>
      </c>
      <c r="AC1083" s="7"/>
      <c r="AD1083" s="7"/>
      <c r="AE1083" s="7"/>
      <c r="AF1083" s="7"/>
      <c r="AG1083" s="11">
        <f t="shared" si="16"/>
        <v>43287</v>
      </c>
    </row>
    <row r="1084" s="8" customFormat="1" spans="1:33">
      <c r="A1084" s="7" t="s">
        <v>5140</v>
      </c>
      <c r="B1084" s="7" t="s">
        <v>5140</v>
      </c>
      <c r="C1084" s="7" t="s">
        <v>5141</v>
      </c>
      <c r="D1084" s="7" t="s">
        <v>5142</v>
      </c>
      <c r="E1084" s="7" t="s">
        <v>54</v>
      </c>
      <c r="F1084" s="7" t="s">
        <v>34</v>
      </c>
      <c r="G1084" s="7" t="s">
        <v>35</v>
      </c>
      <c r="H1084" s="7"/>
      <c r="I1084" s="7"/>
      <c r="J1084" s="7" t="s">
        <v>36</v>
      </c>
      <c r="K1084" s="7" t="s">
        <v>1215</v>
      </c>
      <c r="L1084" s="7" t="s">
        <v>1216</v>
      </c>
      <c r="M1084" s="7" t="s">
        <v>1217</v>
      </c>
      <c r="N1084" s="7" t="s">
        <v>54</v>
      </c>
      <c r="O1084" s="7">
        <v>0</v>
      </c>
      <c r="P1084" s="7"/>
      <c r="Q1084" s="7"/>
      <c r="R1084" s="7"/>
      <c r="S1084" s="7"/>
      <c r="T1084" s="7"/>
      <c r="U1084" s="7"/>
      <c r="V1084" s="7"/>
      <c r="W1084" s="7"/>
      <c r="X1084" s="7"/>
      <c r="Y1084" s="7" t="s">
        <v>3982</v>
      </c>
      <c r="Z1084" s="7" t="s">
        <v>293</v>
      </c>
      <c r="AA1084" s="7" t="s">
        <v>3983</v>
      </c>
      <c r="AB1084" s="7" t="s">
        <v>44</v>
      </c>
      <c r="AC1084" s="7"/>
      <c r="AD1084" s="7"/>
      <c r="AE1084" s="7"/>
      <c r="AF1084" s="7"/>
      <c r="AG1084" s="11">
        <f t="shared" si="16"/>
        <v>43287</v>
      </c>
    </row>
    <row r="1085" s="8" customFormat="1" spans="1:33">
      <c r="A1085" s="7" t="s">
        <v>5143</v>
      </c>
      <c r="B1085" s="7" t="s">
        <v>5143</v>
      </c>
      <c r="C1085" s="7" t="s">
        <v>5144</v>
      </c>
      <c r="D1085" s="7" t="s">
        <v>5145</v>
      </c>
      <c r="E1085" s="7" t="s">
        <v>33</v>
      </c>
      <c r="F1085" s="7" t="s">
        <v>34</v>
      </c>
      <c r="G1085" s="7" t="s">
        <v>35</v>
      </c>
      <c r="H1085" s="7"/>
      <c r="I1085" s="7"/>
      <c r="J1085" s="7" t="s">
        <v>36</v>
      </c>
      <c r="K1085" s="7" t="s">
        <v>131</v>
      </c>
      <c r="L1085" s="7" t="s">
        <v>132</v>
      </c>
      <c r="M1085" s="7" t="s">
        <v>133</v>
      </c>
      <c r="N1085" s="7" t="s">
        <v>33</v>
      </c>
      <c r="O1085" s="7">
        <v>1</v>
      </c>
      <c r="P1085" s="7" t="s">
        <v>40</v>
      </c>
      <c r="Q1085" s="7">
        <v>89.99</v>
      </c>
      <c r="R1085" s="7"/>
      <c r="S1085" s="7"/>
      <c r="T1085" s="7"/>
      <c r="U1085" s="7"/>
      <c r="V1085" s="7"/>
      <c r="W1085" s="7"/>
      <c r="X1085" s="7"/>
      <c r="Y1085" s="7" t="s">
        <v>5146</v>
      </c>
      <c r="Z1085" s="7" t="s">
        <v>293</v>
      </c>
      <c r="AA1085" s="7" t="s">
        <v>5147</v>
      </c>
      <c r="AB1085" s="7" t="s">
        <v>44</v>
      </c>
      <c r="AC1085" s="7"/>
      <c r="AD1085" s="7"/>
      <c r="AE1085" s="7"/>
      <c r="AF1085" s="7"/>
      <c r="AG1085" s="11">
        <f t="shared" si="16"/>
        <v>43287</v>
      </c>
    </row>
    <row r="1086" s="8" customFormat="1" spans="1:33">
      <c r="A1086" s="7" t="s">
        <v>5148</v>
      </c>
      <c r="B1086" s="7" t="s">
        <v>5148</v>
      </c>
      <c r="C1086" s="7" t="s">
        <v>5149</v>
      </c>
      <c r="D1086" s="7" t="s">
        <v>5150</v>
      </c>
      <c r="E1086" s="7" t="s">
        <v>33</v>
      </c>
      <c r="F1086" s="7" t="s">
        <v>34</v>
      </c>
      <c r="G1086" s="7" t="s">
        <v>35</v>
      </c>
      <c r="H1086" s="7"/>
      <c r="I1086" s="7"/>
      <c r="J1086" s="7" t="s">
        <v>36</v>
      </c>
      <c r="K1086" s="7" t="s">
        <v>1975</v>
      </c>
      <c r="L1086" s="7" t="s">
        <v>1976</v>
      </c>
      <c r="M1086" s="7" t="s">
        <v>1977</v>
      </c>
      <c r="N1086" s="7" t="s">
        <v>33</v>
      </c>
      <c r="O1086" s="7">
        <v>1</v>
      </c>
      <c r="P1086" s="7" t="s">
        <v>40</v>
      </c>
      <c r="Q1086" s="7">
        <v>92.99</v>
      </c>
      <c r="R1086" s="7"/>
      <c r="S1086" s="7"/>
      <c r="T1086" s="7"/>
      <c r="U1086" s="7"/>
      <c r="V1086" s="7"/>
      <c r="W1086" s="7"/>
      <c r="X1086" s="7"/>
      <c r="Y1086" s="7" t="s">
        <v>5151</v>
      </c>
      <c r="Z1086" s="7" t="s">
        <v>723</v>
      </c>
      <c r="AA1086" s="7" t="s">
        <v>5152</v>
      </c>
      <c r="AB1086" s="7" t="s">
        <v>44</v>
      </c>
      <c r="AC1086" s="7"/>
      <c r="AD1086" s="7"/>
      <c r="AE1086" s="7"/>
      <c r="AF1086" s="7"/>
      <c r="AG1086" s="11">
        <f t="shared" si="16"/>
        <v>43287</v>
      </c>
    </row>
    <row r="1087" s="8" customFormat="1" spans="1:33">
      <c r="A1087" s="7" t="s">
        <v>5153</v>
      </c>
      <c r="B1087" s="7" t="s">
        <v>5153</v>
      </c>
      <c r="C1087" s="7" t="s">
        <v>5154</v>
      </c>
      <c r="D1087" s="7" t="s">
        <v>5155</v>
      </c>
      <c r="E1087" s="7" t="s">
        <v>33</v>
      </c>
      <c r="F1087" s="7" t="s">
        <v>34</v>
      </c>
      <c r="G1087" s="7" t="s">
        <v>35</v>
      </c>
      <c r="H1087" s="7"/>
      <c r="I1087" s="7"/>
      <c r="J1087" s="7" t="s">
        <v>36</v>
      </c>
      <c r="K1087" s="7" t="s">
        <v>660</v>
      </c>
      <c r="L1087" s="7" t="s">
        <v>661</v>
      </c>
      <c r="M1087" s="7" t="s">
        <v>662</v>
      </c>
      <c r="N1087" s="7" t="s">
        <v>33</v>
      </c>
      <c r="O1087" s="7">
        <v>1</v>
      </c>
      <c r="P1087" s="7" t="s">
        <v>40</v>
      </c>
      <c r="Q1087" s="7">
        <v>79.99</v>
      </c>
      <c r="R1087" s="7"/>
      <c r="S1087" s="7"/>
      <c r="T1087" s="7"/>
      <c r="U1087" s="7"/>
      <c r="V1087" s="7"/>
      <c r="W1087" s="7"/>
      <c r="X1087" s="7"/>
      <c r="Y1087" s="7" t="s">
        <v>5156</v>
      </c>
      <c r="Z1087" s="7" t="s">
        <v>83</v>
      </c>
      <c r="AA1087" s="7">
        <v>95482</v>
      </c>
      <c r="AB1087" s="7" t="s">
        <v>44</v>
      </c>
      <c r="AC1087" s="7"/>
      <c r="AD1087" s="7"/>
      <c r="AE1087" s="7"/>
      <c r="AF1087" s="7"/>
      <c r="AG1087" s="11">
        <f t="shared" si="16"/>
        <v>43287</v>
      </c>
    </row>
    <row r="1088" s="8" customFormat="1" spans="1:33">
      <c r="A1088" s="7" t="s">
        <v>5157</v>
      </c>
      <c r="B1088" s="7" t="s">
        <v>5157</v>
      </c>
      <c r="C1088" s="7" t="s">
        <v>5158</v>
      </c>
      <c r="D1088" s="7" t="s">
        <v>5159</v>
      </c>
      <c r="E1088" s="7" t="s">
        <v>54</v>
      </c>
      <c r="F1088" s="7" t="s">
        <v>34</v>
      </c>
      <c r="G1088" s="7" t="s">
        <v>35</v>
      </c>
      <c r="H1088" s="7"/>
      <c r="I1088" s="7"/>
      <c r="J1088" s="7" t="s">
        <v>36</v>
      </c>
      <c r="K1088" s="7" t="s">
        <v>1807</v>
      </c>
      <c r="L1088" s="7" t="s">
        <v>1808</v>
      </c>
      <c r="M1088" s="7" t="s">
        <v>1809</v>
      </c>
      <c r="N1088" s="7" t="s">
        <v>54</v>
      </c>
      <c r="O1088" s="7">
        <v>0</v>
      </c>
      <c r="P1088" s="7"/>
      <c r="Q1088" s="7"/>
      <c r="R1088" s="7"/>
      <c r="S1088" s="7"/>
      <c r="T1088" s="7"/>
      <c r="U1088" s="7"/>
      <c r="V1088" s="7"/>
      <c r="W1088" s="7"/>
      <c r="X1088" s="7"/>
      <c r="Y1088" s="7" t="s">
        <v>5160</v>
      </c>
      <c r="Z1088" s="7" t="s">
        <v>83</v>
      </c>
      <c r="AA1088" s="7" t="s">
        <v>5161</v>
      </c>
      <c r="AB1088" s="7" t="s">
        <v>44</v>
      </c>
      <c r="AC1088" s="7"/>
      <c r="AD1088" s="7"/>
      <c r="AE1088" s="7"/>
      <c r="AF1088" s="7"/>
      <c r="AG1088" s="11">
        <f t="shared" si="16"/>
        <v>43287</v>
      </c>
    </row>
    <row r="1089" s="8" customFormat="1" spans="1:33">
      <c r="A1089" s="7" t="s">
        <v>5162</v>
      </c>
      <c r="B1089" s="7" t="s">
        <v>5162</v>
      </c>
      <c r="C1089" s="7" t="s">
        <v>5163</v>
      </c>
      <c r="D1089" s="7" t="s">
        <v>5164</v>
      </c>
      <c r="E1089" s="7" t="s">
        <v>33</v>
      </c>
      <c r="F1089" s="7" t="s">
        <v>34</v>
      </c>
      <c r="G1089" s="7" t="s">
        <v>35</v>
      </c>
      <c r="H1089" s="7"/>
      <c r="I1089" s="7"/>
      <c r="J1089" s="7" t="s">
        <v>36</v>
      </c>
      <c r="K1089" s="7" t="s">
        <v>148</v>
      </c>
      <c r="L1089" s="7" t="s">
        <v>149</v>
      </c>
      <c r="M1089" s="7" t="s">
        <v>150</v>
      </c>
      <c r="N1089" s="7" t="s">
        <v>33</v>
      </c>
      <c r="O1089" s="7">
        <v>1</v>
      </c>
      <c r="P1089" s="7" t="s">
        <v>40</v>
      </c>
      <c r="Q1089" s="7">
        <v>98.99</v>
      </c>
      <c r="R1089" s="7"/>
      <c r="S1089" s="7"/>
      <c r="T1089" s="7"/>
      <c r="U1089" s="7"/>
      <c r="V1089" s="7"/>
      <c r="W1089" s="7"/>
      <c r="X1089" s="7"/>
      <c r="Y1089" s="7" t="s">
        <v>5165</v>
      </c>
      <c r="Z1089" s="7" t="s">
        <v>83</v>
      </c>
      <c r="AA1089" s="7" t="s">
        <v>5166</v>
      </c>
      <c r="AB1089" s="7" t="s">
        <v>44</v>
      </c>
      <c r="AC1089" s="7"/>
      <c r="AD1089" s="7"/>
      <c r="AE1089" s="7"/>
      <c r="AF1089" s="7"/>
      <c r="AG1089" s="11">
        <f t="shared" si="16"/>
        <v>43287</v>
      </c>
    </row>
    <row r="1090" s="8" customFormat="1" spans="1:33">
      <c r="A1090" s="7" t="s">
        <v>5167</v>
      </c>
      <c r="B1090" s="7" t="s">
        <v>5167</v>
      </c>
      <c r="C1090" s="7" t="s">
        <v>5168</v>
      </c>
      <c r="D1090" s="7" t="s">
        <v>5169</v>
      </c>
      <c r="E1090" s="7" t="s">
        <v>33</v>
      </c>
      <c r="F1090" s="7" t="s">
        <v>34</v>
      </c>
      <c r="G1090" s="7" t="s">
        <v>35</v>
      </c>
      <c r="H1090" s="7"/>
      <c r="I1090" s="7"/>
      <c r="J1090" s="7" t="s">
        <v>36</v>
      </c>
      <c r="K1090" s="7" t="s">
        <v>1065</v>
      </c>
      <c r="L1090" s="7" t="s">
        <v>1066</v>
      </c>
      <c r="M1090" s="7" t="s">
        <v>1067</v>
      </c>
      <c r="N1090" s="7" t="s">
        <v>33</v>
      </c>
      <c r="O1090" s="7">
        <v>1</v>
      </c>
      <c r="P1090" s="7" t="s">
        <v>40</v>
      </c>
      <c r="Q1090" s="7">
        <v>26.99</v>
      </c>
      <c r="R1090" s="7"/>
      <c r="S1090" s="7"/>
      <c r="T1090" s="7"/>
      <c r="U1090" s="7"/>
      <c r="V1090" s="7"/>
      <c r="W1090" s="7"/>
      <c r="X1090" s="7"/>
      <c r="Y1090" s="7" t="s">
        <v>3149</v>
      </c>
      <c r="Z1090" s="7" t="s">
        <v>996</v>
      </c>
      <c r="AA1090" s="7" t="s">
        <v>5170</v>
      </c>
      <c r="AB1090" s="7" t="s">
        <v>44</v>
      </c>
      <c r="AC1090" s="7"/>
      <c r="AD1090" s="7"/>
      <c r="AE1090" s="7"/>
      <c r="AF1090" s="7"/>
      <c r="AG1090" s="11">
        <f t="shared" ref="AG1090:AG1153" si="17">DATEVALUE(LEFT(C1090,10))</f>
        <v>43287</v>
      </c>
    </row>
    <row r="1091" s="8" customFormat="1" spans="1:33">
      <c r="A1091" s="7" t="s">
        <v>5171</v>
      </c>
      <c r="B1091" s="7" t="s">
        <v>5171</v>
      </c>
      <c r="C1091" s="7" t="s">
        <v>5172</v>
      </c>
      <c r="D1091" s="7" t="s">
        <v>5173</v>
      </c>
      <c r="E1091" s="7" t="s">
        <v>33</v>
      </c>
      <c r="F1091" s="7" t="s">
        <v>34</v>
      </c>
      <c r="G1091" s="7" t="s">
        <v>35</v>
      </c>
      <c r="H1091" s="7"/>
      <c r="I1091" s="7"/>
      <c r="J1091" s="7" t="s">
        <v>36</v>
      </c>
      <c r="K1091" s="7" t="s">
        <v>2310</v>
      </c>
      <c r="L1091" s="7" t="s">
        <v>2311</v>
      </c>
      <c r="M1091" s="7" t="s">
        <v>2312</v>
      </c>
      <c r="N1091" s="7" t="s">
        <v>33</v>
      </c>
      <c r="O1091" s="7">
        <v>1</v>
      </c>
      <c r="P1091" s="7" t="s">
        <v>40</v>
      </c>
      <c r="Q1091" s="7">
        <v>89.99</v>
      </c>
      <c r="R1091" s="7"/>
      <c r="S1091" s="7"/>
      <c r="T1091" s="7"/>
      <c r="U1091" s="7"/>
      <c r="V1091" s="7"/>
      <c r="W1091" s="7"/>
      <c r="X1091" s="7"/>
      <c r="Y1091" s="7" t="s">
        <v>1357</v>
      </c>
      <c r="Z1091" s="7" t="s">
        <v>440</v>
      </c>
      <c r="AA1091" s="7" t="s">
        <v>5174</v>
      </c>
      <c r="AB1091" s="7" t="s">
        <v>44</v>
      </c>
      <c r="AC1091" s="7"/>
      <c r="AD1091" s="7"/>
      <c r="AE1091" s="7"/>
      <c r="AF1091" s="7"/>
      <c r="AG1091" s="11">
        <f t="shared" si="17"/>
        <v>43287</v>
      </c>
    </row>
    <row r="1092" s="8" customFormat="1" spans="1:33">
      <c r="A1092" s="7" t="s">
        <v>5175</v>
      </c>
      <c r="B1092" s="7" t="s">
        <v>5175</v>
      </c>
      <c r="C1092" s="7" t="s">
        <v>5176</v>
      </c>
      <c r="D1092" s="7" t="s">
        <v>5177</v>
      </c>
      <c r="E1092" s="7" t="s">
        <v>33</v>
      </c>
      <c r="F1092" s="7" t="s">
        <v>34</v>
      </c>
      <c r="G1092" s="7" t="s">
        <v>35</v>
      </c>
      <c r="H1092" s="7"/>
      <c r="I1092" s="7"/>
      <c r="J1092" s="7" t="s">
        <v>69</v>
      </c>
      <c r="K1092" s="7" t="s">
        <v>148</v>
      </c>
      <c r="L1092" s="7" t="s">
        <v>149</v>
      </c>
      <c r="M1092" s="7" t="s">
        <v>150</v>
      </c>
      <c r="N1092" s="7" t="s">
        <v>33</v>
      </c>
      <c r="O1092" s="7">
        <v>1</v>
      </c>
      <c r="P1092" s="7" t="s">
        <v>40</v>
      </c>
      <c r="Q1092" s="7">
        <v>98.99</v>
      </c>
      <c r="R1092" s="7"/>
      <c r="S1092" s="7">
        <v>7.14</v>
      </c>
      <c r="T1092" s="7"/>
      <c r="U1092" s="7"/>
      <c r="V1092" s="7"/>
      <c r="W1092" s="7"/>
      <c r="X1092" s="7">
        <v>7.14</v>
      </c>
      <c r="Y1092" s="7" t="s">
        <v>5178</v>
      </c>
      <c r="Z1092" s="7" t="s">
        <v>64</v>
      </c>
      <c r="AA1092" s="7" t="s">
        <v>5179</v>
      </c>
      <c r="AB1092" s="7" t="s">
        <v>44</v>
      </c>
      <c r="AC1092" s="7" t="s">
        <v>75</v>
      </c>
      <c r="AD1092" s="7"/>
      <c r="AE1092" s="7"/>
      <c r="AF1092" s="7"/>
      <c r="AG1092" s="11">
        <f t="shared" si="17"/>
        <v>43287</v>
      </c>
    </row>
    <row r="1093" s="8" customFormat="1" spans="1:33">
      <c r="A1093" s="7" t="s">
        <v>5180</v>
      </c>
      <c r="B1093" s="7" t="s">
        <v>5180</v>
      </c>
      <c r="C1093" s="7" t="s">
        <v>5181</v>
      </c>
      <c r="D1093" s="7" t="s">
        <v>5182</v>
      </c>
      <c r="E1093" s="7" t="s">
        <v>33</v>
      </c>
      <c r="F1093" s="7" t="s">
        <v>34</v>
      </c>
      <c r="G1093" s="7" t="s">
        <v>35</v>
      </c>
      <c r="H1093" s="7"/>
      <c r="I1093" s="7"/>
      <c r="J1093" s="7" t="s">
        <v>163</v>
      </c>
      <c r="K1093" s="7" t="s">
        <v>102</v>
      </c>
      <c r="L1093" s="7" t="s">
        <v>103</v>
      </c>
      <c r="M1093" s="7" t="s">
        <v>104</v>
      </c>
      <c r="N1093" s="7" t="s">
        <v>33</v>
      </c>
      <c r="O1093" s="7">
        <v>1</v>
      </c>
      <c r="P1093" s="7" t="s">
        <v>40</v>
      </c>
      <c r="Q1093" s="7">
        <v>89.99</v>
      </c>
      <c r="R1093" s="7"/>
      <c r="S1093" s="7">
        <v>10.99</v>
      </c>
      <c r="T1093" s="7"/>
      <c r="U1093" s="7"/>
      <c r="V1093" s="7"/>
      <c r="W1093" s="7">
        <v>9</v>
      </c>
      <c r="X1093" s="7"/>
      <c r="Y1093" s="7" t="s">
        <v>5183</v>
      </c>
      <c r="Z1093" s="7" t="s">
        <v>299</v>
      </c>
      <c r="AA1093" s="7" t="s">
        <v>5184</v>
      </c>
      <c r="AB1093" s="7" t="s">
        <v>44</v>
      </c>
      <c r="AC1093" s="7" t="s">
        <v>798</v>
      </c>
      <c r="AD1093" s="7"/>
      <c r="AE1093" s="7"/>
      <c r="AF1093" s="7"/>
      <c r="AG1093" s="11">
        <f t="shared" si="17"/>
        <v>43287</v>
      </c>
    </row>
    <row r="1094" s="8" customFormat="1" spans="1:33">
      <c r="A1094" s="7" t="s">
        <v>5185</v>
      </c>
      <c r="B1094" s="7" t="s">
        <v>5185</v>
      </c>
      <c r="C1094" s="7" t="s">
        <v>5186</v>
      </c>
      <c r="D1094" s="7" t="s">
        <v>5187</v>
      </c>
      <c r="E1094" s="7" t="s">
        <v>33</v>
      </c>
      <c r="F1094" s="7" t="s">
        <v>34</v>
      </c>
      <c r="G1094" s="7" t="s">
        <v>35</v>
      </c>
      <c r="H1094" s="7"/>
      <c r="I1094" s="7"/>
      <c r="J1094" s="7" t="s">
        <v>163</v>
      </c>
      <c r="K1094" s="7" t="s">
        <v>1837</v>
      </c>
      <c r="L1094" s="7" t="s">
        <v>1838</v>
      </c>
      <c r="M1094" s="7" t="s">
        <v>1839</v>
      </c>
      <c r="N1094" s="7" t="s">
        <v>33</v>
      </c>
      <c r="O1094" s="7">
        <v>1</v>
      </c>
      <c r="P1094" s="7" t="s">
        <v>40</v>
      </c>
      <c r="Q1094" s="7">
        <v>19.99</v>
      </c>
      <c r="R1094" s="7"/>
      <c r="S1094" s="7">
        <v>1.5</v>
      </c>
      <c r="T1094" s="7"/>
      <c r="U1094" s="7"/>
      <c r="V1094" s="7"/>
      <c r="W1094" s="7"/>
      <c r="X1094" s="7">
        <v>1.5</v>
      </c>
      <c r="Y1094" s="7" t="s">
        <v>5188</v>
      </c>
      <c r="Z1094" s="7" t="s">
        <v>83</v>
      </c>
      <c r="AA1094" s="7" t="s">
        <v>5189</v>
      </c>
      <c r="AB1094" s="7" t="s">
        <v>44</v>
      </c>
      <c r="AC1094" s="7"/>
      <c r="AD1094" s="7"/>
      <c r="AE1094" s="7"/>
      <c r="AF1094" s="7"/>
      <c r="AG1094" s="11">
        <f t="shared" si="17"/>
        <v>43287</v>
      </c>
    </row>
    <row r="1095" s="8" customFormat="1" spans="1:33">
      <c r="A1095" s="7" t="s">
        <v>5190</v>
      </c>
      <c r="B1095" s="7" t="s">
        <v>5190</v>
      </c>
      <c r="C1095" s="7" t="s">
        <v>5191</v>
      </c>
      <c r="D1095" s="7" t="s">
        <v>5192</v>
      </c>
      <c r="E1095" s="7" t="s">
        <v>4569</v>
      </c>
      <c r="F1095" s="7" t="s">
        <v>34</v>
      </c>
      <c r="G1095" s="7" t="s">
        <v>35</v>
      </c>
      <c r="H1095" s="7"/>
      <c r="I1095" s="7"/>
      <c r="J1095" s="7" t="s">
        <v>69</v>
      </c>
      <c r="K1095" s="7" t="s">
        <v>749</v>
      </c>
      <c r="L1095" s="7" t="s">
        <v>750</v>
      </c>
      <c r="M1095" s="7" t="s">
        <v>751</v>
      </c>
      <c r="N1095" s="7" t="s">
        <v>62</v>
      </c>
      <c r="O1095" s="7">
        <v>1</v>
      </c>
      <c r="P1095" s="7" t="s">
        <v>40</v>
      </c>
      <c r="Q1095" s="7">
        <v>89.99</v>
      </c>
      <c r="R1095" s="7"/>
      <c r="S1095" s="7"/>
      <c r="T1095" s="7"/>
      <c r="U1095" s="7"/>
      <c r="V1095" s="7"/>
      <c r="W1095" s="7"/>
      <c r="X1095" s="7"/>
      <c r="Y1095" s="7" t="s">
        <v>5193</v>
      </c>
      <c r="Z1095" s="7" t="s">
        <v>530</v>
      </c>
      <c r="AA1095" s="7">
        <v>966</v>
      </c>
      <c r="AB1095" s="7" t="s">
        <v>44</v>
      </c>
      <c r="AC1095" s="7"/>
      <c r="AD1095" s="7"/>
      <c r="AE1095" s="7"/>
      <c r="AF1095" s="7"/>
      <c r="AG1095" s="11">
        <f t="shared" si="17"/>
        <v>43287</v>
      </c>
    </row>
    <row r="1096" s="8" customFormat="1" spans="1:33">
      <c r="A1096" s="7" t="s">
        <v>5194</v>
      </c>
      <c r="B1096" s="7" t="s">
        <v>5194</v>
      </c>
      <c r="C1096" s="7" t="s">
        <v>5195</v>
      </c>
      <c r="D1096" s="7" t="s">
        <v>5196</v>
      </c>
      <c r="E1096" s="7" t="s">
        <v>33</v>
      </c>
      <c r="F1096" s="7" t="s">
        <v>34</v>
      </c>
      <c r="G1096" s="7" t="s">
        <v>35</v>
      </c>
      <c r="H1096" s="7"/>
      <c r="I1096" s="7"/>
      <c r="J1096" s="7" t="s">
        <v>36</v>
      </c>
      <c r="K1096" s="7" t="s">
        <v>2035</v>
      </c>
      <c r="L1096" s="7" t="s">
        <v>89</v>
      </c>
      <c r="M1096" s="7" t="s">
        <v>90</v>
      </c>
      <c r="N1096" s="7" t="s">
        <v>33</v>
      </c>
      <c r="O1096" s="7">
        <v>1</v>
      </c>
      <c r="P1096" s="7" t="s">
        <v>40</v>
      </c>
      <c r="Q1096" s="7">
        <v>89.99</v>
      </c>
      <c r="R1096" s="7"/>
      <c r="S1096" s="7"/>
      <c r="T1096" s="7"/>
      <c r="U1096" s="7"/>
      <c r="V1096" s="7"/>
      <c r="W1096" s="7"/>
      <c r="X1096" s="7"/>
      <c r="Y1096" s="7" t="s">
        <v>5197</v>
      </c>
      <c r="Z1096" s="7" t="s">
        <v>106</v>
      </c>
      <c r="AA1096" s="7" t="s">
        <v>5198</v>
      </c>
      <c r="AB1096" s="7" t="s">
        <v>44</v>
      </c>
      <c r="AC1096" s="7"/>
      <c r="AD1096" s="7"/>
      <c r="AE1096" s="7"/>
      <c r="AF1096" s="7"/>
      <c r="AG1096" s="11">
        <f t="shared" si="17"/>
        <v>43287</v>
      </c>
    </row>
    <row r="1097" s="8" customFormat="1" spans="1:33">
      <c r="A1097" s="7" t="s">
        <v>5199</v>
      </c>
      <c r="B1097" s="7" t="s">
        <v>5199</v>
      </c>
      <c r="C1097" s="7" t="s">
        <v>5200</v>
      </c>
      <c r="D1097" s="7" t="s">
        <v>5201</v>
      </c>
      <c r="E1097" s="7" t="s">
        <v>33</v>
      </c>
      <c r="F1097" s="7" t="s">
        <v>34</v>
      </c>
      <c r="G1097" s="7" t="s">
        <v>35</v>
      </c>
      <c r="H1097" s="7"/>
      <c r="I1097" s="7"/>
      <c r="J1097" s="7" t="s">
        <v>69</v>
      </c>
      <c r="K1097" s="7" t="s">
        <v>566</v>
      </c>
      <c r="L1097" s="7" t="s">
        <v>567</v>
      </c>
      <c r="M1097" s="7" t="s">
        <v>568</v>
      </c>
      <c r="N1097" s="7" t="s">
        <v>33</v>
      </c>
      <c r="O1097" s="7">
        <v>1</v>
      </c>
      <c r="P1097" s="7" t="s">
        <v>40</v>
      </c>
      <c r="Q1097" s="7">
        <v>99.6</v>
      </c>
      <c r="R1097" s="7">
        <v>5.98</v>
      </c>
      <c r="S1097" s="7">
        <v>4.84</v>
      </c>
      <c r="T1097" s="7"/>
      <c r="U1097" s="7"/>
      <c r="V1097" s="7"/>
      <c r="W1097" s="7"/>
      <c r="X1097" s="7">
        <v>4.84</v>
      </c>
      <c r="Y1097" s="7" t="s">
        <v>2030</v>
      </c>
      <c r="Z1097" s="7" t="s">
        <v>880</v>
      </c>
      <c r="AA1097" s="7" t="s">
        <v>5202</v>
      </c>
      <c r="AB1097" s="7" t="s">
        <v>44</v>
      </c>
      <c r="AC1097" s="7" t="s">
        <v>75</v>
      </c>
      <c r="AD1097" s="7"/>
      <c r="AE1097" s="7"/>
      <c r="AF1097" s="7"/>
      <c r="AG1097" s="11">
        <f t="shared" si="17"/>
        <v>43287</v>
      </c>
    </row>
    <row r="1098" s="8" customFormat="1" spans="1:33">
      <c r="A1098" s="7" t="s">
        <v>5203</v>
      </c>
      <c r="B1098" s="7" t="s">
        <v>5203</v>
      </c>
      <c r="C1098" s="7" t="s">
        <v>5204</v>
      </c>
      <c r="D1098" s="7" t="s">
        <v>5205</v>
      </c>
      <c r="E1098" s="7" t="s">
        <v>33</v>
      </c>
      <c r="F1098" s="7" t="s">
        <v>34</v>
      </c>
      <c r="G1098" s="7" t="s">
        <v>35</v>
      </c>
      <c r="H1098" s="7"/>
      <c r="I1098" s="7"/>
      <c r="J1098" s="7" t="s">
        <v>36</v>
      </c>
      <c r="K1098" s="7" t="s">
        <v>235</v>
      </c>
      <c r="L1098" s="7" t="s">
        <v>236</v>
      </c>
      <c r="M1098" s="7" t="s">
        <v>237</v>
      </c>
      <c r="N1098" s="7" t="s">
        <v>33</v>
      </c>
      <c r="O1098" s="7">
        <v>1</v>
      </c>
      <c r="P1098" s="7" t="s">
        <v>40</v>
      </c>
      <c r="Q1098" s="7">
        <v>85.99</v>
      </c>
      <c r="R1098" s="7"/>
      <c r="S1098" s="7"/>
      <c r="T1098" s="7"/>
      <c r="U1098" s="7"/>
      <c r="V1098" s="7"/>
      <c r="W1098" s="7"/>
      <c r="X1098" s="7"/>
      <c r="Y1098" s="7" t="s">
        <v>390</v>
      </c>
      <c r="Z1098" s="7" t="s">
        <v>391</v>
      </c>
      <c r="AA1098" s="7" t="s">
        <v>5206</v>
      </c>
      <c r="AB1098" s="7" t="s">
        <v>44</v>
      </c>
      <c r="AC1098" s="7"/>
      <c r="AD1098" s="7"/>
      <c r="AE1098" s="7"/>
      <c r="AF1098" s="7"/>
      <c r="AG1098" s="11">
        <f t="shared" si="17"/>
        <v>43287</v>
      </c>
    </row>
    <row r="1099" s="8" customFormat="1" spans="1:33">
      <c r="A1099" s="7" t="s">
        <v>5207</v>
      </c>
      <c r="B1099" s="7" t="s">
        <v>5207</v>
      </c>
      <c r="C1099" s="7" t="s">
        <v>5208</v>
      </c>
      <c r="D1099" s="7" t="s">
        <v>5209</v>
      </c>
      <c r="E1099" s="7" t="s">
        <v>33</v>
      </c>
      <c r="F1099" s="7" t="s">
        <v>34</v>
      </c>
      <c r="G1099" s="7" t="s">
        <v>35</v>
      </c>
      <c r="H1099" s="7"/>
      <c r="I1099" s="7"/>
      <c r="J1099" s="7" t="s">
        <v>69</v>
      </c>
      <c r="K1099" s="7" t="s">
        <v>986</v>
      </c>
      <c r="L1099" s="7" t="s">
        <v>987</v>
      </c>
      <c r="M1099" s="7" t="s">
        <v>988</v>
      </c>
      <c r="N1099" s="7" t="s">
        <v>33</v>
      </c>
      <c r="O1099" s="7">
        <v>1</v>
      </c>
      <c r="P1099" s="7" t="s">
        <v>40</v>
      </c>
      <c r="Q1099" s="7">
        <v>99.99</v>
      </c>
      <c r="R1099" s="7"/>
      <c r="S1099" s="7">
        <v>12.29</v>
      </c>
      <c r="T1099" s="7"/>
      <c r="U1099" s="7"/>
      <c r="V1099" s="7"/>
      <c r="W1099" s="7"/>
      <c r="X1099" s="7"/>
      <c r="Y1099" s="7" t="s">
        <v>5210</v>
      </c>
      <c r="Z1099" s="7" t="s">
        <v>5211</v>
      </c>
      <c r="AA1099" s="7" t="s">
        <v>5212</v>
      </c>
      <c r="AB1099" s="7" t="s">
        <v>44</v>
      </c>
      <c r="AC1099" s="7"/>
      <c r="AD1099" s="7"/>
      <c r="AE1099" s="7"/>
      <c r="AF1099" s="7"/>
      <c r="AG1099" s="11">
        <f t="shared" si="17"/>
        <v>43288</v>
      </c>
    </row>
    <row r="1100" s="8" customFormat="1" spans="1:33">
      <c r="A1100" s="7" t="s">
        <v>5213</v>
      </c>
      <c r="B1100" s="7" t="s">
        <v>5213</v>
      </c>
      <c r="C1100" s="7" t="s">
        <v>5214</v>
      </c>
      <c r="D1100" s="7" t="s">
        <v>5215</v>
      </c>
      <c r="E1100" s="7" t="s">
        <v>33</v>
      </c>
      <c r="F1100" s="7" t="s">
        <v>34</v>
      </c>
      <c r="G1100" s="7" t="s">
        <v>35</v>
      </c>
      <c r="H1100" s="7"/>
      <c r="I1100" s="7"/>
      <c r="J1100" s="7" t="s">
        <v>36</v>
      </c>
      <c r="K1100" s="7" t="s">
        <v>2846</v>
      </c>
      <c r="L1100" s="7" t="s">
        <v>411</v>
      </c>
      <c r="M1100" s="7" t="s">
        <v>412</v>
      </c>
      <c r="N1100" s="7" t="s">
        <v>33</v>
      </c>
      <c r="O1100" s="7">
        <v>1</v>
      </c>
      <c r="P1100" s="7" t="s">
        <v>40</v>
      </c>
      <c r="Q1100" s="7">
        <v>21.99</v>
      </c>
      <c r="R1100" s="7"/>
      <c r="S1100" s="7"/>
      <c r="T1100" s="7"/>
      <c r="U1100" s="7"/>
      <c r="V1100" s="7"/>
      <c r="W1100" s="7">
        <v>21.77</v>
      </c>
      <c r="X1100" s="7"/>
      <c r="Y1100" s="7" t="s">
        <v>5216</v>
      </c>
      <c r="Z1100" s="7" t="s">
        <v>4060</v>
      </c>
      <c r="AA1100" s="7">
        <v>48813</v>
      </c>
      <c r="AB1100" s="7" t="s">
        <v>44</v>
      </c>
      <c r="AC1100" s="7" t="s">
        <v>209</v>
      </c>
      <c r="AD1100" s="7"/>
      <c r="AE1100" s="7"/>
      <c r="AF1100" s="7"/>
      <c r="AG1100" s="11">
        <f t="shared" si="17"/>
        <v>43288</v>
      </c>
    </row>
    <row r="1101" s="8" customFormat="1" spans="1:33">
      <c r="A1101" s="7" t="s">
        <v>5217</v>
      </c>
      <c r="B1101" s="7" t="s">
        <v>5217</v>
      </c>
      <c r="C1101" s="7" t="s">
        <v>5218</v>
      </c>
      <c r="D1101" s="7" t="s">
        <v>5219</v>
      </c>
      <c r="E1101" s="7" t="s">
        <v>54</v>
      </c>
      <c r="F1101" s="7" t="s">
        <v>34</v>
      </c>
      <c r="G1101" s="7" t="s">
        <v>35</v>
      </c>
      <c r="H1101" s="7"/>
      <c r="I1101" s="7"/>
      <c r="J1101" s="7" t="s">
        <v>69</v>
      </c>
      <c r="K1101" s="7" t="s">
        <v>1215</v>
      </c>
      <c r="L1101" s="7" t="s">
        <v>1216</v>
      </c>
      <c r="M1101" s="7" t="s">
        <v>1217</v>
      </c>
      <c r="N1101" s="7" t="s">
        <v>62</v>
      </c>
      <c r="O1101" s="7">
        <v>1</v>
      </c>
      <c r="P1101" s="7" t="s">
        <v>40</v>
      </c>
      <c r="Q1101" s="7">
        <v>99.99</v>
      </c>
      <c r="R1101" s="7"/>
      <c r="S1101" s="7"/>
      <c r="T1101" s="7"/>
      <c r="U1101" s="7"/>
      <c r="V1101" s="7"/>
      <c r="W1101" s="7"/>
      <c r="X1101" s="7"/>
      <c r="Y1101" s="7" t="s">
        <v>1594</v>
      </c>
      <c r="Z1101" s="7" t="s">
        <v>1342</v>
      </c>
      <c r="AA1101" s="7" t="s">
        <v>1595</v>
      </c>
      <c r="AB1101" s="7" t="s">
        <v>44</v>
      </c>
      <c r="AC1101" s="7"/>
      <c r="AD1101" s="7"/>
      <c r="AE1101" s="7"/>
      <c r="AF1101" s="7"/>
      <c r="AG1101" s="11">
        <f t="shared" si="17"/>
        <v>43288</v>
      </c>
    </row>
    <row r="1102" s="8" customFormat="1" spans="1:33">
      <c r="A1102" s="7" t="s">
        <v>5220</v>
      </c>
      <c r="B1102" s="7" t="s">
        <v>5220</v>
      </c>
      <c r="C1102" s="7" t="s">
        <v>5221</v>
      </c>
      <c r="D1102" s="7" t="s">
        <v>5222</v>
      </c>
      <c r="E1102" s="7" t="s">
        <v>33</v>
      </c>
      <c r="F1102" s="7" t="s">
        <v>34</v>
      </c>
      <c r="G1102" s="7" t="s">
        <v>35</v>
      </c>
      <c r="H1102" s="7"/>
      <c r="I1102" s="7"/>
      <c r="J1102" s="7" t="s">
        <v>36</v>
      </c>
      <c r="K1102" s="7" t="s">
        <v>3224</v>
      </c>
      <c r="L1102" s="7" t="s">
        <v>3225</v>
      </c>
      <c r="M1102" s="7" t="s">
        <v>3226</v>
      </c>
      <c r="N1102" s="7" t="s">
        <v>33</v>
      </c>
      <c r="O1102" s="7">
        <v>1</v>
      </c>
      <c r="P1102" s="7" t="s">
        <v>40</v>
      </c>
      <c r="Q1102" s="7">
        <v>89.6</v>
      </c>
      <c r="R1102" s="7"/>
      <c r="S1102" s="7"/>
      <c r="T1102" s="7"/>
      <c r="U1102" s="7"/>
      <c r="V1102" s="7"/>
      <c r="W1102" s="7"/>
      <c r="X1102" s="7"/>
      <c r="Y1102" s="7" t="s">
        <v>5223</v>
      </c>
      <c r="Z1102" s="7" t="s">
        <v>613</v>
      </c>
      <c r="AA1102" s="7" t="s">
        <v>5224</v>
      </c>
      <c r="AB1102" s="7" t="s">
        <v>44</v>
      </c>
      <c r="AC1102" s="7"/>
      <c r="AD1102" s="7"/>
      <c r="AE1102" s="7"/>
      <c r="AF1102" s="7"/>
      <c r="AG1102" s="11">
        <f t="shared" si="17"/>
        <v>43288</v>
      </c>
    </row>
    <row r="1103" s="8" customFormat="1" spans="1:33">
      <c r="A1103" s="7" t="s">
        <v>5225</v>
      </c>
      <c r="B1103" s="7" t="s">
        <v>5225</v>
      </c>
      <c r="C1103" s="7" t="s">
        <v>5226</v>
      </c>
      <c r="D1103" s="7" t="s">
        <v>5227</v>
      </c>
      <c r="E1103" s="7" t="s">
        <v>33</v>
      </c>
      <c r="F1103" s="7" t="s">
        <v>34</v>
      </c>
      <c r="G1103" s="7" t="s">
        <v>35</v>
      </c>
      <c r="H1103" s="7"/>
      <c r="I1103" s="7"/>
      <c r="J1103" s="7" t="s">
        <v>36</v>
      </c>
      <c r="K1103" s="7" t="s">
        <v>235</v>
      </c>
      <c r="L1103" s="7" t="s">
        <v>236</v>
      </c>
      <c r="M1103" s="7" t="s">
        <v>237</v>
      </c>
      <c r="N1103" s="7" t="s">
        <v>33</v>
      </c>
      <c r="O1103" s="7">
        <v>1</v>
      </c>
      <c r="P1103" s="7" t="s">
        <v>40</v>
      </c>
      <c r="Q1103" s="7">
        <v>85.99</v>
      </c>
      <c r="R1103" s="7"/>
      <c r="S1103" s="7"/>
      <c r="T1103" s="7"/>
      <c r="U1103" s="7"/>
      <c r="V1103" s="7"/>
      <c r="W1103" s="7"/>
      <c r="X1103" s="7"/>
      <c r="Y1103" s="7" t="s">
        <v>5228</v>
      </c>
      <c r="Z1103" s="7" t="s">
        <v>83</v>
      </c>
      <c r="AA1103" s="7" t="s">
        <v>5229</v>
      </c>
      <c r="AB1103" s="7" t="s">
        <v>44</v>
      </c>
      <c r="AC1103" s="7"/>
      <c r="AD1103" s="7"/>
      <c r="AE1103" s="7"/>
      <c r="AF1103" s="7"/>
      <c r="AG1103" s="11">
        <f t="shared" si="17"/>
        <v>43288</v>
      </c>
    </row>
    <row r="1104" s="8" customFormat="1" spans="1:33">
      <c r="A1104" s="7" t="s">
        <v>5230</v>
      </c>
      <c r="B1104" s="7" t="s">
        <v>5230</v>
      </c>
      <c r="C1104" s="7" t="s">
        <v>5231</v>
      </c>
      <c r="D1104" s="7" t="s">
        <v>5232</v>
      </c>
      <c r="E1104" s="7" t="s">
        <v>33</v>
      </c>
      <c r="F1104" s="7" t="s">
        <v>34</v>
      </c>
      <c r="G1104" s="7" t="s">
        <v>35</v>
      </c>
      <c r="H1104" s="7"/>
      <c r="I1104" s="7"/>
      <c r="J1104" s="7" t="s">
        <v>36</v>
      </c>
      <c r="K1104" s="7" t="s">
        <v>284</v>
      </c>
      <c r="L1104" s="7" t="s">
        <v>285</v>
      </c>
      <c r="M1104" s="7" t="s">
        <v>286</v>
      </c>
      <c r="N1104" s="7" t="s">
        <v>33</v>
      </c>
      <c r="O1104" s="7">
        <v>1</v>
      </c>
      <c r="P1104" s="7" t="s">
        <v>40</v>
      </c>
      <c r="Q1104" s="7">
        <v>89.99</v>
      </c>
      <c r="R1104" s="7"/>
      <c r="S1104" s="7"/>
      <c r="T1104" s="7"/>
      <c r="U1104" s="7"/>
      <c r="V1104" s="7"/>
      <c r="W1104" s="7"/>
      <c r="X1104" s="7"/>
      <c r="Y1104" s="7" t="s">
        <v>5233</v>
      </c>
      <c r="Z1104" s="7" t="s">
        <v>106</v>
      </c>
      <c r="AA1104" s="7" t="s">
        <v>5234</v>
      </c>
      <c r="AB1104" s="7" t="s">
        <v>44</v>
      </c>
      <c r="AC1104" s="7"/>
      <c r="AD1104" s="7"/>
      <c r="AE1104" s="7"/>
      <c r="AF1104" s="7"/>
      <c r="AG1104" s="11">
        <f t="shared" si="17"/>
        <v>43288</v>
      </c>
    </row>
    <row r="1105" s="8" customFormat="1" spans="1:33">
      <c r="A1105" s="7" t="s">
        <v>5235</v>
      </c>
      <c r="B1105" s="7" t="s">
        <v>5235</v>
      </c>
      <c r="C1105" s="7" t="s">
        <v>5236</v>
      </c>
      <c r="D1105" s="7" t="s">
        <v>5237</v>
      </c>
      <c r="E1105" s="7" t="s">
        <v>33</v>
      </c>
      <c r="F1105" s="7" t="s">
        <v>34</v>
      </c>
      <c r="G1105" s="7" t="s">
        <v>35</v>
      </c>
      <c r="H1105" s="7"/>
      <c r="I1105" s="7"/>
      <c r="J1105" s="7" t="s">
        <v>36</v>
      </c>
      <c r="K1105" s="7" t="s">
        <v>48</v>
      </c>
      <c r="L1105" s="7" t="s">
        <v>49</v>
      </c>
      <c r="M1105" s="7" t="s">
        <v>50</v>
      </c>
      <c r="N1105" s="7" t="s">
        <v>33</v>
      </c>
      <c r="O1105" s="7">
        <v>1</v>
      </c>
      <c r="P1105" s="7" t="s">
        <v>40</v>
      </c>
      <c r="Q1105" s="7">
        <v>89.99</v>
      </c>
      <c r="R1105" s="7"/>
      <c r="S1105" s="7"/>
      <c r="T1105" s="7"/>
      <c r="U1105" s="7"/>
      <c r="V1105" s="7"/>
      <c r="W1105" s="7"/>
      <c r="X1105" s="7"/>
      <c r="Y1105" s="7" t="s">
        <v>5238</v>
      </c>
      <c r="Z1105" s="7" t="s">
        <v>787</v>
      </c>
      <c r="AA1105" s="7" t="s">
        <v>5239</v>
      </c>
      <c r="AB1105" s="7" t="s">
        <v>44</v>
      </c>
      <c r="AC1105" s="7"/>
      <c r="AD1105" s="7"/>
      <c r="AE1105" s="7"/>
      <c r="AF1105" s="7"/>
      <c r="AG1105" s="11">
        <f t="shared" si="17"/>
        <v>43288</v>
      </c>
    </row>
    <row r="1106" s="8" customFormat="1" spans="1:33">
      <c r="A1106" s="7" t="s">
        <v>5240</v>
      </c>
      <c r="B1106" s="7" t="s">
        <v>5240</v>
      </c>
      <c r="C1106" s="7" t="s">
        <v>5241</v>
      </c>
      <c r="D1106" s="7" t="s">
        <v>5242</v>
      </c>
      <c r="E1106" s="7" t="s">
        <v>33</v>
      </c>
      <c r="F1106" s="7" t="s">
        <v>34</v>
      </c>
      <c r="G1106" s="7" t="s">
        <v>35</v>
      </c>
      <c r="H1106" s="7"/>
      <c r="I1106" s="7"/>
      <c r="J1106" s="7" t="s">
        <v>36</v>
      </c>
      <c r="K1106" s="7" t="s">
        <v>2080</v>
      </c>
      <c r="L1106" s="7" t="s">
        <v>2081</v>
      </c>
      <c r="M1106" s="7" t="s">
        <v>2082</v>
      </c>
      <c r="N1106" s="7" t="s">
        <v>33</v>
      </c>
      <c r="O1106" s="7">
        <v>1</v>
      </c>
      <c r="P1106" s="7" t="s">
        <v>40</v>
      </c>
      <c r="Q1106" s="7">
        <v>79.99</v>
      </c>
      <c r="R1106" s="7"/>
      <c r="S1106" s="7"/>
      <c r="T1106" s="7"/>
      <c r="U1106" s="7"/>
      <c r="V1106" s="7"/>
      <c r="W1106" s="7"/>
      <c r="X1106" s="7"/>
      <c r="Y1106" s="7" t="s">
        <v>5243</v>
      </c>
      <c r="Z1106" s="7" t="s">
        <v>64</v>
      </c>
      <c r="AA1106" s="7" t="s">
        <v>5244</v>
      </c>
      <c r="AB1106" s="7" t="s">
        <v>44</v>
      </c>
      <c r="AC1106" s="7"/>
      <c r="AD1106" s="7"/>
      <c r="AE1106" s="7"/>
      <c r="AF1106" s="7"/>
      <c r="AG1106" s="11">
        <f t="shared" si="17"/>
        <v>43288</v>
      </c>
    </row>
    <row r="1107" s="8" customFormat="1" spans="1:33">
      <c r="A1107" s="7" t="s">
        <v>5245</v>
      </c>
      <c r="B1107" s="7" t="s">
        <v>5245</v>
      </c>
      <c r="C1107" s="7" t="s">
        <v>5246</v>
      </c>
      <c r="D1107" s="7" t="s">
        <v>5247</v>
      </c>
      <c r="E1107" s="7" t="s">
        <v>33</v>
      </c>
      <c r="F1107" s="7" t="s">
        <v>34</v>
      </c>
      <c r="G1107" s="7" t="s">
        <v>35</v>
      </c>
      <c r="H1107" s="7"/>
      <c r="I1107" s="7"/>
      <c r="J1107" s="7" t="s">
        <v>36</v>
      </c>
      <c r="K1107" s="7" t="s">
        <v>213</v>
      </c>
      <c r="L1107" s="7" t="s">
        <v>214</v>
      </c>
      <c r="M1107" s="7" t="s">
        <v>215</v>
      </c>
      <c r="N1107" s="7" t="s">
        <v>33</v>
      </c>
      <c r="O1107" s="7">
        <v>1</v>
      </c>
      <c r="P1107" s="7" t="s">
        <v>40</v>
      </c>
      <c r="Q1107" s="7">
        <v>21.99</v>
      </c>
      <c r="R1107" s="7"/>
      <c r="S1107" s="7"/>
      <c r="T1107" s="7"/>
      <c r="U1107" s="7"/>
      <c r="V1107" s="7"/>
      <c r="W1107" s="7">
        <v>21.77</v>
      </c>
      <c r="X1107" s="7"/>
      <c r="Y1107" s="7" t="s">
        <v>5248</v>
      </c>
      <c r="Z1107" s="7" t="s">
        <v>293</v>
      </c>
      <c r="AA1107" s="7" t="s">
        <v>5249</v>
      </c>
      <c r="AB1107" s="7" t="s">
        <v>44</v>
      </c>
      <c r="AC1107" s="7" t="s">
        <v>209</v>
      </c>
      <c r="AD1107" s="7"/>
      <c r="AE1107" s="7"/>
      <c r="AF1107" s="7"/>
      <c r="AG1107" s="11">
        <f t="shared" si="17"/>
        <v>43288</v>
      </c>
    </row>
    <row r="1108" s="8" customFormat="1" spans="1:33">
      <c r="A1108" s="7" t="s">
        <v>5250</v>
      </c>
      <c r="B1108" s="7" t="s">
        <v>5250</v>
      </c>
      <c r="C1108" s="7" t="s">
        <v>5251</v>
      </c>
      <c r="D1108" s="7" t="s">
        <v>5252</v>
      </c>
      <c r="E1108" s="7" t="s">
        <v>33</v>
      </c>
      <c r="F1108" s="7" t="s">
        <v>34</v>
      </c>
      <c r="G1108" s="7" t="s">
        <v>35</v>
      </c>
      <c r="H1108" s="7"/>
      <c r="I1108" s="7"/>
      <c r="J1108" s="7" t="s">
        <v>36</v>
      </c>
      <c r="K1108" s="7" t="s">
        <v>79</v>
      </c>
      <c r="L1108" s="7" t="s">
        <v>80</v>
      </c>
      <c r="M1108" s="7" t="s">
        <v>81</v>
      </c>
      <c r="N1108" s="7" t="s">
        <v>33</v>
      </c>
      <c r="O1108" s="7">
        <v>1</v>
      </c>
      <c r="P1108" s="7" t="s">
        <v>40</v>
      </c>
      <c r="Q1108" s="7">
        <v>91.99</v>
      </c>
      <c r="R1108" s="7"/>
      <c r="S1108" s="7"/>
      <c r="T1108" s="7"/>
      <c r="U1108" s="7"/>
      <c r="V1108" s="7"/>
      <c r="W1108" s="7"/>
      <c r="X1108" s="7"/>
      <c r="Y1108" s="7" t="s">
        <v>5253</v>
      </c>
      <c r="Z1108" s="7" t="s">
        <v>152</v>
      </c>
      <c r="AA1108" s="7" t="s">
        <v>5254</v>
      </c>
      <c r="AB1108" s="7" t="s">
        <v>44</v>
      </c>
      <c r="AC1108" s="7"/>
      <c r="AD1108" s="7"/>
      <c r="AE1108" s="7"/>
      <c r="AF1108" s="7"/>
      <c r="AG1108" s="11">
        <f t="shared" si="17"/>
        <v>43288</v>
      </c>
    </row>
    <row r="1109" s="8" customFormat="1" spans="1:33">
      <c r="A1109" s="7" t="s">
        <v>5255</v>
      </c>
      <c r="B1109" s="7" t="s">
        <v>5255</v>
      </c>
      <c r="C1109" s="7" t="s">
        <v>5256</v>
      </c>
      <c r="D1109" s="7" t="s">
        <v>5257</v>
      </c>
      <c r="E1109" s="7" t="s">
        <v>33</v>
      </c>
      <c r="F1109" s="7" t="s">
        <v>34</v>
      </c>
      <c r="G1109" s="7" t="s">
        <v>35</v>
      </c>
      <c r="H1109" s="7"/>
      <c r="I1109" s="7"/>
      <c r="J1109" s="7" t="s">
        <v>69</v>
      </c>
      <c r="K1109" s="7" t="s">
        <v>554</v>
      </c>
      <c r="L1109" s="7" t="s">
        <v>555</v>
      </c>
      <c r="M1109" s="7" t="s">
        <v>556</v>
      </c>
      <c r="N1109" s="7" t="s">
        <v>33</v>
      </c>
      <c r="O1109" s="7">
        <v>1</v>
      </c>
      <c r="P1109" s="7" t="s">
        <v>40</v>
      </c>
      <c r="Q1109" s="7">
        <v>89.99</v>
      </c>
      <c r="R1109" s="7"/>
      <c r="S1109" s="7">
        <v>9.14</v>
      </c>
      <c r="T1109" s="7"/>
      <c r="U1109" s="7"/>
      <c r="V1109" s="7"/>
      <c r="W1109" s="7"/>
      <c r="X1109" s="7"/>
      <c r="Y1109" s="7" t="s">
        <v>5258</v>
      </c>
      <c r="Z1109" s="7" t="s">
        <v>152</v>
      </c>
      <c r="AA1109" s="7" t="s">
        <v>5259</v>
      </c>
      <c r="AB1109" s="7" t="s">
        <v>44</v>
      </c>
      <c r="AC1109" s="7"/>
      <c r="AD1109" s="7"/>
      <c r="AE1109" s="7"/>
      <c r="AF1109" s="7"/>
      <c r="AG1109" s="11">
        <f t="shared" si="17"/>
        <v>43288</v>
      </c>
    </row>
    <row r="1110" s="8" customFormat="1" spans="1:33">
      <c r="A1110" s="7" t="s">
        <v>5260</v>
      </c>
      <c r="B1110" s="7" t="s">
        <v>5260</v>
      </c>
      <c r="C1110" s="7" t="s">
        <v>5261</v>
      </c>
      <c r="D1110" s="7" t="s">
        <v>5262</v>
      </c>
      <c r="E1110" s="7" t="s">
        <v>33</v>
      </c>
      <c r="F1110" s="7" t="s">
        <v>34</v>
      </c>
      <c r="G1110" s="7" t="s">
        <v>35</v>
      </c>
      <c r="H1110" s="7"/>
      <c r="I1110" s="7"/>
      <c r="J1110" s="7" t="s">
        <v>36</v>
      </c>
      <c r="K1110" s="7" t="s">
        <v>275</v>
      </c>
      <c r="L1110" s="7" t="s">
        <v>276</v>
      </c>
      <c r="M1110" s="7" t="s">
        <v>277</v>
      </c>
      <c r="N1110" s="7" t="s">
        <v>33</v>
      </c>
      <c r="O1110" s="7">
        <v>1</v>
      </c>
      <c r="P1110" s="7" t="s">
        <v>40</v>
      </c>
      <c r="Q1110" s="7">
        <v>89.99</v>
      </c>
      <c r="R1110" s="7"/>
      <c r="S1110" s="7"/>
      <c r="T1110" s="7"/>
      <c r="U1110" s="7"/>
      <c r="V1110" s="7"/>
      <c r="W1110" s="7"/>
      <c r="X1110" s="7"/>
      <c r="Y1110" s="7" t="s">
        <v>2328</v>
      </c>
      <c r="Z1110" s="7" t="s">
        <v>64</v>
      </c>
      <c r="AA1110" s="7" t="s">
        <v>5263</v>
      </c>
      <c r="AB1110" s="7" t="s">
        <v>44</v>
      </c>
      <c r="AC1110" s="7"/>
      <c r="AD1110" s="7"/>
      <c r="AE1110" s="7"/>
      <c r="AF1110" s="7"/>
      <c r="AG1110" s="11">
        <f t="shared" si="17"/>
        <v>43288</v>
      </c>
    </row>
    <row r="1111" s="8" customFormat="1" spans="1:33">
      <c r="A1111" s="7" t="s">
        <v>5264</v>
      </c>
      <c r="B1111" s="7" t="s">
        <v>5264</v>
      </c>
      <c r="C1111" s="7" t="s">
        <v>5265</v>
      </c>
      <c r="D1111" s="7" t="s">
        <v>5266</v>
      </c>
      <c r="E1111" s="7" t="s">
        <v>33</v>
      </c>
      <c r="F1111" s="7" t="s">
        <v>34</v>
      </c>
      <c r="G1111" s="7" t="s">
        <v>35</v>
      </c>
      <c r="H1111" s="7"/>
      <c r="I1111" s="7"/>
      <c r="J1111" s="7" t="s">
        <v>36</v>
      </c>
      <c r="K1111" s="7" t="s">
        <v>2021</v>
      </c>
      <c r="L1111" s="7" t="s">
        <v>2022</v>
      </c>
      <c r="M1111" s="7" t="s">
        <v>2023</v>
      </c>
      <c r="N1111" s="7" t="s">
        <v>33</v>
      </c>
      <c r="O1111" s="7">
        <v>1</v>
      </c>
      <c r="P1111" s="7" t="s">
        <v>40</v>
      </c>
      <c r="Q1111" s="7">
        <v>32.99</v>
      </c>
      <c r="R1111" s="7"/>
      <c r="S1111" s="7"/>
      <c r="T1111" s="7"/>
      <c r="U1111" s="7"/>
      <c r="V1111" s="7"/>
      <c r="W1111" s="7"/>
      <c r="X1111" s="7"/>
      <c r="Y1111" s="7" t="s">
        <v>5267</v>
      </c>
      <c r="Z1111" s="7" t="s">
        <v>4942</v>
      </c>
      <c r="AA1111" s="7">
        <v>30233</v>
      </c>
      <c r="AB1111" s="7" t="s">
        <v>44</v>
      </c>
      <c r="AC1111" s="7"/>
      <c r="AD1111" s="7"/>
      <c r="AE1111" s="7"/>
      <c r="AF1111" s="7"/>
      <c r="AG1111" s="11">
        <f t="shared" si="17"/>
        <v>43288</v>
      </c>
    </row>
    <row r="1112" s="8" customFormat="1" spans="1:33">
      <c r="A1112" s="7" t="s">
        <v>5268</v>
      </c>
      <c r="B1112" s="7" t="s">
        <v>5268</v>
      </c>
      <c r="C1112" s="7" t="s">
        <v>5269</v>
      </c>
      <c r="D1112" s="7" t="s">
        <v>5270</v>
      </c>
      <c r="E1112" s="7" t="s">
        <v>33</v>
      </c>
      <c r="F1112" s="7" t="s">
        <v>34</v>
      </c>
      <c r="G1112" s="7" t="s">
        <v>35</v>
      </c>
      <c r="H1112" s="7"/>
      <c r="I1112" s="7"/>
      <c r="J1112" s="7" t="s">
        <v>36</v>
      </c>
      <c r="K1112" s="7" t="s">
        <v>5271</v>
      </c>
      <c r="L1112" s="7" t="s">
        <v>5272</v>
      </c>
      <c r="M1112" s="7" t="s">
        <v>5273</v>
      </c>
      <c r="N1112" s="7" t="s">
        <v>33</v>
      </c>
      <c r="O1112" s="7">
        <v>1</v>
      </c>
      <c r="P1112" s="7" t="s">
        <v>40</v>
      </c>
      <c r="Q1112" s="7">
        <v>99.99</v>
      </c>
      <c r="R1112" s="7"/>
      <c r="S1112" s="7"/>
      <c r="T1112" s="7"/>
      <c r="U1112" s="7"/>
      <c r="V1112" s="7"/>
      <c r="W1112" s="7"/>
      <c r="X1112" s="7"/>
      <c r="Y1112" s="7" t="s">
        <v>5274</v>
      </c>
      <c r="Z1112" s="7" t="s">
        <v>52</v>
      </c>
      <c r="AA1112" s="7" t="s">
        <v>5275</v>
      </c>
      <c r="AB1112" s="7" t="s">
        <v>44</v>
      </c>
      <c r="AC1112" s="7"/>
      <c r="AD1112" s="7"/>
      <c r="AE1112" s="7"/>
      <c r="AF1112" s="7"/>
      <c r="AG1112" s="11">
        <f t="shared" si="17"/>
        <v>43288</v>
      </c>
    </row>
    <row r="1113" s="8" customFormat="1" spans="1:33">
      <c r="A1113" s="7" t="s">
        <v>5268</v>
      </c>
      <c r="B1113" s="7" t="s">
        <v>5268</v>
      </c>
      <c r="C1113" s="7" t="s">
        <v>5269</v>
      </c>
      <c r="D1113" s="7" t="s">
        <v>5270</v>
      </c>
      <c r="E1113" s="7" t="s">
        <v>33</v>
      </c>
      <c r="F1113" s="7" t="s">
        <v>34</v>
      </c>
      <c r="G1113" s="7" t="s">
        <v>35</v>
      </c>
      <c r="H1113" s="7"/>
      <c r="I1113" s="7"/>
      <c r="J1113" s="7" t="s">
        <v>36</v>
      </c>
      <c r="K1113" s="7" t="s">
        <v>4764</v>
      </c>
      <c r="L1113" s="7" t="s">
        <v>4765</v>
      </c>
      <c r="M1113" s="7" t="s">
        <v>4766</v>
      </c>
      <c r="N1113" s="7" t="s">
        <v>33</v>
      </c>
      <c r="O1113" s="7">
        <v>1</v>
      </c>
      <c r="P1113" s="7" t="s">
        <v>40</v>
      </c>
      <c r="Q1113" s="7">
        <v>99.99</v>
      </c>
      <c r="R1113" s="7"/>
      <c r="S1113" s="7"/>
      <c r="T1113" s="7"/>
      <c r="U1113" s="7"/>
      <c r="V1113" s="7"/>
      <c r="W1113" s="7"/>
      <c r="X1113" s="7"/>
      <c r="Y1113" s="7" t="s">
        <v>5274</v>
      </c>
      <c r="Z1113" s="7" t="s">
        <v>52</v>
      </c>
      <c r="AA1113" s="7" t="s">
        <v>5275</v>
      </c>
      <c r="AB1113" s="7" t="s">
        <v>44</v>
      </c>
      <c r="AC1113" s="7"/>
      <c r="AD1113" s="7"/>
      <c r="AE1113" s="7"/>
      <c r="AF1113" s="7"/>
      <c r="AG1113" s="11">
        <f t="shared" si="17"/>
        <v>43288</v>
      </c>
    </row>
    <row r="1114" s="8" customFormat="1" spans="1:33">
      <c r="A1114" s="7" t="s">
        <v>5276</v>
      </c>
      <c r="B1114" s="7" t="s">
        <v>5276</v>
      </c>
      <c r="C1114" s="7" t="s">
        <v>5277</v>
      </c>
      <c r="D1114" s="7" t="s">
        <v>5278</v>
      </c>
      <c r="E1114" s="7" t="s">
        <v>33</v>
      </c>
      <c r="F1114" s="7" t="s">
        <v>34</v>
      </c>
      <c r="G1114" s="7" t="s">
        <v>35</v>
      </c>
      <c r="H1114" s="7"/>
      <c r="I1114" s="7"/>
      <c r="J1114" s="7" t="s">
        <v>36</v>
      </c>
      <c r="K1114" s="7" t="s">
        <v>2013</v>
      </c>
      <c r="L1114" s="7" t="s">
        <v>2014</v>
      </c>
      <c r="M1114" s="7" t="s">
        <v>2015</v>
      </c>
      <c r="N1114" s="7" t="s">
        <v>33</v>
      </c>
      <c r="O1114" s="7">
        <v>1</v>
      </c>
      <c r="P1114" s="7" t="s">
        <v>40</v>
      </c>
      <c r="Q1114" s="7">
        <v>99.99</v>
      </c>
      <c r="R1114" s="7"/>
      <c r="S1114" s="7"/>
      <c r="T1114" s="7"/>
      <c r="U1114" s="7"/>
      <c r="V1114" s="7"/>
      <c r="W1114" s="7"/>
      <c r="X1114" s="7"/>
      <c r="Y1114" s="7" t="s">
        <v>1733</v>
      </c>
      <c r="Z1114" s="7" t="s">
        <v>64</v>
      </c>
      <c r="AA1114" s="7" t="s">
        <v>5279</v>
      </c>
      <c r="AB1114" s="7" t="s">
        <v>44</v>
      </c>
      <c r="AC1114" s="7"/>
      <c r="AD1114" s="7"/>
      <c r="AE1114" s="7"/>
      <c r="AF1114" s="7"/>
      <c r="AG1114" s="11">
        <f t="shared" si="17"/>
        <v>43288</v>
      </c>
    </row>
    <row r="1115" s="8" customFormat="1" spans="1:33">
      <c r="A1115" s="7" t="s">
        <v>5280</v>
      </c>
      <c r="B1115" s="7" t="s">
        <v>5280</v>
      </c>
      <c r="C1115" s="7" t="s">
        <v>5281</v>
      </c>
      <c r="D1115" s="7" t="s">
        <v>5282</v>
      </c>
      <c r="E1115" s="7" t="s">
        <v>33</v>
      </c>
      <c r="F1115" s="7" t="s">
        <v>34</v>
      </c>
      <c r="G1115" s="7" t="s">
        <v>35</v>
      </c>
      <c r="H1115" s="7"/>
      <c r="I1115" s="7"/>
      <c r="J1115" s="7" t="s">
        <v>36</v>
      </c>
      <c r="K1115" s="7" t="s">
        <v>2398</v>
      </c>
      <c r="L1115" s="7" t="s">
        <v>2399</v>
      </c>
      <c r="M1115" s="7" t="s">
        <v>2400</v>
      </c>
      <c r="N1115" s="7" t="s">
        <v>33</v>
      </c>
      <c r="O1115" s="7">
        <v>1</v>
      </c>
      <c r="P1115" s="7" t="s">
        <v>40</v>
      </c>
      <c r="Q1115" s="7">
        <v>34.99</v>
      </c>
      <c r="R1115" s="7"/>
      <c r="S1115" s="7"/>
      <c r="T1115" s="7"/>
      <c r="U1115" s="7"/>
      <c r="V1115" s="7"/>
      <c r="W1115" s="7"/>
      <c r="X1115" s="7"/>
      <c r="Y1115" s="7" t="s">
        <v>5283</v>
      </c>
      <c r="Z1115" s="7" t="s">
        <v>452</v>
      </c>
      <c r="AA1115" s="7" t="s">
        <v>5284</v>
      </c>
      <c r="AB1115" s="7" t="s">
        <v>44</v>
      </c>
      <c r="AC1115" s="7"/>
      <c r="AD1115" s="7"/>
      <c r="AE1115" s="7"/>
      <c r="AF1115" s="7"/>
      <c r="AG1115" s="11">
        <f t="shared" si="17"/>
        <v>43288</v>
      </c>
    </row>
    <row r="1116" s="8" customFormat="1" spans="1:33">
      <c r="A1116" s="7" t="s">
        <v>5285</v>
      </c>
      <c r="B1116" s="7" t="s">
        <v>5285</v>
      </c>
      <c r="C1116" s="7" t="s">
        <v>5286</v>
      </c>
      <c r="D1116" s="7" t="s">
        <v>5287</v>
      </c>
      <c r="E1116" s="7" t="s">
        <v>33</v>
      </c>
      <c r="F1116" s="7" t="s">
        <v>34</v>
      </c>
      <c r="G1116" s="7" t="s">
        <v>35</v>
      </c>
      <c r="H1116" s="7"/>
      <c r="I1116" s="7"/>
      <c r="J1116" s="7" t="s">
        <v>36</v>
      </c>
      <c r="K1116" s="7" t="s">
        <v>148</v>
      </c>
      <c r="L1116" s="7" t="s">
        <v>149</v>
      </c>
      <c r="M1116" s="7" t="s">
        <v>150</v>
      </c>
      <c r="N1116" s="7" t="s">
        <v>33</v>
      </c>
      <c r="O1116" s="7">
        <v>1</v>
      </c>
      <c r="P1116" s="7" t="s">
        <v>40</v>
      </c>
      <c r="Q1116" s="7">
        <v>98.99</v>
      </c>
      <c r="R1116" s="7"/>
      <c r="S1116" s="7">
        <v>6.5</v>
      </c>
      <c r="T1116" s="7"/>
      <c r="U1116" s="7"/>
      <c r="V1116" s="7"/>
      <c r="W1116" s="7"/>
      <c r="X1116" s="7"/>
      <c r="Y1116" s="7" t="s">
        <v>1733</v>
      </c>
      <c r="Z1116" s="7" t="s">
        <v>64</v>
      </c>
      <c r="AA1116" s="7" t="s">
        <v>5288</v>
      </c>
      <c r="AB1116" s="7" t="s">
        <v>44</v>
      </c>
      <c r="AC1116" s="7"/>
      <c r="AD1116" s="7"/>
      <c r="AE1116" s="7"/>
      <c r="AF1116" s="7"/>
      <c r="AG1116" s="11">
        <f t="shared" si="17"/>
        <v>43288</v>
      </c>
    </row>
    <row r="1117" s="8" customFormat="1" spans="1:33">
      <c r="A1117" s="7" t="s">
        <v>5289</v>
      </c>
      <c r="B1117" s="7" t="s">
        <v>5289</v>
      </c>
      <c r="C1117" s="7" t="s">
        <v>5290</v>
      </c>
      <c r="D1117" s="7" t="s">
        <v>5291</v>
      </c>
      <c r="E1117" s="7" t="s">
        <v>54</v>
      </c>
      <c r="F1117" s="7" t="s">
        <v>34</v>
      </c>
      <c r="G1117" s="7" t="s">
        <v>35</v>
      </c>
      <c r="H1117" s="7"/>
      <c r="I1117" s="7"/>
      <c r="J1117" s="7" t="s">
        <v>69</v>
      </c>
      <c r="K1117" s="7" t="s">
        <v>1215</v>
      </c>
      <c r="L1117" s="7" t="s">
        <v>1216</v>
      </c>
      <c r="M1117" s="7" t="s">
        <v>1217</v>
      </c>
      <c r="N1117" s="7" t="s">
        <v>62</v>
      </c>
      <c r="O1117" s="7">
        <v>1</v>
      </c>
      <c r="P1117" s="7" t="s">
        <v>40</v>
      </c>
      <c r="Q1117" s="7">
        <v>99.99</v>
      </c>
      <c r="R1117" s="7"/>
      <c r="S1117" s="7"/>
      <c r="T1117" s="7"/>
      <c r="U1117" s="7"/>
      <c r="V1117" s="7"/>
      <c r="W1117" s="7"/>
      <c r="X1117" s="7"/>
      <c r="Y1117" s="7" t="s">
        <v>1594</v>
      </c>
      <c r="Z1117" s="7" t="s">
        <v>1342</v>
      </c>
      <c r="AA1117" s="7" t="s">
        <v>1595</v>
      </c>
      <c r="AB1117" s="7" t="s">
        <v>44</v>
      </c>
      <c r="AC1117" s="7"/>
      <c r="AD1117" s="7"/>
      <c r="AE1117" s="7"/>
      <c r="AF1117" s="7"/>
      <c r="AG1117" s="11">
        <f t="shared" si="17"/>
        <v>43288</v>
      </c>
    </row>
    <row r="1118" s="8" customFormat="1" spans="1:33">
      <c r="A1118" s="7" t="s">
        <v>5292</v>
      </c>
      <c r="B1118" s="7" t="s">
        <v>5292</v>
      </c>
      <c r="C1118" s="7" t="s">
        <v>5293</v>
      </c>
      <c r="D1118" s="7" t="s">
        <v>5294</v>
      </c>
      <c r="E1118" s="7" t="s">
        <v>33</v>
      </c>
      <c r="F1118" s="7" t="s">
        <v>34</v>
      </c>
      <c r="G1118" s="7" t="s">
        <v>35</v>
      </c>
      <c r="H1118" s="7"/>
      <c r="I1118" s="7"/>
      <c r="J1118" s="7" t="s">
        <v>36</v>
      </c>
      <c r="K1118" s="7" t="s">
        <v>719</v>
      </c>
      <c r="L1118" s="7" t="s">
        <v>720</v>
      </c>
      <c r="M1118" s="7" t="s">
        <v>721</v>
      </c>
      <c r="N1118" s="7" t="s">
        <v>33</v>
      </c>
      <c r="O1118" s="7">
        <v>1</v>
      </c>
      <c r="P1118" s="7" t="s">
        <v>40</v>
      </c>
      <c r="Q1118" s="7">
        <v>21.99</v>
      </c>
      <c r="R1118" s="7">
        <v>1.32</v>
      </c>
      <c r="S1118" s="7"/>
      <c r="T1118" s="7"/>
      <c r="U1118" s="7"/>
      <c r="V1118" s="7"/>
      <c r="W1118" s="7"/>
      <c r="X1118" s="7"/>
      <c r="Y1118" s="7" t="s">
        <v>1815</v>
      </c>
      <c r="Z1118" s="7" t="s">
        <v>880</v>
      </c>
      <c r="AA1118" s="7" t="s">
        <v>5295</v>
      </c>
      <c r="AB1118" s="7" t="s">
        <v>44</v>
      </c>
      <c r="AC1118" s="7"/>
      <c r="AD1118" s="7"/>
      <c r="AE1118" s="7"/>
      <c r="AF1118" s="7"/>
      <c r="AG1118" s="11">
        <f t="shared" si="17"/>
        <v>43288</v>
      </c>
    </row>
    <row r="1119" s="8" customFormat="1" spans="1:33">
      <c r="A1119" s="7" t="s">
        <v>5296</v>
      </c>
      <c r="B1119" s="7" t="s">
        <v>5296</v>
      </c>
      <c r="C1119" s="7" t="s">
        <v>5297</v>
      </c>
      <c r="D1119" s="7" t="s">
        <v>5298</v>
      </c>
      <c r="E1119" s="7" t="s">
        <v>33</v>
      </c>
      <c r="F1119" s="7" t="s">
        <v>34</v>
      </c>
      <c r="G1119" s="7" t="s">
        <v>35</v>
      </c>
      <c r="H1119" s="7"/>
      <c r="I1119" s="7"/>
      <c r="J1119" s="7" t="s">
        <v>36</v>
      </c>
      <c r="K1119" s="7" t="s">
        <v>275</v>
      </c>
      <c r="L1119" s="7" t="s">
        <v>276</v>
      </c>
      <c r="M1119" s="7" t="s">
        <v>277</v>
      </c>
      <c r="N1119" s="7" t="s">
        <v>33</v>
      </c>
      <c r="O1119" s="7">
        <v>1</v>
      </c>
      <c r="P1119" s="7" t="s">
        <v>40</v>
      </c>
      <c r="Q1119" s="7">
        <v>89.99</v>
      </c>
      <c r="R1119" s="7"/>
      <c r="S1119" s="7"/>
      <c r="T1119" s="7"/>
      <c r="U1119" s="7"/>
      <c r="V1119" s="7"/>
      <c r="W1119" s="7"/>
      <c r="X1119" s="7"/>
      <c r="Y1119" s="7" t="s">
        <v>390</v>
      </c>
      <c r="Z1119" s="7" t="s">
        <v>391</v>
      </c>
      <c r="AA1119" s="7" t="s">
        <v>5299</v>
      </c>
      <c r="AB1119" s="7" t="s">
        <v>44</v>
      </c>
      <c r="AC1119" s="7"/>
      <c r="AD1119" s="7"/>
      <c r="AE1119" s="7"/>
      <c r="AF1119" s="7"/>
      <c r="AG1119" s="11">
        <f t="shared" si="17"/>
        <v>43288</v>
      </c>
    </row>
    <row r="1120" s="8" customFormat="1" spans="1:33">
      <c r="A1120" s="7" t="s">
        <v>5300</v>
      </c>
      <c r="B1120" s="7" t="s">
        <v>5300</v>
      </c>
      <c r="C1120" s="7" t="s">
        <v>5301</v>
      </c>
      <c r="D1120" s="7" t="s">
        <v>5302</v>
      </c>
      <c r="E1120" s="7" t="s">
        <v>33</v>
      </c>
      <c r="F1120" s="7" t="s">
        <v>34</v>
      </c>
      <c r="G1120" s="7" t="s">
        <v>35</v>
      </c>
      <c r="H1120" s="7"/>
      <c r="I1120" s="7"/>
      <c r="J1120" s="7" t="s">
        <v>36</v>
      </c>
      <c r="K1120" s="7" t="s">
        <v>660</v>
      </c>
      <c r="L1120" s="7" t="s">
        <v>661</v>
      </c>
      <c r="M1120" s="7" t="s">
        <v>662</v>
      </c>
      <c r="N1120" s="7" t="s">
        <v>33</v>
      </c>
      <c r="O1120" s="7">
        <v>1</v>
      </c>
      <c r="P1120" s="7" t="s">
        <v>40</v>
      </c>
      <c r="Q1120" s="7">
        <v>79.99</v>
      </c>
      <c r="R1120" s="7"/>
      <c r="S1120" s="7"/>
      <c r="T1120" s="7"/>
      <c r="U1120" s="7"/>
      <c r="V1120" s="7"/>
      <c r="W1120" s="7"/>
      <c r="X1120" s="7"/>
      <c r="Y1120" s="7" t="s">
        <v>73</v>
      </c>
      <c r="Z1120" s="7" t="s">
        <v>64</v>
      </c>
      <c r="AA1120" s="7" t="s">
        <v>5303</v>
      </c>
      <c r="AB1120" s="7" t="s">
        <v>44</v>
      </c>
      <c r="AC1120" s="7"/>
      <c r="AD1120" s="7"/>
      <c r="AE1120" s="7"/>
      <c r="AF1120" s="7"/>
      <c r="AG1120" s="11">
        <f t="shared" si="17"/>
        <v>43288</v>
      </c>
    </row>
    <row r="1121" s="8" customFormat="1" spans="1:33">
      <c r="A1121" s="7" t="s">
        <v>5304</v>
      </c>
      <c r="B1121" s="7" t="s">
        <v>5304</v>
      </c>
      <c r="C1121" s="7" t="s">
        <v>5305</v>
      </c>
      <c r="D1121" s="7" t="s">
        <v>5306</v>
      </c>
      <c r="E1121" s="7" t="s">
        <v>33</v>
      </c>
      <c r="F1121" s="7" t="s">
        <v>34</v>
      </c>
      <c r="G1121" s="7" t="s">
        <v>35</v>
      </c>
      <c r="H1121" s="7"/>
      <c r="I1121" s="7"/>
      <c r="J1121" s="7" t="s">
        <v>36</v>
      </c>
      <c r="K1121" s="7" t="s">
        <v>275</v>
      </c>
      <c r="L1121" s="7" t="s">
        <v>276</v>
      </c>
      <c r="M1121" s="7" t="s">
        <v>277</v>
      </c>
      <c r="N1121" s="7" t="s">
        <v>33</v>
      </c>
      <c r="O1121" s="7">
        <v>1</v>
      </c>
      <c r="P1121" s="7" t="s">
        <v>40</v>
      </c>
      <c r="Q1121" s="7">
        <v>89.99</v>
      </c>
      <c r="R1121" s="7"/>
      <c r="S1121" s="7">
        <v>14.36</v>
      </c>
      <c r="T1121" s="7"/>
      <c r="U1121" s="7"/>
      <c r="V1121" s="7"/>
      <c r="W1121" s="7"/>
      <c r="X1121" s="7"/>
      <c r="Y1121" s="7" t="s">
        <v>5307</v>
      </c>
      <c r="Z1121" s="7" t="s">
        <v>990</v>
      </c>
      <c r="AA1121" s="7" t="s">
        <v>5308</v>
      </c>
      <c r="AB1121" s="7" t="s">
        <v>44</v>
      </c>
      <c r="AC1121" s="7"/>
      <c r="AD1121" s="7"/>
      <c r="AE1121" s="7"/>
      <c r="AF1121" s="7"/>
      <c r="AG1121" s="11">
        <f t="shared" si="17"/>
        <v>43288</v>
      </c>
    </row>
    <row r="1122" s="8" customFormat="1" spans="1:33">
      <c r="A1122" s="7" t="s">
        <v>5309</v>
      </c>
      <c r="B1122" s="7" t="s">
        <v>5309</v>
      </c>
      <c r="C1122" s="7" t="s">
        <v>5310</v>
      </c>
      <c r="D1122" s="7" t="s">
        <v>5311</v>
      </c>
      <c r="E1122" s="7" t="s">
        <v>33</v>
      </c>
      <c r="F1122" s="7" t="s">
        <v>34</v>
      </c>
      <c r="G1122" s="7" t="s">
        <v>35</v>
      </c>
      <c r="H1122" s="7"/>
      <c r="I1122" s="7"/>
      <c r="J1122" s="7" t="s">
        <v>36</v>
      </c>
      <c r="K1122" s="7" t="s">
        <v>2625</v>
      </c>
      <c r="L1122" s="7" t="s">
        <v>2626</v>
      </c>
      <c r="M1122" s="7" t="s">
        <v>2627</v>
      </c>
      <c r="N1122" s="7" t="s">
        <v>33</v>
      </c>
      <c r="O1122" s="7">
        <v>1</v>
      </c>
      <c r="P1122" s="7" t="s">
        <v>40</v>
      </c>
      <c r="Q1122" s="7">
        <v>26.99</v>
      </c>
      <c r="R1122" s="7"/>
      <c r="S1122" s="7"/>
      <c r="T1122" s="7"/>
      <c r="U1122" s="7"/>
      <c r="V1122" s="7"/>
      <c r="W1122" s="7"/>
      <c r="X1122" s="7"/>
      <c r="Y1122" s="7" t="s">
        <v>5312</v>
      </c>
      <c r="Z1122" s="7" t="s">
        <v>990</v>
      </c>
      <c r="AA1122" s="7" t="s">
        <v>5313</v>
      </c>
      <c r="AB1122" s="7" t="s">
        <v>44</v>
      </c>
      <c r="AC1122" s="7"/>
      <c r="AD1122" s="7"/>
      <c r="AE1122" s="7"/>
      <c r="AF1122" s="7"/>
      <c r="AG1122" s="11">
        <f t="shared" si="17"/>
        <v>43288</v>
      </c>
    </row>
    <row r="1123" s="8" customFormat="1" spans="1:33">
      <c r="A1123" s="7" t="s">
        <v>5314</v>
      </c>
      <c r="B1123" s="7" t="s">
        <v>5314</v>
      </c>
      <c r="C1123" s="7" t="s">
        <v>5315</v>
      </c>
      <c r="D1123" s="7" t="s">
        <v>5316</v>
      </c>
      <c r="E1123" s="7" t="s">
        <v>33</v>
      </c>
      <c r="F1123" s="7" t="s">
        <v>34</v>
      </c>
      <c r="G1123" s="7" t="s">
        <v>35</v>
      </c>
      <c r="H1123" s="7"/>
      <c r="I1123" s="7"/>
      <c r="J1123" s="7" t="s">
        <v>36</v>
      </c>
      <c r="K1123" s="7" t="s">
        <v>2080</v>
      </c>
      <c r="L1123" s="7" t="s">
        <v>2081</v>
      </c>
      <c r="M1123" s="7" t="s">
        <v>2082</v>
      </c>
      <c r="N1123" s="7" t="s">
        <v>33</v>
      </c>
      <c r="O1123" s="7">
        <v>1</v>
      </c>
      <c r="P1123" s="7" t="s">
        <v>40</v>
      </c>
      <c r="Q1123" s="7">
        <v>79.99</v>
      </c>
      <c r="R1123" s="7"/>
      <c r="S1123" s="7"/>
      <c r="T1123" s="7"/>
      <c r="U1123" s="7"/>
      <c r="V1123" s="7"/>
      <c r="W1123" s="7"/>
      <c r="X1123" s="7"/>
      <c r="Y1123" s="7" t="s">
        <v>73</v>
      </c>
      <c r="Z1123" s="7" t="s">
        <v>64</v>
      </c>
      <c r="AA1123" s="7" t="s">
        <v>2691</v>
      </c>
      <c r="AB1123" s="7" t="s">
        <v>44</v>
      </c>
      <c r="AC1123" s="7"/>
      <c r="AD1123" s="7"/>
      <c r="AE1123" s="7"/>
      <c r="AF1123" s="7"/>
      <c r="AG1123" s="11">
        <f t="shared" si="17"/>
        <v>43288</v>
      </c>
    </row>
    <row r="1124" s="8" customFormat="1" spans="1:33">
      <c r="A1124" s="7" t="s">
        <v>5317</v>
      </c>
      <c r="B1124" s="7" t="s">
        <v>5317</v>
      </c>
      <c r="C1124" s="7" t="s">
        <v>5318</v>
      </c>
      <c r="D1124" s="7" t="s">
        <v>5319</v>
      </c>
      <c r="E1124" s="7" t="s">
        <v>54</v>
      </c>
      <c r="F1124" s="7" t="s">
        <v>34</v>
      </c>
      <c r="G1124" s="7" t="s">
        <v>35</v>
      </c>
      <c r="H1124" s="7"/>
      <c r="I1124" s="7"/>
      <c r="J1124" s="7" t="s">
        <v>69</v>
      </c>
      <c r="K1124" s="7" t="s">
        <v>986</v>
      </c>
      <c r="L1124" s="7" t="s">
        <v>987</v>
      </c>
      <c r="M1124" s="7" t="s">
        <v>988</v>
      </c>
      <c r="N1124" s="7" t="s">
        <v>62</v>
      </c>
      <c r="O1124" s="7">
        <v>1</v>
      </c>
      <c r="P1124" s="7" t="s">
        <v>40</v>
      </c>
      <c r="Q1124" s="7">
        <v>99.99</v>
      </c>
      <c r="R1124" s="7"/>
      <c r="S1124" s="7"/>
      <c r="T1124" s="7"/>
      <c r="U1124" s="7"/>
      <c r="V1124" s="7"/>
      <c r="W1124" s="7"/>
      <c r="X1124" s="7"/>
      <c r="Y1124" s="7" t="s">
        <v>5320</v>
      </c>
      <c r="Z1124" s="7" t="s">
        <v>5321</v>
      </c>
      <c r="AA1124" s="7">
        <v>739</v>
      </c>
      <c r="AB1124" s="7" t="s">
        <v>44</v>
      </c>
      <c r="AC1124" s="7"/>
      <c r="AD1124" s="7"/>
      <c r="AE1124" s="7"/>
      <c r="AF1124" s="7"/>
      <c r="AG1124" s="11">
        <f t="shared" si="17"/>
        <v>43288</v>
      </c>
    </row>
    <row r="1125" s="8" customFormat="1" spans="1:33">
      <c r="A1125" s="7" t="s">
        <v>5317</v>
      </c>
      <c r="B1125" s="7" t="s">
        <v>5317</v>
      </c>
      <c r="C1125" s="7" t="s">
        <v>5318</v>
      </c>
      <c r="D1125" s="7" t="s">
        <v>5319</v>
      </c>
      <c r="E1125" s="7" t="s">
        <v>54</v>
      </c>
      <c r="F1125" s="7" t="s">
        <v>34</v>
      </c>
      <c r="G1125" s="7" t="s">
        <v>35</v>
      </c>
      <c r="H1125" s="7"/>
      <c r="I1125" s="7"/>
      <c r="J1125" s="7" t="s">
        <v>69</v>
      </c>
      <c r="K1125" s="7" t="s">
        <v>5322</v>
      </c>
      <c r="L1125" s="7" t="s">
        <v>5323</v>
      </c>
      <c r="M1125" s="7" t="s">
        <v>5324</v>
      </c>
      <c r="N1125" s="7" t="s">
        <v>62</v>
      </c>
      <c r="O1125" s="7">
        <v>1</v>
      </c>
      <c r="P1125" s="7" t="s">
        <v>40</v>
      </c>
      <c r="Q1125" s="7">
        <v>79.99</v>
      </c>
      <c r="R1125" s="7"/>
      <c r="S1125" s="7"/>
      <c r="T1125" s="7"/>
      <c r="U1125" s="7"/>
      <c r="V1125" s="7"/>
      <c r="W1125" s="7"/>
      <c r="X1125" s="7"/>
      <c r="Y1125" s="7" t="s">
        <v>5320</v>
      </c>
      <c r="Z1125" s="7" t="s">
        <v>5321</v>
      </c>
      <c r="AA1125" s="7">
        <v>739</v>
      </c>
      <c r="AB1125" s="7" t="s">
        <v>44</v>
      </c>
      <c r="AC1125" s="7"/>
      <c r="AD1125" s="7"/>
      <c r="AE1125" s="7"/>
      <c r="AF1125" s="7"/>
      <c r="AG1125" s="11">
        <f t="shared" si="17"/>
        <v>43288</v>
      </c>
    </row>
    <row r="1126" s="8" customFormat="1" spans="1:33">
      <c r="A1126" s="7" t="s">
        <v>5317</v>
      </c>
      <c r="B1126" s="7" t="s">
        <v>5317</v>
      </c>
      <c r="C1126" s="7" t="s">
        <v>5318</v>
      </c>
      <c r="D1126" s="7" t="s">
        <v>5319</v>
      </c>
      <c r="E1126" s="7" t="s">
        <v>54</v>
      </c>
      <c r="F1126" s="7" t="s">
        <v>34</v>
      </c>
      <c r="G1126" s="7" t="s">
        <v>35</v>
      </c>
      <c r="H1126" s="7"/>
      <c r="I1126" s="7"/>
      <c r="J1126" s="7" t="s">
        <v>69</v>
      </c>
      <c r="K1126" s="7" t="s">
        <v>5322</v>
      </c>
      <c r="L1126" s="7" t="s">
        <v>5323</v>
      </c>
      <c r="M1126" s="7" t="s">
        <v>5324</v>
      </c>
      <c r="N1126" s="7" t="s">
        <v>62</v>
      </c>
      <c r="O1126" s="7">
        <v>1</v>
      </c>
      <c r="P1126" s="7" t="s">
        <v>40</v>
      </c>
      <c r="Q1126" s="7">
        <v>79.99</v>
      </c>
      <c r="R1126" s="7"/>
      <c r="S1126" s="7"/>
      <c r="T1126" s="7"/>
      <c r="U1126" s="7"/>
      <c r="V1126" s="7"/>
      <c r="W1126" s="7"/>
      <c r="X1126" s="7"/>
      <c r="Y1126" s="7" t="s">
        <v>5320</v>
      </c>
      <c r="Z1126" s="7" t="s">
        <v>5321</v>
      </c>
      <c r="AA1126" s="7">
        <v>739</v>
      </c>
      <c r="AB1126" s="7" t="s">
        <v>44</v>
      </c>
      <c r="AC1126" s="7"/>
      <c r="AD1126" s="7"/>
      <c r="AE1126" s="7"/>
      <c r="AF1126" s="7"/>
      <c r="AG1126" s="11">
        <f t="shared" si="17"/>
        <v>43288</v>
      </c>
    </row>
    <row r="1127" s="8" customFormat="1" spans="1:33">
      <c r="A1127" s="7" t="s">
        <v>5325</v>
      </c>
      <c r="B1127" s="7" t="s">
        <v>5325</v>
      </c>
      <c r="C1127" s="7" t="s">
        <v>5326</v>
      </c>
      <c r="D1127" s="7" t="s">
        <v>5327</v>
      </c>
      <c r="E1127" s="7" t="s">
        <v>54</v>
      </c>
      <c r="F1127" s="7" t="s">
        <v>34</v>
      </c>
      <c r="G1127" s="7" t="s">
        <v>35</v>
      </c>
      <c r="H1127" s="7"/>
      <c r="I1127" s="7"/>
      <c r="J1127" s="7" t="s">
        <v>69</v>
      </c>
      <c r="K1127" s="7" t="s">
        <v>1215</v>
      </c>
      <c r="L1127" s="7" t="s">
        <v>1216</v>
      </c>
      <c r="M1127" s="7" t="s">
        <v>1217</v>
      </c>
      <c r="N1127" s="7" t="s">
        <v>62</v>
      </c>
      <c r="O1127" s="7">
        <v>1</v>
      </c>
      <c r="P1127" s="7" t="s">
        <v>40</v>
      </c>
      <c r="Q1127" s="7">
        <v>99.99</v>
      </c>
      <c r="R1127" s="7"/>
      <c r="S1127" s="7"/>
      <c r="T1127" s="7"/>
      <c r="U1127" s="7"/>
      <c r="V1127" s="7"/>
      <c r="W1127" s="7"/>
      <c r="X1127" s="7"/>
      <c r="Y1127" s="7" t="s">
        <v>1594</v>
      </c>
      <c r="Z1127" s="7" t="s">
        <v>1342</v>
      </c>
      <c r="AA1127" s="7" t="s">
        <v>1595</v>
      </c>
      <c r="AB1127" s="7" t="s">
        <v>44</v>
      </c>
      <c r="AC1127" s="7"/>
      <c r="AD1127" s="7"/>
      <c r="AE1127" s="7"/>
      <c r="AF1127" s="7"/>
      <c r="AG1127" s="11">
        <f t="shared" si="17"/>
        <v>43288</v>
      </c>
    </row>
    <row r="1128" s="8" customFormat="1" spans="1:33">
      <c r="A1128" s="7" t="s">
        <v>5328</v>
      </c>
      <c r="B1128" s="7" t="s">
        <v>5328</v>
      </c>
      <c r="C1128" s="7" t="s">
        <v>5329</v>
      </c>
      <c r="D1128" s="7" t="s">
        <v>5330</v>
      </c>
      <c r="E1128" s="7" t="s">
        <v>54</v>
      </c>
      <c r="F1128" s="7" t="s">
        <v>34</v>
      </c>
      <c r="G1128" s="7" t="s">
        <v>35</v>
      </c>
      <c r="H1128" s="7"/>
      <c r="I1128" s="7"/>
      <c r="J1128" s="7" t="s">
        <v>69</v>
      </c>
      <c r="K1128" s="7" t="s">
        <v>1215</v>
      </c>
      <c r="L1128" s="7" t="s">
        <v>1216</v>
      </c>
      <c r="M1128" s="7" t="s">
        <v>1217</v>
      </c>
      <c r="N1128" s="7" t="s">
        <v>62</v>
      </c>
      <c r="O1128" s="7">
        <v>1</v>
      </c>
      <c r="P1128" s="7" t="s">
        <v>40</v>
      </c>
      <c r="Q1128" s="7">
        <v>99.99</v>
      </c>
      <c r="R1128" s="7"/>
      <c r="S1128" s="7"/>
      <c r="T1128" s="7"/>
      <c r="U1128" s="7"/>
      <c r="V1128" s="7"/>
      <c r="W1128" s="7"/>
      <c r="X1128" s="7"/>
      <c r="Y1128" s="7" t="s">
        <v>1594</v>
      </c>
      <c r="Z1128" s="7" t="s">
        <v>1342</v>
      </c>
      <c r="AA1128" s="7" t="s">
        <v>1595</v>
      </c>
      <c r="AB1128" s="7" t="s">
        <v>44</v>
      </c>
      <c r="AC1128" s="7"/>
      <c r="AD1128" s="7"/>
      <c r="AE1128" s="7"/>
      <c r="AF1128" s="7"/>
      <c r="AG1128" s="11">
        <f t="shared" si="17"/>
        <v>43288</v>
      </c>
    </row>
    <row r="1129" s="8" customFormat="1" spans="1:33">
      <c r="A1129" s="7" t="s">
        <v>5331</v>
      </c>
      <c r="B1129" s="7" t="s">
        <v>5331</v>
      </c>
      <c r="C1129" s="7" t="s">
        <v>5332</v>
      </c>
      <c r="D1129" s="7" t="s">
        <v>5333</v>
      </c>
      <c r="E1129" s="7" t="s">
        <v>33</v>
      </c>
      <c r="F1129" s="7" t="s">
        <v>34</v>
      </c>
      <c r="G1129" s="7" t="s">
        <v>35</v>
      </c>
      <c r="H1129" s="7"/>
      <c r="I1129" s="7"/>
      <c r="J1129" s="7" t="s">
        <v>69</v>
      </c>
      <c r="K1129" s="7" t="s">
        <v>1099</v>
      </c>
      <c r="L1129" s="7" t="s">
        <v>1100</v>
      </c>
      <c r="M1129" s="7" t="s">
        <v>1101</v>
      </c>
      <c r="N1129" s="7" t="s">
        <v>33</v>
      </c>
      <c r="O1129" s="7">
        <v>1</v>
      </c>
      <c r="P1129" s="7" t="s">
        <v>40</v>
      </c>
      <c r="Q1129" s="7">
        <v>108.99</v>
      </c>
      <c r="R1129" s="7"/>
      <c r="S1129" s="7">
        <v>8.07</v>
      </c>
      <c r="T1129" s="7"/>
      <c r="U1129" s="7"/>
      <c r="V1129" s="7"/>
      <c r="W1129" s="7"/>
      <c r="X1129" s="7">
        <v>8.07</v>
      </c>
      <c r="Y1129" s="7" t="s">
        <v>5334</v>
      </c>
      <c r="Z1129" s="7" t="s">
        <v>5335</v>
      </c>
      <c r="AA1129" s="7" t="s">
        <v>5336</v>
      </c>
      <c r="AB1129" s="7" t="s">
        <v>44</v>
      </c>
      <c r="AC1129" s="7" t="s">
        <v>75</v>
      </c>
      <c r="AD1129" s="7"/>
      <c r="AE1129" s="7"/>
      <c r="AF1129" s="7"/>
      <c r="AG1129" s="11">
        <f t="shared" si="17"/>
        <v>43288</v>
      </c>
    </row>
    <row r="1130" s="8" customFormat="1" spans="1:33">
      <c r="A1130" s="7" t="s">
        <v>5337</v>
      </c>
      <c r="B1130" s="7" t="s">
        <v>5337</v>
      </c>
      <c r="C1130" s="7" t="s">
        <v>5338</v>
      </c>
      <c r="D1130" s="7" t="s">
        <v>5339</v>
      </c>
      <c r="E1130" s="7" t="s">
        <v>33</v>
      </c>
      <c r="F1130" s="7" t="s">
        <v>34</v>
      </c>
      <c r="G1130" s="7" t="s">
        <v>35</v>
      </c>
      <c r="H1130" s="7"/>
      <c r="I1130" s="7"/>
      <c r="J1130" s="7" t="s">
        <v>69</v>
      </c>
      <c r="K1130" s="7" t="s">
        <v>79</v>
      </c>
      <c r="L1130" s="7" t="s">
        <v>80</v>
      </c>
      <c r="M1130" s="7" t="s">
        <v>81</v>
      </c>
      <c r="N1130" s="7" t="s">
        <v>33</v>
      </c>
      <c r="O1130" s="7">
        <v>1</v>
      </c>
      <c r="P1130" s="7" t="s">
        <v>40</v>
      </c>
      <c r="Q1130" s="7">
        <v>91.99</v>
      </c>
      <c r="R1130" s="7"/>
      <c r="S1130" s="7">
        <v>6.87</v>
      </c>
      <c r="T1130" s="7"/>
      <c r="U1130" s="7"/>
      <c r="V1130" s="7"/>
      <c r="W1130" s="7"/>
      <c r="X1130" s="7">
        <v>6.87</v>
      </c>
      <c r="Y1130" s="7" t="s">
        <v>5340</v>
      </c>
      <c r="Z1130" s="7" t="s">
        <v>64</v>
      </c>
      <c r="AA1130" s="7" t="s">
        <v>5341</v>
      </c>
      <c r="AB1130" s="7" t="s">
        <v>44</v>
      </c>
      <c r="AC1130" s="7" t="s">
        <v>75</v>
      </c>
      <c r="AD1130" s="7"/>
      <c r="AE1130" s="7"/>
      <c r="AF1130" s="7"/>
      <c r="AG1130" s="11">
        <f t="shared" si="17"/>
        <v>43288</v>
      </c>
    </row>
    <row r="1131" s="8" customFormat="1" spans="1:33">
      <c r="A1131" s="7" t="s">
        <v>5342</v>
      </c>
      <c r="B1131" s="7" t="s">
        <v>5342</v>
      </c>
      <c r="C1131" s="7" t="s">
        <v>5343</v>
      </c>
      <c r="D1131" s="7" t="s">
        <v>5344</v>
      </c>
      <c r="E1131" s="7" t="s">
        <v>33</v>
      </c>
      <c r="F1131" s="7" t="s">
        <v>34</v>
      </c>
      <c r="G1131" s="7" t="s">
        <v>35</v>
      </c>
      <c r="H1131" s="7"/>
      <c r="I1131" s="7"/>
      <c r="J1131" s="7" t="s">
        <v>36</v>
      </c>
      <c r="K1131" s="7" t="s">
        <v>37</v>
      </c>
      <c r="L1131" s="7" t="s">
        <v>38</v>
      </c>
      <c r="M1131" s="7" t="s">
        <v>39</v>
      </c>
      <c r="N1131" s="7" t="s">
        <v>33</v>
      </c>
      <c r="O1131" s="7">
        <v>1</v>
      </c>
      <c r="P1131" s="7" t="s">
        <v>40</v>
      </c>
      <c r="Q1131" s="7">
        <v>89.99</v>
      </c>
      <c r="R1131" s="7">
        <v>5.4</v>
      </c>
      <c r="S1131" s="7"/>
      <c r="T1131" s="7"/>
      <c r="U1131" s="7"/>
      <c r="V1131" s="7"/>
      <c r="W1131" s="7"/>
      <c r="X1131" s="7"/>
      <c r="Y1131" s="7" t="s">
        <v>5345</v>
      </c>
      <c r="Z1131" s="7" t="s">
        <v>880</v>
      </c>
      <c r="AA1131" s="7" t="s">
        <v>5346</v>
      </c>
      <c r="AB1131" s="7" t="s">
        <v>44</v>
      </c>
      <c r="AC1131" s="7"/>
      <c r="AD1131" s="7"/>
      <c r="AE1131" s="7"/>
      <c r="AF1131" s="7"/>
      <c r="AG1131" s="11">
        <f t="shared" si="17"/>
        <v>43288</v>
      </c>
    </row>
    <row r="1132" s="8" customFormat="1" spans="1:33">
      <c r="A1132" s="7" t="s">
        <v>5347</v>
      </c>
      <c r="B1132" s="7" t="s">
        <v>5347</v>
      </c>
      <c r="C1132" s="7" t="s">
        <v>5348</v>
      </c>
      <c r="D1132" s="7" t="s">
        <v>5349</v>
      </c>
      <c r="E1132" s="7" t="s">
        <v>54</v>
      </c>
      <c r="F1132" s="7" t="s">
        <v>34</v>
      </c>
      <c r="G1132" s="7" t="s">
        <v>35</v>
      </c>
      <c r="H1132" s="7"/>
      <c r="I1132" s="7"/>
      <c r="J1132" s="7" t="s">
        <v>69</v>
      </c>
      <c r="K1132" s="7" t="s">
        <v>1215</v>
      </c>
      <c r="L1132" s="7" t="s">
        <v>1216</v>
      </c>
      <c r="M1132" s="7" t="s">
        <v>1217</v>
      </c>
      <c r="N1132" s="7" t="s">
        <v>62</v>
      </c>
      <c r="O1132" s="7">
        <v>1</v>
      </c>
      <c r="P1132" s="7" t="s">
        <v>40</v>
      </c>
      <c r="Q1132" s="7">
        <v>99.99</v>
      </c>
      <c r="R1132" s="7"/>
      <c r="S1132" s="7"/>
      <c r="T1132" s="7"/>
      <c r="U1132" s="7"/>
      <c r="V1132" s="7"/>
      <c r="W1132" s="7"/>
      <c r="X1132" s="7"/>
      <c r="Y1132" s="7" t="s">
        <v>1594</v>
      </c>
      <c r="Z1132" s="7" t="s">
        <v>1342</v>
      </c>
      <c r="AA1132" s="7" t="s">
        <v>1595</v>
      </c>
      <c r="AB1132" s="7" t="s">
        <v>44</v>
      </c>
      <c r="AC1132" s="7"/>
      <c r="AD1132" s="7"/>
      <c r="AE1132" s="7"/>
      <c r="AF1132" s="7"/>
      <c r="AG1132" s="11">
        <f t="shared" si="17"/>
        <v>43288</v>
      </c>
    </row>
    <row r="1133" s="8" customFormat="1" spans="1:33">
      <c r="A1133" s="7" t="s">
        <v>5350</v>
      </c>
      <c r="B1133" s="7" t="s">
        <v>5350</v>
      </c>
      <c r="C1133" s="7" t="s">
        <v>5351</v>
      </c>
      <c r="D1133" s="7" t="s">
        <v>5352</v>
      </c>
      <c r="E1133" s="7" t="s">
        <v>33</v>
      </c>
      <c r="F1133" s="7" t="s">
        <v>34</v>
      </c>
      <c r="G1133" s="7" t="s">
        <v>35</v>
      </c>
      <c r="H1133" s="7"/>
      <c r="I1133" s="7"/>
      <c r="J1133" s="7" t="s">
        <v>36</v>
      </c>
      <c r="K1133" s="7" t="s">
        <v>48</v>
      </c>
      <c r="L1133" s="7" t="s">
        <v>49</v>
      </c>
      <c r="M1133" s="7" t="s">
        <v>50</v>
      </c>
      <c r="N1133" s="7" t="s">
        <v>33</v>
      </c>
      <c r="O1133" s="7">
        <v>1</v>
      </c>
      <c r="P1133" s="7" t="s">
        <v>40</v>
      </c>
      <c r="Q1133" s="7">
        <v>89.99</v>
      </c>
      <c r="R1133" s="7"/>
      <c r="S1133" s="7">
        <v>13.96</v>
      </c>
      <c r="T1133" s="7"/>
      <c r="U1133" s="7"/>
      <c r="V1133" s="7"/>
      <c r="W1133" s="7"/>
      <c r="X1133" s="7"/>
      <c r="Y1133" s="7" t="s">
        <v>5353</v>
      </c>
      <c r="Z1133" s="7" t="s">
        <v>83</v>
      </c>
      <c r="AA1133" s="7" t="s">
        <v>5354</v>
      </c>
      <c r="AB1133" s="7" t="s">
        <v>44</v>
      </c>
      <c r="AC1133" s="7"/>
      <c r="AD1133" s="7"/>
      <c r="AE1133" s="7"/>
      <c r="AF1133" s="7"/>
      <c r="AG1133" s="11">
        <f t="shared" si="17"/>
        <v>43288</v>
      </c>
    </row>
    <row r="1134" s="8" customFormat="1" spans="1:33">
      <c r="A1134" s="7" t="s">
        <v>5355</v>
      </c>
      <c r="B1134" s="7" t="s">
        <v>5355</v>
      </c>
      <c r="C1134" s="7" t="s">
        <v>5356</v>
      </c>
      <c r="D1134" s="7" t="s">
        <v>5357</v>
      </c>
      <c r="E1134" s="7" t="s">
        <v>33</v>
      </c>
      <c r="F1134" s="7" t="s">
        <v>34</v>
      </c>
      <c r="G1134" s="7" t="s">
        <v>35</v>
      </c>
      <c r="H1134" s="7"/>
      <c r="I1134" s="7"/>
      <c r="J1134" s="7" t="s">
        <v>36</v>
      </c>
      <c r="K1134" s="7" t="s">
        <v>148</v>
      </c>
      <c r="L1134" s="7" t="s">
        <v>149</v>
      </c>
      <c r="M1134" s="7" t="s">
        <v>150</v>
      </c>
      <c r="N1134" s="7" t="s">
        <v>33</v>
      </c>
      <c r="O1134" s="7">
        <v>1</v>
      </c>
      <c r="P1134" s="7" t="s">
        <v>40</v>
      </c>
      <c r="Q1134" s="7">
        <v>98.99</v>
      </c>
      <c r="R1134" s="7"/>
      <c r="S1134" s="7"/>
      <c r="T1134" s="7"/>
      <c r="U1134" s="7"/>
      <c r="V1134" s="7"/>
      <c r="W1134" s="7"/>
      <c r="X1134" s="7"/>
      <c r="Y1134" s="7" t="s">
        <v>5358</v>
      </c>
      <c r="Z1134" s="7" t="s">
        <v>83</v>
      </c>
      <c r="AA1134" s="7" t="s">
        <v>5359</v>
      </c>
      <c r="AB1134" s="7" t="s">
        <v>44</v>
      </c>
      <c r="AC1134" s="7"/>
      <c r="AD1134" s="7"/>
      <c r="AE1134" s="7"/>
      <c r="AF1134" s="7"/>
      <c r="AG1134" s="11">
        <f t="shared" si="17"/>
        <v>43288</v>
      </c>
    </row>
    <row r="1135" s="8" customFormat="1" spans="1:33">
      <c r="A1135" s="7" t="s">
        <v>5360</v>
      </c>
      <c r="B1135" s="7" t="s">
        <v>5360</v>
      </c>
      <c r="C1135" s="7" t="s">
        <v>5361</v>
      </c>
      <c r="D1135" s="7" t="s">
        <v>5362</v>
      </c>
      <c r="E1135" s="7" t="s">
        <v>33</v>
      </c>
      <c r="F1135" s="7" t="s">
        <v>34</v>
      </c>
      <c r="G1135" s="7" t="s">
        <v>35</v>
      </c>
      <c r="H1135" s="7"/>
      <c r="I1135" s="7"/>
      <c r="J1135" s="7" t="s">
        <v>36</v>
      </c>
      <c r="K1135" s="7" t="s">
        <v>79</v>
      </c>
      <c r="L1135" s="7" t="s">
        <v>80</v>
      </c>
      <c r="M1135" s="7" t="s">
        <v>81</v>
      </c>
      <c r="N1135" s="7" t="s">
        <v>33</v>
      </c>
      <c r="O1135" s="7">
        <v>1</v>
      </c>
      <c r="P1135" s="7" t="s">
        <v>40</v>
      </c>
      <c r="Q1135" s="7">
        <v>91.99</v>
      </c>
      <c r="R1135" s="7"/>
      <c r="S1135" s="7"/>
      <c r="T1135" s="7"/>
      <c r="U1135" s="7"/>
      <c r="V1135" s="7"/>
      <c r="W1135" s="7"/>
      <c r="X1135" s="7"/>
      <c r="Y1135" s="7" t="s">
        <v>1458</v>
      </c>
      <c r="Z1135" s="7" t="s">
        <v>271</v>
      </c>
      <c r="AA1135" s="7">
        <v>33025</v>
      </c>
      <c r="AB1135" s="7" t="s">
        <v>44</v>
      </c>
      <c r="AC1135" s="7"/>
      <c r="AD1135" s="7"/>
      <c r="AE1135" s="7"/>
      <c r="AF1135" s="7"/>
      <c r="AG1135" s="11">
        <f t="shared" si="17"/>
        <v>43288</v>
      </c>
    </row>
    <row r="1136" s="8" customFormat="1" spans="1:33">
      <c r="A1136" s="7" t="s">
        <v>5363</v>
      </c>
      <c r="B1136" s="7" t="s">
        <v>5363</v>
      </c>
      <c r="C1136" s="7" t="s">
        <v>5364</v>
      </c>
      <c r="D1136" s="7" t="s">
        <v>5365</v>
      </c>
      <c r="E1136" s="7" t="s">
        <v>33</v>
      </c>
      <c r="F1136" s="7" t="s">
        <v>34</v>
      </c>
      <c r="G1136" s="7" t="s">
        <v>35</v>
      </c>
      <c r="H1136" s="7"/>
      <c r="I1136" s="7"/>
      <c r="J1136" s="7" t="s">
        <v>36</v>
      </c>
      <c r="K1136" s="7" t="s">
        <v>1766</v>
      </c>
      <c r="L1136" s="7" t="s">
        <v>2382</v>
      </c>
      <c r="M1136" s="7" t="s">
        <v>1768</v>
      </c>
      <c r="N1136" s="7" t="s">
        <v>33</v>
      </c>
      <c r="O1136" s="7">
        <v>1</v>
      </c>
      <c r="P1136" s="7" t="s">
        <v>40</v>
      </c>
      <c r="Q1136" s="7">
        <v>21.99</v>
      </c>
      <c r="R1136" s="7"/>
      <c r="S1136" s="7"/>
      <c r="T1136" s="7"/>
      <c r="U1136" s="7"/>
      <c r="V1136" s="7"/>
      <c r="W1136" s="7">
        <v>21.77</v>
      </c>
      <c r="X1136" s="7"/>
      <c r="Y1136" s="7" t="s">
        <v>5366</v>
      </c>
      <c r="Z1136" s="7" t="s">
        <v>189</v>
      </c>
      <c r="AA1136" s="7" t="s">
        <v>5367</v>
      </c>
      <c r="AB1136" s="7" t="s">
        <v>44</v>
      </c>
      <c r="AC1136" s="7" t="s">
        <v>209</v>
      </c>
      <c r="AD1136" s="7"/>
      <c r="AE1136" s="7"/>
      <c r="AF1136" s="7"/>
      <c r="AG1136" s="11">
        <f t="shared" si="17"/>
        <v>43288</v>
      </c>
    </row>
    <row r="1137" s="8" customFormat="1" spans="1:33">
      <c r="A1137" s="7" t="s">
        <v>5368</v>
      </c>
      <c r="B1137" s="7" t="s">
        <v>5368</v>
      </c>
      <c r="C1137" s="7" t="s">
        <v>5369</v>
      </c>
      <c r="D1137" s="7" t="s">
        <v>5370</v>
      </c>
      <c r="E1137" s="7" t="s">
        <v>54</v>
      </c>
      <c r="F1137" s="7" t="s">
        <v>34</v>
      </c>
      <c r="G1137" s="7" t="s">
        <v>35</v>
      </c>
      <c r="H1137" s="7"/>
      <c r="I1137" s="7"/>
      <c r="J1137" s="7" t="s">
        <v>36</v>
      </c>
      <c r="K1137" s="7" t="s">
        <v>79</v>
      </c>
      <c r="L1137" s="7" t="s">
        <v>80</v>
      </c>
      <c r="M1137" s="7" t="s">
        <v>81</v>
      </c>
      <c r="N1137" s="7" t="s">
        <v>54</v>
      </c>
      <c r="O1137" s="7">
        <v>0</v>
      </c>
      <c r="P1137" s="7"/>
      <c r="Q1137" s="7"/>
      <c r="R1137" s="7"/>
      <c r="S1137" s="7"/>
      <c r="T1137" s="7"/>
      <c r="U1137" s="7"/>
      <c r="V1137" s="7"/>
      <c r="W1137" s="7"/>
      <c r="X1137" s="7"/>
      <c r="Y1137" s="7" t="s">
        <v>1458</v>
      </c>
      <c r="Z1137" s="7" t="s">
        <v>271</v>
      </c>
      <c r="AA1137" s="7">
        <v>33025</v>
      </c>
      <c r="AB1137" s="7" t="s">
        <v>44</v>
      </c>
      <c r="AC1137" s="7"/>
      <c r="AD1137" s="7"/>
      <c r="AE1137" s="7"/>
      <c r="AF1137" s="7"/>
      <c r="AG1137" s="11">
        <f t="shared" si="17"/>
        <v>43288</v>
      </c>
    </row>
    <row r="1138" s="8" customFormat="1" spans="1:33">
      <c r="A1138" s="7" t="s">
        <v>5371</v>
      </c>
      <c r="B1138" s="7" t="s">
        <v>5371</v>
      </c>
      <c r="C1138" s="7" t="s">
        <v>5372</v>
      </c>
      <c r="D1138" s="7" t="s">
        <v>5373</v>
      </c>
      <c r="E1138" s="7" t="s">
        <v>33</v>
      </c>
      <c r="F1138" s="7" t="s">
        <v>34</v>
      </c>
      <c r="G1138" s="7" t="s">
        <v>35</v>
      </c>
      <c r="H1138" s="7"/>
      <c r="I1138" s="7"/>
      <c r="J1138" s="7" t="s">
        <v>36</v>
      </c>
      <c r="K1138" s="7" t="s">
        <v>1975</v>
      </c>
      <c r="L1138" s="7" t="s">
        <v>1976</v>
      </c>
      <c r="M1138" s="7" t="s">
        <v>1977</v>
      </c>
      <c r="N1138" s="7" t="s">
        <v>33</v>
      </c>
      <c r="O1138" s="7">
        <v>1</v>
      </c>
      <c r="P1138" s="7" t="s">
        <v>40</v>
      </c>
      <c r="Q1138" s="7">
        <v>92.99</v>
      </c>
      <c r="R1138" s="7"/>
      <c r="S1138" s="7"/>
      <c r="T1138" s="7"/>
      <c r="U1138" s="7"/>
      <c r="V1138" s="7"/>
      <c r="W1138" s="7"/>
      <c r="X1138" s="7"/>
      <c r="Y1138" s="7" t="s">
        <v>1352</v>
      </c>
      <c r="Z1138" s="7" t="s">
        <v>83</v>
      </c>
      <c r="AA1138" s="7" t="s">
        <v>5374</v>
      </c>
      <c r="AB1138" s="7" t="s">
        <v>44</v>
      </c>
      <c r="AC1138" s="7"/>
      <c r="AD1138" s="7"/>
      <c r="AE1138" s="7"/>
      <c r="AF1138" s="7"/>
      <c r="AG1138" s="11">
        <f t="shared" si="17"/>
        <v>43288</v>
      </c>
    </row>
    <row r="1139" s="8" customFormat="1" spans="1:33">
      <c r="A1139" s="7" t="s">
        <v>5375</v>
      </c>
      <c r="B1139" s="7" t="s">
        <v>5375</v>
      </c>
      <c r="C1139" s="7" t="s">
        <v>5376</v>
      </c>
      <c r="D1139" s="7" t="s">
        <v>5377</v>
      </c>
      <c r="E1139" s="7" t="s">
        <v>33</v>
      </c>
      <c r="F1139" s="7" t="s">
        <v>34</v>
      </c>
      <c r="G1139" s="7" t="s">
        <v>35</v>
      </c>
      <c r="H1139" s="7"/>
      <c r="I1139" s="7"/>
      <c r="J1139" s="7" t="s">
        <v>36</v>
      </c>
      <c r="K1139" s="7" t="s">
        <v>2035</v>
      </c>
      <c r="L1139" s="7" t="s">
        <v>89</v>
      </c>
      <c r="M1139" s="7" t="s">
        <v>90</v>
      </c>
      <c r="N1139" s="7" t="s">
        <v>33</v>
      </c>
      <c r="O1139" s="7">
        <v>1</v>
      </c>
      <c r="P1139" s="7" t="s">
        <v>40</v>
      </c>
      <c r="Q1139" s="7">
        <v>89.99</v>
      </c>
      <c r="R1139" s="7"/>
      <c r="S1139" s="7"/>
      <c r="T1139" s="7"/>
      <c r="U1139" s="7"/>
      <c r="V1139" s="7"/>
      <c r="W1139" s="7"/>
      <c r="X1139" s="7"/>
      <c r="Y1139" s="7" t="s">
        <v>512</v>
      </c>
      <c r="Z1139" s="7" t="s">
        <v>4832</v>
      </c>
      <c r="AA1139" s="7" t="s">
        <v>5378</v>
      </c>
      <c r="AB1139" s="7" t="s">
        <v>44</v>
      </c>
      <c r="AC1139" s="7"/>
      <c r="AD1139" s="7"/>
      <c r="AE1139" s="7"/>
      <c r="AF1139" s="7"/>
      <c r="AG1139" s="11">
        <f t="shared" si="17"/>
        <v>43288</v>
      </c>
    </row>
    <row r="1140" s="8" customFormat="1" spans="1:33">
      <c r="A1140" s="7" t="s">
        <v>5379</v>
      </c>
      <c r="B1140" s="7" t="s">
        <v>5379</v>
      </c>
      <c r="C1140" s="7" t="s">
        <v>5380</v>
      </c>
      <c r="D1140" s="7" t="s">
        <v>5381</v>
      </c>
      <c r="E1140" s="7" t="s">
        <v>33</v>
      </c>
      <c r="F1140" s="7" t="s">
        <v>34</v>
      </c>
      <c r="G1140" s="7" t="s">
        <v>35</v>
      </c>
      <c r="H1140" s="7"/>
      <c r="I1140" s="7"/>
      <c r="J1140" s="7" t="s">
        <v>36</v>
      </c>
      <c r="K1140" s="7" t="s">
        <v>457</v>
      </c>
      <c r="L1140" s="7" t="s">
        <v>458</v>
      </c>
      <c r="M1140" s="7" t="s">
        <v>459</v>
      </c>
      <c r="N1140" s="7" t="s">
        <v>33</v>
      </c>
      <c r="O1140" s="7">
        <v>1</v>
      </c>
      <c r="P1140" s="7" t="s">
        <v>40</v>
      </c>
      <c r="Q1140" s="7">
        <v>79.99</v>
      </c>
      <c r="R1140" s="7"/>
      <c r="S1140" s="7"/>
      <c r="T1140" s="7"/>
      <c r="U1140" s="7"/>
      <c r="V1140" s="7"/>
      <c r="W1140" s="7"/>
      <c r="X1140" s="7"/>
      <c r="Y1140" s="7" t="s">
        <v>1318</v>
      </c>
      <c r="Z1140" s="7" t="s">
        <v>484</v>
      </c>
      <c r="AA1140" s="7" t="s">
        <v>5382</v>
      </c>
      <c r="AB1140" s="7" t="s">
        <v>44</v>
      </c>
      <c r="AC1140" s="7"/>
      <c r="AD1140" s="7"/>
      <c r="AE1140" s="7"/>
      <c r="AF1140" s="7"/>
      <c r="AG1140" s="11">
        <f t="shared" si="17"/>
        <v>43288</v>
      </c>
    </row>
    <row r="1141" s="8" customFormat="1" spans="1:33">
      <c r="A1141" s="7" t="s">
        <v>5383</v>
      </c>
      <c r="B1141" s="7" t="s">
        <v>5383</v>
      </c>
      <c r="C1141" s="7" t="s">
        <v>5384</v>
      </c>
      <c r="D1141" s="7" t="s">
        <v>5385</v>
      </c>
      <c r="E1141" s="7" t="s">
        <v>33</v>
      </c>
      <c r="F1141" s="7" t="s">
        <v>34</v>
      </c>
      <c r="G1141" s="7" t="s">
        <v>35</v>
      </c>
      <c r="H1141" s="7"/>
      <c r="I1141" s="7"/>
      <c r="J1141" s="7" t="s">
        <v>36</v>
      </c>
      <c r="K1141" s="7" t="s">
        <v>213</v>
      </c>
      <c r="L1141" s="7" t="s">
        <v>214</v>
      </c>
      <c r="M1141" s="7" t="s">
        <v>215</v>
      </c>
      <c r="N1141" s="7" t="s">
        <v>33</v>
      </c>
      <c r="O1141" s="7">
        <v>1</v>
      </c>
      <c r="P1141" s="7" t="s">
        <v>40</v>
      </c>
      <c r="Q1141" s="7">
        <v>21.99</v>
      </c>
      <c r="R1141" s="7"/>
      <c r="S1141" s="7"/>
      <c r="T1141" s="7"/>
      <c r="U1141" s="7"/>
      <c r="V1141" s="7"/>
      <c r="W1141" s="7">
        <v>21.77</v>
      </c>
      <c r="X1141" s="7"/>
      <c r="Y1141" s="7" t="s">
        <v>4109</v>
      </c>
      <c r="Z1141" s="7" t="s">
        <v>440</v>
      </c>
      <c r="AA1141" s="7" t="s">
        <v>4740</v>
      </c>
      <c r="AB1141" s="7" t="s">
        <v>44</v>
      </c>
      <c r="AC1141" s="7" t="s">
        <v>209</v>
      </c>
      <c r="AD1141" s="7"/>
      <c r="AE1141" s="7"/>
      <c r="AF1141" s="7"/>
      <c r="AG1141" s="11">
        <f t="shared" si="17"/>
        <v>43288</v>
      </c>
    </row>
    <row r="1142" s="8" customFormat="1" spans="1:33">
      <c r="A1142" s="7" t="s">
        <v>5386</v>
      </c>
      <c r="B1142" s="7" t="s">
        <v>5386</v>
      </c>
      <c r="C1142" s="7" t="s">
        <v>5387</v>
      </c>
      <c r="D1142" s="7" t="s">
        <v>5388</v>
      </c>
      <c r="E1142" s="7" t="s">
        <v>33</v>
      </c>
      <c r="F1142" s="7" t="s">
        <v>34</v>
      </c>
      <c r="G1142" s="7" t="s">
        <v>35</v>
      </c>
      <c r="H1142" s="7"/>
      <c r="I1142" s="7"/>
      <c r="J1142" s="7" t="s">
        <v>58</v>
      </c>
      <c r="K1142" s="7" t="s">
        <v>1099</v>
      </c>
      <c r="L1142" s="7" t="s">
        <v>1100</v>
      </c>
      <c r="M1142" s="7" t="s">
        <v>1101</v>
      </c>
      <c r="N1142" s="7" t="s">
        <v>33</v>
      </c>
      <c r="O1142" s="7">
        <v>1</v>
      </c>
      <c r="P1142" s="7" t="s">
        <v>40</v>
      </c>
      <c r="Q1142" s="7">
        <v>108.99</v>
      </c>
      <c r="R1142" s="7"/>
      <c r="S1142" s="7">
        <v>7.99</v>
      </c>
      <c r="T1142" s="7"/>
      <c r="U1142" s="7"/>
      <c r="V1142" s="7"/>
      <c r="W1142" s="7"/>
      <c r="X1142" s="7"/>
      <c r="Y1142" s="7" t="s">
        <v>1887</v>
      </c>
      <c r="Z1142" s="7" t="s">
        <v>230</v>
      </c>
      <c r="AA1142" s="7" t="s">
        <v>5389</v>
      </c>
      <c r="AB1142" s="7" t="s">
        <v>44</v>
      </c>
      <c r="AC1142" s="7"/>
      <c r="AD1142" s="7"/>
      <c r="AE1142" s="7"/>
      <c r="AF1142" s="7"/>
      <c r="AG1142" s="11">
        <f t="shared" si="17"/>
        <v>43289</v>
      </c>
    </row>
    <row r="1143" s="8" customFormat="1" spans="1:33">
      <c r="A1143" s="7" t="s">
        <v>5390</v>
      </c>
      <c r="B1143" s="7" t="s">
        <v>5390</v>
      </c>
      <c r="C1143" s="7" t="s">
        <v>5391</v>
      </c>
      <c r="D1143" s="7" t="s">
        <v>5392</v>
      </c>
      <c r="E1143" s="7" t="s">
        <v>33</v>
      </c>
      <c r="F1143" s="7" t="s">
        <v>34</v>
      </c>
      <c r="G1143" s="7" t="s">
        <v>35</v>
      </c>
      <c r="H1143" s="7"/>
      <c r="I1143" s="7"/>
      <c r="J1143" s="7" t="s">
        <v>36</v>
      </c>
      <c r="K1143" s="7" t="s">
        <v>2013</v>
      </c>
      <c r="L1143" s="7" t="s">
        <v>2014</v>
      </c>
      <c r="M1143" s="7" t="s">
        <v>2015</v>
      </c>
      <c r="N1143" s="7" t="s">
        <v>33</v>
      </c>
      <c r="O1143" s="7">
        <v>1</v>
      </c>
      <c r="P1143" s="7" t="s">
        <v>40</v>
      </c>
      <c r="Q1143" s="7">
        <v>99.99</v>
      </c>
      <c r="R1143" s="7"/>
      <c r="S1143" s="7"/>
      <c r="T1143" s="7"/>
      <c r="U1143" s="7"/>
      <c r="V1143" s="7"/>
      <c r="W1143" s="7"/>
      <c r="X1143" s="7"/>
      <c r="Y1143" s="7" t="s">
        <v>512</v>
      </c>
      <c r="Z1143" s="7" t="s">
        <v>466</v>
      </c>
      <c r="AA1143" s="7" t="s">
        <v>5393</v>
      </c>
      <c r="AB1143" s="7" t="s">
        <v>44</v>
      </c>
      <c r="AC1143" s="7"/>
      <c r="AD1143" s="7"/>
      <c r="AE1143" s="7"/>
      <c r="AF1143" s="7"/>
      <c r="AG1143" s="11">
        <f t="shared" si="17"/>
        <v>43289</v>
      </c>
    </row>
    <row r="1144" s="8" customFormat="1" spans="1:33">
      <c r="A1144" s="7" t="s">
        <v>5394</v>
      </c>
      <c r="B1144" s="7" t="s">
        <v>5394</v>
      </c>
      <c r="C1144" s="7" t="s">
        <v>5395</v>
      </c>
      <c r="D1144" s="7" t="s">
        <v>5396</v>
      </c>
      <c r="E1144" s="7" t="s">
        <v>33</v>
      </c>
      <c r="F1144" s="7" t="s">
        <v>34</v>
      </c>
      <c r="G1144" s="7" t="s">
        <v>35</v>
      </c>
      <c r="H1144" s="7"/>
      <c r="I1144" s="7"/>
      <c r="J1144" s="7" t="s">
        <v>36</v>
      </c>
      <c r="K1144" s="7" t="s">
        <v>2035</v>
      </c>
      <c r="L1144" s="7" t="s">
        <v>89</v>
      </c>
      <c r="M1144" s="7" t="s">
        <v>90</v>
      </c>
      <c r="N1144" s="7" t="s">
        <v>33</v>
      </c>
      <c r="O1144" s="7">
        <v>1</v>
      </c>
      <c r="P1144" s="7" t="s">
        <v>40</v>
      </c>
      <c r="Q1144" s="7">
        <v>89.99</v>
      </c>
      <c r="R1144" s="7"/>
      <c r="S1144" s="7"/>
      <c r="T1144" s="7"/>
      <c r="U1144" s="7"/>
      <c r="V1144" s="7"/>
      <c r="W1144" s="7"/>
      <c r="X1144" s="7"/>
      <c r="Y1144" s="7" t="s">
        <v>5397</v>
      </c>
      <c r="Z1144" s="7" t="s">
        <v>42</v>
      </c>
      <c r="AA1144" s="7">
        <v>76502</v>
      </c>
      <c r="AB1144" s="7" t="s">
        <v>44</v>
      </c>
      <c r="AC1144" s="7"/>
      <c r="AD1144" s="7"/>
      <c r="AE1144" s="7"/>
      <c r="AF1144" s="7"/>
      <c r="AG1144" s="11">
        <f t="shared" si="17"/>
        <v>43289</v>
      </c>
    </row>
    <row r="1145" s="8" customFormat="1" spans="1:33">
      <c r="A1145" s="7" t="s">
        <v>5398</v>
      </c>
      <c r="B1145" s="7" t="s">
        <v>5398</v>
      </c>
      <c r="C1145" s="7" t="s">
        <v>5399</v>
      </c>
      <c r="D1145" s="7" t="s">
        <v>5400</v>
      </c>
      <c r="E1145" s="7" t="s">
        <v>33</v>
      </c>
      <c r="F1145" s="7" t="s">
        <v>34</v>
      </c>
      <c r="G1145" s="7" t="s">
        <v>35</v>
      </c>
      <c r="H1145" s="7"/>
      <c r="I1145" s="7"/>
      <c r="J1145" s="7" t="s">
        <v>36</v>
      </c>
      <c r="K1145" s="7" t="s">
        <v>79</v>
      </c>
      <c r="L1145" s="7" t="s">
        <v>80</v>
      </c>
      <c r="M1145" s="7" t="s">
        <v>81</v>
      </c>
      <c r="N1145" s="7" t="s">
        <v>33</v>
      </c>
      <c r="O1145" s="7">
        <v>1</v>
      </c>
      <c r="P1145" s="7" t="s">
        <v>40</v>
      </c>
      <c r="Q1145" s="7">
        <v>91.99</v>
      </c>
      <c r="R1145" s="7"/>
      <c r="S1145" s="7"/>
      <c r="T1145" s="7"/>
      <c r="U1145" s="7"/>
      <c r="V1145" s="7"/>
      <c r="W1145" s="7"/>
      <c r="X1145" s="7"/>
      <c r="Y1145" s="7" t="s">
        <v>73</v>
      </c>
      <c r="Z1145" s="7" t="s">
        <v>64</v>
      </c>
      <c r="AA1145" s="7" t="s">
        <v>5401</v>
      </c>
      <c r="AB1145" s="7" t="s">
        <v>44</v>
      </c>
      <c r="AC1145" s="7"/>
      <c r="AD1145" s="7"/>
      <c r="AE1145" s="7"/>
      <c r="AF1145" s="7"/>
      <c r="AG1145" s="11">
        <f t="shared" si="17"/>
        <v>43289</v>
      </c>
    </row>
    <row r="1146" s="8" customFormat="1" spans="1:33">
      <c r="A1146" s="7" t="s">
        <v>5402</v>
      </c>
      <c r="B1146" s="7" t="s">
        <v>5402</v>
      </c>
      <c r="C1146" s="7" t="s">
        <v>5403</v>
      </c>
      <c r="D1146" s="7" t="s">
        <v>5404</v>
      </c>
      <c r="E1146" s="7" t="s">
        <v>54</v>
      </c>
      <c r="F1146" s="7" t="s">
        <v>34</v>
      </c>
      <c r="G1146" s="7" t="s">
        <v>35</v>
      </c>
      <c r="H1146" s="7"/>
      <c r="I1146" s="7"/>
      <c r="J1146" s="7" t="s">
        <v>36</v>
      </c>
      <c r="K1146" s="7" t="s">
        <v>1807</v>
      </c>
      <c r="L1146" s="7" t="s">
        <v>1808</v>
      </c>
      <c r="M1146" s="7" t="s">
        <v>1809</v>
      </c>
      <c r="N1146" s="7" t="s">
        <v>54</v>
      </c>
      <c r="O1146" s="7">
        <v>0</v>
      </c>
      <c r="P1146" s="7"/>
      <c r="Q1146" s="7"/>
      <c r="R1146" s="7"/>
      <c r="S1146" s="7"/>
      <c r="T1146" s="7"/>
      <c r="U1146" s="7"/>
      <c r="V1146" s="7"/>
      <c r="W1146" s="7"/>
      <c r="X1146" s="7"/>
      <c r="Y1146" s="7" t="s">
        <v>5405</v>
      </c>
      <c r="Z1146" s="7" t="s">
        <v>723</v>
      </c>
      <c r="AA1146" s="7" t="s">
        <v>5406</v>
      </c>
      <c r="AB1146" s="7" t="s">
        <v>44</v>
      </c>
      <c r="AC1146" s="7"/>
      <c r="AD1146" s="7"/>
      <c r="AE1146" s="7"/>
      <c r="AF1146" s="7"/>
      <c r="AG1146" s="11">
        <f t="shared" si="17"/>
        <v>43289</v>
      </c>
    </row>
    <row r="1147" s="8" customFormat="1" spans="1:33">
      <c r="A1147" s="7" t="s">
        <v>5407</v>
      </c>
      <c r="B1147" s="7" t="s">
        <v>5407</v>
      </c>
      <c r="C1147" s="7" t="s">
        <v>5408</v>
      </c>
      <c r="D1147" s="7" t="s">
        <v>5409</v>
      </c>
      <c r="E1147" s="7" t="s">
        <v>33</v>
      </c>
      <c r="F1147" s="7" t="s">
        <v>34</v>
      </c>
      <c r="G1147" s="7" t="s">
        <v>35</v>
      </c>
      <c r="H1147" s="7"/>
      <c r="I1147" s="7"/>
      <c r="J1147" s="7" t="s">
        <v>36</v>
      </c>
      <c r="K1147" s="7" t="s">
        <v>48</v>
      </c>
      <c r="L1147" s="7" t="s">
        <v>49</v>
      </c>
      <c r="M1147" s="7" t="s">
        <v>50</v>
      </c>
      <c r="N1147" s="7" t="s">
        <v>33</v>
      </c>
      <c r="O1147" s="7">
        <v>1</v>
      </c>
      <c r="P1147" s="7" t="s">
        <v>40</v>
      </c>
      <c r="Q1147" s="7">
        <v>89.99</v>
      </c>
      <c r="R1147" s="7"/>
      <c r="S1147" s="7"/>
      <c r="T1147" s="7"/>
      <c r="U1147" s="7"/>
      <c r="V1147" s="7"/>
      <c r="W1147" s="7"/>
      <c r="X1147" s="7"/>
      <c r="Y1147" s="7" t="s">
        <v>5410</v>
      </c>
      <c r="Z1147" s="7" t="s">
        <v>5411</v>
      </c>
      <c r="AA1147" s="7">
        <v>3766</v>
      </c>
      <c r="AB1147" s="7" t="s">
        <v>44</v>
      </c>
      <c r="AC1147" s="7"/>
      <c r="AD1147" s="7"/>
      <c r="AE1147" s="7"/>
      <c r="AF1147" s="7"/>
      <c r="AG1147" s="11">
        <f t="shared" si="17"/>
        <v>43289</v>
      </c>
    </row>
    <row r="1148" s="8" customFormat="1" spans="1:33">
      <c r="A1148" s="7" t="s">
        <v>5412</v>
      </c>
      <c r="B1148" s="7" t="s">
        <v>5412</v>
      </c>
      <c r="C1148" s="7" t="s">
        <v>5413</v>
      </c>
      <c r="D1148" s="7" t="s">
        <v>5414</v>
      </c>
      <c r="E1148" s="7" t="s">
        <v>33</v>
      </c>
      <c r="F1148" s="7" t="s">
        <v>34</v>
      </c>
      <c r="G1148" s="7" t="s">
        <v>35</v>
      </c>
      <c r="H1148" s="7"/>
      <c r="I1148" s="7"/>
      <c r="J1148" s="7" t="s">
        <v>36</v>
      </c>
      <c r="K1148" s="7" t="s">
        <v>642</v>
      </c>
      <c r="L1148" s="7" t="s">
        <v>643</v>
      </c>
      <c r="M1148" s="7" t="s">
        <v>644</v>
      </c>
      <c r="N1148" s="7" t="s">
        <v>33</v>
      </c>
      <c r="O1148" s="7">
        <v>1</v>
      </c>
      <c r="P1148" s="7" t="s">
        <v>40</v>
      </c>
      <c r="Q1148" s="7">
        <v>21.99</v>
      </c>
      <c r="R1148" s="7"/>
      <c r="S1148" s="7"/>
      <c r="T1148" s="7"/>
      <c r="U1148" s="7"/>
      <c r="V1148" s="7"/>
      <c r="W1148" s="7">
        <v>21.77</v>
      </c>
      <c r="X1148" s="7"/>
      <c r="Y1148" s="7" t="s">
        <v>4816</v>
      </c>
      <c r="Z1148" s="7" t="s">
        <v>996</v>
      </c>
      <c r="AA1148" s="7" t="s">
        <v>5415</v>
      </c>
      <c r="AB1148" s="7" t="s">
        <v>44</v>
      </c>
      <c r="AC1148" s="7" t="s">
        <v>209</v>
      </c>
      <c r="AD1148" s="7"/>
      <c r="AE1148" s="7"/>
      <c r="AF1148" s="7"/>
      <c r="AG1148" s="11">
        <f t="shared" si="17"/>
        <v>43289</v>
      </c>
    </row>
    <row r="1149" s="8" customFormat="1" spans="1:33">
      <c r="A1149" s="7" t="s">
        <v>5416</v>
      </c>
      <c r="B1149" s="7" t="s">
        <v>5416</v>
      </c>
      <c r="C1149" s="7" t="s">
        <v>5417</v>
      </c>
      <c r="D1149" s="7" t="s">
        <v>5418</v>
      </c>
      <c r="E1149" s="7" t="s">
        <v>33</v>
      </c>
      <c r="F1149" s="7" t="s">
        <v>34</v>
      </c>
      <c r="G1149" s="7" t="s">
        <v>35</v>
      </c>
      <c r="H1149" s="7"/>
      <c r="I1149" s="7"/>
      <c r="J1149" s="7" t="s">
        <v>36</v>
      </c>
      <c r="K1149" s="7" t="s">
        <v>2035</v>
      </c>
      <c r="L1149" s="7" t="s">
        <v>89</v>
      </c>
      <c r="M1149" s="7" t="s">
        <v>90</v>
      </c>
      <c r="N1149" s="7" t="s">
        <v>33</v>
      </c>
      <c r="O1149" s="7">
        <v>1</v>
      </c>
      <c r="P1149" s="7" t="s">
        <v>40</v>
      </c>
      <c r="Q1149" s="7">
        <v>89.99</v>
      </c>
      <c r="R1149" s="7"/>
      <c r="S1149" s="7"/>
      <c r="T1149" s="7"/>
      <c r="U1149" s="7"/>
      <c r="V1149" s="7"/>
      <c r="W1149" s="7"/>
      <c r="X1149" s="7"/>
      <c r="Y1149" s="7" t="s">
        <v>5419</v>
      </c>
      <c r="Z1149" s="7" t="s">
        <v>5420</v>
      </c>
      <c r="AA1149" s="7" t="s">
        <v>5421</v>
      </c>
      <c r="AB1149" s="7" t="s">
        <v>44</v>
      </c>
      <c r="AC1149" s="7"/>
      <c r="AD1149" s="7"/>
      <c r="AE1149" s="7"/>
      <c r="AF1149" s="7"/>
      <c r="AG1149" s="11">
        <f t="shared" si="17"/>
        <v>43289</v>
      </c>
    </row>
    <row r="1150" s="8" customFormat="1" spans="1:33">
      <c r="A1150" s="7" t="s">
        <v>5422</v>
      </c>
      <c r="B1150" s="7" t="s">
        <v>5422</v>
      </c>
      <c r="C1150" s="7" t="s">
        <v>5423</v>
      </c>
      <c r="D1150" s="7" t="s">
        <v>5424</v>
      </c>
      <c r="E1150" s="7" t="s">
        <v>4569</v>
      </c>
      <c r="F1150" s="7" t="s">
        <v>34</v>
      </c>
      <c r="G1150" s="7" t="s">
        <v>35</v>
      </c>
      <c r="H1150" s="7"/>
      <c r="I1150" s="7"/>
      <c r="J1150" s="7" t="s">
        <v>69</v>
      </c>
      <c r="K1150" s="7" t="s">
        <v>148</v>
      </c>
      <c r="L1150" s="7" t="s">
        <v>149</v>
      </c>
      <c r="M1150" s="7" t="s">
        <v>150</v>
      </c>
      <c r="N1150" s="7" t="s">
        <v>62</v>
      </c>
      <c r="O1150" s="7">
        <v>1</v>
      </c>
      <c r="P1150" s="7" t="s">
        <v>40</v>
      </c>
      <c r="Q1150" s="7">
        <v>98.99</v>
      </c>
      <c r="R1150" s="7"/>
      <c r="S1150" s="7"/>
      <c r="T1150" s="7"/>
      <c r="U1150" s="7"/>
      <c r="V1150" s="7"/>
      <c r="W1150" s="7"/>
      <c r="X1150" s="7"/>
      <c r="Y1150" s="7" t="s">
        <v>5425</v>
      </c>
      <c r="Z1150" s="7" t="s">
        <v>293</v>
      </c>
      <c r="AA1150" s="7" t="s">
        <v>5426</v>
      </c>
      <c r="AB1150" s="7" t="s">
        <v>44</v>
      </c>
      <c r="AC1150" s="7" t="s">
        <v>75</v>
      </c>
      <c r="AD1150" s="7"/>
      <c r="AE1150" s="7"/>
      <c r="AF1150" s="7"/>
      <c r="AG1150" s="11">
        <f t="shared" si="17"/>
        <v>43289</v>
      </c>
    </row>
    <row r="1151" s="8" customFormat="1" spans="1:33">
      <c r="A1151" s="7" t="s">
        <v>5427</v>
      </c>
      <c r="B1151" s="7" t="s">
        <v>5427</v>
      </c>
      <c r="C1151" s="7" t="s">
        <v>5428</v>
      </c>
      <c r="D1151" s="7" t="s">
        <v>5429</v>
      </c>
      <c r="E1151" s="7" t="s">
        <v>33</v>
      </c>
      <c r="F1151" s="7" t="s">
        <v>34</v>
      </c>
      <c r="G1151" s="7" t="s">
        <v>35</v>
      </c>
      <c r="H1151" s="7"/>
      <c r="I1151" s="7"/>
      <c r="J1151" s="7" t="s">
        <v>36</v>
      </c>
      <c r="K1151" s="7" t="s">
        <v>148</v>
      </c>
      <c r="L1151" s="7" t="s">
        <v>149</v>
      </c>
      <c r="M1151" s="7" t="s">
        <v>150</v>
      </c>
      <c r="N1151" s="7" t="s">
        <v>33</v>
      </c>
      <c r="O1151" s="7">
        <v>1</v>
      </c>
      <c r="P1151" s="7" t="s">
        <v>40</v>
      </c>
      <c r="Q1151" s="7">
        <v>98.99</v>
      </c>
      <c r="R1151" s="7"/>
      <c r="S1151" s="7"/>
      <c r="T1151" s="7"/>
      <c r="U1151" s="7"/>
      <c r="V1151" s="7"/>
      <c r="W1151" s="7"/>
      <c r="X1151" s="7"/>
      <c r="Y1151" s="7" t="s">
        <v>5430</v>
      </c>
      <c r="Z1151" s="7" t="s">
        <v>497</v>
      </c>
      <c r="AA1151" s="7" t="s">
        <v>5431</v>
      </c>
      <c r="AB1151" s="7" t="s">
        <v>44</v>
      </c>
      <c r="AC1151" s="7"/>
      <c r="AD1151" s="7"/>
      <c r="AE1151" s="7"/>
      <c r="AF1151" s="7"/>
      <c r="AG1151" s="11">
        <f t="shared" si="17"/>
        <v>43289</v>
      </c>
    </row>
    <row r="1152" s="8" customFormat="1" spans="1:33">
      <c r="A1152" s="7" t="s">
        <v>5432</v>
      </c>
      <c r="B1152" s="7" t="s">
        <v>5432</v>
      </c>
      <c r="C1152" s="7" t="s">
        <v>5433</v>
      </c>
      <c r="D1152" s="7" t="s">
        <v>5434</v>
      </c>
      <c r="E1152" s="7" t="s">
        <v>4569</v>
      </c>
      <c r="F1152" s="7" t="s">
        <v>34</v>
      </c>
      <c r="G1152" s="7" t="s">
        <v>35</v>
      </c>
      <c r="H1152" s="7"/>
      <c r="I1152" s="7"/>
      <c r="J1152" s="7" t="s">
        <v>36</v>
      </c>
      <c r="K1152" s="7" t="s">
        <v>1700</v>
      </c>
      <c r="L1152" s="7" t="s">
        <v>1701</v>
      </c>
      <c r="M1152" s="7" t="s">
        <v>1702</v>
      </c>
      <c r="N1152" s="7" t="s">
        <v>62</v>
      </c>
      <c r="O1152" s="7">
        <v>1</v>
      </c>
      <c r="P1152" s="7" t="s">
        <v>40</v>
      </c>
      <c r="Q1152" s="7">
        <v>99.99</v>
      </c>
      <c r="R1152" s="7"/>
      <c r="S1152" s="7"/>
      <c r="T1152" s="7"/>
      <c r="U1152" s="7"/>
      <c r="V1152" s="7"/>
      <c r="W1152" s="7"/>
      <c r="X1152" s="7"/>
      <c r="Y1152" s="7" t="s">
        <v>5435</v>
      </c>
      <c r="Z1152" s="7" t="s">
        <v>348</v>
      </c>
      <c r="AA1152" s="7" t="s">
        <v>5436</v>
      </c>
      <c r="AB1152" s="7" t="s">
        <v>44</v>
      </c>
      <c r="AC1152" s="7"/>
      <c r="AD1152" s="7"/>
      <c r="AE1152" s="7"/>
      <c r="AF1152" s="7"/>
      <c r="AG1152" s="11">
        <f t="shared" si="17"/>
        <v>43289</v>
      </c>
    </row>
    <row r="1153" s="8" customFormat="1" spans="1:33">
      <c r="A1153" s="7" t="s">
        <v>5437</v>
      </c>
      <c r="B1153" s="7" t="s">
        <v>5437</v>
      </c>
      <c r="C1153" s="7" t="s">
        <v>5438</v>
      </c>
      <c r="D1153" s="7" t="s">
        <v>5439</v>
      </c>
      <c r="E1153" s="7" t="s">
        <v>4569</v>
      </c>
      <c r="F1153" s="7" t="s">
        <v>34</v>
      </c>
      <c r="G1153" s="7" t="s">
        <v>35</v>
      </c>
      <c r="H1153" s="7"/>
      <c r="I1153" s="7"/>
      <c r="J1153" s="7" t="s">
        <v>36</v>
      </c>
      <c r="K1153" s="7" t="s">
        <v>5440</v>
      </c>
      <c r="L1153" s="7" t="s">
        <v>5441</v>
      </c>
      <c r="M1153" s="7" t="s">
        <v>5442</v>
      </c>
      <c r="N1153" s="7" t="s">
        <v>62</v>
      </c>
      <c r="O1153" s="7">
        <v>1</v>
      </c>
      <c r="P1153" s="7" t="s">
        <v>40</v>
      </c>
      <c r="Q1153" s="7">
        <v>32.99</v>
      </c>
      <c r="R1153" s="7"/>
      <c r="S1153" s="7"/>
      <c r="T1153" s="7"/>
      <c r="U1153" s="7"/>
      <c r="V1153" s="7"/>
      <c r="W1153" s="7"/>
      <c r="X1153" s="7"/>
      <c r="Y1153" s="7" t="s">
        <v>3735</v>
      </c>
      <c r="Z1153" s="7" t="s">
        <v>207</v>
      </c>
      <c r="AA1153" s="7" t="s">
        <v>5443</v>
      </c>
      <c r="AB1153" s="7" t="s">
        <v>44</v>
      </c>
      <c r="AC1153" s="7"/>
      <c r="AD1153" s="7"/>
      <c r="AE1153" s="7"/>
      <c r="AF1153" s="7"/>
      <c r="AG1153" s="11">
        <f t="shared" si="17"/>
        <v>43289</v>
      </c>
    </row>
    <row r="1154" s="8" customFormat="1" spans="1:33">
      <c r="A1154" s="7" t="s">
        <v>5444</v>
      </c>
      <c r="B1154" s="7" t="s">
        <v>5444</v>
      </c>
      <c r="C1154" s="7" t="s">
        <v>5445</v>
      </c>
      <c r="D1154" s="7" t="s">
        <v>5446</v>
      </c>
      <c r="E1154" s="7" t="s">
        <v>54</v>
      </c>
      <c r="F1154" s="7" t="s">
        <v>34</v>
      </c>
      <c r="G1154" s="7" t="s">
        <v>35</v>
      </c>
      <c r="H1154" s="7"/>
      <c r="I1154" s="7"/>
      <c r="J1154" s="7" t="s">
        <v>36</v>
      </c>
      <c r="K1154" s="7" t="s">
        <v>226</v>
      </c>
      <c r="L1154" s="7" t="s">
        <v>227</v>
      </c>
      <c r="M1154" s="7" t="s">
        <v>228</v>
      </c>
      <c r="N1154" s="7" t="s">
        <v>54</v>
      </c>
      <c r="O1154" s="7">
        <v>0</v>
      </c>
      <c r="P1154" s="7"/>
      <c r="Q1154" s="7"/>
      <c r="R1154" s="7"/>
      <c r="S1154" s="7"/>
      <c r="T1154" s="7"/>
      <c r="U1154" s="7"/>
      <c r="V1154" s="7"/>
      <c r="W1154" s="7"/>
      <c r="X1154" s="7"/>
      <c r="Y1154" s="7" t="s">
        <v>579</v>
      </c>
      <c r="Z1154" s="7" t="s">
        <v>580</v>
      </c>
      <c r="AA1154" s="7">
        <v>5404</v>
      </c>
      <c r="AB1154" s="7" t="s">
        <v>44</v>
      </c>
      <c r="AC1154" s="7"/>
      <c r="AD1154" s="7"/>
      <c r="AE1154" s="7"/>
      <c r="AF1154" s="7"/>
      <c r="AG1154" s="11">
        <f t="shared" ref="AG1154:AG1176" si="18">DATEVALUE(LEFT(C1154,10))</f>
        <v>43289</v>
      </c>
    </row>
    <row r="1155" s="8" customFormat="1" spans="1:33">
      <c r="A1155" s="7" t="s">
        <v>5447</v>
      </c>
      <c r="B1155" s="7" t="s">
        <v>5447</v>
      </c>
      <c r="C1155" s="7" t="s">
        <v>5448</v>
      </c>
      <c r="D1155" s="7" t="s">
        <v>5449</v>
      </c>
      <c r="E1155" s="7" t="s">
        <v>33</v>
      </c>
      <c r="F1155" s="7" t="s">
        <v>34</v>
      </c>
      <c r="G1155" s="7" t="s">
        <v>35</v>
      </c>
      <c r="H1155" s="7"/>
      <c r="I1155" s="7"/>
      <c r="J1155" s="7" t="s">
        <v>58</v>
      </c>
      <c r="K1155" s="7" t="s">
        <v>79</v>
      </c>
      <c r="L1155" s="7" t="s">
        <v>80</v>
      </c>
      <c r="M1155" s="7" t="s">
        <v>81</v>
      </c>
      <c r="N1155" s="7" t="s">
        <v>33</v>
      </c>
      <c r="O1155" s="7">
        <v>1</v>
      </c>
      <c r="P1155" s="7" t="s">
        <v>40</v>
      </c>
      <c r="Q1155" s="7">
        <v>91.99</v>
      </c>
      <c r="R1155" s="7"/>
      <c r="S1155" s="7">
        <v>6.99</v>
      </c>
      <c r="T1155" s="7"/>
      <c r="U1155" s="7"/>
      <c r="V1155" s="7"/>
      <c r="W1155" s="7"/>
      <c r="X1155" s="7"/>
      <c r="Y1155" s="7" t="s">
        <v>5450</v>
      </c>
      <c r="Z1155" s="7" t="s">
        <v>92</v>
      </c>
      <c r="AA1155" s="7" t="s">
        <v>5451</v>
      </c>
      <c r="AB1155" s="7" t="s">
        <v>44</v>
      </c>
      <c r="AC1155" s="7"/>
      <c r="AD1155" s="7"/>
      <c r="AE1155" s="7"/>
      <c r="AF1155" s="7"/>
      <c r="AG1155" s="11">
        <f t="shared" si="18"/>
        <v>43289</v>
      </c>
    </row>
    <row r="1156" s="8" customFormat="1" spans="1:33">
      <c r="A1156" s="7" t="s">
        <v>5452</v>
      </c>
      <c r="B1156" s="7" t="s">
        <v>5452</v>
      </c>
      <c r="C1156" s="7" t="s">
        <v>5453</v>
      </c>
      <c r="D1156" s="7" t="s">
        <v>5454</v>
      </c>
      <c r="E1156" s="7" t="s">
        <v>33</v>
      </c>
      <c r="F1156" s="7" t="s">
        <v>34</v>
      </c>
      <c r="G1156" s="7" t="s">
        <v>35</v>
      </c>
      <c r="H1156" s="7"/>
      <c r="I1156" s="7"/>
      <c r="J1156" s="7" t="s">
        <v>36</v>
      </c>
      <c r="K1156" s="7" t="s">
        <v>1807</v>
      </c>
      <c r="L1156" s="7" t="s">
        <v>1808</v>
      </c>
      <c r="M1156" s="7" t="s">
        <v>1809</v>
      </c>
      <c r="N1156" s="7" t="s">
        <v>33</v>
      </c>
      <c r="O1156" s="7">
        <v>1</v>
      </c>
      <c r="P1156" s="7" t="s">
        <v>40</v>
      </c>
      <c r="Q1156" s="7">
        <v>85.99</v>
      </c>
      <c r="R1156" s="7"/>
      <c r="S1156" s="7"/>
      <c r="T1156" s="7"/>
      <c r="U1156" s="7"/>
      <c r="V1156" s="7"/>
      <c r="W1156" s="7"/>
      <c r="X1156" s="7"/>
      <c r="Y1156" s="7" t="s">
        <v>73</v>
      </c>
      <c r="Z1156" s="7" t="s">
        <v>64</v>
      </c>
      <c r="AA1156" s="7" t="s">
        <v>5455</v>
      </c>
      <c r="AB1156" s="7" t="s">
        <v>44</v>
      </c>
      <c r="AC1156" s="7"/>
      <c r="AD1156" s="7"/>
      <c r="AE1156" s="7"/>
      <c r="AF1156" s="7"/>
      <c r="AG1156" s="11">
        <f t="shared" si="18"/>
        <v>43289</v>
      </c>
    </row>
    <row r="1157" s="8" customFormat="1" spans="1:33">
      <c r="A1157" s="7" t="s">
        <v>5456</v>
      </c>
      <c r="B1157" s="7" t="s">
        <v>5456</v>
      </c>
      <c r="C1157" s="7" t="s">
        <v>5457</v>
      </c>
      <c r="D1157" s="7" t="s">
        <v>5458</v>
      </c>
      <c r="E1157" s="7" t="s">
        <v>54</v>
      </c>
      <c r="F1157" s="7" t="s">
        <v>34</v>
      </c>
      <c r="G1157" s="7" t="s">
        <v>35</v>
      </c>
      <c r="H1157" s="7"/>
      <c r="I1157" s="7"/>
      <c r="J1157" s="7" t="s">
        <v>69</v>
      </c>
      <c r="K1157" s="7" t="s">
        <v>1215</v>
      </c>
      <c r="L1157" s="7" t="s">
        <v>1216</v>
      </c>
      <c r="M1157" s="7" t="s">
        <v>1217</v>
      </c>
      <c r="N1157" s="7" t="s">
        <v>62</v>
      </c>
      <c r="O1157" s="7">
        <v>1</v>
      </c>
      <c r="P1157" s="7" t="s">
        <v>40</v>
      </c>
      <c r="Q1157" s="7">
        <v>99.99</v>
      </c>
      <c r="R1157" s="7"/>
      <c r="S1157" s="7"/>
      <c r="T1157" s="7"/>
      <c r="U1157" s="7"/>
      <c r="V1157" s="7"/>
      <c r="W1157" s="7"/>
      <c r="X1157" s="7"/>
      <c r="Y1157" s="7" t="s">
        <v>1594</v>
      </c>
      <c r="Z1157" s="7" t="s">
        <v>1342</v>
      </c>
      <c r="AA1157" s="7" t="s">
        <v>1595</v>
      </c>
      <c r="AB1157" s="7" t="s">
        <v>44</v>
      </c>
      <c r="AC1157" s="7"/>
      <c r="AD1157" s="7"/>
      <c r="AE1157" s="7"/>
      <c r="AF1157" s="7"/>
      <c r="AG1157" s="11">
        <f t="shared" si="18"/>
        <v>43289</v>
      </c>
    </row>
    <row r="1158" s="8" customFormat="1" spans="1:33">
      <c r="A1158" s="7" t="s">
        <v>5459</v>
      </c>
      <c r="B1158" s="7" t="s">
        <v>5459</v>
      </c>
      <c r="C1158" s="7" t="s">
        <v>5460</v>
      </c>
      <c r="D1158" s="7" t="s">
        <v>5461</v>
      </c>
      <c r="E1158" s="7" t="s">
        <v>33</v>
      </c>
      <c r="F1158" s="7" t="s">
        <v>34</v>
      </c>
      <c r="G1158" s="7" t="s">
        <v>35</v>
      </c>
      <c r="H1158" s="7"/>
      <c r="I1158" s="7"/>
      <c r="J1158" s="7" t="s">
        <v>69</v>
      </c>
      <c r="K1158" s="7" t="s">
        <v>148</v>
      </c>
      <c r="L1158" s="7" t="s">
        <v>149</v>
      </c>
      <c r="M1158" s="7" t="s">
        <v>150</v>
      </c>
      <c r="N1158" s="7" t="s">
        <v>33</v>
      </c>
      <c r="O1158" s="7">
        <v>1</v>
      </c>
      <c r="P1158" s="7" t="s">
        <v>40</v>
      </c>
      <c r="Q1158" s="7">
        <v>98.99</v>
      </c>
      <c r="R1158" s="7"/>
      <c r="S1158" s="7">
        <v>1.84</v>
      </c>
      <c r="T1158" s="7"/>
      <c r="U1158" s="7"/>
      <c r="V1158" s="7"/>
      <c r="W1158" s="7"/>
      <c r="X1158" s="7"/>
      <c r="Y1158" s="7" t="s">
        <v>5462</v>
      </c>
      <c r="Z1158" s="7" t="s">
        <v>92</v>
      </c>
      <c r="AA1158" s="7" t="s">
        <v>5463</v>
      </c>
      <c r="AB1158" s="7" t="s">
        <v>44</v>
      </c>
      <c r="AC1158" s="7"/>
      <c r="AD1158" s="7"/>
      <c r="AE1158" s="7"/>
      <c r="AF1158" s="7"/>
      <c r="AG1158" s="11">
        <f t="shared" si="18"/>
        <v>43289</v>
      </c>
    </row>
    <row r="1159" s="8" customFormat="1" spans="1:33">
      <c r="A1159" s="7" t="s">
        <v>5464</v>
      </c>
      <c r="B1159" s="7" t="s">
        <v>5464</v>
      </c>
      <c r="C1159" s="7" t="s">
        <v>5465</v>
      </c>
      <c r="D1159" s="7" t="s">
        <v>5466</v>
      </c>
      <c r="E1159" s="7" t="s">
        <v>33</v>
      </c>
      <c r="F1159" s="7" t="s">
        <v>34</v>
      </c>
      <c r="G1159" s="7" t="s">
        <v>35</v>
      </c>
      <c r="H1159" s="7"/>
      <c r="I1159" s="7"/>
      <c r="J1159" s="7" t="s">
        <v>36</v>
      </c>
      <c r="K1159" s="7" t="s">
        <v>364</v>
      </c>
      <c r="L1159" s="7" t="s">
        <v>648</v>
      </c>
      <c r="M1159" s="7" t="s">
        <v>649</v>
      </c>
      <c r="N1159" s="7" t="s">
        <v>33</v>
      </c>
      <c r="O1159" s="7">
        <v>1</v>
      </c>
      <c r="P1159" s="7" t="s">
        <v>40</v>
      </c>
      <c r="Q1159" s="7">
        <v>89.99</v>
      </c>
      <c r="R1159" s="7">
        <v>5.7</v>
      </c>
      <c r="S1159" s="7"/>
      <c r="T1159" s="7"/>
      <c r="U1159" s="7"/>
      <c r="V1159" s="7"/>
      <c r="W1159" s="7"/>
      <c r="X1159" s="7"/>
      <c r="Y1159" s="7" t="s">
        <v>912</v>
      </c>
      <c r="Z1159" s="7" t="s">
        <v>279</v>
      </c>
      <c r="AA1159" s="7" t="s">
        <v>5467</v>
      </c>
      <c r="AB1159" s="7" t="s">
        <v>44</v>
      </c>
      <c r="AC1159" s="7"/>
      <c r="AD1159" s="7"/>
      <c r="AE1159" s="7"/>
      <c r="AF1159" s="7"/>
      <c r="AG1159" s="11">
        <f t="shared" si="18"/>
        <v>43289</v>
      </c>
    </row>
    <row r="1160" s="8" customFormat="1" spans="1:33">
      <c r="A1160" s="7" t="s">
        <v>5468</v>
      </c>
      <c r="B1160" s="7" t="s">
        <v>5468</v>
      </c>
      <c r="C1160" s="7" t="s">
        <v>5469</v>
      </c>
      <c r="D1160" s="7" t="s">
        <v>5470</v>
      </c>
      <c r="E1160" s="7" t="s">
        <v>33</v>
      </c>
      <c r="F1160" s="7" t="s">
        <v>34</v>
      </c>
      <c r="G1160" s="7" t="s">
        <v>35</v>
      </c>
      <c r="H1160" s="7"/>
      <c r="I1160" s="7"/>
      <c r="J1160" s="7" t="s">
        <v>36</v>
      </c>
      <c r="K1160" s="7" t="s">
        <v>2625</v>
      </c>
      <c r="L1160" s="7" t="s">
        <v>2626</v>
      </c>
      <c r="M1160" s="7" t="s">
        <v>2627</v>
      </c>
      <c r="N1160" s="7" t="s">
        <v>33</v>
      </c>
      <c r="O1160" s="7">
        <v>1</v>
      </c>
      <c r="P1160" s="7" t="s">
        <v>40</v>
      </c>
      <c r="Q1160" s="7">
        <v>26.99</v>
      </c>
      <c r="R1160" s="7"/>
      <c r="S1160" s="7"/>
      <c r="T1160" s="7"/>
      <c r="U1160" s="7"/>
      <c r="V1160" s="7"/>
      <c r="W1160" s="7"/>
      <c r="X1160" s="7"/>
      <c r="Y1160" s="7" t="s">
        <v>41</v>
      </c>
      <c r="Z1160" s="7" t="s">
        <v>42</v>
      </c>
      <c r="AA1160" s="7" t="s">
        <v>5471</v>
      </c>
      <c r="AB1160" s="7" t="s">
        <v>44</v>
      </c>
      <c r="AC1160" s="7"/>
      <c r="AD1160" s="7"/>
      <c r="AE1160" s="7"/>
      <c r="AF1160" s="7"/>
      <c r="AG1160" s="11">
        <f t="shared" si="18"/>
        <v>43289</v>
      </c>
    </row>
    <row r="1161" s="8" customFormat="1" spans="1:33">
      <c r="A1161" s="7" t="s">
        <v>5472</v>
      </c>
      <c r="B1161" s="7" t="s">
        <v>5472</v>
      </c>
      <c r="C1161" s="7" t="s">
        <v>5473</v>
      </c>
      <c r="D1161" s="7" t="s">
        <v>5474</v>
      </c>
      <c r="E1161" s="7" t="s">
        <v>33</v>
      </c>
      <c r="F1161" s="7" t="s">
        <v>34</v>
      </c>
      <c r="G1161" s="7" t="s">
        <v>35</v>
      </c>
      <c r="H1161" s="7"/>
      <c r="I1161" s="7"/>
      <c r="J1161" s="7" t="s">
        <v>36</v>
      </c>
      <c r="K1161" s="7" t="s">
        <v>79</v>
      </c>
      <c r="L1161" s="7" t="s">
        <v>80</v>
      </c>
      <c r="M1161" s="7" t="s">
        <v>81</v>
      </c>
      <c r="N1161" s="7" t="s">
        <v>33</v>
      </c>
      <c r="O1161" s="7">
        <v>1</v>
      </c>
      <c r="P1161" s="7" t="s">
        <v>40</v>
      </c>
      <c r="Q1161" s="7">
        <v>91.99</v>
      </c>
      <c r="R1161" s="7"/>
      <c r="S1161" s="7"/>
      <c r="T1161" s="7"/>
      <c r="U1161" s="7"/>
      <c r="V1161" s="7"/>
      <c r="W1161" s="7"/>
      <c r="X1161" s="7"/>
      <c r="Y1161" s="7" t="s">
        <v>73</v>
      </c>
      <c r="Z1161" s="7" t="s">
        <v>64</v>
      </c>
      <c r="AA1161" s="7" t="s">
        <v>5475</v>
      </c>
      <c r="AB1161" s="7" t="s">
        <v>44</v>
      </c>
      <c r="AC1161" s="7"/>
      <c r="AD1161" s="7"/>
      <c r="AE1161" s="7"/>
      <c r="AF1161" s="7"/>
      <c r="AG1161" s="11">
        <f t="shared" si="18"/>
        <v>43289</v>
      </c>
    </row>
    <row r="1162" s="8" customFormat="1" spans="1:33">
      <c r="A1162" s="7" t="s">
        <v>5476</v>
      </c>
      <c r="B1162" s="7" t="s">
        <v>5476</v>
      </c>
      <c r="C1162" s="7" t="s">
        <v>5477</v>
      </c>
      <c r="D1162" s="7" t="s">
        <v>5478</v>
      </c>
      <c r="E1162" s="7" t="s">
        <v>33</v>
      </c>
      <c r="F1162" s="7" t="s">
        <v>34</v>
      </c>
      <c r="G1162" s="7" t="s">
        <v>35</v>
      </c>
      <c r="H1162" s="7"/>
      <c r="I1162" s="7"/>
      <c r="J1162" s="7" t="s">
        <v>36</v>
      </c>
      <c r="K1162" s="7" t="s">
        <v>148</v>
      </c>
      <c r="L1162" s="7" t="s">
        <v>149</v>
      </c>
      <c r="M1162" s="7" t="s">
        <v>150</v>
      </c>
      <c r="N1162" s="7" t="s">
        <v>33</v>
      </c>
      <c r="O1162" s="7">
        <v>1</v>
      </c>
      <c r="P1162" s="7" t="s">
        <v>40</v>
      </c>
      <c r="Q1162" s="7">
        <v>98.99</v>
      </c>
      <c r="R1162" s="7"/>
      <c r="S1162" s="7"/>
      <c r="T1162" s="7"/>
      <c r="U1162" s="7"/>
      <c r="V1162" s="7"/>
      <c r="W1162" s="7"/>
      <c r="X1162" s="7"/>
      <c r="Y1162" s="7" t="s">
        <v>5479</v>
      </c>
      <c r="Z1162" s="7" t="s">
        <v>837</v>
      </c>
      <c r="AA1162" s="7" t="s">
        <v>5480</v>
      </c>
      <c r="AB1162" s="7" t="s">
        <v>44</v>
      </c>
      <c r="AC1162" s="7"/>
      <c r="AD1162" s="7"/>
      <c r="AE1162" s="7"/>
      <c r="AF1162" s="7"/>
      <c r="AG1162" s="11">
        <f t="shared" si="18"/>
        <v>43289</v>
      </c>
    </row>
    <row r="1163" s="8" customFormat="1" spans="1:33">
      <c r="A1163" s="7" t="s">
        <v>5481</v>
      </c>
      <c r="B1163" s="7" t="s">
        <v>5481</v>
      </c>
      <c r="C1163" s="7" t="s">
        <v>5482</v>
      </c>
      <c r="D1163" s="7" t="s">
        <v>5483</v>
      </c>
      <c r="E1163" s="7" t="s">
        <v>33</v>
      </c>
      <c r="F1163" s="7" t="s">
        <v>34</v>
      </c>
      <c r="G1163" s="7" t="s">
        <v>35</v>
      </c>
      <c r="H1163" s="7"/>
      <c r="I1163" s="7"/>
      <c r="J1163" s="7" t="s">
        <v>36</v>
      </c>
      <c r="K1163" s="7" t="s">
        <v>275</v>
      </c>
      <c r="L1163" s="7" t="s">
        <v>276</v>
      </c>
      <c r="M1163" s="7" t="s">
        <v>277</v>
      </c>
      <c r="N1163" s="7" t="s">
        <v>33</v>
      </c>
      <c r="O1163" s="7">
        <v>1</v>
      </c>
      <c r="P1163" s="7" t="s">
        <v>40</v>
      </c>
      <c r="Q1163" s="7">
        <v>89.99</v>
      </c>
      <c r="R1163" s="7"/>
      <c r="S1163" s="7"/>
      <c r="T1163" s="7"/>
      <c r="U1163" s="7"/>
      <c r="V1163" s="7"/>
      <c r="W1163" s="7"/>
      <c r="X1163" s="7"/>
      <c r="Y1163" s="7" t="s">
        <v>73</v>
      </c>
      <c r="Z1163" s="7" t="s">
        <v>64</v>
      </c>
      <c r="AA1163" s="7" t="s">
        <v>5484</v>
      </c>
      <c r="AB1163" s="7" t="s">
        <v>44</v>
      </c>
      <c r="AC1163" s="7"/>
      <c r="AD1163" s="7"/>
      <c r="AE1163" s="7"/>
      <c r="AF1163" s="7"/>
      <c r="AG1163" s="11">
        <f t="shared" si="18"/>
        <v>43289</v>
      </c>
    </row>
    <row r="1164" s="8" customFormat="1" spans="1:33">
      <c r="A1164" s="7" t="s">
        <v>5485</v>
      </c>
      <c r="B1164" s="7" t="s">
        <v>5485</v>
      </c>
      <c r="C1164" s="7" t="s">
        <v>5486</v>
      </c>
      <c r="D1164" s="7" t="s">
        <v>5487</v>
      </c>
      <c r="E1164" s="7" t="s">
        <v>33</v>
      </c>
      <c r="F1164" s="7" t="s">
        <v>34</v>
      </c>
      <c r="G1164" s="7" t="s">
        <v>35</v>
      </c>
      <c r="H1164" s="7"/>
      <c r="I1164" s="7"/>
      <c r="J1164" s="7" t="s">
        <v>36</v>
      </c>
      <c r="K1164" s="7" t="s">
        <v>275</v>
      </c>
      <c r="L1164" s="7" t="s">
        <v>276</v>
      </c>
      <c r="M1164" s="7" t="s">
        <v>277</v>
      </c>
      <c r="N1164" s="7" t="s">
        <v>33</v>
      </c>
      <c r="O1164" s="7">
        <v>1</v>
      </c>
      <c r="P1164" s="7" t="s">
        <v>40</v>
      </c>
      <c r="Q1164" s="7">
        <v>89.99</v>
      </c>
      <c r="R1164" s="7"/>
      <c r="S1164" s="7"/>
      <c r="T1164" s="7"/>
      <c r="U1164" s="7"/>
      <c r="V1164" s="7"/>
      <c r="W1164" s="7"/>
      <c r="X1164" s="7"/>
      <c r="Y1164" s="7" t="s">
        <v>5345</v>
      </c>
      <c r="Z1164" s="7" t="s">
        <v>990</v>
      </c>
      <c r="AA1164" s="7" t="s">
        <v>5488</v>
      </c>
      <c r="AB1164" s="7" t="s">
        <v>44</v>
      </c>
      <c r="AC1164" s="7"/>
      <c r="AD1164" s="7"/>
      <c r="AE1164" s="7"/>
      <c r="AF1164" s="7"/>
      <c r="AG1164" s="11">
        <f t="shared" si="18"/>
        <v>43289</v>
      </c>
    </row>
    <row r="1165" s="8" customFormat="1" spans="1:33">
      <c r="A1165" s="7" t="s">
        <v>5489</v>
      </c>
      <c r="B1165" s="7" t="s">
        <v>5489</v>
      </c>
      <c r="C1165" s="7" t="s">
        <v>5490</v>
      </c>
      <c r="D1165" s="7" t="s">
        <v>5491</v>
      </c>
      <c r="E1165" s="7" t="s">
        <v>4569</v>
      </c>
      <c r="F1165" s="7" t="s">
        <v>34</v>
      </c>
      <c r="G1165" s="7" t="s">
        <v>35</v>
      </c>
      <c r="H1165" s="7"/>
      <c r="I1165" s="7"/>
      <c r="J1165" s="7" t="s">
        <v>36</v>
      </c>
      <c r="K1165" s="7" t="s">
        <v>179</v>
      </c>
      <c r="L1165" s="7" t="s">
        <v>180</v>
      </c>
      <c r="M1165" s="7" t="s">
        <v>181</v>
      </c>
      <c r="N1165" s="7" t="s">
        <v>62</v>
      </c>
      <c r="O1165" s="7">
        <v>1</v>
      </c>
      <c r="P1165" s="7" t="s">
        <v>40</v>
      </c>
      <c r="Q1165" s="7">
        <v>85.99</v>
      </c>
      <c r="R1165" s="7"/>
      <c r="S1165" s="7"/>
      <c r="T1165" s="7"/>
      <c r="U1165" s="7"/>
      <c r="V1165" s="7"/>
      <c r="W1165" s="7"/>
      <c r="X1165" s="7"/>
      <c r="Y1165" s="7" t="s">
        <v>5492</v>
      </c>
      <c r="Z1165" s="7" t="s">
        <v>497</v>
      </c>
      <c r="AA1165" s="7" t="s">
        <v>5493</v>
      </c>
      <c r="AB1165" s="7" t="s">
        <v>44</v>
      </c>
      <c r="AC1165" s="7"/>
      <c r="AD1165" s="7"/>
      <c r="AE1165" s="7"/>
      <c r="AF1165" s="7"/>
      <c r="AG1165" s="11">
        <f t="shared" si="18"/>
        <v>43289</v>
      </c>
    </row>
    <row r="1166" s="8" customFormat="1" spans="1:33">
      <c r="A1166" s="7" t="s">
        <v>5494</v>
      </c>
      <c r="B1166" s="7" t="s">
        <v>5494</v>
      </c>
      <c r="C1166" s="7" t="s">
        <v>5495</v>
      </c>
      <c r="D1166" s="7" t="s">
        <v>5496</v>
      </c>
      <c r="E1166" s="7" t="s">
        <v>33</v>
      </c>
      <c r="F1166" s="7" t="s">
        <v>34</v>
      </c>
      <c r="G1166" s="7" t="s">
        <v>35</v>
      </c>
      <c r="H1166" s="7"/>
      <c r="I1166" s="7"/>
      <c r="J1166" s="7" t="s">
        <v>58</v>
      </c>
      <c r="K1166" s="7" t="s">
        <v>148</v>
      </c>
      <c r="L1166" s="7" t="s">
        <v>149</v>
      </c>
      <c r="M1166" s="7" t="s">
        <v>150</v>
      </c>
      <c r="N1166" s="7" t="s">
        <v>33</v>
      </c>
      <c r="O1166" s="7">
        <v>1</v>
      </c>
      <c r="P1166" s="7" t="s">
        <v>40</v>
      </c>
      <c r="Q1166" s="7">
        <v>98.99</v>
      </c>
      <c r="R1166" s="7"/>
      <c r="S1166" s="7">
        <v>11.99</v>
      </c>
      <c r="T1166" s="7"/>
      <c r="U1166" s="7"/>
      <c r="V1166" s="7"/>
      <c r="W1166" s="7"/>
      <c r="X1166" s="7"/>
      <c r="Y1166" s="7" t="s">
        <v>3078</v>
      </c>
      <c r="Z1166" s="7" t="s">
        <v>64</v>
      </c>
      <c r="AA1166" s="7" t="s">
        <v>5497</v>
      </c>
      <c r="AB1166" s="7" t="s">
        <v>44</v>
      </c>
      <c r="AC1166" s="7"/>
      <c r="AD1166" s="7"/>
      <c r="AE1166" s="7"/>
      <c r="AF1166" s="7"/>
      <c r="AG1166" s="11">
        <f t="shared" si="18"/>
        <v>43289</v>
      </c>
    </row>
    <row r="1167" s="8" customFormat="1" spans="1:33">
      <c r="A1167" s="7" t="s">
        <v>5498</v>
      </c>
      <c r="B1167" s="7" t="s">
        <v>5498</v>
      </c>
      <c r="C1167" s="7" t="s">
        <v>5499</v>
      </c>
      <c r="D1167" s="7" t="s">
        <v>5500</v>
      </c>
      <c r="E1167" s="7" t="s">
        <v>4569</v>
      </c>
      <c r="F1167" s="7" t="s">
        <v>34</v>
      </c>
      <c r="G1167" s="7" t="s">
        <v>35</v>
      </c>
      <c r="H1167" s="7"/>
      <c r="I1167" s="7"/>
      <c r="J1167" s="7" t="s">
        <v>36</v>
      </c>
      <c r="K1167" s="7" t="s">
        <v>2625</v>
      </c>
      <c r="L1167" s="7" t="s">
        <v>2626</v>
      </c>
      <c r="M1167" s="7" t="s">
        <v>2627</v>
      </c>
      <c r="N1167" s="7" t="s">
        <v>62</v>
      </c>
      <c r="O1167" s="7">
        <v>1</v>
      </c>
      <c r="P1167" s="7" t="s">
        <v>40</v>
      </c>
      <c r="Q1167" s="7">
        <v>26.99</v>
      </c>
      <c r="R1167" s="7"/>
      <c r="S1167" s="7"/>
      <c r="T1167" s="7"/>
      <c r="U1167" s="7"/>
      <c r="V1167" s="7"/>
      <c r="W1167" s="7"/>
      <c r="X1167" s="7"/>
      <c r="Y1167" s="7" t="s">
        <v>41</v>
      </c>
      <c r="Z1167" s="7" t="s">
        <v>42</v>
      </c>
      <c r="AA1167" s="7" t="s">
        <v>5471</v>
      </c>
      <c r="AB1167" s="7" t="s">
        <v>44</v>
      </c>
      <c r="AC1167" s="7"/>
      <c r="AD1167" s="7"/>
      <c r="AE1167" s="7"/>
      <c r="AF1167" s="7"/>
      <c r="AG1167" s="11">
        <f t="shared" si="18"/>
        <v>43289</v>
      </c>
    </row>
    <row r="1168" s="8" customFormat="1" spans="1:33">
      <c r="A1168" s="7" t="s">
        <v>5501</v>
      </c>
      <c r="B1168" s="7" t="s">
        <v>5501</v>
      </c>
      <c r="C1168" s="7" t="s">
        <v>5502</v>
      </c>
      <c r="D1168" s="7" t="s">
        <v>5503</v>
      </c>
      <c r="E1168" s="7" t="s">
        <v>33</v>
      </c>
      <c r="F1168" s="7" t="s">
        <v>34</v>
      </c>
      <c r="G1168" s="7" t="s">
        <v>35</v>
      </c>
      <c r="H1168" s="7"/>
      <c r="I1168" s="7"/>
      <c r="J1168" s="7" t="s">
        <v>69</v>
      </c>
      <c r="K1168" s="7" t="s">
        <v>37</v>
      </c>
      <c r="L1168" s="7" t="s">
        <v>38</v>
      </c>
      <c r="M1168" s="7" t="s">
        <v>39</v>
      </c>
      <c r="N1168" s="7" t="s">
        <v>33</v>
      </c>
      <c r="O1168" s="7">
        <v>1</v>
      </c>
      <c r="P1168" s="7" t="s">
        <v>40</v>
      </c>
      <c r="Q1168" s="7">
        <v>89.99</v>
      </c>
      <c r="R1168" s="7"/>
      <c r="S1168" s="7">
        <v>6.65</v>
      </c>
      <c r="T1168" s="7"/>
      <c r="U1168" s="7"/>
      <c r="V1168" s="7"/>
      <c r="W1168" s="7"/>
      <c r="X1168" s="7"/>
      <c r="Y1168" s="7" t="s">
        <v>5504</v>
      </c>
      <c r="Z1168" s="7" t="s">
        <v>83</v>
      </c>
      <c r="AA1168" s="7" t="s">
        <v>5505</v>
      </c>
      <c r="AB1168" s="7" t="s">
        <v>44</v>
      </c>
      <c r="AC1168" s="7"/>
      <c r="AD1168" s="7"/>
      <c r="AE1168" s="7"/>
      <c r="AF1168" s="7"/>
      <c r="AG1168" s="11">
        <f t="shared" si="18"/>
        <v>43289</v>
      </c>
    </row>
    <row r="1169" s="8" customFormat="1" spans="1:33">
      <c r="A1169" s="7" t="s">
        <v>5506</v>
      </c>
      <c r="B1169" s="7" t="s">
        <v>5506</v>
      </c>
      <c r="C1169" s="7" t="s">
        <v>5507</v>
      </c>
      <c r="D1169" s="7" t="s">
        <v>5508</v>
      </c>
      <c r="E1169" s="7" t="s">
        <v>33</v>
      </c>
      <c r="F1169" s="7" t="s">
        <v>34</v>
      </c>
      <c r="G1169" s="7" t="s">
        <v>35</v>
      </c>
      <c r="H1169" s="7"/>
      <c r="I1169" s="7"/>
      <c r="J1169" s="7" t="s">
        <v>36</v>
      </c>
      <c r="K1169" s="7" t="s">
        <v>37</v>
      </c>
      <c r="L1169" s="7" t="s">
        <v>38</v>
      </c>
      <c r="M1169" s="7" t="s">
        <v>39</v>
      </c>
      <c r="N1169" s="7" t="s">
        <v>33</v>
      </c>
      <c r="O1169" s="7">
        <v>1</v>
      </c>
      <c r="P1169" s="7" t="s">
        <v>40</v>
      </c>
      <c r="Q1169" s="7">
        <v>89.99</v>
      </c>
      <c r="R1169" s="7"/>
      <c r="S1169" s="7"/>
      <c r="T1169" s="7"/>
      <c r="U1169" s="7"/>
      <c r="V1169" s="7"/>
      <c r="W1169" s="7"/>
      <c r="X1169" s="7"/>
      <c r="Y1169" s="7" t="s">
        <v>5509</v>
      </c>
      <c r="Z1169" s="7" t="s">
        <v>207</v>
      </c>
      <c r="AA1169" s="7" t="s">
        <v>5510</v>
      </c>
      <c r="AB1169" s="7" t="s">
        <v>44</v>
      </c>
      <c r="AC1169" s="7"/>
      <c r="AD1169" s="7"/>
      <c r="AE1169" s="7"/>
      <c r="AF1169" s="7"/>
      <c r="AG1169" s="11">
        <f t="shared" si="18"/>
        <v>43289</v>
      </c>
    </row>
    <row r="1170" s="8" customFormat="1" spans="1:33">
      <c r="A1170" s="7" t="s">
        <v>5511</v>
      </c>
      <c r="B1170" s="7" t="s">
        <v>5511</v>
      </c>
      <c r="C1170" s="7" t="s">
        <v>5512</v>
      </c>
      <c r="D1170" s="7" t="s">
        <v>5513</v>
      </c>
      <c r="E1170" s="7" t="s">
        <v>54</v>
      </c>
      <c r="F1170" s="7" t="s">
        <v>34</v>
      </c>
      <c r="G1170" s="7" t="s">
        <v>35</v>
      </c>
      <c r="H1170" s="7"/>
      <c r="I1170" s="7"/>
      <c r="J1170" s="7" t="s">
        <v>69</v>
      </c>
      <c r="K1170" s="7" t="s">
        <v>1570</v>
      </c>
      <c r="L1170" s="7" t="s">
        <v>1571</v>
      </c>
      <c r="M1170" s="7" t="s">
        <v>1572</v>
      </c>
      <c r="N1170" s="7" t="s">
        <v>62</v>
      </c>
      <c r="O1170" s="7">
        <v>1</v>
      </c>
      <c r="P1170" s="7" t="s">
        <v>40</v>
      </c>
      <c r="Q1170" s="7">
        <v>89.99</v>
      </c>
      <c r="R1170" s="7"/>
      <c r="S1170" s="7"/>
      <c r="T1170" s="7"/>
      <c r="U1170" s="7"/>
      <c r="V1170" s="7"/>
      <c r="W1170" s="7"/>
      <c r="X1170" s="7"/>
      <c r="Y1170" s="7" t="s">
        <v>238</v>
      </c>
      <c r="Z1170" s="7" t="s">
        <v>52</v>
      </c>
      <c r="AA1170" s="7" t="s">
        <v>5514</v>
      </c>
      <c r="AB1170" s="7" t="s">
        <v>44</v>
      </c>
      <c r="AC1170" s="7"/>
      <c r="AD1170" s="7"/>
      <c r="AE1170" s="7"/>
      <c r="AF1170" s="7"/>
      <c r="AG1170" s="11">
        <f t="shared" si="18"/>
        <v>43289</v>
      </c>
    </row>
    <row r="1171" s="8" customFormat="1" spans="1:33">
      <c r="A1171" s="7" t="s">
        <v>5515</v>
      </c>
      <c r="B1171" s="7" t="s">
        <v>5515</v>
      </c>
      <c r="C1171" s="7" t="s">
        <v>5516</v>
      </c>
      <c r="D1171" s="7" t="s">
        <v>5517</v>
      </c>
      <c r="E1171" s="7" t="s">
        <v>33</v>
      </c>
      <c r="F1171" s="7" t="s">
        <v>34</v>
      </c>
      <c r="G1171" s="7" t="s">
        <v>35</v>
      </c>
      <c r="H1171" s="7"/>
      <c r="I1171" s="7"/>
      <c r="J1171" s="7" t="s">
        <v>69</v>
      </c>
      <c r="K1171" s="7" t="s">
        <v>79</v>
      </c>
      <c r="L1171" s="7" t="s">
        <v>80</v>
      </c>
      <c r="M1171" s="7" t="s">
        <v>81</v>
      </c>
      <c r="N1171" s="7" t="s">
        <v>33</v>
      </c>
      <c r="O1171" s="7">
        <v>1</v>
      </c>
      <c r="P1171" s="7" t="s">
        <v>40</v>
      </c>
      <c r="Q1171" s="7">
        <v>91.99</v>
      </c>
      <c r="R1171" s="7"/>
      <c r="S1171" s="7">
        <v>8.07</v>
      </c>
      <c r="T1171" s="7"/>
      <c r="U1171" s="7"/>
      <c r="V1171" s="7"/>
      <c r="W1171" s="7"/>
      <c r="X1171" s="7"/>
      <c r="Y1171" s="7" t="s">
        <v>4181</v>
      </c>
      <c r="Z1171" s="7" t="s">
        <v>207</v>
      </c>
      <c r="AA1171" s="7" t="s">
        <v>5518</v>
      </c>
      <c r="AB1171" s="7" t="s">
        <v>44</v>
      </c>
      <c r="AC1171" s="7"/>
      <c r="AD1171" s="7"/>
      <c r="AE1171" s="7"/>
      <c r="AF1171" s="7"/>
      <c r="AG1171" s="11">
        <f t="shared" si="18"/>
        <v>43289</v>
      </c>
    </row>
    <row r="1172" s="8" customFormat="1" spans="1:33">
      <c r="A1172" s="7" t="s">
        <v>5519</v>
      </c>
      <c r="B1172" s="7" t="s">
        <v>5519</v>
      </c>
      <c r="C1172" s="7" t="s">
        <v>5520</v>
      </c>
      <c r="D1172" s="7" t="s">
        <v>5521</v>
      </c>
      <c r="E1172" s="7" t="s">
        <v>33</v>
      </c>
      <c r="F1172" s="7" t="s">
        <v>34</v>
      </c>
      <c r="G1172" s="7" t="s">
        <v>35</v>
      </c>
      <c r="H1172" s="7"/>
      <c r="I1172" s="7"/>
      <c r="J1172" s="7" t="s">
        <v>36</v>
      </c>
      <c r="K1172" s="7" t="s">
        <v>48</v>
      </c>
      <c r="L1172" s="7" t="s">
        <v>49</v>
      </c>
      <c r="M1172" s="7" t="s">
        <v>50</v>
      </c>
      <c r="N1172" s="7" t="s">
        <v>33</v>
      </c>
      <c r="O1172" s="7">
        <v>1</v>
      </c>
      <c r="P1172" s="7" t="s">
        <v>40</v>
      </c>
      <c r="Q1172" s="7">
        <v>89.99</v>
      </c>
      <c r="R1172" s="7"/>
      <c r="S1172" s="7"/>
      <c r="T1172" s="7"/>
      <c r="U1172" s="7"/>
      <c r="V1172" s="7"/>
      <c r="W1172" s="7"/>
      <c r="X1172" s="7"/>
      <c r="Y1172" s="7" t="s">
        <v>73</v>
      </c>
      <c r="Z1172" s="7" t="s">
        <v>64</v>
      </c>
      <c r="AA1172" s="7" t="s">
        <v>5522</v>
      </c>
      <c r="AB1172" s="7" t="s">
        <v>44</v>
      </c>
      <c r="AC1172" s="7"/>
      <c r="AD1172" s="7"/>
      <c r="AE1172" s="7"/>
      <c r="AF1172" s="7"/>
      <c r="AG1172" s="11">
        <f t="shared" si="18"/>
        <v>43289</v>
      </c>
    </row>
    <row r="1173" s="8" customFormat="1" spans="1:33">
      <c r="A1173" s="7" t="s">
        <v>5523</v>
      </c>
      <c r="B1173" s="7" t="s">
        <v>5523</v>
      </c>
      <c r="C1173" s="7" t="s">
        <v>5524</v>
      </c>
      <c r="D1173" s="7" t="s">
        <v>5525</v>
      </c>
      <c r="E1173" s="7" t="s">
        <v>33</v>
      </c>
      <c r="F1173" s="7" t="s">
        <v>34</v>
      </c>
      <c r="G1173" s="7" t="s">
        <v>35</v>
      </c>
      <c r="H1173" s="7"/>
      <c r="I1173" s="7"/>
      <c r="J1173" s="7" t="s">
        <v>36</v>
      </c>
      <c r="K1173" s="7" t="s">
        <v>3302</v>
      </c>
      <c r="L1173" s="7" t="s">
        <v>3303</v>
      </c>
      <c r="M1173" s="7" t="s">
        <v>3304</v>
      </c>
      <c r="N1173" s="7" t="s">
        <v>33</v>
      </c>
      <c r="O1173" s="7">
        <v>1</v>
      </c>
      <c r="P1173" s="7" t="s">
        <v>40</v>
      </c>
      <c r="Q1173" s="7">
        <v>16.99</v>
      </c>
      <c r="R1173" s="7"/>
      <c r="S1173" s="7"/>
      <c r="T1173" s="7"/>
      <c r="U1173" s="7"/>
      <c r="V1173" s="7"/>
      <c r="W1173" s="7"/>
      <c r="X1173" s="7"/>
      <c r="Y1173" s="7" t="s">
        <v>4735</v>
      </c>
      <c r="Z1173" s="7" t="s">
        <v>83</v>
      </c>
      <c r="AA1173" s="7" t="s">
        <v>4736</v>
      </c>
      <c r="AB1173" s="7" t="s">
        <v>44</v>
      </c>
      <c r="AC1173" s="7"/>
      <c r="AD1173" s="7"/>
      <c r="AE1173" s="7"/>
      <c r="AF1173" s="7"/>
      <c r="AG1173" s="11">
        <f t="shared" si="18"/>
        <v>43289</v>
      </c>
    </row>
    <row r="1174" s="8" customFormat="1" spans="1:33">
      <c r="A1174" s="7" t="s">
        <v>5526</v>
      </c>
      <c r="B1174" s="7" t="s">
        <v>5526</v>
      </c>
      <c r="C1174" s="7" t="s">
        <v>5527</v>
      </c>
      <c r="D1174" s="7" t="s">
        <v>5528</v>
      </c>
      <c r="E1174" s="7" t="s">
        <v>33</v>
      </c>
      <c r="F1174" s="7" t="s">
        <v>34</v>
      </c>
      <c r="G1174" s="7" t="s">
        <v>35</v>
      </c>
      <c r="H1174" s="7"/>
      <c r="I1174" s="7"/>
      <c r="J1174" s="7" t="s">
        <v>36</v>
      </c>
      <c r="K1174" s="7" t="s">
        <v>148</v>
      </c>
      <c r="L1174" s="7" t="s">
        <v>149</v>
      </c>
      <c r="M1174" s="7" t="s">
        <v>150</v>
      </c>
      <c r="N1174" s="7" t="s">
        <v>33</v>
      </c>
      <c r="O1174" s="7">
        <v>1</v>
      </c>
      <c r="P1174" s="7" t="s">
        <v>40</v>
      </c>
      <c r="Q1174" s="7">
        <v>98.99</v>
      </c>
      <c r="R1174" s="7"/>
      <c r="S1174" s="7"/>
      <c r="T1174" s="7"/>
      <c r="U1174" s="7"/>
      <c r="V1174" s="7"/>
      <c r="W1174" s="7"/>
      <c r="X1174" s="7"/>
      <c r="Y1174" s="7" t="s">
        <v>5529</v>
      </c>
      <c r="Z1174" s="7" t="s">
        <v>64</v>
      </c>
      <c r="AA1174" s="7" t="s">
        <v>5530</v>
      </c>
      <c r="AB1174" s="7" t="s">
        <v>44</v>
      </c>
      <c r="AC1174" s="7"/>
      <c r="AD1174" s="7"/>
      <c r="AE1174" s="7"/>
      <c r="AF1174" s="7"/>
      <c r="AG1174" s="11">
        <f t="shared" si="18"/>
        <v>43289</v>
      </c>
    </row>
    <row r="1175" s="8" customFormat="1" spans="1:33">
      <c r="A1175" s="7" t="s">
        <v>5531</v>
      </c>
      <c r="B1175" s="7" t="s">
        <v>5531</v>
      </c>
      <c r="C1175" s="7" t="s">
        <v>5532</v>
      </c>
      <c r="D1175" s="7" t="s">
        <v>5533</v>
      </c>
      <c r="E1175" s="7" t="s">
        <v>33</v>
      </c>
      <c r="F1175" s="7" t="s">
        <v>34</v>
      </c>
      <c r="G1175" s="7" t="s">
        <v>35</v>
      </c>
      <c r="H1175" s="7"/>
      <c r="I1175" s="7"/>
      <c r="J1175" s="7" t="s">
        <v>36</v>
      </c>
      <c r="K1175" s="7" t="s">
        <v>275</v>
      </c>
      <c r="L1175" s="7" t="s">
        <v>276</v>
      </c>
      <c r="M1175" s="7" t="s">
        <v>277</v>
      </c>
      <c r="N1175" s="7" t="s">
        <v>33</v>
      </c>
      <c r="O1175" s="7">
        <v>1</v>
      </c>
      <c r="P1175" s="7" t="s">
        <v>40</v>
      </c>
      <c r="Q1175" s="7">
        <v>89.99</v>
      </c>
      <c r="R1175" s="7"/>
      <c r="S1175" s="7"/>
      <c r="T1175" s="7"/>
      <c r="U1175" s="7"/>
      <c r="V1175" s="7"/>
      <c r="W1175" s="7"/>
      <c r="X1175" s="7"/>
      <c r="Y1175" s="7" t="s">
        <v>4886</v>
      </c>
      <c r="Z1175" s="7" t="s">
        <v>391</v>
      </c>
      <c r="AA1175" s="7" t="s">
        <v>5534</v>
      </c>
      <c r="AB1175" s="7" t="s">
        <v>44</v>
      </c>
      <c r="AC1175" s="7"/>
      <c r="AD1175" s="7"/>
      <c r="AE1175" s="7"/>
      <c r="AF1175" s="7"/>
      <c r="AG1175" s="11">
        <f t="shared" si="18"/>
        <v>43289</v>
      </c>
    </row>
    <row r="1176" s="8" customFormat="1" spans="1:33">
      <c r="A1176" s="7" t="s">
        <v>5535</v>
      </c>
      <c r="B1176" s="7" t="s">
        <v>5535</v>
      </c>
      <c r="C1176" s="7" t="s">
        <v>5536</v>
      </c>
      <c r="D1176" s="7" t="s">
        <v>5537</v>
      </c>
      <c r="E1176" s="7" t="s">
        <v>33</v>
      </c>
      <c r="F1176" s="7" t="s">
        <v>34</v>
      </c>
      <c r="G1176" s="7" t="s">
        <v>35</v>
      </c>
      <c r="H1176" s="7"/>
      <c r="I1176" s="7"/>
      <c r="J1176" s="7" t="s">
        <v>69</v>
      </c>
      <c r="K1176" s="7" t="s">
        <v>387</v>
      </c>
      <c r="L1176" s="7" t="s">
        <v>388</v>
      </c>
      <c r="M1176" s="7" t="s">
        <v>389</v>
      </c>
      <c r="N1176" s="7" t="s">
        <v>33</v>
      </c>
      <c r="O1176" s="7">
        <v>1</v>
      </c>
      <c r="P1176" s="7" t="s">
        <v>40</v>
      </c>
      <c r="Q1176" s="7">
        <v>32.99</v>
      </c>
      <c r="R1176" s="7"/>
      <c r="S1176" s="7">
        <v>5.74</v>
      </c>
      <c r="T1176" s="7"/>
      <c r="U1176" s="7"/>
      <c r="V1176" s="7"/>
      <c r="W1176" s="7"/>
      <c r="X1176" s="7">
        <v>5.74</v>
      </c>
      <c r="Y1176" s="7" t="s">
        <v>5538</v>
      </c>
      <c r="Z1176" s="7" t="s">
        <v>83</v>
      </c>
      <c r="AA1176" s="7" t="s">
        <v>5539</v>
      </c>
      <c r="AB1176" s="7" t="s">
        <v>44</v>
      </c>
      <c r="AC1176" s="7" t="s">
        <v>75</v>
      </c>
      <c r="AD1176" s="7"/>
      <c r="AE1176" s="7"/>
      <c r="AF1176" s="7"/>
      <c r="AG1176" s="11">
        <f t="shared" si="18"/>
        <v>43289</v>
      </c>
    </row>
    <row r="1177" s="8" customFormat="1" spans="33:33">
      <c r="AG1177" s="9"/>
    </row>
    <row r="1178" s="8" customFormat="1" spans="33:33">
      <c r="AG1178" s="9"/>
    </row>
    <row r="1179" s="8" customFormat="1" spans="33:33">
      <c r="AG1179" s="9"/>
    </row>
    <row r="1180" s="8" customFormat="1" spans="33:33">
      <c r="AG1180" s="9"/>
    </row>
    <row r="1181" s="8" customFormat="1" spans="33:33">
      <c r="AG1181" s="9"/>
    </row>
    <row r="1182" s="8" customFormat="1" spans="33:33">
      <c r="AG1182" s="9"/>
    </row>
    <row r="1183" s="8" customFormat="1" spans="33:33">
      <c r="AG1183" s="9"/>
    </row>
    <row r="1184" s="8" customFormat="1" spans="33:33">
      <c r="AG1184" s="9"/>
    </row>
    <row r="1185" s="8" customFormat="1" spans="33:33">
      <c r="AG1185" s="9"/>
    </row>
    <row r="1186" s="8" customFormat="1" spans="33:33">
      <c r="AG1186" s="9"/>
    </row>
    <row r="1187" s="8" customFormat="1" spans="33:33">
      <c r="AG1187" s="9"/>
    </row>
    <row r="1188" s="8" customFormat="1" spans="33:33">
      <c r="AG1188" s="9"/>
    </row>
    <row r="1189" s="8" customFormat="1" spans="33:33">
      <c r="AG1189" s="9"/>
    </row>
    <row r="1190" s="8" customFormat="1" spans="33:33">
      <c r="AG1190" s="9"/>
    </row>
    <row r="1191" s="8" customFormat="1" spans="33:33">
      <c r="AG1191" s="9"/>
    </row>
    <row r="1192" s="8" customFormat="1" spans="33:33">
      <c r="AG1192" s="9"/>
    </row>
    <row r="1193" s="8" customFormat="1" spans="33:33">
      <c r="AG1193" s="9"/>
    </row>
    <row r="1194" s="8" customFormat="1" spans="33:33">
      <c r="AG1194" s="9"/>
    </row>
    <row r="1195" s="8" customFormat="1" spans="33:33">
      <c r="AG1195" s="9"/>
    </row>
    <row r="1196" s="8" customFormat="1" spans="33:33">
      <c r="AG1196" s="9"/>
    </row>
    <row r="1197" s="8" customFormat="1" spans="33:33">
      <c r="AG1197" s="9"/>
    </row>
    <row r="1198" s="8" customFormat="1" spans="33:33">
      <c r="AG1198" s="9"/>
    </row>
    <row r="1199" s="8" customFormat="1" spans="33:33">
      <c r="AG1199" s="9"/>
    </row>
    <row r="1200" s="8" customFormat="1" spans="33:33">
      <c r="AG1200" s="9"/>
    </row>
    <row r="1201" s="8" customFormat="1" spans="33:33">
      <c r="AG1201" s="9"/>
    </row>
    <row r="1202" s="8" customFormat="1" spans="33:33">
      <c r="AG1202" s="9"/>
    </row>
    <row r="1203" s="8" customFormat="1" spans="33:33">
      <c r="AG1203" s="9"/>
    </row>
    <row r="1204" s="8" customFormat="1" spans="33:33">
      <c r="AG1204" s="9"/>
    </row>
    <row r="1205" s="8" customFormat="1" spans="33:33">
      <c r="AG1205" s="9"/>
    </row>
    <row r="1206" s="8" customFormat="1" spans="33:33">
      <c r="AG1206" s="9"/>
    </row>
    <row r="1207" s="8" customFormat="1" spans="33:33">
      <c r="AG1207" s="9"/>
    </row>
    <row r="1208" s="8" customFormat="1" spans="33:33">
      <c r="AG1208" s="9"/>
    </row>
    <row r="1209" s="8" customFormat="1" spans="33:33">
      <c r="AG1209" s="9"/>
    </row>
    <row r="1210" s="8" customFormat="1" spans="33:33">
      <c r="AG1210" s="9"/>
    </row>
    <row r="1211" s="8" customFormat="1" spans="33:33">
      <c r="AG1211" s="9"/>
    </row>
    <row r="1212" s="8" customFormat="1" spans="33:33">
      <c r="AG1212" s="9"/>
    </row>
    <row r="1213" s="8" customFormat="1" spans="33:33">
      <c r="AG1213" s="9"/>
    </row>
    <row r="1214" s="8" customFormat="1" spans="33:33">
      <c r="AG1214" s="9"/>
    </row>
    <row r="1215" s="8" customFormat="1" spans="33:33">
      <c r="AG1215" s="9"/>
    </row>
    <row r="1216" s="8" customFormat="1" spans="33:33">
      <c r="AG1216" s="9"/>
    </row>
    <row r="1217" s="8" customFormat="1" spans="33:33">
      <c r="AG1217" s="9"/>
    </row>
    <row r="1218" s="8" customFormat="1" spans="33:33">
      <c r="AG1218" s="9"/>
    </row>
    <row r="1219" s="8" customFormat="1" spans="33:33">
      <c r="AG1219" s="9"/>
    </row>
    <row r="1220" s="8" customFormat="1" spans="33:33">
      <c r="AG1220" s="9"/>
    </row>
    <row r="1221" s="8" customFormat="1" spans="33:33">
      <c r="AG1221" s="9"/>
    </row>
    <row r="1222" s="8" customFormat="1" spans="33:33">
      <c r="AG1222" s="9"/>
    </row>
    <row r="1223" s="8" customFormat="1" spans="33:33">
      <c r="AG1223" s="9"/>
    </row>
    <row r="1224" s="8" customFormat="1" spans="33:33">
      <c r="AG1224" s="9"/>
    </row>
    <row r="1225" s="8" customFormat="1" spans="33:33">
      <c r="AG1225" s="9"/>
    </row>
    <row r="1226" s="8" customFormat="1" spans="33:33">
      <c r="AG1226" s="9"/>
    </row>
    <row r="1227" s="8" customFormat="1" spans="33:33">
      <c r="AG1227" s="9"/>
    </row>
    <row r="1228" s="8" customFormat="1" spans="33:33">
      <c r="AG1228" s="9"/>
    </row>
    <row r="1229" s="8" customFormat="1" spans="33:33">
      <c r="AG1229" s="9"/>
    </row>
    <row r="1230" s="8" customFormat="1" spans="33:33">
      <c r="AG1230" s="9"/>
    </row>
    <row r="1231" s="8" customFormat="1" spans="33:33">
      <c r="AG1231" s="9"/>
    </row>
    <row r="1232" s="8" customFormat="1" spans="33:33">
      <c r="AG1232" s="9"/>
    </row>
    <row r="1233" s="8" customFormat="1" spans="33:33">
      <c r="AG1233" s="9"/>
    </row>
    <row r="1234" s="8" customFormat="1" spans="33:33">
      <c r="AG1234" s="9"/>
    </row>
    <row r="1235" s="8" customFormat="1" spans="33:33">
      <c r="AG1235" s="9"/>
    </row>
    <row r="1236" s="8" customFormat="1" spans="33:33">
      <c r="AG1236" s="9"/>
    </row>
    <row r="1237" s="8" customFormat="1" spans="33:33">
      <c r="AG1237" s="9"/>
    </row>
    <row r="1238" s="8" customFormat="1" spans="33:33">
      <c r="AG1238" s="9"/>
    </row>
    <row r="1239" s="8" customFormat="1" spans="33:33">
      <c r="AG1239" s="9"/>
    </row>
    <row r="1240" s="8" customFormat="1" spans="33:33">
      <c r="AG1240" s="9"/>
    </row>
    <row r="1241" s="8" customFormat="1" spans="33:33">
      <c r="AG1241" s="9"/>
    </row>
    <row r="1242" s="8" customFormat="1" spans="33:33">
      <c r="AG1242" s="9"/>
    </row>
    <row r="1243" s="8" customFormat="1" spans="33:33">
      <c r="AG1243" s="9"/>
    </row>
    <row r="1244" s="8" customFormat="1" spans="33:33">
      <c r="AG1244" s="9"/>
    </row>
    <row r="1245" s="8" customFormat="1" spans="33:33">
      <c r="AG1245" s="9"/>
    </row>
    <row r="1246" s="8" customFormat="1" spans="33:33">
      <c r="AG1246" s="9"/>
    </row>
    <row r="1247" s="8" customFormat="1" spans="33:33">
      <c r="AG1247" s="9"/>
    </row>
    <row r="1248" s="8" customFormat="1" spans="33:33">
      <c r="AG1248" s="9"/>
    </row>
    <row r="1249" s="8" customFormat="1" spans="33:33">
      <c r="AG1249" s="9"/>
    </row>
    <row r="1250" s="8" customFormat="1" spans="33:33">
      <c r="AG1250" s="9"/>
    </row>
    <row r="1251" s="8" customFormat="1" spans="33:33">
      <c r="AG1251" s="9"/>
    </row>
    <row r="1252" s="8" customFormat="1" spans="33:33">
      <c r="AG1252" s="9"/>
    </row>
    <row r="1253" s="8" customFormat="1" spans="33:33">
      <c r="AG1253" s="9"/>
    </row>
    <row r="1254" s="8" customFormat="1" spans="33:33">
      <c r="AG1254" s="9"/>
    </row>
    <row r="1255" s="8" customFormat="1" spans="33:33">
      <c r="AG1255" s="9"/>
    </row>
    <row r="1256" s="8" customFormat="1" spans="33:33">
      <c r="AG1256" s="9"/>
    </row>
    <row r="1257" s="8" customFormat="1" spans="33:33">
      <c r="AG1257" s="9"/>
    </row>
    <row r="1258" s="8" customFormat="1" spans="33:33">
      <c r="AG1258" s="9"/>
    </row>
    <row r="1259" s="8" customFormat="1" spans="33:33">
      <c r="AG1259" s="9"/>
    </row>
    <row r="1260" s="8" customFormat="1" spans="33:33">
      <c r="AG1260" s="9"/>
    </row>
    <row r="1261" s="8" customFormat="1" spans="33:33">
      <c r="AG1261" s="9"/>
    </row>
    <row r="1262" s="8" customFormat="1" spans="33:33">
      <c r="AG1262" s="9"/>
    </row>
    <row r="1263" s="8" customFormat="1" spans="33:33">
      <c r="AG1263" s="9"/>
    </row>
    <row r="1264" s="8" customFormat="1" spans="33:33">
      <c r="AG1264" s="9"/>
    </row>
    <row r="1265" s="8" customFormat="1" spans="33:33">
      <c r="AG1265" s="9"/>
    </row>
    <row r="1266" s="8" customFormat="1" spans="33:33">
      <c r="AG1266" s="9"/>
    </row>
    <row r="1267" s="8" customFormat="1" spans="33:33">
      <c r="AG1267" s="9"/>
    </row>
    <row r="1268" s="8" customFormat="1" spans="33:33">
      <c r="AG1268" s="9"/>
    </row>
    <row r="1269" s="8" customFormat="1" spans="33:33">
      <c r="AG1269" s="9"/>
    </row>
    <row r="1270" s="8" customFormat="1" spans="33:33">
      <c r="AG1270" s="9"/>
    </row>
    <row r="1271" s="8" customFormat="1" spans="33:33">
      <c r="AG1271" s="9"/>
    </row>
    <row r="1272" s="8" customFormat="1" spans="33:33">
      <c r="AG1272" s="9"/>
    </row>
    <row r="1273" s="8" customFormat="1" spans="33:33">
      <c r="AG1273" s="9"/>
    </row>
    <row r="1274" s="8" customFormat="1" spans="33:33">
      <c r="AG1274" s="9"/>
    </row>
    <row r="1275" s="8" customFormat="1" spans="33:33">
      <c r="AG1275" s="9"/>
    </row>
    <row r="1276" s="8" customFormat="1" spans="33:33">
      <c r="AG1276" s="9"/>
    </row>
    <row r="1277" s="8" customFormat="1" spans="33:33">
      <c r="AG1277" s="9"/>
    </row>
    <row r="1278" s="8" customFormat="1" spans="33:33">
      <c r="AG1278" s="9"/>
    </row>
    <row r="1279" s="8" customFormat="1" spans="33:33">
      <c r="AG1279" s="9"/>
    </row>
    <row r="1280" s="8" customFormat="1" spans="33:33">
      <c r="AG1280" s="9"/>
    </row>
    <row r="1281" s="8" customFormat="1" spans="33:33">
      <c r="AG1281" s="9"/>
    </row>
    <row r="1282" s="8" customFormat="1" spans="33:33">
      <c r="AG1282" s="9"/>
    </row>
    <row r="1283" s="8" customFormat="1" spans="33:33">
      <c r="AG1283" s="9"/>
    </row>
    <row r="1284" s="8" customFormat="1" spans="33:33">
      <c r="AG1284" s="9"/>
    </row>
    <row r="1285" s="8" customFormat="1" spans="33:33">
      <c r="AG1285" s="9"/>
    </row>
    <row r="1286" s="8" customFormat="1" spans="33:33">
      <c r="AG1286" s="9"/>
    </row>
    <row r="1287" s="8" customFormat="1" spans="33:33">
      <c r="AG1287" s="9"/>
    </row>
    <row r="1288" s="8" customFormat="1" spans="33:33">
      <c r="AG1288" s="9"/>
    </row>
    <row r="1289" s="8" customFormat="1" spans="33:33">
      <c r="AG1289" s="9"/>
    </row>
    <row r="1290" s="8" customFormat="1" spans="33:33">
      <c r="AG1290" s="9"/>
    </row>
    <row r="1291" s="8" customFormat="1" spans="33:33">
      <c r="AG1291" s="9"/>
    </row>
    <row r="1292" s="8" customFormat="1" spans="33:33">
      <c r="AG1292" s="9"/>
    </row>
    <row r="1293" s="8" customFormat="1" spans="33:33">
      <c r="AG1293" s="9"/>
    </row>
    <row r="1294" s="8" customFormat="1" spans="33:33">
      <c r="AG1294" s="9"/>
    </row>
    <row r="1295" s="8" customFormat="1" spans="33:33">
      <c r="AG1295" s="9"/>
    </row>
    <row r="1296" s="8" customFormat="1" spans="33:33">
      <c r="AG1296" s="9"/>
    </row>
    <row r="1297" s="8" customFormat="1" spans="33:33">
      <c r="AG1297" s="9"/>
    </row>
    <row r="1298" s="8" customFormat="1" spans="33:33">
      <c r="AG1298" s="9"/>
    </row>
    <row r="1299" s="8" customFormat="1" spans="33:33">
      <c r="AG1299" s="9"/>
    </row>
    <row r="1300" s="8" customFormat="1" spans="33:33">
      <c r="AG1300" s="9"/>
    </row>
    <row r="1301" s="8" customFormat="1" spans="33:33">
      <c r="AG1301" s="9"/>
    </row>
    <row r="1302" s="8" customFormat="1" spans="33:33">
      <c r="AG1302" s="9"/>
    </row>
    <row r="1303" s="8" customFormat="1" spans="33:33">
      <c r="AG1303" s="9"/>
    </row>
    <row r="1304" s="8" customFormat="1" spans="33:33">
      <c r="AG1304" s="9"/>
    </row>
    <row r="1305" s="8" customFormat="1" spans="33:33">
      <c r="AG1305" s="9"/>
    </row>
    <row r="1306" s="8" customFormat="1" spans="33:33">
      <c r="AG1306" s="9"/>
    </row>
    <row r="1307" s="8" customFormat="1" spans="33:33">
      <c r="AG1307" s="9"/>
    </row>
    <row r="1308" s="8" customFormat="1" spans="33:33">
      <c r="AG1308" s="9"/>
    </row>
    <row r="1309" s="8" customFormat="1" spans="33:33">
      <c r="AG1309" s="9"/>
    </row>
    <row r="1310" s="8" customFormat="1" spans="33:33">
      <c r="AG1310" s="9"/>
    </row>
    <row r="1311" s="8" customFormat="1" spans="33:33">
      <c r="AG1311" s="9"/>
    </row>
    <row r="1312" s="8" customFormat="1" spans="33:33">
      <c r="AG1312" s="9"/>
    </row>
    <row r="1313" s="8" customFormat="1" spans="33:33">
      <c r="AG1313" s="9"/>
    </row>
    <row r="1314" s="8" customFormat="1" spans="33:33">
      <c r="AG1314" s="9"/>
    </row>
    <row r="1315" s="8" customFormat="1" spans="33:33">
      <c r="AG1315" s="9"/>
    </row>
    <row r="1316" s="8" customFormat="1" spans="33:33">
      <c r="AG1316" s="9"/>
    </row>
    <row r="1317" s="8" customFormat="1" spans="33:33">
      <c r="AG1317" s="9"/>
    </row>
    <row r="1318" s="8" customFormat="1" spans="33:33">
      <c r="AG1318" s="9"/>
    </row>
    <row r="1319" s="8" customFormat="1" spans="33:33">
      <c r="AG1319" s="9"/>
    </row>
    <row r="1320" s="8" customFormat="1" spans="33:33">
      <c r="AG1320" s="9"/>
    </row>
    <row r="1321" s="8" customFormat="1" spans="33:33">
      <c r="AG1321" s="9"/>
    </row>
    <row r="1322" s="8" customFormat="1" spans="33:33">
      <c r="AG1322" s="9"/>
    </row>
    <row r="1323" s="8" customFormat="1" spans="33:33">
      <c r="AG1323" s="9"/>
    </row>
    <row r="1324" s="8" customFormat="1" spans="33:33">
      <c r="AG1324" s="9"/>
    </row>
    <row r="1325" s="8" customFormat="1" spans="33:33">
      <c r="AG1325" s="9"/>
    </row>
    <row r="1326" s="8" customFormat="1" spans="33:33">
      <c r="AG1326" s="9"/>
    </row>
    <row r="1327" s="8" customFormat="1" spans="33:33">
      <c r="AG1327" s="9"/>
    </row>
    <row r="1328" s="8" customFormat="1" spans="33:33">
      <c r="AG1328" s="9"/>
    </row>
    <row r="1329" s="8" customFormat="1" spans="33:33">
      <c r="AG1329" s="9"/>
    </row>
    <row r="1330" s="8" customFormat="1" spans="33:33">
      <c r="AG1330" s="9"/>
    </row>
    <row r="1331" s="8" customFormat="1" spans="33:33">
      <c r="AG1331" s="9"/>
    </row>
    <row r="1332" s="8" customFormat="1" spans="33:33">
      <c r="AG1332" s="9"/>
    </row>
    <row r="1333" s="8" customFormat="1" spans="33:33">
      <c r="AG1333" s="9"/>
    </row>
    <row r="1334" s="8" customFormat="1" spans="33:33">
      <c r="AG1334" s="9"/>
    </row>
    <row r="1335" s="8" customFormat="1" spans="33:33">
      <c r="AG1335" s="9"/>
    </row>
    <row r="1336" s="8" customFormat="1" spans="33:33">
      <c r="AG1336" s="9"/>
    </row>
    <row r="1337" s="8" customFormat="1" spans="33:33">
      <c r="AG1337" s="9"/>
    </row>
    <row r="1338" s="8" customFormat="1" spans="33:33">
      <c r="AG1338" s="9"/>
    </row>
    <row r="1339" s="8" customFormat="1" spans="33:33">
      <c r="AG1339" s="9"/>
    </row>
    <row r="1340" s="8" customFormat="1" spans="33:33">
      <c r="AG1340" s="9"/>
    </row>
    <row r="1341" s="8" customFormat="1" spans="33:33">
      <c r="AG1341" s="9"/>
    </row>
    <row r="1342" s="8" customFormat="1" spans="33:33">
      <c r="AG1342" s="9"/>
    </row>
    <row r="1343" s="8" customFormat="1" spans="33:33">
      <c r="AG1343" s="9"/>
    </row>
    <row r="1344" s="8" customFormat="1" spans="33:33">
      <c r="AG1344" s="9"/>
    </row>
    <row r="1345" s="8" customFormat="1" spans="33:33">
      <c r="AG1345" s="9"/>
    </row>
    <row r="1346" s="8" customFormat="1" spans="33:33">
      <c r="AG1346" s="9"/>
    </row>
    <row r="1347" s="8" customFormat="1" spans="33:33">
      <c r="AG1347" s="9"/>
    </row>
    <row r="1348" s="8" customFormat="1" spans="33:33">
      <c r="AG1348" s="9"/>
    </row>
    <row r="1349" s="8" customFormat="1" spans="33:33">
      <c r="AG1349" s="9"/>
    </row>
    <row r="1350" s="8" customFormat="1" spans="33:33">
      <c r="AG1350" s="9"/>
    </row>
    <row r="1351" s="8" customFormat="1" spans="33:33">
      <c r="AG1351" s="9"/>
    </row>
    <row r="1352" s="8" customFormat="1" spans="33:33">
      <c r="AG1352" s="9"/>
    </row>
    <row r="1353" s="8" customFormat="1" spans="33:33">
      <c r="AG1353" s="9"/>
    </row>
    <row r="1354" s="8" customFormat="1" spans="33:33">
      <c r="AG1354" s="9"/>
    </row>
    <row r="1355" s="8" customFormat="1" spans="33:33">
      <c r="AG1355" s="9"/>
    </row>
    <row r="1356" s="8" customFormat="1" spans="33:33">
      <c r="AG1356" s="9"/>
    </row>
    <row r="1357" s="8" customFormat="1" spans="33:33">
      <c r="AG1357" s="9"/>
    </row>
    <row r="1358" s="8" customFormat="1" spans="33:33">
      <c r="AG1358" s="9"/>
    </row>
    <row r="1359" s="8" customFormat="1" spans="33:33">
      <c r="AG1359" s="9"/>
    </row>
    <row r="1360" s="8" customFormat="1" spans="33:33">
      <c r="AG1360" s="9"/>
    </row>
    <row r="1361" s="8" customFormat="1" spans="33:33">
      <c r="AG1361" s="9"/>
    </row>
    <row r="1362" s="8" customFormat="1" spans="33:33">
      <c r="AG1362" s="9"/>
    </row>
    <row r="1363" s="8" customFormat="1" spans="33:33">
      <c r="AG1363" s="9"/>
    </row>
    <row r="1364" s="8" customFormat="1" spans="33:33">
      <c r="AG1364" s="9"/>
    </row>
    <row r="1365" s="8" customFormat="1" spans="33:33">
      <c r="AG1365" s="9"/>
    </row>
    <row r="1366" s="8" customFormat="1" spans="33:33">
      <c r="AG1366" s="9"/>
    </row>
    <row r="1367" s="8" customFormat="1" spans="33:33">
      <c r="AG1367" s="9"/>
    </row>
    <row r="1368" s="8" customFormat="1" spans="33:33">
      <c r="AG1368" s="9"/>
    </row>
    <row r="1369" s="8" customFormat="1" spans="33:33">
      <c r="AG1369" s="9"/>
    </row>
    <row r="1370" s="8" customFormat="1" spans="33:33">
      <c r="AG1370" s="9"/>
    </row>
    <row r="1371" s="8" customFormat="1" spans="33:33">
      <c r="AG1371" s="9"/>
    </row>
    <row r="1372" s="8" customFormat="1" spans="33:33">
      <c r="AG1372" s="9"/>
    </row>
    <row r="1373" s="8" customFormat="1" spans="33:33">
      <c r="AG1373" s="9"/>
    </row>
    <row r="1374" s="8" customFormat="1" spans="33:33">
      <c r="AG1374" s="9"/>
    </row>
    <row r="1375" s="8" customFormat="1" spans="33:33">
      <c r="AG1375" s="9"/>
    </row>
    <row r="1376" s="8" customFormat="1" spans="33:33">
      <c r="AG1376" s="9"/>
    </row>
    <row r="1377" s="8" customFormat="1" spans="33:33">
      <c r="AG1377" s="9"/>
    </row>
    <row r="1378" s="8" customFormat="1" spans="33:33">
      <c r="AG1378" s="9"/>
    </row>
    <row r="1379" s="8" customFormat="1" spans="33:33">
      <c r="AG1379" s="9"/>
    </row>
    <row r="1380" s="8" customFormat="1" spans="33:33">
      <c r="AG1380" s="9"/>
    </row>
    <row r="1381" s="8" customFormat="1" spans="33:33">
      <c r="AG1381" s="9"/>
    </row>
    <row r="1382" s="8" customFormat="1" spans="33:33">
      <c r="AG1382" s="9"/>
    </row>
    <row r="1383" s="8" customFormat="1" spans="33:33">
      <c r="AG1383" s="9"/>
    </row>
    <row r="1384" s="8" customFormat="1" spans="33:33">
      <c r="AG1384" s="9"/>
    </row>
    <row r="1385" s="8" customFormat="1" spans="33:33">
      <c r="AG1385" s="9"/>
    </row>
    <row r="1386" s="8" customFormat="1" spans="33:33">
      <c r="AG1386" s="9"/>
    </row>
    <row r="1387" s="8" customFormat="1" spans="33:33">
      <c r="AG1387" s="9"/>
    </row>
    <row r="1388" s="8" customFormat="1" spans="33:33">
      <c r="AG1388" s="9"/>
    </row>
    <row r="1389" s="8" customFormat="1" spans="33:33">
      <c r="AG1389" s="9"/>
    </row>
    <row r="1390" s="8" customFormat="1" spans="33:33">
      <c r="AG1390" s="9"/>
    </row>
    <row r="1391" s="8" customFormat="1" spans="33:33">
      <c r="AG1391" s="9"/>
    </row>
    <row r="1392" s="8" customFormat="1" spans="33:33">
      <c r="AG1392" s="9"/>
    </row>
    <row r="1393" s="8" customFormat="1" spans="33:33">
      <c r="AG1393" s="9"/>
    </row>
    <row r="1394" s="8" customFormat="1" spans="33:33">
      <c r="AG1394" s="9"/>
    </row>
    <row r="1395" s="8" customFormat="1" spans="33:33">
      <c r="AG1395" s="9"/>
    </row>
    <row r="1396" s="8" customFormat="1" spans="33:33">
      <c r="AG1396" s="9"/>
    </row>
    <row r="1397" s="8" customFormat="1" spans="33:33">
      <c r="AG1397" s="9"/>
    </row>
    <row r="1398" s="8" customFormat="1" spans="33:33">
      <c r="AG1398" s="9"/>
    </row>
    <row r="1399" s="8" customFormat="1" spans="33:33">
      <c r="AG1399" s="9"/>
    </row>
    <row r="1400" s="8" customFormat="1" spans="33:33">
      <c r="AG1400" s="9"/>
    </row>
    <row r="1401" s="8" customFormat="1" spans="33:33">
      <c r="AG1401" s="9"/>
    </row>
    <row r="1402" s="8" customFormat="1" spans="33:33">
      <c r="AG1402" s="9"/>
    </row>
    <row r="1403" s="8" customFormat="1" spans="33:33">
      <c r="AG1403" s="9"/>
    </row>
    <row r="1404" s="8" customFormat="1" spans="33:33">
      <c r="AG1404" s="9"/>
    </row>
    <row r="1405" s="8" customFormat="1" spans="33:33">
      <c r="AG1405" s="9"/>
    </row>
    <row r="1406" s="8" customFormat="1" spans="33:33">
      <c r="AG1406" s="9"/>
    </row>
    <row r="1407" s="8" customFormat="1" spans="33:33">
      <c r="AG1407" s="9"/>
    </row>
    <row r="1408" s="8" customFormat="1" spans="33:33">
      <c r="AG1408" s="9"/>
    </row>
    <row r="1409" s="8" customFormat="1" spans="33:33">
      <c r="AG1409" s="9"/>
    </row>
    <row r="1410" s="8" customFormat="1" spans="33:33">
      <c r="AG1410" s="9"/>
    </row>
    <row r="1411" s="8" customFormat="1" spans="33:33">
      <c r="AG1411" s="9"/>
    </row>
    <row r="1412" s="8" customFormat="1" spans="33:33">
      <c r="AG1412" s="9"/>
    </row>
    <row r="1413" s="8" customFormat="1" spans="33:33">
      <c r="AG1413" s="9"/>
    </row>
    <row r="1414" s="8" customFormat="1" spans="33:33">
      <c r="AG1414" s="9"/>
    </row>
    <row r="1415" s="8" customFormat="1" spans="33:33">
      <c r="AG1415" s="9"/>
    </row>
    <row r="1416" s="8" customFormat="1" spans="33:33">
      <c r="AG1416" s="9"/>
    </row>
    <row r="1417" s="8" customFormat="1" spans="33:33">
      <c r="AG1417" s="9"/>
    </row>
    <row r="1418" s="8" customFormat="1" spans="33:33">
      <c r="AG1418" s="9"/>
    </row>
    <row r="1419" s="8" customFormat="1" spans="33:33">
      <c r="AG1419" s="9"/>
    </row>
    <row r="1420" s="8" customFormat="1" spans="33:33">
      <c r="AG1420" s="9"/>
    </row>
    <row r="1421" s="8" customFormat="1" spans="33:33">
      <c r="AG1421" s="9"/>
    </row>
    <row r="1422" s="8" customFormat="1" spans="33:33">
      <c r="AG1422" s="9"/>
    </row>
    <row r="1423" s="8" customFormat="1" spans="33:33">
      <c r="AG1423" s="9"/>
    </row>
    <row r="1424" s="8" customFormat="1" spans="33:33">
      <c r="AG1424" s="9"/>
    </row>
    <row r="1425" s="8" customFormat="1" spans="33:33">
      <c r="AG1425" s="9"/>
    </row>
    <row r="1426" s="8" customFormat="1" spans="33:33">
      <c r="AG1426" s="9"/>
    </row>
    <row r="1427" s="8" customFormat="1" spans="33:33">
      <c r="AG1427" s="9"/>
    </row>
    <row r="1428" s="8" customFormat="1" spans="33:33">
      <c r="AG1428" s="9"/>
    </row>
    <row r="1429" s="8" customFormat="1" spans="33:33">
      <c r="AG1429" s="9"/>
    </row>
    <row r="1430" s="8" customFormat="1" spans="33:33">
      <c r="AG1430" s="9"/>
    </row>
    <row r="1431" s="8" customFormat="1" spans="33:33">
      <c r="AG1431" s="9"/>
    </row>
    <row r="1432" s="8" customFormat="1" spans="33:33">
      <c r="AG1432" s="9"/>
    </row>
    <row r="1433" s="8" customFormat="1" spans="33:33">
      <c r="AG1433" s="9"/>
    </row>
    <row r="1434" s="8" customFormat="1" spans="33:33">
      <c r="AG1434" s="9"/>
    </row>
    <row r="1435" s="8" customFormat="1" spans="33:33">
      <c r="AG1435" s="9"/>
    </row>
    <row r="1436" s="8" customFormat="1" spans="33:33">
      <c r="AG1436" s="9"/>
    </row>
    <row r="1437" s="8" customFormat="1" spans="33:33">
      <c r="AG1437" s="9"/>
    </row>
    <row r="1438" s="8" customFormat="1" spans="33:33">
      <c r="AG1438" s="9"/>
    </row>
    <row r="1439" s="8" customFormat="1" spans="33:33">
      <c r="AG1439" s="9"/>
    </row>
    <row r="1440" s="8" customFormat="1" spans="33:33">
      <c r="AG1440" s="9"/>
    </row>
    <row r="1441" s="8" customFormat="1" spans="33:33">
      <c r="AG1441" s="9"/>
    </row>
    <row r="1442" s="8" customFormat="1" spans="33:33">
      <c r="AG1442" s="9"/>
    </row>
    <row r="1443" s="8" customFormat="1" spans="33:33">
      <c r="AG1443" s="9"/>
    </row>
    <row r="1444" s="8" customFormat="1" spans="33:33">
      <c r="AG1444" s="9"/>
    </row>
    <row r="1445" s="8" customFormat="1" spans="33:33">
      <c r="AG1445" s="9"/>
    </row>
    <row r="1446" s="8" customFormat="1" spans="33:33">
      <c r="AG1446" s="9"/>
    </row>
    <row r="1447" s="8" customFormat="1" spans="33:33">
      <c r="AG1447" s="9"/>
    </row>
    <row r="1448" s="8" customFormat="1" spans="33:33">
      <c r="AG1448" s="9"/>
    </row>
    <row r="1449" s="8" customFormat="1" spans="33:33">
      <c r="AG1449" s="9"/>
    </row>
    <row r="1450" s="8" customFormat="1" spans="33:33">
      <c r="AG1450" s="9"/>
    </row>
    <row r="1451" s="8" customFormat="1" spans="33:33">
      <c r="AG1451" s="9"/>
    </row>
    <row r="1452" s="8" customFormat="1" spans="33:33">
      <c r="AG1452" s="9"/>
    </row>
    <row r="1453" s="8" customFormat="1" spans="33:33">
      <c r="AG1453" s="9"/>
    </row>
    <row r="1454" s="8" customFormat="1" spans="33:33">
      <c r="AG1454" s="9"/>
    </row>
    <row r="1455" s="8" customFormat="1" spans="33:33">
      <c r="AG1455" s="9"/>
    </row>
    <row r="1456" s="8" customFormat="1" spans="33:33">
      <c r="AG1456" s="9"/>
    </row>
    <row r="1457" s="8" customFormat="1" spans="33:33">
      <c r="AG1457" s="9"/>
    </row>
    <row r="1458" s="8" customFormat="1" spans="33:33">
      <c r="AG1458" s="9"/>
    </row>
    <row r="1459" s="8" customFormat="1" spans="33:33">
      <c r="AG1459" s="9"/>
    </row>
    <row r="1460" s="8" customFormat="1" spans="33:33">
      <c r="AG1460" s="9"/>
    </row>
    <row r="1461" s="8" customFormat="1" spans="33:33">
      <c r="AG1461" s="9"/>
    </row>
    <row r="1462" s="8" customFormat="1" spans="33:33">
      <c r="AG1462" s="9"/>
    </row>
    <row r="1463" s="8" customFormat="1" spans="33:33">
      <c r="AG1463" s="9"/>
    </row>
    <row r="1464" s="8" customFormat="1" spans="33:33">
      <c r="AG1464" s="9"/>
    </row>
    <row r="1465" s="8" customFormat="1" spans="33:33">
      <c r="AG1465" s="9"/>
    </row>
    <row r="1466" s="8" customFormat="1" spans="33:33">
      <c r="AG1466" s="9"/>
    </row>
    <row r="1467" s="8" customFormat="1" spans="33:33">
      <c r="AG1467" s="9"/>
    </row>
    <row r="1468" s="8" customFormat="1" spans="33:33">
      <c r="AG1468" s="9"/>
    </row>
    <row r="1469" s="8" customFormat="1" spans="33:33">
      <c r="AG1469" s="9"/>
    </row>
    <row r="1470" s="8" customFormat="1" spans="33:33">
      <c r="AG1470" s="9"/>
    </row>
    <row r="1471" s="8" customFormat="1" spans="33:33">
      <c r="AG1471" s="9"/>
    </row>
    <row r="1472" s="8" customFormat="1" spans="33:33">
      <c r="AG1472" s="9"/>
    </row>
    <row r="1473" s="8" customFormat="1" spans="33:33">
      <c r="AG1473" s="9"/>
    </row>
    <row r="1474" s="8" customFormat="1" spans="33:33">
      <c r="AG1474" s="9"/>
    </row>
    <row r="1475" s="8" customFormat="1" spans="33:33">
      <c r="AG1475" s="9"/>
    </row>
    <row r="1476" s="8" customFormat="1" spans="33:33">
      <c r="AG1476" s="9"/>
    </row>
    <row r="1477" s="8" customFormat="1" spans="33:33">
      <c r="AG1477" s="9"/>
    </row>
    <row r="1478" s="8" customFormat="1" spans="33:33">
      <c r="AG1478" s="9"/>
    </row>
    <row r="1479" s="8" customFormat="1" spans="33:33">
      <c r="AG1479" s="9"/>
    </row>
    <row r="1480" s="8" customFormat="1" spans="33:33">
      <c r="AG1480" s="9"/>
    </row>
    <row r="1481" s="8" customFormat="1" spans="33:33">
      <c r="AG1481" s="9"/>
    </row>
    <row r="1482" s="8" customFormat="1" spans="33:33">
      <c r="AG1482" s="9"/>
    </row>
    <row r="1483" s="8" customFormat="1" spans="33:33">
      <c r="AG1483" s="9"/>
    </row>
    <row r="1484" s="8" customFormat="1" spans="33:33">
      <c r="AG1484" s="9"/>
    </row>
    <row r="1485" s="8" customFormat="1" spans="33:33">
      <c r="AG1485" s="9"/>
    </row>
    <row r="1486" s="8" customFormat="1" spans="33:33">
      <c r="AG1486" s="9"/>
    </row>
    <row r="1487" s="8" customFormat="1" spans="33:33">
      <c r="AG1487" s="9"/>
    </row>
    <row r="1488" s="8" customFormat="1" spans="33:33">
      <c r="AG1488" s="9"/>
    </row>
    <row r="1489" s="8" customFormat="1" spans="33:33">
      <c r="AG1489" s="9"/>
    </row>
    <row r="1490" s="8" customFormat="1" spans="33:33">
      <c r="AG1490" s="9"/>
    </row>
    <row r="1491" s="8" customFormat="1" spans="33:33">
      <c r="AG1491" s="9"/>
    </row>
    <row r="1492" s="8" customFormat="1" spans="33:33">
      <c r="AG1492" s="9"/>
    </row>
    <row r="1493" s="8" customFormat="1" spans="33:33">
      <c r="AG1493" s="9"/>
    </row>
    <row r="1494" s="8" customFormat="1" spans="33:33">
      <c r="AG1494" s="9"/>
    </row>
    <row r="1495" s="8" customFormat="1" spans="33:33">
      <c r="AG1495" s="9"/>
    </row>
    <row r="1496" s="8" customFormat="1" spans="33:33">
      <c r="AG1496" s="9"/>
    </row>
    <row r="1497" s="8" customFormat="1" spans="33:33">
      <c r="AG1497" s="9"/>
    </row>
    <row r="1498" s="8" customFormat="1" spans="33:33">
      <c r="AG1498" s="9"/>
    </row>
    <row r="1499" s="8" customFormat="1" spans="33:33">
      <c r="AG1499" s="9"/>
    </row>
    <row r="1500" s="8" customFormat="1" spans="33:33">
      <c r="AG1500" s="9"/>
    </row>
    <row r="1501" s="8" customFormat="1" spans="33:33">
      <c r="AG1501" s="9"/>
    </row>
    <row r="1502" s="8" customFormat="1" spans="33:33">
      <c r="AG1502" s="9"/>
    </row>
    <row r="1503" s="8" customFormat="1" spans="33:33">
      <c r="AG1503" s="9"/>
    </row>
    <row r="1504" s="8" customFormat="1" spans="33:33">
      <c r="AG1504" s="9"/>
    </row>
    <row r="1505" s="8" customFormat="1" spans="33:33">
      <c r="AG1505" s="9"/>
    </row>
    <row r="1506" s="8" customFormat="1" spans="33:33">
      <c r="AG1506" s="9"/>
    </row>
    <row r="1507" s="8" customFormat="1" spans="33:33">
      <c r="AG1507" s="9"/>
    </row>
    <row r="1508" s="8" customFormat="1" spans="33:33">
      <c r="AG1508" s="9"/>
    </row>
    <row r="1509" s="8" customFormat="1" spans="33:33">
      <c r="AG1509" s="9"/>
    </row>
    <row r="1510" s="8" customFormat="1" spans="33:33">
      <c r="AG1510" s="9"/>
    </row>
    <row r="1511" s="8" customFormat="1" spans="33:33">
      <c r="AG1511" s="9"/>
    </row>
    <row r="1512" s="8" customFormat="1" spans="33:33">
      <c r="AG1512" s="9"/>
    </row>
    <row r="1513" s="8" customFormat="1" spans="33:33">
      <c r="AG1513" s="9"/>
    </row>
    <row r="1514" s="8" customFormat="1" spans="33:33">
      <c r="AG1514" s="9"/>
    </row>
    <row r="1515" s="8" customFormat="1" spans="33:33">
      <c r="AG1515" s="9"/>
    </row>
    <row r="1516" s="8" customFormat="1" spans="33:33">
      <c r="AG1516" s="9"/>
    </row>
    <row r="1517" s="8" customFormat="1" spans="33:33">
      <c r="AG1517" s="9"/>
    </row>
    <row r="1518" s="8" customFormat="1" spans="33:33">
      <c r="AG1518" s="9"/>
    </row>
    <row r="1519" s="8" customFormat="1" spans="33:33">
      <c r="AG1519" s="9"/>
    </row>
    <row r="1520" s="8" customFormat="1" spans="33:33">
      <c r="AG1520" s="9"/>
    </row>
    <row r="1521" s="8" customFormat="1" spans="33:33">
      <c r="AG1521" s="9"/>
    </row>
    <row r="1522" s="8" customFormat="1" spans="33:33">
      <c r="AG1522" s="9"/>
    </row>
    <row r="1523" s="8" customFormat="1" spans="33:33">
      <c r="AG1523" s="9"/>
    </row>
    <row r="1524" s="8" customFormat="1" spans="33:33">
      <c r="AG1524" s="9"/>
    </row>
    <row r="1525" s="8" customFormat="1" spans="33:33">
      <c r="AG1525" s="9"/>
    </row>
    <row r="1526" s="8" customFormat="1" spans="33:33">
      <c r="AG1526" s="9"/>
    </row>
    <row r="1527" s="8" customFormat="1" spans="33:33">
      <c r="AG1527" s="9"/>
    </row>
    <row r="1528" s="8" customFormat="1" spans="33:33">
      <c r="AG1528" s="9"/>
    </row>
    <row r="1529" s="8" customFormat="1" spans="33:33">
      <c r="AG1529" s="9"/>
    </row>
    <row r="1530" s="8" customFormat="1" spans="33:33">
      <c r="AG1530" s="9"/>
    </row>
    <row r="1531" s="8" customFormat="1" spans="33:33">
      <c r="AG1531" s="9"/>
    </row>
    <row r="1532" s="8" customFormat="1" spans="33:33">
      <c r="AG1532" s="9"/>
    </row>
    <row r="1533" s="8" customFormat="1" spans="33:33">
      <c r="AG1533" s="9"/>
    </row>
    <row r="1534" s="8" customFormat="1" spans="33:33">
      <c r="AG1534" s="9"/>
    </row>
    <row r="1535" s="8" customFormat="1" spans="33:33">
      <c r="AG1535" s="9"/>
    </row>
    <row r="1536" s="8" customFormat="1" spans="33:33">
      <c r="AG1536" s="9"/>
    </row>
    <row r="1537" s="8" customFormat="1" spans="33:33">
      <c r="AG1537" s="9"/>
    </row>
    <row r="1538" s="8" customFormat="1" spans="33:33">
      <c r="AG1538" s="9"/>
    </row>
    <row r="1539" s="8" customFormat="1" spans="33:33">
      <c r="AG1539" s="9"/>
    </row>
    <row r="1540" s="8" customFormat="1" spans="33:33">
      <c r="AG1540" s="9"/>
    </row>
    <row r="1541" s="8" customFormat="1" spans="33:33">
      <c r="AG1541" s="9"/>
    </row>
    <row r="1542" s="8" customFormat="1" spans="33:33">
      <c r="AG1542" s="9"/>
    </row>
    <row r="1543" s="8" customFormat="1" spans="33:33">
      <c r="AG1543" s="9"/>
    </row>
    <row r="1544" s="8" customFormat="1" spans="33:33">
      <c r="AG1544" s="9"/>
    </row>
    <row r="1545" s="8" customFormat="1" spans="33:33">
      <c r="AG1545" s="9"/>
    </row>
    <row r="1546" s="8" customFormat="1" spans="33:33">
      <c r="AG1546" s="9"/>
    </row>
    <row r="1547" s="8" customFormat="1" spans="33:33">
      <c r="AG1547" s="9"/>
    </row>
    <row r="1548" s="8" customFormat="1" spans="33:33">
      <c r="AG1548" s="9"/>
    </row>
    <row r="1549" s="8" customFormat="1" spans="33:33">
      <c r="AG1549" s="9"/>
    </row>
    <row r="1550" s="8" customFormat="1" spans="33:33">
      <c r="AG1550" s="9"/>
    </row>
    <row r="1551" s="8" customFormat="1" spans="33:33">
      <c r="AG1551" s="9"/>
    </row>
    <row r="1552" s="8" customFormat="1" spans="33:33">
      <c r="AG1552" s="9"/>
    </row>
    <row r="1553" s="8" customFormat="1" spans="33:33">
      <c r="AG1553" s="9"/>
    </row>
    <row r="1554" s="8" customFormat="1" spans="33:33">
      <c r="AG1554" s="9"/>
    </row>
    <row r="1555" s="8" customFormat="1" spans="33:33">
      <c r="AG1555" s="9"/>
    </row>
    <row r="1556" s="8" customFormat="1" spans="33:33">
      <c r="AG1556" s="9"/>
    </row>
    <row r="1557" s="8" customFormat="1" spans="33:33">
      <c r="AG1557" s="9"/>
    </row>
    <row r="1558" s="8" customFormat="1" spans="33:33">
      <c r="AG1558" s="9"/>
    </row>
    <row r="1559" s="8" customFormat="1" spans="33:33">
      <c r="AG1559" s="9"/>
    </row>
    <row r="1560" s="8" customFormat="1" spans="33:33">
      <c r="AG1560" s="9"/>
    </row>
    <row r="1561" s="8" customFormat="1" spans="33:33">
      <c r="AG1561" s="9"/>
    </row>
    <row r="1562" s="8" customFormat="1" spans="33:33">
      <c r="AG1562" s="9"/>
    </row>
    <row r="1563" s="8" customFormat="1" spans="33:33">
      <c r="AG1563" s="9"/>
    </row>
    <row r="1564" s="8" customFormat="1" spans="33:33">
      <c r="AG1564" s="9"/>
    </row>
    <row r="1565" s="8" customFormat="1" spans="33:33">
      <c r="AG1565" s="9"/>
    </row>
    <row r="1566" s="8" customFormat="1" spans="33:33">
      <c r="AG1566" s="9"/>
    </row>
    <row r="1567" s="8" customFormat="1" spans="33:33">
      <c r="AG1567" s="9"/>
    </row>
    <row r="1568" s="8" customFormat="1" spans="33:33">
      <c r="AG1568" s="9"/>
    </row>
    <row r="1569" s="8" customFormat="1" spans="33:33">
      <c r="AG1569" s="9"/>
    </row>
    <row r="1570" s="8" customFormat="1" spans="33:33">
      <c r="AG1570" s="9"/>
    </row>
    <row r="1571" s="8" customFormat="1" spans="33:33">
      <c r="AG1571" s="9"/>
    </row>
    <row r="1572" s="8" customFormat="1" spans="33:33">
      <c r="AG1572" s="9"/>
    </row>
    <row r="1573" s="8" customFormat="1" spans="33:33">
      <c r="AG1573" s="9"/>
    </row>
    <row r="1574" s="8" customFormat="1" spans="33:33">
      <c r="AG1574" s="9"/>
    </row>
    <row r="1575" s="8" customFormat="1" spans="33:33">
      <c r="AG1575" s="9"/>
    </row>
    <row r="1576" s="8" customFormat="1" spans="33:33">
      <c r="AG1576" s="9"/>
    </row>
    <row r="1577" s="8" customFormat="1" spans="33:33">
      <c r="AG1577" s="9"/>
    </row>
    <row r="1578" s="8" customFormat="1" spans="33:33">
      <c r="AG1578" s="9"/>
    </row>
    <row r="1579" s="8" customFormat="1" spans="33:33">
      <c r="AG1579" s="9"/>
    </row>
    <row r="1580" s="8" customFormat="1" spans="33:33">
      <c r="AG1580" s="9"/>
    </row>
    <row r="1581" s="8" customFormat="1" spans="33:33">
      <c r="AG1581" s="9"/>
    </row>
    <row r="1582" s="8" customFormat="1" spans="33:33">
      <c r="AG1582" s="9"/>
    </row>
    <row r="1583" s="8" customFormat="1" spans="33:33">
      <c r="AG1583" s="9"/>
    </row>
    <row r="1584" s="8" customFormat="1" spans="33:33">
      <c r="AG1584" s="9"/>
    </row>
    <row r="1585" s="8" customFormat="1" spans="33:33">
      <c r="AG1585" s="9"/>
    </row>
    <row r="1586" s="8" customFormat="1" spans="33:33">
      <c r="AG1586" s="9"/>
    </row>
    <row r="1587" s="8" customFormat="1" spans="33:33">
      <c r="AG1587" s="9"/>
    </row>
    <row r="1588" s="8" customFormat="1" spans="33:33">
      <c r="AG1588" s="9"/>
    </row>
    <row r="1589" s="8" customFormat="1" spans="33:33">
      <c r="AG1589" s="9"/>
    </row>
    <row r="1590" s="8" customFormat="1" spans="33:33">
      <c r="AG1590" s="9"/>
    </row>
    <row r="1591" s="8" customFormat="1" spans="33:33">
      <c r="AG1591" s="9"/>
    </row>
    <row r="1592" s="8" customFormat="1" spans="33:33">
      <c r="AG1592" s="9"/>
    </row>
    <row r="1593" s="8" customFormat="1" spans="33:33">
      <c r="AG1593" s="9"/>
    </row>
    <row r="1594" s="8" customFormat="1" spans="33:33">
      <c r="AG1594" s="9"/>
    </row>
    <row r="1595" s="8" customFormat="1" spans="33:33">
      <c r="AG1595" s="9"/>
    </row>
    <row r="1596" s="8" customFormat="1" spans="33:33">
      <c r="AG1596" s="9"/>
    </row>
    <row r="1597" s="8" customFormat="1" spans="33:33">
      <c r="AG1597" s="9"/>
    </row>
    <row r="1598" s="8" customFormat="1" spans="33:33">
      <c r="AG1598" s="9"/>
    </row>
    <row r="1599" s="8" customFormat="1" spans="33:33">
      <c r="AG1599" s="9"/>
    </row>
    <row r="1600" s="8" customFormat="1" spans="33:33">
      <c r="AG1600" s="9"/>
    </row>
    <row r="1601" s="8" customFormat="1" spans="33:33">
      <c r="AG1601" s="9"/>
    </row>
    <row r="1602" s="8" customFormat="1" spans="33:33">
      <c r="AG1602" s="9"/>
    </row>
    <row r="1603" s="8" customFormat="1" spans="33:33">
      <c r="AG1603" s="9"/>
    </row>
    <row r="1604" s="8" customFormat="1" spans="33:33">
      <c r="AG1604" s="9"/>
    </row>
    <row r="1605" s="8" customFormat="1" spans="33:33">
      <c r="AG1605" s="9"/>
    </row>
    <row r="1606" s="8" customFormat="1" spans="33:33">
      <c r="AG1606" s="9"/>
    </row>
    <row r="1607" s="8" customFormat="1" spans="33:33">
      <c r="AG1607" s="9"/>
    </row>
    <row r="1608" s="8" customFormat="1" spans="33:33">
      <c r="AG1608" s="9"/>
    </row>
    <row r="1609" s="8" customFormat="1" spans="33:33">
      <c r="AG1609" s="9"/>
    </row>
    <row r="1610" s="8" customFormat="1" spans="33:33">
      <c r="AG1610" s="9"/>
    </row>
    <row r="1611" s="8" customFormat="1" spans="33:33">
      <c r="AG1611" s="9"/>
    </row>
    <row r="1612" s="8" customFormat="1" spans="33:33">
      <c r="AG1612" s="9"/>
    </row>
    <row r="1613" s="8" customFormat="1" spans="33:33">
      <c r="AG1613" s="9"/>
    </row>
    <row r="1614" s="8" customFormat="1" spans="33:33">
      <c r="AG1614" s="9"/>
    </row>
    <row r="1615" s="8" customFormat="1" spans="33:33">
      <c r="AG1615" s="9"/>
    </row>
    <row r="1616" s="8" customFormat="1" spans="33:33">
      <c r="AG1616" s="9"/>
    </row>
    <row r="1617" s="8" customFormat="1" spans="33:33">
      <c r="AG1617" s="9"/>
    </row>
    <row r="1618" s="8" customFormat="1" spans="33:33">
      <c r="AG1618" s="9"/>
    </row>
    <row r="1619" s="8" customFormat="1" spans="33:33">
      <c r="AG1619" s="9"/>
    </row>
    <row r="1620" s="8" customFormat="1" spans="33:33">
      <c r="AG1620" s="9"/>
    </row>
    <row r="1621" s="8" customFormat="1" spans="33:33">
      <c r="AG1621" s="9"/>
    </row>
    <row r="1622" s="8" customFormat="1" spans="33:33">
      <c r="AG1622" s="9"/>
    </row>
    <row r="1623" s="8" customFormat="1" spans="33:33">
      <c r="AG1623" s="9"/>
    </row>
    <row r="1624" s="8" customFormat="1" spans="33:33">
      <c r="AG1624" s="9"/>
    </row>
    <row r="1625" s="8" customFormat="1" spans="33:33">
      <c r="AG1625" s="9"/>
    </row>
    <row r="1626" s="8" customFormat="1" spans="33:33">
      <c r="AG1626" s="9"/>
    </row>
    <row r="1627" s="8" customFormat="1" spans="33:33">
      <c r="AG1627" s="9"/>
    </row>
    <row r="1628" s="8" customFormat="1" spans="33:33">
      <c r="AG1628" s="9"/>
    </row>
    <row r="1629" s="8" customFormat="1" spans="33:33">
      <c r="AG1629" s="9"/>
    </row>
    <row r="1630" s="8" customFormat="1" spans="33:33">
      <c r="AG1630" s="9"/>
    </row>
    <row r="1631" s="8" customFormat="1" spans="33:33">
      <c r="AG1631" s="9"/>
    </row>
    <row r="1632" s="8" customFormat="1" spans="33:33">
      <c r="AG1632" s="9"/>
    </row>
    <row r="1633" s="8" customFormat="1" spans="33:33">
      <c r="AG1633" s="9"/>
    </row>
    <row r="1634" s="8" customFormat="1" spans="33:33">
      <c r="AG1634" s="9"/>
    </row>
    <row r="1635" s="8" customFormat="1" spans="33:33">
      <c r="AG1635" s="9"/>
    </row>
    <row r="1636" s="8" customFormat="1" spans="33:33">
      <c r="AG1636" s="9"/>
    </row>
    <row r="1637" s="8" customFormat="1" spans="33:33">
      <c r="AG1637" s="9"/>
    </row>
    <row r="1638" s="8" customFormat="1" spans="33:33">
      <c r="AG1638" s="9"/>
    </row>
    <row r="1639" s="8" customFormat="1" spans="33:33">
      <c r="AG1639" s="9"/>
    </row>
    <row r="1640" s="8" customFormat="1" spans="33:33">
      <c r="AG1640" s="9"/>
    </row>
    <row r="1641" s="8" customFormat="1" spans="33:33">
      <c r="AG1641" s="9"/>
    </row>
    <row r="1642" s="8" customFormat="1" spans="33:33">
      <c r="AG1642" s="9"/>
    </row>
    <row r="1643" s="8" customFormat="1" spans="33:33">
      <c r="AG1643" s="9"/>
    </row>
    <row r="1644" s="8" customFormat="1" spans="33:33">
      <c r="AG1644" s="9"/>
    </row>
    <row r="1645" s="8" customFormat="1" spans="33:33">
      <c r="AG1645" s="9"/>
    </row>
    <row r="1646" s="8" customFormat="1" spans="33:33">
      <c r="AG1646" s="9"/>
    </row>
    <row r="1647" s="8" customFormat="1" spans="33:33">
      <c r="AG1647" s="9"/>
    </row>
    <row r="1648" s="8" customFormat="1" spans="33:33">
      <c r="AG1648" s="9"/>
    </row>
    <row r="1649" s="8" customFormat="1" spans="33:33">
      <c r="AG1649" s="9"/>
    </row>
    <row r="1650" s="8" customFormat="1" spans="33:33">
      <c r="AG1650" s="9"/>
    </row>
    <row r="1651" s="8" customFormat="1" spans="33:33">
      <c r="AG1651" s="9"/>
    </row>
    <row r="1652" s="8" customFormat="1" spans="33:33">
      <c r="AG1652" s="9"/>
    </row>
    <row r="1653" s="8" customFormat="1" spans="33:33">
      <c r="AG1653" s="9"/>
    </row>
    <row r="1654" s="8" customFormat="1" spans="33:33">
      <c r="AG1654" s="9"/>
    </row>
    <row r="1655" s="8" customFormat="1" spans="33:33">
      <c r="AG1655" s="9"/>
    </row>
    <row r="1656" s="8" customFormat="1" spans="33:33">
      <c r="AG1656" s="9"/>
    </row>
    <row r="1657" s="8" customFormat="1" spans="33:33">
      <c r="AG1657" s="9"/>
    </row>
    <row r="1658" s="8" customFormat="1" spans="33:33">
      <c r="AG1658" s="9"/>
    </row>
    <row r="1659" s="8" customFormat="1" spans="33:33">
      <c r="AG1659" s="9"/>
    </row>
    <row r="1660" s="8" customFormat="1" spans="33:33">
      <c r="AG1660" s="9"/>
    </row>
    <row r="1661" s="8" customFormat="1" spans="33:33">
      <c r="AG1661" s="9"/>
    </row>
    <row r="1662" s="8" customFormat="1" spans="33:33">
      <c r="AG1662" s="9"/>
    </row>
    <row r="1663" s="8" customFormat="1" spans="33:33">
      <c r="AG1663" s="9"/>
    </row>
    <row r="1664" s="8" customFormat="1" spans="33:33">
      <c r="AG1664" s="9"/>
    </row>
    <row r="1665" s="8" customFormat="1" spans="33:33">
      <c r="AG1665" s="9"/>
    </row>
    <row r="1666" s="8" customFormat="1" spans="33:33">
      <c r="AG1666" s="9"/>
    </row>
    <row r="1667" s="8" customFormat="1" spans="33:33">
      <c r="AG1667" s="9"/>
    </row>
    <row r="1668" s="8" customFormat="1" spans="33:33">
      <c r="AG1668" s="9"/>
    </row>
    <row r="1669" s="8" customFormat="1" spans="33:33">
      <c r="AG1669" s="9"/>
    </row>
    <row r="1670" s="8" customFormat="1" spans="33:33">
      <c r="AG1670" s="9"/>
    </row>
    <row r="1671" s="8" customFormat="1" spans="33:33">
      <c r="AG1671" s="9"/>
    </row>
    <row r="1672" s="8" customFormat="1" spans="33:33">
      <c r="AG1672" s="9"/>
    </row>
    <row r="1673" s="8" customFormat="1" spans="33:33">
      <c r="AG1673" s="9"/>
    </row>
    <row r="1674" s="8" customFormat="1" spans="33:33">
      <c r="AG1674" s="9"/>
    </row>
    <row r="1675" s="8" customFormat="1" spans="33:33">
      <c r="AG1675" s="9"/>
    </row>
    <row r="1676" s="8" customFormat="1" spans="33:33">
      <c r="AG1676" s="9"/>
    </row>
    <row r="1677" s="8" customFormat="1" spans="33:33">
      <c r="AG1677" s="9"/>
    </row>
    <row r="1678" s="8" customFormat="1" spans="33:33">
      <c r="AG1678" s="9"/>
    </row>
    <row r="1679" s="8" customFormat="1" spans="33:33">
      <c r="AG1679" s="9"/>
    </row>
    <row r="1680" s="8" customFormat="1" spans="33:33">
      <c r="AG1680" s="9"/>
    </row>
    <row r="1681" s="8" customFormat="1" spans="33:33">
      <c r="AG1681" s="9"/>
    </row>
    <row r="1682" s="8" customFormat="1" spans="33:33">
      <c r="AG1682" s="9"/>
    </row>
    <row r="1683" s="8" customFormat="1" spans="33:33">
      <c r="AG1683" s="9"/>
    </row>
    <row r="1684" s="8" customFormat="1" spans="33:33">
      <c r="AG1684" s="9"/>
    </row>
    <row r="1685" s="8" customFormat="1" spans="33:33">
      <c r="AG1685" s="9"/>
    </row>
    <row r="1686" s="8" customFormat="1" spans="33:33">
      <c r="AG1686" s="9"/>
    </row>
    <row r="1687" s="8" customFormat="1" spans="33:33">
      <c r="AG1687" s="9"/>
    </row>
    <row r="1688" s="8" customFormat="1" spans="33:33">
      <c r="AG1688" s="9"/>
    </row>
    <row r="1689" s="8" customFormat="1" spans="33:33">
      <c r="AG1689" s="9"/>
    </row>
    <row r="1690" s="8" customFormat="1" spans="33:33">
      <c r="AG1690" s="9"/>
    </row>
    <row r="1691" s="8" customFormat="1" spans="33:33">
      <c r="AG1691" s="9"/>
    </row>
    <row r="1692" s="8" customFormat="1" spans="33:33">
      <c r="AG1692" s="9"/>
    </row>
    <row r="1693" s="8" customFormat="1" spans="33:33">
      <c r="AG1693" s="9"/>
    </row>
    <row r="1694" s="8" customFormat="1" spans="33:33">
      <c r="AG1694" s="9"/>
    </row>
    <row r="1695" s="8" customFormat="1" spans="33:33">
      <c r="AG1695" s="9"/>
    </row>
    <row r="1696" s="8" customFormat="1" spans="33:33">
      <c r="AG1696" s="9"/>
    </row>
    <row r="1697" s="8" customFormat="1" spans="33:33">
      <c r="AG1697" s="9"/>
    </row>
    <row r="1698" s="8" customFormat="1" spans="33:33">
      <c r="AG1698" s="9"/>
    </row>
    <row r="1699" s="8" customFormat="1" spans="33:33">
      <c r="AG1699" s="9"/>
    </row>
    <row r="1700" s="8" customFormat="1" spans="33:33">
      <c r="AG1700" s="9"/>
    </row>
    <row r="1701" s="8" customFormat="1" spans="33:33">
      <c r="AG1701" s="9"/>
    </row>
    <row r="1702" s="8" customFormat="1" spans="33:33">
      <c r="AG1702" s="9"/>
    </row>
    <row r="1703" s="8" customFormat="1" spans="33:33">
      <c r="AG1703" s="9"/>
    </row>
    <row r="1704" s="8" customFormat="1" spans="33:33">
      <c r="AG1704" s="9"/>
    </row>
    <row r="1705" s="8" customFormat="1" spans="33:33">
      <c r="AG1705" s="9"/>
    </row>
    <row r="1706" s="8" customFormat="1" spans="33:33">
      <c r="AG1706" s="9"/>
    </row>
    <row r="1707" s="8" customFormat="1" spans="33:33">
      <c r="AG1707" s="9"/>
    </row>
    <row r="1708" s="8" customFormat="1" spans="33:33">
      <c r="AG1708" s="9"/>
    </row>
    <row r="1709" s="8" customFormat="1" spans="33:33">
      <c r="AG1709" s="9"/>
    </row>
    <row r="1710" s="8" customFormat="1" spans="33:33">
      <c r="AG1710" s="9"/>
    </row>
    <row r="1711" s="8" customFormat="1" spans="33:33">
      <c r="AG1711" s="9"/>
    </row>
    <row r="1712" s="8" customFormat="1" spans="33:33">
      <c r="AG1712" s="9"/>
    </row>
    <row r="1713" s="8" customFormat="1" spans="33:33">
      <c r="AG1713" s="9"/>
    </row>
    <row r="1714" s="8" customFormat="1" spans="33:33">
      <c r="AG1714" s="9"/>
    </row>
    <row r="1715" s="8" customFormat="1" spans="33:33">
      <c r="AG1715" s="9"/>
    </row>
    <row r="1716" s="8" customFormat="1" spans="33:33">
      <c r="AG1716" s="9"/>
    </row>
    <row r="1717" s="8" customFormat="1" spans="33:33">
      <c r="AG1717" s="9"/>
    </row>
    <row r="1718" s="8" customFormat="1" spans="33:33">
      <c r="AG1718" s="9"/>
    </row>
    <row r="1719" s="8" customFormat="1" spans="33:33">
      <c r="AG1719" s="9"/>
    </row>
    <row r="1720" s="8" customFormat="1" spans="33:33">
      <c r="AG1720" s="9"/>
    </row>
    <row r="1721" s="8" customFormat="1" spans="33:33">
      <c r="AG1721" s="9"/>
    </row>
    <row r="1722" s="8" customFormat="1" spans="33:33">
      <c r="AG1722" s="9"/>
    </row>
    <row r="1723" s="8" customFormat="1" spans="33:33">
      <c r="AG1723" s="9"/>
    </row>
    <row r="1724" s="8" customFormat="1" spans="33:33">
      <c r="AG1724" s="9"/>
    </row>
    <row r="1725" s="8" customFormat="1" spans="33:33">
      <c r="AG1725" s="9"/>
    </row>
    <row r="1726" s="8" customFormat="1" spans="33:33">
      <c r="AG1726" s="9"/>
    </row>
    <row r="1727" s="8" customFormat="1" spans="33:33">
      <c r="AG1727" s="9"/>
    </row>
    <row r="1728" s="8" customFormat="1" spans="33:33">
      <c r="AG1728" s="9"/>
    </row>
    <row r="1729" s="8" customFormat="1" spans="33:33">
      <c r="AG1729" s="9"/>
    </row>
    <row r="1730" s="8" customFormat="1" spans="33:33">
      <c r="AG1730" s="9"/>
    </row>
    <row r="1731" s="8" customFormat="1" spans="33:33">
      <c r="AG1731" s="9"/>
    </row>
    <row r="1732" s="8" customFormat="1" spans="33:33">
      <c r="AG1732" s="9"/>
    </row>
    <row r="1733" s="8" customFormat="1" spans="33:33">
      <c r="AG1733" s="9"/>
    </row>
    <row r="1734" s="8" customFormat="1" spans="33:33">
      <c r="AG1734" s="9"/>
    </row>
    <row r="1735" s="8" customFormat="1" spans="33:33">
      <c r="AG1735" s="9"/>
    </row>
    <row r="1736" s="8" customFormat="1" spans="33:33">
      <c r="AG1736" s="9"/>
    </row>
    <row r="1737" s="8" customFormat="1" spans="33:33">
      <c r="AG1737" s="9"/>
    </row>
    <row r="1738" s="8" customFormat="1" spans="33:33">
      <c r="AG1738" s="9"/>
    </row>
    <row r="1739" s="8" customFormat="1" spans="33:33">
      <c r="AG1739" s="9"/>
    </row>
    <row r="1740" s="8" customFormat="1" spans="33:33">
      <c r="AG1740" s="9"/>
    </row>
    <row r="1741" s="8" customFormat="1" spans="33:33">
      <c r="AG1741" s="9"/>
    </row>
    <row r="1742" s="8" customFormat="1" spans="33:33">
      <c r="AG1742" s="9"/>
    </row>
    <row r="1743" s="8" customFormat="1" spans="33:33">
      <c r="AG1743" s="9"/>
    </row>
    <row r="1744" s="8" customFormat="1" spans="33:33">
      <c r="AG1744" s="9"/>
    </row>
    <row r="1745" s="8" customFormat="1" spans="33:33">
      <c r="AG1745" s="9"/>
    </row>
    <row r="1746" s="8" customFormat="1" spans="33:33">
      <c r="AG1746" s="9"/>
    </row>
    <row r="1747" s="8" customFormat="1" spans="33:33">
      <c r="AG1747" s="9"/>
    </row>
    <row r="1748" s="8" customFormat="1" spans="33:33">
      <c r="AG1748" s="9"/>
    </row>
    <row r="1749" s="8" customFormat="1" spans="33:33">
      <c r="AG1749" s="9"/>
    </row>
    <row r="1750" s="8" customFormat="1" spans="33:33">
      <c r="AG1750" s="9"/>
    </row>
    <row r="1751" s="8" customFormat="1" spans="33:33">
      <c r="AG1751" s="9"/>
    </row>
    <row r="1752" s="8" customFormat="1" spans="33:33">
      <c r="AG1752" s="9"/>
    </row>
    <row r="1753" s="8" customFormat="1" spans="33:33">
      <c r="AG1753" s="9"/>
    </row>
    <row r="1754" s="8" customFormat="1" spans="33:33">
      <c r="AG1754" s="9"/>
    </row>
    <row r="1755" s="8" customFormat="1" spans="33:33">
      <c r="AG1755" s="9"/>
    </row>
    <row r="1756" s="8" customFormat="1" spans="33:33">
      <c r="AG1756" s="9"/>
    </row>
    <row r="1757" s="8" customFormat="1" spans="33:33">
      <c r="AG1757" s="9"/>
    </row>
    <row r="1758" s="8" customFormat="1" spans="33:33">
      <c r="AG1758" s="9"/>
    </row>
    <row r="1759" s="8" customFormat="1" spans="33:33">
      <c r="AG1759" s="9"/>
    </row>
    <row r="1760" s="8" customFormat="1" spans="33:33">
      <c r="AG1760" s="9"/>
    </row>
    <row r="1761" s="8" customFormat="1" spans="33:33">
      <c r="AG1761" s="9"/>
    </row>
    <row r="1762" s="8" customFormat="1" spans="33:33">
      <c r="AG1762" s="9"/>
    </row>
    <row r="1763" s="8" customFormat="1" spans="33:33">
      <c r="AG1763" s="9"/>
    </row>
    <row r="1764" s="8" customFormat="1" spans="33:33">
      <c r="AG1764" s="9"/>
    </row>
    <row r="1765" s="8" customFormat="1" spans="33:33">
      <c r="AG1765" s="9"/>
    </row>
    <row r="1766" s="8" customFormat="1" spans="33:33">
      <c r="AG1766" s="9"/>
    </row>
    <row r="1767" s="8" customFormat="1" spans="33:33">
      <c r="AG1767" s="9"/>
    </row>
    <row r="1768" s="8" customFormat="1" spans="33:33">
      <c r="AG1768" s="9"/>
    </row>
    <row r="1769" s="8" customFormat="1" spans="33:33">
      <c r="AG1769" s="9"/>
    </row>
    <row r="1770" s="8" customFormat="1" spans="33:33">
      <c r="AG1770" s="9"/>
    </row>
    <row r="1771" s="8" customFormat="1" spans="33:33">
      <c r="AG1771" s="9"/>
    </row>
    <row r="1772" s="8" customFormat="1" spans="33:33">
      <c r="AG1772" s="9"/>
    </row>
    <row r="1773" s="8" customFormat="1" spans="33:33">
      <c r="AG1773" s="9"/>
    </row>
    <row r="1774" s="8" customFormat="1" spans="33:33">
      <c r="AG1774" s="9"/>
    </row>
    <row r="1775" s="8" customFormat="1" spans="33:33">
      <c r="AG1775" s="9"/>
    </row>
    <row r="1776" s="8" customFormat="1" spans="33:33">
      <c r="AG1776" s="9"/>
    </row>
    <row r="1777" s="8" customFormat="1" spans="33:33">
      <c r="AG1777" s="9"/>
    </row>
    <row r="1778" s="8" customFormat="1" spans="33:33">
      <c r="AG1778" s="9"/>
    </row>
    <row r="1779" s="8" customFormat="1" spans="33:33">
      <c r="AG1779" s="9"/>
    </row>
    <row r="1780" s="8" customFormat="1" spans="33:33">
      <c r="AG1780" s="9"/>
    </row>
    <row r="1781" s="8" customFormat="1" spans="33:33">
      <c r="AG1781" s="9"/>
    </row>
    <row r="1782" s="8" customFormat="1" spans="33:33">
      <c r="AG1782" s="9"/>
    </row>
    <row r="1783" s="8" customFormat="1" spans="33:33">
      <c r="AG1783" s="9"/>
    </row>
    <row r="1784" s="8" customFormat="1" spans="33:33">
      <c r="AG1784" s="9"/>
    </row>
    <row r="1785" s="8" customFormat="1" spans="33:33">
      <c r="AG1785" s="9"/>
    </row>
    <row r="1786" s="8" customFormat="1" spans="33:33">
      <c r="AG1786" s="9"/>
    </row>
    <row r="1787" s="8" customFormat="1" spans="33:33">
      <c r="AG1787" s="9"/>
    </row>
    <row r="1788" s="8" customFormat="1" spans="33:33">
      <c r="AG1788" s="9"/>
    </row>
    <row r="1789" s="8" customFormat="1" spans="33:33">
      <c r="AG1789" s="9"/>
    </row>
    <row r="1790" s="8" customFormat="1" spans="33:33">
      <c r="AG1790" s="9"/>
    </row>
    <row r="1791" s="8" customFormat="1" spans="33:33">
      <c r="AG1791" s="9"/>
    </row>
    <row r="1792" s="8" customFormat="1" spans="33:33">
      <c r="AG1792" s="9"/>
    </row>
    <row r="1793" s="8" customFormat="1" spans="33:33">
      <c r="AG1793" s="9"/>
    </row>
    <row r="1794" s="8" customFormat="1" spans="33:33">
      <c r="AG1794" s="9"/>
    </row>
    <row r="1795" s="8" customFormat="1" spans="33:33">
      <c r="AG1795" s="9"/>
    </row>
    <row r="1796" s="8" customFormat="1" spans="33:33">
      <c r="AG1796" s="9"/>
    </row>
    <row r="1797" s="8" customFormat="1" spans="33:33">
      <c r="AG1797" s="9"/>
    </row>
    <row r="1798" s="8" customFormat="1" spans="33:33">
      <c r="AG1798" s="9"/>
    </row>
    <row r="1799" s="8" customFormat="1" spans="33:33">
      <c r="AG1799" s="9"/>
    </row>
    <row r="1800" s="8" customFormat="1" spans="33:33">
      <c r="AG1800" s="9"/>
    </row>
    <row r="1801" s="8" customFormat="1" spans="33:33">
      <c r="AG1801" s="9"/>
    </row>
    <row r="1802" s="8" customFormat="1" spans="33:33">
      <c r="AG1802" s="9"/>
    </row>
    <row r="1803" s="8" customFormat="1" spans="33:33">
      <c r="AG1803" s="9"/>
    </row>
    <row r="1804" s="8" customFormat="1" spans="33:33">
      <c r="AG1804" s="9"/>
    </row>
    <row r="1805" s="8" customFormat="1" spans="33:33">
      <c r="AG1805" s="9"/>
    </row>
    <row r="1806" s="8" customFormat="1" spans="33:33">
      <c r="AG1806" s="9"/>
    </row>
    <row r="1807" s="8" customFormat="1" spans="33:33">
      <c r="AG1807" s="9"/>
    </row>
    <row r="1808" s="8" customFormat="1" spans="33:33">
      <c r="AG1808" s="9"/>
    </row>
    <row r="1809" s="8" customFormat="1" spans="33:33">
      <c r="AG1809" s="9"/>
    </row>
    <row r="1810" s="8" customFormat="1" spans="33:33">
      <c r="AG1810" s="9"/>
    </row>
    <row r="1811" s="8" customFormat="1" spans="33:33">
      <c r="AG1811" s="9"/>
    </row>
    <row r="1812" s="8" customFormat="1" spans="33:33">
      <c r="AG1812" s="9"/>
    </row>
    <row r="1813" s="8" customFormat="1" spans="33:33">
      <c r="AG1813" s="9"/>
    </row>
    <row r="1814" s="8" customFormat="1" spans="33:33">
      <c r="AG1814" s="9"/>
    </row>
    <row r="1815" s="8" customFormat="1" spans="33:33">
      <c r="AG1815" s="9"/>
    </row>
    <row r="1816" s="8" customFormat="1" spans="33:33">
      <c r="AG1816" s="9"/>
    </row>
    <row r="1817" s="8" customFormat="1" spans="33:33">
      <c r="AG1817" s="9"/>
    </row>
    <row r="1818" s="8" customFormat="1" spans="33:33">
      <c r="AG1818" s="9"/>
    </row>
    <row r="1819" s="8" customFormat="1" spans="33:33">
      <c r="AG1819" s="9"/>
    </row>
    <row r="1820" s="8" customFormat="1" spans="33:33">
      <c r="AG1820" s="9"/>
    </row>
    <row r="1821" s="8" customFormat="1" spans="33:33">
      <c r="AG1821" s="9"/>
    </row>
    <row r="1822" s="8" customFormat="1" spans="33:33">
      <c r="AG1822" s="9"/>
    </row>
    <row r="1823" s="8" customFormat="1" spans="33:33">
      <c r="AG1823" s="9"/>
    </row>
    <row r="1824" s="8" customFormat="1" spans="33:33">
      <c r="AG1824" s="9"/>
    </row>
    <row r="1825" s="8" customFormat="1" spans="33:33">
      <c r="AG1825" s="9"/>
    </row>
    <row r="1826" s="8" customFormat="1" spans="33:33">
      <c r="AG1826" s="9"/>
    </row>
    <row r="1827" s="8" customFormat="1" spans="33:33">
      <c r="AG1827" s="9"/>
    </row>
    <row r="1828" s="8" customFormat="1" spans="33:33">
      <c r="AG1828" s="9"/>
    </row>
    <row r="1829" s="8" customFormat="1" spans="33:33">
      <c r="AG1829" s="9"/>
    </row>
    <row r="1830" s="8" customFormat="1" spans="33:33">
      <c r="AG1830" s="9"/>
    </row>
    <row r="1831" s="8" customFormat="1" spans="33:33">
      <c r="AG1831" s="9"/>
    </row>
    <row r="1832" s="8" customFormat="1" spans="33:33">
      <c r="AG1832" s="9"/>
    </row>
    <row r="1833" s="8" customFormat="1" spans="33:33">
      <c r="AG1833" s="9"/>
    </row>
    <row r="1834" s="8" customFormat="1" spans="33:33">
      <c r="AG1834" s="9"/>
    </row>
    <row r="1835" s="8" customFormat="1" spans="33:33">
      <c r="AG1835" s="9"/>
    </row>
    <row r="1836" s="8" customFormat="1" spans="33:33">
      <c r="AG1836" s="9"/>
    </row>
    <row r="1837" s="8" customFormat="1" spans="33:33">
      <c r="AG1837" s="9"/>
    </row>
    <row r="1838" s="8" customFormat="1" spans="33:33">
      <c r="AG1838" s="9"/>
    </row>
    <row r="1839" s="8" customFormat="1" spans="33:33">
      <c r="AG1839" s="9"/>
    </row>
    <row r="1840" s="8" customFormat="1" spans="33:33">
      <c r="AG1840" s="9"/>
    </row>
    <row r="1841" s="8" customFormat="1" spans="33:33">
      <c r="AG1841" s="9"/>
    </row>
    <row r="1842" s="8" customFormat="1" spans="33:33">
      <c r="AG1842" s="9"/>
    </row>
    <row r="1843" s="8" customFormat="1" spans="33:33">
      <c r="AG1843" s="9"/>
    </row>
    <row r="1844" s="8" customFormat="1" spans="33:33">
      <c r="AG1844" s="9"/>
    </row>
    <row r="1845" s="8" customFormat="1" spans="33:33">
      <c r="AG1845" s="9"/>
    </row>
    <row r="1846" s="8" customFormat="1" spans="33:33">
      <c r="AG1846" s="9"/>
    </row>
    <row r="1847" s="8" customFormat="1" spans="33:33">
      <c r="AG1847" s="9"/>
    </row>
    <row r="1848" s="8" customFormat="1" spans="33:33">
      <c r="AG1848" s="9"/>
    </row>
    <row r="1849" s="8" customFormat="1" spans="33:33">
      <c r="AG1849" s="9"/>
    </row>
    <row r="1850" s="8" customFormat="1" spans="33:33">
      <c r="AG1850" s="9"/>
    </row>
    <row r="1851" s="8" customFormat="1" spans="33:33">
      <c r="AG1851" s="9"/>
    </row>
    <row r="1852" s="8" customFormat="1" spans="33:33">
      <c r="AG1852" s="9"/>
    </row>
    <row r="1853" s="8" customFormat="1" spans="33:33">
      <c r="AG1853" s="9"/>
    </row>
    <row r="1854" s="8" customFormat="1" spans="33:33">
      <c r="AG1854" s="9"/>
    </row>
    <row r="1855" s="8" customFormat="1" spans="33:33">
      <c r="AG1855" s="9"/>
    </row>
    <row r="1856" s="8" customFormat="1" spans="33:33">
      <c r="AG1856" s="9"/>
    </row>
    <row r="1857" s="8" customFormat="1" spans="33:33">
      <c r="AG1857" s="9"/>
    </row>
    <row r="1858" s="8" customFormat="1" spans="33:33">
      <c r="AG1858" s="9"/>
    </row>
    <row r="1859" s="8" customFormat="1" spans="33:33">
      <c r="AG1859" s="9"/>
    </row>
    <row r="1860" s="8" customFormat="1" spans="33:33">
      <c r="AG1860" s="9"/>
    </row>
    <row r="1861" s="8" customFormat="1" spans="33:33">
      <c r="AG1861" s="9"/>
    </row>
    <row r="1862" s="8" customFormat="1" spans="33:33">
      <c r="AG1862" s="9"/>
    </row>
    <row r="1863" s="8" customFormat="1" spans="33:33">
      <c r="AG1863" s="9"/>
    </row>
    <row r="1864" s="8" customFormat="1" spans="33:33">
      <c r="AG1864" s="9"/>
    </row>
    <row r="1865" s="8" customFormat="1" spans="33:33">
      <c r="AG1865" s="9"/>
    </row>
    <row r="1866" s="8" customFormat="1" spans="33:33">
      <c r="AG1866" s="9"/>
    </row>
    <row r="1867" s="8" customFormat="1" spans="33:33">
      <c r="AG1867" s="9"/>
    </row>
    <row r="1868" s="8" customFormat="1" spans="33:33">
      <c r="AG1868" s="9"/>
    </row>
    <row r="1869" s="8" customFormat="1" spans="33:33">
      <c r="AG1869" s="9"/>
    </row>
    <row r="1870" s="8" customFormat="1" spans="33:33">
      <c r="AG1870" s="9"/>
    </row>
    <row r="1871" s="8" customFormat="1" spans="33:33">
      <c r="AG1871" s="9"/>
    </row>
    <row r="1872" s="8" customFormat="1" spans="33:33">
      <c r="AG1872" s="9"/>
    </row>
    <row r="1873" s="8" customFormat="1" spans="33:33">
      <c r="AG1873" s="9"/>
    </row>
    <row r="1874" s="8" customFormat="1" spans="33:33">
      <c r="AG1874" s="9"/>
    </row>
    <row r="1875" s="8" customFormat="1" spans="33:33">
      <c r="AG1875" s="9"/>
    </row>
    <row r="1876" s="8" customFormat="1" spans="33:33">
      <c r="AG1876" s="9"/>
    </row>
    <row r="1877" s="8" customFormat="1" spans="33:33">
      <c r="AG1877" s="9"/>
    </row>
    <row r="1878" s="8" customFormat="1" spans="33:33">
      <c r="AG1878" s="9"/>
    </row>
    <row r="1879" s="8" customFormat="1" spans="33:33">
      <c r="AG1879" s="9"/>
    </row>
    <row r="1880" s="8" customFormat="1" spans="33:33">
      <c r="AG1880" s="9"/>
    </row>
    <row r="1881" s="8" customFormat="1" spans="33:33">
      <c r="AG1881" s="9"/>
    </row>
    <row r="1882" s="8" customFormat="1" spans="33:33">
      <c r="AG1882" s="9"/>
    </row>
    <row r="1883" s="8" customFormat="1" spans="33:33">
      <c r="AG1883" s="9"/>
    </row>
    <row r="1884" s="8" customFormat="1" spans="33:33">
      <c r="AG1884" s="9"/>
    </row>
    <row r="1885" s="8" customFormat="1" spans="33:33">
      <c r="AG1885" s="9"/>
    </row>
    <row r="1886" s="8" customFormat="1" spans="33:33">
      <c r="AG1886" s="9"/>
    </row>
    <row r="1887" s="8" customFormat="1" spans="33:33">
      <c r="AG1887" s="9"/>
    </row>
    <row r="1888" s="8" customFormat="1" spans="33:33">
      <c r="AG1888" s="9"/>
    </row>
    <row r="1889" s="8" customFormat="1" spans="33:33">
      <c r="AG1889" s="9"/>
    </row>
    <row r="1890" s="8" customFormat="1" spans="33:33">
      <c r="AG1890" s="9"/>
    </row>
    <row r="1891" s="8" customFormat="1" spans="33:33">
      <c r="AG1891" s="9"/>
    </row>
    <row r="1892" s="8" customFormat="1" spans="33:33">
      <c r="AG1892" s="9"/>
    </row>
    <row r="1893" s="8" customFormat="1" spans="33:33">
      <c r="AG1893" s="9"/>
    </row>
    <row r="1894" s="8" customFormat="1" spans="33:33">
      <c r="AG1894" s="9"/>
    </row>
    <row r="1895" s="8" customFormat="1" spans="33:33">
      <c r="AG1895" s="9"/>
    </row>
    <row r="1896" s="8" customFormat="1" spans="33:33">
      <c r="AG1896" s="9"/>
    </row>
    <row r="1897" s="8" customFormat="1" spans="33:33">
      <c r="AG1897" s="9"/>
    </row>
    <row r="1898" s="8" customFormat="1" spans="33:33">
      <c r="AG1898" s="9"/>
    </row>
    <row r="1899" s="8" customFormat="1" spans="33:33">
      <c r="AG1899" s="9"/>
    </row>
    <row r="1900" s="8" customFormat="1" spans="33:33">
      <c r="AG1900" s="9"/>
    </row>
    <row r="1901" s="8" customFormat="1" spans="33:33">
      <c r="AG1901" s="9"/>
    </row>
    <row r="1902" s="8" customFormat="1" spans="33:33">
      <c r="AG1902" s="9"/>
    </row>
    <row r="1903" s="8" customFormat="1" spans="33:33">
      <c r="AG1903" s="9"/>
    </row>
    <row r="1904" s="8" customFormat="1" spans="33:33">
      <c r="AG1904" s="9"/>
    </row>
    <row r="1905" s="8" customFormat="1" spans="33:33">
      <c r="AG1905" s="9"/>
    </row>
    <row r="1906" s="8" customFormat="1" spans="33:33">
      <c r="AG1906" s="9"/>
    </row>
    <row r="1907" s="8" customFormat="1" spans="33:33">
      <c r="AG1907" s="9"/>
    </row>
    <row r="1908" s="8" customFormat="1" spans="33:33">
      <c r="AG1908" s="9"/>
    </row>
    <row r="1909" s="8" customFormat="1" spans="33:33">
      <c r="AG1909" s="9"/>
    </row>
    <row r="1910" s="8" customFormat="1" spans="33:33">
      <c r="AG1910" s="9"/>
    </row>
    <row r="1911" s="8" customFormat="1" spans="33:33">
      <c r="AG1911" s="9"/>
    </row>
    <row r="1912" s="8" customFormat="1" spans="33:33">
      <c r="AG1912" s="9"/>
    </row>
    <row r="1913" s="8" customFormat="1" spans="33:33">
      <c r="AG1913" s="9"/>
    </row>
    <row r="1914" s="8" customFormat="1" spans="33:33">
      <c r="AG1914" s="9"/>
    </row>
    <row r="1915" s="8" customFormat="1" spans="33:33">
      <c r="AG1915" s="9"/>
    </row>
    <row r="1916" s="8" customFormat="1" spans="33:33">
      <c r="AG1916" s="9"/>
    </row>
    <row r="1917" s="8" customFormat="1" spans="33:33">
      <c r="AG1917" s="9"/>
    </row>
    <row r="1918" s="8" customFormat="1" spans="33:33">
      <c r="AG1918" s="9"/>
    </row>
    <row r="1919" s="8" customFormat="1" spans="33:33">
      <c r="AG1919" s="9"/>
    </row>
    <row r="1920" s="8" customFormat="1" spans="33:33">
      <c r="AG1920" s="9"/>
    </row>
    <row r="1921" s="8" customFormat="1" spans="33:33">
      <c r="AG1921" s="9"/>
    </row>
    <row r="1922" s="8" customFormat="1" spans="33:33">
      <c r="AG1922" s="9"/>
    </row>
    <row r="1923" s="8" customFormat="1" spans="33:33">
      <c r="AG1923" s="9"/>
    </row>
    <row r="1924" s="8" customFormat="1" spans="33:33">
      <c r="AG1924" s="9"/>
    </row>
    <row r="1925" s="8" customFormat="1" spans="33:33">
      <c r="AG1925" s="9"/>
    </row>
    <row r="1926" s="8" customFormat="1" spans="33:33">
      <c r="AG1926" s="9"/>
    </row>
    <row r="1927" s="8" customFormat="1" spans="33:33">
      <c r="AG1927" s="9"/>
    </row>
    <row r="1928" s="8" customFormat="1" spans="33:33">
      <c r="AG1928" s="9"/>
    </row>
    <row r="1929" s="8" customFormat="1" spans="33:33">
      <c r="AG1929" s="9"/>
    </row>
    <row r="1930" s="8" customFormat="1" spans="33:33">
      <c r="AG1930" s="9"/>
    </row>
    <row r="1931" s="8" customFormat="1" spans="33:33">
      <c r="AG1931" s="9"/>
    </row>
    <row r="1932" s="8" customFormat="1" spans="33:33">
      <c r="AG1932" s="9"/>
    </row>
    <row r="1933" s="8" customFormat="1" spans="33:33">
      <c r="AG1933" s="9"/>
    </row>
    <row r="1934" s="8" customFormat="1" spans="33:33">
      <c r="AG1934" s="9"/>
    </row>
    <row r="1935" s="8" customFormat="1" spans="33:33">
      <c r="AG1935" s="9"/>
    </row>
    <row r="1936" s="8" customFormat="1" spans="33:33">
      <c r="AG1936" s="9"/>
    </row>
    <row r="1937" s="8" customFormat="1" spans="33:33">
      <c r="AG1937" s="9"/>
    </row>
    <row r="1938" s="8" customFormat="1" spans="33:33">
      <c r="AG1938" s="9"/>
    </row>
    <row r="1939" s="8" customFormat="1" spans="33:33">
      <c r="AG1939" s="9"/>
    </row>
    <row r="1940" s="8" customFormat="1" spans="33:33">
      <c r="AG1940" s="9"/>
    </row>
    <row r="1941" s="8" customFormat="1" spans="33:33">
      <c r="AG1941" s="9"/>
    </row>
    <row r="1942" s="8" customFormat="1" spans="33:33">
      <c r="AG1942" s="9"/>
    </row>
    <row r="1943" s="8" customFormat="1" spans="33:33">
      <c r="AG1943" s="9"/>
    </row>
    <row r="1944" s="8" customFormat="1" spans="33:33">
      <c r="AG1944" s="9"/>
    </row>
    <row r="1945" s="8" customFormat="1" spans="33:33">
      <c r="AG1945" s="9"/>
    </row>
    <row r="1946" s="8" customFormat="1" spans="33:33">
      <c r="AG1946" s="9"/>
    </row>
    <row r="1947" s="8" customFormat="1" spans="33:33">
      <c r="AG1947" s="9"/>
    </row>
    <row r="1948" s="8" customFormat="1" spans="33:33">
      <c r="AG1948" s="9"/>
    </row>
    <row r="1949" s="8" customFormat="1" spans="33:33">
      <c r="AG1949" s="9"/>
    </row>
    <row r="1950" s="8" customFormat="1" spans="33:33">
      <c r="AG1950" s="9"/>
    </row>
    <row r="1951" s="8" customFormat="1" spans="33:33">
      <c r="AG1951" s="9"/>
    </row>
    <row r="1952" s="8" customFormat="1" spans="33:33">
      <c r="AG1952" s="9"/>
    </row>
    <row r="1953" s="8" customFormat="1" spans="33:33">
      <c r="AG1953" s="9"/>
    </row>
    <row r="1954" s="8" customFormat="1" spans="33:33">
      <c r="AG1954" s="9"/>
    </row>
    <row r="1955" s="8" customFormat="1" spans="33:33">
      <c r="AG1955" s="9"/>
    </row>
    <row r="1956" s="8" customFormat="1" spans="33:33">
      <c r="AG1956" s="9"/>
    </row>
    <row r="1957" s="8" customFormat="1" spans="33:33">
      <c r="AG1957" s="9"/>
    </row>
    <row r="1958" s="8" customFormat="1" spans="33:33">
      <c r="AG1958" s="9"/>
    </row>
    <row r="1959" s="8" customFormat="1" spans="33:33">
      <c r="AG1959" s="9"/>
    </row>
    <row r="1960" s="8" customFormat="1" spans="33:33">
      <c r="AG1960" s="9"/>
    </row>
    <row r="1961" s="8" customFormat="1" spans="33:33">
      <c r="AG1961" s="9"/>
    </row>
    <row r="1962" s="8" customFormat="1" spans="33:33">
      <c r="AG1962" s="9"/>
    </row>
    <row r="1963" s="8" customFormat="1" spans="33:33">
      <c r="AG1963" s="9"/>
    </row>
    <row r="1964" s="8" customFormat="1" spans="33:33">
      <c r="AG1964" s="9"/>
    </row>
    <row r="1965" s="8" customFormat="1" spans="33:33">
      <c r="AG1965" s="9"/>
    </row>
    <row r="1966" s="8" customFormat="1" spans="33:33">
      <c r="AG1966" s="9"/>
    </row>
    <row r="1967" s="8" customFormat="1" spans="33:33">
      <c r="AG1967" s="9"/>
    </row>
    <row r="1968" s="8" customFormat="1" spans="33:33">
      <c r="AG1968" s="9"/>
    </row>
    <row r="1969" s="8" customFormat="1" spans="33:33">
      <c r="AG1969" s="9"/>
    </row>
    <row r="1970" s="8" customFormat="1" spans="33:33">
      <c r="AG1970" s="9"/>
    </row>
    <row r="1971" s="8" customFormat="1" spans="33:33">
      <c r="AG1971" s="9"/>
    </row>
    <row r="1972" s="8" customFormat="1" spans="33:33">
      <c r="AG1972" s="9"/>
    </row>
    <row r="1973" s="8" customFormat="1" spans="33:33">
      <c r="AG1973" s="9"/>
    </row>
    <row r="1974" s="8" customFormat="1" spans="33:33">
      <c r="AG1974" s="9"/>
    </row>
    <row r="1975" s="8" customFormat="1" spans="33:33">
      <c r="AG1975" s="9"/>
    </row>
    <row r="1976" s="8" customFormat="1" spans="33:33">
      <c r="AG1976" s="9"/>
    </row>
    <row r="1977" s="8" customFormat="1" spans="33:33">
      <c r="AG1977" s="9"/>
    </row>
    <row r="1978" s="8" customFormat="1" spans="33:33">
      <c r="AG1978" s="9"/>
    </row>
    <row r="1979" s="8" customFormat="1" spans="33:33">
      <c r="AG1979" s="9"/>
    </row>
    <row r="1980" s="8" customFormat="1" spans="33:33">
      <c r="AG1980" s="9"/>
    </row>
    <row r="1981" s="8" customFormat="1" spans="33:33">
      <c r="AG1981" s="9"/>
    </row>
    <row r="1982" s="8" customFormat="1" spans="33:33">
      <c r="AG1982" s="9"/>
    </row>
    <row r="1983" s="8" customFormat="1" spans="33:33">
      <c r="AG1983" s="9"/>
    </row>
    <row r="1984" s="8" customFormat="1" spans="33:33">
      <c r="AG1984" s="9"/>
    </row>
    <row r="1985" s="8" customFormat="1" spans="33:33">
      <c r="AG1985" s="9"/>
    </row>
    <row r="1986" s="8" customFormat="1" spans="33:33">
      <c r="AG1986" s="9"/>
    </row>
    <row r="1987" s="8" customFormat="1" spans="33:33">
      <c r="AG1987" s="9"/>
    </row>
    <row r="1988" s="8" customFormat="1" spans="33:33">
      <c r="AG1988" s="9"/>
    </row>
    <row r="1989" s="8" customFormat="1" spans="33:33">
      <c r="AG1989" s="9"/>
    </row>
    <row r="1990" s="8" customFormat="1" spans="33:33">
      <c r="AG1990" s="9"/>
    </row>
    <row r="1991" s="8" customFormat="1" spans="33:33">
      <c r="AG1991" s="9"/>
    </row>
    <row r="1992" s="8" customFormat="1" spans="33:33">
      <c r="AG1992" s="9"/>
    </row>
    <row r="1993" s="8" customFormat="1" spans="33:33">
      <c r="AG1993" s="9"/>
    </row>
    <row r="1994" s="8" customFormat="1" spans="33:33">
      <c r="AG1994" s="9"/>
    </row>
    <row r="1995" s="8" customFormat="1" spans="33:33">
      <c r="AG1995" s="9"/>
    </row>
    <row r="1996" s="8" customFormat="1" spans="33:33">
      <c r="AG1996" s="9"/>
    </row>
    <row r="1997" s="8" customFormat="1" spans="33:33">
      <c r="AG1997" s="9"/>
    </row>
    <row r="1998" s="8" customFormat="1" spans="33:33">
      <c r="AG1998" s="9"/>
    </row>
    <row r="1999" s="8" customFormat="1" spans="33:33">
      <c r="AG1999" s="9"/>
    </row>
    <row r="2000" s="8" customFormat="1" spans="33:33">
      <c r="AG2000" s="9"/>
    </row>
    <row r="2001" s="8" customFormat="1" spans="33:33">
      <c r="AG2001" s="9"/>
    </row>
    <row r="2002" s="8" customFormat="1" spans="33:33">
      <c r="AG2002" s="9"/>
    </row>
    <row r="2003" s="8" customFormat="1" spans="33:33">
      <c r="AG2003" s="9"/>
    </row>
    <row r="2004" s="8" customFormat="1" spans="33:33">
      <c r="AG2004" s="9"/>
    </row>
    <row r="2005" s="8" customFormat="1" spans="33:33">
      <c r="AG2005" s="9"/>
    </row>
    <row r="2006" s="8" customFormat="1" spans="33:33">
      <c r="AG2006" s="9"/>
    </row>
    <row r="2007" s="8" customFormat="1" spans="33:33">
      <c r="AG2007" s="9"/>
    </row>
    <row r="2008" s="8" customFormat="1" spans="33:33">
      <c r="AG2008" s="9"/>
    </row>
    <row r="2009" s="8" customFormat="1" spans="33:33">
      <c r="AG2009" s="9"/>
    </row>
    <row r="2010" s="8" customFormat="1" spans="33:33">
      <c r="AG2010" s="9"/>
    </row>
    <row r="2011" s="8" customFormat="1" spans="33:33">
      <c r="AG2011" s="9"/>
    </row>
    <row r="2012" s="8" customFormat="1" spans="33:33">
      <c r="AG2012" s="9"/>
    </row>
    <row r="2013" s="8" customFormat="1" spans="33:33">
      <c r="AG2013" s="9"/>
    </row>
    <row r="2014" s="8" customFormat="1" spans="33:33">
      <c r="AG2014" s="9"/>
    </row>
    <row r="2015" s="8" customFormat="1" spans="33:33">
      <c r="AG2015" s="9"/>
    </row>
    <row r="2016" s="8" customFormat="1" spans="33:33">
      <c r="AG2016" s="9"/>
    </row>
    <row r="2017" s="8" customFormat="1" spans="33:33">
      <c r="AG2017" s="9"/>
    </row>
    <row r="2018" s="8" customFormat="1" spans="33:33">
      <c r="AG2018" s="9"/>
    </row>
    <row r="2019" s="8" customFormat="1" spans="33:33">
      <c r="AG2019" s="9"/>
    </row>
    <row r="2020" s="8" customFormat="1" spans="33:33">
      <c r="AG2020" s="9"/>
    </row>
    <row r="2021" s="8" customFormat="1" spans="33:33">
      <c r="AG2021" s="9"/>
    </row>
    <row r="2022" s="8" customFormat="1" spans="33:33">
      <c r="AG2022" s="9"/>
    </row>
    <row r="2023" s="8" customFormat="1" spans="33:33">
      <c r="AG2023" s="9"/>
    </row>
    <row r="2024" s="8" customFormat="1" spans="33:33">
      <c r="AG2024" s="9"/>
    </row>
    <row r="2025" s="8" customFormat="1" spans="33:33">
      <c r="AG2025" s="9"/>
    </row>
    <row r="2026" s="8" customFormat="1" spans="33:33">
      <c r="AG2026" s="9"/>
    </row>
    <row r="2027" s="8" customFormat="1" spans="33:33">
      <c r="AG2027" s="9"/>
    </row>
    <row r="2028" s="8" customFormat="1" spans="33:33">
      <c r="AG2028" s="9"/>
    </row>
    <row r="2029" s="8" customFormat="1" spans="33:33">
      <c r="AG2029" s="9"/>
    </row>
    <row r="2030" s="8" customFormat="1" spans="33:33">
      <c r="AG2030" s="9"/>
    </row>
    <row r="2031" s="8" customFormat="1" spans="33:33">
      <c r="AG2031" s="9"/>
    </row>
    <row r="2032" s="8" customFormat="1" spans="33:33">
      <c r="AG2032" s="9"/>
    </row>
    <row r="2033" s="8" customFormat="1" spans="33:33">
      <c r="AG2033" s="9"/>
    </row>
    <row r="2034" s="8" customFormat="1" spans="33:33">
      <c r="AG2034" s="9"/>
    </row>
    <row r="2035" s="8" customFormat="1" spans="33:33">
      <c r="AG2035" s="9"/>
    </row>
    <row r="2036" s="8" customFormat="1" spans="33:33">
      <c r="AG2036" s="9"/>
    </row>
    <row r="2037" s="8" customFormat="1" spans="33:33">
      <c r="AG2037" s="9"/>
    </row>
    <row r="2038" s="8" customFormat="1" spans="33:33">
      <c r="AG2038" s="9"/>
    </row>
    <row r="2039" s="8" customFormat="1" spans="33:33">
      <c r="AG2039" s="9"/>
    </row>
    <row r="2040" s="8" customFormat="1" spans="33:33">
      <c r="AG2040" s="9"/>
    </row>
    <row r="2041" s="8" customFormat="1" spans="33:33">
      <c r="AG2041" s="9"/>
    </row>
    <row r="2042" s="8" customFormat="1" spans="33:33">
      <c r="AG2042" s="9"/>
    </row>
    <row r="2043" s="8" customFormat="1" spans="33:33">
      <c r="AG2043" s="9"/>
    </row>
    <row r="2044" s="8" customFormat="1" spans="33:33">
      <c r="AG2044" s="9"/>
    </row>
    <row r="2045" s="8" customFormat="1" spans="33:33">
      <c r="AG2045" s="9"/>
    </row>
    <row r="2046" s="8" customFormat="1" spans="33:33">
      <c r="AG2046" s="9"/>
    </row>
    <row r="2047" s="8" customFormat="1" spans="33:33">
      <c r="AG2047" s="9"/>
    </row>
    <row r="2048" s="8" customFormat="1" spans="33:33">
      <c r="AG2048" s="9"/>
    </row>
    <row r="2049" s="8" customFormat="1" spans="33:33">
      <c r="AG2049" s="9"/>
    </row>
    <row r="2050" s="8" customFormat="1" spans="33:33">
      <c r="AG2050" s="9"/>
    </row>
    <row r="2051" s="8" customFormat="1" spans="33:33">
      <c r="AG2051" s="9"/>
    </row>
    <row r="2052" s="8" customFormat="1" spans="33:33">
      <c r="AG2052" s="9"/>
    </row>
    <row r="2053" s="8" customFormat="1" spans="33:33">
      <c r="AG2053" s="9"/>
    </row>
    <row r="2054" s="8" customFormat="1" spans="33:33">
      <c r="AG2054" s="9"/>
    </row>
    <row r="2055" s="8" customFormat="1" spans="33:33">
      <c r="AG2055" s="9"/>
    </row>
    <row r="2056" s="8" customFormat="1" spans="33:33">
      <c r="AG2056" s="9"/>
    </row>
    <row r="2057" s="8" customFormat="1" spans="33:33">
      <c r="AG2057" s="9"/>
    </row>
    <row r="2058" s="8" customFormat="1" spans="33:33">
      <c r="AG2058" s="9"/>
    </row>
    <row r="2059" s="8" customFormat="1" spans="33:33">
      <c r="AG2059" s="9"/>
    </row>
    <row r="2060" s="8" customFormat="1" spans="33:33">
      <c r="AG2060" s="9"/>
    </row>
    <row r="2061" s="8" customFormat="1" spans="33:33">
      <c r="AG2061" s="9"/>
    </row>
    <row r="2062" s="8" customFormat="1" spans="33:33">
      <c r="AG2062" s="9"/>
    </row>
    <row r="2063" s="8" customFormat="1" spans="33:33">
      <c r="AG2063" s="9"/>
    </row>
    <row r="2064" s="8" customFormat="1" spans="33:33">
      <c r="AG2064" s="9"/>
    </row>
    <row r="2065" s="8" customFormat="1" spans="33:33">
      <c r="AG2065" s="9"/>
    </row>
    <row r="2066" s="8" customFormat="1" spans="33:33">
      <c r="AG2066" s="9"/>
    </row>
    <row r="2067" s="8" customFormat="1" spans="33:33">
      <c r="AG2067" s="9"/>
    </row>
    <row r="2068" s="8" customFormat="1" spans="33:33">
      <c r="AG2068" s="9"/>
    </row>
    <row r="2069" s="8" customFormat="1" spans="33:33">
      <c r="AG2069" s="9"/>
    </row>
    <row r="2070" s="8" customFormat="1" spans="33:33">
      <c r="AG2070" s="9"/>
    </row>
    <row r="2071" s="8" customFormat="1" spans="33:33">
      <c r="AG2071" s="9"/>
    </row>
    <row r="2072" s="8" customFormat="1" spans="33:33">
      <c r="AG2072" s="9"/>
    </row>
    <row r="2073" s="8" customFormat="1" spans="33:33">
      <c r="AG2073" s="9"/>
    </row>
    <row r="2074" s="8" customFormat="1" spans="33:33">
      <c r="AG2074" s="9"/>
    </row>
    <row r="2075" s="8" customFormat="1" spans="33:33">
      <c r="AG2075" s="9"/>
    </row>
    <row r="2076" s="8" customFormat="1" spans="33:33">
      <c r="AG2076" s="9"/>
    </row>
    <row r="2077" s="8" customFormat="1" spans="33:33">
      <c r="AG2077" s="9"/>
    </row>
    <row r="2078" s="8" customFormat="1" spans="33:33">
      <c r="AG2078" s="9"/>
    </row>
    <row r="2079" s="8" customFormat="1" spans="33:33">
      <c r="AG2079" s="9"/>
    </row>
    <row r="2080" s="8" customFormat="1" spans="33:33">
      <c r="AG2080" s="9"/>
    </row>
    <row r="2081" s="8" customFormat="1" spans="33:33">
      <c r="AG2081" s="9"/>
    </row>
    <row r="2082" s="8" customFormat="1" spans="33:33">
      <c r="AG2082" s="9"/>
    </row>
    <row r="2083" s="8" customFormat="1" spans="33:33">
      <c r="AG2083" s="9"/>
    </row>
    <row r="2084" s="8" customFormat="1" spans="33:33">
      <c r="AG2084" s="9"/>
    </row>
    <row r="2085" s="8" customFormat="1" spans="33:33">
      <c r="AG2085" s="9"/>
    </row>
    <row r="2086" s="8" customFormat="1" spans="33:33">
      <c r="AG2086" s="9"/>
    </row>
    <row r="2087" s="8" customFormat="1" spans="33:33">
      <c r="AG2087" s="9"/>
    </row>
    <row r="2088" s="8" customFormat="1" spans="33:33">
      <c r="AG2088" s="9"/>
    </row>
    <row r="2089" s="8" customFormat="1" spans="33:33">
      <c r="AG2089" s="9"/>
    </row>
    <row r="2090" s="8" customFormat="1" spans="33:33">
      <c r="AG2090" s="9"/>
    </row>
    <row r="2091" s="8" customFormat="1" spans="33:33">
      <c r="AG2091" s="9"/>
    </row>
    <row r="2092" s="8" customFormat="1" spans="33:33">
      <c r="AG2092" s="9"/>
    </row>
    <row r="2093" s="8" customFormat="1" spans="33:33">
      <c r="AG2093" s="9"/>
    </row>
    <row r="2094" s="8" customFormat="1" spans="33:33">
      <c r="AG2094" s="9"/>
    </row>
    <row r="2095" s="8" customFormat="1" spans="33:33">
      <c r="AG2095" s="9"/>
    </row>
    <row r="2096" s="8" customFormat="1" spans="33:33">
      <c r="AG2096" s="9"/>
    </row>
    <row r="2097" s="8" customFormat="1" spans="33:33">
      <c r="AG2097" s="9"/>
    </row>
    <row r="2098" s="8" customFormat="1" spans="33:33">
      <c r="AG2098" s="9"/>
    </row>
    <row r="2099" s="8" customFormat="1" spans="33:33">
      <c r="AG2099" s="9"/>
    </row>
    <row r="2100" s="8" customFormat="1" spans="33:33">
      <c r="AG2100" s="9"/>
    </row>
    <row r="2101" s="8" customFormat="1" spans="33:33">
      <c r="AG2101" s="9"/>
    </row>
    <row r="2102" s="8" customFormat="1" spans="33:33">
      <c r="AG2102" s="9"/>
    </row>
    <row r="2103" s="8" customFormat="1" spans="33:33">
      <c r="AG2103" s="9"/>
    </row>
    <row r="2104" s="8" customFormat="1" spans="33:33">
      <c r="AG2104" s="9"/>
    </row>
    <row r="2105" s="8" customFormat="1" spans="33:33">
      <c r="AG2105" s="9"/>
    </row>
    <row r="2106" s="8" customFormat="1" spans="33:33">
      <c r="AG2106" s="9"/>
    </row>
    <row r="2107" s="8" customFormat="1" spans="33:33">
      <c r="AG2107" s="9"/>
    </row>
    <row r="2108" s="8" customFormat="1" spans="33:33">
      <c r="AG2108" s="9"/>
    </row>
    <row r="2109" s="8" customFormat="1" spans="33:33">
      <c r="AG2109" s="9"/>
    </row>
    <row r="2110" s="8" customFormat="1" spans="33:33">
      <c r="AG2110" s="9"/>
    </row>
    <row r="2111" s="8" customFormat="1" spans="33:33">
      <c r="AG2111" s="9"/>
    </row>
    <row r="2112" s="8" customFormat="1" spans="33:33">
      <c r="AG2112" s="9"/>
    </row>
    <row r="2113" s="8" customFormat="1" spans="33:33">
      <c r="AG2113" s="9"/>
    </row>
    <row r="2114" s="8" customFormat="1" spans="33:33">
      <c r="AG2114" s="9"/>
    </row>
    <row r="2115" s="8" customFormat="1" spans="33:33">
      <c r="AG2115" s="9"/>
    </row>
    <row r="2116" s="8" customFormat="1" spans="33:33">
      <c r="AG2116" s="9"/>
    </row>
    <row r="2117" s="8" customFormat="1" spans="33:33">
      <c r="AG2117" s="9"/>
    </row>
    <row r="2118" s="8" customFormat="1" spans="33:33">
      <c r="AG2118" s="9"/>
    </row>
    <row r="2119" s="8" customFormat="1" spans="33:33">
      <c r="AG2119" s="9"/>
    </row>
    <row r="2120" s="8" customFormat="1" spans="33:33">
      <c r="AG2120" s="9"/>
    </row>
    <row r="2121" s="8" customFormat="1" spans="33:33">
      <c r="AG2121" s="9"/>
    </row>
    <row r="2122" s="8" customFormat="1" spans="33:33">
      <c r="AG2122" s="9"/>
    </row>
    <row r="2123" s="8" customFormat="1" spans="33:33">
      <c r="AG2123" s="9"/>
    </row>
    <row r="2124" s="8" customFormat="1" spans="33:33">
      <c r="AG2124" s="9"/>
    </row>
    <row r="2125" s="8" customFormat="1" spans="33:33">
      <c r="AG2125" s="9"/>
    </row>
    <row r="2126" s="8" customFormat="1" spans="33:33">
      <c r="AG2126" s="9"/>
    </row>
    <row r="2127" s="8" customFormat="1" spans="33:33">
      <c r="AG2127" s="9"/>
    </row>
    <row r="2128" s="8" customFormat="1" spans="33:33">
      <c r="AG2128" s="9"/>
    </row>
    <row r="2129" s="8" customFormat="1" spans="33:33">
      <c r="AG2129" s="9"/>
    </row>
    <row r="2130" s="8" customFormat="1" spans="33:33">
      <c r="AG2130" s="9"/>
    </row>
    <row r="2131" s="8" customFormat="1" spans="33:33">
      <c r="AG2131" s="9"/>
    </row>
    <row r="2132" s="8" customFormat="1" spans="33:33">
      <c r="AG2132" s="9"/>
    </row>
    <row r="2133" s="8" customFormat="1" spans="33:33">
      <c r="AG2133" s="9"/>
    </row>
    <row r="2134" s="8" customFormat="1" spans="33:33">
      <c r="AG2134" s="9"/>
    </row>
    <row r="2135" s="8" customFormat="1" spans="33:33">
      <c r="AG2135" s="9"/>
    </row>
    <row r="2136" s="8" customFormat="1" spans="33:33">
      <c r="AG2136" s="9"/>
    </row>
    <row r="2137" s="8" customFormat="1" spans="33:33">
      <c r="AG2137" s="9"/>
    </row>
    <row r="2138" s="8" customFormat="1" spans="33:33">
      <c r="AG2138" s="9"/>
    </row>
    <row r="2139" s="8" customFormat="1" spans="33:33">
      <c r="AG2139" s="9"/>
    </row>
    <row r="2140" s="8" customFormat="1" spans="33:33">
      <c r="AG2140" s="9"/>
    </row>
    <row r="2141" s="8" customFormat="1" spans="33:33">
      <c r="AG2141" s="9"/>
    </row>
    <row r="2142" s="8" customFormat="1" spans="33:33">
      <c r="AG2142" s="9"/>
    </row>
    <row r="2143" s="8" customFormat="1" spans="33:33">
      <c r="AG2143" s="9"/>
    </row>
    <row r="2144" s="8" customFormat="1" spans="33:33">
      <c r="AG2144" s="9"/>
    </row>
    <row r="2145" s="8" customFormat="1" spans="33:33">
      <c r="AG2145" s="9"/>
    </row>
    <row r="2146" s="8" customFormat="1" spans="33:33">
      <c r="AG2146" s="9"/>
    </row>
    <row r="2147" s="8" customFormat="1" spans="33:33">
      <c r="AG2147" s="9"/>
    </row>
    <row r="2148" s="8" customFormat="1" spans="33:33">
      <c r="AG2148" s="9"/>
    </row>
    <row r="2149" s="8" customFormat="1" spans="33:33">
      <c r="AG2149" s="9"/>
    </row>
    <row r="2150" s="8" customFormat="1" spans="33:33">
      <c r="AG2150" s="9"/>
    </row>
    <row r="2151" s="8" customFormat="1" spans="33:33">
      <c r="AG2151" s="9"/>
    </row>
    <row r="2152" s="8" customFormat="1" spans="33:33">
      <c r="AG2152" s="9"/>
    </row>
    <row r="2153" s="8" customFormat="1" spans="33:33">
      <c r="AG2153" s="9"/>
    </row>
    <row r="2154" s="8" customFormat="1" spans="33:33">
      <c r="AG2154" s="9"/>
    </row>
    <row r="2155" s="8" customFormat="1" spans="33:33">
      <c r="AG2155" s="9"/>
    </row>
    <row r="2156" s="8" customFormat="1" spans="33:33">
      <c r="AG2156" s="9"/>
    </row>
    <row r="2157" s="8" customFormat="1" spans="33:33">
      <c r="AG2157" s="9"/>
    </row>
    <row r="2158" s="8" customFormat="1" spans="33:33">
      <c r="AG2158" s="9"/>
    </row>
    <row r="2159" s="8" customFormat="1" spans="33:33">
      <c r="AG2159" s="9"/>
    </row>
    <row r="2160" s="8" customFormat="1" spans="33:33">
      <c r="AG2160" s="9"/>
    </row>
    <row r="2161" s="8" customFormat="1" spans="33:33">
      <c r="AG2161" s="9"/>
    </row>
    <row r="2162" s="8" customFormat="1" spans="33:33">
      <c r="AG2162" s="9"/>
    </row>
    <row r="2163" s="8" customFormat="1" spans="33:33">
      <c r="AG2163" s="9"/>
    </row>
    <row r="2164" s="8" customFormat="1" spans="33:33">
      <c r="AG2164" s="9"/>
    </row>
    <row r="2165" s="8" customFormat="1" spans="33:33">
      <c r="AG2165" s="9"/>
    </row>
    <row r="2166" s="8" customFormat="1" spans="33:33">
      <c r="AG2166" s="9"/>
    </row>
    <row r="2167" s="8" customFormat="1" spans="33:33">
      <c r="AG2167" s="9"/>
    </row>
    <row r="2168" s="8" customFormat="1" spans="33:33">
      <c r="AG2168" s="9"/>
    </row>
    <row r="2169" s="8" customFormat="1" spans="33:33">
      <c r="AG2169" s="9"/>
    </row>
    <row r="2170" s="8" customFormat="1" spans="33:33">
      <c r="AG2170" s="9"/>
    </row>
    <row r="2171" s="8" customFormat="1" spans="33:33">
      <c r="AG2171" s="9"/>
    </row>
    <row r="2172" s="8" customFormat="1" spans="33:33">
      <c r="AG2172" s="9"/>
    </row>
    <row r="2173" s="8" customFormat="1" spans="33:33">
      <c r="AG2173" s="9"/>
    </row>
    <row r="2174" s="8" customFormat="1" spans="33:33">
      <c r="AG2174" s="9"/>
    </row>
    <row r="2175" s="8" customFormat="1" spans="33:33">
      <c r="AG2175" s="9"/>
    </row>
    <row r="2176" s="8" customFormat="1" spans="33:33">
      <c r="AG2176" s="9"/>
    </row>
    <row r="2177" s="8" customFormat="1" spans="33:33">
      <c r="AG2177" s="9"/>
    </row>
    <row r="2178" s="8" customFormat="1" spans="33:33">
      <c r="AG2178" s="9"/>
    </row>
    <row r="2179" s="8" customFormat="1" spans="33:33">
      <c r="AG2179" s="9"/>
    </row>
    <row r="2180" s="8" customFormat="1" spans="33:33">
      <c r="AG2180" s="9"/>
    </row>
    <row r="2181" s="8" customFormat="1" spans="33:33">
      <c r="AG2181" s="9"/>
    </row>
    <row r="2182" s="8" customFormat="1" spans="33:33">
      <c r="AG2182" s="9"/>
    </row>
    <row r="2183" s="8" customFormat="1" spans="33:33">
      <c r="AG2183" s="9"/>
    </row>
    <row r="2184" s="8" customFormat="1" spans="33:33">
      <c r="AG2184" s="9"/>
    </row>
    <row r="2185" s="8" customFormat="1" spans="33:33">
      <c r="AG2185" s="9"/>
    </row>
    <row r="2186" s="8" customFormat="1" spans="33:33">
      <c r="AG2186" s="9"/>
    </row>
    <row r="2187" s="8" customFormat="1" spans="33:33">
      <c r="AG2187" s="9"/>
    </row>
    <row r="2188" s="8" customFormat="1" spans="33:33">
      <c r="AG2188" s="9"/>
    </row>
    <row r="2189" s="8" customFormat="1" spans="33:33">
      <c r="AG2189" s="9"/>
    </row>
    <row r="2190" s="8" customFormat="1" spans="33:33">
      <c r="AG2190" s="9"/>
    </row>
    <row r="2191" s="8" customFormat="1" spans="33:33">
      <c r="AG2191" s="9"/>
    </row>
    <row r="2192" s="8" customFormat="1" spans="33:33">
      <c r="AG2192" s="9"/>
    </row>
    <row r="2193" s="8" customFormat="1" spans="33:33">
      <c r="AG2193" s="9"/>
    </row>
    <row r="2194" s="8" customFormat="1" spans="33:33">
      <c r="AG2194" s="9"/>
    </row>
    <row r="2195" s="8" customFormat="1" spans="33:33">
      <c r="AG2195" s="9"/>
    </row>
    <row r="2196" s="8" customFormat="1" spans="33:33">
      <c r="AG2196" s="9"/>
    </row>
    <row r="2197" s="8" customFormat="1" spans="33:33">
      <c r="AG2197" s="9"/>
    </row>
    <row r="2198" s="8" customFormat="1" spans="33:33">
      <c r="AG2198" s="9"/>
    </row>
    <row r="2199" s="8" customFormat="1" spans="33:33">
      <c r="AG2199" s="9"/>
    </row>
    <row r="2200" s="8" customFormat="1" spans="33:33">
      <c r="AG2200" s="9"/>
    </row>
    <row r="2201" s="8" customFormat="1" spans="33:33">
      <c r="AG2201" s="9"/>
    </row>
    <row r="2202" s="8" customFormat="1" spans="33:33">
      <c r="AG2202" s="9"/>
    </row>
    <row r="2203" s="8" customFormat="1" spans="33:33">
      <c r="AG2203" s="9"/>
    </row>
    <row r="2204" s="8" customFormat="1" spans="33:33">
      <c r="AG2204" s="9"/>
    </row>
    <row r="2205" s="8" customFormat="1" spans="33:33">
      <c r="AG2205" s="9"/>
    </row>
    <row r="2206" s="8" customFormat="1" spans="33:33">
      <c r="AG2206" s="9"/>
    </row>
    <row r="2207" s="8" customFormat="1" spans="33:33">
      <c r="AG2207" s="9"/>
    </row>
    <row r="2208" s="8" customFormat="1" spans="33:33">
      <c r="AG2208" s="9"/>
    </row>
    <row r="2209" s="8" customFormat="1" spans="33:33">
      <c r="AG2209" s="9"/>
    </row>
    <row r="2210" s="8" customFormat="1" spans="33:33">
      <c r="AG2210" s="9"/>
    </row>
    <row r="2211" s="8" customFormat="1" spans="33:33">
      <c r="AG2211" s="9"/>
    </row>
    <row r="2212" s="8" customFormat="1" spans="33:33">
      <c r="AG2212" s="9"/>
    </row>
    <row r="2213" s="8" customFormat="1" spans="33:33">
      <c r="AG2213" s="9"/>
    </row>
    <row r="2214" s="8" customFormat="1" spans="33:33">
      <c r="AG2214" s="9"/>
    </row>
    <row r="2215" s="8" customFormat="1" spans="33:33">
      <c r="AG2215" s="9"/>
    </row>
    <row r="2216" s="8" customFormat="1" spans="33:33">
      <c r="AG2216" s="9"/>
    </row>
    <row r="2217" s="8" customFormat="1" spans="33:33">
      <c r="AG2217" s="9"/>
    </row>
    <row r="2218" s="8" customFormat="1" spans="33:33">
      <c r="AG2218" s="9"/>
    </row>
    <row r="2219" s="8" customFormat="1" spans="33:33">
      <c r="AG2219" s="9"/>
    </row>
    <row r="2220" s="8" customFormat="1" spans="33:33">
      <c r="AG2220" s="9"/>
    </row>
    <row r="2221" s="8" customFormat="1" spans="33:33">
      <c r="AG2221" s="9"/>
    </row>
    <row r="2222" s="8" customFormat="1" spans="33:33">
      <c r="AG2222" s="9"/>
    </row>
    <row r="2223" s="8" customFormat="1" spans="33:33">
      <c r="AG2223" s="9"/>
    </row>
    <row r="2224" s="8" customFormat="1" spans="33:33">
      <c r="AG2224" s="9"/>
    </row>
    <row r="2225" s="8" customFormat="1" spans="33:33">
      <c r="AG2225" s="9"/>
    </row>
    <row r="2226" s="8" customFormat="1" spans="33:33">
      <c r="AG2226" s="9"/>
    </row>
    <row r="2227" s="8" customFormat="1" spans="33:33">
      <c r="AG2227" s="9"/>
    </row>
    <row r="2228" s="8" customFormat="1" spans="33:33">
      <c r="AG2228" s="9"/>
    </row>
    <row r="2229" s="8" customFormat="1" spans="33:33">
      <c r="AG2229" s="9"/>
    </row>
    <row r="2230" s="8" customFormat="1" spans="33:33">
      <c r="AG2230" s="9"/>
    </row>
    <row r="2231" s="8" customFormat="1" spans="33:33">
      <c r="AG2231" s="9"/>
    </row>
    <row r="2232" s="8" customFormat="1" spans="33:33">
      <c r="AG2232" s="9"/>
    </row>
    <row r="2233" s="8" customFormat="1" spans="33:33">
      <c r="AG2233" s="9"/>
    </row>
    <row r="2234" s="8" customFormat="1" spans="33:33">
      <c r="AG2234" s="9"/>
    </row>
    <row r="2235" s="8" customFormat="1" spans="33:33">
      <c r="AG2235" s="9"/>
    </row>
    <row r="2236" s="8" customFormat="1" spans="33:33">
      <c r="AG2236" s="9"/>
    </row>
    <row r="2237" s="8" customFormat="1" spans="33:33">
      <c r="AG2237" s="9"/>
    </row>
    <row r="2238" s="8" customFormat="1" spans="33:33">
      <c r="AG2238" s="9"/>
    </row>
    <row r="2239" s="8" customFormat="1" spans="33:33">
      <c r="AG2239" s="9"/>
    </row>
    <row r="2240" s="8" customFormat="1" spans="33:33">
      <c r="AG2240" s="9"/>
    </row>
    <row r="2241" s="8" customFormat="1" spans="33:33">
      <c r="AG2241" s="9"/>
    </row>
    <row r="2242" s="8" customFormat="1" spans="33:33">
      <c r="AG2242" s="9"/>
    </row>
    <row r="2243" s="8" customFormat="1" spans="33:33">
      <c r="AG2243" s="9"/>
    </row>
    <row r="2244" s="8" customFormat="1" spans="33:33">
      <c r="AG2244" s="9"/>
    </row>
    <row r="2245" s="8" customFormat="1" spans="33:33">
      <c r="AG2245" s="9"/>
    </row>
    <row r="2246" s="8" customFormat="1" spans="33:33">
      <c r="AG2246" s="9"/>
    </row>
    <row r="2247" s="8" customFormat="1" spans="33:33">
      <c r="AG2247" s="9"/>
    </row>
    <row r="2248" s="8" customFormat="1" spans="33:33">
      <c r="AG2248" s="9"/>
    </row>
    <row r="2249" s="8" customFormat="1" spans="33:33">
      <c r="AG2249" s="9"/>
    </row>
    <row r="2250" s="8" customFormat="1" spans="33:33">
      <c r="AG2250" s="9"/>
    </row>
    <row r="2251" s="8" customFormat="1" spans="33:33">
      <c r="AG2251" s="9"/>
    </row>
    <row r="2252" s="8" customFormat="1" spans="33:33">
      <c r="AG2252" s="9"/>
    </row>
    <row r="2253" s="8" customFormat="1" spans="33:33">
      <c r="AG2253" s="9"/>
    </row>
    <row r="2254" s="8" customFormat="1" spans="33:33">
      <c r="AG2254" s="9"/>
    </row>
    <row r="2255" s="8" customFormat="1" spans="33:33">
      <c r="AG2255" s="9"/>
    </row>
    <row r="2256" s="8" customFormat="1" spans="33:33">
      <c r="AG2256" s="9"/>
    </row>
    <row r="2257" s="8" customFormat="1" spans="33:33">
      <c r="AG2257" s="9"/>
    </row>
    <row r="2258" s="8" customFormat="1" spans="33:33">
      <c r="AG2258" s="9"/>
    </row>
    <row r="2259" s="8" customFormat="1" spans="33:33">
      <c r="AG2259" s="9"/>
    </row>
    <row r="2260" s="8" customFormat="1" spans="33:33">
      <c r="AG2260" s="9"/>
    </row>
    <row r="2261" s="8" customFormat="1" spans="33:33">
      <c r="AG2261" s="9"/>
    </row>
    <row r="2262" s="8" customFormat="1" spans="33:33">
      <c r="AG2262" s="9"/>
    </row>
    <row r="2263" s="8" customFormat="1" spans="33:33">
      <c r="AG2263" s="9"/>
    </row>
    <row r="2264" s="8" customFormat="1" spans="33:33">
      <c r="AG2264" s="9"/>
    </row>
    <row r="2265" s="8" customFormat="1" spans="33:33">
      <c r="AG2265" s="9"/>
    </row>
    <row r="2266" s="8" customFormat="1" spans="33:33">
      <c r="AG2266" s="9"/>
    </row>
    <row r="2267" s="8" customFormat="1" spans="33:33">
      <c r="AG2267" s="9"/>
    </row>
    <row r="2268" s="8" customFormat="1" spans="33:33">
      <c r="AG2268" s="9"/>
    </row>
    <row r="2269" s="8" customFormat="1" spans="33:33">
      <c r="AG2269" s="9"/>
    </row>
    <row r="2270" s="8" customFormat="1" spans="33:33">
      <c r="AG2270" s="9"/>
    </row>
    <row r="2271" s="8" customFormat="1" spans="33:33">
      <c r="AG2271" s="9"/>
    </row>
    <row r="2272" s="8" customFormat="1" spans="33:33">
      <c r="AG2272" s="9"/>
    </row>
    <row r="2273" s="8" customFormat="1" spans="33:33">
      <c r="AG2273" s="9"/>
    </row>
    <row r="2274" s="8" customFormat="1" spans="33:33">
      <c r="AG2274" s="9"/>
    </row>
    <row r="2275" s="8" customFormat="1" spans="33:33">
      <c r="AG2275" s="9"/>
    </row>
    <row r="2276" s="8" customFormat="1" spans="33:33">
      <c r="AG2276" s="9"/>
    </row>
    <row r="2277" s="8" customFormat="1" spans="33:33">
      <c r="AG2277" s="9"/>
    </row>
    <row r="2278" s="8" customFormat="1" spans="33:33">
      <c r="AG2278" s="9"/>
    </row>
    <row r="2279" s="8" customFormat="1" spans="33:33">
      <c r="AG2279" s="9"/>
    </row>
    <row r="2280" s="8" customFormat="1" spans="33:33">
      <c r="AG2280" s="9"/>
    </row>
    <row r="2281" s="8" customFormat="1" spans="33:33">
      <c r="AG2281" s="9"/>
    </row>
    <row r="2282" s="8" customFormat="1" spans="33:33">
      <c r="AG2282" s="9"/>
    </row>
    <row r="2283" s="8" customFormat="1" spans="33:33">
      <c r="AG2283" s="9"/>
    </row>
    <row r="2284" s="8" customFormat="1" spans="33:33">
      <c r="AG2284" s="9"/>
    </row>
    <row r="2285" s="8" customFormat="1" spans="33:33">
      <c r="AG2285" s="9"/>
    </row>
    <row r="2286" s="8" customFormat="1" spans="33:33">
      <c r="AG2286" s="9"/>
    </row>
    <row r="2287" s="8" customFormat="1" spans="33:33">
      <c r="AG2287" s="9"/>
    </row>
    <row r="2288" s="8" customFormat="1" spans="33:33">
      <c r="AG2288" s="9"/>
    </row>
    <row r="2289" s="8" customFormat="1" spans="33:33">
      <c r="AG2289" s="9"/>
    </row>
    <row r="2290" s="8" customFormat="1" spans="33:33">
      <c r="AG2290" s="9"/>
    </row>
    <row r="2291" s="8" customFormat="1" spans="33:33">
      <c r="AG2291" s="9"/>
    </row>
    <row r="2292" s="8" customFormat="1" spans="33:33">
      <c r="AG2292" s="9"/>
    </row>
    <row r="2293" s="8" customFormat="1" spans="33:33">
      <c r="AG2293" s="9"/>
    </row>
    <row r="2294" s="8" customFormat="1" spans="33:33">
      <c r="AG2294" s="9"/>
    </row>
    <row r="2295" s="8" customFormat="1" spans="33:33">
      <c r="AG2295" s="9"/>
    </row>
    <row r="2296" s="8" customFormat="1" spans="33:33">
      <c r="AG2296" s="9"/>
    </row>
    <row r="2297" s="8" customFormat="1" spans="33:33">
      <c r="AG2297" s="9"/>
    </row>
    <row r="2298" s="8" customFormat="1" spans="33:33">
      <c r="AG2298" s="9"/>
    </row>
    <row r="2299" s="8" customFormat="1" spans="33:33">
      <c r="AG2299" s="9"/>
    </row>
    <row r="2300" s="8" customFormat="1" spans="33:33">
      <c r="AG2300" s="9"/>
    </row>
    <row r="2301" s="8" customFormat="1" spans="33:33">
      <c r="AG2301" s="9"/>
    </row>
    <row r="2302" s="8" customFormat="1" spans="33:33">
      <c r="AG2302" s="9"/>
    </row>
    <row r="2303" s="8" customFormat="1" spans="33:33">
      <c r="AG2303" s="9"/>
    </row>
    <row r="2304" s="8" customFormat="1" spans="33:33">
      <c r="AG2304" s="9"/>
    </row>
    <row r="2305" s="8" customFormat="1" spans="33:33">
      <c r="AG2305" s="9"/>
    </row>
    <row r="2306" s="8" customFormat="1" spans="33:33">
      <c r="AG2306" s="9"/>
    </row>
    <row r="2307" s="8" customFormat="1" spans="33:33">
      <c r="AG2307" s="9"/>
    </row>
    <row r="2308" s="8" customFormat="1" spans="33:33">
      <c r="AG2308" s="9"/>
    </row>
    <row r="2309" s="8" customFormat="1" spans="33:33">
      <c r="AG2309" s="9"/>
    </row>
    <row r="2310" s="8" customFormat="1" spans="33:33">
      <c r="AG2310" s="9"/>
    </row>
    <row r="2311" s="8" customFormat="1" spans="33:33">
      <c r="AG2311" s="9"/>
    </row>
    <row r="2312" s="8" customFormat="1" spans="33:33">
      <c r="AG2312" s="9"/>
    </row>
    <row r="2313" s="8" customFormat="1" spans="33:33">
      <c r="AG2313" s="9"/>
    </row>
    <row r="2314" s="8" customFormat="1" spans="33:33">
      <c r="AG2314" s="9"/>
    </row>
    <row r="2315" s="8" customFormat="1" spans="33:33">
      <c r="AG2315" s="9"/>
    </row>
    <row r="2316" s="8" customFormat="1" spans="33:33">
      <c r="AG2316" s="9"/>
    </row>
    <row r="2317" s="8" customFormat="1" spans="33:33">
      <c r="AG2317" s="9"/>
    </row>
    <row r="2318" s="8" customFormat="1" spans="33:33">
      <c r="AG2318" s="9"/>
    </row>
    <row r="2319" s="8" customFormat="1" spans="33:33">
      <c r="AG2319" s="9"/>
    </row>
    <row r="2320" s="8" customFormat="1" spans="33:33">
      <c r="AG2320" s="9"/>
    </row>
    <row r="2321" s="8" customFormat="1" spans="33:33">
      <c r="AG2321" s="9"/>
    </row>
    <row r="2322" s="8" customFormat="1" spans="33:33">
      <c r="AG2322" s="9"/>
    </row>
    <row r="2323" s="8" customFormat="1" spans="33:33">
      <c r="AG2323" s="9"/>
    </row>
    <row r="2324" s="8" customFormat="1" spans="33:33">
      <c r="AG2324" s="9"/>
    </row>
    <row r="2325" s="8" customFormat="1" spans="33:33">
      <c r="AG2325" s="9"/>
    </row>
    <row r="2326" s="8" customFormat="1" spans="33:33">
      <c r="AG2326" s="9"/>
    </row>
    <row r="2327" s="8" customFormat="1" spans="33:33">
      <c r="AG2327" s="9"/>
    </row>
    <row r="2328" s="8" customFormat="1" spans="33:33">
      <c r="AG2328" s="9"/>
    </row>
    <row r="2329" s="8" customFormat="1" spans="33:33">
      <c r="AG2329" s="9"/>
    </row>
    <row r="2330" s="8" customFormat="1" spans="33:33">
      <c r="AG2330" s="9"/>
    </row>
    <row r="2331" s="8" customFormat="1" spans="33:33">
      <c r="AG2331" s="9"/>
    </row>
    <row r="2332" s="8" customFormat="1" spans="33:33">
      <c r="AG2332" s="9"/>
    </row>
    <row r="2333" s="8" customFormat="1" spans="33:33">
      <c r="AG2333" s="9"/>
    </row>
    <row r="2334" s="8" customFormat="1" spans="33:33">
      <c r="AG2334" s="9"/>
    </row>
    <row r="2335" s="8" customFormat="1" spans="33:33">
      <c r="AG2335" s="9"/>
    </row>
    <row r="2336" s="8" customFormat="1" spans="33:33">
      <c r="AG2336" s="9"/>
    </row>
    <row r="2337" s="8" customFormat="1" spans="33:33">
      <c r="AG2337" s="9"/>
    </row>
    <row r="2338" s="8" customFormat="1" spans="33:33">
      <c r="AG2338" s="9"/>
    </row>
    <row r="2339" s="8" customFormat="1" spans="33:33">
      <c r="AG2339" s="9"/>
    </row>
    <row r="2340" s="8" customFormat="1" spans="33:33">
      <c r="AG2340" s="9"/>
    </row>
    <row r="2341" s="8" customFormat="1" spans="33:33">
      <c r="AG2341" s="9"/>
    </row>
    <row r="2342" s="8" customFormat="1" spans="33:33">
      <c r="AG2342" s="9"/>
    </row>
    <row r="2343" s="8" customFormat="1" spans="33:33">
      <c r="AG2343" s="9"/>
    </row>
    <row r="2344" s="8" customFormat="1" spans="33:33">
      <c r="AG2344" s="9"/>
    </row>
    <row r="2345" s="8" customFormat="1" spans="33:33">
      <c r="AG2345" s="9"/>
    </row>
    <row r="2346" s="8" customFormat="1" spans="33:33">
      <c r="AG2346" s="9"/>
    </row>
    <row r="2347" s="8" customFormat="1" spans="33:33">
      <c r="AG2347" s="9"/>
    </row>
    <row r="2348" s="8" customFormat="1" spans="33:33">
      <c r="AG2348" s="9"/>
    </row>
    <row r="2349" s="8" customFormat="1" spans="33:33">
      <c r="AG2349" s="9"/>
    </row>
    <row r="2350" s="8" customFormat="1" spans="33:33">
      <c r="AG2350" s="9"/>
    </row>
    <row r="2351" s="8" customFormat="1" spans="33:33">
      <c r="AG2351" s="9"/>
    </row>
    <row r="2352" s="8" customFormat="1" spans="33:33">
      <c r="AG2352" s="9"/>
    </row>
    <row r="2353" s="8" customFormat="1" spans="33:33">
      <c r="AG2353" s="9"/>
    </row>
    <row r="2354" s="8" customFormat="1" spans="33:33">
      <c r="AG2354" s="9"/>
    </row>
    <row r="2355" s="8" customFormat="1" spans="33:33">
      <c r="AG2355" s="9"/>
    </row>
    <row r="2356" s="8" customFormat="1" spans="33:33">
      <c r="AG2356" s="9"/>
    </row>
    <row r="2357" s="8" customFormat="1" spans="33:33">
      <c r="AG2357" s="9"/>
    </row>
    <row r="2358" s="8" customFormat="1" spans="33:33">
      <c r="AG2358" s="9"/>
    </row>
    <row r="2359" s="8" customFormat="1" spans="33:33">
      <c r="AG2359" s="9"/>
    </row>
    <row r="2360" s="8" customFormat="1" spans="33:33">
      <c r="AG2360" s="9"/>
    </row>
    <row r="2361" s="8" customFormat="1" spans="33:33">
      <c r="AG2361" s="9"/>
    </row>
    <row r="2362" s="8" customFormat="1" spans="33:33">
      <c r="AG2362" s="9"/>
    </row>
    <row r="2363" s="8" customFormat="1" spans="33:33">
      <c r="AG2363" s="9"/>
    </row>
    <row r="2364" s="8" customFormat="1" spans="33:33">
      <c r="AG2364" s="9"/>
    </row>
    <row r="2365" s="8" customFormat="1" spans="33:33">
      <c r="AG2365" s="9"/>
    </row>
    <row r="2366" s="8" customFormat="1" spans="33:33">
      <c r="AG2366" s="9"/>
    </row>
    <row r="2367" s="8" customFormat="1" spans="33:33">
      <c r="AG2367" s="9"/>
    </row>
    <row r="2368" s="8" customFormat="1" spans="33:33">
      <c r="AG2368" s="9"/>
    </row>
    <row r="2369" s="8" customFormat="1" spans="33:33">
      <c r="AG2369" s="9"/>
    </row>
    <row r="2370" s="8" customFormat="1" spans="33:33">
      <c r="AG2370" s="9"/>
    </row>
    <row r="2371" s="8" customFormat="1" spans="33:33">
      <c r="AG2371" s="9"/>
    </row>
    <row r="2372" s="8" customFormat="1" spans="33:33">
      <c r="AG2372" s="9"/>
    </row>
    <row r="2373" s="8" customFormat="1" spans="33:33">
      <c r="AG2373" s="9"/>
    </row>
    <row r="2374" s="8" customFormat="1" spans="33:33">
      <c r="AG2374" s="9"/>
    </row>
    <row r="2375" s="8" customFormat="1" spans="33:33">
      <c r="AG2375" s="9"/>
    </row>
    <row r="2376" s="8" customFormat="1" spans="33:33">
      <c r="AG2376" s="9"/>
    </row>
    <row r="2377" s="8" customFormat="1" spans="33:33">
      <c r="AG2377" s="9"/>
    </row>
    <row r="2378" s="8" customFormat="1" spans="33:33">
      <c r="AG2378" s="9"/>
    </row>
    <row r="2379" s="8" customFormat="1" spans="33:33">
      <c r="AG2379" s="9"/>
    </row>
    <row r="2380" s="8" customFormat="1" spans="33:33">
      <c r="AG2380" s="9"/>
    </row>
    <row r="2381" s="8" customFormat="1" spans="33:33">
      <c r="AG2381" s="9"/>
    </row>
    <row r="2382" s="8" customFormat="1" spans="33:33">
      <c r="AG2382" s="9"/>
    </row>
    <row r="2383" s="8" customFormat="1" spans="33:33">
      <c r="AG2383" s="9"/>
    </row>
    <row r="2384" s="8" customFormat="1" spans="33:33">
      <c r="AG2384" s="9"/>
    </row>
    <row r="2385" s="8" customFormat="1" spans="33:33">
      <c r="AG2385" s="9"/>
    </row>
    <row r="2386" s="8" customFormat="1" spans="33:33">
      <c r="AG2386" s="9"/>
    </row>
    <row r="2387" s="8" customFormat="1" spans="33:33">
      <c r="AG2387" s="9"/>
    </row>
    <row r="2388" s="8" customFormat="1" spans="33:33">
      <c r="AG2388" s="9"/>
    </row>
    <row r="2389" s="8" customFormat="1" spans="33:33">
      <c r="AG2389" s="9"/>
    </row>
    <row r="2390" s="8" customFormat="1" spans="33:33">
      <c r="AG2390" s="9"/>
    </row>
    <row r="2391" s="8" customFormat="1" spans="33:33">
      <c r="AG2391" s="9"/>
    </row>
    <row r="2392" s="8" customFormat="1" spans="33:33">
      <c r="AG2392" s="9"/>
    </row>
    <row r="2393" s="8" customFormat="1" spans="33:33">
      <c r="AG2393" s="9"/>
    </row>
    <row r="2394" s="8" customFormat="1" spans="33:33">
      <c r="AG2394" s="9"/>
    </row>
    <row r="2395" s="8" customFormat="1" spans="33:33">
      <c r="AG2395" s="9"/>
    </row>
    <row r="2396" s="8" customFormat="1" spans="33:33">
      <c r="AG2396" s="9"/>
    </row>
    <row r="2397" s="8" customFormat="1" spans="33:33">
      <c r="AG2397" s="9"/>
    </row>
    <row r="2398" s="8" customFormat="1" spans="33:33">
      <c r="AG2398" s="9"/>
    </row>
    <row r="2399" s="8" customFormat="1" spans="33:33">
      <c r="AG2399" s="9"/>
    </row>
    <row r="2400" s="8" customFormat="1" spans="33:33">
      <c r="AG2400" s="9"/>
    </row>
    <row r="2401" s="8" customFormat="1" spans="33:33">
      <c r="AG2401" s="9"/>
    </row>
    <row r="2402" s="8" customFormat="1" spans="33:33">
      <c r="AG2402" s="9"/>
    </row>
    <row r="2403" s="8" customFormat="1" spans="33:33">
      <c r="AG2403" s="9"/>
    </row>
    <row r="2404" s="8" customFormat="1" spans="33:33">
      <c r="AG2404" s="9"/>
    </row>
    <row r="2405" s="8" customFormat="1" spans="33:33">
      <c r="AG2405" s="9"/>
    </row>
    <row r="2406" s="8" customFormat="1" spans="33:33">
      <c r="AG2406" s="9"/>
    </row>
    <row r="2407" s="8" customFormat="1" spans="33:33">
      <c r="AG2407" s="9"/>
    </row>
    <row r="2408" s="8" customFormat="1" spans="33:33">
      <c r="AG2408" s="9"/>
    </row>
    <row r="2409" s="8" customFormat="1" spans="33:33">
      <c r="AG2409" s="9"/>
    </row>
    <row r="2410" s="8" customFormat="1" spans="33:33">
      <c r="AG2410" s="9"/>
    </row>
    <row r="2411" s="8" customFormat="1" spans="33:33">
      <c r="AG2411" s="9"/>
    </row>
    <row r="2412" s="8" customFormat="1" spans="33:33">
      <c r="AG2412" s="9"/>
    </row>
    <row r="2413" s="8" customFormat="1" spans="33:33">
      <c r="AG2413" s="9"/>
    </row>
    <row r="2414" s="8" customFormat="1" spans="33:33">
      <c r="AG2414" s="9"/>
    </row>
    <row r="2415" s="8" customFormat="1" spans="33:33">
      <c r="AG2415" s="9"/>
    </row>
    <row r="2416" s="8" customFormat="1" spans="33:33">
      <c r="AG2416" s="9"/>
    </row>
    <row r="2417" s="8" customFormat="1" spans="33:33">
      <c r="AG2417" s="9"/>
    </row>
    <row r="2418" s="8" customFormat="1" spans="33:33">
      <c r="AG2418" s="9"/>
    </row>
    <row r="2419" s="8" customFormat="1" spans="33:33">
      <c r="AG2419" s="9"/>
    </row>
    <row r="2420" s="8" customFormat="1" spans="33:33">
      <c r="AG2420" s="9"/>
    </row>
    <row r="2421" s="8" customFormat="1" spans="33:33">
      <c r="AG2421" s="9"/>
    </row>
    <row r="2422" s="8" customFormat="1" spans="33:33">
      <c r="AG2422" s="9"/>
    </row>
    <row r="2423" s="8" customFormat="1" spans="33:33">
      <c r="AG2423" s="9"/>
    </row>
    <row r="2424" s="8" customFormat="1" spans="33:33">
      <c r="AG2424" s="9"/>
    </row>
    <row r="2425" s="8" customFormat="1" spans="33:33">
      <c r="AG2425" s="9"/>
    </row>
    <row r="2426" s="8" customFormat="1" spans="33:33">
      <c r="AG2426" s="9"/>
    </row>
    <row r="2427" s="8" customFormat="1" spans="33:33">
      <c r="AG2427" s="9"/>
    </row>
    <row r="2428" s="8" customFormat="1" spans="33:33">
      <c r="AG2428" s="9"/>
    </row>
    <row r="2429" s="8" customFormat="1" spans="33:33">
      <c r="AG2429" s="9"/>
    </row>
    <row r="2430" s="8" customFormat="1" spans="33:33">
      <c r="AG2430" s="9"/>
    </row>
    <row r="2431" s="8" customFormat="1" spans="33:33">
      <c r="AG2431" s="9"/>
    </row>
    <row r="2432" s="8" customFormat="1" spans="33:33">
      <c r="AG2432" s="9"/>
    </row>
    <row r="2433" s="8" customFormat="1" spans="33:33">
      <c r="AG2433" s="9"/>
    </row>
    <row r="2434" s="8" customFormat="1" spans="33:33">
      <c r="AG2434" s="9"/>
    </row>
    <row r="2435" s="8" customFormat="1" spans="33:33">
      <c r="AG2435" s="9"/>
    </row>
    <row r="2436" s="8" customFormat="1" spans="33:33">
      <c r="AG2436" s="9"/>
    </row>
    <row r="2437" s="8" customFormat="1" spans="33:33">
      <c r="AG2437" s="9"/>
    </row>
    <row r="2438" s="8" customFormat="1" spans="33:33">
      <c r="AG2438" s="9"/>
    </row>
    <row r="2439" s="8" customFormat="1" spans="33:33">
      <c r="AG2439" s="9"/>
    </row>
    <row r="2440" s="8" customFormat="1" spans="33:33">
      <c r="AG2440" s="9"/>
    </row>
    <row r="2441" s="8" customFormat="1" spans="33:33">
      <c r="AG2441" s="9"/>
    </row>
    <row r="2442" s="8" customFormat="1" spans="33:33">
      <c r="AG2442" s="9"/>
    </row>
    <row r="2443" s="8" customFormat="1" spans="33:33">
      <c r="AG2443" s="9"/>
    </row>
    <row r="2444" s="8" customFormat="1" spans="33:33">
      <c r="AG2444" s="9"/>
    </row>
    <row r="2445" s="8" customFormat="1" spans="33:33">
      <c r="AG2445" s="9"/>
    </row>
    <row r="2446" s="8" customFormat="1" spans="33:33">
      <c r="AG2446" s="9"/>
    </row>
    <row r="2447" s="8" customFormat="1" spans="33:33">
      <c r="AG2447" s="9"/>
    </row>
    <row r="2448" s="8" customFormat="1" spans="33:33">
      <c r="AG2448" s="9"/>
    </row>
    <row r="2449" s="8" customFormat="1" spans="33:33">
      <c r="AG2449" s="9"/>
    </row>
    <row r="2450" s="8" customFormat="1" spans="33:33">
      <c r="AG2450" s="9"/>
    </row>
    <row r="2451" s="8" customFormat="1" spans="33:33">
      <c r="AG2451" s="9"/>
    </row>
    <row r="2452" s="8" customFormat="1" spans="33:33">
      <c r="AG2452" s="9"/>
    </row>
    <row r="2453" s="8" customFormat="1" spans="33:33">
      <c r="AG2453" s="9"/>
    </row>
    <row r="2454" s="8" customFormat="1" spans="33:33">
      <c r="AG2454" s="9"/>
    </row>
    <row r="2455" s="8" customFormat="1" spans="33:33">
      <c r="AG2455" s="9"/>
    </row>
    <row r="2456" s="8" customFormat="1" spans="33:33">
      <c r="AG2456" s="9"/>
    </row>
    <row r="2457" s="8" customFormat="1" spans="33:33">
      <c r="AG2457" s="9"/>
    </row>
    <row r="2458" s="8" customFormat="1" spans="33:33">
      <c r="AG2458" s="9"/>
    </row>
    <row r="2459" s="8" customFormat="1" spans="33:33">
      <c r="AG2459" s="9"/>
    </row>
    <row r="2460" s="8" customFormat="1" spans="33:33">
      <c r="AG2460" s="9"/>
    </row>
    <row r="2461" s="8" customFormat="1" spans="33:33">
      <c r="AG2461" s="9"/>
    </row>
    <row r="2462" s="8" customFormat="1" spans="33:33">
      <c r="AG2462" s="9"/>
    </row>
    <row r="2463" s="8" customFormat="1" spans="33:33">
      <c r="AG2463" s="9"/>
    </row>
    <row r="2464" s="8" customFormat="1" spans="33:33">
      <c r="AG2464" s="9"/>
    </row>
    <row r="2465" s="8" customFormat="1" spans="33:33">
      <c r="AG2465" s="9"/>
    </row>
    <row r="2466" s="8" customFormat="1" spans="33:33">
      <c r="AG2466" s="9"/>
    </row>
    <row r="2467" s="8" customFormat="1" spans="33:33">
      <c r="AG2467" s="9"/>
    </row>
    <row r="2468" s="8" customFormat="1" spans="33:33">
      <c r="AG2468" s="9"/>
    </row>
    <row r="2469" s="8" customFormat="1" spans="33:33">
      <c r="AG2469" s="9"/>
    </row>
    <row r="2470" s="8" customFormat="1" spans="33:33">
      <c r="AG2470" s="9"/>
    </row>
    <row r="2471" s="8" customFormat="1" spans="33:33">
      <c r="AG2471" s="9"/>
    </row>
    <row r="2472" s="8" customFormat="1" spans="33:33">
      <c r="AG2472" s="9"/>
    </row>
    <row r="2473" s="8" customFormat="1" spans="33:33">
      <c r="AG2473" s="9"/>
    </row>
    <row r="2474" s="8" customFormat="1" spans="33:33">
      <c r="AG2474" s="9"/>
    </row>
    <row r="2475" s="8" customFormat="1" spans="33:33">
      <c r="AG2475" s="9"/>
    </row>
    <row r="2476" s="8" customFormat="1" spans="33:33">
      <c r="AG2476" s="9"/>
    </row>
    <row r="2477" s="8" customFormat="1" spans="33:33">
      <c r="AG2477" s="9"/>
    </row>
    <row r="2478" s="8" customFormat="1" spans="33:33">
      <c r="AG2478" s="9"/>
    </row>
    <row r="2479" s="8" customFormat="1" spans="33:33">
      <c r="AG2479" s="9"/>
    </row>
    <row r="2480" s="8" customFormat="1" spans="33:33">
      <c r="AG2480" s="9"/>
    </row>
    <row r="2481" s="8" customFormat="1" spans="33:33">
      <c r="AG2481" s="9"/>
    </row>
    <row r="2482" s="8" customFormat="1" spans="33:33">
      <c r="AG2482" s="9"/>
    </row>
    <row r="2483" s="8" customFormat="1" spans="33:33">
      <c r="AG2483" s="9"/>
    </row>
    <row r="2484" s="8" customFormat="1" spans="33:33">
      <c r="AG2484" s="9"/>
    </row>
    <row r="2485" s="8" customFormat="1" spans="33:33">
      <c r="AG2485" s="9"/>
    </row>
    <row r="2486" s="8" customFormat="1" spans="33:33">
      <c r="AG2486" s="9"/>
    </row>
    <row r="2487" s="8" customFormat="1" spans="33:33">
      <c r="AG2487" s="9"/>
    </row>
    <row r="2488" s="8" customFormat="1" spans="33:33">
      <c r="AG2488" s="9"/>
    </row>
    <row r="2489" s="8" customFormat="1" spans="33:33">
      <c r="AG2489" s="9"/>
    </row>
    <row r="2490" s="8" customFormat="1" spans="33:33">
      <c r="AG2490" s="9"/>
    </row>
    <row r="2491" s="8" customFormat="1" spans="33:33">
      <c r="AG2491" s="9"/>
    </row>
    <row r="2492" s="8" customFormat="1" spans="33:33">
      <c r="AG2492" s="9"/>
    </row>
    <row r="2493" s="8" customFormat="1" spans="33:33">
      <c r="AG2493" s="9"/>
    </row>
    <row r="2494" s="8" customFormat="1" spans="33:33">
      <c r="AG2494" s="9"/>
    </row>
    <row r="2495" s="8" customFormat="1" spans="33:33">
      <c r="AG2495" s="9"/>
    </row>
    <row r="2496" s="8" customFormat="1" spans="33:33">
      <c r="AG2496" s="9"/>
    </row>
    <row r="2497" s="8" customFormat="1" spans="33:33">
      <c r="AG2497" s="9"/>
    </row>
    <row r="2498" s="8" customFormat="1" spans="33:33">
      <c r="AG2498" s="9"/>
    </row>
    <row r="2499" s="8" customFormat="1" spans="33:33">
      <c r="AG2499" s="9"/>
    </row>
    <row r="2500" s="8" customFormat="1" spans="33:33">
      <c r="AG2500" s="9"/>
    </row>
    <row r="2501" s="8" customFormat="1" spans="33:33">
      <c r="AG2501" s="9"/>
    </row>
    <row r="2502" s="8" customFormat="1" spans="33:33">
      <c r="AG2502" s="9"/>
    </row>
    <row r="2503" s="8" customFormat="1" spans="33:33">
      <c r="AG2503" s="9"/>
    </row>
    <row r="2504" s="8" customFormat="1" spans="33:33">
      <c r="AG2504" s="9"/>
    </row>
    <row r="2505" s="8" customFormat="1" spans="33:33">
      <c r="AG2505" s="9"/>
    </row>
    <row r="2506" s="8" customFormat="1" spans="33:33">
      <c r="AG2506" s="9"/>
    </row>
    <row r="2507" s="8" customFormat="1" spans="33:33">
      <c r="AG2507" s="9"/>
    </row>
    <row r="2508" s="8" customFormat="1" spans="33:33">
      <c r="AG2508" s="9"/>
    </row>
    <row r="2509" s="8" customFormat="1" spans="33:33">
      <c r="AG2509" s="9"/>
    </row>
    <row r="2510" s="8" customFormat="1" spans="33:33">
      <c r="AG2510" s="9"/>
    </row>
    <row r="2511" s="8" customFormat="1" spans="33:33">
      <c r="AG2511" s="9"/>
    </row>
    <row r="2512" s="8" customFormat="1" spans="33:33">
      <c r="AG2512" s="9"/>
    </row>
    <row r="2513" s="8" customFormat="1" spans="33:33">
      <c r="AG2513" s="9"/>
    </row>
    <row r="2514" s="8" customFormat="1" spans="33:33">
      <c r="AG2514" s="9"/>
    </row>
    <row r="2515" s="8" customFormat="1" spans="33:33">
      <c r="AG2515" s="9"/>
    </row>
    <row r="2516" s="8" customFormat="1" spans="33:33">
      <c r="AG2516" s="9"/>
    </row>
    <row r="2517" s="8" customFormat="1" spans="33:33">
      <c r="AG2517" s="9"/>
    </row>
    <row r="2518" s="8" customFormat="1" spans="33:33">
      <c r="AG2518" s="9"/>
    </row>
    <row r="2519" s="8" customFormat="1" spans="33:33">
      <c r="AG2519" s="9"/>
    </row>
    <row r="2520" s="8" customFormat="1" spans="33:33">
      <c r="AG2520" s="9"/>
    </row>
    <row r="2521" s="8" customFormat="1" spans="33:33">
      <c r="AG2521" s="9"/>
    </row>
    <row r="2522" s="8" customFormat="1" spans="33:33">
      <c r="AG2522" s="9"/>
    </row>
    <row r="2523" s="8" customFormat="1" spans="33:33">
      <c r="AG2523" s="9"/>
    </row>
    <row r="2524" s="8" customFormat="1" spans="33:33">
      <c r="AG2524" s="9"/>
    </row>
    <row r="2525" s="8" customFormat="1" spans="33:33">
      <c r="AG2525" s="9"/>
    </row>
    <row r="2526" s="8" customFormat="1" spans="33:33">
      <c r="AG2526" s="9"/>
    </row>
    <row r="2527" s="8" customFormat="1" spans="33:33">
      <c r="AG2527" s="9"/>
    </row>
    <row r="2528" s="8" customFormat="1" spans="33:33">
      <c r="AG2528" s="9"/>
    </row>
    <row r="2529" s="8" customFormat="1" spans="33:33">
      <c r="AG2529" s="9"/>
    </row>
    <row r="2530" s="8" customFormat="1" spans="33:33">
      <c r="AG2530" s="9"/>
    </row>
    <row r="2531" s="8" customFormat="1" spans="33:33">
      <c r="AG2531" s="9"/>
    </row>
    <row r="2532" s="8" customFormat="1" spans="33:33">
      <c r="AG2532" s="9"/>
    </row>
    <row r="2533" s="8" customFormat="1" spans="33:33">
      <c r="AG2533" s="9"/>
    </row>
    <row r="2534" s="8" customFormat="1" spans="33:33">
      <c r="AG2534" s="9"/>
    </row>
    <row r="2535" s="8" customFormat="1" spans="33:33">
      <c r="AG2535" s="9"/>
    </row>
    <row r="2536" s="8" customFormat="1" spans="33:33">
      <c r="AG2536" s="9"/>
    </row>
    <row r="2537" s="8" customFormat="1" spans="33:33">
      <c r="AG2537" s="9"/>
    </row>
    <row r="2538" s="8" customFormat="1" spans="33:33">
      <c r="AG2538" s="9"/>
    </row>
    <row r="2539" s="8" customFormat="1" spans="33:33">
      <c r="AG2539" s="9"/>
    </row>
    <row r="2540" s="8" customFormat="1" spans="33:33">
      <c r="AG2540" s="9"/>
    </row>
    <row r="2541" s="8" customFormat="1" spans="33:33">
      <c r="AG2541" s="9"/>
    </row>
    <row r="2542" s="8" customFormat="1" spans="33:33">
      <c r="AG2542" s="9"/>
    </row>
    <row r="2543" s="8" customFormat="1" spans="33:33">
      <c r="AG2543" s="9"/>
    </row>
    <row r="2544" s="8" customFormat="1" spans="33:33">
      <c r="AG2544" s="9"/>
    </row>
    <row r="2545" s="8" customFormat="1" spans="33:33">
      <c r="AG2545" s="9"/>
    </row>
    <row r="2546" s="8" customFormat="1" spans="33:33">
      <c r="AG2546" s="9"/>
    </row>
    <row r="2547" s="8" customFormat="1" spans="33:33">
      <c r="AG2547" s="9"/>
    </row>
    <row r="2548" s="8" customFormat="1" spans="33:33">
      <c r="AG2548" s="9"/>
    </row>
    <row r="2549" s="8" customFormat="1" spans="33:33">
      <c r="AG2549" s="9"/>
    </row>
    <row r="2550" s="8" customFormat="1" spans="33:33">
      <c r="AG2550" s="9"/>
    </row>
    <row r="2551" s="8" customFormat="1" spans="33:33">
      <c r="AG2551" s="9"/>
    </row>
    <row r="2552" s="8" customFormat="1" spans="33:33">
      <c r="AG2552" s="9"/>
    </row>
    <row r="2553" s="8" customFormat="1" spans="33:33">
      <c r="AG2553" s="9"/>
    </row>
    <row r="2554" s="8" customFormat="1" spans="33:33">
      <c r="AG2554" s="9"/>
    </row>
    <row r="2555" s="8" customFormat="1" spans="33:33">
      <c r="AG2555" s="9"/>
    </row>
    <row r="2556" s="8" customFormat="1" spans="33:33">
      <c r="AG2556" s="9"/>
    </row>
    <row r="2557" s="8" customFormat="1" spans="33:33">
      <c r="AG2557" s="9"/>
    </row>
    <row r="2558" s="8" customFormat="1" spans="33:33">
      <c r="AG2558" s="9"/>
    </row>
    <row r="2559" s="8" customFormat="1" spans="33:33">
      <c r="AG2559" s="9"/>
    </row>
    <row r="2560" s="8" customFormat="1" spans="33:33">
      <c r="AG2560" s="9"/>
    </row>
    <row r="2561" s="8" customFormat="1" spans="33:33">
      <c r="AG2561" s="9"/>
    </row>
    <row r="2562" s="8" customFormat="1" spans="33:33">
      <c r="AG2562" s="9"/>
    </row>
    <row r="2563" s="8" customFormat="1" spans="33:33">
      <c r="AG2563" s="9"/>
    </row>
    <row r="2564" s="8" customFormat="1" spans="33:33">
      <c r="AG2564" s="9"/>
    </row>
    <row r="2565" s="8" customFormat="1" spans="33:33">
      <c r="AG2565" s="9"/>
    </row>
    <row r="2566" s="8" customFormat="1" spans="33:33">
      <c r="AG2566" s="9"/>
    </row>
    <row r="2567" s="8" customFormat="1" spans="33:33">
      <c r="AG2567" s="9"/>
    </row>
    <row r="2568" s="8" customFormat="1" spans="33:33">
      <c r="AG2568" s="9"/>
    </row>
    <row r="2569" s="8" customFormat="1" spans="33:33">
      <c r="AG2569" s="9"/>
    </row>
    <row r="2570" s="8" customFormat="1" spans="33:33">
      <c r="AG2570" s="9"/>
    </row>
    <row r="2571" s="8" customFormat="1" spans="33:33">
      <c r="AG2571" s="9"/>
    </row>
    <row r="2572" s="8" customFormat="1" spans="33:33">
      <c r="AG2572" s="9"/>
    </row>
    <row r="2573" s="8" customFormat="1" spans="33:33">
      <c r="AG2573" s="9"/>
    </row>
    <row r="2574" s="8" customFormat="1" spans="33:33">
      <c r="AG2574" s="9"/>
    </row>
    <row r="2575" s="8" customFormat="1" spans="33:33">
      <c r="AG2575" s="9"/>
    </row>
    <row r="2576" s="8" customFormat="1" spans="33:33">
      <c r="AG2576" s="9"/>
    </row>
    <row r="2577" s="8" customFormat="1" spans="33:33">
      <c r="AG2577" s="9"/>
    </row>
    <row r="2578" s="8" customFormat="1" spans="33:33">
      <c r="AG2578" s="9"/>
    </row>
    <row r="2579" s="8" customFormat="1" spans="33:33">
      <c r="AG2579" s="9"/>
    </row>
    <row r="2580" s="8" customFormat="1" spans="33:33">
      <c r="AG2580" s="9"/>
    </row>
    <row r="2581" s="8" customFormat="1" spans="33:33">
      <c r="AG2581" s="9"/>
    </row>
    <row r="2582" s="8" customFormat="1" spans="33:33">
      <c r="AG2582" s="9"/>
    </row>
    <row r="2583" s="8" customFormat="1" spans="33:33">
      <c r="AG2583" s="9"/>
    </row>
    <row r="2584" s="8" customFormat="1" spans="33:33">
      <c r="AG2584" s="9"/>
    </row>
    <row r="2585" s="8" customFormat="1" spans="33:33">
      <c r="AG2585" s="9"/>
    </row>
    <row r="2586" s="8" customFormat="1" spans="33:33">
      <c r="AG2586" s="9"/>
    </row>
    <row r="2587" s="8" customFormat="1" spans="33:33">
      <c r="AG2587" s="9"/>
    </row>
    <row r="2588" s="8" customFormat="1" spans="33:33">
      <c r="AG2588" s="9"/>
    </row>
    <row r="2589" s="8" customFormat="1" spans="33:33">
      <c r="AG2589" s="9"/>
    </row>
    <row r="2590" s="8" customFormat="1" spans="33:33">
      <c r="AG2590" s="9"/>
    </row>
    <row r="2591" s="8" customFormat="1" spans="33:33">
      <c r="AG2591" s="9"/>
    </row>
    <row r="2592" s="8" customFormat="1" spans="33:33">
      <c r="AG2592" s="9"/>
    </row>
    <row r="2593" s="8" customFormat="1" spans="33:33">
      <c r="AG2593" s="9"/>
    </row>
    <row r="2594" s="8" customFormat="1" spans="33:33">
      <c r="AG2594" s="9"/>
    </row>
    <row r="2595" s="8" customFormat="1" spans="33:33">
      <c r="AG2595" s="9"/>
    </row>
    <row r="2596" s="8" customFormat="1" spans="33:33">
      <c r="AG2596" s="9"/>
    </row>
    <row r="2597" s="8" customFormat="1" spans="33:33">
      <c r="AG2597" s="9"/>
    </row>
    <row r="2598" s="8" customFormat="1" spans="33:33">
      <c r="AG2598" s="9"/>
    </row>
    <row r="2599" s="8" customFormat="1" spans="33:33">
      <c r="AG2599" s="9"/>
    </row>
    <row r="2600" s="8" customFormat="1" spans="33:33">
      <c r="AG2600" s="9"/>
    </row>
    <row r="2601" s="8" customFormat="1" spans="33:33">
      <c r="AG2601" s="9"/>
    </row>
    <row r="2602" s="8" customFormat="1" spans="33:33">
      <c r="AG2602" s="9"/>
    </row>
    <row r="2603" s="8" customFormat="1" spans="33:33">
      <c r="AG2603" s="9"/>
    </row>
    <row r="2604" s="8" customFormat="1" spans="33:33">
      <c r="AG2604" s="9"/>
    </row>
    <row r="2605" s="8" customFormat="1" spans="33:33">
      <c r="AG2605" s="9"/>
    </row>
    <row r="2606" s="8" customFormat="1" spans="33:33">
      <c r="AG2606" s="9"/>
    </row>
    <row r="2607" s="8" customFormat="1" spans="33:33">
      <c r="AG2607" s="9"/>
    </row>
    <row r="2608" s="8" customFormat="1" spans="33:33">
      <c r="AG2608" s="9"/>
    </row>
    <row r="2609" s="8" customFormat="1" spans="33:33">
      <c r="AG2609" s="9"/>
    </row>
    <row r="2610" s="8" customFormat="1" spans="33:33">
      <c r="AG2610" s="9"/>
    </row>
    <row r="2611" s="8" customFormat="1" spans="33:33">
      <c r="AG2611" s="9"/>
    </row>
    <row r="2612" s="8" customFormat="1" spans="33:33">
      <c r="AG2612" s="9"/>
    </row>
    <row r="2613" s="8" customFormat="1" spans="33:33">
      <c r="AG2613" s="9"/>
    </row>
    <row r="2614" s="8" customFormat="1" spans="33:33">
      <c r="AG2614" s="9"/>
    </row>
    <row r="2615" s="8" customFormat="1" spans="33:33">
      <c r="AG2615" s="9"/>
    </row>
    <row r="2616" s="8" customFormat="1" spans="33:33">
      <c r="AG2616" s="9"/>
    </row>
    <row r="2617" s="8" customFormat="1" spans="33:33">
      <c r="AG2617" s="9"/>
    </row>
    <row r="2618" s="8" customFormat="1" spans="33:33">
      <c r="AG2618" s="9"/>
    </row>
    <row r="2619" s="8" customFormat="1" spans="33:33">
      <c r="AG2619" s="9"/>
    </row>
    <row r="2620" s="8" customFormat="1" spans="33:33">
      <c r="AG2620" s="9"/>
    </row>
    <row r="2621" s="8" customFormat="1" spans="33:33">
      <c r="AG2621" s="9"/>
    </row>
    <row r="2622" s="8" customFormat="1" spans="33:33">
      <c r="AG2622" s="9"/>
    </row>
    <row r="2623" s="8" customFormat="1" spans="33:33">
      <c r="AG2623" s="9"/>
    </row>
    <row r="2624" s="8" customFormat="1" spans="33:33">
      <c r="AG2624" s="9"/>
    </row>
    <row r="2625" s="8" customFormat="1" spans="33:33">
      <c r="AG2625" s="9"/>
    </row>
    <row r="2626" s="8" customFormat="1" spans="33:33">
      <c r="AG2626" s="9"/>
    </row>
    <row r="2627" s="8" customFormat="1" spans="33:33">
      <c r="AG2627" s="9"/>
    </row>
    <row r="2628" s="8" customFormat="1" spans="33:33">
      <c r="AG2628" s="9"/>
    </row>
    <row r="2629" s="8" customFormat="1" spans="33:33">
      <c r="AG2629" s="9"/>
    </row>
    <row r="2630" s="8" customFormat="1" spans="33:33">
      <c r="AG2630" s="9"/>
    </row>
    <row r="2631" s="8" customFormat="1" spans="33:33">
      <c r="AG2631" s="9"/>
    </row>
    <row r="2632" s="8" customFormat="1" spans="33:33">
      <c r="AG2632" s="9"/>
    </row>
    <row r="2633" s="8" customFormat="1" spans="33:33">
      <c r="AG2633" s="9"/>
    </row>
    <row r="2634" s="8" customFormat="1" spans="33:33">
      <c r="AG2634" s="9"/>
    </row>
    <row r="2635" s="8" customFormat="1" spans="33:33">
      <c r="AG2635" s="9"/>
    </row>
    <row r="2636" s="8" customFormat="1" spans="33:33">
      <c r="AG2636" s="9"/>
    </row>
    <row r="2637" s="8" customFormat="1" spans="33:33">
      <c r="AG2637" s="9"/>
    </row>
    <row r="2638" s="8" customFormat="1" spans="33:33">
      <c r="AG2638" s="9"/>
    </row>
    <row r="2639" s="8" customFormat="1" spans="33:33">
      <c r="AG2639" s="9"/>
    </row>
    <row r="2640" s="8" customFormat="1" spans="33:33">
      <c r="AG2640" s="9"/>
    </row>
    <row r="2641" s="8" customFormat="1" spans="33:33">
      <c r="AG2641" s="9"/>
    </row>
    <row r="2642" s="8" customFormat="1" spans="33:33">
      <c r="AG2642" s="9"/>
    </row>
    <row r="2643" s="8" customFormat="1" spans="33:33">
      <c r="AG2643" s="9"/>
    </row>
    <row r="2644" s="8" customFormat="1" spans="33:33">
      <c r="AG2644" s="9"/>
    </row>
    <row r="2645" s="8" customFormat="1" spans="33:33">
      <c r="AG2645" s="9"/>
    </row>
    <row r="2646" s="8" customFormat="1" spans="33:33">
      <c r="AG2646" s="9"/>
    </row>
    <row r="2647" s="8" customFormat="1" spans="33:33">
      <c r="AG2647" s="9"/>
    </row>
    <row r="2648" s="8" customFormat="1" spans="33:33">
      <c r="AG2648" s="9"/>
    </row>
    <row r="2649" s="8" customFormat="1" spans="33:33">
      <c r="AG2649" s="9"/>
    </row>
    <row r="2650" s="8" customFormat="1" spans="33:33">
      <c r="AG2650" s="9"/>
    </row>
    <row r="2651" s="8" customFormat="1" spans="33:33">
      <c r="AG2651" s="9"/>
    </row>
    <row r="2652" s="8" customFormat="1" spans="33:33">
      <c r="AG2652" s="9"/>
    </row>
    <row r="2653" s="8" customFormat="1" spans="33:33">
      <c r="AG2653" s="9"/>
    </row>
    <row r="2654" s="8" customFormat="1" spans="33:33">
      <c r="AG2654" s="9"/>
    </row>
    <row r="2655" s="8" customFormat="1" spans="33:33">
      <c r="AG2655" s="9"/>
    </row>
    <row r="2656" s="8" customFormat="1" spans="33:33">
      <c r="AG2656" s="9"/>
    </row>
    <row r="2657" s="8" customFormat="1" spans="33:33">
      <c r="AG2657" s="9"/>
    </row>
    <row r="2658" s="8" customFormat="1" spans="33:33">
      <c r="AG2658" s="9"/>
    </row>
    <row r="2659" s="8" customFormat="1" spans="33:33">
      <c r="AG2659" s="9"/>
    </row>
    <row r="2660" s="8" customFormat="1" spans="33:33">
      <c r="AG2660" s="9"/>
    </row>
    <row r="2661" s="8" customFormat="1" spans="33:33">
      <c r="AG2661" s="9"/>
    </row>
    <row r="2662" s="8" customFormat="1" spans="33:33">
      <c r="AG2662" s="9"/>
    </row>
    <row r="2663" s="8" customFormat="1" spans="33:33">
      <c r="AG2663" s="9"/>
    </row>
    <row r="2664" s="8" customFormat="1" spans="33:33">
      <c r="AG2664" s="9"/>
    </row>
    <row r="2665" s="8" customFormat="1" spans="33:33">
      <c r="AG2665" s="9"/>
    </row>
    <row r="2666" s="8" customFormat="1" spans="33:33">
      <c r="AG2666" s="9"/>
    </row>
    <row r="2667" s="8" customFormat="1" spans="33:33">
      <c r="AG2667" s="9"/>
    </row>
    <row r="2668" s="8" customFormat="1" spans="33:33">
      <c r="AG2668" s="9"/>
    </row>
    <row r="2669" s="8" customFormat="1" spans="33:33">
      <c r="AG2669" s="9"/>
    </row>
    <row r="2670" s="8" customFormat="1" spans="33:33">
      <c r="AG2670" s="9"/>
    </row>
    <row r="2671" s="8" customFormat="1" spans="33:33">
      <c r="AG2671" s="9"/>
    </row>
    <row r="2672" s="8" customFormat="1" spans="33:33">
      <c r="AG2672" s="9"/>
    </row>
    <row r="2673" s="8" customFormat="1" spans="33:33">
      <c r="AG2673" s="9"/>
    </row>
    <row r="2674" s="8" customFormat="1" spans="33:33">
      <c r="AG2674" s="9"/>
    </row>
    <row r="2675" s="8" customFormat="1" spans="33:33">
      <c r="AG2675" s="9"/>
    </row>
    <row r="2676" s="8" customFormat="1" spans="33:33">
      <c r="AG2676" s="9"/>
    </row>
    <row r="2677" s="8" customFormat="1" spans="33:33">
      <c r="AG2677" s="9"/>
    </row>
    <row r="2678" s="8" customFormat="1" spans="33:33">
      <c r="AG2678" s="9"/>
    </row>
    <row r="2679" s="8" customFormat="1" spans="33:33">
      <c r="AG2679" s="9"/>
    </row>
    <row r="2680" s="8" customFormat="1" spans="33:33">
      <c r="AG2680" s="9"/>
    </row>
    <row r="2681" s="8" customFormat="1" spans="33:33">
      <c r="AG2681" s="9"/>
    </row>
    <row r="2682" s="8" customFormat="1" spans="33:33">
      <c r="AG2682" s="9"/>
    </row>
    <row r="2683" s="8" customFormat="1" spans="33:33">
      <c r="AG2683" s="9"/>
    </row>
    <row r="2684" s="8" customFormat="1" spans="33:33">
      <c r="AG2684" s="9"/>
    </row>
    <row r="2685" s="8" customFormat="1" spans="33:33">
      <c r="AG2685" s="9"/>
    </row>
    <row r="2686" s="8" customFormat="1" spans="33:33">
      <c r="AG2686" s="9"/>
    </row>
    <row r="2687" s="8" customFormat="1" spans="33:33">
      <c r="AG2687" s="9"/>
    </row>
    <row r="2688" s="8" customFormat="1" spans="33:33">
      <c r="AG2688" s="9"/>
    </row>
    <row r="2689" s="8" customFormat="1" spans="33:33">
      <c r="AG2689" s="9"/>
    </row>
    <row r="2690" s="8" customFormat="1" spans="33:33">
      <c r="AG2690" s="9"/>
    </row>
    <row r="2691" s="8" customFormat="1" spans="33:33">
      <c r="AG2691" s="9"/>
    </row>
    <row r="2692" s="8" customFormat="1" spans="33:33">
      <c r="AG2692" s="9"/>
    </row>
    <row r="2693" s="8" customFormat="1" spans="33:33">
      <c r="AG2693" s="9"/>
    </row>
    <row r="2694" s="8" customFormat="1" spans="33:33">
      <c r="AG2694" s="9"/>
    </row>
    <row r="2695" s="8" customFormat="1" spans="33:33">
      <c r="AG2695" s="9"/>
    </row>
    <row r="2696" s="8" customFormat="1" spans="33:33">
      <c r="AG2696" s="9"/>
    </row>
    <row r="2697" s="8" customFormat="1" spans="33:33">
      <c r="AG2697" s="9"/>
    </row>
    <row r="2698" s="8" customFormat="1" spans="33:33">
      <c r="AG2698" s="9"/>
    </row>
    <row r="2699" s="8" customFormat="1" spans="33:33">
      <c r="AG2699" s="9"/>
    </row>
    <row r="2700" s="8" customFormat="1" spans="33:33">
      <c r="AG2700" s="9"/>
    </row>
    <row r="2701" s="8" customFormat="1" spans="33:33">
      <c r="AG2701" s="9"/>
    </row>
    <row r="2702" s="8" customFormat="1" spans="33:33">
      <c r="AG2702" s="9"/>
    </row>
    <row r="2703" s="8" customFormat="1" spans="33:33">
      <c r="AG2703" s="9"/>
    </row>
    <row r="2704" s="8" customFormat="1" spans="33:33">
      <c r="AG2704" s="9"/>
    </row>
    <row r="2705" s="8" customFormat="1" spans="33:33">
      <c r="AG2705" s="9"/>
    </row>
    <row r="2706" s="8" customFormat="1" spans="33:33">
      <c r="AG2706" s="9"/>
    </row>
    <row r="2707" s="8" customFormat="1" spans="33:33">
      <c r="AG2707" s="9"/>
    </row>
    <row r="2708" s="8" customFormat="1" spans="33:33">
      <c r="AG2708" s="9"/>
    </row>
    <row r="2709" s="8" customFormat="1" spans="33:33">
      <c r="AG2709" s="9"/>
    </row>
    <row r="2710" s="8" customFormat="1" spans="33:33">
      <c r="AG2710" s="9"/>
    </row>
    <row r="2711" s="8" customFormat="1" spans="33:33">
      <c r="AG2711" s="9"/>
    </row>
    <row r="2712" s="8" customFormat="1" spans="33:33">
      <c r="AG2712" s="9"/>
    </row>
    <row r="2713" s="8" customFormat="1" spans="33:33">
      <c r="AG2713" s="9"/>
    </row>
    <row r="2714" s="8" customFormat="1" spans="33:33">
      <c r="AG2714" s="9"/>
    </row>
    <row r="2715" s="8" customFormat="1" spans="33:33">
      <c r="AG2715" s="9"/>
    </row>
    <row r="2716" s="8" customFormat="1" spans="33:33">
      <c r="AG2716" s="9"/>
    </row>
    <row r="2717" s="8" customFormat="1" spans="33:33">
      <c r="AG2717" s="9"/>
    </row>
    <row r="2718" s="8" customFormat="1" spans="33:33">
      <c r="AG2718" s="9"/>
    </row>
    <row r="2719" s="8" customFormat="1" spans="33:33">
      <c r="AG2719" s="9"/>
    </row>
    <row r="2720" s="8" customFormat="1" spans="33:33">
      <c r="AG2720" s="9"/>
    </row>
    <row r="2721" s="8" customFormat="1" spans="33:33">
      <c r="AG2721" s="9"/>
    </row>
    <row r="2722" s="8" customFormat="1" spans="33:33">
      <c r="AG2722" s="9"/>
    </row>
    <row r="2723" s="8" customFormat="1" spans="33:33">
      <c r="AG2723" s="9"/>
    </row>
    <row r="2724" s="8" customFormat="1" spans="33:33">
      <c r="AG2724" s="9"/>
    </row>
    <row r="2725" s="8" customFormat="1" spans="33:33">
      <c r="AG2725" s="9"/>
    </row>
    <row r="2726" s="8" customFormat="1" spans="33:33">
      <c r="AG2726" s="9"/>
    </row>
    <row r="2727" s="8" customFormat="1" spans="33:33">
      <c r="AG2727" s="9"/>
    </row>
    <row r="2728" s="8" customFormat="1" spans="33:33">
      <c r="AG2728" s="9"/>
    </row>
    <row r="2729" s="8" customFormat="1" spans="33:33">
      <c r="AG2729" s="9"/>
    </row>
    <row r="2730" s="8" customFormat="1" spans="33:33">
      <c r="AG2730" s="9"/>
    </row>
    <row r="2731" s="8" customFormat="1" spans="33:33">
      <c r="AG2731" s="9"/>
    </row>
    <row r="2732" s="8" customFormat="1" spans="33:33">
      <c r="AG2732" s="9"/>
    </row>
    <row r="2733" s="8" customFormat="1" spans="33:33">
      <c r="AG2733" s="9"/>
    </row>
    <row r="2734" s="8" customFormat="1" spans="33:33">
      <c r="AG2734" s="9"/>
    </row>
    <row r="2735" s="8" customFormat="1" spans="33:33">
      <c r="AG2735" s="9"/>
    </row>
    <row r="2736" s="8" customFormat="1" spans="33:33">
      <c r="AG2736" s="9"/>
    </row>
    <row r="2737" s="8" customFormat="1" spans="33:33">
      <c r="AG2737" s="9"/>
    </row>
    <row r="2738" s="8" customFormat="1" spans="33:33">
      <c r="AG2738" s="9"/>
    </row>
    <row r="2739" s="8" customFormat="1" spans="33:33">
      <c r="AG2739" s="9"/>
    </row>
    <row r="2740" s="8" customFormat="1" spans="33:33">
      <c r="AG2740" s="9"/>
    </row>
    <row r="2741" s="8" customFormat="1" spans="33:33">
      <c r="AG2741" s="9"/>
    </row>
    <row r="2742" s="8" customFormat="1" spans="33:33">
      <c r="AG2742" s="9"/>
    </row>
    <row r="2743" s="8" customFormat="1" spans="33:33">
      <c r="AG2743" s="9"/>
    </row>
    <row r="2744" s="8" customFormat="1" spans="33:33">
      <c r="AG2744" s="9"/>
    </row>
    <row r="2745" s="8" customFormat="1" spans="33:33">
      <c r="AG2745" s="9"/>
    </row>
    <row r="2746" s="8" customFormat="1" spans="33:33">
      <c r="AG2746" s="9"/>
    </row>
    <row r="2747" s="8" customFormat="1" spans="33:33">
      <c r="AG2747" s="9"/>
    </row>
    <row r="2748" s="8" customFormat="1" spans="33:33">
      <c r="AG2748" s="9"/>
    </row>
    <row r="2749" s="8" customFormat="1" spans="33:33">
      <c r="AG2749" s="9"/>
    </row>
    <row r="2750" s="8" customFormat="1" spans="33:33">
      <c r="AG2750" s="9"/>
    </row>
    <row r="2751" s="8" customFormat="1" spans="33:33">
      <c r="AG2751" s="9"/>
    </row>
    <row r="2752" s="8" customFormat="1" spans="33:33">
      <c r="AG2752" s="9"/>
    </row>
    <row r="2753" s="8" customFormat="1" spans="33:33">
      <c r="AG2753" s="9"/>
    </row>
    <row r="2754" s="8" customFormat="1" spans="33:33">
      <c r="AG2754" s="9"/>
    </row>
    <row r="2755" s="8" customFormat="1" spans="33:33">
      <c r="AG2755" s="9"/>
    </row>
    <row r="2756" s="8" customFormat="1" spans="33:33">
      <c r="AG2756" s="9"/>
    </row>
    <row r="2757" s="8" customFormat="1" spans="33:33">
      <c r="AG2757" s="9"/>
    </row>
    <row r="2758" s="8" customFormat="1" spans="33:33">
      <c r="AG2758" s="9"/>
    </row>
    <row r="2759" s="8" customFormat="1" spans="33:33">
      <c r="AG2759" s="9"/>
    </row>
    <row r="2760" s="8" customFormat="1" spans="33:33">
      <c r="AG2760" s="9"/>
    </row>
    <row r="2761" s="8" customFormat="1" spans="33:33">
      <c r="AG2761" s="9"/>
    </row>
    <row r="2762" s="8" customFormat="1" spans="33:33">
      <c r="AG2762" s="9"/>
    </row>
    <row r="2763" s="8" customFormat="1" spans="33:33">
      <c r="AG2763" s="9"/>
    </row>
    <row r="2764" s="8" customFormat="1" spans="33:33">
      <c r="AG2764" s="9"/>
    </row>
    <row r="2765" s="8" customFormat="1" spans="33:33">
      <c r="AG2765" s="9"/>
    </row>
    <row r="2766" s="8" customFormat="1" spans="33:33">
      <c r="AG2766" s="9"/>
    </row>
    <row r="2767" s="8" customFormat="1" spans="33:33">
      <c r="AG2767" s="9"/>
    </row>
    <row r="2768" s="8" customFormat="1" spans="33:33">
      <c r="AG2768" s="9"/>
    </row>
    <row r="2769" s="8" customFormat="1" spans="33:33">
      <c r="AG2769" s="9"/>
    </row>
    <row r="2770" s="8" customFormat="1" spans="33:33">
      <c r="AG2770" s="9"/>
    </row>
    <row r="2771" s="8" customFormat="1" spans="33:33">
      <c r="AG2771" s="9"/>
    </row>
    <row r="2772" s="8" customFormat="1" spans="33:33">
      <c r="AG2772" s="9"/>
    </row>
    <row r="2773" s="8" customFormat="1" spans="33:33">
      <c r="AG2773" s="9"/>
    </row>
    <row r="2774" s="8" customFormat="1" spans="33:33">
      <c r="AG2774" s="9"/>
    </row>
    <row r="2775" s="8" customFormat="1" spans="33:33">
      <c r="AG2775" s="9"/>
    </row>
    <row r="2776" s="8" customFormat="1" spans="33:33">
      <c r="AG2776" s="9"/>
    </row>
    <row r="2777" s="8" customFormat="1" spans="33:33">
      <c r="AG2777" s="9"/>
    </row>
    <row r="2778" s="8" customFormat="1" spans="33:33">
      <c r="AG2778" s="9"/>
    </row>
    <row r="2779" s="8" customFormat="1" spans="33:33">
      <c r="AG2779" s="9"/>
    </row>
    <row r="2780" s="8" customFormat="1" spans="33:33">
      <c r="AG2780" s="9"/>
    </row>
    <row r="2781" s="8" customFormat="1" spans="33:33">
      <c r="AG2781" s="9"/>
    </row>
    <row r="2782" s="8" customFormat="1" spans="33:33">
      <c r="AG2782" s="9"/>
    </row>
    <row r="2783" s="8" customFormat="1" spans="33:33">
      <c r="AG2783" s="9"/>
    </row>
    <row r="2784" s="8" customFormat="1" spans="33:33">
      <c r="AG2784" s="9"/>
    </row>
    <row r="2785" s="8" customFormat="1" spans="33:33">
      <c r="AG2785" s="9"/>
    </row>
    <row r="2786" s="8" customFormat="1" spans="33:33">
      <c r="AG2786" s="9"/>
    </row>
    <row r="2787" s="8" customFormat="1" spans="33:33">
      <c r="AG2787" s="9"/>
    </row>
    <row r="2788" s="8" customFormat="1" spans="33:33">
      <c r="AG2788" s="9"/>
    </row>
    <row r="2789" s="8" customFormat="1" spans="33:33">
      <c r="AG2789" s="9"/>
    </row>
    <row r="2790" s="8" customFormat="1" spans="33:33">
      <c r="AG2790" s="9"/>
    </row>
    <row r="2791" s="8" customFormat="1" spans="33:33">
      <c r="AG2791" s="9"/>
    </row>
    <row r="2792" s="8" customFormat="1" spans="33:33">
      <c r="AG2792" s="9"/>
    </row>
    <row r="2793" s="8" customFormat="1" spans="33:33">
      <c r="AG2793" s="9"/>
    </row>
    <row r="2794" s="8" customFormat="1" spans="33:33">
      <c r="AG2794" s="9"/>
    </row>
    <row r="2795" s="8" customFormat="1" spans="33:33">
      <c r="AG2795" s="9"/>
    </row>
    <row r="2796" s="8" customFormat="1" spans="33:33">
      <c r="AG2796" s="9"/>
    </row>
    <row r="2797" s="8" customFormat="1" spans="33:33">
      <c r="AG2797" s="9"/>
    </row>
    <row r="2798" s="8" customFormat="1" spans="33:33">
      <c r="AG2798" s="9"/>
    </row>
    <row r="2799" s="8" customFormat="1" spans="33:33">
      <c r="AG2799" s="9"/>
    </row>
    <row r="2800" s="8" customFormat="1" spans="33:33">
      <c r="AG2800" s="9"/>
    </row>
    <row r="2801" s="8" customFormat="1" spans="33:33">
      <c r="AG2801" s="9"/>
    </row>
    <row r="2802" s="8" customFormat="1" spans="33:33">
      <c r="AG2802" s="9"/>
    </row>
    <row r="2803" s="8" customFormat="1" spans="33:33">
      <c r="AG2803" s="9"/>
    </row>
    <row r="2804" s="8" customFormat="1" spans="33:33">
      <c r="AG2804" s="9"/>
    </row>
    <row r="2805" s="8" customFormat="1" spans="33:33">
      <c r="AG2805" s="9"/>
    </row>
    <row r="2806" s="8" customFormat="1" spans="33:33">
      <c r="AG2806" s="9"/>
    </row>
    <row r="2807" s="8" customFormat="1" spans="33:33">
      <c r="AG2807" s="9"/>
    </row>
    <row r="2808" s="8" customFormat="1" spans="33:33">
      <c r="AG2808" s="9"/>
    </row>
    <row r="2809" s="8" customFormat="1" spans="33:33">
      <c r="AG2809" s="9"/>
    </row>
    <row r="2810" s="8" customFormat="1" spans="33:33">
      <c r="AG2810" s="9"/>
    </row>
    <row r="2811" s="8" customFormat="1" spans="33:33">
      <c r="AG2811" s="9"/>
    </row>
    <row r="2812" s="8" customFormat="1" spans="33:33">
      <c r="AG2812" s="9"/>
    </row>
    <row r="2813" s="8" customFormat="1" spans="33:33">
      <c r="AG2813" s="9"/>
    </row>
    <row r="2814" s="8" customFormat="1" spans="33:33">
      <c r="AG2814" s="9"/>
    </row>
    <row r="2815" s="8" customFormat="1" spans="33:33">
      <c r="AG2815" s="9"/>
    </row>
    <row r="2816" s="8" customFormat="1" spans="33:33">
      <c r="AG2816" s="9"/>
    </row>
    <row r="2817" s="8" customFormat="1" spans="33:33">
      <c r="AG2817" s="9"/>
    </row>
    <row r="2818" s="8" customFormat="1" spans="33:33">
      <c r="AG2818" s="9"/>
    </row>
    <row r="2819" s="8" customFormat="1" spans="33:33">
      <c r="AG2819" s="9"/>
    </row>
    <row r="2820" s="8" customFormat="1" spans="33:33">
      <c r="AG2820" s="9"/>
    </row>
    <row r="2821" s="8" customFormat="1" spans="33:33">
      <c r="AG2821" s="9"/>
    </row>
    <row r="2822" s="8" customFormat="1" spans="33:33">
      <c r="AG2822" s="9"/>
    </row>
    <row r="2823" s="8" customFormat="1" spans="33:33">
      <c r="AG2823" s="9"/>
    </row>
    <row r="2824" s="8" customFormat="1" spans="33:33">
      <c r="AG2824" s="9"/>
    </row>
    <row r="2825" s="8" customFormat="1" spans="33:33">
      <c r="AG2825" s="9"/>
    </row>
    <row r="2826" s="8" customFormat="1" spans="33:33">
      <c r="AG2826" s="9"/>
    </row>
    <row r="2827" s="8" customFormat="1" spans="33:33">
      <c r="AG2827" s="9"/>
    </row>
    <row r="2828" s="8" customFormat="1" spans="33:33">
      <c r="AG2828" s="9"/>
    </row>
    <row r="2829" s="8" customFormat="1" spans="33:33">
      <c r="AG2829" s="9"/>
    </row>
    <row r="2830" s="8" customFormat="1" spans="33:33">
      <c r="AG2830" s="9"/>
    </row>
    <row r="2831" s="8" customFormat="1" spans="33:33">
      <c r="AG2831" s="9"/>
    </row>
    <row r="2832" s="8" customFormat="1" spans="33:33">
      <c r="AG2832" s="9"/>
    </row>
    <row r="2833" s="8" customFormat="1" spans="33:33">
      <c r="AG2833" s="9"/>
    </row>
    <row r="2834" s="8" customFormat="1" spans="33:33">
      <c r="AG2834" s="9"/>
    </row>
    <row r="2835" s="8" customFormat="1" spans="33:33">
      <c r="AG2835" s="9"/>
    </row>
    <row r="2836" s="8" customFormat="1" spans="33:33">
      <c r="AG2836" s="9"/>
    </row>
    <row r="2837" s="8" customFormat="1" spans="33:33">
      <c r="AG2837" s="9"/>
    </row>
    <row r="2838" s="8" customFormat="1" spans="33:33">
      <c r="AG2838" s="9"/>
    </row>
    <row r="2839" s="8" customFormat="1" spans="33:33">
      <c r="AG2839" s="9"/>
    </row>
    <row r="2840" s="8" customFormat="1" spans="33:33">
      <c r="AG2840" s="9"/>
    </row>
    <row r="2841" s="8" customFormat="1" spans="33:33">
      <c r="AG2841" s="9"/>
    </row>
    <row r="2842" s="8" customFormat="1" spans="33:33">
      <c r="AG2842" s="9"/>
    </row>
    <row r="2843" s="8" customFormat="1" spans="33:33">
      <c r="AG2843" s="9"/>
    </row>
    <row r="2844" s="8" customFormat="1" spans="33:33">
      <c r="AG2844" s="9"/>
    </row>
    <row r="2845" s="8" customFormat="1" spans="33:33">
      <c r="AG2845" s="9"/>
    </row>
    <row r="2846" s="8" customFormat="1" spans="33:33">
      <c r="AG2846" s="9"/>
    </row>
    <row r="2847" s="8" customFormat="1" spans="33:33">
      <c r="AG2847" s="9"/>
    </row>
    <row r="2848" s="8" customFormat="1" spans="33:33">
      <c r="AG2848" s="9"/>
    </row>
    <row r="2849" s="8" customFormat="1" spans="33:33">
      <c r="AG2849" s="9"/>
    </row>
    <row r="2850" s="8" customFormat="1" spans="33:33">
      <c r="AG2850" s="9"/>
    </row>
    <row r="2851" s="8" customFormat="1" spans="33:33">
      <c r="AG2851" s="9"/>
    </row>
    <row r="2852" s="8" customFormat="1" spans="33:33">
      <c r="AG2852" s="9"/>
    </row>
    <row r="2853" s="8" customFormat="1" spans="33:33">
      <c r="AG2853" s="9"/>
    </row>
    <row r="2854" s="8" customFormat="1" spans="33:33">
      <c r="AG2854" s="9"/>
    </row>
    <row r="2855" s="8" customFormat="1" spans="33:33">
      <c r="AG2855" s="9"/>
    </row>
    <row r="2856" s="8" customFormat="1" spans="33:33">
      <c r="AG2856" s="9"/>
    </row>
    <row r="2857" s="8" customFormat="1" spans="33:33">
      <c r="AG2857" s="9"/>
    </row>
    <row r="2858" s="8" customFormat="1" spans="33:33">
      <c r="AG2858" s="9"/>
    </row>
    <row r="2859" s="8" customFormat="1" spans="33:33">
      <c r="AG2859" s="9"/>
    </row>
    <row r="2860" s="8" customFormat="1" spans="33:33">
      <c r="AG2860" s="9"/>
    </row>
    <row r="2861" s="8" customFormat="1" spans="33:33">
      <c r="AG2861" s="9"/>
    </row>
    <row r="2862" s="8" customFormat="1" spans="33:33">
      <c r="AG2862" s="9"/>
    </row>
    <row r="2863" s="8" customFormat="1" spans="33:33">
      <c r="AG2863" s="9"/>
    </row>
    <row r="2864" s="8" customFormat="1" spans="33:33">
      <c r="AG2864" s="9"/>
    </row>
    <row r="2865" s="8" customFormat="1" spans="33:33">
      <c r="AG2865" s="9"/>
    </row>
    <row r="2866" s="8" customFormat="1" spans="33:33">
      <c r="AG2866" s="9"/>
    </row>
    <row r="2867" s="8" customFormat="1" spans="33:33">
      <c r="AG2867" s="9"/>
    </row>
    <row r="2868" s="8" customFormat="1" spans="33:33">
      <c r="AG2868" s="9"/>
    </row>
    <row r="2869" s="8" customFormat="1" spans="33:33">
      <c r="AG2869" s="9"/>
    </row>
    <row r="2870" s="8" customFormat="1" spans="33:33">
      <c r="AG2870" s="9"/>
    </row>
    <row r="2871" s="8" customFormat="1" spans="33:33">
      <c r="AG2871" s="9"/>
    </row>
    <row r="2872" s="8" customFormat="1" spans="33:33">
      <c r="AG2872" s="9"/>
    </row>
    <row r="2873" s="8" customFormat="1" spans="33:33">
      <c r="AG2873" s="9"/>
    </row>
    <row r="2874" s="8" customFormat="1" spans="33:33">
      <c r="AG2874" s="9"/>
    </row>
    <row r="2875" s="8" customFormat="1" spans="33:33">
      <c r="AG2875" s="9"/>
    </row>
    <row r="2876" s="8" customFormat="1" spans="33:33">
      <c r="AG2876" s="9"/>
    </row>
    <row r="2877" s="8" customFormat="1" spans="33:33">
      <c r="AG2877" s="9"/>
    </row>
    <row r="2878" s="8" customFormat="1" spans="33:33">
      <c r="AG2878" s="9"/>
    </row>
    <row r="2879" s="8" customFormat="1" spans="33:33">
      <c r="AG2879" s="9"/>
    </row>
    <row r="2880" s="8" customFormat="1" spans="33:33">
      <c r="AG2880" s="9"/>
    </row>
    <row r="2881" s="8" customFormat="1" spans="33:33">
      <c r="AG2881" s="9"/>
    </row>
    <row r="2882" s="8" customFormat="1" spans="33:33">
      <c r="AG2882" s="9"/>
    </row>
    <row r="2883" s="8" customFormat="1" spans="33:33">
      <c r="AG2883" s="9"/>
    </row>
    <row r="2884" s="8" customFormat="1" spans="33:33">
      <c r="AG2884" s="9"/>
    </row>
    <row r="2885" s="8" customFormat="1" spans="33:33">
      <c r="AG2885" s="9"/>
    </row>
    <row r="2886" s="8" customFormat="1" spans="33:33">
      <c r="AG2886" s="9"/>
    </row>
    <row r="2887" s="8" customFormat="1" spans="33:33">
      <c r="AG2887" s="9"/>
    </row>
    <row r="2888" s="8" customFormat="1" spans="33:33">
      <c r="AG2888" s="9"/>
    </row>
    <row r="2889" s="8" customFormat="1" spans="33:33">
      <c r="AG2889" s="9"/>
    </row>
    <row r="2890" s="8" customFormat="1" spans="33:33">
      <c r="AG2890" s="9"/>
    </row>
    <row r="2891" s="8" customFormat="1" spans="33:33">
      <c r="AG2891" s="9"/>
    </row>
    <row r="2892" s="8" customFormat="1" spans="33:33">
      <c r="AG2892" s="9"/>
    </row>
    <row r="2893" s="8" customFormat="1" spans="33:33">
      <c r="AG2893" s="9"/>
    </row>
    <row r="2894" s="8" customFormat="1" spans="33:33">
      <c r="AG2894" s="9"/>
    </row>
    <row r="2895" s="8" customFormat="1" spans="33:33">
      <c r="AG2895" s="9"/>
    </row>
    <row r="2896" s="8" customFormat="1" spans="33:33">
      <c r="AG2896" s="9"/>
    </row>
    <row r="2897" s="8" customFormat="1" spans="33:33">
      <c r="AG2897" s="9"/>
    </row>
    <row r="2898" s="8" customFormat="1" spans="33:33">
      <c r="AG2898" s="9"/>
    </row>
    <row r="2899" s="8" customFormat="1" spans="33:33">
      <c r="AG2899" s="9"/>
    </row>
    <row r="2900" s="8" customFormat="1" spans="33:33">
      <c r="AG2900" s="9"/>
    </row>
    <row r="2901" s="8" customFormat="1" spans="33:33">
      <c r="AG2901" s="9"/>
    </row>
    <row r="2902" s="8" customFormat="1" spans="33:33">
      <c r="AG2902" s="9"/>
    </row>
    <row r="2903" s="8" customFormat="1" spans="33:33">
      <c r="AG2903" s="9"/>
    </row>
    <row r="2904" s="8" customFormat="1" spans="33:33">
      <c r="AG2904" s="9"/>
    </row>
    <row r="2905" s="8" customFormat="1" spans="33:33">
      <c r="AG2905" s="9"/>
    </row>
    <row r="2906" s="8" customFormat="1" spans="33:33">
      <c r="AG2906" s="9"/>
    </row>
    <row r="2907" s="8" customFormat="1" spans="33:33">
      <c r="AG2907" s="9"/>
    </row>
    <row r="2908" s="8" customFormat="1" spans="33:33">
      <c r="AG2908" s="9"/>
    </row>
    <row r="2909" s="8" customFormat="1" spans="33:33">
      <c r="AG2909" s="9"/>
    </row>
    <row r="2910" s="8" customFormat="1" spans="33:33">
      <c r="AG2910" s="9"/>
    </row>
    <row r="2911" s="8" customFormat="1" spans="33:33">
      <c r="AG2911" s="9"/>
    </row>
    <row r="2912" s="8" customFormat="1" spans="33:33">
      <c r="AG2912" s="9"/>
    </row>
    <row r="2913" s="8" customFormat="1" spans="33:33">
      <c r="AG2913" s="9"/>
    </row>
    <row r="2914" s="8" customFormat="1" spans="33:33">
      <c r="AG2914" s="9"/>
    </row>
    <row r="2915" s="8" customFormat="1" spans="33:33">
      <c r="AG2915" s="9"/>
    </row>
    <row r="2916" s="8" customFormat="1" spans="33:33">
      <c r="AG2916" s="9"/>
    </row>
    <row r="2917" s="8" customFormat="1" spans="33:33">
      <c r="AG2917" s="9"/>
    </row>
    <row r="2918" s="8" customFormat="1" spans="33:33">
      <c r="AG2918" s="9"/>
    </row>
    <row r="2919" s="8" customFormat="1" spans="33:33">
      <c r="AG2919" s="9"/>
    </row>
    <row r="2920" s="8" customFormat="1" spans="33:33">
      <c r="AG2920" s="9"/>
    </row>
    <row r="2921" s="8" customFormat="1" spans="33:33">
      <c r="AG2921" s="9"/>
    </row>
    <row r="2922" s="8" customFormat="1" spans="33:33">
      <c r="AG2922" s="9"/>
    </row>
    <row r="2923" s="8" customFormat="1" spans="33:33">
      <c r="AG2923" s="9"/>
    </row>
    <row r="2924" s="8" customFormat="1" spans="33:33">
      <c r="AG2924" s="9"/>
    </row>
    <row r="2925" s="8" customFormat="1" spans="33:33">
      <c r="AG2925" s="9"/>
    </row>
    <row r="2926" s="8" customFormat="1" spans="33:33">
      <c r="AG2926" s="9"/>
    </row>
    <row r="2927" s="8" customFormat="1" spans="33:33">
      <c r="AG2927" s="9"/>
    </row>
    <row r="2928" s="8" customFormat="1" spans="33:33">
      <c r="AG2928" s="9"/>
    </row>
    <row r="2929" s="8" customFormat="1" spans="33:33">
      <c r="AG2929" s="9"/>
    </row>
    <row r="2930" s="8" customFormat="1" spans="33:33">
      <c r="AG2930" s="9"/>
    </row>
    <row r="2931" s="8" customFormat="1" spans="33:33">
      <c r="AG2931" s="9"/>
    </row>
    <row r="2932" s="8" customFormat="1" spans="33:33">
      <c r="AG2932" s="9"/>
    </row>
    <row r="2933" s="8" customFormat="1" spans="33:33">
      <c r="AG2933" s="9"/>
    </row>
    <row r="2934" s="8" customFormat="1" spans="33:33">
      <c r="AG2934" s="9"/>
    </row>
    <row r="2935" s="8" customFormat="1" spans="33:33">
      <c r="AG2935" s="9"/>
    </row>
    <row r="2936" s="8" customFormat="1" spans="33:33">
      <c r="AG2936" s="9"/>
    </row>
    <row r="2937" s="8" customFormat="1" spans="33:33">
      <c r="AG2937" s="9"/>
    </row>
    <row r="2938" s="8" customFormat="1" spans="33:33">
      <c r="AG2938" s="9"/>
    </row>
    <row r="2939" s="8" customFormat="1" spans="33:33">
      <c r="AG2939" s="9"/>
    </row>
    <row r="2940" s="8" customFormat="1" spans="33:33">
      <c r="AG2940" s="9"/>
    </row>
    <row r="2941" s="8" customFormat="1" spans="33:33">
      <c r="AG2941" s="9"/>
    </row>
    <row r="2942" s="8" customFormat="1" spans="33:33">
      <c r="AG2942" s="9"/>
    </row>
    <row r="2943" s="8" customFormat="1" spans="33:33">
      <c r="AG2943" s="9"/>
    </row>
    <row r="2944" s="8" customFormat="1" spans="33:33">
      <c r="AG2944" s="9"/>
    </row>
    <row r="2945" s="8" customFormat="1" spans="33:33">
      <c r="AG2945" s="9"/>
    </row>
    <row r="2946" s="8" customFormat="1" spans="33:33">
      <c r="AG2946" s="9"/>
    </row>
    <row r="2947" s="8" customFormat="1" spans="33:33">
      <c r="AG2947" s="9"/>
    </row>
    <row r="2948" s="8" customFormat="1" spans="33:33">
      <c r="AG2948" s="9"/>
    </row>
    <row r="2949" s="8" customFormat="1" spans="33:33">
      <c r="AG2949" s="9"/>
    </row>
    <row r="2950" s="8" customFormat="1" spans="33:33">
      <c r="AG2950" s="9"/>
    </row>
    <row r="2951" s="8" customFormat="1" spans="33:33">
      <c r="AG2951" s="9"/>
    </row>
    <row r="2952" s="8" customFormat="1" spans="33:33">
      <c r="AG2952" s="9"/>
    </row>
    <row r="2953" s="8" customFormat="1" spans="33:33">
      <c r="AG2953" s="9"/>
    </row>
    <row r="2954" s="8" customFormat="1" spans="33:33">
      <c r="AG2954" s="9"/>
    </row>
    <row r="2955" s="8" customFormat="1" spans="33:33">
      <c r="AG2955" s="9"/>
    </row>
    <row r="2956" s="8" customFormat="1" spans="33:33">
      <c r="AG2956" s="9"/>
    </row>
    <row r="2957" s="8" customFormat="1" spans="33:33">
      <c r="AG2957" s="9"/>
    </row>
    <row r="2958" s="8" customFormat="1" spans="33:33">
      <c r="AG2958" s="9"/>
    </row>
    <row r="2959" s="8" customFormat="1" spans="33:33">
      <c r="AG2959" s="9"/>
    </row>
    <row r="2960" s="8" customFormat="1" spans="33:33">
      <c r="AG2960" s="9"/>
    </row>
    <row r="2961" s="8" customFormat="1" spans="33:33">
      <c r="AG2961" s="9"/>
    </row>
    <row r="2962" s="8" customFormat="1" spans="33:33">
      <c r="AG2962" s="9"/>
    </row>
    <row r="2963" s="8" customFormat="1" spans="33:33">
      <c r="AG2963" s="9"/>
    </row>
    <row r="2964" s="8" customFormat="1" spans="33:33">
      <c r="AG2964" s="9"/>
    </row>
    <row r="2965" s="8" customFormat="1" spans="33:33">
      <c r="AG2965" s="9"/>
    </row>
    <row r="2966" s="8" customFormat="1" spans="33:33">
      <c r="AG2966" s="9"/>
    </row>
    <row r="2967" s="8" customFormat="1" spans="33:33">
      <c r="AG2967" s="9"/>
    </row>
    <row r="2968" s="8" customFormat="1" spans="33:33">
      <c r="AG2968" s="9"/>
    </row>
    <row r="2969" s="8" customFormat="1" spans="33:33">
      <c r="AG2969" s="9"/>
    </row>
    <row r="2970" s="8" customFormat="1" spans="33:33">
      <c r="AG2970" s="9"/>
    </row>
    <row r="2971" s="8" customFormat="1" spans="33:33">
      <c r="AG2971" s="9"/>
    </row>
    <row r="2972" s="8" customFormat="1" spans="33:33">
      <c r="AG2972" s="9"/>
    </row>
    <row r="2973" s="8" customFormat="1" spans="33:33">
      <c r="AG2973" s="9"/>
    </row>
    <row r="2974" s="8" customFormat="1" spans="33:33">
      <c r="AG2974" s="9"/>
    </row>
    <row r="2975" s="8" customFormat="1" spans="33:33">
      <c r="AG2975" s="9"/>
    </row>
    <row r="2976" s="8" customFormat="1" spans="33:33">
      <c r="AG2976" s="9"/>
    </row>
    <row r="2977" s="8" customFormat="1" spans="33:33">
      <c r="AG2977" s="9"/>
    </row>
    <row r="2978" s="8" customFormat="1" spans="33:33">
      <c r="AG2978" s="9"/>
    </row>
    <row r="2979" s="8" customFormat="1" spans="33:33">
      <c r="AG2979" s="9"/>
    </row>
    <row r="2980" s="8" customFormat="1" spans="33:33">
      <c r="AG2980" s="9"/>
    </row>
    <row r="2981" s="8" customFormat="1" spans="33:33">
      <c r="AG2981" s="9"/>
    </row>
    <row r="2982" s="8" customFormat="1" spans="33:33">
      <c r="AG2982" s="9"/>
    </row>
    <row r="2983" s="8" customFormat="1" spans="33:33">
      <c r="AG2983" s="9"/>
    </row>
    <row r="2984" s="8" customFormat="1" spans="33:33">
      <c r="AG2984" s="9"/>
    </row>
    <row r="2985" s="8" customFormat="1" spans="33:33">
      <c r="AG2985" s="9"/>
    </row>
    <row r="2986" s="8" customFormat="1" spans="33:33">
      <c r="AG2986" s="9"/>
    </row>
    <row r="2987" s="8" customFormat="1" spans="33:33">
      <c r="AG2987" s="9"/>
    </row>
    <row r="2988" s="8" customFormat="1" spans="33:33">
      <c r="AG2988" s="9"/>
    </row>
    <row r="2989" s="8" customFormat="1" spans="33:33">
      <c r="AG2989" s="9"/>
    </row>
    <row r="2990" s="8" customFormat="1" spans="33:33">
      <c r="AG2990" s="9"/>
    </row>
    <row r="2991" s="8" customFormat="1" spans="33:33">
      <c r="AG2991" s="9"/>
    </row>
    <row r="2992" s="8" customFormat="1" spans="33:33">
      <c r="AG2992" s="9"/>
    </row>
    <row r="2993" s="8" customFormat="1" spans="33:33">
      <c r="AG2993" s="9"/>
    </row>
    <row r="2994" s="8" customFormat="1" spans="33:33">
      <c r="AG2994" s="9"/>
    </row>
    <row r="2995" s="8" customFormat="1" spans="33:33">
      <c r="AG2995" s="9"/>
    </row>
    <row r="2996" s="8" customFormat="1" spans="33:33">
      <c r="AG2996" s="9"/>
    </row>
    <row r="2997" s="8" customFormat="1" spans="33:33">
      <c r="AG2997" s="9"/>
    </row>
    <row r="2998" s="8" customFormat="1" spans="33:33">
      <c r="AG2998" s="9"/>
    </row>
    <row r="2999" s="8" customFormat="1" spans="33:33">
      <c r="AG2999" s="9"/>
    </row>
    <row r="3000" s="8" customFormat="1" spans="33:33">
      <c r="AG3000" s="9"/>
    </row>
    <row r="3001" s="8" customFormat="1" spans="33:33">
      <c r="AG3001" s="9"/>
    </row>
    <row r="3002" s="8" customFormat="1" spans="33:33">
      <c r="AG3002" s="9"/>
    </row>
    <row r="3003" s="8" customFormat="1" spans="33:33">
      <c r="AG3003" s="9"/>
    </row>
    <row r="3004" s="8" customFormat="1" spans="33:33">
      <c r="AG3004" s="9"/>
    </row>
    <row r="3005" s="8" customFormat="1" spans="33:33">
      <c r="AG3005" s="9"/>
    </row>
    <row r="3006" s="8" customFormat="1" spans="33:33">
      <c r="AG3006" s="9"/>
    </row>
    <row r="3007" s="8" customFormat="1" spans="33:33">
      <c r="AG3007" s="9"/>
    </row>
    <row r="3008" s="8" customFormat="1" spans="33:33">
      <c r="AG3008" s="9"/>
    </row>
    <row r="3009" s="8" customFormat="1" spans="33:33">
      <c r="AG3009" s="9"/>
    </row>
    <row r="3010" s="8" customFormat="1" spans="33:33">
      <c r="AG3010" s="9"/>
    </row>
    <row r="3011" s="8" customFormat="1" spans="33:33">
      <c r="AG3011" s="9"/>
    </row>
    <row r="3012" s="8" customFormat="1" spans="33:33">
      <c r="AG3012" s="9"/>
    </row>
    <row r="3013" s="8" customFormat="1" spans="33:33">
      <c r="AG3013" s="9"/>
    </row>
    <row r="3014" s="8" customFormat="1" spans="33:33">
      <c r="AG3014" s="9"/>
    </row>
    <row r="3015" s="8" customFormat="1" spans="33:33">
      <c r="AG3015" s="9"/>
    </row>
    <row r="3016" s="8" customFormat="1" spans="33:33">
      <c r="AG3016" s="9"/>
    </row>
    <row r="3017" s="8" customFormat="1" spans="33:33">
      <c r="AG3017" s="9"/>
    </row>
    <row r="3018" s="8" customFormat="1" spans="33:33">
      <c r="AG3018" s="9"/>
    </row>
    <row r="3019" s="8" customFormat="1" spans="33:33">
      <c r="AG3019" s="9"/>
    </row>
    <row r="3020" s="8" customFormat="1" spans="33:33">
      <c r="AG3020" s="9"/>
    </row>
    <row r="3021" s="8" customFormat="1" spans="33:33">
      <c r="AG3021" s="9"/>
    </row>
    <row r="3022" s="8" customFormat="1" spans="33:33">
      <c r="AG3022" s="9"/>
    </row>
    <row r="3023" s="8" customFormat="1" spans="33:33">
      <c r="AG3023" s="9"/>
    </row>
    <row r="3024" s="8" customFormat="1" spans="33:33">
      <c r="AG3024" s="9"/>
    </row>
    <row r="3025" s="8" customFormat="1" spans="33:33">
      <c r="AG3025" s="9"/>
    </row>
    <row r="3026" s="8" customFormat="1" spans="33:33">
      <c r="AG3026" s="9"/>
    </row>
    <row r="3027" s="8" customFormat="1" spans="33:33">
      <c r="AG3027" s="9"/>
    </row>
    <row r="3028" s="8" customFormat="1" spans="33:33">
      <c r="AG3028" s="9"/>
    </row>
    <row r="3029" s="8" customFormat="1" spans="33:33">
      <c r="AG3029" s="9"/>
    </row>
    <row r="3030" s="8" customFormat="1" spans="33:33">
      <c r="AG3030" s="9"/>
    </row>
    <row r="3031" s="8" customFormat="1" spans="33:33">
      <c r="AG3031" s="9"/>
    </row>
    <row r="3032" s="8" customFormat="1" spans="33:33">
      <c r="AG3032" s="9"/>
    </row>
    <row r="3033" s="8" customFormat="1" spans="33:33">
      <c r="AG3033" s="9"/>
    </row>
    <row r="3034" s="8" customFormat="1" spans="33:33">
      <c r="AG3034" s="9"/>
    </row>
    <row r="3035" s="8" customFormat="1" spans="33:33">
      <c r="AG3035" s="9"/>
    </row>
    <row r="3036" s="8" customFormat="1" spans="33:33">
      <c r="AG3036" s="9"/>
    </row>
    <row r="3037" s="8" customFormat="1" spans="33:33">
      <c r="AG3037" s="9"/>
    </row>
    <row r="3038" s="8" customFormat="1" spans="33:33">
      <c r="AG3038" s="9"/>
    </row>
    <row r="3039" s="8" customFormat="1" spans="33:33">
      <c r="AG3039" s="9"/>
    </row>
    <row r="3040" s="8" customFormat="1" spans="33:33">
      <c r="AG3040" s="9"/>
    </row>
    <row r="3041" s="8" customFormat="1" spans="33:33">
      <c r="AG3041" s="9"/>
    </row>
    <row r="3042" s="8" customFormat="1" spans="33:33">
      <c r="AG3042" s="9"/>
    </row>
    <row r="3043" s="8" customFormat="1" spans="33:33">
      <c r="AG3043" s="9"/>
    </row>
    <row r="3044" s="8" customFormat="1" spans="33:33">
      <c r="AG3044" s="9"/>
    </row>
    <row r="3045" s="8" customFormat="1" spans="33:33">
      <c r="AG3045" s="9"/>
    </row>
    <row r="3046" s="8" customFormat="1" spans="33:33">
      <c r="AG3046" s="9"/>
    </row>
    <row r="3047" s="8" customFormat="1" spans="33:33">
      <c r="AG3047" s="9"/>
    </row>
    <row r="3048" s="8" customFormat="1" spans="33:33">
      <c r="AG3048" s="9"/>
    </row>
    <row r="3049" s="8" customFormat="1" spans="33:33">
      <c r="AG3049" s="9"/>
    </row>
    <row r="3050" s="8" customFormat="1" spans="33:33">
      <c r="AG3050" s="9"/>
    </row>
    <row r="3051" s="8" customFormat="1" spans="33:33">
      <c r="AG3051" s="9"/>
    </row>
    <row r="3052" s="8" customFormat="1" spans="33:33">
      <c r="AG3052" s="9"/>
    </row>
    <row r="3053" s="8" customFormat="1" spans="33:33">
      <c r="AG3053" s="9"/>
    </row>
    <row r="3054" s="8" customFormat="1" spans="33:33">
      <c r="AG3054" s="9"/>
    </row>
    <row r="3055" s="8" customFormat="1" spans="33:33">
      <c r="AG3055" s="9"/>
    </row>
    <row r="3056" s="8" customFormat="1" spans="33:33">
      <c r="AG3056" s="9"/>
    </row>
    <row r="3057" s="8" customFormat="1" spans="33:33">
      <c r="AG3057" s="9"/>
    </row>
    <row r="3058" s="8" customFormat="1" spans="33:33">
      <c r="AG3058" s="9"/>
    </row>
    <row r="3059" s="8" customFormat="1" spans="33:33">
      <c r="AG3059" s="9"/>
    </row>
    <row r="3060" s="8" customFormat="1" spans="33:33">
      <c r="AG3060" s="9"/>
    </row>
    <row r="3061" s="8" customFormat="1" spans="33:33">
      <c r="AG3061" s="9"/>
    </row>
    <row r="3062" s="8" customFormat="1" spans="33:33">
      <c r="AG3062" s="9"/>
    </row>
    <row r="3063" s="8" customFormat="1" spans="33:33">
      <c r="AG3063" s="9"/>
    </row>
    <row r="3064" s="8" customFormat="1" spans="33:33">
      <c r="AG3064" s="9"/>
    </row>
    <row r="3065" s="8" customFormat="1" spans="33:33">
      <c r="AG3065" s="9"/>
    </row>
    <row r="3066" s="8" customFormat="1" spans="33:33">
      <c r="AG3066" s="9"/>
    </row>
    <row r="3067" s="8" customFormat="1" spans="33:33">
      <c r="AG3067" s="9"/>
    </row>
    <row r="3068" s="8" customFormat="1" spans="33:33">
      <c r="AG3068" s="9"/>
    </row>
    <row r="3069" s="8" customFormat="1" spans="33:33">
      <c r="AG3069" s="9"/>
    </row>
    <row r="3070" s="8" customFormat="1" spans="33:33">
      <c r="AG3070" s="9"/>
    </row>
    <row r="3071" s="8" customFormat="1" spans="33:33">
      <c r="AG3071" s="9"/>
    </row>
    <row r="3072" s="8" customFormat="1" spans="33:33">
      <c r="AG3072" s="9"/>
    </row>
    <row r="3073" s="8" customFormat="1" spans="33:33">
      <c r="AG3073" s="9"/>
    </row>
    <row r="3074" s="8" customFormat="1" spans="33:33">
      <c r="AG3074" s="9"/>
    </row>
    <row r="3075" s="8" customFormat="1" spans="33:33">
      <c r="AG3075" s="9"/>
    </row>
    <row r="3076" s="8" customFormat="1" spans="33:33">
      <c r="AG3076" s="9"/>
    </row>
    <row r="3077" s="8" customFormat="1" spans="33:33">
      <c r="AG3077" s="9"/>
    </row>
    <row r="3078" s="8" customFormat="1" spans="33:33">
      <c r="AG3078" s="9"/>
    </row>
    <row r="3079" s="8" customFormat="1" spans="33:33">
      <c r="AG3079" s="9"/>
    </row>
    <row r="3080" s="8" customFormat="1" spans="33:33">
      <c r="AG3080" s="9"/>
    </row>
    <row r="3081" s="8" customFormat="1" spans="33:33">
      <c r="AG3081" s="9"/>
    </row>
    <row r="3082" s="8" customFormat="1" spans="33:33">
      <c r="AG3082" s="9"/>
    </row>
    <row r="3083" s="8" customFormat="1" spans="33:33">
      <c r="AG3083" s="9"/>
    </row>
    <row r="3084" s="8" customFormat="1" spans="33:33">
      <c r="AG3084" s="9"/>
    </row>
    <row r="3085" s="8" customFormat="1" spans="33:33">
      <c r="AG3085" s="9"/>
    </row>
    <row r="3086" s="8" customFormat="1" spans="33:33">
      <c r="AG3086" s="9"/>
    </row>
    <row r="3087" s="8" customFormat="1" spans="33:33">
      <c r="AG3087" s="9"/>
    </row>
    <row r="3088" s="8" customFormat="1" spans="33:33">
      <c r="AG3088" s="9"/>
    </row>
    <row r="3089" s="8" customFormat="1" spans="33:33">
      <c r="AG3089" s="9"/>
    </row>
    <row r="3090" s="8" customFormat="1" spans="33:33">
      <c r="AG3090" s="9"/>
    </row>
    <row r="3091" s="8" customFormat="1" spans="33:33">
      <c r="AG3091" s="9"/>
    </row>
    <row r="3092" s="8" customFormat="1" spans="33:33">
      <c r="AG3092" s="9"/>
    </row>
    <row r="3093" s="8" customFormat="1" spans="33:33">
      <c r="AG3093" s="9"/>
    </row>
    <row r="3094" s="8" customFormat="1" spans="33:33">
      <c r="AG3094" s="9"/>
    </row>
    <row r="3095" s="8" customFormat="1" spans="33:33">
      <c r="AG3095" s="9"/>
    </row>
    <row r="3096" s="8" customFormat="1" spans="33:33">
      <c r="AG3096" s="9"/>
    </row>
    <row r="3097" s="8" customFormat="1" spans="33:33">
      <c r="AG3097" s="9"/>
    </row>
    <row r="3098" s="8" customFormat="1" spans="33:33">
      <c r="AG3098" s="9"/>
    </row>
    <row r="3099" s="8" customFormat="1" spans="33:33">
      <c r="AG3099" s="9"/>
    </row>
    <row r="3100" s="8" customFormat="1" spans="33:33">
      <c r="AG3100" s="9"/>
    </row>
    <row r="3101" s="8" customFormat="1" spans="33:33">
      <c r="AG3101" s="9"/>
    </row>
    <row r="3102" s="8" customFormat="1" spans="33:33">
      <c r="AG3102" s="9"/>
    </row>
    <row r="3103" s="8" customFormat="1" spans="33:33">
      <c r="AG3103" s="9"/>
    </row>
    <row r="3104" s="8" customFormat="1" spans="33:33">
      <c r="AG3104" s="9"/>
    </row>
    <row r="3105" s="8" customFormat="1" spans="33:33">
      <c r="AG3105" s="9"/>
    </row>
    <row r="3106" s="8" customFormat="1" spans="33:33">
      <c r="AG3106" s="9"/>
    </row>
    <row r="3107" s="8" customFormat="1" spans="33:33">
      <c r="AG3107" s="9"/>
    </row>
    <row r="3108" s="8" customFormat="1" spans="33:33">
      <c r="AG3108" s="9"/>
    </row>
    <row r="3109" s="8" customFormat="1" spans="33:33">
      <c r="AG3109" s="9"/>
    </row>
    <row r="3110" s="8" customFormat="1" spans="33:33">
      <c r="AG3110" s="9"/>
    </row>
    <row r="3111" s="8" customFormat="1" spans="33:33">
      <c r="AG3111" s="9"/>
    </row>
    <row r="3112" s="8" customFormat="1" spans="33:33">
      <c r="AG3112" s="9"/>
    </row>
    <row r="3113" s="8" customFormat="1" spans="33:33">
      <c r="AG3113" s="9"/>
    </row>
    <row r="3114" s="8" customFormat="1" spans="33:33">
      <c r="AG3114" s="9"/>
    </row>
    <row r="3115" s="8" customFormat="1" spans="33:33">
      <c r="AG3115" s="9"/>
    </row>
    <row r="3116" s="8" customFormat="1" spans="33:33">
      <c r="AG3116" s="9"/>
    </row>
    <row r="3117" s="8" customFormat="1" spans="33:33">
      <c r="AG3117" s="9"/>
    </row>
    <row r="3118" s="8" customFormat="1" spans="33:33">
      <c r="AG3118" s="9"/>
    </row>
    <row r="3119" s="8" customFormat="1" spans="33:33">
      <c r="AG3119" s="9"/>
    </row>
    <row r="3120" s="8" customFormat="1" spans="33:33">
      <c r="AG3120" s="9"/>
    </row>
    <row r="3121" s="8" customFormat="1" spans="33:33">
      <c r="AG3121" s="9"/>
    </row>
    <row r="3122" s="8" customFormat="1" spans="33:33">
      <c r="AG3122" s="9"/>
    </row>
    <row r="3123" s="8" customFormat="1" spans="33:33">
      <c r="AG3123" s="9"/>
    </row>
    <row r="3124" s="8" customFormat="1" spans="33:33">
      <c r="AG3124" s="9"/>
    </row>
    <row r="3125" s="8" customFormat="1" spans="33:33">
      <c r="AG3125" s="9"/>
    </row>
    <row r="3126" s="8" customFormat="1" spans="33:33">
      <c r="AG3126" s="9"/>
    </row>
    <row r="3127" s="8" customFormat="1" spans="33:33">
      <c r="AG3127" s="9"/>
    </row>
    <row r="3128" s="8" customFormat="1" spans="33:33">
      <c r="AG3128" s="9"/>
    </row>
    <row r="3129" s="8" customFormat="1" spans="33:33">
      <c r="AG3129" s="9"/>
    </row>
    <row r="3130" s="8" customFormat="1" spans="33:33">
      <c r="AG3130" s="9"/>
    </row>
    <row r="3131" s="8" customFormat="1" spans="33:33">
      <c r="AG3131" s="9"/>
    </row>
    <row r="3132" s="8" customFormat="1" spans="33:33">
      <c r="AG3132" s="9"/>
    </row>
    <row r="3133" s="8" customFormat="1" spans="33:33">
      <c r="AG3133" s="9"/>
    </row>
    <row r="3134" s="8" customFormat="1" spans="33:33">
      <c r="AG3134" s="9"/>
    </row>
    <row r="3135" s="8" customFormat="1" spans="33:33">
      <c r="AG3135" s="9"/>
    </row>
    <row r="3136" s="8" customFormat="1" spans="33:33">
      <c r="AG3136" s="9"/>
    </row>
    <row r="3137" s="8" customFormat="1" spans="33:33">
      <c r="AG3137" s="9"/>
    </row>
    <row r="3138" s="8" customFormat="1" spans="33:33">
      <c r="AG3138" s="9"/>
    </row>
    <row r="3139" s="8" customFormat="1" spans="33:33">
      <c r="AG3139" s="9"/>
    </row>
    <row r="3140" s="8" customFormat="1" spans="33:33">
      <c r="AG3140" s="9"/>
    </row>
    <row r="3141" s="8" customFormat="1" spans="33:33">
      <c r="AG3141" s="9"/>
    </row>
    <row r="3142" s="8" customFormat="1" spans="33:33">
      <c r="AG3142" s="9"/>
    </row>
    <row r="3143" s="8" customFormat="1" spans="33:33">
      <c r="AG3143" s="9"/>
    </row>
    <row r="3144" s="8" customFormat="1" spans="33:33">
      <c r="AG3144" s="9"/>
    </row>
    <row r="3145" s="8" customFormat="1" spans="33:33">
      <c r="AG3145" s="9"/>
    </row>
    <row r="3146" s="8" customFormat="1" spans="33:33">
      <c r="AG3146" s="9"/>
    </row>
    <row r="3147" s="8" customFormat="1" spans="33:33">
      <c r="AG3147" s="9"/>
    </row>
    <row r="3148" s="8" customFormat="1" spans="33:33">
      <c r="AG3148" s="9"/>
    </row>
    <row r="3149" s="8" customFormat="1" spans="33:33">
      <c r="AG3149" s="9"/>
    </row>
    <row r="3150" s="8" customFormat="1" spans="33:33">
      <c r="AG3150" s="9"/>
    </row>
    <row r="3151" s="8" customFormat="1" spans="33:33">
      <c r="AG3151" s="9"/>
    </row>
    <row r="3152" s="8" customFormat="1" spans="33:33">
      <c r="AG3152" s="9"/>
    </row>
    <row r="3153" s="8" customFormat="1" spans="33:33">
      <c r="AG3153" s="9"/>
    </row>
    <row r="3154" s="8" customFormat="1" spans="33:33">
      <c r="AG3154" s="9"/>
    </row>
    <row r="3155" s="8" customFormat="1" spans="33:33">
      <c r="AG3155" s="9"/>
    </row>
    <row r="3156" s="8" customFormat="1" spans="33:33">
      <c r="AG3156" s="9"/>
    </row>
    <row r="3157" s="8" customFormat="1" spans="33:33">
      <c r="AG3157" s="9"/>
    </row>
    <row r="3158" s="8" customFormat="1" spans="33:33">
      <c r="AG3158" s="9"/>
    </row>
    <row r="3159" s="8" customFormat="1" spans="33:33">
      <c r="AG3159" s="9"/>
    </row>
    <row r="3160" s="8" customFormat="1" spans="33:33">
      <c r="AG3160" s="9"/>
    </row>
    <row r="3161" s="8" customFormat="1" spans="33:33">
      <c r="AG3161" s="9"/>
    </row>
    <row r="3162" s="8" customFormat="1" spans="33:33">
      <c r="AG3162" s="9"/>
    </row>
    <row r="3163" s="8" customFormat="1" spans="33:33">
      <c r="AG3163" s="9"/>
    </row>
    <row r="3164" s="8" customFormat="1" spans="33:33">
      <c r="AG3164" s="9"/>
    </row>
    <row r="3165" s="8" customFormat="1" spans="33:33">
      <c r="AG3165" s="9"/>
    </row>
    <row r="3166" s="8" customFormat="1" spans="33:33">
      <c r="AG3166" s="9"/>
    </row>
    <row r="3167" s="8" customFormat="1" spans="33:33">
      <c r="AG3167" s="9"/>
    </row>
    <row r="3168" s="8" customFormat="1" spans="33:33">
      <c r="AG3168" s="9"/>
    </row>
    <row r="3169" s="8" customFormat="1" spans="33:33">
      <c r="AG3169" s="9"/>
    </row>
    <row r="3170" s="8" customFormat="1" spans="33:33">
      <c r="AG3170" s="9"/>
    </row>
    <row r="3171" s="8" customFormat="1" spans="33:33">
      <c r="AG3171" s="9"/>
    </row>
    <row r="3172" s="8" customFormat="1" spans="33:33">
      <c r="AG3172" s="9"/>
    </row>
    <row r="3173" s="8" customFormat="1" spans="33:33">
      <c r="AG3173" s="9"/>
    </row>
    <row r="3174" s="8" customFormat="1" spans="33:33">
      <c r="AG3174" s="9"/>
    </row>
    <row r="3175" s="8" customFormat="1" spans="33:33">
      <c r="AG3175" s="9"/>
    </row>
    <row r="3176" s="8" customFormat="1" spans="33:33">
      <c r="AG3176" s="9"/>
    </row>
    <row r="3177" s="8" customFormat="1" spans="33:33">
      <c r="AG3177" s="9"/>
    </row>
    <row r="3178" s="8" customFormat="1" spans="33:33">
      <c r="AG3178" s="9"/>
    </row>
    <row r="3179" s="8" customFormat="1" spans="33:33">
      <c r="AG3179" s="9"/>
    </row>
    <row r="3180" s="8" customFormat="1" spans="33:33">
      <c r="AG3180" s="9"/>
    </row>
    <row r="3181" s="8" customFormat="1" spans="33:33">
      <c r="AG3181" s="9"/>
    </row>
    <row r="3182" s="8" customFormat="1" spans="33:33">
      <c r="AG3182" s="9"/>
    </row>
    <row r="3183" s="8" customFormat="1" spans="33:33">
      <c r="AG3183" s="9"/>
    </row>
    <row r="3184" s="8" customFormat="1" spans="33:33">
      <c r="AG3184" s="9"/>
    </row>
    <row r="3185" s="8" customFormat="1" spans="33:33">
      <c r="AG3185" s="9"/>
    </row>
    <row r="3186" s="8" customFormat="1" spans="33:33">
      <c r="AG3186" s="9"/>
    </row>
    <row r="3187" s="8" customFormat="1" spans="33:33">
      <c r="AG3187" s="9"/>
    </row>
    <row r="3188" s="8" customFormat="1" spans="33:33">
      <c r="AG3188" s="9"/>
    </row>
    <row r="3189" s="8" customFormat="1" spans="33:33">
      <c r="AG3189" s="9"/>
    </row>
    <row r="3190" s="8" customFormat="1" spans="33:33">
      <c r="AG3190" s="9"/>
    </row>
    <row r="3191" s="8" customFormat="1" spans="33:33">
      <c r="AG3191" s="9"/>
    </row>
    <row r="3192" s="8" customFormat="1" spans="33:33">
      <c r="AG3192" s="9"/>
    </row>
    <row r="3193" s="8" customFormat="1" spans="33:33">
      <c r="AG3193" s="9"/>
    </row>
    <row r="3194" s="8" customFormat="1" spans="33:33">
      <c r="AG3194" s="9"/>
    </row>
    <row r="3195" s="8" customFormat="1" spans="33:33">
      <c r="AG3195" s="9"/>
    </row>
    <row r="3196" s="8" customFormat="1" spans="33:33">
      <c r="AG3196" s="9"/>
    </row>
    <row r="3197" s="8" customFormat="1" spans="33:33">
      <c r="AG3197" s="9"/>
    </row>
    <row r="3198" s="8" customFormat="1" spans="33:33">
      <c r="AG3198" s="9"/>
    </row>
    <row r="3199" s="8" customFormat="1" spans="33:33">
      <c r="AG3199" s="9"/>
    </row>
    <row r="3200" s="8" customFormat="1" spans="33:33">
      <c r="AG3200" s="9"/>
    </row>
    <row r="3201" s="8" customFormat="1" spans="33:33">
      <c r="AG3201" s="9"/>
    </row>
    <row r="3202" s="8" customFormat="1" spans="33:33">
      <c r="AG3202" s="9"/>
    </row>
    <row r="3203" s="8" customFormat="1" spans="33:33">
      <c r="AG3203" s="9"/>
    </row>
    <row r="3204" s="8" customFormat="1" spans="33:33">
      <c r="AG3204" s="9"/>
    </row>
    <row r="3205" s="8" customFormat="1" spans="33:33">
      <c r="AG3205" s="9"/>
    </row>
    <row r="3206" s="8" customFormat="1" spans="33:33">
      <c r="AG3206" s="9"/>
    </row>
    <row r="3207" s="8" customFormat="1" spans="33:33">
      <c r="AG3207" s="9"/>
    </row>
    <row r="3208" s="8" customFormat="1" spans="33:33">
      <c r="AG3208" s="9"/>
    </row>
    <row r="3209" s="8" customFormat="1" spans="33:33">
      <c r="AG3209" s="9"/>
    </row>
    <row r="3210" s="8" customFormat="1" spans="33:33">
      <c r="AG3210" s="9"/>
    </row>
    <row r="3211" s="8" customFormat="1" spans="33:33">
      <c r="AG3211" s="9"/>
    </row>
    <row r="3212" s="8" customFormat="1" spans="33:33">
      <c r="AG3212" s="9"/>
    </row>
    <row r="3213" s="8" customFormat="1" spans="33:33">
      <c r="AG3213" s="9"/>
    </row>
    <row r="3214" s="8" customFormat="1" spans="33:33">
      <c r="AG3214" s="9"/>
    </row>
    <row r="3215" s="8" customFormat="1" spans="33:33">
      <c r="AG3215" s="9"/>
    </row>
    <row r="3216" s="8" customFormat="1" spans="33:33">
      <c r="AG3216" s="9"/>
    </row>
    <row r="3217" s="8" customFormat="1" spans="33:33">
      <c r="AG3217" s="9"/>
    </row>
    <row r="3218" s="8" customFormat="1" spans="33:33">
      <c r="AG3218" s="9"/>
    </row>
    <row r="3219" s="8" customFormat="1" spans="33:33">
      <c r="AG3219" s="9"/>
    </row>
    <row r="3220" s="8" customFormat="1" spans="33:33">
      <c r="AG3220" s="9"/>
    </row>
    <row r="3221" s="8" customFormat="1" spans="33:33">
      <c r="AG3221" s="9"/>
    </row>
    <row r="3222" s="8" customFormat="1" spans="33:33">
      <c r="AG3222" s="9"/>
    </row>
    <row r="3223" s="8" customFormat="1" spans="33:33">
      <c r="AG3223" s="9"/>
    </row>
    <row r="3224" s="8" customFormat="1" spans="33:33">
      <c r="AG3224" s="9"/>
    </row>
    <row r="3225" s="8" customFormat="1" spans="33:33">
      <c r="AG3225" s="9"/>
    </row>
    <row r="3226" s="8" customFormat="1" spans="33:33">
      <c r="AG3226" s="9"/>
    </row>
    <row r="3227" s="8" customFormat="1" spans="33:33">
      <c r="AG3227" s="9"/>
    </row>
    <row r="3228" s="8" customFormat="1" spans="33:33">
      <c r="AG3228" s="9"/>
    </row>
    <row r="3229" s="8" customFormat="1" spans="33:33">
      <c r="AG3229" s="9"/>
    </row>
    <row r="3230" s="8" customFormat="1" spans="33:33">
      <c r="AG3230" s="9"/>
    </row>
    <row r="3231" s="8" customFormat="1" spans="33:33">
      <c r="AG3231" s="9"/>
    </row>
    <row r="3232" s="8" customFormat="1" spans="33:33">
      <c r="AG3232" s="9"/>
    </row>
    <row r="3233" s="8" customFormat="1" spans="33:33">
      <c r="AG3233" s="9"/>
    </row>
    <row r="3234" s="8" customFormat="1" spans="33:33">
      <c r="AG3234" s="9"/>
    </row>
    <row r="3235" s="8" customFormat="1" spans="33:33">
      <c r="AG3235" s="9"/>
    </row>
    <row r="3236" s="8" customFormat="1" spans="33:33">
      <c r="AG3236" s="9"/>
    </row>
    <row r="3237" s="8" customFormat="1" spans="33:33">
      <c r="AG3237" s="9"/>
    </row>
    <row r="3238" s="8" customFormat="1" spans="33:33">
      <c r="AG3238" s="9"/>
    </row>
    <row r="3239" s="8" customFormat="1" spans="33:33">
      <c r="AG3239" s="9"/>
    </row>
    <row r="3240" s="8" customFormat="1" spans="33:33">
      <c r="AG3240" s="9"/>
    </row>
    <row r="3241" s="8" customFormat="1" spans="33:33">
      <c r="AG3241" s="9"/>
    </row>
    <row r="3242" s="8" customFormat="1" spans="33:33">
      <c r="AG3242" s="9"/>
    </row>
    <row r="3243" s="8" customFormat="1" spans="33:33">
      <c r="AG3243" s="9"/>
    </row>
    <row r="3244" s="8" customFormat="1" spans="33:33">
      <c r="AG3244" s="9"/>
    </row>
    <row r="3245" s="8" customFormat="1" spans="33:33">
      <c r="AG3245" s="9"/>
    </row>
    <row r="3246" s="8" customFormat="1" spans="33:33">
      <c r="AG3246" s="9"/>
    </row>
    <row r="3247" s="8" customFormat="1" spans="33:33">
      <c r="AG3247" s="9"/>
    </row>
    <row r="3248" s="8" customFormat="1" spans="33:33">
      <c r="AG3248" s="9"/>
    </row>
    <row r="3249" s="8" customFormat="1" spans="33:33">
      <c r="AG3249" s="9"/>
    </row>
    <row r="3250" s="8" customFormat="1" spans="33:33">
      <c r="AG3250" s="9"/>
    </row>
    <row r="3251" s="8" customFormat="1" spans="33:33">
      <c r="AG3251" s="9"/>
    </row>
    <row r="3252" s="8" customFormat="1" spans="33:33">
      <c r="AG3252" s="9"/>
    </row>
    <row r="3253" s="8" customFormat="1" spans="33:33">
      <c r="AG3253" s="9"/>
    </row>
    <row r="3254" s="8" customFormat="1" spans="33:33">
      <c r="AG3254" s="9"/>
    </row>
    <row r="3255" s="8" customFormat="1" spans="33:33">
      <c r="AG3255" s="9"/>
    </row>
    <row r="3256" s="8" customFormat="1" spans="33:33">
      <c r="AG3256" s="9"/>
    </row>
    <row r="3257" s="8" customFormat="1" spans="33:33">
      <c r="AG3257" s="9"/>
    </row>
    <row r="3258" s="8" customFormat="1" spans="33:33">
      <c r="AG3258" s="9"/>
    </row>
    <row r="3259" s="8" customFormat="1" spans="33:33">
      <c r="AG3259" s="9"/>
    </row>
    <row r="3260" s="8" customFormat="1" spans="33:33">
      <c r="AG3260" s="9"/>
    </row>
    <row r="3261" s="8" customFormat="1" spans="33:33">
      <c r="AG3261" s="9"/>
    </row>
    <row r="3262" s="8" customFormat="1" spans="33:33">
      <c r="AG3262" s="9"/>
    </row>
    <row r="3263" s="8" customFormat="1" spans="33:33">
      <c r="AG3263" s="9"/>
    </row>
    <row r="3264" s="8" customFormat="1" spans="33:33">
      <c r="AG3264" s="9"/>
    </row>
    <row r="3265" s="8" customFormat="1" spans="33:33">
      <c r="AG3265" s="9"/>
    </row>
    <row r="3266" s="8" customFormat="1" spans="33:33">
      <c r="AG3266" s="9"/>
    </row>
    <row r="3267" s="8" customFormat="1" spans="33:33">
      <c r="AG3267" s="9"/>
    </row>
    <row r="3268" s="8" customFormat="1" spans="33:33">
      <c r="AG3268" s="9"/>
    </row>
    <row r="3269" s="8" customFormat="1" spans="33:33">
      <c r="AG3269" s="9"/>
    </row>
    <row r="3270" s="8" customFormat="1" spans="33:33">
      <c r="AG3270" s="9"/>
    </row>
    <row r="3271" s="8" customFormat="1" spans="33:33">
      <c r="AG3271" s="9"/>
    </row>
    <row r="3272" s="8" customFormat="1" spans="33:33">
      <c r="AG3272" s="9"/>
    </row>
    <row r="3273" s="8" customFormat="1" spans="33:33">
      <c r="AG3273" s="9"/>
    </row>
    <row r="3274" s="8" customFormat="1" spans="33:33">
      <c r="AG3274" s="9"/>
    </row>
    <row r="3275" s="8" customFormat="1" spans="33:33">
      <c r="AG3275" s="9"/>
    </row>
    <row r="3276" s="8" customFormat="1" spans="33:33">
      <c r="AG3276" s="9"/>
    </row>
    <row r="3277" s="8" customFormat="1" spans="33:33">
      <c r="AG3277" s="9"/>
    </row>
    <row r="3278" s="8" customFormat="1" spans="33:33">
      <c r="AG3278" s="9"/>
    </row>
    <row r="3279" s="8" customFormat="1" spans="33:33">
      <c r="AG3279" s="9"/>
    </row>
    <row r="3280" s="8" customFormat="1" spans="33:33">
      <c r="AG3280" s="9"/>
    </row>
    <row r="3281" s="8" customFormat="1" spans="33:33">
      <c r="AG3281" s="9"/>
    </row>
    <row r="3282" s="8" customFormat="1" spans="33:33">
      <c r="AG3282" s="9"/>
    </row>
    <row r="3283" s="8" customFormat="1" spans="33:33">
      <c r="AG3283" s="9"/>
    </row>
    <row r="3284" s="8" customFormat="1" spans="33:33">
      <c r="AG3284" s="9"/>
    </row>
    <row r="3285" s="8" customFormat="1" spans="33:33">
      <c r="AG3285" s="9"/>
    </row>
    <row r="3286" s="8" customFormat="1" spans="33:33">
      <c r="AG3286" s="9"/>
    </row>
    <row r="3287" s="8" customFormat="1" spans="33:33">
      <c r="AG3287" s="9"/>
    </row>
    <row r="3288" s="8" customFormat="1" spans="33:33">
      <c r="AG3288" s="9"/>
    </row>
    <row r="3289" s="8" customFormat="1" spans="33:33">
      <c r="AG3289" s="9"/>
    </row>
    <row r="3290" s="8" customFormat="1" spans="33:33">
      <c r="AG3290" s="9"/>
    </row>
    <row r="3291" s="8" customFormat="1" spans="33:33">
      <c r="AG3291" s="9"/>
    </row>
    <row r="3292" s="8" customFormat="1" spans="33:33">
      <c r="AG3292" s="9"/>
    </row>
    <row r="3293" s="8" customFormat="1" spans="33:33">
      <c r="AG3293" s="9"/>
    </row>
    <row r="3294" s="8" customFormat="1" spans="33:33">
      <c r="AG3294" s="9"/>
    </row>
    <row r="3295" s="8" customFormat="1" spans="33:33">
      <c r="AG3295" s="9"/>
    </row>
    <row r="3296" s="8" customFormat="1" spans="33:33">
      <c r="AG3296" s="9"/>
    </row>
    <row r="3297" s="8" customFormat="1" spans="33:33">
      <c r="AG3297" s="9"/>
    </row>
    <row r="3298" s="8" customFormat="1" spans="33:33">
      <c r="AG3298" s="9"/>
    </row>
    <row r="3299" s="8" customFormat="1" spans="33:33">
      <c r="AG3299" s="9"/>
    </row>
    <row r="3300" s="8" customFormat="1" spans="33:33">
      <c r="AG3300" s="9"/>
    </row>
    <row r="3301" s="8" customFormat="1" spans="33:33">
      <c r="AG3301" s="9"/>
    </row>
    <row r="3302" s="8" customFormat="1" spans="33:33">
      <c r="AG3302" s="9"/>
    </row>
    <row r="3303" s="8" customFormat="1" spans="33:33">
      <c r="AG3303" s="9"/>
    </row>
    <row r="3304" s="8" customFormat="1" spans="33:33">
      <c r="AG3304" s="9"/>
    </row>
    <row r="3305" s="8" customFormat="1" spans="33:33">
      <c r="AG3305" s="9"/>
    </row>
    <row r="3306" s="8" customFormat="1" spans="33:33">
      <c r="AG3306" s="9"/>
    </row>
    <row r="3307" s="8" customFormat="1" spans="33:33">
      <c r="AG3307" s="9"/>
    </row>
    <row r="3308" s="8" customFormat="1" spans="33:33">
      <c r="AG3308" s="9"/>
    </row>
    <row r="3309" s="8" customFormat="1" spans="33:33">
      <c r="AG3309" s="9"/>
    </row>
    <row r="3310" s="8" customFormat="1" spans="33:33">
      <c r="AG3310" s="9"/>
    </row>
    <row r="3311" s="8" customFormat="1" spans="33:33">
      <c r="AG3311" s="9"/>
    </row>
    <row r="3312" s="8" customFormat="1" spans="33:33">
      <c r="AG3312" s="9"/>
    </row>
    <row r="3313" s="8" customFormat="1" spans="33:33">
      <c r="AG3313" s="9"/>
    </row>
    <row r="3314" s="8" customFormat="1" spans="33:33">
      <c r="AG3314" s="9"/>
    </row>
    <row r="3315" s="8" customFormat="1" spans="33:33">
      <c r="AG3315" s="9"/>
    </row>
    <row r="3316" s="8" customFormat="1" spans="33:33">
      <c r="AG3316" s="9"/>
    </row>
    <row r="3317" s="8" customFormat="1" spans="33:33">
      <c r="AG3317" s="9"/>
    </row>
    <row r="3318" s="8" customFormat="1" spans="33:33">
      <c r="AG3318" s="9"/>
    </row>
    <row r="3319" s="8" customFormat="1" spans="33:33">
      <c r="AG3319" s="9"/>
    </row>
    <row r="3320" s="8" customFormat="1" spans="33:33">
      <c r="AG3320" s="9"/>
    </row>
    <row r="3321" s="8" customFormat="1" spans="33:33">
      <c r="AG3321" s="9"/>
    </row>
    <row r="3322" s="8" customFormat="1" spans="33:33">
      <c r="AG3322" s="9"/>
    </row>
    <row r="3323" s="8" customFormat="1" spans="33:33">
      <c r="AG3323" s="9"/>
    </row>
    <row r="3324" s="8" customFormat="1" spans="33:33">
      <c r="AG3324" s="9"/>
    </row>
    <row r="3325" s="8" customFormat="1" spans="33:33">
      <c r="AG3325" s="9"/>
    </row>
    <row r="3326" s="8" customFormat="1" spans="33:33">
      <c r="AG3326" s="9"/>
    </row>
    <row r="3327" s="8" customFormat="1" spans="33:33">
      <c r="AG3327" s="9"/>
    </row>
    <row r="3328" s="8" customFormat="1" spans="33:33">
      <c r="AG3328" s="9"/>
    </row>
    <row r="3329" s="8" customFormat="1" spans="33:33">
      <c r="AG3329" s="9"/>
    </row>
    <row r="3330" s="8" customFormat="1" spans="33:33">
      <c r="AG3330" s="9"/>
    </row>
    <row r="3331" s="8" customFormat="1" spans="33:33">
      <c r="AG3331" s="9"/>
    </row>
    <row r="3332" s="8" customFormat="1" spans="33:33">
      <c r="AG3332" s="9"/>
    </row>
    <row r="3333" s="8" customFormat="1" spans="33:33">
      <c r="AG3333" s="9"/>
    </row>
    <row r="3334" s="8" customFormat="1" spans="33:33">
      <c r="AG3334" s="9"/>
    </row>
    <row r="3335" s="8" customFormat="1" spans="33:33">
      <c r="AG3335" s="9"/>
    </row>
    <row r="3336" s="8" customFormat="1" spans="33:33">
      <c r="AG3336" s="9"/>
    </row>
    <row r="3337" s="8" customFormat="1" spans="33:33">
      <c r="AG3337" s="9"/>
    </row>
    <row r="3338" s="8" customFormat="1" spans="33:33">
      <c r="AG3338" s="9"/>
    </row>
    <row r="3339" s="8" customFormat="1" spans="33:33">
      <c r="AG3339" s="9"/>
    </row>
    <row r="3340" s="8" customFormat="1" spans="33:33">
      <c r="AG3340" s="9"/>
    </row>
    <row r="3341" s="8" customFormat="1" spans="33:33">
      <c r="AG3341" s="9"/>
    </row>
    <row r="3342" s="8" customFormat="1" spans="33:33">
      <c r="AG3342" s="9"/>
    </row>
    <row r="3343" s="8" customFormat="1" spans="33:33">
      <c r="AG3343" s="9"/>
    </row>
    <row r="3344" s="8" customFormat="1" spans="33:33">
      <c r="AG3344" s="9"/>
    </row>
    <row r="3345" s="8" customFormat="1" spans="33:33">
      <c r="AG3345" s="9"/>
    </row>
    <row r="3346" s="8" customFormat="1" spans="33:33">
      <c r="AG3346" s="9"/>
    </row>
    <row r="3347" s="8" customFormat="1" spans="33:33">
      <c r="AG3347" s="9"/>
    </row>
    <row r="3348" s="8" customFormat="1" spans="33:33">
      <c r="AG3348" s="9"/>
    </row>
    <row r="3349" s="8" customFormat="1" spans="33:33">
      <c r="AG3349" s="9"/>
    </row>
    <row r="3350" s="8" customFormat="1" spans="33:33">
      <c r="AG3350" s="9"/>
    </row>
    <row r="3351" s="8" customFormat="1" spans="33:33">
      <c r="AG3351" s="9"/>
    </row>
    <row r="3352" s="8" customFormat="1" spans="33:33">
      <c r="AG3352" s="9"/>
    </row>
    <row r="3353" s="8" customFormat="1" spans="33:33">
      <c r="AG3353" s="9"/>
    </row>
    <row r="3354" s="8" customFormat="1" spans="33:33">
      <c r="AG3354" s="9"/>
    </row>
    <row r="3355" s="8" customFormat="1" spans="33:33">
      <c r="AG3355" s="9"/>
    </row>
    <row r="3356" s="8" customFormat="1" spans="33:33">
      <c r="AG3356" s="9"/>
    </row>
    <row r="3357" s="8" customFormat="1" spans="33:33">
      <c r="AG3357" s="9"/>
    </row>
    <row r="3358" s="8" customFormat="1" spans="33:33">
      <c r="AG3358" s="9"/>
    </row>
    <row r="3359" s="8" customFormat="1" spans="33:33">
      <c r="AG3359" s="9"/>
    </row>
    <row r="3360" s="8" customFormat="1" spans="33:33">
      <c r="AG3360" s="9"/>
    </row>
    <row r="3361" s="8" customFormat="1" spans="33:33">
      <c r="AG3361" s="9"/>
    </row>
    <row r="3362" s="8" customFormat="1" spans="33:33">
      <c r="AG3362" s="9"/>
    </row>
    <row r="3363" s="8" customFormat="1" spans="33:33">
      <c r="AG3363" s="9"/>
    </row>
    <row r="3364" s="8" customFormat="1" spans="33:33">
      <c r="AG3364" s="9"/>
    </row>
    <row r="3365" s="8" customFormat="1" spans="33:33">
      <c r="AG3365" s="9"/>
    </row>
    <row r="3366" s="8" customFormat="1" spans="33:33">
      <c r="AG3366" s="9"/>
    </row>
    <row r="3367" s="8" customFormat="1" spans="33:33">
      <c r="AG3367" s="9"/>
    </row>
    <row r="3368" s="8" customFormat="1" spans="33:33">
      <c r="AG3368" s="9"/>
    </row>
    <row r="3369" s="8" customFormat="1" spans="33:33">
      <c r="AG3369" s="9"/>
    </row>
    <row r="3370" s="8" customFormat="1" spans="33:33">
      <c r="AG3370" s="9"/>
    </row>
    <row r="3371" s="8" customFormat="1" spans="33:33">
      <c r="AG3371" s="9"/>
    </row>
    <row r="3372" s="8" customFormat="1" spans="33:33">
      <c r="AG3372" s="9"/>
    </row>
    <row r="3373" s="8" customFormat="1" spans="33:33">
      <c r="AG3373" s="9"/>
    </row>
    <row r="3374" s="8" customFormat="1" spans="33:33">
      <c r="AG3374" s="9"/>
    </row>
    <row r="3375" s="8" customFormat="1" spans="33:33">
      <c r="AG3375" s="9"/>
    </row>
    <row r="3376" s="8" customFormat="1" spans="33:33">
      <c r="AG3376" s="9"/>
    </row>
    <row r="3377" s="8" customFormat="1" spans="33:33">
      <c r="AG3377" s="9"/>
    </row>
    <row r="3378" s="8" customFormat="1" spans="33:33">
      <c r="AG3378" s="9"/>
    </row>
    <row r="3379" s="8" customFormat="1" spans="33:33">
      <c r="AG3379" s="9"/>
    </row>
    <row r="3380" s="8" customFormat="1" spans="33:33">
      <c r="AG3380" s="9"/>
    </row>
    <row r="3381" s="8" customFormat="1" spans="33:33">
      <c r="AG3381" s="9"/>
    </row>
    <row r="3382" s="8" customFormat="1" spans="33:33">
      <c r="AG3382" s="9"/>
    </row>
    <row r="3383" s="8" customFormat="1" spans="33:33">
      <c r="AG3383" s="9"/>
    </row>
    <row r="3384" s="8" customFormat="1" spans="33:33">
      <c r="AG3384" s="9"/>
    </row>
    <row r="3385" s="8" customFormat="1" spans="33:33">
      <c r="AG3385" s="9"/>
    </row>
    <row r="3386" s="8" customFormat="1" spans="33:33">
      <c r="AG3386" s="9"/>
    </row>
    <row r="3387" s="8" customFormat="1" spans="33:33">
      <c r="AG3387" s="9"/>
    </row>
    <row r="3388" s="8" customFormat="1" spans="33:33">
      <c r="AG3388" s="9"/>
    </row>
    <row r="3389" s="8" customFormat="1" spans="33:33">
      <c r="AG3389" s="9"/>
    </row>
    <row r="3390" s="8" customFormat="1" spans="33:33">
      <c r="AG3390" s="9"/>
    </row>
    <row r="3391" s="8" customFormat="1" spans="33:33">
      <c r="AG3391" s="9"/>
    </row>
    <row r="3392" s="8" customFormat="1" spans="33:33">
      <c r="AG3392" s="9"/>
    </row>
    <row r="3393" s="8" customFormat="1" spans="33:33">
      <c r="AG3393" s="9"/>
    </row>
    <row r="3394" s="8" customFormat="1" spans="33:33">
      <c r="AG3394" s="9"/>
    </row>
    <row r="3395" s="8" customFormat="1" spans="33:33">
      <c r="AG3395" s="9"/>
    </row>
    <row r="3396" s="8" customFormat="1" spans="33:33">
      <c r="AG3396" s="9"/>
    </row>
    <row r="3397" s="8" customFormat="1" spans="33:33">
      <c r="AG3397" s="9"/>
    </row>
    <row r="3398" s="8" customFormat="1" spans="33:33">
      <c r="AG3398" s="9"/>
    </row>
    <row r="3399" s="8" customFormat="1" spans="33:33">
      <c r="AG3399" s="9"/>
    </row>
    <row r="3400" s="8" customFormat="1" spans="33:33">
      <c r="AG3400" s="9"/>
    </row>
    <row r="3401" s="8" customFormat="1" spans="33:33">
      <c r="AG3401" s="9"/>
    </row>
    <row r="3402" s="8" customFormat="1" spans="33:33">
      <c r="AG3402" s="9"/>
    </row>
    <row r="3403" s="8" customFormat="1" spans="33:33">
      <c r="AG3403" s="9"/>
    </row>
    <row r="3404" s="8" customFormat="1" spans="33:33">
      <c r="AG3404" s="9"/>
    </row>
    <row r="3405" s="8" customFormat="1" spans="33:33">
      <c r="AG3405" s="9"/>
    </row>
    <row r="3406" s="8" customFormat="1" spans="33:33">
      <c r="AG3406" s="9"/>
    </row>
    <row r="3407" s="8" customFormat="1" spans="33:33">
      <c r="AG3407" s="9"/>
    </row>
    <row r="3408" s="8" customFormat="1" spans="33:33">
      <c r="AG3408" s="9"/>
    </row>
    <row r="3409" s="8" customFormat="1" spans="33:33">
      <c r="AG3409" s="9"/>
    </row>
    <row r="3410" s="8" customFormat="1" spans="33:33">
      <c r="AG3410" s="9"/>
    </row>
    <row r="3411" s="8" customFormat="1" spans="33:33">
      <c r="AG3411" s="9"/>
    </row>
    <row r="3412" s="8" customFormat="1" spans="33:33">
      <c r="AG3412" s="9"/>
    </row>
    <row r="3413" s="8" customFormat="1" spans="33:33">
      <c r="AG3413" s="9"/>
    </row>
    <row r="3414" s="8" customFormat="1" spans="33:33">
      <c r="AG3414" s="9"/>
    </row>
    <row r="3415" s="8" customFormat="1" spans="33:33">
      <c r="AG3415" s="9"/>
    </row>
    <row r="3416" s="8" customFormat="1" spans="33:33">
      <c r="AG3416" s="9"/>
    </row>
    <row r="3417" s="8" customFormat="1" spans="33:33">
      <c r="AG3417" s="9"/>
    </row>
    <row r="3418" s="8" customFormat="1" spans="33:33">
      <c r="AG3418" s="9"/>
    </row>
    <row r="3419" s="8" customFormat="1" spans="33:33">
      <c r="AG3419" s="9"/>
    </row>
    <row r="3420" s="8" customFormat="1" spans="33:33">
      <c r="AG3420" s="9"/>
    </row>
    <row r="3421" s="8" customFormat="1" spans="33:33">
      <c r="AG3421" s="9"/>
    </row>
    <row r="3422" s="8" customFormat="1" spans="33:33">
      <c r="AG3422" s="9"/>
    </row>
    <row r="3423" s="8" customFormat="1" spans="33:33">
      <c r="AG3423" s="9"/>
    </row>
    <row r="3424" s="8" customFormat="1" spans="33:33">
      <c r="AG3424" s="9"/>
    </row>
    <row r="3425" s="8" customFormat="1" spans="33:33">
      <c r="AG3425" s="9"/>
    </row>
    <row r="3426" s="8" customFormat="1" spans="33:33">
      <c r="AG3426" s="9"/>
    </row>
    <row r="3427" s="8" customFormat="1" spans="33:33">
      <c r="AG3427" s="9"/>
    </row>
    <row r="3428" s="8" customFormat="1" spans="33:33">
      <c r="AG3428" s="9"/>
    </row>
    <row r="3429" s="8" customFormat="1" spans="33:33">
      <c r="AG3429" s="9"/>
    </row>
    <row r="3430" s="8" customFormat="1" spans="33:33">
      <c r="AG3430" s="9"/>
    </row>
    <row r="3431" s="8" customFormat="1" spans="33:33">
      <c r="AG3431" s="9"/>
    </row>
    <row r="3432" s="8" customFormat="1" spans="33:33">
      <c r="AG3432" s="9"/>
    </row>
    <row r="3433" s="8" customFormat="1" spans="33:33">
      <c r="AG3433" s="9"/>
    </row>
    <row r="3434" s="8" customFormat="1" spans="33:33">
      <c r="AG3434" s="9"/>
    </row>
    <row r="3435" s="8" customFormat="1" spans="33:33">
      <c r="AG3435" s="9"/>
    </row>
    <row r="3436" s="8" customFormat="1" spans="33:33">
      <c r="AG3436" s="9"/>
    </row>
    <row r="3437" s="8" customFormat="1" spans="33:33">
      <c r="AG3437" s="9"/>
    </row>
    <row r="3438" s="8" customFormat="1" spans="33:33">
      <c r="AG3438" s="9"/>
    </row>
    <row r="3439" s="8" customFormat="1" spans="33:33">
      <c r="AG3439" s="9"/>
    </row>
    <row r="3440" s="8" customFormat="1" spans="33:33">
      <c r="AG3440" s="9"/>
    </row>
    <row r="3441" s="8" customFormat="1" spans="33:33">
      <c r="AG3441" s="9"/>
    </row>
    <row r="3442" s="8" customFormat="1" spans="33:33">
      <c r="AG3442" s="9"/>
    </row>
    <row r="3443" s="8" customFormat="1" spans="33:33">
      <c r="AG3443" s="9"/>
    </row>
    <row r="3444" s="8" customFormat="1" spans="33:33">
      <c r="AG3444" s="9"/>
    </row>
    <row r="3445" s="8" customFormat="1" spans="33:33">
      <c r="AG3445" s="9"/>
    </row>
    <row r="3446" s="8" customFormat="1" spans="33:33">
      <c r="AG3446" s="9"/>
    </row>
    <row r="3447" s="8" customFormat="1" spans="33:33">
      <c r="AG3447" s="9"/>
    </row>
    <row r="3448" s="8" customFormat="1" spans="33:33">
      <c r="AG3448" s="9"/>
    </row>
    <row r="3449" s="8" customFormat="1" spans="33:33">
      <c r="AG3449" s="9"/>
    </row>
    <row r="3450" s="8" customFormat="1" spans="33:33">
      <c r="AG3450" s="9"/>
    </row>
    <row r="3451" s="8" customFormat="1" spans="33:33">
      <c r="AG3451" s="9"/>
    </row>
    <row r="3452" s="8" customFormat="1" spans="33:33">
      <c r="AG3452" s="9"/>
    </row>
    <row r="3453" s="8" customFormat="1" spans="33:33">
      <c r="AG3453" s="9"/>
    </row>
    <row r="3454" s="8" customFormat="1" spans="33:33">
      <c r="AG3454" s="9"/>
    </row>
    <row r="3455" s="8" customFormat="1" spans="33:33">
      <c r="AG3455" s="9"/>
    </row>
    <row r="3456" s="8" customFormat="1" spans="33:33">
      <c r="AG3456" s="9"/>
    </row>
    <row r="3457" s="8" customFormat="1" spans="33:33">
      <c r="AG3457" s="9"/>
    </row>
    <row r="3458" s="8" customFormat="1" spans="33:33">
      <c r="AG3458" s="9"/>
    </row>
    <row r="3459" s="8" customFormat="1" spans="33:33">
      <c r="AG3459" s="9"/>
    </row>
    <row r="3460" s="8" customFormat="1" spans="33:33">
      <c r="AG3460" s="9"/>
    </row>
    <row r="3461" s="8" customFormat="1" spans="33:33">
      <c r="AG3461" s="9"/>
    </row>
    <row r="3462" s="8" customFormat="1" spans="33:33">
      <c r="AG3462" s="9"/>
    </row>
    <row r="3463" s="8" customFormat="1" spans="33:33">
      <c r="AG3463" s="9"/>
    </row>
    <row r="3464" s="8" customFormat="1" spans="33:33">
      <c r="AG3464" s="9"/>
    </row>
    <row r="3465" s="8" customFormat="1" spans="33:33">
      <c r="AG3465" s="9"/>
    </row>
    <row r="3466" s="8" customFormat="1" spans="33:33">
      <c r="AG3466" s="9"/>
    </row>
    <row r="3467" s="8" customFormat="1" spans="33:33">
      <c r="AG3467" s="9"/>
    </row>
    <row r="3468" s="8" customFormat="1" spans="33:33">
      <c r="AG3468" s="9"/>
    </row>
    <row r="3469" s="8" customFormat="1" spans="33:33">
      <c r="AG3469" s="9"/>
    </row>
    <row r="3470" s="8" customFormat="1" spans="33:33">
      <c r="AG3470" s="9"/>
    </row>
    <row r="3471" s="8" customFormat="1" spans="33:33">
      <c r="AG3471" s="9"/>
    </row>
    <row r="3472" s="8" customFormat="1" spans="33:33">
      <c r="AG3472" s="9"/>
    </row>
    <row r="3473" s="8" customFormat="1" spans="33:33">
      <c r="AG3473" s="9"/>
    </row>
    <row r="3474" s="8" customFormat="1" spans="33:33">
      <c r="AG3474" s="9"/>
    </row>
    <row r="3475" s="8" customFormat="1" spans="33:33">
      <c r="AG3475" s="9"/>
    </row>
    <row r="3476" s="8" customFormat="1" spans="33:33">
      <c r="AG3476" s="9"/>
    </row>
    <row r="3477" s="8" customFormat="1" spans="33:33">
      <c r="AG3477" s="9"/>
    </row>
    <row r="3478" s="8" customFormat="1" spans="33:33">
      <c r="AG3478" s="9"/>
    </row>
    <row r="3479" s="8" customFormat="1" spans="33:33">
      <c r="AG3479" s="9"/>
    </row>
    <row r="3480" s="8" customFormat="1" spans="33:33">
      <c r="AG3480" s="9"/>
    </row>
    <row r="3481" s="8" customFormat="1" spans="33:33">
      <c r="AG3481" s="9"/>
    </row>
    <row r="3482" s="8" customFormat="1" spans="33:33">
      <c r="AG3482" s="9"/>
    </row>
    <row r="3483" s="8" customFormat="1" spans="33:33">
      <c r="AG3483" s="9"/>
    </row>
    <row r="3484" s="8" customFormat="1" spans="33:33">
      <c r="AG3484" s="9"/>
    </row>
    <row r="3485" s="8" customFormat="1" spans="33:33">
      <c r="AG3485" s="9"/>
    </row>
    <row r="3486" s="8" customFormat="1" spans="33:33">
      <c r="AG3486" s="9"/>
    </row>
    <row r="3487" s="8" customFormat="1" spans="33:33">
      <c r="AG3487" s="9"/>
    </row>
    <row r="3488" s="8" customFormat="1" spans="33:33">
      <c r="AG3488" s="9"/>
    </row>
    <row r="3489" s="8" customFormat="1" spans="33:33">
      <c r="AG3489" s="9"/>
    </row>
    <row r="3490" s="8" customFormat="1" spans="33:33">
      <c r="AG3490" s="9"/>
    </row>
    <row r="4121" spans="1:29">
      <c r="A4121" s="8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8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  <c r="AA4121" s="8"/>
      <c r="AB4121" s="8"/>
      <c r="AC4121" s="8"/>
    </row>
    <row r="4122" spans="1:29">
      <c r="A4122" s="8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8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  <c r="AA4122" s="8"/>
      <c r="AB4122" s="8"/>
      <c r="AC4122" s="8"/>
    </row>
    <row r="4123" spans="1:29">
      <c r="A4123" s="8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8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  <c r="AA4123" s="8"/>
      <c r="AB4123" s="8"/>
      <c r="AC4123" s="8"/>
    </row>
    <row r="4124" spans="1:29">
      <c r="A4124" s="8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8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  <c r="AA4124" s="8"/>
      <c r="AB4124" s="8"/>
      <c r="AC4124" s="8"/>
    </row>
    <row r="4125" spans="1:29">
      <c r="A4125" s="8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8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  <c r="AA4125" s="8"/>
      <c r="AB4125" s="8"/>
      <c r="AC4125" s="8"/>
    </row>
    <row r="4126" spans="1:29">
      <c r="A4126" s="8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8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  <c r="AA4126" s="8"/>
      <c r="AB4126" s="8"/>
      <c r="AC4126" s="8"/>
    </row>
    <row r="4127" spans="1:29">
      <c r="A4127" s="8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8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  <c r="AA4127" s="8"/>
      <c r="AB4127" s="8"/>
      <c r="AC4127" s="8"/>
    </row>
    <row r="4128" spans="1:29">
      <c r="A4128" s="8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8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  <c r="AA4128" s="8"/>
      <c r="AB4128" s="8"/>
      <c r="AC4128" s="8"/>
    </row>
    <row r="4129" spans="1:29">
      <c r="A4129" s="8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8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  <c r="AA4129" s="8"/>
      <c r="AB4129" s="8"/>
      <c r="AC4129" s="8"/>
    </row>
    <row r="4130" spans="1:29">
      <c r="A4130" s="8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8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  <c r="AA4130" s="8"/>
      <c r="AB4130" s="8"/>
      <c r="AC4130" s="8"/>
    </row>
    <row r="4131" spans="1:29">
      <c r="A4131" s="8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8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  <c r="AA4131" s="8"/>
      <c r="AB4131" s="8"/>
      <c r="AC4131" s="8"/>
    </row>
    <row r="4132" spans="1:29">
      <c r="A4132" s="8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8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  <c r="AA4132" s="8"/>
      <c r="AB4132" s="8"/>
      <c r="AC4132" s="8"/>
    </row>
    <row r="4133" spans="1:29">
      <c r="A4133" s="8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8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  <c r="AA4133" s="8"/>
      <c r="AB4133" s="8"/>
      <c r="AC4133" s="8"/>
    </row>
    <row r="4134" spans="1:29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8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  <c r="AA4134" s="8"/>
      <c r="AB4134" s="8"/>
      <c r="AC4134" s="8"/>
    </row>
    <row r="4135" spans="1:29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8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  <c r="AA4135" s="8"/>
      <c r="AB4135" s="8"/>
      <c r="AC4135" s="8"/>
    </row>
    <row r="4136" spans="1:29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8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  <c r="AA4136" s="8"/>
      <c r="AB4136" s="8"/>
      <c r="AC4136" s="8"/>
    </row>
    <row r="4137" spans="1:29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8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  <c r="AA4137" s="8"/>
      <c r="AB4137" s="8"/>
      <c r="AC4137" s="8"/>
    </row>
    <row r="4138" spans="1:29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8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  <c r="AA4138" s="8"/>
      <c r="AB4138" s="8"/>
      <c r="AC4138" s="8"/>
    </row>
    <row r="4139" spans="1:29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8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  <c r="AA4139" s="8"/>
      <c r="AB4139" s="8"/>
      <c r="AC4139" s="8"/>
    </row>
    <row r="4140" spans="1:29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8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  <c r="AA4140" s="8"/>
      <c r="AB4140" s="8"/>
      <c r="AC4140" s="8"/>
    </row>
    <row r="4141" spans="1:29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8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  <c r="AA4141" s="8"/>
      <c r="AB4141" s="8"/>
      <c r="AC4141" s="8"/>
    </row>
    <row r="4142" spans="1:29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8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  <c r="AA4142" s="8"/>
      <c r="AB4142" s="8"/>
      <c r="AC4142" s="8"/>
    </row>
    <row r="4143" spans="1:29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8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  <c r="AA4143" s="8"/>
      <c r="AB4143" s="8"/>
      <c r="AC4143" s="8"/>
    </row>
    <row r="4144" spans="1:29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8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  <c r="AA4144" s="8"/>
      <c r="AB4144" s="8"/>
      <c r="AC4144" s="8"/>
    </row>
    <row r="4145" spans="1:29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8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  <c r="AA4145" s="8"/>
      <c r="AB4145" s="8"/>
      <c r="AC4145" s="8"/>
    </row>
    <row r="4146" spans="1:29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8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  <c r="AA4146" s="8"/>
      <c r="AB4146" s="8"/>
      <c r="AC4146" s="8"/>
    </row>
    <row r="4147" spans="1:29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8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  <c r="AA4147" s="8"/>
      <c r="AB4147" s="8"/>
      <c r="AC4147" s="8"/>
    </row>
    <row r="4148" spans="1:29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8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  <c r="AA4148" s="8"/>
      <c r="AB4148" s="8"/>
      <c r="AC4148" s="8"/>
    </row>
    <row r="4149" spans="1:29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8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  <c r="AA4149" s="8"/>
      <c r="AB4149" s="8"/>
      <c r="AC4149" s="8"/>
    </row>
    <row r="4150" spans="1:29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8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  <c r="AA4150" s="8"/>
      <c r="AB4150" s="8"/>
      <c r="AC4150" s="8"/>
    </row>
    <row r="4151" spans="1:29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8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  <c r="AA4151" s="8"/>
      <c r="AB4151" s="8"/>
      <c r="AC4151" s="8"/>
    </row>
    <row r="4152" spans="1:29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8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  <c r="AA4152" s="8"/>
      <c r="AB4152" s="8"/>
      <c r="AC4152" s="8"/>
    </row>
    <row r="4153" spans="1:29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8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  <c r="AA4153" s="8"/>
      <c r="AB4153" s="8"/>
      <c r="AC4153" s="8"/>
    </row>
    <row r="4154" spans="1:29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8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  <c r="AA4154" s="8"/>
      <c r="AB4154" s="8"/>
      <c r="AC4154" s="8"/>
    </row>
    <row r="4155" spans="1:29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8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  <c r="AA4155" s="8"/>
      <c r="AB4155" s="8"/>
      <c r="AC4155" s="8"/>
    </row>
    <row r="4156" spans="1:29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8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  <c r="AA4156" s="8"/>
      <c r="AB4156" s="8"/>
      <c r="AC4156" s="8"/>
    </row>
    <row r="4157" spans="1:29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8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  <c r="AA4157" s="8"/>
      <c r="AB4157" s="8"/>
      <c r="AC4157" s="8"/>
    </row>
    <row r="4158" spans="1:29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8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  <c r="AA4158" s="8"/>
      <c r="AB4158" s="8"/>
      <c r="AC4158" s="8"/>
    </row>
    <row r="4159" spans="1:29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8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  <c r="AA4159" s="8"/>
      <c r="AB4159" s="8"/>
      <c r="AC4159" s="8"/>
    </row>
    <row r="4160" spans="1:29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8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  <c r="AA4160" s="8"/>
      <c r="AB4160" s="8"/>
      <c r="AC4160" s="8"/>
    </row>
    <row r="4161" spans="1:29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8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  <c r="AA4161" s="8"/>
      <c r="AB4161" s="8"/>
      <c r="AC4161" s="8"/>
    </row>
    <row r="4162" spans="1:29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8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  <c r="AA4162" s="8"/>
      <c r="AB4162" s="8"/>
      <c r="AC4162" s="8"/>
    </row>
    <row r="4163" spans="1:29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8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  <c r="AA4163" s="8"/>
      <c r="AB4163" s="8"/>
      <c r="AC4163" s="8"/>
    </row>
    <row r="4164" spans="1:29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8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  <c r="AA4164" s="8"/>
      <c r="AB4164" s="8"/>
      <c r="AC4164" s="8"/>
    </row>
    <row r="4165" spans="1:29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8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  <c r="AA4165" s="8"/>
      <c r="AB4165" s="8"/>
      <c r="AC4165" s="8"/>
    </row>
    <row r="4166" spans="1:29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8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  <c r="AA4166" s="8"/>
      <c r="AB4166" s="8"/>
      <c r="AC4166" s="8"/>
    </row>
    <row r="4167" spans="1:29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8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  <c r="AA4167" s="8"/>
      <c r="AB4167" s="8"/>
      <c r="AC4167" s="8"/>
    </row>
    <row r="4168" spans="1:29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8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  <c r="AA4168" s="8"/>
      <c r="AB4168" s="8"/>
      <c r="AC4168" s="8"/>
    </row>
    <row r="4169" spans="1:29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8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  <c r="AA4169" s="8"/>
      <c r="AB4169" s="8"/>
      <c r="AC4169" s="8"/>
    </row>
    <row r="4170" spans="1:29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8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  <c r="AA4170" s="8"/>
      <c r="AB4170" s="8"/>
      <c r="AC4170" s="8"/>
    </row>
    <row r="4171" spans="1:29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8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  <c r="AA4171" s="8"/>
      <c r="AB4171" s="8"/>
      <c r="AC4171" s="8"/>
    </row>
    <row r="4172" spans="1:29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8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  <c r="AA4172" s="8"/>
      <c r="AB4172" s="8"/>
      <c r="AC4172" s="8"/>
    </row>
    <row r="4173" spans="1:29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8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  <c r="AA4173" s="8"/>
      <c r="AB4173" s="8"/>
      <c r="AC4173" s="8"/>
    </row>
    <row r="4174" spans="1:29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8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  <c r="AA4174" s="8"/>
      <c r="AB4174" s="8"/>
      <c r="AC4174" s="8"/>
    </row>
    <row r="4175" spans="1:29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8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  <c r="AA4175" s="8"/>
      <c r="AB4175" s="8"/>
      <c r="AC4175" s="8"/>
    </row>
    <row r="4176" spans="1:29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8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  <c r="AA4176" s="8"/>
      <c r="AB4176" s="8"/>
      <c r="AC4176" s="8"/>
    </row>
    <row r="4177" spans="1:29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8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  <c r="AA4177" s="8"/>
      <c r="AB4177" s="8"/>
      <c r="AC4177" s="8"/>
    </row>
    <row r="4178" spans="1:29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8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  <c r="AA4178" s="8"/>
      <c r="AB4178" s="8"/>
      <c r="AC4178" s="8"/>
    </row>
    <row r="4179" spans="1:29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8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  <c r="AA4179" s="8"/>
      <c r="AB4179" s="8"/>
      <c r="AC4179" s="8"/>
    </row>
    <row r="4180" spans="1:29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8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  <c r="AA4180" s="8"/>
      <c r="AB4180" s="8"/>
      <c r="AC4180" s="8"/>
    </row>
    <row r="4181" spans="1:29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8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  <c r="AA4181" s="8"/>
      <c r="AB4181" s="8"/>
      <c r="AC4181" s="8"/>
    </row>
    <row r="4182" spans="1:29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8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  <c r="AA4182" s="8"/>
      <c r="AB4182" s="8"/>
      <c r="AC4182" s="8"/>
    </row>
    <row r="4183" spans="1:29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8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  <c r="AA4183" s="8"/>
      <c r="AB4183" s="8"/>
      <c r="AC4183" s="8"/>
    </row>
    <row r="4184" spans="1:29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8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  <c r="AA4184" s="8"/>
      <c r="AB4184" s="8"/>
      <c r="AC4184" s="8"/>
    </row>
    <row r="4185" spans="1:29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8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  <c r="AA4185" s="8"/>
      <c r="AB4185" s="8"/>
      <c r="AC4185" s="8"/>
    </row>
    <row r="4186" spans="1:29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8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  <c r="AA4186" s="8"/>
      <c r="AB4186" s="8"/>
      <c r="AC4186" s="8"/>
    </row>
    <row r="4187" spans="1:29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8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  <c r="AA4187" s="8"/>
      <c r="AB4187" s="8"/>
      <c r="AC4187" s="8"/>
    </row>
    <row r="4188" spans="1:29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8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  <c r="AA4188" s="8"/>
      <c r="AB4188" s="8"/>
      <c r="AC4188" s="8"/>
    </row>
    <row r="4189" spans="1:29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8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  <c r="AA4189" s="8"/>
      <c r="AB4189" s="8"/>
      <c r="AC4189" s="8"/>
    </row>
    <row r="4190" spans="1:29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8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  <c r="AA4190" s="8"/>
      <c r="AB4190" s="8"/>
      <c r="AC4190" s="8"/>
    </row>
    <row r="4191" spans="1:29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8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  <c r="AA4191" s="8"/>
      <c r="AB4191" s="8"/>
      <c r="AC4191" s="8"/>
    </row>
    <row r="4192" spans="1:29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8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  <c r="AA4192" s="8"/>
      <c r="AB4192" s="8"/>
      <c r="AC4192" s="8"/>
    </row>
    <row r="4193" spans="1:29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8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  <c r="AA4193" s="8"/>
      <c r="AB4193" s="8"/>
      <c r="AC4193" s="8"/>
    </row>
    <row r="4194" spans="1:29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8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  <c r="AA4194" s="8"/>
      <c r="AB4194" s="8"/>
      <c r="AC4194" s="8"/>
    </row>
    <row r="4195" spans="1:29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8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  <c r="AA4195" s="8"/>
      <c r="AB4195" s="8"/>
      <c r="AC4195" s="8"/>
    </row>
    <row r="4196" spans="1:29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8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  <c r="AA4196" s="8"/>
      <c r="AB4196" s="8"/>
      <c r="AC4196" s="8"/>
    </row>
    <row r="4197" spans="1:29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8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  <c r="AA4197" s="8"/>
      <c r="AB4197" s="8"/>
      <c r="AC4197" s="8"/>
    </row>
    <row r="4198" spans="1:29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8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  <c r="AA4198" s="8"/>
      <c r="AB4198" s="8"/>
      <c r="AC4198" s="8"/>
    </row>
    <row r="4199" spans="1:29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8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  <c r="AA4199" s="8"/>
      <c r="AB4199" s="8"/>
      <c r="AC4199" s="8"/>
    </row>
    <row r="4200" spans="1:29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8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  <c r="AA4200" s="8"/>
      <c r="AB4200" s="8"/>
      <c r="AC4200" s="8"/>
    </row>
    <row r="4201" spans="1:29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8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  <c r="AA4201" s="8"/>
      <c r="AB4201" s="8"/>
      <c r="AC4201" s="8"/>
    </row>
    <row r="4202" spans="1:29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8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  <c r="AA4202" s="8"/>
      <c r="AB4202" s="8"/>
      <c r="AC4202" s="8"/>
    </row>
    <row r="4203" spans="1:29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8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  <c r="AA4203" s="8"/>
      <c r="AB4203" s="8"/>
      <c r="AC4203" s="8"/>
    </row>
    <row r="4204" spans="1:29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8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  <c r="AA4204" s="8"/>
      <c r="AB4204" s="8"/>
      <c r="AC4204" s="8"/>
    </row>
    <row r="4205" spans="1:29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8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  <c r="AA4205" s="8"/>
      <c r="AB4205" s="8"/>
      <c r="AC4205" s="8"/>
    </row>
    <row r="4206" spans="1:29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8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  <c r="AA4206" s="8"/>
      <c r="AB4206" s="8"/>
      <c r="AC4206" s="8"/>
    </row>
    <row r="4207" spans="1:29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8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  <c r="AA4207" s="8"/>
      <c r="AB4207" s="8"/>
      <c r="AC4207" s="8"/>
    </row>
    <row r="4208" spans="1:29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8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  <c r="AA4208" s="8"/>
      <c r="AB4208" s="8"/>
      <c r="AC4208" s="8"/>
    </row>
    <row r="4209" spans="1:29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8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  <c r="AA4209" s="8"/>
      <c r="AB4209" s="8"/>
      <c r="AC4209" s="8"/>
    </row>
    <row r="4210" spans="1:29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8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  <c r="AA4210" s="8"/>
      <c r="AB4210" s="8"/>
      <c r="AC4210" s="8"/>
    </row>
    <row r="4211" spans="1:29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8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  <c r="AA4211" s="8"/>
      <c r="AB4211" s="8"/>
      <c r="AC4211" s="8"/>
    </row>
    <row r="4212" spans="1:29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8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  <c r="AA4212" s="8"/>
      <c r="AB4212" s="8"/>
      <c r="AC4212" s="8"/>
    </row>
    <row r="4213" spans="1:29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8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  <c r="AA4213" s="8"/>
      <c r="AB4213" s="8"/>
      <c r="AC4213" s="8"/>
    </row>
    <row r="4214" spans="1:29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8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  <c r="AA4214" s="8"/>
      <c r="AB4214" s="8"/>
      <c r="AC4214" s="8"/>
    </row>
    <row r="4215" spans="1:29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8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  <c r="AA4215" s="8"/>
      <c r="AB4215" s="8"/>
      <c r="AC4215" s="8"/>
    </row>
    <row r="4216" spans="1:29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8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  <c r="AA4216" s="8"/>
      <c r="AB4216" s="8"/>
      <c r="AC4216" s="8"/>
    </row>
    <row r="4217" spans="1:29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8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  <c r="AA4217" s="8"/>
      <c r="AB4217" s="8"/>
      <c r="AC4217" s="8"/>
    </row>
    <row r="4218" spans="1:29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8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  <c r="AA4218" s="8"/>
      <c r="AB4218" s="8"/>
      <c r="AC4218" s="8"/>
    </row>
    <row r="4219" spans="1:29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8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  <c r="AA4219" s="8"/>
      <c r="AB4219" s="8"/>
      <c r="AC4219" s="8"/>
    </row>
    <row r="4220" spans="1:29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8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  <c r="AA4220" s="8"/>
      <c r="AB4220" s="8"/>
      <c r="AC4220" s="8"/>
    </row>
    <row r="4221" spans="1:29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8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  <c r="AA4221" s="8"/>
      <c r="AB4221" s="8"/>
      <c r="AC4221" s="8"/>
    </row>
    <row r="4222" spans="1:29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8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  <c r="AA4222" s="8"/>
      <c r="AB4222" s="8"/>
      <c r="AC4222" s="8"/>
    </row>
    <row r="4223" spans="1:29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8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  <c r="AA4223" s="8"/>
      <c r="AB4223" s="8"/>
      <c r="AC4223" s="8"/>
    </row>
    <row r="4224" spans="1:29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8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  <c r="AA4224" s="8"/>
      <c r="AB4224" s="8"/>
      <c r="AC4224" s="8"/>
    </row>
    <row r="4225" spans="1:29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8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  <c r="AA4225" s="8"/>
      <c r="AB4225" s="8"/>
      <c r="AC4225" s="8"/>
    </row>
    <row r="4226" spans="1:29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8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  <c r="AA4226" s="8"/>
      <c r="AB4226" s="8"/>
      <c r="AC4226" s="8"/>
    </row>
    <row r="4227" spans="1:29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8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  <c r="AA4227" s="8"/>
      <c r="AB4227" s="8"/>
      <c r="AC4227" s="8"/>
    </row>
    <row r="4228" spans="1:29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8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  <c r="AA4228" s="8"/>
      <c r="AB4228" s="8"/>
      <c r="AC4228" s="8"/>
    </row>
    <row r="4229" spans="1:29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8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  <c r="AA4229" s="8"/>
      <c r="AB4229" s="8"/>
      <c r="AC4229" s="8"/>
    </row>
    <row r="4230" spans="1:29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8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  <c r="AA4230" s="8"/>
      <c r="AB4230" s="8"/>
      <c r="AC4230" s="8"/>
    </row>
    <row r="4231" spans="1:29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8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  <c r="AA4231" s="8"/>
      <c r="AB4231" s="8"/>
      <c r="AC4231" s="8"/>
    </row>
    <row r="4232" spans="1:29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8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  <c r="AA4232" s="8"/>
      <c r="AB4232" s="8"/>
      <c r="AC4232" s="8"/>
    </row>
    <row r="4233" spans="1:29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8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  <c r="AA4233" s="8"/>
      <c r="AB4233" s="8"/>
      <c r="AC4233" s="8"/>
    </row>
    <row r="4234" spans="1:29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8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  <c r="AA4234" s="8"/>
      <c r="AB4234" s="8"/>
      <c r="AC4234" s="8"/>
    </row>
    <row r="4235" spans="1:29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8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  <c r="AA4235" s="8"/>
      <c r="AB4235" s="8"/>
      <c r="AC4235" s="8"/>
    </row>
    <row r="4236" spans="1:29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8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  <c r="AA4236" s="8"/>
      <c r="AB4236" s="8"/>
      <c r="AC4236" s="8"/>
    </row>
    <row r="4237" spans="1:29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8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  <c r="AA4237" s="8"/>
      <c r="AB4237" s="8"/>
      <c r="AC4237" s="8"/>
    </row>
    <row r="4238" spans="1:29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8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  <c r="AA4238" s="8"/>
      <c r="AB4238" s="8"/>
      <c r="AC4238" s="8"/>
    </row>
    <row r="4239" spans="1:29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8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  <c r="AA4239" s="8"/>
      <c r="AB4239" s="8"/>
      <c r="AC4239" s="8"/>
    </row>
    <row r="4240" spans="1:29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8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  <c r="AA4240" s="8"/>
      <c r="AB4240" s="8"/>
      <c r="AC4240" s="8"/>
    </row>
    <row r="4241" spans="1:29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8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  <c r="AA4241" s="8"/>
      <c r="AB4241" s="8"/>
      <c r="AC4241" s="8"/>
    </row>
    <row r="4242" spans="1:29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8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  <c r="AA4242" s="8"/>
      <c r="AB4242" s="8"/>
      <c r="AC4242" s="8"/>
    </row>
    <row r="4243" spans="1:29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8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  <c r="AA4243" s="8"/>
      <c r="AB4243" s="8"/>
      <c r="AC4243" s="8"/>
    </row>
    <row r="4244" spans="1:29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8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  <c r="AA4244" s="8"/>
      <c r="AB4244" s="8"/>
      <c r="AC4244" s="8"/>
    </row>
    <row r="4245" spans="1:29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8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  <c r="AA4245" s="8"/>
      <c r="AB4245" s="8"/>
      <c r="AC4245" s="8"/>
    </row>
    <row r="4246" spans="1:29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8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  <c r="AA4246" s="8"/>
      <c r="AB4246" s="8"/>
      <c r="AC4246" s="8"/>
    </row>
    <row r="4247" spans="1:29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8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  <c r="AA4247" s="8"/>
      <c r="AB4247" s="8"/>
      <c r="AC4247" s="8"/>
    </row>
    <row r="4248" spans="1:29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8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  <c r="AA4248" s="8"/>
      <c r="AB4248" s="8"/>
      <c r="AC4248" s="8"/>
    </row>
    <row r="4249" spans="1:29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8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  <c r="AA4249" s="8"/>
      <c r="AB4249" s="8"/>
      <c r="AC4249" s="8"/>
    </row>
    <row r="4250" spans="1:29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8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  <c r="AA4250" s="8"/>
      <c r="AB4250" s="8"/>
      <c r="AC4250" s="8"/>
    </row>
    <row r="4251" spans="1:29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8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  <c r="AA4251" s="8"/>
      <c r="AB4251" s="8"/>
      <c r="AC4251" s="8"/>
    </row>
    <row r="4252" spans="1:29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8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  <c r="AA4252" s="8"/>
      <c r="AB4252" s="8"/>
      <c r="AC4252" s="8"/>
    </row>
    <row r="4253" spans="1:29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8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  <c r="AA4253" s="8"/>
      <c r="AB4253" s="8"/>
      <c r="AC4253" s="8"/>
    </row>
    <row r="4254" spans="1:29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8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  <c r="AA4254" s="8"/>
      <c r="AB4254" s="8"/>
      <c r="AC4254" s="8"/>
    </row>
    <row r="4255" spans="1:29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8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  <c r="AA4255" s="8"/>
      <c r="AB4255" s="8"/>
      <c r="AC4255" s="8"/>
    </row>
    <row r="4256" spans="1:29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8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  <c r="AA4256" s="8"/>
      <c r="AB4256" s="8"/>
      <c r="AC4256" s="8"/>
    </row>
    <row r="4257" spans="1:29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8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  <c r="AA4257" s="8"/>
      <c r="AB4257" s="8"/>
      <c r="AC4257" s="8"/>
    </row>
    <row r="4258" spans="1:29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8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  <c r="AA4258" s="8"/>
      <c r="AB4258" s="8"/>
      <c r="AC4258" s="8"/>
    </row>
    <row r="4259" spans="1:29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8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  <c r="AA4259" s="8"/>
      <c r="AB4259" s="8"/>
      <c r="AC4259" s="8"/>
    </row>
    <row r="4260" spans="1:29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8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  <c r="AA4260" s="8"/>
      <c r="AB4260" s="8"/>
      <c r="AC4260" s="8"/>
    </row>
    <row r="4261" spans="1:29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8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  <c r="AA4261" s="8"/>
      <c r="AB4261" s="8"/>
      <c r="AC4261" s="8"/>
    </row>
    <row r="4262" spans="1:29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8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  <c r="AA4262" s="8"/>
      <c r="AB4262" s="8"/>
      <c r="AC4262" s="8"/>
    </row>
    <row r="4263" spans="1:29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8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  <c r="AA4263" s="8"/>
      <c r="AB4263" s="8"/>
      <c r="AC4263" s="8"/>
    </row>
    <row r="4264" spans="1:29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8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  <c r="AA4264" s="8"/>
      <c r="AB4264" s="8"/>
      <c r="AC4264" s="8"/>
    </row>
    <row r="4265" spans="1:29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8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  <c r="AA4265" s="8"/>
      <c r="AB4265" s="8"/>
      <c r="AC4265" s="8"/>
    </row>
    <row r="4266" spans="1:29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8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  <c r="AA4266" s="8"/>
      <c r="AB4266" s="8"/>
      <c r="AC4266" s="8"/>
    </row>
    <row r="4267" spans="1:29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8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  <c r="AA4267" s="8"/>
      <c r="AB4267" s="8"/>
      <c r="AC4267" s="8"/>
    </row>
    <row r="4268" spans="1:29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8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  <c r="AA4268" s="8"/>
      <c r="AB4268" s="8"/>
      <c r="AC4268" s="8"/>
    </row>
    <row r="4269" spans="1:29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8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  <c r="AA4269" s="8"/>
      <c r="AB4269" s="8"/>
      <c r="AC4269" s="8"/>
    </row>
    <row r="4270" spans="1:29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8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  <c r="AA4270" s="8"/>
      <c r="AB4270" s="8"/>
      <c r="AC4270" s="8"/>
    </row>
    <row r="4271" spans="1:29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8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  <c r="AA4271" s="8"/>
      <c r="AB4271" s="8"/>
      <c r="AC4271" s="8"/>
    </row>
    <row r="4272" spans="1:29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8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  <c r="AA4272" s="8"/>
      <c r="AB4272" s="8"/>
      <c r="AC4272" s="8"/>
    </row>
    <row r="4273" spans="1:29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8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  <c r="AA4273" s="8"/>
      <c r="AB4273" s="8"/>
      <c r="AC4273" s="8"/>
    </row>
    <row r="4274" spans="1:29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8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  <c r="AA4274" s="8"/>
      <c r="AB4274" s="8"/>
      <c r="AC4274" s="8"/>
    </row>
    <row r="4275" spans="1:29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8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  <c r="AA4275" s="8"/>
      <c r="AB4275" s="8"/>
      <c r="AC4275" s="8"/>
    </row>
    <row r="4276" spans="1:29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8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  <c r="AA4276" s="8"/>
      <c r="AB4276" s="8"/>
      <c r="AC4276" s="8"/>
    </row>
    <row r="4277" spans="1:29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8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  <c r="AA4277" s="8"/>
      <c r="AB4277" s="8"/>
      <c r="AC4277" s="8"/>
    </row>
    <row r="4278" spans="1:29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8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  <c r="AA4278" s="8"/>
      <c r="AB4278" s="8"/>
      <c r="AC4278" s="8"/>
    </row>
    <row r="4279" spans="1:29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8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  <c r="AA4279" s="8"/>
      <c r="AB4279" s="8"/>
      <c r="AC4279" s="8"/>
    </row>
    <row r="4280" spans="1:29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8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  <c r="AA4280" s="8"/>
      <c r="AB4280" s="8"/>
      <c r="AC4280" s="8"/>
    </row>
    <row r="4281" spans="1:29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8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  <c r="AA4281" s="8"/>
      <c r="AB4281" s="8"/>
      <c r="AC4281" s="8"/>
    </row>
    <row r="4282" spans="1:29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8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  <c r="AA4282" s="8"/>
      <c r="AB4282" s="8"/>
      <c r="AC4282" s="8"/>
    </row>
    <row r="4283" spans="1:29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8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  <c r="AA4283" s="8"/>
      <c r="AB4283" s="8"/>
      <c r="AC4283" s="8"/>
    </row>
    <row r="4284" spans="1:29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8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  <c r="AA4284" s="8"/>
      <c r="AB4284" s="8"/>
      <c r="AC4284" s="8"/>
    </row>
    <row r="4285" spans="1:29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8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  <c r="AA4285" s="8"/>
      <c r="AB4285" s="8"/>
      <c r="AC4285" s="8"/>
    </row>
    <row r="4286" spans="1:29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8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  <c r="AA4286" s="8"/>
      <c r="AB4286" s="8"/>
      <c r="AC4286" s="8"/>
    </row>
    <row r="4287" spans="1:29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8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  <c r="AA4287" s="8"/>
      <c r="AB4287" s="8"/>
      <c r="AC4287" s="8"/>
    </row>
    <row r="4288" spans="1:29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8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  <c r="AA4288" s="8"/>
      <c r="AB4288" s="8"/>
      <c r="AC4288" s="8"/>
    </row>
    <row r="4289" spans="1:29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8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  <c r="AA4289" s="8"/>
      <c r="AB4289" s="8"/>
      <c r="AC4289" s="8"/>
    </row>
    <row r="4290" spans="1:29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8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  <c r="AA4290" s="8"/>
      <c r="AB4290" s="8"/>
      <c r="AC4290" s="8"/>
    </row>
    <row r="4291" spans="1:29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8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  <c r="AA4291" s="8"/>
      <c r="AB4291" s="8"/>
      <c r="AC4291" s="8"/>
    </row>
    <row r="4292" spans="1:29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8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  <c r="AA4292" s="8"/>
      <c r="AB4292" s="8"/>
      <c r="AC4292" s="8"/>
    </row>
    <row r="4293" spans="1:29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8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  <c r="AA4293" s="8"/>
      <c r="AB4293" s="8"/>
      <c r="AC4293" s="8"/>
    </row>
    <row r="4294" spans="1:29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8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  <c r="AA4294" s="8"/>
      <c r="AB4294" s="8"/>
      <c r="AC4294" s="8"/>
    </row>
    <row r="4295" spans="1:29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8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  <c r="AA4295" s="8"/>
      <c r="AB4295" s="8"/>
      <c r="AC4295" s="8"/>
    </row>
    <row r="4296" spans="1:29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  <c r="AA4296" s="8"/>
      <c r="AB4296" s="8"/>
      <c r="AC4296" s="8"/>
    </row>
    <row r="4297" spans="1:29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8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  <c r="AA4297" s="8"/>
      <c r="AB4297" s="8"/>
      <c r="AC4297" s="8"/>
    </row>
    <row r="4298" spans="1:29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8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  <c r="AA4298" s="8"/>
      <c r="AB4298" s="8"/>
      <c r="AC4298" s="8"/>
    </row>
    <row r="4299" spans="1:29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8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  <c r="AA4299" s="8"/>
      <c r="AB4299" s="8"/>
      <c r="AC4299" s="8"/>
    </row>
    <row r="4300" spans="1:29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8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  <c r="AA4300" s="8"/>
      <c r="AB4300" s="8"/>
      <c r="AC4300" s="8"/>
    </row>
    <row r="4301" spans="1:29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8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  <c r="AA4301" s="8"/>
      <c r="AB4301" s="8"/>
      <c r="AC4301" s="8"/>
    </row>
    <row r="4302" spans="1:29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8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  <c r="AA4302" s="8"/>
      <c r="AB4302" s="8"/>
      <c r="AC4302" s="8"/>
    </row>
    <row r="4303" spans="1:29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8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  <c r="AA4303" s="8"/>
      <c r="AB4303" s="8"/>
      <c r="AC4303" s="8"/>
    </row>
    <row r="4304" spans="1:29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8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  <c r="AA4304" s="8"/>
      <c r="AB4304" s="8"/>
      <c r="AC4304" s="8"/>
    </row>
    <row r="4305" spans="1:29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8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  <c r="AA4305" s="8"/>
      <c r="AB4305" s="8"/>
      <c r="AC4305" s="8"/>
    </row>
    <row r="4306" spans="1:29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8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  <c r="AA4306" s="8"/>
      <c r="AB4306" s="8"/>
      <c r="AC4306" s="8"/>
    </row>
    <row r="4307" spans="1:29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8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  <c r="AA4307" s="8"/>
      <c r="AB4307" s="8"/>
      <c r="AC4307" s="8"/>
    </row>
    <row r="4308" spans="1:29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8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  <c r="AA4308" s="8"/>
      <c r="AB4308" s="8"/>
      <c r="AC4308" s="8"/>
    </row>
    <row r="4309" spans="1:29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8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  <c r="AA4309" s="8"/>
      <c r="AB4309" s="8"/>
      <c r="AC4309" s="8"/>
    </row>
    <row r="4310" spans="1:29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8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  <c r="AA4310" s="8"/>
      <c r="AB4310" s="8"/>
      <c r="AC4310" s="8"/>
    </row>
    <row r="4311" spans="1:29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8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  <c r="AA4311" s="8"/>
      <c r="AB4311" s="8"/>
      <c r="AC4311" s="8"/>
    </row>
    <row r="4312" spans="1:29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8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  <c r="AA4312" s="8"/>
      <c r="AB4312" s="8"/>
      <c r="AC4312" s="8"/>
    </row>
    <row r="4313" spans="1:29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8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  <c r="AA4313" s="8"/>
      <c r="AB4313" s="8"/>
      <c r="AC4313" s="8"/>
    </row>
    <row r="4314" spans="1:29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8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  <c r="AA4314" s="8"/>
      <c r="AB4314" s="8"/>
      <c r="AC4314" s="8"/>
    </row>
    <row r="4315" spans="1:29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8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  <c r="AA4315" s="8"/>
      <c r="AB4315" s="8"/>
      <c r="AC4315" s="8"/>
    </row>
    <row r="4316" spans="1:29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8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  <c r="AA4316" s="8"/>
      <c r="AB4316" s="8"/>
      <c r="AC4316" s="8"/>
    </row>
    <row r="4317" spans="1:29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8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  <c r="AA4317" s="8"/>
      <c r="AB4317" s="8"/>
      <c r="AC4317" s="8"/>
    </row>
    <row r="4318" spans="1:29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8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  <c r="AA4318" s="8"/>
      <c r="AB4318" s="8"/>
      <c r="AC4318" s="8"/>
    </row>
    <row r="4319" spans="1:29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8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  <c r="AA4319" s="8"/>
      <c r="AB4319" s="8"/>
      <c r="AC4319" s="8"/>
    </row>
    <row r="4320" spans="1:29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8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  <c r="AA4320" s="8"/>
      <c r="AB4320" s="8"/>
      <c r="AC4320" s="8"/>
    </row>
    <row r="4321" spans="1:29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8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  <c r="AA4321" s="8"/>
      <c r="AB4321" s="8"/>
      <c r="AC4321" s="8"/>
    </row>
    <row r="4322" spans="1:29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8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  <c r="AA4322" s="8"/>
      <c r="AB4322" s="8"/>
      <c r="AC4322" s="8"/>
    </row>
    <row r="4323" spans="1:29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8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  <c r="AA4323" s="8"/>
      <c r="AB4323" s="8"/>
      <c r="AC4323" s="8"/>
    </row>
    <row r="4324" spans="1:29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8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  <c r="AA4324" s="8"/>
      <c r="AB4324" s="8"/>
      <c r="AC4324" s="8"/>
    </row>
    <row r="4325" spans="1:29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8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  <c r="AA4325" s="8"/>
      <c r="AB4325" s="8"/>
      <c r="AC4325" s="8"/>
    </row>
    <row r="4326" spans="1:29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8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  <c r="AA4326" s="8"/>
      <c r="AB4326" s="8"/>
      <c r="AC4326" s="8"/>
    </row>
    <row r="4327" spans="1:29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8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  <c r="AA4327" s="8"/>
      <c r="AB4327" s="8"/>
      <c r="AC4327" s="8"/>
    </row>
    <row r="4328" spans="1:29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8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  <c r="AA4328" s="8"/>
      <c r="AB4328" s="8"/>
      <c r="AC4328" s="8"/>
    </row>
    <row r="4329" spans="1:29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8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  <c r="AA4329" s="8"/>
      <c r="AB4329" s="8"/>
      <c r="AC4329" s="8"/>
    </row>
    <row r="4330" spans="1:29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8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  <c r="AA4330" s="8"/>
      <c r="AB4330" s="8"/>
      <c r="AC4330" s="8"/>
    </row>
    <row r="4331" spans="1:29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8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  <c r="AA4331" s="8"/>
      <c r="AB4331" s="8"/>
      <c r="AC4331" s="8"/>
    </row>
    <row r="4332" spans="1:29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8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  <c r="AA4332" s="8"/>
      <c r="AB4332" s="8"/>
      <c r="AC4332" s="8"/>
    </row>
    <row r="4333" spans="1:29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8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  <c r="AA4333" s="8"/>
      <c r="AB4333" s="8"/>
      <c r="AC4333" s="8"/>
    </row>
    <row r="4334" spans="1:29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8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  <c r="AA4334" s="8"/>
      <c r="AB4334" s="8"/>
      <c r="AC4334" s="8"/>
    </row>
    <row r="4335" spans="1:29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8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  <c r="AA4335" s="8"/>
      <c r="AB4335" s="8"/>
      <c r="AC4335" s="8"/>
    </row>
    <row r="4336" spans="1:29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8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  <c r="AA4336" s="8"/>
      <c r="AB4336" s="8"/>
      <c r="AC4336" s="8"/>
    </row>
    <row r="4337" spans="1:29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8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  <c r="AA4337" s="8"/>
      <c r="AB4337" s="8"/>
      <c r="AC4337" s="8"/>
    </row>
    <row r="4338" spans="1:29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8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  <c r="AA4338" s="8"/>
      <c r="AB4338" s="8"/>
      <c r="AC4338" s="8"/>
    </row>
    <row r="4339" spans="1:29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8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  <c r="AA4339" s="8"/>
      <c r="AB4339" s="8"/>
      <c r="AC4339" s="8"/>
    </row>
    <row r="4340" spans="1:29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8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  <c r="AA4340" s="8"/>
      <c r="AB4340" s="8"/>
      <c r="AC4340" s="8"/>
    </row>
    <row r="4341" spans="1:29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8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  <c r="AA4341" s="8"/>
      <c r="AB4341" s="8"/>
      <c r="AC4341" s="8"/>
    </row>
    <row r="4342" spans="1:29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8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  <c r="AA4342" s="8"/>
      <c r="AB4342" s="8"/>
      <c r="AC4342" s="8"/>
    </row>
    <row r="4343" spans="1:29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8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  <c r="AA4343" s="8"/>
      <c r="AB4343" s="8"/>
      <c r="AC4343" s="8"/>
    </row>
    <row r="4344" spans="1:29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8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  <c r="AA4344" s="8"/>
      <c r="AB4344" s="8"/>
      <c r="AC4344" s="8"/>
    </row>
    <row r="4345" spans="1:29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8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  <c r="AA4345" s="8"/>
      <c r="AB4345" s="8"/>
      <c r="AC4345" s="8"/>
    </row>
    <row r="4346" spans="1:29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8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  <c r="AA4346" s="8"/>
      <c r="AB4346" s="8"/>
      <c r="AC4346" s="8"/>
    </row>
    <row r="4347" spans="1:29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8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  <c r="AA4347" s="8"/>
      <c r="AB4347" s="8"/>
      <c r="AC4347" s="8"/>
    </row>
    <row r="4348" spans="1:29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8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  <c r="AA4348" s="8"/>
      <c r="AB4348" s="8"/>
      <c r="AC4348" s="8"/>
    </row>
    <row r="4349" spans="1:29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8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  <c r="AA4349" s="8"/>
      <c r="AB4349" s="8"/>
      <c r="AC4349" s="8"/>
    </row>
    <row r="4350" spans="1:29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8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  <c r="AA4350" s="8"/>
      <c r="AB4350" s="8"/>
      <c r="AC4350" s="8"/>
    </row>
    <row r="4351" spans="1:29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8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  <c r="AA4351" s="8"/>
      <c r="AB4351" s="8"/>
      <c r="AC4351" s="8"/>
    </row>
    <row r="4352" spans="1:29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8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  <c r="AA4352" s="8"/>
      <c r="AB4352" s="8"/>
      <c r="AC4352" s="8"/>
    </row>
    <row r="4353" spans="1:29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8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  <c r="AA4353" s="8"/>
      <c r="AB4353" s="8"/>
      <c r="AC4353" s="8"/>
    </row>
    <row r="4354" spans="1:29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8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  <c r="AA4354" s="8"/>
      <c r="AB4354" s="8"/>
      <c r="AC4354" s="8"/>
    </row>
    <row r="4355" spans="1:29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8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  <c r="AA4355" s="8"/>
      <c r="AB4355" s="8"/>
      <c r="AC4355" s="8"/>
    </row>
    <row r="4356" spans="1:29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8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  <c r="AA4356" s="8"/>
      <c r="AB4356" s="8"/>
      <c r="AC4356" s="8"/>
    </row>
    <row r="4357" spans="1:29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8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  <c r="AA4357" s="8"/>
      <c r="AB4357" s="8"/>
      <c r="AC4357" s="8"/>
    </row>
    <row r="4358" spans="1:29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8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  <c r="AA4358" s="8"/>
      <c r="AB4358" s="8"/>
      <c r="AC4358" s="8"/>
    </row>
    <row r="4359" spans="1:29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8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  <c r="AA4359" s="8"/>
      <c r="AB4359" s="8"/>
      <c r="AC4359" s="8"/>
    </row>
    <row r="4360" spans="1:29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8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  <c r="AA4360" s="8"/>
      <c r="AB4360" s="8"/>
      <c r="AC4360" s="8"/>
    </row>
    <row r="4361" spans="1:29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8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  <c r="AA4361" s="8"/>
      <c r="AB4361" s="8"/>
      <c r="AC4361" s="8"/>
    </row>
    <row r="4362" spans="1:29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8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  <c r="AA4362" s="8"/>
      <c r="AB4362" s="8"/>
      <c r="AC4362" s="8"/>
    </row>
    <row r="4363" spans="1:29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8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  <c r="AA4363" s="8"/>
      <c r="AB4363" s="8"/>
      <c r="AC4363" s="8"/>
    </row>
    <row r="4364" spans="1:29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8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  <c r="AA4364" s="8"/>
      <c r="AB4364" s="8"/>
      <c r="AC4364" s="8"/>
    </row>
    <row r="4365" spans="1:29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8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  <c r="AA4365" s="8"/>
      <c r="AB4365" s="8"/>
      <c r="AC4365" s="8"/>
    </row>
    <row r="4366" spans="1:29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8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  <c r="AA4366" s="8"/>
      <c r="AB4366" s="8"/>
      <c r="AC4366" s="8"/>
    </row>
    <row r="4367" spans="1:29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8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  <c r="AA4367" s="8"/>
      <c r="AB4367" s="8"/>
      <c r="AC4367" s="8"/>
    </row>
    <row r="4368" spans="1:29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8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  <c r="AA4368" s="8"/>
      <c r="AB4368" s="8"/>
      <c r="AC4368" s="8"/>
    </row>
    <row r="4369" spans="1:29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8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  <c r="AA4369" s="8"/>
      <c r="AB4369" s="8"/>
      <c r="AC4369" s="8"/>
    </row>
    <row r="4370" spans="1:29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8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  <c r="AA4370" s="8"/>
      <c r="AB4370" s="8"/>
      <c r="AC4370" s="8"/>
    </row>
    <row r="4371" spans="1:29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8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  <c r="AA4371" s="8"/>
      <c r="AB4371" s="8"/>
      <c r="AC4371" s="8"/>
    </row>
    <row r="4372" spans="1:29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8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  <c r="AA4372" s="8"/>
      <c r="AB4372" s="8"/>
      <c r="AC4372" s="8"/>
    </row>
    <row r="4373" spans="1:29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8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  <c r="AA4373" s="8"/>
      <c r="AB4373" s="8"/>
      <c r="AC4373" s="8"/>
    </row>
    <row r="4374" spans="1:29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8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  <c r="AA4374" s="8"/>
      <c r="AB4374" s="8"/>
      <c r="AC4374" s="8"/>
    </row>
    <row r="4375" spans="1:29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8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  <c r="AA4375" s="8"/>
      <c r="AB4375" s="8"/>
      <c r="AC4375" s="8"/>
    </row>
    <row r="4376" spans="1:29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8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  <c r="AA4376" s="8"/>
      <c r="AB4376" s="8"/>
      <c r="AC4376" s="8"/>
    </row>
    <row r="4377" spans="1:29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8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  <c r="AA4377" s="8"/>
      <c r="AB4377" s="8"/>
      <c r="AC4377" s="8"/>
    </row>
    <row r="4378" spans="1:29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8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  <c r="AA4378" s="8"/>
      <c r="AB4378" s="8"/>
      <c r="AC4378" s="8"/>
    </row>
    <row r="4379" spans="1:29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8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  <c r="AA4379" s="8"/>
      <c r="AB4379" s="8"/>
      <c r="AC4379" s="8"/>
    </row>
    <row r="4380" spans="1:29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8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  <c r="AA4380" s="8"/>
      <c r="AB4380" s="8"/>
      <c r="AC4380" s="8"/>
    </row>
    <row r="4381" spans="1:29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8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  <c r="AA4381" s="8"/>
      <c r="AB4381" s="8"/>
      <c r="AC4381" s="8"/>
    </row>
    <row r="4382" spans="1:29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8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  <c r="AA4382" s="8"/>
      <c r="AB4382" s="8"/>
      <c r="AC4382" s="8"/>
    </row>
    <row r="4383" spans="1:29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8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  <c r="AA4383" s="8"/>
      <c r="AB4383" s="8"/>
      <c r="AC4383" s="8"/>
    </row>
    <row r="4384" spans="1:29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8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  <c r="AA4384" s="8"/>
      <c r="AB4384" s="8"/>
      <c r="AC4384" s="8"/>
    </row>
    <row r="4385" spans="1:29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8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  <c r="AA4385" s="8"/>
      <c r="AB4385" s="8"/>
      <c r="AC4385" s="8"/>
    </row>
    <row r="4386" spans="1:29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8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  <c r="AA4386" s="8"/>
      <c r="AB4386" s="8"/>
      <c r="AC4386" s="8"/>
    </row>
    <row r="4387" spans="1:29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8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  <c r="AA4387" s="8"/>
      <c r="AB4387" s="8"/>
      <c r="AC4387" s="8"/>
    </row>
    <row r="4388" spans="1:29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8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  <c r="AA4388" s="8"/>
      <c r="AB4388" s="8"/>
      <c r="AC4388" s="8"/>
    </row>
    <row r="4389" spans="1:29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8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  <c r="AA4389" s="8"/>
      <c r="AB4389" s="8"/>
      <c r="AC4389" s="8"/>
    </row>
    <row r="4390" spans="1:29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8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  <c r="AA4390" s="8"/>
      <c r="AB4390" s="8"/>
      <c r="AC4390" s="8"/>
    </row>
    <row r="4391" spans="1:29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8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  <c r="AA4391" s="8"/>
      <c r="AB4391" s="8"/>
      <c r="AC4391" s="8"/>
    </row>
    <row r="4392" spans="1:29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8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  <c r="AA4392" s="8"/>
      <c r="AB4392" s="8"/>
      <c r="AC4392" s="8"/>
    </row>
    <row r="4393" spans="1:29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8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  <c r="AA4393" s="8"/>
      <c r="AB4393" s="8"/>
      <c r="AC4393" s="8"/>
    </row>
    <row r="4394" spans="1:29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8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  <c r="AA4394" s="8"/>
      <c r="AB4394" s="8"/>
      <c r="AC4394" s="8"/>
    </row>
    <row r="4395" spans="1:29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8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  <c r="AA4395" s="8"/>
      <c r="AB4395" s="8"/>
      <c r="AC4395" s="8"/>
    </row>
    <row r="4396" spans="1:29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8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  <c r="AA4396" s="8"/>
      <c r="AB4396" s="8"/>
      <c r="AC4396" s="8"/>
    </row>
    <row r="4397" spans="1:29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8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  <c r="AA4397" s="8"/>
      <c r="AB4397" s="8"/>
      <c r="AC4397" s="8"/>
    </row>
    <row r="4398" spans="1:29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8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  <c r="AA4398" s="8"/>
      <c r="AB4398" s="8"/>
      <c r="AC4398" s="8"/>
    </row>
    <row r="4399" spans="1:29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8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  <c r="AA4399" s="8"/>
      <c r="AB4399" s="8"/>
      <c r="AC4399" s="8"/>
    </row>
    <row r="4400" spans="1:29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8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  <c r="AA4400" s="8"/>
      <c r="AB4400" s="8"/>
      <c r="AC4400" s="8"/>
    </row>
    <row r="4401" spans="1:29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8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  <c r="AA4401" s="8"/>
      <c r="AB4401" s="8"/>
      <c r="AC4401" s="8"/>
    </row>
    <row r="4402" spans="1:29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8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  <c r="AA4402" s="8"/>
      <c r="AB4402" s="8"/>
      <c r="AC4402" s="8"/>
    </row>
    <row r="4403" spans="1:29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8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  <c r="AA4403" s="8"/>
      <c r="AB4403" s="8"/>
      <c r="AC4403" s="8"/>
    </row>
    <row r="4404" spans="1:29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8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  <c r="AA4404" s="8"/>
      <c r="AB4404" s="8"/>
      <c r="AC4404" s="8"/>
    </row>
    <row r="4405" spans="1:29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8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  <c r="AA4405" s="8"/>
      <c r="AB4405" s="8"/>
      <c r="AC4405" s="8"/>
    </row>
    <row r="4406" spans="1:29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8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  <c r="AA4406" s="8"/>
      <c r="AB4406" s="8"/>
      <c r="AC4406" s="8"/>
    </row>
    <row r="4407" spans="1:29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8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  <c r="AA4407" s="8"/>
      <c r="AB4407" s="8"/>
      <c r="AC4407" s="8"/>
    </row>
    <row r="4408" spans="1:29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8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  <c r="AA4408" s="8"/>
      <c r="AB4408" s="8"/>
      <c r="AC4408" s="8"/>
    </row>
    <row r="4409" spans="1:29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8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  <c r="AA4409" s="8"/>
      <c r="AB4409" s="8"/>
      <c r="AC4409" s="8"/>
    </row>
    <row r="4410" spans="1:29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8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  <c r="AA4410" s="8"/>
      <c r="AB4410" s="8"/>
      <c r="AC4410" s="8"/>
    </row>
    <row r="4411" spans="1:29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8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  <c r="AA4411" s="8"/>
      <c r="AB4411" s="8"/>
      <c r="AC4411" s="8"/>
    </row>
    <row r="4412" spans="1:29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8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  <c r="AA4412" s="8"/>
      <c r="AB4412" s="8"/>
      <c r="AC4412" s="8"/>
    </row>
    <row r="4413" spans="1:29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8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  <c r="AA4413" s="8"/>
      <c r="AB4413" s="8"/>
      <c r="AC4413" s="8"/>
    </row>
    <row r="4414" spans="1:29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8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  <c r="AA4414" s="8"/>
      <c r="AB4414" s="8"/>
      <c r="AC4414" s="8"/>
    </row>
    <row r="4415" spans="1:29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8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  <c r="AA4415" s="8"/>
      <c r="AB4415" s="8"/>
      <c r="AC4415" s="8"/>
    </row>
    <row r="4416" spans="1:29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8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  <c r="AA4416" s="8"/>
      <c r="AB4416" s="8"/>
      <c r="AC4416" s="8"/>
    </row>
    <row r="4417" spans="1:29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8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  <c r="AA4417" s="8"/>
      <c r="AB4417" s="8"/>
      <c r="AC4417" s="8"/>
    </row>
    <row r="4418" spans="1:29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8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  <c r="AA4418" s="8"/>
      <c r="AB4418" s="8"/>
      <c r="AC4418" s="8"/>
    </row>
    <row r="4419" spans="1:29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8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  <c r="AA4419" s="8"/>
      <c r="AB4419" s="8"/>
      <c r="AC4419" s="8"/>
    </row>
    <row r="4420" spans="1:29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8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  <c r="AA4420" s="8"/>
      <c r="AB4420" s="8"/>
      <c r="AC4420" s="8"/>
    </row>
    <row r="4421" spans="1:29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8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  <c r="AA4421" s="8"/>
      <c r="AB4421" s="8"/>
      <c r="AC4421" s="8"/>
    </row>
    <row r="4422" spans="1:29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8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  <c r="AA4422" s="8"/>
      <c r="AB4422" s="8"/>
      <c r="AC4422" s="8"/>
    </row>
    <row r="4423" spans="1:29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8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  <c r="AA4423" s="8"/>
      <c r="AB4423" s="8"/>
      <c r="AC4423" s="8"/>
    </row>
    <row r="4424" spans="1:29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8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  <c r="AA4424" s="8"/>
      <c r="AB4424" s="8"/>
      <c r="AC4424" s="8"/>
    </row>
    <row r="4425" spans="1:29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8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  <c r="AA4425" s="8"/>
      <c r="AB4425" s="8"/>
      <c r="AC4425" s="8"/>
    </row>
    <row r="4426" spans="1:29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8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  <c r="AA4426" s="8"/>
      <c r="AB4426" s="8"/>
      <c r="AC4426" s="8"/>
    </row>
    <row r="4427" spans="1:29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8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  <c r="AA4427" s="8"/>
      <c r="AB4427" s="8"/>
      <c r="AC4427" s="8"/>
    </row>
    <row r="4428" spans="1:29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8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  <c r="AA4428" s="8"/>
      <c r="AB4428" s="8"/>
      <c r="AC4428" s="8"/>
    </row>
    <row r="4429" spans="1:29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8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  <c r="AA4429" s="8"/>
      <c r="AB4429" s="8"/>
      <c r="AC4429" s="8"/>
    </row>
    <row r="4430" spans="1:29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8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  <c r="AA4430" s="8"/>
      <c r="AB4430" s="8"/>
      <c r="AC4430" s="8"/>
    </row>
    <row r="4431" spans="1:29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8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  <c r="AA4431" s="8"/>
      <c r="AB4431" s="8"/>
      <c r="AC4431" s="8"/>
    </row>
    <row r="4432" spans="1:29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8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  <c r="AA4432" s="8"/>
      <c r="AB4432" s="8"/>
      <c r="AC4432" s="8"/>
    </row>
    <row r="4433" spans="1:29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8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  <c r="AA4433" s="8"/>
      <c r="AB4433" s="8"/>
      <c r="AC4433" s="8"/>
    </row>
    <row r="4434" spans="1:29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8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  <c r="AA4434" s="8"/>
      <c r="AB4434" s="8"/>
      <c r="AC4434" s="8"/>
    </row>
    <row r="4435" spans="1:29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8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  <c r="AA4435" s="8"/>
      <c r="AB4435" s="8"/>
      <c r="AC4435" s="8"/>
    </row>
    <row r="4436" spans="1:29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8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  <c r="AA4436" s="8"/>
      <c r="AB4436" s="8"/>
      <c r="AC4436" s="8"/>
    </row>
    <row r="4437" spans="1:29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8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  <c r="AA4437" s="8"/>
      <c r="AB4437" s="8"/>
      <c r="AC4437" s="8"/>
    </row>
    <row r="4438" spans="1:29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8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  <c r="AA4438" s="8"/>
      <c r="AB4438" s="8"/>
      <c r="AC4438" s="8"/>
    </row>
    <row r="4439" spans="1:29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8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  <c r="AA4439" s="8"/>
      <c r="AB4439" s="8"/>
      <c r="AC4439" s="8"/>
    </row>
    <row r="4440" spans="1:29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8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  <c r="AA4440" s="8"/>
      <c r="AB4440" s="8"/>
      <c r="AC4440" s="8"/>
    </row>
    <row r="4441" spans="1:29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8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  <c r="AA4441" s="8"/>
      <c r="AB4441" s="8"/>
      <c r="AC4441" s="8"/>
    </row>
    <row r="4442" spans="1:29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8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  <c r="AA4442" s="8"/>
      <c r="AB4442" s="8"/>
      <c r="AC4442" s="8"/>
    </row>
    <row r="4443" spans="1:29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8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  <c r="AA4443" s="8"/>
      <c r="AB4443" s="8"/>
      <c r="AC4443" s="8"/>
    </row>
    <row r="4444" spans="1:29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8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  <c r="AA4444" s="8"/>
      <c r="AB4444" s="8"/>
      <c r="AC4444" s="8"/>
    </row>
    <row r="4445" spans="1:29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8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  <c r="AA4445" s="8"/>
      <c r="AB4445" s="8"/>
      <c r="AC4445" s="8"/>
    </row>
    <row r="4446" spans="1:29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8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  <c r="AA4446" s="8"/>
      <c r="AB4446" s="8"/>
      <c r="AC4446" s="8"/>
    </row>
    <row r="4447" spans="1:29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8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  <c r="AA4447" s="8"/>
      <c r="AB4447" s="8"/>
      <c r="AC4447" s="8"/>
    </row>
    <row r="4448" spans="1:29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8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  <c r="AA4448" s="8"/>
      <c r="AB4448" s="8"/>
      <c r="AC4448" s="8"/>
    </row>
    <row r="4449" spans="1:29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8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  <c r="AA4449" s="8"/>
      <c r="AB4449" s="8"/>
      <c r="AC4449" s="8"/>
    </row>
    <row r="4450" spans="1:29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8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  <c r="AA4450" s="8"/>
      <c r="AB4450" s="8"/>
      <c r="AC4450" s="8"/>
    </row>
    <row r="4451" spans="1:29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8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  <c r="AA4451" s="8"/>
      <c r="AB4451" s="8"/>
      <c r="AC4451" s="8"/>
    </row>
    <row r="4452" spans="1:29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8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  <c r="AA4452" s="8"/>
      <c r="AB4452" s="8"/>
      <c r="AC4452" s="8"/>
    </row>
    <row r="4453" spans="1:29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8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  <c r="AA4453" s="8"/>
      <c r="AB4453" s="8"/>
      <c r="AC4453" s="8"/>
    </row>
    <row r="4454" spans="1:29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8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  <c r="AA4454" s="8"/>
      <c r="AB4454" s="8"/>
      <c r="AC4454" s="8"/>
    </row>
    <row r="4455" spans="1:29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8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  <c r="AA4455" s="8"/>
      <c r="AB4455" s="8"/>
      <c r="AC4455" s="8"/>
    </row>
    <row r="4456" spans="1:29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8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  <c r="AA4456" s="8"/>
      <c r="AB4456" s="8"/>
      <c r="AC4456" s="8"/>
    </row>
    <row r="4457" spans="1:29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8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  <c r="AA4457" s="8"/>
      <c r="AB4457" s="8"/>
      <c r="AC4457" s="8"/>
    </row>
    <row r="4458" spans="1:29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8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  <c r="AA4458" s="8"/>
      <c r="AB4458" s="8"/>
      <c r="AC4458" s="8"/>
    </row>
    <row r="4459" spans="1:29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8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  <c r="AA4459" s="8"/>
      <c r="AB4459" s="8"/>
      <c r="AC4459" s="8"/>
    </row>
    <row r="4460" spans="1:29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8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  <c r="AA4460" s="8"/>
      <c r="AB4460" s="8"/>
      <c r="AC4460" s="8"/>
    </row>
    <row r="4461" spans="1:29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8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  <c r="AA4461" s="8"/>
      <c r="AB4461" s="8"/>
      <c r="AC4461" s="8"/>
    </row>
    <row r="4462" spans="1:29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8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  <c r="AA4462" s="8"/>
      <c r="AB4462" s="8"/>
      <c r="AC4462" s="8"/>
    </row>
    <row r="4463" spans="1:29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8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  <c r="AA4463" s="8"/>
      <c r="AB4463" s="8"/>
      <c r="AC4463" s="8"/>
    </row>
    <row r="4464" spans="1:29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8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  <c r="AA4464" s="8"/>
      <c r="AB4464" s="8"/>
      <c r="AC4464" s="8"/>
    </row>
    <row r="4465" spans="1:29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8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  <c r="AA4465" s="8"/>
      <c r="AB4465" s="8"/>
      <c r="AC4465" s="8"/>
    </row>
    <row r="4466" spans="1:29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8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  <c r="AA4466" s="8"/>
      <c r="AB4466" s="8"/>
      <c r="AC4466" s="8"/>
    </row>
    <row r="4467" spans="1:29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8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  <c r="AA4467" s="8"/>
      <c r="AB4467" s="8"/>
      <c r="AC4467" s="8"/>
    </row>
    <row r="4468" spans="1:29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8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  <c r="AA4468" s="8"/>
      <c r="AB4468" s="8"/>
      <c r="AC4468" s="8"/>
    </row>
    <row r="4469" spans="1:29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8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  <c r="AA4469" s="8"/>
      <c r="AB4469" s="8"/>
      <c r="AC4469" s="8"/>
    </row>
    <row r="4470" spans="1:29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8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  <c r="AA4470" s="8"/>
      <c r="AB4470" s="8"/>
      <c r="AC4470" s="8"/>
    </row>
    <row r="4471" spans="1:29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8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  <c r="AA4471" s="8"/>
      <c r="AB4471" s="8"/>
      <c r="AC4471" s="8"/>
    </row>
    <row r="4472" spans="1:29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8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  <c r="AA4472" s="8"/>
      <c r="AB4472" s="8"/>
      <c r="AC4472" s="8"/>
    </row>
    <row r="4473" spans="1:29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8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  <c r="AA4473" s="8"/>
      <c r="AB4473" s="8"/>
      <c r="AC4473" s="8"/>
    </row>
    <row r="4474" spans="1:29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8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  <c r="AA4474" s="8"/>
      <c r="AB4474" s="8"/>
      <c r="AC4474" s="8"/>
    </row>
    <row r="4475" spans="1:29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8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  <c r="AA4475" s="8"/>
      <c r="AB4475" s="8"/>
      <c r="AC4475" s="8"/>
    </row>
    <row r="4476" spans="1:29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8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  <c r="AA4476" s="8"/>
      <c r="AB4476" s="8"/>
      <c r="AC4476" s="8"/>
    </row>
    <row r="4477" spans="1:29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8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  <c r="AA4477" s="8"/>
      <c r="AB4477" s="8"/>
      <c r="AC4477" s="8"/>
    </row>
    <row r="4478" spans="1:29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8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  <c r="AA4478" s="8"/>
      <c r="AB4478" s="8"/>
      <c r="AC4478" s="8"/>
    </row>
    <row r="4479" spans="1:29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8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  <c r="AA4479" s="8"/>
      <c r="AB4479" s="8"/>
      <c r="AC4479" s="8"/>
    </row>
    <row r="4480" spans="1:29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8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  <c r="AA4480" s="8"/>
      <c r="AB4480" s="8"/>
      <c r="AC4480" s="8"/>
    </row>
    <row r="4481" spans="1:29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8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  <c r="AA4481" s="8"/>
      <c r="AB4481" s="8"/>
      <c r="AC4481" s="8"/>
    </row>
    <row r="4482" spans="1:29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8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  <c r="AA4482" s="8"/>
      <c r="AB4482" s="8"/>
      <c r="AC4482" s="8"/>
    </row>
    <row r="4483" spans="1:29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8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  <c r="AA4483" s="8"/>
      <c r="AB4483" s="8"/>
      <c r="AC4483" s="8"/>
    </row>
    <row r="4484" spans="1:29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8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  <c r="AA4484" s="8"/>
      <c r="AB4484" s="8"/>
      <c r="AC4484" s="8"/>
    </row>
    <row r="4485" spans="1:29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8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  <c r="AA4485" s="8"/>
      <c r="AB4485" s="8"/>
      <c r="AC4485" s="8"/>
    </row>
    <row r="4486" spans="1:29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8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  <c r="AA4486" s="8"/>
      <c r="AB4486" s="8"/>
      <c r="AC4486" s="8"/>
    </row>
    <row r="4487" spans="1:29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8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  <c r="AA4487" s="8"/>
      <c r="AB4487" s="8"/>
      <c r="AC4487" s="8"/>
    </row>
    <row r="4488" spans="1:29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8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  <c r="AA4488" s="8"/>
      <c r="AB4488" s="8"/>
      <c r="AC4488" s="8"/>
    </row>
    <row r="4489" spans="1:29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8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  <c r="AA4489" s="8"/>
      <c r="AB4489" s="8"/>
      <c r="AC4489" s="8"/>
    </row>
    <row r="4490" spans="1:29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8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  <c r="AA4490" s="8"/>
      <c r="AB4490" s="8"/>
      <c r="AC4490" s="8"/>
    </row>
    <row r="4491" spans="1:29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8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  <c r="AA4491" s="8"/>
      <c r="AB4491" s="8"/>
      <c r="AC4491" s="8"/>
    </row>
    <row r="4492" spans="1:29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8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  <c r="AA4492" s="8"/>
      <c r="AB4492" s="8"/>
      <c r="AC4492" s="8"/>
    </row>
    <row r="4493" spans="1:29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8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  <c r="AA4493" s="8"/>
      <c r="AB4493" s="8"/>
      <c r="AC4493" s="8"/>
    </row>
    <row r="4494" spans="1:29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8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  <c r="AA4494" s="8"/>
      <c r="AB4494" s="8"/>
      <c r="AC4494" s="8"/>
    </row>
    <row r="4495" spans="1:29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8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  <c r="AA4495" s="8"/>
      <c r="AB4495" s="8"/>
      <c r="AC4495" s="8"/>
    </row>
    <row r="4496" spans="1:29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8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  <c r="AA4496" s="8"/>
      <c r="AB4496" s="8"/>
      <c r="AC4496" s="8"/>
    </row>
    <row r="4497" spans="1:29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8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  <c r="AA4497" s="8"/>
      <c r="AB4497" s="8"/>
      <c r="AC4497" s="8"/>
    </row>
    <row r="4498" spans="1:29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8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  <c r="AA4498" s="8"/>
      <c r="AB4498" s="8"/>
      <c r="AC4498" s="8"/>
    </row>
    <row r="4499" spans="1:29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8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  <c r="AA4499" s="8"/>
      <c r="AB4499" s="8"/>
      <c r="AC4499" s="8"/>
    </row>
    <row r="4500" spans="1:29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8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  <c r="AA4500" s="8"/>
      <c r="AB4500" s="8"/>
      <c r="AC4500" s="8"/>
    </row>
    <row r="4501" spans="1:29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8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  <c r="AA4501" s="8"/>
      <c r="AB4501" s="8"/>
      <c r="AC4501" s="8"/>
    </row>
    <row r="4502" spans="1:29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8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  <c r="AA4502" s="8"/>
      <c r="AB4502" s="8"/>
      <c r="AC4502" s="8"/>
    </row>
    <row r="4503" spans="1:29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8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  <c r="AA4503" s="8"/>
      <c r="AB4503" s="8"/>
      <c r="AC4503" s="8"/>
    </row>
    <row r="4504" spans="1:29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8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  <c r="AA4504" s="8"/>
      <c r="AB4504" s="8"/>
      <c r="AC4504" s="8"/>
    </row>
    <row r="4505" spans="1:29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8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  <c r="AA4505" s="8"/>
      <c r="AB4505" s="8"/>
      <c r="AC4505" s="8"/>
    </row>
    <row r="4506" spans="1:29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8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  <c r="AA4506" s="8"/>
      <c r="AB4506" s="8"/>
      <c r="AC4506" s="8"/>
    </row>
    <row r="4507" spans="1:29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8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  <c r="AA4507" s="8"/>
      <c r="AB4507" s="8"/>
      <c r="AC4507" s="8"/>
    </row>
    <row r="4508" spans="1:29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8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  <c r="AA4508" s="8"/>
      <c r="AB4508" s="8"/>
      <c r="AC4508" s="8"/>
    </row>
    <row r="4509" spans="1:29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8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  <c r="AA4509" s="8"/>
      <c r="AB4509" s="8"/>
      <c r="AC4509" s="8"/>
    </row>
    <row r="4510" spans="1:29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8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  <c r="AA4510" s="8"/>
      <c r="AB4510" s="8"/>
      <c r="AC4510" s="8"/>
    </row>
    <row r="4511" spans="1:29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8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  <c r="AA4511" s="8"/>
      <c r="AB4511" s="8"/>
      <c r="AC4511" s="8"/>
    </row>
    <row r="4512" spans="1:29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8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  <c r="AA4512" s="8"/>
      <c r="AB4512" s="8"/>
      <c r="AC4512" s="8"/>
    </row>
    <row r="4513" spans="1:29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8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  <c r="AA4513" s="8"/>
      <c r="AB4513" s="8"/>
      <c r="AC4513" s="8"/>
    </row>
    <row r="4514" spans="1:29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8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  <c r="AA4514" s="8"/>
      <c r="AB4514" s="8"/>
      <c r="AC4514" s="8"/>
    </row>
    <row r="4515" spans="1:29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8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  <c r="AA4515" s="8"/>
      <c r="AB4515" s="8"/>
      <c r="AC4515" s="8"/>
    </row>
    <row r="4516" spans="1:29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8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  <c r="AA4516" s="8"/>
      <c r="AB4516" s="8"/>
      <c r="AC4516" s="8"/>
    </row>
    <row r="4517" spans="1:29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8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  <c r="AA4517" s="8"/>
      <c r="AB4517" s="8"/>
      <c r="AC4517" s="8"/>
    </row>
    <row r="4518" spans="1:29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8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  <c r="AA4518" s="8"/>
      <c r="AB4518" s="8"/>
      <c r="AC4518" s="8"/>
    </row>
    <row r="4519" spans="1:29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8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  <c r="AA4519" s="8"/>
      <c r="AB4519" s="8"/>
      <c r="AC4519" s="8"/>
    </row>
    <row r="4520" spans="1:29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8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  <c r="AA4520" s="8"/>
      <c r="AB4520" s="8"/>
      <c r="AC4520" s="8"/>
    </row>
    <row r="4521" spans="1:29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8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  <c r="AA4521" s="8"/>
      <c r="AB4521" s="8"/>
      <c r="AC4521" s="8"/>
    </row>
    <row r="4522" spans="1:29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8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  <c r="AA4522" s="8"/>
      <c r="AB4522" s="8"/>
      <c r="AC4522" s="8"/>
    </row>
    <row r="4523" spans="1:29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8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  <c r="AA4523" s="8"/>
      <c r="AB4523" s="8"/>
      <c r="AC4523" s="8"/>
    </row>
    <row r="4524" spans="1:29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8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  <c r="AA4524" s="8"/>
      <c r="AB4524" s="8"/>
      <c r="AC4524" s="8"/>
    </row>
    <row r="4525" spans="1:29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8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  <c r="AA4525" s="8"/>
      <c r="AB4525" s="8"/>
      <c r="AC4525" s="8"/>
    </row>
    <row r="4526" spans="1:29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8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  <c r="AA4526" s="8"/>
      <c r="AB4526" s="8"/>
      <c r="AC4526" s="8"/>
    </row>
    <row r="4527" spans="1:29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8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  <c r="AA4527" s="8"/>
      <c r="AB4527" s="8"/>
      <c r="AC4527" s="8"/>
    </row>
    <row r="4528" spans="1:29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8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  <c r="AA4528" s="8"/>
      <c r="AB4528" s="8"/>
      <c r="AC4528" s="8"/>
    </row>
    <row r="4529" spans="1:29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8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  <c r="AA4529" s="8"/>
      <c r="AB4529" s="8"/>
      <c r="AC4529" s="8"/>
    </row>
    <row r="4530" spans="1:29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8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  <c r="AA4530" s="8"/>
      <c r="AB4530" s="8"/>
      <c r="AC4530" s="8"/>
    </row>
    <row r="4531" spans="1:29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8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  <c r="AA4531" s="8"/>
      <c r="AB4531" s="8"/>
      <c r="AC4531" s="8"/>
    </row>
    <row r="4532" spans="1:29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8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  <c r="AA4532" s="8"/>
      <c r="AB4532" s="8"/>
      <c r="AC4532" s="8"/>
    </row>
    <row r="4533" spans="1:29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8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  <c r="AA4533" s="8"/>
      <c r="AB4533" s="8"/>
      <c r="AC4533" s="8"/>
    </row>
    <row r="4534" spans="1:29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8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  <c r="AA4534" s="8"/>
      <c r="AB4534" s="8"/>
      <c r="AC4534" s="8"/>
    </row>
    <row r="4535" spans="1:29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8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  <c r="AA4535" s="8"/>
      <c r="AB4535" s="8"/>
      <c r="AC4535" s="8"/>
    </row>
    <row r="4536" spans="1:29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8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  <c r="AA4536" s="8"/>
      <c r="AB4536" s="8"/>
      <c r="AC4536" s="8"/>
    </row>
    <row r="4537" spans="1:29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8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  <c r="AA4537" s="8"/>
      <c r="AB4537" s="8"/>
      <c r="AC4537" s="8"/>
    </row>
    <row r="4538" spans="1:29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8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  <c r="AA4538" s="8"/>
      <c r="AB4538" s="8"/>
      <c r="AC4538" s="8"/>
    </row>
    <row r="4539" spans="1:29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8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  <c r="AA4539" s="8"/>
      <c r="AB4539" s="8"/>
      <c r="AC4539" s="8"/>
    </row>
    <row r="4540" spans="1:29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8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  <c r="AA4540" s="8"/>
      <c r="AB4540" s="8"/>
      <c r="AC4540" s="8"/>
    </row>
    <row r="4541" spans="1:29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8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  <c r="AA4541" s="8"/>
      <c r="AB4541" s="8"/>
      <c r="AC4541" s="8"/>
    </row>
    <row r="4542" spans="1:29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8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  <c r="AA4542" s="8"/>
      <c r="AB4542" s="8"/>
      <c r="AC4542" s="8"/>
    </row>
    <row r="4543" spans="1:29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8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  <c r="AA4543" s="8"/>
      <c r="AB4543" s="8"/>
      <c r="AC4543" s="8"/>
    </row>
    <row r="4544" spans="1:29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8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  <c r="AA4544" s="8"/>
      <c r="AB4544" s="8"/>
      <c r="AC4544" s="8"/>
    </row>
    <row r="4545" spans="1:29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8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  <c r="AA4545" s="8"/>
      <c r="AB4545" s="8"/>
      <c r="AC4545" s="8"/>
    </row>
    <row r="4546" spans="1:29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8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  <c r="AA4546" s="8"/>
      <c r="AB4546" s="8"/>
      <c r="AC4546" s="8"/>
    </row>
    <row r="4547" spans="1:29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8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  <c r="AA4547" s="8"/>
      <c r="AB4547" s="8"/>
      <c r="AC4547" s="8"/>
    </row>
    <row r="4548" spans="1:29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8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  <c r="AA4548" s="8"/>
      <c r="AB4548" s="8"/>
      <c r="AC4548" s="8"/>
    </row>
    <row r="4549" spans="1:29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8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  <c r="AA4549" s="8"/>
      <c r="AB4549" s="8"/>
      <c r="AC4549" s="8"/>
    </row>
    <row r="4550" spans="1:29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8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  <c r="AA4550" s="8"/>
      <c r="AB4550" s="8"/>
      <c r="AC4550" s="8"/>
    </row>
    <row r="4551" spans="1:29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8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  <c r="AA4551" s="8"/>
      <c r="AB4551" s="8"/>
      <c r="AC4551" s="8"/>
    </row>
    <row r="4552" spans="1:29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8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  <c r="AA4552" s="8"/>
      <c r="AB4552" s="8"/>
      <c r="AC4552" s="8"/>
    </row>
    <row r="4553" spans="1:29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8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  <c r="AA4553" s="8"/>
      <c r="AB4553" s="8"/>
      <c r="AC4553" s="8"/>
    </row>
    <row r="4554" spans="1:29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8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  <c r="AA4554" s="8"/>
      <c r="AB4554" s="8"/>
      <c r="AC4554" s="8"/>
    </row>
    <row r="4555" spans="1:29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8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  <c r="AA4555" s="8"/>
      <c r="AB4555" s="8"/>
      <c r="AC4555" s="8"/>
    </row>
    <row r="4556" spans="1:29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8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  <c r="AA4556" s="8"/>
      <c r="AB4556" s="8"/>
      <c r="AC4556" s="8"/>
    </row>
    <row r="4557" spans="1:29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8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  <c r="AA4557" s="8"/>
      <c r="AB4557" s="8"/>
      <c r="AC4557" s="8"/>
    </row>
    <row r="4558" spans="1:29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8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  <c r="AA4558" s="8"/>
      <c r="AB4558" s="8"/>
      <c r="AC4558" s="8"/>
    </row>
    <row r="4559" spans="1:29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8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  <c r="AA4559" s="8"/>
      <c r="AB4559" s="8"/>
      <c r="AC4559" s="8"/>
    </row>
    <row r="4560" spans="1:29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8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  <c r="AA4560" s="8"/>
      <c r="AB4560" s="8"/>
      <c r="AC4560" s="8"/>
    </row>
    <row r="4561" spans="1:29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8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  <c r="AA4561" s="8"/>
      <c r="AB4561" s="8"/>
      <c r="AC4561" s="8"/>
    </row>
    <row r="4562" spans="1:29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8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  <c r="AA4562" s="8"/>
      <c r="AB4562" s="8"/>
      <c r="AC4562" s="8"/>
    </row>
    <row r="4563" spans="1:29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8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  <c r="AA4563" s="8"/>
      <c r="AB4563" s="8"/>
      <c r="AC4563" s="8"/>
    </row>
    <row r="4564" spans="1:29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8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  <c r="AA4564" s="8"/>
      <c r="AB4564" s="8"/>
      <c r="AC4564" s="8"/>
    </row>
    <row r="4565" spans="1:29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8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  <c r="AA4565" s="8"/>
      <c r="AB4565" s="8"/>
      <c r="AC4565" s="8"/>
    </row>
    <row r="4566" spans="1:29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8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  <c r="AA4566" s="8"/>
      <c r="AB4566" s="8"/>
      <c r="AC4566" s="8"/>
    </row>
    <row r="4567" spans="1:29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8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  <c r="AA4567" s="8"/>
      <c r="AB4567" s="8"/>
      <c r="AC4567" s="8"/>
    </row>
    <row r="4568" spans="1:29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8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  <c r="AA4568" s="8"/>
      <c r="AB4568" s="8"/>
      <c r="AC4568" s="8"/>
    </row>
    <row r="4569" spans="1:29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8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  <c r="AA4569" s="8"/>
      <c r="AB4569" s="8"/>
      <c r="AC4569" s="8"/>
    </row>
    <row r="4570" spans="1:29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8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  <c r="AA4570" s="8"/>
      <c r="AB4570" s="8"/>
      <c r="AC4570" s="8"/>
    </row>
    <row r="4571" spans="1:29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8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  <c r="AA4571" s="8"/>
      <c r="AB4571" s="8"/>
      <c r="AC4571" s="8"/>
    </row>
    <row r="4572" spans="1:29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8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  <c r="AA4572" s="8"/>
      <c r="AB4572" s="8"/>
      <c r="AC4572" s="8"/>
    </row>
    <row r="4573" spans="1:29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8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  <c r="AA4573" s="8"/>
      <c r="AB4573" s="8"/>
      <c r="AC4573" s="8"/>
    </row>
    <row r="4574" spans="1:29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8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  <c r="AA4574" s="8"/>
      <c r="AB4574" s="8"/>
      <c r="AC4574" s="8"/>
    </row>
    <row r="4575" spans="1:29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8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  <c r="AA4575" s="8"/>
      <c r="AB4575" s="8"/>
      <c r="AC4575" s="8"/>
    </row>
    <row r="4576" spans="1:29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8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  <c r="AA4576" s="8"/>
      <c r="AB4576" s="8"/>
      <c r="AC4576" s="8"/>
    </row>
    <row r="4577" spans="1:29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8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  <c r="AA4577" s="8"/>
      <c r="AB4577" s="8"/>
      <c r="AC4577" s="8"/>
    </row>
    <row r="4578" spans="1:29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8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  <c r="AA4578" s="8"/>
      <c r="AB4578" s="8"/>
      <c r="AC4578" s="8"/>
    </row>
    <row r="4579" spans="1:29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8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  <c r="AA4579" s="8"/>
      <c r="AB4579" s="8"/>
      <c r="AC4579" s="8"/>
    </row>
    <row r="4580" spans="1:29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8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  <c r="AA4580" s="8"/>
      <c r="AB4580" s="8"/>
      <c r="AC4580" s="8"/>
    </row>
    <row r="4581" spans="1:29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8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  <c r="AA4581" s="8"/>
      <c r="AB4581" s="8"/>
      <c r="AC4581" s="8"/>
    </row>
    <row r="4582" spans="1:29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8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  <c r="AA4582" s="8"/>
      <c r="AB4582" s="8"/>
      <c r="AC4582" s="8"/>
    </row>
    <row r="4583" spans="1:29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8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  <c r="AA4583" s="8"/>
      <c r="AB4583" s="8"/>
      <c r="AC4583" s="8"/>
    </row>
    <row r="4584" spans="1:29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8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  <c r="AA4584" s="8"/>
      <c r="AB4584" s="8"/>
      <c r="AC4584" s="8"/>
    </row>
    <row r="4585" spans="1:29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8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  <c r="AA4585" s="8"/>
      <c r="AB4585" s="8"/>
      <c r="AC4585" s="8"/>
    </row>
    <row r="4586" spans="1:29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8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  <c r="AA4586" s="8"/>
      <c r="AB4586" s="8"/>
      <c r="AC4586" s="8"/>
    </row>
    <row r="4587" spans="1:29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8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  <c r="AA4587" s="8"/>
      <c r="AB4587" s="8"/>
      <c r="AC4587" s="8"/>
    </row>
    <row r="4588" spans="1:29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8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  <c r="AA4588" s="8"/>
      <c r="AB4588" s="8"/>
      <c r="AC4588" s="8"/>
    </row>
    <row r="4589" spans="1:29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8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  <c r="AA4589" s="8"/>
      <c r="AB4589" s="8"/>
      <c r="AC4589" s="8"/>
    </row>
    <row r="4590" spans="1:29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8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  <c r="AA4590" s="8"/>
      <c r="AB4590" s="8"/>
      <c r="AC4590" s="8"/>
    </row>
    <row r="4591" spans="1:29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8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  <c r="AA4591" s="8"/>
      <c r="AB4591" s="8"/>
      <c r="AC4591" s="8"/>
    </row>
    <row r="4592" spans="1:29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8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  <c r="AA4592" s="8"/>
      <c r="AB4592" s="8"/>
      <c r="AC4592" s="8"/>
    </row>
    <row r="4593" spans="1:29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8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  <c r="AA4593" s="8"/>
      <c r="AB4593" s="8"/>
      <c r="AC4593" s="8"/>
    </row>
    <row r="4594" spans="1:29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8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  <c r="AA4594" s="8"/>
      <c r="AB4594" s="8"/>
      <c r="AC4594" s="8"/>
    </row>
    <row r="4595" spans="1:29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8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  <c r="AA4595" s="8"/>
      <c r="AB4595" s="8"/>
      <c r="AC4595" s="8"/>
    </row>
    <row r="4596" spans="1:29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8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  <c r="AA4596" s="8"/>
      <c r="AB4596" s="8"/>
      <c r="AC4596" s="8"/>
    </row>
    <row r="4597" spans="1:29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8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  <c r="AA4597" s="8"/>
      <c r="AB4597" s="8"/>
      <c r="AC4597" s="8"/>
    </row>
    <row r="4598" spans="1:29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8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  <c r="AA4598" s="8"/>
      <c r="AB4598" s="8"/>
      <c r="AC4598" s="8"/>
    </row>
    <row r="4599" spans="1:29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8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  <c r="AA4599" s="8"/>
      <c r="AB4599" s="8"/>
      <c r="AC4599" s="8"/>
    </row>
    <row r="4600" spans="1:29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8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  <c r="AA4600" s="8"/>
      <c r="AB4600" s="8"/>
      <c r="AC4600" s="8"/>
    </row>
    <row r="4601" spans="1:29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8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  <c r="AA4601" s="8"/>
      <c r="AB4601" s="8"/>
      <c r="AC4601" s="8"/>
    </row>
    <row r="4602" spans="1:29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8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  <c r="AA4602" s="8"/>
      <c r="AB4602" s="8"/>
      <c r="AC4602" s="8"/>
    </row>
    <row r="4603" spans="1:29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8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  <c r="AA4603" s="8"/>
      <c r="AB4603" s="8"/>
      <c r="AC4603" s="8"/>
    </row>
    <row r="4604" spans="1:29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8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  <c r="AA4604" s="8"/>
      <c r="AB4604" s="8"/>
      <c r="AC4604" s="8"/>
    </row>
    <row r="4605" spans="1:29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8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  <c r="AA4605" s="8"/>
      <c r="AB4605" s="8"/>
      <c r="AC4605" s="8"/>
    </row>
    <row r="4606" spans="1:29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8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  <c r="AA4606" s="8"/>
      <c r="AB4606" s="8"/>
      <c r="AC4606" s="8"/>
    </row>
    <row r="4607" spans="1:29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8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  <c r="AA4607" s="8"/>
      <c r="AB4607" s="8"/>
      <c r="AC4607" s="8"/>
    </row>
    <row r="4608" spans="1:29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8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  <c r="AA4608" s="8"/>
      <c r="AB4608" s="8"/>
      <c r="AC4608" s="8"/>
    </row>
    <row r="4609" spans="1:29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8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  <c r="AA4609" s="8"/>
      <c r="AB4609" s="8"/>
      <c r="AC4609" s="8"/>
    </row>
    <row r="4610" spans="1:29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8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  <c r="AA4610" s="8"/>
      <c r="AB4610" s="8"/>
      <c r="AC4610" s="8"/>
    </row>
    <row r="4611" spans="1:29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8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  <c r="AA4611" s="8"/>
      <c r="AB4611" s="8"/>
      <c r="AC4611" s="8"/>
    </row>
    <row r="4612" spans="1:29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8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  <c r="AA4612" s="8"/>
      <c r="AB4612" s="8"/>
      <c r="AC4612" s="8"/>
    </row>
    <row r="4613" spans="1:29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8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  <c r="AA4613" s="8"/>
      <c r="AB4613" s="8"/>
      <c r="AC4613" s="8"/>
    </row>
    <row r="4614" spans="1:29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8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  <c r="AA4614" s="8"/>
      <c r="AB4614" s="8"/>
      <c r="AC4614" s="8"/>
    </row>
    <row r="4615" spans="1:29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8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  <c r="AA4615" s="8"/>
      <c r="AB4615" s="8"/>
      <c r="AC4615" s="8"/>
    </row>
    <row r="4616" spans="1:29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8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  <c r="AA4616" s="8"/>
      <c r="AB4616" s="8"/>
      <c r="AC4616" s="8"/>
    </row>
    <row r="4617" spans="1:29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8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  <c r="AA4617" s="8"/>
      <c r="AB4617" s="8"/>
      <c r="AC4617" s="8"/>
    </row>
    <row r="4618" spans="1:29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8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  <c r="AA4618" s="8"/>
      <c r="AB4618" s="8"/>
      <c r="AC4618" s="8"/>
    </row>
    <row r="4619" spans="1:29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8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  <c r="AA4619" s="8"/>
      <c r="AB4619" s="8"/>
      <c r="AC4619" s="8"/>
    </row>
    <row r="4620" spans="1:29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8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  <c r="AA4620" s="8"/>
      <c r="AB4620" s="8"/>
      <c r="AC4620" s="8"/>
    </row>
    <row r="4621" spans="1:29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8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  <c r="AA4621" s="8"/>
      <c r="AB4621" s="8"/>
      <c r="AC4621" s="8"/>
    </row>
    <row r="4622" spans="1:29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8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  <c r="AA4622" s="8"/>
      <c r="AB4622" s="8"/>
      <c r="AC4622" s="8"/>
    </row>
    <row r="4623" spans="1:29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8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  <c r="AA4623" s="8"/>
      <c r="AB4623" s="8"/>
      <c r="AC4623" s="8"/>
    </row>
    <row r="4624" spans="1:29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8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  <c r="AA4624" s="8"/>
      <c r="AB4624" s="8"/>
      <c r="AC4624" s="8"/>
    </row>
    <row r="4625" spans="1:29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8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  <c r="AA4625" s="8"/>
      <c r="AB4625" s="8"/>
      <c r="AC4625" s="8"/>
    </row>
    <row r="4626" spans="1:29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8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  <c r="AA4626" s="8"/>
      <c r="AB4626" s="8"/>
      <c r="AC4626" s="8"/>
    </row>
    <row r="4627" spans="1:29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8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  <c r="AA4627" s="8"/>
      <c r="AB4627" s="8"/>
      <c r="AC4627" s="8"/>
    </row>
    <row r="4628" spans="1:29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8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  <c r="AA4628" s="8"/>
      <c r="AB4628" s="8"/>
      <c r="AC4628" s="8"/>
    </row>
    <row r="4629" spans="1:29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8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  <c r="AA4629" s="8"/>
      <c r="AB4629" s="8"/>
      <c r="AC4629" s="8"/>
    </row>
    <row r="4630" spans="1:29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8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  <c r="AA4630" s="8"/>
      <c r="AB4630" s="8"/>
      <c r="AC4630" s="8"/>
    </row>
    <row r="4631" spans="1:29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8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  <c r="AA4631" s="8"/>
      <c r="AB4631" s="8"/>
      <c r="AC4631" s="8"/>
    </row>
    <row r="4632" spans="1:29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8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  <c r="AA4632" s="8"/>
      <c r="AB4632" s="8"/>
      <c r="AC4632" s="8"/>
    </row>
    <row r="4633" spans="1:29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8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  <c r="AA4633" s="8"/>
      <c r="AB4633" s="8"/>
      <c r="AC4633" s="8"/>
    </row>
    <row r="4634" spans="1:29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8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  <c r="AA4634" s="8"/>
      <c r="AB4634" s="8"/>
      <c r="AC4634" s="8"/>
    </row>
    <row r="4635" spans="1:29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8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  <c r="AA4635" s="8"/>
      <c r="AB4635" s="8"/>
      <c r="AC4635" s="8"/>
    </row>
    <row r="4636" spans="1:29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8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  <c r="AA4636" s="8"/>
      <c r="AB4636" s="8"/>
      <c r="AC4636" s="8"/>
    </row>
    <row r="4637" spans="1:29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8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  <c r="AA4637" s="8"/>
      <c r="AB4637" s="8"/>
      <c r="AC4637" s="8"/>
    </row>
    <row r="4638" spans="1:29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8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  <c r="AA4638" s="8"/>
      <c r="AB4638" s="8"/>
      <c r="AC4638" s="8"/>
    </row>
    <row r="4639" spans="1:29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8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  <c r="AA4639" s="8"/>
      <c r="AB4639" s="8"/>
      <c r="AC4639" s="8"/>
    </row>
    <row r="4640" spans="1:29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8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  <c r="AA4640" s="8"/>
      <c r="AB4640" s="8"/>
      <c r="AC4640" s="8"/>
    </row>
    <row r="4641" spans="1:29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8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  <c r="AA4641" s="8"/>
      <c r="AB4641" s="8"/>
      <c r="AC4641" s="8"/>
    </row>
    <row r="4642" spans="1:29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8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  <c r="AA4642" s="8"/>
      <c r="AB4642" s="8"/>
      <c r="AC4642" s="8"/>
    </row>
    <row r="4643" spans="1:29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8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  <c r="AA4643" s="8"/>
      <c r="AB4643" s="8"/>
      <c r="AC4643" s="8"/>
    </row>
    <row r="4644" spans="1:29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8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  <c r="AA4644" s="8"/>
      <c r="AB4644" s="8"/>
      <c r="AC4644" s="8"/>
    </row>
    <row r="4645" spans="1:29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8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  <c r="AA4645" s="8"/>
      <c r="AB4645" s="8"/>
      <c r="AC4645" s="8"/>
    </row>
    <row r="4646" spans="1:29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8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  <c r="AA4646" s="8"/>
      <c r="AB4646" s="8"/>
      <c r="AC4646" s="8"/>
    </row>
    <row r="4647" spans="1:29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8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  <c r="AA4647" s="8"/>
      <c r="AB4647" s="8"/>
      <c r="AC4647" s="8"/>
    </row>
    <row r="4648" spans="1:29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8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  <c r="AA4648" s="8"/>
      <c r="AB4648" s="8"/>
      <c r="AC4648" s="8"/>
    </row>
    <row r="4649" spans="1:29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8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  <c r="AA4649" s="8"/>
      <c r="AB4649" s="8"/>
      <c r="AC4649" s="8"/>
    </row>
    <row r="4650" spans="1:29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8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  <c r="AA4650" s="8"/>
      <c r="AB4650" s="8"/>
      <c r="AC4650" s="8"/>
    </row>
    <row r="4651" spans="1:29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8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  <c r="AA4651" s="8"/>
      <c r="AB4651" s="8"/>
      <c r="AC4651" s="8"/>
    </row>
    <row r="4652" spans="1:29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8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  <c r="AA4652" s="8"/>
      <c r="AB4652" s="8"/>
      <c r="AC4652" s="8"/>
    </row>
    <row r="4653" spans="1:29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8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  <c r="AA4653" s="8"/>
      <c r="AB4653" s="8"/>
      <c r="AC4653" s="8"/>
    </row>
    <row r="4654" spans="1:29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8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  <c r="AA4654" s="8"/>
      <c r="AB4654" s="8"/>
      <c r="AC4654" s="8"/>
    </row>
    <row r="4655" spans="1:29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8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  <c r="AA4655" s="8"/>
      <c r="AB4655" s="8"/>
      <c r="AC4655" s="8"/>
    </row>
    <row r="4656" spans="1:29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8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  <c r="AA4656" s="8"/>
      <c r="AB4656" s="8"/>
      <c r="AC4656" s="8"/>
    </row>
    <row r="4657" spans="1:29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8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  <c r="AA4657" s="8"/>
      <c r="AB4657" s="8"/>
      <c r="AC4657" s="8"/>
    </row>
    <row r="4658" spans="1:29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8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  <c r="AA4658" s="8"/>
      <c r="AB4658" s="8"/>
      <c r="AC4658" s="8"/>
    </row>
    <row r="4659" spans="1:29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8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  <c r="AA4659" s="8"/>
      <c r="AB4659" s="8"/>
      <c r="AC4659" s="8"/>
    </row>
    <row r="4660" spans="1:29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8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  <c r="AA4660" s="8"/>
      <c r="AB4660" s="8"/>
      <c r="AC4660" s="8"/>
    </row>
    <row r="4661" spans="1:29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8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  <c r="AA4661" s="8"/>
      <c r="AB4661" s="8"/>
      <c r="AC4661" s="8"/>
    </row>
    <row r="4662" spans="1:29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8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  <c r="AA4662" s="8"/>
      <c r="AB4662" s="8"/>
      <c r="AC4662" s="8"/>
    </row>
    <row r="4663" spans="1:29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8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  <c r="AA4663" s="8"/>
      <c r="AB4663" s="8"/>
      <c r="AC4663" s="8"/>
    </row>
    <row r="4664" spans="1:29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8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  <c r="AA4664" s="8"/>
      <c r="AB4664" s="8"/>
      <c r="AC4664" s="8"/>
    </row>
    <row r="4665" spans="1:29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8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  <c r="AA4665" s="8"/>
      <c r="AB4665" s="8"/>
      <c r="AC4665" s="8"/>
    </row>
    <row r="4666" spans="1:29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8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  <c r="AA4666" s="8"/>
      <c r="AB4666" s="8"/>
      <c r="AC4666" s="8"/>
    </row>
    <row r="4667" spans="1:29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8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  <c r="AA4667" s="8"/>
      <c r="AB4667" s="8"/>
      <c r="AC4667" s="8"/>
    </row>
    <row r="4668" spans="1:29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8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  <c r="AA4668" s="8"/>
      <c r="AB4668" s="8"/>
      <c r="AC4668" s="8"/>
    </row>
    <row r="4669" spans="1:29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8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  <c r="AA4669" s="8"/>
      <c r="AB4669" s="8"/>
      <c r="AC4669" s="8"/>
    </row>
    <row r="4670" spans="1:29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8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  <c r="AA4670" s="8"/>
      <c r="AB4670" s="8"/>
      <c r="AC4670" s="8"/>
    </row>
    <row r="4671" spans="1:29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8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  <c r="AA4671" s="8"/>
      <c r="AB4671" s="8"/>
      <c r="AC4671" s="8"/>
    </row>
    <row r="4672" spans="1:29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8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  <c r="AA4672" s="8"/>
      <c r="AB4672" s="8"/>
      <c r="AC4672" s="8"/>
    </row>
    <row r="4673" spans="1:29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8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  <c r="AA4673" s="8"/>
      <c r="AB4673" s="8"/>
      <c r="AC4673" s="8"/>
    </row>
    <row r="4674" spans="1:29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8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  <c r="AA4674" s="8"/>
      <c r="AB4674" s="8"/>
      <c r="AC4674" s="8"/>
    </row>
    <row r="4675" spans="1:29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8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  <c r="AA4675" s="8"/>
      <c r="AB4675" s="8"/>
      <c r="AC4675" s="8"/>
    </row>
    <row r="4676" spans="1:29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8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  <c r="AA4676" s="8"/>
      <c r="AB4676" s="8"/>
      <c r="AC4676" s="8"/>
    </row>
    <row r="4677" spans="1:29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8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  <c r="AA4677" s="8"/>
      <c r="AB4677" s="8"/>
      <c r="AC4677" s="8"/>
    </row>
    <row r="4678" spans="1:29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8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  <c r="AA4678" s="8"/>
      <c r="AB4678" s="8"/>
      <c r="AC4678" s="8"/>
    </row>
    <row r="4679" spans="1:29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8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  <c r="AA4679" s="8"/>
      <c r="AB4679" s="8"/>
      <c r="AC4679" s="8"/>
    </row>
    <row r="4680" spans="1:29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8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  <c r="AA4680" s="8"/>
      <c r="AB4680" s="8"/>
      <c r="AC4680" s="8"/>
    </row>
    <row r="4681" spans="1:29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8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  <c r="AA4681" s="8"/>
      <c r="AB4681" s="8"/>
      <c r="AC4681" s="8"/>
    </row>
    <row r="4682" spans="1:29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8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  <c r="AA4682" s="8"/>
      <c r="AB4682" s="8"/>
      <c r="AC4682" s="8"/>
    </row>
    <row r="4683" spans="1:29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8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  <c r="AA4683" s="8"/>
      <c r="AB4683" s="8"/>
      <c r="AC4683" s="8"/>
    </row>
    <row r="4684" spans="1:29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8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  <c r="AA4684" s="8"/>
      <c r="AB4684" s="8"/>
      <c r="AC4684" s="8"/>
    </row>
    <row r="4685" spans="1:29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8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  <c r="AA4685" s="8"/>
      <c r="AB4685" s="8"/>
      <c r="AC4685" s="8"/>
    </row>
    <row r="4686" spans="1:29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8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  <c r="AA4686" s="8"/>
      <c r="AB4686" s="8"/>
      <c r="AC4686" s="8"/>
    </row>
    <row r="4687" spans="1:29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8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  <c r="AA4687" s="8"/>
      <c r="AB4687" s="8"/>
      <c r="AC4687" s="8"/>
    </row>
    <row r="4688" spans="1:29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8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  <c r="AA4688" s="8"/>
      <c r="AB4688" s="8"/>
      <c r="AC4688" s="8"/>
    </row>
    <row r="4689" spans="1:29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8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  <c r="AA4689" s="8"/>
      <c r="AB4689" s="8"/>
      <c r="AC4689" s="8"/>
    </row>
    <row r="4690" spans="1:29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8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  <c r="AA4690" s="8"/>
      <c r="AB4690" s="8"/>
      <c r="AC4690" s="8"/>
    </row>
    <row r="4691" spans="1:29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8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  <c r="AA4691" s="8"/>
      <c r="AB4691" s="8"/>
      <c r="AC4691" s="8"/>
    </row>
    <row r="4692" spans="1:29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8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  <c r="AA4692" s="8"/>
      <c r="AB4692" s="8"/>
      <c r="AC4692" s="8"/>
    </row>
    <row r="4693" spans="1:29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8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  <c r="AA4693" s="8"/>
      <c r="AB4693" s="8"/>
      <c r="AC4693" s="8"/>
    </row>
    <row r="4694" spans="1:29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8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  <c r="AA4694" s="8"/>
      <c r="AB4694" s="8"/>
      <c r="AC4694" s="8"/>
    </row>
    <row r="4695" spans="1:29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8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  <c r="AA4695" s="8"/>
      <c r="AB4695" s="8"/>
      <c r="AC4695" s="8"/>
    </row>
    <row r="4696" spans="1:29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8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  <c r="AA4696" s="8"/>
      <c r="AB4696" s="8"/>
      <c r="AC4696" s="8"/>
    </row>
    <row r="4697" spans="1:29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8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  <c r="AA4697" s="8"/>
      <c r="AB4697" s="8"/>
      <c r="AC4697" s="8"/>
    </row>
    <row r="4698" spans="1:29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8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  <c r="AA4698" s="8"/>
      <c r="AB4698" s="8"/>
      <c r="AC4698" s="8"/>
    </row>
    <row r="4699" spans="1:29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8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  <c r="AA4699" s="8"/>
      <c r="AB4699" s="8"/>
      <c r="AC4699" s="8"/>
    </row>
    <row r="4700" spans="1:29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8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  <c r="AA4700" s="8"/>
      <c r="AB4700" s="8"/>
      <c r="AC4700" s="8"/>
    </row>
    <row r="4701" spans="1:29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8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  <c r="AA4701" s="8"/>
      <c r="AB4701" s="8"/>
      <c r="AC4701" s="8"/>
    </row>
    <row r="4702" spans="1:29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8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  <c r="AA4702" s="8"/>
      <c r="AB4702" s="8"/>
      <c r="AC4702" s="8"/>
    </row>
    <row r="4703" spans="1:29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8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  <c r="AA4703" s="8"/>
      <c r="AB4703" s="8"/>
      <c r="AC4703" s="8"/>
    </row>
    <row r="4704" spans="1:29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8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  <c r="AA4704" s="8"/>
      <c r="AB4704" s="8"/>
      <c r="AC4704" s="8"/>
    </row>
    <row r="4705" spans="1:29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8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  <c r="AA4705" s="8"/>
      <c r="AB4705" s="8"/>
      <c r="AC4705" s="8"/>
    </row>
    <row r="4706" spans="1:29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8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  <c r="AA4706" s="8"/>
      <c r="AB4706" s="8"/>
      <c r="AC4706" s="8"/>
    </row>
    <row r="4707" spans="1:29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8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  <c r="AA4707" s="8"/>
      <c r="AB4707" s="8"/>
      <c r="AC4707" s="8"/>
    </row>
    <row r="4708" spans="1:29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8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  <c r="AA4708" s="8"/>
      <c r="AB4708" s="8"/>
      <c r="AC4708" s="8"/>
    </row>
    <row r="4709" spans="1:29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8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  <c r="AA4709" s="8"/>
      <c r="AB4709" s="8"/>
      <c r="AC4709" s="8"/>
    </row>
    <row r="4710" spans="1:29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8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  <c r="AA4710" s="8"/>
      <c r="AB4710" s="8"/>
      <c r="AC4710" s="8"/>
    </row>
    <row r="4711" spans="1:29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8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  <c r="AA4711" s="8"/>
      <c r="AB4711" s="8"/>
      <c r="AC4711" s="8"/>
    </row>
    <row r="4712" spans="1:29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8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  <c r="AA4712" s="8"/>
      <c r="AB4712" s="8"/>
      <c r="AC4712" s="8"/>
    </row>
    <row r="4713" spans="1:29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8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  <c r="AA4713" s="8"/>
      <c r="AB4713" s="8"/>
      <c r="AC4713" s="8"/>
    </row>
    <row r="4714" spans="1:29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8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  <c r="AA4714" s="8"/>
      <c r="AB4714" s="8"/>
      <c r="AC4714" s="8"/>
    </row>
    <row r="4715" spans="1:29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8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  <c r="AA4715" s="8"/>
      <c r="AB4715" s="8"/>
      <c r="AC4715" s="8"/>
    </row>
    <row r="4716" spans="1:29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8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  <c r="AA4716" s="8"/>
      <c r="AB4716" s="8"/>
      <c r="AC4716" s="8"/>
    </row>
    <row r="4717" spans="1:29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8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  <c r="AA4717" s="8"/>
      <c r="AB4717" s="8"/>
      <c r="AC4717" s="8"/>
    </row>
    <row r="4718" spans="1:29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8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  <c r="AA4718" s="8"/>
      <c r="AB4718" s="8"/>
      <c r="AC4718" s="8"/>
    </row>
    <row r="4719" spans="1:29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8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  <c r="AA4719" s="8"/>
      <c r="AB4719" s="8"/>
      <c r="AC4719" s="8"/>
    </row>
    <row r="4720" spans="1:29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8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  <c r="AA4720" s="8"/>
      <c r="AB4720" s="8"/>
      <c r="AC4720" s="8"/>
    </row>
    <row r="4721" spans="1:29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8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  <c r="AA4721" s="8"/>
      <c r="AB4721" s="8"/>
      <c r="AC4721" s="8"/>
    </row>
    <row r="4722" spans="1:29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8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  <c r="AA4722" s="8"/>
      <c r="AB4722" s="8"/>
      <c r="AC4722" s="8"/>
    </row>
    <row r="4723" spans="1:29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8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  <c r="AA4723" s="8"/>
      <c r="AB4723" s="8"/>
      <c r="AC4723" s="8"/>
    </row>
    <row r="4724" spans="1:29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8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  <c r="AA4724" s="8"/>
      <c r="AB4724" s="8"/>
      <c r="AC4724" s="8"/>
    </row>
    <row r="4725" spans="1:29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8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  <c r="AA4725" s="8"/>
      <c r="AB4725" s="8"/>
      <c r="AC4725" s="8"/>
    </row>
    <row r="4726" spans="1:29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8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  <c r="AA4726" s="8"/>
      <c r="AB4726" s="8"/>
      <c r="AC4726" s="8"/>
    </row>
    <row r="4727" spans="1:29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8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  <c r="AA4727" s="8"/>
      <c r="AB4727" s="8"/>
      <c r="AC4727" s="8"/>
    </row>
    <row r="4728" spans="1:29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8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  <c r="AA4728" s="8"/>
      <c r="AB4728" s="8"/>
      <c r="AC4728" s="8"/>
    </row>
    <row r="4729" spans="1:29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8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  <c r="AA4729" s="8"/>
      <c r="AB4729" s="8"/>
      <c r="AC4729" s="8"/>
    </row>
    <row r="4730" spans="1:29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8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  <c r="AA4730" s="8"/>
      <c r="AB4730" s="8"/>
      <c r="AC4730" s="8"/>
    </row>
    <row r="4731" spans="1:29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8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  <c r="AA4731" s="8"/>
      <c r="AB4731" s="8"/>
      <c r="AC4731" s="8"/>
    </row>
    <row r="4732" spans="1:29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8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  <c r="AA4732" s="8"/>
      <c r="AB4732" s="8"/>
      <c r="AC4732" s="8"/>
    </row>
    <row r="4733" spans="1:29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8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  <c r="AA4733" s="8"/>
      <c r="AB4733" s="8"/>
      <c r="AC4733" s="8"/>
    </row>
    <row r="4734" spans="1:29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8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  <c r="AA4734" s="8"/>
      <c r="AB4734" s="8"/>
      <c r="AC4734" s="8"/>
    </row>
    <row r="4735" spans="1:29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8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  <c r="AA4735" s="8"/>
      <c r="AB4735" s="8"/>
      <c r="AC4735" s="8"/>
    </row>
    <row r="4736" spans="1:29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8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  <c r="AA4736" s="8"/>
      <c r="AB4736" s="8"/>
      <c r="AC4736" s="8"/>
    </row>
    <row r="4737" spans="1:29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8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  <c r="AA4737" s="8"/>
      <c r="AB4737" s="8"/>
      <c r="AC4737" s="8"/>
    </row>
    <row r="4738" spans="1:29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8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  <c r="AA4738" s="8"/>
      <c r="AB4738" s="8"/>
      <c r="AC4738" s="8"/>
    </row>
    <row r="4739" spans="1:29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8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  <c r="AA4739" s="8"/>
      <c r="AB4739" s="8"/>
      <c r="AC4739" s="8"/>
    </row>
    <row r="4740" spans="1:29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8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  <c r="AA4740" s="8"/>
      <c r="AB4740" s="8"/>
      <c r="AC4740" s="8"/>
    </row>
    <row r="4741" spans="1:29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8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  <c r="AA4741" s="8"/>
      <c r="AB4741" s="8"/>
      <c r="AC4741" s="8"/>
    </row>
    <row r="4742" spans="1:29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8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  <c r="AA4742" s="8"/>
      <c r="AB4742" s="8"/>
      <c r="AC4742" s="8"/>
    </row>
    <row r="4743" spans="1:29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8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  <c r="AA4743" s="8"/>
      <c r="AB4743" s="8"/>
      <c r="AC4743" s="8"/>
    </row>
    <row r="4744" spans="1:29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8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  <c r="AA4744" s="8"/>
      <c r="AB4744" s="8"/>
      <c r="AC4744" s="8"/>
    </row>
    <row r="4745" spans="1:29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8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  <c r="AA4745" s="8"/>
      <c r="AB4745" s="8"/>
      <c r="AC4745" s="8"/>
    </row>
    <row r="4746" spans="1:29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8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  <c r="AA4746" s="8"/>
      <c r="AB4746" s="8"/>
      <c r="AC4746" s="8"/>
    </row>
    <row r="4747" spans="1:29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8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  <c r="AA4747" s="8"/>
      <c r="AB4747" s="8"/>
      <c r="AC4747" s="8"/>
    </row>
    <row r="4748" spans="1:29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8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  <c r="AA4748" s="8"/>
      <c r="AB4748" s="8"/>
      <c r="AC4748" s="8"/>
    </row>
    <row r="4749" spans="1:29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8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  <c r="AA4749" s="8"/>
      <c r="AB4749" s="8"/>
      <c r="AC4749" s="8"/>
    </row>
    <row r="4750" spans="1:29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8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  <c r="AA4750" s="8"/>
      <c r="AB4750" s="8"/>
      <c r="AC4750" s="8"/>
    </row>
    <row r="4751" spans="1:29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8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  <c r="AA4751" s="8"/>
      <c r="AB4751" s="8"/>
      <c r="AC4751" s="8"/>
    </row>
    <row r="4752" spans="1:29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8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  <c r="AA4752" s="8"/>
      <c r="AB4752" s="8"/>
      <c r="AC4752" s="8"/>
    </row>
    <row r="4753" spans="1:29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8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  <c r="AA4753" s="8"/>
      <c r="AB4753" s="8"/>
      <c r="AC4753" s="8"/>
    </row>
    <row r="4754" spans="1:29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8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  <c r="AA4754" s="8"/>
      <c r="AB4754" s="8"/>
      <c r="AC4754" s="8"/>
    </row>
    <row r="4755" spans="1:29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8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  <c r="AA4755" s="8"/>
      <c r="AB4755" s="8"/>
      <c r="AC4755" s="8"/>
    </row>
    <row r="4756" spans="1:29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8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  <c r="AA4756" s="8"/>
      <c r="AB4756" s="8"/>
      <c r="AC4756" s="8"/>
    </row>
    <row r="4757" spans="1:29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8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  <c r="AA4757" s="8"/>
      <c r="AB4757" s="8"/>
      <c r="AC4757" s="8"/>
    </row>
    <row r="4758" spans="1:29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8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  <c r="AA4758" s="8"/>
      <c r="AB4758" s="8"/>
      <c r="AC4758" s="8"/>
    </row>
    <row r="4759" spans="1:29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8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  <c r="AA4759" s="8"/>
      <c r="AB4759" s="8"/>
      <c r="AC4759" s="8"/>
    </row>
    <row r="4760" spans="1:29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8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  <c r="AA4760" s="8"/>
      <c r="AB4760" s="8"/>
      <c r="AC4760" s="8"/>
    </row>
    <row r="4761" spans="1:29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8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  <c r="AA4761" s="8"/>
      <c r="AB4761" s="8"/>
      <c r="AC4761" s="8"/>
    </row>
    <row r="4762" spans="1:29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8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  <c r="AA4762" s="8"/>
      <c r="AB4762" s="8"/>
      <c r="AC4762" s="8"/>
    </row>
    <row r="4763" spans="1:29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8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  <c r="AA4763" s="8"/>
      <c r="AB4763" s="8"/>
      <c r="AC4763" s="8"/>
    </row>
    <row r="4764" spans="1:29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8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  <c r="AA4764" s="8"/>
      <c r="AB4764" s="8"/>
      <c r="AC4764" s="8"/>
    </row>
    <row r="4765" spans="1:29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8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  <c r="AA4765" s="8"/>
      <c r="AB4765" s="8"/>
      <c r="AC4765" s="8"/>
    </row>
    <row r="4766" spans="1:29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8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  <c r="AA4766" s="8"/>
      <c r="AB4766" s="8"/>
      <c r="AC4766" s="8"/>
    </row>
    <row r="4767" spans="1:29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8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  <c r="AA4767" s="8"/>
      <c r="AB4767" s="8"/>
      <c r="AC4767" s="8"/>
    </row>
    <row r="4768" spans="1:29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8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  <c r="AA4768" s="8"/>
      <c r="AB4768" s="8"/>
      <c r="AC4768" s="8"/>
    </row>
    <row r="4769" spans="1:29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8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  <c r="AA4769" s="8"/>
      <c r="AB4769" s="8"/>
      <c r="AC4769" s="8"/>
    </row>
    <row r="4770" spans="1:29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8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  <c r="AA4770" s="8"/>
      <c r="AB4770" s="8"/>
      <c r="AC4770" s="8"/>
    </row>
    <row r="4771" spans="1:29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8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  <c r="AA4771" s="8"/>
      <c r="AB4771" s="8"/>
      <c r="AC4771" s="8"/>
    </row>
    <row r="4772" spans="1:29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8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  <c r="AA4772" s="8"/>
      <c r="AB4772" s="8"/>
      <c r="AC4772" s="8"/>
    </row>
    <row r="4773" spans="1:29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8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  <c r="AA4773" s="8"/>
      <c r="AB4773" s="8"/>
      <c r="AC4773" s="8"/>
    </row>
    <row r="4774" spans="1:29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8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  <c r="AA4774" s="8"/>
      <c r="AB4774" s="8"/>
      <c r="AC4774" s="8"/>
    </row>
    <row r="4775" spans="1:29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8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  <c r="AA4775" s="8"/>
      <c r="AB4775" s="8"/>
      <c r="AC4775" s="8"/>
    </row>
    <row r="4776" spans="1:29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8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  <c r="AA4776" s="8"/>
      <c r="AB4776" s="8"/>
      <c r="AC4776" s="8"/>
    </row>
    <row r="4777" spans="1:29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8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  <c r="AA4777" s="8"/>
      <c r="AB4777" s="8"/>
      <c r="AC4777" s="8"/>
    </row>
    <row r="4778" spans="1:29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8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  <c r="AA4778" s="8"/>
      <c r="AB4778" s="8"/>
      <c r="AC4778" s="8"/>
    </row>
    <row r="4779" spans="1:29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8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  <c r="AA4779" s="8"/>
      <c r="AB4779" s="8"/>
      <c r="AC4779" s="8"/>
    </row>
    <row r="4780" spans="1:29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8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  <c r="AA4780" s="8"/>
      <c r="AB4780" s="8"/>
      <c r="AC4780" s="8"/>
    </row>
    <row r="4781" spans="1:29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8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  <c r="AA4781" s="8"/>
      <c r="AB4781" s="8"/>
      <c r="AC4781" s="8"/>
    </row>
    <row r="4782" spans="1:29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8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  <c r="AA4782" s="8"/>
      <c r="AB4782" s="8"/>
      <c r="AC4782" s="8"/>
    </row>
    <row r="4783" spans="1:29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8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  <c r="AA4783" s="8"/>
      <c r="AB4783" s="8"/>
      <c r="AC4783" s="8"/>
    </row>
    <row r="4784" spans="1:29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8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  <c r="AA4784" s="8"/>
      <c r="AB4784" s="8"/>
      <c r="AC4784" s="8"/>
    </row>
    <row r="4785" spans="1:29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8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  <c r="AA4785" s="8"/>
      <c r="AB4785" s="8"/>
      <c r="AC4785" s="8"/>
    </row>
    <row r="4786" spans="1:29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8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  <c r="AA4786" s="8"/>
      <c r="AB4786" s="8"/>
      <c r="AC4786" s="8"/>
    </row>
    <row r="4787" spans="1:29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8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  <c r="AA4787" s="8"/>
      <c r="AB4787" s="8"/>
      <c r="AC4787" s="8"/>
    </row>
    <row r="4788" spans="1:29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8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  <c r="AA4788" s="8"/>
      <c r="AB4788" s="8"/>
      <c r="AC4788" s="8"/>
    </row>
    <row r="4789" spans="1:29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8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  <c r="AA4789" s="8"/>
      <c r="AB4789" s="8"/>
      <c r="AC4789" s="8"/>
    </row>
    <row r="4790" spans="1:29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8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  <c r="AA4790" s="8"/>
      <c r="AB4790" s="8"/>
      <c r="AC4790" s="8"/>
    </row>
    <row r="4791" spans="1:29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8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  <c r="AA4791" s="8"/>
      <c r="AB4791" s="8"/>
      <c r="AC4791" s="8"/>
    </row>
    <row r="4792" spans="1:29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8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  <c r="AA4792" s="8"/>
      <c r="AB4792" s="8"/>
      <c r="AC4792" s="8"/>
    </row>
    <row r="4793" spans="1:29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8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  <c r="AA4793" s="8"/>
      <c r="AB4793" s="8"/>
      <c r="AC4793" s="8"/>
    </row>
    <row r="4794" spans="1:29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8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  <c r="AA4794" s="8"/>
      <c r="AB4794" s="8"/>
      <c r="AC4794" s="8"/>
    </row>
    <row r="4795" spans="1:29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8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  <c r="AA4795" s="8"/>
      <c r="AB4795" s="8"/>
      <c r="AC4795" s="8"/>
    </row>
    <row r="4796" spans="1:29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8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  <c r="AA4796" s="8"/>
      <c r="AB4796" s="8"/>
      <c r="AC4796" s="8"/>
    </row>
    <row r="4797" spans="1:29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8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  <c r="AA4797" s="8"/>
      <c r="AB4797" s="8"/>
      <c r="AC4797" s="8"/>
    </row>
    <row r="4798" spans="1:29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8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  <c r="AA4798" s="8"/>
      <c r="AB4798" s="8"/>
      <c r="AC4798" s="8"/>
    </row>
    <row r="4799" spans="1:29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8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  <c r="AA4799" s="8"/>
      <c r="AB4799" s="8"/>
      <c r="AC4799" s="8"/>
    </row>
    <row r="4800" spans="1:29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8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  <c r="AA4800" s="8"/>
      <c r="AB4800" s="8"/>
      <c r="AC4800" s="8"/>
    </row>
    <row r="4801" spans="1:29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8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  <c r="AA4801" s="8"/>
      <c r="AB4801" s="8"/>
      <c r="AC4801" s="8"/>
    </row>
    <row r="4802" spans="1:29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8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  <c r="AA4802" s="8"/>
      <c r="AB4802" s="8"/>
      <c r="AC4802" s="8"/>
    </row>
    <row r="4803" spans="1:29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8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  <c r="AA4803" s="8"/>
      <c r="AB4803" s="8"/>
      <c r="AC4803" s="8"/>
    </row>
    <row r="4804" spans="1:29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8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  <c r="AA4804" s="8"/>
      <c r="AB4804" s="8"/>
      <c r="AC4804" s="8"/>
    </row>
    <row r="4805" spans="1:29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8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  <c r="AA4805" s="8"/>
      <c r="AB4805" s="8"/>
      <c r="AC4805" s="8"/>
    </row>
    <row r="4806" spans="1:29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8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  <c r="AA4806" s="8"/>
      <c r="AB4806" s="8"/>
      <c r="AC4806" s="8"/>
    </row>
    <row r="4807" spans="1:29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8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  <c r="AA4807" s="8"/>
      <c r="AB4807" s="8"/>
      <c r="AC4807" s="8"/>
    </row>
    <row r="4808" spans="1:29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8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  <c r="AA4808" s="8"/>
      <c r="AB4808" s="8"/>
      <c r="AC4808" s="8"/>
    </row>
    <row r="4809" spans="1:29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8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  <c r="AA4809" s="8"/>
      <c r="AB4809" s="8"/>
      <c r="AC4809" s="8"/>
    </row>
    <row r="4810" spans="1:29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8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  <c r="AA4810" s="8"/>
      <c r="AB4810" s="8"/>
      <c r="AC4810" s="8"/>
    </row>
    <row r="4811" spans="1:29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8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  <c r="AA4811" s="8"/>
      <c r="AB4811" s="8"/>
      <c r="AC4811" s="8"/>
    </row>
    <row r="4812" spans="1:29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8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  <c r="AA4812" s="8"/>
      <c r="AB4812" s="8"/>
      <c r="AC4812" s="8"/>
    </row>
    <row r="4813" spans="1:29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8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  <c r="AA4813" s="8"/>
      <c r="AB4813" s="8"/>
      <c r="AC4813" s="8"/>
    </row>
    <row r="4814" spans="1:29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8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  <c r="AA4814" s="8"/>
      <c r="AB4814" s="8"/>
      <c r="AC4814" s="8"/>
    </row>
    <row r="4815" spans="1:29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8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  <c r="AA4815" s="8"/>
      <c r="AB4815" s="8"/>
      <c r="AC4815" s="8"/>
    </row>
    <row r="4816" spans="1:29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8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  <c r="AA4816" s="8"/>
      <c r="AB4816" s="8"/>
      <c r="AC4816" s="8"/>
    </row>
    <row r="4817" spans="1:29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8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  <c r="AA4817" s="8"/>
      <c r="AB4817" s="8"/>
      <c r="AC4817" s="8"/>
    </row>
    <row r="4818" spans="1:29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8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  <c r="AA4818" s="8"/>
      <c r="AB4818" s="8"/>
      <c r="AC4818" s="8"/>
    </row>
    <row r="4819" spans="1:29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8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  <c r="AA4819" s="8"/>
      <c r="AB4819" s="8"/>
      <c r="AC4819" s="8"/>
    </row>
    <row r="4820" spans="1:29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8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  <c r="AA4820" s="8"/>
      <c r="AB4820" s="8"/>
      <c r="AC4820" s="8"/>
    </row>
    <row r="4821" spans="1:29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8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  <c r="AA4821" s="8"/>
      <c r="AB4821" s="8"/>
      <c r="AC4821" s="8"/>
    </row>
    <row r="4822" spans="1:29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8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  <c r="AA4822" s="8"/>
      <c r="AB4822" s="8"/>
      <c r="AC4822" s="8"/>
    </row>
    <row r="4823" spans="1:29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8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  <c r="AA4823" s="8"/>
      <c r="AB4823" s="8"/>
      <c r="AC4823" s="8"/>
    </row>
    <row r="4824" spans="1:29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8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  <c r="AA4824" s="8"/>
      <c r="AB4824" s="8"/>
      <c r="AC4824" s="8"/>
    </row>
    <row r="4825" spans="1:29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8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  <c r="AA4825" s="8"/>
      <c r="AB4825" s="8"/>
      <c r="AC4825" s="8"/>
    </row>
    <row r="4826" spans="1:29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8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  <c r="AA4826" s="8"/>
      <c r="AB4826" s="8"/>
      <c r="AC4826" s="8"/>
    </row>
    <row r="4827" spans="1:29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8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  <c r="AA4827" s="8"/>
      <c r="AB4827" s="8"/>
      <c r="AC4827" s="8"/>
    </row>
    <row r="4828" spans="1:29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8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  <c r="AA4828" s="8"/>
      <c r="AB4828" s="8"/>
      <c r="AC4828" s="8"/>
    </row>
    <row r="4829" spans="1:29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8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  <c r="AA4829" s="8"/>
      <c r="AB4829" s="8"/>
      <c r="AC4829" s="8"/>
    </row>
    <row r="4830" spans="1:29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8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  <c r="AA4830" s="8"/>
      <c r="AB4830" s="8"/>
      <c r="AC4830" s="8"/>
    </row>
    <row r="4831" spans="1:29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8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  <c r="AA4831" s="8"/>
      <c r="AB4831" s="8"/>
      <c r="AC4831" s="8"/>
    </row>
    <row r="4832" spans="1:29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8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  <c r="AA4832" s="8"/>
      <c r="AB4832" s="8"/>
      <c r="AC4832" s="8"/>
    </row>
    <row r="4833" spans="1:29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8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  <c r="AA4833" s="8"/>
      <c r="AB4833" s="8"/>
      <c r="AC4833" s="8"/>
    </row>
    <row r="4834" spans="1:29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8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  <c r="AA4834" s="8"/>
      <c r="AB4834" s="8"/>
      <c r="AC4834" s="8"/>
    </row>
    <row r="4835" spans="1:29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8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  <c r="AA4835" s="8"/>
      <c r="AB4835" s="8"/>
      <c r="AC4835" s="8"/>
    </row>
    <row r="4836" spans="1:29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8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  <c r="AA4836" s="8"/>
      <c r="AB4836" s="8"/>
      <c r="AC4836" s="8"/>
    </row>
    <row r="4837" spans="1:29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8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  <c r="AA4837" s="8"/>
      <c r="AB4837" s="8"/>
      <c r="AC4837" s="8"/>
    </row>
    <row r="4838" spans="1:29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8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  <c r="AA4838" s="8"/>
      <c r="AB4838" s="8"/>
      <c r="AC4838" s="8"/>
    </row>
    <row r="4839" spans="1:29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8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  <c r="AA4839" s="8"/>
      <c r="AB4839" s="8"/>
      <c r="AC4839" s="8"/>
    </row>
    <row r="4840" spans="1:29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8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  <c r="AA4840" s="8"/>
      <c r="AB4840" s="8"/>
      <c r="AC4840" s="8"/>
    </row>
    <row r="4841" spans="1:29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8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  <c r="AA4841" s="8"/>
      <c r="AB4841" s="8"/>
      <c r="AC4841" s="8"/>
    </row>
    <row r="4842" spans="1:29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8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  <c r="AA4842" s="8"/>
      <c r="AB4842" s="8"/>
      <c r="AC4842" s="8"/>
    </row>
    <row r="4843" spans="1:29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8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  <c r="AA4843" s="8"/>
      <c r="AB4843" s="8"/>
      <c r="AC4843" s="8"/>
    </row>
    <row r="4844" spans="1:29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8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  <c r="AA4844" s="8"/>
      <c r="AB4844" s="8"/>
      <c r="AC4844" s="8"/>
    </row>
    <row r="4845" spans="1:29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8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  <c r="AA4845" s="8"/>
      <c r="AB4845" s="8"/>
      <c r="AC4845" s="8"/>
    </row>
    <row r="4846" spans="1:29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8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  <c r="AA4846" s="8"/>
      <c r="AB4846" s="8"/>
      <c r="AC4846" s="8"/>
    </row>
    <row r="4847" spans="1:29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8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  <c r="AA4847" s="8"/>
      <c r="AB4847" s="8"/>
      <c r="AC4847" s="8"/>
    </row>
    <row r="4848" spans="1:29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8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  <c r="AA4848" s="8"/>
      <c r="AB4848" s="8"/>
      <c r="AC4848" s="8"/>
    </row>
    <row r="4849" spans="1:29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8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  <c r="AA4849" s="8"/>
      <c r="AB4849" s="8"/>
      <c r="AC4849" s="8"/>
    </row>
    <row r="4850" spans="1:29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8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  <c r="AA4850" s="8"/>
      <c r="AB4850" s="8"/>
      <c r="AC4850" s="8"/>
    </row>
    <row r="4851" spans="1:29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8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  <c r="AA4851" s="8"/>
      <c r="AB4851" s="8"/>
      <c r="AC4851" s="8"/>
    </row>
    <row r="4852" spans="1:29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8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  <c r="AA4852" s="8"/>
      <c r="AB4852" s="8"/>
      <c r="AC4852" s="8"/>
    </row>
    <row r="4853" spans="1:29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8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  <c r="AA4853" s="8"/>
      <c r="AB4853" s="8"/>
      <c r="AC4853" s="8"/>
    </row>
    <row r="4854" spans="1:29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8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  <c r="AA4854" s="8"/>
      <c r="AB4854" s="8"/>
      <c r="AC4854" s="8"/>
    </row>
    <row r="4855" spans="1:29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8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  <c r="AA4855" s="8"/>
      <c r="AB4855" s="8"/>
      <c r="AC4855" s="8"/>
    </row>
    <row r="4856" spans="1:29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8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  <c r="AA4856" s="8"/>
      <c r="AB4856" s="8"/>
      <c r="AC4856" s="8"/>
    </row>
    <row r="4857" spans="1:29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8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  <c r="AA4857" s="8"/>
      <c r="AB4857" s="8"/>
      <c r="AC4857" s="8"/>
    </row>
    <row r="4858" spans="1:29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8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  <c r="AA4858" s="8"/>
      <c r="AB4858" s="8"/>
      <c r="AC4858" s="8"/>
    </row>
    <row r="4859" spans="1:29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8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  <c r="AA4859" s="8"/>
      <c r="AB4859" s="8"/>
      <c r="AC4859" s="8"/>
    </row>
    <row r="4860" spans="1:29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8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  <c r="AA4860" s="8"/>
      <c r="AB4860" s="8"/>
      <c r="AC4860" s="8"/>
    </row>
    <row r="4861" spans="1:29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8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  <c r="AA4861" s="8"/>
      <c r="AB4861" s="8"/>
      <c r="AC4861" s="8"/>
    </row>
    <row r="4862" spans="1:29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8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  <c r="AA4862" s="8"/>
      <c r="AB4862" s="8"/>
      <c r="AC4862" s="8"/>
    </row>
    <row r="4863" spans="1:29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8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  <c r="AA4863" s="8"/>
      <c r="AB4863" s="8"/>
      <c r="AC4863" s="8"/>
    </row>
    <row r="4864" spans="1:29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8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  <c r="AA4864" s="8"/>
      <c r="AB4864" s="8"/>
      <c r="AC4864" s="8"/>
    </row>
    <row r="4865" spans="1:29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8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  <c r="AA4865" s="8"/>
      <c r="AB4865" s="8"/>
      <c r="AC4865" s="8"/>
    </row>
    <row r="4866" spans="1:29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8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  <c r="AA4866" s="8"/>
      <c r="AB4866" s="8"/>
      <c r="AC4866" s="8"/>
    </row>
    <row r="4867" spans="1:29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8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  <c r="AA4867" s="8"/>
      <c r="AB4867" s="8"/>
      <c r="AC4867" s="8"/>
    </row>
    <row r="4868" spans="1:29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8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  <c r="AA4868" s="8"/>
      <c r="AB4868" s="8"/>
      <c r="AC4868" s="8"/>
    </row>
    <row r="4869" spans="1:29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8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  <c r="AA4869" s="8"/>
      <c r="AB4869" s="8"/>
      <c r="AC4869" s="8"/>
    </row>
    <row r="4870" spans="1:29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8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  <c r="AA4870" s="8"/>
      <c r="AB4870" s="8"/>
      <c r="AC4870" s="8"/>
    </row>
    <row r="4871" spans="1:29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8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  <c r="AA4871" s="8"/>
      <c r="AB4871" s="8"/>
      <c r="AC4871" s="8"/>
    </row>
    <row r="4872" spans="1:29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8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  <c r="AA4872" s="8"/>
      <c r="AB4872" s="8"/>
      <c r="AC4872" s="8"/>
    </row>
    <row r="4873" spans="1:29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8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  <c r="AA4873" s="8"/>
      <c r="AB4873" s="8"/>
      <c r="AC4873" s="8"/>
    </row>
    <row r="4874" spans="1:29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8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  <c r="AA4874" s="8"/>
      <c r="AB4874" s="8"/>
      <c r="AC4874" s="8"/>
    </row>
    <row r="4875" spans="1:29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8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  <c r="AA4875" s="8"/>
      <c r="AB4875" s="8"/>
      <c r="AC4875" s="8"/>
    </row>
    <row r="4876" spans="1:29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8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  <c r="AA4876" s="8"/>
      <c r="AB4876" s="8"/>
      <c r="AC4876" s="8"/>
    </row>
    <row r="4877" spans="1:29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8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  <c r="AA4877" s="8"/>
      <c r="AB4877" s="8"/>
      <c r="AC4877" s="8"/>
    </row>
    <row r="4878" spans="1:29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8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  <c r="AA4878" s="8"/>
      <c r="AB4878" s="8"/>
      <c r="AC4878" s="8"/>
    </row>
    <row r="4879" spans="1:29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8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  <c r="AA4879" s="8"/>
      <c r="AB4879" s="8"/>
      <c r="AC4879" s="8"/>
    </row>
    <row r="4880" spans="1:29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8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  <c r="AA4880" s="8"/>
      <c r="AB4880" s="8"/>
      <c r="AC4880" s="8"/>
    </row>
    <row r="4881" spans="1:29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8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  <c r="AA4881" s="8"/>
      <c r="AB4881" s="8"/>
      <c r="AC4881" s="8"/>
    </row>
    <row r="4882" spans="1:29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8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  <c r="AA4882" s="8"/>
      <c r="AB4882" s="8"/>
      <c r="AC4882" s="8"/>
    </row>
    <row r="4883" spans="1:29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8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  <c r="AA4883" s="8"/>
      <c r="AB4883" s="8"/>
      <c r="AC4883" s="8"/>
    </row>
    <row r="4884" spans="1:29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8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  <c r="AA4884" s="8"/>
      <c r="AB4884" s="8"/>
      <c r="AC4884" s="8"/>
    </row>
    <row r="4885" spans="1:29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8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  <c r="AA4885" s="8"/>
      <c r="AB4885" s="8"/>
      <c r="AC4885" s="8"/>
    </row>
    <row r="4886" spans="1:29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8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  <c r="AA4886" s="8"/>
      <c r="AB4886" s="8"/>
      <c r="AC4886" s="8"/>
    </row>
    <row r="4887" spans="1:29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8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  <c r="AA4887" s="8"/>
      <c r="AB4887" s="8"/>
      <c r="AC4887" s="8"/>
    </row>
    <row r="4888" spans="1:29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8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  <c r="AA4888" s="8"/>
      <c r="AB4888" s="8"/>
      <c r="AC4888" s="8"/>
    </row>
    <row r="4889" spans="1:29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8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  <c r="AA4889" s="8"/>
      <c r="AB4889" s="8"/>
      <c r="AC4889" s="8"/>
    </row>
    <row r="4890" spans="1:29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8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  <c r="AA4890" s="8"/>
      <c r="AB4890" s="8"/>
      <c r="AC4890" s="8"/>
    </row>
    <row r="4891" spans="1:29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8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  <c r="AA4891" s="8"/>
      <c r="AB4891" s="8"/>
      <c r="AC4891" s="8"/>
    </row>
    <row r="4892" spans="1:29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8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  <c r="AA4892" s="8"/>
      <c r="AB4892" s="8"/>
      <c r="AC4892" s="8"/>
    </row>
    <row r="4893" spans="1:29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8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  <c r="AA4893" s="8"/>
      <c r="AB4893" s="8"/>
      <c r="AC4893" s="8"/>
    </row>
    <row r="4894" spans="1:29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8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  <c r="AA4894" s="8"/>
      <c r="AB4894" s="8"/>
      <c r="AC4894" s="8"/>
    </row>
    <row r="4895" spans="1:29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8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  <c r="AA4895" s="8"/>
      <c r="AB4895" s="8"/>
      <c r="AC4895" s="8"/>
    </row>
    <row r="4896" spans="1:29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8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  <c r="AA4896" s="8"/>
      <c r="AB4896" s="8"/>
      <c r="AC4896" s="8"/>
    </row>
    <row r="4897" spans="1:29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8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  <c r="AA4897" s="8"/>
      <c r="AB4897" s="8"/>
      <c r="AC4897" s="8"/>
    </row>
    <row r="4898" spans="1:29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8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  <c r="AA4898" s="8"/>
      <c r="AB4898" s="8"/>
      <c r="AC4898" s="8"/>
    </row>
    <row r="4899" spans="1:29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8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  <c r="AA4899" s="8"/>
      <c r="AB4899" s="8"/>
      <c r="AC4899" s="8"/>
    </row>
    <row r="4900" spans="1:29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8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  <c r="AA4900" s="8"/>
      <c r="AB4900" s="8"/>
      <c r="AC4900" s="8"/>
    </row>
    <row r="4901" spans="1:29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8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  <c r="AA4901" s="8"/>
      <c r="AB4901" s="8"/>
      <c r="AC4901" s="8"/>
    </row>
    <row r="4902" spans="1:29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8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  <c r="AA4902" s="8"/>
      <c r="AB4902" s="8"/>
      <c r="AC4902" s="8"/>
    </row>
    <row r="4903" spans="1:29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8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  <c r="AA4903" s="8"/>
      <c r="AB4903" s="8"/>
      <c r="AC4903" s="8"/>
    </row>
    <row r="4904" spans="1:29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8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  <c r="AA4904" s="8"/>
      <c r="AB4904" s="8"/>
      <c r="AC4904" s="8"/>
    </row>
    <row r="4905" spans="1:29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8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  <c r="AA4905" s="8"/>
      <c r="AB4905" s="8"/>
      <c r="AC4905" s="8"/>
    </row>
    <row r="4906" spans="1:29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8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  <c r="AA4906" s="8"/>
      <c r="AB4906" s="8"/>
      <c r="AC4906" s="8"/>
    </row>
    <row r="4907" spans="1:29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8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  <c r="AA4907" s="8"/>
      <c r="AB4907" s="8"/>
      <c r="AC4907" s="8"/>
    </row>
    <row r="4908" spans="1:29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8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  <c r="AA4908" s="8"/>
      <c r="AB4908" s="8"/>
      <c r="AC4908" s="8"/>
    </row>
    <row r="4909" spans="1:29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8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  <c r="AA4909" s="8"/>
      <c r="AB4909" s="8"/>
      <c r="AC4909" s="8"/>
    </row>
    <row r="4910" spans="1:29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8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  <c r="AA4910" s="8"/>
      <c r="AB4910" s="8"/>
      <c r="AC4910" s="8"/>
    </row>
    <row r="4911" spans="1:29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8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  <c r="AA4911" s="8"/>
      <c r="AB4911" s="8"/>
      <c r="AC4911" s="8"/>
    </row>
    <row r="4912" spans="1:29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8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  <c r="AA4912" s="8"/>
      <c r="AB4912" s="8"/>
      <c r="AC4912" s="8"/>
    </row>
    <row r="4913" spans="1:29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8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  <c r="AA4913" s="8"/>
      <c r="AB4913" s="8"/>
      <c r="AC4913" s="8"/>
    </row>
    <row r="4914" spans="1:29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8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  <c r="AA4914" s="8"/>
      <c r="AB4914" s="8"/>
      <c r="AC4914" s="8"/>
    </row>
    <row r="4915" spans="1:29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8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  <c r="AA4915" s="8"/>
      <c r="AB4915" s="8"/>
      <c r="AC4915" s="8"/>
    </row>
    <row r="4916" spans="1:29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8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  <c r="AA4916" s="8"/>
      <c r="AB4916" s="8"/>
      <c r="AC4916" s="8"/>
    </row>
    <row r="4917" spans="1:29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8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  <c r="AA4917" s="8"/>
      <c r="AB4917" s="8"/>
      <c r="AC4917" s="8"/>
    </row>
    <row r="4918" spans="1:29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8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  <c r="AA4918" s="8"/>
      <c r="AB4918" s="8"/>
      <c r="AC4918" s="8"/>
    </row>
    <row r="4919" spans="1:29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8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  <c r="AA4919" s="8"/>
      <c r="AB4919" s="8"/>
      <c r="AC4919" s="8"/>
    </row>
    <row r="4920" spans="1:29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8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  <c r="AA4920" s="8"/>
      <c r="AB4920" s="8"/>
      <c r="AC4920" s="8"/>
    </row>
    <row r="4921" spans="1:29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8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  <c r="AA4921" s="8"/>
      <c r="AB4921" s="8"/>
      <c r="AC4921" s="8"/>
    </row>
    <row r="4922" spans="1:29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8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  <c r="AA4922" s="8"/>
      <c r="AB4922" s="8"/>
      <c r="AC4922" s="8"/>
    </row>
    <row r="4923" spans="1:29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8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  <c r="AA4923" s="8"/>
      <c r="AB4923" s="8"/>
      <c r="AC4923" s="8"/>
    </row>
    <row r="4924" spans="1:29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8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  <c r="AA4924" s="8"/>
      <c r="AB4924" s="8"/>
      <c r="AC4924" s="8"/>
    </row>
    <row r="4925" spans="1:29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8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  <c r="AA4925" s="8"/>
      <c r="AB4925" s="8"/>
      <c r="AC4925" s="8"/>
    </row>
    <row r="4926" spans="1:29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8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  <c r="AA4926" s="8"/>
      <c r="AB4926" s="8"/>
      <c r="AC4926" s="8"/>
    </row>
    <row r="4927" spans="1:29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8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  <c r="AA4927" s="8"/>
      <c r="AB4927" s="8"/>
      <c r="AC4927" s="8"/>
    </row>
    <row r="4928" spans="1:29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8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  <c r="AA4928" s="8"/>
      <c r="AB4928" s="8"/>
      <c r="AC4928" s="8"/>
    </row>
    <row r="4929" spans="1:29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8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  <c r="AA4929" s="8"/>
      <c r="AB4929" s="8"/>
      <c r="AC4929" s="8"/>
    </row>
    <row r="4930" spans="1:29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8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  <c r="AA4930" s="8"/>
      <c r="AB4930" s="8"/>
      <c r="AC4930" s="8"/>
    </row>
    <row r="4931" spans="1:29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8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  <c r="AA4931" s="8"/>
      <c r="AB4931" s="8"/>
      <c r="AC4931" s="8"/>
    </row>
    <row r="4932" spans="1:29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8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  <c r="AA4932" s="8"/>
      <c r="AB4932" s="8"/>
      <c r="AC4932" s="8"/>
    </row>
    <row r="4933" spans="1:29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8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  <c r="AA4933" s="8"/>
      <c r="AB4933" s="8"/>
      <c r="AC4933" s="8"/>
    </row>
    <row r="4934" spans="1:29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8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  <c r="AA4934" s="8"/>
      <c r="AB4934" s="8"/>
      <c r="AC4934" s="8"/>
    </row>
    <row r="4935" spans="1:29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8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  <c r="AA4935" s="8"/>
      <c r="AB4935" s="8"/>
      <c r="AC4935" s="8"/>
    </row>
    <row r="4936" spans="1:29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8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  <c r="AA4936" s="8"/>
      <c r="AB4936" s="8"/>
      <c r="AC4936" s="8"/>
    </row>
    <row r="4937" spans="1:29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8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  <c r="AA4937" s="8"/>
      <c r="AB4937" s="8"/>
      <c r="AC4937" s="8"/>
    </row>
    <row r="4938" spans="1:29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8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  <c r="AA4938" s="8"/>
      <c r="AB4938" s="8"/>
      <c r="AC4938" s="8"/>
    </row>
    <row r="4939" spans="1:29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8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  <c r="AA4939" s="8"/>
      <c r="AB4939" s="8"/>
      <c r="AC4939" s="8"/>
    </row>
    <row r="4940" spans="1:29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8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  <c r="AA4940" s="8"/>
      <c r="AB4940" s="8"/>
      <c r="AC4940" s="8"/>
    </row>
    <row r="4941" spans="1:29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8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  <c r="AA4941" s="8"/>
      <c r="AB4941" s="8"/>
      <c r="AC4941" s="8"/>
    </row>
    <row r="4942" spans="1:29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8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  <c r="AA4942" s="8"/>
      <c r="AB4942" s="8"/>
      <c r="AC4942" s="8"/>
    </row>
    <row r="4943" spans="1:29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8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  <c r="AA4943" s="8"/>
      <c r="AB4943" s="8"/>
      <c r="AC4943" s="8"/>
    </row>
    <row r="4944" spans="1:29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8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  <c r="AA4944" s="8"/>
      <c r="AB4944" s="8"/>
      <c r="AC4944" s="8"/>
    </row>
    <row r="4945" spans="1:29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8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  <c r="AA4945" s="8"/>
      <c r="AB4945" s="8"/>
      <c r="AC4945" s="8"/>
    </row>
    <row r="4946" spans="1:29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8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  <c r="AA4946" s="8"/>
      <c r="AB4946" s="8"/>
      <c r="AC4946" s="8"/>
    </row>
    <row r="4947" spans="1:29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8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  <c r="AA4947" s="8"/>
      <c r="AB4947" s="8"/>
      <c r="AC4947" s="8"/>
    </row>
    <row r="4948" spans="1:29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8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  <c r="AA4948" s="8"/>
      <c r="AB4948" s="8"/>
      <c r="AC4948" s="8"/>
    </row>
    <row r="4949" spans="1:29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8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  <c r="AA4949" s="8"/>
      <c r="AB4949" s="8"/>
      <c r="AC4949" s="8"/>
    </row>
    <row r="4950" spans="1:29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8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  <c r="AA4950" s="8"/>
      <c r="AB4950" s="8"/>
      <c r="AC4950" s="8"/>
    </row>
    <row r="4951" spans="1:29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8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  <c r="AA4951" s="8"/>
      <c r="AB4951" s="8"/>
      <c r="AC4951" s="8"/>
    </row>
    <row r="4952" spans="1:29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8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  <c r="AA4952" s="8"/>
      <c r="AB4952" s="8"/>
      <c r="AC4952" s="8"/>
    </row>
    <row r="4953" spans="1:29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8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  <c r="AA4953" s="8"/>
      <c r="AB4953" s="8"/>
      <c r="AC4953" s="8"/>
    </row>
    <row r="4954" spans="1:29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8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  <c r="AA4954" s="8"/>
      <c r="AB4954" s="8"/>
      <c r="AC4954" s="8"/>
    </row>
    <row r="4955" spans="1:29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8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  <c r="AA4955" s="8"/>
      <c r="AB4955" s="8"/>
      <c r="AC4955" s="8"/>
    </row>
    <row r="4956" spans="1:29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8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  <c r="AA4956" s="8"/>
      <c r="AB4956" s="8"/>
      <c r="AC4956" s="8"/>
    </row>
    <row r="4957" spans="1:29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8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  <c r="AA4957" s="8"/>
      <c r="AB4957" s="8"/>
      <c r="AC4957" s="8"/>
    </row>
    <row r="4958" spans="1:29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8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  <c r="AA4958" s="8"/>
      <c r="AB4958" s="8"/>
      <c r="AC4958" s="8"/>
    </row>
    <row r="4959" spans="1:29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8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  <c r="AA4959" s="8"/>
      <c r="AB4959" s="8"/>
      <c r="AC4959" s="8"/>
    </row>
    <row r="4960" spans="1:29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8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  <c r="AA4960" s="8"/>
      <c r="AB4960" s="8"/>
      <c r="AC4960" s="8"/>
    </row>
    <row r="4961" spans="1:29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8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  <c r="AA4961" s="8"/>
      <c r="AB4961" s="8"/>
      <c r="AC4961" s="8"/>
    </row>
    <row r="4962" spans="1:29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8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  <c r="AA4962" s="8"/>
      <c r="AB4962" s="8"/>
      <c r="AC4962" s="8"/>
    </row>
    <row r="4963" spans="1:29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8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  <c r="AA4963" s="8"/>
      <c r="AB4963" s="8"/>
      <c r="AC4963" s="8"/>
    </row>
    <row r="4964" spans="1:29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8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  <c r="AA4964" s="8"/>
      <c r="AB4964" s="8"/>
      <c r="AC4964" s="8"/>
    </row>
    <row r="4965" spans="1:29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8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  <c r="AA4965" s="8"/>
      <c r="AB4965" s="8"/>
      <c r="AC4965" s="8"/>
    </row>
    <row r="4966" spans="1:29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8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  <c r="AA4966" s="8"/>
      <c r="AB4966" s="8"/>
      <c r="AC4966" s="8"/>
    </row>
    <row r="4967" spans="1:29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8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  <c r="AA4967" s="8"/>
      <c r="AB4967" s="8"/>
      <c r="AC4967" s="8"/>
    </row>
    <row r="4968" spans="1:29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8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  <c r="AA4968" s="8"/>
      <c r="AB4968" s="8"/>
      <c r="AC4968" s="8"/>
    </row>
    <row r="4969" spans="1:29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8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  <c r="AA4969" s="8"/>
      <c r="AB4969" s="8"/>
      <c r="AC4969" s="8"/>
    </row>
    <row r="4970" spans="1:29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8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  <c r="AA4970" s="8"/>
      <c r="AB4970" s="8"/>
      <c r="AC4970" s="8"/>
    </row>
    <row r="4971" spans="1:29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8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  <c r="AA4971" s="8"/>
      <c r="AB4971" s="8"/>
      <c r="AC4971" s="8"/>
    </row>
    <row r="4972" spans="1:29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8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  <c r="AA4972" s="8"/>
      <c r="AB4972" s="8"/>
      <c r="AC4972" s="8"/>
    </row>
    <row r="4973" spans="1:29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8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  <c r="AA4973" s="8"/>
      <c r="AB4973" s="8"/>
      <c r="AC4973" s="8"/>
    </row>
    <row r="4974" spans="1:29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8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  <c r="AA4974" s="8"/>
      <c r="AB4974" s="8"/>
      <c r="AC4974" s="8"/>
    </row>
    <row r="4975" spans="1:29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8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  <c r="AA4975" s="8"/>
      <c r="AB4975" s="8"/>
      <c r="AC4975" s="8"/>
    </row>
    <row r="4976" spans="1:29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8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  <c r="AA4976" s="8"/>
      <c r="AB4976" s="8"/>
      <c r="AC4976" s="8"/>
    </row>
    <row r="4977" spans="1:29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8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  <c r="AA4977" s="8"/>
      <c r="AB4977" s="8"/>
      <c r="AC4977" s="8"/>
    </row>
    <row r="4978" spans="1:29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8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  <c r="AA4978" s="8"/>
      <c r="AB4978" s="8"/>
      <c r="AC4978" s="8"/>
    </row>
    <row r="4979" spans="1:29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8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  <c r="AA4979" s="8"/>
      <c r="AB4979" s="8"/>
      <c r="AC4979" s="8"/>
    </row>
    <row r="4980" spans="1:29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8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  <c r="AA4980" s="8"/>
      <c r="AB4980" s="8"/>
      <c r="AC4980" s="8"/>
    </row>
    <row r="4981" spans="1:29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8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  <c r="AA4981" s="8"/>
      <c r="AB4981" s="8"/>
      <c r="AC4981" s="8"/>
    </row>
    <row r="4982" spans="1:29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8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  <c r="AA4982" s="8"/>
      <c r="AB4982" s="8"/>
      <c r="AC4982" s="8"/>
    </row>
    <row r="4983" spans="1:29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8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  <c r="AA4983" s="8"/>
      <c r="AB4983" s="8"/>
      <c r="AC4983" s="8"/>
    </row>
    <row r="4984" spans="1:29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8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  <c r="AA4984" s="8"/>
      <c r="AB4984" s="8"/>
      <c r="AC4984" s="8"/>
    </row>
    <row r="4985" spans="1:29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8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  <c r="AA4985" s="8"/>
      <c r="AB4985" s="8"/>
      <c r="AC4985" s="8"/>
    </row>
    <row r="4986" spans="1:29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8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  <c r="AA4986" s="8"/>
      <c r="AB4986" s="8"/>
      <c r="AC4986" s="8"/>
    </row>
    <row r="4987" spans="1:29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8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  <c r="AA4987" s="8"/>
      <c r="AB4987" s="8"/>
      <c r="AC4987" s="8"/>
    </row>
    <row r="4988" spans="1:29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8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  <c r="AA4988" s="8"/>
      <c r="AB4988" s="8"/>
      <c r="AC4988" s="8"/>
    </row>
    <row r="4989" spans="1:29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8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  <c r="AA4989" s="8"/>
      <c r="AB4989" s="8"/>
      <c r="AC4989" s="8"/>
    </row>
    <row r="4990" spans="1:29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8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  <c r="AA4990" s="8"/>
      <c r="AB4990" s="8"/>
      <c r="AC4990" s="8"/>
    </row>
    <row r="4991" spans="1:29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8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  <c r="AA4991" s="8"/>
      <c r="AB4991" s="8"/>
      <c r="AC4991" s="8"/>
    </row>
    <row r="4992" spans="1:29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8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  <c r="AA4992" s="8"/>
      <c r="AB4992" s="8"/>
      <c r="AC4992" s="8"/>
    </row>
    <row r="4993" spans="1:29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8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  <c r="AA4993" s="8"/>
      <c r="AB4993" s="8"/>
      <c r="AC4993" s="8"/>
    </row>
    <row r="4994" spans="1:29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8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  <c r="AA4994" s="8"/>
      <c r="AB4994" s="8"/>
      <c r="AC4994" s="8"/>
    </row>
    <row r="4995" spans="1:29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8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  <c r="AA4995" s="8"/>
      <c r="AB4995" s="8"/>
      <c r="AC4995" s="8"/>
    </row>
    <row r="4996" spans="1:29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8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  <c r="AA4996" s="8"/>
      <c r="AB4996" s="8"/>
      <c r="AC4996" s="8"/>
    </row>
    <row r="4997" spans="1:29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8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  <c r="AA4997" s="8"/>
      <c r="AB4997" s="8"/>
      <c r="AC4997" s="8"/>
    </row>
    <row r="4998" spans="1:29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8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  <c r="AA4998" s="8"/>
      <c r="AB4998" s="8"/>
      <c r="AC4998" s="8"/>
    </row>
    <row r="4999" spans="1:29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8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  <c r="AA4999" s="8"/>
      <c r="AB4999" s="8"/>
      <c r="AC4999" s="8"/>
    </row>
    <row r="5000" spans="1:29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8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  <c r="AA5000" s="8"/>
      <c r="AB5000" s="8"/>
      <c r="AC5000" s="8"/>
    </row>
    <row r="5001" spans="1:29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8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  <c r="AA5001" s="8"/>
      <c r="AB5001" s="8"/>
      <c r="AC5001" s="8"/>
    </row>
    <row r="5002" spans="1:29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8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  <c r="AA5002" s="8"/>
      <c r="AB5002" s="8"/>
      <c r="AC5002" s="8"/>
    </row>
    <row r="5003" spans="1:29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8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  <c r="AA5003" s="8"/>
      <c r="AB5003" s="8"/>
      <c r="AC5003" s="8"/>
    </row>
    <row r="5004" spans="1:29">
      <c r="A5004" s="8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8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  <c r="AA5004" s="8"/>
      <c r="AB5004" s="8"/>
      <c r="AC5004" s="8"/>
    </row>
    <row r="5005" spans="1:29">
      <c r="A5005" s="8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8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  <c r="AA5005" s="8"/>
      <c r="AB5005" s="8"/>
      <c r="AC5005" s="8"/>
    </row>
    <row r="5006" spans="1:29">
      <c r="A5006" s="8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8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  <c r="AA5006" s="8"/>
      <c r="AB5006" s="8"/>
      <c r="AC5006" s="8"/>
    </row>
    <row r="5007" spans="1:29">
      <c r="A5007" s="8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8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  <c r="AA5007" s="8"/>
      <c r="AB5007" s="8"/>
      <c r="AC5007" s="8"/>
    </row>
    <row r="5008" spans="1:29">
      <c r="A5008" s="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8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  <c r="AA5008" s="8"/>
      <c r="AB5008" s="8"/>
      <c r="AC5008" s="8"/>
    </row>
    <row r="5009" spans="1:29">
      <c r="A5009" s="8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8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  <c r="AA5009" s="8"/>
      <c r="AB5009" s="8"/>
      <c r="AC5009" s="8"/>
    </row>
    <row r="5010" spans="1:29">
      <c r="A5010" s="8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8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  <c r="AA5010" s="8"/>
      <c r="AB5010" s="8"/>
      <c r="AC5010" s="8"/>
    </row>
    <row r="5011" spans="1:29">
      <c r="A5011" s="8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8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  <c r="AA5011" s="8"/>
      <c r="AB5011" s="8"/>
      <c r="AC5011" s="8"/>
    </row>
    <row r="5012" spans="1:29">
      <c r="A5012" s="8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8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  <c r="AA5012" s="8"/>
      <c r="AB5012" s="8"/>
      <c r="AC5012" s="8"/>
    </row>
    <row r="5013" spans="1:29">
      <c r="A5013" s="8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8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  <c r="AA5013" s="8"/>
      <c r="AB5013" s="8"/>
      <c r="AC5013" s="8"/>
    </row>
    <row r="5014" spans="1:29">
      <c r="A5014" s="8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8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  <c r="AA5014" s="8"/>
      <c r="AB5014" s="8"/>
      <c r="AC5014" s="8"/>
    </row>
    <row r="5015" spans="1:29">
      <c r="A5015" s="8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8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  <c r="AA5015" s="8"/>
      <c r="AB5015" s="8"/>
      <c r="AC5015" s="8"/>
    </row>
    <row r="5016" spans="1:29">
      <c r="A5016" s="8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8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  <c r="AA5016" s="8"/>
      <c r="AB5016" s="8"/>
      <c r="AC5016" s="8"/>
    </row>
    <row r="5017" spans="1:29">
      <c r="A5017" s="8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8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  <c r="AA5017" s="8"/>
      <c r="AB5017" s="8"/>
      <c r="AC5017" s="8"/>
    </row>
    <row r="5018" spans="1:29">
      <c r="A5018" s="8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8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  <c r="AA5018" s="8"/>
      <c r="AB5018" s="8"/>
      <c r="AC5018" s="8"/>
    </row>
    <row r="5019" spans="1:29">
      <c r="A5019" s="8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8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  <c r="AA5019" s="8"/>
      <c r="AB5019" s="8"/>
      <c r="AC5019" s="8"/>
    </row>
    <row r="5020" spans="1:29">
      <c r="A5020" s="8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8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  <c r="AA5020" s="8"/>
      <c r="AB5020" s="8"/>
      <c r="AC5020" s="8"/>
    </row>
    <row r="5021" spans="1:29">
      <c r="A5021" s="8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8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  <c r="AA5021" s="8"/>
      <c r="AB5021" s="8"/>
      <c r="AC5021" s="8"/>
    </row>
    <row r="5022" spans="1:29">
      <c r="A5022" s="8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8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  <c r="AA5022" s="8"/>
      <c r="AB5022" s="8"/>
      <c r="AC5022" s="8"/>
    </row>
    <row r="5023" spans="1:29">
      <c r="A5023" s="8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8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  <c r="AA5023" s="8"/>
      <c r="AB5023" s="8"/>
      <c r="AC5023" s="8"/>
    </row>
    <row r="5024" spans="1:29">
      <c r="A5024" s="8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8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  <c r="AA5024" s="8"/>
      <c r="AB5024" s="8"/>
      <c r="AC5024" s="8"/>
    </row>
    <row r="5025" spans="1:29">
      <c r="A5025" s="8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8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  <c r="AA5025" s="8"/>
      <c r="AB5025" s="8"/>
      <c r="AC5025" s="8"/>
    </row>
    <row r="5026" spans="1:29">
      <c r="A5026" s="8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8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  <c r="AA5026" s="8"/>
      <c r="AB5026" s="8"/>
      <c r="AC5026" s="8"/>
    </row>
    <row r="5027" spans="1:29">
      <c r="A5027" s="8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8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  <c r="AA5027" s="8"/>
      <c r="AB5027" s="8"/>
      <c r="AC5027" s="8"/>
    </row>
    <row r="5028" spans="1:29">
      <c r="A5028" s="8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8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  <c r="AA5028" s="8"/>
      <c r="AB5028" s="8"/>
      <c r="AC5028" s="8"/>
    </row>
    <row r="5029" spans="1:29">
      <c r="A5029" s="8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8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  <c r="AA5029" s="8"/>
      <c r="AB5029" s="8"/>
      <c r="AC5029" s="8"/>
    </row>
    <row r="5030" spans="1:29">
      <c r="A5030" s="8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8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  <c r="AA5030" s="8"/>
      <c r="AB5030" s="8"/>
      <c r="AC5030" s="8"/>
    </row>
    <row r="5031" spans="1:29">
      <c r="A5031" s="8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8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  <c r="AA5031" s="8"/>
      <c r="AB5031" s="8"/>
      <c r="AC5031" s="8"/>
    </row>
    <row r="5032" spans="1:29">
      <c r="A5032" s="8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8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  <c r="AA5032" s="8"/>
      <c r="AB5032" s="8"/>
      <c r="AC5032" s="8"/>
    </row>
    <row r="5033" spans="1:29">
      <c r="A5033" s="8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8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  <c r="AA5033" s="8"/>
      <c r="AB5033" s="8"/>
      <c r="AC5033" s="8"/>
    </row>
    <row r="5034" spans="1:29">
      <c r="A5034" s="8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8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  <c r="AA5034" s="8"/>
      <c r="AB5034" s="8"/>
      <c r="AC5034" s="8"/>
    </row>
    <row r="5035" spans="1:29">
      <c r="A5035" s="8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8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  <c r="AA5035" s="8"/>
      <c r="AB5035" s="8"/>
      <c r="AC5035" s="8"/>
    </row>
    <row r="5036" spans="1:29">
      <c r="A5036" s="8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8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  <c r="AA5036" s="8"/>
      <c r="AB5036" s="8"/>
      <c r="AC5036" s="8"/>
    </row>
    <row r="5037" spans="1:29">
      <c r="A5037" s="8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8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  <c r="AA5037" s="8"/>
      <c r="AB5037" s="8"/>
      <c r="AC5037" s="8"/>
    </row>
    <row r="5038" spans="1:29">
      <c r="A5038" s="8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8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  <c r="AA5038" s="8"/>
      <c r="AB5038" s="8"/>
      <c r="AC5038" s="8"/>
    </row>
    <row r="5039" spans="1:29">
      <c r="A5039" s="8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8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  <c r="AA5039" s="8"/>
      <c r="AB5039" s="8"/>
      <c r="AC5039" s="8"/>
    </row>
    <row r="5040" spans="1:29">
      <c r="A5040" s="8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8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  <c r="AA5040" s="8"/>
      <c r="AB5040" s="8"/>
      <c r="AC5040" s="8"/>
    </row>
    <row r="5041" spans="1:29">
      <c r="A5041" s="8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8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  <c r="AA5041" s="8"/>
      <c r="AB5041" s="8"/>
      <c r="AC5041" s="8"/>
    </row>
    <row r="5042" spans="1:29">
      <c r="A5042" s="8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8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  <c r="AA5042" s="8"/>
      <c r="AB5042" s="8"/>
      <c r="AC5042" s="8"/>
    </row>
    <row r="5043" spans="1:29">
      <c r="A5043" s="8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8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  <c r="AA5043" s="8"/>
      <c r="AB5043" s="8"/>
      <c r="AC5043" s="8"/>
    </row>
    <row r="5044" spans="1:29">
      <c r="A5044" s="8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8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  <c r="AA5044" s="8"/>
      <c r="AB5044" s="8"/>
      <c r="AC5044" s="8"/>
    </row>
    <row r="5045" spans="1:29">
      <c r="A5045" s="8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8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  <c r="AA5045" s="8"/>
      <c r="AB5045" s="8"/>
      <c r="AC5045" s="8"/>
    </row>
    <row r="5046" spans="1:29">
      <c r="A5046" s="8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8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  <c r="AA5046" s="8"/>
      <c r="AB5046" s="8"/>
      <c r="AC5046" s="8"/>
    </row>
    <row r="5047" spans="1:29">
      <c r="A5047" s="8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8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  <c r="AA5047" s="8"/>
      <c r="AB5047" s="8"/>
      <c r="AC5047" s="8"/>
    </row>
    <row r="5048" spans="1:29">
      <c r="A5048" s="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8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  <c r="AA5048" s="8"/>
      <c r="AB5048" s="8"/>
      <c r="AC5048" s="8"/>
    </row>
    <row r="5049" spans="1:29">
      <c r="A5049" s="8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8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  <c r="AA5049" s="8"/>
      <c r="AB5049" s="8"/>
      <c r="AC5049" s="8"/>
    </row>
    <row r="5050" spans="1:29">
      <c r="A5050" s="8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8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  <c r="AA5050" s="8"/>
      <c r="AB5050" s="8"/>
      <c r="AC5050" s="8"/>
    </row>
    <row r="5051" spans="1:29">
      <c r="A5051" s="8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8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  <c r="AA5051" s="8"/>
      <c r="AB5051" s="8"/>
      <c r="AC5051" s="8"/>
    </row>
    <row r="5052" spans="1:29">
      <c r="A5052" s="8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8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  <c r="AA5052" s="8"/>
      <c r="AB5052" s="8"/>
      <c r="AC5052" s="8"/>
    </row>
    <row r="5053" spans="1:29">
      <c r="A5053" s="8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8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  <c r="AA5053" s="8"/>
      <c r="AB5053" s="8"/>
      <c r="AC5053" s="8"/>
    </row>
    <row r="5054" spans="1:29">
      <c r="A5054" s="8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8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  <c r="AA5054" s="8"/>
      <c r="AB5054" s="8"/>
      <c r="AC5054" s="8"/>
    </row>
    <row r="5055" spans="1:29">
      <c r="A5055" s="8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8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  <c r="AA5055" s="8"/>
      <c r="AB5055" s="8"/>
      <c r="AC5055" s="8"/>
    </row>
    <row r="5056" spans="1:29">
      <c r="A5056" s="8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8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  <c r="AA5056" s="8"/>
      <c r="AB5056" s="8"/>
      <c r="AC5056" s="8"/>
    </row>
    <row r="5057" spans="1:29">
      <c r="A5057" s="8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8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  <c r="AA5057" s="8"/>
      <c r="AB5057" s="8"/>
      <c r="AC5057" s="8"/>
    </row>
    <row r="5058" spans="1:29">
      <c r="A5058" s="8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8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  <c r="AA5058" s="8"/>
      <c r="AB5058" s="8"/>
      <c r="AC5058" s="8"/>
    </row>
    <row r="5059" spans="1:29">
      <c r="A5059" s="8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8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  <c r="AA5059" s="8"/>
      <c r="AB5059" s="8"/>
      <c r="AC5059" s="8"/>
    </row>
    <row r="5060" spans="1:29">
      <c r="A5060" s="8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8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  <c r="AA5060" s="8"/>
      <c r="AB5060" s="8"/>
      <c r="AC5060" s="8"/>
    </row>
    <row r="5061" spans="1:29">
      <c r="A5061" s="8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8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  <c r="AA5061" s="8"/>
      <c r="AB5061" s="8"/>
      <c r="AC5061" s="8"/>
    </row>
    <row r="5062" spans="1:29">
      <c r="A5062" s="8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8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  <c r="AA5062" s="8"/>
      <c r="AB5062" s="8"/>
      <c r="AC5062" s="8"/>
    </row>
    <row r="5063" spans="1:29">
      <c r="A5063" s="8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8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  <c r="AA5063" s="8"/>
      <c r="AB5063" s="8"/>
      <c r="AC5063" s="8"/>
    </row>
    <row r="5064" spans="1:29">
      <c r="A5064" s="8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8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  <c r="AA5064" s="8"/>
      <c r="AB5064" s="8"/>
      <c r="AC5064" s="8"/>
    </row>
    <row r="5065" spans="1:29">
      <c r="A5065" s="8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8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  <c r="AA5065" s="8"/>
      <c r="AB5065" s="8"/>
      <c r="AC5065" s="8"/>
    </row>
    <row r="5066" spans="1:29">
      <c r="A5066" s="8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8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  <c r="AA5066" s="8"/>
      <c r="AB5066" s="8"/>
      <c r="AC5066" s="8"/>
    </row>
    <row r="5067" spans="1:29">
      <c r="A5067" s="8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8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  <c r="AA5067" s="8"/>
      <c r="AB5067" s="8"/>
      <c r="AC5067" s="8"/>
    </row>
    <row r="5068" spans="1:29">
      <c r="A5068" s="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8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  <c r="AA5068" s="8"/>
      <c r="AB5068" s="8"/>
      <c r="AC5068" s="8"/>
    </row>
    <row r="5069" spans="1:29">
      <c r="A5069" s="8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8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  <c r="AA5069" s="8"/>
      <c r="AB5069" s="8"/>
      <c r="AC5069" s="8"/>
    </row>
    <row r="5070" spans="1:29">
      <c r="A5070" s="8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8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  <c r="AA5070" s="8"/>
      <c r="AB5070" s="8"/>
      <c r="AC5070" s="8"/>
    </row>
    <row r="5071" spans="1:29">
      <c r="A5071" s="8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8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  <c r="AA5071" s="8"/>
      <c r="AB5071" s="8"/>
      <c r="AC5071" s="8"/>
    </row>
    <row r="5072" spans="1:29">
      <c r="A5072" s="8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8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  <c r="AA5072" s="8"/>
      <c r="AB5072" s="8"/>
      <c r="AC5072" s="8"/>
    </row>
    <row r="5073" spans="1:29">
      <c r="A5073" s="8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8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  <c r="AA5073" s="8"/>
      <c r="AB5073" s="8"/>
      <c r="AC5073" s="8"/>
    </row>
    <row r="5074" spans="1:29">
      <c r="A5074" s="8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8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  <c r="AA5074" s="8"/>
      <c r="AB5074" s="8"/>
      <c r="AC5074" s="8"/>
    </row>
    <row r="5075" spans="1:29">
      <c r="A5075" s="8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8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  <c r="AA5075" s="8"/>
      <c r="AB5075" s="8"/>
      <c r="AC5075" s="8"/>
    </row>
    <row r="5076" spans="1:29">
      <c r="A5076" s="8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8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  <c r="AA5076" s="8"/>
      <c r="AB5076" s="8"/>
      <c r="AC5076" s="8"/>
    </row>
    <row r="5077" spans="1:29">
      <c r="A5077" s="8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8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  <c r="AA5077" s="8"/>
      <c r="AB5077" s="8"/>
      <c r="AC5077" s="8"/>
    </row>
    <row r="5078" spans="1:29">
      <c r="A5078" s="8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8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  <c r="AA5078" s="8"/>
      <c r="AB5078" s="8"/>
      <c r="AC5078" s="8"/>
    </row>
    <row r="5079" spans="1:29">
      <c r="A5079" s="8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8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  <c r="AA5079" s="8"/>
      <c r="AB5079" s="8"/>
      <c r="AC5079" s="8"/>
    </row>
    <row r="5080" spans="1:29">
      <c r="A5080" s="8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8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  <c r="AA5080" s="8"/>
      <c r="AB5080" s="8"/>
      <c r="AC5080" s="8"/>
    </row>
    <row r="5081" spans="1:29">
      <c r="A5081" s="8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8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  <c r="AA5081" s="8"/>
      <c r="AB5081" s="8"/>
      <c r="AC5081" s="8"/>
    </row>
    <row r="5082" spans="1:29">
      <c r="A5082" s="8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8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  <c r="AA5082" s="8"/>
      <c r="AB5082" s="8"/>
      <c r="AC5082" s="8"/>
    </row>
    <row r="5083" spans="1:29">
      <c r="A5083" s="8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8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  <c r="AA5083" s="8"/>
      <c r="AB5083" s="8"/>
      <c r="AC5083" s="8"/>
    </row>
    <row r="5084" spans="1:29">
      <c r="A5084" s="8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8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  <c r="AA5084" s="8"/>
      <c r="AB5084" s="8"/>
      <c r="AC5084" s="8"/>
    </row>
    <row r="5085" spans="1:29">
      <c r="A5085" s="8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8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  <c r="AA5085" s="8"/>
      <c r="AB5085" s="8"/>
      <c r="AC5085" s="8"/>
    </row>
    <row r="5086" spans="1:29">
      <c r="A5086" s="8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8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  <c r="AA5086" s="8"/>
      <c r="AB5086" s="8"/>
      <c r="AC5086" s="8"/>
    </row>
    <row r="5087" spans="1:29">
      <c r="A5087" s="8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8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  <c r="AA5087" s="8"/>
      <c r="AB5087" s="8"/>
      <c r="AC5087" s="8"/>
    </row>
    <row r="5088" spans="1:29">
      <c r="A5088" s="8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8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  <c r="AA5088" s="8"/>
      <c r="AB5088" s="8"/>
      <c r="AC5088" s="8"/>
    </row>
    <row r="5089" spans="1:29">
      <c r="A5089" s="8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8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  <c r="AA5089" s="8"/>
      <c r="AB5089" s="8"/>
      <c r="AC5089" s="8"/>
    </row>
    <row r="5090" spans="1:29">
      <c r="A5090" s="8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8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  <c r="AA5090" s="8"/>
      <c r="AB5090" s="8"/>
      <c r="AC5090" s="8"/>
    </row>
    <row r="5091" spans="1:29">
      <c r="A5091" s="8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8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  <c r="AA5091" s="8"/>
      <c r="AB5091" s="8"/>
      <c r="AC5091" s="8"/>
    </row>
    <row r="5092" spans="1:29">
      <c r="A5092" s="8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8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  <c r="AA5092" s="8"/>
      <c r="AB5092" s="8"/>
      <c r="AC5092" s="8"/>
    </row>
    <row r="5093" spans="1:29">
      <c r="A5093" s="8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8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  <c r="AA5093" s="8"/>
      <c r="AB5093" s="8"/>
      <c r="AC5093" s="8"/>
    </row>
    <row r="5094" spans="1:29">
      <c r="A5094" s="8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8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  <c r="AA5094" s="8"/>
      <c r="AB5094" s="8"/>
      <c r="AC5094" s="8"/>
    </row>
    <row r="5095" spans="1:29">
      <c r="A5095" s="8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8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  <c r="AA5095" s="8"/>
      <c r="AB5095" s="8"/>
      <c r="AC5095" s="8"/>
    </row>
    <row r="5096" spans="1:29">
      <c r="A5096" s="8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8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  <c r="AA5096" s="8"/>
      <c r="AB5096" s="8"/>
      <c r="AC5096" s="8"/>
    </row>
    <row r="5097" spans="1:29">
      <c r="A5097" s="8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8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  <c r="AA5097" s="8"/>
      <c r="AB5097" s="8"/>
      <c r="AC5097" s="8"/>
    </row>
    <row r="5098" spans="1:29">
      <c r="A5098" s="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8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  <c r="AA5098" s="8"/>
      <c r="AB5098" s="8"/>
      <c r="AC5098" s="8"/>
    </row>
    <row r="5099" spans="1:29">
      <c r="A5099" s="8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8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  <c r="AA5099" s="8"/>
      <c r="AB5099" s="8"/>
      <c r="AC5099" s="8"/>
    </row>
    <row r="5100" spans="1:29">
      <c r="A5100" s="8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8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  <c r="AA5100" s="8"/>
      <c r="AB5100" s="8"/>
      <c r="AC5100" s="8"/>
    </row>
    <row r="5101" spans="1:29">
      <c r="A5101" s="8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8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  <c r="AA5101" s="8"/>
      <c r="AB5101" s="8"/>
      <c r="AC5101" s="8"/>
    </row>
    <row r="5102" spans="1:29">
      <c r="A5102" s="8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8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  <c r="AA5102" s="8"/>
      <c r="AB5102" s="8"/>
      <c r="AC5102" s="8"/>
    </row>
    <row r="5103" spans="1:29">
      <c r="A5103" s="8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8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  <c r="AA5103" s="8"/>
      <c r="AB5103" s="8"/>
      <c r="AC5103" s="8"/>
    </row>
    <row r="5104" spans="1:29">
      <c r="A5104" s="8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8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  <c r="AA5104" s="8"/>
      <c r="AB5104" s="8"/>
      <c r="AC5104" s="8"/>
    </row>
    <row r="5105" spans="1:29">
      <c r="A5105" s="8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8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  <c r="AA5105" s="8"/>
      <c r="AB5105" s="8"/>
      <c r="AC5105" s="8"/>
    </row>
    <row r="5106" spans="1:29">
      <c r="A5106" s="8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8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  <c r="AA5106" s="8"/>
      <c r="AB5106" s="8"/>
      <c r="AC5106" s="8"/>
    </row>
    <row r="5107" spans="1:29">
      <c r="A5107" s="8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8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  <c r="AA5107" s="8"/>
      <c r="AB5107" s="8"/>
      <c r="AC5107" s="8"/>
    </row>
    <row r="5108" spans="1:29">
      <c r="A5108" s="8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8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  <c r="AA5108" s="8"/>
      <c r="AB5108" s="8"/>
      <c r="AC5108" s="8"/>
    </row>
    <row r="5109" spans="1:29">
      <c r="A5109" s="8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8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  <c r="AA5109" s="8"/>
      <c r="AB5109" s="8"/>
      <c r="AC5109" s="8"/>
    </row>
    <row r="5110" spans="1:29">
      <c r="A5110" s="8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8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  <c r="AA5110" s="8"/>
      <c r="AB5110" s="8"/>
      <c r="AC5110" s="8"/>
    </row>
    <row r="5111" spans="1:29">
      <c r="A5111" s="8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8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  <c r="AA5111" s="8"/>
      <c r="AB5111" s="8"/>
      <c r="AC5111" s="8"/>
    </row>
    <row r="5112" spans="1:29">
      <c r="A5112" s="8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8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  <c r="AA5112" s="8"/>
      <c r="AB5112" s="8"/>
      <c r="AC5112" s="8"/>
    </row>
    <row r="5113" spans="1:29">
      <c r="A5113" s="8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8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  <c r="AA5113" s="8"/>
      <c r="AB5113" s="8"/>
      <c r="AC5113" s="8"/>
    </row>
    <row r="5114" spans="1:29">
      <c r="A5114" s="8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8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  <c r="AA5114" s="8"/>
      <c r="AB5114" s="8"/>
      <c r="AC5114" s="8"/>
    </row>
    <row r="5115" spans="1:29">
      <c r="A5115" s="8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8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  <c r="AA5115" s="8"/>
      <c r="AB5115" s="8"/>
      <c r="AC5115" s="8"/>
    </row>
    <row r="5116" spans="1:29">
      <c r="A5116" s="8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8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  <c r="AA5116" s="8"/>
      <c r="AB5116" s="8"/>
      <c r="AC5116" s="8"/>
    </row>
    <row r="5117" spans="1:29">
      <c r="A5117" s="8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8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  <c r="AA5117" s="8"/>
      <c r="AB5117" s="8"/>
      <c r="AC5117" s="8"/>
    </row>
    <row r="5118" spans="1:29">
      <c r="A5118" s="8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8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  <c r="AA5118" s="8"/>
      <c r="AB5118" s="8"/>
      <c r="AC5118" s="8"/>
    </row>
    <row r="5119" spans="1:29">
      <c r="A5119" s="8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8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  <c r="AA5119" s="8"/>
      <c r="AB5119" s="8"/>
      <c r="AC5119" s="8"/>
    </row>
    <row r="5120" spans="1:29">
      <c r="A5120" s="8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8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  <c r="AA5120" s="8"/>
      <c r="AB5120" s="8"/>
      <c r="AC5120" s="8"/>
    </row>
    <row r="5121" spans="1:29">
      <c r="A5121" s="8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8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  <c r="AA5121" s="8"/>
      <c r="AB5121" s="8"/>
      <c r="AC5121" s="8"/>
    </row>
    <row r="5122" spans="1:29">
      <c r="A5122" s="8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8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  <c r="AA5122" s="8"/>
      <c r="AB5122" s="8"/>
      <c r="AC5122" s="8"/>
    </row>
    <row r="5123" spans="1:29">
      <c r="A5123" s="8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8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  <c r="AA5123" s="8"/>
      <c r="AB5123" s="8"/>
      <c r="AC5123" s="8"/>
    </row>
    <row r="5124" spans="1:29">
      <c r="A5124" s="8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8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  <c r="AA5124" s="8"/>
      <c r="AB5124" s="8"/>
      <c r="AC5124" s="8"/>
    </row>
    <row r="5125" spans="1:29">
      <c r="A5125" s="8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8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  <c r="AA5125" s="8"/>
      <c r="AB5125" s="8"/>
      <c r="AC5125" s="8"/>
    </row>
    <row r="5126" spans="1:29">
      <c r="A5126" s="8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8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  <c r="AA5126" s="8"/>
      <c r="AB5126" s="8"/>
      <c r="AC5126" s="8"/>
    </row>
    <row r="5127" spans="1:29">
      <c r="A5127" s="8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8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  <c r="AA5127" s="8"/>
      <c r="AB5127" s="8"/>
      <c r="AC5127" s="8"/>
    </row>
    <row r="5128" spans="1:29">
      <c r="A5128" s="8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8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  <c r="AA5128" s="8"/>
      <c r="AB5128" s="8"/>
      <c r="AC5128" s="8"/>
    </row>
    <row r="5129" spans="1:29">
      <c r="A5129" s="8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8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  <c r="AA5129" s="8"/>
      <c r="AB5129" s="8"/>
      <c r="AC5129" s="8"/>
    </row>
    <row r="5130" spans="1:29">
      <c r="A5130" s="8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8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  <c r="AA5130" s="8"/>
      <c r="AB5130" s="8"/>
      <c r="AC5130" s="8"/>
    </row>
    <row r="5131" spans="1:29">
      <c r="A5131" s="8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8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  <c r="AA5131" s="8"/>
      <c r="AB5131" s="8"/>
      <c r="AC5131" s="8"/>
    </row>
    <row r="5132" spans="1:29">
      <c r="A5132" s="8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8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  <c r="AA5132" s="8"/>
      <c r="AB5132" s="8"/>
      <c r="AC5132" s="8"/>
    </row>
    <row r="5133" spans="1:29">
      <c r="A5133" s="8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8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  <c r="AA5133" s="8"/>
      <c r="AB5133" s="8"/>
      <c r="AC5133" s="8"/>
    </row>
    <row r="5134" spans="1:29">
      <c r="A5134" s="8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8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  <c r="AA5134" s="8"/>
      <c r="AB5134" s="8"/>
      <c r="AC5134" s="8"/>
    </row>
    <row r="5135" spans="1:29">
      <c r="A5135" s="8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8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  <c r="AA5135" s="8"/>
      <c r="AB5135" s="8"/>
      <c r="AC5135" s="8"/>
    </row>
    <row r="5136" spans="1:29">
      <c r="A5136" s="8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8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  <c r="AA5136" s="8"/>
      <c r="AB5136" s="8"/>
      <c r="AC5136" s="8"/>
    </row>
    <row r="5137" spans="1:29">
      <c r="A5137" s="8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8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  <c r="AA5137" s="8"/>
      <c r="AB5137" s="8"/>
      <c r="AC5137" s="8"/>
    </row>
    <row r="5138" spans="1:29">
      <c r="A5138" s="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8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  <c r="AA5138" s="8"/>
      <c r="AB5138" s="8"/>
      <c r="AC5138" s="8"/>
    </row>
    <row r="5139" spans="1:29">
      <c r="A5139" s="8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8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  <c r="AA5139" s="8"/>
      <c r="AB5139" s="8"/>
      <c r="AC5139" s="8"/>
    </row>
    <row r="5140" spans="1:29">
      <c r="A5140" s="8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8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  <c r="AA5140" s="8"/>
      <c r="AB5140" s="8"/>
      <c r="AC5140" s="8"/>
    </row>
    <row r="5141" spans="1:29">
      <c r="A5141" s="8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8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  <c r="AA5141" s="8"/>
      <c r="AB5141" s="8"/>
      <c r="AC5141" s="8"/>
    </row>
    <row r="5142" spans="1:29">
      <c r="A5142" s="8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8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  <c r="AA5142" s="8"/>
      <c r="AB5142" s="8"/>
      <c r="AC5142" s="8"/>
    </row>
    <row r="5143" spans="1:29">
      <c r="A5143" s="8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8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  <c r="AA5143" s="8"/>
      <c r="AB5143" s="8"/>
      <c r="AC5143" s="8"/>
    </row>
    <row r="5144" spans="1:29">
      <c r="A5144" s="8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8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  <c r="AA5144" s="8"/>
      <c r="AB5144" s="8"/>
      <c r="AC5144" s="8"/>
    </row>
    <row r="5145" spans="1:29">
      <c r="A5145" s="8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8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  <c r="AA5145" s="8"/>
      <c r="AB5145" s="8"/>
      <c r="AC5145" s="8"/>
    </row>
    <row r="5146" spans="1:29">
      <c r="A5146" s="8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8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  <c r="AA5146" s="8"/>
      <c r="AB5146" s="8"/>
      <c r="AC5146" s="8"/>
    </row>
    <row r="5147" spans="1:29">
      <c r="A5147" s="8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8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  <c r="AA5147" s="8"/>
      <c r="AB5147" s="8"/>
      <c r="AC5147" s="8"/>
    </row>
    <row r="5148" spans="1:29">
      <c r="A5148" s="8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8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  <c r="AA5148" s="8"/>
      <c r="AB5148" s="8"/>
      <c r="AC5148" s="8"/>
    </row>
    <row r="5149" spans="1:29">
      <c r="A5149" s="8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8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  <c r="AA5149" s="8"/>
      <c r="AB5149" s="8"/>
      <c r="AC5149" s="8"/>
    </row>
    <row r="5150" spans="1:29">
      <c r="A5150" s="8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8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  <c r="AA5150" s="8"/>
      <c r="AB5150" s="8"/>
      <c r="AC5150" s="8"/>
    </row>
    <row r="5151" spans="1:29">
      <c r="A5151" s="8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8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  <c r="AA5151" s="8"/>
      <c r="AB5151" s="8"/>
      <c r="AC5151" s="8"/>
    </row>
    <row r="5152" spans="1:29">
      <c r="A5152" s="8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8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  <c r="AA5152" s="8"/>
      <c r="AB5152" s="8"/>
      <c r="AC5152" s="8"/>
    </row>
    <row r="5153" spans="1:29">
      <c r="A5153" s="8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8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  <c r="AA5153" s="8"/>
      <c r="AB5153" s="8"/>
      <c r="AC5153" s="8"/>
    </row>
    <row r="5154" spans="1:29">
      <c r="A5154" s="8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8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  <c r="AA5154" s="8"/>
      <c r="AB5154" s="8"/>
      <c r="AC5154" s="8"/>
    </row>
    <row r="5155" spans="1:29">
      <c r="A5155" s="8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8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  <c r="AA5155" s="8"/>
      <c r="AB5155" s="8"/>
      <c r="AC5155" s="8"/>
    </row>
    <row r="5156" spans="1:29">
      <c r="A5156" s="8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8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  <c r="AA5156" s="8"/>
      <c r="AB5156" s="8"/>
      <c r="AC5156" s="8"/>
    </row>
    <row r="5157" spans="1:29">
      <c r="A5157" s="8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8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  <c r="AA5157" s="8"/>
      <c r="AB5157" s="8"/>
      <c r="AC5157" s="8"/>
    </row>
    <row r="5158" spans="1:29">
      <c r="A5158" s="8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8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  <c r="AA5158" s="8"/>
      <c r="AB5158" s="8"/>
      <c r="AC5158" s="8"/>
    </row>
    <row r="5159" spans="1:29">
      <c r="A5159" s="8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8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  <c r="AA5159" s="8"/>
      <c r="AB5159" s="8"/>
      <c r="AC5159" s="8"/>
    </row>
    <row r="5160" spans="1:29">
      <c r="A5160" s="8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8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  <c r="AA5160" s="8"/>
      <c r="AB5160" s="8"/>
      <c r="AC5160" s="8"/>
    </row>
    <row r="5161" spans="1:29">
      <c r="A5161" s="8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8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  <c r="AA5161" s="8"/>
      <c r="AB5161" s="8"/>
      <c r="AC5161" s="8"/>
    </row>
    <row r="5162" spans="1:29">
      <c r="A5162" s="8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8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  <c r="AA5162" s="8"/>
      <c r="AB5162" s="8"/>
      <c r="AC5162" s="8"/>
    </row>
    <row r="5163" spans="1:29">
      <c r="A5163" s="8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8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  <c r="AA5163" s="8"/>
      <c r="AB5163" s="8"/>
      <c r="AC5163" s="8"/>
    </row>
    <row r="5164" spans="1:29">
      <c r="A5164" s="8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8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  <c r="AA5164" s="8"/>
      <c r="AB5164" s="8"/>
      <c r="AC5164" s="8"/>
    </row>
    <row r="5165" spans="1:29">
      <c r="A5165" s="8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8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  <c r="AA5165" s="8"/>
      <c r="AB5165" s="8"/>
      <c r="AC5165" s="8"/>
    </row>
    <row r="5166" spans="1:29">
      <c r="A5166" s="8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8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  <c r="AA5166" s="8"/>
      <c r="AB5166" s="8"/>
      <c r="AC5166" s="8"/>
    </row>
    <row r="5167" spans="1:29">
      <c r="A5167" s="8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8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  <c r="AA5167" s="8"/>
      <c r="AB5167" s="8"/>
      <c r="AC5167" s="8"/>
    </row>
    <row r="5168" spans="1:29">
      <c r="A5168" s="8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8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  <c r="AA5168" s="8"/>
      <c r="AB5168" s="8"/>
      <c r="AC5168" s="8"/>
    </row>
    <row r="5169" spans="1:29">
      <c r="A5169" s="8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8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  <c r="AA5169" s="8"/>
      <c r="AB5169" s="8"/>
      <c r="AC5169" s="8"/>
    </row>
    <row r="5170" spans="1:29">
      <c r="A5170" s="8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8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  <c r="AA5170" s="8"/>
      <c r="AB5170" s="8"/>
      <c r="AC5170" s="8"/>
    </row>
    <row r="5171" spans="1:29">
      <c r="A5171" s="8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8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  <c r="AA5171" s="8"/>
      <c r="AB5171" s="8"/>
      <c r="AC5171" s="8"/>
    </row>
    <row r="5172" spans="1:29">
      <c r="A5172" s="8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8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  <c r="AA5172" s="8"/>
      <c r="AB5172" s="8"/>
      <c r="AC5172" s="8"/>
    </row>
    <row r="5173" spans="1:29">
      <c r="A5173" s="8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8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  <c r="AA5173" s="8"/>
      <c r="AB5173" s="8"/>
      <c r="AC5173" s="8"/>
    </row>
    <row r="5174" spans="1:29">
      <c r="A5174" s="8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8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  <c r="AA5174" s="8"/>
      <c r="AB5174" s="8"/>
      <c r="AC5174" s="8"/>
    </row>
    <row r="5175" spans="1:29">
      <c r="A5175" s="8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8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  <c r="AA5175" s="8"/>
      <c r="AB5175" s="8"/>
      <c r="AC5175" s="8"/>
    </row>
    <row r="5176" spans="1:29">
      <c r="A5176" s="8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8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  <c r="AA5176" s="8"/>
      <c r="AB5176" s="8"/>
      <c r="AC5176" s="8"/>
    </row>
    <row r="5177" spans="1:29">
      <c r="A5177" s="8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8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  <c r="AA5177" s="8"/>
      <c r="AB5177" s="8"/>
      <c r="AC5177" s="8"/>
    </row>
    <row r="5178" spans="1:29">
      <c r="A5178" s="8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8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  <c r="AA5178" s="8"/>
      <c r="AB5178" s="8"/>
      <c r="AC5178" s="8"/>
    </row>
    <row r="5179" spans="1:29">
      <c r="A5179" s="8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8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  <c r="AA5179" s="8"/>
      <c r="AB5179" s="8"/>
      <c r="AC5179" s="8"/>
    </row>
    <row r="5180" spans="1:29">
      <c r="A5180" s="8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8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  <c r="AA5180" s="8"/>
      <c r="AB5180" s="8"/>
      <c r="AC5180" s="8"/>
    </row>
    <row r="5181" spans="1:29">
      <c r="A5181" s="8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8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  <c r="AA5181" s="8"/>
      <c r="AB5181" s="8"/>
      <c r="AC5181" s="8"/>
    </row>
    <row r="5182" spans="1:29">
      <c r="A5182" s="8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8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  <c r="AA5182" s="8"/>
      <c r="AB5182" s="8"/>
      <c r="AC5182" s="8"/>
    </row>
    <row r="5183" spans="1:29">
      <c r="A5183" s="8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8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  <c r="AA5183" s="8"/>
      <c r="AB5183" s="8"/>
      <c r="AC5183" s="8"/>
    </row>
    <row r="5184" spans="1:29">
      <c r="A5184" s="8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8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  <c r="AA5184" s="8"/>
      <c r="AB5184" s="8"/>
      <c r="AC5184" s="8"/>
    </row>
    <row r="5185" spans="1:29">
      <c r="A5185" s="8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8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  <c r="AA5185" s="8"/>
      <c r="AB5185" s="8"/>
      <c r="AC5185" s="8"/>
    </row>
    <row r="5186" spans="1:29">
      <c r="A5186" s="8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8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  <c r="AA5186" s="8"/>
      <c r="AB5186" s="8"/>
      <c r="AC5186" s="8"/>
    </row>
    <row r="5187" spans="1:29">
      <c r="A5187" s="8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8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  <c r="AA5187" s="8"/>
      <c r="AB5187" s="8"/>
      <c r="AC5187" s="8"/>
    </row>
    <row r="5188" spans="1:29">
      <c r="A5188" s="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8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  <c r="AA5188" s="8"/>
      <c r="AB5188" s="8"/>
      <c r="AC5188" s="8"/>
    </row>
    <row r="5189" spans="1:29">
      <c r="A5189" s="8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8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  <c r="AA5189" s="8"/>
      <c r="AB5189" s="8"/>
      <c r="AC5189" s="8"/>
    </row>
    <row r="5190" spans="1:29">
      <c r="A5190" s="8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8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  <c r="AA5190" s="8"/>
      <c r="AB5190" s="8"/>
      <c r="AC5190" s="8"/>
    </row>
    <row r="5191" spans="1:29">
      <c r="A5191" s="8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8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  <c r="AA5191" s="8"/>
      <c r="AB5191" s="8"/>
      <c r="AC5191" s="8"/>
    </row>
    <row r="5192" spans="1:29">
      <c r="A5192" s="8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8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  <c r="AA5192" s="8"/>
      <c r="AB5192" s="8"/>
      <c r="AC5192" s="8"/>
    </row>
    <row r="5193" spans="1:29">
      <c r="A5193" s="8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8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  <c r="AA5193" s="8"/>
      <c r="AB5193" s="8"/>
      <c r="AC5193" s="8"/>
    </row>
    <row r="5194" spans="1:29">
      <c r="A5194" s="8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8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  <c r="AA5194" s="8"/>
      <c r="AB5194" s="8"/>
      <c r="AC5194" s="8"/>
    </row>
    <row r="5195" spans="1:29">
      <c r="A5195" s="8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8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  <c r="AA5195" s="8"/>
      <c r="AB5195" s="8"/>
      <c r="AC5195" s="8"/>
    </row>
    <row r="5196" spans="1:29">
      <c r="A5196" s="8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8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  <c r="AA5196" s="8"/>
      <c r="AB5196" s="8"/>
      <c r="AC5196" s="8"/>
    </row>
    <row r="5197" spans="1:29">
      <c r="A5197" s="8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8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  <c r="AA5197" s="8"/>
      <c r="AB5197" s="8"/>
      <c r="AC5197" s="8"/>
    </row>
    <row r="5198" spans="1:29">
      <c r="A5198" s="8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8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  <c r="AA5198" s="8"/>
      <c r="AB5198" s="8"/>
      <c r="AC5198" s="8"/>
    </row>
    <row r="5199" spans="1:29">
      <c r="A5199" s="8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8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  <c r="AA5199" s="8"/>
      <c r="AB5199" s="8"/>
      <c r="AC5199" s="8"/>
    </row>
    <row r="5200" spans="1:29">
      <c r="A5200" s="8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8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  <c r="AA5200" s="8"/>
      <c r="AB5200" s="8"/>
      <c r="AC5200" s="8"/>
    </row>
    <row r="5201" spans="1:29">
      <c r="A5201" s="8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8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  <c r="AA5201" s="8"/>
      <c r="AB5201" s="8"/>
      <c r="AC5201" s="8"/>
    </row>
    <row r="5202" spans="1:29">
      <c r="A5202" s="8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8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  <c r="AA5202" s="8"/>
      <c r="AB5202" s="8"/>
      <c r="AC5202" s="8"/>
    </row>
    <row r="5203" spans="1:29">
      <c r="A5203" s="8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8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  <c r="AA5203" s="8"/>
      <c r="AB5203" s="8"/>
      <c r="AC5203" s="8"/>
    </row>
    <row r="5204" spans="1:29">
      <c r="A5204" s="8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8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  <c r="AA5204" s="8"/>
      <c r="AB5204" s="8"/>
      <c r="AC5204" s="8"/>
    </row>
    <row r="5205" spans="1:29">
      <c r="A5205" s="8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8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  <c r="AA5205" s="8"/>
      <c r="AB5205" s="8"/>
      <c r="AC5205" s="8"/>
    </row>
    <row r="5206" spans="1:29">
      <c r="A5206" s="8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8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  <c r="AA5206" s="8"/>
      <c r="AB5206" s="8"/>
      <c r="AC5206" s="8"/>
    </row>
    <row r="5207" spans="1:29">
      <c r="A5207" s="8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8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  <c r="AA5207" s="8"/>
      <c r="AB5207" s="8"/>
      <c r="AC5207" s="8"/>
    </row>
    <row r="5208" spans="1:29">
      <c r="A5208" s="8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8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  <c r="AA5208" s="8"/>
      <c r="AB5208" s="8"/>
      <c r="AC5208" s="8"/>
    </row>
    <row r="5209" spans="1:29">
      <c r="A5209" s="8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8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  <c r="AA5209" s="8"/>
      <c r="AB5209" s="8"/>
      <c r="AC5209" s="8"/>
    </row>
    <row r="5210" spans="1:29">
      <c r="A5210" s="8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8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  <c r="AA5210" s="8"/>
      <c r="AB5210" s="8"/>
      <c r="AC5210" s="8"/>
    </row>
    <row r="5211" spans="1:29">
      <c r="A5211" s="8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8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  <c r="AA5211" s="8"/>
      <c r="AB5211" s="8"/>
      <c r="AC5211" s="8"/>
    </row>
    <row r="5212" spans="1:29">
      <c r="A5212" s="8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8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  <c r="AA5212" s="8"/>
      <c r="AB5212" s="8"/>
      <c r="AC5212" s="8"/>
    </row>
    <row r="5213" spans="1:29">
      <c r="A5213" s="8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8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  <c r="AA5213" s="8"/>
      <c r="AB5213" s="8"/>
      <c r="AC5213" s="8"/>
    </row>
    <row r="5214" spans="1:29">
      <c r="A5214" s="8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8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  <c r="AA5214" s="8"/>
      <c r="AB5214" s="8"/>
      <c r="AC5214" s="8"/>
    </row>
    <row r="5215" spans="1:29">
      <c r="A5215" s="8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8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  <c r="AA5215" s="8"/>
      <c r="AB5215" s="8"/>
      <c r="AC5215" s="8"/>
    </row>
    <row r="5216" spans="1:29">
      <c r="A5216" s="8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8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  <c r="AA5216" s="8"/>
      <c r="AB5216" s="8"/>
      <c r="AC5216" s="8"/>
    </row>
    <row r="5217" spans="1:29">
      <c r="A5217" s="8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8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  <c r="AA5217" s="8"/>
      <c r="AB5217" s="8"/>
      <c r="AC5217" s="8"/>
    </row>
    <row r="5218" spans="1:29">
      <c r="A5218" s="8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8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  <c r="AA5218" s="8"/>
      <c r="AB5218" s="8"/>
      <c r="AC5218" s="8"/>
    </row>
    <row r="5219" spans="1:29">
      <c r="A5219" s="8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8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  <c r="AA5219" s="8"/>
      <c r="AB5219" s="8"/>
      <c r="AC5219" s="8"/>
    </row>
    <row r="5220" spans="1:29">
      <c r="A5220" s="8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8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  <c r="AA5220" s="8"/>
      <c r="AB5220" s="8"/>
      <c r="AC5220" s="8"/>
    </row>
    <row r="5221" spans="1:29">
      <c r="A5221" s="8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8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  <c r="AA5221" s="8"/>
      <c r="AB5221" s="8"/>
      <c r="AC5221" s="8"/>
    </row>
    <row r="5222" spans="1:29">
      <c r="A5222" s="8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8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  <c r="AA5222" s="8"/>
      <c r="AB5222" s="8"/>
      <c r="AC5222" s="8"/>
    </row>
    <row r="5223" spans="1:29">
      <c r="A5223" s="8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8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  <c r="AA5223" s="8"/>
      <c r="AB5223" s="8"/>
      <c r="AC5223" s="8"/>
    </row>
    <row r="5224" spans="1:29">
      <c r="A5224" s="8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8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  <c r="AA5224" s="8"/>
      <c r="AB5224" s="8"/>
      <c r="AC5224" s="8"/>
    </row>
    <row r="5225" spans="1:29">
      <c r="A5225" s="8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8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  <c r="AA5225" s="8"/>
      <c r="AB5225" s="8"/>
      <c r="AC5225" s="8"/>
    </row>
    <row r="5226" spans="1:29">
      <c r="A5226" s="8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8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  <c r="AA5226" s="8"/>
      <c r="AB5226" s="8"/>
      <c r="AC5226" s="8"/>
    </row>
    <row r="5227" spans="1:29">
      <c r="A5227" s="8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8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  <c r="AA5227" s="8"/>
      <c r="AB5227" s="8"/>
      <c r="AC5227" s="8"/>
    </row>
    <row r="5228" spans="1:29">
      <c r="A5228" s="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8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  <c r="AA5228" s="8"/>
      <c r="AB5228" s="8"/>
      <c r="AC5228" s="8"/>
    </row>
    <row r="5229" spans="1:29">
      <c r="A5229" s="8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8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  <c r="AA5229" s="8"/>
      <c r="AB5229" s="8"/>
      <c r="AC5229" s="8"/>
    </row>
    <row r="5230" spans="1:29">
      <c r="A5230" s="8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8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  <c r="AA5230" s="8"/>
      <c r="AB5230" s="8"/>
      <c r="AC5230" s="8"/>
    </row>
    <row r="5231" spans="1:29">
      <c r="A5231" s="8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8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  <c r="AA5231" s="8"/>
      <c r="AB5231" s="8"/>
      <c r="AC5231" s="8"/>
    </row>
    <row r="5232" spans="1:29">
      <c r="A5232" s="8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8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  <c r="AA5232" s="8"/>
      <c r="AB5232" s="8"/>
      <c r="AC5232" s="8"/>
    </row>
    <row r="5233" spans="1:29">
      <c r="A5233" s="8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8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  <c r="AA5233" s="8"/>
      <c r="AB5233" s="8"/>
      <c r="AC5233" s="8"/>
    </row>
    <row r="5234" spans="1:29">
      <c r="A5234" s="8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8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  <c r="AA5234" s="8"/>
      <c r="AB5234" s="8"/>
      <c r="AC5234" s="8"/>
    </row>
    <row r="5235" spans="1:29">
      <c r="A5235" s="8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8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  <c r="AA5235" s="8"/>
      <c r="AB5235" s="8"/>
      <c r="AC5235" s="8"/>
    </row>
    <row r="5236" spans="1:29">
      <c r="A5236" s="8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8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  <c r="AA5236" s="8"/>
      <c r="AB5236" s="8"/>
      <c r="AC5236" s="8"/>
    </row>
    <row r="5237" spans="1:29">
      <c r="A5237" s="8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8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  <c r="AA5237" s="8"/>
      <c r="AB5237" s="8"/>
      <c r="AC5237" s="8"/>
    </row>
    <row r="5238" spans="1:29">
      <c r="A5238" s="8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8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  <c r="AA5238" s="8"/>
      <c r="AB5238" s="8"/>
      <c r="AC5238" s="8"/>
    </row>
    <row r="5239" spans="1:29">
      <c r="A5239" s="8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8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  <c r="AA5239" s="8"/>
      <c r="AB5239" s="8"/>
      <c r="AC5239" s="8"/>
    </row>
    <row r="5240" spans="1:29">
      <c r="A5240" s="8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8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  <c r="AA5240" s="8"/>
      <c r="AB5240" s="8"/>
      <c r="AC5240" s="8"/>
    </row>
    <row r="5241" spans="1:29">
      <c r="A5241" s="8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8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  <c r="AA5241" s="8"/>
      <c r="AB5241" s="8"/>
      <c r="AC5241" s="8"/>
    </row>
    <row r="5242" spans="1:29">
      <c r="A5242" s="8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8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  <c r="AA5242" s="8"/>
      <c r="AB5242" s="8"/>
      <c r="AC5242" s="8"/>
    </row>
    <row r="5243" spans="1:29">
      <c r="A5243" s="8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8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  <c r="AA5243" s="8"/>
      <c r="AB5243" s="8"/>
      <c r="AC5243" s="8"/>
    </row>
    <row r="5244" spans="1:29">
      <c r="A5244" s="8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8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  <c r="AA5244" s="8"/>
      <c r="AB5244" s="8"/>
      <c r="AC5244" s="8"/>
    </row>
    <row r="5245" spans="1:29">
      <c r="A5245" s="8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8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  <c r="AA5245" s="8"/>
      <c r="AB5245" s="8"/>
      <c r="AC5245" s="8"/>
    </row>
    <row r="5246" spans="1:29">
      <c r="A5246" s="8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8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  <c r="AA5246" s="8"/>
      <c r="AB5246" s="8"/>
      <c r="AC5246" s="8"/>
    </row>
    <row r="5247" spans="1:29">
      <c r="A5247" s="8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8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  <c r="AA5247" s="8"/>
      <c r="AB5247" s="8"/>
      <c r="AC5247" s="8"/>
    </row>
    <row r="5248" spans="1:29">
      <c r="A5248" s="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8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  <c r="AA5248" s="8"/>
      <c r="AB5248" s="8"/>
      <c r="AC5248" s="8"/>
    </row>
    <row r="5249" spans="1:29">
      <c r="A5249" s="8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8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  <c r="AA5249" s="8"/>
      <c r="AB5249" s="8"/>
      <c r="AC5249" s="8"/>
    </row>
    <row r="5250" spans="1:29">
      <c r="A5250" s="8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8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  <c r="AA5250" s="8"/>
      <c r="AB5250" s="8"/>
      <c r="AC5250" s="8"/>
    </row>
    <row r="5251" spans="1:29">
      <c r="A5251" s="8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8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  <c r="AA5251" s="8"/>
      <c r="AB5251" s="8"/>
      <c r="AC5251" s="8"/>
    </row>
    <row r="5252" spans="1:29">
      <c r="A5252" s="8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8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  <c r="AA5252" s="8"/>
      <c r="AB5252" s="8"/>
      <c r="AC5252" s="8"/>
    </row>
    <row r="5253" spans="1:29">
      <c r="A5253" s="8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8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  <c r="AA5253" s="8"/>
      <c r="AB5253" s="8"/>
      <c r="AC5253" s="8"/>
    </row>
    <row r="5254" spans="1:29">
      <c r="A5254" s="8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8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  <c r="AA5254" s="8"/>
      <c r="AB5254" s="8"/>
      <c r="AC5254" s="8"/>
    </row>
    <row r="5255" spans="1:29">
      <c r="A5255" s="8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8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  <c r="AA5255" s="8"/>
      <c r="AB5255" s="8"/>
      <c r="AC5255" s="8"/>
    </row>
    <row r="5256" spans="1:29">
      <c r="A5256" s="8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8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  <c r="AA5256" s="8"/>
      <c r="AB5256" s="8"/>
      <c r="AC5256" s="8"/>
    </row>
    <row r="5257" spans="1:29">
      <c r="A5257" s="8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8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  <c r="AA5257" s="8"/>
      <c r="AB5257" s="8"/>
      <c r="AC5257" s="8"/>
    </row>
    <row r="5258" spans="1:29">
      <c r="A5258" s="8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8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  <c r="AA5258" s="8"/>
      <c r="AB5258" s="8"/>
      <c r="AC5258" s="8"/>
    </row>
    <row r="5259" spans="1:29">
      <c r="A5259" s="8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8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  <c r="AA5259" s="8"/>
      <c r="AB5259" s="8"/>
      <c r="AC5259" s="8"/>
    </row>
    <row r="5260" spans="1:29">
      <c r="A5260" s="8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8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  <c r="AA5260" s="8"/>
      <c r="AB5260" s="8"/>
      <c r="AC5260" s="8"/>
    </row>
    <row r="5261" spans="1:29">
      <c r="A5261" s="8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8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  <c r="AA5261" s="8"/>
      <c r="AB5261" s="8"/>
      <c r="AC5261" s="8"/>
    </row>
    <row r="5262" spans="1:29">
      <c r="A5262" s="8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8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  <c r="AA5262" s="8"/>
      <c r="AB5262" s="8"/>
      <c r="AC5262" s="8"/>
    </row>
    <row r="5263" spans="1:29">
      <c r="A5263" s="8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8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  <c r="AA5263" s="8"/>
      <c r="AB5263" s="8"/>
      <c r="AC5263" s="8"/>
    </row>
    <row r="5264" spans="1:29">
      <c r="A5264" s="8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8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  <c r="AA5264" s="8"/>
      <c r="AB5264" s="8"/>
      <c r="AC5264" s="8"/>
    </row>
    <row r="5265" spans="1:29">
      <c r="A5265" s="8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8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  <c r="AA5265" s="8"/>
      <c r="AB5265" s="8"/>
      <c r="AC5265" s="8"/>
    </row>
    <row r="5266" spans="1:29">
      <c r="A5266" s="8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8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  <c r="AA5266" s="8"/>
      <c r="AB5266" s="8"/>
      <c r="AC5266" s="8"/>
    </row>
    <row r="5267" spans="1:29">
      <c r="A5267" s="8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8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  <c r="AA5267" s="8"/>
      <c r="AB5267" s="8"/>
      <c r="AC5267" s="8"/>
    </row>
    <row r="5268" spans="1:29">
      <c r="A5268" s="8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8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  <c r="AA5268" s="8"/>
      <c r="AB5268" s="8"/>
      <c r="AC5268" s="8"/>
    </row>
    <row r="5269" spans="1:29">
      <c r="A5269" s="8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8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  <c r="AA5269" s="8"/>
      <c r="AB5269" s="8"/>
      <c r="AC5269" s="8"/>
    </row>
    <row r="5270" spans="1:29">
      <c r="A5270" s="8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8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  <c r="AA5270" s="8"/>
      <c r="AB5270" s="8"/>
      <c r="AC5270" s="8"/>
    </row>
    <row r="5271" spans="1:29">
      <c r="A5271" s="8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8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  <c r="AA5271" s="8"/>
      <c r="AB5271" s="8"/>
      <c r="AC5271" s="8"/>
    </row>
    <row r="5272" spans="1:29">
      <c r="A5272" s="8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8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  <c r="AA5272" s="8"/>
      <c r="AB5272" s="8"/>
      <c r="AC5272" s="8"/>
    </row>
    <row r="5273" spans="1:29">
      <c r="A5273" s="8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8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  <c r="AA5273" s="8"/>
      <c r="AB5273" s="8"/>
      <c r="AC5273" s="8"/>
    </row>
    <row r="5274" spans="1:29">
      <c r="A5274" s="8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8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  <c r="AA5274" s="8"/>
      <c r="AB5274" s="8"/>
      <c r="AC5274" s="8"/>
    </row>
    <row r="5275" spans="1:29">
      <c r="A5275" s="8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8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  <c r="AA5275" s="8"/>
      <c r="AB5275" s="8"/>
      <c r="AC5275" s="8"/>
    </row>
    <row r="5276" spans="1:29">
      <c r="A5276" s="8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8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  <c r="AA5276" s="8"/>
      <c r="AB5276" s="8"/>
      <c r="AC5276" s="8"/>
    </row>
    <row r="5277" spans="1:29">
      <c r="A5277" s="8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8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  <c r="AA5277" s="8"/>
      <c r="AB5277" s="8"/>
      <c r="AC5277" s="8"/>
    </row>
    <row r="5278" spans="1:29">
      <c r="A5278" s="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8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  <c r="AA5278" s="8"/>
      <c r="AB5278" s="8"/>
      <c r="AC5278" s="8"/>
    </row>
    <row r="5279" spans="1:29">
      <c r="A5279" s="8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8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  <c r="AA5279" s="8"/>
      <c r="AB5279" s="8"/>
      <c r="AC5279" s="8"/>
    </row>
    <row r="5280" spans="1:29">
      <c r="A5280" s="8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8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  <c r="AA5280" s="8"/>
      <c r="AB5280" s="8"/>
      <c r="AC5280" s="8"/>
    </row>
    <row r="5281" spans="1:29">
      <c r="A5281" s="8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8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  <c r="AA5281" s="8"/>
      <c r="AB5281" s="8"/>
      <c r="AC5281" s="8"/>
    </row>
    <row r="5282" spans="1:29">
      <c r="A5282" s="8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8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  <c r="AA5282" s="8"/>
      <c r="AB5282" s="8"/>
      <c r="AC5282" s="8"/>
    </row>
    <row r="5283" spans="1:29">
      <c r="A5283" s="8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8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  <c r="AA5283" s="8"/>
      <c r="AB5283" s="8"/>
      <c r="AC5283" s="8"/>
    </row>
    <row r="5284" spans="1:29">
      <c r="A5284" s="8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8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  <c r="AA5284" s="8"/>
      <c r="AB5284" s="8"/>
      <c r="AC5284" s="8"/>
    </row>
    <row r="5285" spans="1:29">
      <c r="A5285" s="8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8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  <c r="AA5285" s="8"/>
      <c r="AB5285" s="8"/>
      <c r="AC5285" s="8"/>
    </row>
    <row r="5286" spans="1:29">
      <c r="A5286" s="8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8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  <c r="AA5286" s="8"/>
      <c r="AB5286" s="8"/>
      <c r="AC5286" s="8"/>
    </row>
    <row r="5287" spans="1:29">
      <c r="A5287" s="8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8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  <c r="AA5287" s="8"/>
      <c r="AB5287" s="8"/>
      <c r="AC5287" s="8"/>
    </row>
    <row r="5288" spans="1:29">
      <c r="A5288" s="8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8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  <c r="AA5288" s="8"/>
      <c r="AB5288" s="8"/>
      <c r="AC5288" s="8"/>
    </row>
    <row r="5289" spans="1:29">
      <c r="A5289" s="8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8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  <c r="AA5289" s="8"/>
      <c r="AB5289" s="8"/>
      <c r="AC5289" s="8"/>
    </row>
    <row r="5290" spans="1:29">
      <c r="A5290" s="8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8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  <c r="AA5290" s="8"/>
      <c r="AB5290" s="8"/>
      <c r="AC5290" s="8"/>
    </row>
    <row r="5291" spans="1:29">
      <c r="A5291" s="8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8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  <c r="AA5291" s="8"/>
      <c r="AB5291" s="8"/>
      <c r="AC5291" s="8"/>
    </row>
    <row r="5292" spans="1:29">
      <c r="A5292" s="8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8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  <c r="AA5292" s="8"/>
      <c r="AB5292" s="8"/>
      <c r="AC5292" s="8"/>
    </row>
    <row r="5293" spans="1:29">
      <c r="A5293" s="8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8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  <c r="AA5293" s="8"/>
      <c r="AB5293" s="8"/>
      <c r="AC5293" s="8"/>
    </row>
    <row r="5294" spans="1:29">
      <c r="A5294" s="8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8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  <c r="AA5294" s="8"/>
      <c r="AB5294" s="8"/>
      <c r="AC5294" s="8"/>
    </row>
    <row r="5295" spans="1:29">
      <c r="A5295" s="8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8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  <c r="AA5295" s="8"/>
      <c r="AB5295" s="8"/>
      <c r="AC5295" s="8"/>
    </row>
    <row r="5296" spans="1:29">
      <c r="A5296" s="8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8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  <c r="AA5296" s="8"/>
      <c r="AB5296" s="8"/>
      <c r="AC5296" s="8"/>
    </row>
    <row r="5297" spans="1:33">
      <c r="A5297" s="10"/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1"/>
    </row>
    <row r="5298" spans="1:33">
      <c r="A5298" s="10"/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1"/>
    </row>
    <row r="5299" spans="1:33">
      <c r="A5299" s="10"/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1"/>
    </row>
    <row r="5300" spans="1:33">
      <c r="A5300" s="10"/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1"/>
    </row>
    <row r="5301" spans="1:33">
      <c r="A5301" s="10"/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1"/>
    </row>
    <row r="5302" spans="1:33">
      <c r="A5302" s="10"/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0"/>
      <c r="M5302" s="10"/>
      <c r="N5302" s="10"/>
      <c r="O5302" s="10"/>
      <c r="P5302" s="10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1"/>
    </row>
    <row r="5303" spans="1:33">
      <c r="A5303" s="10"/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1"/>
    </row>
    <row r="5304" spans="1:33">
      <c r="A5304" s="10"/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1"/>
    </row>
    <row r="5305" spans="1:33">
      <c r="A5305" s="10"/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1"/>
    </row>
    <row r="5306" spans="1:33">
      <c r="A5306" s="10"/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1"/>
    </row>
    <row r="5307" spans="1:33">
      <c r="A5307" s="10"/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1"/>
    </row>
    <row r="5308" spans="1:33">
      <c r="A5308" s="10"/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1"/>
    </row>
    <row r="5309" spans="1:33">
      <c r="A5309" s="10"/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1"/>
    </row>
    <row r="5310" spans="1:33">
      <c r="A5310" s="10"/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1"/>
    </row>
    <row r="5311" spans="1:33">
      <c r="A5311" s="10"/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1"/>
    </row>
    <row r="5312" spans="1:33">
      <c r="A5312" s="10"/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1"/>
    </row>
    <row r="5313" spans="1:33">
      <c r="A5313" s="10"/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1"/>
    </row>
    <row r="5314" spans="1:33">
      <c r="A5314" s="10"/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1"/>
    </row>
    <row r="5315" spans="1:33">
      <c r="A5315" s="10"/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1"/>
    </row>
    <row r="5316" spans="1:33">
      <c r="A5316" s="10"/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1"/>
    </row>
    <row r="5317" spans="1:33">
      <c r="A5317" s="10"/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1"/>
    </row>
    <row r="5318" spans="1:33">
      <c r="A5318" s="10"/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1"/>
    </row>
    <row r="5319" spans="1:33">
      <c r="A5319" s="10"/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1"/>
    </row>
    <row r="5320" spans="1:33">
      <c r="A5320" s="10"/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1"/>
    </row>
    <row r="5321" spans="1:33">
      <c r="A5321" s="10"/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1"/>
    </row>
    <row r="5322" spans="1:33">
      <c r="A5322" s="10"/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1"/>
    </row>
    <row r="5323" spans="1:33">
      <c r="A5323" s="10"/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1"/>
    </row>
    <row r="5324" spans="1:33">
      <c r="A5324" s="10"/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1"/>
    </row>
    <row r="5325" spans="1:33">
      <c r="A5325" s="10"/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1"/>
    </row>
    <row r="5326" spans="1:33">
      <c r="A5326" s="10"/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1"/>
    </row>
    <row r="5327" spans="1:33">
      <c r="A5327" s="10"/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1"/>
    </row>
    <row r="5328" spans="1:33">
      <c r="A5328" s="10"/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1"/>
    </row>
    <row r="5329" spans="1:33">
      <c r="A5329" s="10"/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1"/>
    </row>
    <row r="5330" spans="1:33">
      <c r="A5330" s="10"/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0"/>
      <c r="M5330" s="10"/>
      <c r="N5330" s="10"/>
      <c r="O5330" s="10"/>
      <c r="P5330" s="10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1"/>
    </row>
    <row r="5331" spans="1:33">
      <c r="A5331" s="10"/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1"/>
    </row>
    <row r="5332" spans="1:33">
      <c r="A5332" s="10"/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0"/>
      <c r="M5332" s="10"/>
      <c r="N5332" s="10"/>
      <c r="O5332" s="10"/>
      <c r="P5332" s="10"/>
      <c r="Q5332" s="10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1"/>
    </row>
    <row r="5333" spans="1:33">
      <c r="A5333" s="10"/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1"/>
    </row>
    <row r="5334" spans="1:33">
      <c r="A5334" s="10"/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0"/>
      <c r="M5334" s="10"/>
      <c r="N5334" s="10"/>
      <c r="O5334" s="10"/>
      <c r="P5334" s="10"/>
      <c r="Q5334" s="10"/>
      <c r="R5334" s="10"/>
      <c r="S5334" s="10"/>
      <c r="T5334" s="10"/>
      <c r="U5334" s="10"/>
      <c r="V5334" s="10"/>
      <c r="W5334" s="10"/>
      <c r="X5334" s="10"/>
      <c r="Y5334" s="10"/>
      <c r="Z5334" s="10"/>
      <c r="AA5334" s="10"/>
      <c r="AB5334" s="10"/>
      <c r="AC5334" s="10"/>
      <c r="AD5334" s="10"/>
      <c r="AE5334" s="10"/>
      <c r="AF5334" s="10"/>
      <c r="AG5334" s="11"/>
    </row>
    <row r="5335" spans="1:33">
      <c r="A5335" s="10"/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1"/>
    </row>
    <row r="5336" spans="1:33">
      <c r="A5336" s="10"/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1"/>
    </row>
    <row r="5337" spans="1:33">
      <c r="A5337" s="10"/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1"/>
    </row>
    <row r="5338" spans="1:33">
      <c r="A5338" s="10"/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1"/>
    </row>
    <row r="5339" spans="1:33">
      <c r="A5339" s="10"/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1"/>
    </row>
    <row r="5340" spans="1:33">
      <c r="A5340" s="10"/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1"/>
    </row>
    <row r="5341" spans="1:33">
      <c r="A5341" s="10"/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1"/>
    </row>
    <row r="5342" spans="1:33">
      <c r="A5342" s="10"/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1"/>
    </row>
    <row r="5343" spans="1:33">
      <c r="A5343" s="10"/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1"/>
    </row>
    <row r="5344" spans="1:33">
      <c r="A5344" s="10"/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1"/>
    </row>
    <row r="5345" spans="1:33">
      <c r="A5345" s="10"/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1"/>
    </row>
    <row r="5346" spans="1:33">
      <c r="A5346" s="10"/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1"/>
    </row>
    <row r="5347" spans="1:33">
      <c r="A5347" s="10"/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1"/>
    </row>
    <row r="5348" spans="1:33">
      <c r="A5348" s="10"/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1"/>
    </row>
    <row r="5349" spans="1:33">
      <c r="A5349" s="10"/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1"/>
    </row>
    <row r="5350" spans="1:33">
      <c r="A5350" s="10"/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1"/>
    </row>
    <row r="5351" spans="1:33">
      <c r="A5351" s="10"/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1"/>
    </row>
    <row r="5352" spans="1:33">
      <c r="A5352" s="10"/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1"/>
    </row>
    <row r="5353" spans="1:33">
      <c r="A5353" s="10"/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1"/>
    </row>
    <row r="5354" spans="1:33">
      <c r="A5354" s="10"/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1"/>
    </row>
    <row r="5355" spans="1:33">
      <c r="A5355" s="10"/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1"/>
    </row>
    <row r="5356" spans="1:33">
      <c r="A5356" s="10"/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1"/>
    </row>
    <row r="5357" spans="1:33">
      <c r="A5357" s="10"/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1"/>
    </row>
    <row r="5358" spans="1:33">
      <c r="A5358" s="10"/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1"/>
    </row>
    <row r="5359" spans="1:33">
      <c r="A5359" s="10"/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1"/>
    </row>
    <row r="5360" spans="1:33">
      <c r="A5360" s="10"/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1"/>
    </row>
    <row r="5361" spans="1:33">
      <c r="A5361" s="10"/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1"/>
    </row>
    <row r="5362" spans="1:33">
      <c r="A5362" s="10"/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1"/>
    </row>
    <row r="5363" spans="1:33">
      <c r="A5363" s="10"/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1"/>
    </row>
    <row r="5364" spans="1:33">
      <c r="A5364" s="10"/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1"/>
    </row>
    <row r="5365" spans="1:33">
      <c r="A5365" s="10"/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1"/>
    </row>
    <row r="5366" spans="1:33">
      <c r="A5366" s="10"/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1"/>
    </row>
    <row r="5367" spans="1:33">
      <c r="A5367" s="10"/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1"/>
    </row>
    <row r="5368" spans="1:33">
      <c r="A5368" s="10"/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1"/>
    </row>
    <row r="5369" spans="1:33">
      <c r="A5369" s="10"/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1"/>
    </row>
    <row r="5370" spans="1:33">
      <c r="A5370" s="10"/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1"/>
    </row>
    <row r="5371" spans="1:33">
      <c r="A5371" s="10"/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1"/>
    </row>
    <row r="5372" spans="1:33">
      <c r="A5372" s="10"/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1"/>
    </row>
    <row r="5373" spans="1:33">
      <c r="A5373" s="10"/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1"/>
    </row>
    <row r="5374" spans="1:33">
      <c r="A5374" s="10"/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1"/>
    </row>
    <row r="5375" spans="1:33">
      <c r="A5375" s="10"/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1"/>
    </row>
    <row r="5376" spans="1:33">
      <c r="A5376" s="10"/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1"/>
    </row>
    <row r="5377" spans="1:33">
      <c r="A5377" s="10"/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10"/>
      <c r="X5377" s="10"/>
      <c r="Y5377" s="10"/>
      <c r="Z5377" s="10"/>
      <c r="AA5377" s="10"/>
      <c r="AB5377" s="10"/>
      <c r="AC5377" s="10"/>
      <c r="AD5377" s="10"/>
      <c r="AE5377" s="10"/>
      <c r="AF5377" s="10"/>
      <c r="AG5377" s="11"/>
    </row>
    <row r="5378" spans="1:33">
      <c r="A5378" s="10"/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1"/>
    </row>
    <row r="5379" spans="1:33">
      <c r="A5379" s="10"/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1"/>
    </row>
    <row r="5380" spans="1:33">
      <c r="A5380" s="10"/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1"/>
    </row>
    <row r="5381" spans="1:33">
      <c r="A5381" s="10"/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1"/>
    </row>
    <row r="5382" spans="1:33">
      <c r="A5382" s="10"/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1"/>
    </row>
    <row r="5383" spans="1:33">
      <c r="A5383" s="10"/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1"/>
    </row>
    <row r="5384" spans="1:33">
      <c r="A5384" s="10"/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1"/>
    </row>
    <row r="5385" spans="1:33">
      <c r="A5385" s="10"/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1"/>
    </row>
    <row r="5386" spans="1:33">
      <c r="A5386" s="10"/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1"/>
    </row>
    <row r="5387" spans="1:33">
      <c r="A5387" s="10"/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1"/>
    </row>
    <row r="5388" spans="1:33">
      <c r="A5388" s="10"/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0"/>
      <c r="M5388" s="10"/>
      <c r="N5388" s="10"/>
      <c r="O5388" s="10"/>
      <c r="P5388" s="10"/>
      <c r="Q5388" s="10"/>
      <c r="R5388" s="10"/>
      <c r="S5388" s="10"/>
      <c r="T5388" s="10"/>
      <c r="U5388" s="10"/>
      <c r="V5388" s="10"/>
      <c r="W5388" s="10"/>
      <c r="X5388" s="10"/>
      <c r="Y5388" s="10"/>
      <c r="Z5388" s="10"/>
      <c r="AA5388" s="10"/>
      <c r="AB5388" s="10"/>
      <c r="AC5388" s="10"/>
      <c r="AD5388" s="10"/>
      <c r="AE5388" s="10"/>
      <c r="AF5388" s="10"/>
      <c r="AG5388" s="11"/>
    </row>
    <row r="5389" spans="1:33">
      <c r="A5389" s="10"/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1"/>
    </row>
    <row r="5390" spans="1:33">
      <c r="A5390" s="10"/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1"/>
    </row>
    <row r="5391" spans="1:33">
      <c r="A5391" s="10"/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1"/>
    </row>
    <row r="5392" spans="1:33">
      <c r="A5392" s="10"/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1"/>
    </row>
    <row r="5393" spans="1:33">
      <c r="A5393" s="10"/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1"/>
    </row>
    <row r="5394" spans="1:33">
      <c r="A5394" s="10"/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1"/>
    </row>
    <row r="5395" spans="1:33">
      <c r="A5395" s="10"/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1"/>
    </row>
    <row r="5396" spans="1:33">
      <c r="A5396" s="10"/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1"/>
    </row>
    <row r="5397" spans="1:33">
      <c r="A5397" s="10"/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1"/>
    </row>
    <row r="5398" spans="1:33">
      <c r="A5398" s="10"/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1"/>
    </row>
    <row r="5399" spans="1:33">
      <c r="A5399" s="10"/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1"/>
    </row>
    <row r="5400" spans="1:33">
      <c r="A5400" s="10"/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1"/>
    </row>
    <row r="5401" spans="1:33">
      <c r="A5401" s="10"/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1"/>
    </row>
    <row r="5402" spans="1:33">
      <c r="A5402" s="10"/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1"/>
    </row>
    <row r="5403" spans="1:33">
      <c r="A5403" s="10"/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1"/>
    </row>
    <row r="5404" spans="1:33">
      <c r="A5404" s="10"/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1"/>
    </row>
    <row r="5405" spans="1:33">
      <c r="A5405" s="10"/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1"/>
    </row>
    <row r="5406" spans="1:33">
      <c r="A5406" s="10"/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1"/>
    </row>
    <row r="5407" spans="1:33">
      <c r="A5407" s="10"/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1"/>
    </row>
    <row r="5408" spans="1:33">
      <c r="A5408" s="10"/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1"/>
    </row>
    <row r="5409" spans="1:33">
      <c r="A5409" s="10"/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1"/>
    </row>
    <row r="5410" spans="1:33">
      <c r="A5410" s="10"/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1"/>
    </row>
    <row r="5411" spans="1:33">
      <c r="A5411" s="10"/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1"/>
    </row>
    <row r="5412" spans="1:33">
      <c r="A5412" s="10"/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1"/>
    </row>
    <row r="5413" spans="1:33">
      <c r="A5413" s="10"/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1"/>
    </row>
    <row r="5414" spans="1:33">
      <c r="A5414" s="10"/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1"/>
    </row>
    <row r="5415" spans="1:33">
      <c r="A5415" s="10"/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1"/>
    </row>
    <row r="5416" spans="1:33">
      <c r="A5416" s="10"/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1"/>
    </row>
    <row r="5417" spans="1:33">
      <c r="A5417" s="10"/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1"/>
    </row>
    <row r="5418" spans="1:33">
      <c r="A5418" s="10"/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1"/>
    </row>
    <row r="5419" spans="1:33">
      <c r="A5419" s="10"/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1"/>
    </row>
    <row r="5420" spans="1:33">
      <c r="A5420" s="10"/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1"/>
    </row>
    <row r="5421" spans="1:33">
      <c r="A5421" s="10"/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1"/>
    </row>
    <row r="5422" spans="1:33">
      <c r="A5422" s="10"/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1"/>
    </row>
    <row r="5423" spans="1:33">
      <c r="A5423" s="10"/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1"/>
    </row>
    <row r="5424" spans="1:33">
      <c r="A5424" s="10"/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1"/>
    </row>
    <row r="5425" spans="1:33">
      <c r="A5425" s="10"/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1"/>
    </row>
    <row r="5426" spans="1:33">
      <c r="A5426" s="10"/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1"/>
    </row>
    <row r="5427" spans="1:33">
      <c r="A5427" s="10"/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1"/>
    </row>
    <row r="5428" spans="1:33">
      <c r="A5428" s="10"/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1"/>
    </row>
    <row r="5429" spans="1:33">
      <c r="A5429" s="10"/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1"/>
    </row>
    <row r="5430" spans="1:33">
      <c r="A5430" s="10"/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1"/>
    </row>
    <row r="5431" spans="1:33">
      <c r="A5431" s="10"/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1"/>
    </row>
    <row r="5432" spans="1:33">
      <c r="A5432" s="10"/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1"/>
    </row>
    <row r="5433" spans="1:33">
      <c r="A5433" s="10"/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1"/>
    </row>
    <row r="5434" spans="1:33">
      <c r="A5434" s="10"/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1"/>
    </row>
    <row r="5435" spans="1:33">
      <c r="A5435" s="10"/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1"/>
    </row>
    <row r="5436" spans="1:33">
      <c r="A5436" s="10"/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1"/>
    </row>
    <row r="5437" spans="1:33">
      <c r="A5437" s="10"/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1"/>
    </row>
    <row r="5438" spans="1:33">
      <c r="A5438" s="10"/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1"/>
    </row>
    <row r="5439" spans="1:33">
      <c r="A5439" s="10"/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1"/>
    </row>
    <row r="5440" spans="1:33">
      <c r="A5440" s="10"/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1"/>
    </row>
    <row r="5441" spans="1:33">
      <c r="A5441" s="10"/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1"/>
    </row>
    <row r="5442" spans="1:33">
      <c r="A5442" s="10"/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1"/>
    </row>
    <row r="5443" spans="1:33">
      <c r="A5443" s="10"/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1"/>
    </row>
    <row r="5444" spans="1:33">
      <c r="A5444" s="10"/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1"/>
    </row>
    <row r="5445" spans="1:33">
      <c r="A5445" s="10"/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1"/>
    </row>
    <row r="5446" spans="1:33">
      <c r="A5446" s="10"/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1"/>
    </row>
    <row r="5447" spans="1:33">
      <c r="A5447" s="10"/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1"/>
    </row>
    <row r="5448" spans="1:33">
      <c r="A5448" s="10"/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1"/>
    </row>
    <row r="5449" spans="1:33">
      <c r="A5449" s="10"/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1"/>
    </row>
    <row r="5450" spans="1:33">
      <c r="A5450" s="10"/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1"/>
    </row>
    <row r="5451" spans="1:33">
      <c r="A5451" s="10"/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1"/>
    </row>
    <row r="5452" spans="1:33">
      <c r="A5452" s="10"/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1"/>
    </row>
    <row r="5453" spans="1:33">
      <c r="A5453" s="10"/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1"/>
    </row>
    <row r="5454" spans="1:33">
      <c r="A5454" s="10"/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1"/>
    </row>
    <row r="5455" spans="1:33">
      <c r="A5455" s="10"/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1"/>
    </row>
    <row r="5456" spans="1:33">
      <c r="A5456" s="10"/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1"/>
    </row>
    <row r="5457" spans="1:33">
      <c r="A5457" s="10"/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1"/>
    </row>
    <row r="5458" spans="1:33">
      <c r="A5458" s="10"/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1"/>
    </row>
    <row r="5459" spans="1:33">
      <c r="A5459" s="10"/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1"/>
    </row>
    <row r="5460" spans="1:33">
      <c r="A5460" s="10"/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1"/>
    </row>
    <row r="5461" spans="1:33">
      <c r="A5461" s="10"/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1"/>
    </row>
    <row r="5462" spans="1:33">
      <c r="A5462" s="10"/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1"/>
    </row>
    <row r="5463" spans="1:33">
      <c r="A5463" s="10"/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1"/>
    </row>
    <row r="5464" spans="1:33">
      <c r="A5464" s="10"/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1"/>
    </row>
    <row r="5465" spans="1:33">
      <c r="A5465" s="10"/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1"/>
    </row>
    <row r="5466" spans="1:33">
      <c r="A5466" s="10"/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1"/>
    </row>
    <row r="5467" spans="1:33">
      <c r="A5467" s="10"/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1"/>
    </row>
    <row r="5468" spans="1:33">
      <c r="A5468" s="10"/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1"/>
    </row>
    <row r="5469" spans="1:33">
      <c r="A5469" s="10"/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1"/>
    </row>
    <row r="5470" spans="1:33">
      <c r="A5470" s="10"/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1"/>
    </row>
    <row r="5471" spans="1:33">
      <c r="A5471" s="10"/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1"/>
    </row>
    <row r="5472" spans="1:33">
      <c r="A5472" s="10"/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1"/>
    </row>
    <row r="5473" spans="1:33">
      <c r="A5473" s="10"/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1"/>
    </row>
    <row r="5474" spans="1:33">
      <c r="A5474" s="10"/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1"/>
    </row>
    <row r="5475" spans="1:33">
      <c r="A5475" s="10"/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1"/>
    </row>
    <row r="5476" spans="1:33">
      <c r="A5476" s="10"/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1"/>
    </row>
    <row r="5477" spans="1:33">
      <c r="A5477" s="10"/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1"/>
    </row>
    <row r="5478" spans="1:33">
      <c r="A5478" s="10"/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1"/>
    </row>
    <row r="5479" spans="1:33">
      <c r="A5479" s="10"/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1"/>
    </row>
    <row r="5480" spans="1:33">
      <c r="A5480" s="10"/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1"/>
    </row>
    <row r="5481" spans="1:33">
      <c r="A5481" s="10"/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1"/>
    </row>
    <row r="5482" spans="1:33">
      <c r="A5482" s="10"/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1"/>
    </row>
    <row r="5483" spans="1:33">
      <c r="A5483" s="10"/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1"/>
    </row>
    <row r="5484" spans="1:33">
      <c r="A5484" s="10"/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1"/>
    </row>
    <row r="5485" spans="1:33">
      <c r="A5485" s="10"/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1"/>
    </row>
    <row r="5486" spans="1:33">
      <c r="A5486" s="10"/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1"/>
    </row>
    <row r="5487" spans="1:33">
      <c r="A5487" s="10"/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1"/>
    </row>
    <row r="5488" spans="1:33">
      <c r="A5488" s="10"/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1"/>
    </row>
    <row r="5489" spans="1:33">
      <c r="A5489" s="10"/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1"/>
    </row>
    <row r="5490" spans="1:33">
      <c r="A5490" s="10"/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1"/>
    </row>
    <row r="5491" spans="1:33">
      <c r="A5491" s="10"/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1"/>
    </row>
    <row r="5492" spans="1:33">
      <c r="A5492" s="10"/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1"/>
    </row>
    <row r="5493" spans="1:33">
      <c r="A5493" s="10"/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1"/>
    </row>
    <row r="5494" spans="1:33">
      <c r="A5494" s="10"/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1"/>
    </row>
    <row r="5495" spans="1:33">
      <c r="A5495" s="10"/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1"/>
    </row>
    <row r="5496" spans="1:33">
      <c r="A5496" s="10"/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1"/>
    </row>
    <row r="5497" spans="1:33">
      <c r="A5497" s="10"/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1"/>
    </row>
    <row r="5498" spans="1:33">
      <c r="A5498" s="10"/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1"/>
    </row>
    <row r="5499" spans="1:33">
      <c r="A5499" s="10"/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1"/>
    </row>
    <row r="5500" spans="1:33">
      <c r="A5500" s="10"/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0"/>
      <c r="M5500" s="10"/>
      <c r="N5500" s="10"/>
      <c r="O5500" s="10"/>
      <c r="P5500" s="10"/>
      <c r="Q5500" s="10"/>
      <c r="R5500" s="10"/>
      <c r="S5500" s="10"/>
      <c r="T5500" s="10"/>
      <c r="U5500" s="10"/>
      <c r="V5500" s="10"/>
      <c r="W5500" s="10"/>
      <c r="X5500" s="10"/>
      <c r="Y5500" s="10"/>
      <c r="Z5500" s="10"/>
      <c r="AA5500" s="10"/>
      <c r="AB5500" s="10"/>
      <c r="AC5500" s="10"/>
      <c r="AD5500" s="10"/>
      <c r="AE5500" s="10"/>
      <c r="AF5500" s="10"/>
      <c r="AG5500" s="11"/>
    </row>
    <row r="5501" spans="1:33">
      <c r="A5501" s="10"/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0"/>
      <c r="M5501" s="10"/>
      <c r="N5501" s="10"/>
      <c r="O5501" s="10"/>
      <c r="P5501" s="10"/>
      <c r="Q5501" s="10"/>
      <c r="R5501" s="10"/>
      <c r="S5501" s="10"/>
      <c r="T5501" s="10"/>
      <c r="U5501" s="10"/>
      <c r="V5501" s="10"/>
      <c r="W5501" s="10"/>
      <c r="X5501" s="10"/>
      <c r="Y5501" s="10"/>
      <c r="Z5501" s="10"/>
      <c r="AA5501" s="10"/>
      <c r="AB5501" s="10"/>
      <c r="AC5501" s="10"/>
      <c r="AD5501" s="10"/>
      <c r="AE5501" s="10"/>
      <c r="AF5501" s="10"/>
      <c r="AG5501" s="11"/>
    </row>
    <row r="5502" spans="1:33">
      <c r="A5502" s="10"/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1"/>
    </row>
    <row r="5503" spans="1:33">
      <c r="A5503" s="10"/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1"/>
    </row>
    <row r="5504" spans="1:33">
      <c r="A5504" s="10"/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1"/>
    </row>
    <row r="5505" spans="1:33">
      <c r="A5505" s="10"/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1"/>
    </row>
    <row r="5506" spans="1:33">
      <c r="A5506" s="10"/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1"/>
    </row>
    <row r="5507" spans="1:33">
      <c r="A5507" s="10"/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1"/>
    </row>
    <row r="5508" spans="1:33">
      <c r="A5508" s="10"/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1"/>
    </row>
    <row r="5509" spans="1:33">
      <c r="A5509" s="10"/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1"/>
    </row>
    <row r="5510" spans="1:33">
      <c r="A5510" s="10"/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1"/>
    </row>
    <row r="5511" spans="1:33">
      <c r="A5511" s="10"/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1"/>
    </row>
    <row r="5512" spans="1:33">
      <c r="A5512" s="10"/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1"/>
    </row>
    <row r="5513" spans="1:33">
      <c r="A5513" s="10"/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1"/>
    </row>
    <row r="5514" spans="1:33">
      <c r="A5514" s="10"/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1"/>
    </row>
    <row r="5515" spans="1:33">
      <c r="A5515" s="10"/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1"/>
    </row>
    <row r="5516" spans="1:33">
      <c r="A5516" s="10"/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1"/>
    </row>
    <row r="5517" spans="1:33">
      <c r="A5517" s="10"/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1"/>
    </row>
    <row r="5518" spans="1:33">
      <c r="A5518" s="10"/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1"/>
    </row>
    <row r="5519" spans="1:33">
      <c r="A5519" s="10"/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1"/>
    </row>
    <row r="5520" spans="1:33">
      <c r="A5520" s="10"/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1"/>
    </row>
    <row r="5521" spans="1:33">
      <c r="A5521" s="10"/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1"/>
    </row>
    <row r="5522" spans="1:33">
      <c r="A5522" s="10"/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1"/>
    </row>
    <row r="5523" spans="1:33">
      <c r="A5523" s="10"/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1"/>
    </row>
    <row r="5524" spans="1:33">
      <c r="A5524" s="10"/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1"/>
    </row>
    <row r="5525" spans="1:33">
      <c r="A5525" s="10"/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1"/>
    </row>
    <row r="5526" spans="1:33">
      <c r="A5526" s="10"/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1"/>
    </row>
    <row r="5527" spans="1:33">
      <c r="A5527" s="10"/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1"/>
    </row>
    <row r="5528" spans="1:33">
      <c r="A5528" s="10"/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1"/>
    </row>
    <row r="5529" spans="1:33">
      <c r="A5529" s="10"/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1"/>
    </row>
    <row r="5530" spans="1:33">
      <c r="A5530" s="10"/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1"/>
    </row>
    <row r="5531" spans="1:33">
      <c r="A5531" s="10"/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1"/>
    </row>
    <row r="5532" spans="1:33">
      <c r="A5532" s="10"/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1"/>
    </row>
    <row r="5533" spans="1:33">
      <c r="A5533" s="10"/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1"/>
    </row>
    <row r="5534" spans="1:33">
      <c r="A5534" s="10"/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1"/>
    </row>
    <row r="5535" spans="1:33">
      <c r="A5535" s="10"/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1"/>
    </row>
    <row r="5536" spans="1:33">
      <c r="A5536" s="10"/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1"/>
    </row>
    <row r="5537" spans="1:33">
      <c r="A5537" s="10"/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1"/>
    </row>
    <row r="5538" spans="1:33">
      <c r="A5538" s="10"/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1"/>
    </row>
    <row r="5539" spans="1:33">
      <c r="A5539" s="10"/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1"/>
    </row>
    <row r="5540" spans="1:33">
      <c r="A5540" s="10"/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1"/>
    </row>
    <row r="5541" spans="1:33">
      <c r="A5541" s="10"/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1"/>
    </row>
    <row r="5542" spans="1:33">
      <c r="A5542" s="10"/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1"/>
    </row>
    <row r="5543" spans="1:33">
      <c r="A5543" s="10"/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1"/>
    </row>
    <row r="5544" spans="1:33">
      <c r="A5544" s="10"/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1"/>
    </row>
    <row r="5545" spans="1:33">
      <c r="A5545" s="10"/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1"/>
    </row>
    <row r="5546" spans="1:33">
      <c r="A5546" s="10"/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1"/>
    </row>
    <row r="5547" spans="1:33">
      <c r="A5547" s="10"/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1"/>
    </row>
    <row r="5548" spans="1:33">
      <c r="A5548" s="10"/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1"/>
    </row>
    <row r="5549" spans="1:33">
      <c r="A5549" s="10"/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1"/>
    </row>
    <row r="5550" spans="1:33">
      <c r="A5550" s="10"/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1"/>
    </row>
    <row r="5551" spans="1:33">
      <c r="A5551" s="10"/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1"/>
    </row>
    <row r="5552" spans="1:33">
      <c r="A5552" s="10"/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1"/>
    </row>
    <row r="5553" spans="1:33">
      <c r="A5553" s="10"/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1"/>
    </row>
    <row r="5554" spans="1:33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  <c r="AB5554" s="7"/>
      <c r="AC5554" s="7"/>
      <c r="AD5554" s="7"/>
      <c r="AE5554" s="7"/>
      <c r="AF5554" s="7"/>
      <c r="AG5554" s="11"/>
    </row>
    <row r="5555" spans="1:33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  <c r="AB5555" s="7"/>
      <c r="AC5555" s="7"/>
      <c r="AD5555" s="7"/>
      <c r="AE5555" s="7"/>
      <c r="AF5555" s="7"/>
      <c r="AG5555" s="11"/>
    </row>
    <row r="5556" spans="1:33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  <c r="AB5556" s="7"/>
      <c r="AC5556" s="7"/>
      <c r="AD5556" s="7"/>
      <c r="AE5556" s="7"/>
      <c r="AF5556" s="7"/>
      <c r="AG5556" s="11"/>
    </row>
    <row r="5557" spans="1:33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  <c r="AB5557" s="7"/>
      <c r="AC5557" s="7"/>
      <c r="AD5557" s="7"/>
      <c r="AE5557" s="7"/>
      <c r="AF5557" s="7"/>
      <c r="AG5557" s="11"/>
    </row>
    <row r="5558" spans="1:33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  <c r="AB5558" s="7"/>
      <c r="AC5558" s="7"/>
      <c r="AD5558" s="7"/>
      <c r="AE5558" s="7"/>
      <c r="AF5558" s="7"/>
      <c r="AG5558" s="11"/>
    </row>
    <row r="5559" spans="1:33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  <c r="AB5559" s="7"/>
      <c r="AC5559" s="7"/>
      <c r="AD5559" s="7"/>
      <c r="AE5559" s="7"/>
      <c r="AF5559" s="7"/>
      <c r="AG5559" s="11"/>
    </row>
    <row r="5560" spans="1:33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  <c r="AB5560" s="7"/>
      <c r="AC5560" s="7"/>
      <c r="AD5560" s="7"/>
      <c r="AE5560" s="7"/>
      <c r="AF5560" s="7"/>
      <c r="AG5560" s="11"/>
    </row>
    <row r="5561" spans="1:33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  <c r="AB5561" s="7"/>
      <c r="AC5561" s="7"/>
      <c r="AD5561" s="7"/>
      <c r="AE5561" s="7"/>
      <c r="AF5561" s="7"/>
      <c r="AG5561" s="11"/>
    </row>
    <row r="5562" spans="1:33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  <c r="AB5562" s="7"/>
      <c r="AC5562" s="7"/>
      <c r="AD5562" s="7"/>
      <c r="AE5562" s="7"/>
      <c r="AF5562" s="7"/>
      <c r="AG5562" s="11"/>
    </row>
    <row r="5563" spans="1:33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  <c r="AB5563" s="7"/>
      <c r="AC5563" s="7"/>
      <c r="AD5563" s="7"/>
      <c r="AE5563" s="7"/>
      <c r="AF5563" s="7"/>
      <c r="AG5563" s="11"/>
    </row>
    <row r="5564" spans="1:33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  <c r="AB5564" s="7"/>
      <c r="AC5564" s="7"/>
      <c r="AD5564" s="7"/>
      <c r="AE5564" s="7"/>
      <c r="AF5564" s="7"/>
      <c r="AG5564" s="11"/>
    </row>
    <row r="5565" spans="1:33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  <c r="AB5565" s="7"/>
      <c r="AC5565" s="7"/>
      <c r="AD5565" s="7"/>
      <c r="AE5565" s="7"/>
      <c r="AF5565" s="7"/>
      <c r="AG5565" s="11"/>
    </row>
    <row r="5566" spans="1:33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  <c r="AB5566" s="7"/>
      <c r="AC5566" s="7"/>
      <c r="AD5566" s="7"/>
      <c r="AE5566" s="7"/>
      <c r="AF5566" s="7"/>
      <c r="AG5566" s="11"/>
    </row>
    <row r="5567" spans="1:33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  <c r="AB5567" s="7"/>
      <c r="AC5567" s="7"/>
      <c r="AD5567" s="7"/>
      <c r="AE5567" s="7"/>
      <c r="AF5567" s="7"/>
      <c r="AG5567" s="11"/>
    </row>
    <row r="5568" spans="1:33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  <c r="AB5568" s="7"/>
      <c r="AC5568" s="7"/>
      <c r="AD5568" s="7"/>
      <c r="AE5568" s="7"/>
      <c r="AF5568" s="7"/>
      <c r="AG5568" s="11"/>
    </row>
    <row r="5569" spans="1:33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  <c r="AB5569" s="7"/>
      <c r="AC5569" s="7"/>
      <c r="AD5569" s="7"/>
      <c r="AE5569" s="7"/>
      <c r="AF5569" s="7"/>
      <c r="AG5569" s="11"/>
    </row>
    <row r="5570" spans="1:33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  <c r="AB5570" s="7"/>
      <c r="AC5570" s="7"/>
      <c r="AD5570" s="7"/>
      <c r="AE5570" s="7"/>
      <c r="AF5570" s="7"/>
      <c r="AG5570" s="11"/>
    </row>
    <row r="5571" spans="1:33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  <c r="AB5571" s="7"/>
      <c r="AC5571" s="7"/>
      <c r="AD5571" s="7"/>
      <c r="AE5571" s="7"/>
      <c r="AF5571" s="7"/>
      <c r="AG5571" s="11"/>
    </row>
    <row r="5572" spans="1:33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  <c r="AB5572" s="7"/>
      <c r="AC5572" s="7"/>
      <c r="AD5572" s="7"/>
      <c r="AE5572" s="7"/>
      <c r="AF5572" s="7"/>
      <c r="AG5572" s="11"/>
    </row>
    <row r="5573" spans="1:33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  <c r="AB5573" s="7"/>
      <c r="AC5573" s="7"/>
      <c r="AD5573" s="7"/>
      <c r="AE5573" s="7"/>
      <c r="AF5573" s="7"/>
      <c r="AG5573" s="11"/>
    </row>
    <row r="5574" spans="1:33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  <c r="AB5574" s="7"/>
      <c r="AC5574" s="7"/>
      <c r="AD5574" s="7"/>
      <c r="AE5574" s="7"/>
      <c r="AF5574" s="7"/>
      <c r="AG5574" s="11"/>
    </row>
    <row r="5575" spans="1:33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  <c r="AB5575" s="7"/>
      <c r="AC5575" s="7"/>
      <c r="AD5575" s="7"/>
      <c r="AE5575" s="7"/>
      <c r="AF5575" s="7"/>
      <c r="AG5575" s="11"/>
    </row>
    <row r="5576" spans="1:33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  <c r="AB5576" s="7"/>
      <c r="AC5576" s="7"/>
      <c r="AD5576" s="7"/>
      <c r="AE5576" s="7"/>
      <c r="AF5576" s="7"/>
      <c r="AG5576" s="11"/>
    </row>
    <row r="5577" spans="1:33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  <c r="AB5577" s="7"/>
      <c r="AC5577" s="7"/>
      <c r="AD5577" s="7"/>
      <c r="AE5577" s="7"/>
      <c r="AF5577" s="7"/>
      <c r="AG5577" s="11"/>
    </row>
    <row r="5578" spans="1:33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  <c r="AB5578" s="7"/>
      <c r="AC5578" s="7"/>
      <c r="AD5578" s="7"/>
      <c r="AE5578" s="7"/>
      <c r="AF5578" s="7"/>
      <c r="AG5578" s="11"/>
    </row>
    <row r="5579" spans="1:33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  <c r="AB5579" s="7"/>
      <c r="AC5579" s="7"/>
      <c r="AD5579" s="7"/>
      <c r="AE5579" s="7"/>
      <c r="AF5579" s="7"/>
      <c r="AG5579" s="11"/>
    </row>
    <row r="5580" spans="1:33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  <c r="AB5580" s="7"/>
      <c r="AC5580" s="7"/>
      <c r="AD5580" s="7"/>
      <c r="AE5580" s="7"/>
      <c r="AF5580" s="7"/>
      <c r="AG5580" s="11"/>
    </row>
    <row r="5581" spans="1:33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  <c r="AB5581" s="7"/>
      <c r="AC5581" s="7"/>
      <c r="AD5581" s="7"/>
      <c r="AE5581" s="7"/>
      <c r="AF5581" s="7"/>
      <c r="AG5581" s="11"/>
    </row>
    <row r="5582" spans="1:33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  <c r="AB5582" s="7"/>
      <c r="AC5582" s="7"/>
      <c r="AD5582" s="7"/>
      <c r="AE5582" s="7"/>
      <c r="AF5582" s="7"/>
      <c r="AG5582" s="11"/>
    </row>
    <row r="5583" spans="1:33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  <c r="AB5583" s="7"/>
      <c r="AC5583" s="7"/>
      <c r="AD5583" s="7"/>
      <c r="AE5583" s="7"/>
      <c r="AF5583" s="7"/>
      <c r="AG5583" s="11"/>
    </row>
    <row r="5584" spans="1:33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  <c r="AB5584" s="7"/>
      <c r="AC5584" s="7"/>
      <c r="AD5584" s="7"/>
      <c r="AE5584" s="7"/>
      <c r="AF5584" s="7"/>
      <c r="AG5584" s="11"/>
    </row>
    <row r="5585" spans="1:33">
      <c r="A5585" s="10"/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1"/>
    </row>
    <row r="5586" spans="1:33">
      <c r="A5586" s="10"/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1"/>
    </row>
    <row r="5587" spans="1:33">
      <c r="A5587" s="10"/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1"/>
    </row>
    <row r="5588" spans="1:33">
      <c r="A5588" s="10"/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1"/>
    </row>
    <row r="5589" spans="1:33">
      <c r="A5589" s="10"/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1"/>
    </row>
    <row r="5590" spans="1:33">
      <c r="A5590" s="10"/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1"/>
    </row>
    <row r="5591" spans="1:33">
      <c r="A5591" s="10"/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1"/>
    </row>
    <row r="5592" spans="1:33">
      <c r="A5592" s="10"/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1"/>
    </row>
    <row r="5593" spans="1:33">
      <c r="A5593" s="10"/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1"/>
    </row>
    <row r="5594" spans="1:33">
      <c r="A5594" s="10"/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1"/>
    </row>
    <row r="5595" spans="1:33">
      <c r="A5595" s="10"/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1"/>
    </row>
    <row r="5596" spans="1:33">
      <c r="A5596" s="10"/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1"/>
    </row>
    <row r="5597" spans="1:33">
      <c r="A5597" s="10"/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1"/>
    </row>
    <row r="5598" spans="1:33">
      <c r="A5598" s="10"/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1"/>
    </row>
    <row r="5599" spans="1:33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  <c r="AB5599" s="7"/>
      <c r="AC5599" s="7"/>
      <c r="AD5599" s="8"/>
      <c r="AE5599" s="8"/>
      <c r="AF5599" s="8"/>
      <c r="AG5599" s="11"/>
    </row>
    <row r="5600" spans="1:33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  <c r="AB5600" s="7"/>
      <c r="AC5600" s="7"/>
      <c r="AD5600" s="8"/>
      <c r="AE5600" s="8"/>
      <c r="AF5600" s="8"/>
      <c r="AG5600" s="11"/>
    </row>
    <row r="5601" spans="1:33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  <c r="AB5601" s="7"/>
      <c r="AC5601" s="7"/>
      <c r="AD5601" s="8"/>
      <c r="AE5601" s="8"/>
      <c r="AF5601" s="8"/>
      <c r="AG5601" s="11"/>
    </row>
    <row r="5602" spans="1:33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  <c r="AB5602" s="7"/>
      <c r="AC5602" s="7"/>
      <c r="AD5602" s="8"/>
      <c r="AE5602" s="8"/>
      <c r="AF5602" s="8"/>
      <c r="AG5602" s="11"/>
    </row>
    <row r="5603" spans="1:33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  <c r="AB5603" s="7"/>
      <c r="AC5603" s="7"/>
      <c r="AD5603" s="8"/>
      <c r="AE5603" s="8"/>
      <c r="AF5603" s="8"/>
      <c r="AG5603" s="11"/>
    </row>
    <row r="5604" spans="1:33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  <c r="AB5604" s="7"/>
      <c r="AC5604" s="7"/>
      <c r="AD5604" s="8"/>
      <c r="AE5604" s="8"/>
      <c r="AF5604" s="8"/>
      <c r="AG5604" s="11"/>
    </row>
    <row r="5605" spans="1:33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  <c r="AB5605" s="7"/>
      <c r="AC5605" s="7"/>
      <c r="AD5605" s="8"/>
      <c r="AE5605" s="8"/>
      <c r="AF5605" s="8"/>
      <c r="AG5605" s="11"/>
    </row>
    <row r="5606" spans="1:33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  <c r="AB5606" s="7"/>
      <c r="AC5606" s="7"/>
      <c r="AD5606" s="8"/>
      <c r="AE5606" s="8"/>
      <c r="AF5606" s="8"/>
      <c r="AG5606" s="11"/>
    </row>
    <row r="5607" spans="1:33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  <c r="AB5607" s="7"/>
      <c r="AC5607" s="7"/>
      <c r="AD5607" s="8"/>
      <c r="AE5607" s="8"/>
      <c r="AF5607" s="8"/>
      <c r="AG5607" s="11"/>
    </row>
    <row r="5608" spans="1:33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  <c r="AB5608" s="7"/>
      <c r="AC5608" s="7"/>
      <c r="AD5608" s="8"/>
      <c r="AE5608" s="8"/>
      <c r="AF5608" s="8"/>
      <c r="AG5608" s="11"/>
    </row>
    <row r="5609" spans="1:33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  <c r="AB5609" s="7"/>
      <c r="AC5609" s="7"/>
      <c r="AD5609" s="8"/>
      <c r="AE5609" s="8"/>
      <c r="AF5609" s="8"/>
      <c r="AG5609" s="11"/>
    </row>
    <row r="5610" spans="1:33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  <c r="AB5610" s="7"/>
      <c r="AC5610" s="7"/>
      <c r="AD5610" s="8"/>
      <c r="AE5610" s="8"/>
      <c r="AF5610" s="8"/>
      <c r="AG5610" s="11"/>
    </row>
    <row r="5611" spans="1:33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  <c r="AB5611" s="7"/>
      <c r="AC5611" s="7"/>
      <c r="AD5611" s="8"/>
      <c r="AE5611" s="8"/>
      <c r="AF5611" s="8"/>
      <c r="AG5611" s="11"/>
    </row>
    <row r="5612" spans="1:33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  <c r="AB5612" s="7"/>
      <c r="AC5612" s="7"/>
      <c r="AD5612" s="8"/>
      <c r="AE5612" s="8"/>
      <c r="AF5612" s="8"/>
      <c r="AG5612" s="11"/>
    </row>
    <row r="5613" spans="1:33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  <c r="AB5613" s="7"/>
      <c r="AC5613" s="7"/>
      <c r="AD5613" s="8"/>
      <c r="AE5613" s="8"/>
      <c r="AF5613" s="8"/>
      <c r="AG5613" s="11"/>
    </row>
    <row r="5614" spans="1:33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  <c r="AB5614" s="7"/>
      <c r="AC5614" s="7"/>
      <c r="AD5614" s="8"/>
      <c r="AE5614" s="8"/>
      <c r="AF5614" s="8"/>
      <c r="AG5614" s="11"/>
    </row>
    <row r="5615" spans="1:33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  <c r="AB5615" s="7"/>
      <c r="AC5615" s="7"/>
      <c r="AD5615" s="8"/>
      <c r="AE5615" s="8"/>
      <c r="AF5615" s="8"/>
      <c r="AG5615" s="11"/>
    </row>
    <row r="5616" spans="1:33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  <c r="AB5616" s="7"/>
      <c r="AC5616" s="7"/>
      <c r="AD5616" s="8"/>
      <c r="AE5616" s="8"/>
      <c r="AF5616" s="8"/>
      <c r="AG5616" s="11"/>
    </row>
    <row r="5617" spans="1:33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  <c r="AB5617" s="7"/>
      <c r="AC5617" s="7"/>
      <c r="AD5617" s="8"/>
      <c r="AE5617" s="8"/>
      <c r="AF5617" s="8"/>
      <c r="AG5617" s="11"/>
    </row>
    <row r="5618" spans="1:33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  <c r="AB5618" s="7"/>
      <c r="AC5618" s="7"/>
      <c r="AD5618" s="8"/>
      <c r="AE5618" s="8"/>
      <c r="AF5618" s="8"/>
      <c r="AG5618" s="11"/>
    </row>
    <row r="5619" spans="1:33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  <c r="AB5619" s="7"/>
      <c r="AC5619" s="7"/>
      <c r="AD5619" s="8"/>
      <c r="AE5619" s="8"/>
      <c r="AF5619" s="8"/>
      <c r="AG5619" s="11"/>
    </row>
    <row r="5620" spans="1:33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  <c r="AB5620" s="7"/>
      <c r="AC5620" s="7"/>
      <c r="AD5620" s="8"/>
      <c r="AE5620" s="8"/>
      <c r="AF5620" s="8"/>
      <c r="AG5620" s="11"/>
    </row>
    <row r="5621" spans="1:33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  <c r="AB5621" s="7"/>
      <c r="AC5621" s="7"/>
      <c r="AD5621" s="8"/>
      <c r="AE5621" s="8"/>
      <c r="AF5621" s="8"/>
      <c r="AG5621" s="11"/>
    </row>
    <row r="5622" spans="1:33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  <c r="AB5622" s="7"/>
      <c r="AC5622" s="7"/>
      <c r="AD5622" s="8"/>
      <c r="AE5622" s="8"/>
      <c r="AF5622" s="8"/>
      <c r="AG5622" s="11"/>
    </row>
    <row r="5623" spans="1:33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  <c r="AB5623" s="7"/>
      <c r="AC5623" s="7"/>
      <c r="AD5623" s="8"/>
      <c r="AE5623" s="8"/>
      <c r="AF5623" s="8"/>
      <c r="AG5623" s="11"/>
    </row>
    <row r="5624" spans="1:33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  <c r="AB5624" s="7"/>
      <c r="AC5624" s="7"/>
      <c r="AD5624" s="8"/>
      <c r="AE5624" s="8"/>
      <c r="AF5624" s="8"/>
      <c r="AG5624" s="11"/>
    </row>
    <row r="5625" spans="1:33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  <c r="AB5625" s="7"/>
      <c r="AC5625" s="7"/>
      <c r="AD5625" s="8"/>
      <c r="AE5625" s="8"/>
      <c r="AF5625" s="8"/>
      <c r="AG5625" s="11"/>
    </row>
    <row r="5626" spans="1:33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  <c r="AB5626" s="7"/>
      <c r="AC5626" s="7"/>
      <c r="AD5626" s="8"/>
      <c r="AE5626" s="8"/>
      <c r="AF5626" s="8"/>
      <c r="AG5626" s="11"/>
    </row>
    <row r="5627" spans="1:33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  <c r="AB5627" s="7"/>
      <c r="AC5627" s="7"/>
      <c r="AD5627" s="8"/>
      <c r="AE5627" s="8"/>
      <c r="AF5627" s="8"/>
      <c r="AG5627" s="11"/>
    </row>
    <row r="5628" spans="1:33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  <c r="AB5628" s="7"/>
      <c r="AC5628" s="7"/>
      <c r="AD5628" s="8"/>
      <c r="AE5628" s="8"/>
      <c r="AF5628" s="8"/>
      <c r="AG5628" s="11"/>
    </row>
    <row r="5629" spans="1:33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  <c r="AB5629" s="7"/>
      <c r="AC5629" s="7"/>
      <c r="AD5629" s="8"/>
      <c r="AE5629" s="8"/>
      <c r="AF5629" s="8"/>
      <c r="AG5629" s="11"/>
    </row>
    <row r="5630" spans="1:33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  <c r="AB5630" s="7"/>
      <c r="AC5630" s="7"/>
      <c r="AD5630" s="8"/>
      <c r="AE5630" s="8"/>
      <c r="AF5630" s="8"/>
      <c r="AG5630" s="11"/>
    </row>
    <row r="5631" spans="1:33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  <c r="AB5631" s="7"/>
      <c r="AC5631" s="7"/>
      <c r="AD5631" s="8"/>
      <c r="AE5631" s="8"/>
      <c r="AF5631" s="8"/>
      <c r="AG5631" s="11"/>
    </row>
    <row r="5632" spans="1:33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  <c r="AB5632" s="7"/>
      <c r="AC5632" s="7"/>
      <c r="AD5632" s="8"/>
      <c r="AE5632" s="8"/>
      <c r="AF5632" s="8"/>
      <c r="AG5632" s="11"/>
    </row>
    <row r="5633" spans="1:33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  <c r="AB5633" s="7"/>
      <c r="AC5633" s="7"/>
      <c r="AD5633" s="8"/>
      <c r="AE5633" s="8"/>
      <c r="AF5633" s="8"/>
      <c r="AG5633" s="11"/>
    </row>
    <row r="5634" spans="1:33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  <c r="AB5634" s="7"/>
      <c r="AC5634" s="7"/>
      <c r="AD5634" s="8"/>
      <c r="AE5634" s="8"/>
      <c r="AF5634" s="8"/>
      <c r="AG5634" s="11"/>
    </row>
    <row r="5635" spans="1:33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  <c r="AB5635" s="7"/>
      <c r="AC5635" s="7"/>
      <c r="AD5635" s="8"/>
      <c r="AE5635" s="8"/>
      <c r="AF5635" s="8"/>
      <c r="AG5635" s="11"/>
    </row>
    <row r="5636" spans="1:33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  <c r="AB5636" s="7"/>
      <c r="AC5636" s="7"/>
      <c r="AD5636" s="8"/>
      <c r="AE5636" s="8"/>
      <c r="AF5636" s="8"/>
      <c r="AG5636" s="11"/>
    </row>
    <row r="5637" spans="1:33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  <c r="AB5637" s="7"/>
      <c r="AC5637" s="7"/>
      <c r="AD5637" s="8"/>
      <c r="AE5637" s="8"/>
      <c r="AF5637" s="8"/>
      <c r="AG5637" s="11"/>
    </row>
    <row r="5638" spans="1:33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  <c r="AB5638" s="7"/>
      <c r="AC5638" s="7"/>
      <c r="AD5638" s="8"/>
      <c r="AE5638" s="8"/>
      <c r="AF5638" s="8"/>
      <c r="AG5638" s="11"/>
    </row>
    <row r="5639" spans="1:33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  <c r="AB5639" s="7"/>
      <c r="AC5639" s="7"/>
      <c r="AD5639" s="8"/>
      <c r="AE5639" s="8"/>
      <c r="AF5639" s="8"/>
      <c r="AG5639" s="11"/>
    </row>
    <row r="5640" spans="1:33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  <c r="AB5640" s="7"/>
      <c r="AC5640" s="7"/>
      <c r="AD5640" s="8"/>
      <c r="AE5640" s="8"/>
      <c r="AF5640" s="8"/>
      <c r="AG5640" s="11"/>
    </row>
    <row r="5641" spans="1:33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  <c r="AB5641" s="7"/>
      <c r="AC5641" s="7"/>
      <c r="AD5641" s="8"/>
      <c r="AE5641" s="8"/>
      <c r="AF5641" s="8"/>
      <c r="AG5641" s="11"/>
    </row>
    <row r="5642" spans="1:33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  <c r="AB5642" s="7"/>
      <c r="AC5642" s="7"/>
      <c r="AD5642" s="8"/>
      <c r="AE5642" s="8"/>
      <c r="AF5642" s="8"/>
      <c r="AG5642" s="11"/>
    </row>
    <row r="5643" spans="1:33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  <c r="AB5643" s="7"/>
      <c r="AC5643" s="7"/>
      <c r="AD5643" s="8"/>
      <c r="AE5643" s="8"/>
      <c r="AF5643" s="8"/>
      <c r="AG5643" s="11"/>
    </row>
    <row r="5644" spans="1:33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  <c r="AB5644" s="7"/>
      <c r="AC5644" s="7"/>
      <c r="AD5644" s="8"/>
      <c r="AE5644" s="8"/>
      <c r="AF5644" s="8"/>
      <c r="AG5644" s="11"/>
    </row>
    <row r="5645" spans="1:33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  <c r="AB5645" s="7"/>
      <c r="AC5645" s="7"/>
      <c r="AD5645" s="8"/>
      <c r="AE5645" s="8"/>
      <c r="AF5645" s="8"/>
      <c r="AG5645" s="11"/>
    </row>
    <row r="5646" spans="1:33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  <c r="AB5646" s="7"/>
      <c r="AC5646" s="7"/>
      <c r="AD5646" s="8"/>
      <c r="AE5646" s="8"/>
      <c r="AF5646" s="8"/>
      <c r="AG5646" s="11"/>
    </row>
    <row r="5647" spans="1:33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  <c r="AB5647" s="7"/>
      <c r="AC5647" s="7"/>
      <c r="AD5647" s="8"/>
      <c r="AE5647" s="8"/>
      <c r="AF5647" s="8"/>
      <c r="AG5647" s="11"/>
    </row>
    <row r="5648" spans="1:33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  <c r="AB5648" s="7"/>
      <c r="AC5648" s="7"/>
      <c r="AD5648" s="8"/>
      <c r="AE5648" s="8"/>
      <c r="AF5648" s="8"/>
      <c r="AG5648" s="11"/>
    </row>
    <row r="5649" spans="1:33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  <c r="AB5649" s="7"/>
      <c r="AC5649" s="7"/>
      <c r="AD5649" s="8"/>
      <c r="AE5649" s="8"/>
      <c r="AF5649" s="8"/>
      <c r="AG5649" s="11"/>
    </row>
    <row r="5650" spans="1:33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  <c r="AB5650" s="7"/>
      <c r="AC5650" s="7"/>
      <c r="AD5650" s="8"/>
      <c r="AE5650" s="8"/>
      <c r="AF5650" s="8"/>
      <c r="AG5650" s="11"/>
    </row>
    <row r="5651" spans="1:33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  <c r="AB5651" s="7"/>
      <c r="AC5651" s="7"/>
      <c r="AD5651" s="8"/>
      <c r="AE5651" s="8"/>
      <c r="AF5651" s="8"/>
      <c r="AG5651" s="11"/>
    </row>
    <row r="5652" spans="1:33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  <c r="AB5652" s="7"/>
      <c r="AC5652" s="7"/>
      <c r="AD5652" s="8"/>
      <c r="AE5652" s="8"/>
      <c r="AF5652" s="8"/>
      <c r="AG5652" s="11"/>
    </row>
    <row r="5653" spans="1:33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  <c r="AB5653" s="7"/>
      <c r="AC5653" s="7"/>
      <c r="AD5653" s="8"/>
      <c r="AE5653" s="8"/>
      <c r="AF5653" s="8"/>
      <c r="AG5653" s="11"/>
    </row>
    <row r="5654" spans="1:33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  <c r="AB5654" s="7"/>
      <c r="AC5654" s="7"/>
      <c r="AD5654" s="8"/>
      <c r="AE5654" s="8"/>
      <c r="AF5654" s="8"/>
      <c r="AG5654" s="11"/>
    </row>
    <row r="5655" spans="1:33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  <c r="AB5655" s="7"/>
      <c r="AC5655" s="7"/>
      <c r="AD5655" s="8"/>
      <c r="AE5655" s="8"/>
      <c r="AF5655" s="8"/>
      <c r="AG5655" s="11"/>
    </row>
    <row r="5656" spans="1:33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  <c r="AB5656" s="7"/>
      <c r="AC5656" s="7"/>
      <c r="AD5656" s="8"/>
      <c r="AE5656" s="8"/>
      <c r="AF5656" s="8"/>
      <c r="AG5656" s="11"/>
    </row>
    <row r="5657" spans="1:33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  <c r="AB5657" s="7"/>
      <c r="AC5657" s="7"/>
      <c r="AD5657" s="8"/>
      <c r="AE5657" s="8"/>
      <c r="AF5657" s="8"/>
      <c r="AG5657" s="11"/>
    </row>
    <row r="5658" spans="1:33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  <c r="AB5658" s="7"/>
      <c r="AC5658" s="7"/>
      <c r="AD5658" s="8"/>
      <c r="AE5658" s="8"/>
      <c r="AF5658" s="8"/>
      <c r="AG5658" s="11"/>
    </row>
    <row r="5659" spans="1:33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  <c r="AB5659" s="7"/>
      <c r="AC5659" s="7"/>
      <c r="AD5659" s="8"/>
      <c r="AE5659" s="8"/>
      <c r="AF5659" s="8"/>
      <c r="AG5659" s="11"/>
    </row>
    <row r="5660" spans="1:33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  <c r="AB5660" s="7"/>
      <c r="AC5660" s="7"/>
      <c r="AD5660" s="8"/>
      <c r="AE5660" s="8"/>
      <c r="AF5660" s="8"/>
      <c r="AG5660" s="11"/>
    </row>
    <row r="5661" spans="1:33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  <c r="AB5661" s="7"/>
      <c r="AC5661" s="7"/>
      <c r="AD5661" s="8"/>
      <c r="AE5661" s="8"/>
      <c r="AF5661" s="8"/>
      <c r="AG5661" s="11"/>
    </row>
    <row r="5662" spans="1:33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  <c r="AB5662" s="7"/>
      <c r="AC5662" s="7"/>
      <c r="AD5662" s="8"/>
      <c r="AE5662" s="8"/>
      <c r="AF5662" s="8"/>
      <c r="AG5662" s="11"/>
    </row>
    <row r="5663" spans="1:33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  <c r="AB5663" s="7"/>
      <c r="AC5663" s="7"/>
      <c r="AD5663" s="8"/>
      <c r="AE5663" s="8"/>
      <c r="AF5663" s="8"/>
      <c r="AG5663" s="11"/>
    </row>
    <row r="5664" spans="1:33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  <c r="AB5664" s="7"/>
      <c r="AC5664" s="7"/>
      <c r="AD5664" s="8"/>
      <c r="AE5664" s="8"/>
      <c r="AF5664" s="8"/>
      <c r="AG5664" s="11"/>
    </row>
    <row r="5665" spans="1:33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  <c r="AB5665" s="7"/>
      <c r="AC5665" s="7"/>
      <c r="AD5665" s="8"/>
      <c r="AE5665" s="8"/>
      <c r="AF5665" s="8"/>
      <c r="AG5665" s="11"/>
    </row>
    <row r="5666" spans="1:33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  <c r="AB5666" s="7"/>
      <c r="AC5666" s="7"/>
      <c r="AD5666" s="8"/>
      <c r="AE5666" s="8"/>
      <c r="AF5666" s="8"/>
      <c r="AG5666" s="11"/>
    </row>
    <row r="5667" spans="1:33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  <c r="AB5667" s="7"/>
      <c r="AC5667" s="7"/>
      <c r="AD5667" s="8"/>
      <c r="AE5667" s="8"/>
      <c r="AF5667" s="8"/>
      <c r="AG5667" s="11"/>
    </row>
    <row r="5668" spans="1:33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  <c r="AB5668" s="7"/>
      <c r="AC5668" s="7"/>
      <c r="AD5668" s="8"/>
      <c r="AE5668" s="8"/>
      <c r="AF5668" s="8"/>
      <c r="AG5668" s="11"/>
    </row>
    <row r="5669" spans="1:33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  <c r="AB5669" s="7"/>
      <c r="AC5669" s="7"/>
      <c r="AD5669" s="8"/>
      <c r="AE5669" s="8"/>
      <c r="AF5669" s="8"/>
      <c r="AG5669" s="11"/>
    </row>
    <row r="5670" spans="1:33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  <c r="AB5670" s="7"/>
      <c r="AC5670" s="7"/>
      <c r="AD5670" s="8"/>
      <c r="AE5670" s="8"/>
      <c r="AF5670" s="8"/>
      <c r="AG5670" s="11"/>
    </row>
    <row r="5671" spans="1:33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  <c r="AB5671" s="7"/>
      <c r="AC5671" s="7"/>
      <c r="AD5671" s="8"/>
      <c r="AE5671" s="8"/>
      <c r="AF5671" s="8"/>
      <c r="AG5671" s="11"/>
    </row>
    <row r="5672" spans="1:33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  <c r="AB5672" s="7"/>
      <c r="AC5672" s="7"/>
      <c r="AD5672" s="8"/>
      <c r="AE5672" s="8"/>
      <c r="AF5672" s="8"/>
      <c r="AG5672" s="11"/>
    </row>
    <row r="5673" spans="1:33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  <c r="AB5673" s="7"/>
      <c r="AC5673" s="7"/>
      <c r="AD5673" s="8"/>
      <c r="AE5673" s="8"/>
      <c r="AF5673" s="8"/>
      <c r="AG5673" s="11"/>
    </row>
    <row r="5674" spans="1:33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  <c r="AB5674" s="7"/>
      <c r="AC5674" s="7"/>
      <c r="AD5674" s="8"/>
      <c r="AE5674" s="8"/>
      <c r="AF5674" s="8"/>
      <c r="AG5674" s="11"/>
    </row>
    <row r="5675" spans="1:33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  <c r="AB5675" s="7"/>
      <c r="AC5675" s="7"/>
      <c r="AD5675" s="8"/>
      <c r="AE5675" s="8"/>
      <c r="AF5675" s="8"/>
      <c r="AG5675" s="11"/>
    </row>
    <row r="5676" spans="1:33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  <c r="AB5676" s="7"/>
      <c r="AC5676" s="7"/>
      <c r="AD5676" s="8"/>
      <c r="AE5676" s="8"/>
      <c r="AF5676" s="8"/>
      <c r="AG5676" s="11"/>
    </row>
    <row r="5677" spans="1:33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  <c r="AB5677" s="7"/>
      <c r="AC5677" s="7"/>
      <c r="AD5677" s="8"/>
      <c r="AE5677" s="8"/>
      <c r="AF5677" s="8"/>
      <c r="AG5677" s="11"/>
    </row>
    <row r="5678" spans="1:33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  <c r="AB5678" s="7"/>
      <c r="AC5678" s="7"/>
      <c r="AD5678" s="8"/>
      <c r="AE5678" s="8"/>
      <c r="AF5678" s="8"/>
      <c r="AG5678" s="11"/>
    </row>
    <row r="5679" spans="1:33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  <c r="AB5679" s="7"/>
      <c r="AC5679" s="7"/>
      <c r="AD5679" s="8"/>
      <c r="AE5679" s="8"/>
      <c r="AF5679" s="8"/>
      <c r="AG5679" s="11"/>
    </row>
    <row r="5680" spans="1:33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  <c r="AB5680" s="7"/>
      <c r="AC5680" s="7"/>
      <c r="AD5680" s="8"/>
      <c r="AE5680" s="8"/>
      <c r="AF5680" s="8"/>
      <c r="AG5680" s="11"/>
    </row>
    <row r="5681" spans="1:33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  <c r="AB5681" s="7"/>
      <c r="AC5681" s="7"/>
      <c r="AD5681" s="8"/>
      <c r="AE5681" s="8"/>
      <c r="AF5681" s="8"/>
      <c r="AG5681" s="11"/>
    </row>
    <row r="5682" spans="1:33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  <c r="AB5682" s="7"/>
      <c r="AC5682" s="7"/>
      <c r="AD5682" s="8"/>
      <c r="AE5682" s="8"/>
      <c r="AF5682" s="8"/>
      <c r="AG5682" s="11"/>
    </row>
    <row r="5683" spans="1:33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  <c r="AB5683" s="7"/>
      <c r="AC5683" s="7"/>
      <c r="AD5683" s="8"/>
      <c r="AE5683" s="8"/>
      <c r="AF5683" s="8"/>
      <c r="AG5683" s="11"/>
    </row>
    <row r="5684" spans="1:33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  <c r="AB5684" s="7"/>
      <c r="AC5684" s="7"/>
      <c r="AD5684" s="8"/>
      <c r="AE5684" s="8"/>
      <c r="AF5684" s="8"/>
      <c r="AG5684" s="11"/>
    </row>
    <row r="5685" spans="1:33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  <c r="AB5685" s="7"/>
      <c r="AC5685" s="7"/>
      <c r="AD5685" s="8"/>
      <c r="AE5685" s="8"/>
      <c r="AF5685" s="8"/>
      <c r="AG5685" s="11"/>
    </row>
    <row r="5686" spans="1:33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  <c r="AB5686" s="7"/>
      <c r="AC5686" s="7"/>
      <c r="AD5686" s="8"/>
      <c r="AE5686" s="8"/>
      <c r="AF5686" s="8"/>
      <c r="AG5686" s="11"/>
    </row>
    <row r="5687" spans="1:33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  <c r="AB5687" s="7"/>
      <c r="AC5687" s="7"/>
      <c r="AD5687" s="8"/>
      <c r="AE5687" s="8"/>
      <c r="AF5687" s="8"/>
      <c r="AG5687" s="11"/>
    </row>
    <row r="5688" spans="1:33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  <c r="AB5688" s="7"/>
      <c r="AC5688" s="7"/>
      <c r="AD5688" s="8"/>
      <c r="AE5688" s="8"/>
      <c r="AF5688" s="8"/>
      <c r="AG5688" s="11"/>
    </row>
    <row r="5689" spans="1:33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  <c r="AB5689" s="7"/>
      <c r="AC5689" s="7"/>
      <c r="AD5689" s="8"/>
      <c r="AE5689" s="8"/>
      <c r="AF5689" s="8"/>
      <c r="AG5689" s="11"/>
    </row>
    <row r="5690" spans="1:33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  <c r="AB5690" s="7"/>
      <c r="AC5690" s="7"/>
      <c r="AD5690" s="8"/>
      <c r="AE5690" s="8"/>
      <c r="AF5690" s="8"/>
      <c r="AG5690" s="11"/>
    </row>
    <row r="5691" spans="1:33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  <c r="AB5691" s="7"/>
      <c r="AC5691" s="7"/>
      <c r="AD5691" s="8"/>
      <c r="AE5691" s="8"/>
      <c r="AF5691" s="8"/>
      <c r="AG5691" s="11"/>
    </row>
    <row r="5692" spans="1:33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  <c r="AB5692" s="7"/>
      <c r="AC5692" s="7"/>
      <c r="AD5692" s="8"/>
      <c r="AE5692" s="8"/>
      <c r="AF5692" s="8"/>
      <c r="AG5692" s="11"/>
    </row>
    <row r="5693" spans="1:33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  <c r="AB5693" s="7"/>
      <c r="AC5693" s="7"/>
      <c r="AD5693" s="8"/>
      <c r="AE5693" s="8"/>
      <c r="AF5693" s="8"/>
      <c r="AG5693" s="11"/>
    </row>
    <row r="5694" spans="1:33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  <c r="AB5694" s="7"/>
      <c r="AC5694" s="7"/>
      <c r="AD5694" s="8"/>
      <c r="AE5694" s="8"/>
      <c r="AF5694" s="8"/>
      <c r="AG5694" s="11"/>
    </row>
    <row r="5695" spans="1:33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  <c r="AB5695" s="7"/>
      <c r="AC5695" s="7"/>
      <c r="AD5695" s="8"/>
      <c r="AE5695" s="8"/>
      <c r="AF5695" s="8"/>
      <c r="AG5695" s="11"/>
    </row>
    <row r="5696" spans="1:33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  <c r="AB5696" s="7"/>
      <c r="AC5696" s="7"/>
      <c r="AD5696" s="8"/>
      <c r="AE5696" s="8"/>
      <c r="AF5696" s="8"/>
      <c r="AG5696" s="11"/>
    </row>
    <row r="5697" spans="1:33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  <c r="AB5697" s="7"/>
      <c r="AC5697" s="7"/>
      <c r="AD5697" s="8"/>
      <c r="AE5697" s="8"/>
      <c r="AF5697" s="8"/>
      <c r="AG5697" s="11"/>
    </row>
    <row r="5698" spans="1:33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  <c r="AB5698" s="7"/>
      <c r="AC5698" s="7"/>
      <c r="AD5698" s="8"/>
      <c r="AE5698" s="8"/>
      <c r="AF5698" s="8"/>
      <c r="AG5698" s="11"/>
    </row>
    <row r="5699" spans="1:33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  <c r="AB5699" s="7"/>
      <c r="AC5699" s="7"/>
      <c r="AD5699" s="8"/>
      <c r="AE5699" s="8"/>
      <c r="AF5699" s="8"/>
      <c r="AG5699" s="11"/>
    </row>
    <row r="5700" spans="1:33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  <c r="AB5700" s="7"/>
      <c r="AC5700" s="7"/>
      <c r="AD5700" s="8"/>
      <c r="AE5700" s="8"/>
      <c r="AF5700" s="8"/>
      <c r="AG5700" s="11"/>
    </row>
    <row r="5701" spans="1:33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  <c r="AB5701" s="7"/>
      <c r="AC5701" s="7"/>
      <c r="AD5701" s="8"/>
      <c r="AE5701" s="8"/>
      <c r="AF5701" s="8"/>
      <c r="AG5701" s="11"/>
    </row>
    <row r="5702" spans="1:33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  <c r="AB5702" s="7"/>
      <c r="AC5702" s="7"/>
      <c r="AD5702" s="8"/>
      <c r="AE5702" s="8"/>
      <c r="AF5702" s="8"/>
      <c r="AG5702" s="11"/>
    </row>
    <row r="5703" spans="1:33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  <c r="AB5703" s="7"/>
      <c r="AC5703" s="7"/>
      <c r="AD5703" s="8"/>
      <c r="AE5703" s="8"/>
      <c r="AF5703" s="8"/>
      <c r="AG5703" s="11"/>
    </row>
    <row r="5704" spans="1:33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  <c r="AB5704" s="7"/>
      <c r="AC5704" s="7"/>
      <c r="AD5704" s="8"/>
      <c r="AE5704" s="8"/>
      <c r="AF5704" s="8"/>
      <c r="AG5704" s="11"/>
    </row>
    <row r="5705" spans="1:33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  <c r="AB5705" s="7"/>
      <c r="AC5705" s="7"/>
      <c r="AD5705" s="8"/>
      <c r="AE5705" s="8"/>
      <c r="AF5705" s="8"/>
      <c r="AG5705" s="11"/>
    </row>
    <row r="5706" spans="1:33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  <c r="AB5706" s="7"/>
      <c r="AC5706" s="7"/>
      <c r="AD5706" s="8"/>
      <c r="AE5706" s="8"/>
      <c r="AF5706" s="8"/>
      <c r="AG5706" s="11"/>
    </row>
    <row r="5707" spans="1:33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  <c r="AB5707" s="7"/>
      <c r="AC5707" s="7"/>
      <c r="AD5707" s="8"/>
      <c r="AE5707" s="8"/>
      <c r="AF5707" s="8"/>
      <c r="AG5707" s="11"/>
    </row>
    <row r="5708" spans="1:33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  <c r="AB5708" s="7"/>
      <c r="AC5708" s="7"/>
      <c r="AD5708" s="8"/>
      <c r="AE5708" s="8"/>
      <c r="AF5708" s="8"/>
      <c r="AG5708" s="11"/>
    </row>
    <row r="5709" spans="1:33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  <c r="AB5709" s="7"/>
      <c r="AC5709" s="7"/>
      <c r="AD5709" s="8"/>
      <c r="AE5709" s="8"/>
      <c r="AF5709" s="8"/>
      <c r="AG5709" s="11"/>
    </row>
    <row r="5710" spans="1:33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  <c r="AB5710" s="7"/>
      <c r="AC5710" s="7"/>
      <c r="AD5710" s="8"/>
      <c r="AE5710" s="8"/>
      <c r="AF5710" s="8"/>
      <c r="AG5710" s="11"/>
    </row>
    <row r="5711" spans="1:33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  <c r="AB5711" s="7"/>
      <c r="AC5711" s="7"/>
      <c r="AD5711" s="8"/>
      <c r="AE5711" s="8"/>
      <c r="AF5711" s="8"/>
      <c r="AG5711" s="11"/>
    </row>
    <row r="5712" spans="1:33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  <c r="AB5712" s="7"/>
      <c r="AC5712" s="7"/>
      <c r="AD5712" s="8"/>
      <c r="AE5712" s="8"/>
      <c r="AF5712" s="8"/>
      <c r="AG5712" s="11"/>
    </row>
    <row r="5713" spans="1:33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  <c r="AB5713" s="7"/>
      <c r="AC5713" s="7"/>
      <c r="AD5713" s="8"/>
      <c r="AE5713" s="8"/>
      <c r="AF5713" s="8"/>
      <c r="AG5713" s="11"/>
    </row>
    <row r="5714" spans="1:33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  <c r="AB5714" s="7"/>
      <c r="AC5714" s="7"/>
      <c r="AD5714" s="8"/>
      <c r="AE5714" s="8"/>
      <c r="AF5714" s="8"/>
      <c r="AG5714" s="11"/>
    </row>
    <row r="5715" spans="1:33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  <c r="AB5715" s="7"/>
      <c r="AC5715" s="7"/>
      <c r="AD5715" s="8"/>
      <c r="AE5715" s="8"/>
      <c r="AF5715" s="8"/>
      <c r="AG5715" s="11"/>
    </row>
    <row r="5716" spans="1:33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  <c r="AB5716" s="7"/>
      <c r="AC5716" s="7"/>
      <c r="AD5716" s="8"/>
      <c r="AE5716" s="8"/>
      <c r="AF5716" s="8"/>
      <c r="AG5716" s="11"/>
    </row>
    <row r="5717" spans="1:33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  <c r="AB5717" s="7"/>
      <c r="AC5717" s="7"/>
      <c r="AD5717" s="8"/>
      <c r="AE5717" s="8"/>
      <c r="AF5717" s="8"/>
      <c r="AG5717" s="11"/>
    </row>
    <row r="5718" spans="1:33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  <c r="AB5718" s="7"/>
      <c r="AC5718" s="7"/>
      <c r="AD5718" s="8"/>
      <c r="AE5718" s="8"/>
      <c r="AF5718" s="8"/>
      <c r="AG5718" s="11"/>
    </row>
    <row r="5719" spans="1:33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  <c r="AB5719" s="7"/>
      <c r="AC5719" s="7"/>
      <c r="AD5719" s="8"/>
      <c r="AE5719" s="8"/>
      <c r="AF5719" s="8"/>
      <c r="AG5719" s="11"/>
    </row>
    <row r="5720" spans="1:33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  <c r="AB5720" s="7"/>
      <c r="AC5720" s="7"/>
      <c r="AD5720" s="8"/>
      <c r="AE5720" s="8"/>
      <c r="AF5720" s="8"/>
      <c r="AG5720" s="11"/>
    </row>
    <row r="5721" spans="1:33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  <c r="AB5721" s="7"/>
      <c r="AC5721" s="7"/>
      <c r="AD5721" s="8"/>
      <c r="AE5721" s="8"/>
      <c r="AF5721" s="8"/>
      <c r="AG5721" s="11"/>
    </row>
    <row r="5722" spans="1:33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  <c r="AB5722" s="7"/>
      <c r="AC5722" s="7"/>
      <c r="AD5722" s="8"/>
      <c r="AE5722" s="8"/>
      <c r="AF5722" s="8"/>
      <c r="AG5722" s="11"/>
    </row>
    <row r="5723" spans="1:33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  <c r="AB5723" s="7"/>
      <c r="AC5723" s="7"/>
      <c r="AD5723" s="8"/>
      <c r="AE5723" s="8"/>
      <c r="AF5723" s="8"/>
      <c r="AG5723" s="11"/>
    </row>
    <row r="5724" spans="1:33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  <c r="AB5724" s="7"/>
      <c r="AC5724" s="7"/>
      <c r="AD5724" s="8"/>
      <c r="AE5724" s="8"/>
      <c r="AF5724" s="8"/>
      <c r="AG5724" s="11"/>
    </row>
    <row r="5725" spans="1:33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  <c r="AB5725" s="7"/>
      <c r="AC5725" s="7"/>
      <c r="AD5725" s="8"/>
      <c r="AE5725" s="8"/>
      <c r="AF5725" s="8"/>
      <c r="AG5725" s="11"/>
    </row>
    <row r="5726" spans="1:33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  <c r="AB5726" s="7"/>
      <c r="AC5726" s="7"/>
      <c r="AD5726" s="8"/>
      <c r="AE5726" s="8"/>
      <c r="AF5726" s="8"/>
      <c r="AG5726" s="11"/>
    </row>
    <row r="5727" spans="1:33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  <c r="AB5727" s="7"/>
      <c r="AC5727" s="7"/>
      <c r="AD5727" s="8"/>
      <c r="AE5727" s="8"/>
      <c r="AF5727" s="8"/>
      <c r="AG5727" s="11"/>
    </row>
    <row r="5728" spans="1:33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  <c r="AB5728" s="7"/>
      <c r="AC5728" s="7"/>
      <c r="AD5728" s="8"/>
      <c r="AE5728" s="8"/>
      <c r="AF5728" s="8"/>
      <c r="AG5728" s="11"/>
    </row>
    <row r="5729" spans="1:33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  <c r="AB5729" s="7"/>
      <c r="AC5729" s="7"/>
      <c r="AD5729" s="8"/>
      <c r="AE5729" s="8"/>
      <c r="AF5729" s="8"/>
      <c r="AG5729" s="11"/>
    </row>
    <row r="5730" spans="1:33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  <c r="AB5730" s="7"/>
      <c r="AC5730" s="7"/>
      <c r="AD5730" s="8"/>
      <c r="AE5730" s="8"/>
      <c r="AF5730" s="8"/>
      <c r="AG5730" s="11"/>
    </row>
    <row r="5731" spans="1:33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  <c r="AB5731" s="7"/>
      <c r="AC5731" s="7"/>
      <c r="AD5731" s="8"/>
      <c r="AE5731" s="8"/>
      <c r="AF5731" s="8"/>
      <c r="AG5731" s="11"/>
    </row>
    <row r="5732" spans="1:33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  <c r="AB5732" s="7"/>
      <c r="AC5732" s="7"/>
      <c r="AD5732" s="8"/>
      <c r="AE5732" s="8"/>
      <c r="AF5732" s="8"/>
      <c r="AG5732" s="11"/>
    </row>
    <row r="5733" spans="1:33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  <c r="AB5733" s="7"/>
      <c r="AC5733" s="7"/>
      <c r="AD5733" s="8"/>
      <c r="AE5733" s="8"/>
      <c r="AF5733" s="8"/>
      <c r="AG5733" s="11"/>
    </row>
    <row r="5734" spans="1:33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  <c r="AB5734" s="7"/>
      <c r="AC5734" s="7"/>
      <c r="AD5734" s="8"/>
      <c r="AE5734" s="8"/>
      <c r="AF5734" s="8"/>
      <c r="AG5734" s="11"/>
    </row>
    <row r="5735" spans="1:33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  <c r="AB5735" s="7"/>
      <c r="AC5735" s="7"/>
      <c r="AD5735" s="8"/>
      <c r="AE5735" s="8"/>
      <c r="AF5735" s="8"/>
      <c r="AG5735" s="11"/>
    </row>
    <row r="5736" spans="1:33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  <c r="AB5736" s="7"/>
      <c r="AC5736" s="7"/>
      <c r="AD5736" s="8"/>
      <c r="AE5736" s="8"/>
      <c r="AF5736" s="8"/>
      <c r="AG5736" s="11"/>
    </row>
    <row r="5737" spans="1:33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  <c r="AB5737" s="7"/>
      <c r="AC5737" s="7"/>
      <c r="AD5737" s="8"/>
      <c r="AE5737" s="8"/>
      <c r="AF5737" s="8"/>
      <c r="AG5737" s="11"/>
    </row>
    <row r="5738" spans="1:33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  <c r="AB5738" s="7"/>
      <c r="AC5738" s="7"/>
      <c r="AD5738" s="8"/>
      <c r="AE5738" s="8"/>
      <c r="AF5738" s="8"/>
      <c r="AG5738" s="11"/>
    </row>
    <row r="5739" spans="1:33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  <c r="AB5739" s="7"/>
      <c r="AC5739" s="7"/>
      <c r="AD5739" s="8"/>
      <c r="AE5739" s="8"/>
      <c r="AF5739" s="8"/>
      <c r="AG5739" s="11"/>
    </row>
    <row r="5740" spans="1:33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  <c r="AB5740" s="7"/>
      <c r="AC5740" s="7"/>
      <c r="AD5740" s="8"/>
      <c r="AE5740" s="8"/>
      <c r="AF5740" s="8"/>
      <c r="AG5740" s="11"/>
    </row>
    <row r="5741" spans="1:33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  <c r="AB5741" s="7"/>
      <c r="AC5741" s="7"/>
      <c r="AD5741" s="8"/>
      <c r="AE5741" s="8"/>
      <c r="AF5741" s="8"/>
      <c r="AG5741" s="11"/>
    </row>
    <row r="5742" spans="1:33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  <c r="AB5742" s="7"/>
      <c r="AC5742" s="7"/>
      <c r="AD5742" s="8"/>
      <c r="AE5742" s="8"/>
      <c r="AF5742" s="8"/>
      <c r="AG5742" s="11"/>
    </row>
    <row r="5743" spans="1:33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  <c r="AB5743" s="7"/>
      <c r="AC5743" s="7"/>
      <c r="AD5743" s="8"/>
      <c r="AE5743" s="8"/>
      <c r="AF5743" s="8"/>
      <c r="AG5743" s="11"/>
    </row>
    <row r="5744" spans="1:33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  <c r="AB5744" s="7"/>
      <c r="AC5744" s="7"/>
      <c r="AD5744" s="8"/>
      <c r="AE5744" s="8"/>
      <c r="AF5744" s="8"/>
      <c r="AG5744" s="11"/>
    </row>
    <row r="5745" spans="1:33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  <c r="AB5745" s="7"/>
      <c r="AC5745" s="7"/>
      <c r="AD5745" s="8"/>
      <c r="AE5745" s="8"/>
      <c r="AF5745" s="8"/>
      <c r="AG5745" s="11"/>
    </row>
    <row r="5746" spans="1:33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  <c r="AB5746" s="7"/>
      <c r="AC5746" s="7"/>
      <c r="AD5746" s="8"/>
      <c r="AE5746" s="8"/>
      <c r="AF5746" s="8"/>
      <c r="AG5746" s="11"/>
    </row>
    <row r="5747" spans="1:33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  <c r="AB5747" s="7"/>
      <c r="AC5747" s="7"/>
      <c r="AD5747" s="8"/>
      <c r="AE5747" s="8"/>
      <c r="AF5747" s="8"/>
      <c r="AG5747" s="11"/>
    </row>
    <row r="5748" spans="1:33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  <c r="AB5748" s="7"/>
      <c r="AC5748" s="7"/>
      <c r="AD5748" s="8"/>
      <c r="AE5748" s="8"/>
      <c r="AF5748" s="8"/>
      <c r="AG5748" s="11"/>
    </row>
    <row r="5749" spans="1:33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  <c r="AB5749" s="7"/>
      <c r="AC5749" s="7"/>
      <c r="AD5749" s="8"/>
      <c r="AE5749" s="8"/>
      <c r="AF5749" s="8"/>
      <c r="AG5749" s="11"/>
    </row>
    <row r="5750" spans="1:33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  <c r="AB5750" s="7"/>
      <c r="AC5750" s="7"/>
      <c r="AD5750" s="8"/>
      <c r="AE5750" s="8"/>
      <c r="AF5750" s="8"/>
      <c r="AG5750" s="11"/>
    </row>
    <row r="5751" spans="1:33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  <c r="AB5751" s="7"/>
      <c r="AC5751" s="7"/>
      <c r="AD5751" s="8"/>
      <c r="AE5751" s="8"/>
      <c r="AF5751" s="8"/>
      <c r="AG5751" s="11"/>
    </row>
    <row r="5752" spans="1:33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  <c r="AB5752" s="7"/>
      <c r="AC5752" s="7"/>
      <c r="AD5752" s="8"/>
      <c r="AE5752" s="8"/>
      <c r="AF5752" s="8"/>
      <c r="AG5752" s="11"/>
    </row>
    <row r="5753" spans="1:33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  <c r="AB5753" s="7"/>
      <c r="AC5753" s="7"/>
      <c r="AD5753" s="8"/>
      <c r="AE5753" s="8"/>
      <c r="AF5753" s="8"/>
      <c r="AG5753" s="11"/>
    </row>
    <row r="5754" spans="1:33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  <c r="AB5754" s="7"/>
      <c r="AC5754" s="7"/>
      <c r="AD5754" s="8"/>
      <c r="AE5754" s="8"/>
      <c r="AF5754" s="8"/>
      <c r="AG5754" s="11"/>
    </row>
    <row r="5755" spans="1:33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  <c r="AB5755" s="7"/>
      <c r="AC5755" s="7"/>
      <c r="AD5755" s="8"/>
      <c r="AE5755" s="8"/>
      <c r="AF5755" s="8"/>
      <c r="AG5755" s="11"/>
    </row>
    <row r="5756" spans="1:33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  <c r="AB5756" s="7"/>
      <c r="AC5756" s="7"/>
      <c r="AD5756" s="8"/>
      <c r="AE5756" s="8"/>
      <c r="AF5756" s="8"/>
      <c r="AG5756" s="11"/>
    </row>
    <row r="5757" spans="1:33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  <c r="AB5757" s="7"/>
      <c r="AC5757" s="7"/>
      <c r="AD5757" s="8"/>
      <c r="AE5757" s="8"/>
      <c r="AF5757" s="8"/>
      <c r="AG5757" s="11"/>
    </row>
    <row r="5758" spans="1:33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  <c r="AB5758" s="7"/>
      <c r="AC5758" s="7"/>
      <c r="AD5758" s="8"/>
      <c r="AE5758" s="8"/>
      <c r="AF5758" s="8"/>
      <c r="AG5758" s="11"/>
    </row>
    <row r="5759" spans="1:33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  <c r="AB5759" s="7"/>
      <c r="AC5759" s="7"/>
      <c r="AD5759" s="8"/>
      <c r="AE5759" s="8"/>
      <c r="AF5759" s="8"/>
      <c r="AG5759" s="11"/>
    </row>
    <row r="5760" spans="1:33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  <c r="AB5760" s="7"/>
      <c r="AC5760" s="7"/>
      <c r="AD5760" s="8"/>
      <c r="AE5760" s="8"/>
      <c r="AF5760" s="8"/>
      <c r="AG5760" s="11"/>
    </row>
    <row r="5761" spans="1:33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  <c r="AB5761" s="7"/>
      <c r="AC5761" s="7"/>
      <c r="AD5761" s="8"/>
      <c r="AE5761" s="8"/>
      <c r="AF5761" s="8"/>
      <c r="AG5761" s="11"/>
    </row>
    <row r="5762" spans="1:33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  <c r="AB5762" s="7"/>
      <c r="AC5762" s="7"/>
      <c r="AD5762" s="8"/>
      <c r="AE5762" s="8"/>
      <c r="AF5762" s="8"/>
      <c r="AG5762" s="11"/>
    </row>
    <row r="5763" spans="1:33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  <c r="AB5763" s="7"/>
      <c r="AC5763" s="7"/>
      <c r="AD5763" s="8"/>
      <c r="AE5763" s="8"/>
      <c r="AF5763" s="8"/>
      <c r="AG5763" s="11"/>
    </row>
    <row r="5764" spans="1:33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  <c r="AB5764" s="7"/>
      <c r="AC5764" s="7"/>
      <c r="AD5764" s="8"/>
      <c r="AE5764" s="8"/>
      <c r="AF5764" s="8"/>
      <c r="AG5764" s="11"/>
    </row>
    <row r="5765" spans="1:33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  <c r="AB5765" s="7"/>
      <c r="AC5765" s="7"/>
      <c r="AD5765" s="8"/>
      <c r="AE5765" s="8"/>
      <c r="AF5765" s="8"/>
      <c r="AG5765" s="11"/>
    </row>
    <row r="5766" spans="1:33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  <c r="AB5766" s="7"/>
      <c r="AC5766" s="7"/>
      <c r="AD5766" s="8"/>
      <c r="AE5766" s="8"/>
      <c r="AF5766" s="8"/>
      <c r="AG5766" s="11"/>
    </row>
    <row r="5767" spans="1:33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  <c r="AB5767" s="7"/>
      <c r="AC5767" s="7"/>
      <c r="AD5767" s="8"/>
      <c r="AE5767" s="8"/>
      <c r="AF5767" s="8"/>
      <c r="AG5767" s="11"/>
    </row>
    <row r="5768" spans="1:33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  <c r="AB5768" s="7"/>
      <c r="AC5768" s="7"/>
      <c r="AD5768" s="8"/>
      <c r="AE5768" s="8"/>
      <c r="AF5768" s="8"/>
      <c r="AG5768" s="11"/>
    </row>
    <row r="5769" spans="1:33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  <c r="AB5769" s="7"/>
      <c r="AC5769" s="7"/>
      <c r="AD5769" s="8"/>
      <c r="AE5769" s="8"/>
      <c r="AF5769" s="8"/>
      <c r="AG5769" s="11"/>
    </row>
    <row r="5770" spans="1:33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  <c r="AB5770" s="7"/>
      <c r="AC5770" s="7"/>
      <c r="AD5770" s="8"/>
      <c r="AE5770" s="8"/>
      <c r="AF5770" s="8"/>
      <c r="AG5770" s="11"/>
    </row>
    <row r="5771" spans="1:33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  <c r="AB5771" s="7"/>
      <c r="AC5771" s="7"/>
      <c r="AD5771" s="8"/>
      <c r="AE5771" s="8"/>
      <c r="AF5771" s="8"/>
      <c r="AG5771" s="11"/>
    </row>
    <row r="5772" spans="1:33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  <c r="AB5772" s="7"/>
      <c r="AC5772" s="7"/>
      <c r="AD5772" s="8"/>
      <c r="AE5772" s="8"/>
      <c r="AF5772" s="8"/>
      <c r="AG5772" s="11"/>
    </row>
    <row r="5773" spans="1:33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  <c r="AB5773" s="7"/>
      <c r="AC5773" s="7"/>
      <c r="AD5773" s="8"/>
      <c r="AE5773" s="8"/>
      <c r="AF5773" s="8"/>
      <c r="AG5773" s="11"/>
    </row>
    <row r="5774" spans="1:33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  <c r="AB5774" s="7"/>
      <c r="AC5774" s="7"/>
      <c r="AD5774" s="8"/>
      <c r="AE5774" s="8"/>
      <c r="AF5774" s="8"/>
      <c r="AG5774" s="11"/>
    </row>
    <row r="5775" spans="1:33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  <c r="AB5775" s="7"/>
      <c r="AC5775" s="7"/>
      <c r="AD5775" s="8"/>
      <c r="AE5775" s="8"/>
      <c r="AF5775" s="8"/>
      <c r="AG5775" s="11"/>
    </row>
    <row r="5776" spans="1:33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  <c r="AB5776" s="7"/>
      <c r="AC5776" s="7"/>
      <c r="AD5776" s="8"/>
      <c r="AE5776" s="8"/>
      <c r="AF5776" s="8"/>
      <c r="AG5776" s="11"/>
    </row>
    <row r="5777" spans="1:33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  <c r="AB5777" s="7"/>
      <c r="AC5777" s="7"/>
      <c r="AD5777" s="8"/>
      <c r="AE5777" s="8"/>
      <c r="AF5777" s="8"/>
      <c r="AG5777" s="11"/>
    </row>
    <row r="5778" spans="1:33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  <c r="AB5778" s="7"/>
      <c r="AC5778" s="7"/>
      <c r="AD5778" s="8"/>
      <c r="AE5778" s="8"/>
      <c r="AF5778" s="8"/>
      <c r="AG5778" s="11"/>
    </row>
    <row r="5779" spans="1:33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  <c r="AB5779" s="7"/>
      <c r="AC5779" s="7"/>
      <c r="AD5779" s="8"/>
      <c r="AE5779" s="8"/>
      <c r="AF5779" s="8"/>
      <c r="AG5779" s="11"/>
    </row>
    <row r="5780" spans="1:33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  <c r="AB5780" s="7"/>
      <c r="AC5780" s="7"/>
      <c r="AD5780" s="8"/>
      <c r="AE5780" s="8"/>
      <c r="AF5780" s="8"/>
      <c r="AG5780" s="11"/>
    </row>
    <row r="5781" spans="1:33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  <c r="AB5781" s="7"/>
      <c r="AC5781" s="7"/>
      <c r="AD5781" s="8"/>
      <c r="AE5781" s="8"/>
      <c r="AF5781" s="8"/>
      <c r="AG5781" s="11"/>
    </row>
    <row r="5782" spans="1:33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  <c r="AB5782" s="7"/>
      <c r="AC5782" s="7"/>
      <c r="AD5782" s="8"/>
      <c r="AE5782" s="8"/>
      <c r="AF5782" s="8"/>
      <c r="AG5782" s="11"/>
    </row>
    <row r="5783" spans="1:33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  <c r="AB5783" s="7"/>
      <c r="AC5783" s="7"/>
      <c r="AD5783" s="8"/>
      <c r="AE5783" s="8"/>
      <c r="AF5783" s="8"/>
      <c r="AG5783" s="11"/>
    </row>
    <row r="5784" spans="1:33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  <c r="AB5784" s="7"/>
      <c r="AC5784" s="7"/>
      <c r="AD5784" s="8"/>
      <c r="AE5784" s="8"/>
      <c r="AF5784" s="8"/>
      <c r="AG5784" s="11"/>
    </row>
    <row r="5785" spans="1:33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  <c r="AB5785" s="7"/>
      <c r="AC5785" s="7"/>
      <c r="AD5785" s="8"/>
      <c r="AE5785" s="8"/>
      <c r="AF5785" s="8"/>
      <c r="AG5785" s="11"/>
    </row>
    <row r="5786" spans="1:33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  <c r="AB5786" s="7"/>
      <c r="AC5786" s="7"/>
      <c r="AD5786" s="8"/>
      <c r="AE5786" s="8"/>
      <c r="AF5786" s="8"/>
      <c r="AG5786" s="11"/>
    </row>
    <row r="5787" spans="1:33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  <c r="AB5787" s="7"/>
      <c r="AC5787" s="7"/>
      <c r="AD5787" s="8"/>
      <c r="AE5787" s="8"/>
      <c r="AF5787" s="8"/>
      <c r="AG5787" s="11"/>
    </row>
    <row r="5788" spans="1:33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  <c r="AB5788" s="7"/>
      <c r="AC5788" s="7"/>
      <c r="AD5788" s="8"/>
      <c r="AE5788" s="8"/>
      <c r="AF5788" s="8"/>
      <c r="AG5788" s="11"/>
    </row>
    <row r="5789" spans="1:33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  <c r="AB5789" s="7"/>
      <c r="AC5789" s="7"/>
      <c r="AD5789" s="8"/>
      <c r="AE5789" s="8"/>
      <c r="AF5789" s="8"/>
      <c r="AG5789" s="11"/>
    </row>
    <row r="5790" spans="1:33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  <c r="AB5790" s="7"/>
      <c r="AC5790" s="7"/>
      <c r="AD5790" s="8"/>
      <c r="AE5790" s="8"/>
      <c r="AF5790" s="8"/>
      <c r="AG5790" s="11"/>
    </row>
    <row r="5791" spans="1:33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  <c r="AB5791" s="7"/>
      <c r="AC5791" s="7"/>
      <c r="AD5791" s="8"/>
      <c r="AE5791" s="8"/>
      <c r="AF5791" s="8"/>
      <c r="AG5791" s="11"/>
    </row>
    <row r="5792" spans="1:33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  <c r="AB5792" s="7"/>
      <c r="AC5792" s="7"/>
      <c r="AD5792" s="8"/>
      <c r="AE5792" s="8"/>
      <c r="AF5792" s="8"/>
      <c r="AG5792" s="11"/>
    </row>
    <row r="5793" spans="1:33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  <c r="AB5793" s="7"/>
      <c r="AC5793" s="7"/>
      <c r="AD5793" s="8"/>
      <c r="AE5793" s="8"/>
      <c r="AF5793" s="8"/>
      <c r="AG5793" s="11"/>
    </row>
    <row r="5794" spans="1:33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  <c r="AB5794" s="7"/>
      <c r="AC5794" s="7"/>
      <c r="AD5794" s="8"/>
      <c r="AE5794" s="8"/>
      <c r="AF5794" s="8"/>
      <c r="AG5794" s="11"/>
    </row>
    <row r="5795" spans="1:33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  <c r="AB5795" s="7"/>
      <c r="AC5795" s="7"/>
      <c r="AD5795" s="8"/>
      <c r="AE5795" s="8"/>
      <c r="AF5795" s="8"/>
      <c r="AG5795" s="11"/>
    </row>
    <row r="5796" spans="1:33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  <c r="AB5796" s="7"/>
      <c r="AC5796" s="7"/>
      <c r="AD5796" s="8"/>
      <c r="AE5796" s="8"/>
      <c r="AF5796" s="8"/>
      <c r="AG5796" s="11"/>
    </row>
    <row r="5797" spans="1:33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  <c r="AB5797" s="7"/>
      <c r="AC5797" s="7"/>
      <c r="AD5797" s="8"/>
      <c r="AE5797" s="8"/>
      <c r="AF5797" s="8"/>
      <c r="AG5797" s="11"/>
    </row>
    <row r="5798" spans="1:33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  <c r="AB5798" s="7"/>
      <c r="AC5798" s="7"/>
      <c r="AD5798" s="8"/>
      <c r="AE5798" s="8"/>
      <c r="AF5798" s="8"/>
      <c r="AG5798" s="11"/>
    </row>
    <row r="5799" spans="1:33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  <c r="AB5799" s="7"/>
      <c r="AC5799" s="7"/>
      <c r="AD5799" s="8"/>
      <c r="AE5799" s="8"/>
      <c r="AF5799" s="8"/>
      <c r="AG5799" s="11"/>
    </row>
    <row r="5800" spans="1:33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  <c r="AB5800" s="7"/>
      <c r="AC5800" s="7"/>
      <c r="AD5800" s="8"/>
      <c r="AE5800" s="8"/>
      <c r="AF5800" s="8"/>
      <c r="AG5800" s="11"/>
    </row>
    <row r="5801" spans="1:33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  <c r="AB5801" s="7"/>
      <c r="AC5801" s="7"/>
      <c r="AD5801" s="8"/>
      <c r="AE5801" s="8"/>
      <c r="AF5801" s="8"/>
      <c r="AG5801" s="11"/>
    </row>
    <row r="5802" spans="1:33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  <c r="AB5802" s="7"/>
      <c r="AC5802" s="7"/>
      <c r="AD5802" s="8"/>
      <c r="AE5802" s="8"/>
      <c r="AF5802" s="8"/>
      <c r="AG5802" s="11"/>
    </row>
    <row r="5803" spans="1:33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  <c r="AB5803" s="7"/>
      <c r="AC5803" s="7"/>
      <c r="AD5803" s="8"/>
      <c r="AE5803" s="8"/>
      <c r="AF5803" s="8"/>
      <c r="AG5803" s="11"/>
    </row>
    <row r="5804" spans="1:33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  <c r="AB5804" s="7"/>
      <c r="AC5804" s="7"/>
      <c r="AD5804" s="8"/>
      <c r="AE5804" s="8"/>
      <c r="AF5804" s="8"/>
      <c r="AG5804" s="11"/>
    </row>
    <row r="5805" spans="1:33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  <c r="AB5805" s="7"/>
      <c r="AC5805" s="7"/>
      <c r="AD5805" s="8"/>
      <c r="AE5805" s="8"/>
      <c r="AF5805" s="8"/>
      <c r="AG5805" s="11"/>
    </row>
    <row r="5806" spans="1:33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  <c r="AB5806" s="7"/>
      <c r="AC5806" s="7"/>
      <c r="AD5806" s="8"/>
      <c r="AE5806" s="8"/>
      <c r="AF5806" s="8"/>
      <c r="AG5806" s="11"/>
    </row>
    <row r="5807" spans="1:33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  <c r="AB5807" s="7"/>
      <c r="AC5807" s="7"/>
      <c r="AD5807" s="8"/>
      <c r="AE5807" s="8"/>
      <c r="AF5807" s="8"/>
      <c r="AG5807" s="11"/>
    </row>
    <row r="5808" spans="1:33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  <c r="AB5808" s="7"/>
      <c r="AC5808" s="7"/>
      <c r="AD5808" s="8"/>
      <c r="AE5808" s="8"/>
      <c r="AF5808" s="8"/>
      <c r="AG5808" s="11"/>
    </row>
    <row r="5809" spans="1:33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  <c r="AB5809" s="7"/>
      <c r="AC5809" s="7"/>
      <c r="AD5809" s="8"/>
      <c r="AE5809" s="8"/>
      <c r="AF5809" s="8"/>
      <c r="AG5809" s="11"/>
    </row>
    <row r="5810" spans="1:33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  <c r="AB5810" s="7"/>
      <c r="AC5810" s="7"/>
      <c r="AD5810" s="8"/>
      <c r="AE5810" s="8"/>
      <c r="AF5810" s="8"/>
      <c r="AG5810" s="11"/>
    </row>
    <row r="5811" spans="1:33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  <c r="AB5811" s="7"/>
      <c r="AC5811" s="7"/>
      <c r="AD5811" s="8"/>
      <c r="AE5811" s="8"/>
      <c r="AF5811" s="8"/>
      <c r="AG5811" s="11"/>
    </row>
    <row r="5812" spans="1:33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  <c r="AB5812" s="7"/>
      <c r="AC5812" s="7"/>
      <c r="AD5812" s="8"/>
      <c r="AE5812" s="8"/>
      <c r="AF5812" s="8"/>
      <c r="AG5812" s="11"/>
    </row>
    <row r="5813" spans="1:33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  <c r="AB5813" s="7"/>
      <c r="AC5813" s="7"/>
      <c r="AD5813" s="8"/>
      <c r="AE5813" s="8"/>
      <c r="AF5813" s="8"/>
      <c r="AG5813" s="11"/>
    </row>
    <row r="5814" spans="1:33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  <c r="AB5814" s="7"/>
      <c r="AC5814" s="7"/>
      <c r="AD5814" s="8"/>
      <c r="AE5814" s="8"/>
      <c r="AF5814" s="8"/>
      <c r="AG5814" s="11"/>
    </row>
    <row r="5815" spans="1:33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  <c r="AB5815" s="7"/>
      <c r="AC5815" s="7"/>
      <c r="AD5815" s="8"/>
      <c r="AE5815" s="8"/>
      <c r="AF5815" s="8"/>
      <c r="AG5815" s="11"/>
    </row>
    <row r="5816" spans="1:33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  <c r="AB5816" s="7"/>
      <c r="AC5816" s="7"/>
      <c r="AD5816" s="8"/>
      <c r="AE5816" s="8"/>
      <c r="AF5816" s="8"/>
      <c r="AG5816" s="11"/>
    </row>
    <row r="5817" spans="1:33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  <c r="AB5817" s="7"/>
      <c r="AC5817" s="7"/>
      <c r="AD5817" s="8"/>
      <c r="AE5817" s="8"/>
      <c r="AF5817" s="8"/>
      <c r="AG5817" s="11"/>
    </row>
    <row r="5818" spans="1:33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  <c r="AB5818" s="7"/>
      <c r="AC5818" s="7"/>
      <c r="AD5818" s="8"/>
      <c r="AE5818" s="8"/>
      <c r="AF5818" s="8"/>
      <c r="AG5818" s="11"/>
    </row>
    <row r="5819" spans="1:33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  <c r="AB5819" s="7"/>
      <c r="AC5819" s="7"/>
      <c r="AD5819" s="8"/>
      <c r="AE5819" s="8"/>
      <c r="AF5819" s="8"/>
      <c r="AG5819" s="11"/>
    </row>
    <row r="5820" spans="1:33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  <c r="AB5820" s="7"/>
      <c r="AC5820" s="7"/>
      <c r="AD5820" s="8"/>
      <c r="AE5820" s="8"/>
      <c r="AF5820" s="8"/>
      <c r="AG5820" s="11"/>
    </row>
    <row r="5821" spans="1:33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  <c r="AB5821" s="7"/>
      <c r="AC5821" s="7"/>
      <c r="AD5821" s="8"/>
      <c r="AE5821" s="8"/>
      <c r="AF5821" s="8"/>
      <c r="AG5821" s="11"/>
    </row>
    <row r="5822" spans="1:33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  <c r="AB5822" s="7"/>
      <c r="AC5822" s="7"/>
      <c r="AD5822" s="8"/>
      <c r="AE5822" s="8"/>
      <c r="AF5822" s="8"/>
      <c r="AG5822" s="11"/>
    </row>
    <row r="5823" spans="1:33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  <c r="AB5823" s="7"/>
      <c r="AC5823" s="7"/>
      <c r="AD5823" s="8"/>
      <c r="AE5823" s="8"/>
      <c r="AF5823" s="8"/>
      <c r="AG5823" s="11"/>
    </row>
    <row r="5824" spans="1:33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  <c r="AB5824" s="7"/>
      <c r="AC5824" s="7"/>
      <c r="AD5824" s="8"/>
      <c r="AE5824" s="8"/>
      <c r="AF5824" s="8"/>
      <c r="AG5824" s="11"/>
    </row>
    <row r="5825" spans="1:33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  <c r="AB5825" s="7"/>
      <c r="AC5825" s="7"/>
      <c r="AD5825" s="8"/>
      <c r="AE5825" s="8"/>
      <c r="AF5825" s="8"/>
      <c r="AG5825" s="11"/>
    </row>
    <row r="5826" spans="1:33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  <c r="AB5826" s="7"/>
      <c r="AC5826" s="7"/>
      <c r="AD5826" s="8"/>
      <c r="AE5826" s="8"/>
      <c r="AF5826" s="8"/>
      <c r="AG5826" s="11"/>
    </row>
    <row r="5827" spans="1:33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  <c r="AB5827" s="7"/>
      <c r="AC5827" s="7"/>
      <c r="AD5827" s="8"/>
      <c r="AE5827" s="8"/>
      <c r="AF5827" s="8"/>
      <c r="AG5827" s="11"/>
    </row>
    <row r="5828" spans="1:33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  <c r="AB5828" s="7"/>
      <c r="AC5828" s="7"/>
      <c r="AD5828" s="8"/>
      <c r="AE5828" s="8"/>
      <c r="AF5828" s="8"/>
      <c r="AG5828" s="11"/>
    </row>
    <row r="5829" spans="1:33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  <c r="AB5829" s="7"/>
      <c r="AC5829" s="7"/>
      <c r="AD5829" s="8"/>
      <c r="AE5829" s="8"/>
      <c r="AF5829" s="8"/>
      <c r="AG5829" s="11"/>
    </row>
    <row r="5830" spans="1:33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  <c r="AB5830" s="7"/>
      <c r="AC5830" s="7"/>
      <c r="AD5830" s="8"/>
      <c r="AE5830" s="8"/>
      <c r="AF5830" s="8"/>
      <c r="AG5830" s="11"/>
    </row>
    <row r="5831" spans="1:33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  <c r="AB5831" s="7"/>
      <c r="AC5831" s="7"/>
      <c r="AD5831" s="8"/>
      <c r="AE5831" s="8"/>
      <c r="AF5831" s="8"/>
      <c r="AG5831" s="11"/>
    </row>
    <row r="5832" spans="1:33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  <c r="AB5832" s="7"/>
      <c r="AC5832" s="7"/>
      <c r="AD5832" s="8"/>
      <c r="AE5832" s="8"/>
      <c r="AF5832" s="8"/>
      <c r="AG5832" s="11"/>
    </row>
    <row r="5833" spans="1:33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  <c r="AB5833" s="7"/>
      <c r="AC5833" s="7"/>
      <c r="AD5833" s="8"/>
      <c r="AE5833" s="8"/>
      <c r="AF5833" s="8"/>
      <c r="AG5833" s="11"/>
    </row>
    <row r="5834" spans="1:33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  <c r="AB5834" s="7"/>
      <c r="AC5834" s="7"/>
      <c r="AD5834" s="8"/>
      <c r="AE5834" s="8"/>
      <c r="AF5834" s="8"/>
      <c r="AG5834" s="11"/>
    </row>
    <row r="5835" spans="1:33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  <c r="AB5835" s="7"/>
      <c r="AC5835" s="7"/>
      <c r="AD5835" s="8"/>
      <c r="AE5835" s="8"/>
      <c r="AF5835" s="8"/>
      <c r="AG5835" s="11"/>
    </row>
    <row r="5836" spans="1:33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  <c r="AB5836" s="7"/>
      <c r="AC5836" s="7"/>
      <c r="AD5836" s="8"/>
      <c r="AE5836" s="8"/>
      <c r="AF5836" s="8"/>
      <c r="AG5836" s="11"/>
    </row>
    <row r="5837" spans="1:33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  <c r="AB5837" s="7"/>
      <c r="AC5837" s="7"/>
      <c r="AD5837" s="8"/>
      <c r="AE5837" s="8"/>
      <c r="AF5837" s="8"/>
      <c r="AG5837" s="11"/>
    </row>
    <row r="5838" spans="1:33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  <c r="AB5838" s="7"/>
      <c r="AC5838" s="7"/>
      <c r="AD5838" s="8"/>
      <c r="AE5838" s="8"/>
      <c r="AF5838" s="8"/>
      <c r="AG5838" s="11"/>
    </row>
    <row r="5839" spans="1:33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  <c r="AB5839" s="7"/>
      <c r="AC5839" s="7"/>
      <c r="AD5839" s="8"/>
      <c r="AE5839" s="8"/>
      <c r="AF5839" s="8"/>
      <c r="AG5839" s="11"/>
    </row>
    <row r="5840" spans="1:33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  <c r="AB5840" s="7"/>
      <c r="AC5840" s="7"/>
      <c r="AD5840" s="8"/>
      <c r="AE5840" s="8"/>
      <c r="AF5840" s="8"/>
      <c r="AG5840" s="11"/>
    </row>
    <row r="5841" spans="1:33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  <c r="AB5841" s="7"/>
      <c r="AC5841" s="7"/>
      <c r="AD5841" s="8"/>
      <c r="AE5841" s="8"/>
      <c r="AF5841" s="8"/>
      <c r="AG5841" s="11"/>
    </row>
    <row r="5842" spans="1:33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  <c r="AB5842" s="7"/>
      <c r="AC5842" s="7"/>
      <c r="AD5842" s="8"/>
      <c r="AE5842" s="8"/>
      <c r="AF5842" s="8"/>
      <c r="AG5842" s="11"/>
    </row>
    <row r="5843" spans="1:33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  <c r="AB5843" s="7"/>
      <c r="AC5843" s="7"/>
      <c r="AD5843" s="8"/>
      <c r="AE5843" s="8"/>
      <c r="AF5843" s="8"/>
      <c r="AG5843" s="11"/>
    </row>
    <row r="5844" spans="1:33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  <c r="AB5844" s="7"/>
      <c r="AC5844" s="7"/>
      <c r="AD5844" s="8"/>
      <c r="AE5844" s="8"/>
      <c r="AF5844" s="8"/>
      <c r="AG5844" s="11"/>
    </row>
    <row r="5845" spans="1:33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  <c r="AB5845" s="7"/>
      <c r="AC5845" s="7"/>
      <c r="AD5845" s="8"/>
      <c r="AE5845" s="8"/>
      <c r="AF5845" s="8"/>
      <c r="AG5845" s="11"/>
    </row>
    <row r="5846" spans="1:33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  <c r="AB5846" s="7"/>
      <c r="AC5846" s="7"/>
      <c r="AD5846" s="8"/>
      <c r="AE5846" s="8"/>
      <c r="AF5846" s="8"/>
      <c r="AG5846" s="11"/>
    </row>
    <row r="5847" spans="1:33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  <c r="AB5847" s="7"/>
      <c r="AC5847" s="7"/>
      <c r="AD5847" s="8"/>
      <c r="AE5847" s="8"/>
      <c r="AF5847" s="8"/>
      <c r="AG5847" s="11"/>
    </row>
    <row r="5848" spans="1:33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  <c r="AB5848" s="7"/>
      <c r="AC5848" s="7"/>
      <c r="AD5848" s="8"/>
      <c r="AE5848" s="8"/>
      <c r="AF5848" s="8"/>
      <c r="AG5848" s="11"/>
    </row>
    <row r="5849" spans="1:33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  <c r="AB5849" s="7"/>
      <c r="AC5849" s="7"/>
      <c r="AD5849" s="8"/>
      <c r="AE5849" s="8"/>
      <c r="AF5849" s="8"/>
      <c r="AG5849" s="11"/>
    </row>
    <row r="5850" spans="1:33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  <c r="AB5850" s="7"/>
      <c r="AC5850" s="7"/>
      <c r="AD5850" s="8"/>
      <c r="AE5850" s="8"/>
      <c r="AF5850" s="8"/>
      <c r="AG5850" s="11"/>
    </row>
    <row r="5851" spans="1:33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  <c r="AB5851" s="7"/>
      <c r="AC5851" s="7"/>
      <c r="AD5851" s="8"/>
      <c r="AE5851" s="8"/>
      <c r="AF5851" s="8"/>
      <c r="AG5851" s="11"/>
    </row>
    <row r="5852" spans="1:33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  <c r="AB5852" s="7"/>
      <c r="AC5852" s="7"/>
      <c r="AD5852" s="8"/>
      <c r="AE5852" s="8"/>
      <c r="AF5852" s="8"/>
      <c r="AG5852" s="11"/>
    </row>
    <row r="5853" spans="1:33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  <c r="AB5853" s="7"/>
      <c r="AC5853" s="7"/>
      <c r="AD5853" s="8"/>
      <c r="AE5853" s="8"/>
      <c r="AF5853" s="8"/>
      <c r="AG5853" s="11"/>
    </row>
    <row r="5854" spans="1:33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  <c r="AB5854" s="7"/>
      <c r="AC5854" s="7"/>
      <c r="AD5854" s="8"/>
      <c r="AE5854" s="8"/>
      <c r="AF5854" s="8"/>
      <c r="AG5854" s="11"/>
    </row>
    <row r="5855" spans="1:33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  <c r="AB5855" s="7"/>
      <c r="AC5855" s="7"/>
      <c r="AD5855" s="8"/>
      <c r="AE5855" s="8"/>
      <c r="AF5855" s="8"/>
      <c r="AG5855" s="11"/>
    </row>
    <row r="5856" spans="1:33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  <c r="AB5856" s="7"/>
      <c r="AC5856" s="7"/>
      <c r="AD5856" s="8"/>
      <c r="AE5856" s="8"/>
      <c r="AF5856" s="8"/>
      <c r="AG5856" s="11"/>
    </row>
    <row r="5857" spans="1:33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  <c r="AB5857" s="7"/>
      <c r="AC5857" s="7"/>
      <c r="AD5857" s="8"/>
      <c r="AE5857" s="8"/>
      <c r="AF5857" s="8"/>
      <c r="AG5857" s="11"/>
    </row>
    <row r="5858" spans="1:33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  <c r="AB5858" s="7"/>
      <c r="AC5858" s="7"/>
      <c r="AD5858" s="8"/>
      <c r="AE5858" s="8"/>
      <c r="AF5858" s="8"/>
      <c r="AG5858" s="11"/>
    </row>
    <row r="5859" spans="1:33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  <c r="AB5859" s="7"/>
      <c r="AC5859" s="7"/>
      <c r="AD5859" s="8"/>
      <c r="AE5859" s="8"/>
      <c r="AF5859" s="8"/>
      <c r="AG5859" s="11"/>
    </row>
    <row r="5860" spans="1:33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  <c r="AB5860" s="7"/>
      <c r="AC5860" s="7"/>
      <c r="AD5860" s="8"/>
      <c r="AE5860" s="8"/>
      <c r="AF5860" s="8"/>
      <c r="AG5860" s="11"/>
    </row>
    <row r="5861" spans="1:33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  <c r="AB5861" s="7"/>
      <c r="AC5861" s="7"/>
      <c r="AD5861" s="8"/>
      <c r="AE5861" s="8"/>
      <c r="AF5861" s="8"/>
      <c r="AG5861" s="11"/>
    </row>
    <row r="5862" spans="1:33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  <c r="AB5862" s="7"/>
      <c r="AC5862" s="7"/>
      <c r="AD5862" s="8"/>
      <c r="AE5862" s="8"/>
      <c r="AF5862" s="8"/>
      <c r="AG5862" s="11"/>
    </row>
    <row r="5863" spans="1:33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  <c r="AB5863" s="7"/>
      <c r="AC5863" s="7"/>
      <c r="AD5863" s="8"/>
      <c r="AE5863" s="8"/>
      <c r="AF5863" s="8"/>
      <c r="AG5863" s="11"/>
    </row>
    <row r="5864" spans="1:33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  <c r="AB5864" s="7"/>
      <c r="AC5864" s="7"/>
      <c r="AD5864" s="8"/>
      <c r="AE5864" s="8"/>
      <c r="AF5864" s="8"/>
      <c r="AG5864" s="11"/>
    </row>
    <row r="5865" spans="1:33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  <c r="AB5865" s="7"/>
      <c r="AC5865" s="7"/>
      <c r="AD5865" s="8"/>
      <c r="AE5865" s="8"/>
      <c r="AF5865" s="8"/>
      <c r="AG5865" s="11"/>
    </row>
    <row r="5866" spans="1:33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  <c r="AB5866" s="7"/>
      <c r="AC5866" s="7"/>
      <c r="AD5866" s="8"/>
      <c r="AE5866" s="8"/>
      <c r="AF5866" s="8"/>
      <c r="AG5866" s="11"/>
    </row>
    <row r="5867" spans="1:33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  <c r="AB5867" s="7"/>
      <c r="AC5867" s="7"/>
      <c r="AD5867" s="8"/>
      <c r="AE5867" s="8"/>
      <c r="AF5867" s="8"/>
      <c r="AG5867" s="11"/>
    </row>
    <row r="5868" spans="1:33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  <c r="AB5868" s="7"/>
      <c r="AC5868" s="7"/>
      <c r="AD5868" s="8"/>
      <c r="AE5868" s="8"/>
      <c r="AF5868" s="8"/>
      <c r="AG5868" s="11"/>
    </row>
    <row r="5869" spans="1:33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  <c r="AB5869" s="7"/>
      <c r="AC5869" s="7"/>
      <c r="AD5869" s="8"/>
      <c r="AE5869" s="8"/>
      <c r="AF5869" s="8"/>
      <c r="AG5869" s="11"/>
    </row>
    <row r="5870" spans="1:33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  <c r="AB5870" s="7"/>
      <c r="AC5870" s="7"/>
      <c r="AD5870" s="8"/>
      <c r="AE5870" s="8"/>
      <c r="AF5870" s="8"/>
      <c r="AG5870" s="11"/>
    </row>
    <row r="5871" spans="1:33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  <c r="AB5871" s="7"/>
      <c r="AC5871" s="7"/>
      <c r="AD5871" s="8"/>
      <c r="AE5871" s="8"/>
      <c r="AF5871" s="8"/>
      <c r="AG5871" s="11"/>
    </row>
    <row r="5872" spans="1:33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  <c r="AB5872" s="7"/>
      <c r="AC5872" s="7"/>
      <c r="AD5872" s="8"/>
      <c r="AE5872" s="8"/>
      <c r="AF5872" s="8"/>
      <c r="AG5872" s="11"/>
    </row>
    <row r="5873" spans="1:33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  <c r="AB5873" s="7"/>
      <c r="AC5873" s="7"/>
      <c r="AD5873" s="8"/>
      <c r="AE5873" s="8"/>
      <c r="AF5873" s="8"/>
      <c r="AG5873" s="11"/>
    </row>
    <row r="5874" spans="1:33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  <c r="AB5874" s="7"/>
      <c r="AC5874" s="7"/>
      <c r="AD5874" s="8"/>
      <c r="AE5874" s="8"/>
      <c r="AF5874" s="8"/>
      <c r="AG5874" s="11"/>
    </row>
    <row r="5875" spans="1:33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  <c r="AB5875" s="7"/>
      <c r="AC5875" s="7"/>
      <c r="AD5875" s="8"/>
      <c r="AE5875" s="8"/>
      <c r="AF5875" s="8"/>
      <c r="AG5875" s="11"/>
    </row>
    <row r="5876" spans="1:33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  <c r="AB5876" s="7"/>
      <c r="AC5876" s="7"/>
      <c r="AD5876" s="8"/>
      <c r="AE5876" s="8"/>
      <c r="AF5876" s="8"/>
      <c r="AG5876" s="11"/>
    </row>
    <row r="5877" spans="1:33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  <c r="AB5877" s="7"/>
      <c r="AC5877" s="7"/>
      <c r="AD5877" s="8"/>
      <c r="AE5877" s="8"/>
      <c r="AF5877" s="8"/>
      <c r="AG5877" s="11"/>
    </row>
    <row r="5878" spans="1:33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  <c r="AB5878" s="7"/>
      <c r="AC5878" s="7"/>
      <c r="AD5878" s="8"/>
      <c r="AE5878" s="8"/>
      <c r="AF5878" s="8"/>
      <c r="AG5878" s="11"/>
    </row>
    <row r="5879" spans="1:33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  <c r="AB5879" s="7"/>
      <c r="AC5879" s="7"/>
      <c r="AD5879" s="8"/>
      <c r="AE5879" s="8"/>
      <c r="AF5879" s="8"/>
      <c r="AG5879" s="11"/>
    </row>
    <row r="5880" spans="1:33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  <c r="AB5880" s="7"/>
      <c r="AC5880" s="7"/>
      <c r="AD5880" s="8"/>
      <c r="AE5880" s="8"/>
      <c r="AF5880" s="8"/>
      <c r="AG5880" s="11"/>
    </row>
    <row r="5881" spans="1:33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  <c r="AB5881" s="7"/>
      <c r="AC5881" s="7"/>
      <c r="AD5881" s="8"/>
      <c r="AE5881" s="8"/>
      <c r="AF5881" s="8"/>
      <c r="AG5881" s="11"/>
    </row>
    <row r="5882" spans="1:33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  <c r="AB5882" s="7"/>
      <c r="AC5882" s="7"/>
      <c r="AD5882" s="8"/>
      <c r="AE5882" s="8"/>
      <c r="AF5882" s="8"/>
      <c r="AG5882" s="11"/>
    </row>
    <row r="5883" spans="1:33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  <c r="AB5883" s="7"/>
      <c r="AC5883" s="7"/>
      <c r="AD5883" s="8"/>
      <c r="AE5883" s="8"/>
      <c r="AF5883" s="8"/>
      <c r="AG5883" s="11"/>
    </row>
    <row r="5884" spans="1:33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  <c r="AB5884" s="7"/>
      <c r="AC5884" s="7"/>
      <c r="AD5884" s="8"/>
      <c r="AE5884" s="8"/>
      <c r="AF5884" s="8"/>
      <c r="AG5884" s="11"/>
    </row>
    <row r="5885" spans="1:33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  <c r="AB5885" s="7"/>
      <c r="AC5885" s="7"/>
      <c r="AD5885" s="8"/>
      <c r="AE5885" s="8"/>
      <c r="AF5885" s="8"/>
      <c r="AG5885" s="11"/>
    </row>
    <row r="5886" spans="1:33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  <c r="AB5886" s="7"/>
      <c r="AC5886" s="7"/>
      <c r="AD5886" s="8"/>
      <c r="AE5886" s="8"/>
      <c r="AF5886" s="8"/>
      <c r="AG5886" s="11"/>
    </row>
    <row r="5887" spans="1:33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  <c r="AB5887" s="7"/>
      <c r="AC5887" s="7"/>
      <c r="AD5887" s="8"/>
      <c r="AE5887" s="8"/>
      <c r="AF5887" s="8"/>
      <c r="AG5887" s="11"/>
    </row>
    <row r="5888" spans="1:33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  <c r="AB5888" s="7"/>
      <c r="AC5888" s="7"/>
      <c r="AD5888" s="8"/>
      <c r="AE5888" s="8"/>
      <c r="AF5888" s="8"/>
      <c r="AG5888" s="11"/>
    </row>
    <row r="5889" spans="1:33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  <c r="AB5889" s="7"/>
      <c r="AC5889" s="7"/>
      <c r="AD5889" s="8"/>
      <c r="AE5889" s="8"/>
      <c r="AF5889" s="8"/>
      <c r="AG5889" s="11"/>
    </row>
    <row r="5890" spans="1:33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  <c r="AB5890" s="7"/>
      <c r="AC5890" s="7"/>
      <c r="AD5890" s="8"/>
      <c r="AE5890" s="8"/>
      <c r="AF5890" s="8"/>
      <c r="AG5890" s="11"/>
    </row>
    <row r="5891" spans="1:33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  <c r="AB5891" s="7"/>
      <c r="AC5891" s="7"/>
      <c r="AD5891" s="8"/>
      <c r="AE5891" s="8"/>
      <c r="AF5891" s="8"/>
      <c r="AG5891" s="11"/>
    </row>
    <row r="5892" spans="1:33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  <c r="AB5892" s="7"/>
      <c r="AC5892" s="7"/>
      <c r="AD5892" s="8"/>
      <c r="AE5892" s="8"/>
      <c r="AF5892" s="8"/>
      <c r="AG5892" s="11"/>
    </row>
    <row r="5893" spans="1:33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  <c r="AB5893" s="7"/>
      <c r="AC5893" s="7"/>
      <c r="AD5893" s="8"/>
      <c r="AE5893" s="8"/>
      <c r="AF5893" s="8"/>
      <c r="AG5893" s="11"/>
    </row>
    <row r="5894" spans="1:33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  <c r="AB5894" s="7"/>
      <c r="AC5894" s="7"/>
      <c r="AD5894" s="8"/>
      <c r="AE5894" s="8"/>
      <c r="AF5894" s="8"/>
      <c r="AG5894" s="11"/>
    </row>
    <row r="5895" spans="1:33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  <c r="AB5895" s="7"/>
      <c r="AC5895" s="7"/>
      <c r="AD5895" s="8"/>
      <c r="AE5895" s="8"/>
      <c r="AF5895" s="8"/>
      <c r="AG5895" s="11"/>
    </row>
    <row r="5896" spans="1:33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  <c r="AB5896" s="7"/>
      <c r="AC5896" s="7"/>
      <c r="AD5896" s="8"/>
      <c r="AE5896" s="8"/>
      <c r="AF5896" s="8"/>
      <c r="AG5896" s="11"/>
    </row>
    <row r="5897" spans="1:33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  <c r="AB5897" s="7"/>
      <c r="AC5897" s="7"/>
      <c r="AD5897" s="8"/>
      <c r="AE5897" s="8"/>
      <c r="AF5897" s="8"/>
      <c r="AG5897" s="11"/>
    </row>
    <row r="5898" spans="1:33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  <c r="AB5898" s="7"/>
      <c r="AC5898" s="7"/>
      <c r="AD5898" s="8"/>
      <c r="AE5898" s="8"/>
      <c r="AF5898" s="8"/>
      <c r="AG5898" s="11"/>
    </row>
    <row r="5899" spans="1:33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  <c r="AB5899" s="7"/>
      <c r="AC5899" s="7"/>
      <c r="AD5899" s="8"/>
      <c r="AE5899" s="8"/>
      <c r="AF5899" s="8"/>
      <c r="AG5899" s="11"/>
    </row>
    <row r="5900" spans="1:33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  <c r="AB5900" s="7"/>
      <c r="AC5900" s="7"/>
      <c r="AD5900" s="8"/>
      <c r="AE5900" s="8"/>
      <c r="AF5900" s="8"/>
      <c r="AG5900" s="11"/>
    </row>
    <row r="5901" spans="1:33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  <c r="AB5901" s="7"/>
      <c r="AC5901" s="7"/>
      <c r="AD5901" s="8"/>
      <c r="AE5901" s="8"/>
      <c r="AF5901" s="8"/>
      <c r="AG5901" s="11"/>
    </row>
    <row r="5902" spans="1:33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  <c r="AB5902" s="7"/>
      <c r="AC5902" s="7"/>
      <c r="AD5902" s="8"/>
      <c r="AE5902" s="8"/>
      <c r="AF5902" s="8"/>
      <c r="AG5902" s="11"/>
    </row>
    <row r="5903" spans="1:33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  <c r="AB5903" s="7"/>
      <c r="AC5903" s="7"/>
      <c r="AD5903" s="8"/>
      <c r="AE5903" s="8"/>
      <c r="AF5903" s="8"/>
      <c r="AG5903" s="11"/>
    </row>
    <row r="5904" spans="1:33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  <c r="AB5904" s="7"/>
      <c r="AC5904" s="7"/>
      <c r="AD5904" s="8"/>
      <c r="AE5904" s="8"/>
      <c r="AF5904" s="8"/>
      <c r="AG5904" s="11"/>
    </row>
    <row r="5905" spans="1:33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  <c r="AB5905" s="7"/>
      <c r="AC5905" s="7"/>
      <c r="AD5905" s="8"/>
      <c r="AE5905" s="8"/>
      <c r="AF5905" s="8"/>
      <c r="AG5905" s="11"/>
    </row>
    <row r="5906" spans="1:33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  <c r="AB5906" s="7"/>
      <c r="AC5906" s="7"/>
      <c r="AD5906" s="8"/>
      <c r="AE5906" s="8"/>
      <c r="AF5906" s="8"/>
      <c r="AG5906" s="11"/>
    </row>
    <row r="5907" spans="1:33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  <c r="AB5907" s="7"/>
      <c r="AC5907" s="7"/>
      <c r="AD5907" s="8"/>
      <c r="AE5907" s="8"/>
      <c r="AF5907" s="8"/>
      <c r="AG5907" s="11"/>
    </row>
    <row r="5908" spans="1:33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  <c r="AB5908" s="7"/>
      <c r="AC5908" s="7"/>
      <c r="AD5908" s="8"/>
      <c r="AE5908" s="8"/>
      <c r="AF5908" s="8"/>
      <c r="AG5908" s="11"/>
    </row>
    <row r="5909" spans="1:33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  <c r="AB5909" s="7"/>
      <c r="AC5909" s="7"/>
      <c r="AD5909" s="8"/>
      <c r="AE5909" s="8"/>
      <c r="AF5909" s="8"/>
      <c r="AG5909" s="11"/>
    </row>
    <row r="5910" spans="1:33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  <c r="AB5910" s="7"/>
      <c r="AC5910" s="7"/>
      <c r="AD5910" s="8"/>
      <c r="AE5910" s="8"/>
      <c r="AF5910" s="8"/>
      <c r="AG5910" s="11"/>
    </row>
    <row r="5911" spans="1:33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  <c r="AB5911" s="7"/>
      <c r="AC5911" s="7"/>
      <c r="AD5911" s="8"/>
      <c r="AE5911" s="8"/>
      <c r="AF5911" s="8"/>
      <c r="AG5911" s="11"/>
    </row>
    <row r="5912" spans="1:33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  <c r="AB5912" s="7"/>
      <c r="AC5912" s="7"/>
      <c r="AD5912" s="8"/>
      <c r="AE5912" s="8"/>
      <c r="AF5912" s="8"/>
      <c r="AG5912" s="11"/>
    </row>
    <row r="5913" spans="1:33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  <c r="AB5913" s="7"/>
      <c r="AC5913" s="7"/>
      <c r="AD5913" s="8"/>
      <c r="AE5913" s="8"/>
      <c r="AF5913" s="8"/>
      <c r="AG5913" s="11"/>
    </row>
    <row r="5914" spans="1:33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  <c r="AB5914" s="7"/>
      <c r="AC5914" s="7"/>
      <c r="AD5914" s="8"/>
      <c r="AE5914" s="8"/>
      <c r="AF5914" s="8"/>
      <c r="AG5914" s="11"/>
    </row>
    <row r="5915" spans="1:33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  <c r="AB5915" s="7"/>
      <c r="AC5915" s="7"/>
      <c r="AD5915" s="8"/>
      <c r="AE5915" s="8"/>
      <c r="AF5915" s="8"/>
      <c r="AG5915" s="11"/>
    </row>
    <row r="5916" spans="1:33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  <c r="AB5916" s="7"/>
      <c r="AC5916" s="7"/>
      <c r="AD5916" s="8"/>
      <c r="AE5916" s="8"/>
      <c r="AF5916" s="8"/>
      <c r="AG5916" s="11"/>
    </row>
    <row r="5917" spans="1:33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  <c r="AB5917" s="7"/>
      <c r="AC5917" s="7"/>
      <c r="AD5917" s="8"/>
      <c r="AE5917" s="8"/>
      <c r="AF5917" s="8"/>
      <c r="AG5917" s="11"/>
    </row>
    <row r="5918" spans="1:33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  <c r="AB5918" s="7"/>
      <c r="AC5918" s="7"/>
      <c r="AD5918" s="8"/>
      <c r="AE5918" s="8"/>
      <c r="AF5918" s="8"/>
      <c r="AG5918" s="11"/>
    </row>
    <row r="5919" spans="1:33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  <c r="AB5919" s="7"/>
      <c r="AC5919" s="7"/>
      <c r="AD5919" s="8"/>
      <c r="AE5919" s="8"/>
      <c r="AF5919" s="8"/>
      <c r="AG5919" s="11"/>
    </row>
    <row r="5920" spans="1:33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  <c r="AB5920" s="7"/>
      <c r="AC5920" s="7"/>
      <c r="AD5920" s="8"/>
      <c r="AE5920" s="8"/>
      <c r="AF5920" s="8"/>
      <c r="AG5920" s="11"/>
    </row>
    <row r="5921" spans="1:33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  <c r="AB5921" s="7"/>
      <c r="AC5921" s="7"/>
      <c r="AD5921" s="8"/>
      <c r="AE5921" s="8"/>
      <c r="AF5921" s="8"/>
      <c r="AG5921" s="11"/>
    </row>
    <row r="5922" spans="1:33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  <c r="AB5922" s="7"/>
      <c r="AC5922" s="7"/>
      <c r="AD5922" s="8"/>
      <c r="AE5922" s="8"/>
      <c r="AF5922" s="8"/>
      <c r="AG5922" s="11"/>
    </row>
    <row r="5923" spans="1:33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  <c r="AB5923" s="7"/>
      <c r="AC5923" s="7"/>
      <c r="AD5923" s="8"/>
      <c r="AE5923" s="8"/>
      <c r="AF5923" s="8"/>
      <c r="AG5923" s="11"/>
    </row>
    <row r="5924" spans="1:33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  <c r="AB5924" s="7"/>
      <c r="AC5924" s="7"/>
      <c r="AD5924" s="8"/>
      <c r="AE5924" s="8"/>
      <c r="AF5924" s="8"/>
      <c r="AG5924" s="11"/>
    </row>
    <row r="5925" spans="1:33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  <c r="AB5925" s="7"/>
      <c r="AC5925" s="7"/>
      <c r="AD5925" s="8"/>
      <c r="AE5925" s="8"/>
      <c r="AF5925" s="8"/>
      <c r="AG5925" s="11"/>
    </row>
    <row r="5926" spans="1:33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  <c r="AB5926" s="7"/>
      <c r="AC5926" s="7"/>
      <c r="AD5926" s="8"/>
      <c r="AE5926" s="8"/>
      <c r="AF5926" s="8"/>
      <c r="AG5926" s="11"/>
    </row>
    <row r="5927" spans="1:33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  <c r="AB5927" s="7"/>
      <c r="AC5927" s="7"/>
      <c r="AD5927" s="8"/>
      <c r="AE5927" s="8"/>
      <c r="AF5927" s="8"/>
      <c r="AG5927" s="11"/>
    </row>
    <row r="5928" spans="1:33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  <c r="AB5928" s="7"/>
      <c r="AC5928" s="7"/>
      <c r="AD5928" s="8"/>
      <c r="AE5928" s="8"/>
      <c r="AF5928" s="8"/>
      <c r="AG5928" s="11"/>
    </row>
    <row r="5929" spans="1:33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  <c r="AB5929" s="7"/>
      <c r="AC5929" s="7"/>
      <c r="AD5929" s="8"/>
      <c r="AE5929" s="8"/>
      <c r="AF5929" s="8"/>
      <c r="AG5929" s="11"/>
    </row>
    <row r="5930" spans="1:33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  <c r="AB5930" s="7"/>
      <c r="AC5930" s="7"/>
      <c r="AD5930" s="8"/>
      <c r="AE5930" s="8"/>
      <c r="AF5930" s="8"/>
      <c r="AG5930" s="11"/>
    </row>
    <row r="5931" spans="1:33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  <c r="AB5931" s="7"/>
      <c r="AC5931" s="7"/>
      <c r="AD5931" s="8"/>
      <c r="AE5931" s="8"/>
      <c r="AF5931" s="8"/>
      <c r="AG5931" s="11"/>
    </row>
    <row r="5932" spans="1:33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  <c r="AB5932" s="7"/>
      <c r="AC5932" s="7"/>
      <c r="AD5932" s="8"/>
      <c r="AE5932" s="8"/>
      <c r="AF5932" s="8"/>
      <c r="AG5932" s="11"/>
    </row>
    <row r="5933" spans="1:33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  <c r="AB5933" s="7"/>
      <c r="AC5933" s="7"/>
      <c r="AD5933" s="8"/>
      <c r="AE5933" s="8"/>
      <c r="AF5933" s="8"/>
      <c r="AG5933" s="11"/>
    </row>
    <row r="5934" spans="1:33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  <c r="AB5934" s="7"/>
      <c r="AC5934" s="7"/>
      <c r="AD5934" s="8"/>
      <c r="AE5934" s="8"/>
      <c r="AF5934" s="8"/>
      <c r="AG5934" s="11"/>
    </row>
    <row r="5935" spans="1:33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  <c r="AB5935" s="7"/>
      <c r="AC5935" s="7"/>
      <c r="AD5935" s="8"/>
      <c r="AE5935" s="8"/>
      <c r="AF5935" s="8"/>
      <c r="AG5935" s="11"/>
    </row>
    <row r="5936" spans="1:33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  <c r="AB5936" s="7"/>
      <c r="AC5936" s="7"/>
      <c r="AD5936" s="8"/>
      <c r="AE5936" s="8"/>
      <c r="AF5936" s="8"/>
      <c r="AG5936" s="11"/>
    </row>
    <row r="5937" spans="1:33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  <c r="AB5937" s="7"/>
      <c r="AC5937" s="7"/>
      <c r="AD5937" s="8"/>
      <c r="AE5937" s="8"/>
      <c r="AF5937" s="8"/>
      <c r="AG5937" s="11"/>
    </row>
    <row r="5938" spans="1:33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  <c r="AB5938" s="7"/>
      <c r="AC5938" s="7"/>
      <c r="AD5938" s="8"/>
      <c r="AE5938" s="8"/>
      <c r="AF5938" s="8"/>
      <c r="AG5938" s="11"/>
    </row>
    <row r="5939" spans="1:33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  <c r="AB5939" s="7"/>
      <c r="AC5939" s="7"/>
      <c r="AD5939" s="8"/>
      <c r="AE5939" s="8"/>
      <c r="AF5939" s="8"/>
      <c r="AG5939" s="11"/>
    </row>
    <row r="5940" spans="1:33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  <c r="AB5940" s="7"/>
      <c r="AC5940" s="7"/>
      <c r="AD5940" s="8"/>
      <c r="AE5940" s="8"/>
      <c r="AF5940" s="8"/>
      <c r="AG5940" s="11"/>
    </row>
    <row r="5941" spans="1:33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  <c r="AB5941" s="7"/>
      <c r="AC5941" s="7"/>
      <c r="AD5941" s="8"/>
      <c r="AE5941" s="8"/>
      <c r="AF5941" s="8"/>
      <c r="AG5941" s="11"/>
    </row>
    <row r="5942" spans="1:33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  <c r="AB5942" s="7"/>
      <c r="AC5942" s="7"/>
      <c r="AD5942" s="8"/>
      <c r="AE5942" s="8"/>
      <c r="AF5942" s="8"/>
      <c r="AG5942" s="11"/>
    </row>
    <row r="5943" spans="1:33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  <c r="AB5943" s="7"/>
      <c r="AC5943" s="7"/>
      <c r="AD5943" s="8"/>
      <c r="AE5943" s="8"/>
      <c r="AF5943" s="8"/>
      <c r="AG5943" s="11"/>
    </row>
    <row r="5944" spans="1:33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  <c r="AB5944" s="7"/>
      <c r="AC5944" s="7"/>
      <c r="AD5944" s="8"/>
      <c r="AE5944" s="8"/>
      <c r="AF5944" s="8"/>
      <c r="AG5944" s="11"/>
    </row>
    <row r="5945" spans="1:33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  <c r="AB5945" s="7"/>
      <c r="AC5945" s="7"/>
      <c r="AD5945" s="8"/>
      <c r="AE5945" s="8"/>
      <c r="AF5945" s="8"/>
      <c r="AG5945" s="11"/>
    </row>
    <row r="5946" spans="1:33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  <c r="AB5946" s="7"/>
      <c r="AC5946" s="7"/>
      <c r="AD5946" s="8"/>
      <c r="AE5946" s="8"/>
      <c r="AF5946" s="8"/>
      <c r="AG5946" s="11"/>
    </row>
    <row r="5947" spans="1:33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  <c r="AB5947" s="7"/>
      <c r="AC5947" s="7"/>
      <c r="AD5947" s="8"/>
      <c r="AE5947" s="8"/>
      <c r="AF5947" s="8"/>
      <c r="AG5947" s="11"/>
    </row>
    <row r="5948" spans="1:33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  <c r="AB5948" s="7"/>
      <c r="AC5948" s="7"/>
      <c r="AD5948" s="8"/>
      <c r="AE5948" s="8"/>
      <c r="AF5948" s="8"/>
      <c r="AG5948" s="11"/>
    </row>
    <row r="5949" spans="1:33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  <c r="AB5949" s="7"/>
      <c r="AC5949" s="7"/>
      <c r="AD5949" s="8"/>
      <c r="AE5949" s="8"/>
      <c r="AF5949" s="8"/>
      <c r="AG5949" s="11"/>
    </row>
    <row r="5950" spans="1:33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  <c r="AB5950" s="7"/>
      <c r="AC5950" s="7"/>
      <c r="AD5950" s="8"/>
      <c r="AE5950" s="8"/>
      <c r="AF5950" s="8"/>
      <c r="AG5950" s="11"/>
    </row>
    <row r="5951" spans="1:33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  <c r="AB5951" s="7"/>
      <c r="AC5951" s="7"/>
      <c r="AD5951" s="8"/>
      <c r="AE5951" s="8"/>
      <c r="AF5951" s="8"/>
      <c r="AG5951" s="11"/>
    </row>
    <row r="5952" spans="1:33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  <c r="AB5952" s="7"/>
      <c r="AC5952" s="7"/>
      <c r="AD5952" s="8"/>
      <c r="AE5952" s="8"/>
      <c r="AF5952" s="8"/>
      <c r="AG5952" s="11"/>
    </row>
    <row r="5953" spans="1:33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  <c r="AB5953" s="7"/>
      <c r="AC5953" s="7"/>
      <c r="AD5953" s="8"/>
      <c r="AE5953" s="8"/>
      <c r="AF5953" s="8"/>
      <c r="AG5953" s="11"/>
    </row>
    <row r="5954" spans="1:33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  <c r="AB5954" s="7"/>
      <c r="AC5954" s="7"/>
      <c r="AD5954" s="8"/>
      <c r="AE5954" s="8"/>
      <c r="AF5954" s="8"/>
      <c r="AG5954" s="11"/>
    </row>
    <row r="5955" spans="1:33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  <c r="AB5955" s="7"/>
      <c r="AC5955" s="7"/>
      <c r="AD5955" s="8"/>
      <c r="AE5955" s="8"/>
      <c r="AF5955" s="8"/>
      <c r="AG5955" s="11"/>
    </row>
    <row r="5956" spans="1:33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  <c r="AB5956" s="7"/>
      <c r="AC5956" s="7"/>
      <c r="AD5956" s="8"/>
      <c r="AE5956" s="8"/>
      <c r="AF5956" s="8"/>
      <c r="AG5956" s="11"/>
    </row>
    <row r="5957" spans="1:33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  <c r="AB5957" s="7"/>
      <c r="AC5957" s="7"/>
      <c r="AD5957" s="8"/>
      <c r="AE5957" s="8"/>
      <c r="AF5957" s="8"/>
      <c r="AG5957" s="11"/>
    </row>
    <row r="5958" spans="1:33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  <c r="AB5958" s="7"/>
      <c r="AC5958" s="7"/>
      <c r="AD5958" s="8"/>
      <c r="AE5958" s="8"/>
      <c r="AF5958" s="8"/>
      <c r="AG5958" s="11"/>
    </row>
    <row r="5959" spans="1:33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  <c r="AB5959" s="7"/>
      <c r="AC5959" s="7"/>
      <c r="AD5959" s="8"/>
      <c r="AE5959" s="8"/>
      <c r="AF5959" s="8"/>
      <c r="AG5959" s="11"/>
    </row>
    <row r="5960" spans="1:33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  <c r="AB5960" s="7"/>
      <c r="AC5960" s="7"/>
      <c r="AD5960" s="8"/>
      <c r="AE5960" s="8"/>
      <c r="AF5960" s="8"/>
      <c r="AG5960" s="11"/>
    </row>
    <row r="5961" spans="1:33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  <c r="AB5961" s="7"/>
      <c r="AC5961" s="7"/>
      <c r="AD5961" s="8"/>
      <c r="AE5961" s="8"/>
      <c r="AF5961" s="8"/>
      <c r="AG5961" s="11"/>
    </row>
    <row r="5962" spans="1:33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  <c r="AB5962" s="7"/>
      <c r="AC5962" s="7"/>
      <c r="AD5962" s="8"/>
      <c r="AE5962" s="8"/>
      <c r="AF5962" s="8"/>
      <c r="AG5962" s="11"/>
    </row>
    <row r="5963" spans="1:33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  <c r="AB5963" s="7"/>
      <c r="AC5963" s="7"/>
      <c r="AD5963" s="8"/>
      <c r="AE5963" s="8"/>
      <c r="AF5963" s="8"/>
      <c r="AG5963" s="11"/>
    </row>
    <row r="5964" spans="1:33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  <c r="AB5964" s="7"/>
      <c r="AC5964" s="7"/>
      <c r="AD5964" s="8"/>
      <c r="AE5964" s="8"/>
      <c r="AF5964" s="8"/>
      <c r="AG5964" s="11"/>
    </row>
    <row r="5965" spans="1:33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  <c r="AB5965" s="7"/>
      <c r="AC5965" s="7"/>
      <c r="AD5965" s="8"/>
      <c r="AE5965" s="8"/>
      <c r="AF5965" s="8"/>
      <c r="AG5965" s="11"/>
    </row>
    <row r="5966" spans="1:33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  <c r="AB5966" s="7"/>
      <c r="AC5966" s="7"/>
      <c r="AD5966" s="8"/>
      <c r="AE5966" s="8"/>
      <c r="AF5966" s="8"/>
      <c r="AG5966" s="11"/>
    </row>
    <row r="5967" spans="1:33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  <c r="AB5967" s="7"/>
      <c r="AC5967" s="7"/>
      <c r="AD5967" s="8"/>
      <c r="AE5967" s="8"/>
      <c r="AF5967" s="8"/>
      <c r="AG5967" s="11"/>
    </row>
    <row r="5968" spans="1:33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  <c r="AB5968" s="7"/>
      <c r="AC5968" s="7"/>
      <c r="AD5968" s="8"/>
      <c r="AE5968" s="8"/>
      <c r="AF5968" s="8"/>
      <c r="AG5968" s="11"/>
    </row>
    <row r="5969" spans="1:33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  <c r="AB5969" s="7"/>
      <c r="AC5969" s="7"/>
      <c r="AD5969" s="8"/>
      <c r="AE5969" s="8"/>
      <c r="AF5969" s="8"/>
      <c r="AG5969" s="11"/>
    </row>
    <row r="5970" spans="1:33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  <c r="AB5970" s="7"/>
      <c r="AC5970" s="7"/>
      <c r="AD5970" s="8"/>
      <c r="AE5970" s="8"/>
      <c r="AF5970" s="8"/>
      <c r="AG5970" s="11"/>
    </row>
    <row r="5971" spans="1:33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  <c r="AB5971" s="7"/>
      <c r="AC5971" s="7"/>
      <c r="AD5971" s="8"/>
      <c r="AE5971" s="8"/>
      <c r="AF5971" s="8"/>
      <c r="AG5971" s="11"/>
    </row>
    <row r="5972" spans="1:33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  <c r="AB5972" s="7"/>
      <c r="AC5972" s="7"/>
      <c r="AD5972" s="8"/>
      <c r="AE5972" s="8"/>
      <c r="AF5972" s="8"/>
      <c r="AG5972" s="11"/>
    </row>
    <row r="5973" spans="1:33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  <c r="AB5973" s="7"/>
      <c r="AC5973" s="7"/>
      <c r="AD5973" s="8"/>
      <c r="AE5973" s="8"/>
      <c r="AF5973" s="8"/>
      <c r="AG5973" s="11"/>
    </row>
    <row r="5974" spans="1:33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  <c r="AB5974" s="7"/>
      <c r="AC5974" s="7"/>
      <c r="AD5974" s="8"/>
      <c r="AE5974" s="8"/>
      <c r="AF5974" s="8"/>
      <c r="AG5974" s="11"/>
    </row>
    <row r="5975" spans="1:33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  <c r="AB5975" s="7"/>
      <c r="AC5975" s="7"/>
      <c r="AD5975" s="8"/>
      <c r="AE5975" s="8"/>
      <c r="AF5975" s="8"/>
      <c r="AG5975" s="11"/>
    </row>
    <row r="5976" spans="1:33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  <c r="AB5976" s="7"/>
      <c r="AC5976" s="7"/>
      <c r="AD5976" s="8"/>
      <c r="AE5976" s="8"/>
      <c r="AF5976" s="8"/>
      <c r="AG5976" s="11"/>
    </row>
    <row r="5977" spans="1:33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  <c r="AB5977" s="7"/>
      <c r="AC5977" s="7"/>
      <c r="AD5977" s="8"/>
      <c r="AE5977" s="8"/>
      <c r="AF5977" s="8"/>
      <c r="AG5977" s="11"/>
    </row>
    <row r="5978" spans="1:33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  <c r="AB5978" s="7"/>
      <c r="AC5978" s="7"/>
      <c r="AD5978" s="8"/>
      <c r="AE5978" s="8"/>
      <c r="AF5978" s="8"/>
      <c r="AG5978" s="11"/>
    </row>
    <row r="5979" spans="1:33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  <c r="AB5979" s="7"/>
      <c r="AC5979" s="7"/>
      <c r="AD5979" s="8"/>
      <c r="AE5979" s="8"/>
      <c r="AF5979" s="8"/>
      <c r="AG5979" s="11"/>
    </row>
    <row r="5980" spans="1:33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  <c r="AB5980" s="7"/>
      <c r="AC5980" s="7"/>
      <c r="AD5980" s="8"/>
      <c r="AE5980" s="8"/>
      <c r="AF5980" s="8"/>
      <c r="AG5980" s="11"/>
    </row>
    <row r="5981" spans="1:33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  <c r="AB5981" s="7"/>
      <c r="AC5981" s="7"/>
      <c r="AD5981" s="8"/>
      <c r="AE5981" s="8"/>
      <c r="AF5981" s="8"/>
      <c r="AG5981" s="11"/>
    </row>
    <row r="5982" spans="1:33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  <c r="AB5982" s="7"/>
      <c r="AC5982" s="7"/>
      <c r="AD5982" s="8"/>
      <c r="AE5982" s="8"/>
      <c r="AF5982" s="8"/>
      <c r="AG5982" s="11"/>
    </row>
    <row r="5983" spans="1:33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  <c r="AB5983" s="7"/>
      <c r="AC5983" s="7"/>
      <c r="AD5983" s="8"/>
      <c r="AE5983" s="8"/>
      <c r="AF5983" s="8"/>
      <c r="AG5983" s="11"/>
    </row>
    <row r="5984" spans="1:33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  <c r="AB5984" s="7"/>
      <c r="AC5984" s="7"/>
      <c r="AD5984" s="8"/>
      <c r="AE5984" s="8"/>
      <c r="AF5984" s="8"/>
      <c r="AG5984" s="11"/>
    </row>
    <row r="5985" spans="1:33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  <c r="AB5985" s="7"/>
      <c r="AC5985" s="7"/>
      <c r="AD5985" s="8"/>
      <c r="AE5985" s="8"/>
      <c r="AF5985" s="8"/>
      <c r="AG5985" s="11"/>
    </row>
    <row r="5986" spans="1:33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  <c r="AB5986" s="7"/>
      <c r="AC5986" s="7"/>
      <c r="AD5986" s="8"/>
      <c r="AE5986" s="8"/>
      <c r="AF5986" s="8"/>
      <c r="AG5986" s="11"/>
    </row>
    <row r="5987" spans="1:33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  <c r="AB5987" s="7"/>
      <c r="AC5987" s="7"/>
      <c r="AD5987" s="8"/>
      <c r="AE5987" s="8"/>
      <c r="AF5987" s="8"/>
      <c r="AG5987" s="11"/>
    </row>
    <row r="5988" spans="1:33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  <c r="AB5988" s="7"/>
      <c r="AC5988" s="7"/>
      <c r="AD5988" s="8"/>
      <c r="AE5988" s="8"/>
      <c r="AF5988" s="8"/>
      <c r="AG5988" s="11"/>
    </row>
    <row r="5989" spans="1:33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  <c r="AB5989" s="7"/>
      <c r="AC5989" s="7"/>
      <c r="AD5989" s="8"/>
      <c r="AE5989" s="8"/>
      <c r="AF5989" s="8"/>
      <c r="AG5989" s="11"/>
    </row>
    <row r="5990" spans="1:33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  <c r="AB5990" s="7"/>
      <c r="AC5990" s="7"/>
      <c r="AD5990" s="8"/>
      <c r="AE5990" s="8"/>
      <c r="AF5990" s="8"/>
      <c r="AG5990" s="11"/>
    </row>
    <row r="5991" spans="1:33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  <c r="AB5991" s="7"/>
      <c r="AC5991" s="7"/>
      <c r="AD5991" s="8"/>
      <c r="AE5991" s="8"/>
      <c r="AF5991" s="8"/>
      <c r="AG5991" s="11"/>
    </row>
    <row r="5992" spans="1:33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  <c r="AB5992" s="7"/>
      <c r="AC5992" s="7"/>
      <c r="AD5992" s="8"/>
      <c r="AE5992" s="8"/>
      <c r="AF5992" s="8"/>
      <c r="AG5992" s="11"/>
    </row>
    <row r="5993" spans="1:33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  <c r="AB5993" s="7"/>
      <c r="AC5993" s="7"/>
      <c r="AD5993" s="8"/>
      <c r="AE5993" s="8"/>
      <c r="AF5993" s="8"/>
      <c r="AG5993" s="11"/>
    </row>
    <row r="5994" spans="1:33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  <c r="AB5994" s="7"/>
      <c r="AC5994" s="7"/>
      <c r="AD5994" s="8"/>
      <c r="AE5994" s="8"/>
      <c r="AF5994" s="8"/>
      <c r="AG5994" s="11"/>
    </row>
    <row r="5995" spans="1:33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  <c r="AB5995" s="7"/>
      <c r="AC5995" s="7"/>
      <c r="AD5995" s="8"/>
      <c r="AE5995" s="8"/>
      <c r="AF5995" s="8"/>
      <c r="AG5995" s="11"/>
    </row>
    <row r="5996" spans="1:33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  <c r="AB5996" s="7"/>
      <c r="AC5996" s="7"/>
      <c r="AD5996" s="8"/>
      <c r="AE5996" s="8"/>
      <c r="AF5996" s="8"/>
      <c r="AG5996" s="11"/>
    </row>
    <row r="5997" spans="1:33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  <c r="AB5997" s="7"/>
      <c r="AC5997" s="7"/>
      <c r="AD5997" s="8"/>
      <c r="AE5997" s="8"/>
      <c r="AF5997" s="8"/>
      <c r="AG5997" s="11"/>
    </row>
    <row r="5998" spans="1:33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  <c r="AB5998" s="7"/>
      <c r="AC5998" s="7"/>
      <c r="AD5998" s="8"/>
      <c r="AE5998" s="8"/>
      <c r="AF5998" s="8"/>
      <c r="AG5998" s="11"/>
    </row>
    <row r="5999" spans="1:33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  <c r="AB5999" s="7"/>
      <c r="AC5999" s="7"/>
      <c r="AD5999" s="8"/>
      <c r="AE5999" s="8"/>
      <c r="AF5999" s="8"/>
      <c r="AG5999" s="11"/>
    </row>
    <row r="6000" spans="1:33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  <c r="AB6000" s="7"/>
      <c r="AC6000" s="7"/>
      <c r="AD6000" s="8"/>
      <c r="AE6000" s="8"/>
      <c r="AF6000" s="8"/>
      <c r="AG6000" s="11"/>
    </row>
    <row r="6001" spans="1:33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  <c r="AB6001" s="7"/>
      <c r="AC6001" s="7"/>
      <c r="AD6001" s="8"/>
      <c r="AE6001" s="8"/>
      <c r="AF6001" s="8"/>
      <c r="AG6001" s="11"/>
    </row>
    <row r="6002" spans="1:33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  <c r="AB6002" s="7"/>
      <c r="AC6002" s="7"/>
      <c r="AD6002" s="8"/>
      <c r="AE6002" s="8"/>
      <c r="AF6002" s="8"/>
      <c r="AG6002" s="11"/>
    </row>
    <row r="6003" spans="1:33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  <c r="AB6003" s="7"/>
      <c r="AC6003" s="7"/>
      <c r="AD6003" s="8"/>
      <c r="AE6003" s="8"/>
      <c r="AF6003" s="8"/>
      <c r="AG6003" s="11"/>
    </row>
    <row r="6004" spans="1:33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  <c r="AB6004" s="7"/>
      <c r="AC6004" s="7"/>
      <c r="AD6004" s="8"/>
      <c r="AE6004" s="8"/>
      <c r="AF6004" s="8"/>
      <c r="AG6004" s="11"/>
    </row>
    <row r="6005" spans="1:33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  <c r="AB6005" s="7"/>
      <c r="AC6005" s="7"/>
      <c r="AD6005" s="8"/>
      <c r="AE6005" s="8"/>
      <c r="AF6005" s="8"/>
      <c r="AG6005" s="11"/>
    </row>
    <row r="6006" spans="1:33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  <c r="AB6006" s="7"/>
      <c r="AC6006" s="7"/>
      <c r="AD6006" s="8"/>
      <c r="AE6006" s="8"/>
      <c r="AF6006" s="8"/>
      <c r="AG6006" s="11"/>
    </row>
    <row r="6007" spans="1:33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  <c r="AB6007" s="7"/>
      <c r="AC6007" s="7"/>
      <c r="AD6007" s="8"/>
      <c r="AE6007" s="8"/>
      <c r="AF6007" s="8"/>
      <c r="AG6007" s="11"/>
    </row>
    <row r="6008" spans="1:33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  <c r="AB6008" s="7"/>
      <c r="AC6008" s="7"/>
      <c r="AD6008" s="8"/>
      <c r="AE6008" s="8"/>
      <c r="AF6008" s="8"/>
      <c r="AG6008" s="11"/>
    </row>
    <row r="6009" spans="1:33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  <c r="AB6009" s="7"/>
      <c r="AC6009" s="7"/>
      <c r="AD6009" s="8"/>
      <c r="AE6009" s="8"/>
      <c r="AF6009" s="8"/>
      <c r="AG6009" s="11"/>
    </row>
    <row r="6010" spans="1:33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  <c r="AB6010" s="7"/>
      <c r="AC6010" s="7"/>
      <c r="AD6010" s="8"/>
      <c r="AE6010" s="8"/>
      <c r="AF6010" s="8"/>
      <c r="AG6010" s="11"/>
    </row>
    <row r="6011" spans="1:33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  <c r="AB6011" s="7"/>
      <c r="AC6011" s="7"/>
      <c r="AD6011" s="8"/>
      <c r="AE6011" s="8"/>
      <c r="AF6011" s="8"/>
      <c r="AG6011" s="11"/>
    </row>
    <row r="6012" spans="1:33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  <c r="AB6012" s="7"/>
      <c r="AC6012" s="7"/>
      <c r="AD6012" s="8"/>
      <c r="AE6012" s="8"/>
      <c r="AF6012" s="8"/>
      <c r="AG6012" s="11"/>
    </row>
    <row r="6013" spans="1:33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  <c r="AB6013" s="7"/>
      <c r="AC6013" s="7"/>
      <c r="AD6013" s="8"/>
      <c r="AE6013" s="8"/>
      <c r="AF6013" s="8"/>
      <c r="AG6013" s="11"/>
    </row>
    <row r="6014" spans="1:33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  <c r="AB6014" s="7"/>
      <c r="AC6014" s="7"/>
      <c r="AD6014" s="8"/>
      <c r="AE6014" s="8"/>
      <c r="AF6014" s="8"/>
      <c r="AG6014" s="11"/>
    </row>
    <row r="6015" spans="1:33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  <c r="AB6015" s="7"/>
      <c r="AC6015" s="7"/>
      <c r="AD6015" s="8"/>
      <c r="AE6015" s="8"/>
      <c r="AF6015" s="8"/>
      <c r="AG6015" s="11"/>
    </row>
    <row r="6016" spans="1:33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  <c r="AB6016" s="7"/>
      <c r="AC6016" s="7"/>
      <c r="AD6016" s="8"/>
      <c r="AE6016" s="8"/>
      <c r="AF6016" s="8"/>
      <c r="AG6016" s="11"/>
    </row>
    <row r="6017" spans="1:33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  <c r="AB6017" s="7"/>
      <c r="AC6017" s="7"/>
      <c r="AD6017" s="8"/>
      <c r="AE6017" s="8"/>
      <c r="AF6017" s="8"/>
      <c r="AG6017" s="11"/>
    </row>
    <row r="6018" spans="1:33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  <c r="AB6018" s="7"/>
      <c r="AC6018" s="7"/>
      <c r="AD6018" s="8"/>
      <c r="AE6018" s="8"/>
      <c r="AF6018" s="8"/>
      <c r="AG6018" s="11"/>
    </row>
    <row r="6019" spans="1:33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  <c r="AB6019" s="7"/>
      <c r="AC6019" s="7"/>
      <c r="AD6019" s="8"/>
      <c r="AE6019" s="8"/>
      <c r="AF6019" s="8"/>
      <c r="AG6019" s="11"/>
    </row>
    <row r="6020" spans="1:33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  <c r="AB6020" s="7"/>
      <c r="AC6020" s="7"/>
      <c r="AD6020" s="8"/>
      <c r="AE6020" s="8"/>
      <c r="AF6020" s="8"/>
      <c r="AG6020" s="11"/>
    </row>
    <row r="6021" spans="1:33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  <c r="AB6021" s="7"/>
      <c r="AC6021" s="7"/>
      <c r="AD6021" s="8"/>
      <c r="AE6021" s="8"/>
      <c r="AF6021" s="8"/>
      <c r="AG6021" s="11"/>
    </row>
    <row r="6022" spans="1:33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  <c r="AB6022" s="7"/>
      <c r="AC6022" s="7"/>
      <c r="AD6022" s="8"/>
      <c r="AE6022" s="8"/>
      <c r="AF6022" s="8"/>
      <c r="AG6022" s="11"/>
    </row>
    <row r="6023" spans="1:33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  <c r="AB6023" s="7"/>
      <c r="AC6023" s="7"/>
      <c r="AD6023" s="8"/>
      <c r="AE6023" s="8"/>
      <c r="AF6023" s="8"/>
      <c r="AG6023" s="11"/>
    </row>
    <row r="6024" spans="1:33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  <c r="AB6024" s="7"/>
      <c r="AC6024" s="7"/>
      <c r="AD6024" s="8"/>
      <c r="AE6024" s="8"/>
      <c r="AF6024" s="8"/>
      <c r="AG6024" s="11"/>
    </row>
    <row r="6025" spans="1:33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  <c r="AB6025" s="7"/>
      <c r="AC6025" s="7"/>
      <c r="AD6025" s="8"/>
      <c r="AE6025" s="8"/>
      <c r="AF6025" s="8"/>
      <c r="AG6025" s="11"/>
    </row>
    <row r="6026" spans="1:33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  <c r="AB6026" s="7"/>
      <c r="AC6026" s="7"/>
      <c r="AD6026" s="8"/>
      <c r="AE6026" s="8"/>
      <c r="AF6026" s="8"/>
      <c r="AG6026" s="11"/>
    </row>
    <row r="6027" spans="1:33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  <c r="AB6027" s="7"/>
      <c r="AC6027" s="7"/>
      <c r="AD6027" s="8"/>
      <c r="AE6027" s="8"/>
      <c r="AF6027" s="8"/>
      <c r="AG6027" s="11"/>
    </row>
    <row r="6028" spans="1:33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  <c r="AB6028" s="7"/>
      <c r="AC6028" s="7"/>
      <c r="AD6028" s="8"/>
      <c r="AE6028" s="8"/>
      <c r="AF6028" s="8"/>
      <c r="AG6028" s="11"/>
    </row>
    <row r="6029" spans="1:33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  <c r="AB6029" s="7"/>
      <c r="AC6029" s="7"/>
      <c r="AD6029" s="8"/>
      <c r="AE6029" s="8"/>
      <c r="AF6029" s="8"/>
      <c r="AG6029" s="11"/>
    </row>
    <row r="6030" spans="1:33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  <c r="AB6030" s="7"/>
      <c r="AC6030" s="7"/>
      <c r="AD6030" s="8"/>
      <c r="AE6030" s="8"/>
      <c r="AF6030" s="8"/>
      <c r="AG6030" s="11"/>
    </row>
    <row r="6031" spans="1:33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  <c r="AB6031" s="7"/>
      <c r="AC6031" s="7"/>
      <c r="AD6031" s="8"/>
      <c r="AE6031" s="8"/>
      <c r="AF6031" s="8"/>
      <c r="AG6031" s="11"/>
    </row>
    <row r="6032" spans="1:33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  <c r="AB6032" s="7"/>
      <c r="AC6032" s="7"/>
      <c r="AD6032" s="8"/>
      <c r="AE6032" s="8"/>
      <c r="AF6032" s="8"/>
      <c r="AG6032" s="11"/>
    </row>
    <row r="6033" spans="1:33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  <c r="AB6033" s="7"/>
      <c r="AC6033" s="7"/>
      <c r="AD6033" s="8"/>
      <c r="AE6033" s="8"/>
      <c r="AF6033" s="8"/>
      <c r="AG6033" s="11"/>
    </row>
    <row r="6034" spans="1:33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  <c r="AB6034" s="7"/>
      <c r="AC6034" s="7"/>
      <c r="AD6034" s="8"/>
      <c r="AE6034" s="8"/>
      <c r="AF6034" s="8"/>
      <c r="AG6034" s="11"/>
    </row>
    <row r="6035" spans="1:33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  <c r="AB6035" s="7"/>
      <c r="AC6035" s="7"/>
      <c r="AD6035" s="8"/>
      <c r="AE6035" s="8"/>
      <c r="AF6035" s="8"/>
      <c r="AG6035" s="11"/>
    </row>
    <row r="6036" spans="1:33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  <c r="AB6036" s="7"/>
      <c r="AC6036" s="7"/>
      <c r="AD6036" s="8"/>
      <c r="AE6036" s="8"/>
      <c r="AF6036" s="8"/>
      <c r="AG6036" s="11"/>
    </row>
    <row r="6037" spans="1:33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  <c r="AB6037" s="7"/>
      <c r="AC6037" s="7"/>
      <c r="AD6037" s="8"/>
      <c r="AE6037" s="8"/>
      <c r="AF6037" s="8"/>
      <c r="AG6037" s="11"/>
    </row>
    <row r="6038" spans="1:33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  <c r="AB6038" s="7"/>
      <c r="AC6038" s="7"/>
      <c r="AD6038" s="8"/>
      <c r="AE6038" s="8"/>
      <c r="AF6038" s="8"/>
      <c r="AG6038" s="11"/>
    </row>
    <row r="6039" spans="1:33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  <c r="AB6039" s="7"/>
      <c r="AC6039" s="7"/>
      <c r="AD6039" s="8"/>
      <c r="AE6039" s="8"/>
      <c r="AF6039" s="8"/>
      <c r="AG6039" s="11"/>
    </row>
    <row r="6040" spans="1:33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  <c r="AB6040" s="7"/>
      <c r="AC6040" s="7"/>
      <c r="AD6040" s="8"/>
      <c r="AE6040" s="8"/>
      <c r="AF6040" s="8"/>
      <c r="AG6040" s="11"/>
    </row>
    <row r="6041" spans="1:33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  <c r="AB6041" s="7"/>
      <c r="AC6041" s="7"/>
      <c r="AD6041" s="8"/>
      <c r="AE6041" s="8"/>
      <c r="AF6041" s="8"/>
      <c r="AG6041" s="11"/>
    </row>
    <row r="6042" spans="1:33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  <c r="AB6042" s="7"/>
      <c r="AC6042" s="7"/>
      <c r="AD6042" s="8"/>
      <c r="AE6042" s="8"/>
      <c r="AF6042" s="8"/>
      <c r="AG6042" s="11"/>
    </row>
    <row r="6043" spans="1:33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  <c r="AB6043" s="7"/>
      <c r="AC6043" s="7"/>
      <c r="AD6043" s="8"/>
      <c r="AE6043" s="8"/>
      <c r="AF6043" s="8"/>
      <c r="AG6043" s="11"/>
    </row>
    <row r="6044" spans="1:33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  <c r="AB6044" s="7"/>
      <c r="AC6044" s="7"/>
      <c r="AD6044" s="8"/>
      <c r="AE6044" s="8"/>
      <c r="AF6044" s="8"/>
      <c r="AG6044" s="11"/>
    </row>
    <row r="6045" spans="1:33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  <c r="AB6045" s="7"/>
      <c r="AC6045" s="7"/>
      <c r="AD6045" s="8"/>
      <c r="AE6045" s="8"/>
      <c r="AF6045" s="8"/>
      <c r="AG6045" s="11"/>
    </row>
    <row r="6046" spans="1:33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  <c r="AB6046" s="7"/>
      <c r="AC6046" s="7"/>
      <c r="AD6046" s="8"/>
      <c r="AE6046" s="8"/>
      <c r="AF6046" s="8"/>
      <c r="AG6046" s="11"/>
    </row>
    <row r="6047" spans="1:33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  <c r="AB6047" s="7"/>
      <c r="AC6047" s="7"/>
      <c r="AD6047" s="8"/>
      <c r="AE6047" s="8"/>
      <c r="AF6047" s="8"/>
      <c r="AG6047" s="11"/>
    </row>
    <row r="6048" spans="1:33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  <c r="AB6048" s="7"/>
      <c r="AC6048" s="7"/>
      <c r="AD6048" s="8"/>
      <c r="AE6048" s="8"/>
      <c r="AF6048" s="8"/>
      <c r="AG6048" s="11"/>
    </row>
    <row r="6049" spans="1:33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  <c r="AB6049" s="7"/>
      <c r="AC6049" s="7"/>
      <c r="AD6049" s="8"/>
      <c r="AE6049" s="8"/>
      <c r="AF6049" s="8"/>
      <c r="AG6049" s="11"/>
    </row>
    <row r="6050" spans="1:33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  <c r="AB6050" s="7"/>
      <c r="AC6050" s="7"/>
      <c r="AD6050" s="8"/>
      <c r="AE6050" s="8"/>
      <c r="AF6050" s="8"/>
      <c r="AG6050" s="11"/>
    </row>
    <row r="6051" spans="1:33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  <c r="AB6051" s="7"/>
      <c r="AC6051" s="7"/>
      <c r="AD6051" s="8"/>
      <c r="AE6051" s="8"/>
      <c r="AF6051" s="8"/>
      <c r="AG6051" s="11"/>
    </row>
    <row r="6052" spans="1:33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  <c r="AB6052" s="7"/>
      <c r="AC6052" s="7"/>
      <c r="AD6052" s="8"/>
      <c r="AE6052" s="8"/>
      <c r="AF6052" s="8"/>
      <c r="AG6052" s="11"/>
    </row>
    <row r="6053" spans="1:33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  <c r="AB6053" s="7"/>
      <c r="AC6053" s="7"/>
      <c r="AD6053" s="8"/>
      <c r="AE6053" s="8"/>
      <c r="AF6053" s="8"/>
      <c r="AG6053" s="11"/>
    </row>
    <row r="6054" spans="1:33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  <c r="AB6054" s="7"/>
      <c r="AC6054" s="7"/>
      <c r="AD6054" s="8"/>
      <c r="AE6054" s="8"/>
      <c r="AF6054" s="8"/>
      <c r="AG6054" s="11"/>
    </row>
    <row r="6055" spans="1:33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  <c r="AB6055" s="7"/>
      <c r="AC6055" s="7"/>
      <c r="AD6055" s="8"/>
      <c r="AE6055" s="8"/>
      <c r="AF6055" s="8"/>
      <c r="AG6055" s="11"/>
    </row>
    <row r="6056" spans="1:33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  <c r="AB6056" s="7"/>
      <c r="AC6056" s="7"/>
      <c r="AD6056" s="8"/>
      <c r="AE6056" s="8"/>
      <c r="AF6056" s="8"/>
      <c r="AG6056" s="11"/>
    </row>
    <row r="6057" spans="1:33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  <c r="AB6057" s="7"/>
      <c r="AC6057" s="7"/>
      <c r="AD6057" s="8"/>
      <c r="AE6057" s="8"/>
      <c r="AF6057" s="8"/>
      <c r="AG6057" s="11"/>
    </row>
    <row r="6058" spans="1:33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  <c r="AB6058" s="7"/>
      <c r="AC6058" s="7"/>
      <c r="AD6058" s="8"/>
      <c r="AE6058" s="8"/>
      <c r="AF6058" s="8"/>
      <c r="AG6058" s="11"/>
    </row>
    <row r="6059" spans="1:33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  <c r="AB6059" s="7"/>
      <c r="AC6059" s="7"/>
      <c r="AD6059" s="8"/>
      <c r="AE6059" s="8"/>
      <c r="AF6059" s="8"/>
      <c r="AG6059" s="11"/>
    </row>
    <row r="6060" spans="1:33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  <c r="AB6060" s="7"/>
      <c r="AC6060" s="7"/>
      <c r="AD6060" s="8"/>
      <c r="AE6060" s="8"/>
      <c r="AF6060" s="8"/>
      <c r="AG6060" s="11"/>
    </row>
    <row r="6061" spans="1:33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  <c r="AB6061" s="7"/>
      <c r="AC6061" s="7"/>
      <c r="AD6061" s="8"/>
      <c r="AE6061" s="8"/>
      <c r="AF6061" s="8"/>
      <c r="AG6061" s="11"/>
    </row>
    <row r="6062" spans="1:33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  <c r="AB6062" s="7"/>
      <c r="AC6062" s="7"/>
      <c r="AD6062" s="8"/>
      <c r="AE6062" s="8"/>
      <c r="AF6062" s="8"/>
      <c r="AG6062" s="11"/>
    </row>
    <row r="6063" spans="1:33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  <c r="AB6063" s="7"/>
      <c r="AC6063" s="7"/>
      <c r="AD6063" s="8"/>
      <c r="AE6063" s="8"/>
      <c r="AF6063" s="8"/>
      <c r="AG6063" s="11"/>
    </row>
    <row r="6064" spans="1:33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  <c r="AB6064" s="7"/>
      <c r="AC6064" s="7"/>
      <c r="AD6064" s="8"/>
      <c r="AE6064" s="8"/>
      <c r="AF6064" s="8"/>
      <c r="AG6064" s="11"/>
    </row>
    <row r="6065" spans="1:33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  <c r="AB6065" s="7"/>
      <c r="AC6065" s="7"/>
      <c r="AD6065" s="8"/>
      <c r="AE6065" s="8"/>
      <c r="AF6065" s="8"/>
      <c r="AG6065" s="11"/>
    </row>
    <row r="6066" spans="1:33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  <c r="AB6066" s="7"/>
      <c r="AC6066" s="7"/>
      <c r="AD6066" s="8"/>
      <c r="AE6066" s="8"/>
      <c r="AF6066" s="8"/>
      <c r="AG6066" s="11"/>
    </row>
    <row r="6067" spans="1:33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  <c r="AB6067" s="7"/>
      <c r="AC6067" s="7"/>
      <c r="AD6067" s="8"/>
      <c r="AE6067" s="8"/>
      <c r="AF6067" s="8"/>
      <c r="AG6067" s="11"/>
    </row>
    <row r="6068" spans="1:33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  <c r="AB6068" s="7"/>
      <c r="AC6068" s="7"/>
      <c r="AD6068" s="8"/>
      <c r="AE6068" s="8"/>
      <c r="AF6068" s="8"/>
      <c r="AG6068" s="11"/>
    </row>
    <row r="6069" spans="1:33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  <c r="AB6069" s="7"/>
      <c r="AC6069" s="7"/>
      <c r="AD6069" s="8"/>
      <c r="AE6069" s="8"/>
      <c r="AF6069" s="8"/>
      <c r="AG6069" s="11"/>
    </row>
    <row r="6070" spans="1:33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  <c r="AB6070" s="7"/>
      <c r="AC6070" s="7"/>
      <c r="AD6070" s="8"/>
      <c r="AE6070" s="8"/>
      <c r="AF6070" s="8"/>
      <c r="AG6070" s="11"/>
    </row>
    <row r="6071" spans="1:33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  <c r="AB6071" s="7"/>
      <c r="AC6071" s="7"/>
      <c r="AD6071" s="8"/>
      <c r="AE6071" s="8"/>
      <c r="AF6071" s="8"/>
      <c r="AG6071" s="11"/>
    </row>
    <row r="6072" spans="1:33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  <c r="AB6072" s="7"/>
      <c r="AC6072" s="7"/>
      <c r="AD6072" s="8"/>
      <c r="AE6072" s="8"/>
      <c r="AF6072" s="8"/>
      <c r="AG6072" s="11"/>
    </row>
    <row r="6073" spans="1:33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  <c r="AB6073" s="7"/>
      <c r="AC6073" s="7"/>
      <c r="AD6073" s="8"/>
      <c r="AE6073" s="8"/>
      <c r="AF6073" s="8"/>
      <c r="AG6073" s="11"/>
    </row>
    <row r="6074" spans="1:33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  <c r="AB6074" s="7"/>
      <c r="AC6074" s="7"/>
      <c r="AD6074" s="8"/>
      <c r="AE6074" s="8"/>
      <c r="AF6074" s="8"/>
      <c r="AG6074" s="11"/>
    </row>
    <row r="6075" spans="1:33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  <c r="AB6075" s="7"/>
      <c r="AC6075" s="7"/>
      <c r="AD6075" s="8"/>
      <c r="AE6075" s="8"/>
      <c r="AF6075" s="8"/>
      <c r="AG6075" s="11"/>
    </row>
    <row r="6076" spans="1:33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  <c r="AB6076" s="7"/>
      <c r="AC6076" s="7"/>
      <c r="AD6076" s="8"/>
      <c r="AE6076" s="8"/>
      <c r="AF6076" s="8"/>
      <c r="AG6076" s="11"/>
    </row>
    <row r="6077" spans="1:33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  <c r="AB6077" s="7"/>
      <c r="AC6077" s="7"/>
      <c r="AD6077" s="8"/>
      <c r="AE6077" s="8"/>
      <c r="AF6077" s="8"/>
      <c r="AG6077" s="11"/>
    </row>
    <row r="6078" spans="1:33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  <c r="AB6078" s="7"/>
      <c r="AC6078" s="7"/>
      <c r="AD6078" s="8"/>
      <c r="AE6078" s="8"/>
      <c r="AF6078" s="8"/>
      <c r="AG6078" s="11"/>
    </row>
    <row r="6079" spans="1:33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  <c r="AB6079" s="7"/>
      <c r="AC6079" s="7"/>
      <c r="AD6079" s="8"/>
      <c r="AE6079" s="8"/>
      <c r="AF6079" s="8"/>
      <c r="AG6079" s="11"/>
    </row>
    <row r="6080" spans="1:33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  <c r="AB6080" s="7"/>
      <c r="AC6080" s="7"/>
      <c r="AD6080" s="8"/>
      <c r="AE6080" s="8"/>
      <c r="AF6080" s="8"/>
      <c r="AG6080" s="11"/>
    </row>
    <row r="6081" spans="1:33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  <c r="AB6081" s="7"/>
      <c r="AC6081" s="7"/>
      <c r="AD6081" s="8"/>
      <c r="AE6081" s="8"/>
      <c r="AF6081" s="8"/>
      <c r="AG6081" s="11"/>
    </row>
    <row r="6082" spans="1:33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  <c r="AB6082" s="7"/>
      <c r="AC6082" s="7"/>
      <c r="AD6082" s="8"/>
      <c r="AE6082" s="8"/>
      <c r="AF6082" s="8"/>
      <c r="AG6082" s="11"/>
    </row>
    <row r="6083" spans="1:33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  <c r="AB6083" s="7"/>
      <c r="AC6083" s="7"/>
      <c r="AD6083" s="8"/>
      <c r="AE6083" s="8"/>
      <c r="AF6083" s="8"/>
      <c r="AG6083" s="11"/>
    </row>
    <row r="6084" spans="1:33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  <c r="AB6084" s="7"/>
      <c r="AC6084" s="7"/>
      <c r="AD6084" s="8"/>
      <c r="AE6084" s="8"/>
      <c r="AF6084" s="8"/>
      <c r="AG6084" s="11"/>
    </row>
    <row r="6085" spans="1:33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  <c r="AB6085" s="7"/>
      <c r="AC6085" s="7"/>
      <c r="AD6085" s="8"/>
      <c r="AE6085" s="8"/>
      <c r="AF6085" s="8"/>
      <c r="AG6085" s="11"/>
    </row>
    <row r="6086" spans="1:33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  <c r="AB6086" s="7"/>
      <c r="AC6086" s="7"/>
      <c r="AD6086" s="8"/>
      <c r="AE6086" s="8"/>
      <c r="AF6086" s="8"/>
      <c r="AG6086" s="11"/>
    </row>
    <row r="6087" spans="1:33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  <c r="AB6087" s="7"/>
      <c r="AC6087" s="7"/>
      <c r="AD6087" s="8"/>
      <c r="AE6087" s="8"/>
      <c r="AF6087" s="8"/>
      <c r="AG6087" s="11"/>
    </row>
    <row r="6088" spans="1:33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  <c r="AB6088" s="7"/>
      <c r="AC6088" s="7"/>
      <c r="AD6088" s="8"/>
      <c r="AE6088" s="8"/>
      <c r="AF6088" s="8"/>
      <c r="AG6088" s="11"/>
    </row>
    <row r="6089" spans="1:33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  <c r="AB6089" s="7"/>
      <c r="AC6089" s="7"/>
      <c r="AD6089" s="8"/>
      <c r="AE6089" s="8"/>
      <c r="AF6089" s="8"/>
      <c r="AG6089" s="11"/>
    </row>
    <row r="6090" spans="1:33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  <c r="AB6090" s="7"/>
      <c r="AC6090" s="7"/>
      <c r="AD6090" s="8"/>
      <c r="AE6090" s="8"/>
      <c r="AF6090" s="8"/>
      <c r="AG6090" s="11"/>
    </row>
    <row r="6091" spans="1:33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  <c r="AB6091" s="7"/>
      <c r="AC6091" s="7"/>
      <c r="AD6091" s="8"/>
      <c r="AE6091" s="8"/>
      <c r="AF6091" s="8"/>
      <c r="AG6091" s="11"/>
    </row>
    <row r="6092" spans="1:33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  <c r="AB6092" s="7"/>
      <c r="AC6092" s="7"/>
      <c r="AD6092" s="8"/>
      <c r="AE6092" s="8"/>
      <c r="AF6092" s="8"/>
      <c r="AG6092" s="11"/>
    </row>
    <row r="6093" spans="1:33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  <c r="AB6093" s="7"/>
      <c r="AC6093" s="7"/>
      <c r="AD6093" s="7"/>
      <c r="AE6093" s="7"/>
      <c r="AF6093" s="7"/>
      <c r="AG6093" s="11"/>
    </row>
    <row r="6094" spans="1:33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  <c r="AB6094" s="7"/>
      <c r="AC6094" s="7"/>
      <c r="AD6094" s="7"/>
      <c r="AE6094" s="7"/>
      <c r="AF6094" s="7"/>
      <c r="AG6094" s="11"/>
    </row>
    <row r="6095" spans="1:33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  <c r="AB6095" s="7"/>
      <c r="AC6095" s="7"/>
      <c r="AD6095" s="10"/>
      <c r="AE6095" s="10"/>
      <c r="AF6095" s="10"/>
      <c r="AG6095" s="11"/>
    </row>
    <row r="6096" spans="1:33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  <c r="AB6096" s="7"/>
      <c r="AC6096" s="7"/>
      <c r="AD6096" s="10"/>
      <c r="AE6096" s="10"/>
      <c r="AF6096" s="10"/>
      <c r="AG6096" s="11"/>
    </row>
    <row r="6097" spans="1:33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  <c r="AB6097" s="7"/>
      <c r="AC6097" s="7"/>
      <c r="AD6097" s="10"/>
      <c r="AE6097" s="10"/>
      <c r="AF6097" s="10"/>
      <c r="AG6097" s="11"/>
    </row>
    <row r="6098" spans="1:33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  <c r="AB6098" s="7"/>
      <c r="AC6098" s="7"/>
      <c r="AD6098" s="10"/>
      <c r="AE6098" s="10"/>
      <c r="AF6098" s="10"/>
      <c r="AG6098" s="11"/>
    </row>
    <row r="6099" spans="1:33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  <c r="AB6099" s="7"/>
      <c r="AC6099" s="7"/>
      <c r="AD6099" s="10"/>
      <c r="AE6099" s="10"/>
      <c r="AF6099" s="10"/>
      <c r="AG6099" s="11"/>
    </row>
    <row r="6100" spans="1:33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  <c r="AB6100" s="7"/>
      <c r="AC6100" s="7"/>
      <c r="AD6100" s="10"/>
      <c r="AE6100" s="10"/>
      <c r="AF6100" s="10"/>
      <c r="AG6100" s="11"/>
    </row>
    <row r="6101" spans="1:33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  <c r="AB6101" s="7"/>
      <c r="AC6101" s="7"/>
      <c r="AD6101" s="10"/>
      <c r="AE6101" s="10"/>
      <c r="AF6101" s="10"/>
      <c r="AG6101" s="11"/>
    </row>
    <row r="6102" spans="1:33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  <c r="AB6102" s="7"/>
      <c r="AC6102" s="7"/>
      <c r="AD6102" s="10"/>
      <c r="AE6102" s="10"/>
      <c r="AF6102" s="10"/>
      <c r="AG6102" s="11"/>
    </row>
    <row r="6103" spans="1:33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  <c r="AB6103" s="7"/>
      <c r="AC6103" s="7"/>
      <c r="AD6103" s="10"/>
      <c r="AE6103" s="10"/>
      <c r="AF6103" s="10"/>
      <c r="AG6103" s="11"/>
    </row>
    <row r="6104" spans="1:33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  <c r="AB6104" s="7"/>
      <c r="AC6104" s="7"/>
      <c r="AD6104" s="10"/>
      <c r="AE6104" s="10"/>
      <c r="AF6104" s="10"/>
      <c r="AG6104" s="11"/>
    </row>
    <row r="6105" spans="1:33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  <c r="AB6105" s="7"/>
      <c r="AC6105" s="7"/>
      <c r="AD6105" s="10"/>
      <c r="AE6105" s="10"/>
      <c r="AF6105" s="10"/>
      <c r="AG6105" s="11"/>
    </row>
    <row r="6106" spans="1:33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  <c r="AB6106" s="7"/>
      <c r="AC6106" s="7"/>
      <c r="AD6106" s="10"/>
      <c r="AE6106" s="10"/>
      <c r="AF6106" s="10"/>
      <c r="AG6106" s="11"/>
    </row>
    <row r="6107" spans="1:33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  <c r="AB6107" s="7"/>
      <c r="AC6107" s="7"/>
      <c r="AD6107" s="10"/>
      <c r="AE6107" s="10"/>
      <c r="AF6107" s="10"/>
      <c r="AG6107" s="11"/>
    </row>
    <row r="6108" spans="1:33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  <c r="AB6108" s="7"/>
      <c r="AC6108" s="7"/>
      <c r="AD6108" s="10"/>
      <c r="AE6108" s="10"/>
      <c r="AF6108" s="10"/>
      <c r="AG6108" s="11"/>
    </row>
    <row r="6109" spans="1:33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  <c r="AB6109" s="7"/>
      <c r="AC6109" s="7"/>
      <c r="AD6109" s="10"/>
      <c r="AE6109" s="10"/>
      <c r="AF6109" s="10"/>
      <c r="AG6109" s="11"/>
    </row>
    <row r="6110" spans="1:33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  <c r="AB6110" s="7"/>
      <c r="AC6110" s="7"/>
      <c r="AD6110" s="10"/>
      <c r="AE6110" s="10"/>
      <c r="AF6110" s="10"/>
      <c r="AG6110" s="11"/>
    </row>
    <row r="6111" spans="1:33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  <c r="AB6111" s="7"/>
      <c r="AC6111" s="7"/>
      <c r="AD6111" s="10"/>
      <c r="AE6111" s="10"/>
      <c r="AF6111" s="10"/>
      <c r="AG6111" s="11"/>
    </row>
    <row r="6112" spans="1:33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  <c r="AB6112" s="7"/>
      <c r="AC6112" s="7"/>
      <c r="AD6112" s="10"/>
      <c r="AE6112" s="10"/>
      <c r="AF6112" s="10"/>
      <c r="AG6112" s="11"/>
    </row>
    <row r="6113" spans="1:33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  <c r="AB6113" s="7"/>
      <c r="AC6113" s="7"/>
      <c r="AD6113" s="10"/>
      <c r="AE6113" s="10"/>
      <c r="AF6113" s="10"/>
      <c r="AG6113" s="11"/>
    </row>
    <row r="6114" spans="1:33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  <c r="AB6114" s="7"/>
      <c r="AC6114" s="7"/>
      <c r="AD6114" s="10"/>
      <c r="AE6114" s="10"/>
      <c r="AF6114" s="10"/>
      <c r="AG6114" s="11"/>
    </row>
    <row r="6115" spans="1:33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  <c r="AB6115" s="7"/>
      <c r="AC6115" s="7"/>
      <c r="AD6115" s="10"/>
      <c r="AE6115" s="10"/>
      <c r="AF6115" s="10"/>
      <c r="AG6115" s="11"/>
    </row>
    <row r="6116" spans="1:33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  <c r="AB6116" s="7"/>
      <c r="AC6116" s="7"/>
      <c r="AD6116" s="10"/>
      <c r="AE6116" s="10"/>
      <c r="AF6116" s="10"/>
      <c r="AG6116" s="11"/>
    </row>
    <row r="6117" spans="1:33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  <c r="AB6117" s="7"/>
      <c r="AC6117" s="7"/>
      <c r="AD6117" s="10"/>
      <c r="AE6117" s="10"/>
      <c r="AF6117" s="10"/>
      <c r="AG6117" s="11"/>
    </row>
    <row r="6118" spans="1:33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  <c r="AB6118" s="7"/>
      <c r="AC6118" s="7"/>
      <c r="AD6118" s="10"/>
      <c r="AE6118" s="10"/>
      <c r="AF6118" s="10"/>
      <c r="AG6118" s="11"/>
    </row>
    <row r="6119" spans="1:33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  <c r="AB6119" s="7"/>
      <c r="AC6119" s="7"/>
      <c r="AD6119" s="10"/>
      <c r="AE6119" s="10"/>
      <c r="AF6119" s="10"/>
      <c r="AG6119" s="11"/>
    </row>
    <row r="6120" spans="1:33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  <c r="AB6120" s="7"/>
      <c r="AC6120" s="7"/>
      <c r="AD6120" s="10"/>
      <c r="AE6120" s="10"/>
      <c r="AF6120" s="10"/>
      <c r="AG6120" s="11"/>
    </row>
    <row r="6121" spans="1:33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  <c r="AB6121" s="7"/>
      <c r="AC6121" s="7"/>
      <c r="AD6121" s="10"/>
      <c r="AE6121" s="10"/>
      <c r="AF6121" s="10"/>
      <c r="AG6121" s="11"/>
    </row>
    <row r="6122" spans="1:33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  <c r="AB6122" s="7"/>
      <c r="AC6122" s="7"/>
      <c r="AD6122" s="10"/>
      <c r="AE6122" s="10"/>
      <c r="AF6122" s="10"/>
      <c r="AG6122" s="11"/>
    </row>
    <row r="6123" spans="1:33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  <c r="AB6123" s="7"/>
      <c r="AC6123" s="7"/>
      <c r="AD6123" s="10"/>
      <c r="AE6123" s="10"/>
      <c r="AF6123" s="10"/>
      <c r="AG6123" s="11"/>
    </row>
    <row r="6124" spans="1:33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  <c r="AB6124" s="7"/>
      <c r="AC6124" s="7"/>
      <c r="AD6124" s="10"/>
      <c r="AE6124" s="10"/>
      <c r="AF6124" s="10"/>
      <c r="AG6124" s="11"/>
    </row>
    <row r="6125" spans="1:33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  <c r="AB6125" s="7"/>
      <c r="AC6125" s="7"/>
      <c r="AD6125" s="10"/>
      <c r="AE6125" s="10"/>
      <c r="AF6125" s="10"/>
      <c r="AG6125" s="11"/>
    </row>
    <row r="6126" spans="1:33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  <c r="AB6126" s="7"/>
      <c r="AC6126" s="7"/>
      <c r="AD6126" s="10"/>
      <c r="AE6126" s="10"/>
      <c r="AF6126" s="10"/>
      <c r="AG6126" s="11"/>
    </row>
    <row r="6127" spans="1:33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  <c r="AB6127" s="7"/>
      <c r="AC6127" s="7"/>
      <c r="AD6127" s="10"/>
      <c r="AE6127" s="10"/>
      <c r="AF6127" s="10"/>
      <c r="AG6127" s="11"/>
    </row>
    <row r="6128" spans="1:33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  <c r="AB6128" s="7"/>
      <c r="AC6128" s="7"/>
      <c r="AD6128" s="10"/>
      <c r="AE6128" s="10"/>
      <c r="AF6128" s="10"/>
      <c r="AG6128" s="11"/>
    </row>
    <row r="6129" spans="1:33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  <c r="AB6129" s="7"/>
      <c r="AC6129" s="7"/>
      <c r="AD6129" s="10"/>
      <c r="AE6129" s="10"/>
      <c r="AF6129" s="10"/>
      <c r="AG6129" s="11"/>
    </row>
    <row r="6130" spans="1:33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  <c r="AB6130" s="7"/>
      <c r="AC6130" s="7"/>
      <c r="AD6130" s="10"/>
      <c r="AE6130" s="10"/>
      <c r="AF6130" s="10"/>
      <c r="AG6130" s="11"/>
    </row>
    <row r="6131" spans="1:33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  <c r="AB6131" s="7"/>
      <c r="AC6131" s="7"/>
      <c r="AD6131" s="10"/>
      <c r="AE6131" s="10"/>
      <c r="AF6131" s="10"/>
      <c r="AG6131" s="11"/>
    </row>
    <row r="6132" spans="1:33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  <c r="AB6132" s="7"/>
      <c r="AC6132" s="7"/>
      <c r="AD6132" s="10"/>
      <c r="AE6132" s="10"/>
      <c r="AF6132" s="10"/>
      <c r="AG6132" s="11"/>
    </row>
    <row r="6133" spans="1:33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  <c r="AB6133" s="7"/>
      <c r="AC6133" s="7"/>
      <c r="AD6133" s="10"/>
      <c r="AE6133" s="10"/>
      <c r="AF6133" s="10"/>
      <c r="AG6133" s="11"/>
    </row>
    <row r="6134" spans="1:33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  <c r="AB6134" s="7"/>
      <c r="AC6134" s="7"/>
      <c r="AD6134" s="10"/>
      <c r="AE6134" s="10"/>
      <c r="AF6134" s="10"/>
      <c r="AG6134" s="11"/>
    </row>
    <row r="6135" spans="1:33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  <c r="AB6135" s="7"/>
      <c r="AC6135" s="7"/>
      <c r="AD6135" s="10"/>
      <c r="AE6135" s="10"/>
      <c r="AF6135" s="10"/>
      <c r="AG6135" s="11"/>
    </row>
    <row r="6136" spans="1:33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  <c r="AB6136" s="7"/>
      <c r="AC6136" s="7"/>
      <c r="AD6136" s="10"/>
      <c r="AE6136" s="10"/>
      <c r="AF6136" s="10"/>
      <c r="AG6136" s="11"/>
    </row>
    <row r="6137" spans="1:33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  <c r="AB6137" s="7"/>
      <c r="AC6137" s="7"/>
      <c r="AD6137" s="10"/>
      <c r="AE6137" s="10"/>
      <c r="AF6137" s="10"/>
      <c r="AG6137" s="11"/>
    </row>
    <row r="6138" spans="1:33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  <c r="AB6138" s="7"/>
      <c r="AC6138" s="7"/>
      <c r="AD6138" s="10"/>
      <c r="AE6138" s="10"/>
      <c r="AF6138" s="10"/>
      <c r="AG6138" s="11"/>
    </row>
    <row r="6139" spans="1:33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  <c r="AB6139" s="7"/>
      <c r="AC6139" s="7"/>
      <c r="AD6139" s="10"/>
      <c r="AE6139" s="10"/>
      <c r="AF6139" s="10"/>
      <c r="AG6139" s="11"/>
    </row>
    <row r="6140" spans="1:33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  <c r="AB6140" s="7"/>
      <c r="AC6140" s="7"/>
      <c r="AD6140" s="10"/>
      <c r="AE6140" s="10"/>
      <c r="AF6140" s="10"/>
      <c r="AG6140" s="11"/>
    </row>
    <row r="6141" spans="1:33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  <c r="AB6141" s="7"/>
      <c r="AC6141" s="7"/>
      <c r="AD6141" s="10"/>
      <c r="AE6141" s="10"/>
      <c r="AF6141" s="10"/>
      <c r="AG6141" s="11"/>
    </row>
    <row r="6142" spans="1:33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  <c r="AB6142" s="7"/>
      <c r="AC6142" s="7"/>
      <c r="AD6142" s="10"/>
      <c r="AE6142" s="10"/>
      <c r="AF6142" s="10"/>
      <c r="AG6142" s="11"/>
    </row>
    <row r="6143" spans="1:33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  <c r="AB6143" s="7"/>
      <c r="AC6143" s="7"/>
      <c r="AD6143" s="10"/>
      <c r="AE6143" s="10"/>
      <c r="AF6143" s="10"/>
      <c r="AG6143" s="11"/>
    </row>
    <row r="6144" spans="1:33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  <c r="AB6144" s="7"/>
      <c r="AC6144" s="7"/>
      <c r="AD6144" s="10"/>
      <c r="AE6144" s="10"/>
      <c r="AF6144" s="10"/>
      <c r="AG6144" s="11"/>
    </row>
    <row r="6145" spans="1:33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  <c r="AB6145" s="7"/>
      <c r="AC6145" s="7"/>
      <c r="AD6145" s="10"/>
      <c r="AE6145" s="10"/>
      <c r="AF6145" s="10"/>
      <c r="AG6145" s="11"/>
    </row>
    <row r="6146" spans="1:33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  <c r="AB6146" s="7"/>
      <c r="AC6146" s="7"/>
      <c r="AD6146" s="10"/>
      <c r="AE6146" s="10"/>
      <c r="AF6146" s="10"/>
      <c r="AG6146" s="11"/>
    </row>
    <row r="6147" spans="1:33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  <c r="AB6147" s="7"/>
      <c r="AC6147" s="7"/>
      <c r="AD6147" s="10"/>
      <c r="AE6147" s="10"/>
      <c r="AF6147" s="10"/>
      <c r="AG6147" s="11"/>
    </row>
    <row r="6148" spans="1:33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  <c r="AB6148" s="7"/>
      <c r="AC6148" s="7"/>
      <c r="AD6148" s="10"/>
      <c r="AE6148" s="10"/>
      <c r="AF6148" s="10"/>
      <c r="AG6148" s="11"/>
    </row>
    <row r="6149" spans="1:33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  <c r="AB6149" s="7"/>
      <c r="AC6149" s="7"/>
      <c r="AD6149" s="10"/>
      <c r="AE6149" s="10"/>
      <c r="AF6149" s="10"/>
      <c r="AG6149" s="11"/>
    </row>
    <row r="6150" spans="1:33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  <c r="AB6150" s="7"/>
      <c r="AC6150" s="7"/>
      <c r="AD6150" s="10"/>
      <c r="AE6150" s="10"/>
      <c r="AF6150" s="10"/>
      <c r="AG6150" s="11"/>
    </row>
    <row r="6151" spans="1:33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  <c r="AB6151" s="7"/>
      <c r="AC6151" s="7"/>
      <c r="AD6151" s="10"/>
      <c r="AE6151" s="10"/>
      <c r="AF6151" s="10"/>
      <c r="AG6151" s="11"/>
    </row>
    <row r="6152" spans="1:33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  <c r="AB6152" s="7"/>
      <c r="AC6152" s="7"/>
      <c r="AD6152" s="10"/>
      <c r="AE6152" s="10"/>
      <c r="AF6152" s="10"/>
      <c r="AG6152" s="11"/>
    </row>
    <row r="6153" spans="1:33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  <c r="AB6153" s="7"/>
      <c r="AC6153" s="7"/>
      <c r="AD6153" s="10"/>
      <c r="AE6153" s="10"/>
      <c r="AF6153" s="10"/>
      <c r="AG6153" s="11"/>
    </row>
    <row r="6154" spans="1:33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  <c r="AB6154" s="7"/>
      <c r="AC6154" s="7"/>
      <c r="AD6154" s="10"/>
      <c r="AE6154" s="10"/>
      <c r="AF6154" s="10"/>
      <c r="AG6154" s="11"/>
    </row>
    <row r="6155" spans="1:33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  <c r="AB6155" s="7"/>
      <c r="AC6155" s="7"/>
      <c r="AD6155" s="10"/>
      <c r="AE6155" s="10"/>
      <c r="AF6155" s="10"/>
      <c r="AG6155" s="11"/>
    </row>
    <row r="6156" spans="1:33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  <c r="AB6156" s="7"/>
      <c r="AC6156" s="7"/>
      <c r="AD6156" s="10"/>
      <c r="AE6156" s="10"/>
      <c r="AF6156" s="10"/>
      <c r="AG6156" s="11"/>
    </row>
    <row r="6157" spans="1:33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  <c r="AB6157" s="7"/>
      <c r="AC6157" s="7"/>
      <c r="AD6157" s="10"/>
      <c r="AE6157" s="10"/>
      <c r="AF6157" s="10"/>
      <c r="AG6157" s="11"/>
    </row>
    <row r="6158" spans="1:33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  <c r="AB6158" s="7"/>
      <c r="AC6158" s="7"/>
      <c r="AD6158" s="10"/>
      <c r="AE6158" s="10"/>
      <c r="AF6158" s="10"/>
      <c r="AG6158" s="11"/>
    </row>
    <row r="6159" spans="1:33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  <c r="AB6159" s="7"/>
      <c r="AC6159" s="7"/>
      <c r="AD6159" s="10"/>
      <c r="AE6159" s="10"/>
      <c r="AF6159" s="10"/>
      <c r="AG6159" s="11"/>
    </row>
    <row r="6160" spans="1:33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  <c r="AB6160" s="7"/>
      <c r="AC6160" s="7"/>
      <c r="AD6160" s="10"/>
      <c r="AE6160" s="10"/>
      <c r="AF6160" s="10"/>
      <c r="AG6160" s="11"/>
    </row>
    <row r="6161" spans="1:33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  <c r="AB6161" s="7"/>
      <c r="AC6161" s="7"/>
      <c r="AD6161" s="10"/>
      <c r="AE6161" s="10"/>
      <c r="AF6161" s="10"/>
      <c r="AG6161" s="11"/>
    </row>
    <row r="6162" spans="1:33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  <c r="AB6162" s="7"/>
      <c r="AC6162" s="7"/>
      <c r="AD6162" s="10"/>
      <c r="AE6162" s="10"/>
      <c r="AF6162" s="10"/>
      <c r="AG6162" s="11"/>
    </row>
    <row r="6163" spans="1:33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  <c r="AB6163" s="7"/>
      <c r="AC6163" s="7"/>
      <c r="AD6163" s="10"/>
      <c r="AE6163" s="10"/>
      <c r="AF6163" s="10"/>
      <c r="AG6163" s="11"/>
    </row>
    <row r="6164" spans="1:33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  <c r="AB6164" s="7"/>
      <c r="AC6164" s="7"/>
      <c r="AD6164" s="10"/>
      <c r="AE6164" s="10"/>
      <c r="AF6164" s="10"/>
      <c r="AG6164" s="11"/>
    </row>
    <row r="6165" spans="1:33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  <c r="AB6165" s="7"/>
      <c r="AC6165" s="7"/>
      <c r="AD6165" s="10"/>
      <c r="AE6165" s="10"/>
      <c r="AF6165" s="10"/>
      <c r="AG6165" s="11"/>
    </row>
    <row r="6166" spans="1:33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  <c r="AB6166" s="7"/>
      <c r="AC6166" s="7"/>
      <c r="AD6166" s="10"/>
      <c r="AE6166" s="10"/>
      <c r="AF6166" s="10"/>
      <c r="AG6166" s="11"/>
    </row>
    <row r="6167" spans="1:33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  <c r="AB6167" s="7"/>
      <c r="AC6167" s="7"/>
      <c r="AD6167" s="10"/>
      <c r="AE6167" s="10"/>
      <c r="AF6167" s="10"/>
      <c r="AG6167" s="11"/>
    </row>
    <row r="6168" spans="1:33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  <c r="AB6168" s="7"/>
      <c r="AC6168" s="7"/>
      <c r="AD6168" s="10"/>
      <c r="AE6168" s="10"/>
      <c r="AF6168" s="10"/>
      <c r="AG6168" s="11"/>
    </row>
    <row r="6169" spans="1:33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  <c r="AB6169" s="7"/>
      <c r="AC6169" s="7"/>
      <c r="AD6169" s="10"/>
      <c r="AE6169" s="10"/>
      <c r="AF6169" s="10"/>
      <c r="AG6169" s="11"/>
    </row>
    <row r="6170" spans="1:33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  <c r="AB6170" s="7"/>
      <c r="AC6170" s="7"/>
      <c r="AD6170" s="10"/>
      <c r="AE6170" s="10"/>
      <c r="AF6170" s="10"/>
      <c r="AG6170" s="11"/>
    </row>
    <row r="6171" spans="1:33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  <c r="AB6171" s="7"/>
      <c r="AC6171" s="7"/>
      <c r="AD6171" s="10"/>
      <c r="AE6171" s="10"/>
      <c r="AF6171" s="10"/>
      <c r="AG6171" s="11"/>
    </row>
    <row r="6172" spans="1:33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  <c r="AB6172" s="7"/>
      <c r="AC6172" s="7"/>
      <c r="AD6172" s="10"/>
      <c r="AE6172" s="10"/>
      <c r="AF6172" s="10"/>
      <c r="AG6172" s="11"/>
    </row>
    <row r="6173" spans="1:33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  <c r="AB6173" s="7"/>
      <c r="AC6173" s="7"/>
      <c r="AD6173" s="10"/>
      <c r="AE6173" s="10"/>
      <c r="AF6173" s="10"/>
      <c r="AG6173" s="11"/>
    </row>
    <row r="6174" spans="1:33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  <c r="AB6174" s="7"/>
      <c r="AC6174" s="7"/>
      <c r="AD6174" s="10"/>
      <c r="AE6174" s="10"/>
      <c r="AF6174" s="10"/>
      <c r="AG6174" s="11"/>
    </row>
    <row r="6175" spans="1:33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  <c r="AB6175" s="7"/>
      <c r="AC6175" s="7"/>
      <c r="AD6175" s="10"/>
      <c r="AE6175" s="10"/>
      <c r="AF6175" s="10"/>
      <c r="AG6175" s="11"/>
    </row>
    <row r="6176" spans="1:33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  <c r="AB6176" s="7"/>
      <c r="AC6176" s="7"/>
      <c r="AD6176" s="10"/>
      <c r="AE6176" s="10"/>
      <c r="AF6176" s="10"/>
      <c r="AG6176" s="11"/>
    </row>
    <row r="6177" spans="1:33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  <c r="AB6177" s="7"/>
      <c r="AC6177" s="7"/>
      <c r="AD6177" s="10"/>
      <c r="AE6177" s="10"/>
      <c r="AF6177" s="10"/>
      <c r="AG6177" s="11"/>
    </row>
    <row r="6178" spans="1:33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  <c r="AB6178" s="7"/>
      <c r="AC6178" s="7"/>
      <c r="AD6178" s="10"/>
      <c r="AE6178" s="10"/>
      <c r="AF6178" s="10"/>
      <c r="AG6178" s="11"/>
    </row>
    <row r="6179" spans="1:33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  <c r="AB6179" s="7"/>
      <c r="AC6179" s="7"/>
      <c r="AD6179" s="10"/>
      <c r="AE6179" s="10"/>
      <c r="AF6179" s="10"/>
      <c r="AG6179" s="11"/>
    </row>
    <row r="6180" spans="1:33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  <c r="AB6180" s="7"/>
      <c r="AC6180" s="7"/>
      <c r="AD6180" s="10"/>
      <c r="AE6180" s="10"/>
      <c r="AF6180" s="10"/>
      <c r="AG6180" s="11"/>
    </row>
    <row r="6181" spans="1:33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  <c r="AB6181" s="7"/>
      <c r="AC6181" s="7"/>
      <c r="AD6181" s="10"/>
      <c r="AE6181" s="10"/>
      <c r="AF6181" s="10"/>
      <c r="AG6181" s="11"/>
    </row>
    <row r="6182" spans="1:33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  <c r="AB6182" s="7"/>
      <c r="AC6182" s="7"/>
      <c r="AD6182" s="10"/>
      <c r="AE6182" s="10"/>
      <c r="AF6182" s="10"/>
      <c r="AG6182" s="11"/>
    </row>
    <row r="6183" spans="1:33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  <c r="AB6183" s="7"/>
      <c r="AC6183" s="7"/>
      <c r="AD6183" s="10"/>
      <c r="AE6183" s="10"/>
      <c r="AF6183" s="10"/>
      <c r="AG6183" s="11"/>
    </row>
    <row r="6184" spans="1:33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  <c r="AB6184" s="7"/>
      <c r="AC6184" s="7"/>
      <c r="AD6184" s="10"/>
      <c r="AE6184" s="10"/>
      <c r="AF6184" s="10"/>
      <c r="AG6184" s="11"/>
    </row>
    <row r="6185" spans="1:33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  <c r="AB6185" s="7"/>
      <c r="AC6185" s="7"/>
      <c r="AD6185" s="10"/>
      <c r="AE6185" s="10"/>
      <c r="AF6185" s="10"/>
      <c r="AG6185" s="11"/>
    </row>
    <row r="6186" spans="1:33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  <c r="AB6186" s="7"/>
      <c r="AC6186" s="7"/>
      <c r="AD6186" s="10"/>
      <c r="AE6186" s="10"/>
      <c r="AF6186" s="10"/>
      <c r="AG6186" s="11"/>
    </row>
    <row r="6187" spans="1:33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  <c r="AB6187" s="7"/>
      <c r="AC6187" s="7"/>
      <c r="AD6187" s="10"/>
      <c r="AE6187" s="10"/>
      <c r="AF6187" s="10"/>
      <c r="AG6187" s="11"/>
    </row>
    <row r="6188" spans="1:33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  <c r="AB6188" s="7"/>
      <c r="AC6188" s="7"/>
      <c r="AD6188" s="10"/>
      <c r="AE6188" s="10"/>
      <c r="AF6188" s="10"/>
      <c r="AG6188" s="11"/>
    </row>
    <row r="6189" spans="1:33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  <c r="AB6189" s="7"/>
      <c r="AC6189" s="7"/>
      <c r="AD6189" s="10"/>
      <c r="AE6189" s="10"/>
      <c r="AF6189" s="10"/>
      <c r="AG6189" s="11"/>
    </row>
    <row r="6190" spans="1:33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  <c r="AB6190" s="7"/>
      <c r="AC6190" s="7"/>
      <c r="AD6190" s="10"/>
      <c r="AE6190" s="10"/>
      <c r="AF6190" s="10"/>
      <c r="AG6190" s="11"/>
    </row>
    <row r="6191" spans="1:33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  <c r="AB6191" s="7"/>
      <c r="AC6191" s="7"/>
      <c r="AD6191" s="10"/>
      <c r="AE6191" s="10"/>
      <c r="AF6191" s="10"/>
      <c r="AG6191" s="11"/>
    </row>
    <row r="6192" spans="1:33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  <c r="AB6192" s="7"/>
      <c r="AC6192" s="7"/>
      <c r="AD6192" s="10"/>
      <c r="AE6192" s="10"/>
      <c r="AF6192" s="10"/>
      <c r="AG6192" s="11"/>
    </row>
    <row r="6193" spans="1:33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  <c r="AB6193" s="7"/>
      <c r="AC6193" s="7"/>
      <c r="AD6193" s="10"/>
      <c r="AE6193" s="10"/>
      <c r="AF6193" s="10"/>
      <c r="AG6193" s="11"/>
    </row>
    <row r="6194" spans="1:33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  <c r="AB6194" s="7"/>
      <c r="AC6194" s="7"/>
      <c r="AD6194" s="10"/>
      <c r="AE6194" s="10"/>
      <c r="AF6194" s="10"/>
      <c r="AG6194" s="11"/>
    </row>
    <row r="6195" spans="1:33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  <c r="AB6195" s="7"/>
      <c r="AC6195" s="7"/>
      <c r="AD6195" s="10"/>
      <c r="AE6195" s="10"/>
      <c r="AF6195" s="10"/>
      <c r="AG6195" s="11"/>
    </row>
    <row r="6196" spans="1:33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  <c r="AB6196" s="7"/>
      <c r="AC6196" s="7"/>
      <c r="AD6196" s="10"/>
      <c r="AE6196" s="10"/>
      <c r="AF6196" s="10"/>
      <c r="AG6196" s="11"/>
    </row>
    <row r="6197" spans="1:33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  <c r="AB6197" s="7"/>
      <c r="AC6197" s="7"/>
      <c r="AD6197" s="10"/>
      <c r="AE6197" s="10"/>
      <c r="AF6197" s="10"/>
      <c r="AG6197" s="11"/>
    </row>
    <row r="6198" spans="1:33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  <c r="AB6198" s="7"/>
      <c r="AC6198" s="7"/>
      <c r="AD6198" s="10"/>
      <c r="AE6198" s="10"/>
      <c r="AF6198" s="10"/>
      <c r="AG6198" s="11"/>
    </row>
    <row r="6199" spans="1:33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  <c r="AB6199" s="7"/>
      <c r="AC6199" s="7"/>
      <c r="AD6199" s="10"/>
      <c r="AE6199" s="10"/>
      <c r="AF6199" s="10"/>
      <c r="AG6199" s="11"/>
    </row>
    <row r="6200" spans="1:33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  <c r="AB6200" s="7"/>
      <c r="AC6200" s="7"/>
      <c r="AD6200" s="10"/>
      <c r="AE6200" s="10"/>
      <c r="AF6200" s="10"/>
      <c r="AG6200" s="11"/>
    </row>
    <row r="6201" spans="1:33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  <c r="AB6201" s="7"/>
      <c r="AC6201" s="7"/>
      <c r="AD6201" s="10"/>
      <c r="AE6201" s="10"/>
      <c r="AF6201" s="10"/>
      <c r="AG6201" s="11"/>
    </row>
    <row r="6202" spans="1:33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  <c r="AB6202" s="7"/>
      <c r="AC6202" s="7"/>
      <c r="AD6202" s="10"/>
      <c r="AE6202" s="10"/>
      <c r="AF6202" s="10"/>
      <c r="AG6202" s="11"/>
    </row>
    <row r="6203" spans="1:33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  <c r="AB6203" s="7"/>
      <c r="AC6203" s="7"/>
      <c r="AD6203" s="10"/>
      <c r="AE6203" s="10"/>
      <c r="AF6203" s="10"/>
      <c r="AG6203" s="11"/>
    </row>
    <row r="6204" spans="1:33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  <c r="AB6204" s="7"/>
      <c r="AC6204" s="7"/>
      <c r="AD6204" s="10"/>
      <c r="AE6204" s="10"/>
      <c r="AF6204" s="10"/>
      <c r="AG6204" s="11"/>
    </row>
    <row r="6205" spans="1:33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  <c r="AB6205" s="7"/>
      <c r="AC6205" s="7"/>
      <c r="AD6205" s="10"/>
      <c r="AE6205" s="10"/>
      <c r="AF6205" s="10"/>
      <c r="AG6205" s="11"/>
    </row>
    <row r="6206" spans="1:33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  <c r="AB6206" s="7"/>
      <c r="AC6206" s="7"/>
      <c r="AD6206" s="10"/>
      <c r="AE6206" s="10"/>
      <c r="AF6206" s="10"/>
      <c r="AG6206" s="11"/>
    </row>
    <row r="6207" spans="1:33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  <c r="AB6207" s="7"/>
      <c r="AC6207" s="7"/>
      <c r="AD6207" s="10"/>
      <c r="AE6207" s="10"/>
      <c r="AF6207" s="10"/>
      <c r="AG6207" s="11"/>
    </row>
    <row r="6208" spans="1:33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  <c r="AB6208" s="7"/>
      <c r="AC6208" s="7"/>
      <c r="AD6208" s="10"/>
      <c r="AE6208" s="10"/>
      <c r="AF6208" s="10"/>
      <c r="AG6208" s="11"/>
    </row>
    <row r="6209" spans="1:33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  <c r="AB6209" s="7"/>
      <c r="AC6209" s="7"/>
      <c r="AD6209" s="10"/>
      <c r="AE6209" s="10"/>
      <c r="AF6209" s="10"/>
      <c r="AG6209" s="11"/>
    </row>
    <row r="6210" spans="1:33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  <c r="AB6210" s="7"/>
      <c r="AC6210" s="7"/>
      <c r="AD6210" s="10"/>
      <c r="AE6210" s="10"/>
      <c r="AF6210" s="10"/>
      <c r="AG6210" s="11"/>
    </row>
    <row r="6211" spans="1:33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  <c r="AB6211" s="7"/>
      <c r="AC6211" s="7"/>
      <c r="AD6211" s="10"/>
      <c r="AE6211" s="10"/>
      <c r="AF6211" s="10"/>
      <c r="AG6211" s="11"/>
    </row>
    <row r="6212" spans="1:33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  <c r="AB6212" s="7"/>
      <c r="AC6212" s="7"/>
      <c r="AD6212" s="10"/>
      <c r="AE6212" s="10"/>
      <c r="AF6212" s="10"/>
      <c r="AG6212" s="11"/>
    </row>
    <row r="6213" spans="1:33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  <c r="AB6213" s="7"/>
      <c r="AC6213" s="7"/>
      <c r="AD6213" s="10"/>
      <c r="AE6213" s="10"/>
      <c r="AF6213" s="10"/>
      <c r="AG6213" s="11"/>
    </row>
    <row r="6214" spans="1:33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  <c r="AB6214" s="7"/>
      <c r="AC6214" s="7"/>
      <c r="AD6214" s="10"/>
      <c r="AE6214" s="10"/>
      <c r="AF6214" s="10"/>
      <c r="AG6214" s="11"/>
    </row>
    <row r="6215" spans="1:33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  <c r="AB6215" s="7"/>
      <c r="AC6215" s="7"/>
      <c r="AD6215" s="10"/>
      <c r="AE6215" s="10"/>
      <c r="AF6215" s="10"/>
      <c r="AG6215" s="11"/>
    </row>
    <row r="6216" spans="1:33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  <c r="AB6216" s="7"/>
      <c r="AC6216" s="7"/>
      <c r="AD6216" s="10"/>
      <c r="AE6216" s="10"/>
      <c r="AF6216" s="10"/>
      <c r="AG6216" s="11"/>
    </row>
    <row r="6217" spans="1:33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  <c r="AB6217" s="7"/>
      <c r="AC6217" s="7"/>
      <c r="AD6217" s="10"/>
      <c r="AE6217" s="10"/>
      <c r="AF6217" s="10"/>
      <c r="AG6217" s="11"/>
    </row>
    <row r="6218" spans="1:33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  <c r="AB6218" s="7"/>
      <c r="AC6218" s="7"/>
      <c r="AD6218" s="10"/>
      <c r="AE6218" s="10"/>
      <c r="AF6218" s="10"/>
      <c r="AG6218" s="11"/>
    </row>
    <row r="6219" spans="1:33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  <c r="AB6219" s="7"/>
      <c r="AC6219" s="7"/>
      <c r="AD6219" s="10"/>
      <c r="AE6219" s="10"/>
      <c r="AF6219" s="10"/>
      <c r="AG6219" s="11"/>
    </row>
    <row r="6220" spans="1:33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  <c r="AB6220" s="7"/>
      <c r="AC6220" s="7"/>
      <c r="AD6220" s="10"/>
      <c r="AE6220" s="10"/>
      <c r="AF6220" s="10"/>
      <c r="AG6220" s="11"/>
    </row>
    <row r="6221" spans="1:33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  <c r="AB6221" s="7"/>
      <c r="AC6221" s="7"/>
      <c r="AD6221" s="10"/>
      <c r="AE6221" s="10"/>
      <c r="AF6221" s="10"/>
      <c r="AG6221" s="11"/>
    </row>
    <row r="6222" spans="1:33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  <c r="AB6222" s="7"/>
      <c r="AC6222" s="7"/>
      <c r="AD6222" s="10"/>
      <c r="AE6222" s="10"/>
      <c r="AF6222" s="10"/>
      <c r="AG6222" s="11"/>
    </row>
    <row r="6223" spans="1:33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  <c r="AB6223" s="7"/>
      <c r="AC6223" s="7"/>
      <c r="AD6223" s="10"/>
      <c r="AE6223" s="10"/>
      <c r="AF6223" s="10"/>
      <c r="AG6223" s="11"/>
    </row>
    <row r="6224" spans="1:33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  <c r="AB6224" s="7"/>
      <c r="AC6224" s="7"/>
      <c r="AD6224" s="10"/>
      <c r="AE6224" s="10"/>
      <c r="AF6224" s="10"/>
      <c r="AG6224" s="11"/>
    </row>
    <row r="6225" spans="1:33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  <c r="AB6225" s="7"/>
      <c r="AC6225" s="7"/>
      <c r="AD6225" s="10"/>
      <c r="AE6225" s="10"/>
      <c r="AF6225" s="10"/>
      <c r="AG6225" s="11"/>
    </row>
    <row r="6226" spans="1:33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  <c r="AB6226" s="7"/>
      <c r="AC6226" s="7"/>
      <c r="AD6226" s="10"/>
      <c r="AE6226" s="10"/>
      <c r="AF6226" s="10"/>
      <c r="AG6226" s="11"/>
    </row>
    <row r="6227" spans="1:33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  <c r="AB6227" s="7"/>
      <c r="AC6227" s="7"/>
      <c r="AD6227" s="10"/>
      <c r="AE6227" s="10"/>
      <c r="AF6227" s="10"/>
      <c r="AG6227" s="11"/>
    </row>
    <row r="6228" spans="1:33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  <c r="AB6228" s="7"/>
      <c r="AC6228" s="7"/>
      <c r="AD6228" s="10"/>
      <c r="AE6228" s="10"/>
      <c r="AF6228" s="10"/>
      <c r="AG6228" s="11"/>
    </row>
    <row r="6229" spans="1:33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  <c r="AB6229" s="7"/>
      <c r="AC6229" s="7"/>
      <c r="AD6229" s="10"/>
      <c r="AE6229" s="10"/>
      <c r="AF6229" s="10"/>
      <c r="AG6229" s="11"/>
    </row>
    <row r="6230" spans="1:33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  <c r="AB6230" s="7"/>
      <c r="AC6230" s="7"/>
      <c r="AD6230" s="10"/>
      <c r="AE6230" s="10"/>
      <c r="AF6230" s="10"/>
      <c r="AG6230" s="11"/>
    </row>
    <row r="6231" spans="1:33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  <c r="AB6231" s="7"/>
      <c r="AC6231" s="7"/>
      <c r="AD6231" s="10"/>
      <c r="AE6231" s="10"/>
      <c r="AF6231" s="10"/>
      <c r="AG6231" s="11"/>
    </row>
    <row r="6232" spans="1:33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  <c r="AB6232" s="7"/>
      <c r="AC6232" s="7"/>
      <c r="AD6232" s="10"/>
      <c r="AE6232" s="10"/>
      <c r="AF6232" s="10"/>
      <c r="AG6232" s="11"/>
    </row>
    <row r="6233" spans="1:33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  <c r="AB6233" s="7"/>
      <c r="AC6233" s="7"/>
      <c r="AD6233" s="10"/>
      <c r="AE6233" s="10"/>
      <c r="AF6233" s="10"/>
      <c r="AG6233" s="11"/>
    </row>
    <row r="6234" spans="1:33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  <c r="AB6234" s="7"/>
      <c r="AC6234" s="7"/>
      <c r="AD6234" s="10"/>
      <c r="AE6234" s="10"/>
      <c r="AF6234" s="10"/>
      <c r="AG6234" s="11"/>
    </row>
    <row r="6235" spans="1:33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  <c r="AB6235" s="7"/>
      <c r="AC6235" s="7"/>
      <c r="AD6235" s="10"/>
      <c r="AE6235" s="10"/>
      <c r="AF6235" s="10"/>
      <c r="AG6235" s="11"/>
    </row>
    <row r="6236" spans="1:33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  <c r="AB6236" s="7"/>
      <c r="AC6236" s="7"/>
      <c r="AD6236" s="10"/>
      <c r="AE6236" s="10"/>
      <c r="AF6236" s="10"/>
      <c r="AG6236" s="11"/>
    </row>
    <row r="6237" spans="1:33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  <c r="AB6237" s="7"/>
      <c r="AC6237" s="7"/>
      <c r="AD6237" s="10"/>
      <c r="AE6237" s="10"/>
      <c r="AF6237" s="10"/>
      <c r="AG6237" s="11"/>
    </row>
    <row r="6238" spans="1:33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  <c r="AB6238" s="7"/>
      <c r="AC6238" s="7"/>
      <c r="AD6238" s="10"/>
      <c r="AE6238" s="10"/>
      <c r="AF6238" s="10"/>
      <c r="AG6238" s="11"/>
    </row>
    <row r="6239" spans="1:33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  <c r="AB6239" s="7"/>
      <c r="AC6239" s="7"/>
      <c r="AD6239" s="10"/>
      <c r="AE6239" s="10"/>
      <c r="AF6239" s="10"/>
      <c r="AG6239" s="11"/>
    </row>
    <row r="6240" spans="1:33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  <c r="AB6240" s="7"/>
      <c r="AC6240" s="7"/>
      <c r="AD6240" s="10"/>
      <c r="AE6240" s="10"/>
      <c r="AF6240" s="10"/>
      <c r="AG6240" s="11"/>
    </row>
    <row r="6241" spans="1:33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  <c r="AB6241" s="7"/>
      <c r="AC6241" s="7"/>
      <c r="AD6241" s="10"/>
      <c r="AE6241" s="10"/>
      <c r="AF6241" s="10"/>
      <c r="AG6241" s="11"/>
    </row>
    <row r="6242" spans="1:33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  <c r="AB6242" s="7"/>
      <c r="AC6242" s="7"/>
      <c r="AD6242" s="10"/>
      <c r="AE6242" s="10"/>
      <c r="AF6242" s="10"/>
      <c r="AG6242" s="11"/>
    </row>
    <row r="6243" spans="1:33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  <c r="AB6243" s="7"/>
      <c r="AC6243" s="7"/>
      <c r="AD6243" s="10"/>
      <c r="AE6243" s="10"/>
      <c r="AF6243" s="10"/>
      <c r="AG6243" s="11"/>
    </row>
    <row r="6244" spans="1:33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  <c r="AB6244" s="7"/>
      <c r="AC6244" s="7"/>
      <c r="AD6244" s="10"/>
      <c r="AE6244" s="10"/>
      <c r="AF6244" s="10"/>
      <c r="AG6244" s="11"/>
    </row>
    <row r="6245" spans="1:33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  <c r="AB6245" s="7"/>
      <c r="AC6245" s="7"/>
      <c r="AD6245" s="10"/>
      <c r="AE6245" s="10"/>
      <c r="AF6245" s="10"/>
      <c r="AG6245" s="11"/>
    </row>
    <row r="6246" spans="1:33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  <c r="AB6246" s="7"/>
      <c r="AC6246" s="7"/>
      <c r="AD6246" s="10"/>
      <c r="AE6246" s="10"/>
      <c r="AF6246" s="10"/>
      <c r="AG6246" s="11"/>
    </row>
    <row r="6247" spans="1:33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  <c r="AB6247" s="7"/>
      <c r="AC6247" s="7"/>
      <c r="AD6247" s="10"/>
      <c r="AE6247" s="10"/>
      <c r="AF6247" s="10"/>
      <c r="AG6247" s="11"/>
    </row>
    <row r="6248" spans="1:33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  <c r="AB6248" s="7"/>
      <c r="AC6248" s="7"/>
      <c r="AD6248" s="10"/>
      <c r="AE6248" s="10"/>
      <c r="AF6248" s="10"/>
      <c r="AG6248" s="11"/>
    </row>
    <row r="6249" spans="1:33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  <c r="AB6249" s="7"/>
      <c r="AC6249" s="7"/>
      <c r="AD6249" s="10"/>
      <c r="AE6249" s="10"/>
      <c r="AF6249" s="10"/>
      <c r="AG6249" s="11"/>
    </row>
    <row r="6250" spans="1:33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  <c r="AB6250" s="7"/>
      <c r="AC6250" s="7"/>
      <c r="AD6250" s="10"/>
      <c r="AE6250" s="10"/>
      <c r="AF6250" s="10"/>
      <c r="AG6250" s="11"/>
    </row>
    <row r="6251" spans="1:33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  <c r="AB6251" s="7"/>
      <c r="AC6251" s="7"/>
      <c r="AD6251" s="10"/>
      <c r="AE6251" s="10"/>
      <c r="AF6251" s="10"/>
      <c r="AG6251" s="11"/>
    </row>
    <row r="6252" spans="1:33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  <c r="AB6252" s="7"/>
      <c r="AC6252" s="7"/>
      <c r="AD6252" s="10"/>
      <c r="AE6252" s="10"/>
      <c r="AF6252" s="10"/>
      <c r="AG6252" s="11"/>
    </row>
    <row r="6253" spans="1:33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  <c r="AB6253" s="7"/>
      <c r="AC6253" s="7"/>
      <c r="AD6253" s="10"/>
      <c r="AE6253" s="10"/>
      <c r="AF6253" s="10"/>
      <c r="AG6253" s="11"/>
    </row>
    <row r="6254" spans="1:33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  <c r="AB6254" s="7"/>
      <c r="AC6254" s="7"/>
      <c r="AD6254" s="10"/>
      <c r="AE6254" s="10"/>
      <c r="AF6254" s="10"/>
      <c r="AG6254" s="11"/>
    </row>
    <row r="6255" spans="1:33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  <c r="AB6255" s="7"/>
      <c r="AC6255" s="7"/>
      <c r="AD6255" s="10"/>
      <c r="AE6255" s="10"/>
      <c r="AF6255" s="10"/>
      <c r="AG6255" s="11"/>
    </row>
    <row r="6256" spans="1:33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  <c r="AB6256" s="7"/>
      <c r="AC6256" s="7"/>
      <c r="AD6256" s="10"/>
      <c r="AE6256" s="10"/>
      <c r="AF6256" s="10"/>
      <c r="AG6256" s="11"/>
    </row>
    <row r="6257" spans="1:33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  <c r="AB6257" s="7"/>
      <c r="AC6257" s="7"/>
      <c r="AD6257" s="10"/>
      <c r="AE6257" s="10"/>
      <c r="AF6257" s="10"/>
      <c r="AG6257" s="11"/>
    </row>
    <row r="6258" spans="1:33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  <c r="AB6258" s="7"/>
      <c r="AC6258" s="7"/>
      <c r="AD6258" s="10"/>
      <c r="AE6258" s="10"/>
      <c r="AF6258" s="10"/>
      <c r="AG6258" s="11"/>
    </row>
    <row r="6259" spans="1:33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  <c r="AB6259" s="7"/>
      <c r="AC6259" s="7"/>
      <c r="AD6259" s="10"/>
      <c r="AE6259" s="10"/>
      <c r="AF6259" s="10"/>
      <c r="AG6259" s="11"/>
    </row>
    <row r="6260" spans="1:33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  <c r="AB6260" s="7"/>
      <c r="AC6260" s="7"/>
      <c r="AD6260" s="10"/>
      <c r="AE6260" s="10"/>
      <c r="AF6260" s="10"/>
      <c r="AG6260" s="11"/>
    </row>
    <row r="6261" spans="1:33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  <c r="AB6261" s="7"/>
      <c r="AC6261" s="7"/>
      <c r="AD6261" s="10"/>
      <c r="AE6261" s="10"/>
      <c r="AF6261" s="10"/>
      <c r="AG6261" s="11"/>
    </row>
    <row r="6262" spans="1:33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  <c r="AB6262" s="7"/>
      <c r="AC6262" s="7"/>
      <c r="AD6262" s="10"/>
      <c r="AE6262" s="10"/>
      <c r="AF6262" s="10"/>
      <c r="AG6262" s="11"/>
    </row>
    <row r="6263" spans="1:33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  <c r="AB6263" s="7"/>
      <c r="AC6263" s="7"/>
      <c r="AD6263" s="10"/>
      <c r="AE6263" s="10"/>
      <c r="AF6263" s="10"/>
      <c r="AG6263" s="11"/>
    </row>
    <row r="6264" spans="1:33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  <c r="AB6264" s="7"/>
      <c r="AC6264" s="7"/>
      <c r="AD6264" s="10"/>
      <c r="AE6264" s="10"/>
      <c r="AF6264" s="10"/>
      <c r="AG6264" s="11"/>
    </row>
    <row r="6265" spans="1:33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  <c r="AB6265" s="7"/>
      <c r="AC6265" s="7"/>
      <c r="AD6265" s="10"/>
      <c r="AE6265" s="10"/>
      <c r="AF6265" s="10"/>
      <c r="AG6265" s="11"/>
    </row>
    <row r="6266" spans="1:33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  <c r="AB6266" s="7"/>
      <c r="AC6266" s="7"/>
      <c r="AD6266" s="10"/>
      <c r="AE6266" s="10"/>
      <c r="AF6266" s="10"/>
      <c r="AG6266" s="11"/>
    </row>
    <row r="6267" spans="1:33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  <c r="AB6267" s="7"/>
      <c r="AC6267" s="7"/>
      <c r="AD6267" s="10"/>
      <c r="AE6267" s="10"/>
      <c r="AF6267" s="10"/>
      <c r="AG6267" s="11"/>
    </row>
    <row r="6268" spans="1:33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  <c r="AB6268" s="7"/>
      <c r="AC6268" s="7"/>
      <c r="AD6268" s="10"/>
      <c r="AE6268" s="10"/>
      <c r="AF6268" s="10"/>
      <c r="AG6268" s="11"/>
    </row>
    <row r="6269" spans="1:33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  <c r="AB6269" s="7"/>
      <c r="AC6269" s="7"/>
      <c r="AD6269" s="10"/>
      <c r="AE6269" s="10"/>
      <c r="AF6269" s="10"/>
      <c r="AG6269" s="11"/>
    </row>
    <row r="6270" spans="1:33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  <c r="AB6270" s="7"/>
      <c r="AC6270" s="7"/>
      <c r="AD6270" s="10"/>
      <c r="AE6270" s="10"/>
      <c r="AF6270" s="10"/>
      <c r="AG6270" s="11"/>
    </row>
    <row r="6271" spans="1:33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  <c r="AB6271" s="7"/>
      <c r="AC6271" s="7"/>
      <c r="AD6271" s="10"/>
      <c r="AE6271" s="10"/>
      <c r="AF6271" s="10"/>
      <c r="AG6271" s="11"/>
    </row>
    <row r="6272" spans="1:33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  <c r="AB6272" s="7"/>
      <c r="AC6272" s="7"/>
      <c r="AD6272" s="10"/>
      <c r="AE6272" s="10"/>
      <c r="AF6272" s="10"/>
      <c r="AG6272" s="11"/>
    </row>
    <row r="6273" spans="1:33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  <c r="AB6273" s="7"/>
      <c r="AC6273" s="7"/>
      <c r="AD6273" s="10"/>
      <c r="AE6273" s="10"/>
      <c r="AF6273" s="10"/>
      <c r="AG6273" s="11"/>
    </row>
    <row r="6274" spans="1:33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  <c r="AB6274" s="7"/>
      <c r="AC6274" s="7"/>
      <c r="AD6274" s="10"/>
      <c r="AE6274" s="10"/>
      <c r="AF6274" s="10"/>
      <c r="AG6274" s="11"/>
    </row>
    <row r="6275" spans="1:33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  <c r="AB6275" s="7"/>
      <c r="AC6275" s="7"/>
      <c r="AD6275" s="10"/>
      <c r="AE6275" s="10"/>
      <c r="AF6275" s="10"/>
      <c r="AG6275" s="11"/>
    </row>
    <row r="6276" spans="1:33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  <c r="AB6276" s="7"/>
      <c r="AC6276" s="7"/>
      <c r="AD6276" s="10"/>
      <c r="AE6276" s="10"/>
      <c r="AF6276" s="10"/>
      <c r="AG6276" s="11"/>
    </row>
    <row r="6277" spans="1:33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  <c r="AB6277" s="7"/>
      <c r="AC6277" s="7"/>
      <c r="AD6277" s="10"/>
      <c r="AE6277" s="10"/>
      <c r="AF6277" s="10"/>
      <c r="AG6277" s="11"/>
    </row>
    <row r="6278" spans="1:33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  <c r="AB6278" s="7"/>
      <c r="AC6278" s="7"/>
      <c r="AD6278" s="10"/>
      <c r="AE6278" s="10"/>
      <c r="AF6278" s="10"/>
      <c r="AG6278" s="11"/>
    </row>
    <row r="6279" spans="1:33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  <c r="AB6279" s="7"/>
      <c r="AC6279" s="7"/>
      <c r="AD6279" s="10"/>
      <c r="AE6279" s="10"/>
      <c r="AF6279" s="10"/>
      <c r="AG6279" s="11"/>
    </row>
    <row r="6280" spans="1:33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  <c r="AB6280" s="7"/>
      <c r="AC6280" s="7"/>
      <c r="AD6280" s="10"/>
      <c r="AE6280" s="10"/>
      <c r="AF6280" s="10"/>
      <c r="AG6280" s="11"/>
    </row>
    <row r="6281" spans="1:33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  <c r="AB6281" s="7"/>
      <c r="AC6281" s="7"/>
      <c r="AD6281" s="10"/>
      <c r="AE6281" s="10"/>
      <c r="AF6281" s="10"/>
      <c r="AG6281" s="11"/>
    </row>
    <row r="6282" spans="1:33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  <c r="AB6282" s="7"/>
      <c r="AC6282" s="7"/>
      <c r="AD6282" s="10"/>
      <c r="AE6282" s="10"/>
      <c r="AF6282" s="10"/>
      <c r="AG6282" s="11"/>
    </row>
    <row r="6283" spans="1:33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  <c r="AB6283" s="7"/>
      <c r="AC6283" s="7"/>
      <c r="AD6283" s="10"/>
      <c r="AE6283" s="10"/>
      <c r="AF6283" s="10"/>
      <c r="AG6283" s="11"/>
    </row>
    <row r="6284" spans="1:33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  <c r="AB6284" s="7"/>
      <c r="AC6284" s="7"/>
      <c r="AD6284" s="10"/>
      <c r="AE6284" s="10"/>
      <c r="AF6284" s="10"/>
      <c r="AG6284" s="11"/>
    </row>
    <row r="6285" spans="1:33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  <c r="AB6285" s="7"/>
      <c r="AC6285" s="7"/>
      <c r="AD6285" s="10"/>
      <c r="AE6285" s="10"/>
      <c r="AF6285" s="10"/>
      <c r="AG6285" s="11"/>
    </row>
    <row r="6286" spans="1:33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  <c r="AB6286" s="7"/>
      <c r="AC6286" s="7"/>
      <c r="AD6286" s="10"/>
      <c r="AE6286" s="10"/>
      <c r="AF6286" s="10"/>
      <c r="AG6286" s="11"/>
    </row>
    <row r="6287" spans="1:33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  <c r="AB6287" s="7"/>
      <c r="AC6287" s="7"/>
      <c r="AD6287" s="10"/>
      <c r="AE6287" s="10"/>
      <c r="AF6287" s="10"/>
      <c r="AG6287" s="11"/>
    </row>
    <row r="6288" spans="1:33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  <c r="AB6288" s="7"/>
      <c r="AC6288" s="7"/>
      <c r="AD6288" s="10"/>
      <c r="AE6288" s="10"/>
      <c r="AF6288" s="10"/>
      <c r="AG6288" s="11"/>
    </row>
    <row r="6289" spans="1:33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  <c r="AB6289" s="7"/>
      <c r="AC6289" s="7"/>
      <c r="AD6289" s="10"/>
      <c r="AE6289" s="10"/>
      <c r="AF6289" s="10"/>
      <c r="AG6289" s="11"/>
    </row>
    <row r="6290" spans="1:33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  <c r="AB6290" s="7"/>
      <c r="AC6290" s="7"/>
      <c r="AD6290" s="10"/>
      <c r="AE6290" s="10"/>
      <c r="AF6290" s="10"/>
      <c r="AG6290" s="11"/>
    </row>
    <row r="6291" spans="1:33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  <c r="AB6291" s="7"/>
      <c r="AC6291" s="7"/>
      <c r="AD6291" s="10"/>
      <c r="AE6291" s="10"/>
      <c r="AF6291" s="10"/>
      <c r="AG6291" s="11"/>
    </row>
    <row r="6292" spans="1:33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  <c r="AB6292" s="7"/>
      <c r="AC6292" s="7"/>
      <c r="AD6292" s="10"/>
      <c r="AE6292" s="10"/>
      <c r="AF6292" s="10"/>
      <c r="AG6292" s="11"/>
    </row>
    <row r="6293" spans="1:33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  <c r="AB6293" s="7"/>
      <c r="AC6293" s="7"/>
      <c r="AD6293" s="10"/>
      <c r="AE6293" s="10"/>
      <c r="AF6293" s="10"/>
      <c r="AG6293" s="11"/>
    </row>
    <row r="6294" spans="1:33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  <c r="AB6294" s="7"/>
      <c r="AC6294" s="7"/>
      <c r="AD6294" s="10"/>
      <c r="AE6294" s="10"/>
      <c r="AF6294" s="10"/>
      <c r="AG6294" s="11"/>
    </row>
    <row r="6295" spans="1:33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  <c r="AB6295" s="7"/>
      <c r="AC6295" s="7"/>
      <c r="AD6295" s="10"/>
      <c r="AE6295" s="10"/>
      <c r="AF6295" s="10"/>
      <c r="AG6295" s="11"/>
    </row>
    <row r="6296" spans="1:33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  <c r="AB6296" s="7"/>
      <c r="AC6296" s="7"/>
      <c r="AD6296" s="10"/>
      <c r="AE6296" s="10"/>
      <c r="AF6296" s="10"/>
      <c r="AG6296" s="11"/>
    </row>
    <row r="6297" spans="1:33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  <c r="AB6297" s="7"/>
      <c r="AC6297" s="7"/>
      <c r="AD6297" s="10"/>
      <c r="AE6297" s="10"/>
      <c r="AF6297" s="10"/>
      <c r="AG6297" s="11"/>
    </row>
    <row r="6298" spans="1:33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  <c r="AB6298" s="7"/>
      <c r="AC6298" s="7"/>
      <c r="AD6298" s="10"/>
      <c r="AE6298" s="10"/>
      <c r="AF6298" s="10"/>
      <c r="AG6298" s="11"/>
    </row>
    <row r="6299" spans="1:33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  <c r="AB6299" s="7"/>
      <c r="AC6299" s="7"/>
      <c r="AD6299" s="10"/>
      <c r="AE6299" s="10"/>
      <c r="AF6299" s="10"/>
      <c r="AG6299" s="11"/>
    </row>
    <row r="6300" spans="1:33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  <c r="AB6300" s="7"/>
      <c r="AC6300" s="7"/>
      <c r="AD6300" s="10"/>
      <c r="AE6300" s="10"/>
      <c r="AF6300" s="10"/>
      <c r="AG6300" s="11"/>
    </row>
    <row r="6301" spans="1:33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  <c r="AB6301" s="7"/>
      <c r="AC6301" s="7"/>
      <c r="AD6301" s="10"/>
      <c r="AE6301" s="10"/>
      <c r="AF6301" s="10"/>
      <c r="AG6301" s="11"/>
    </row>
    <row r="6302" spans="1:33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  <c r="AB6302" s="7"/>
      <c r="AC6302" s="7"/>
      <c r="AD6302" s="10"/>
      <c r="AE6302" s="10"/>
      <c r="AF6302" s="10"/>
      <c r="AG6302" s="11"/>
    </row>
    <row r="6303" spans="1:33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  <c r="AB6303" s="7"/>
      <c r="AC6303" s="7"/>
      <c r="AD6303" s="10"/>
      <c r="AE6303" s="10"/>
      <c r="AF6303" s="10"/>
      <c r="AG6303" s="11"/>
    </row>
    <row r="6304" spans="1:33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  <c r="AB6304" s="7"/>
      <c r="AC6304" s="7"/>
      <c r="AD6304" s="10"/>
      <c r="AE6304" s="10"/>
      <c r="AF6304" s="10"/>
      <c r="AG6304" s="11"/>
    </row>
    <row r="6305" spans="1:33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  <c r="AB6305" s="7"/>
      <c r="AC6305" s="7"/>
      <c r="AD6305" s="10"/>
      <c r="AE6305" s="10"/>
      <c r="AF6305" s="10"/>
      <c r="AG6305" s="11"/>
    </row>
    <row r="6306" spans="1:33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  <c r="AB6306" s="7"/>
      <c r="AC6306" s="7"/>
      <c r="AD6306" s="10"/>
      <c r="AE6306" s="10"/>
      <c r="AF6306" s="10"/>
      <c r="AG6306" s="11"/>
    </row>
    <row r="6307" spans="1:33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  <c r="AB6307" s="7"/>
      <c r="AC6307" s="7"/>
      <c r="AD6307" s="10"/>
      <c r="AE6307" s="10"/>
      <c r="AF6307" s="10"/>
      <c r="AG6307" s="11"/>
    </row>
    <row r="6308" spans="1:33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  <c r="AB6308" s="7"/>
      <c r="AC6308" s="7"/>
      <c r="AD6308" s="10"/>
      <c r="AE6308" s="10"/>
      <c r="AF6308" s="10"/>
      <c r="AG6308" s="11"/>
    </row>
    <row r="6309" spans="1:33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  <c r="AB6309" s="7"/>
      <c r="AC6309" s="7"/>
      <c r="AD6309" s="10"/>
      <c r="AE6309" s="10"/>
      <c r="AF6309" s="10"/>
      <c r="AG6309" s="11"/>
    </row>
    <row r="6310" spans="1:33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  <c r="AB6310" s="7"/>
      <c r="AC6310" s="7"/>
      <c r="AD6310" s="10"/>
      <c r="AE6310" s="10"/>
      <c r="AF6310" s="10"/>
      <c r="AG6310" s="11"/>
    </row>
    <row r="6311" spans="1:33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  <c r="AB6311" s="7"/>
      <c r="AC6311" s="7"/>
      <c r="AD6311" s="10"/>
      <c r="AE6311" s="10"/>
      <c r="AF6311" s="10"/>
      <c r="AG6311" s="11"/>
    </row>
    <row r="6312" spans="1:33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  <c r="AB6312" s="7"/>
      <c r="AC6312" s="7"/>
      <c r="AD6312" s="10"/>
      <c r="AE6312" s="10"/>
      <c r="AF6312" s="10"/>
      <c r="AG6312" s="11"/>
    </row>
    <row r="6313" spans="1:33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  <c r="AB6313" s="7"/>
      <c r="AC6313" s="7"/>
      <c r="AD6313" s="10"/>
      <c r="AE6313" s="10"/>
      <c r="AF6313" s="10"/>
      <c r="AG6313" s="11"/>
    </row>
    <row r="6314" spans="1:33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  <c r="AB6314" s="7"/>
      <c r="AC6314" s="7"/>
      <c r="AD6314" s="10"/>
      <c r="AE6314" s="10"/>
      <c r="AF6314" s="10"/>
      <c r="AG6314" s="11"/>
    </row>
    <row r="6315" spans="1:33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  <c r="AB6315" s="7"/>
      <c r="AC6315" s="7"/>
      <c r="AD6315" s="10"/>
      <c r="AE6315" s="10"/>
      <c r="AF6315" s="10"/>
      <c r="AG6315" s="11"/>
    </row>
    <row r="6316" spans="1:33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  <c r="AB6316" s="7"/>
      <c r="AC6316" s="7"/>
      <c r="AD6316" s="10"/>
      <c r="AE6316" s="10"/>
      <c r="AF6316" s="10"/>
      <c r="AG6316" s="11"/>
    </row>
    <row r="6317" spans="1:33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  <c r="AB6317" s="7"/>
      <c r="AC6317" s="7"/>
      <c r="AD6317" s="10"/>
      <c r="AE6317" s="10"/>
      <c r="AF6317" s="10"/>
      <c r="AG6317" s="11"/>
    </row>
    <row r="6318" spans="1:33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  <c r="AB6318" s="7"/>
      <c r="AC6318" s="7"/>
      <c r="AD6318" s="10"/>
      <c r="AE6318" s="10"/>
      <c r="AF6318" s="10"/>
      <c r="AG6318" s="11"/>
    </row>
    <row r="6319" spans="1:33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  <c r="AB6319" s="7"/>
      <c r="AC6319" s="7"/>
      <c r="AD6319" s="10"/>
      <c r="AE6319" s="10"/>
      <c r="AF6319" s="10"/>
      <c r="AG6319" s="11"/>
    </row>
    <row r="6320" spans="1:33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  <c r="AB6320" s="7"/>
      <c r="AC6320" s="7"/>
      <c r="AD6320" s="10"/>
      <c r="AE6320" s="10"/>
      <c r="AF6320" s="10"/>
      <c r="AG6320" s="11"/>
    </row>
    <row r="6321" spans="1:33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  <c r="AB6321" s="7"/>
      <c r="AC6321" s="7"/>
      <c r="AD6321" s="10"/>
      <c r="AE6321" s="10"/>
      <c r="AF6321" s="10"/>
      <c r="AG6321" s="11"/>
    </row>
    <row r="6322" spans="1:33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  <c r="AB6322" s="7"/>
      <c r="AC6322" s="7"/>
      <c r="AD6322" s="10"/>
      <c r="AE6322" s="10"/>
      <c r="AF6322" s="10"/>
      <c r="AG6322" s="11"/>
    </row>
    <row r="6323" spans="1:33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  <c r="AB6323" s="7"/>
      <c r="AC6323" s="7"/>
      <c r="AD6323" s="10"/>
      <c r="AE6323" s="10"/>
      <c r="AF6323" s="10"/>
      <c r="AG6323" s="11"/>
    </row>
    <row r="6324" spans="1:33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  <c r="AB6324" s="7"/>
      <c r="AC6324" s="7"/>
      <c r="AD6324" s="10"/>
      <c r="AE6324" s="10"/>
      <c r="AF6324" s="10"/>
      <c r="AG6324" s="11"/>
    </row>
    <row r="6325" spans="1:33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  <c r="AB6325" s="7"/>
      <c r="AC6325" s="7"/>
      <c r="AD6325" s="10"/>
      <c r="AE6325" s="10"/>
      <c r="AF6325" s="10"/>
      <c r="AG6325" s="11"/>
    </row>
    <row r="6326" spans="1:33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  <c r="AB6326" s="7"/>
      <c r="AC6326" s="7"/>
      <c r="AD6326" s="10"/>
      <c r="AE6326" s="10"/>
      <c r="AF6326" s="10"/>
      <c r="AG6326" s="11"/>
    </row>
    <row r="6327" spans="1:33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  <c r="AB6327" s="7"/>
      <c r="AC6327" s="7"/>
      <c r="AD6327" s="10"/>
      <c r="AE6327" s="10"/>
      <c r="AF6327" s="10"/>
      <c r="AG6327" s="11"/>
    </row>
    <row r="6328" spans="1:33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  <c r="AB6328" s="7"/>
      <c r="AC6328" s="7"/>
      <c r="AD6328" s="10"/>
      <c r="AE6328" s="10"/>
      <c r="AF6328" s="10"/>
      <c r="AG6328" s="11"/>
    </row>
    <row r="6329" spans="1:33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  <c r="AB6329" s="7"/>
      <c r="AC6329" s="7"/>
      <c r="AD6329" s="10"/>
      <c r="AE6329" s="10"/>
      <c r="AF6329" s="10"/>
      <c r="AG6329" s="11"/>
    </row>
    <row r="6330" spans="1:33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  <c r="AB6330" s="7"/>
      <c r="AC6330" s="7"/>
      <c r="AD6330" s="10"/>
      <c r="AE6330" s="10"/>
      <c r="AF6330" s="10"/>
      <c r="AG6330" s="11"/>
    </row>
    <row r="6331" spans="1:33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  <c r="AB6331" s="7"/>
      <c r="AC6331" s="7"/>
      <c r="AD6331" s="10"/>
      <c r="AE6331" s="10"/>
      <c r="AF6331" s="10"/>
      <c r="AG6331" s="11"/>
    </row>
    <row r="6332" spans="1:33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  <c r="AB6332" s="7"/>
      <c r="AC6332" s="7"/>
      <c r="AD6332" s="10"/>
      <c r="AE6332" s="10"/>
      <c r="AF6332" s="10"/>
      <c r="AG6332" s="11"/>
    </row>
    <row r="6333" spans="1:33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  <c r="AB6333" s="7"/>
      <c r="AC6333" s="7"/>
      <c r="AD6333" s="10"/>
      <c r="AE6333" s="10"/>
      <c r="AF6333" s="10"/>
      <c r="AG6333" s="11"/>
    </row>
    <row r="6334" spans="1:33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  <c r="AB6334" s="7"/>
      <c r="AC6334" s="7"/>
      <c r="AD6334" s="10"/>
      <c r="AE6334" s="10"/>
      <c r="AF6334" s="10"/>
      <c r="AG6334" s="11"/>
    </row>
    <row r="6335" spans="1:33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  <c r="AB6335" s="7"/>
      <c r="AC6335" s="7"/>
      <c r="AD6335" s="10"/>
      <c r="AE6335" s="10"/>
      <c r="AF6335" s="10"/>
      <c r="AG6335" s="11"/>
    </row>
    <row r="6336" spans="1:33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  <c r="AB6336" s="7"/>
      <c r="AC6336" s="7"/>
      <c r="AD6336" s="10"/>
      <c r="AE6336" s="10"/>
      <c r="AF6336" s="10"/>
      <c r="AG6336" s="11"/>
    </row>
    <row r="6337" spans="1:33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  <c r="AB6337" s="7"/>
      <c r="AC6337" s="7"/>
      <c r="AD6337" s="10"/>
      <c r="AE6337" s="10"/>
      <c r="AF6337" s="10"/>
      <c r="AG6337" s="11"/>
    </row>
    <row r="6338" spans="1:33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  <c r="AB6338" s="7"/>
      <c r="AC6338" s="7"/>
      <c r="AD6338" s="10"/>
      <c r="AE6338" s="10"/>
      <c r="AF6338" s="10"/>
      <c r="AG6338" s="11"/>
    </row>
    <row r="6339" spans="1:33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  <c r="AB6339" s="7"/>
      <c r="AC6339" s="7"/>
      <c r="AD6339" s="10"/>
      <c r="AE6339" s="10"/>
      <c r="AF6339" s="10"/>
      <c r="AG6339" s="11"/>
    </row>
    <row r="6340" spans="1:33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  <c r="AB6340" s="7"/>
      <c r="AC6340" s="7"/>
      <c r="AD6340" s="10"/>
      <c r="AE6340" s="10"/>
      <c r="AF6340" s="10"/>
      <c r="AG6340" s="11"/>
    </row>
    <row r="6341" spans="1:33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  <c r="AB6341" s="7"/>
      <c r="AC6341" s="7"/>
      <c r="AD6341" s="10"/>
      <c r="AE6341" s="10"/>
      <c r="AF6341" s="10"/>
      <c r="AG6341" s="11"/>
    </row>
    <row r="6342" spans="1:33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  <c r="AB6342" s="7"/>
      <c r="AC6342" s="7"/>
      <c r="AD6342" s="10"/>
      <c r="AE6342" s="10"/>
      <c r="AF6342" s="10"/>
      <c r="AG6342" s="11"/>
    </row>
    <row r="6343" spans="1:33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  <c r="AB6343" s="7"/>
      <c r="AC6343" s="7"/>
      <c r="AD6343" s="10"/>
      <c r="AE6343" s="10"/>
      <c r="AF6343" s="10"/>
      <c r="AG6343" s="11"/>
    </row>
    <row r="6344" spans="1:33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  <c r="AB6344" s="7"/>
      <c r="AC6344" s="7"/>
      <c r="AD6344" s="10"/>
      <c r="AE6344" s="10"/>
      <c r="AF6344" s="10"/>
      <c r="AG6344" s="11"/>
    </row>
    <row r="6345" spans="1:33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  <c r="AB6345" s="7"/>
      <c r="AC6345" s="7"/>
      <c r="AD6345" s="10"/>
      <c r="AE6345" s="10"/>
      <c r="AF6345" s="10"/>
      <c r="AG6345" s="11"/>
    </row>
    <row r="6346" spans="1:33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  <c r="AB6346" s="7"/>
      <c r="AC6346" s="7"/>
      <c r="AD6346" s="10"/>
      <c r="AE6346" s="10"/>
      <c r="AF6346" s="10"/>
      <c r="AG6346" s="11"/>
    </row>
    <row r="6347" spans="1:33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  <c r="AB6347" s="7"/>
      <c r="AC6347" s="7"/>
      <c r="AD6347" s="10"/>
      <c r="AE6347" s="10"/>
      <c r="AF6347" s="10"/>
      <c r="AG6347" s="11"/>
    </row>
    <row r="6348" spans="1:33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  <c r="AB6348" s="7"/>
      <c r="AC6348" s="7"/>
      <c r="AD6348" s="10"/>
      <c r="AE6348" s="10"/>
      <c r="AF6348" s="10"/>
      <c r="AG6348" s="11"/>
    </row>
    <row r="6349" spans="1:33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  <c r="AB6349" s="7"/>
      <c r="AC6349" s="7"/>
      <c r="AD6349" s="10"/>
      <c r="AE6349" s="10"/>
      <c r="AF6349" s="10"/>
      <c r="AG6349" s="11"/>
    </row>
    <row r="6350" spans="1:33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  <c r="AB6350" s="7"/>
      <c r="AC6350" s="7"/>
      <c r="AD6350" s="10"/>
      <c r="AE6350" s="10"/>
      <c r="AF6350" s="10"/>
      <c r="AG6350" s="11"/>
    </row>
    <row r="6351" spans="1:33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  <c r="AB6351" s="7"/>
      <c r="AC6351" s="7"/>
      <c r="AD6351" s="10"/>
      <c r="AE6351" s="10"/>
      <c r="AF6351" s="10"/>
      <c r="AG6351" s="11"/>
    </row>
    <row r="6352" spans="1:33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  <c r="AB6352" s="7"/>
      <c r="AC6352" s="7"/>
      <c r="AD6352" s="10"/>
      <c r="AE6352" s="10"/>
      <c r="AF6352" s="10"/>
      <c r="AG6352" s="11"/>
    </row>
    <row r="6353" spans="1:33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  <c r="AB6353" s="7"/>
      <c r="AC6353" s="7"/>
      <c r="AD6353" s="10"/>
      <c r="AE6353" s="10"/>
      <c r="AF6353" s="10"/>
      <c r="AG6353" s="11"/>
    </row>
    <row r="6354" spans="1:33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  <c r="AB6354" s="7"/>
      <c r="AC6354" s="7"/>
      <c r="AD6354" s="10"/>
      <c r="AE6354" s="10"/>
      <c r="AF6354" s="10"/>
      <c r="AG6354" s="11"/>
    </row>
    <row r="6355" spans="1:33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  <c r="AB6355" s="7"/>
      <c r="AC6355" s="7"/>
      <c r="AD6355" s="10"/>
      <c r="AE6355" s="10"/>
      <c r="AF6355" s="10"/>
      <c r="AG6355" s="11"/>
    </row>
    <row r="6356" spans="1:33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  <c r="AB6356" s="7"/>
      <c r="AC6356" s="7"/>
      <c r="AD6356" s="10"/>
      <c r="AE6356" s="10"/>
      <c r="AF6356" s="10"/>
      <c r="AG6356" s="11"/>
    </row>
    <row r="6357" spans="1:33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  <c r="AB6357" s="7"/>
      <c r="AC6357" s="7"/>
      <c r="AD6357" s="10"/>
      <c r="AE6357" s="10"/>
      <c r="AF6357" s="10"/>
      <c r="AG6357" s="11"/>
    </row>
    <row r="6358" spans="1:33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  <c r="AB6358" s="7"/>
      <c r="AC6358" s="7"/>
      <c r="AD6358" s="10"/>
      <c r="AE6358" s="10"/>
      <c r="AF6358" s="10"/>
      <c r="AG6358" s="11"/>
    </row>
    <row r="6359" spans="1:33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  <c r="AB6359" s="7"/>
      <c r="AC6359" s="7"/>
      <c r="AD6359" s="10"/>
      <c r="AE6359" s="10"/>
      <c r="AF6359" s="10"/>
      <c r="AG6359" s="11"/>
    </row>
    <row r="6360" spans="1:33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  <c r="AB6360" s="7"/>
      <c r="AC6360" s="7"/>
      <c r="AD6360" s="10"/>
      <c r="AE6360" s="10"/>
      <c r="AF6360" s="10"/>
      <c r="AG6360" s="11"/>
    </row>
    <row r="6361" spans="1:33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  <c r="AB6361" s="7"/>
      <c r="AC6361" s="7"/>
      <c r="AD6361" s="10"/>
      <c r="AE6361" s="10"/>
      <c r="AF6361" s="10"/>
      <c r="AG6361" s="11"/>
    </row>
    <row r="6362" spans="1:33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  <c r="AB6362" s="7"/>
      <c r="AC6362" s="7"/>
      <c r="AD6362" s="10"/>
      <c r="AE6362" s="10"/>
      <c r="AF6362" s="10"/>
      <c r="AG6362" s="11"/>
    </row>
    <row r="6363" spans="1:33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  <c r="AB6363" s="7"/>
      <c r="AC6363" s="7"/>
      <c r="AD6363" s="10"/>
      <c r="AE6363" s="10"/>
      <c r="AF6363" s="10"/>
      <c r="AG6363" s="11"/>
    </row>
    <row r="6364" spans="1:33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  <c r="AB6364" s="7"/>
      <c r="AC6364" s="7"/>
      <c r="AD6364" s="10"/>
      <c r="AE6364" s="10"/>
      <c r="AF6364" s="10"/>
      <c r="AG6364" s="11"/>
    </row>
    <row r="6365" spans="1:33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  <c r="AB6365" s="7"/>
      <c r="AC6365" s="7"/>
      <c r="AD6365" s="10"/>
      <c r="AE6365" s="10"/>
      <c r="AF6365" s="10"/>
      <c r="AG6365" s="11"/>
    </row>
    <row r="6366" spans="1:33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  <c r="AB6366" s="7"/>
      <c r="AC6366" s="7"/>
      <c r="AD6366" s="10"/>
      <c r="AE6366" s="10"/>
      <c r="AF6366" s="10"/>
      <c r="AG6366" s="11"/>
    </row>
    <row r="6367" spans="1:33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  <c r="AB6367" s="7"/>
      <c r="AC6367" s="7"/>
      <c r="AD6367" s="10"/>
      <c r="AE6367" s="10"/>
      <c r="AF6367" s="10"/>
      <c r="AG6367" s="11"/>
    </row>
    <row r="6368" spans="1:33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  <c r="AB6368" s="7"/>
      <c r="AC6368" s="7"/>
      <c r="AD6368" s="7"/>
      <c r="AE6368" s="7"/>
      <c r="AF6368" s="7"/>
      <c r="AG6368" s="11"/>
    </row>
    <row r="6369" spans="1:33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  <c r="AB6369" s="7"/>
      <c r="AC6369" s="7"/>
      <c r="AD6369" s="7"/>
      <c r="AE6369" s="7"/>
      <c r="AF6369" s="7"/>
      <c r="AG6369" s="11"/>
    </row>
    <row r="6370" spans="1:33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  <c r="AB6370" s="7"/>
      <c r="AC6370" s="7"/>
      <c r="AD6370" s="7"/>
      <c r="AE6370" s="7"/>
      <c r="AF6370" s="7"/>
      <c r="AG6370" s="11"/>
    </row>
    <row r="6371" spans="1:33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  <c r="AB6371" s="7"/>
      <c r="AC6371" s="7"/>
      <c r="AD6371" s="7"/>
      <c r="AE6371" s="7"/>
      <c r="AF6371" s="7"/>
      <c r="AG6371" s="11"/>
    </row>
    <row r="6372" spans="1:33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  <c r="AB6372" s="7"/>
      <c r="AC6372" s="7"/>
      <c r="AD6372" s="7"/>
      <c r="AE6372" s="7"/>
      <c r="AF6372" s="7"/>
      <c r="AG6372" s="11"/>
    </row>
    <row r="6373" spans="1:33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  <c r="AB6373" s="7"/>
      <c r="AC6373" s="7"/>
      <c r="AD6373" s="7"/>
      <c r="AE6373" s="7"/>
      <c r="AF6373" s="7"/>
      <c r="AG6373" s="11"/>
    </row>
    <row r="6374" spans="1:33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  <c r="AB6374" s="7"/>
      <c r="AC6374" s="7"/>
      <c r="AD6374" s="7"/>
      <c r="AE6374" s="7"/>
      <c r="AF6374" s="7"/>
      <c r="AG6374" s="11"/>
    </row>
    <row r="6375" spans="1:33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  <c r="AB6375" s="7"/>
      <c r="AC6375" s="7"/>
      <c r="AD6375" s="7"/>
      <c r="AE6375" s="7"/>
      <c r="AF6375" s="7"/>
      <c r="AG6375" s="11"/>
    </row>
    <row r="6376" spans="1:33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  <c r="AB6376" s="7"/>
      <c r="AC6376" s="7"/>
      <c r="AD6376" s="7"/>
      <c r="AE6376" s="7"/>
      <c r="AF6376" s="7"/>
      <c r="AG6376" s="11"/>
    </row>
    <row r="6377" spans="1:33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  <c r="AB6377" s="7"/>
      <c r="AC6377" s="7"/>
      <c r="AD6377" s="7"/>
      <c r="AE6377" s="7"/>
      <c r="AF6377" s="7"/>
      <c r="AG6377" s="11"/>
    </row>
    <row r="6378" spans="1:33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  <c r="AB6378" s="7"/>
      <c r="AC6378" s="7"/>
      <c r="AD6378" s="7"/>
      <c r="AE6378" s="7"/>
      <c r="AF6378" s="7"/>
      <c r="AG6378" s="11"/>
    </row>
    <row r="6379" spans="1:33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  <c r="AB6379" s="7"/>
      <c r="AC6379" s="7"/>
      <c r="AD6379" s="7"/>
      <c r="AE6379" s="7"/>
      <c r="AF6379" s="7"/>
      <c r="AG6379" s="11"/>
    </row>
    <row r="6380" spans="1:33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  <c r="AB6380" s="7"/>
      <c r="AC6380" s="7"/>
      <c r="AD6380" s="7"/>
      <c r="AE6380" s="7"/>
      <c r="AF6380" s="7"/>
      <c r="AG6380" s="11"/>
    </row>
    <row r="6381" spans="1:33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  <c r="AB6381" s="7"/>
      <c r="AC6381" s="7"/>
      <c r="AD6381" s="7"/>
      <c r="AE6381" s="7"/>
      <c r="AF6381" s="7"/>
      <c r="AG6381" s="11"/>
    </row>
    <row r="6382" spans="1:33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  <c r="AB6382" s="7"/>
      <c r="AC6382" s="7"/>
      <c r="AD6382" s="7"/>
      <c r="AE6382" s="7"/>
      <c r="AF6382" s="7"/>
      <c r="AG6382" s="11"/>
    </row>
    <row r="6383" spans="1:33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  <c r="AB6383" s="7"/>
      <c r="AC6383" s="7"/>
      <c r="AD6383" s="7"/>
      <c r="AE6383" s="7"/>
      <c r="AF6383" s="7"/>
      <c r="AG6383" s="11"/>
    </row>
    <row r="6384" spans="1:33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  <c r="AB6384" s="7"/>
      <c r="AC6384" s="7"/>
      <c r="AD6384" s="7"/>
      <c r="AE6384" s="7"/>
      <c r="AF6384" s="7"/>
      <c r="AG6384" s="11"/>
    </row>
    <row r="6385" spans="1:33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  <c r="AB6385" s="7"/>
      <c r="AC6385" s="7"/>
      <c r="AD6385" s="7"/>
      <c r="AE6385" s="7"/>
      <c r="AF6385" s="7"/>
      <c r="AG6385" s="11"/>
    </row>
    <row r="6386" spans="1:33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  <c r="AB6386" s="7"/>
      <c r="AC6386" s="7"/>
      <c r="AD6386" s="7"/>
      <c r="AE6386" s="7"/>
      <c r="AF6386" s="7"/>
      <c r="AG6386" s="11"/>
    </row>
    <row r="6387" spans="1:33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  <c r="AB6387" s="7"/>
      <c r="AC6387" s="7"/>
      <c r="AD6387" s="7"/>
      <c r="AE6387" s="7"/>
      <c r="AF6387" s="7"/>
      <c r="AG6387" s="11"/>
    </row>
    <row r="6388" spans="1:33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  <c r="AB6388" s="7"/>
      <c r="AC6388" s="7"/>
      <c r="AD6388" s="7"/>
      <c r="AE6388" s="7"/>
      <c r="AF6388" s="7"/>
      <c r="AG6388" s="11"/>
    </row>
    <row r="6389" spans="1:33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  <c r="AB6389" s="7"/>
      <c r="AC6389" s="7"/>
      <c r="AD6389" s="7"/>
      <c r="AE6389" s="7"/>
      <c r="AF6389" s="7"/>
      <c r="AG6389" s="11"/>
    </row>
    <row r="6390" spans="1:33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  <c r="AB6390" s="7"/>
      <c r="AC6390" s="7"/>
      <c r="AD6390" s="7"/>
      <c r="AE6390" s="7"/>
      <c r="AF6390" s="7"/>
      <c r="AG6390" s="11"/>
    </row>
    <row r="6391" spans="1:33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  <c r="AB6391" s="7"/>
      <c r="AC6391" s="7"/>
      <c r="AD6391" s="7"/>
      <c r="AE6391" s="7"/>
      <c r="AF6391" s="7"/>
      <c r="AG6391" s="11"/>
    </row>
    <row r="6392" spans="1:33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  <c r="AB6392" s="7"/>
      <c r="AC6392" s="7"/>
      <c r="AD6392" s="7"/>
      <c r="AE6392" s="7"/>
      <c r="AF6392" s="7"/>
      <c r="AG6392" s="11"/>
    </row>
    <row r="6393" spans="1:33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  <c r="AB6393" s="7"/>
      <c r="AC6393" s="7"/>
      <c r="AD6393" s="7"/>
      <c r="AE6393" s="7"/>
      <c r="AF6393" s="7"/>
      <c r="AG6393" s="11"/>
    </row>
    <row r="6394" spans="1:33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  <c r="AB6394" s="7"/>
      <c r="AC6394" s="7"/>
      <c r="AD6394" s="7"/>
      <c r="AE6394" s="7"/>
      <c r="AF6394" s="7"/>
      <c r="AG6394" s="11"/>
    </row>
    <row r="6395" spans="1:33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  <c r="AB6395" s="7"/>
      <c r="AC6395" s="7"/>
      <c r="AD6395" s="7"/>
      <c r="AE6395" s="7"/>
      <c r="AF6395" s="7"/>
      <c r="AG6395" s="11"/>
    </row>
    <row r="6396" spans="1:33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  <c r="AB6396" s="7"/>
      <c r="AC6396" s="7"/>
      <c r="AD6396" s="7"/>
      <c r="AE6396" s="7"/>
      <c r="AF6396" s="7"/>
      <c r="AG6396" s="11"/>
    </row>
    <row r="6397" spans="1:33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  <c r="AB6397" s="7"/>
      <c r="AC6397" s="7"/>
      <c r="AD6397" s="7"/>
      <c r="AE6397" s="7"/>
      <c r="AF6397" s="7"/>
      <c r="AG6397" s="11"/>
    </row>
    <row r="6398" spans="1:33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  <c r="AB6398" s="7"/>
      <c r="AC6398" s="7"/>
      <c r="AD6398" s="7"/>
      <c r="AE6398" s="7"/>
      <c r="AF6398" s="7"/>
      <c r="AG6398" s="11"/>
    </row>
    <row r="6399" spans="1:33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  <c r="AB6399" s="7"/>
      <c r="AC6399" s="7"/>
      <c r="AD6399" s="7"/>
      <c r="AE6399" s="7"/>
      <c r="AF6399" s="7"/>
      <c r="AG6399" s="11"/>
    </row>
    <row r="6400" spans="1:33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  <c r="AB6400" s="7"/>
      <c r="AC6400" s="7"/>
      <c r="AD6400" s="7"/>
      <c r="AE6400" s="7"/>
      <c r="AF6400" s="7"/>
      <c r="AG6400" s="11"/>
    </row>
    <row r="6401" spans="1:33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  <c r="AB6401" s="7"/>
      <c r="AC6401" s="7"/>
      <c r="AD6401" s="7"/>
      <c r="AE6401" s="7"/>
      <c r="AF6401" s="7"/>
      <c r="AG6401" s="11"/>
    </row>
    <row r="6402" spans="1:33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  <c r="AB6402" s="7"/>
      <c r="AC6402" s="7"/>
      <c r="AD6402" s="7"/>
      <c r="AE6402" s="7"/>
      <c r="AF6402" s="7"/>
      <c r="AG6402" s="11"/>
    </row>
    <row r="6403" spans="1:33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  <c r="AB6403" s="7"/>
      <c r="AC6403" s="7"/>
      <c r="AD6403" s="7"/>
      <c r="AE6403" s="7"/>
      <c r="AF6403" s="7"/>
      <c r="AG6403" s="11"/>
    </row>
    <row r="6404" spans="1:33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  <c r="AB6404" s="7"/>
      <c r="AC6404" s="7"/>
      <c r="AD6404" s="7"/>
      <c r="AE6404" s="7"/>
      <c r="AF6404" s="7"/>
      <c r="AG6404" s="11"/>
    </row>
    <row r="6405" spans="1:33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  <c r="AB6405" s="7"/>
      <c r="AC6405" s="7"/>
      <c r="AD6405" s="7"/>
      <c r="AE6405" s="7"/>
      <c r="AF6405" s="7"/>
      <c r="AG6405" s="11"/>
    </row>
    <row r="6406" spans="1:33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  <c r="AB6406" s="7"/>
      <c r="AC6406" s="7"/>
      <c r="AD6406" s="7"/>
      <c r="AE6406" s="7"/>
      <c r="AF6406" s="7"/>
      <c r="AG6406" s="11"/>
    </row>
    <row r="6407" spans="1:33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  <c r="AB6407" s="7"/>
      <c r="AC6407" s="7"/>
      <c r="AD6407" s="7"/>
      <c r="AE6407" s="7"/>
      <c r="AF6407" s="7"/>
      <c r="AG6407" s="11"/>
    </row>
    <row r="6408" spans="1:33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  <c r="AB6408" s="7"/>
      <c r="AC6408" s="7"/>
      <c r="AD6408" s="7"/>
      <c r="AE6408" s="7"/>
      <c r="AF6408" s="7"/>
      <c r="AG6408" s="11"/>
    </row>
    <row r="6409" spans="1:33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  <c r="AB6409" s="7"/>
      <c r="AC6409" s="7"/>
      <c r="AD6409" s="7"/>
      <c r="AE6409" s="7"/>
      <c r="AF6409" s="7"/>
      <c r="AG6409" s="11"/>
    </row>
    <row r="6410" spans="1:33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  <c r="AB6410" s="7"/>
      <c r="AC6410" s="7"/>
      <c r="AD6410" s="7"/>
      <c r="AE6410" s="7"/>
      <c r="AF6410" s="7"/>
      <c r="AG6410" s="11"/>
    </row>
    <row r="6411" spans="1:33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  <c r="AB6411" s="7"/>
      <c r="AC6411" s="7"/>
      <c r="AD6411" s="7"/>
      <c r="AE6411" s="7"/>
      <c r="AF6411" s="7"/>
      <c r="AG6411" s="11"/>
    </row>
    <row r="6412" spans="1:33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  <c r="AB6412" s="7"/>
      <c r="AC6412" s="7"/>
      <c r="AD6412" s="7"/>
      <c r="AE6412" s="7"/>
      <c r="AF6412" s="7"/>
      <c r="AG6412" s="11"/>
    </row>
    <row r="6413" spans="1:33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  <c r="AB6413" s="7"/>
      <c r="AC6413" s="7"/>
      <c r="AD6413" s="7"/>
      <c r="AE6413" s="7"/>
      <c r="AF6413" s="7"/>
      <c r="AG6413" s="11"/>
    </row>
    <row r="6414" spans="1:33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  <c r="AB6414" s="7"/>
      <c r="AC6414" s="7"/>
      <c r="AD6414" s="7"/>
      <c r="AE6414" s="7"/>
      <c r="AF6414" s="7"/>
      <c r="AG6414" s="11"/>
    </row>
    <row r="6415" spans="1:33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  <c r="AB6415" s="7"/>
      <c r="AC6415" s="7"/>
      <c r="AD6415" s="7"/>
      <c r="AE6415" s="7"/>
      <c r="AF6415" s="7"/>
      <c r="AG6415" s="11"/>
    </row>
    <row r="6416" spans="1:33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  <c r="AB6416" s="7"/>
      <c r="AC6416" s="7"/>
      <c r="AD6416" s="7"/>
      <c r="AE6416" s="7"/>
      <c r="AF6416" s="7"/>
      <c r="AG6416" s="11"/>
    </row>
    <row r="6417" spans="1:33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  <c r="AB6417" s="7"/>
      <c r="AC6417" s="7"/>
      <c r="AD6417" s="7"/>
      <c r="AE6417" s="7"/>
      <c r="AF6417" s="7"/>
      <c r="AG6417" s="11"/>
    </row>
    <row r="6418" spans="1:33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  <c r="AB6418" s="7"/>
      <c r="AC6418" s="7"/>
      <c r="AD6418" s="7"/>
      <c r="AE6418" s="7"/>
      <c r="AF6418" s="7"/>
      <c r="AG6418" s="11"/>
    </row>
    <row r="6419" spans="1:33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  <c r="AB6419" s="7"/>
      <c r="AC6419" s="7"/>
      <c r="AD6419" s="7"/>
      <c r="AE6419" s="7"/>
      <c r="AF6419" s="7"/>
      <c r="AG6419" s="11"/>
    </row>
    <row r="6420" spans="1:33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  <c r="AB6420" s="7"/>
      <c r="AC6420" s="7"/>
      <c r="AD6420" s="7"/>
      <c r="AE6420" s="7"/>
      <c r="AF6420" s="7"/>
      <c r="AG6420" s="11"/>
    </row>
    <row r="6421" spans="1:33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  <c r="AB6421" s="7"/>
      <c r="AC6421" s="7"/>
      <c r="AD6421" s="7"/>
      <c r="AE6421" s="7"/>
      <c r="AF6421" s="7"/>
      <c r="AG6421" s="11"/>
    </row>
    <row r="6422" spans="1:33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  <c r="AB6422" s="7"/>
      <c r="AC6422" s="7"/>
      <c r="AD6422" s="7"/>
      <c r="AE6422" s="7"/>
      <c r="AF6422" s="7"/>
      <c r="AG6422" s="11"/>
    </row>
    <row r="6423" spans="1:33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  <c r="AB6423" s="7"/>
      <c r="AC6423" s="7"/>
      <c r="AD6423" s="7"/>
      <c r="AE6423" s="7"/>
      <c r="AF6423" s="7"/>
      <c r="AG6423" s="11"/>
    </row>
    <row r="6424" spans="1:33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  <c r="AB6424" s="7"/>
      <c r="AC6424" s="7"/>
      <c r="AD6424" s="7"/>
      <c r="AE6424" s="7"/>
      <c r="AF6424" s="7"/>
      <c r="AG6424" s="11"/>
    </row>
    <row r="6425" spans="1:33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  <c r="AB6425" s="7"/>
      <c r="AC6425" s="7"/>
      <c r="AD6425" s="7"/>
      <c r="AE6425" s="7"/>
      <c r="AF6425" s="7"/>
      <c r="AG6425" s="11"/>
    </row>
    <row r="6426" spans="1:33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  <c r="AB6426" s="7"/>
      <c r="AC6426" s="7"/>
      <c r="AD6426" s="7"/>
      <c r="AE6426" s="7"/>
      <c r="AF6426" s="7"/>
      <c r="AG6426" s="11"/>
    </row>
    <row r="6427" spans="1:33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  <c r="AB6427" s="7"/>
      <c r="AC6427" s="7"/>
      <c r="AD6427" s="7"/>
      <c r="AE6427" s="7"/>
      <c r="AF6427" s="7"/>
      <c r="AG6427" s="11"/>
    </row>
    <row r="6428" spans="1:33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  <c r="AB6428" s="7"/>
      <c r="AC6428" s="7"/>
      <c r="AD6428" s="7"/>
      <c r="AE6428" s="7"/>
      <c r="AF6428" s="7"/>
      <c r="AG6428" s="11"/>
    </row>
    <row r="6429" spans="1:33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  <c r="AB6429" s="7"/>
      <c r="AC6429" s="7"/>
      <c r="AD6429" s="7"/>
      <c r="AE6429" s="7"/>
      <c r="AF6429" s="7"/>
      <c r="AG6429" s="11"/>
    </row>
    <row r="6430" spans="1:33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  <c r="AB6430" s="7"/>
      <c r="AC6430" s="7"/>
      <c r="AD6430" s="7"/>
      <c r="AE6430" s="7"/>
      <c r="AF6430" s="7"/>
      <c r="AG6430" s="11"/>
    </row>
    <row r="6431" spans="1:33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  <c r="AB6431" s="7"/>
      <c r="AC6431" s="7"/>
      <c r="AD6431" s="7"/>
      <c r="AE6431" s="7"/>
      <c r="AF6431" s="7"/>
      <c r="AG6431" s="11"/>
    </row>
    <row r="6432" spans="1:33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  <c r="AB6432" s="7"/>
      <c r="AC6432" s="7"/>
      <c r="AD6432" s="7"/>
      <c r="AE6432" s="7"/>
      <c r="AF6432" s="7"/>
      <c r="AG6432" s="11"/>
    </row>
    <row r="6433" spans="1:33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  <c r="AB6433" s="7"/>
      <c r="AC6433" s="7"/>
      <c r="AD6433" s="7"/>
      <c r="AE6433" s="7"/>
      <c r="AF6433" s="7"/>
      <c r="AG6433" s="11"/>
    </row>
    <row r="6434" spans="1:33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  <c r="AB6434" s="7"/>
      <c r="AC6434" s="7"/>
      <c r="AD6434" s="7"/>
      <c r="AE6434" s="7"/>
      <c r="AF6434" s="7"/>
      <c r="AG6434" s="11"/>
    </row>
    <row r="6435" spans="1:33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  <c r="AB6435" s="7"/>
      <c r="AC6435" s="7"/>
      <c r="AD6435" s="7"/>
      <c r="AE6435" s="7"/>
      <c r="AF6435" s="7"/>
      <c r="AG6435" s="11"/>
    </row>
    <row r="6436" spans="1:33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  <c r="AB6436" s="7"/>
      <c r="AC6436" s="7"/>
      <c r="AD6436" s="7"/>
      <c r="AE6436" s="7"/>
      <c r="AF6436" s="7"/>
      <c r="AG6436" s="11"/>
    </row>
    <row r="6437" spans="1:33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  <c r="AB6437" s="7"/>
      <c r="AC6437" s="7"/>
      <c r="AD6437" s="7"/>
      <c r="AE6437" s="7"/>
      <c r="AF6437" s="7"/>
      <c r="AG6437" s="11"/>
    </row>
    <row r="6438" spans="1:33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  <c r="AB6438" s="7"/>
      <c r="AC6438" s="7"/>
      <c r="AD6438" s="7"/>
      <c r="AE6438" s="7"/>
      <c r="AF6438" s="7"/>
      <c r="AG6438" s="11"/>
    </row>
    <row r="6439" spans="1:33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  <c r="AB6439" s="7"/>
      <c r="AC6439" s="7"/>
      <c r="AD6439" s="7"/>
      <c r="AE6439" s="7"/>
      <c r="AF6439" s="7"/>
      <c r="AG6439" s="11"/>
    </row>
    <row r="6440" spans="1:33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  <c r="AB6440" s="7"/>
      <c r="AC6440" s="7"/>
      <c r="AD6440" s="7"/>
      <c r="AE6440" s="7"/>
      <c r="AF6440" s="7"/>
      <c r="AG6440" s="11"/>
    </row>
    <row r="6441" spans="1:33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  <c r="AB6441" s="7"/>
      <c r="AC6441" s="7"/>
      <c r="AD6441" s="7"/>
      <c r="AE6441" s="7"/>
      <c r="AF6441" s="7"/>
      <c r="AG6441" s="11"/>
    </row>
    <row r="6442" spans="1:33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  <c r="AB6442" s="7"/>
      <c r="AC6442" s="7"/>
      <c r="AD6442" s="7"/>
      <c r="AE6442" s="7"/>
      <c r="AF6442" s="7"/>
      <c r="AG6442" s="11"/>
    </row>
    <row r="6443" spans="1:33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  <c r="AB6443" s="7"/>
      <c r="AC6443" s="7"/>
      <c r="AD6443" s="7"/>
      <c r="AE6443" s="7"/>
      <c r="AF6443" s="7"/>
      <c r="AG6443" s="11"/>
    </row>
    <row r="6444" spans="1:33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  <c r="AB6444" s="7"/>
      <c r="AC6444" s="7"/>
      <c r="AD6444" s="7"/>
      <c r="AE6444" s="7"/>
      <c r="AF6444" s="7"/>
      <c r="AG6444" s="11"/>
    </row>
    <row r="6445" spans="1:33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  <c r="AB6445" s="7"/>
      <c r="AC6445" s="7"/>
      <c r="AD6445" s="7"/>
      <c r="AE6445" s="7"/>
      <c r="AF6445" s="7"/>
      <c r="AG6445" s="11"/>
    </row>
    <row r="6446" spans="1:33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  <c r="AB6446" s="7"/>
      <c r="AC6446" s="7"/>
      <c r="AD6446" s="7"/>
      <c r="AE6446" s="7"/>
      <c r="AF6446" s="7"/>
      <c r="AG6446" s="11"/>
    </row>
    <row r="6447" spans="1:33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  <c r="AB6447" s="7"/>
      <c r="AC6447" s="7"/>
      <c r="AD6447" s="7"/>
      <c r="AE6447" s="7"/>
      <c r="AF6447" s="7"/>
      <c r="AG6447" s="11"/>
    </row>
    <row r="6448" spans="1:33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  <c r="AB6448" s="7"/>
      <c r="AC6448" s="7"/>
      <c r="AD6448" s="7"/>
      <c r="AE6448" s="7"/>
      <c r="AF6448" s="7"/>
      <c r="AG6448" s="11"/>
    </row>
    <row r="6449" spans="1:33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  <c r="AB6449" s="7"/>
      <c r="AC6449" s="7"/>
      <c r="AD6449" s="7"/>
      <c r="AE6449" s="7"/>
      <c r="AF6449" s="7"/>
      <c r="AG6449" s="11"/>
    </row>
    <row r="6450" spans="1:33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  <c r="AB6450" s="7"/>
      <c r="AC6450" s="7"/>
      <c r="AD6450" s="7"/>
      <c r="AE6450" s="7"/>
      <c r="AF6450" s="7"/>
      <c r="AG6450" s="11"/>
    </row>
    <row r="6451" spans="1:33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  <c r="AB6451" s="7"/>
      <c r="AC6451" s="7"/>
      <c r="AD6451" s="7"/>
      <c r="AE6451" s="7"/>
      <c r="AF6451" s="7"/>
      <c r="AG6451" s="11"/>
    </row>
    <row r="6452" spans="1:33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  <c r="AB6452" s="7"/>
      <c r="AC6452" s="7"/>
      <c r="AD6452" s="7"/>
      <c r="AE6452" s="7"/>
      <c r="AF6452" s="7"/>
      <c r="AG6452" s="11"/>
    </row>
    <row r="6453" spans="1:33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  <c r="AB6453" s="7"/>
      <c r="AC6453" s="7"/>
      <c r="AD6453" s="7"/>
      <c r="AE6453" s="7"/>
      <c r="AF6453" s="7"/>
      <c r="AG6453" s="11"/>
    </row>
    <row r="6454" spans="1:33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  <c r="AB6454" s="7"/>
      <c r="AC6454" s="7"/>
      <c r="AD6454" s="7"/>
      <c r="AE6454" s="7"/>
      <c r="AF6454" s="7"/>
      <c r="AG6454" s="11"/>
    </row>
    <row r="6455" spans="1:33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  <c r="AB6455" s="7"/>
      <c r="AC6455" s="7"/>
      <c r="AD6455" s="7"/>
      <c r="AE6455" s="7"/>
      <c r="AF6455" s="7"/>
      <c r="AG6455" s="11"/>
    </row>
    <row r="6456" spans="1:33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  <c r="AB6456" s="7"/>
      <c r="AC6456" s="7"/>
      <c r="AD6456" s="7"/>
      <c r="AE6456" s="7"/>
      <c r="AF6456" s="7"/>
      <c r="AG6456" s="11"/>
    </row>
    <row r="6457" spans="1:33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  <c r="AB6457" s="7"/>
      <c r="AC6457" s="7"/>
      <c r="AD6457" s="7"/>
      <c r="AE6457" s="7"/>
      <c r="AF6457" s="7"/>
      <c r="AG6457" s="11"/>
    </row>
    <row r="6458" spans="1:33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  <c r="AB6458" s="7"/>
      <c r="AC6458" s="7"/>
      <c r="AD6458" s="7"/>
      <c r="AE6458" s="7"/>
      <c r="AF6458" s="7"/>
      <c r="AG6458" s="11"/>
    </row>
    <row r="6459" spans="1:33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  <c r="AB6459" s="7"/>
      <c r="AC6459" s="7"/>
      <c r="AD6459" s="7"/>
      <c r="AE6459" s="7"/>
      <c r="AF6459" s="7"/>
      <c r="AG6459" s="11"/>
    </row>
    <row r="6460" spans="1:33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  <c r="AB6460" s="7"/>
      <c r="AC6460" s="7"/>
      <c r="AD6460" s="7"/>
      <c r="AE6460" s="7"/>
      <c r="AF6460" s="7"/>
      <c r="AG6460" s="11"/>
    </row>
    <row r="6461" spans="1:33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  <c r="AB6461" s="7"/>
      <c r="AC6461" s="7"/>
      <c r="AD6461" s="7"/>
      <c r="AE6461" s="7"/>
      <c r="AF6461" s="7"/>
      <c r="AG6461" s="11"/>
    </row>
    <row r="6462" spans="1:33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  <c r="AB6462" s="7"/>
      <c r="AC6462" s="7"/>
      <c r="AD6462" s="7"/>
      <c r="AE6462" s="7"/>
      <c r="AF6462" s="7"/>
      <c r="AG6462" s="11"/>
    </row>
    <row r="6463" spans="1:33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  <c r="AB6463" s="7"/>
      <c r="AC6463" s="7"/>
      <c r="AD6463" s="7"/>
      <c r="AE6463" s="7"/>
      <c r="AF6463" s="7"/>
      <c r="AG6463" s="11"/>
    </row>
    <row r="6464" spans="1:33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  <c r="AB6464" s="7"/>
      <c r="AC6464" s="7"/>
      <c r="AD6464" s="7"/>
      <c r="AE6464" s="7"/>
      <c r="AF6464" s="7"/>
      <c r="AG6464" s="11"/>
    </row>
    <row r="6465" spans="1:33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  <c r="AB6465" s="7"/>
      <c r="AC6465" s="7"/>
      <c r="AD6465" s="7"/>
      <c r="AE6465" s="7"/>
      <c r="AF6465" s="7"/>
      <c r="AG6465" s="11"/>
    </row>
    <row r="6466" spans="1:33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  <c r="AB6466" s="7"/>
      <c r="AC6466" s="7"/>
      <c r="AD6466" s="7"/>
      <c r="AE6466" s="7"/>
      <c r="AF6466" s="7"/>
      <c r="AG6466" s="11"/>
    </row>
    <row r="6467" spans="1:33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  <c r="AB6467" s="7"/>
      <c r="AC6467" s="7"/>
      <c r="AD6467" s="7"/>
      <c r="AE6467" s="7"/>
      <c r="AF6467" s="7"/>
      <c r="AG6467" s="11"/>
    </row>
    <row r="6468" spans="1:33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  <c r="AB6468" s="7"/>
      <c r="AC6468" s="7"/>
      <c r="AD6468" s="7"/>
      <c r="AE6468" s="7"/>
      <c r="AF6468" s="7"/>
      <c r="AG6468" s="11"/>
    </row>
    <row r="6469" spans="1:33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  <c r="AB6469" s="7"/>
      <c r="AC6469" s="7"/>
      <c r="AD6469" s="7"/>
      <c r="AE6469" s="7"/>
      <c r="AF6469" s="7"/>
      <c r="AG6469" s="11"/>
    </row>
    <row r="6470" spans="1:33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  <c r="AB6470" s="7"/>
      <c r="AC6470" s="7"/>
      <c r="AD6470" s="7"/>
      <c r="AE6470" s="7"/>
      <c r="AF6470" s="7"/>
      <c r="AG6470" s="11"/>
    </row>
    <row r="6471" spans="1:33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  <c r="AB6471" s="7"/>
      <c r="AC6471" s="7"/>
      <c r="AD6471" s="7"/>
      <c r="AE6471" s="7"/>
      <c r="AF6471" s="7"/>
      <c r="AG6471" s="11"/>
    </row>
    <row r="6472" spans="1:33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  <c r="AB6472" s="7"/>
      <c r="AC6472" s="7"/>
      <c r="AD6472" s="7"/>
      <c r="AE6472" s="7"/>
      <c r="AF6472" s="7"/>
      <c r="AG6472" s="11"/>
    </row>
    <row r="6473" spans="1:33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  <c r="AB6473" s="7"/>
      <c r="AC6473" s="7"/>
      <c r="AD6473" s="7"/>
      <c r="AE6473" s="7"/>
      <c r="AF6473" s="7"/>
      <c r="AG6473" s="11"/>
    </row>
    <row r="6474" spans="1:33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  <c r="AB6474" s="7"/>
      <c r="AC6474" s="7"/>
      <c r="AD6474" s="7"/>
      <c r="AE6474" s="7"/>
      <c r="AF6474" s="7"/>
      <c r="AG6474" s="11"/>
    </row>
    <row r="6475" spans="1:33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  <c r="AB6475" s="7"/>
      <c r="AC6475" s="7"/>
      <c r="AD6475" s="7"/>
      <c r="AE6475" s="7"/>
      <c r="AF6475" s="7"/>
      <c r="AG6475" s="11"/>
    </row>
    <row r="6476" spans="1:33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  <c r="AB6476" s="7"/>
      <c r="AC6476" s="7"/>
      <c r="AD6476" s="7"/>
      <c r="AE6476" s="7"/>
      <c r="AF6476" s="7"/>
      <c r="AG6476" s="11"/>
    </row>
    <row r="6477" spans="1:33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  <c r="AB6477" s="7"/>
      <c r="AC6477" s="7"/>
      <c r="AD6477" s="7"/>
      <c r="AE6477" s="7"/>
      <c r="AF6477" s="7"/>
      <c r="AG6477" s="11"/>
    </row>
    <row r="6478" spans="1:33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  <c r="AB6478" s="7"/>
      <c r="AC6478" s="7"/>
      <c r="AD6478" s="7"/>
      <c r="AE6478" s="7"/>
      <c r="AF6478" s="7"/>
      <c r="AG6478" s="11"/>
    </row>
    <row r="6479" spans="1:33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  <c r="AB6479" s="7"/>
      <c r="AC6479" s="7"/>
      <c r="AD6479" s="7"/>
      <c r="AE6479" s="7"/>
      <c r="AF6479" s="7"/>
      <c r="AG6479" s="11"/>
    </row>
    <row r="6480" spans="1:33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  <c r="AB6480" s="7"/>
      <c r="AC6480" s="7"/>
      <c r="AD6480" s="7"/>
      <c r="AE6480" s="7"/>
      <c r="AF6480" s="7"/>
      <c r="AG6480" s="11"/>
    </row>
    <row r="6481" spans="1:33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  <c r="AB6481" s="7"/>
      <c r="AC6481" s="7"/>
      <c r="AD6481" s="7"/>
      <c r="AE6481" s="7"/>
      <c r="AF6481" s="7"/>
      <c r="AG6481" s="11"/>
    </row>
    <row r="6482" spans="1:33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  <c r="AB6482" s="7"/>
      <c r="AC6482" s="7"/>
      <c r="AD6482" s="7"/>
      <c r="AE6482" s="7"/>
      <c r="AF6482" s="7"/>
      <c r="AG6482" s="11"/>
    </row>
    <row r="6483" spans="1:33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  <c r="AB6483" s="7"/>
      <c r="AC6483" s="7"/>
      <c r="AD6483" s="7"/>
      <c r="AE6483" s="7"/>
      <c r="AF6483" s="7"/>
      <c r="AG6483" s="11"/>
    </row>
    <row r="6484" spans="1:33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  <c r="AB6484" s="7"/>
      <c r="AC6484" s="7"/>
      <c r="AD6484" s="7"/>
      <c r="AE6484" s="7"/>
      <c r="AF6484" s="7"/>
      <c r="AG6484" s="11"/>
    </row>
    <row r="6485" spans="1:33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  <c r="AB6485" s="7"/>
      <c r="AC6485" s="7"/>
      <c r="AD6485" s="7"/>
      <c r="AE6485" s="7"/>
      <c r="AF6485" s="7"/>
      <c r="AG6485" s="11"/>
    </row>
    <row r="6486" spans="1:33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  <c r="AB6486" s="7"/>
      <c r="AC6486" s="7"/>
      <c r="AD6486" s="7"/>
      <c r="AE6486" s="7"/>
      <c r="AF6486" s="7"/>
      <c r="AG6486" s="11"/>
    </row>
    <row r="6487" spans="1:33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  <c r="AB6487" s="7"/>
      <c r="AC6487" s="7"/>
      <c r="AD6487" s="7"/>
      <c r="AE6487" s="7"/>
      <c r="AF6487" s="7"/>
      <c r="AG6487" s="11"/>
    </row>
    <row r="6488" spans="1:33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  <c r="AB6488" s="7"/>
      <c r="AC6488" s="7"/>
      <c r="AD6488" s="7"/>
      <c r="AE6488" s="7"/>
      <c r="AF6488" s="7"/>
      <c r="AG6488" s="11"/>
    </row>
    <row r="6489" spans="1:33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  <c r="AB6489" s="7"/>
      <c r="AC6489" s="7"/>
      <c r="AD6489" s="7"/>
      <c r="AE6489" s="7"/>
      <c r="AF6489" s="7"/>
      <c r="AG6489" s="11"/>
    </row>
    <row r="6490" spans="1:33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  <c r="AB6490" s="7"/>
      <c r="AC6490" s="7"/>
      <c r="AD6490" s="7"/>
      <c r="AE6490" s="7"/>
      <c r="AF6490" s="7"/>
      <c r="AG6490" s="11"/>
    </row>
    <row r="6491" spans="1:33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  <c r="AB6491" s="7"/>
      <c r="AC6491" s="7"/>
      <c r="AD6491" s="7"/>
      <c r="AE6491" s="7"/>
      <c r="AF6491" s="7"/>
      <c r="AG6491" s="11"/>
    </row>
    <row r="6492" spans="1:33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  <c r="AB6492" s="7"/>
      <c r="AC6492" s="7"/>
      <c r="AD6492" s="7"/>
      <c r="AE6492" s="7"/>
      <c r="AF6492" s="7"/>
      <c r="AG6492" s="11"/>
    </row>
    <row r="6493" spans="1:33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  <c r="AB6493" s="7"/>
      <c r="AC6493" s="7"/>
      <c r="AD6493" s="7"/>
      <c r="AE6493" s="7"/>
      <c r="AF6493" s="7"/>
      <c r="AG6493" s="11"/>
    </row>
    <row r="6494" spans="1:33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  <c r="AB6494" s="7"/>
      <c r="AC6494" s="7"/>
      <c r="AD6494" s="7"/>
      <c r="AE6494" s="7"/>
      <c r="AF6494" s="7"/>
      <c r="AG6494" s="11"/>
    </row>
    <row r="6495" spans="1:33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  <c r="AB6495" s="7"/>
      <c r="AC6495" s="7"/>
      <c r="AD6495" s="7"/>
      <c r="AE6495" s="7"/>
      <c r="AF6495" s="7"/>
      <c r="AG6495" s="11"/>
    </row>
    <row r="6496" spans="1:33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  <c r="AB6496" s="7"/>
      <c r="AC6496" s="7"/>
      <c r="AD6496" s="7"/>
      <c r="AE6496" s="7"/>
      <c r="AF6496" s="7"/>
      <c r="AG6496" s="11"/>
    </row>
    <row r="6497" spans="1:33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  <c r="AB6497" s="7"/>
      <c r="AC6497" s="7"/>
      <c r="AD6497" s="7"/>
      <c r="AE6497" s="7"/>
      <c r="AF6497" s="7"/>
      <c r="AG6497" s="11"/>
    </row>
    <row r="6498" spans="1:33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  <c r="AB6498" s="7"/>
      <c r="AC6498" s="7"/>
      <c r="AD6498" s="7"/>
      <c r="AE6498" s="7"/>
      <c r="AF6498" s="7"/>
      <c r="AG6498" s="11"/>
    </row>
    <row r="6499" spans="1:33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  <c r="AB6499" s="7"/>
      <c r="AC6499" s="7"/>
      <c r="AD6499" s="7"/>
      <c r="AE6499" s="7"/>
      <c r="AF6499" s="7"/>
      <c r="AG6499" s="11"/>
    </row>
    <row r="6500" spans="1:33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  <c r="AB6500" s="7"/>
      <c r="AC6500" s="7"/>
      <c r="AD6500" s="7"/>
      <c r="AE6500" s="7"/>
      <c r="AF6500" s="7"/>
      <c r="AG6500" s="11"/>
    </row>
    <row r="6501" spans="1:33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  <c r="AB6501" s="7"/>
      <c r="AC6501" s="7"/>
      <c r="AD6501" s="7"/>
      <c r="AE6501" s="7"/>
      <c r="AF6501" s="7"/>
      <c r="AG6501" s="11"/>
    </row>
    <row r="6502" spans="1:33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  <c r="AB6502" s="7"/>
      <c r="AC6502" s="7"/>
      <c r="AD6502" s="7"/>
      <c r="AE6502" s="7"/>
      <c r="AF6502" s="7"/>
      <c r="AG6502" s="11"/>
    </row>
    <row r="6503" spans="1:33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  <c r="AB6503" s="7"/>
      <c r="AC6503" s="7"/>
      <c r="AD6503" s="7"/>
      <c r="AE6503" s="7"/>
      <c r="AF6503" s="7"/>
      <c r="AG6503" s="11"/>
    </row>
    <row r="6504" spans="1:33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  <c r="AB6504" s="7"/>
      <c r="AC6504" s="7"/>
      <c r="AD6504" s="7"/>
      <c r="AE6504" s="7"/>
      <c r="AF6504" s="7"/>
      <c r="AG6504" s="11"/>
    </row>
    <row r="6505" spans="1:33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  <c r="AB6505" s="7"/>
      <c r="AC6505" s="7"/>
      <c r="AD6505" s="7"/>
      <c r="AE6505" s="7"/>
      <c r="AF6505" s="7"/>
      <c r="AG6505" s="11"/>
    </row>
    <row r="6506" spans="1:33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  <c r="AB6506" s="7"/>
      <c r="AC6506" s="7"/>
      <c r="AD6506" s="7"/>
      <c r="AE6506" s="7"/>
      <c r="AF6506" s="7"/>
      <c r="AG6506" s="11"/>
    </row>
    <row r="6507" spans="1:33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  <c r="AB6507" s="7"/>
      <c r="AC6507" s="7"/>
      <c r="AD6507" s="7"/>
      <c r="AE6507" s="7"/>
      <c r="AF6507" s="7"/>
      <c r="AG6507" s="11"/>
    </row>
    <row r="6508" spans="1:33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  <c r="AB6508" s="7"/>
      <c r="AC6508" s="7"/>
      <c r="AD6508" s="7"/>
      <c r="AE6508" s="7"/>
      <c r="AF6508" s="7"/>
      <c r="AG6508" s="11"/>
    </row>
    <row r="6509" spans="1:33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  <c r="AB6509" s="7"/>
      <c r="AC6509" s="7"/>
      <c r="AD6509" s="7"/>
      <c r="AE6509" s="7"/>
      <c r="AF6509" s="7"/>
      <c r="AG6509" s="11"/>
    </row>
    <row r="6510" spans="1:33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  <c r="AB6510" s="7"/>
      <c r="AC6510" s="7"/>
      <c r="AD6510" s="7"/>
      <c r="AE6510" s="7"/>
      <c r="AF6510" s="7"/>
      <c r="AG6510" s="11"/>
    </row>
    <row r="6511" spans="1:33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  <c r="AB6511" s="7"/>
      <c r="AC6511" s="7"/>
      <c r="AD6511" s="7"/>
      <c r="AE6511" s="7"/>
      <c r="AF6511" s="7"/>
      <c r="AG6511" s="11"/>
    </row>
    <row r="6512" spans="1:33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  <c r="AB6512" s="7"/>
      <c r="AC6512" s="7"/>
      <c r="AD6512" s="7"/>
      <c r="AE6512" s="7"/>
      <c r="AF6512" s="7"/>
      <c r="AG6512" s="11"/>
    </row>
    <row r="6513" spans="1:33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  <c r="AB6513" s="7"/>
      <c r="AC6513" s="7"/>
      <c r="AD6513" s="7"/>
      <c r="AE6513" s="7"/>
      <c r="AF6513" s="7"/>
      <c r="AG6513" s="11"/>
    </row>
    <row r="6514" spans="1:33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  <c r="AB6514" s="7"/>
      <c r="AC6514" s="7"/>
      <c r="AD6514" s="7"/>
      <c r="AE6514" s="7"/>
      <c r="AF6514" s="7"/>
      <c r="AG6514" s="11"/>
    </row>
    <row r="6515" spans="1:33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  <c r="AB6515" s="7"/>
      <c r="AC6515" s="7"/>
      <c r="AD6515" s="7"/>
      <c r="AE6515" s="7"/>
      <c r="AF6515" s="7"/>
      <c r="AG6515" s="11"/>
    </row>
    <row r="6516" spans="1:33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  <c r="AB6516" s="7"/>
      <c r="AC6516" s="7"/>
      <c r="AD6516" s="7"/>
      <c r="AE6516" s="7"/>
      <c r="AF6516" s="7"/>
      <c r="AG6516" s="11"/>
    </row>
    <row r="6517" spans="1:33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  <c r="AB6517" s="7"/>
      <c r="AC6517" s="7"/>
      <c r="AD6517" s="7"/>
      <c r="AE6517" s="7"/>
      <c r="AF6517" s="7"/>
      <c r="AG6517" s="11"/>
    </row>
    <row r="6518" spans="1:33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  <c r="AB6518" s="7"/>
      <c r="AC6518" s="7"/>
      <c r="AD6518" s="7"/>
      <c r="AE6518" s="7"/>
      <c r="AF6518" s="7"/>
      <c r="AG6518" s="11"/>
    </row>
    <row r="6519" spans="1:33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  <c r="AB6519" s="7"/>
      <c r="AC6519" s="7"/>
      <c r="AD6519" s="7"/>
      <c r="AE6519" s="7"/>
      <c r="AF6519" s="7"/>
      <c r="AG6519" s="11"/>
    </row>
    <row r="6520" spans="1:33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  <c r="AB6520" s="7"/>
      <c r="AC6520" s="7"/>
      <c r="AD6520" s="7"/>
      <c r="AE6520" s="7"/>
      <c r="AF6520" s="7"/>
      <c r="AG6520" s="11"/>
    </row>
    <row r="6521" spans="1:33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  <c r="AB6521" s="7"/>
      <c r="AC6521" s="7"/>
      <c r="AD6521" s="7"/>
      <c r="AE6521" s="7"/>
      <c r="AF6521" s="7"/>
      <c r="AG6521" s="11"/>
    </row>
    <row r="6522" spans="1:33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  <c r="AB6522" s="7"/>
      <c r="AC6522" s="7"/>
      <c r="AD6522" s="7"/>
      <c r="AE6522" s="7"/>
      <c r="AF6522" s="7"/>
      <c r="AG6522" s="11"/>
    </row>
    <row r="6523" spans="1:33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  <c r="AB6523" s="7"/>
      <c r="AC6523" s="7"/>
      <c r="AD6523" s="7"/>
      <c r="AE6523" s="7"/>
      <c r="AF6523" s="7"/>
      <c r="AG6523" s="11"/>
    </row>
    <row r="6524" spans="1:33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  <c r="AB6524" s="7"/>
      <c r="AC6524" s="7"/>
      <c r="AD6524" s="7"/>
      <c r="AE6524" s="7"/>
      <c r="AF6524" s="7"/>
      <c r="AG6524" s="11"/>
    </row>
    <row r="6525" spans="1:33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  <c r="AB6525" s="7"/>
      <c r="AC6525" s="7"/>
      <c r="AD6525" s="7"/>
      <c r="AE6525" s="7"/>
      <c r="AF6525" s="7"/>
      <c r="AG6525" s="11"/>
    </row>
    <row r="6526" spans="1:33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  <c r="AB6526" s="7"/>
      <c r="AC6526" s="7"/>
      <c r="AD6526" s="7"/>
      <c r="AE6526" s="7"/>
      <c r="AF6526" s="7"/>
      <c r="AG6526" s="11"/>
    </row>
    <row r="6527" spans="1:33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  <c r="AB6527" s="7"/>
      <c r="AC6527" s="7"/>
      <c r="AD6527" s="7"/>
      <c r="AE6527" s="7"/>
      <c r="AF6527" s="7"/>
      <c r="AG6527" s="11"/>
    </row>
    <row r="6528" spans="1:33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  <c r="AB6528" s="7"/>
      <c r="AC6528" s="7"/>
      <c r="AD6528" s="7"/>
      <c r="AE6528" s="7"/>
      <c r="AF6528" s="7"/>
      <c r="AG6528" s="11"/>
    </row>
    <row r="6529" spans="1:33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  <c r="AB6529" s="7"/>
      <c r="AC6529" s="7"/>
      <c r="AD6529" s="7"/>
      <c r="AE6529" s="7"/>
      <c r="AF6529" s="7"/>
      <c r="AG6529" s="11"/>
    </row>
    <row r="6530" spans="1:33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  <c r="AB6530" s="7"/>
      <c r="AC6530" s="7"/>
      <c r="AD6530" s="7"/>
      <c r="AE6530" s="7"/>
      <c r="AF6530" s="7"/>
      <c r="AG6530" s="11"/>
    </row>
    <row r="6531" spans="1:33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  <c r="AB6531" s="7"/>
      <c r="AC6531" s="7"/>
      <c r="AD6531" s="7"/>
      <c r="AE6531" s="7"/>
      <c r="AF6531" s="7"/>
      <c r="AG6531" s="11"/>
    </row>
    <row r="6532" spans="1:33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  <c r="AB6532" s="7"/>
      <c r="AC6532" s="7"/>
      <c r="AD6532" s="7"/>
      <c r="AE6532" s="7"/>
      <c r="AF6532" s="7"/>
      <c r="AG6532" s="11"/>
    </row>
    <row r="6533" spans="1:33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  <c r="AB6533" s="7"/>
      <c r="AC6533" s="7"/>
      <c r="AD6533" s="7"/>
      <c r="AE6533" s="7"/>
      <c r="AF6533" s="7"/>
      <c r="AG6533" s="11"/>
    </row>
    <row r="6534" spans="1:33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  <c r="AB6534" s="7"/>
      <c r="AC6534" s="7"/>
      <c r="AD6534" s="7"/>
      <c r="AE6534" s="7"/>
      <c r="AF6534" s="7"/>
      <c r="AG6534" s="11"/>
    </row>
    <row r="6535" spans="1:33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  <c r="AB6535" s="7"/>
      <c r="AC6535" s="7"/>
      <c r="AD6535" s="7"/>
      <c r="AE6535" s="7"/>
      <c r="AF6535" s="7"/>
      <c r="AG6535" s="11"/>
    </row>
    <row r="6536" spans="1:33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  <c r="AB6536" s="7"/>
      <c r="AC6536" s="7"/>
      <c r="AD6536" s="7"/>
      <c r="AE6536" s="7"/>
      <c r="AF6536" s="7"/>
      <c r="AG6536" s="11"/>
    </row>
    <row r="6537" spans="1:33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  <c r="AB6537" s="7"/>
      <c r="AC6537" s="7"/>
      <c r="AD6537" s="7"/>
      <c r="AE6537" s="7"/>
      <c r="AF6537" s="7"/>
      <c r="AG6537" s="11"/>
    </row>
    <row r="6538" spans="1:33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  <c r="AB6538" s="7"/>
      <c r="AC6538" s="7"/>
      <c r="AD6538" s="7"/>
      <c r="AE6538" s="7"/>
      <c r="AF6538" s="7"/>
      <c r="AG6538" s="11"/>
    </row>
    <row r="6539" spans="1:33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  <c r="AB6539" s="7"/>
      <c r="AC6539" s="7"/>
      <c r="AD6539" s="7"/>
      <c r="AE6539" s="7"/>
      <c r="AF6539" s="7"/>
      <c r="AG6539" s="11"/>
    </row>
    <row r="6540" spans="1:33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  <c r="AB6540" s="7"/>
      <c r="AC6540" s="7"/>
      <c r="AD6540" s="7"/>
      <c r="AE6540" s="7"/>
      <c r="AF6540" s="7"/>
      <c r="AG6540" s="11"/>
    </row>
    <row r="6541" spans="1:33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  <c r="AB6541" s="7"/>
      <c r="AC6541" s="7"/>
      <c r="AD6541" s="7"/>
      <c r="AE6541" s="7"/>
      <c r="AF6541" s="7"/>
      <c r="AG6541" s="11"/>
    </row>
    <row r="6542" spans="1:33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  <c r="AB6542" s="7"/>
      <c r="AC6542" s="7"/>
      <c r="AD6542" s="7"/>
      <c r="AE6542" s="7"/>
      <c r="AF6542" s="7"/>
      <c r="AG6542" s="11"/>
    </row>
    <row r="6543" spans="1:33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  <c r="AB6543" s="7"/>
      <c r="AC6543" s="7"/>
      <c r="AD6543" s="7"/>
      <c r="AE6543" s="7"/>
      <c r="AF6543" s="7"/>
      <c r="AG6543" s="11"/>
    </row>
    <row r="6544" spans="1:33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  <c r="AB6544" s="7"/>
      <c r="AC6544" s="7"/>
      <c r="AD6544" s="7"/>
      <c r="AE6544" s="7"/>
      <c r="AF6544" s="7"/>
      <c r="AG6544" s="11"/>
    </row>
    <row r="6545" spans="1:33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  <c r="AB6545" s="7"/>
      <c r="AC6545" s="7"/>
      <c r="AD6545" s="7"/>
      <c r="AE6545" s="7"/>
      <c r="AF6545" s="7"/>
      <c r="AG6545" s="11"/>
    </row>
    <row r="6546" spans="1:33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  <c r="AB6546" s="7"/>
      <c r="AC6546" s="7"/>
      <c r="AD6546" s="7"/>
      <c r="AE6546" s="7"/>
      <c r="AF6546" s="7"/>
      <c r="AG6546" s="11"/>
    </row>
    <row r="6547" spans="1:33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  <c r="AB6547" s="7"/>
      <c r="AC6547" s="7"/>
      <c r="AD6547" s="7"/>
      <c r="AE6547" s="7"/>
      <c r="AF6547" s="7"/>
      <c r="AG6547" s="11"/>
    </row>
    <row r="6548" spans="1:33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  <c r="AB6548" s="7"/>
      <c r="AC6548" s="7"/>
      <c r="AD6548" s="7"/>
      <c r="AE6548" s="7"/>
      <c r="AF6548" s="7"/>
      <c r="AG6548" s="11"/>
    </row>
    <row r="6549" spans="1:33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  <c r="AB6549" s="7"/>
      <c r="AC6549" s="7"/>
      <c r="AD6549" s="7"/>
      <c r="AE6549" s="7"/>
      <c r="AF6549" s="7"/>
      <c r="AG6549" s="11"/>
    </row>
    <row r="6550" spans="1:33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  <c r="AB6550" s="7"/>
      <c r="AC6550" s="7"/>
      <c r="AD6550" s="7"/>
      <c r="AE6550" s="7"/>
      <c r="AF6550" s="7"/>
      <c r="AG6550" s="11"/>
    </row>
    <row r="6551" spans="1:33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  <c r="AB6551" s="7"/>
      <c r="AC6551" s="7"/>
      <c r="AD6551" s="7"/>
      <c r="AE6551" s="7"/>
      <c r="AF6551" s="7"/>
      <c r="AG6551" s="11"/>
    </row>
    <row r="6552" spans="1:33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  <c r="AB6552" s="7"/>
      <c r="AC6552" s="7"/>
      <c r="AD6552" s="7"/>
      <c r="AE6552" s="7"/>
      <c r="AF6552" s="7"/>
      <c r="AG6552" s="11"/>
    </row>
    <row r="6553" spans="1:33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  <c r="AB6553" s="7"/>
      <c r="AC6553" s="7"/>
      <c r="AD6553" s="7"/>
      <c r="AE6553" s="7"/>
      <c r="AF6553" s="7"/>
      <c r="AG6553" s="11"/>
    </row>
    <row r="6554" spans="1:33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  <c r="AB6554" s="7"/>
      <c r="AC6554" s="7"/>
      <c r="AD6554" s="7"/>
      <c r="AE6554" s="7"/>
      <c r="AF6554" s="7"/>
      <c r="AG6554" s="11"/>
    </row>
    <row r="6555" spans="1:33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  <c r="AB6555" s="7"/>
      <c r="AC6555" s="7"/>
      <c r="AD6555" s="7"/>
      <c r="AE6555" s="7"/>
      <c r="AF6555" s="7"/>
      <c r="AG6555" s="11"/>
    </row>
    <row r="6556" spans="1:33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  <c r="AB6556" s="7"/>
      <c r="AC6556" s="7"/>
      <c r="AD6556" s="7"/>
      <c r="AE6556" s="7"/>
      <c r="AF6556" s="7"/>
      <c r="AG6556" s="11"/>
    </row>
    <row r="6557" spans="1:33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  <c r="AB6557" s="7"/>
      <c r="AC6557" s="7"/>
      <c r="AD6557" s="7"/>
      <c r="AE6557" s="7"/>
      <c r="AF6557" s="7"/>
      <c r="AG6557" s="11"/>
    </row>
    <row r="6558" spans="1:33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  <c r="AB6558" s="7"/>
      <c r="AC6558" s="7"/>
      <c r="AD6558" s="7"/>
      <c r="AE6558" s="7"/>
      <c r="AF6558" s="7"/>
      <c r="AG6558" s="11"/>
    </row>
    <row r="6559" spans="1:33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  <c r="AB6559" s="7"/>
      <c r="AC6559" s="7"/>
      <c r="AD6559" s="7"/>
      <c r="AE6559" s="7"/>
      <c r="AF6559" s="7"/>
      <c r="AG6559" s="11"/>
    </row>
    <row r="6560" spans="1:33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  <c r="AB6560" s="7"/>
      <c r="AC6560" s="7"/>
      <c r="AD6560" s="7"/>
      <c r="AE6560" s="7"/>
      <c r="AF6560" s="7"/>
      <c r="AG6560" s="11"/>
    </row>
    <row r="6561" spans="1:33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  <c r="AB6561" s="7"/>
      <c r="AC6561" s="7"/>
      <c r="AD6561" s="7"/>
      <c r="AE6561" s="7"/>
      <c r="AF6561" s="7"/>
      <c r="AG6561" s="11"/>
    </row>
    <row r="6562" spans="1:33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  <c r="AB6562" s="7"/>
      <c r="AC6562" s="7"/>
      <c r="AD6562" s="7"/>
      <c r="AE6562" s="7"/>
      <c r="AF6562" s="7"/>
      <c r="AG6562" s="11"/>
    </row>
    <row r="6563" spans="1:33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  <c r="AB6563" s="7"/>
      <c r="AC6563" s="7"/>
      <c r="AD6563" s="7"/>
      <c r="AE6563" s="7"/>
      <c r="AF6563" s="7"/>
      <c r="AG6563" s="11"/>
    </row>
    <row r="6564" spans="1:33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  <c r="AB6564" s="7"/>
      <c r="AC6564" s="7"/>
      <c r="AD6564" s="7"/>
      <c r="AE6564" s="7"/>
      <c r="AF6564" s="7"/>
      <c r="AG6564" s="11"/>
    </row>
    <row r="6565" spans="1:33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  <c r="AB6565" s="7"/>
      <c r="AC6565" s="7"/>
      <c r="AD6565" s="7"/>
      <c r="AE6565" s="7"/>
      <c r="AF6565" s="7"/>
      <c r="AG6565" s="11"/>
    </row>
    <row r="6566" spans="1:33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  <c r="AB6566" s="7"/>
      <c r="AC6566" s="7"/>
      <c r="AD6566" s="7"/>
      <c r="AE6566" s="7"/>
      <c r="AF6566" s="7"/>
      <c r="AG6566" s="11"/>
    </row>
    <row r="6567" spans="1:33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  <c r="AB6567" s="7"/>
      <c r="AC6567" s="7"/>
      <c r="AD6567" s="7"/>
      <c r="AE6567" s="7"/>
      <c r="AF6567" s="7"/>
      <c r="AG6567" s="11"/>
    </row>
    <row r="6568" spans="1:33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  <c r="AB6568" s="7"/>
      <c r="AC6568" s="7"/>
      <c r="AD6568" s="7"/>
      <c r="AE6568" s="7"/>
      <c r="AF6568" s="7"/>
      <c r="AG6568" s="11"/>
    </row>
    <row r="6569" spans="1:33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  <c r="AB6569" s="7"/>
      <c r="AC6569" s="7"/>
      <c r="AD6569" s="7"/>
      <c r="AE6569" s="7"/>
      <c r="AF6569" s="7"/>
      <c r="AG6569" s="11"/>
    </row>
    <row r="6570" spans="1:33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  <c r="AB6570" s="7"/>
      <c r="AC6570" s="7"/>
      <c r="AD6570" s="7"/>
      <c r="AE6570" s="7"/>
      <c r="AF6570" s="7"/>
      <c r="AG6570" s="11"/>
    </row>
    <row r="6571" spans="1:33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  <c r="AB6571" s="7"/>
      <c r="AC6571" s="7"/>
      <c r="AD6571" s="7"/>
      <c r="AE6571" s="7"/>
      <c r="AF6571" s="7"/>
      <c r="AG6571" s="11"/>
    </row>
    <row r="6572" spans="1:33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  <c r="AB6572" s="7"/>
      <c r="AC6572" s="7"/>
      <c r="AD6572" s="7"/>
      <c r="AE6572" s="7"/>
      <c r="AF6572" s="7"/>
      <c r="AG6572" s="11"/>
    </row>
    <row r="6573" spans="1:33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  <c r="AB6573" s="7"/>
      <c r="AC6573" s="7"/>
      <c r="AD6573" s="7"/>
      <c r="AE6573" s="7"/>
      <c r="AF6573" s="7"/>
      <c r="AG6573" s="11"/>
    </row>
    <row r="6574" spans="1:33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  <c r="AB6574" s="7"/>
      <c r="AC6574" s="7"/>
      <c r="AD6574" s="7"/>
      <c r="AE6574" s="7"/>
      <c r="AF6574" s="7"/>
      <c r="AG6574" s="11"/>
    </row>
    <row r="6575" spans="1:33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  <c r="AB6575" s="7"/>
      <c r="AC6575" s="7"/>
      <c r="AD6575" s="7"/>
      <c r="AE6575" s="7"/>
      <c r="AF6575" s="7"/>
      <c r="AG6575" s="11"/>
    </row>
    <row r="6576" spans="1:33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  <c r="AB6576" s="7"/>
      <c r="AC6576" s="7"/>
      <c r="AD6576" s="7"/>
      <c r="AE6576" s="7"/>
      <c r="AF6576" s="7"/>
      <c r="AG6576" s="11"/>
    </row>
    <row r="6577" spans="1:33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  <c r="AB6577" s="7"/>
      <c r="AC6577" s="7"/>
      <c r="AD6577" s="7"/>
      <c r="AE6577" s="7"/>
      <c r="AF6577" s="7"/>
      <c r="AG6577" s="11"/>
    </row>
    <row r="6578" spans="1:33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  <c r="AB6578" s="7"/>
      <c r="AC6578" s="7"/>
      <c r="AD6578" s="7"/>
      <c r="AE6578" s="7"/>
      <c r="AF6578" s="7"/>
      <c r="AG6578" s="11"/>
    </row>
    <row r="6579" spans="1:33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  <c r="AB6579" s="7"/>
      <c r="AC6579" s="7"/>
      <c r="AD6579" s="7"/>
      <c r="AE6579" s="7"/>
      <c r="AF6579" s="7"/>
      <c r="AG6579" s="11"/>
    </row>
    <row r="6580" spans="1:33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  <c r="AB6580" s="7"/>
      <c r="AC6580" s="7"/>
      <c r="AD6580" s="7"/>
      <c r="AE6580" s="7"/>
      <c r="AF6580" s="7"/>
      <c r="AG6580" s="11"/>
    </row>
    <row r="6581" spans="1:33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  <c r="AB6581" s="7"/>
      <c r="AC6581" s="7"/>
      <c r="AD6581" s="7"/>
      <c r="AE6581" s="7"/>
      <c r="AF6581" s="7"/>
      <c r="AG6581" s="11"/>
    </row>
    <row r="6582" spans="1:33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  <c r="AB6582" s="7"/>
      <c r="AC6582" s="7"/>
      <c r="AD6582" s="7"/>
      <c r="AE6582" s="7"/>
      <c r="AF6582" s="7"/>
      <c r="AG6582" s="11"/>
    </row>
    <row r="6583" spans="1:33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  <c r="AB6583" s="7"/>
      <c r="AC6583" s="7"/>
      <c r="AD6583" s="7"/>
      <c r="AE6583" s="7"/>
      <c r="AF6583" s="7"/>
      <c r="AG6583" s="11"/>
    </row>
    <row r="6584" spans="1:33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  <c r="AB6584" s="7"/>
      <c r="AC6584" s="7"/>
      <c r="AD6584" s="7"/>
      <c r="AE6584" s="7"/>
      <c r="AF6584" s="7"/>
      <c r="AG6584" s="11"/>
    </row>
    <row r="6585" spans="1:33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  <c r="AB6585" s="7"/>
      <c r="AC6585" s="7"/>
      <c r="AD6585" s="7"/>
      <c r="AE6585" s="7"/>
      <c r="AF6585" s="7"/>
      <c r="AG6585" s="11"/>
    </row>
    <row r="6586" spans="1:33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  <c r="AB6586" s="7"/>
      <c r="AC6586" s="7"/>
      <c r="AD6586" s="7"/>
      <c r="AE6586" s="7"/>
      <c r="AF6586" s="7"/>
      <c r="AG6586" s="11"/>
    </row>
    <row r="6587" spans="1:33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  <c r="AB6587" s="7"/>
      <c r="AC6587" s="7"/>
      <c r="AD6587" s="7"/>
      <c r="AE6587" s="7"/>
      <c r="AF6587" s="7"/>
      <c r="AG6587" s="11"/>
    </row>
    <row r="6588" spans="1:33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  <c r="AB6588" s="7"/>
      <c r="AC6588" s="7"/>
      <c r="AD6588" s="7"/>
      <c r="AE6588" s="7"/>
      <c r="AF6588" s="7"/>
      <c r="AG6588" s="11"/>
    </row>
    <row r="6589" spans="1:33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  <c r="AB6589" s="7"/>
      <c r="AC6589" s="7"/>
      <c r="AD6589" s="7"/>
      <c r="AE6589" s="7"/>
      <c r="AF6589" s="7"/>
      <c r="AG6589" s="11"/>
    </row>
    <row r="6590" spans="1:33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  <c r="AB6590" s="7"/>
      <c r="AC6590" s="7"/>
      <c r="AD6590" s="7"/>
      <c r="AE6590" s="7"/>
      <c r="AF6590" s="7"/>
      <c r="AG6590" s="11"/>
    </row>
    <row r="6591" spans="1:33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  <c r="AB6591" s="7"/>
      <c r="AC6591" s="7"/>
      <c r="AD6591" s="7"/>
      <c r="AE6591" s="7"/>
      <c r="AF6591" s="7"/>
      <c r="AG6591" s="11"/>
    </row>
    <row r="6592" spans="1:33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  <c r="AB6592" s="7"/>
      <c r="AC6592" s="7"/>
      <c r="AD6592" s="7"/>
      <c r="AE6592" s="7"/>
      <c r="AF6592" s="7"/>
      <c r="AG6592" s="11"/>
    </row>
    <row r="6593" spans="1:33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  <c r="AB6593" s="7"/>
      <c r="AC6593" s="7"/>
      <c r="AD6593" s="7"/>
      <c r="AE6593" s="7"/>
      <c r="AF6593" s="7"/>
      <c r="AG6593" s="11"/>
    </row>
    <row r="6594" spans="1:33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  <c r="AB6594" s="7"/>
      <c r="AC6594" s="7"/>
      <c r="AD6594" s="7"/>
      <c r="AE6594" s="7"/>
      <c r="AF6594" s="7"/>
      <c r="AG6594" s="11"/>
    </row>
    <row r="6595" spans="1:33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  <c r="AB6595" s="7"/>
      <c r="AC6595" s="7"/>
      <c r="AD6595" s="7"/>
      <c r="AE6595" s="7"/>
      <c r="AF6595" s="7"/>
      <c r="AG6595" s="11"/>
    </row>
    <row r="6596" spans="1:33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  <c r="AB6596" s="7"/>
      <c r="AC6596" s="7"/>
      <c r="AD6596" s="7"/>
      <c r="AE6596" s="7"/>
      <c r="AF6596" s="7"/>
      <c r="AG6596" s="11"/>
    </row>
    <row r="6597" spans="1:33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  <c r="AB6597" s="7"/>
      <c r="AC6597" s="7"/>
      <c r="AD6597" s="7"/>
      <c r="AE6597" s="7"/>
      <c r="AF6597" s="7"/>
      <c r="AG6597" s="11"/>
    </row>
    <row r="6598" spans="1:33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  <c r="AB6598" s="7"/>
      <c r="AC6598" s="7"/>
      <c r="AD6598" s="7"/>
      <c r="AE6598" s="7"/>
      <c r="AF6598" s="7"/>
      <c r="AG6598" s="11"/>
    </row>
    <row r="6599" spans="1:33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  <c r="AB6599" s="7"/>
      <c r="AC6599" s="7"/>
      <c r="AD6599" s="7"/>
      <c r="AE6599" s="7"/>
      <c r="AF6599" s="7"/>
      <c r="AG6599" s="11"/>
    </row>
    <row r="6600" spans="1:33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  <c r="AB6600" s="7"/>
      <c r="AC6600" s="7"/>
      <c r="AD6600" s="7"/>
      <c r="AE6600" s="7"/>
      <c r="AF6600" s="7"/>
      <c r="AG6600" s="11"/>
    </row>
    <row r="6601" spans="1:33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  <c r="AB6601" s="7"/>
      <c r="AC6601" s="7"/>
      <c r="AD6601" s="7"/>
      <c r="AE6601" s="7"/>
      <c r="AF6601" s="7"/>
      <c r="AG6601" s="11"/>
    </row>
    <row r="6602" spans="1:33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  <c r="AB6602" s="7"/>
      <c r="AC6602" s="7"/>
      <c r="AD6602" s="7"/>
      <c r="AE6602" s="7"/>
      <c r="AF6602" s="7"/>
      <c r="AG6602" s="11"/>
    </row>
    <row r="6603" spans="1:33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  <c r="AB6603" s="7"/>
      <c r="AC6603" s="7"/>
      <c r="AD6603" s="7"/>
      <c r="AE6603" s="7"/>
      <c r="AF6603" s="7"/>
      <c r="AG6603" s="11"/>
    </row>
    <row r="6604" spans="1:33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  <c r="AB6604" s="7"/>
      <c r="AC6604" s="7"/>
      <c r="AD6604" s="7"/>
      <c r="AE6604" s="7"/>
      <c r="AF6604" s="7"/>
      <c r="AG6604" s="11"/>
    </row>
    <row r="6605" spans="1:33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  <c r="AB6605" s="7"/>
      <c r="AC6605" s="7"/>
      <c r="AD6605" s="7"/>
      <c r="AE6605" s="7"/>
      <c r="AF6605" s="7"/>
      <c r="AG6605" s="11"/>
    </row>
    <row r="6606" spans="1:33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  <c r="AB6606" s="7"/>
      <c r="AC6606" s="7"/>
      <c r="AD6606" s="7"/>
      <c r="AE6606" s="7"/>
      <c r="AF6606" s="7"/>
      <c r="AG6606" s="11"/>
    </row>
    <row r="6607" spans="1:33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  <c r="AB6607" s="7"/>
      <c r="AC6607" s="7"/>
      <c r="AD6607" s="7"/>
      <c r="AE6607" s="7"/>
      <c r="AF6607" s="7"/>
      <c r="AG6607" s="11"/>
    </row>
    <row r="6608" spans="1:33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  <c r="AB6608" s="7"/>
      <c r="AC6608" s="7"/>
      <c r="AD6608" s="7"/>
      <c r="AE6608" s="7"/>
      <c r="AF6608" s="7"/>
      <c r="AG6608" s="11"/>
    </row>
    <row r="6609" spans="1:33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  <c r="AB6609" s="7"/>
      <c r="AC6609" s="7"/>
      <c r="AD6609" s="7"/>
      <c r="AE6609" s="7"/>
      <c r="AF6609" s="7"/>
      <c r="AG6609" s="11"/>
    </row>
    <row r="6610" spans="1:33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  <c r="AB6610" s="7"/>
      <c r="AC6610" s="7"/>
      <c r="AD6610" s="7"/>
      <c r="AE6610" s="7"/>
      <c r="AF6610" s="7"/>
      <c r="AG6610" s="11"/>
    </row>
    <row r="6611" spans="1:33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  <c r="AB6611" s="7"/>
      <c r="AC6611" s="7"/>
      <c r="AD6611" s="7"/>
      <c r="AE6611" s="7"/>
      <c r="AF6611" s="7"/>
      <c r="AG6611" s="11"/>
    </row>
    <row r="6612" spans="1:33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  <c r="AB6612" s="7"/>
      <c r="AC6612" s="7"/>
      <c r="AD6612" s="7"/>
      <c r="AE6612" s="7"/>
      <c r="AF6612" s="7"/>
      <c r="AG6612" s="11"/>
    </row>
    <row r="6613" spans="1:33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  <c r="AB6613" s="7"/>
      <c r="AC6613" s="7"/>
      <c r="AD6613" s="7"/>
      <c r="AE6613" s="7"/>
      <c r="AF6613" s="7"/>
      <c r="AG6613" s="11"/>
    </row>
    <row r="6614" spans="1:33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  <c r="AB6614" s="7"/>
      <c r="AC6614" s="7"/>
      <c r="AD6614" s="7"/>
      <c r="AE6614" s="7"/>
      <c r="AF6614" s="7"/>
      <c r="AG6614" s="11"/>
    </row>
    <row r="6615" spans="1:33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  <c r="AB6615" s="7"/>
      <c r="AC6615" s="7"/>
      <c r="AD6615" s="7"/>
      <c r="AE6615" s="7"/>
      <c r="AF6615" s="7"/>
      <c r="AG6615" s="11"/>
    </row>
    <row r="6616" spans="1:33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  <c r="AB6616" s="7"/>
      <c r="AC6616" s="7"/>
      <c r="AD6616" s="7"/>
      <c r="AE6616" s="7"/>
      <c r="AF6616" s="7"/>
      <c r="AG6616" s="11"/>
    </row>
    <row r="6617" spans="1:33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  <c r="AB6617" s="7"/>
      <c r="AC6617" s="7"/>
      <c r="AD6617" s="7"/>
      <c r="AE6617" s="7"/>
      <c r="AF6617" s="7"/>
      <c r="AG6617" s="11"/>
    </row>
    <row r="6618" spans="1:33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  <c r="AB6618" s="7"/>
      <c r="AC6618" s="7"/>
      <c r="AD6618" s="7"/>
      <c r="AE6618" s="7"/>
      <c r="AF6618" s="7"/>
      <c r="AG6618" s="11"/>
    </row>
    <row r="6619" spans="1:33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  <c r="AB6619" s="7"/>
      <c r="AC6619" s="7"/>
      <c r="AD6619" s="7"/>
      <c r="AE6619" s="7"/>
      <c r="AF6619" s="7"/>
      <c r="AG6619" s="11"/>
    </row>
    <row r="6620" spans="1:33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  <c r="AB6620" s="7"/>
      <c r="AC6620" s="7"/>
      <c r="AD6620" s="7"/>
      <c r="AE6620" s="7"/>
      <c r="AF6620" s="7"/>
      <c r="AG6620" s="11"/>
    </row>
    <row r="6621" spans="1:33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  <c r="AB6621" s="7"/>
      <c r="AC6621" s="7"/>
      <c r="AD6621" s="7"/>
      <c r="AE6621" s="7"/>
      <c r="AF6621" s="7"/>
      <c r="AG6621" s="11"/>
    </row>
    <row r="6622" spans="1:33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  <c r="AB6622" s="7"/>
      <c r="AC6622" s="7"/>
      <c r="AD6622" s="7"/>
      <c r="AE6622" s="7"/>
      <c r="AF6622" s="7"/>
      <c r="AG6622" s="11"/>
    </row>
    <row r="6623" spans="1:33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  <c r="AB6623" s="7"/>
      <c r="AC6623" s="7"/>
      <c r="AD6623" s="7"/>
      <c r="AE6623" s="7"/>
      <c r="AF6623" s="7"/>
      <c r="AG6623" s="11"/>
    </row>
    <row r="6624" spans="1:33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  <c r="AB6624" s="7"/>
      <c r="AC6624" s="7"/>
      <c r="AD6624" s="7"/>
      <c r="AE6624" s="7"/>
      <c r="AF6624" s="7"/>
      <c r="AG6624" s="11"/>
    </row>
    <row r="6625" spans="1:33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  <c r="AB6625" s="7"/>
      <c r="AC6625" s="7"/>
      <c r="AD6625" s="7"/>
      <c r="AE6625" s="7"/>
      <c r="AF6625" s="7"/>
      <c r="AG6625" s="11"/>
    </row>
    <row r="6626" spans="1:33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  <c r="AB6626" s="7"/>
      <c r="AC6626" s="7"/>
      <c r="AD6626" s="7"/>
      <c r="AE6626" s="7"/>
      <c r="AF6626" s="7"/>
      <c r="AG6626" s="11"/>
    </row>
    <row r="6627" spans="1:33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  <c r="AB6627" s="7"/>
      <c r="AC6627" s="7"/>
      <c r="AD6627" s="7"/>
      <c r="AE6627" s="7"/>
      <c r="AF6627" s="7"/>
      <c r="AG6627" s="11"/>
    </row>
    <row r="6628" spans="1:33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  <c r="AB6628" s="7"/>
      <c r="AC6628" s="7"/>
      <c r="AD6628" s="7"/>
      <c r="AE6628" s="7"/>
      <c r="AF6628" s="7"/>
      <c r="AG6628" s="11"/>
    </row>
    <row r="6629" spans="1:33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  <c r="AB6629" s="7"/>
      <c r="AC6629" s="7"/>
      <c r="AD6629" s="7"/>
      <c r="AE6629" s="7"/>
      <c r="AF6629" s="7"/>
      <c r="AG6629" s="11"/>
    </row>
    <row r="6630" spans="1:33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  <c r="AB6630" s="7"/>
      <c r="AC6630" s="7"/>
      <c r="AD6630" s="7"/>
      <c r="AE6630" s="7"/>
      <c r="AF6630" s="7"/>
      <c r="AG6630" s="11"/>
    </row>
    <row r="6631" spans="1:33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  <c r="AB6631" s="7"/>
      <c r="AC6631" s="7"/>
      <c r="AD6631" s="7"/>
      <c r="AE6631" s="7"/>
      <c r="AF6631" s="7"/>
      <c r="AG6631" s="11"/>
    </row>
    <row r="6632" spans="1:33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  <c r="AB6632" s="7"/>
      <c r="AC6632" s="7"/>
      <c r="AD6632" s="7"/>
      <c r="AE6632" s="7"/>
      <c r="AF6632" s="7"/>
      <c r="AG6632" s="11"/>
    </row>
    <row r="6633" spans="1:33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  <c r="AB6633" s="7"/>
      <c r="AC6633" s="7"/>
      <c r="AD6633" s="7"/>
      <c r="AE6633" s="7"/>
      <c r="AF6633" s="7"/>
      <c r="AG6633" s="11"/>
    </row>
    <row r="6634" spans="1:33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  <c r="AB6634" s="7"/>
      <c r="AC6634" s="7"/>
      <c r="AD6634" s="7"/>
      <c r="AE6634" s="7"/>
      <c r="AF6634" s="7"/>
      <c r="AG6634" s="11"/>
    </row>
    <row r="6635" spans="1:33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  <c r="AB6635" s="7"/>
      <c r="AC6635" s="7"/>
      <c r="AD6635" s="7"/>
      <c r="AE6635" s="7"/>
      <c r="AF6635" s="7"/>
      <c r="AG6635" s="11"/>
    </row>
    <row r="6636" spans="1:33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  <c r="AB6636" s="7"/>
      <c r="AC6636" s="7"/>
      <c r="AD6636" s="7"/>
      <c r="AE6636" s="7"/>
      <c r="AF6636" s="7"/>
      <c r="AG6636" s="11"/>
    </row>
    <row r="6637" spans="1:33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  <c r="AB6637" s="7"/>
      <c r="AC6637" s="7"/>
      <c r="AD6637" s="7"/>
      <c r="AE6637" s="7"/>
      <c r="AF6637" s="7"/>
      <c r="AG6637" s="11"/>
    </row>
    <row r="6638" spans="1:33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  <c r="AB6638" s="7"/>
      <c r="AC6638" s="7"/>
      <c r="AD6638" s="7"/>
      <c r="AE6638" s="7"/>
      <c r="AF6638" s="7"/>
      <c r="AG6638" s="11"/>
    </row>
    <row r="6639" spans="1:33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  <c r="AB6639" s="7"/>
      <c r="AC6639" s="7"/>
      <c r="AD6639" s="7"/>
      <c r="AE6639" s="7"/>
      <c r="AF6639" s="7"/>
      <c r="AG6639" s="11"/>
    </row>
    <row r="6640" spans="1:33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  <c r="AB6640" s="7"/>
      <c r="AC6640" s="7"/>
      <c r="AD6640" s="7"/>
      <c r="AE6640" s="7"/>
      <c r="AF6640" s="7"/>
      <c r="AG6640" s="11"/>
    </row>
    <row r="6641" spans="1:33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  <c r="AB6641" s="7"/>
      <c r="AC6641" s="7"/>
      <c r="AD6641" s="7"/>
      <c r="AE6641" s="7"/>
      <c r="AF6641" s="7"/>
      <c r="AG6641" s="11"/>
    </row>
    <row r="6642" spans="1:33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  <c r="AB6642" s="7"/>
      <c r="AC6642" s="7"/>
      <c r="AD6642" s="7"/>
      <c r="AE6642" s="7"/>
      <c r="AF6642" s="7"/>
      <c r="AG6642" s="11"/>
    </row>
    <row r="6643" spans="1:33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  <c r="AB6643" s="7"/>
      <c r="AC6643" s="7"/>
      <c r="AD6643" s="7"/>
      <c r="AE6643" s="7"/>
      <c r="AF6643" s="7"/>
      <c r="AG6643" s="11"/>
    </row>
    <row r="6644" spans="1:33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  <c r="AB6644" s="7"/>
      <c r="AC6644" s="7"/>
      <c r="AD6644" s="7"/>
      <c r="AE6644" s="7"/>
      <c r="AF6644" s="7"/>
      <c r="AG6644" s="11"/>
    </row>
    <row r="6645" spans="1:33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  <c r="AB6645" s="7"/>
      <c r="AC6645" s="7"/>
      <c r="AD6645" s="7"/>
      <c r="AE6645" s="7"/>
      <c r="AF6645" s="7"/>
      <c r="AG6645" s="11"/>
    </row>
    <row r="6646" spans="1:33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  <c r="AB6646" s="7"/>
      <c r="AC6646" s="7"/>
      <c r="AD6646" s="7"/>
      <c r="AE6646" s="7"/>
      <c r="AF6646" s="7"/>
      <c r="AG6646" s="11"/>
    </row>
    <row r="6647" spans="1:33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  <c r="AB6647" s="7"/>
      <c r="AC6647" s="7"/>
      <c r="AD6647" s="7"/>
      <c r="AE6647" s="7"/>
      <c r="AF6647" s="7"/>
      <c r="AG6647" s="11"/>
    </row>
    <row r="6648" spans="1:33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  <c r="AB6648" s="7"/>
      <c r="AC6648" s="7"/>
      <c r="AD6648" s="7"/>
      <c r="AE6648" s="7"/>
      <c r="AF6648" s="7"/>
      <c r="AG6648" s="11"/>
    </row>
    <row r="6649" spans="1:33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  <c r="AB6649" s="7"/>
      <c r="AC6649" s="7"/>
      <c r="AD6649" s="7"/>
      <c r="AE6649" s="7"/>
      <c r="AF6649" s="7"/>
      <c r="AG6649" s="11"/>
    </row>
    <row r="6650" spans="1:33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  <c r="AB6650" s="7"/>
      <c r="AC6650" s="7"/>
      <c r="AD6650" s="7"/>
      <c r="AE6650" s="7"/>
      <c r="AF6650" s="7"/>
      <c r="AG6650" s="11"/>
    </row>
    <row r="6651" spans="1:33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  <c r="AB6651" s="7"/>
      <c r="AC6651" s="7"/>
      <c r="AD6651" s="7"/>
      <c r="AE6651" s="7"/>
      <c r="AF6651" s="7"/>
      <c r="AG6651" s="11"/>
    </row>
    <row r="6652" spans="1:33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  <c r="AB6652" s="7"/>
      <c r="AC6652" s="7"/>
      <c r="AD6652" s="7"/>
      <c r="AE6652" s="7"/>
      <c r="AF6652" s="7"/>
      <c r="AG6652" s="11"/>
    </row>
    <row r="6653" spans="1:33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  <c r="AB6653" s="7"/>
      <c r="AC6653" s="7"/>
      <c r="AD6653" s="7"/>
      <c r="AE6653" s="7"/>
      <c r="AF6653" s="7"/>
      <c r="AG6653" s="11"/>
    </row>
    <row r="6654" spans="1:33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  <c r="AB6654" s="7"/>
      <c r="AC6654" s="7"/>
      <c r="AD6654" s="7"/>
      <c r="AE6654" s="7"/>
      <c r="AF6654" s="7"/>
      <c r="AG6654" s="11"/>
    </row>
    <row r="6655" spans="1:33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  <c r="AB6655" s="7"/>
      <c r="AC6655" s="7"/>
      <c r="AD6655" s="7"/>
      <c r="AE6655" s="7"/>
      <c r="AF6655" s="7"/>
      <c r="AG6655" s="11"/>
    </row>
    <row r="6656" spans="1:33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  <c r="AB6656" s="7"/>
      <c r="AC6656" s="7"/>
      <c r="AD6656" s="7"/>
      <c r="AE6656" s="7"/>
      <c r="AF6656" s="7"/>
      <c r="AG6656" s="11"/>
    </row>
    <row r="6657" spans="1:33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  <c r="AB6657" s="7"/>
      <c r="AC6657" s="7"/>
      <c r="AD6657" s="7"/>
      <c r="AE6657" s="7"/>
      <c r="AF6657" s="7"/>
      <c r="AG6657" s="11"/>
    </row>
    <row r="6658" spans="1:33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  <c r="AB6658" s="7"/>
      <c r="AC6658" s="7"/>
      <c r="AD6658" s="7"/>
      <c r="AE6658" s="7"/>
      <c r="AF6658" s="7"/>
      <c r="AG6658" s="11"/>
    </row>
    <row r="6659" spans="1:33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  <c r="AB6659" s="7"/>
      <c r="AC6659" s="7"/>
      <c r="AD6659" s="7"/>
      <c r="AE6659" s="7"/>
      <c r="AF6659" s="7"/>
      <c r="AG6659" s="11"/>
    </row>
    <row r="6660" spans="1:33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  <c r="AB6660" s="7"/>
      <c r="AC6660" s="7"/>
      <c r="AD6660" s="7"/>
      <c r="AE6660" s="7"/>
      <c r="AF6660" s="7"/>
      <c r="AG6660" s="11"/>
    </row>
    <row r="6661" spans="1:33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  <c r="AB6661" s="7"/>
      <c r="AC6661" s="7"/>
      <c r="AD6661" s="7"/>
      <c r="AE6661" s="7"/>
      <c r="AF6661" s="7"/>
      <c r="AG6661" s="11"/>
    </row>
    <row r="6662" spans="1:33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  <c r="AB6662" s="7"/>
      <c r="AC6662" s="7"/>
      <c r="AD6662" s="7"/>
      <c r="AE6662" s="7"/>
      <c r="AF6662" s="7"/>
      <c r="AG6662" s="11"/>
    </row>
    <row r="6663" spans="1:33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  <c r="AB6663" s="7"/>
      <c r="AC6663" s="7"/>
      <c r="AD6663" s="7"/>
      <c r="AE6663" s="7"/>
      <c r="AF6663" s="7"/>
      <c r="AG6663" s="11"/>
    </row>
    <row r="6664" spans="1:33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  <c r="AB6664" s="7"/>
      <c r="AC6664" s="7"/>
      <c r="AD6664" s="7"/>
      <c r="AE6664" s="7"/>
      <c r="AF6664" s="7"/>
      <c r="AG6664" s="11"/>
    </row>
    <row r="6665" spans="1:33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  <c r="AB6665" s="7"/>
      <c r="AC6665" s="7"/>
      <c r="AD6665" s="7"/>
      <c r="AE6665" s="7"/>
      <c r="AF6665" s="7"/>
      <c r="AG6665" s="11"/>
    </row>
    <row r="6666" spans="1:33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  <c r="AB6666" s="7"/>
      <c r="AC6666" s="7"/>
      <c r="AD6666" s="7"/>
      <c r="AE6666" s="7"/>
      <c r="AF6666" s="7"/>
      <c r="AG6666" s="11"/>
    </row>
    <row r="6667" spans="1:33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  <c r="AB6667" s="7"/>
      <c r="AC6667" s="7"/>
      <c r="AD6667" s="7"/>
      <c r="AE6667" s="7"/>
      <c r="AF6667" s="7"/>
      <c r="AG6667" s="11"/>
    </row>
    <row r="6668" spans="1:33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  <c r="AB6668" s="7"/>
      <c r="AC6668" s="7"/>
      <c r="AD6668" s="7"/>
      <c r="AE6668" s="7"/>
      <c r="AF6668" s="7"/>
      <c r="AG6668" s="11"/>
    </row>
    <row r="6669" spans="1:33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  <c r="AB6669" s="7"/>
      <c r="AC6669" s="7"/>
      <c r="AD6669" s="7"/>
      <c r="AE6669" s="7"/>
      <c r="AF6669" s="7"/>
      <c r="AG6669" s="11"/>
    </row>
    <row r="6670" spans="1:33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  <c r="AB6670" s="7"/>
      <c r="AC6670" s="7"/>
      <c r="AD6670" s="7"/>
      <c r="AE6670" s="7"/>
      <c r="AF6670" s="7"/>
      <c r="AG6670" s="11"/>
    </row>
    <row r="6671" spans="1:33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  <c r="AB6671" s="7"/>
      <c r="AC6671" s="7"/>
      <c r="AD6671" s="7"/>
      <c r="AE6671" s="7"/>
      <c r="AF6671" s="7"/>
      <c r="AG6671" s="11"/>
    </row>
    <row r="6672" spans="1:33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  <c r="AB6672" s="7"/>
      <c r="AC6672" s="7"/>
      <c r="AD6672" s="7"/>
      <c r="AE6672" s="7"/>
      <c r="AF6672" s="7"/>
      <c r="AG6672" s="11"/>
    </row>
    <row r="6673" spans="1:33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  <c r="AB6673" s="7"/>
      <c r="AC6673" s="7"/>
      <c r="AD6673" s="7"/>
      <c r="AE6673" s="7"/>
      <c r="AF6673" s="7"/>
      <c r="AG6673" s="11"/>
    </row>
    <row r="6674" spans="1:33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  <c r="AB6674" s="7"/>
      <c r="AC6674" s="7"/>
      <c r="AD6674" s="7"/>
      <c r="AE6674" s="7"/>
      <c r="AF6674" s="7"/>
      <c r="AG6674" s="11"/>
    </row>
    <row r="6675" spans="1:33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  <c r="AB6675" s="7"/>
      <c r="AC6675" s="7"/>
      <c r="AD6675" s="7"/>
      <c r="AE6675" s="7"/>
      <c r="AF6675" s="7"/>
      <c r="AG6675" s="11"/>
    </row>
    <row r="6676" spans="1:33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  <c r="AB6676" s="7"/>
      <c r="AC6676" s="7"/>
      <c r="AD6676" s="7"/>
      <c r="AE6676" s="7"/>
      <c r="AF6676" s="7"/>
      <c r="AG6676" s="11"/>
    </row>
    <row r="6677" spans="1:33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  <c r="AB6677" s="7"/>
      <c r="AC6677" s="7"/>
      <c r="AD6677" s="7"/>
      <c r="AE6677" s="7"/>
      <c r="AF6677" s="7"/>
      <c r="AG6677" s="11"/>
    </row>
    <row r="6678" spans="1:33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  <c r="AB6678" s="7"/>
      <c r="AC6678" s="7"/>
      <c r="AD6678" s="7"/>
      <c r="AE6678" s="7"/>
      <c r="AF6678" s="7"/>
      <c r="AG6678" s="11"/>
    </row>
    <row r="6679" spans="1:33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  <c r="AB6679" s="7"/>
      <c r="AC6679" s="7"/>
      <c r="AD6679" s="7"/>
      <c r="AE6679" s="7"/>
      <c r="AF6679" s="7"/>
      <c r="AG6679" s="11"/>
    </row>
    <row r="6680" spans="1:33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  <c r="AB6680" s="7"/>
      <c r="AC6680" s="7"/>
      <c r="AD6680" s="7"/>
      <c r="AE6680" s="7"/>
      <c r="AF6680" s="7"/>
      <c r="AG6680" s="11"/>
    </row>
    <row r="6681" spans="1:33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  <c r="AB6681" s="7"/>
      <c r="AC6681" s="7"/>
      <c r="AD6681" s="7"/>
      <c r="AE6681" s="7"/>
      <c r="AF6681" s="7"/>
      <c r="AG6681" s="11"/>
    </row>
    <row r="6682" spans="1:33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  <c r="AB6682" s="7"/>
      <c r="AC6682" s="7"/>
      <c r="AD6682" s="7"/>
      <c r="AE6682" s="7"/>
      <c r="AF6682" s="7"/>
      <c r="AG6682" s="11"/>
    </row>
    <row r="6683" spans="1:33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  <c r="AB6683" s="7"/>
      <c r="AC6683" s="7"/>
      <c r="AD6683" s="7"/>
      <c r="AE6683" s="7"/>
      <c r="AF6683" s="7"/>
      <c r="AG6683" s="11"/>
    </row>
    <row r="6684" spans="1:33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  <c r="AB6684" s="7"/>
      <c r="AC6684" s="7"/>
      <c r="AD6684" s="7"/>
      <c r="AE6684" s="7"/>
      <c r="AF6684" s="7"/>
      <c r="AG6684" s="11"/>
    </row>
    <row r="6685" spans="1:33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  <c r="AB6685" s="7"/>
      <c r="AC6685" s="7"/>
      <c r="AD6685" s="7"/>
      <c r="AE6685" s="7"/>
      <c r="AF6685" s="7"/>
      <c r="AG6685" s="11"/>
    </row>
    <row r="6686" spans="1:33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  <c r="AB6686" s="7"/>
      <c r="AC6686" s="7"/>
      <c r="AD6686" s="7"/>
      <c r="AE6686" s="7"/>
      <c r="AF6686" s="7"/>
      <c r="AG6686" s="11"/>
    </row>
    <row r="6687" spans="1:33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  <c r="AB6687" s="7"/>
      <c r="AC6687" s="7"/>
      <c r="AD6687" s="7"/>
      <c r="AE6687" s="7"/>
      <c r="AF6687" s="7"/>
      <c r="AG6687" s="11"/>
    </row>
    <row r="6688" spans="1:33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  <c r="AB6688" s="7"/>
      <c r="AC6688" s="7"/>
      <c r="AD6688" s="7"/>
      <c r="AE6688" s="7"/>
      <c r="AF6688" s="7"/>
      <c r="AG6688" s="11"/>
    </row>
    <row r="6689" spans="1:33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  <c r="AB6689" s="7"/>
      <c r="AC6689" s="7"/>
      <c r="AD6689" s="7"/>
      <c r="AE6689" s="7"/>
      <c r="AF6689" s="7"/>
      <c r="AG6689" s="11"/>
    </row>
    <row r="6690" spans="1:33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  <c r="AB6690" s="7"/>
      <c r="AC6690" s="7"/>
      <c r="AD6690" s="7"/>
      <c r="AE6690" s="7"/>
      <c r="AF6690" s="7"/>
      <c r="AG6690" s="11"/>
    </row>
    <row r="6691" spans="1:33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  <c r="AB6691" s="7"/>
      <c r="AC6691" s="7"/>
      <c r="AD6691" s="7"/>
      <c r="AE6691" s="7"/>
      <c r="AF6691" s="7"/>
      <c r="AG6691" s="11"/>
    </row>
    <row r="6692" spans="1:33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  <c r="AB6692" s="7"/>
      <c r="AC6692" s="7"/>
      <c r="AD6692" s="7"/>
      <c r="AE6692" s="7"/>
      <c r="AF6692" s="7"/>
      <c r="AG6692" s="11"/>
    </row>
    <row r="6693" spans="1:33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  <c r="AB6693" s="7"/>
      <c r="AC6693" s="7"/>
      <c r="AD6693" s="7"/>
      <c r="AE6693" s="7"/>
      <c r="AF6693" s="7"/>
      <c r="AG6693" s="11"/>
    </row>
    <row r="6694" spans="1:33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  <c r="AB6694" s="7"/>
      <c r="AC6694" s="7"/>
      <c r="AD6694" s="7"/>
      <c r="AE6694" s="7"/>
      <c r="AF6694" s="7"/>
      <c r="AG6694" s="11"/>
    </row>
    <row r="6695" spans="1:33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  <c r="AB6695" s="7"/>
      <c r="AC6695" s="7"/>
      <c r="AD6695" s="7"/>
      <c r="AE6695" s="7"/>
      <c r="AF6695" s="7"/>
      <c r="AG6695" s="11"/>
    </row>
    <row r="6696" spans="1:33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  <c r="AB6696" s="7"/>
      <c r="AC6696" s="7"/>
      <c r="AD6696" s="7"/>
      <c r="AE6696" s="7"/>
      <c r="AF6696" s="7"/>
      <c r="AG6696" s="11"/>
    </row>
    <row r="6697" spans="1:33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  <c r="AB6697" s="7"/>
      <c r="AC6697" s="7"/>
      <c r="AD6697" s="7"/>
      <c r="AE6697" s="7"/>
      <c r="AF6697" s="7"/>
      <c r="AG6697" s="11"/>
    </row>
    <row r="6698" spans="1:33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  <c r="AB6698" s="7"/>
      <c r="AC6698" s="7"/>
      <c r="AD6698" s="7"/>
      <c r="AE6698" s="7"/>
      <c r="AF6698" s="7"/>
      <c r="AG6698" s="11"/>
    </row>
    <row r="6699" spans="1:33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  <c r="AB6699" s="7"/>
      <c r="AC6699" s="7"/>
      <c r="AD6699" s="7"/>
      <c r="AE6699" s="7"/>
      <c r="AF6699" s="7"/>
      <c r="AG6699" s="11"/>
    </row>
    <row r="6700" spans="1:33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  <c r="AB6700" s="7"/>
      <c r="AC6700" s="7"/>
      <c r="AD6700" s="7"/>
      <c r="AE6700" s="7"/>
      <c r="AF6700" s="7"/>
      <c r="AG6700" s="11"/>
    </row>
    <row r="6701" spans="1:33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  <c r="AB6701" s="7"/>
      <c r="AC6701" s="7"/>
      <c r="AD6701" s="7"/>
      <c r="AE6701" s="7"/>
      <c r="AF6701" s="7"/>
      <c r="AG6701" s="11"/>
    </row>
    <row r="6702" spans="1:33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  <c r="AB6702" s="7"/>
      <c r="AC6702" s="7"/>
      <c r="AD6702" s="7"/>
      <c r="AE6702" s="7"/>
      <c r="AF6702" s="7"/>
      <c r="AG6702" s="11"/>
    </row>
    <row r="6703" spans="1:33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  <c r="AB6703" s="7"/>
      <c r="AC6703" s="7"/>
      <c r="AD6703" s="7"/>
      <c r="AE6703" s="7"/>
      <c r="AF6703" s="7"/>
      <c r="AG6703" s="11"/>
    </row>
    <row r="6704" spans="1:33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  <c r="AB6704" s="7"/>
      <c r="AC6704" s="7"/>
      <c r="AD6704" s="7"/>
      <c r="AE6704" s="7"/>
      <c r="AF6704" s="7"/>
      <c r="AG6704" s="11"/>
    </row>
    <row r="6705" spans="1:33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  <c r="AB6705" s="7"/>
      <c r="AC6705" s="7"/>
      <c r="AD6705" s="7"/>
      <c r="AE6705" s="7"/>
      <c r="AF6705" s="7"/>
      <c r="AG6705" s="11"/>
    </row>
    <row r="6706" spans="1:33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  <c r="AB6706" s="7"/>
      <c r="AC6706" s="7"/>
      <c r="AD6706" s="7"/>
      <c r="AE6706" s="7"/>
      <c r="AF6706" s="7"/>
      <c r="AG6706" s="11"/>
    </row>
    <row r="6707" spans="1:33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  <c r="AB6707" s="7"/>
      <c r="AC6707" s="7"/>
      <c r="AD6707" s="7"/>
      <c r="AE6707" s="7"/>
      <c r="AF6707" s="7"/>
      <c r="AG6707" s="11"/>
    </row>
    <row r="6708" spans="1:33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  <c r="AB6708" s="7"/>
      <c r="AC6708" s="7"/>
      <c r="AD6708" s="7"/>
      <c r="AE6708" s="7"/>
      <c r="AF6708" s="7"/>
      <c r="AG6708" s="11"/>
    </row>
    <row r="6709" spans="1:33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  <c r="AB6709" s="7"/>
      <c r="AC6709" s="7"/>
      <c r="AD6709" s="7"/>
      <c r="AE6709" s="7"/>
      <c r="AF6709" s="7"/>
      <c r="AG6709" s="11"/>
    </row>
    <row r="6710" spans="1:33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  <c r="AB6710" s="7"/>
      <c r="AC6710" s="7"/>
      <c r="AD6710" s="7"/>
      <c r="AE6710" s="7"/>
      <c r="AF6710" s="7"/>
      <c r="AG6710" s="11"/>
    </row>
    <row r="6711" spans="1:33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  <c r="AB6711" s="7"/>
      <c r="AC6711" s="7"/>
      <c r="AD6711" s="7"/>
      <c r="AE6711" s="7"/>
      <c r="AF6711" s="7"/>
      <c r="AG6711" s="11"/>
    </row>
    <row r="6712" spans="1:33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  <c r="AB6712" s="7"/>
      <c r="AC6712" s="7"/>
      <c r="AD6712" s="7"/>
      <c r="AE6712" s="7"/>
      <c r="AF6712" s="7"/>
      <c r="AG6712" s="11"/>
    </row>
    <row r="6713" spans="1:33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  <c r="AB6713" s="7"/>
      <c r="AC6713" s="7"/>
      <c r="AD6713" s="7"/>
      <c r="AE6713" s="7"/>
      <c r="AF6713" s="7"/>
      <c r="AG6713" s="11"/>
    </row>
    <row r="6714" spans="1:33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  <c r="AB6714" s="7"/>
      <c r="AC6714" s="7"/>
      <c r="AD6714" s="7"/>
      <c r="AE6714" s="7"/>
      <c r="AF6714" s="7"/>
      <c r="AG6714" s="11"/>
    </row>
    <row r="6715" spans="1:33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  <c r="AB6715" s="7"/>
      <c r="AC6715" s="7"/>
      <c r="AD6715" s="7"/>
      <c r="AE6715" s="7"/>
      <c r="AF6715" s="7"/>
      <c r="AG6715" s="11"/>
    </row>
    <row r="6716" spans="1:33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  <c r="AB6716" s="7"/>
      <c r="AC6716" s="7"/>
      <c r="AD6716" s="7"/>
      <c r="AE6716" s="7"/>
      <c r="AF6716" s="7"/>
      <c r="AG6716" s="11"/>
    </row>
    <row r="6717" spans="1:33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  <c r="AB6717" s="7"/>
      <c r="AC6717" s="7"/>
      <c r="AD6717" s="7"/>
      <c r="AE6717" s="7"/>
      <c r="AF6717" s="7"/>
      <c r="AG6717" s="11"/>
    </row>
    <row r="6718" spans="1:33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  <c r="AB6718" s="7"/>
      <c r="AC6718" s="7"/>
      <c r="AD6718" s="7"/>
      <c r="AE6718" s="7"/>
      <c r="AF6718" s="7"/>
      <c r="AG6718" s="11"/>
    </row>
    <row r="6719" spans="1:33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  <c r="AB6719" s="7"/>
      <c r="AC6719" s="7"/>
      <c r="AD6719" s="7"/>
      <c r="AE6719" s="7"/>
      <c r="AF6719" s="7"/>
      <c r="AG6719" s="11"/>
    </row>
    <row r="6720" spans="1:33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  <c r="AB6720" s="7"/>
      <c r="AC6720" s="7"/>
      <c r="AD6720" s="7"/>
      <c r="AE6720" s="7"/>
      <c r="AF6720" s="7"/>
      <c r="AG6720" s="11"/>
    </row>
    <row r="6721" spans="1:33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  <c r="AB6721" s="7"/>
      <c r="AC6721" s="7"/>
      <c r="AD6721" s="7"/>
      <c r="AE6721" s="7"/>
      <c r="AF6721" s="7"/>
      <c r="AG6721" s="11"/>
    </row>
    <row r="6722" spans="1:33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  <c r="AB6722" s="7"/>
      <c r="AC6722" s="7"/>
      <c r="AD6722" s="7"/>
      <c r="AE6722" s="7"/>
      <c r="AF6722" s="7"/>
      <c r="AG6722" s="11"/>
    </row>
    <row r="6723" spans="1:33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  <c r="AB6723" s="7"/>
      <c r="AC6723" s="7"/>
      <c r="AD6723" s="7"/>
      <c r="AE6723" s="7"/>
      <c r="AF6723" s="7"/>
      <c r="AG6723" s="11"/>
    </row>
    <row r="6724" spans="1:33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  <c r="AB6724" s="7"/>
      <c r="AC6724" s="7"/>
      <c r="AD6724" s="7"/>
      <c r="AE6724" s="7"/>
      <c r="AF6724" s="7"/>
      <c r="AG6724" s="11"/>
    </row>
    <row r="6725" spans="1:33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  <c r="AB6725" s="7"/>
      <c r="AC6725" s="7"/>
      <c r="AD6725" s="7"/>
      <c r="AE6725" s="7"/>
      <c r="AF6725" s="7"/>
      <c r="AG6725" s="11"/>
    </row>
    <row r="6726" spans="1:33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  <c r="AB6726" s="7"/>
      <c r="AC6726" s="7"/>
      <c r="AD6726" s="7"/>
      <c r="AE6726" s="7"/>
      <c r="AF6726" s="7"/>
      <c r="AG6726" s="11"/>
    </row>
    <row r="6727" spans="1:33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  <c r="AB6727" s="7"/>
      <c r="AC6727" s="7"/>
      <c r="AD6727" s="7"/>
      <c r="AE6727" s="7"/>
      <c r="AF6727" s="7"/>
      <c r="AG6727" s="11"/>
    </row>
    <row r="6728" spans="1:33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  <c r="AB6728" s="7"/>
      <c r="AC6728" s="7"/>
      <c r="AD6728" s="7"/>
      <c r="AE6728" s="7"/>
      <c r="AF6728" s="7"/>
      <c r="AG6728" s="11"/>
    </row>
    <row r="6729" spans="1:33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  <c r="AB6729" s="7"/>
      <c r="AC6729" s="7"/>
      <c r="AD6729" s="7"/>
      <c r="AE6729" s="7"/>
      <c r="AF6729" s="7"/>
      <c r="AG6729" s="11"/>
    </row>
    <row r="6730" spans="1:33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  <c r="AB6730" s="7"/>
      <c r="AC6730" s="7"/>
      <c r="AD6730" s="7"/>
      <c r="AE6730" s="7"/>
      <c r="AF6730" s="7"/>
      <c r="AG6730" s="11"/>
    </row>
    <row r="6731" spans="1:33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  <c r="AB6731" s="7"/>
      <c r="AC6731" s="7"/>
      <c r="AD6731" s="7"/>
      <c r="AE6731" s="7"/>
      <c r="AF6731" s="7"/>
      <c r="AG6731" s="11"/>
    </row>
    <row r="6732" spans="1:33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  <c r="AB6732" s="7"/>
      <c r="AC6732" s="7"/>
      <c r="AD6732" s="7"/>
      <c r="AE6732" s="7"/>
      <c r="AF6732" s="7"/>
      <c r="AG6732" s="11"/>
    </row>
    <row r="6733" spans="1:33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  <c r="AB6733" s="7"/>
      <c r="AC6733" s="7"/>
      <c r="AD6733" s="7"/>
      <c r="AE6733" s="7"/>
      <c r="AF6733" s="7"/>
      <c r="AG6733" s="11"/>
    </row>
    <row r="6734" spans="1:33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  <c r="AB6734" s="7"/>
      <c r="AC6734" s="7"/>
      <c r="AD6734" s="7"/>
      <c r="AE6734" s="7"/>
      <c r="AF6734" s="7"/>
      <c r="AG6734" s="11"/>
    </row>
    <row r="6735" spans="1:33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  <c r="AB6735" s="7"/>
      <c r="AC6735" s="7"/>
      <c r="AD6735" s="7"/>
      <c r="AE6735" s="7"/>
      <c r="AF6735" s="7"/>
      <c r="AG6735" s="11"/>
    </row>
    <row r="6736" spans="1:33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  <c r="AB6736" s="7"/>
      <c r="AC6736" s="7"/>
      <c r="AD6736" s="7"/>
      <c r="AE6736" s="7"/>
      <c r="AF6736" s="7"/>
      <c r="AG6736" s="11"/>
    </row>
    <row r="6737" spans="1:33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  <c r="AB6737" s="7"/>
      <c r="AC6737" s="7"/>
      <c r="AD6737" s="7"/>
      <c r="AE6737" s="7"/>
      <c r="AF6737" s="7"/>
      <c r="AG6737" s="11"/>
    </row>
    <row r="6738" spans="1:33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  <c r="AB6738" s="7"/>
      <c r="AC6738" s="7"/>
      <c r="AD6738" s="7"/>
      <c r="AE6738" s="7"/>
      <c r="AF6738" s="7"/>
      <c r="AG6738" s="11"/>
    </row>
    <row r="6739" spans="1:33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  <c r="AB6739" s="7"/>
      <c r="AC6739" s="7"/>
      <c r="AD6739" s="7"/>
      <c r="AE6739" s="7"/>
      <c r="AF6739" s="7"/>
      <c r="AG6739" s="11"/>
    </row>
    <row r="6740" spans="1:33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  <c r="AB6740" s="7"/>
      <c r="AC6740" s="7"/>
      <c r="AD6740" s="7"/>
      <c r="AE6740" s="7"/>
      <c r="AF6740" s="7"/>
      <c r="AG6740" s="11"/>
    </row>
    <row r="6741" spans="1:33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  <c r="AB6741" s="7"/>
      <c r="AC6741" s="7"/>
      <c r="AD6741" s="7"/>
      <c r="AE6741" s="7"/>
      <c r="AF6741" s="7"/>
      <c r="AG6741" s="11"/>
    </row>
    <row r="6742" spans="1:33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  <c r="AB6742" s="7"/>
      <c r="AC6742" s="7"/>
      <c r="AD6742" s="7"/>
      <c r="AE6742" s="7"/>
      <c r="AF6742" s="7"/>
      <c r="AG6742" s="11"/>
    </row>
    <row r="6743" spans="1:33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  <c r="AB6743" s="7"/>
      <c r="AC6743" s="7"/>
      <c r="AD6743" s="7"/>
      <c r="AE6743" s="7"/>
      <c r="AF6743" s="7"/>
      <c r="AG6743" s="11"/>
    </row>
    <row r="6744" spans="1:33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  <c r="AB6744" s="7"/>
      <c r="AC6744" s="7"/>
      <c r="AD6744" s="7"/>
      <c r="AE6744" s="7"/>
      <c r="AF6744" s="7"/>
      <c r="AG6744" s="11"/>
    </row>
    <row r="6745" spans="1:33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  <c r="AB6745" s="7"/>
      <c r="AC6745" s="7"/>
      <c r="AD6745" s="7"/>
      <c r="AE6745" s="7"/>
      <c r="AF6745" s="7"/>
      <c r="AG6745" s="11"/>
    </row>
    <row r="6746" spans="1:33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  <c r="AB6746" s="7"/>
      <c r="AC6746" s="7"/>
      <c r="AD6746" s="7"/>
      <c r="AE6746" s="7"/>
      <c r="AF6746" s="7"/>
      <c r="AG6746" s="11"/>
    </row>
    <row r="6747" spans="1:33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  <c r="AB6747" s="7"/>
      <c r="AC6747" s="7"/>
      <c r="AD6747" s="7"/>
      <c r="AE6747" s="7"/>
      <c r="AF6747" s="7"/>
      <c r="AG6747" s="11"/>
    </row>
    <row r="6748" spans="1:33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  <c r="AB6748" s="7"/>
      <c r="AC6748" s="7"/>
      <c r="AD6748" s="7"/>
      <c r="AE6748" s="7"/>
      <c r="AF6748" s="7"/>
      <c r="AG6748" s="11"/>
    </row>
    <row r="6749" spans="1:33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  <c r="AB6749" s="7"/>
      <c r="AC6749" s="7"/>
      <c r="AD6749" s="7"/>
      <c r="AE6749" s="7"/>
      <c r="AF6749" s="7"/>
      <c r="AG6749" s="11"/>
    </row>
    <row r="6750" spans="1:33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  <c r="AB6750" s="7"/>
      <c r="AC6750" s="7"/>
      <c r="AD6750" s="7"/>
      <c r="AE6750" s="7"/>
      <c r="AF6750" s="7"/>
      <c r="AG6750" s="11"/>
    </row>
    <row r="6751" spans="1:33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  <c r="AB6751" s="7"/>
      <c r="AC6751" s="7"/>
      <c r="AD6751" s="7"/>
      <c r="AE6751" s="7"/>
      <c r="AF6751" s="7"/>
      <c r="AG6751" s="11"/>
    </row>
    <row r="6752" spans="1:33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  <c r="AB6752" s="7"/>
      <c r="AC6752" s="7"/>
      <c r="AD6752" s="7"/>
      <c r="AE6752" s="7"/>
      <c r="AF6752" s="7"/>
      <c r="AG6752" s="11"/>
    </row>
    <row r="6753" spans="1:33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  <c r="AB6753" s="7"/>
      <c r="AC6753" s="7"/>
      <c r="AD6753" s="7"/>
      <c r="AE6753" s="7"/>
      <c r="AF6753" s="7"/>
      <c r="AG6753" s="11"/>
    </row>
    <row r="6754" spans="1:33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  <c r="AB6754" s="7"/>
      <c r="AC6754" s="7"/>
      <c r="AD6754" s="7"/>
      <c r="AE6754" s="7"/>
      <c r="AF6754" s="7"/>
      <c r="AG6754" s="11"/>
    </row>
    <row r="6755" spans="1:33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  <c r="AB6755" s="7"/>
      <c r="AC6755" s="7"/>
      <c r="AD6755" s="7"/>
      <c r="AE6755" s="7"/>
      <c r="AF6755" s="7"/>
      <c r="AG6755" s="11"/>
    </row>
    <row r="6756" spans="1:33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  <c r="AB6756" s="7"/>
      <c r="AC6756" s="7"/>
      <c r="AD6756" s="7"/>
      <c r="AE6756" s="7"/>
      <c r="AF6756" s="7"/>
      <c r="AG6756" s="11"/>
    </row>
    <row r="6757" spans="1:33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  <c r="AB6757" s="7"/>
      <c r="AC6757" s="7"/>
      <c r="AD6757" s="7"/>
      <c r="AE6757" s="7"/>
      <c r="AF6757" s="7"/>
      <c r="AG6757" s="11"/>
    </row>
    <row r="6758" spans="1:33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  <c r="AB6758" s="7"/>
      <c r="AC6758" s="7"/>
      <c r="AD6758" s="7"/>
      <c r="AE6758" s="7"/>
      <c r="AF6758" s="7"/>
      <c r="AG6758" s="11"/>
    </row>
    <row r="6759" spans="1:33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  <c r="AB6759" s="7"/>
      <c r="AC6759" s="7"/>
      <c r="AD6759" s="7"/>
      <c r="AE6759" s="7"/>
      <c r="AF6759" s="7"/>
      <c r="AG6759" s="11"/>
    </row>
    <row r="6760" spans="1:33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  <c r="AB6760" s="7"/>
      <c r="AC6760" s="7"/>
      <c r="AD6760" s="7"/>
      <c r="AE6760" s="7"/>
      <c r="AF6760" s="7"/>
      <c r="AG6760" s="11"/>
    </row>
    <row r="6761" spans="1:33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  <c r="AB6761" s="7"/>
      <c r="AC6761" s="7"/>
      <c r="AD6761" s="7"/>
      <c r="AE6761" s="7"/>
      <c r="AF6761" s="7"/>
      <c r="AG6761" s="11"/>
    </row>
    <row r="6762" spans="1:33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  <c r="AB6762" s="7"/>
      <c r="AC6762" s="7"/>
      <c r="AD6762" s="7"/>
      <c r="AE6762" s="7"/>
      <c r="AF6762" s="7"/>
      <c r="AG6762" s="11"/>
    </row>
    <row r="6763" spans="1:33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  <c r="AB6763" s="7"/>
      <c r="AC6763" s="7"/>
      <c r="AD6763" s="7"/>
      <c r="AE6763" s="7"/>
      <c r="AF6763" s="7"/>
      <c r="AG6763" s="11"/>
    </row>
    <row r="6764" spans="1:33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  <c r="AB6764" s="7"/>
      <c r="AC6764" s="7"/>
      <c r="AD6764" s="7"/>
      <c r="AE6764" s="7"/>
      <c r="AF6764" s="7"/>
      <c r="AG6764" s="11"/>
    </row>
    <row r="6765" spans="1:33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  <c r="AB6765" s="7"/>
      <c r="AC6765" s="7"/>
      <c r="AD6765" s="7"/>
      <c r="AE6765" s="7"/>
      <c r="AF6765" s="7"/>
      <c r="AG6765" s="11"/>
    </row>
    <row r="6766" spans="1:33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  <c r="AB6766" s="7"/>
      <c r="AC6766" s="7"/>
      <c r="AD6766" s="7"/>
      <c r="AE6766" s="7"/>
      <c r="AF6766" s="7"/>
      <c r="AG6766" s="11"/>
    </row>
    <row r="6767" spans="1:33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  <c r="AB6767" s="7"/>
      <c r="AC6767" s="7"/>
      <c r="AD6767" s="7"/>
      <c r="AE6767" s="7"/>
      <c r="AF6767" s="7"/>
      <c r="AG6767" s="11"/>
    </row>
    <row r="6768" spans="1:33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  <c r="AB6768" s="7"/>
      <c r="AC6768" s="7"/>
      <c r="AD6768" s="7"/>
      <c r="AE6768" s="7"/>
      <c r="AF6768" s="7"/>
      <c r="AG6768" s="11"/>
    </row>
    <row r="6769" spans="1:33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  <c r="AB6769" s="7"/>
      <c r="AC6769" s="7"/>
      <c r="AD6769" s="7"/>
      <c r="AE6769" s="7"/>
      <c r="AF6769" s="7"/>
      <c r="AG6769" s="11"/>
    </row>
    <row r="6770" spans="1:33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  <c r="AB6770" s="7"/>
      <c r="AC6770" s="7"/>
      <c r="AD6770" s="7"/>
      <c r="AE6770" s="7"/>
      <c r="AF6770" s="7"/>
      <c r="AG6770" s="11"/>
    </row>
    <row r="6771" spans="1:33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  <c r="AB6771" s="7"/>
      <c r="AC6771" s="7"/>
      <c r="AD6771" s="7"/>
      <c r="AE6771" s="7"/>
      <c r="AF6771" s="7"/>
      <c r="AG6771" s="11"/>
    </row>
    <row r="6772" spans="1:33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  <c r="AB6772" s="7"/>
      <c r="AC6772" s="7"/>
      <c r="AD6772" s="7"/>
      <c r="AE6772" s="7"/>
      <c r="AF6772" s="7"/>
      <c r="AG6772" s="11"/>
    </row>
    <row r="6773" spans="1:33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  <c r="AB6773" s="7"/>
      <c r="AC6773" s="7"/>
      <c r="AD6773" s="7"/>
      <c r="AE6773" s="7"/>
      <c r="AF6773" s="7"/>
      <c r="AG6773" s="11"/>
    </row>
    <row r="6774" spans="1:33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  <c r="AB6774" s="7"/>
      <c r="AC6774" s="7"/>
      <c r="AD6774" s="7"/>
      <c r="AE6774" s="7"/>
      <c r="AF6774" s="7"/>
      <c r="AG6774" s="11"/>
    </row>
    <row r="6775" spans="1:33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  <c r="AB6775" s="7"/>
      <c r="AC6775" s="7"/>
      <c r="AD6775" s="7"/>
      <c r="AE6775" s="7"/>
      <c r="AF6775" s="7"/>
      <c r="AG6775" s="11"/>
    </row>
    <row r="6776" spans="1:33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  <c r="AB6776" s="7"/>
      <c r="AC6776" s="7"/>
      <c r="AD6776" s="7"/>
      <c r="AE6776" s="7"/>
      <c r="AF6776" s="7"/>
      <c r="AG6776" s="11"/>
    </row>
    <row r="6777" spans="1:33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  <c r="AB6777" s="7"/>
      <c r="AC6777" s="7"/>
      <c r="AD6777" s="7"/>
      <c r="AE6777" s="7"/>
      <c r="AF6777" s="7"/>
      <c r="AG6777" s="11"/>
    </row>
    <row r="6778" spans="1:33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  <c r="AB6778" s="7"/>
      <c r="AC6778" s="7"/>
      <c r="AD6778" s="7"/>
      <c r="AE6778" s="7"/>
      <c r="AF6778" s="7"/>
      <c r="AG6778" s="11"/>
    </row>
    <row r="6779" spans="1:33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  <c r="AB6779" s="7"/>
      <c r="AC6779" s="7"/>
      <c r="AD6779" s="7"/>
      <c r="AE6779" s="7"/>
      <c r="AF6779" s="7"/>
      <c r="AG6779" s="11"/>
    </row>
    <row r="6780" spans="1:33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  <c r="AB6780" s="7"/>
      <c r="AC6780" s="7"/>
      <c r="AD6780" s="7"/>
      <c r="AE6780" s="7"/>
      <c r="AF6780" s="7"/>
      <c r="AG6780" s="11"/>
    </row>
    <row r="6781" spans="1:33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  <c r="AB6781" s="7"/>
      <c r="AC6781" s="7"/>
      <c r="AD6781" s="7"/>
      <c r="AE6781" s="7"/>
      <c r="AF6781" s="7"/>
      <c r="AG6781" s="11"/>
    </row>
    <row r="6782" spans="1:33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  <c r="AB6782" s="7"/>
      <c r="AC6782" s="7"/>
      <c r="AD6782" s="7"/>
      <c r="AE6782" s="7"/>
      <c r="AF6782" s="7"/>
      <c r="AG6782" s="11"/>
    </row>
    <row r="6783" spans="1:33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  <c r="AB6783" s="7"/>
      <c r="AC6783" s="7"/>
      <c r="AD6783" s="7"/>
      <c r="AE6783" s="7"/>
      <c r="AF6783" s="7"/>
      <c r="AG6783" s="11"/>
    </row>
    <row r="6784" spans="1:33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  <c r="AB6784" s="7"/>
      <c r="AC6784" s="7"/>
      <c r="AD6784" s="7"/>
      <c r="AE6784" s="7"/>
      <c r="AF6784" s="7"/>
      <c r="AG6784" s="11"/>
    </row>
    <row r="6785" spans="1:33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  <c r="AB6785" s="7"/>
      <c r="AC6785" s="7"/>
      <c r="AD6785" s="7"/>
      <c r="AE6785" s="7"/>
      <c r="AF6785" s="7"/>
      <c r="AG6785" s="11"/>
    </row>
    <row r="6786" spans="1:33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  <c r="AB6786" s="7"/>
      <c r="AC6786" s="7"/>
      <c r="AD6786" s="7"/>
      <c r="AE6786" s="7"/>
      <c r="AF6786" s="7"/>
      <c r="AG6786" s="11"/>
    </row>
    <row r="6787" spans="1:33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  <c r="AB6787" s="7"/>
      <c r="AC6787" s="7"/>
      <c r="AD6787" s="7"/>
      <c r="AE6787" s="7"/>
      <c r="AF6787" s="7"/>
      <c r="AG6787" s="11"/>
    </row>
    <row r="6788" spans="1:33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  <c r="AB6788" s="7"/>
      <c r="AC6788" s="7"/>
      <c r="AD6788" s="7"/>
      <c r="AE6788" s="7"/>
      <c r="AF6788" s="7"/>
      <c r="AG6788" s="11"/>
    </row>
    <row r="6789" spans="1:33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  <c r="AB6789" s="7"/>
      <c r="AC6789" s="7"/>
      <c r="AD6789" s="7"/>
      <c r="AE6789" s="7"/>
      <c r="AF6789" s="7"/>
      <c r="AG6789" s="11"/>
    </row>
    <row r="6790" spans="1:33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  <c r="AB6790" s="7"/>
      <c r="AC6790" s="7"/>
      <c r="AD6790" s="7"/>
      <c r="AE6790" s="7"/>
      <c r="AF6790" s="7"/>
      <c r="AG6790" s="11"/>
    </row>
    <row r="6791" spans="1:33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  <c r="AB6791" s="7"/>
      <c r="AC6791" s="7"/>
      <c r="AD6791" s="7"/>
      <c r="AE6791" s="7"/>
      <c r="AF6791" s="7"/>
      <c r="AG6791" s="11"/>
    </row>
    <row r="6792" spans="1:33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  <c r="AB6792" s="7"/>
      <c r="AC6792" s="7"/>
      <c r="AD6792" s="7"/>
      <c r="AE6792" s="7"/>
      <c r="AF6792" s="7"/>
      <c r="AG6792" s="11"/>
    </row>
    <row r="6793" spans="1:33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  <c r="AB6793" s="7"/>
      <c r="AC6793" s="7"/>
      <c r="AD6793" s="7"/>
      <c r="AE6793" s="7"/>
      <c r="AF6793" s="7"/>
      <c r="AG6793" s="11"/>
    </row>
    <row r="6794" spans="1:33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  <c r="AB6794" s="7"/>
      <c r="AC6794" s="7"/>
      <c r="AD6794" s="7"/>
      <c r="AE6794" s="7"/>
      <c r="AF6794" s="7"/>
      <c r="AG6794" s="11"/>
    </row>
    <row r="6795" spans="1:33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  <c r="AB6795" s="7"/>
      <c r="AC6795" s="7"/>
      <c r="AD6795" s="7"/>
      <c r="AE6795" s="7"/>
      <c r="AF6795" s="7"/>
      <c r="AG6795" s="11"/>
    </row>
    <row r="6796" spans="1:33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  <c r="AB6796" s="7"/>
      <c r="AC6796" s="7"/>
      <c r="AD6796" s="7"/>
      <c r="AE6796" s="7"/>
      <c r="AF6796" s="7"/>
      <c r="AG6796" s="11"/>
    </row>
    <row r="6797" spans="1:33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  <c r="AB6797" s="7"/>
      <c r="AC6797" s="7"/>
      <c r="AD6797" s="7"/>
      <c r="AE6797" s="7"/>
      <c r="AF6797" s="7"/>
      <c r="AG6797" s="11"/>
    </row>
    <row r="6798" spans="1:33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  <c r="AB6798" s="7"/>
      <c r="AC6798" s="7"/>
      <c r="AD6798" s="7"/>
      <c r="AE6798" s="7"/>
      <c r="AF6798" s="7"/>
      <c r="AG6798" s="11"/>
    </row>
    <row r="6799" spans="1:33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  <c r="AB6799" s="7"/>
      <c r="AC6799" s="7"/>
      <c r="AD6799" s="7"/>
      <c r="AE6799" s="7"/>
      <c r="AF6799" s="7"/>
      <c r="AG6799" s="11"/>
    </row>
    <row r="6800" spans="1:33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  <c r="AB6800" s="7"/>
      <c r="AC6800" s="7"/>
      <c r="AD6800" s="7"/>
      <c r="AE6800" s="7"/>
      <c r="AF6800" s="7"/>
      <c r="AG6800" s="11"/>
    </row>
    <row r="6801" spans="1:33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  <c r="AB6801" s="7"/>
      <c r="AC6801" s="7"/>
      <c r="AD6801" s="7"/>
      <c r="AE6801" s="7"/>
      <c r="AF6801" s="7"/>
      <c r="AG6801" s="11"/>
    </row>
    <row r="6802" spans="1:33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  <c r="AB6802" s="7"/>
      <c r="AC6802" s="7"/>
      <c r="AD6802" s="7"/>
      <c r="AE6802" s="7"/>
      <c r="AF6802" s="7"/>
      <c r="AG6802" s="11"/>
    </row>
    <row r="6803" spans="1:33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  <c r="AB6803" s="7"/>
      <c r="AC6803" s="7"/>
      <c r="AD6803" s="7"/>
      <c r="AE6803" s="7"/>
      <c r="AF6803" s="7"/>
      <c r="AG6803" s="11"/>
    </row>
    <row r="6804" spans="1:33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  <c r="AB6804" s="7"/>
      <c r="AC6804" s="7"/>
      <c r="AD6804" s="7"/>
      <c r="AE6804" s="7"/>
      <c r="AF6804" s="7"/>
      <c r="AG6804" s="11"/>
    </row>
    <row r="6805" spans="1:33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  <c r="AB6805" s="7"/>
      <c r="AC6805" s="7"/>
      <c r="AD6805" s="7"/>
      <c r="AE6805" s="7"/>
      <c r="AF6805" s="7"/>
      <c r="AG6805" s="11"/>
    </row>
    <row r="6806" spans="1:33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  <c r="AB6806" s="7"/>
      <c r="AC6806" s="7"/>
      <c r="AD6806" s="7"/>
      <c r="AE6806" s="7"/>
      <c r="AF6806" s="7"/>
      <c r="AG6806" s="11"/>
    </row>
    <row r="6807" spans="1:33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  <c r="AB6807" s="7"/>
      <c r="AC6807" s="7"/>
      <c r="AD6807" s="7"/>
      <c r="AE6807" s="7"/>
      <c r="AF6807" s="7"/>
      <c r="AG6807" s="11"/>
    </row>
    <row r="6808" spans="1:33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  <c r="AB6808" s="7"/>
      <c r="AC6808" s="7"/>
      <c r="AD6808" s="7"/>
      <c r="AE6808" s="7"/>
      <c r="AF6808" s="7"/>
      <c r="AG6808" s="11"/>
    </row>
    <row r="6809" spans="1:33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  <c r="AB6809" s="7"/>
      <c r="AC6809" s="7"/>
      <c r="AD6809" s="7"/>
      <c r="AE6809" s="7"/>
      <c r="AF6809" s="7"/>
      <c r="AG6809" s="11"/>
    </row>
    <row r="6810" spans="1:33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  <c r="AB6810" s="7"/>
      <c r="AC6810" s="7"/>
      <c r="AD6810" s="7"/>
      <c r="AE6810" s="7"/>
      <c r="AF6810" s="7"/>
      <c r="AG6810" s="11"/>
    </row>
    <row r="6811" spans="1:33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  <c r="AB6811" s="7"/>
      <c r="AC6811" s="7"/>
      <c r="AD6811" s="7"/>
      <c r="AE6811" s="7"/>
      <c r="AF6811" s="7"/>
      <c r="AG6811" s="11"/>
    </row>
    <row r="6812" spans="1:33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  <c r="AB6812" s="7"/>
      <c r="AC6812" s="7"/>
      <c r="AD6812" s="7"/>
      <c r="AE6812" s="7"/>
      <c r="AF6812" s="7"/>
      <c r="AG6812" s="11"/>
    </row>
    <row r="6813" spans="1:33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  <c r="AB6813" s="7"/>
      <c r="AC6813" s="7"/>
      <c r="AD6813" s="7"/>
      <c r="AE6813" s="7"/>
      <c r="AF6813" s="7"/>
      <c r="AG6813" s="11"/>
    </row>
    <row r="6814" spans="1:33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  <c r="AB6814" s="7"/>
      <c r="AC6814" s="7"/>
      <c r="AD6814" s="7"/>
      <c r="AE6814" s="7"/>
      <c r="AF6814" s="7"/>
      <c r="AG6814" s="11"/>
    </row>
    <row r="6815" spans="1:33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  <c r="AB6815" s="7"/>
      <c r="AC6815" s="7"/>
      <c r="AD6815" s="7"/>
      <c r="AE6815" s="7"/>
      <c r="AF6815" s="7"/>
      <c r="AG6815" s="11"/>
    </row>
    <row r="6816" spans="1:33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  <c r="AB6816" s="7"/>
      <c r="AC6816" s="7"/>
      <c r="AD6816" s="7"/>
      <c r="AE6816" s="7"/>
      <c r="AF6816" s="7"/>
      <c r="AG6816" s="11"/>
    </row>
    <row r="6817" spans="1:33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  <c r="AB6817" s="7"/>
      <c r="AC6817" s="7"/>
      <c r="AD6817" s="7"/>
      <c r="AE6817" s="7"/>
      <c r="AF6817" s="7"/>
      <c r="AG6817" s="11"/>
    </row>
    <row r="6818" spans="1:33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  <c r="AB6818" s="7"/>
      <c r="AC6818" s="7"/>
      <c r="AD6818" s="7"/>
      <c r="AE6818" s="7"/>
      <c r="AF6818" s="7"/>
      <c r="AG6818" s="11"/>
    </row>
    <row r="6819" spans="1:33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  <c r="AB6819" s="7"/>
      <c r="AC6819" s="7"/>
      <c r="AD6819" s="7"/>
      <c r="AE6819" s="7"/>
      <c r="AF6819" s="7"/>
      <c r="AG6819" s="11"/>
    </row>
    <row r="6820" spans="1:33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  <c r="AB6820" s="7"/>
      <c r="AC6820" s="7"/>
      <c r="AD6820" s="7"/>
      <c r="AE6820" s="7"/>
      <c r="AF6820" s="7"/>
      <c r="AG6820" s="11"/>
    </row>
    <row r="6821" spans="1:33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  <c r="AB6821" s="7"/>
      <c r="AC6821" s="7"/>
      <c r="AD6821" s="7"/>
      <c r="AE6821" s="7"/>
      <c r="AF6821" s="7"/>
      <c r="AG6821" s="11"/>
    </row>
    <row r="6822" spans="1:33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  <c r="AB6822" s="7"/>
      <c r="AC6822" s="7"/>
      <c r="AD6822" s="7"/>
      <c r="AE6822" s="7"/>
      <c r="AF6822" s="7"/>
      <c r="AG6822" s="11"/>
    </row>
    <row r="6823" spans="1:33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  <c r="AB6823" s="7"/>
      <c r="AC6823" s="7"/>
      <c r="AD6823" s="7"/>
      <c r="AE6823" s="7"/>
      <c r="AF6823" s="7"/>
      <c r="AG6823" s="11"/>
    </row>
    <row r="6824" spans="1:33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  <c r="AB6824" s="7"/>
      <c r="AC6824" s="7"/>
      <c r="AD6824" s="7"/>
      <c r="AE6824" s="7"/>
      <c r="AF6824" s="7"/>
      <c r="AG6824" s="11"/>
    </row>
    <row r="6825" spans="1:33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  <c r="AB6825" s="7"/>
      <c r="AC6825" s="7"/>
      <c r="AD6825" s="7"/>
      <c r="AE6825" s="7"/>
      <c r="AF6825" s="7"/>
      <c r="AG6825" s="11"/>
    </row>
    <row r="6826" spans="1:33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  <c r="AB6826" s="7"/>
      <c r="AC6826" s="7"/>
      <c r="AD6826" s="7"/>
      <c r="AE6826" s="7"/>
      <c r="AF6826" s="7"/>
      <c r="AG6826" s="11"/>
    </row>
    <row r="6827" spans="1:33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  <c r="AB6827" s="7"/>
      <c r="AC6827" s="7"/>
      <c r="AD6827" s="7"/>
      <c r="AE6827" s="7"/>
      <c r="AF6827" s="7"/>
      <c r="AG6827" s="11"/>
    </row>
    <row r="6828" spans="1:33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  <c r="AB6828" s="7"/>
      <c r="AC6828" s="7"/>
      <c r="AD6828" s="7"/>
      <c r="AE6828" s="7"/>
      <c r="AF6828" s="7"/>
      <c r="AG6828" s="11"/>
    </row>
    <row r="6829" spans="1:33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  <c r="AB6829" s="7"/>
      <c r="AC6829" s="7"/>
      <c r="AD6829" s="7"/>
      <c r="AE6829" s="7"/>
      <c r="AF6829" s="7"/>
      <c r="AG6829" s="11"/>
    </row>
    <row r="6830" spans="1:33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  <c r="AB6830" s="7"/>
      <c r="AC6830" s="7"/>
      <c r="AD6830" s="7"/>
      <c r="AE6830" s="7"/>
      <c r="AF6830" s="7"/>
      <c r="AG6830" s="11"/>
    </row>
    <row r="6831" spans="1:33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  <c r="AB6831" s="7"/>
      <c r="AC6831" s="7"/>
      <c r="AD6831" s="7"/>
      <c r="AE6831" s="7"/>
      <c r="AF6831" s="7"/>
      <c r="AG6831" s="11"/>
    </row>
    <row r="6832" spans="1:33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  <c r="AB6832" s="7"/>
      <c r="AC6832" s="7"/>
      <c r="AD6832" s="7"/>
      <c r="AE6832" s="7"/>
      <c r="AF6832" s="7"/>
      <c r="AG6832" s="11"/>
    </row>
    <row r="6833" spans="1:33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  <c r="AB6833" s="7"/>
      <c r="AC6833" s="7"/>
      <c r="AD6833" s="7"/>
      <c r="AE6833" s="7"/>
      <c r="AF6833" s="7"/>
      <c r="AG6833" s="11"/>
    </row>
    <row r="6834" spans="1:33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  <c r="AB6834" s="7"/>
      <c r="AC6834" s="7"/>
      <c r="AD6834" s="7"/>
      <c r="AE6834" s="7"/>
      <c r="AF6834" s="7"/>
      <c r="AG6834" s="11"/>
    </row>
    <row r="6835" spans="1:33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  <c r="AB6835" s="7"/>
      <c r="AC6835" s="7"/>
      <c r="AD6835" s="7"/>
      <c r="AE6835" s="7"/>
      <c r="AF6835" s="7"/>
      <c r="AG6835" s="11"/>
    </row>
    <row r="6836" spans="1:33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  <c r="AB6836" s="7"/>
      <c r="AC6836" s="7"/>
      <c r="AD6836" s="7"/>
      <c r="AE6836" s="7"/>
      <c r="AF6836" s="7"/>
      <c r="AG6836" s="11"/>
    </row>
    <row r="6837" spans="1:33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  <c r="AB6837" s="7"/>
      <c r="AC6837" s="7"/>
      <c r="AD6837" s="7"/>
      <c r="AE6837" s="7"/>
      <c r="AF6837" s="7"/>
      <c r="AG6837" s="11"/>
    </row>
    <row r="6838" spans="1:33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  <c r="AB6838" s="7"/>
      <c r="AC6838" s="7"/>
      <c r="AD6838" s="7"/>
      <c r="AE6838" s="7"/>
      <c r="AF6838" s="7"/>
      <c r="AG6838" s="11"/>
    </row>
    <row r="6839" spans="1:33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  <c r="AB6839" s="7"/>
      <c r="AC6839" s="7"/>
      <c r="AD6839" s="7"/>
      <c r="AE6839" s="7"/>
      <c r="AF6839" s="7"/>
      <c r="AG6839" s="11"/>
    </row>
    <row r="6840" spans="1:33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  <c r="AB6840" s="7"/>
      <c r="AC6840" s="7"/>
      <c r="AD6840" s="7"/>
      <c r="AE6840" s="7"/>
      <c r="AF6840" s="7"/>
      <c r="AG6840" s="11"/>
    </row>
    <row r="6841" spans="1:33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  <c r="AB6841" s="7"/>
      <c r="AC6841" s="7"/>
      <c r="AD6841" s="7"/>
      <c r="AE6841" s="7"/>
      <c r="AF6841" s="7"/>
      <c r="AG6841" s="11"/>
    </row>
    <row r="6842" spans="1:33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  <c r="AB6842" s="7"/>
      <c r="AC6842" s="7"/>
      <c r="AD6842" s="7"/>
      <c r="AE6842" s="7"/>
      <c r="AF6842" s="7"/>
      <c r="AG6842" s="11"/>
    </row>
    <row r="6843" spans="1:33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  <c r="AB6843" s="7"/>
      <c r="AC6843" s="7"/>
      <c r="AD6843" s="7"/>
      <c r="AE6843" s="7"/>
      <c r="AF6843" s="7"/>
      <c r="AG6843" s="11"/>
    </row>
    <row r="6844" spans="1:33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  <c r="AB6844" s="7"/>
      <c r="AC6844" s="7"/>
      <c r="AD6844" s="7"/>
      <c r="AE6844" s="7"/>
      <c r="AF6844" s="7"/>
      <c r="AG6844" s="11"/>
    </row>
    <row r="6845" spans="1:33">
      <c r="A6845" s="7"/>
      <c r="B6845" s="7"/>
      <c r="C6845" s="7"/>
      <c r="D6845" s="7"/>
      <c r="E6845" s="7"/>
      <c r="F6845" s="7"/>
      <c r="G6845" s="7"/>
      <c r="H6845" s="7"/>
      <c r="I6845" s="7"/>
      <c r="J6845" s="7"/>
      <c r="K6845" s="7"/>
      <c r="L6845" s="7"/>
      <c r="M6845" s="7"/>
      <c r="N6845" s="7"/>
      <c r="O6845" s="7"/>
      <c r="P6845" s="7"/>
      <c r="Q6845" s="7"/>
      <c r="R6845" s="7"/>
      <c r="S6845" s="7"/>
      <c r="T6845" s="7"/>
      <c r="U6845" s="7"/>
      <c r="V6845" s="7"/>
      <c r="W6845" s="7"/>
      <c r="X6845" s="7"/>
      <c r="Y6845" s="7"/>
      <c r="Z6845" s="7"/>
      <c r="AA6845" s="7"/>
      <c r="AB6845" s="7"/>
      <c r="AC6845" s="7"/>
      <c r="AD6845" s="7"/>
      <c r="AE6845" s="7"/>
      <c r="AF6845" s="7"/>
      <c r="AG6845" s="11"/>
    </row>
    <row r="6846" spans="1:33">
      <c r="A6846" s="7"/>
      <c r="B6846" s="7"/>
      <c r="C6846" s="7"/>
      <c r="D6846" s="7"/>
      <c r="E6846" s="7"/>
      <c r="F6846" s="7"/>
      <c r="G6846" s="7"/>
      <c r="H6846" s="7"/>
      <c r="I6846" s="7"/>
      <c r="J6846" s="7"/>
      <c r="K6846" s="7"/>
      <c r="L6846" s="7"/>
      <c r="M6846" s="7"/>
      <c r="N6846" s="7"/>
      <c r="O6846" s="7"/>
      <c r="P6846" s="7"/>
      <c r="Q6846" s="7"/>
      <c r="R6846" s="7"/>
      <c r="S6846" s="7"/>
      <c r="T6846" s="7"/>
      <c r="U6846" s="7"/>
      <c r="V6846" s="7"/>
      <c r="W6846" s="7"/>
      <c r="X6846" s="7"/>
      <c r="Y6846" s="7"/>
      <c r="Z6846" s="7"/>
      <c r="AA6846" s="7"/>
      <c r="AB6846" s="7"/>
      <c r="AC6846" s="7"/>
      <c r="AD6846" s="7"/>
      <c r="AE6846" s="7"/>
      <c r="AF6846" s="7"/>
      <c r="AG6846" s="11"/>
    </row>
    <row r="6847" spans="1:33">
      <c r="A6847" s="7"/>
      <c r="B6847" s="7"/>
      <c r="C6847" s="7"/>
      <c r="D6847" s="7"/>
      <c r="E6847" s="7"/>
      <c r="F6847" s="7"/>
      <c r="G6847" s="7"/>
      <c r="H6847" s="7"/>
      <c r="I6847" s="7"/>
      <c r="J6847" s="7"/>
      <c r="K6847" s="7"/>
      <c r="L6847" s="7"/>
      <c r="M6847" s="7"/>
      <c r="N6847" s="7"/>
      <c r="O6847" s="7"/>
      <c r="P6847" s="7"/>
      <c r="Q6847" s="7"/>
      <c r="R6847" s="7"/>
      <c r="S6847" s="7"/>
      <c r="T6847" s="7"/>
      <c r="U6847" s="7"/>
      <c r="V6847" s="7"/>
      <c r="W6847" s="7"/>
      <c r="X6847" s="7"/>
      <c r="Y6847" s="7"/>
      <c r="Z6847" s="7"/>
      <c r="AA6847" s="7"/>
      <c r="AB6847" s="7"/>
      <c r="AC6847" s="7"/>
      <c r="AD6847" s="7"/>
      <c r="AE6847" s="7"/>
      <c r="AF6847" s="7"/>
      <c r="AG6847" s="11"/>
    </row>
    <row r="6848" spans="1:33">
      <c r="A6848" s="7"/>
      <c r="B6848" s="7"/>
      <c r="C6848" s="7"/>
      <c r="D6848" s="7"/>
      <c r="E6848" s="7"/>
      <c r="F6848" s="7"/>
      <c r="G6848" s="7"/>
      <c r="H6848" s="7"/>
      <c r="I6848" s="7"/>
      <c r="J6848" s="7"/>
      <c r="K6848" s="7"/>
      <c r="L6848" s="7"/>
      <c r="M6848" s="7"/>
      <c r="N6848" s="7"/>
      <c r="O6848" s="7"/>
      <c r="P6848" s="7"/>
      <c r="Q6848" s="7"/>
      <c r="R6848" s="7"/>
      <c r="S6848" s="7"/>
      <c r="T6848" s="7"/>
      <c r="U6848" s="7"/>
      <c r="V6848" s="7"/>
      <c r="W6848" s="7"/>
      <c r="X6848" s="7"/>
      <c r="Y6848" s="7"/>
      <c r="Z6848" s="7"/>
      <c r="AA6848" s="7"/>
      <c r="AB6848" s="7"/>
      <c r="AC6848" s="7"/>
      <c r="AD6848" s="7"/>
      <c r="AE6848" s="7"/>
      <c r="AF6848" s="7"/>
      <c r="AG6848" s="11"/>
    </row>
    <row r="6849" spans="1:33">
      <c r="A6849" s="7"/>
      <c r="B6849" s="7"/>
      <c r="C6849" s="7"/>
      <c r="D6849" s="7"/>
      <c r="E6849" s="7"/>
      <c r="F6849" s="7"/>
      <c r="G6849" s="7"/>
      <c r="H6849" s="7"/>
      <c r="I6849" s="7"/>
      <c r="J6849" s="7"/>
      <c r="K6849" s="7"/>
      <c r="L6849" s="7"/>
      <c r="M6849" s="7"/>
      <c r="N6849" s="7"/>
      <c r="O6849" s="7"/>
      <c r="P6849" s="7"/>
      <c r="Q6849" s="7"/>
      <c r="R6849" s="7"/>
      <c r="S6849" s="7"/>
      <c r="T6849" s="7"/>
      <c r="U6849" s="7"/>
      <c r="V6849" s="7"/>
      <c r="W6849" s="7"/>
      <c r="X6849" s="7"/>
      <c r="Y6849" s="7"/>
      <c r="Z6849" s="7"/>
      <c r="AA6849" s="7"/>
      <c r="AB6849" s="7"/>
      <c r="AC6849" s="7"/>
      <c r="AD6849" s="7"/>
      <c r="AE6849" s="7"/>
      <c r="AF6849" s="7"/>
      <c r="AG6849" s="11"/>
    </row>
    <row r="6850" spans="1:33">
      <c r="A6850" s="7"/>
      <c r="B6850" s="7"/>
      <c r="C6850" s="7"/>
      <c r="D6850" s="7"/>
      <c r="E6850" s="7"/>
      <c r="F6850" s="7"/>
      <c r="G6850" s="7"/>
      <c r="H6850" s="7"/>
      <c r="I6850" s="7"/>
      <c r="J6850" s="7"/>
      <c r="K6850" s="7"/>
      <c r="L6850" s="7"/>
      <c r="M6850" s="7"/>
      <c r="N6850" s="7"/>
      <c r="O6850" s="7"/>
      <c r="P6850" s="7"/>
      <c r="Q6850" s="7"/>
      <c r="R6850" s="7"/>
      <c r="S6850" s="7"/>
      <c r="T6850" s="7"/>
      <c r="U6850" s="7"/>
      <c r="V6850" s="7"/>
      <c r="W6850" s="7"/>
      <c r="X6850" s="7"/>
      <c r="Y6850" s="7"/>
      <c r="Z6850" s="7"/>
      <c r="AA6850" s="7"/>
      <c r="AB6850" s="7"/>
      <c r="AC6850" s="7"/>
      <c r="AD6850" s="7"/>
      <c r="AE6850" s="7"/>
      <c r="AF6850" s="7"/>
      <c r="AG6850" s="11"/>
    </row>
    <row r="6851" spans="1:33">
      <c r="A6851" s="7"/>
      <c r="B6851" s="7"/>
      <c r="C6851" s="7"/>
      <c r="D6851" s="7"/>
      <c r="E6851" s="7"/>
      <c r="F6851" s="7"/>
      <c r="G6851" s="7"/>
      <c r="H6851" s="7"/>
      <c r="I6851" s="7"/>
      <c r="J6851" s="7"/>
      <c r="K6851" s="7"/>
      <c r="L6851" s="7"/>
      <c r="M6851" s="7"/>
      <c r="N6851" s="7"/>
      <c r="O6851" s="7"/>
      <c r="P6851" s="7"/>
      <c r="Q6851" s="7"/>
      <c r="R6851" s="7"/>
      <c r="S6851" s="7"/>
      <c r="T6851" s="7"/>
      <c r="U6851" s="7"/>
      <c r="V6851" s="7"/>
      <c r="W6851" s="7"/>
      <c r="X6851" s="7"/>
      <c r="Y6851" s="7"/>
      <c r="Z6851" s="7"/>
      <c r="AA6851" s="7"/>
      <c r="AB6851" s="7"/>
      <c r="AC6851" s="7"/>
      <c r="AD6851" s="7"/>
      <c r="AE6851" s="7"/>
      <c r="AF6851" s="7"/>
      <c r="AG6851" s="11"/>
    </row>
    <row r="6852" spans="1:33">
      <c r="A6852" s="7"/>
      <c r="B6852" s="7"/>
      <c r="C6852" s="7"/>
      <c r="D6852" s="7"/>
      <c r="E6852" s="7"/>
      <c r="F6852" s="7"/>
      <c r="G6852" s="7"/>
      <c r="H6852" s="7"/>
      <c r="I6852" s="7"/>
      <c r="J6852" s="7"/>
      <c r="K6852" s="7"/>
      <c r="L6852" s="7"/>
      <c r="M6852" s="7"/>
      <c r="N6852" s="7"/>
      <c r="O6852" s="7"/>
      <c r="P6852" s="7"/>
      <c r="Q6852" s="7"/>
      <c r="R6852" s="7"/>
      <c r="S6852" s="7"/>
      <c r="T6852" s="7"/>
      <c r="U6852" s="7"/>
      <c r="V6852" s="7"/>
      <c r="W6852" s="7"/>
      <c r="X6852" s="7"/>
      <c r="Y6852" s="7"/>
      <c r="Z6852" s="7"/>
      <c r="AA6852" s="7"/>
      <c r="AB6852" s="7"/>
      <c r="AC6852" s="7"/>
      <c r="AD6852" s="7"/>
      <c r="AE6852" s="7"/>
      <c r="AF6852" s="7"/>
      <c r="AG6852" s="11"/>
    </row>
    <row r="6853" spans="1:33">
      <c r="A6853" s="7"/>
      <c r="B6853" s="7"/>
      <c r="C6853" s="7"/>
      <c r="D6853" s="7"/>
      <c r="E6853" s="7"/>
      <c r="F6853" s="7"/>
      <c r="G6853" s="7"/>
      <c r="H6853" s="7"/>
      <c r="I6853" s="7"/>
      <c r="J6853" s="7"/>
      <c r="K6853" s="7"/>
      <c r="L6853" s="7"/>
      <c r="M6853" s="7"/>
      <c r="N6853" s="7"/>
      <c r="O6853" s="7"/>
      <c r="P6853" s="7"/>
      <c r="Q6853" s="7"/>
      <c r="R6853" s="7"/>
      <c r="S6853" s="7"/>
      <c r="T6853" s="7"/>
      <c r="U6853" s="7"/>
      <c r="V6853" s="7"/>
      <c r="W6853" s="7"/>
      <c r="X6853" s="7"/>
      <c r="Y6853" s="7"/>
      <c r="Z6853" s="7"/>
      <c r="AA6853" s="7"/>
      <c r="AB6853" s="7"/>
      <c r="AC6853" s="7"/>
      <c r="AD6853" s="7"/>
      <c r="AE6853" s="7"/>
      <c r="AF6853" s="7"/>
      <c r="AG6853" s="11"/>
    </row>
    <row r="6854" spans="1:33">
      <c r="A6854" s="7"/>
      <c r="B6854" s="7"/>
      <c r="C6854" s="7"/>
      <c r="D6854" s="7"/>
      <c r="E6854" s="7"/>
      <c r="F6854" s="7"/>
      <c r="G6854" s="7"/>
      <c r="H6854" s="7"/>
      <c r="I6854" s="7"/>
      <c r="J6854" s="7"/>
      <c r="K6854" s="7"/>
      <c r="L6854" s="7"/>
      <c r="M6854" s="7"/>
      <c r="N6854" s="7"/>
      <c r="O6854" s="7"/>
      <c r="P6854" s="7"/>
      <c r="Q6854" s="7"/>
      <c r="R6854" s="7"/>
      <c r="S6854" s="7"/>
      <c r="T6854" s="7"/>
      <c r="U6854" s="7"/>
      <c r="V6854" s="7"/>
      <c r="W6854" s="7"/>
      <c r="X6854" s="7"/>
      <c r="Y6854" s="7"/>
      <c r="Z6854" s="7"/>
      <c r="AA6854" s="7"/>
      <c r="AB6854" s="7"/>
      <c r="AC6854" s="7"/>
      <c r="AD6854" s="7"/>
      <c r="AE6854" s="7"/>
      <c r="AF6854" s="7"/>
      <c r="AG6854" s="11"/>
    </row>
    <row r="6855" spans="1:33">
      <c r="A6855" s="7"/>
      <c r="B6855" s="7"/>
      <c r="C6855" s="7"/>
      <c r="D6855" s="7"/>
      <c r="E6855" s="7"/>
      <c r="F6855" s="7"/>
      <c r="G6855" s="7"/>
      <c r="H6855" s="7"/>
      <c r="I6855" s="7"/>
      <c r="J6855" s="7"/>
      <c r="K6855" s="7"/>
      <c r="L6855" s="7"/>
      <c r="M6855" s="7"/>
      <c r="N6855" s="7"/>
      <c r="O6855" s="7"/>
      <c r="P6855" s="7"/>
      <c r="Q6855" s="7"/>
      <c r="R6855" s="7"/>
      <c r="S6855" s="7"/>
      <c r="T6855" s="7"/>
      <c r="U6855" s="7"/>
      <c r="V6855" s="7"/>
      <c r="W6855" s="7"/>
      <c r="X6855" s="7"/>
      <c r="Y6855" s="7"/>
      <c r="Z6855" s="7"/>
      <c r="AA6855" s="7"/>
      <c r="AB6855" s="7"/>
      <c r="AC6855" s="7"/>
      <c r="AD6855" s="7"/>
      <c r="AE6855" s="7"/>
      <c r="AF6855" s="7"/>
      <c r="AG6855" s="11"/>
    </row>
    <row r="6856" spans="1:33">
      <c r="A6856" s="7"/>
      <c r="B6856" s="7"/>
      <c r="C6856" s="7"/>
      <c r="D6856" s="7"/>
      <c r="E6856" s="7"/>
      <c r="F6856" s="7"/>
      <c r="G6856" s="7"/>
      <c r="H6856" s="7"/>
      <c r="I6856" s="7"/>
      <c r="J6856" s="7"/>
      <c r="K6856" s="7"/>
      <c r="L6856" s="7"/>
      <c r="M6856" s="7"/>
      <c r="N6856" s="7"/>
      <c r="O6856" s="7"/>
      <c r="P6856" s="7"/>
      <c r="Q6856" s="7"/>
      <c r="R6856" s="7"/>
      <c r="S6856" s="7"/>
      <c r="T6856" s="7"/>
      <c r="U6856" s="7"/>
      <c r="V6856" s="7"/>
      <c r="W6856" s="7"/>
      <c r="X6856" s="7"/>
      <c r="Y6856" s="7"/>
      <c r="Z6856" s="7"/>
      <c r="AA6856" s="7"/>
      <c r="AB6856" s="7"/>
      <c r="AC6856" s="7"/>
      <c r="AD6856" s="7"/>
      <c r="AE6856" s="7"/>
      <c r="AF6856" s="7"/>
      <c r="AG6856" s="11"/>
    </row>
    <row r="6857" spans="1:33">
      <c r="A6857" s="7"/>
      <c r="B6857" s="7"/>
      <c r="C6857" s="7"/>
      <c r="D6857" s="7"/>
      <c r="E6857" s="7"/>
      <c r="F6857" s="7"/>
      <c r="G6857" s="7"/>
      <c r="H6857" s="7"/>
      <c r="I6857" s="7"/>
      <c r="J6857" s="7"/>
      <c r="K6857" s="7"/>
      <c r="L6857" s="7"/>
      <c r="M6857" s="7"/>
      <c r="N6857" s="7"/>
      <c r="O6857" s="7"/>
      <c r="P6857" s="7"/>
      <c r="Q6857" s="7"/>
      <c r="R6857" s="7"/>
      <c r="S6857" s="7"/>
      <c r="T6857" s="7"/>
      <c r="U6857" s="7"/>
      <c r="V6857" s="7"/>
      <c r="W6857" s="7"/>
      <c r="X6857" s="7"/>
      <c r="Y6857" s="7"/>
      <c r="Z6857" s="7"/>
      <c r="AA6857" s="7"/>
      <c r="AB6857" s="7"/>
      <c r="AC6857" s="7"/>
      <c r="AD6857" s="7"/>
      <c r="AE6857" s="7"/>
      <c r="AF6857" s="7"/>
      <c r="AG6857" s="11"/>
    </row>
    <row r="6858" spans="1:33">
      <c r="A6858" s="7"/>
      <c r="B6858" s="7"/>
      <c r="C6858" s="7"/>
      <c r="D6858" s="7"/>
      <c r="E6858" s="7"/>
      <c r="F6858" s="7"/>
      <c r="G6858" s="7"/>
      <c r="H6858" s="7"/>
      <c r="I6858" s="7"/>
      <c r="J6858" s="7"/>
      <c r="K6858" s="7"/>
      <c r="L6858" s="7"/>
      <c r="M6858" s="7"/>
      <c r="N6858" s="7"/>
      <c r="O6858" s="7"/>
      <c r="P6858" s="7"/>
      <c r="Q6858" s="7"/>
      <c r="R6858" s="7"/>
      <c r="S6858" s="7"/>
      <c r="T6858" s="7"/>
      <c r="U6858" s="7"/>
      <c r="V6858" s="7"/>
      <c r="W6858" s="7"/>
      <c r="X6858" s="7"/>
      <c r="Y6858" s="7"/>
      <c r="Z6858" s="7"/>
      <c r="AA6858" s="7"/>
      <c r="AB6858" s="7"/>
      <c r="AC6858" s="7"/>
      <c r="AD6858" s="7"/>
      <c r="AE6858" s="7"/>
      <c r="AF6858" s="7"/>
      <c r="AG6858" s="11"/>
    </row>
    <row r="6859" spans="1:33">
      <c r="A6859" s="7"/>
      <c r="B6859" s="7"/>
      <c r="C6859" s="7"/>
      <c r="D6859" s="7"/>
      <c r="E6859" s="7"/>
      <c r="F6859" s="7"/>
      <c r="G6859" s="7"/>
      <c r="H6859" s="7"/>
      <c r="I6859" s="7"/>
      <c r="J6859" s="7"/>
      <c r="K6859" s="7"/>
      <c r="L6859" s="7"/>
      <c r="M6859" s="7"/>
      <c r="N6859" s="7"/>
      <c r="O6859" s="7"/>
      <c r="P6859" s="7"/>
      <c r="Q6859" s="7"/>
      <c r="R6859" s="7"/>
      <c r="S6859" s="7"/>
      <c r="T6859" s="7"/>
      <c r="U6859" s="7"/>
      <c r="V6859" s="7"/>
      <c r="W6859" s="7"/>
      <c r="X6859" s="7"/>
      <c r="Y6859" s="7"/>
      <c r="Z6859" s="7"/>
      <c r="AA6859" s="7"/>
      <c r="AB6859" s="7"/>
      <c r="AC6859" s="7"/>
      <c r="AD6859" s="7"/>
      <c r="AE6859" s="7"/>
      <c r="AF6859" s="7"/>
      <c r="AG6859" s="11"/>
    </row>
    <row r="6860" spans="1:33">
      <c r="A6860" s="7"/>
      <c r="B6860" s="7"/>
      <c r="C6860" s="7"/>
      <c r="D6860" s="7"/>
      <c r="E6860" s="7"/>
      <c r="F6860" s="7"/>
      <c r="G6860" s="7"/>
      <c r="H6860" s="7"/>
      <c r="I6860" s="7"/>
      <c r="J6860" s="7"/>
      <c r="K6860" s="7"/>
      <c r="L6860" s="7"/>
      <c r="M6860" s="7"/>
      <c r="N6860" s="7"/>
      <c r="O6860" s="7"/>
      <c r="P6860" s="7"/>
      <c r="Q6860" s="7"/>
      <c r="R6860" s="7"/>
      <c r="S6860" s="7"/>
      <c r="T6860" s="7"/>
      <c r="U6860" s="7"/>
      <c r="V6860" s="7"/>
      <c r="W6860" s="7"/>
      <c r="X6860" s="7"/>
      <c r="Y6860" s="7"/>
      <c r="Z6860" s="7"/>
      <c r="AA6860" s="7"/>
      <c r="AB6860" s="7"/>
      <c r="AC6860" s="7"/>
      <c r="AD6860" s="7"/>
      <c r="AE6860" s="7"/>
      <c r="AF6860" s="7"/>
      <c r="AG6860" s="11"/>
    </row>
    <row r="6861" spans="1:33">
      <c r="A6861" s="7"/>
      <c r="B6861" s="7"/>
      <c r="C6861" s="7"/>
      <c r="D6861" s="7"/>
      <c r="E6861" s="7"/>
      <c r="F6861" s="7"/>
      <c r="G6861" s="7"/>
      <c r="H6861" s="7"/>
      <c r="I6861" s="7"/>
      <c r="J6861" s="7"/>
      <c r="K6861" s="7"/>
      <c r="L6861" s="7"/>
      <c r="M6861" s="7"/>
      <c r="N6861" s="7"/>
      <c r="O6861" s="7"/>
      <c r="P6861" s="7"/>
      <c r="Q6861" s="7"/>
      <c r="R6861" s="7"/>
      <c r="S6861" s="7"/>
      <c r="T6861" s="7"/>
      <c r="U6861" s="7"/>
      <c r="V6861" s="7"/>
      <c r="W6861" s="7"/>
      <c r="X6861" s="7"/>
      <c r="Y6861" s="7"/>
      <c r="Z6861" s="7"/>
      <c r="AA6861" s="7"/>
      <c r="AB6861" s="7"/>
      <c r="AC6861" s="7"/>
      <c r="AD6861" s="7"/>
      <c r="AE6861" s="7"/>
      <c r="AF6861" s="7"/>
      <c r="AG6861" s="11"/>
    </row>
    <row r="6862" spans="1:33">
      <c r="A6862" s="7"/>
      <c r="B6862" s="7"/>
      <c r="C6862" s="7"/>
      <c r="D6862" s="7"/>
      <c r="E6862" s="7"/>
      <c r="F6862" s="7"/>
      <c r="G6862" s="7"/>
      <c r="H6862" s="7"/>
      <c r="I6862" s="7"/>
      <c r="J6862" s="7"/>
      <c r="K6862" s="7"/>
      <c r="L6862" s="7"/>
      <c r="M6862" s="7"/>
      <c r="N6862" s="7"/>
      <c r="O6862" s="7"/>
      <c r="P6862" s="7"/>
      <c r="Q6862" s="7"/>
      <c r="R6862" s="7"/>
      <c r="S6862" s="7"/>
      <c r="T6862" s="7"/>
      <c r="U6862" s="7"/>
      <c r="V6862" s="7"/>
      <c r="W6862" s="7"/>
      <c r="X6862" s="7"/>
      <c r="Y6862" s="7"/>
      <c r="Z6862" s="7"/>
      <c r="AA6862" s="7"/>
      <c r="AB6862" s="7"/>
      <c r="AC6862" s="7"/>
      <c r="AD6862" s="7"/>
      <c r="AE6862" s="7"/>
      <c r="AF6862" s="7"/>
      <c r="AG6862" s="11"/>
    </row>
    <row r="6863" spans="1:33">
      <c r="A6863" s="7"/>
      <c r="B6863" s="7"/>
      <c r="C6863" s="7"/>
      <c r="D6863" s="7"/>
      <c r="E6863" s="7"/>
      <c r="F6863" s="7"/>
      <c r="G6863" s="7"/>
      <c r="H6863" s="7"/>
      <c r="I6863" s="7"/>
      <c r="J6863" s="7"/>
      <c r="K6863" s="7"/>
      <c r="L6863" s="7"/>
      <c r="M6863" s="7"/>
      <c r="N6863" s="7"/>
      <c r="O6863" s="7"/>
      <c r="P6863" s="7"/>
      <c r="Q6863" s="7"/>
      <c r="R6863" s="7"/>
      <c r="S6863" s="7"/>
      <c r="T6863" s="7"/>
      <c r="U6863" s="7"/>
      <c r="V6863" s="7"/>
      <c r="W6863" s="7"/>
      <c r="X6863" s="7"/>
      <c r="Y6863" s="7"/>
      <c r="Z6863" s="7"/>
      <c r="AA6863" s="7"/>
      <c r="AB6863" s="7"/>
      <c r="AC6863" s="7"/>
      <c r="AD6863" s="7"/>
      <c r="AE6863" s="7"/>
      <c r="AF6863" s="7"/>
      <c r="AG6863" s="11"/>
    </row>
    <row r="6864" spans="1:33">
      <c r="A6864" s="7"/>
      <c r="B6864" s="7"/>
      <c r="C6864" s="7"/>
      <c r="D6864" s="7"/>
      <c r="E6864" s="7"/>
      <c r="F6864" s="7"/>
      <c r="G6864" s="7"/>
      <c r="H6864" s="7"/>
      <c r="I6864" s="7"/>
      <c r="J6864" s="7"/>
      <c r="K6864" s="7"/>
      <c r="L6864" s="7"/>
      <c r="M6864" s="7"/>
      <c r="N6864" s="7"/>
      <c r="O6864" s="7"/>
      <c r="P6864" s="7"/>
      <c r="Q6864" s="7"/>
      <c r="R6864" s="7"/>
      <c r="S6864" s="7"/>
      <c r="T6864" s="7"/>
      <c r="U6864" s="7"/>
      <c r="V6864" s="7"/>
      <c r="W6864" s="7"/>
      <c r="X6864" s="7"/>
      <c r="Y6864" s="7"/>
      <c r="Z6864" s="7"/>
      <c r="AA6864" s="7"/>
      <c r="AB6864" s="7"/>
      <c r="AC6864" s="7"/>
      <c r="AD6864" s="7"/>
      <c r="AE6864" s="7"/>
      <c r="AF6864" s="7"/>
      <c r="AG6864" s="11"/>
    </row>
    <row r="6865" spans="1:33">
      <c r="A6865" s="7"/>
      <c r="B6865" s="7"/>
      <c r="C6865" s="7"/>
      <c r="D6865" s="7"/>
      <c r="E6865" s="7"/>
      <c r="F6865" s="7"/>
      <c r="G6865" s="7"/>
      <c r="H6865" s="7"/>
      <c r="I6865" s="7"/>
      <c r="J6865" s="7"/>
      <c r="K6865" s="7"/>
      <c r="L6865" s="7"/>
      <c r="M6865" s="7"/>
      <c r="N6865" s="7"/>
      <c r="O6865" s="7"/>
      <c r="P6865" s="7"/>
      <c r="Q6865" s="7"/>
      <c r="R6865" s="7"/>
      <c r="S6865" s="7"/>
      <c r="T6865" s="7"/>
      <c r="U6865" s="7"/>
      <c r="V6865" s="7"/>
      <c r="W6865" s="7"/>
      <c r="X6865" s="7"/>
      <c r="Y6865" s="7"/>
      <c r="Z6865" s="7"/>
      <c r="AA6865" s="7"/>
      <c r="AB6865" s="7"/>
      <c r="AC6865" s="7"/>
      <c r="AD6865" s="7"/>
      <c r="AE6865" s="7"/>
      <c r="AF6865" s="7"/>
      <c r="AG6865" s="11"/>
    </row>
    <row r="6866" spans="1:33">
      <c r="A6866" s="7"/>
      <c r="B6866" s="7"/>
      <c r="C6866" s="7"/>
      <c r="D6866" s="7"/>
      <c r="E6866" s="7"/>
      <c r="F6866" s="7"/>
      <c r="G6866" s="7"/>
      <c r="H6866" s="7"/>
      <c r="I6866" s="7"/>
      <c r="J6866" s="7"/>
      <c r="K6866" s="7"/>
      <c r="L6866" s="7"/>
      <c r="M6866" s="7"/>
      <c r="N6866" s="7"/>
      <c r="O6866" s="7"/>
      <c r="P6866" s="7"/>
      <c r="Q6866" s="7"/>
      <c r="R6866" s="7"/>
      <c r="S6866" s="7"/>
      <c r="T6866" s="7"/>
      <c r="U6866" s="7"/>
      <c r="V6866" s="7"/>
      <c r="W6866" s="7"/>
      <c r="X6866" s="7"/>
      <c r="Y6866" s="7"/>
      <c r="Z6866" s="7"/>
      <c r="AA6866" s="7"/>
      <c r="AB6866" s="7"/>
      <c r="AC6866" s="7"/>
      <c r="AD6866" s="7"/>
      <c r="AE6866" s="7"/>
      <c r="AF6866" s="7"/>
      <c r="AG6866" s="11"/>
    </row>
    <row r="6867" spans="1:33">
      <c r="A6867" s="7"/>
      <c r="B6867" s="7"/>
      <c r="C6867" s="7"/>
      <c r="D6867" s="7"/>
      <c r="E6867" s="7"/>
      <c r="F6867" s="7"/>
      <c r="G6867" s="7"/>
      <c r="H6867" s="7"/>
      <c r="I6867" s="7"/>
      <c r="J6867" s="7"/>
      <c r="K6867" s="7"/>
      <c r="L6867" s="7"/>
      <c r="M6867" s="7"/>
      <c r="N6867" s="7"/>
      <c r="O6867" s="7"/>
      <c r="P6867" s="7"/>
      <c r="Q6867" s="7"/>
      <c r="R6867" s="7"/>
      <c r="S6867" s="7"/>
      <c r="T6867" s="7"/>
      <c r="U6867" s="7"/>
      <c r="V6867" s="7"/>
      <c r="W6867" s="7"/>
      <c r="X6867" s="7"/>
      <c r="Y6867" s="7"/>
      <c r="Z6867" s="7"/>
      <c r="AA6867" s="7"/>
      <c r="AB6867" s="7"/>
      <c r="AC6867" s="7"/>
      <c r="AD6867" s="7"/>
      <c r="AE6867" s="7"/>
      <c r="AF6867" s="7"/>
      <c r="AG6867" s="11"/>
    </row>
    <row r="6868" spans="1:33">
      <c r="A6868" s="7"/>
      <c r="B6868" s="7"/>
      <c r="C6868" s="7"/>
      <c r="D6868" s="7"/>
      <c r="E6868" s="7"/>
      <c r="F6868" s="7"/>
      <c r="G6868" s="7"/>
      <c r="H6868" s="7"/>
      <c r="I6868" s="7"/>
      <c r="J6868" s="7"/>
      <c r="K6868" s="7"/>
      <c r="L6868" s="7"/>
      <c r="M6868" s="7"/>
      <c r="N6868" s="7"/>
      <c r="O6868" s="7"/>
      <c r="P6868" s="7"/>
      <c r="Q6868" s="7"/>
      <c r="R6868" s="7"/>
      <c r="S6868" s="7"/>
      <c r="T6868" s="7"/>
      <c r="U6868" s="7"/>
      <c r="V6868" s="7"/>
      <c r="W6868" s="7"/>
      <c r="X6868" s="7"/>
      <c r="Y6868" s="7"/>
      <c r="Z6868" s="7"/>
      <c r="AA6868" s="7"/>
      <c r="AB6868" s="7"/>
      <c r="AC6868" s="7"/>
      <c r="AD6868" s="7"/>
      <c r="AE6868" s="7"/>
      <c r="AF6868" s="7"/>
      <c r="AG6868" s="11"/>
    </row>
    <row r="6869" spans="1:33">
      <c r="A6869" s="7"/>
      <c r="B6869" s="7"/>
      <c r="C6869" s="7"/>
      <c r="D6869" s="7"/>
      <c r="E6869" s="7"/>
      <c r="F6869" s="7"/>
      <c r="G6869" s="7"/>
      <c r="H6869" s="7"/>
      <c r="I6869" s="7"/>
      <c r="J6869" s="7"/>
      <c r="K6869" s="7"/>
      <c r="L6869" s="7"/>
      <c r="M6869" s="7"/>
      <c r="N6869" s="7"/>
      <c r="O6869" s="7"/>
      <c r="P6869" s="7"/>
      <c r="Q6869" s="7"/>
      <c r="R6869" s="7"/>
      <c r="S6869" s="7"/>
      <c r="T6869" s="7"/>
      <c r="U6869" s="7"/>
      <c r="V6869" s="7"/>
      <c r="W6869" s="7"/>
      <c r="X6869" s="7"/>
      <c r="Y6869" s="7"/>
      <c r="Z6869" s="7"/>
      <c r="AA6869" s="7"/>
      <c r="AB6869" s="7"/>
      <c r="AC6869" s="7"/>
      <c r="AD6869" s="7"/>
      <c r="AE6869" s="7"/>
      <c r="AF6869" s="7"/>
      <c r="AG6869" s="11"/>
    </row>
    <row r="6870" spans="1:33">
      <c r="A6870" s="7"/>
      <c r="B6870" s="7"/>
      <c r="C6870" s="7"/>
      <c r="D6870" s="7"/>
      <c r="E6870" s="7"/>
      <c r="F6870" s="7"/>
      <c r="G6870" s="7"/>
      <c r="H6870" s="7"/>
      <c r="I6870" s="7"/>
      <c r="J6870" s="7"/>
      <c r="K6870" s="7"/>
      <c r="L6870" s="7"/>
      <c r="M6870" s="7"/>
      <c r="N6870" s="7"/>
      <c r="O6870" s="7"/>
      <c r="P6870" s="7"/>
      <c r="Q6870" s="7"/>
      <c r="R6870" s="7"/>
      <c r="S6870" s="7"/>
      <c r="T6870" s="7"/>
      <c r="U6870" s="7"/>
      <c r="V6870" s="7"/>
      <c r="W6870" s="7"/>
      <c r="X6870" s="7"/>
      <c r="Y6870" s="7"/>
      <c r="Z6870" s="7"/>
      <c r="AA6870" s="7"/>
      <c r="AB6870" s="7"/>
      <c r="AC6870" s="7"/>
      <c r="AD6870" s="7"/>
      <c r="AE6870" s="7"/>
      <c r="AF6870" s="7"/>
      <c r="AG6870" s="11"/>
    </row>
    <row r="6871" spans="1:33">
      <c r="A6871" s="7"/>
      <c r="B6871" s="7"/>
      <c r="C6871" s="7"/>
      <c r="D6871" s="7"/>
      <c r="E6871" s="7"/>
      <c r="F6871" s="7"/>
      <c r="G6871" s="7"/>
      <c r="H6871" s="7"/>
      <c r="I6871" s="7"/>
      <c r="J6871" s="7"/>
      <c r="K6871" s="7"/>
      <c r="L6871" s="7"/>
      <c r="M6871" s="7"/>
      <c r="N6871" s="7"/>
      <c r="O6871" s="7"/>
      <c r="P6871" s="7"/>
      <c r="Q6871" s="7"/>
      <c r="R6871" s="7"/>
      <c r="S6871" s="7"/>
      <c r="T6871" s="7"/>
      <c r="U6871" s="7"/>
      <c r="V6871" s="7"/>
      <c r="W6871" s="7"/>
      <c r="X6871" s="7"/>
      <c r="Y6871" s="7"/>
      <c r="Z6871" s="7"/>
      <c r="AA6871" s="7"/>
      <c r="AB6871" s="7"/>
      <c r="AC6871" s="7"/>
      <c r="AD6871" s="7"/>
      <c r="AE6871" s="7"/>
      <c r="AF6871" s="7"/>
      <c r="AG6871" s="11"/>
    </row>
    <row r="6872" spans="1:33">
      <c r="A6872" s="7"/>
      <c r="B6872" s="7"/>
      <c r="C6872" s="7"/>
      <c r="D6872" s="7"/>
      <c r="E6872" s="7"/>
      <c r="F6872" s="7"/>
      <c r="G6872" s="7"/>
      <c r="H6872" s="7"/>
      <c r="I6872" s="7"/>
      <c r="J6872" s="7"/>
      <c r="K6872" s="7"/>
      <c r="L6872" s="7"/>
      <c r="M6872" s="7"/>
      <c r="N6872" s="7"/>
      <c r="O6872" s="7"/>
      <c r="P6872" s="7"/>
      <c r="Q6872" s="7"/>
      <c r="R6872" s="7"/>
      <c r="S6872" s="7"/>
      <c r="T6872" s="7"/>
      <c r="U6872" s="7"/>
      <c r="V6872" s="7"/>
      <c r="W6872" s="7"/>
      <c r="X6872" s="7"/>
      <c r="Y6872" s="7"/>
      <c r="Z6872" s="7"/>
      <c r="AA6872" s="7"/>
      <c r="AB6872" s="7"/>
      <c r="AC6872" s="7"/>
      <c r="AD6872" s="7"/>
      <c r="AE6872" s="7"/>
      <c r="AF6872" s="7"/>
      <c r="AG6872" s="11"/>
    </row>
    <row r="6873" spans="1:33">
      <c r="A6873" s="7"/>
      <c r="B6873" s="7"/>
      <c r="C6873" s="7"/>
      <c r="D6873" s="7"/>
      <c r="E6873" s="7"/>
      <c r="F6873" s="7"/>
      <c r="G6873" s="7"/>
      <c r="H6873" s="7"/>
      <c r="I6873" s="7"/>
      <c r="J6873" s="7"/>
      <c r="K6873" s="7"/>
      <c r="L6873" s="7"/>
      <c r="M6873" s="7"/>
      <c r="N6873" s="7"/>
      <c r="O6873" s="7"/>
      <c r="P6873" s="7"/>
      <c r="Q6873" s="7"/>
      <c r="R6873" s="7"/>
      <c r="S6873" s="7"/>
      <c r="T6873" s="7"/>
      <c r="U6873" s="7"/>
      <c r="V6873" s="7"/>
      <c r="W6873" s="7"/>
      <c r="X6873" s="7"/>
      <c r="Y6873" s="7"/>
      <c r="Z6873" s="7"/>
      <c r="AA6873" s="7"/>
      <c r="AB6873" s="7"/>
      <c r="AC6873" s="7"/>
      <c r="AD6873" s="7"/>
      <c r="AE6873" s="7"/>
      <c r="AF6873" s="7"/>
      <c r="AG6873" s="11"/>
    </row>
    <row r="6874" spans="1:33">
      <c r="A6874" s="7"/>
      <c r="B6874" s="7"/>
      <c r="C6874" s="7"/>
      <c r="D6874" s="7"/>
      <c r="E6874" s="7"/>
      <c r="F6874" s="7"/>
      <c r="G6874" s="7"/>
      <c r="H6874" s="7"/>
      <c r="I6874" s="7"/>
      <c r="J6874" s="7"/>
      <c r="K6874" s="7"/>
      <c r="L6874" s="7"/>
      <c r="M6874" s="7"/>
      <c r="N6874" s="7"/>
      <c r="O6874" s="7"/>
      <c r="P6874" s="7"/>
      <c r="Q6874" s="7"/>
      <c r="R6874" s="7"/>
      <c r="S6874" s="7"/>
      <c r="T6874" s="7"/>
      <c r="U6874" s="7"/>
      <c r="V6874" s="7"/>
      <c r="W6874" s="7"/>
      <c r="X6874" s="7"/>
      <c r="Y6874" s="7"/>
      <c r="Z6874" s="7"/>
      <c r="AA6874" s="7"/>
      <c r="AB6874" s="7"/>
      <c r="AC6874" s="7"/>
      <c r="AD6874" s="7"/>
      <c r="AE6874" s="7"/>
      <c r="AF6874" s="7"/>
      <c r="AG6874" s="11"/>
    </row>
    <row r="6875" spans="1:33">
      <c r="A6875" s="7"/>
      <c r="B6875" s="7"/>
      <c r="C6875" s="7"/>
      <c r="D6875" s="7"/>
      <c r="E6875" s="7"/>
      <c r="F6875" s="7"/>
      <c r="G6875" s="7"/>
      <c r="H6875" s="7"/>
      <c r="I6875" s="7"/>
      <c r="J6875" s="7"/>
      <c r="K6875" s="7"/>
      <c r="L6875" s="7"/>
      <c r="M6875" s="7"/>
      <c r="N6875" s="7"/>
      <c r="O6875" s="7"/>
      <c r="P6875" s="7"/>
      <c r="Q6875" s="7"/>
      <c r="R6875" s="7"/>
      <c r="S6875" s="7"/>
      <c r="T6875" s="7"/>
      <c r="U6875" s="7"/>
      <c r="V6875" s="7"/>
      <c r="W6875" s="7"/>
      <c r="X6875" s="7"/>
      <c r="Y6875" s="7"/>
      <c r="Z6875" s="7"/>
      <c r="AA6875" s="7"/>
      <c r="AB6875" s="7"/>
      <c r="AC6875" s="7"/>
      <c r="AD6875" s="7"/>
      <c r="AE6875" s="7"/>
      <c r="AF6875" s="7"/>
      <c r="AG6875" s="11"/>
    </row>
    <row r="6876" spans="1:33">
      <c r="A6876" s="7"/>
      <c r="B6876" s="7"/>
      <c r="C6876" s="7"/>
      <c r="D6876" s="7"/>
      <c r="E6876" s="7"/>
      <c r="F6876" s="7"/>
      <c r="G6876" s="7"/>
      <c r="H6876" s="7"/>
      <c r="I6876" s="7"/>
      <c r="J6876" s="7"/>
      <c r="K6876" s="7"/>
      <c r="L6876" s="7"/>
      <c r="M6876" s="7"/>
      <c r="N6876" s="7"/>
      <c r="O6876" s="7"/>
      <c r="P6876" s="7"/>
      <c r="Q6876" s="7"/>
      <c r="R6876" s="7"/>
      <c r="S6876" s="7"/>
      <c r="T6876" s="7"/>
      <c r="U6876" s="7"/>
      <c r="V6876" s="7"/>
      <c r="W6876" s="7"/>
      <c r="X6876" s="7"/>
      <c r="Y6876" s="7"/>
      <c r="Z6876" s="7"/>
      <c r="AA6876" s="7"/>
      <c r="AB6876" s="7"/>
      <c r="AC6876" s="7"/>
      <c r="AD6876" s="7"/>
      <c r="AE6876" s="7"/>
      <c r="AF6876" s="7"/>
      <c r="AG6876" s="11"/>
    </row>
    <row r="6877" spans="1:33">
      <c r="A6877" s="7"/>
      <c r="B6877" s="7"/>
      <c r="C6877" s="7"/>
      <c r="D6877" s="7"/>
      <c r="E6877" s="7"/>
      <c r="F6877" s="7"/>
      <c r="G6877" s="7"/>
      <c r="H6877" s="7"/>
      <c r="I6877" s="7"/>
      <c r="J6877" s="7"/>
      <c r="K6877" s="7"/>
      <c r="L6877" s="7"/>
      <c r="M6877" s="7"/>
      <c r="N6877" s="7"/>
      <c r="O6877" s="7"/>
      <c r="P6877" s="7"/>
      <c r="Q6877" s="7"/>
      <c r="R6877" s="7"/>
      <c r="S6877" s="7"/>
      <c r="T6877" s="7"/>
      <c r="U6877" s="7"/>
      <c r="V6877" s="7"/>
      <c r="W6877" s="7"/>
      <c r="X6877" s="7"/>
      <c r="Y6877" s="7"/>
      <c r="Z6877" s="7"/>
      <c r="AA6877" s="7"/>
      <c r="AB6877" s="7"/>
      <c r="AC6877" s="7"/>
      <c r="AD6877" s="7"/>
      <c r="AE6877" s="7"/>
      <c r="AF6877" s="7"/>
      <c r="AG6877" s="11"/>
    </row>
    <row r="6878" spans="1:33">
      <c r="A6878" s="7"/>
      <c r="B6878" s="7"/>
      <c r="C6878" s="7"/>
      <c r="D6878" s="7"/>
      <c r="E6878" s="7"/>
      <c r="F6878" s="7"/>
      <c r="G6878" s="7"/>
      <c r="H6878" s="7"/>
      <c r="I6878" s="7"/>
      <c r="J6878" s="7"/>
      <c r="K6878" s="7"/>
      <c r="L6878" s="7"/>
      <c r="M6878" s="7"/>
      <c r="N6878" s="7"/>
      <c r="O6878" s="7"/>
      <c r="P6878" s="7"/>
      <c r="Q6878" s="7"/>
      <c r="R6878" s="7"/>
      <c r="S6878" s="7"/>
      <c r="T6878" s="7"/>
      <c r="U6878" s="7"/>
      <c r="V6878" s="7"/>
      <c r="W6878" s="7"/>
      <c r="X6878" s="7"/>
      <c r="Y6878" s="7"/>
      <c r="Z6878" s="7"/>
      <c r="AA6878" s="7"/>
      <c r="AB6878" s="7"/>
      <c r="AC6878" s="7"/>
      <c r="AD6878" s="7"/>
      <c r="AE6878" s="7"/>
      <c r="AF6878" s="7"/>
      <c r="AG6878" s="11"/>
    </row>
    <row r="6879" spans="1:33">
      <c r="A6879" s="7"/>
      <c r="B6879" s="7"/>
      <c r="C6879" s="7"/>
      <c r="D6879" s="7"/>
      <c r="E6879" s="7"/>
      <c r="F6879" s="7"/>
      <c r="G6879" s="7"/>
      <c r="H6879" s="7"/>
      <c r="I6879" s="7"/>
      <c r="J6879" s="7"/>
      <c r="K6879" s="7"/>
      <c r="L6879" s="7"/>
      <c r="M6879" s="7"/>
      <c r="N6879" s="7"/>
      <c r="O6879" s="7"/>
      <c r="P6879" s="7"/>
      <c r="Q6879" s="7"/>
      <c r="R6879" s="7"/>
      <c r="S6879" s="7"/>
      <c r="T6879" s="7"/>
      <c r="U6879" s="7"/>
      <c r="V6879" s="7"/>
      <c r="W6879" s="7"/>
      <c r="X6879" s="7"/>
      <c r="Y6879" s="7"/>
      <c r="Z6879" s="7"/>
      <c r="AA6879" s="7"/>
      <c r="AB6879" s="7"/>
      <c r="AC6879" s="7"/>
      <c r="AD6879" s="7"/>
      <c r="AE6879" s="7"/>
      <c r="AF6879" s="7"/>
      <c r="AG6879" s="11"/>
    </row>
    <row r="6880" spans="1:33">
      <c r="A6880" s="7"/>
      <c r="B6880" s="7"/>
      <c r="C6880" s="7"/>
      <c r="D6880" s="7"/>
      <c r="E6880" s="7"/>
      <c r="F6880" s="7"/>
      <c r="G6880" s="7"/>
      <c r="H6880" s="7"/>
      <c r="I6880" s="7"/>
      <c r="J6880" s="7"/>
      <c r="K6880" s="7"/>
      <c r="L6880" s="7"/>
      <c r="M6880" s="7"/>
      <c r="N6880" s="7"/>
      <c r="O6880" s="7"/>
      <c r="P6880" s="7"/>
      <c r="Q6880" s="7"/>
      <c r="R6880" s="7"/>
      <c r="S6880" s="7"/>
      <c r="T6880" s="7"/>
      <c r="U6880" s="7"/>
      <c r="V6880" s="7"/>
      <c r="W6880" s="7"/>
      <c r="X6880" s="7"/>
      <c r="Y6880" s="7"/>
      <c r="Z6880" s="7"/>
      <c r="AA6880" s="7"/>
      <c r="AB6880" s="7"/>
      <c r="AC6880" s="7"/>
      <c r="AD6880" s="7"/>
      <c r="AE6880" s="7"/>
      <c r="AF6880" s="7"/>
      <c r="AG6880" s="11"/>
    </row>
    <row r="6881" spans="1:33">
      <c r="A6881" s="7"/>
      <c r="B6881" s="7"/>
      <c r="C6881" s="7"/>
      <c r="D6881" s="7"/>
      <c r="E6881" s="7"/>
      <c r="F6881" s="7"/>
      <c r="G6881" s="7"/>
      <c r="H6881" s="7"/>
      <c r="I6881" s="7"/>
      <c r="J6881" s="7"/>
      <c r="K6881" s="7"/>
      <c r="L6881" s="7"/>
      <c r="M6881" s="7"/>
      <c r="N6881" s="7"/>
      <c r="O6881" s="7"/>
      <c r="P6881" s="7"/>
      <c r="Q6881" s="7"/>
      <c r="R6881" s="7"/>
      <c r="S6881" s="7"/>
      <c r="T6881" s="7"/>
      <c r="U6881" s="7"/>
      <c r="V6881" s="7"/>
      <c r="W6881" s="7"/>
      <c r="X6881" s="7"/>
      <c r="Y6881" s="7"/>
      <c r="Z6881" s="7"/>
      <c r="AA6881" s="7"/>
      <c r="AB6881" s="7"/>
      <c r="AC6881" s="7"/>
      <c r="AD6881" s="7"/>
      <c r="AE6881" s="7"/>
      <c r="AF6881" s="7"/>
      <c r="AG6881" s="11"/>
    </row>
    <row r="6882" spans="1:33">
      <c r="A6882" s="7"/>
      <c r="B6882" s="7"/>
      <c r="C6882" s="7"/>
      <c r="D6882" s="7"/>
      <c r="E6882" s="7"/>
      <c r="F6882" s="7"/>
      <c r="G6882" s="7"/>
      <c r="H6882" s="7"/>
      <c r="I6882" s="7"/>
      <c r="J6882" s="7"/>
      <c r="K6882" s="7"/>
      <c r="L6882" s="7"/>
      <c r="M6882" s="7"/>
      <c r="N6882" s="7"/>
      <c r="O6882" s="7"/>
      <c r="P6882" s="7"/>
      <c r="Q6882" s="7"/>
      <c r="R6882" s="7"/>
      <c r="S6882" s="7"/>
      <c r="T6882" s="7"/>
      <c r="U6882" s="7"/>
      <c r="V6882" s="7"/>
      <c r="W6882" s="7"/>
      <c r="X6882" s="7"/>
      <c r="Y6882" s="7"/>
      <c r="Z6882" s="7"/>
      <c r="AA6882" s="7"/>
      <c r="AB6882" s="7"/>
      <c r="AC6882" s="7"/>
      <c r="AD6882" s="7"/>
      <c r="AE6882" s="7"/>
      <c r="AF6882" s="7"/>
      <c r="AG6882" s="11"/>
    </row>
    <row r="6883" spans="1:33">
      <c r="A6883" s="7"/>
      <c r="B6883" s="7"/>
      <c r="C6883" s="7"/>
      <c r="D6883" s="7"/>
      <c r="E6883" s="7"/>
      <c r="F6883" s="7"/>
      <c r="G6883" s="7"/>
      <c r="H6883" s="7"/>
      <c r="I6883" s="7"/>
      <c r="J6883" s="7"/>
      <c r="K6883" s="7"/>
      <c r="L6883" s="7"/>
      <c r="M6883" s="7"/>
      <c r="N6883" s="7"/>
      <c r="O6883" s="7"/>
      <c r="P6883" s="7"/>
      <c r="Q6883" s="7"/>
      <c r="R6883" s="7"/>
      <c r="S6883" s="7"/>
      <c r="T6883" s="7"/>
      <c r="U6883" s="7"/>
      <c r="V6883" s="7"/>
      <c r="W6883" s="7"/>
      <c r="X6883" s="7"/>
      <c r="Y6883" s="7"/>
      <c r="Z6883" s="7"/>
      <c r="AA6883" s="7"/>
      <c r="AB6883" s="7"/>
      <c r="AC6883" s="7"/>
      <c r="AD6883" s="7"/>
      <c r="AE6883" s="7"/>
      <c r="AF6883" s="7"/>
      <c r="AG6883" s="11"/>
    </row>
    <row r="6884" spans="1:33">
      <c r="A6884" s="7"/>
      <c r="B6884" s="7"/>
      <c r="C6884" s="7"/>
      <c r="D6884" s="7"/>
      <c r="E6884" s="7"/>
      <c r="F6884" s="7"/>
      <c r="G6884" s="7"/>
      <c r="H6884" s="7"/>
      <c r="I6884" s="7"/>
      <c r="J6884" s="7"/>
      <c r="K6884" s="7"/>
      <c r="L6884" s="7"/>
      <c r="M6884" s="7"/>
      <c r="N6884" s="7"/>
      <c r="O6884" s="7"/>
      <c r="P6884" s="7"/>
      <c r="Q6884" s="7"/>
      <c r="R6884" s="7"/>
      <c r="S6884" s="7"/>
      <c r="T6884" s="7"/>
      <c r="U6884" s="7"/>
      <c r="V6884" s="7"/>
      <c r="W6884" s="7"/>
      <c r="X6884" s="7"/>
      <c r="Y6884" s="7"/>
      <c r="Z6884" s="7"/>
      <c r="AA6884" s="7"/>
      <c r="AB6884" s="7"/>
      <c r="AC6884" s="7"/>
      <c r="AD6884" s="7"/>
      <c r="AE6884" s="7"/>
      <c r="AF6884" s="7"/>
      <c r="AG6884" s="11"/>
    </row>
    <row r="6885" spans="1:33">
      <c r="A6885" s="7"/>
      <c r="B6885" s="7"/>
      <c r="C6885" s="7"/>
      <c r="D6885" s="7"/>
      <c r="E6885" s="7"/>
      <c r="F6885" s="7"/>
      <c r="G6885" s="7"/>
      <c r="H6885" s="7"/>
      <c r="I6885" s="7"/>
      <c r="J6885" s="7"/>
      <c r="K6885" s="7"/>
      <c r="L6885" s="7"/>
      <c r="M6885" s="7"/>
      <c r="N6885" s="7"/>
      <c r="O6885" s="7"/>
      <c r="P6885" s="7"/>
      <c r="Q6885" s="7"/>
      <c r="R6885" s="7"/>
      <c r="S6885" s="7"/>
      <c r="T6885" s="7"/>
      <c r="U6885" s="7"/>
      <c r="V6885" s="7"/>
      <c r="W6885" s="7"/>
      <c r="X6885" s="7"/>
      <c r="Y6885" s="7"/>
      <c r="Z6885" s="7"/>
      <c r="AA6885" s="7"/>
      <c r="AB6885" s="7"/>
      <c r="AC6885" s="7"/>
      <c r="AD6885" s="7"/>
      <c r="AE6885" s="7"/>
      <c r="AF6885" s="7"/>
      <c r="AG6885" s="11"/>
    </row>
    <row r="6886" spans="1:33">
      <c r="A6886" s="7"/>
      <c r="B6886" s="7"/>
      <c r="C6886" s="7"/>
      <c r="D6886" s="7"/>
      <c r="E6886" s="7"/>
      <c r="F6886" s="7"/>
      <c r="G6886" s="7"/>
      <c r="H6886" s="7"/>
      <c r="I6886" s="7"/>
      <c r="J6886" s="7"/>
      <c r="K6886" s="7"/>
      <c r="L6886" s="7"/>
      <c r="M6886" s="7"/>
      <c r="N6886" s="7"/>
      <c r="O6886" s="7"/>
      <c r="P6886" s="7"/>
      <c r="Q6886" s="7"/>
      <c r="R6886" s="7"/>
      <c r="S6886" s="7"/>
      <c r="T6886" s="7"/>
      <c r="U6886" s="7"/>
      <c r="V6886" s="7"/>
      <c r="W6886" s="7"/>
      <c r="X6886" s="7"/>
      <c r="Y6886" s="7"/>
      <c r="Z6886" s="7"/>
      <c r="AA6886" s="7"/>
      <c r="AB6886" s="7"/>
      <c r="AC6886" s="7"/>
      <c r="AD6886" s="7"/>
      <c r="AE6886" s="7"/>
      <c r="AF6886" s="7"/>
      <c r="AG6886" s="11"/>
    </row>
    <row r="6887" spans="1:33">
      <c r="A6887" s="7"/>
      <c r="B6887" s="7"/>
      <c r="C6887" s="7"/>
      <c r="D6887" s="7"/>
      <c r="E6887" s="7"/>
      <c r="F6887" s="7"/>
      <c r="G6887" s="7"/>
      <c r="H6887" s="7"/>
      <c r="I6887" s="7"/>
      <c r="J6887" s="7"/>
      <c r="K6887" s="7"/>
      <c r="L6887" s="7"/>
      <c r="M6887" s="7"/>
      <c r="N6887" s="7"/>
      <c r="O6887" s="7"/>
      <c r="P6887" s="7"/>
      <c r="Q6887" s="7"/>
      <c r="R6887" s="7"/>
      <c r="S6887" s="7"/>
      <c r="T6887" s="7"/>
      <c r="U6887" s="7"/>
      <c r="V6887" s="7"/>
      <c r="W6887" s="7"/>
      <c r="X6887" s="7"/>
      <c r="Y6887" s="7"/>
      <c r="Z6887" s="7"/>
      <c r="AA6887" s="7"/>
      <c r="AB6887" s="7"/>
      <c r="AC6887" s="7"/>
      <c r="AD6887" s="7"/>
      <c r="AE6887" s="7"/>
      <c r="AF6887" s="7"/>
      <c r="AG6887" s="11"/>
    </row>
    <row r="6888" spans="1:33">
      <c r="A6888" s="7"/>
      <c r="B6888" s="7"/>
      <c r="C6888" s="7"/>
      <c r="D6888" s="7"/>
      <c r="E6888" s="7"/>
      <c r="F6888" s="7"/>
      <c r="G6888" s="7"/>
      <c r="H6888" s="7"/>
      <c r="I6888" s="7"/>
      <c r="J6888" s="7"/>
      <c r="K6888" s="7"/>
      <c r="L6888" s="7"/>
      <c r="M6888" s="7"/>
      <c r="N6888" s="7"/>
      <c r="O6888" s="7"/>
      <c r="P6888" s="7"/>
      <c r="Q6888" s="7"/>
      <c r="R6888" s="7"/>
      <c r="S6888" s="7"/>
      <c r="T6888" s="7"/>
      <c r="U6888" s="7"/>
      <c r="V6888" s="7"/>
      <c r="W6888" s="7"/>
      <c r="X6888" s="7"/>
      <c r="Y6888" s="7"/>
      <c r="Z6888" s="7"/>
      <c r="AA6888" s="7"/>
      <c r="AB6888" s="7"/>
      <c r="AC6888" s="7"/>
      <c r="AD6888" s="7"/>
      <c r="AE6888" s="7"/>
      <c r="AF6888" s="7"/>
      <c r="AG6888" s="11"/>
    </row>
    <row r="6889" spans="1:33">
      <c r="A6889" s="7"/>
      <c r="B6889" s="7"/>
      <c r="C6889" s="7"/>
      <c r="D6889" s="7"/>
      <c r="E6889" s="7"/>
      <c r="F6889" s="7"/>
      <c r="G6889" s="7"/>
      <c r="H6889" s="7"/>
      <c r="I6889" s="7"/>
      <c r="J6889" s="7"/>
      <c r="K6889" s="7"/>
      <c r="L6889" s="7"/>
      <c r="M6889" s="7"/>
      <c r="N6889" s="7"/>
      <c r="O6889" s="7"/>
      <c r="P6889" s="7"/>
      <c r="Q6889" s="7"/>
      <c r="R6889" s="7"/>
      <c r="S6889" s="7"/>
      <c r="T6889" s="7"/>
      <c r="U6889" s="7"/>
      <c r="V6889" s="7"/>
      <c r="W6889" s="7"/>
      <c r="X6889" s="7"/>
      <c r="Y6889" s="7"/>
      <c r="Z6889" s="7"/>
      <c r="AA6889" s="7"/>
      <c r="AB6889" s="7"/>
      <c r="AC6889" s="7"/>
      <c r="AD6889" s="7"/>
      <c r="AE6889" s="7"/>
      <c r="AF6889" s="7"/>
      <c r="AG6889" s="11"/>
    </row>
    <row r="6890" spans="1:33">
      <c r="A6890" s="7"/>
      <c r="B6890" s="7"/>
      <c r="C6890" s="7"/>
      <c r="D6890" s="7"/>
      <c r="E6890" s="7"/>
      <c r="F6890" s="7"/>
      <c r="G6890" s="7"/>
      <c r="H6890" s="7"/>
      <c r="I6890" s="7"/>
      <c r="J6890" s="7"/>
      <c r="K6890" s="7"/>
      <c r="L6890" s="7"/>
      <c r="M6890" s="7"/>
      <c r="N6890" s="7"/>
      <c r="O6890" s="7"/>
      <c r="P6890" s="7"/>
      <c r="Q6890" s="7"/>
      <c r="R6890" s="7"/>
      <c r="S6890" s="7"/>
      <c r="T6890" s="7"/>
      <c r="U6890" s="7"/>
      <c r="V6890" s="7"/>
      <c r="W6890" s="7"/>
      <c r="X6890" s="7"/>
      <c r="Y6890" s="7"/>
      <c r="Z6890" s="7"/>
      <c r="AA6890" s="7"/>
      <c r="AB6890" s="7"/>
      <c r="AC6890" s="7"/>
      <c r="AD6890" s="7"/>
      <c r="AE6890" s="7"/>
      <c r="AF6890" s="7"/>
      <c r="AG6890" s="11"/>
    </row>
    <row r="6891" spans="1:33">
      <c r="A6891" s="7"/>
      <c r="B6891" s="7"/>
      <c r="C6891" s="7"/>
      <c r="D6891" s="7"/>
      <c r="E6891" s="7"/>
      <c r="F6891" s="7"/>
      <c r="G6891" s="7"/>
      <c r="H6891" s="7"/>
      <c r="I6891" s="7"/>
      <c r="J6891" s="7"/>
      <c r="K6891" s="7"/>
      <c r="L6891" s="7"/>
      <c r="M6891" s="7"/>
      <c r="N6891" s="7"/>
      <c r="O6891" s="7"/>
      <c r="P6891" s="7"/>
      <c r="Q6891" s="7"/>
      <c r="R6891" s="7"/>
      <c r="S6891" s="7"/>
      <c r="T6891" s="7"/>
      <c r="U6891" s="7"/>
      <c r="V6891" s="7"/>
      <c r="W6891" s="7"/>
      <c r="X6891" s="7"/>
      <c r="Y6891" s="7"/>
      <c r="Z6891" s="7"/>
      <c r="AA6891" s="7"/>
      <c r="AB6891" s="7"/>
      <c r="AC6891" s="7"/>
      <c r="AD6891" s="7"/>
      <c r="AE6891" s="7"/>
      <c r="AF6891" s="7"/>
      <c r="AG6891" s="11"/>
    </row>
    <row r="6892" spans="1:33">
      <c r="A6892" s="7"/>
      <c r="B6892" s="7"/>
      <c r="C6892" s="7"/>
      <c r="D6892" s="7"/>
      <c r="E6892" s="7"/>
      <c r="F6892" s="7"/>
      <c r="G6892" s="7"/>
      <c r="H6892" s="7"/>
      <c r="I6892" s="7"/>
      <c r="J6892" s="7"/>
      <c r="K6892" s="7"/>
      <c r="L6892" s="7"/>
      <c r="M6892" s="7"/>
      <c r="N6892" s="7"/>
      <c r="O6892" s="7"/>
      <c r="P6892" s="7"/>
      <c r="Q6892" s="7"/>
      <c r="R6892" s="7"/>
      <c r="S6892" s="7"/>
      <c r="T6892" s="7"/>
      <c r="U6892" s="7"/>
      <c r="V6892" s="7"/>
      <c r="W6892" s="7"/>
      <c r="X6892" s="7"/>
      <c r="Y6892" s="7"/>
      <c r="Z6892" s="7"/>
      <c r="AA6892" s="7"/>
      <c r="AB6892" s="7"/>
      <c r="AC6892" s="7"/>
      <c r="AD6892" s="7"/>
      <c r="AE6892" s="7"/>
      <c r="AF6892" s="7"/>
      <c r="AG6892" s="11"/>
    </row>
    <row r="6893" spans="1:33">
      <c r="A6893" s="7"/>
      <c r="B6893" s="7"/>
      <c r="C6893" s="7"/>
      <c r="D6893" s="7"/>
      <c r="E6893" s="7"/>
      <c r="F6893" s="7"/>
      <c r="G6893" s="7"/>
      <c r="H6893" s="7"/>
      <c r="I6893" s="7"/>
      <c r="J6893" s="7"/>
      <c r="K6893" s="7"/>
      <c r="L6893" s="7"/>
      <c r="M6893" s="7"/>
      <c r="N6893" s="7"/>
      <c r="O6893" s="7"/>
      <c r="P6893" s="7"/>
      <c r="Q6893" s="7"/>
      <c r="R6893" s="7"/>
      <c r="S6893" s="7"/>
      <c r="T6893" s="7"/>
      <c r="U6893" s="7"/>
      <c r="V6893" s="7"/>
      <c r="W6893" s="7"/>
      <c r="X6893" s="7"/>
      <c r="Y6893" s="7"/>
      <c r="Z6893" s="7"/>
      <c r="AA6893" s="7"/>
      <c r="AB6893" s="7"/>
      <c r="AC6893" s="7"/>
      <c r="AD6893" s="7"/>
      <c r="AE6893" s="7"/>
      <c r="AF6893" s="7"/>
      <c r="AG6893" s="11"/>
    </row>
    <row r="6894" spans="1:33">
      <c r="A6894" s="7"/>
      <c r="B6894" s="7"/>
      <c r="C6894" s="7"/>
      <c r="D6894" s="7"/>
      <c r="E6894" s="7"/>
      <c r="F6894" s="7"/>
      <c r="G6894" s="7"/>
      <c r="H6894" s="7"/>
      <c r="I6894" s="7"/>
      <c r="J6894" s="7"/>
      <c r="K6894" s="7"/>
      <c r="L6894" s="7"/>
      <c r="M6894" s="7"/>
      <c r="N6894" s="7"/>
      <c r="O6894" s="7"/>
      <c r="P6894" s="7"/>
      <c r="Q6894" s="7"/>
      <c r="R6894" s="7"/>
      <c r="S6894" s="7"/>
      <c r="T6894" s="7"/>
      <c r="U6894" s="7"/>
      <c r="V6894" s="7"/>
      <c r="W6894" s="7"/>
      <c r="X6894" s="7"/>
      <c r="Y6894" s="7"/>
      <c r="Z6894" s="7"/>
      <c r="AA6894" s="7"/>
      <c r="AB6894" s="7"/>
      <c r="AC6894" s="7"/>
      <c r="AD6894" s="7"/>
      <c r="AE6894" s="7"/>
      <c r="AF6894" s="7"/>
      <c r="AG6894" s="11"/>
    </row>
    <row r="6895" spans="1:33">
      <c r="A6895" s="7"/>
      <c r="B6895" s="7"/>
      <c r="C6895" s="7"/>
      <c r="D6895" s="7"/>
      <c r="E6895" s="7"/>
      <c r="F6895" s="7"/>
      <c r="G6895" s="7"/>
      <c r="H6895" s="7"/>
      <c r="I6895" s="7"/>
      <c r="J6895" s="7"/>
      <c r="K6895" s="7"/>
      <c r="L6895" s="7"/>
      <c r="M6895" s="7"/>
      <c r="N6895" s="7"/>
      <c r="O6895" s="7"/>
      <c r="P6895" s="7"/>
      <c r="Q6895" s="7"/>
      <c r="R6895" s="7"/>
      <c r="S6895" s="7"/>
      <c r="T6895" s="7"/>
      <c r="U6895" s="7"/>
      <c r="V6895" s="7"/>
      <c r="W6895" s="7"/>
      <c r="X6895" s="7"/>
      <c r="Y6895" s="7"/>
      <c r="Z6895" s="7"/>
      <c r="AA6895" s="7"/>
      <c r="AB6895" s="7"/>
      <c r="AC6895" s="7"/>
      <c r="AD6895" s="7"/>
      <c r="AE6895" s="7"/>
      <c r="AF6895" s="7"/>
      <c r="AG6895" s="11"/>
    </row>
    <row r="6896" spans="1:33">
      <c r="A6896" s="7"/>
      <c r="B6896" s="7"/>
      <c r="C6896" s="7"/>
      <c r="D6896" s="7"/>
      <c r="E6896" s="7"/>
      <c r="F6896" s="7"/>
      <c r="G6896" s="7"/>
      <c r="H6896" s="7"/>
      <c r="I6896" s="7"/>
      <c r="J6896" s="7"/>
      <c r="K6896" s="7"/>
      <c r="L6896" s="7"/>
      <c r="M6896" s="7"/>
      <c r="N6896" s="7"/>
      <c r="O6896" s="7"/>
      <c r="P6896" s="7"/>
      <c r="Q6896" s="7"/>
      <c r="R6896" s="7"/>
      <c r="S6896" s="7"/>
      <c r="T6896" s="7"/>
      <c r="U6896" s="7"/>
      <c r="V6896" s="7"/>
      <c r="W6896" s="7"/>
      <c r="X6896" s="7"/>
      <c r="Y6896" s="7"/>
      <c r="Z6896" s="7"/>
      <c r="AA6896" s="7"/>
      <c r="AB6896" s="7"/>
      <c r="AC6896" s="7"/>
      <c r="AD6896" s="7"/>
      <c r="AE6896" s="7"/>
      <c r="AF6896" s="7"/>
      <c r="AG6896" s="11"/>
    </row>
    <row r="6897" spans="1:33">
      <c r="A6897" s="7"/>
      <c r="B6897" s="7"/>
      <c r="C6897" s="7"/>
      <c r="D6897" s="7"/>
      <c r="E6897" s="7"/>
      <c r="F6897" s="7"/>
      <c r="G6897" s="7"/>
      <c r="H6897" s="7"/>
      <c r="I6897" s="7"/>
      <c r="J6897" s="7"/>
      <c r="K6897" s="7"/>
      <c r="L6897" s="7"/>
      <c r="M6897" s="7"/>
      <c r="N6897" s="7"/>
      <c r="O6897" s="7"/>
      <c r="P6897" s="7"/>
      <c r="Q6897" s="7"/>
      <c r="R6897" s="7"/>
      <c r="S6897" s="7"/>
      <c r="T6897" s="7"/>
      <c r="U6897" s="7"/>
      <c r="V6897" s="7"/>
      <c r="W6897" s="7"/>
      <c r="X6897" s="7"/>
      <c r="Y6897" s="7"/>
      <c r="Z6897" s="7"/>
      <c r="AA6897" s="7"/>
      <c r="AB6897" s="7"/>
      <c r="AC6897" s="7"/>
      <c r="AD6897" s="7"/>
      <c r="AE6897" s="7"/>
      <c r="AF6897" s="7"/>
      <c r="AG6897" s="11"/>
    </row>
    <row r="6898" spans="1:33">
      <c r="A6898" s="7"/>
      <c r="B6898" s="7"/>
      <c r="C6898" s="7"/>
      <c r="D6898" s="7"/>
      <c r="E6898" s="7"/>
      <c r="F6898" s="7"/>
      <c r="G6898" s="7"/>
      <c r="H6898" s="7"/>
      <c r="I6898" s="7"/>
      <c r="J6898" s="7"/>
      <c r="K6898" s="7"/>
      <c r="L6898" s="7"/>
      <c r="M6898" s="7"/>
      <c r="N6898" s="7"/>
      <c r="O6898" s="7"/>
      <c r="P6898" s="7"/>
      <c r="Q6898" s="7"/>
      <c r="R6898" s="7"/>
      <c r="S6898" s="7"/>
      <c r="T6898" s="7"/>
      <c r="U6898" s="7"/>
      <c r="V6898" s="7"/>
      <c r="W6898" s="7"/>
      <c r="X6898" s="7"/>
      <c r="Y6898" s="7"/>
      <c r="Z6898" s="7"/>
      <c r="AA6898" s="7"/>
      <c r="AB6898" s="7"/>
      <c r="AC6898" s="7"/>
      <c r="AD6898" s="7"/>
      <c r="AE6898" s="7"/>
      <c r="AF6898" s="7"/>
      <c r="AG6898" s="11"/>
    </row>
    <row r="6899" spans="1:33">
      <c r="A6899" s="7"/>
      <c r="B6899" s="7"/>
      <c r="C6899" s="7"/>
      <c r="D6899" s="7"/>
      <c r="E6899" s="7"/>
      <c r="F6899" s="7"/>
      <c r="G6899" s="7"/>
      <c r="H6899" s="7"/>
      <c r="I6899" s="7"/>
      <c r="J6899" s="7"/>
      <c r="K6899" s="7"/>
      <c r="L6899" s="7"/>
      <c r="M6899" s="7"/>
      <c r="N6899" s="7"/>
      <c r="O6899" s="7"/>
      <c r="P6899" s="7"/>
      <c r="Q6899" s="7"/>
      <c r="R6899" s="7"/>
      <c r="S6899" s="7"/>
      <c r="T6899" s="7"/>
      <c r="U6899" s="7"/>
      <c r="V6899" s="7"/>
      <c r="W6899" s="7"/>
      <c r="X6899" s="7"/>
      <c r="Y6899" s="7"/>
      <c r="Z6899" s="7"/>
      <c r="AA6899" s="7"/>
      <c r="AB6899" s="7"/>
      <c r="AC6899" s="7"/>
      <c r="AD6899" s="7"/>
      <c r="AE6899" s="7"/>
      <c r="AF6899" s="7"/>
      <c r="AG6899" s="11"/>
    </row>
    <row r="6900" spans="1:33">
      <c r="A6900" s="7"/>
      <c r="B6900" s="7"/>
      <c r="C6900" s="7"/>
      <c r="D6900" s="7"/>
      <c r="E6900" s="7"/>
      <c r="F6900" s="7"/>
      <c r="G6900" s="7"/>
      <c r="H6900" s="7"/>
      <c r="I6900" s="7"/>
      <c r="J6900" s="7"/>
      <c r="K6900" s="7"/>
      <c r="L6900" s="7"/>
      <c r="M6900" s="7"/>
      <c r="N6900" s="7"/>
      <c r="O6900" s="7"/>
      <c r="P6900" s="7"/>
      <c r="Q6900" s="7"/>
      <c r="R6900" s="7"/>
      <c r="S6900" s="7"/>
      <c r="T6900" s="7"/>
      <c r="U6900" s="7"/>
      <c r="V6900" s="7"/>
      <c r="W6900" s="7"/>
      <c r="X6900" s="7"/>
      <c r="Y6900" s="7"/>
      <c r="Z6900" s="7"/>
      <c r="AA6900" s="7"/>
      <c r="AB6900" s="7"/>
      <c r="AC6900" s="7"/>
      <c r="AD6900" s="7"/>
      <c r="AE6900" s="7"/>
      <c r="AF6900" s="7"/>
      <c r="AG6900" s="11"/>
    </row>
    <row r="6901" spans="1:33">
      <c r="A6901" s="7"/>
      <c r="B6901" s="7"/>
      <c r="C6901" s="7"/>
      <c r="D6901" s="7"/>
      <c r="E6901" s="7"/>
      <c r="F6901" s="7"/>
      <c r="G6901" s="7"/>
      <c r="H6901" s="7"/>
      <c r="I6901" s="7"/>
      <c r="J6901" s="7"/>
      <c r="K6901" s="7"/>
      <c r="L6901" s="7"/>
      <c r="M6901" s="7"/>
      <c r="N6901" s="7"/>
      <c r="O6901" s="7"/>
      <c r="P6901" s="7"/>
      <c r="Q6901" s="7"/>
      <c r="R6901" s="7"/>
      <c r="S6901" s="7"/>
      <c r="T6901" s="7"/>
      <c r="U6901" s="7"/>
      <c r="V6901" s="7"/>
      <c r="W6901" s="7"/>
      <c r="X6901" s="7"/>
      <c r="Y6901" s="7"/>
      <c r="Z6901" s="7"/>
      <c r="AA6901" s="7"/>
      <c r="AB6901" s="7"/>
      <c r="AC6901" s="7"/>
      <c r="AD6901" s="7"/>
      <c r="AE6901" s="7"/>
      <c r="AF6901" s="7"/>
      <c r="AG6901" s="11"/>
    </row>
  </sheetData>
  <autoFilter ref="A1:AG1176">
    <extLst/>
  </autoFilter>
  <sortState ref="A2:AG1176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32</xdr:col>
                <xdr:colOff>1181100</xdr:colOff>
                <xdr:row>0</xdr:row>
                <xdr:rowOff>0</xdr:rowOff>
              </from>
              <to>
                <xdr:col>33</xdr:col>
                <xdr:colOff>661670</xdr:colOff>
                <xdr:row>2</xdr:row>
                <xdr:rowOff>28575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C43" sqref="C43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5540</v>
      </c>
      <c r="C1" t="s">
        <v>5541</v>
      </c>
    </row>
    <row r="2" spans="1:2">
      <c r="A2" t="s">
        <v>5542</v>
      </c>
      <c r="B2">
        <f>SUM(B3:B5000)</f>
        <v>59</v>
      </c>
    </row>
    <row r="3" spans="1:3">
      <c r="A3" t="s">
        <v>1066</v>
      </c>
      <c r="B3">
        <f>SUMIFS(allorders!O:O,allorders!L:L,'数据处理(仓储使用)'!$A3,allorders!$AG:$AG,"&lt;="&amp;日期!$B$2,allorders!$AG:$AG,"&gt;="&amp;日期!$B$1)</f>
        <v>6</v>
      </c>
      <c r="C3">
        <f>B3/(日期!$B$2-日期!$B$1+1)</f>
        <v>0.214285714285714</v>
      </c>
    </row>
    <row r="4" spans="1:3">
      <c r="A4" t="s">
        <v>5543</v>
      </c>
      <c r="B4">
        <f>SUMIFS(allorders!O:O,allorders!L:L,'数据处理(仓储使用)'!$A4,allorders!$AG:$AG,"&lt;="&amp;日期!$B$2,allorders!$AG:$AG,"&gt;="&amp;日期!$B$1)</f>
        <v>0</v>
      </c>
      <c r="C4">
        <f>B4/(日期!$B$2-日期!$B$1+1)</f>
        <v>0</v>
      </c>
    </row>
    <row r="5" spans="1:3">
      <c r="A5" t="s">
        <v>345</v>
      </c>
      <c r="B5">
        <f>SUMIFS(allorders!O:O,allorders!L:L,'数据处理(仓储使用)'!$A5,allorders!$AG:$AG,"&lt;="&amp;日期!$B$2,allorders!$AG:$AG,"&gt;="&amp;日期!$B$1)</f>
        <v>1</v>
      </c>
      <c r="C5">
        <f>B5/(日期!$B$2-日期!$B$1+1)</f>
        <v>0.0357142857142857</v>
      </c>
    </row>
    <row r="6" spans="1:3">
      <c r="A6" t="s">
        <v>5544</v>
      </c>
      <c r="B6">
        <f>SUMIFS(allorders!O:O,allorders!L:L,'数据处理(仓储使用)'!$A6,allorders!$AG:$AG,"&lt;="&amp;日期!$B$2,allorders!$AG:$AG,"&gt;="&amp;日期!$B$1)</f>
        <v>0</v>
      </c>
      <c r="C6">
        <f>B6/(日期!$B$2-日期!$B$1+1)</f>
        <v>0</v>
      </c>
    </row>
    <row r="7" spans="1:3">
      <c r="A7" t="s">
        <v>1693</v>
      </c>
      <c r="B7">
        <f>SUMIFS(allorders!O:O,allorders!L:L,'数据处理(仓储使用)'!$A7,allorders!$AG:$AG,"&lt;="&amp;日期!$B$2,allorders!$AG:$AG,"&gt;="&amp;日期!$B$1)</f>
        <v>2</v>
      </c>
      <c r="C7">
        <f>B7/(日期!$B$2-日期!$B$1+1)</f>
        <v>0.0714285714285714</v>
      </c>
    </row>
    <row r="8" spans="1:3">
      <c r="A8" t="s">
        <v>5545</v>
      </c>
      <c r="B8">
        <f>SUMIFS(allorders!O:O,allorders!L:L,'数据处理(仓储使用)'!$A8,allorders!$AG:$AG,"&lt;="&amp;日期!$B$2,allorders!$AG:$AG,"&gt;="&amp;日期!$B$1)</f>
        <v>0</v>
      </c>
      <c r="C8">
        <f>B8/(日期!$B$2-日期!$B$1+1)</f>
        <v>0</v>
      </c>
    </row>
    <row r="9" spans="1:3">
      <c r="A9" t="s">
        <v>5546</v>
      </c>
      <c r="B9">
        <f>SUMIFS(allorders!O:O,allorders!L:L,'数据处理(仓储使用)'!$A9,allorders!$AG:$AG,"&lt;="&amp;日期!$B$2,allorders!$AG:$AG,"&gt;="&amp;日期!$B$1)</f>
        <v>0</v>
      </c>
      <c r="C9">
        <f>B9/(日期!$B$2-日期!$B$1+1)</f>
        <v>0</v>
      </c>
    </row>
    <row r="10" spans="1:3">
      <c r="A10" t="s">
        <v>5547</v>
      </c>
      <c r="B10">
        <f>SUMIFS(allorders!O:O,allorders!L:L,'数据处理(仓储使用)'!$A10,allorders!$AG:$AG,"&lt;="&amp;日期!$B$2,allorders!$AG:$AG,"&gt;="&amp;日期!$B$1)</f>
        <v>0</v>
      </c>
      <c r="C10">
        <f>B10/(日期!$B$2-日期!$B$1+1)</f>
        <v>0</v>
      </c>
    </row>
    <row r="11" spans="1:3">
      <c r="A11" t="s">
        <v>165</v>
      </c>
      <c r="B11">
        <f>SUMIFS(allorders!O:O,allorders!L:L,'数据处理(仓储使用)'!$A11,allorders!$AG:$AG,"&lt;="&amp;日期!$B$2,allorders!$AG:$AG,"&gt;="&amp;日期!$B$1)</f>
        <v>10</v>
      </c>
      <c r="C11">
        <f>B11/(日期!$B$2-日期!$B$1+1)</f>
        <v>0.357142857142857</v>
      </c>
    </row>
    <row r="12" spans="1:3">
      <c r="A12" t="s">
        <v>5548</v>
      </c>
      <c r="B12">
        <f>SUMIFS(allorders!O:O,allorders!L:L,'数据处理(仓储使用)'!$A12,allorders!$AG:$AG,"&lt;="&amp;日期!$B$2,allorders!$AG:$AG,"&gt;="&amp;日期!$B$1)</f>
        <v>0</v>
      </c>
      <c r="C12">
        <f>B12/(日期!$B$2-日期!$B$1+1)</f>
        <v>0</v>
      </c>
    </row>
    <row r="13" spans="1:3">
      <c r="A13" t="s">
        <v>5549</v>
      </c>
      <c r="B13">
        <f>SUMIFS(allorders!O:O,allorders!L:L,'数据处理(仓储使用)'!$A13,allorders!$AG:$AG,"&lt;="&amp;日期!$B$2,allorders!$AG:$AG,"&gt;="&amp;日期!$B$1)</f>
        <v>0</v>
      </c>
      <c r="C13">
        <f>B13/(日期!$B$2-日期!$B$1+1)</f>
        <v>0</v>
      </c>
    </row>
    <row r="14" spans="1:3">
      <c r="A14" t="s">
        <v>5550</v>
      </c>
      <c r="B14">
        <f>SUMIFS(allorders!O:O,allorders!L:L,'数据处理(仓储使用)'!$A14,allorders!$AG:$AG,"&lt;="&amp;日期!$B$2,allorders!$AG:$AG,"&gt;="&amp;日期!$B$1)</f>
        <v>0</v>
      </c>
      <c r="C14">
        <f>B14/(日期!$B$2-日期!$B$1+1)</f>
        <v>0</v>
      </c>
    </row>
    <row r="15" spans="1:3">
      <c r="A15" t="s">
        <v>5551</v>
      </c>
      <c r="B15">
        <f>SUMIFS(allorders!O:O,allorders!L:L,'数据处理(仓储使用)'!$A15,allorders!$AG:$AG,"&lt;="&amp;日期!$B$2,allorders!$AG:$AG,"&gt;="&amp;日期!$B$1)</f>
        <v>0</v>
      </c>
      <c r="C15">
        <f>B15/(日期!$B$2-日期!$B$1+1)</f>
        <v>0</v>
      </c>
    </row>
    <row r="16" spans="1:3">
      <c r="A16" t="s">
        <v>5552</v>
      </c>
      <c r="B16">
        <f>SUMIFS(allorders!O:O,allorders!L:L,'数据处理(仓储使用)'!$A16,allorders!$AG:$AG,"&lt;="&amp;日期!$B$2,allorders!$AG:$AG,"&gt;="&amp;日期!$B$1)</f>
        <v>0</v>
      </c>
      <c r="C16">
        <f>B16/(日期!$B$2-日期!$B$1+1)</f>
        <v>0</v>
      </c>
    </row>
    <row r="17" spans="1:3">
      <c r="A17" t="s">
        <v>699</v>
      </c>
      <c r="B17">
        <f>SUMIFS(allorders!O:O,allorders!L:L,'数据处理(仓储使用)'!$A17,allorders!$AG:$AG,"&lt;="&amp;日期!$B$2,allorders!$AG:$AG,"&gt;="&amp;日期!$B$1)</f>
        <v>22</v>
      </c>
      <c r="C17">
        <f>B17/(日期!$B$2-日期!$B$1+1)</f>
        <v>0.785714285714286</v>
      </c>
    </row>
    <row r="18" spans="1:3">
      <c r="A18" t="s">
        <v>2685</v>
      </c>
      <c r="B18">
        <f>SUMIFS(allorders!O:O,allorders!L:L,'数据处理(仓储使用)'!$A18,allorders!$AG:$AG,"&lt;="&amp;日期!$B$2,allorders!$AG:$AG,"&gt;="&amp;日期!$B$1)</f>
        <v>1</v>
      </c>
      <c r="C18">
        <f>B18/(日期!$B$2-日期!$B$1+1)</f>
        <v>0.0357142857142857</v>
      </c>
    </row>
    <row r="19" spans="1:3">
      <c r="A19" t="s">
        <v>5553</v>
      </c>
      <c r="B19">
        <f>SUMIFS(allorders!O:O,allorders!L:L,'数据处理(仓储使用)'!$A19,allorders!$AG:$AG,"&lt;="&amp;日期!$B$2,allorders!$AG:$AG,"&gt;="&amp;日期!$B$1)</f>
        <v>0</v>
      </c>
      <c r="C19">
        <f>B19/(日期!$B$2-日期!$B$1+1)</f>
        <v>0</v>
      </c>
    </row>
    <row r="20" spans="1:3">
      <c r="A20" t="s">
        <v>5554</v>
      </c>
      <c r="B20">
        <f>SUMIFS(allorders!O:O,allorders!L:L,'数据处理(仓储使用)'!$A20,allorders!$AG:$AG,"&lt;="&amp;日期!$B$2,allorders!$AG:$AG,"&gt;="&amp;日期!$B$1)</f>
        <v>0</v>
      </c>
      <c r="C20">
        <f>B20/(日期!$B$2-日期!$B$1+1)</f>
        <v>0</v>
      </c>
    </row>
    <row r="21" spans="1:3">
      <c r="A21" t="s">
        <v>1263</v>
      </c>
      <c r="B21">
        <f>SUMIFS(allorders!O:O,allorders!L:L,'数据处理(仓储使用)'!$A21,allorders!$AG:$AG,"&lt;="&amp;日期!$B$2,allorders!$AG:$AG,"&gt;="&amp;日期!$B$1)</f>
        <v>2</v>
      </c>
      <c r="C21">
        <f>B21/(日期!$B$2-日期!$B$1+1)</f>
        <v>0.0714285714285714</v>
      </c>
    </row>
    <row r="22" spans="1:3">
      <c r="A22" t="s">
        <v>547</v>
      </c>
      <c r="B22">
        <f>SUMIFS(allorders!O:O,allorders!L:L,'数据处理(仓储使用)'!$A22,allorders!$AG:$AG,"&lt;="&amp;日期!$B$2,allorders!$AG:$AG,"&gt;="&amp;日期!$B$1)</f>
        <v>2</v>
      </c>
      <c r="C22">
        <f>B22/(日期!$B$2-日期!$B$1+1)</f>
        <v>0.0714285714285714</v>
      </c>
    </row>
    <row r="23" spans="1:3">
      <c r="A23" t="s">
        <v>2541</v>
      </c>
      <c r="B23">
        <f>SUMIFS(allorders!O:O,allorders!L:L,'数据处理(仓储使用)'!$A23,allorders!$AG:$AG,"&lt;="&amp;日期!$B$2,allorders!$AG:$AG,"&gt;="&amp;日期!$B$1)</f>
        <v>5</v>
      </c>
      <c r="C23">
        <f>B23/(日期!$B$2-日期!$B$1+1)</f>
        <v>0.178571428571429</v>
      </c>
    </row>
    <row r="24" spans="1:3">
      <c r="A24" t="s">
        <v>1838</v>
      </c>
      <c r="B24">
        <f>SUMIFS(allorders!O:O,allorders!L:L,'数据处理(仓储使用)'!$A24,allorders!$AG:$AG,"&lt;="&amp;日期!$B$2,allorders!$AG:$AG,"&gt;="&amp;日期!$B$1)</f>
        <v>3</v>
      </c>
      <c r="C24">
        <f>B24/(日期!$B$2-日期!$B$1+1)</f>
        <v>0.107142857142857</v>
      </c>
    </row>
    <row r="25" spans="1:3">
      <c r="A25" t="s">
        <v>1767</v>
      </c>
      <c r="B25">
        <f>SUMIFS(allorders!O:O,allorders!L:L,'数据处理(仓储使用)'!$A25,allorders!$AG:$AG,"&lt;="&amp;日期!$B$2,allorders!$AG:$AG,"&gt;="&amp;日期!$B$1)</f>
        <v>1</v>
      </c>
      <c r="C25">
        <f>B25/(日期!$B$2-日期!$B$1+1)</f>
        <v>0.0357142857142857</v>
      </c>
    </row>
    <row r="26" spans="1:3">
      <c r="A26" t="s">
        <v>2148</v>
      </c>
      <c r="B26">
        <f>SUMIFS(allorders!O:O,allorders!L:L,'数据处理(仓储使用)'!$A26,allorders!$AG:$AG,"&lt;="&amp;日期!$B$2,allorders!$AG:$AG,"&gt;="&amp;日期!$B$1)</f>
        <v>2</v>
      </c>
      <c r="C26">
        <f>B26/(日期!$B$2-日期!$B$1+1)</f>
        <v>0.0714285714285714</v>
      </c>
    </row>
    <row r="27" spans="1:3">
      <c r="A27" t="s">
        <v>5555</v>
      </c>
      <c r="B27">
        <f>SUMIFS(allorders!O:O,allorders!L:L,'数据处理(仓储使用)'!$A27,allorders!$AG:$AG,"&lt;="&amp;日期!$B$2,allorders!$AG:$AG,"&gt;="&amp;日期!$B$1)</f>
        <v>0</v>
      </c>
      <c r="C27">
        <f>B27/(日期!$B$2-日期!$B$1+1)</f>
        <v>0</v>
      </c>
    </row>
    <row r="28" spans="1:3">
      <c r="A28" t="s">
        <v>2499</v>
      </c>
      <c r="B28">
        <f>SUMIFS(allorders!O:O,allorders!L:L,'数据处理(仓储使用)'!$A28,allorders!$AG:$AG,"&lt;="&amp;日期!$B$2,allorders!$AG:$AG,"&gt;="&amp;日期!$B$1)</f>
        <v>1</v>
      </c>
      <c r="C28">
        <f>B28/(日期!$B$2-日期!$B$1+1)</f>
        <v>0.0357142857142857</v>
      </c>
    </row>
    <row r="29" spans="1:3">
      <c r="A29" t="s">
        <v>5556</v>
      </c>
      <c r="B29">
        <f>SUMIFS(allorders!O:O,allorders!L:L,'数据处理(仓储使用)'!$A29,allorders!$AG:$AG,"&lt;="&amp;日期!$B$2,allorders!$AG:$AG,"&gt;="&amp;日期!$B$1)</f>
        <v>0</v>
      </c>
      <c r="C29">
        <f>B29/(日期!$B$2-日期!$B$1+1)</f>
        <v>0</v>
      </c>
    </row>
    <row r="30" spans="1:3">
      <c r="A30" t="s">
        <v>5557</v>
      </c>
      <c r="B30">
        <f>SUMIFS(allorders!O:O,allorders!L:L,'数据处理(仓储使用)'!$A30,allorders!$AG:$AG,"&lt;="&amp;日期!$B$2,allorders!$AG:$AG,"&gt;="&amp;日期!$B$1)</f>
        <v>0</v>
      </c>
      <c r="C30">
        <f>B30/(日期!$B$2-日期!$B$1+1)</f>
        <v>0</v>
      </c>
    </row>
    <row r="31" spans="1:3">
      <c r="A31" t="s">
        <v>5558</v>
      </c>
      <c r="B31">
        <f>SUMIFS(allorders!O:O,allorders!L:L,'数据处理(仓储使用)'!$A31,allorders!$AG:$AG,"&lt;="&amp;日期!$B$2,allorders!$AG:$AG,"&gt;="&amp;日期!$B$1)</f>
        <v>0</v>
      </c>
      <c r="C31">
        <f>B31/(日期!$B$2-日期!$B$1+1)</f>
        <v>0</v>
      </c>
    </row>
    <row r="32" spans="1:3">
      <c r="A32" t="s">
        <v>5559</v>
      </c>
      <c r="B32">
        <f>SUMIFS(allorders!O:O,allorders!L:L,'数据处理(仓储使用)'!$A32,allorders!$AG:$AG,"&lt;="&amp;日期!$B$2,allorders!$AG:$AG,"&gt;="&amp;日期!$B$1)</f>
        <v>0</v>
      </c>
      <c r="C32">
        <f>B32/(日期!$B$2-日期!$B$1+1)</f>
        <v>0</v>
      </c>
    </row>
    <row r="33" spans="1:3">
      <c r="A33" t="s">
        <v>5560</v>
      </c>
      <c r="B33">
        <f>SUMIFS(allorders!O:O,allorders!L:L,'数据处理(仓储使用)'!$A33,allorders!$AG:$AG,"&lt;="&amp;日期!$B$2,allorders!$AG:$AG,"&gt;="&amp;日期!$B$1)</f>
        <v>0</v>
      </c>
      <c r="C33">
        <f>B33/(日期!$B$2-日期!$B$1+1)</f>
        <v>0</v>
      </c>
    </row>
    <row r="34" spans="1:3">
      <c r="A34" t="s">
        <v>5561</v>
      </c>
      <c r="B34">
        <f>SUMIFS(allorders!O:O,allorders!L:L,'数据处理(仓储使用)'!$A34,allorders!$AG:$AG,"&lt;="&amp;日期!$B$2,allorders!$AG:$AG,"&gt;="&amp;日期!$B$1)</f>
        <v>0</v>
      </c>
      <c r="C34">
        <f>B34/(日期!$B$2-日期!$B$1+1)</f>
        <v>0</v>
      </c>
    </row>
    <row r="35" spans="1:3">
      <c r="A35" t="s">
        <v>5562</v>
      </c>
      <c r="B35">
        <f>SUMIFS(allorders!O:O,allorders!L:L,'数据处理(仓储使用)'!$A35,allorders!$AG:$AG,"&lt;="&amp;日期!$B$2,allorders!$AG:$AG,"&gt;="&amp;日期!$B$1)</f>
        <v>0</v>
      </c>
      <c r="C35">
        <f>B35/(日期!$B$2-日期!$B$1+1)</f>
        <v>0</v>
      </c>
    </row>
    <row r="36" spans="1:3">
      <c r="A36" t="s">
        <v>5563</v>
      </c>
      <c r="B36">
        <f>SUMIFS(allorders!O:O,allorders!L:L,'数据处理(仓储使用)'!$A36,allorders!$AG:$AG,"&lt;="&amp;日期!$B$2,allorders!$AG:$AG,"&gt;="&amp;日期!$B$1)</f>
        <v>0</v>
      </c>
      <c r="C36">
        <f>B36/(日期!$B$2-日期!$B$1+1)</f>
        <v>0</v>
      </c>
    </row>
    <row r="37" spans="1:3">
      <c r="A37" t="s">
        <v>5564</v>
      </c>
      <c r="B37">
        <f>SUMIFS(allorders!O:O,allorders!L:L,'数据处理(仓储使用)'!$A37,allorders!$AG:$AG,"&lt;="&amp;日期!$B$2,allorders!$AG:$AG,"&gt;="&amp;日期!$B$1)</f>
        <v>0</v>
      </c>
      <c r="C37">
        <f>B37/(日期!$B$2-日期!$B$1+1)</f>
        <v>0</v>
      </c>
    </row>
    <row r="38" spans="1:3">
      <c r="A38" t="s">
        <v>5565</v>
      </c>
      <c r="B38">
        <f>SUMIFS(allorders!O:O,allorders!L:L,'数据处理(仓储使用)'!$A38,allorders!$AG:$AG,"&lt;="&amp;日期!$B$2,allorders!$AG:$AG,"&gt;="&amp;日期!$B$1)</f>
        <v>0</v>
      </c>
      <c r="C38">
        <f>B38/(日期!$B$2-日期!$B$1+1)</f>
        <v>0</v>
      </c>
    </row>
    <row r="39" spans="1:3">
      <c r="A39" t="s">
        <v>1630</v>
      </c>
      <c r="B39">
        <f>SUMIFS(allorders!O:O,allorders!L:L,'数据处理(仓储使用)'!$A39,allorders!$AG:$AG,"&lt;="&amp;日期!$B$2,allorders!$AG:$AG,"&gt;="&amp;日期!$B$1)</f>
        <v>1</v>
      </c>
      <c r="C39">
        <f>B39/(日期!$B$2-日期!$B$1+1)</f>
        <v>0.0357142857142857</v>
      </c>
    </row>
    <row r="40" spans="1:3">
      <c r="A40" t="s">
        <v>5566</v>
      </c>
      <c r="B40">
        <f>SUMIFS(allorders!O:O,allorders!L:L,'数据处理(仓储使用)'!$A40,allorders!$AG:$AG,"&lt;="&amp;日期!$B$2,allorders!$AG:$AG,"&gt;="&amp;日期!$B$1)</f>
        <v>0</v>
      </c>
      <c r="C40">
        <f>B40/(日期!$B$2-日期!$B$1+1)</f>
        <v>0</v>
      </c>
    </row>
    <row r="41" spans="1:3">
      <c r="A41" t="s">
        <v>5567</v>
      </c>
      <c r="B41">
        <f>SUMIFS(allorders!O:O,allorders!L:L,'数据处理(仓储使用)'!$A41,allorders!$AG:$AG,"&lt;="&amp;日期!$B$2,allorders!$AG:$AG,"&gt;="&amp;日期!$B$1)</f>
        <v>0</v>
      </c>
      <c r="C41">
        <f>B41/(日期!$B$2-日期!$B$1+1)</f>
        <v>0</v>
      </c>
    </row>
    <row r="42" spans="1:3">
      <c r="A42" t="s">
        <v>5568</v>
      </c>
      <c r="B42">
        <f>SUMIFS(allorders!O:O,allorders!L:L,'数据处理(仓储使用)'!$A42,allorders!$AG:$AG,"&lt;="&amp;日期!$B$2,allorders!$AG:$AG,"&gt;="&amp;日期!$B$1)</f>
        <v>0</v>
      </c>
      <c r="C42">
        <f>B42/(日期!$B$2-日期!$B$1+1)</f>
        <v>0</v>
      </c>
    </row>
    <row r="43" spans="1:3">
      <c r="A43" t="s">
        <v>5569</v>
      </c>
      <c r="B43">
        <f>SUMIFS(allorders!O:O,allorders!L:L,'数据处理(仓储使用)'!$A43,allorders!$AG:$AG,"&lt;="&amp;日期!$B$2,allorders!$AG:$AG,"&gt;="&amp;日期!$B$1)</f>
        <v>0</v>
      </c>
      <c r="C43">
        <f>B43/(日期!$B$2-日期!$B$1+1)</f>
        <v>0</v>
      </c>
    </row>
    <row r="44" spans="2:3">
      <c r="B44">
        <f>SUMIFS(allorders!O:O,allorders!L:L,'数据处理(仓储使用)'!$A44,allorders!$AG:$AG,"&lt;="&amp;日期!$B$2,allorders!$AG:$AG,"&gt;="&amp;日期!$B$1)</f>
        <v>0</v>
      </c>
      <c r="C44">
        <f>B44/(日期!$B$2-日期!$B$1+1)</f>
        <v>0</v>
      </c>
    </row>
    <row r="45" spans="2:3">
      <c r="B45">
        <f>SUMIFS(allorders!O:O,allorders!L:L,'数据处理(仓储使用)'!$A45,allorders!$AG:$AG,"&lt;="&amp;日期!$B$2,allorders!$AG:$AG,"&gt;="&amp;日期!$B$1)</f>
        <v>0</v>
      </c>
      <c r="C45">
        <f>B45/(日期!$B$2-日期!$B$1+1)</f>
        <v>0</v>
      </c>
    </row>
    <row r="46" spans="2:3">
      <c r="B46">
        <f>SUMIFS(allorders!O:O,allorders!L:L,'数据处理(仓储使用)'!$A46,allorders!$AG:$AG,"&lt;="&amp;日期!$B$2,allorders!$AG:$AG,"&gt;="&amp;日期!$B$1)</f>
        <v>0</v>
      </c>
      <c r="C46">
        <f>B46/(日期!$B$2-日期!$B$1+1)</f>
        <v>0</v>
      </c>
    </row>
    <row r="47" spans="2:3">
      <c r="B47">
        <f>SUMIFS(allorders!O:O,allorders!L:L,'数据处理(仓储使用)'!$A47,allorders!$AG:$AG,"&lt;="&amp;日期!$B$2,allorders!$AG:$AG,"&gt;="&amp;日期!$B$1)</f>
        <v>0</v>
      </c>
      <c r="C47">
        <f>B47/(日期!$B$2-日期!$B$1+1)</f>
        <v>0</v>
      </c>
    </row>
    <row r="48" spans="2:3">
      <c r="B48">
        <f>SUMIFS(allorders!O:O,allorders!L:L,'数据处理(仓储使用)'!$A48,allorders!$AG:$AG,"&lt;="&amp;日期!$B$2,allorders!$AG:$AG,"&gt;="&amp;日期!$B$1)</f>
        <v>0</v>
      </c>
      <c r="C48">
        <f>B48/(日期!$B$2-日期!$B$1+1)</f>
        <v>0</v>
      </c>
    </row>
    <row r="49" spans="2:3">
      <c r="B49">
        <f>SUMIFS(allorders!O:O,allorders!L:L,'数据处理(仓储使用)'!$A49,allorders!$AG:$AG,"&lt;="&amp;日期!$B$2,allorders!$AG:$AG,"&gt;="&amp;日期!$B$1)</f>
        <v>0</v>
      </c>
      <c r="C49">
        <f>B49/(日期!$B$2-日期!$B$1+1)</f>
        <v>0</v>
      </c>
    </row>
    <row r="50" spans="2:3">
      <c r="B50">
        <f>SUMIFS(allorders!O:O,allorders!L:L,'数据处理(仓储使用)'!$A50,allorders!$AG:$AG,"&lt;="&amp;日期!$B$2,allorders!$AG:$AG,"&gt;="&amp;日期!$B$1)</f>
        <v>0</v>
      </c>
      <c r="C50">
        <f>B50/(日期!$B$2-日期!$B$1+1)</f>
        <v>0</v>
      </c>
    </row>
    <row r="51" spans="2:3">
      <c r="B51">
        <f>SUMIFS(allorders!O:O,allorders!L:L,'数据处理(仓储使用)'!$A51,allorders!$AG:$AG,"&lt;="&amp;日期!$B$2,allorders!$AG:$AG,"&gt;="&amp;日期!$B$1)</f>
        <v>0</v>
      </c>
      <c r="C51">
        <f>B51/(日期!$B$2-日期!$B$1+1)</f>
        <v>0</v>
      </c>
    </row>
    <row r="52" spans="2:3">
      <c r="B52">
        <f>SUMIFS(allorders!O:O,allorders!L:L,'数据处理(仓储使用)'!$A52,allorders!$AG:$AG,"&lt;="&amp;日期!$B$2,allorders!$AG:$AG,"&gt;="&amp;日期!$B$1)</f>
        <v>0</v>
      </c>
      <c r="C52">
        <f>B52/(日期!$B$2-日期!$B$1+1)</f>
        <v>0</v>
      </c>
    </row>
    <row r="53" spans="2:3">
      <c r="B53">
        <f>SUMIFS(allorders!O:O,allorders!L:L,'数据处理(仓储使用)'!$A53,allorders!$AG:$AG,"&lt;="&amp;日期!$B$2,allorders!$AG:$AG,"&gt;="&amp;日期!$B$1)</f>
        <v>0</v>
      </c>
      <c r="C53">
        <f>B53/(日期!$B$2-日期!$B$1+1)</f>
        <v>0</v>
      </c>
    </row>
    <row r="54" spans="2:3">
      <c r="B54">
        <f>SUMIFS(allorders!O:O,allorders!L:L,'数据处理(仓储使用)'!$A54,allorders!$AG:$AG,"&lt;="&amp;日期!$B$2,allorders!$AG:$AG,"&gt;="&amp;日期!$B$1)</f>
        <v>0</v>
      </c>
      <c r="C54">
        <f>B54/(日期!$B$2-日期!$B$1+1)</f>
        <v>0</v>
      </c>
    </row>
    <row r="55" spans="2:3">
      <c r="B55">
        <f>SUMIFS(allorders!O:O,allorders!L:L,'数据处理(仓储使用)'!$A55,allorders!$AG:$AG,"&lt;="&amp;日期!$B$2,allorders!$AG:$AG,"&gt;="&amp;日期!$B$1)</f>
        <v>0</v>
      </c>
      <c r="C55">
        <f>B55/(日期!$B$2-日期!$B$1+1)</f>
        <v>0</v>
      </c>
    </row>
    <row r="56" spans="2:3">
      <c r="B56">
        <f>SUMIFS(allorders!O:O,allorders!L:L,'数据处理(仓储使用)'!$A56,allorders!$AG:$AG,"&lt;="&amp;日期!$B$2,allorders!$AG:$AG,"&gt;="&amp;日期!$B$1)</f>
        <v>0</v>
      </c>
      <c r="C56">
        <f>B56/(日期!$B$2-日期!$B$1+1)</f>
        <v>0</v>
      </c>
    </row>
    <row r="57" spans="2:3">
      <c r="B57">
        <f>SUMIFS(allorders!O:O,allorders!L:L,'数据处理(仓储使用)'!$A57,allorders!$AG:$AG,"&lt;="&amp;日期!$B$2,allorders!$AG:$AG,"&gt;="&amp;日期!$B$1)</f>
        <v>0</v>
      </c>
      <c r="C57">
        <f>B57/(日期!$B$2-日期!$B$1+1)</f>
        <v>0</v>
      </c>
    </row>
    <row r="58" spans="2:3">
      <c r="B58">
        <f>SUMIFS(allorders!O:O,allorders!L:L,'数据处理(仓储使用)'!$A58,allorders!$AG:$AG,"&lt;="&amp;日期!$B$2,allorders!$AG:$AG,"&gt;="&amp;日期!$B$1)</f>
        <v>0</v>
      </c>
      <c r="C58">
        <f>B58/(日期!$B$2-日期!$B$1+1)</f>
        <v>0</v>
      </c>
    </row>
    <row r="59" spans="2:3">
      <c r="B59">
        <f>SUMIFS(allorders!O:O,allorders!L:L,'数据处理(仓储使用)'!$A59,allorders!$AG:$AG,"&lt;="&amp;日期!$B$2,allorders!$AG:$AG,"&gt;="&amp;日期!$B$1)</f>
        <v>0</v>
      </c>
      <c r="C59">
        <f>B59/(日期!$B$2-日期!$B$1+1)</f>
        <v>0</v>
      </c>
    </row>
    <row r="60" spans="2:3">
      <c r="B60">
        <f>SUMIFS(allorders!O:O,allorders!L:L,'数据处理(仓储使用)'!$A60,allorders!$AG:$AG,"&lt;="&amp;日期!$B$2,allorders!$AG:$AG,"&gt;="&amp;日期!$B$1)</f>
        <v>0</v>
      </c>
      <c r="C60">
        <f>B60/(日期!$B$2-日期!$B$1+1)</f>
        <v>0</v>
      </c>
    </row>
    <row r="61" spans="2:3">
      <c r="B61">
        <f>SUMIFS(allorders!O:O,allorders!L:L,'数据处理(仓储使用)'!$A61,allorders!$AG:$AG,"&lt;="&amp;日期!$B$2,allorders!$AG:$AG,"&gt;="&amp;日期!$B$1)</f>
        <v>0</v>
      </c>
      <c r="C61">
        <f>B61/(日期!$B$2-日期!$B$1+1)</f>
        <v>0</v>
      </c>
    </row>
    <row r="62" spans="2:3">
      <c r="B62">
        <f>SUMIFS(allorders!O:O,allorders!L:L,'数据处理(仓储使用)'!$A62,allorders!$AG:$AG,"&lt;="&amp;日期!$B$2,allorders!$AG:$AG,"&gt;="&amp;日期!$B$1)</f>
        <v>0</v>
      </c>
      <c r="C62">
        <f>B62/(日期!$B$2-日期!$B$1+1)</f>
        <v>0</v>
      </c>
    </row>
    <row r="63" spans="2:3">
      <c r="B63">
        <f>SUMIFS(allorders!O:O,allorders!L:L,'数据处理(仓储使用)'!$A63,allorders!$AG:$AG,"&lt;="&amp;日期!$B$2,allorders!$AG:$AG,"&gt;="&amp;日期!$B$1)</f>
        <v>0</v>
      </c>
      <c r="C63">
        <f>B63/(日期!$B$2-日期!$B$1+1)</f>
        <v>0</v>
      </c>
    </row>
    <row r="64" spans="2:3">
      <c r="B64">
        <f>SUMIFS(allorders!O:O,allorders!L:L,'数据处理(仓储使用)'!$A64,allorders!$AG:$AG,"&lt;="&amp;日期!$B$2,allorders!$AG:$AG,"&gt;="&amp;日期!$B$1)</f>
        <v>0</v>
      </c>
      <c r="C64">
        <f>B64/(日期!$B$2-日期!$B$1+1)</f>
        <v>0</v>
      </c>
    </row>
    <row r="65" spans="2:3">
      <c r="B65">
        <f>SUMIFS(allorders!O:O,allorders!L:L,'数据处理(仓储使用)'!$A65,allorders!$AG:$AG,"&lt;="&amp;日期!$B$2,allorders!$AG:$AG,"&gt;="&amp;日期!$B$1)</f>
        <v>0</v>
      </c>
      <c r="C65">
        <f>B65/(日期!$B$2-日期!$B$1+1)</f>
        <v>0</v>
      </c>
    </row>
    <row r="66" spans="2:3">
      <c r="B66">
        <f>SUMIFS(allorders!O:O,allorders!L:L,'数据处理(仓储使用)'!$A66,allorders!$AG:$AG,"&lt;="&amp;日期!$B$2,allorders!$AG:$AG,"&gt;="&amp;日期!$B$1)</f>
        <v>0</v>
      </c>
      <c r="C66">
        <f>B66/(日期!$B$2-日期!$B$1+1)</f>
        <v>0</v>
      </c>
    </row>
    <row r="67" spans="2:3">
      <c r="B67">
        <f>SUMIFS(allorders!O:O,allorders!L:L,'数据处理(仓储使用)'!$A67,allorders!$AG:$AG,"&lt;="&amp;日期!$B$2,allorders!$AG:$AG,"&gt;="&amp;日期!$B$1)</f>
        <v>0</v>
      </c>
      <c r="C67">
        <f>B67/(日期!$B$2-日期!$B$1+1)</f>
        <v>0</v>
      </c>
    </row>
    <row r="68" spans="2:3">
      <c r="B68">
        <f>SUMIFS(allorders!O:O,allorders!L:L,'数据处理(仓储使用)'!$A68,allorders!$AG:$AG,"&lt;="&amp;日期!$B$2,allorders!$AG:$AG,"&gt;="&amp;日期!$B$1)</f>
        <v>0</v>
      </c>
      <c r="C68">
        <f>B68/(日期!$B$2-日期!$B$1+1)</f>
        <v>0</v>
      </c>
    </row>
    <row r="69" spans="2:3">
      <c r="B69">
        <f>SUMIFS(allorders!O:O,allorders!L:L,'数据处理(仓储使用)'!$A69,allorders!$AG:$AG,"&lt;="&amp;日期!$B$2,allorders!$AG:$AG,"&gt;="&amp;日期!$B$1)</f>
        <v>0</v>
      </c>
      <c r="C69">
        <f>B69/(日期!$B$2-日期!$B$1+1)</f>
        <v>0</v>
      </c>
    </row>
    <row r="70" spans="2:3">
      <c r="B70">
        <f>SUMIFS(allorders!O:O,allorders!L:L,'数据处理(仓储使用)'!$A70,allorders!$AG:$AG,"&lt;="&amp;日期!$B$2,allorders!$AG:$AG,"&gt;="&amp;日期!$B$1)</f>
        <v>0</v>
      </c>
      <c r="C70">
        <f>B70/(日期!$B$2-日期!$B$1+1)</f>
        <v>0</v>
      </c>
    </row>
    <row r="71" spans="2:3">
      <c r="B71">
        <f>SUMIFS(allorders!O:O,allorders!L:L,'数据处理(仓储使用)'!$A71,allorders!$AG:$AG,"&lt;="&amp;日期!$B$2,allorders!$AG:$AG,"&gt;="&amp;日期!$B$1)</f>
        <v>0</v>
      </c>
      <c r="C71">
        <f>B71/(日期!$B$2-日期!$B$1+1)</f>
        <v>0</v>
      </c>
    </row>
    <row r="72" spans="2:3">
      <c r="B72">
        <f>SUMIFS(allorders!O:O,allorders!L:L,'数据处理(仓储使用)'!$A72,allorders!$AG:$AG,"&lt;="&amp;日期!$B$2,allorders!$AG:$AG,"&gt;="&amp;日期!$B$1)</f>
        <v>0</v>
      </c>
      <c r="C72">
        <f>B72/(日期!$B$2-日期!$B$1+1)</f>
        <v>0</v>
      </c>
    </row>
    <row r="73" spans="2:3">
      <c r="B73">
        <f>SUMIFS(allorders!O:O,allorders!L:L,'数据处理(仓储使用)'!$A73,allorders!$AG:$AG,"&lt;="&amp;日期!$B$2,allorders!$AG:$AG,"&gt;="&amp;日期!$B$1)</f>
        <v>0</v>
      </c>
      <c r="C73">
        <f>B73/(日期!$B$2-日期!$B$1+1)</f>
        <v>0</v>
      </c>
    </row>
    <row r="74" spans="2:3">
      <c r="B74">
        <f>SUMIFS(allorders!O:O,allorders!L:L,'数据处理(仓储使用)'!$A74,allorders!$AG:$AG,"&lt;="&amp;日期!$B$2,allorders!$AG:$AG,"&gt;="&amp;日期!$B$1)</f>
        <v>0</v>
      </c>
      <c r="C74">
        <f>B74/(日期!$B$2-日期!$B$1+1)</f>
        <v>0</v>
      </c>
    </row>
    <row r="75" spans="2:3">
      <c r="B75">
        <f>SUMIFS(allorders!O:O,allorders!L:L,'数据处理(仓储使用)'!$A75,allorders!$AG:$AG,"&lt;="&amp;日期!$B$2,allorders!$AG:$AG,"&gt;="&amp;日期!$B$1)</f>
        <v>0</v>
      </c>
      <c r="C75">
        <f>B75/(日期!$B$2-日期!$B$1+1)</f>
        <v>0</v>
      </c>
    </row>
    <row r="76" spans="2:3">
      <c r="B76">
        <f>SUMIFS(allorders!O:O,allorders!L:L,'数据处理(仓储使用)'!$A76,allorders!$AG:$AG,"&lt;="&amp;日期!$B$2,allorders!$AG:$AG,"&gt;="&amp;日期!$B$1)</f>
        <v>0</v>
      </c>
      <c r="C76">
        <f>B76/(日期!$B$2-日期!$B$1+1)</f>
        <v>0</v>
      </c>
    </row>
    <row r="77" spans="2:3">
      <c r="B77">
        <f>SUMIFS(allorders!O:O,allorders!L:L,'数据处理(仓储使用)'!$A77,allorders!$AG:$AG,"&lt;="&amp;日期!$B$2,allorders!$AG:$AG,"&gt;="&amp;日期!$B$1)</f>
        <v>0</v>
      </c>
      <c r="C77">
        <f>B77/(日期!$B$2-日期!$B$1+1)</f>
        <v>0</v>
      </c>
    </row>
    <row r="78" spans="2:3">
      <c r="B78">
        <f>SUMIFS(allorders!O:O,allorders!L:L,'数据处理(仓储使用)'!$A78,allorders!$AG:$AG,"&lt;="&amp;日期!$B$2,allorders!$AG:$AG,"&gt;="&amp;日期!$B$1)</f>
        <v>0</v>
      </c>
      <c r="C78">
        <f>B78/(日期!$B$2-日期!$B$1+1)</f>
        <v>0</v>
      </c>
    </row>
    <row r="79" spans="2:3">
      <c r="B79">
        <f>SUMIFS(allorders!O:O,allorders!L:L,'数据处理(仓储使用)'!$A79,allorders!$AG:$AG,"&lt;="&amp;日期!$B$2,allorders!$AG:$AG,"&gt;="&amp;日期!$B$1)</f>
        <v>0</v>
      </c>
      <c r="C79">
        <f>B79/(日期!$B$2-日期!$B$1+1)</f>
        <v>0</v>
      </c>
    </row>
    <row r="80" spans="2:3">
      <c r="B80">
        <f>SUMIFS(allorders!O:O,allorders!L:L,'数据处理(仓储使用)'!$A80,allorders!$AG:$AG,"&lt;="&amp;日期!$B$2,allorders!$AG:$AG,"&gt;="&amp;日期!$B$1)</f>
        <v>0</v>
      </c>
      <c r="C80">
        <f>B80/(日期!$B$2-日期!$B$1+1)</f>
        <v>0</v>
      </c>
    </row>
    <row r="81" spans="2:3">
      <c r="B81">
        <f>SUMIFS(allorders!O:O,allorders!L:L,'数据处理(仓储使用)'!$A81,allorders!$AG:$AG,"&lt;="&amp;日期!$B$2,allorders!$AG:$AG,"&gt;="&amp;日期!$B$1)</f>
        <v>0</v>
      </c>
      <c r="C81">
        <f>B81/(日期!$B$2-日期!$B$1+1)</f>
        <v>0</v>
      </c>
    </row>
    <row r="82" spans="2:3">
      <c r="B82">
        <f>SUMIFS(allorders!O:O,allorders!L:L,'数据处理(仓储使用)'!$A82,allorders!$AG:$AG,"&lt;="&amp;日期!$B$2,allorders!$AG:$AG,"&gt;="&amp;日期!$B$1)</f>
        <v>0</v>
      </c>
      <c r="C82">
        <f>B82/(日期!$B$2-日期!$B$1+1)</f>
        <v>0</v>
      </c>
    </row>
    <row r="83" spans="2:3">
      <c r="B83">
        <f>SUMIFS(allorders!O:O,allorders!L:L,'数据处理(仓储使用)'!$A83,allorders!$AG:$AG,"&lt;="&amp;日期!$B$2,allorders!$AG:$AG,"&gt;="&amp;日期!$B$1)</f>
        <v>0</v>
      </c>
      <c r="C83">
        <f>B83/(日期!$B$2-日期!$B$1+1)</f>
        <v>0</v>
      </c>
    </row>
    <row r="84" spans="2:3">
      <c r="B84">
        <f>SUMIFS(allorders!O:O,allorders!L:L,'数据处理(仓储使用)'!$A84,allorders!$AG:$AG,"&lt;="&amp;日期!$B$2,allorders!$AG:$AG,"&gt;="&amp;日期!$B$1)</f>
        <v>0</v>
      </c>
      <c r="C84">
        <f>B84/(日期!$B$2-日期!$B$1+1)</f>
        <v>0</v>
      </c>
    </row>
    <row r="85" spans="2:3">
      <c r="B85">
        <f>SUMIFS(allorders!O:O,allorders!L:L,'数据处理(仓储使用)'!$A85,allorders!$AG:$AG,"&lt;="&amp;日期!$B$2,allorders!$AG:$AG,"&gt;="&amp;日期!$B$1)</f>
        <v>0</v>
      </c>
      <c r="C85">
        <f>B85/(日期!$B$2-日期!$B$1+1)</f>
        <v>0</v>
      </c>
    </row>
    <row r="86" spans="2:3">
      <c r="B86">
        <f>SUMIFS(allorders!O:O,allorders!L:L,'数据处理(仓储使用)'!$A86,allorders!$AG:$AG,"&lt;="&amp;日期!$B$2,allorders!$AG:$AG,"&gt;="&amp;日期!$B$1)</f>
        <v>0</v>
      </c>
      <c r="C86">
        <f>B86/(日期!$B$2-日期!$B$1+1)</f>
        <v>0</v>
      </c>
    </row>
    <row r="87" spans="2:3">
      <c r="B87">
        <f>SUMIFS(allorders!O:O,allorders!L:L,'数据处理(仓储使用)'!$A87,allorders!$AG:$AG,"&lt;="&amp;日期!$B$2,allorders!$AG:$AG,"&gt;="&amp;日期!$B$1)</f>
        <v>0</v>
      </c>
      <c r="C87">
        <f>B87/(日期!$B$2-日期!$B$1+1)</f>
        <v>0</v>
      </c>
    </row>
    <row r="88" spans="2:3">
      <c r="B88">
        <f>SUMIFS(allorders!O:O,allorders!L:L,'数据处理(仓储使用)'!$A88,allorders!$AG:$AG,"&lt;="&amp;日期!$B$2,allorders!$AG:$AG,"&gt;="&amp;日期!$B$1)</f>
        <v>0</v>
      </c>
      <c r="C88">
        <f>B88/(日期!$B$2-日期!$B$1+1)</f>
        <v>0</v>
      </c>
    </row>
    <row r="89" spans="2:3">
      <c r="B89">
        <f>SUMIFS(allorders!O:O,allorders!L:L,'数据处理(仓储使用)'!$A89,allorders!$AG:$AG,"&lt;="&amp;日期!$B$2,allorders!$AG:$AG,"&gt;="&amp;日期!$B$1)</f>
        <v>0</v>
      </c>
      <c r="C89">
        <f>B89/(日期!$B$2-日期!$B$1+1)</f>
        <v>0</v>
      </c>
    </row>
    <row r="90" spans="2:3">
      <c r="B90">
        <f>SUMIFS(allorders!O:O,allorders!L:L,'数据处理(仓储使用)'!$A90,allorders!$AG:$AG,"&lt;="&amp;日期!$B$2,allorders!$AG:$AG,"&gt;="&amp;日期!$B$1)</f>
        <v>0</v>
      </c>
      <c r="C90">
        <f>B90/(日期!$B$2-日期!$B$1+1)</f>
        <v>0</v>
      </c>
    </row>
    <row r="91" spans="2:3">
      <c r="B91">
        <f>SUMIFS(allorders!O:O,allorders!L:L,'数据处理(仓储使用)'!$A91,allorders!$AG:$AG,"&lt;="&amp;日期!$B$2,allorders!$AG:$AG,"&gt;="&amp;日期!$B$1)</f>
        <v>0</v>
      </c>
      <c r="C91">
        <f>B91/(日期!$B$2-日期!$B$1+1)</f>
        <v>0</v>
      </c>
    </row>
    <row r="92" spans="2:3">
      <c r="B92">
        <f>SUMIFS(allorders!O:O,allorders!L:L,'数据处理(仓储使用)'!$A92,allorders!$AG:$AG,"&lt;="&amp;日期!$B$2,allorders!$AG:$AG,"&gt;="&amp;日期!$B$1)</f>
        <v>0</v>
      </c>
      <c r="C92">
        <f>B92/(日期!$B$2-日期!$B$1+1)</f>
        <v>0</v>
      </c>
    </row>
    <row r="93" spans="2:3">
      <c r="B93">
        <f>SUMIFS(allorders!O:O,allorders!L:L,'数据处理(仓储使用)'!$A93,allorders!$AG:$AG,"&lt;="&amp;日期!$B$2,allorders!$AG:$AG,"&gt;="&amp;日期!$B$1)</f>
        <v>0</v>
      </c>
      <c r="C93">
        <f>B93/(日期!$B$2-日期!$B$1+1)</f>
        <v>0</v>
      </c>
    </row>
    <row r="94" spans="2:3">
      <c r="B94">
        <f>SUMIFS(allorders!O:O,allorders!L:L,'数据处理(仓储使用)'!$A94,allorders!$AG:$AG,"&lt;="&amp;日期!$B$2,allorders!$AG:$AG,"&gt;="&amp;日期!$B$1)</f>
        <v>0</v>
      </c>
      <c r="C94">
        <f>B94/(日期!$B$2-日期!$B$1+1)</f>
        <v>0</v>
      </c>
    </row>
    <row r="95" spans="2:3">
      <c r="B95">
        <f>SUMIFS(allorders!O:O,allorders!L:L,'数据处理(仓储使用)'!$A95,allorders!$AG:$AG,"&lt;="&amp;日期!$B$2,allorders!$AG:$AG,"&gt;="&amp;日期!$B$1)</f>
        <v>0</v>
      </c>
      <c r="C95">
        <f>B95/(日期!$B$2-日期!$B$1+1)</f>
        <v>0</v>
      </c>
    </row>
    <row r="96" spans="2:3">
      <c r="B96">
        <f>SUMIFS(allorders!O:O,allorders!L:L,'数据处理(仓储使用)'!$A96,allorders!$AG:$AG,"&lt;="&amp;日期!$B$2,allorders!$AG:$AG,"&gt;="&amp;日期!$B$1)</f>
        <v>0</v>
      </c>
      <c r="C96">
        <f>B96/(日期!$B$2-日期!$B$1+1)</f>
        <v>0</v>
      </c>
    </row>
    <row r="97" spans="2:3">
      <c r="B97">
        <f>SUMIFS(allorders!O:O,allorders!L:L,'数据处理(仓储使用)'!$A97,allorders!$AG:$AG,"&lt;="&amp;日期!$B$2,allorders!$AG:$AG,"&gt;="&amp;日期!$B$1)</f>
        <v>0</v>
      </c>
      <c r="C97">
        <f>B97/(日期!$B$2-日期!$B$1+1)</f>
        <v>0</v>
      </c>
    </row>
    <row r="98" spans="2:3">
      <c r="B98">
        <f>SUMIFS(allorders!O:O,allorders!L:L,'数据处理(仓储使用)'!$A98,allorders!$AG:$AG,"&lt;="&amp;日期!$B$2,allorders!$AG:$AG,"&gt;="&amp;日期!$B$1)</f>
        <v>0</v>
      </c>
      <c r="C98">
        <f>B98/(日期!$B$2-日期!$B$1+1)</f>
        <v>0</v>
      </c>
    </row>
    <row r="99" spans="2:3">
      <c r="B99">
        <f>SUMIFS(allorders!O:O,allorders!L:L,'数据处理(仓储使用)'!$A99,allorders!$AG:$AG,"&lt;="&amp;日期!$B$2,allorders!$AG:$AG,"&gt;="&amp;日期!$B$1)</f>
        <v>0</v>
      </c>
      <c r="C99">
        <f>B99/(日期!$B$2-日期!$B$1+1)</f>
        <v>0</v>
      </c>
    </row>
    <row r="100" spans="2:3">
      <c r="B100">
        <f>SUMIFS(allorders!O:O,allorders!L:L,'数据处理(仓储使用)'!$A100,allorders!$AG:$AG,"&lt;="&amp;日期!$B$2,allorders!$AG:$AG,"&gt;="&amp;日期!$B$1)</f>
        <v>0</v>
      </c>
      <c r="C100">
        <f>B100/(日期!$B$2-日期!$B$1+1)</f>
        <v>0</v>
      </c>
    </row>
    <row r="101" spans="2:3">
      <c r="B101">
        <f>SUMIFS(allorders!O:O,allorders!L:L,'数据处理(仓储使用)'!$A101,allorders!$AG:$AG,"&lt;="&amp;日期!$B$2,allorders!$AG:$AG,"&gt;="&amp;日期!$B$1)</f>
        <v>0</v>
      </c>
      <c r="C101">
        <f>B101/(日期!$B$2-日期!$B$1+1)</f>
        <v>0</v>
      </c>
    </row>
    <row r="102" spans="2:3">
      <c r="B102">
        <f>SUMIFS(allorders!O:O,allorders!L:L,'数据处理(仓储使用)'!$A102,allorders!$AG:$AG,"&lt;="&amp;日期!$B$2,allorders!$AG:$AG,"&gt;="&amp;日期!$B$1)</f>
        <v>0</v>
      </c>
      <c r="C102">
        <f>B102/(日期!$B$2-日期!$B$1+1)</f>
        <v>0</v>
      </c>
    </row>
    <row r="103" spans="2:3">
      <c r="B103">
        <f>SUMIFS(allorders!O:O,allorders!L:L,'数据处理(仓储使用)'!$A103,allorders!$AG:$AG,"&lt;="&amp;日期!$B$2,allorders!$AG:$AG,"&gt;="&amp;日期!$B$1)</f>
        <v>0</v>
      </c>
      <c r="C103">
        <f>B103/(日期!$B$2-日期!$B$1+1)</f>
        <v>0</v>
      </c>
    </row>
    <row r="104" spans="2:3">
      <c r="B104">
        <f>SUMIFS(allorders!O:O,allorders!L:L,'数据处理(仓储使用)'!$A104,allorders!$AG:$AG,"&lt;="&amp;日期!$B$2,allorders!$AG:$AG,"&gt;="&amp;日期!$B$1)</f>
        <v>0</v>
      </c>
      <c r="C104">
        <f>B104/(日期!$B$2-日期!$B$1+1)</f>
        <v>0</v>
      </c>
    </row>
    <row r="105" spans="2:3">
      <c r="B105">
        <f>SUMIFS(allorders!O:O,allorders!L:L,'数据处理(仓储使用)'!$A105,allorders!$AG:$AG,"&lt;="&amp;日期!$B$2,allorders!$AG:$AG,"&gt;="&amp;日期!$B$1)</f>
        <v>0</v>
      </c>
      <c r="C105">
        <f>B105/(日期!$B$2-日期!$B$1+1)</f>
        <v>0</v>
      </c>
    </row>
    <row r="106" spans="2:3">
      <c r="B106">
        <f>SUMIFS(allorders!O:O,allorders!L:L,'数据处理(仓储使用)'!$A106,allorders!$AG:$AG,"&lt;="&amp;日期!$B$2,allorders!$AG:$AG,"&gt;="&amp;日期!$B$1)</f>
        <v>0</v>
      </c>
      <c r="C106">
        <f>B106/(日期!$B$2-日期!$B$1+1)</f>
        <v>0</v>
      </c>
    </row>
    <row r="107" spans="2:3">
      <c r="B107">
        <f>SUMIFS(allorders!O:O,allorders!L:L,'数据处理(仓储使用)'!$A107,allorders!$AG:$AG,"&lt;="&amp;日期!$B$2,allorders!$AG:$AG,"&gt;="&amp;日期!$B$1)</f>
        <v>0</v>
      </c>
      <c r="C107">
        <f>B107/(日期!$B$2-日期!$B$1+1)</f>
        <v>0</v>
      </c>
    </row>
    <row r="108" spans="2:3">
      <c r="B108">
        <f>SUMIFS(allorders!O:O,allorders!L:L,'数据处理(仓储使用)'!$A108,allorders!$AG:$AG,"&lt;="&amp;日期!$B$2,allorders!$AG:$AG,"&gt;="&amp;日期!$B$1)</f>
        <v>0</v>
      </c>
      <c r="C108">
        <f>B108/(日期!$B$2-日期!$B$1+1)</f>
        <v>0</v>
      </c>
    </row>
    <row r="109" spans="2:3">
      <c r="B109">
        <f>SUMIFS(allorders!O:O,allorders!L:L,'数据处理(仓储使用)'!$A109,allorders!$AG:$AG,"&lt;="&amp;日期!$B$2,allorders!$AG:$AG,"&gt;="&amp;日期!$B$1)</f>
        <v>0</v>
      </c>
      <c r="C109">
        <f>B109/(日期!$B$2-日期!$B$1+1)</f>
        <v>0</v>
      </c>
    </row>
    <row r="110" spans="2:3">
      <c r="B110">
        <f>SUMIFS(allorders!O:O,allorders!L:L,'数据处理(仓储使用)'!$A110,allorders!$AG:$AG,"&lt;="&amp;日期!$B$2,allorders!$AG:$AG,"&gt;="&amp;日期!$B$1)</f>
        <v>0</v>
      </c>
      <c r="C110">
        <f>B110/(日期!$B$2-日期!$B$1+1)</f>
        <v>0</v>
      </c>
    </row>
    <row r="111" spans="2:3">
      <c r="B111">
        <f>SUMIFS(allorders!O:O,allorders!L:L,'数据处理(仓储使用)'!$A111,allorders!$AG:$AG,"&lt;="&amp;日期!$B$2,allorders!$AG:$AG,"&gt;="&amp;日期!$B$1)</f>
        <v>0</v>
      </c>
      <c r="C111">
        <f>B111/(日期!$B$2-日期!$B$1+1)</f>
        <v>0</v>
      </c>
    </row>
    <row r="112" spans="2:3">
      <c r="B112">
        <f>SUMIFS(allorders!O:O,allorders!L:L,'数据处理(仓储使用)'!$A112,allorders!$AG:$AG,"&lt;="&amp;日期!$B$2,allorders!$AG:$AG,"&gt;="&amp;日期!$B$1)</f>
        <v>0</v>
      </c>
      <c r="C112">
        <f>B112/(日期!$B$2-日期!$B$1+1)</f>
        <v>0</v>
      </c>
    </row>
    <row r="113" spans="2:3">
      <c r="B113">
        <f>SUMIFS(allorders!O:O,allorders!L:L,'数据处理(仓储使用)'!$A113,allorders!$AG:$AG,"&lt;="&amp;日期!$B$2,allorders!$AG:$AG,"&gt;="&amp;日期!$B$1)</f>
        <v>0</v>
      </c>
      <c r="C113">
        <f>B113/(日期!$B$2-日期!$B$1+1)</f>
        <v>0</v>
      </c>
    </row>
    <row r="114" spans="2:3">
      <c r="B114">
        <f>SUMIFS(allorders!O:O,allorders!L:L,'数据处理(仓储使用)'!$A114,allorders!$AG:$AG,"&lt;="&amp;日期!$B$2,allorders!$AG:$AG,"&gt;="&amp;日期!$B$1)</f>
        <v>0</v>
      </c>
      <c r="C114">
        <f>B114/(日期!$B$2-日期!$B$1+1)</f>
        <v>0</v>
      </c>
    </row>
    <row r="115" spans="2:3">
      <c r="B115">
        <f>SUMIFS(allorders!O:O,allorders!L:L,'数据处理(仓储使用)'!$A115,allorders!$AG:$AG,"&lt;="&amp;日期!$B$2,allorders!$AG:$AG,"&gt;="&amp;日期!$B$1)</f>
        <v>0</v>
      </c>
      <c r="C115">
        <f>B115/(日期!$B$2-日期!$B$1+1)</f>
        <v>0</v>
      </c>
    </row>
    <row r="116" spans="2:3">
      <c r="B116">
        <f>SUMIFS(allorders!O:O,allorders!L:L,'数据处理(仓储使用)'!$A116,allorders!$AG:$AG,"&lt;="&amp;日期!$B$2,allorders!$AG:$AG,"&gt;="&amp;日期!$B$1)</f>
        <v>0</v>
      </c>
      <c r="C116">
        <f>B116/(日期!$B$2-日期!$B$1+1)</f>
        <v>0</v>
      </c>
    </row>
    <row r="117" spans="2:3">
      <c r="B117">
        <f>SUMIFS(allorders!O:O,allorders!L:L,'数据处理(仓储使用)'!$A117,allorders!$AG:$AG,"&lt;="&amp;日期!$B$2,allorders!$AG:$AG,"&gt;="&amp;日期!$B$1)</f>
        <v>0</v>
      </c>
      <c r="C117">
        <f>B117/(日期!$B$2-日期!$B$1+1)</f>
        <v>0</v>
      </c>
    </row>
    <row r="118" spans="2:3">
      <c r="B118">
        <f>SUMIFS(allorders!O:O,allorders!L:L,'数据处理(仓储使用)'!$A118,allorders!$AG:$AG,"&lt;="&amp;日期!$B$2,allorders!$AG:$AG,"&gt;="&amp;日期!$B$1)</f>
        <v>0</v>
      </c>
      <c r="C118">
        <f>B118/(日期!$B$2-日期!$B$1+1)</f>
        <v>0</v>
      </c>
    </row>
    <row r="119" spans="2:3">
      <c r="B119">
        <f>SUMIFS(allorders!O:O,allorders!L:L,'数据处理(仓储使用)'!$A119,allorders!$AG:$AG,"&lt;="&amp;日期!$B$2,allorders!$AG:$AG,"&gt;="&amp;日期!$B$1)</f>
        <v>0</v>
      </c>
      <c r="C119">
        <f>B119/(日期!$B$2-日期!$B$1+1)</f>
        <v>0</v>
      </c>
    </row>
    <row r="120" spans="2:3">
      <c r="B120">
        <f>SUMIFS(allorders!O:O,allorders!L:L,'数据处理(仓储使用)'!$A120,allorders!$AG:$AG,"&lt;="&amp;日期!$B$2,allorders!$AG:$AG,"&gt;="&amp;日期!$B$1)</f>
        <v>0</v>
      </c>
      <c r="C120">
        <f>B120/(日期!$B$2-日期!$B$1+1)</f>
        <v>0</v>
      </c>
    </row>
    <row r="121" spans="2:3">
      <c r="B121">
        <f>SUMIFS(allorders!O:O,allorders!L:L,'数据处理(仓储使用)'!$A121,allorders!$AG:$AG,"&lt;="&amp;日期!$B$2,allorders!$AG:$AG,"&gt;="&amp;日期!$B$1)</f>
        <v>0</v>
      </c>
      <c r="C121">
        <f>B121/(日期!$B$2-日期!$B$1+1)</f>
        <v>0</v>
      </c>
    </row>
    <row r="122" spans="2:3">
      <c r="B122">
        <f>SUMIFS(allorders!O:O,allorders!L:L,'数据处理(仓储使用)'!$A122,allorders!$AG:$AG,"&lt;="&amp;日期!$B$2,allorders!$AG:$AG,"&gt;="&amp;日期!$B$1)</f>
        <v>0</v>
      </c>
      <c r="C122">
        <f>B122/(日期!$B$2-日期!$B$1+1)</f>
        <v>0</v>
      </c>
    </row>
    <row r="123" spans="2:3">
      <c r="B123">
        <f>SUMIFS(allorders!O:O,allorders!L:L,'数据处理(仓储使用)'!$A123,allorders!$AG:$AG,"&lt;="&amp;日期!$B$2,allorders!$AG:$AG,"&gt;="&amp;日期!$B$1)</f>
        <v>0</v>
      </c>
      <c r="C123">
        <f>B123/(日期!$B$2-日期!$B$1+1)</f>
        <v>0</v>
      </c>
    </row>
    <row r="124" spans="2:3">
      <c r="B124">
        <f>SUMIFS(allorders!O:O,allorders!L:L,'数据处理(仓储使用)'!$A124,allorders!$AG:$AG,"&lt;="&amp;日期!$B$2,allorders!$AG:$AG,"&gt;="&amp;日期!$B$1)</f>
        <v>0</v>
      </c>
      <c r="C124">
        <f>B124/(日期!$B$2-日期!$B$1+1)</f>
        <v>0</v>
      </c>
    </row>
    <row r="125" spans="2:3">
      <c r="B125">
        <f>SUMIFS(allorders!O:O,allorders!L:L,'数据处理(仓储使用)'!$A125,allorders!$AG:$AG,"&lt;="&amp;日期!$B$2,allorders!$AG:$AG,"&gt;="&amp;日期!$B$1)</f>
        <v>0</v>
      </c>
      <c r="C125">
        <f>B125/(日期!$B$2-日期!$B$1+1)</f>
        <v>0</v>
      </c>
    </row>
    <row r="126" spans="2:3">
      <c r="B126">
        <f>SUMIFS(allorders!O:O,allorders!L:L,'数据处理(仓储使用)'!$A126,allorders!$AG:$AG,"&lt;="&amp;日期!$B$2,allorders!$AG:$AG,"&gt;="&amp;日期!$B$1)</f>
        <v>0</v>
      </c>
      <c r="C126">
        <f>B126/(日期!$B$2-日期!$B$1+1)</f>
        <v>0</v>
      </c>
    </row>
    <row r="127" spans="2:3">
      <c r="B127">
        <f>SUMIFS(allorders!O:O,allorders!L:L,'数据处理(仓储使用)'!$A127,allorders!$AG:$AG,"&lt;="&amp;日期!$B$2,allorders!$AG:$AG,"&gt;="&amp;日期!$B$1)</f>
        <v>0</v>
      </c>
      <c r="C127">
        <f>B127/(日期!$B$2-日期!$B$1+1)</f>
        <v>0</v>
      </c>
    </row>
    <row r="128" spans="2:3">
      <c r="B128">
        <f>SUMIFS(allorders!O:O,allorders!L:L,'数据处理(仓储使用)'!$A128,allorders!$AG:$AG,"&lt;="&amp;日期!$B$2,allorders!$AG:$AG,"&gt;="&amp;日期!$B$1)</f>
        <v>0</v>
      </c>
      <c r="C128">
        <f>B128/(日期!$B$2-日期!$B$1+1)</f>
        <v>0</v>
      </c>
    </row>
    <row r="129" spans="2:3">
      <c r="B129">
        <f>SUMIFS(allorders!O:O,allorders!L:L,'数据处理(仓储使用)'!$A129,allorders!$AG:$AG,"&lt;="&amp;日期!$B$2,allorders!$AG:$AG,"&gt;="&amp;日期!$B$1)</f>
        <v>0</v>
      </c>
      <c r="C129">
        <f>B129/(日期!$B$2-日期!$B$1+1)</f>
        <v>0</v>
      </c>
    </row>
    <row r="130" spans="2:3">
      <c r="B130">
        <f>SUMIFS(allorders!O:O,allorders!L:L,'数据处理(仓储使用)'!$A130,allorders!$AG:$AG,"&lt;="&amp;日期!$B$2,allorders!$AG:$AG,"&gt;="&amp;日期!$B$1)</f>
        <v>0</v>
      </c>
      <c r="C130">
        <f>B130/(日期!$B$2-日期!$B$1+1)</f>
        <v>0</v>
      </c>
    </row>
    <row r="131" spans="2:3">
      <c r="B131">
        <f>SUMIFS(allorders!O:O,allorders!L:L,'数据处理(仓储使用)'!$A131,allorders!$AG:$AG,"&lt;="&amp;日期!$B$2,allorders!$AG:$AG,"&gt;="&amp;日期!$B$1)</f>
        <v>0</v>
      </c>
      <c r="C131">
        <f>B131/(日期!$B$2-日期!$B$1+1)</f>
        <v>0</v>
      </c>
    </row>
    <row r="132" spans="2:3">
      <c r="B132">
        <f>SUMIFS(allorders!O:O,allorders!L:L,'数据处理(仓储使用)'!$A132,allorders!$AG:$AG,"&lt;="&amp;日期!$B$2,allorders!$AG:$AG,"&gt;="&amp;日期!$B$1)</f>
        <v>0</v>
      </c>
      <c r="C132">
        <f>B132/(日期!$B$2-日期!$B$1+1)</f>
        <v>0</v>
      </c>
    </row>
    <row r="133" spans="2:3">
      <c r="B133">
        <f>SUMIFS(allorders!O:O,allorders!L:L,'数据处理(仓储使用)'!$A133,allorders!$AG:$AG,"&lt;="&amp;日期!$B$2,allorders!$AG:$AG,"&gt;="&amp;日期!$B$1)</f>
        <v>0</v>
      </c>
      <c r="C133">
        <f>B133/(日期!$B$2-日期!$B$1+1)</f>
        <v>0</v>
      </c>
    </row>
    <row r="134" spans="2:3">
      <c r="B134">
        <f>SUMIFS(allorders!O:O,allorders!L:L,'数据处理(仓储使用)'!$A134,allorders!$AG:$AG,"&lt;="&amp;日期!$B$2,allorders!$AG:$AG,"&gt;="&amp;日期!$B$1)</f>
        <v>0</v>
      </c>
      <c r="C134">
        <f>B134/(日期!$B$2-日期!$B$1+1)</f>
        <v>0</v>
      </c>
    </row>
    <row r="135" spans="2:3">
      <c r="B135">
        <f>SUMIFS(allorders!O:O,allorders!L:L,'数据处理(仓储使用)'!$A135,allorders!$AG:$AG,"&lt;="&amp;日期!$B$2,allorders!$AG:$AG,"&gt;="&amp;日期!$B$1)</f>
        <v>0</v>
      </c>
      <c r="C135">
        <f>B135/(日期!$B$2-日期!$B$1+1)</f>
        <v>0</v>
      </c>
    </row>
    <row r="136" spans="2:3">
      <c r="B136">
        <f>SUMIFS(allorders!O:O,allorders!L:L,'数据处理(仓储使用)'!$A136,allorders!$AG:$AG,"&lt;="&amp;日期!$B$2,allorders!$AG:$AG,"&gt;="&amp;日期!$B$1)</f>
        <v>0</v>
      </c>
      <c r="C136">
        <f>B136/(日期!$B$2-日期!$B$1+1)</f>
        <v>0</v>
      </c>
    </row>
    <row r="137" spans="2:3">
      <c r="B137">
        <f>SUMIFS(allorders!O:O,allorders!L:L,'数据处理(仓储使用)'!$A137,allorders!$AG:$AG,"&lt;="&amp;日期!$B$2,allorders!$AG:$AG,"&gt;="&amp;日期!$B$1)</f>
        <v>0</v>
      </c>
      <c r="C137">
        <f>B137/(日期!$B$2-日期!$B$1+1)</f>
        <v>0</v>
      </c>
    </row>
    <row r="138" spans="2:3">
      <c r="B138">
        <f>SUMIFS(allorders!O:O,allorders!L:L,'数据处理(仓储使用)'!$A138,allorders!$AG:$AG,"&lt;="&amp;日期!$B$2,allorders!$AG:$AG,"&gt;="&amp;日期!$B$1)</f>
        <v>0</v>
      </c>
      <c r="C138">
        <f>B138/(日期!$B$2-日期!$B$1+1)</f>
        <v>0</v>
      </c>
    </row>
    <row r="139" spans="2:3">
      <c r="B139">
        <f>SUMIFS(allorders!O:O,allorders!L:L,'数据处理(仓储使用)'!$A139,allorders!$AG:$AG,"&lt;="&amp;日期!$B$2,allorders!$AG:$AG,"&gt;="&amp;日期!$B$1)</f>
        <v>0</v>
      </c>
      <c r="C139">
        <f>B139/(日期!$B$2-日期!$B$1+1)</f>
        <v>0</v>
      </c>
    </row>
    <row r="140" spans="2:3">
      <c r="B140">
        <f>SUMIFS(allorders!O:O,allorders!L:L,'数据处理(仓储使用)'!$A140,allorders!$AG:$AG,"&lt;="&amp;日期!$B$2,allorders!$AG:$AG,"&gt;="&amp;日期!$B$1)</f>
        <v>0</v>
      </c>
      <c r="C140">
        <f>B140/(日期!$B$2-日期!$B$1+1)</f>
        <v>0</v>
      </c>
    </row>
    <row r="141" spans="2:3">
      <c r="B141">
        <f>SUMIFS(allorders!O:O,allorders!L:L,'数据处理(仓储使用)'!$A141,allorders!$AG:$AG,"&lt;="&amp;日期!$B$2,allorders!$AG:$AG,"&gt;="&amp;日期!$B$1)</f>
        <v>0</v>
      </c>
      <c r="C141">
        <f>B141/(日期!$B$2-日期!$B$1+1)</f>
        <v>0</v>
      </c>
    </row>
    <row r="142" spans="2:3">
      <c r="B142">
        <f>SUMIFS(allorders!O:O,allorders!L:L,'数据处理(仓储使用)'!$A142,allorders!$AG:$AG,"&lt;="&amp;日期!$B$2,allorders!$AG:$AG,"&gt;="&amp;日期!$B$1)</f>
        <v>0</v>
      </c>
      <c r="C142">
        <f>B142/(日期!$B$2-日期!$B$1+1)</f>
        <v>0</v>
      </c>
    </row>
    <row r="143" spans="2:3">
      <c r="B143">
        <f>SUMIFS(allorders!O:O,allorders!L:L,'数据处理(仓储使用)'!$A143,allorders!$AG:$AG,"&lt;="&amp;日期!$B$2,allorders!$AG:$AG,"&gt;="&amp;日期!$B$1)</f>
        <v>0</v>
      </c>
      <c r="C143">
        <f>B143/(日期!$B$2-日期!$B$1+1)</f>
        <v>0</v>
      </c>
    </row>
    <row r="144" spans="2:3">
      <c r="B144">
        <f>SUMIFS(allorders!O:O,allorders!L:L,'数据处理(仓储使用)'!$A144,allorders!$AG:$AG,"&lt;="&amp;日期!$B$2,allorders!$AG:$AG,"&gt;="&amp;日期!$B$1)</f>
        <v>0</v>
      </c>
      <c r="C144">
        <f>B144/(日期!$B$2-日期!$B$1+1)</f>
        <v>0</v>
      </c>
    </row>
    <row r="145" spans="2:3">
      <c r="B145">
        <f>SUMIFS(allorders!O:O,allorders!L:L,'数据处理(仓储使用)'!$A145,allorders!$AG:$AG,"&lt;="&amp;日期!$B$2,allorders!$AG:$AG,"&gt;="&amp;日期!$B$1)</f>
        <v>0</v>
      </c>
      <c r="C145">
        <f>B145/(日期!$B$2-日期!$B$1+1)</f>
        <v>0</v>
      </c>
    </row>
    <row r="146" spans="2:3">
      <c r="B146">
        <f>SUMIFS(allorders!O:O,allorders!L:L,'数据处理(仓储使用)'!$A146,allorders!$AG:$AG,"&lt;="&amp;日期!$B$2,allorders!$AG:$AG,"&gt;="&amp;日期!$B$1)</f>
        <v>0</v>
      </c>
      <c r="C146">
        <f>B146/(日期!$B$2-日期!$B$1+1)</f>
        <v>0</v>
      </c>
    </row>
    <row r="147" spans="2:3">
      <c r="B147">
        <f>SUMIFS(allorders!O:O,allorders!L:L,'数据处理(仓储使用)'!$A147,allorders!$AG:$AG,"&lt;="&amp;日期!$B$2,allorders!$AG:$AG,"&gt;="&amp;日期!$B$1)</f>
        <v>0</v>
      </c>
      <c r="C147">
        <f>B147/(日期!$B$2-日期!$B$1+1)</f>
        <v>0</v>
      </c>
    </row>
    <row r="148" spans="2:3">
      <c r="B148">
        <f>SUMIFS(allorders!O:O,allorders!L:L,'数据处理(仓储使用)'!$A148,allorders!$AG:$AG,"&lt;="&amp;日期!$B$2,allorders!$AG:$AG,"&gt;="&amp;日期!$B$1)</f>
        <v>0</v>
      </c>
      <c r="C148">
        <f>B148/(日期!$B$2-日期!$B$1+1)</f>
        <v>0</v>
      </c>
    </row>
    <row r="149" spans="2:3">
      <c r="B149">
        <f>SUMIFS(allorders!O:O,allorders!L:L,'数据处理(仓储使用)'!$A149,allorders!$AG:$AG,"&lt;="&amp;日期!$B$2,allorders!$AG:$AG,"&gt;="&amp;日期!$B$1)</f>
        <v>0</v>
      </c>
      <c r="C149">
        <f>B149/(日期!$B$2-日期!$B$1+1)</f>
        <v>0</v>
      </c>
    </row>
    <row r="150" spans="2:3">
      <c r="B150">
        <f>SUMIFS(allorders!O:O,allorders!L:L,'数据处理(仓储使用)'!$A150,allorders!$AG:$AG,"&lt;="&amp;日期!$B$2,allorders!$AG:$AG,"&gt;="&amp;日期!$B$1)</f>
        <v>0</v>
      </c>
      <c r="C150">
        <f>B150/(日期!$B$2-日期!$B$1+1)</f>
        <v>0</v>
      </c>
    </row>
    <row r="151" spans="2:3">
      <c r="B151">
        <f>SUMIFS(allorders!O:O,allorders!L:L,'数据处理(仓储使用)'!$A151,allorders!$AG:$AG,"&lt;="&amp;日期!$B$2,allorders!$AG:$AG,"&gt;="&amp;日期!$B$1)</f>
        <v>0</v>
      </c>
      <c r="C151">
        <f>B151/(日期!$B$2-日期!$B$1+1)</f>
        <v>0</v>
      </c>
    </row>
    <row r="152" spans="2:3">
      <c r="B152">
        <f>SUMIFS(allorders!O:O,allorders!L:L,'数据处理(仓储使用)'!$A152,allorders!$AG:$AG,"&lt;="&amp;日期!$B$2,allorders!$AG:$AG,"&gt;="&amp;日期!$B$1)</f>
        <v>0</v>
      </c>
      <c r="C152">
        <f>B152/(日期!$B$2-日期!$B$1+1)</f>
        <v>0</v>
      </c>
    </row>
    <row r="153" spans="2:3">
      <c r="B153">
        <f>SUMIFS(allorders!O:O,allorders!L:L,'数据处理(仓储使用)'!$A153,allorders!$AG:$AG,"&lt;="&amp;日期!$B$2,allorders!$AG:$AG,"&gt;="&amp;日期!$B$1)</f>
        <v>0</v>
      </c>
      <c r="C153">
        <f>B153/(日期!$B$2-日期!$B$1+1)</f>
        <v>0</v>
      </c>
    </row>
    <row r="154" spans="2:3">
      <c r="B154">
        <f>SUMIFS(allorders!O:O,allorders!L:L,'数据处理(仓储使用)'!$A154,allorders!$AG:$AG,"&lt;="&amp;日期!$B$2,allorders!$AG:$AG,"&gt;="&amp;日期!$B$1)</f>
        <v>0</v>
      </c>
      <c r="C154">
        <f>B154/(日期!$B$2-日期!$B$1+1)</f>
        <v>0</v>
      </c>
    </row>
    <row r="155" spans="2:3">
      <c r="B155">
        <f>SUMIFS(allorders!O:O,allorders!L:L,'数据处理(仓储使用)'!$A155,allorders!$AG:$AG,"&lt;="&amp;日期!$B$2,allorders!$AG:$AG,"&gt;="&amp;日期!$B$1)</f>
        <v>0</v>
      </c>
      <c r="C155">
        <f>B155/(日期!$B$2-日期!$B$1+1)</f>
        <v>0</v>
      </c>
    </row>
    <row r="156" spans="2:3">
      <c r="B156">
        <f>SUMIFS(allorders!O:O,allorders!L:L,'数据处理(仓储使用)'!$A156,allorders!$AG:$AG,"&lt;="&amp;日期!$B$2,allorders!$AG:$AG,"&gt;="&amp;日期!$B$1)</f>
        <v>0</v>
      </c>
      <c r="C156">
        <f>B156/(日期!$B$2-日期!$B$1+1)</f>
        <v>0</v>
      </c>
    </row>
    <row r="157" spans="2:3">
      <c r="B157">
        <f>SUMIFS(allorders!O:O,allorders!L:L,'数据处理(仓储使用)'!$A157,allorders!$AG:$AG,"&lt;="&amp;日期!$B$2,allorders!$AG:$AG,"&gt;="&amp;日期!$B$1)</f>
        <v>0</v>
      </c>
      <c r="C157">
        <f>B157/(日期!$B$2-日期!$B$1+1)</f>
        <v>0</v>
      </c>
    </row>
    <row r="158" spans="2:3">
      <c r="B158">
        <f>SUMIFS(allorders!O:O,allorders!L:L,'数据处理(仓储使用)'!$A158,allorders!$AG:$AG,"&lt;="&amp;日期!$B$2,allorders!$AG:$AG,"&gt;="&amp;日期!$B$1)</f>
        <v>0</v>
      </c>
      <c r="C158">
        <f>B158/(日期!$B$2-日期!$B$1+1)</f>
        <v>0</v>
      </c>
    </row>
    <row r="159" spans="2:3">
      <c r="B159">
        <f>SUMIFS(allorders!O:O,allorders!L:L,'数据处理(仓储使用)'!$A159,allorders!$AG:$AG,"&lt;="&amp;日期!$B$2,allorders!$AG:$AG,"&gt;="&amp;日期!$B$1)</f>
        <v>0</v>
      </c>
      <c r="C159">
        <f>B159/(日期!$B$2-日期!$B$1+1)</f>
        <v>0</v>
      </c>
    </row>
    <row r="160" spans="2:3">
      <c r="B160">
        <f>SUMIFS(allorders!O:O,allorders!L:L,'数据处理(仓储使用)'!$A160,allorders!$AG:$AG,"&lt;="&amp;日期!$B$2,allorders!$AG:$AG,"&gt;="&amp;日期!$B$1)</f>
        <v>0</v>
      </c>
      <c r="C160">
        <f>B160/(日期!$B$2-日期!$B$1+1)</f>
        <v>0</v>
      </c>
    </row>
    <row r="161" spans="2:3">
      <c r="B161">
        <f>SUMIFS(allorders!O:O,allorders!L:L,'数据处理(仓储使用)'!$A161,allorders!$AG:$AG,"&lt;="&amp;日期!$B$2,allorders!$AG:$AG,"&gt;="&amp;日期!$B$1)</f>
        <v>0</v>
      </c>
      <c r="C161">
        <f>B161/(日期!$B$2-日期!$B$1+1)</f>
        <v>0</v>
      </c>
    </row>
    <row r="162" spans="2:3">
      <c r="B162">
        <f>SUMIFS(allorders!O:O,allorders!L:L,'数据处理(仓储使用)'!$A162,allorders!$AG:$AG,"&lt;="&amp;日期!$B$2,allorders!$AG:$AG,"&gt;="&amp;日期!$B$1)</f>
        <v>0</v>
      </c>
      <c r="C162">
        <f>B162/(日期!$B$2-日期!$B$1+1)</f>
        <v>0</v>
      </c>
    </row>
    <row r="163" spans="2:3">
      <c r="B163">
        <f>SUMIFS(allorders!O:O,allorders!L:L,'数据处理(仓储使用)'!$A163,allorders!$AG:$AG,"&lt;="&amp;日期!$B$2,allorders!$AG:$AG,"&gt;="&amp;日期!$B$1)</f>
        <v>0</v>
      </c>
      <c r="C163">
        <f>B163/(日期!$B$2-日期!$B$1+1)</f>
        <v>0</v>
      </c>
    </row>
    <row r="164" spans="2:3">
      <c r="B164">
        <f>SUMIFS(allorders!O:O,allorders!L:L,'数据处理(仓储使用)'!$A164,allorders!$AG:$AG,"&lt;="&amp;日期!$B$2,allorders!$AG:$AG,"&gt;="&amp;日期!$B$1)</f>
        <v>0</v>
      </c>
      <c r="C164">
        <f>B164/(日期!$B$2-日期!$B$1+1)</f>
        <v>0</v>
      </c>
    </row>
    <row r="165" spans="2:3">
      <c r="B165">
        <f>SUMIFS(allorders!O:O,allorders!L:L,'数据处理(仓储使用)'!$A165,allorders!$AG:$AG,"&lt;="&amp;日期!$B$2,allorders!$AG:$AG,"&gt;="&amp;日期!$B$1)</f>
        <v>0</v>
      </c>
      <c r="C165">
        <f>B165/(日期!$B$2-日期!$B$1+1)</f>
        <v>0</v>
      </c>
    </row>
    <row r="166" spans="2:3">
      <c r="B166">
        <f>SUMIFS(allorders!O:O,allorders!L:L,'数据处理(仓储使用)'!$A166,allorders!$AG:$AG,"&lt;="&amp;日期!$B$2,allorders!$AG:$AG,"&gt;="&amp;日期!$B$1)</f>
        <v>0</v>
      </c>
      <c r="C166">
        <f>B166/(日期!$B$2-日期!$B$1+1)</f>
        <v>0</v>
      </c>
    </row>
    <row r="167" spans="2:3">
      <c r="B167">
        <f>SUMIFS(allorders!O:O,allorders!L:L,'数据处理(仓储使用)'!$A167,allorders!$AG:$AG,"&lt;="&amp;日期!$B$2,allorders!$AG:$AG,"&gt;="&amp;日期!$B$1)</f>
        <v>0</v>
      </c>
      <c r="C167">
        <f>B167/(日期!$B$2-日期!$B$1+1)</f>
        <v>0</v>
      </c>
    </row>
    <row r="168" spans="2:3">
      <c r="B168">
        <f>SUMIFS(allorders!O:O,allorders!L:L,'数据处理(仓储使用)'!$A168,allorders!$AG:$AG,"&lt;="&amp;日期!$B$2,allorders!$AG:$AG,"&gt;="&amp;日期!$B$1)</f>
        <v>0</v>
      </c>
      <c r="C168">
        <f>B168/(日期!$B$2-日期!$B$1+1)</f>
        <v>0</v>
      </c>
    </row>
    <row r="169" spans="2:3">
      <c r="B169">
        <f>SUMIFS(allorders!O:O,allorders!L:L,'数据处理(仓储使用)'!$A169,allorders!$AG:$AG,"&lt;="&amp;日期!$B$2,allorders!$AG:$AG,"&gt;="&amp;日期!$B$1)</f>
        <v>0</v>
      </c>
      <c r="C169">
        <f>B169/(日期!$B$2-日期!$B$1+1)</f>
        <v>0</v>
      </c>
    </row>
    <row r="170" spans="2:3">
      <c r="B170">
        <f>SUMIFS(allorders!O:O,allorders!L:L,'数据处理(仓储使用)'!$A170,allorders!$AG:$AG,"&lt;="&amp;日期!$B$2,allorders!$AG:$AG,"&gt;="&amp;日期!$B$1)</f>
        <v>0</v>
      </c>
      <c r="C170">
        <f>B170/(日期!$B$2-日期!$B$1+1)</f>
        <v>0</v>
      </c>
    </row>
    <row r="171" spans="2:3">
      <c r="B171">
        <f>SUMIFS(allorders!O:O,allorders!L:L,'数据处理(仓储使用)'!$A171,allorders!$AG:$AG,"&lt;="&amp;日期!$B$2,allorders!$AG:$AG,"&gt;="&amp;日期!$B$1)</f>
        <v>0</v>
      </c>
      <c r="C171">
        <f>B171/(日期!$B$2-日期!$B$1+1)</f>
        <v>0</v>
      </c>
    </row>
    <row r="172" spans="2:3">
      <c r="B172">
        <f>SUMIFS(allorders!O:O,allorders!L:L,'数据处理(仓储使用)'!$A172,allorders!$AG:$AG,"&lt;="&amp;日期!$B$2,allorders!$AG:$AG,"&gt;="&amp;日期!$B$1)</f>
        <v>0</v>
      </c>
      <c r="C172">
        <f>B172/(日期!$B$2-日期!$B$1+1)</f>
        <v>0</v>
      </c>
    </row>
    <row r="173" spans="2:3">
      <c r="B173">
        <f>SUMIFS(allorders!O:O,allorders!L:L,'数据处理(仓储使用)'!$A173,allorders!$AG:$AG,"&lt;="&amp;日期!$B$2,allorders!$AG:$AG,"&gt;="&amp;日期!$B$1)</f>
        <v>0</v>
      </c>
      <c r="C173">
        <f>B173/(日期!$B$2-日期!$B$1+1)</f>
        <v>0</v>
      </c>
    </row>
    <row r="174" spans="2:3">
      <c r="B174">
        <f>SUMIFS(allorders!O:O,allorders!L:L,'数据处理(仓储使用)'!$A174,allorders!$AG:$AG,"&lt;="&amp;日期!$B$2,allorders!$AG:$AG,"&gt;="&amp;日期!$B$1)</f>
        <v>0</v>
      </c>
      <c r="C174">
        <f>B174/(日期!$B$2-日期!$B$1+1)</f>
        <v>0</v>
      </c>
    </row>
    <row r="175" spans="2:3">
      <c r="B175">
        <f>SUMIFS(allorders!O:O,allorders!L:L,'数据处理(仓储使用)'!$A175,allorders!$AG:$AG,"&lt;="&amp;日期!$B$2,allorders!$AG:$AG,"&gt;="&amp;日期!$B$1)</f>
        <v>0</v>
      </c>
      <c r="C175">
        <f>B175/(日期!$B$2-日期!$B$1+1)</f>
        <v>0</v>
      </c>
    </row>
    <row r="176" spans="2:3">
      <c r="B176">
        <f>SUMIFS(allorders!O:O,allorders!L:L,'数据处理(仓储使用)'!$A176,allorders!$AG:$AG,"&lt;="&amp;日期!$B$2,allorders!$AG:$AG,"&gt;="&amp;日期!$B$1)</f>
        <v>0</v>
      </c>
      <c r="C176">
        <f>B176/(日期!$B$2-日期!$B$1+1)</f>
        <v>0</v>
      </c>
    </row>
    <row r="177" spans="2:3">
      <c r="B177">
        <f>SUMIFS(allorders!O:O,allorders!L:L,'数据处理(仓储使用)'!$A177,allorders!$AG:$AG,"&lt;="&amp;日期!$B$2,allorders!$AG:$AG,"&gt;="&amp;日期!$B$1)</f>
        <v>0</v>
      </c>
      <c r="C177">
        <f>B177/(日期!$B$2-日期!$B$1+1)</f>
        <v>0</v>
      </c>
    </row>
    <row r="178" spans="2:3">
      <c r="B178">
        <f>SUMIFS(allorders!O:O,allorders!L:L,'数据处理(仓储使用)'!$A178,allorders!$AG:$AG,"&lt;="&amp;日期!$B$2,allorders!$AG:$AG,"&gt;="&amp;日期!$B$1)</f>
        <v>0</v>
      </c>
      <c r="C178">
        <f>B178/(日期!$B$2-日期!$B$1+1)</f>
        <v>0</v>
      </c>
    </row>
    <row r="179" spans="2:3">
      <c r="B179">
        <f>SUMIFS(allorders!O:O,allorders!L:L,'数据处理(仓储使用)'!$A179,allorders!$AG:$AG,"&lt;="&amp;日期!$B$2,allorders!$AG:$AG,"&gt;="&amp;日期!$B$1)</f>
        <v>0</v>
      </c>
      <c r="C179">
        <f>B179/(日期!$B$2-日期!$B$1+1)</f>
        <v>0</v>
      </c>
    </row>
    <row r="180" spans="2:3">
      <c r="B180">
        <f>SUMIFS(allorders!O:O,allorders!L:L,'数据处理(仓储使用)'!$A180,allorders!$AG:$AG,"&lt;="&amp;日期!$B$2,allorders!$AG:$AG,"&gt;="&amp;日期!$B$1)</f>
        <v>0</v>
      </c>
      <c r="C180">
        <f>B180/(日期!$B$2-日期!$B$1+1)</f>
        <v>0</v>
      </c>
    </row>
    <row r="181" spans="2:3">
      <c r="B181">
        <f>SUMIFS(allorders!O:O,allorders!L:L,'数据处理(仓储使用)'!$A181,allorders!$AG:$AG,"&lt;="&amp;日期!$B$2,allorders!$AG:$AG,"&gt;="&amp;日期!$B$1)</f>
        <v>0</v>
      </c>
      <c r="C181">
        <f>B181/(日期!$B$2-日期!$B$1+1)</f>
        <v>0</v>
      </c>
    </row>
    <row r="182" spans="2:3">
      <c r="B182">
        <f>SUMIFS(allorders!O:O,allorders!L:L,'数据处理(仓储使用)'!$A182,allorders!$AG:$AG,"&lt;="&amp;日期!$B$2,allorders!$AG:$AG,"&gt;="&amp;日期!$B$1)</f>
        <v>0</v>
      </c>
      <c r="C182">
        <f>B182/(日期!$B$2-日期!$B$1+1)</f>
        <v>0</v>
      </c>
    </row>
    <row r="183" spans="2:3">
      <c r="B183">
        <f>SUMIFS(allorders!O:O,allorders!L:L,'数据处理(仓储使用)'!$A183,allorders!$AG:$AG,"&lt;="&amp;日期!$B$2,allorders!$AG:$AG,"&gt;="&amp;日期!$B$1)</f>
        <v>0</v>
      </c>
      <c r="C183">
        <f>B183/(日期!$B$2-日期!$B$1+1)</f>
        <v>0</v>
      </c>
    </row>
    <row r="184" spans="2:3">
      <c r="B184">
        <f>SUMIFS(allorders!O:O,allorders!L:L,'数据处理(仓储使用)'!$A184,allorders!$AG:$AG,"&lt;="&amp;日期!$B$2,allorders!$AG:$AG,"&gt;="&amp;日期!$B$1)</f>
        <v>0</v>
      </c>
      <c r="C184">
        <f>B184/(日期!$B$2-日期!$B$1+1)</f>
        <v>0</v>
      </c>
    </row>
    <row r="185" spans="2:3">
      <c r="B185">
        <f>SUMIFS(allorders!O:O,allorders!L:L,'数据处理(仓储使用)'!$A185,allorders!$AG:$AG,"&lt;="&amp;日期!$B$2,allorders!$AG:$AG,"&gt;="&amp;日期!$B$1)</f>
        <v>0</v>
      </c>
      <c r="C185">
        <f>B185/(日期!$B$2-日期!$B$1+1)</f>
        <v>0</v>
      </c>
    </row>
    <row r="186" spans="2:3">
      <c r="B186">
        <f>SUMIFS(allorders!O:O,allorders!L:L,'数据处理(仓储使用)'!$A186,allorders!$AG:$AG,"&lt;="&amp;日期!$B$2,allorders!$AG:$AG,"&gt;="&amp;日期!$B$1)</f>
        <v>0</v>
      </c>
      <c r="C186">
        <f>B186/(日期!$B$2-日期!$B$1+1)</f>
        <v>0</v>
      </c>
    </row>
    <row r="187" spans="2:3">
      <c r="B187">
        <f>SUMIFS(allorders!O:O,allorders!L:L,'数据处理(仓储使用)'!$A187,allorders!$AG:$AG,"&lt;="&amp;日期!$B$2,allorders!$AG:$AG,"&gt;="&amp;日期!$B$1)</f>
        <v>0</v>
      </c>
      <c r="C187">
        <f>B187/(日期!$B$2-日期!$B$1+1)</f>
        <v>0</v>
      </c>
    </row>
    <row r="188" spans="2:3">
      <c r="B188">
        <f>SUMIFS(allorders!O:O,allorders!L:L,'数据处理(仓储使用)'!$A188,allorders!$AG:$AG,"&lt;="&amp;日期!$B$2,allorders!$AG:$AG,"&gt;="&amp;日期!$B$1)</f>
        <v>0</v>
      </c>
      <c r="C188">
        <f>B188/(日期!$B$2-日期!$B$1+1)</f>
        <v>0</v>
      </c>
    </row>
    <row r="189" spans="2:3">
      <c r="B189">
        <f>SUMIFS(allorders!O:O,allorders!L:L,'数据处理(仓储使用)'!$A189,allorders!$AG:$AG,"&lt;="&amp;日期!$B$2,allorders!$AG:$AG,"&gt;="&amp;日期!$B$1)</f>
        <v>0</v>
      </c>
      <c r="C189">
        <f>B189/(日期!$B$2-日期!$B$1+1)</f>
        <v>0</v>
      </c>
    </row>
    <row r="190" spans="2:3">
      <c r="B190">
        <f>SUMIFS(allorders!O:O,allorders!L:L,'数据处理(仓储使用)'!$A190,allorders!$AG:$AG,"&lt;="&amp;日期!$B$2,allorders!$AG:$AG,"&gt;="&amp;日期!$B$1)</f>
        <v>0</v>
      </c>
      <c r="C190">
        <f>B190/(日期!$B$2-日期!$B$1+1)</f>
        <v>0</v>
      </c>
    </row>
    <row r="191" spans="2:3">
      <c r="B191">
        <f>SUMIFS(allorders!O:O,allorders!L:L,'数据处理(仓储使用)'!$A191,allorders!$AG:$AG,"&lt;="&amp;日期!$B$2,allorders!$AG:$AG,"&gt;="&amp;日期!$B$1)</f>
        <v>0</v>
      </c>
      <c r="C191">
        <f>B191/(日期!$B$2-日期!$B$1+1)</f>
        <v>0</v>
      </c>
    </row>
    <row r="192" spans="2:3">
      <c r="B192">
        <f>SUMIFS(allorders!O:O,allorders!L:L,'数据处理(仓储使用)'!$A192,allorders!$AG:$AG,"&lt;="&amp;日期!$B$2,allorders!$AG:$AG,"&gt;="&amp;日期!$B$1)</f>
        <v>0</v>
      </c>
      <c r="C192">
        <f>B192/(日期!$B$2-日期!$B$1+1)</f>
        <v>0</v>
      </c>
    </row>
    <row r="193" spans="2:3">
      <c r="B193">
        <f>SUMIFS(allorders!O:O,allorders!L:L,'数据处理(仓储使用)'!$A193,allorders!$AG:$AG,"&lt;="&amp;日期!$B$2,allorders!$AG:$AG,"&gt;="&amp;日期!$B$1)</f>
        <v>0</v>
      </c>
      <c r="C193">
        <f>B193/(日期!$B$2-日期!$B$1+1)</f>
        <v>0</v>
      </c>
    </row>
    <row r="194" spans="2:3">
      <c r="B194">
        <f>SUMIFS(allorders!O:O,allorders!L:L,'数据处理(仓储使用)'!$A194,allorders!$AG:$AG,"&lt;="&amp;日期!$B$2,allorders!$AG:$AG,"&gt;="&amp;日期!$B$1)</f>
        <v>0</v>
      </c>
      <c r="C194">
        <f>B194/(日期!$B$2-日期!$B$1+1)</f>
        <v>0</v>
      </c>
    </row>
    <row r="195" spans="2:3">
      <c r="B195">
        <f>SUMIFS(allorders!O:O,allorders!L:L,'数据处理(仓储使用)'!$A195,allorders!$AG:$AG,"&lt;="&amp;日期!$B$2,allorders!$AG:$AG,"&gt;="&amp;日期!$B$1)</f>
        <v>0</v>
      </c>
      <c r="C195">
        <f>B195/(日期!$B$2-日期!$B$1+1)</f>
        <v>0</v>
      </c>
    </row>
    <row r="196" spans="2:3">
      <c r="B196">
        <f>SUMIFS(allorders!O:O,allorders!L:L,'数据处理(仓储使用)'!$A196,allorders!$AG:$AG,"&lt;="&amp;日期!$B$2,allorders!$AG:$AG,"&gt;="&amp;日期!$B$1)</f>
        <v>0</v>
      </c>
      <c r="C196">
        <f>B196/(日期!$B$2-日期!$B$1+1)</f>
        <v>0</v>
      </c>
    </row>
    <row r="197" spans="2:3">
      <c r="B197">
        <f>SUMIFS(allorders!O:O,allorders!L:L,'数据处理(仓储使用)'!$A197,allorders!$AG:$AG,"&lt;="&amp;日期!$B$2,allorders!$AG:$AG,"&gt;="&amp;日期!$B$1)</f>
        <v>0</v>
      </c>
      <c r="C197">
        <f>B197/(日期!$B$2-日期!$B$1+1)</f>
        <v>0</v>
      </c>
    </row>
    <row r="198" spans="2:3">
      <c r="B198">
        <f>SUMIFS(allorders!O:O,allorders!L:L,'数据处理(仓储使用)'!$A198,allorders!$AG:$AG,"&lt;="&amp;日期!$B$2,allorders!$AG:$AG,"&gt;="&amp;日期!$B$1)</f>
        <v>0</v>
      </c>
      <c r="C198">
        <f>B198/(日期!$B$2-日期!$B$1+1)</f>
        <v>0</v>
      </c>
    </row>
    <row r="199" spans="2:3">
      <c r="B199">
        <f>SUMIFS(allorders!O:O,allorders!L:L,'数据处理(仓储使用)'!$A199,allorders!$AG:$AG,"&lt;="&amp;日期!$B$2,allorders!$AG:$AG,"&gt;="&amp;日期!$B$1)</f>
        <v>0</v>
      </c>
      <c r="C199">
        <f>B199/(日期!$B$2-日期!$B$1+1)</f>
        <v>0</v>
      </c>
    </row>
    <row r="200" spans="2:3">
      <c r="B200">
        <f>SUMIFS(allorders!O:O,allorders!L:L,'数据处理(仓储使用)'!$A200,allorders!$AG:$AG,"&lt;="&amp;日期!$B$2,allorders!$AG:$AG,"&gt;="&amp;日期!$B$1)</f>
        <v>0</v>
      </c>
      <c r="C200">
        <f>B200/(日期!$B$2-日期!$B$1+1)</f>
        <v>0</v>
      </c>
    </row>
    <row r="201" spans="2:3">
      <c r="B201">
        <f>SUMIFS(allorders!O:O,allorders!L:L,'数据处理(仓储使用)'!$A201,allorders!$AG:$AG,"&lt;="&amp;日期!$B$2,allorders!$AG:$AG,"&gt;="&amp;日期!$B$1)</f>
        <v>0</v>
      </c>
      <c r="C201">
        <f>B201/(日期!$B$2-日期!$B$1+1)</f>
        <v>0</v>
      </c>
    </row>
    <row r="202" spans="2:3">
      <c r="B202">
        <f>SUMIFS(allorders!O:O,allorders!L:L,'数据处理(仓储使用)'!$A202,allorders!$AG:$AG,"&lt;="&amp;日期!$B$2,allorders!$AG:$AG,"&gt;="&amp;日期!$B$1)</f>
        <v>0</v>
      </c>
      <c r="C202">
        <f>B202/(日期!$B$2-日期!$B$1+1)</f>
        <v>0</v>
      </c>
    </row>
    <row r="203" spans="2:3">
      <c r="B203">
        <f>SUMIFS(allorders!O:O,allorders!L:L,'数据处理(仓储使用)'!$A203,allorders!$AG:$AG,"&lt;="&amp;日期!$B$2,allorders!$AG:$AG,"&gt;="&amp;日期!$B$1)</f>
        <v>0</v>
      </c>
      <c r="C203">
        <f>B203/(日期!$B$2-日期!$B$1+1)</f>
        <v>0</v>
      </c>
    </row>
    <row r="204" spans="2:3">
      <c r="B204">
        <f>SUMIFS(allorders!O:O,allorders!L:L,'数据处理(仓储使用)'!$A204,allorders!$AG:$AG,"&lt;="&amp;日期!$B$2,allorders!$AG:$AG,"&gt;="&amp;日期!$B$1)</f>
        <v>0</v>
      </c>
      <c r="C204">
        <f>B204/(日期!$B$2-日期!$B$1+1)</f>
        <v>0</v>
      </c>
    </row>
    <row r="205" spans="2:3">
      <c r="B205">
        <f>SUMIFS(allorders!O:O,allorders!L:L,'数据处理(仓储使用)'!$A205,allorders!$AG:$AG,"&lt;="&amp;日期!$B$2,allorders!$AG:$AG,"&gt;="&amp;日期!$B$1)</f>
        <v>0</v>
      </c>
      <c r="C205">
        <f>B205/(日期!$B$2-日期!$B$1+1)</f>
        <v>0</v>
      </c>
    </row>
    <row r="206" spans="2:3">
      <c r="B206">
        <f>SUMIFS(allorders!O:O,allorders!L:L,'数据处理(仓储使用)'!$A206,allorders!$AG:$AG,"&lt;="&amp;日期!$B$2,allorders!$AG:$AG,"&gt;="&amp;日期!$B$1)</f>
        <v>0</v>
      </c>
      <c r="C206">
        <f>B206/(日期!$B$2-日期!$B$1+1)</f>
        <v>0</v>
      </c>
    </row>
    <row r="207" spans="2:3">
      <c r="B207">
        <f>SUMIFS(allorders!O:O,allorders!L:L,'数据处理(仓储使用)'!$A207,allorders!$AG:$AG,"&lt;="&amp;日期!$B$2,allorders!$AG:$AG,"&gt;="&amp;日期!$B$1)</f>
        <v>0</v>
      </c>
      <c r="C207">
        <f>B207/(日期!$B$2-日期!$B$1+1)</f>
        <v>0</v>
      </c>
    </row>
    <row r="208" spans="2:3">
      <c r="B208">
        <f>SUMIFS(allorders!O:O,allorders!L:L,'数据处理(仓储使用)'!$A208,allorders!$AG:$AG,"&lt;="&amp;日期!$B$2,allorders!$AG:$AG,"&gt;="&amp;日期!$B$1)</f>
        <v>0</v>
      </c>
      <c r="C208">
        <f>B208/(日期!$B$2-日期!$B$1+1)</f>
        <v>0</v>
      </c>
    </row>
    <row r="209" spans="2:3">
      <c r="B209">
        <f>SUMIFS(allorders!O:O,allorders!L:L,'数据处理(仓储使用)'!$A209,allorders!$AG:$AG,"&lt;="&amp;日期!$B$2,allorders!$AG:$AG,"&gt;="&amp;日期!$B$1)</f>
        <v>0</v>
      </c>
      <c r="C209">
        <f>B209/(日期!$B$2-日期!$B$1+1)</f>
        <v>0</v>
      </c>
    </row>
    <row r="210" spans="2:3">
      <c r="B210">
        <f>SUMIFS(allorders!O:O,allorders!L:L,'数据处理(仓储使用)'!$A210,allorders!$AG:$AG,"&lt;="&amp;日期!$B$2,allorders!$AG:$AG,"&gt;="&amp;日期!$B$1)</f>
        <v>0</v>
      </c>
      <c r="C210">
        <f>B210/(日期!$B$2-日期!$B$1+1)</f>
        <v>0</v>
      </c>
    </row>
    <row r="211" spans="2:3">
      <c r="B211">
        <f>SUMIFS(allorders!O:O,allorders!L:L,'数据处理(仓储使用)'!$A211,allorders!$AG:$AG,"&lt;="&amp;日期!$B$2,allorders!$AG:$AG,"&gt;="&amp;日期!$B$1)</f>
        <v>0</v>
      </c>
      <c r="C211">
        <f>B211/(日期!$B$2-日期!$B$1+1)</f>
        <v>0</v>
      </c>
    </row>
    <row r="212" spans="2:3">
      <c r="B212">
        <f>SUMIFS(allorders!O:O,allorders!L:L,'数据处理(仓储使用)'!$A212,allorders!$AG:$AG,"&lt;="&amp;日期!$B$2,allorders!$AG:$AG,"&gt;="&amp;日期!$B$1)</f>
        <v>0</v>
      </c>
      <c r="C212">
        <f>B212/(日期!$B$2-日期!$B$1+1)</f>
        <v>0</v>
      </c>
    </row>
    <row r="213" spans="2:3">
      <c r="B213">
        <f>SUMIFS(allorders!O:O,allorders!L:L,'数据处理(仓储使用)'!$A213,allorders!$AG:$AG,"&lt;="&amp;日期!$B$2,allorders!$AG:$AG,"&gt;="&amp;日期!$B$1)</f>
        <v>0</v>
      </c>
      <c r="C213">
        <f>B213/(日期!$B$2-日期!$B$1+1)</f>
        <v>0</v>
      </c>
    </row>
    <row r="214" spans="2:3">
      <c r="B214">
        <f>SUMIFS(allorders!O:O,allorders!L:L,'数据处理(仓储使用)'!$A214,allorders!$AG:$AG,"&lt;="&amp;日期!$B$2,allorders!$AG:$AG,"&gt;="&amp;日期!$B$1)</f>
        <v>0</v>
      </c>
      <c r="C214">
        <f>B214/(日期!$B$2-日期!$B$1+1)</f>
        <v>0</v>
      </c>
    </row>
    <row r="215" spans="2:3">
      <c r="B215">
        <f>SUMIFS(allorders!O:O,allorders!L:L,'数据处理(仓储使用)'!$A215,allorders!$AG:$AG,"&lt;="&amp;日期!$B$2,allorders!$AG:$AG,"&gt;="&amp;日期!$B$1)</f>
        <v>0</v>
      </c>
      <c r="C215">
        <f>B215/(日期!$B$2-日期!$B$1+1)</f>
        <v>0</v>
      </c>
    </row>
    <row r="216" spans="2:3">
      <c r="B216">
        <f>SUMIFS(allorders!O:O,allorders!L:L,'数据处理(仓储使用)'!$A216,allorders!$AG:$AG,"&lt;="&amp;日期!$B$2,allorders!$AG:$AG,"&gt;="&amp;日期!$B$1)</f>
        <v>0</v>
      </c>
      <c r="C216">
        <f>B216/(日期!$B$2-日期!$B$1+1)</f>
        <v>0</v>
      </c>
    </row>
    <row r="217" spans="2:3">
      <c r="B217">
        <f>SUMIFS(allorders!O:O,allorders!L:L,'数据处理(仓储使用)'!$A217,allorders!$AG:$AG,"&lt;="&amp;日期!$B$2,allorders!$AG:$AG,"&gt;="&amp;日期!$B$1)</f>
        <v>0</v>
      </c>
      <c r="C217">
        <f>B217/(日期!$B$2-日期!$B$1+1)</f>
        <v>0</v>
      </c>
    </row>
    <row r="218" spans="2:3">
      <c r="B218">
        <f>SUMIFS(allorders!O:O,allorders!L:L,'数据处理(仓储使用)'!$A218,allorders!$AG:$AG,"&lt;="&amp;日期!$B$2,allorders!$AG:$AG,"&gt;="&amp;日期!$B$1)</f>
        <v>0</v>
      </c>
      <c r="C218">
        <f>B218/(日期!$B$2-日期!$B$1+1)</f>
        <v>0</v>
      </c>
    </row>
    <row r="219" spans="2:3">
      <c r="B219">
        <f>SUMIFS(allorders!O:O,allorders!L:L,'数据处理(仓储使用)'!$A219,allorders!$AG:$AG,"&lt;="&amp;日期!$B$2,allorders!$AG:$AG,"&gt;="&amp;日期!$B$1)</f>
        <v>0</v>
      </c>
      <c r="C219">
        <f>B219/(日期!$B$2-日期!$B$1+1)</f>
        <v>0</v>
      </c>
    </row>
    <row r="220" spans="2:3">
      <c r="B220">
        <f>SUMIFS(allorders!O:O,allorders!L:L,'数据处理(仓储使用)'!$A220,allorders!$AG:$AG,"&lt;="&amp;日期!$B$2,allorders!$AG:$AG,"&gt;="&amp;日期!$B$1)</f>
        <v>0</v>
      </c>
      <c r="C220">
        <f>B220/(日期!$B$2-日期!$B$1+1)</f>
        <v>0</v>
      </c>
    </row>
    <row r="221" spans="2:3">
      <c r="B221">
        <f>SUMIFS(allorders!O:O,allorders!L:L,'数据处理(仓储使用)'!$A221,allorders!$AG:$AG,"&lt;="&amp;日期!$B$2,allorders!$AG:$AG,"&gt;="&amp;日期!$B$1)</f>
        <v>0</v>
      </c>
      <c r="C221">
        <f>B221/(日期!$B$2-日期!$B$1+1)</f>
        <v>0</v>
      </c>
    </row>
    <row r="222" spans="2:3">
      <c r="B222">
        <f>SUMIFS(allorders!O:O,allorders!L:L,'数据处理(仓储使用)'!$A222,allorders!$AG:$AG,"&lt;="&amp;日期!$B$2,allorders!$AG:$AG,"&gt;="&amp;日期!$B$1)</f>
        <v>0</v>
      </c>
      <c r="C222">
        <f>B222/(日期!$B$2-日期!$B$1+1)</f>
        <v>0</v>
      </c>
    </row>
    <row r="223" spans="2:3">
      <c r="B223">
        <f>SUMIFS(allorders!O:O,allorders!L:L,'数据处理(仓储使用)'!$A223,allorders!$AG:$AG,"&lt;="&amp;日期!$B$2,allorders!$AG:$AG,"&gt;="&amp;日期!$B$1)</f>
        <v>0</v>
      </c>
      <c r="C223">
        <f>B223/(日期!$B$2-日期!$B$1+1)</f>
        <v>0</v>
      </c>
    </row>
    <row r="224" spans="2:3">
      <c r="B224">
        <f>SUMIFS(allorders!O:O,allorders!L:L,'数据处理(仓储使用)'!$A224,allorders!$AG:$AG,"&lt;="&amp;日期!$B$2,allorders!$AG:$AG,"&gt;="&amp;日期!$B$1)</f>
        <v>0</v>
      </c>
      <c r="C224">
        <f>B224/(日期!$B$2-日期!$B$1+1)</f>
        <v>0</v>
      </c>
    </row>
    <row r="225" spans="2:3">
      <c r="B225">
        <f>SUMIFS(allorders!O:O,allorders!L:L,'数据处理(仓储使用)'!$A225,allorders!$AG:$AG,"&lt;="&amp;日期!$B$2,allorders!$AG:$AG,"&gt;="&amp;日期!$B$1)</f>
        <v>0</v>
      </c>
      <c r="C225">
        <f>B225/(日期!$B$2-日期!$B$1+1)</f>
        <v>0</v>
      </c>
    </row>
    <row r="226" spans="2:3">
      <c r="B226">
        <f>SUMIFS(allorders!O:O,allorders!L:L,'数据处理(仓储使用)'!$A226,allorders!$AG:$AG,"&lt;="&amp;日期!$B$2,allorders!$AG:$AG,"&gt;="&amp;日期!$B$1)</f>
        <v>0</v>
      </c>
      <c r="C226">
        <f>B226/(日期!$B$2-日期!$B$1+1)</f>
        <v>0</v>
      </c>
    </row>
    <row r="227" spans="2:3">
      <c r="B227">
        <f>SUMIFS(allorders!O:O,allorders!L:L,'数据处理(仓储使用)'!$A227,allorders!$AG:$AG,"&lt;="&amp;日期!$B$2,allorders!$AG:$AG,"&gt;="&amp;日期!$B$1)</f>
        <v>0</v>
      </c>
      <c r="C227">
        <f>B227/(日期!$B$2-日期!$B$1+1)</f>
        <v>0</v>
      </c>
    </row>
    <row r="228" spans="2:3">
      <c r="B228">
        <f>SUMIFS(allorders!O:O,allorders!L:L,'数据处理(仓储使用)'!$A228,allorders!$AG:$AG,"&lt;="&amp;日期!$B$2,allorders!$AG:$AG,"&gt;="&amp;日期!$B$1)</f>
        <v>0</v>
      </c>
      <c r="C228">
        <f>B228/(日期!$B$2-日期!$B$1+1)</f>
        <v>0</v>
      </c>
    </row>
    <row r="229" spans="2:3">
      <c r="B229">
        <f>SUMIFS(allorders!O:O,allorders!L:L,'数据处理(仓储使用)'!$A229,allorders!$AG:$AG,"&lt;="&amp;日期!$B$2,allorders!$AG:$AG,"&gt;="&amp;日期!$B$1)</f>
        <v>0</v>
      </c>
      <c r="C229">
        <f>B229/(日期!$B$2-日期!$B$1+1)</f>
        <v>0</v>
      </c>
    </row>
    <row r="230" spans="2:3">
      <c r="B230">
        <f>SUMIFS(allorders!O:O,allorders!L:L,'数据处理(仓储使用)'!$A230,allorders!$AG:$AG,"&lt;="&amp;日期!$B$2,allorders!$AG:$AG,"&gt;="&amp;日期!$B$1)</f>
        <v>0</v>
      </c>
      <c r="C230">
        <f>B230/(日期!$B$2-日期!$B$1+1)</f>
        <v>0</v>
      </c>
    </row>
    <row r="231" spans="2:3">
      <c r="B231">
        <f>SUMIFS(allorders!O:O,allorders!L:L,'数据处理(仓储使用)'!$A231,allorders!$AG:$AG,"&lt;="&amp;日期!$B$2,allorders!$AG:$AG,"&gt;="&amp;日期!$B$1)</f>
        <v>0</v>
      </c>
      <c r="C231">
        <f>B231/(日期!$B$2-日期!$B$1+1)</f>
        <v>0</v>
      </c>
    </row>
    <row r="232" spans="2:3">
      <c r="B232">
        <f>SUMIFS(allorders!O:O,allorders!L:L,'数据处理(仓储使用)'!$A232,allorders!$AG:$AG,"&lt;="&amp;日期!$B$2,allorders!$AG:$AG,"&gt;="&amp;日期!$B$1)</f>
        <v>0</v>
      </c>
      <c r="C232">
        <f>B232/(日期!$B$2-日期!$B$1+1)</f>
        <v>0</v>
      </c>
    </row>
    <row r="233" spans="2:3">
      <c r="B233">
        <f>SUMIFS(allorders!O:O,allorders!L:L,'数据处理(仓储使用)'!$A233,allorders!$AG:$AG,"&lt;="&amp;日期!$B$2,allorders!$AG:$AG,"&gt;="&amp;日期!$B$1)</f>
        <v>0</v>
      </c>
      <c r="C233">
        <f>B233/(日期!$B$2-日期!$B$1+1)</f>
        <v>0</v>
      </c>
    </row>
    <row r="234" spans="2:3">
      <c r="B234">
        <f>SUMIFS(allorders!O:O,allorders!L:L,'数据处理(仓储使用)'!$A234,allorders!$AG:$AG,"&lt;="&amp;日期!$B$2,allorders!$AG:$AG,"&gt;="&amp;日期!$B$1)</f>
        <v>0</v>
      </c>
      <c r="C234">
        <f>B234/(日期!$B$2-日期!$B$1+1)</f>
        <v>0</v>
      </c>
    </row>
    <row r="235" spans="2:3">
      <c r="B235">
        <f>SUMIFS(allorders!O:O,allorders!L:L,'数据处理(仓储使用)'!$A235,allorders!$AG:$AG,"&lt;="&amp;日期!$B$2,allorders!$AG:$AG,"&gt;="&amp;日期!$B$1)</f>
        <v>0</v>
      </c>
      <c r="C235">
        <f>B235/(日期!$B$2-日期!$B$1+1)</f>
        <v>0</v>
      </c>
    </row>
    <row r="236" spans="2:3">
      <c r="B236">
        <f>SUMIFS(allorders!O:O,allorders!L:L,'数据处理(仓储使用)'!$A236,allorders!$AG:$AG,"&lt;="&amp;日期!$B$2,allorders!$AG:$AG,"&gt;="&amp;日期!$B$1)</f>
        <v>0</v>
      </c>
      <c r="C236">
        <f>B236/(日期!$B$2-日期!$B$1+1)</f>
        <v>0</v>
      </c>
    </row>
    <row r="237" spans="2:3">
      <c r="B237">
        <f>SUMIFS(allorders!O:O,allorders!L:L,'数据处理(仓储使用)'!$A237,allorders!$AG:$AG,"&lt;="&amp;日期!$B$2,allorders!$AG:$AG,"&gt;="&amp;日期!$B$1)</f>
        <v>0</v>
      </c>
      <c r="C237">
        <f>B237/(日期!$B$2-日期!$B$1+1)</f>
        <v>0</v>
      </c>
    </row>
    <row r="238" spans="2:3">
      <c r="B238">
        <f>SUMIFS(allorders!O:O,allorders!L:L,'数据处理(仓储使用)'!$A238,allorders!$AG:$AG,"&lt;="&amp;日期!$B$2,allorders!$AG:$AG,"&gt;="&amp;日期!$B$1)</f>
        <v>0</v>
      </c>
      <c r="C238">
        <f>B238/(日期!$B$2-日期!$B$1+1)</f>
        <v>0</v>
      </c>
    </row>
    <row r="239" spans="2:3">
      <c r="B239">
        <f>SUMIFS(allorders!O:O,allorders!L:L,'数据处理(仓储使用)'!$A239,allorders!$AG:$AG,"&lt;="&amp;日期!$B$2,allorders!$AG:$AG,"&gt;="&amp;日期!$B$1)</f>
        <v>0</v>
      </c>
      <c r="C239">
        <f>B239/(日期!$B$2-日期!$B$1+1)</f>
        <v>0</v>
      </c>
    </row>
    <row r="240" spans="2:3">
      <c r="B240">
        <f>SUMIFS(allorders!O:O,allorders!L:L,'数据处理(仓储使用)'!$A240,allorders!$AG:$AG,"&lt;="&amp;日期!$B$2,allorders!$AG:$AG,"&gt;="&amp;日期!$B$1)</f>
        <v>0</v>
      </c>
      <c r="C240">
        <f>B240/(日期!$B$2-日期!$B$1+1)</f>
        <v>0</v>
      </c>
    </row>
    <row r="241" spans="2:3">
      <c r="B241">
        <f>SUMIFS(allorders!O:O,allorders!L:L,'数据处理(仓储使用)'!$A241,allorders!$AG:$AG,"&lt;="&amp;日期!$B$2,allorders!$AG:$AG,"&gt;="&amp;日期!$B$1)</f>
        <v>0</v>
      </c>
      <c r="C241">
        <f>B241/(日期!$B$2-日期!$B$1+1)</f>
        <v>0</v>
      </c>
    </row>
    <row r="242" spans="2:3">
      <c r="B242">
        <f>SUMIFS(allorders!O:O,allorders!L:L,'数据处理(仓储使用)'!$A242,allorders!$AG:$AG,"&lt;="&amp;日期!$B$2,allorders!$AG:$AG,"&gt;="&amp;日期!$B$1)</f>
        <v>0</v>
      </c>
      <c r="C242">
        <f>B242/(日期!$B$2-日期!$B$1+1)</f>
        <v>0</v>
      </c>
    </row>
    <row r="243" spans="2:3">
      <c r="B243">
        <f>SUMIFS(allorders!O:O,allorders!L:L,'数据处理(仓储使用)'!$A243,allorders!$AG:$AG,"&lt;="&amp;日期!$B$2,allorders!$AG:$AG,"&gt;="&amp;日期!$B$1)</f>
        <v>0</v>
      </c>
      <c r="C243">
        <f>B243/(日期!$B$2-日期!$B$1+1)</f>
        <v>0</v>
      </c>
    </row>
    <row r="244" spans="2:3">
      <c r="B244">
        <f>SUMIFS(allorders!O:O,allorders!L:L,'数据处理(仓储使用)'!$A244,allorders!$AG:$AG,"&lt;="&amp;日期!$B$2,allorders!$AG:$AG,"&gt;="&amp;日期!$B$1)</f>
        <v>0</v>
      </c>
      <c r="C244">
        <f>B244/(日期!$B$2-日期!$B$1+1)</f>
        <v>0</v>
      </c>
    </row>
    <row r="245" spans="2:3">
      <c r="B245">
        <f>SUMIFS(allorders!O:O,allorders!L:L,'数据处理(仓储使用)'!$A245,allorders!$AG:$AG,"&lt;="&amp;日期!$B$2,allorders!$AG:$AG,"&gt;="&amp;日期!$B$1)</f>
        <v>0</v>
      </c>
      <c r="C245">
        <f>B245/(日期!$B$2-日期!$B$1+1)</f>
        <v>0</v>
      </c>
    </row>
    <row r="246" spans="2:3">
      <c r="B246">
        <f>SUMIFS(allorders!O:O,allorders!L:L,'数据处理(仓储使用)'!$A246,allorders!$AG:$AG,"&lt;="&amp;日期!$B$2,allorders!$AG:$AG,"&gt;="&amp;日期!$B$1)</f>
        <v>0</v>
      </c>
      <c r="C246">
        <f>B246/(日期!$B$2-日期!$B$1+1)</f>
        <v>0</v>
      </c>
    </row>
    <row r="247" spans="2:3">
      <c r="B247">
        <f>SUMIFS(allorders!O:O,allorders!L:L,'数据处理(仓储使用)'!$A247,allorders!$AG:$AG,"&lt;="&amp;日期!$B$2,allorders!$AG:$AG,"&gt;="&amp;日期!$B$1)</f>
        <v>0</v>
      </c>
      <c r="C247">
        <f>B247/(日期!$B$2-日期!$B$1+1)</f>
        <v>0</v>
      </c>
    </row>
    <row r="248" spans="2:3">
      <c r="B248">
        <f>SUMIFS(allorders!O:O,allorders!L:L,'数据处理(仓储使用)'!$A248,allorders!$AG:$AG,"&lt;="&amp;日期!$B$2,allorders!$AG:$AG,"&gt;="&amp;日期!$B$1)</f>
        <v>0</v>
      </c>
      <c r="C248">
        <f>B248/(日期!$B$2-日期!$B$1+1)</f>
        <v>0</v>
      </c>
    </row>
    <row r="249" spans="2:3">
      <c r="B249">
        <f>SUMIFS(allorders!O:O,allorders!L:L,'数据处理(仓储使用)'!$A249,allorders!$AG:$AG,"&lt;="&amp;日期!$B$2,allorders!$AG:$AG,"&gt;="&amp;日期!$B$1)</f>
        <v>0</v>
      </c>
      <c r="C249">
        <f>B249/(日期!$B$2-日期!$B$1+1)</f>
        <v>0</v>
      </c>
    </row>
    <row r="250" spans="2:3">
      <c r="B250">
        <f>SUMIFS(allorders!O:O,allorders!L:L,'数据处理(仓储使用)'!$A250,allorders!$AG:$AG,"&lt;="&amp;日期!$B$2,allorders!$AG:$AG,"&gt;="&amp;日期!$B$1)</f>
        <v>0</v>
      </c>
      <c r="C250">
        <f>B250/(日期!$B$2-日期!$B$1+1)</f>
        <v>0</v>
      </c>
    </row>
    <row r="251" spans="2:3">
      <c r="B251">
        <f>SUMIFS(allorders!O:O,allorders!L:L,'数据处理(仓储使用)'!$A251,allorders!$AG:$AG,"&lt;="&amp;日期!$B$2,allorders!$AG:$AG,"&gt;="&amp;日期!$B$1)</f>
        <v>0</v>
      </c>
      <c r="C251">
        <f>B251/(日期!$B$2-日期!$B$1+1)</f>
        <v>0</v>
      </c>
    </row>
    <row r="252" spans="2:3">
      <c r="B252">
        <f>SUMIFS(allorders!O:O,allorders!L:L,'数据处理(仓储使用)'!$A252,allorders!$AG:$AG,"&lt;="&amp;日期!$B$2,allorders!$AG:$AG,"&gt;="&amp;日期!$B$1)</f>
        <v>0</v>
      </c>
      <c r="C252">
        <f>B252/(日期!$B$2-日期!$B$1+1)</f>
        <v>0</v>
      </c>
    </row>
    <row r="253" spans="2:3">
      <c r="B253">
        <f>SUMIFS(allorders!O:O,allorders!L:L,'数据处理(仓储使用)'!$A253,allorders!$AG:$AG,"&lt;="&amp;日期!$B$2,allorders!$AG:$AG,"&gt;="&amp;日期!$B$1)</f>
        <v>0</v>
      </c>
      <c r="C253">
        <f>B253/(日期!$B$2-日期!$B$1+1)</f>
        <v>0</v>
      </c>
    </row>
    <row r="254" spans="2:3">
      <c r="B254">
        <f>SUMIFS(allorders!O:O,allorders!L:L,'数据处理(仓储使用)'!$A254,allorders!$AG:$AG,"&lt;="&amp;日期!$B$2,allorders!$AG:$AG,"&gt;="&amp;日期!$B$1)</f>
        <v>0</v>
      </c>
      <c r="C254">
        <f>B254/(日期!$B$2-日期!$B$1+1)</f>
        <v>0</v>
      </c>
    </row>
    <row r="255" spans="2:3">
      <c r="B255">
        <f>SUMIFS(allorders!O:O,allorders!L:L,'数据处理(仓储使用)'!$A255,allorders!$AG:$AG,"&lt;="&amp;日期!$B$2,allorders!$AG:$AG,"&gt;="&amp;日期!$B$1)</f>
        <v>0</v>
      </c>
      <c r="C255">
        <f>B255/(日期!$B$2-日期!$B$1+1)</f>
        <v>0</v>
      </c>
    </row>
    <row r="256" spans="2:3">
      <c r="B256">
        <f>SUMIFS(allorders!O:O,allorders!L:L,'数据处理(仓储使用)'!$A256,allorders!$AG:$AG,"&lt;="&amp;日期!$B$2,allorders!$AG:$AG,"&gt;="&amp;日期!$B$1)</f>
        <v>0</v>
      </c>
      <c r="C256">
        <f>B256/(日期!$B$2-日期!$B$1+1)</f>
        <v>0</v>
      </c>
    </row>
    <row r="257" spans="2:3">
      <c r="B257">
        <f>SUMIFS(allorders!O:O,allorders!L:L,'数据处理(仓储使用)'!$A257,allorders!$AG:$AG,"&lt;="&amp;日期!$B$2,allorders!$AG:$AG,"&gt;="&amp;日期!$B$1)</f>
        <v>0</v>
      </c>
      <c r="C257">
        <f>B257/(日期!$B$2-日期!$B$1+1)</f>
        <v>0</v>
      </c>
    </row>
    <row r="258" spans="2:3">
      <c r="B258">
        <f>SUMIFS(allorders!O:O,allorders!L:L,'数据处理(仓储使用)'!$A258,allorders!$AG:$AG,"&lt;="&amp;日期!$B$2,allorders!$AG:$AG,"&gt;="&amp;日期!$B$1)</f>
        <v>0</v>
      </c>
      <c r="C258">
        <f>B258/(日期!$B$2-日期!$B$1+1)</f>
        <v>0</v>
      </c>
    </row>
    <row r="259" spans="2:3">
      <c r="B259">
        <f>SUMIFS(allorders!O:O,allorders!L:L,'数据处理(仓储使用)'!$A259,allorders!$AG:$AG,"&lt;="&amp;日期!$B$2,allorders!$AG:$AG,"&gt;="&amp;日期!$B$1)</f>
        <v>0</v>
      </c>
      <c r="C259">
        <f>B259/(日期!$B$2-日期!$B$1+1)</f>
        <v>0</v>
      </c>
    </row>
    <row r="260" spans="2:3">
      <c r="B260">
        <f>SUMIFS(allorders!O:O,allorders!L:L,'数据处理(仓储使用)'!$A260,allorders!$AG:$AG,"&lt;="&amp;日期!$B$2,allorders!$AG:$AG,"&gt;="&amp;日期!$B$1)</f>
        <v>0</v>
      </c>
      <c r="C260">
        <f>B260/(日期!$B$2-日期!$B$1+1)</f>
        <v>0</v>
      </c>
    </row>
    <row r="261" spans="2:3">
      <c r="B261">
        <f>SUMIFS(allorders!O:O,allorders!L:L,'数据处理(仓储使用)'!$A261,allorders!$AG:$AG,"&lt;="&amp;日期!$B$2,allorders!$AG:$AG,"&gt;="&amp;日期!$B$1)</f>
        <v>0</v>
      </c>
      <c r="C261">
        <f>B261/(日期!$B$2-日期!$B$1+1)</f>
        <v>0</v>
      </c>
    </row>
    <row r="262" spans="2:3">
      <c r="B262">
        <f>SUMIFS(allorders!O:O,allorders!L:L,'数据处理(仓储使用)'!$A262,allorders!$AG:$AG,"&lt;="&amp;日期!$B$2,allorders!$AG:$AG,"&gt;="&amp;日期!$B$1)</f>
        <v>0</v>
      </c>
      <c r="C262">
        <f>B262/(日期!$B$2-日期!$B$1+1)</f>
        <v>0</v>
      </c>
    </row>
    <row r="263" spans="2:3">
      <c r="B263">
        <f>SUMIFS(allorders!O:O,allorders!L:L,'数据处理(仓储使用)'!$A263,allorders!$AG:$AG,"&lt;="&amp;日期!$B$2,allorders!$AG:$AG,"&gt;="&amp;日期!$B$1)</f>
        <v>0</v>
      </c>
      <c r="C263">
        <f>B263/(日期!$B$2-日期!$B$1+1)</f>
        <v>0</v>
      </c>
    </row>
    <row r="264" spans="2:3">
      <c r="B264">
        <f>SUMIFS(allorders!O:O,allorders!L:L,'数据处理(仓储使用)'!$A264,allorders!$AG:$AG,"&lt;="&amp;日期!$B$2,allorders!$AG:$AG,"&gt;="&amp;日期!$B$1)</f>
        <v>0</v>
      </c>
      <c r="C264">
        <f>B264/(日期!$B$2-日期!$B$1+1)</f>
        <v>0</v>
      </c>
    </row>
    <row r="265" spans="2:3">
      <c r="B265">
        <f>SUMIFS(allorders!O:O,allorders!L:L,'数据处理(仓储使用)'!$A265,allorders!$AG:$AG,"&lt;="&amp;日期!$B$2,allorders!$AG:$AG,"&gt;="&amp;日期!$B$1)</f>
        <v>0</v>
      </c>
      <c r="C265">
        <f>B265/(日期!$B$2-日期!$B$1+1)</f>
        <v>0</v>
      </c>
    </row>
    <row r="266" spans="2:3">
      <c r="B266">
        <f>SUMIFS(allorders!O:O,allorders!L:L,'数据处理(仓储使用)'!$A266,allorders!$AG:$AG,"&lt;="&amp;日期!$B$2,allorders!$AG:$AG,"&gt;="&amp;日期!$B$1)</f>
        <v>0</v>
      </c>
      <c r="C266">
        <f>B266/(日期!$B$2-日期!$B$1+1)</f>
        <v>0</v>
      </c>
    </row>
    <row r="267" spans="2:3">
      <c r="B267">
        <f>SUMIFS(allorders!O:O,allorders!L:L,'数据处理(仓储使用)'!$A267,allorders!$AG:$AG,"&lt;="&amp;日期!$B$2,allorders!$AG:$AG,"&gt;="&amp;日期!$B$1)</f>
        <v>0</v>
      </c>
      <c r="C267">
        <f>B267/(日期!$B$2-日期!$B$1+1)</f>
        <v>0</v>
      </c>
    </row>
    <row r="268" spans="2:3">
      <c r="B268">
        <f>SUMIFS(allorders!O:O,allorders!L:L,'数据处理(仓储使用)'!$A268,allorders!$AG:$AG,"&lt;="&amp;日期!$B$2,allorders!$AG:$AG,"&gt;="&amp;日期!$B$1)</f>
        <v>0</v>
      </c>
      <c r="C268">
        <f>B268/(日期!$B$2-日期!$B$1+1)</f>
        <v>0</v>
      </c>
    </row>
    <row r="269" spans="2:3">
      <c r="B269">
        <f>SUMIFS(allorders!O:O,allorders!L:L,'数据处理(仓储使用)'!$A269,allorders!$AG:$AG,"&lt;="&amp;日期!$B$2,allorders!$AG:$AG,"&gt;="&amp;日期!$B$1)</f>
        <v>0</v>
      </c>
      <c r="C269">
        <f>B269/(日期!$B$2-日期!$B$1+1)</f>
        <v>0</v>
      </c>
    </row>
    <row r="270" spans="2:3">
      <c r="B270">
        <f>SUMIFS(allorders!O:O,allorders!L:L,'数据处理(仓储使用)'!$A270,allorders!$AG:$AG,"&lt;="&amp;日期!$B$2,allorders!$AG:$AG,"&gt;="&amp;日期!$B$1)</f>
        <v>0</v>
      </c>
      <c r="C270">
        <f>B270/(日期!$B$2-日期!$B$1+1)</f>
        <v>0</v>
      </c>
    </row>
    <row r="271" spans="2:3">
      <c r="B271">
        <f>SUMIFS(allorders!O:O,allorders!L:L,'数据处理(仓储使用)'!$A271,allorders!$AG:$AG,"&lt;="&amp;日期!$B$2,allorders!$AG:$AG,"&gt;="&amp;日期!$B$1)</f>
        <v>0</v>
      </c>
      <c r="C271">
        <f>B271/(日期!$B$2-日期!$B$1+1)</f>
        <v>0</v>
      </c>
    </row>
    <row r="272" spans="2:3">
      <c r="B272">
        <f>SUMIFS(allorders!O:O,allorders!L:L,'数据处理(仓储使用)'!$A272,allorders!$AG:$AG,"&lt;="&amp;日期!$B$2,allorders!$AG:$AG,"&gt;="&amp;日期!$B$1)</f>
        <v>0</v>
      </c>
      <c r="C272">
        <f>B272/(日期!$B$2-日期!$B$1+1)</f>
        <v>0</v>
      </c>
    </row>
    <row r="273" spans="2:3">
      <c r="B273">
        <f>SUMIFS(allorders!O:O,allorders!L:L,'数据处理(仓储使用)'!$A273,allorders!$AG:$AG,"&lt;="&amp;日期!$B$2,allorders!$AG:$AG,"&gt;="&amp;日期!$B$1)</f>
        <v>0</v>
      </c>
      <c r="C273">
        <f>B273/(日期!$B$2-日期!$B$1+1)</f>
        <v>0</v>
      </c>
    </row>
    <row r="274" spans="2:3">
      <c r="B274">
        <f>SUMIFS(allorders!O:O,allorders!L:L,'数据处理(仓储使用)'!$A274,allorders!$AG:$AG,"&lt;="&amp;日期!$B$2,allorders!$AG:$AG,"&gt;="&amp;日期!$B$1)</f>
        <v>0</v>
      </c>
      <c r="C274">
        <f>B274/(日期!$B$2-日期!$B$1+1)</f>
        <v>0</v>
      </c>
    </row>
    <row r="275" spans="2:3">
      <c r="B275">
        <f>SUMIFS(allorders!O:O,allorders!L:L,'数据处理(仓储使用)'!$A275,allorders!$AG:$AG,"&lt;="&amp;日期!$B$2,allorders!$AG:$AG,"&gt;="&amp;日期!$B$1)</f>
        <v>0</v>
      </c>
      <c r="C275">
        <f>B275/(日期!$B$2-日期!$B$1+1)</f>
        <v>0</v>
      </c>
    </row>
    <row r="276" spans="2:3">
      <c r="B276">
        <f>SUMIFS(allorders!O:O,allorders!L:L,'数据处理(仓储使用)'!$A276,allorders!$AG:$AG,"&lt;="&amp;日期!$B$2,allorders!$AG:$AG,"&gt;="&amp;日期!$B$1)</f>
        <v>0</v>
      </c>
      <c r="C276">
        <f>B276/(日期!$B$2-日期!$B$1+1)</f>
        <v>0</v>
      </c>
    </row>
    <row r="277" spans="2:3">
      <c r="B277">
        <f>SUMIFS(allorders!O:O,allorders!L:L,'数据处理(仓储使用)'!$A277,allorders!$AG:$AG,"&lt;="&amp;日期!$B$2,allorders!$AG:$AG,"&gt;="&amp;日期!$B$1)</f>
        <v>0</v>
      </c>
      <c r="C277">
        <f>B277/(日期!$B$2-日期!$B$1+1)</f>
        <v>0</v>
      </c>
    </row>
    <row r="278" spans="2:3">
      <c r="B278">
        <f>SUMIFS(allorders!O:O,allorders!L:L,'数据处理(仓储使用)'!$A278,allorders!$AG:$AG,"&lt;="&amp;日期!$B$2,allorders!$AG:$AG,"&gt;="&amp;日期!$B$1)</f>
        <v>0</v>
      </c>
      <c r="C278">
        <f>B278/(日期!$B$2-日期!$B$1+1)</f>
        <v>0</v>
      </c>
    </row>
    <row r="279" spans="2:3">
      <c r="B279">
        <f>SUMIFS(allorders!O:O,allorders!L:L,'数据处理(仓储使用)'!$A279,allorders!$AG:$AG,"&lt;="&amp;日期!$B$2,allorders!$AG:$AG,"&gt;="&amp;日期!$B$1)</f>
        <v>0</v>
      </c>
      <c r="C279">
        <f>B279/(日期!$B$2-日期!$B$1+1)</f>
        <v>0</v>
      </c>
    </row>
    <row r="280" spans="2:3">
      <c r="B280">
        <f>SUMIFS(allorders!O:O,allorders!L:L,'数据处理(仓储使用)'!$A280,allorders!$AG:$AG,"&lt;="&amp;日期!$B$2,allorders!$AG:$AG,"&gt;="&amp;日期!$B$1)</f>
        <v>0</v>
      </c>
      <c r="C280">
        <f>B280/(日期!$B$2-日期!$B$1+1)</f>
        <v>0</v>
      </c>
    </row>
    <row r="281" spans="2:3">
      <c r="B281">
        <f>SUMIFS(allorders!O:O,allorders!L:L,'数据处理(仓储使用)'!$A281,allorders!$AG:$AG,"&lt;="&amp;日期!$B$2,allorders!$AG:$AG,"&gt;="&amp;日期!$B$1)</f>
        <v>0</v>
      </c>
      <c r="C281">
        <f>B281/(日期!$B$2-日期!$B$1+1)</f>
        <v>0</v>
      </c>
    </row>
    <row r="282" spans="2:3">
      <c r="B282">
        <f>SUMIFS(allorders!O:O,allorders!L:L,'数据处理(仓储使用)'!$A282,allorders!$AG:$AG,"&lt;="&amp;日期!$B$2,allorders!$AG:$AG,"&gt;="&amp;日期!$B$1)</f>
        <v>0</v>
      </c>
      <c r="C282">
        <f>B282/(日期!$B$2-日期!$B$1+1)</f>
        <v>0</v>
      </c>
    </row>
    <row r="283" spans="2:3">
      <c r="B283">
        <f>SUMIFS(allorders!O:O,allorders!L:L,'数据处理(仓储使用)'!$A283,allorders!$AG:$AG,"&lt;="&amp;日期!$B$2,allorders!$AG:$AG,"&gt;="&amp;日期!$B$1)</f>
        <v>0</v>
      </c>
      <c r="C283">
        <f>B283/(日期!$B$2-日期!$B$1+1)</f>
        <v>0</v>
      </c>
    </row>
    <row r="284" spans="2:3">
      <c r="B284">
        <f>SUMIFS(allorders!O:O,allorders!L:L,'数据处理(仓储使用)'!$A284,allorders!$AG:$AG,"&lt;="&amp;日期!$B$2,allorders!$AG:$AG,"&gt;="&amp;日期!$B$1)</f>
        <v>0</v>
      </c>
      <c r="C284">
        <f>B284/(日期!$B$2-日期!$B$1+1)</f>
        <v>0</v>
      </c>
    </row>
    <row r="285" spans="2:3">
      <c r="B285">
        <f>SUMIFS(allorders!O:O,allorders!L:L,'数据处理(仓储使用)'!$A285,allorders!$AG:$AG,"&lt;="&amp;日期!$B$2,allorders!$AG:$AG,"&gt;="&amp;日期!$B$1)</f>
        <v>0</v>
      </c>
      <c r="C285">
        <f>B285/(日期!$B$2-日期!$B$1+1)</f>
        <v>0</v>
      </c>
    </row>
    <row r="286" spans="2:3">
      <c r="B286">
        <f>SUMIFS(allorders!O:O,allorders!L:L,'数据处理(仓储使用)'!$A286,allorders!$AG:$AG,"&lt;="&amp;日期!$B$2,allorders!$AG:$AG,"&gt;="&amp;日期!$B$1)</f>
        <v>0</v>
      </c>
      <c r="C286">
        <f>B286/(日期!$B$2-日期!$B$1+1)</f>
        <v>0</v>
      </c>
    </row>
    <row r="287" spans="2:3">
      <c r="B287">
        <f>SUMIFS(allorders!O:O,allorders!L:L,'数据处理(仓储使用)'!$A287,allorders!$AG:$AG,"&lt;="&amp;日期!$B$2,allorders!$AG:$AG,"&gt;="&amp;日期!$B$1)</f>
        <v>0</v>
      </c>
      <c r="C287">
        <f>B287/(日期!$B$2-日期!$B$1+1)</f>
        <v>0</v>
      </c>
    </row>
    <row r="288" spans="2:3">
      <c r="B288">
        <f>SUMIFS(allorders!O:O,allorders!L:L,'数据处理(仓储使用)'!$A288,allorders!$AG:$AG,"&lt;="&amp;日期!$B$2,allorders!$AG:$AG,"&gt;="&amp;日期!$B$1)</f>
        <v>0</v>
      </c>
      <c r="C288">
        <f>B288/(日期!$B$2-日期!$B$1+1)</f>
        <v>0</v>
      </c>
    </row>
    <row r="289" spans="2:3">
      <c r="B289">
        <f>SUMIFS(allorders!O:O,allorders!L:L,'数据处理(仓储使用)'!$A289,allorders!$AG:$AG,"&lt;="&amp;日期!$B$2,allorders!$AG:$AG,"&gt;="&amp;日期!$B$1)</f>
        <v>0</v>
      </c>
      <c r="C289">
        <f>B289/(日期!$B$2-日期!$B$1+1)</f>
        <v>0</v>
      </c>
    </row>
    <row r="290" spans="2:3">
      <c r="B290">
        <f>SUMIFS(allorders!O:O,allorders!L:L,'数据处理(仓储使用)'!$A290,allorders!$AG:$AG,"&lt;="&amp;日期!$B$2,allorders!$AG:$AG,"&gt;="&amp;日期!$B$1)</f>
        <v>0</v>
      </c>
      <c r="C290">
        <f>B290/(日期!$B$2-日期!$B$1+1)</f>
        <v>0</v>
      </c>
    </row>
    <row r="291" spans="2:3">
      <c r="B291">
        <f>SUMIFS(allorders!O:O,allorders!L:L,'数据处理(仓储使用)'!$A291,allorders!$AG:$AG,"&lt;="&amp;日期!$B$2,allorders!$AG:$AG,"&gt;="&amp;日期!$B$1)</f>
        <v>0</v>
      </c>
      <c r="C291">
        <f>B291/(日期!$B$2-日期!$B$1+1)</f>
        <v>0</v>
      </c>
    </row>
    <row r="292" spans="2:3">
      <c r="B292">
        <f>SUMIFS(allorders!O:O,allorders!L:L,'数据处理(仓储使用)'!$A292,allorders!$AG:$AG,"&lt;="&amp;日期!$B$2,allorders!$AG:$AG,"&gt;="&amp;日期!$B$1)</f>
        <v>0</v>
      </c>
      <c r="C292">
        <f>B292/(日期!$B$2-日期!$B$1+1)</f>
        <v>0</v>
      </c>
    </row>
    <row r="293" spans="2:3">
      <c r="B293">
        <f>SUMIFS(allorders!O:O,allorders!L:L,'数据处理(仓储使用)'!$A293,allorders!$AG:$AG,"&lt;="&amp;日期!$B$2,allorders!$AG:$AG,"&gt;="&amp;日期!$B$1)</f>
        <v>0</v>
      </c>
      <c r="C293">
        <f>B293/(日期!$B$2-日期!$B$1+1)</f>
        <v>0</v>
      </c>
    </row>
    <row r="294" spans="2:3">
      <c r="B294">
        <f>SUMIFS(allorders!O:O,allorders!L:L,'数据处理(仓储使用)'!$A294,allorders!$AG:$AG,"&lt;="&amp;日期!$B$2,allorders!$AG:$AG,"&gt;="&amp;日期!$B$1)</f>
        <v>0</v>
      </c>
      <c r="C294">
        <f>B294/(日期!$B$2-日期!$B$1+1)</f>
        <v>0</v>
      </c>
    </row>
    <row r="295" spans="2:3">
      <c r="B295">
        <f>SUMIFS(allorders!O:O,allorders!L:L,'数据处理(仓储使用)'!$A295,allorders!$AG:$AG,"&lt;="&amp;日期!$B$2,allorders!$AG:$AG,"&gt;="&amp;日期!$B$1)</f>
        <v>0</v>
      </c>
      <c r="C295">
        <f>B295/(日期!$B$2-日期!$B$1+1)</f>
        <v>0</v>
      </c>
    </row>
    <row r="296" spans="2:3">
      <c r="B296">
        <f>SUMIFS(allorders!O:O,allorders!L:L,'数据处理(仓储使用)'!$A296,allorders!$AG:$AG,"&lt;="&amp;日期!$B$2,allorders!$AG:$AG,"&gt;="&amp;日期!$B$1)</f>
        <v>0</v>
      </c>
      <c r="C296">
        <f>B296/(日期!$B$2-日期!$B$1+1)</f>
        <v>0</v>
      </c>
    </row>
    <row r="297" spans="2:3">
      <c r="B297">
        <f>SUMIFS(allorders!O:O,allorders!L:L,'数据处理(仓储使用)'!$A297,allorders!$AG:$AG,"&lt;="&amp;日期!$B$2,allorders!$AG:$AG,"&gt;="&amp;日期!$B$1)</f>
        <v>0</v>
      </c>
      <c r="C297">
        <f>B297/(日期!$B$2-日期!$B$1+1)</f>
        <v>0</v>
      </c>
    </row>
    <row r="298" spans="2:3">
      <c r="B298">
        <f>SUMIFS(allorders!O:O,allorders!L:L,'数据处理(仓储使用)'!$A298,allorders!$AG:$AG,"&lt;="&amp;日期!$B$2,allorders!$AG:$AG,"&gt;="&amp;日期!$B$1)</f>
        <v>0</v>
      </c>
      <c r="C298">
        <f>B298/(日期!$B$2-日期!$B$1+1)</f>
        <v>0</v>
      </c>
    </row>
    <row r="299" spans="2:3">
      <c r="B299">
        <f>SUMIFS(allorders!O:O,allorders!L:L,'数据处理(仓储使用)'!$A299,allorders!$AG:$AG,"&lt;="&amp;日期!$B$2,allorders!$AG:$AG,"&gt;="&amp;日期!$B$1)</f>
        <v>0</v>
      </c>
      <c r="C299">
        <f>B299/(日期!$B$2-日期!$B$1+1)</f>
        <v>0</v>
      </c>
    </row>
    <row r="300" spans="2:3">
      <c r="B300">
        <f>SUMIFS(allorders!O:O,allorders!L:L,'数据处理(仓储使用)'!$A300,allorders!$AG:$AG,"&lt;="&amp;日期!$B$2,allorders!$AG:$AG,"&gt;="&amp;日期!$B$1)</f>
        <v>0</v>
      </c>
      <c r="C300">
        <f>B300/(日期!$B$2-日期!$B$1+1)</f>
        <v>0</v>
      </c>
    </row>
    <row r="301" spans="2:3">
      <c r="B301">
        <f>SUMIFS(allorders!O:O,allorders!L:L,'数据处理(仓储使用)'!$A301,allorders!$AG:$AG,"&lt;="&amp;日期!$B$2,allorders!$AG:$AG,"&gt;="&amp;日期!$B$1)</f>
        <v>0</v>
      </c>
      <c r="C301">
        <f>B301/(日期!$B$2-日期!$B$1+1)</f>
        <v>0</v>
      </c>
    </row>
    <row r="302" spans="2:3">
      <c r="B302">
        <f>SUMIFS(allorders!O:O,allorders!L:L,'数据处理(仓储使用)'!$A302,allorders!$AG:$AG,"&lt;="&amp;日期!$B$2,allorders!$AG:$AG,"&gt;="&amp;日期!$B$1)</f>
        <v>0</v>
      </c>
      <c r="C302">
        <f>B302/(日期!$B$2-日期!$B$1+1)</f>
        <v>0</v>
      </c>
    </row>
    <row r="303" spans="2:3">
      <c r="B303">
        <f>SUMIFS(allorders!O:O,allorders!L:L,'数据处理(仓储使用)'!$A303,allorders!$AG:$AG,"&lt;="&amp;日期!$B$2,allorders!$AG:$AG,"&gt;="&amp;日期!$B$1)</f>
        <v>0</v>
      </c>
      <c r="C303">
        <f>B303/(日期!$B$2-日期!$B$1+1)</f>
        <v>0</v>
      </c>
    </row>
    <row r="304" spans="2:3">
      <c r="B304">
        <f>SUMIFS(allorders!O:O,allorders!L:L,'数据处理(仓储使用)'!$A304,allorders!$AG:$AG,"&lt;="&amp;日期!$B$2,allorders!$AG:$AG,"&gt;="&amp;日期!$B$1)</f>
        <v>0</v>
      </c>
      <c r="C304">
        <f>B304/(日期!$B$2-日期!$B$1+1)</f>
        <v>0</v>
      </c>
    </row>
    <row r="305" spans="2:3">
      <c r="B305">
        <f>SUMIFS(allorders!O:O,allorders!L:L,'数据处理(仓储使用)'!$A305,allorders!$AG:$AG,"&lt;="&amp;日期!$B$2,allorders!$AG:$AG,"&gt;="&amp;日期!$B$1)</f>
        <v>0</v>
      </c>
      <c r="C305">
        <f>B305/(日期!$B$2-日期!$B$1+1)</f>
        <v>0</v>
      </c>
    </row>
    <row r="306" spans="2:3">
      <c r="B306">
        <f>SUMIFS(allorders!O:O,allorders!L:L,'数据处理(仓储使用)'!$A306,allorders!$AG:$AG,"&lt;="&amp;日期!$B$2,allorders!$AG:$AG,"&gt;="&amp;日期!$B$1)</f>
        <v>0</v>
      </c>
      <c r="C306">
        <f>B306/(日期!$B$2-日期!$B$1+1)</f>
        <v>0</v>
      </c>
    </row>
    <row r="307" spans="2:3">
      <c r="B307">
        <f>SUMIFS(allorders!O:O,allorders!L:L,'数据处理(仓储使用)'!$A307,allorders!$AG:$AG,"&lt;="&amp;日期!$B$2,allorders!$AG:$AG,"&gt;="&amp;日期!$B$1)</f>
        <v>0</v>
      </c>
      <c r="C307">
        <f>B307/(日期!$B$2-日期!$B$1+1)</f>
        <v>0</v>
      </c>
    </row>
    <row r="308" spans="2:3">
      <c r="B308">
        <f>SUMIFS(allorders!O:O,allorders!L:L,'数据处理(仓储使用)'!$A308,allorders!$AG:$AG,"&lt;="&amp;日期!$B$2,allorders!$AG:$AG,"&gt;="&amp;日期!$B$1)</f>
        <v>0</v>
      </c>
      <c r="C308">
        <f>B308/(日期!$B$2-日期!$B$1+1)</f>
        <v>0</v>
      </c>
    </row>
    <row r="309" spans="2:3">
      <c r="B309">
        <f>SUMIFS(allorders!O:O,allorders!L:L,'数据处理(仓储使用)'!$A309,allorders!$AG:$AG,"&lt;="&amp;日期!$B$2,allorders!$AG:$AG,"&gt;="&amp;日期!$B$1)</f>
        <v>0</v>
      </c>
      <c r="C309">
        <f>B309/(日期!$B$2-日期!$B$1+1)</f>
        <v>0</v>
      </c>
    </row>
    <row r="310" spans="2:3">
      <c r="B310">
        <f>SUMIFS(allorders!O:O,allorders!L:L,'数据处理(仓储使用)'!$A310,allorders!$AG:$AG,"&lt;="&amp;日期!$B$2,allorders!$AG:$AG,"&gt;="&amp;日期!$B$1)</f>
        <v>0</v>
      </c>
      <c r="C310">
        <f>B310/(日期!$B$2-日期!$B$1+1)</f>
        <v>0</v>
      </c>
    </row>
    <row r="311" spans="2:3">
      <c r="B311">
        <f>SUMIFS(allorders!O:O,allorders!L:L,'数据处理(仓储使用)'!$A311,allorders!$AG:$AG,"&lt;="&amp;日期!$B$2,allorders!$AG:$AG,"&gt;="&amp;日期!$B$1)</f>
        <v>0</v>
      </c>
      <c r="C311">
        <f>B311/(日期!$B$2-日期!$B$1+1)</f>
        <v>0</v>
      </c>
    </row>
    <row r="312" spans="2:3">
      <c r="B312">
        <f>SUMIFS(allorders!O:O,allorders!L:L,'数据处理(仓储使用)'!$A312,allorders!$AG:$AG,"&lt;="&amp;日期!$B$2,allorders!$AG:$AG,"&gt;="&amp;日期!$B$1)</f>
        <v>0</v>
      </c>
      <c r="C312">
        <f>B312/(日期!$B$2-日期!$B$1+1)</f>
        <v>0</v>
      </c>
    </row>
    <row r="313" spans="2:3">
      <c r="B313">
        <f>SUMIFS(allorders!O:O,allorders!L:L,'数据处理(仓储使用)'!$A313,allorders!$AG:$AG,"&lt;="&amp;日期!$B$2,allorders!$AG:$AG,"&gt;="&amp;日期!$B$1)</f>
        <v>0</v>
      </c>
      <c r="C313">
        <f>B313/(日期!$B$2-日期!$B$1+1)</f>
        <v>0</v>
      </c>
    </row>
    <row r="314" spans="2:3">
      <c r="B314">
        <f>SUMIFS(allorders!O:O,allorders!L:L,'数据处理(仓储使用)'!$A314,allorders!$AG:$AG,"&lt;="&amp;日期!$B$2,allorders!$AG:$AG,"&gt;="&amp;日期!$B$1)</f>
        <v>0</v>
      </c>
      <c r="C314">
        <f>B314/(日期!$B$2-日期!$B$1+1)</f>
        <v>0</v>
      </c>
    </row>
    <row r="315" spans="2:3">
      <c r="B315">
        <f>SUMIFS(allorders!O:O,allorders!L:L,'数据处理(仓储使用)'!$A315,allorders!$AG:$AG,"&lt;="&amp;日期!$B$2,allorders!$AG:$AG,"&gt;="&amp;日期!$B$1)</f>
        <v>0</v>
      </c>
      <c r="C315">
        <f>B315/(日期!$B$2-日期!$B$1+1)</f>
        <v>0</v>
      </c>
    </row>
    <row r="316" spans="2:3">
      <c r="B316">
        <f>SUMIFS(allorders!O:O,allorders!L:L,'数据处理(仓储使用)'!$A316,allorders!$AG:$AG,"&lt;="&amp;日期!$B$2,allorders!$AG:$AG,"&gt;="&amp;日期!$B$1)</f>
        <v>0</v>
      </c>
      <c r="C316">
        <f>B316/(日期!$B$2-日期!$B$1+1)</f>
        <v>0</v>
      </c>
    </row>
    <row r="317" spans="2:3">
      <c r="B317">
        <f>SUMIFS(allorders!O:O,allorders!L:L,'数据处理(仓储使用)'!$A317,allorders!$AG:$AG,"&lt;="&amp;日期!$B$2,allorders!$AG:$AG,"&gt;="&amp;日期!$B$1)</f>
        <v>0</v>
      </c>
      <c r="C317">
        <f>B317/(日期!$B$2-日期!$B$1+1)</f>
        <v>0</v>
      </c>
    </row>
    <row r="318" spans="2:3">
      <c r="B318">
        <f>SUMIFS(allorders!O:O,allorders!L:L,'数据处理(仓储使用)'!$A318,allorders!$AG:$AG,"&lt;="&amp;日期!$B$2,allorders!$AG:$AG,"&gt;="&amp;日期!$B$1)</f>
        <v>0</v>
      </c>
      <c r="C318">
        <f>B318/(日期!$B$2-日期!$B$1+1)</f>
        <v>0</v>
      </c>
    </row>
    <row r="319" spans="2:3">
      <c r="B319">
        <f>SUMIFS(allorders!O:O,allorders!L:L,'数据处理(仓储使用)'!$A319,allorders!$AG:$AG,"&lt;="&amp;日期!$B$2,allorders!$AG:$AG,"&gt;="&amp;日期!$B$1)</f>
        <v>0</v>
      </c>
      <c r="C319">
        <f>B319/(日期!$B$2-日期!$B$1+1)</f>
        <v>0</v>
      </c>
    </row>
    <row r="320" spans="2:3">
      <c r="B320">
        <f>SUMIFS(allorders!O:O,allorders!L:L,'数据处理(仓储使用)'!$A320,allorders!$AG:$AG,"&lt;="&amp;日期!$B$2,allorders!$AG:$AG,"&gt;="&amp;日期!$B$1)</f>
        <v>0</v>
      </c>
      <c r="C320">
        <f>B320/(日期!$B$2-日期!$B$1+1)</f>
        <v>0</v>
      </c>
    </row>
    <row r="321" spans="2:3">
      <c r="B321">
        <f>SUMIFS(allorders!O:O,allorders!L:L,'数据处理(仓储使用)'!$A321,allorders!$AG:$AG,"&lt;="&amp;日期!$B$2,allorders!$AG:$AG,"&gt;="&amp;日期!$B$1)</f>
        <v>0</v>
      </c>
      <c r="C321">
        <f>B321/(日期!$B$2-日期!$B$1+1)</f>
        <v>0</v>
      </c>
    </row>
    <row r="322" spans="2:3">
      <c r="B322">
        <f>SUMIFS(allorders!O:O,allorders!L:L,'数据处理(仓储使用)'!$A322,allorders!$AG:$AG,"&lt;="&amp;日期!$B$2,allorders!$AG:$AG,"&gt;="&amp;日期!$B$1)</f>
        <v>0</v>
      </c>
      <c r="C322">
        <f>B322/(日期!$B$2-日期!$B$1+1)</f>
        <v>0</v>
      </c>
    </row>
    <row r="323" spans="2:3">
      <c r="B323">
        <f>SUMIFS(allorders!O:O,allorders!L:L,'数据处理(仓储使用)'!$A323,allorders!$AG:$AG,"&lt;="&amp;日期!$B$2,allorders!$AG:$AG,"&gt;="&amp;日期!$B$1)</f>
        <v>0</v>
      </c>
      <c r="C323">
        <f>B323/(日期!$B$2-日期!$B$1+1)</f>
        <v>0</v>
      </c>
    </row>
    <row r="324" spans="2:3">
      <c r="B324">
        <f>SUMIFS(allorders!O:O,allorders!L:L,'数据处理(仓储使用)'!$A324,allorders!$AG:$AG,"&lt;="&amp;日期!$B$2,allorders!$AG:$AG,"&gt;="&amp;日期!$B$1)</f>
        <v>0</v>
      </c>
      <c r="C324">
        <f>B324/(日期!$B$2-日期!$B$1+1)</f>
        <v>0</v>
      </c>
    </row>
    <row r="325" spans="2:3">
      <c r="B325">
        <f>SUMIFS(allorders!O:O,allorders!L:L,'数据处理(仓储使用)'!$A325,allorders!$AG:$AG,"&lt;="&amp;日期!$B$2,allorders!$AG:$AG,"&gt;="&amp;日期!$B$1)</f>
        <v>0</v>
      </c>
      <c r="C325">
        <f>B325/(日期!$B$2-日期!$B$1+1)</f>
        <v>0</v>
      </c>
    </row>
    <row r="326" spans="2:3">
      <c r="B326">
        <f>SUMIFS(allorders!O:O,allorders!L:L,'数据处理(仓储使用)'!$A326,allorders!$AG:$AG,"&lt;="&amp;日期!$B$2,allorders!$AG:$AG,"&gt;="&amp;日期!$B$1)</f>
        <v>0</v>
      </c>
      <c r="C326">
        <f>B326/(日期!$B$2-日期!$B$1+1)</f>
        <v>0</v>
      </c>
    </row>
    <row r="327" spans="2:3">
      <c r="B327">
        <f>SUMIFS(allorders!O:O,allorders!L:L,'数据处理(仓储使用)'!$A327,allorders!$AG:$AG,"&lt;="&amp;日期!$B$2,allorders!$AG:$AG,"&gt;="&amp;日期!$B$1)</f>
        <v>0</v>
      </c>
      <c r="C327">
        <f>B327/(日期!$B$2-日期!$B$1+1)</f>
        <v>0</v>
      </c>
    </row>
    <row r="328" spans="2:3">
      <c r="B328">
        <f>SUMIFS(allorders!O:O,allorders!L:L,'数据处理(仓储使用)'!$A328,allorders!$AG:$AG,"&lt;="&amp;日期!$B$2,allorders!$AG:$AG,"&gt;="&amp;日期!$B$1)</f>
        <v>0</v>
      </c>
      <c r="C328">
        <f>B328/(日期!$B$2-日期!$B$1+1)</f>
        <v>0</v>
      </c>
    </row>
    <row r="329" spans="2:3">
      <c r="B329">
        <f>SUMIFS(allorders!O:O,allorders!L:L,'数据处理(仓储使用)'!$A329,allorders!$AG:$AG,"&lt;="&amp;日期!$B$2,allorders!$AG:$AG,"&gt;="&amp;日期!$B$1)</f>
        <v>0</v>
      </c>
      <c r="C329">
        <f>B329/(日期!$B$2-日期!$B$1+1)</f>
        <v>0</v>
      </c>
    </row>
    <row r="330" spans="2:3">
      <c r="B330">
        <f>SUMIFS(allorders!O:O,allorders!L:L,'数据处理(仓储使用)'!$A330,allorders!$AG:$AG,"&lt;="&amp;日期!$B$2,allorders!$AG:$AG,"&gt;="&amp;日期!$B$1)</f>
        <v>0</v>
      </c>
      <c r="C330">
        <f>B330/(日期!$B$2-日期!$B$1+1)</f>
        <v>0</v>
      </c>
    </row>
    <row r="331" spans="2:3">
      <c r="B331">
        <f>SUMIFS(allorders!O:O,allorders!L:L,'数据处理(仓储使用)'!$A331,allorders!$AG:$AG,"&lt;="&amp;日期!$B$2,allorders!$AG:$AG,"&gt;="&amp;日期!$B$1)</f>
        <v>0</v>
      </c>
      <c r="C331">
        <f>B331/(日期!$B$2-日期!$B$1+1)</f>
        <v>0</v>
      </c>
    </row>
    <row r="332" spans="2:3">
      <c r="B332">
        <f>SUMIFS(allorders!O:O,allorders!L:L,'数据处理(仓储使用)'!$A332,allorders!$AG:$AG,"&lt;="&amp;日期!$B$2,allorders!$AG:$AG,"&gt;="&amp;日期!$B$1)</f>
        <v>0</v>
      </c>
      <c r="C332">
        <f>B332/(日期!$B$2-日期!$B$1+1)</f>
        <v>0</v>
      </c>
    </row>
    <row r="333" spans="2:3">
      <c r="B333">
        <f>SUMIFS(allorders!O:O,allorders!L:L,'数据处理(仓储使用)'!$A333,allorders!$AG:$AG,"&lt;="&amp;日期!$B$2,allorders!$AG:$AG,"&gt;="&amp;日期!$B$1)</f>
        <v>0</v>
      </c>
      <c r="C333">
        <f>B333/(日期!$B$2-日期!$B$1+1)</f>
        <v>0</v>
      </c>
    </row>
    <row r="334" spans="2:3">
      <c r="B334">
        <f>SUMIFS(allorders!O:O,allorders!L:L,'数据处理(仓储使用)'!$A334,allorders!$AG:$AG,"&lt;="&amp;日期!$B$2,allorders!$AG:$AG,"&gt;="&amp;日期!$B$1)</f>
        <v>0</v>
      </c>
      <c r="C334">
        <f>B334/(日期!$B$2-日期!$B$1+1)</f>
        <v>0</v>
      </c>
    </row>
    <row r="335" spans="2:3">
      <c r="B335">
        <f>SUMIFS(allorders!O:O,allorders!L:L,'数据处理(仓储使用)'!$A335,allorders!$AG:$AG,"&lt;="&amp;日期!$B$2,allorders!$AG:$AG,"&gt;="&amp;日期!$B$1)</f>
        <v>0</v>
      </c>
      <c r="C335">
        <f>B335/(日期!$B$2-日期!$B$1+1)</f>
        <v>0</v>
      </c>
    </row>
    <row r="336" spans="2:3">
      <c r="B336">
        <f>SUMIFS(allorders!O:O,allorders!L:L,'数据处理(仓储使用)'!$A336,allorders!$AG:$AG,"&lt;="&amp;日期!$B$2,allorders!$AG:$AG,"&gt;="&amp;日期!$B$1)</f>
        <v>0</v>
      </c>
      <c r="C336">
        <f>B336/(日期!$B$2-日期!$B$1+1)</f>
        <v>0</v>
      </c>
    </row>
    <row r="337" spans="2:3">
      <c r="B337">
        <f>SUMIFS(allorders!O:O,allorders!L:L,'数据处理(仓储使用)'!$A337,allorders!$AG:$AG,"&lt;="&amp;日期!$B$2,allorders!$AG:$AG,"&gt;="&amp;日期!$B$1)</f>
        <v>0</v>
      </c>
      <c r="C337">
        <f>B337/(日期!$B$2-日期!$B$1+1)</f>
        <v>0</v>
      </c>
    </row>
    <row r="338" spans="2:3">
      <c r="B338">
        <f>SUMIFS(allorders!O:O,allorders!L:L,'数据处理(仓储使用)'!$A338,allorders!$AG:$AG,"&lt;="&amp;日期!$B$2,allorders!$AG:$AG,"&gt;="&amp;日期!$B$1)</f>
        <v>0</v>
      </c>
      <c r="C338">
        <f>B338/(日期!$B$2-日期!$B$1+1)</f>
        <v>0</v>
      </c>
    </row>
    <row r="339" spans="2:3">
      <c r="B339">
        <f>SUMIFS(allorders!O:O,allorders!L:L,'数据处理(仓储使用)'!$A339,allorders!$AG:$AG,"&lt;="&amp;日期!$B$2,allorders!$AG:$AG,"&gt;="&amp;日期!$B$1)</f>
        <v>0</v>
      </c>
      <c r="C339">
        <f>B339/(日期!$B$2-日期!$B$1+1)</f>
        <v>0</v>
      </c>
    </row>
    <row r="340" spans="2:3">
      <c r="B340">
        <f>SUMIFS(allorders!O:O,allorders!L:L,'数据处理(仓储使用)'!$A340,allorders!$AG:$AG,"&lt;="&amp;日期!$B$2,allorders!$AG:$AG,"&gt;="&amp;日期!$B$1)</f>
        <v>0</v>
      </c>
      <c r="C340">
        <f>B340/(日期!$B$2-日期!$B$1+1)</f>
        <v>0</v>
      </c>
    </row>
    <row r="341" spans="2:3">
      <c r="B341">
        <f>SUMIFS(allorders!O:O,allorders!L:L,'数据处理(仓储使用)'!$A341,allorders!$AG:$AG,"&lt;="&amp;日期!$B$2,allorders!$AG:$AG,"&gt;="&amp;日期!$B$1)</f>
        <v>0</v>
      </c>
      <c r="C341">
        <f>B341/(日期!$B$2-日期!$B$1+1)</f>
        <v>0</v>
      </c>
    </row>
    <row r="342" spans="2:3">
      <c r="B342">
        <f>SUMIFS(allorders!O:O,allorders!L:L,'数据处理(仓储使用)'!$A342,allorders!$AG:$AG,"&lt;="&amp;日期!$B$2,allorders!$AG:$AG,"&gt;="&amp;日期!$B$1)</f>
        <v>0</v>
      </c>
      <c r="C342">
        <f>B342/(日期!$B$2-日期!$B$1+1)</f>
        <v>0</v>
      </c>
    </row>
    <row r="343" spans="2:3">
      <c r="B343">
        <f>SUMIFS(allorders!O:O,allorders!L:L,'数据处理(仓储使用)'!$A343,allorders!$AG:$AG,"&lt;="&amp;日期!$B$2,allorders!$AG:$AG,"&gt;="&amp;日期!$B$1)</f>
        <v>0</v>
      </c>
      <c r="C343">
        <f>B343/(日期!$B$2-日期!$B$1+1)</f>
        <v>0</v>
      </c>
    </row>
    <row r="344" spans="2:3">
      <c r="B344">
        <f>SUMIFS(allorders!O:O,allorders!L:L,'数据处理(仓储使用)'!$A344,allorders!$AG:$AG,"&lt;="&amp;日期!$B$2,allorders!$AG:$AG,"&gt;="&amp;日期!$B$1)</f>
        <v>0</v>
      </c>
      <c r="C344">
        <f>B344/(日期!$B$2-日期!$B$1+1)</f>
        <v>0</v>
      </c>
    </row>
    <row r="345" spans="2:3">
      <c r="B345">
        <f>SUMIFS(allorders!O:O,allorders!L:L,'数据处理(仓储使用)'!$A345,allorders!$AG:$AG,"&lt;="&amp;日期!$B$2,allorders!$AG:$AG,"&gt;="&amp;日期!$B$1)</f>
        <v>0</v>
      </c>
      <c r="C345">
        <f>B345/(日期!$B$2-日期!$B$1+1)</f>
        <v>0</v>
      </c>
    </row>
    <row r="346" spans="2:3">
      <c r="B346">
        <f>SUMIFS(allorders!O:O,allorders!L:L,'数据处理(仓储使用)'!$A346,allorders!$AG:$AG,"&lt;="&amp;日期!$B$2,allorders!$AG:$AG,"&gt;="&amp;日期!$B$1)</f>
        <v>0</v>
      </c>
      <c r="C346">
        <f>B346/(日期!$B$2-日期!$B$1+1)</f>
        <v>0</v>
      </c>
    </row>
    <row r="347" spans="2:3">
      <c r="B347">
        <f>SUMIFS(allorders!O:O,allorders!L:L,'数据处理(仓储使用)'!$A347,allorders!$AG:$AG,"&lt;="&amp;日期!$B$2,allorders!$AG:$AG,"&gt;="&amp;日期!$B$1)</f>
        <v>0</v>
      </c>
      <c r="C347">
        <f>B347/(日期!$B$2-日期!$B$1+1)</f>
        <v>0</v>
      </c>
    </row>
    <row r="348" spans="2:3">
      <c r="B348">
        <f>SUMIFS(allorders!O:O,allorders!L:L,'数据处理(仓储使用)'!$A348,allorders!$AG:$AG,"&lt;="&amp;日期!$B$2,allorders!$AG:$AG,"&gt;="&amp;日期!$B$1)</f>
        <v>0</v>
      </c>
      <c r="C348">
        <f>B348/(日期!$B$2-日期!$B$1+1)</f>
        <v>0</v>
      </c>
    </row>
    <row r="349" spans="2:3">
      <c r="B349">
        <f>SUMIFS(allorders!O:O,allorders!L:L,'数据处理(仓储使用)'!$A349,allorders!$AG:$AG,"&lt;="&amp;日期!$B$2,allorders!$AG:$AG,"&gt;="&amp;日期!$B$1)</f>
        <v>0</v>
      </c>
      <c r="C349">
        <f>B349/(日期!$B$2-日期!$B$1+1)</f>
        <v>0</v>
      </c>
    </row>
    <row r="350" spans="2:3">
      <c r="B350">
        <f>SUMIFS(allorders!O:O,allorders!L:L,'数据处理(仓储使用)'!$A350,allorders!$AG:$AG,"&lt;="&amp;日期!$B$2,allorders!$AG:$AG,"&gt;="&amp;日期!$B$1)</f>
        <v>0</v>
      </c>
      <c r="C350">
        <f>B350/(日期!$B$2-日期!$B$1+1)</f>
        <v>0</v>
      </c>
    </row>
    <row r="351" spans="2:3">
      <c r="B351">
        <f>SUMIFS(allorders!O:O,allorders!L:L,'数据处理(仓储使用)'!$A351,allorders!$AG:$AG,"&lt;="&amp;日期!$B$2,allorders!$AG:$AG,"&gt;="&amp;日期!$B$1)</f>
        <v>0</v>
      </c>
      <c r="C351">
        <f>B351/(日期!$B$2-日期!$B$1+1)</f>
        <v>0</v>
      </c>
    </row>
    <row r="352" spans="2:3">
      <c r="B352">
        <f>SUMIFS(allorders!O:O,allorders!L:L,'数据处理(仓储使用)'!$A352,allorders!$AG:$AG,"&lt;="&amp;日期!$B$2,allorders!$AG:$AG,"&gt;="&amp;日期!$B$1)</f>
        <v>0</v>
      </c>
      <c r="C352">
        <f>B352/(日期!$B$2-日期!$B$1+1)</f>
        <v>0</v>
      </c>
    </row>
    <row r="353" spans="2:3">
      <c r="B353">
        <f>SUMIFS(allorders!O:O,allorders!L:L,'数据处理(仓储使用)'!$A353,allorders!$AG:$AG,"&lt;="&amp;日期!$B$2,allorders!$AG:$AG,"&gt;="&amp;日期!$B$1)</f>
        <v>0</v>
      </c>
      <c r="C353">
        <f>B353/(日期!$B$2-日期!$B$1+1)</f>
        <v>0</v>
      </c>
    </row>
    <row r="354" spans="2:3">
      <c r="B354">
        <f>SUMIFS(allorders!O:O,allorders!L:L,'数据处理(仓储使用)'!$A354,allorders!$AG:$AG,"&lt;="&amp;日期!$B$2,allorders!$AG:$AG,"&gt;="&amp;日期!$B$1)</f>
        <v>0</v>
      </c>
      <c r="C354">
        <f>B354/(日期!$B$2-日期!$B$1+1)</f>
        <v>0</v>
      </c>
    </row>
    <row r="355" spans="2:3">
      <c r="B355">
        <f>SUMIFS(allorders!O:O,allorders!L:L,'数据处理(仓储使用)'!$A355,allorders!$AG:$AG,"&lt;="&amp;日期!$B$2,allorders!$AG:$AG,"&gt;="&amp;日期!$B$1)</f>
        <v>0</v>
      </c>
      <c r="C355">
        <f>B355/(日期!$B$2-日期!$B$1+1)</f>
        <v>0</v>
      </c>
    </row>
    <row r="356" spans="2:3">
      <c r="B356">
        <f>SUMIFS(allorders!O:O,allorders!L:L,'数据处理(仓储使用)'!$A356,allorders!$AG:$AG,"&lt;="&amp;日期!$B$2,allorders!$AG:$AG,"&gt;="&amp;日期!$B$1)</f>
        <v>0</v>
      </c>
      <c r="C356">
        <f>B356/(日期!$B$2-日期!$B$1+1)</f>
        <v>0</v>
      </c>
    </row>
    <row r="357" spans="2:3">
      <c r="B357">
        <f>SUMIFS(allorders!O:O,allorders!L:L,'数据处理(仓储使用)'!$A357,allorders!$AG:$AG,"&lt;="&amp;日期!$B$2,allorders!$AG:$AG,"&gt;="&amp;日期!$B$1)</f>
        <v>0</v>
      </c>
      <c r="C357">
        <f>B357/(日期!$B$2-日期!$B$1+1)</f>
        <v>0</v>
      </c>
    </row>
    <row r="358" spans="2:3">
      <c r="B358">
        <f>SUMIFS(allorders!O:O,allorders!L:L,'数据处理(仓储使用)'!$A358,allorders!$AG:$AG,"&lt;="&amp;日期!$B$2,allorders!$AG:$AG,"&gt;="&amp;日期!$B$1)</f>
        <v>0</v>
      </c>
      <c r="C358">
        <f>B358/(日期!$B$2-日期!$B$1+1)</f>
        <v>0</v>
      </c>
    </row>
    <row r="359" spans="2:3">
      <c r="B359">
        <f>SUMIFS(allorders!O:O,allorders!L:L,'数据处理(仓储使用)'!$A359,allorders!$AG:$AG,"&lt;="&amp;日期!$B$2,allorders!$AG:$AG,"&gt;="&amp;日期!$B$1)</f>
        <v>0</v>
      </c>
      <c r="C359">
        <f>B359/(日期!$B$2-日期!$B$1+1)</f>
        <v>0</v>
      </c>
    </row>
    <row r="360" spans="2:3">
      <c r="B360">
        <f>SUMIFS(allorders!O:O,allorders!L:L,'数据处理(仓储使用)'!$A360,allorders!$AG:$AG,"&lt;="&amp;日期!$B$2,allorders!$AG:$AG,"&gt;="&amp;日期!$B$1)</f>
        <v>0</v>
      </c>
      <c r="C360">
        <f>B360/(日期!$B$2-日期!$B$1+1)</f>
        <v>0</v>
      </c>
    </row>
    <row r="361" spans="2:3">
      <c r="B361">
        <f>SUMIFS(allorders!O:O,allorders!L:L,'数据处理(仓储使用)'!$A361,allorders!$AG:$AG,"&lt;="&amp;日期!$B$2,allorders!$AG:$AG,"&gt;="&amp;日期!$B$1)</f>
        <v>0</v>
      </c>
      <c r="C361">
        <f>B361/(日期!$B$2-日期!$B$1+1)</f>
        <v>0</v>
      </c>
    </row>
    <row r="362" spans="2:3">
      <c r="B362">
        <f>SUMIFS(allorders!O:O,allorders!L:L,'数据处理(仓储使用)'!$A362,allorders!$AG:$AG,"&lt;="&amp;日期!$B$2,allorders!$AG:$AG,"&gt;="&amp;日期!$B$1)</f>
        <v>0</v>
      </c>
      <c r="C362">
        <f>B362/(日期!$B$2-日期!$B$1+1)</f>
        <v>0</v>
      </c>
    </row>
    <row r="363" spans="2:3">
      <c r="B363">
        <f>SUMIFS(allorders!O:O,allorders!L:L,'数据处理(仓储使用)'!$A363,allorders!$AG:$AG,"&lt;="&amp;日期!$B$2,allorders!$AG:$AG,"&gt;="&amp;日期!$B$1)</f>
        <v>0</v>
      </c>
      <c r="C363">
        <f>B363/(日期!$B$2-日期!$B$1+1)</f>
        <v>0</v>
      </c>
    </row>
    <row r="364" spans="2:3">
      <c r="B364">
        <f>SUMIFS(allorders!O:O,allorders!L:L,'数据处理(仓储使用)'!$A364,allorders!$AG:$AG,"&lt;="&amp;日期!$B$2,allorders!$AG:$AG,"&gt;="&amp;日期!$B$1)</f>
        <v>0</v>
      </c>
      <c r="C364">
        <f>B364/(日期!$B$2-日期!$B$1+1)</f>
        <v>0</v>
      </c>
    </row>
    <row r="365" spans="2:3">
      <c r="B365">
        <f>SUMIFS(allorders!O:O,allorders!L:L,'数据处理(仓储使用)'!$A365,allorders!$AG:$AG,"&lt;="&amp;日期!$B$2,allorders!$AG:$AG,"&gt;="&amp;日期!$B$1)</f>
        <v>0</v>
      </c>
      <c r="C365">
        <f>B365/(日期!$B$2-日期!$B$1+1)</f>
        <v>0</v>
      </c>
    </row>
    <row r="366" spans="2:3">
      <c r="B366">
        <f>SUMIFS(allorders!O:O,allorders!L:L,'数据处理(仓储使用)'!$A366,allorders!$AG:$AG,"&lt;="&amp;日期!$B$2,allorders!$AG:$AG,"&gt;="&amp;日期!$B$1)</f>
        <v>0</v>
      </c>
      <c r="C366">
        <f>B366/(日期!$B$2-日期!$B$1+1)</f>
        <v>0</v>
      </c>
    </row>
    <row r="367" spans="2:3">
      <c r="B367">
        <f>SUMIFS(allorders!O:O,allorders!L:L,'数据处理(仓储使用)'!$A367,allorders!$AG:$AG,"&lt;="&amp;日期!$B$2,allorders!$AG:$AG,"&gt;="&amp;日期!$B$1)</f>
        <v>0</v>
      </c>
      <c r="C367">
        <f>B367/(日期!$B$2-日期!$B$1+1)</f>
        <v>0</v>
      </c>
    </row>
    <row r="368" spans="2:3">
      <c r="B368">
        <f>SUMIFS(allorders!O:O,allorders!L:L,'数据处理(仓储使用)'!$A368,allorders!$AG:$AG,"&lt;="&amp;日期!$B$2,allorders!$AG:$AG,"&gt;="&amp;日期!$B$1)</f>
        <v>0</v>
      </c>
      <c r="C368">
        <f>B368/(日期!$B$2-日期!$B$1+1)</f>
        <v>0</v>
      </c>
    </row>
    <row r="369" spans="2:3">
      <c r="B369">
        <f>SUMIFS(allorders!O:O,allorders!L:L,'数据处理(仓储使用)'!$A369,allorders!$AG:$AG,"&lt;="&amp;日期!$B$2,allorders!$AG:$AG,"&gt;="&amp;日期!$B$1)</f>
        <v>0</v>
      </c>
      <c r="C369">
        <f>B369/(日期!$B$2-日期!$B$1+1)</f>
        <v>0</v>
      </c>
    </row>
    <row r="370" spans="2:3">
      <c r="B370">
        <f>SUMIFS(allorders!O:O,allorders!L:L,'数据处理(仓储使用)'!$A370,allorders!$AG:$AG,"&lt;="&amp;日期!$B$2,allorders!$AG:$AG,"&gt;="&amp;日期!$B$1)</f>
        <v>0</v>
      </c>
      <c r="C370">
        <f>B370/(日期!$B$2-日期!$B$1+1)</f>
        <v>0</v>
      </c>
    </row>
    <row r="371" spans="2:3">
      <c r="B371">
        <f>SUMIFS(allorders!O:O,allorders!L:L,'数据处理(仓储使用)'!$A371,allorders!$AG:$AG,"&lt;="&amp;日期!$B$2,allorders!$AG:$AG,"&gt;="&amp;日期!$B$1)</f>
        <v>0</v>
      </c>
      <c r="C371">
        <f>B371/(日期!$B$2-日期!$B$1+1)</f>
        <v>0</v>
      </c>
    </row>
    <row r="372" spans="2:3">
      <c r="B372">
        <f>SUMIFS(allorders!O:O,allorders!L:L,'数据处理(仓储使用)'!$A372,allorders!$AG:$AG,"&lt;="&amp;日期!$B$2,allorders!$AG:$AG,"&gt;="&amp;日期!$B$1)</f>
        <v>0</v>
      </c>
      <c r="C372">
        <f>B372/(日期!$B$2-日期!$B$1+1)</f>
        <v>0</v>
      </c>
    </row>
    <row r="373" spans="2:3">
      <c r="B373">
        <f>SUMIFS(allorders!O:O,allorders!L:L,'数据处理(仓储使用)'!$A373,allorders!$AG:$AG,"&lt;="&amp;日期!$B$2,allorders!$AG:$AG,"&gt;="&amp;日期!$B$1)</f>
        <v>0</v>
      </c>
      <c r="C373">
        <f>B373/(日期!$B$2-日期!$B$1+1)</f>
        <v>0</v>
      </c>
    </row>
    <row r="374" spans="2:3">
      <c r="B374">
        <f>SUMIFS(allorders!O:O,allorders!L:L,'数据处理(仓储使用)'!$A374,allorders!$AG:$AG,"&lt;="&amp;日期!$B$2,allorders!$AG:$AG,"&gt;="&amp;日期!$B$1)</f>
        <v>0</v>
      </c>
      <c r="C374">
        <f>B374/(日期!$B$2-日期!$B$1+1)</f>
        <v>0</v>
      </c>
    </row>
    <row r="375" spans="2:3">
      <c r="B375">
        <f>SUMIFS(allorders!O:O,allorders!L:L,'数据处理(仓储使用)'!$A375,allorders!$AG:$AG,"&lt;="&amp;日期!$B$2,allorders!$AG:$AG,"&gt;="&amp;日期!$B$1)</f>
        <v>0</v>
      </c>
      <c r="C375">
        <f>B375/(日期!$B$2-日期!$B$1+1)</f>
        <v>0</v>
      </c>
    </row>
    <row r="376" spans="2:3">
      <c r="B376">
        <f>SUMIFS(allorders!O:O,allorders!L:L,'数据处理(仓储使用)'!$A376,allorders!$AG:$AG,"&lt;="&amp;日期!$B$2,allorders!$AG:$AG,"&gt;="&amp;日期!$B$1)</f>
        <v>0</v>
      </c>
      <c r="C376">
        <f>B376/(日期!$B$2-日期!$B$1+1)</f>
        <v>0</v>
      </c>
    </row>
    <row r="377" spans="2:3">
      <c r="B377">
        <f>SUMIFS(allorders!O:O,allorders!L:L,'数据处理(仓储使用)'!$A377,allorders!$AG:$AG,"&lt;="&amp;日期!$B$2,allorders!$AG:$AG,"&gt;="&amp;日期!$B$1)</f>
        <v>0</v>
      </c>
      <c r="C377">
        <f>B377/(日期!$B$2-日期!$B$1+1)</f>
        <v>0</v>
      </c>
    </row>
    <row r="378" spans="2:3">
      <c r="B378">
        <f>SUMIFS(allorders!O:O,allorders!L:L,'数据处理(仓储使用)'!$A378,allorders!$AG:$AG,"&lt;="&amp;日期!$B$2,allorders!$AG:$AG,"&gt;="&amp;日期!$B$1)</f>
        <v>0</v>
      </c>
      <c r="C378">
        <f>B378/(日期!$B$2-日期!$B$1+1)</f>
        <v>0</v>
      </c>
    </row>
    <row r="379" spans="2:3">
      <c r="B379">
        <f>SUMIFS(allorders!O:O,allorders!L:L,'数据处理(仓储使用)'!$A379,allorders!$AG:$AG,"&lt;="&amp;日期!$B$2,allorders!$AG:$AG,"&gt;="&amp;日期!$B$1)</f>
        <v>0</v>
      </c>
      <c r="C379">
        <f>B379/(日期!$B$2-日期!$B$1+1)</f>
        <v>0</v>
      </c>
    </row>
    <row r="380" spans="2:3">
      <c r="B380">
        <f>SUMIFS(allorders!O:O,allorders!L:L,'数据处理(仓储使用)'!$A380,allorders!$AG:$AG,"&lt;="&amp;日期!$B$2,allorders!$AG:$AG,"&gt;="&amp;日期!$B$1)</f>
        <v>0</v>
      </c>
      <c r="C380">
        <f>B380/(日期!$B$2-日期!$B$1+1)</f>
        <v>0</v>
      </c>
    </row>
    <row r="381" spans="2:3">
      <c r="B381">
        <f>SUMIFS(allorders!O:O,allorders!L:L,'数据处理(仓储使用)'!$A381,allorders!$AG:$AG,"&lt;="&amp;日期!$B$2,allorders!$AG:$AG,"&gt;="&amp;日期!$B$1)</f>
        <v>0</v>
      </c>
      <c r="C381">
        <f>B381/(日期!$B$2-日期!$B$1+1)</f>
        <v>0</v>
      </c>
    </row>
    <row r="382" spans="2:3">
      <c r="B382">
        <f>SUMIFS(allorders!O:O,allorders!L:L,'数据处理(仓储使用)'!$A382,allorders!$AG:$AG,"&lt;="&amp;日期!$B$2,allorders!$AG:$AG,"&gt;="&amp;日期!$B$1)</f>
        <v>0</v>
      </c>
      <c r="C382">
        <f>B382/(日期!$B$2-日期!$B$1+1)</f>
        <v>0</v>
      </c>
    </row>
    <row r="383" spans="2:3">
      <c r="B383">
        <f>SUMIFS(allorders!O:O,allorders!L:L,'数据处理(仓储使用)'!$A383,allorders!$AG:$AG,"&lt;="&amp;日期!$B$2,allorders!$AG:$AG,"&gt;="&amp;日期!$B$1)</f>
        <v>0</v>
      </c>
      <c r="C383">
        <f>B383/(日期!$B$2-日期!$B$1+1)</f>
        <v>0</v>
      </c>
    </row>
    <row r="384" spans="2:3">
      <c r="B384">
        <f>SUMIFS(allorders!O:O,allorders!L:L,'数据处理(仓储使用)'!$A384,allorders!$AG:$AG,"&lt;="&amp;日期!$B$2,allorders!$AG:$AG,"&gt;="&amp;日期!$B$1)</f>
        <v>0</v>
      </c>
      <c r="C384">
        <f>B384/(日期!$B$2-日期!$B$1+1)</f>
        <v>0</v>
      </c>
    </row>
    <row r="385" spans="2:3">
      <c r="B385">
        <f>SUMIFS(allorders!O:O,allorders!L:L,'数据处理(仓储使用)'!$A385,allorders!$AG:$AG,"&lt;="&amp;日期!$B$2,allorders!$AG:$AG,"&gt;="&amp;日期!$B$1)</f>
        <v>0</v>
      </c>
      <c r="C385">
        <f>B385/(日期!$B$2-日期!$B$1+1)</f>
        <v>0</v>
      </c>
    </row>
    <row r="386" spans="2:3">
      <c r="B386">
        <f>SUMIFS(allorders!O:O,allorders!L:L,'数据处理(仓储使用)'!$A386,allorders!$AG:$AG,"&lt;="&amp;日期!$B$2,allorders!$AG:$AG,"&gt;="&amp;日期!$B$1)</f>
        <v>0</v>
      </c>
      <c r="C386">
        <f>B386/(日期!$B$2-日期!$B$1+1)</f>
        <v>0</v>
      </c>
    </row>
    <row r="387" spans="2:3">
      <c r="B387">
        <f>SUMIFS(allorders!O:O,allorders!L:L,'数据处理(仓储使用)'!$A387,allorders!$AG:$AG,"&lt;="&amp;日期!$B$2,allorders!$AG:$AG,"&gt;="&amp;日期!$B$1)</f>
        <v>0</v>
      </c>
      <c r="C387">
        <f>B387/(日期!$B$2-日期!$B$1+1)</f>
        <v>0</v>
      </c>
    </row>
    <row r="388" spans="2:3">
      <c r="B388">
        <f>SUMIFS(allorders!O:O,allorders!L:L,'数据处理(仓储使用)'!$A388,allorders!$AG:$AG,"&lt;="&amp;日期!$B$2,allorders!$AG:$AG,"&gt;="&amp;日期!$B$1)</f>
        <v>0</v>
      </c>
      <c r="C388">
        <f>B388/(日期!$B$2-日期!$B$1+1)</f>
        <v>0</v>
      </c>
    </row>
    <row r="389" spans="2:3">
      <c r="B389">
        <f>SUMIFS(allorders!O:O,allorders!L:L,'数据处理(仓储使用)'!$A389,allorders!$AG:$AG,"&lt;="&amp;日期!$B$2,allorders!$AG:$AG,"&gt;="&amp;日期!$B$1)</f>
        <v>0</v>
      </c>
      <c r="C389">
        <f>B389/(日期!$B$2-日期!$B$1+1)</f>
        <v>0</v>
      </c>
    </row>
    <row r="390" spans="2:3">
      <c r="B390">
        <f>SUMIFS(allorders!O:O,allorders!L:L,'数据处理(仓储使用)'!$A390,allorders!$AG:$AG,"&lt;="&amp;日期!$B$2,allorders!$AG:$AG,"&gt;="&amp;日期!$B$1)</f>
        <v>0</v>
      </c>
      <c r="C390">
        <f>B390/(日期!$B$2-日期!$B$1+1)</f>
        <v>0</v>
      </c>
    </row>
    <row r="391" spans="2:3">
      <c r="B391">
        <f>SUMIFS(allorders!O:O,allorders!L:L,'数据处理(仓储使用)'!$A391,allorders!$AG:$AG,"&lt;="&amp;日期!$B$2,allorders!$AG:$AG,"&gt;="&amp;日期!$B$1)</f>
        <v>0</v>
      </c>
      <c r="C391">
        <f>B391/(日期!$B$2-日期!$B$1+1)</f>
        <v>0</v>
      </c>
    </row>
    <row r="392" spans="2:3">
      <c r="B392">
        <f>SUMIFS(allorders!O:O,allorders!L:L,'数据处理(仓储使用)'!$A392,allorders!$AG:$AG,"&lt;="&amp;日期!$B$2,allorders!$AG:$AG,"&gt;="&amp;日期!$B$1)</f>
        <v>0</v>
      </c>
      <c r="C392">
        <f>B392/(日期!$B$2-日期!$B$1+1)</f>
        <v>0</v>
      </c>
    </row>
    <row r="393" spans="2:3">
      <c r="B393">
        <f>SUMIFS(allorders!O:O,allorders!L:L,'数据处理(仓储使用)'!$A393,allorders!$AG:$AG,"&lt;="&amp;日期!$B$2,allorders!$AG:$AG,"&gt;="&amp;日期!$B$1)</f>
        <v>0</v>
      </c>
      <c r="C393">
        <f>B393/(日期!$B$2-日期!$B$1+1)</f>
        <v>0</v>
      </c>
    </row>
    <row r="394" spans="2:3">
      <c r="B394">
        <f>SUMIFS(allorders!O:O,allorders!L:L,'数据处理(仓储使用)'!$A394,allorders!$AG:$AG,"&lt;="&amp;日期!$B$2,allorders!$AG:$AG,"&gt;="&amp;日期!$B$1)</f>
        <v>0</v>
      </c>
      <c r="C394">
        <f>B394/(日期!$B$2-日期!$B$1+1)</f>
        <v>0</v>
      </c>
    </row>
    <row r="395" spans="2:3">
      <c r="B395">
        <f>SUMIFS(allorders!O:O,allorders!L:L,'数据处理(仓储使用)'!$A395,allorders!$AG:$AG,"&lt;="&amp;日期!$B$2,allorders!$AG:$AG,"&gt;="&amp;日期!$B$1)</f>
        <v>0</v>
      </c>
      <c r="C395">
        <f>B395/(日期!$B$2-日期!$B$1+1)</f>
        <v>0</v>
      </c>
    </row>
    <row r="396" spans="2:3">
      <c r="B396">
        <f>SUMIFS(allorders!O:O,allorders!L:L,'数据处理(仓储使用)'!$A396,allorders!$AG:$AG,"&lt;="&amp;日期!$B$2,allorders!$AG:$AG,"&gt;="&amp;日期!$B$1)</f>
        <v>0</v>
      </c>
      <c r="C396">
        <f>B396/(日期!$B$2-日期!$B$1+1)</f>
        <v>0</v>
      </c>
    </row>
    <row r="397" spans="2:3">
      <c r="B397">
        <f>SUMIFS(allorders!O:O,allorders!L:L,'数据处理(仓储使用)'!$A397,allorders!$AG:$AG,"&lt;="&amp;日期!$B$2,allorders!$AG:$AG,"&gt;="&amp;日期!$B$1)</f>
        <v>0</v>
      </c>
      <c r="C397">
        <f>B397/(日期!$B$2-日期!$B$1+1)</f>
        <v>0</v>
      </c>
    </row>
    <row r="398" spans="2:3">
      <c r="B398">
        <f>SUMIFS(allorders!O:O,allorders!L:L,'数据处理(仓储使用)'!$A398,allorders!$AG:$AG,"&lt;="&amp;日期!$B$2,allorders!$AG:$AG,"&gt;="&amp;日期!$B$1)</f>
        <v>0</v>
      </c>
      <c r="C398">
        <f>B398/(日期!$B$2-日期!$B$1+1)</f>
        <v>0</v>
      </c>
    </row>
    <row r="399" spans="2:3">
      <c r="B399">
        <f>SUMIFS(allorders!O:O,allorders!L:L,'数据处理(仓储使用)'!$A399,allorders!$AG:$AG,"&lt;="&amp;日期!$B$2,allorders!$AG:$AG,"&gt;="&amp;日期!$B$1)</f>
        <v>0</v>
      </c>
      <c r="C399">
        <f>B399/(日期!$B$2-日期!$B$1+1)</f>
        <v>0</v>
      </c>
    </row>
    <row r="400" spans="2:3">
      <c r="B400">
        <f>SUMIFS(allorders!O:O,allorders!L:L,'数据处理(仓储使用)'!$A400,allorders!$AG:$AG,"&lt;="&amp;日期!$B$2,allorders!$AG:$AG,"&gt;="&amp;日期!$B$1)</f>
        <v>0</v>
      </c>
      <c r="C400">
        <f>B400/(日期!$B$2-日期!$B$1+1)</f>
        <v>0</v>
      </c>
    </row>
    <row r="401" spans="2:3">
      <c r="B401">
        <f>SUMIFS(allorders!O:O,allorders!L:L,'数据处理(仓储使用)'!$A401,allorders!$AG:$AG,"&lt;="&amp;日期!$B$2,allorders!$AG:$AG,"&gt;="&amp;日期!$B$1)</f>
        <v>0</v>
      </c>
      <c r="C401">
        <f>B401/(日期!$B$2-日期!$B$1+1)</f>
        <v>0</v>
      </c>
    </row>
    <row r="402" spans="2:3">
      <c r="B402">
        <f>SUMIFS(allorders!O:O,allorders!L:L,'数据处理(仓储使用)'!$A402,allorders!$AG:$AG,"&lt;="&amp;日期!$B$2,allorders!$AG:$AG,"&gt;="&amp;日期!$B$1)</f>
        <v>0</v>
      </c>
      <c r="C402">
        <f>B402/(日期!$B$2-日期!$B$1+1)</f>
        <v>0</v>
      </c>
    </row>
    <row r="403" spans="2:3">
      <c r="B403">
        <f>SUMIFS(allorders!O:O,allorders!L:L,'数据处理(仓储使用)'!$A403,allorders!$AG:$AG,"&lt;="&amp;日期!$B$2,allorders!$AG:$AG,"&gt;="&amp;日期!$B$1)</f>
        <v>0</v>
      </c>
      <c r="C403">
        <f>B403/(日期!$B$2-日期!$B$1+1)</f>
        <v>0</v>
      </c>
    </row>
    <row r="404" spans="2:3">
      <c r="B404">
        <f>SUMIFS(allorders!O:O,allorders!L:L,'数据处理(仓储使用)'!$A404,allorders!$AG:$AG,"&lt;="&amp;日期!$B$2,allorders!$AG:$AG,"&gt;="&amp;日期!$B$1)</f>
        <v>0</v>
      </c>
      <c r="C404">
        <f>B404/(日期!$B$2-日期!$B$1+1)</f>
        <v>0</v>
      </c>
    </row>
    <row r="405" spans="2:3">
      <c r="B405">
        <f>SUMIFS(allorders!O:O,allorders!L:L,'数据处理(仓储使用)'!$A405,allorders!$AG:$AG,"&lt;="&amp;日期!$B$2,allorders!$AG:$AG,"&gt;="&amp;日期!$B$1)</f>
        <v>0</v>
      </c>
      <c r="C405">
        <f>B405/(日期!$B$2-日期!$B$1+1)</f>
        <v>0</v>
      </c>
    </row>
    <row r="406" spans="2:3">
      <c r="B406">
        <f>SUMIFS(allorders!O:O,allorders!L:L,'数据处理(仓储使用)'!$A406,allorders!$AG:$AG,"&lt;="&amp;日期!$B$2,allorders!$AG:$AG,"&gt;="&amp;日期!$B$1)</f>
        <v>0</v>
      </c>
      <c r="C406">
        <f>B406/(日期!$B$2-日期!$B$1+1)</f>
        <v>0</v>
      </c>
    </row>
    <row r="407" spans="2:3">
      <c r="B407">
        <f>SUMIFS(allorders!O:O,allorders!L:L,'数据处理(仓储使用)'!$A407,allorders!$AG:$AG,"&lt;="&amp;日期!$B$2,allorders!$AG:$AG,"&gt;="&amp;日期!$B$1)</f>
        <v>0</v>
      </c>
      <c r="C407">
        <f>B407/(日期!$B$2-日期!$B$1+1)</f>
        <v>0</v>
      </c>
    </row>
    <row r="408" spans="2:3">
      <c r="B408">
        <f>SUMIFS(allorders!O:O,allorders!L:L,'数据处理(仓储使用)'!$A408,allorders!$AG:$AG,"&lt;="&amp;日期!$B$2,allorders!$AG:$AG,"&gt;="&amp;日期!$B$1)</f>
        <v>0</v>
      </c>
      <c r="C408">
        <f>B408/(日期!$B$2-日期!$B$1+1)</f>
        <v>0</v>
      </c>
    </row>
    <row r="409" spans="2:3">
      <c r="B409">
        <f>SUMIFS(allorders!O:O,allorders!L:L,'数据处理(仓储使用)'!$A409,allorders!$AG:$AG,"&lt;="&amp;日期!$B$2,allorders!$AG:$AG,"&gt;="&amp;日期!$B$1)</f>
        <v>0</v>
      </c>
      <c r="C409">
        <f>B409/(日期!$B$2-日期!$B$1+1)</f>
        <v>0</v>
      </c>
    </row>
    <row r="410" spans="2:3">
      <c r="B410">
        <f>SUMIFS(allorders!O:O,allorders!L:L,'数据处理(仓储使用)'!$A410,allorders!$AG:$AG,"&lt;="&amp;日期!$B$2,allorders!$AG:$AG,"&gt;="&amp;日期!$B$1)</f>
        <v>0</v>
      </c>
      <c r="C410">
        <f>B410/(日期!$B$2-日期!$B$1+1)</f>
        <v>0</v>
      </c>
    </row>
    <row r="411" spans="2:3">
      <c r="B411">
        <f>SUMIFS(allorders!O:O,allorders!L:L,'数据处理(仓储使用)'!$A411,allorders!$AG:$AG,"&lt;="&amp;日期!$B$2,allorders!$AG:$AG,"&gt;="&amp;日期!$B$1)</f>
        <v>0</v>
      </c>
      <c r="C411">
        <f>B411/(日期!$B$2-日期!$B$1+1)</f>
        <v>0</v>
      </c>
    </row>
    <row r="412" spans="2:3">
      <c r="B412">
        <f>SUMIFS(allorders!O:O,allorders!L:L,'数据处理(仓储使用)'!$A412,allorders!$AG:$AG,"&lt;="&amp;日期!$B$2,allorders!$AG:$AG,"&gt;="&amp;日期!$B$1)</f>
        <v>0</v>
      </c>
      <c r="C412">
        <f>B412/(日期!$B$2-日期!$B$1+1)</f>
        <v>0</v>
      </c>
    </row>
    <row r="413" spans="2:3">
      <c r="B413">
        <f>SUMIFS(allorders!O:O,allorders!L:L,'数据处理(仓储使用)'!$A413,allorders!$AG:$AG,"&lt;="&amp;日期!$B$2,allorders!$AG:$AG,"&gt;="&amp;日期!$B$1)</f>
        <v>0</v>
      </c>
      <c r="C413">
        <f>B413/(日期!$B$2-日期!$B$1+1)</f>
        <v>0</v>
      </c>
    </row>
    <row r="414" spans="2:3">
      <c r="B414">
        <f>SUMIFS(allorders!O:O,allorders!L:L,'数据处理(仓储使用)'!$A414,allorders!$AG:$AG,"&lt;="&amp;日期!$B$2,allorders!$AG:$AG,"&gt;="&amp;日期!$B$1)</f>
        <v>0</v>
      </c>
      <c r="C414">
        <f>B414/(日期!$B$2-日期!$B$1+1)</f>
        <v>0</v>
      </c>
    </row>
    <row r="415" spans="2:3">
      <c r="B415">
        <f>SUMIFS(allorders!O:O,allorders!L:L,'数据处理(仓储使用)'!$A415,allorders!$AG:$AG,"&lt;="&amp;日期!$B$2,allorders!$AG:$AG,"&gt;="&amp;日期!$B$1)</f>
        <v>0</v>
      </c>
      <c r="C415">
        <f>B415/(日期!$B$2-日期!$B$1+1)</f>
        <v>0</v>
      </c>
    </row>
    <row r="416" spans="2:3">
      <c r="B416">
        <f>SUMIFS(allorders!O:O,allorders!L:L,'数据处理(仓储使用)'!$A416,allorders!$AG:$AG,"&lt;="&amp;日期!$B$2,allorders!$AG:$AG,"&gt;="&amp;日期!$B$1)</f>
        <v>0</v>
      </c>
      <c r="C416">
        <f>B416/(日期!$B$2-日期!$B$1+1)</f>
        <v>0</v>
      </c>
    </row>
    <row r="417" spans="2:3">
      <c r="B417">
        <f>SUMIFS(allorders!O:O,allorders!L:L,'数据处理(仓储使用)'!$A417,allorders!$AG:$AG,"&lt;="&amp;日期!$B$2,allorders!$AG:$AG,"&gt;="&amp;日期!$B$1)</f>
        <v>0</v>
      </c>
      <c r="C417">
        <f>B417/(日期!$B$2-日期!$B$1+1)</f>
        <v>0</v>
      </c>
    </row>
    <row r="418" spans="2:3">
      <c r="B418">
        <f>SUMIFS(allorders!O:O,allorders!L:L,'数据处理(仓储使用)'!$A418,allorders!$AG:$AG,"&lt;="&amp;日期!$B$2,allorders!$AG:$AG,"&gt;="&amp;日期!$B$1)</f>
        <v>0</v>
      </c>
      <c r="C418">
        <f>B418/(日期!$B$2-日期!$B$1+1)</f>
        <v>0</v>
      </c>
    </row>
    <row r="419" spans="2:3">
      <c r="B419">
        <f>SUMIFS(allorders!O:O,allorders!L:L,'数据处理(仓储使用)'!$A419,allorders!$AG:$AG,"&lt;="&amp;日期!$B$2,allorders!$AG:$AG,"&gt;="&amp;日期!$B$1)</f>
        <v>0</v>
      </c>
      <c r="C419">
        <f>B419/(日期!$B$2-日期!$B$1+1)</f>
        <v>0</v>
      </c>
    </row>
    <row r="420" spans="2:3">
      <c r="B420">
        <f>SUMIFS(allorders!O:O,allorders!L:L,'数据处理(仓储使用)'!$A420,allorders!$AG:$AG,"&lt;="&amp;日期!$B$2,allorders!$AG:$AG,"&gt;="&amp;日期!$B$1)</f>
        <v>0</v>
      </c>
      <c r="C420">
        <f>B420/(日期!$B$2-日期!$B$1+1)</f>
        <v>0</v>
      </c>
    </row>
    <row r="421" spans="2:3">
      <c r="B421">
        <f>SUMIFS(allorders!O:O,allorders!L:L,'数据处理(仓储使用)'!$A421,allorders!$AG:$AG,"&lt;="&amp;日期!$B$2,allorders!$AG:$AG,"&gt;="&amp;日期!$B$1)</f>
        <v>0</v>
      </c>
      <c r="C421">
        <f>B421/(日期!$B$2-日期!$B$1+1)</f>
        <v>0</v>
      </c>
    </row>
    <row r="422" spans="2:3">
      <c r="B422">
        <f>SUMIFS(allorders!O:O,allorders!L:L,'数据处理(仓储使用)'!$A422,allorders!$AG:$AG,"&lt;="&amp;日期!$B$2,allorders!$AG:$AG,"&gt;="&amp;日期!$B$1)</f>
        <v>0</v>
      </c>
      <c r="C422">
        <f>B422/(日期!$B$2-日期!$B$1+1)</f>
        <v>0</v>
      </c>
    </row>
    <row r="423" spans="2:3">
      <c r="B423">
        <f>SUMIFS(allorders!O:O,allorders!L:L,'数据处理(仓储使用)'!$A423,allorders!$AG:$AG,"&lt;="&amp;日期!$B$2,allorders!$AG:$AG,"&gt;="&amp;日期!$B$1)</f>
        <v>0</v>
      </c>
      <c r="C423">
        <f>B423/(日期!$B$2-日期!$B$1+1)</f>
        <v>0</v>
      </c>
    </row>
    <row r="424" spans="2:3">
      <c r="B424">
        <f>SUMIFS(allorders!O:O,allorders!L:L,'数据处理(仓储使用)'!$A424,allorders!$AG:$AG,"&lt;="&amp;日期!$B$2,allorders!$AG:$AG,"&gt;="&amp;日期!$B$1)</f>
        <v>0</v>
      </c>
      <c r="C424">
        <f>B424/(日期!$B$2-日期!$B$1+1)</f>
        <v>0</v>
      </c>
    </row>
    <row r="425" spans="2:3">
      <c r="B425">
        <f>SUMIFS(allorders!O:O,allorders!L:L,'数据处理(仓储使用)'!$A425,allorders!$AG:$AG,"&lt;="&amp;日期!$B$2,allorders!$AG:$AG,"&gt;="&amp;日期!$B$1)</f>
        <v>0</v>
      </c>
      <c r="C425">
        <f>B425/(日期!$B$2-日期!$B$1+1)</f>
        <v>0</v>
      </c>
    </row>
    <row r="426" spans="2:3">
      <c r="B426">
        <f>SUMIFS(allorders!O:O,allorders!L:L,'数据处理(仓储使用)'!$A426,allorders!$AG:$AG,"&lt;="&amp;日期!$B$2,allorders!$AG:$AG,"&gt;="&amp;日期!$B$1)</f>
        <v>0</v>
      </c>
      <c r="C426">
        <f>B426/(日期!$B$2-日期!$B$1+1)</f>
        <v>0</v>
      </c>
    </row>
    <row r="427" spans="2:3">
      <c r="B427">
        <f>SUMIFS(allorders!O:O,allorders!L:L,'数据处理(仓储使用)'!$A427,allorders!$AG:$AG,"&lt;="&amp;日期!$B$2,allorders!$AG:$AG,"&gt;="&amp;日期!$B$1)</f>
        <v>0</v>
      </c>
      <c r="C427">
        <f>B427/(日期!$B$2-日期!$B$1+1)</f>
        <v>0</v>
      </c>
    </row>
    <row r="428" spans="2:3">
      <c r="B428">
        <f>SUMIFS(allorders!O:O,allorders!L:L,'数据处理(仓储使用)'!$A428,allorders!$AG:$AG,"&lt;="&amp;日期!$B$2,allorders!$AG:$AG,"&gt;="&amp;日期!$B$1)</f>
        <v>0</v>
      </c>
      <c r="C428">
        <f>B428/(日期!$B$2-日期!$B$1+1)</f>
        <v>0</v>
      </c>
    </row>
    <row r="429" spans="2:3">
      <c r="B429">
        <f>SUMIFS(allorders!O:O,allorders!L:L,'数据处理(仓储使用)'!$A429,allorders!$AG:$AG,"&lt;="&amp;日期!$B$2,allorders!$AG:$AG,"&gt;="&amp;日期!$B$1)</f>
        <v>0</v>
      </c>
      <c r="C429">
        <f>B429/(日期!$B$2-日期!$B$1+1)</f>
        <v>0</v>
      </c>
    </row>
    <row r="430" spans="2:3">
      <c r="B430">
        <f>SUMIFS(allorders!O:O,allorders!L:L,'数据处理(仓储使用)'!$A430,allorders!$AG:$AG,"&lt;="&amp;日期!$B$2,allorders!$AG:$AG,"&gt;="&amp;日期!$B$1)</f>
        <v>0</v>
      </c>
      <c r="C430">
        <f>B430/(日期!$B$2-日期!$B$1+1)</f>
        <v>0</v>
      </c>
    </row>
    <row r="431" spans="2:3">
      <c r="B431">
        <f>SUMIFS(allorders!O:O,allorders!L:L,'数据处理(仓储使用)'!$A431,allorders!$AG:$AG,"&lt;="&amp;日期!$B$2,allorders!$AG:$AG,"&gt;="&amp;日期!$B$1)</f>
        <v>0</v>
      </c>
      <c r="C431">
        <f>B431/(日期!$B$2-日期!$B$1+1)</f>
        <v>0</v>
      </c>
    </row>
    <row r="432" spans="2:3">
      <c r="B432">
        <f>SUMIFS(allorders!O:O,allorders!L:L,'数据处理(仓储使用)'!$A432,allorders!$AG:$AG,"&lt;="&amp;日期!$B$2,allorders!$AG:$AG,"&gt;="&amp;日期!$B$1)</f>
        <v>0</v>
      </c>
      <c r="C432">
        <f>B432/(日期!$B$2-日期!$B$1+1)</f>
        <v>0</v>
      </c>
    </row>
    <row r="433" spans="2:3">
      <c r="B433">
        <f>SUMIFS(allorders!O:O,allorders!L:L,'数据处理(仓储使用)'!$A433,allorders!$AG:$AG,"&lt;="&amp;日期!$B$2,allorders!$AG:$AG,"&gt;="&amp;日期!$B$1)</f>
        <v>0</v>
      </c>
      <c r="C433">
        <f>B433/(日期!$B$2-日期!$B$1+1)</f>
        <v>0</v>
      </c>
    </row>
    <row r="434" spans="2:3">
      <c r="B434">
        <f>SUMIFS(allorders!O:O,allorders!L:L,'数据处理(仓储使用)'!$A434,allorders!$AG:$AG,"&lt;="&amp;日期!$B$2,allorders!$AG:$AG,"&gt;="&amp;日期!$B$1)</f>
        <v>0</v>
      </c>
      <c r="C434">
        <f>B434/(日期!$B$2-日期!$B$1+1)</f>
        <v>0</v>
      </c>
    </row>
    <row r="435" spans="2:3">
      <c r="B435">
        <f>SUMIFS(allorders!O:O,allorders!L:L,'数据处理(仓储使用)'!$A435,allorders!$AG:$AG,"&lt;="&amp;日期!$B$2,allorders!$AG:$AG,"&gt;="&amp;日期!$B$1)</f>
        <v>0</v>
      </c>
      <c r="C435">
        <f>B435/(日期!$B$2-日期!$B$1+1)</f>
        <v>0</v>
      </c>
    </row>
    <row r="436" spans="2:3">
      <c r="B436">
        <f>SUMIFS(allorders!O:O,allorders!L:L,'数据处理(仓储使用)'!$A436,allorders!$AG:$AG,"&lt;="&amp;日期!$B$2,allorders!$AG:$AG,"&gt;="&amp;日期!$B$1)</f>
        <v>0</v>
      </c>
      <c r="C436">
        <f>B436/(日期!$B$2-日期!$B$1+1)</f>
        <v>0</v>
      </c>
    </row>
    <row r="437" spans="2:3">
      <c r="B437">
        <f>SUMIFS(allorders!O:O,allorders!L:L,'数据处理(仓储使用)'!$A437,allorders!$AG:$AG,"&lt;="&amp;日期!$B$2,allorders!$AG:$AG,"&gt;="&amp;日期!$B$1)</f>
        <v>0</v>
      </c>
      <c r="C437">
        <f>B437/(日期!$B$2-日期!$B$1+1)</f>
        <v>0</v>
      </c>
    </row>
    <row r="438" spans="2:3">
      <c r="B438">
        <f>SUMIFS(allorders!O:O,allorders!L:L,'数据处理(仓储使用)'!$A438,allorders!$AG:$AG,"&lt;="&amp;日期!$B$2,allorders!$AG:$AG,"&gt;="&amp;日期!$B$1)</f>
        <v>0</v>
      </c>
      <c r="C438">
        <f>B438/(日期!$B$2-日期!$B$1+1)</f>
        <v>0</v>
      </c>
    </row>
    <row r="439" spans="2:3">
      <c r="B439">
        <f>SUMIFS(allorders!O:O,allorders!L:L,'数据处理(仓储使用)'!$A439,allorders!$AG:$AG,"&lt;="&amp;日期!$B$2,allorders!$AG:$AG,"&gt;="&amp;日期!$B$1)</f>
        <v>0</v>
      </c>
      <c r="C439">
        <f>B439/(日期!$B$2-日期!$B$1+1)</f>
        <v>0</v>
      </c>
    </row>
    <row r="440" spans="2:3">
      <c r="B440">
        <f>SUMIFS(allorders!O:O,allorders!L:L,'数据处理(仓储使用)'!$A440,allorders!$AG:$AG,"&lt;="&amp;日期!$B$2,allorders!$AG:$AG,"&gt;="&amp;日期!$B$1)</f>
        <v>0</v>
      </c>
      <c r="C440">
        <f>B440/(日期!$B$2-日期!$B$1+1)</f>
        <v>0</v>
      </c>
    </row>
    <row r="441" spans="2:3">
      <c r="B441">
        <f>SUMIFS(allorders!O:O,allorders!L:L,'数据处理(仓储使用)'!$A441,allorders!$AG:$AG,"&lt;="&amp;日期!$B$2,allorders!$AG:$AG,"&gt;="&amp;日期!$B$1)</f>
        <v>0</v>
      </c>
      <c r="C441">
        <f>B441/(日期!$B$2-日期!$B$1+1)</f>
        <v>0</v>
      </c>
    </row>
    <row r="442" spans="2:3">
      <c r="B442">
        <f>SUMIFS(allorders!O:O,allorders!L:L,'数据处理(仓储使用)'!$A442,allorders!$AG:$AG,"&lt;="&amp;日期!$B$2,allorders!$AG:$AG,"&gt;="&amp;日期!$B$1)</f>
        <v>0</v>
      </c>
      <c r="C442">
        <f>B442/(日期!$B$2-日期!$B$1+1)</f>
        <v>0</v>
      </c>
    </row>
    <row r="443" spans="2:3">
      <c r="B443">
        <f>SUMIFS(allorders!O:O,allorders!L:L,'数据处理(仓储使用)'!$A443,allorders!$AG:$AG,"&lt;="&amp;日期!$B$2,allorders!$AG:$AG,"&gt;="&amp;日期!$B$1)</f>
        <v>0</v>
      </c>
      <c r="C443">
        <f>B443/(日期!$B$2-日期!$B$1+1)</f>
        <v>0</v>
      </c>
    </row>
    <row r="444" spans="2:3">
      <c r="B444">
        <f>SUMIFS(allorders!O:O,allorders!L:L,'数据处理(仓储使用)'!$A444,allorders!$AG:$AG,"&lt;="&amp;日期!$B$2,allorders!$AG:$AG,"&gt;="&amp;日期!$B$1)</f>
        <v>0</v>
      </c>
      <c r="C444">
        <f>B444/(日期!$B$2-日期!$B$1+1)</f>
        <v>0</v>
      </c>
    </row>
    <row r="445" spans="2:3">
      <c r="B445">
        <f>SUMIFS(allorders!O:O,allorders!L:L,'数据处理(仓储使用)'!$A445,allorders!$AG:$AG,"&lt;="&amp;日期!$B$2,allorders!$AG:$AG,"&gt;="&amp;日期!$B$1)</f>
        <v>0</v>
      </c>
      <c r="C445">
        <f>B445/(日期!$B$2-日期!$B$1+1)</f>
        <v>0</v>
      </c>
    </row>
    <row r="446" spans="2:3">
      <c r="B446">
        <f>SUMIFS(allorders!O:O,allorders!L:L,'数据处理(仓储使用)'!$A446,allorders!$AG:$AG,"&lt;="&amp;日期!$B$2,allorders!$AG:$AG,"&gt;="&amp;日期!$B$1)</f>
        <v>0</v>
      </c>
      <c r="C446">
        <f>B446/(日期!$B$2-日期!$B$1+1)</f>
        <v>0</v>
      </c>
    </row>
    <row r="447" spans="2:3">
      <c r="B447">
        <f>SUMIFS(allorders!O:O,allorders!L:L,'数据处理(仓储使用)'!$A447,allorders!$AG:$AG,"&lt;="&amp;日期!$B$2,allorders!$AG:$AG,"&gt;="&amp;日期!$B$1)</f>
        <v>0</v>
      </c>
      <c r="C447">
        <f>B447/(日期!$B$2-日期!$B$1+1)</f>
        <v>0</v>
      </c>
    </row>
    <row r="448" spans="2:3">
      <c r="B448">
        <f>SUMIFS(allorders!O:O,allorders!L:L,'数据处理(仓储使用)'!$A448,allorders!$AG:$AG,"&lt;="&amp;日期!$B$2,allorders!$AG:$AG,"&gt;="&amp;日期!$B$1)</f>
        <v>0</v>
      </c>
      <c r="C448">
        <f>B448/(日期!$B$2-日期!$B$1+1)</f>
        <v>0</v>
      </c>
    </row>
    <row r="449" spans="2:3">
      <c r="B449">
        <f>SUMIFS(allorders!O:O,allorders!L:L,'数据处理(仓储使用)'!$A449,allorders!$AG:$AG,"&lt;="&amp;日期!$B$2,allorders!$AG:$AG,"&gt;="&amp;日期!$B$1)</f>
        <v>0</v>
      </c>
      <c r="C449">
        <f>B449/(日期!$B$2-日期!$B$1+1)</f>
        <v>0</v>
      </c>
    </row>
    <row r="450" spans="2:3">
      <c r="B450">
        <f>SUMIFS(allorders!O:O,allorders!L:L,'数据处理(仓储使用)'!$A450,allorders!$AG:$AG,"&lt;="&amp;日期!$B$2,allorders!$AG:$AG,"&gt;="&amp;日期!$B$1)</f>
        <v>0</v>
      </c>
      <c r="C450">
        <f>B450/(日期!$B$2-日期!$B$1+1)</f>
        <v>0</v>
      </c>
    </row>
    <row r="451" spans="2:3">
      <c r="B451">
        <f>SUMIFS(allorders!O:O,allorders!L:L,'数据处理(仓储使用)'!$A451,allorders!$AG:$AG,"&lt;="&amp;日期!$B$2,allorders!$AG:$AG,"&gt;="&amp;日期!$B$1)</f>
        <v>0</v>
      </c>
      <c r="C451">
        <f>B451/(日期!$B$2-日期!$B$1+1)</f>
        <v>0</v>
      </c>
    </row>
    <row r="452" spans="2:3">
      <c r="B452">
        <f>SUMIFS(allorders!O:O,allorders!L:L,'数据处理(仓储使用)'!$A452,allorders!$AG:$AG,"&lt;="&amp;日期!$B$2,allorders!$AG:$AG,"&gt;="&amp;日期!$B$1)</f>
        <v>0</v>
      </c>
      <c r="C452">
        <f>B452/(日期!$B$2-日期!$B$1+1)</f>
        <v>0</v>
      </c>
    </row>
    <row r="453" spans="2:3">
      <c r="B453">
        <f>SUMIFS(allorders!O:O,allorders!L:L,'数据处理(仓储使用)'!$A453,allorders!$AG:$AG,"&lt;="&amp;日期!$B$2,allorders!$AG:$AG,"&gt;="&amp;日期!$B$1)</f>
        <v>0</v>
      </c>
      <c r="C453">
        <f>B453/(日期!$B$2-日期!$B$1+1)</f>
        <v>0</v>
      </c>
    </row>
    <row r="454" spans="2:3">
      <c r="B454">
        <f>SUMIFS(allorders!O:O,allorders!L:L,'数据处理(仓储使用)'!$A454,allorders!$AG:$AG,"&lt;="&amp;日期!$B$2,allorders!$AG:$AG,"&gt;="&amp;日期!$B$1)</f>
        <v>0</v>
      </c>
      <c r="C454">
        <f>B454/(日期!$B$2-日期!$B$1+1)</f>
        <v>0</v>
      </c>
    </row>
    <row r="455" spans="2:3">
      <c r="B455">
        <f>SUMIFS(allorders!O:O,allorders!L:L,'数据处理(仓储使用)'!$A455,allorders!$AG:$AG,"&lt;="&amp;日期!$B$2,allorders!$AG:$AG,"&gt;="&amp;日期!$B$1)</f>
        <v>0</v>
      </c>
      <c r="C455">
        <f>B455/(日期!$B$2-日期!$B$1+1)</f>
        <v>0</v>
      </c>
    </row>
    <row r="456" spans="2:3">
      <c r="B456">
        <f>SUMIFS(allorders!O:O,allorders!L:L,'数据处理(仓储使用)'!$A456,allorders!$AG:$AG,"&lt;="&amp;日期!$B$2,allorders!$AG:$AG,"&gt;="&amp;日期!$B$1)</f>
        <v>0</v>
      </c>
      <c r="C456">
        <f>B456/(日期!$B$2-日期!$B$1+1)</f>
        <v>0</v>
      </c>
    </row>
    <row r="457" spans="2:3">
      <c r="B457">
        <f>SUMIFS(allorders!O:O,allorders!L:L,'数据处理(仓储使用)'!$A457,allorders!$AG:$AG,"&lt;="&amp;日期!$B$2,allorders!$AG:$AG,"&gt;="&amp;日期!$B$1)</f>
        <v>0</v>
      </c>
      <c r="C457">
        <f>B457/(日期!$B$2-日期!$B$1+1)</f>
        <v>0</v>
      </c>
    </row>
    <row r="458" spans="2:3">
      <c r="B458">
        <f>SUMIFS(allorders!O:O,allorders!L:L,'数据处理(仓储使用)'!$A458,allorders!$AG:$AG,"&lt;="&amp;日期!$B$2,allorders!$AG:$AG,"&gt;="&amp;日期!$B$1)</f>
        <v>0</v>
      </c>
      <c r="C458">
        <f>B458/(日期!$B$2-日期!$B$1+1)</f>
        <v>0</v>
      </c>
    </row>
    <row r="459" spans="2:3">
      <c r="B459">
        <f>SUMIFS(allorders!O:O,allorders!L:L,'数据处理(仓储使用)'!$A459,allorders!$AG:$AG,"&lt;="&amp;日期!$B$2,allorders!$AG:$AG,"&gt;="&amp;日期!$B$1)</f>
        <v>0</v>
      </c>
      <c r="C459">
        <f>B459/(日期!$B$2-日期!$B$1+1)</f>
        <v>0</v>
      </c>
    </row>
    <row r="460" spans="2:3">
      <c r="B460">
        <f>SUMIFS(allorders!O:O,allorders!L:L,'数据处理(仓储使用)'!$A460,allorders!$AG:$AG,"&lt;="&amp;日期!$B$2,allorders!$AG:$AG,"&gt;="&amp;日期!$B$1)</f>
        <v>0</v>
      </c>
      <c r="C460">
        <f>B460/(日期!$B$2-日期!$B$1+1)</f>
        <v>0</v>
      </c>
    </row>
    <row r="461" spans="2:3">
      <c r="B461">
        <f>SUMIFS(allorders!O:O,allorders!L:L,'数据处理(仓储使用)'!$A461,allorders!$AG:$AG,"&lt;="&amp;日期!$B$2,allorders!$AG:$AG,"&gt;="&amp;日期!$B$1)</f>
        <v>0</v>
      </c>
      <c r="C461">
        <f>B461/(日期!$B$2-日期!$B$1+1)</f>
        <v>0</v>
      </c>
    </row>
    <row r="462" spans="2:3">
      <c r="B462">
        <f>SUMIFS(allorders!O:O,allorders!L:L,'数据处理(仓储使用)'!$A462,allorders!$AG:$AG,"&lt;="&amp;日期!$B$2,allorders!$AG:$AG,"&gt;="&amp;日期!$B$1)</f>
        <v>0</v>
      </c>
      <c r="C462">
        <f>B462/(日期!$B$2-日期!$B$1+1)</f>
        <v>0</v>
      </c>
    </row>
    <row r="463" spans="2:3">
      <c r="B463">
        <f>SUMIFS(allorders!O:O,allorders!L:L,'数据处理(仓储使用)'!$A463,allorders!$AG:$AG,"&lt;="&amp;日期!$B$2,allorders!$AG:$AG,"&gt;="&amp;日期!$B$1)</f>
        <v>0</v>
      </c>
      <c r="C463">
        <f>B463/(日期!$B$2-日期!$B$1+1)</f>
        <v>0</v>
      </c>
    </row>
    <row r="464" spans="2:3">
      <c r="B464">
        <f>SUMIFS(allorders!O:O,allorders!L:L,'数据处理(仓储使用)'!$A464,allorders!$AG:$AG,"&lt;="&amp;日期!$B$2,allorders!$AG:$AG,"&gt;="&amp;日期!$B$1)</f>
        <v>0</v>
      </c>
      <c r="C464">
        <f>B464/(日期!$B$2-日期!$B$1+1)</f>
        <v>0</v>
      </c>
    </row>
    <row r="465" spans="2:3">
      <c r="B465">
        <f>SUMIFS(allorders!O:O,allorders!L:L,'数据处理(仓储使用)'!$A465,allorders!$AG:$AG,"&lt;="&amp;日期!$B$2,allorders!$AG:$AG,"&gt;="&amp;日期!$B$1)</f>
        <v>0</v>
      </c>
      <c r="C465">
        <f>B465/(日期!$B$2-日期!$B$1+1)</f>
        <v>0</v>
      </c>
    </row>
    <row r="466" spans="2:3">
      <c r="B466">
        <f>SUMIFS(allorders!O:O,allorders!L:L,'数据处理(仓储使用)'!$A466,allorders!$AG:$AG,"&lt;="&amp;日期!$B$2,allorders!$AG:$AG,"&gt;="&amp;日期!$B$1)</f>
        <v>0</v>
      </c>
      <c r="C466">
        <f>B466/(日期!$B$2-日期!$B$1+1)</f>
        <v>0</v>
      </c>
    </row>
    <row r="467" spans="2:3">
      <c r="B467">
        <f>SUMIFS(allorders!O:O,allorders!L:L,'数据处理(仓储使用)'!$A467,allorders!$AG:$AG,"&lt;="&amp;日期!$B$2,allorders!$AG:$AG,"&gt;="&amp;日期!$B$1)</f>
        <v>0</v>
      </c>
      <c r="C467">
        <f>B467/(日期!$B$2-日期!$B$1+1)</f>
        <v>0</v>
      </c>
    </row>
    <row r="468" spans="2:3">
      <c r="B468">
        <f>SUMIFS(allorders!O:O,allorders!L:L,'数据处理(仓储使用)'!$A468,allorders!$AG:$AG,"&lt;="&amp;日期!$B$2,allorders!$AG:$AG,"&gt;="&amp;日期!$B$1)</f>
        <v>0</v>
      </c>
      <c r="C468">
        <f>B468/(日期!$B$2-日期!$B$1+1)</f>
        <v>0</v>
      </c>
    </row>
    <row r="469" spans="2:3">
      <c r="B469">
        <f>SUMIFS(allorders!O:O,allorders!L:L,'数据处理(仓储使用)'!$A469,allorders!$AG:$AG,"&lt;="&amp;日期!$B$2,allorders!$AG:$AG,"&gt;="&amp;日期!$B$1)</f>
        <v>0</v>
      </c>
      <c r="C469">
        <f>B469/(日期!$B$2-日期!$B$1+1)</f>
        <v>0</v>
      </c>
    </row>
    <row r="470" spans="2:3">
      <c r="B470">
        <f>SUMIFS(allorders!O:O,allorders!L:L,'数据处理(仓储使用)'!$A470,allorders!$AG:$AG,"&lt;="&amp;日期!$B$2,allorders!$AG:$AG,"&gt;="&amp;日期!$B$1)</f>
        <v>0</v>
      </c>
      <c r="C470">
        <f>B470/(日期!$B$2-日期!$B$1+1)</f>
        <v>0</v>
      </c>
    </row>
    <row r="471" spans="2:3">
      <c r="B471">
        <f>SUMIFS(allorders!O:O,allorders!L:L,'数据处理(仓储使用)'!$A471,allorders!$AG:$AG,"&lt;="&amp;日期!$B$2,allorders!$AG:$AG,"&gt;="&amp;日期!$B$1)</f>
        <v>0</v>
      </c>
      <c r="C471">
        <f>B471/(日期!$B$2-日期!$B$1+1)</f>
        <v>0</v>
      </c>
    </row>
    <row r="472" spans="2:3">
      <c r="B472">
        <f>SUMIFS(allorders!O:O,allorders!L:L,'数据处理(仓储使用)'!$A472,allorders!$AG:$AG,"&lt;="&amp;日期!$B$2,allorders!$AG:$AG,"&gt;="&amp;日期!$B$1)</f>
        <v>0</v>
      </c>
      <c r="C472">
        <f>B472/(日期!$B$2-日期!$B$1+1)</f>
        <v>0</v>
      </c>
    </row>
    <row r="473" spans="2:3"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2:3"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2:3"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2:3"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2:3"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2:3"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2:3"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2:3"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2:3"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2:3"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2:3"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2:3"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2:3"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2:3"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2:3"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2:3"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2:3"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2:3"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2:3"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2:3"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2:3"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2:3"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2:3"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2:3"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2:3"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2:3"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2:3"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2:3"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2:3"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2:3"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2:3"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2:3"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2:3"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2:3"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2:3"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2:3"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2:3"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2:3"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2:3"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2:3"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2:3"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2:3"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2:3"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2:3"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2:3"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2:3"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2:3"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2:3"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2:3"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2:3"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2:3"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2:3"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2:3"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2:3"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2:3"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2:3"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2:3"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2:3"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2:3"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2:3"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2:3"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2:3"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2:3"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2:3"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2:3"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2:3"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2:3"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2:3"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2:3"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2:3"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2:3"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2:3"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2:3"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2:3"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2:3"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2:3"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2:3"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2:3"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2:3"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2:3"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2:3"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2:3"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2:3"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2:3"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2:3"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2:3"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2:3"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2:3"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2:3"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2:3"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2:3"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2:3"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2:3"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2:3"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2:3"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2:3"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2:3"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2:3"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2:3"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2:3"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2:3"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2:3"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2:3"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2:3"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2:3"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2:3"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2:3"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2:3"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2:3"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2:3"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2:3"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2:3"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2:3"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2:3"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2:3"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2:3"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2:3"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2:3"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2:3"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2:3"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2:3"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2:3"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2:3"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2:3"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2:3"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2:3"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2:3"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2:3"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2:3"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2:3"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2:3"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2:3"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2:3"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2:3"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2:3"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2:3"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2:3"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2:3"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2:3"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2:3"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2:3"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2:3"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2:3"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2:3"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2:3"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2:3"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2:3"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2:3"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2:3"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2:3"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2:3"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2:3"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2:3"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2:3"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2:3"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2:3"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2:3"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2:3"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2:3"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2:3"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2:3"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2:3"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2:3"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2:3"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2:3"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2:3"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2:3"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2:3"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2:3"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2:3"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2:3"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2:3"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2:3"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2:3"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2:3"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2:3"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2:3"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2:3"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2:3"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2:3"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2:3"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2:3"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2:3"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2:3"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2:3"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2:3"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2:3"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2:3"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2:3"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2:3"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2:3"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2:3"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2:3"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2:3"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2:3"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2:3"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2:3"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2:3"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2:3"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2:3"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2:3"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2:3"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2:3"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2:3"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2:3"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2:3"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2:3"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2:3"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2:3"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2:3"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2:3"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2:3"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2:3"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2:3"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2:3"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2:3"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2:3"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2:3"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2:3"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2:3"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2:3"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2:3"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2:3"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2:3"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2:3"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2:3"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2:3"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2:3"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2:3"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2:3"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2:3"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2:3"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2:3"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2:3"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2:3"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2:3"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2:3"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2:3"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2:3"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2:3"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2:3"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2:3"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2:3"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2:3"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2:3"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2:3"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2:3"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2:3"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2:3"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2:3"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2:3"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2:3"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2:3"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2:3"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2:3"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2:3"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2:3"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2:3"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2:3"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2:3"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2:3"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2:3"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2:3"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2:3"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2:3"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2:3"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2:3"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2:3"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2:3"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2:3"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2:3"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2:3"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2:3"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2:3"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2:3"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2:3"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2:3"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2:3"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2:3"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2:3"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2:3"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2:3"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2:3"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2:3"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2:3"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2:3"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2:3"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2:3"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2:3"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2:3"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2:3"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2:3"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2:3"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2:3"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2:3"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2:3"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2:3"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2:3"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2:3"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2:3"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2:3"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2:3"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2:3"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2:3"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2:3"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2:3"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2:3"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2:3"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2:3"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2:3"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2:3"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2:3"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2:3"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2:3"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2:3"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2:3"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2:3"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2:3"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2:3"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2:3"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2:3"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2:3"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2:3"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2:3"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2:3"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2:3"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2:3"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2:3"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2:3"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2:3"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2:3"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2:3"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2:3"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2:3"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2:3"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2:3"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2:3"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2:3"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2:3"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2:3"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2:3"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2:3"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2:3"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2:3"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2:3"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2:3"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2:3"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2:3"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2:3"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2:3"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2:3"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2:3"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2:3"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2:3"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2:3"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2:3"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2:3"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2:3"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2:3"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2:3"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2:3"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2:3"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2:3"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2:3"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2:3"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2:3"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2:3"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2:3"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2:3"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2:3"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2:3"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2:3"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2:3"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2:3"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2:3"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2:3"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2:3"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2:3"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2:3"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2:3"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2:3"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2:3"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2:3"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2:3"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2:3"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2:3"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2:3"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2:3"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2:3"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2:3"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2:3"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2:3"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2:3"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2:3"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2:3"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2:3"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2:3"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2:3"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2:3"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2:3"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2:3"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2:3"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2:3"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2:3"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2:3"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2:3"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2:3"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2:3"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2:3"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2:3"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2:3"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2:3"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2:3"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2:3"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2:3"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2:3"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2:3"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2:3"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2:3"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2:3"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2:3"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2:3"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2:3"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2:3"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2:3"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2:3"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2:3"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2:3"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2:3"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2:3"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2:3"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2:3"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2:3"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2:3"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2:3"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2:3"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2:3"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2:3"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2:3"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2:3"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2:3"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2:3"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2:3"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2:3"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2:3"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2:3"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2:3"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2:3"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2:3"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2:3"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2:3"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2:3"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2:3"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2:3"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2:3"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2:3"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2:3"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2:3"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2:3"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2:3"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2:3"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2:3"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2:3"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2:3"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2:3"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2:3"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2:3"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2:3"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2:3"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2:3"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2:3"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2:3"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2:3"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2:3"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2:3"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2:3"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2:3"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2:3"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2:3"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2:3"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2:3"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2:3"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2:3"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2:3"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2:3"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2:3"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2:3"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2:3"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2:3"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2:3"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2:3"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2:3"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2:3"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2:3"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2:3"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2:3"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2:3"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2:3"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2:3"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2:3"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2:3"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2:3"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2:3"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2:3"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2:3"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2:3"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2:3"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2:3"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2:3"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2:3"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2:3"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2:3"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2:3"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2:3"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2:3"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2:3"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2:3"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2:3"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2:3"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2:3"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2:3"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2:3"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2:3"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2:3"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2:3"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2:3"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2:3"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2:3"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2:3"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2:3"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2:3"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2:3"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2:3"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2:3"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2:3"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2:3"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2:3"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2:3"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2:3"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2:3"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2:3"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2:3"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2:3"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2:3"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2:3"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2:3"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2:3"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2:3"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2:3"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2:3"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2:3"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2:3"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2:3"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2:3"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2:3"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2:3"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2:3"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2:3"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2:3"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2:3"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2:3"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2:3"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2:3"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2:3"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2:3"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2:3"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2:3"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2:3"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2:3"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2:3"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2:3"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2:3"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2:3"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2:3"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2:3"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2:3"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2:3"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2:3"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2:3"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2:3"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2:3"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2:3"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2:3"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2:3"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2:3"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2:3"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2:3"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2:3"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2:3"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2:3"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2:3"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2:3"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2:3"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2:3"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2:3"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2:3"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2:3"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2:3"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2:3"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2:3"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2:3"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2:3"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2:3"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2:3"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2:3"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2:3"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2:3"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2:3"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2:3"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2:3"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2:3"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2:3"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2:3"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2:3"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2:3"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2:3"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2:3"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2:3"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2:3"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2:3"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2:3"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2:3"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2:3"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2:3"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2:3"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2:3"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2:3"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2:3"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2:3"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2:3"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2:3"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2:3"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2:3"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2:3"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2:3"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2:3"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2:3"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2:3"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2:3"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2:3"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2:3"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2:3"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2:3"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2:3"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2:3"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2:3"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2:3"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2:3"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2:3"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2:3"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2:3"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2:3"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2:3"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2:3"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2:3"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2:3"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2:3"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2:3"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2:3"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2:3"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2:3"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2:3"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2:3"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2:3"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2:3"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2:3"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2:3"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2:3"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2:3"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2:3"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2:3"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2:3"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2:3"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2:3"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2:3"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2:3"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2:3"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2:3"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2:3"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2:3"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2:3"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2:3"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2:3"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2:3"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2:3"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2:3"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2:3"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2:3"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2:3"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2:3"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2:3"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2:3"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2:3"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2:3"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2:3"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2:3"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2:3"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2:3"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2:3"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2:3"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2:3"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2:3"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2:3"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2:3"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2:3"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2:3"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2:3"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2:3"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2:3"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2:3"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2:3"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2:3"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2:3"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2:3"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2:3"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2:3"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2:3"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2:3"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2:3"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2:3"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2:3"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2:3"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2:3"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2:3"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2:3"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2:3"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2:3"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2:3"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2:3"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2:3"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2:3"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2:3"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2:3"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2:3"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2:3"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2:3"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2:3"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2:3"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2:3"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2:3"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2:3"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2:3"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2:3"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2:3"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2:3"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2:3"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2:3"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2:3"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2:3"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2:3"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2:3"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2:3"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2:3"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2:3"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2:3"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2:3"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2:3"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2:3"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2:3"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2:3"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2:3"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2:3"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2:3"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2:3"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2:3"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2:3"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2:3"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2:3"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2:3"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2:3"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2:3"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2:3"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2:3"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2:3"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2:3"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2:3"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2:3"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2:3"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2:3"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2:3"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2:3"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2:3"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2:3"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2:3"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2:3"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2:3"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2:3"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2:3"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2:3"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2:3"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2:3"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2:3"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2:3"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2:3"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2:3"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2:3"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2:3"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2:3"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2:3"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2:3"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2:3"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2:3"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2:3"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2:3"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2:3"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2:3"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2:3"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2:3"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2:3"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2:3"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2:3"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2:3"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2:3"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2:3"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2:3"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2:3"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2:3"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2:3"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2:3"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2:3"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2:3"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2:3"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2:3"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2:3"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2:3"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2:3"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2:3"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2:3"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2:3"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2:3"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2:3"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2:3"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2:3"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2:3"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2:3"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2:3"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2:3"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2:3"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2:3"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2:3"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2:3"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2:3"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2:3"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2:3"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2:3"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2:3"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2:3"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2:3"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2:3"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2:3"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2:3"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2:3"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2:3"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2:3"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2:3"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2:3"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2:3"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2:3"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2:3"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2:3"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2:3"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2:3"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2:3"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2:3"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2:3"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2:3"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2:3"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2:3"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2:3"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2:3"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2:3"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2:3"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2:3"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2:3"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2:3"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2:3"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2:3"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2:3"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2:3"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2:3"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177"/>
  <sheetViews>
    <sheetView workbookViewId="0">
      <selection activeCell="B3" sqref="B3:I124"/>
    </sheetView>
  </sheetViews>
  <sheetFormatPr defaultColWidth="9" defaultRowHeight="14.25"/>
  <cols>
    <col min="1" max="1" width="23.75" customWidth="1"/>
    <col min="2" max="2" width="22.5" customWidth="1"/>
    <col min="7" max="7" width="12.625"/>
    <col min="8" max="8" width="9.375"/>
    <col min="9" max="9" width="12.625"/>
  </cols>
  <sheetData>
    <row r="1" spans="1:9">
      <c r="A1" t="s">
        <v>11</v>
      </c>
      <c r="B1" t="s">
        <v>5570</v>
      </c>
      <c r="C1" t="s">
        <v>5571</v>
      </c>
      <c r="D1" t="s">
        <v>5572</v>
      </c>
      <c r="E1" t="s">
        <v>5573</v>
      </c>
      <c r="F1" t="s">
        <v>5574</v>
      </c>
      <c r="G1" t="s">
        <v>5575</v>
      </c>
      <c r="H1" t="s">
        <v>5576</v>
      </c>
      <c r="I1" t="s">
        <v>5577</v>
      </c>
    </row>
    <row r="2" s="6" customFormat="1" spans="1:6">
      <c r="A2" s="6" t="s">
        <v>5542</v>
      </c>
      <c r="C2" s="6">
        <f>SUM(C3:C5000)</f>
        <v>220</v>
      </c>
      <c r="D2" s="6">
        <f>SUM(D3:D5000)</f>
        <v>266</v>
      </c>
      <c r="E2" s="6">
        <f>SUM(E3:E5000)</f>
        <v>245</v>
      </c>
      <c r="F2" s="6">
        <f>SUM(F3:F5000)</f>
        <v>233</v>
      </c>
    </row>
    <row r="3" spans="1:9">
      <c r="A3" s="7" t="s">
        <v>38</v>
      </c>
      <c r="B3" t="str">
        <f>VLOOKUP(A3,'[1]子sku-父sku'!$A:$B,2,0)</f>
        <v>DOLL-0601</v>
      </c>
      <c r="C3">
        <f>SUMIFS(allorders!O:O,allorders!L:L,$A3,allorders!AG:AG,"&lt;="&amp;日期!$B$5,allorders!AG:AG,"&gt;="&amp;日期!$B$6,allorders!N:N,"Shipped")</f>
        <v>7</v>
      </c>
      <c r="D3">
        <f>SUMIFS(allorders!$O:$O,allorders!$L:$L,$A3,allorders!$AG:$AG,"&lt;="&amp;日期!$B$7,allorders!$AG:$AG,"&gt;="&amp;日期!$B$8,allorders!N:N,"Shipped")</f>
        <v>9</v>
      </c>
      <c r="E3">
        <f>SUMIFS(allorders!$O:$O,allorders!$L:$L,$A3,allorders!$AG:$AG,"&lt;="&amp;日期!$B$9,allorders!$AG:$AG,"&gt;="&amp;日期!$B$10,allorders!N:N,"Shipped")</f>
        <v>11</v>
      </c>
      <c r="F3">
        <f>SUMIFS(allorders!$O:$O,allorders!$L:$L,$A3,allorders!$AG:$AG,"&lt;="&amp;日期!$B$11,allorders!$AG:$AG,"&gt;="&amp;日期!$B$12,allorders!N:N,"Shipped")</f>
        <v>8</v>
      </c>
      <c r="G3">
        <f>SUMIFS(allorders!Q:Q,allorders!L:L,A3,allorders!AG:AG,"&lt;="&amp;日期!$B$5,allorders!AG:AG,"&gt;="&amp;日期!$B$12,allorders!N:N,"Shipped")/SUM(C3:F3)</f>
        <v>89.9899999999999</v>
      </c>
      <c r="H3">
        <f>SUMIFS(allorders!Q:Q,allorders!L:L,A3,allorders!AG:AG,"&gt;="&amp;日期!$B$12,allorders!AG:AG,"&lt;="&amp;日期!$B$5,allorders!N:N,"Shipped")</f>
        <v>3149.65</v>
      </c>
      <c r="I3">
        <f t="shared" ref="I3:I66" si="0">SUM(C3:F3)</f>
        <v>35</v>
      </c>
    </row>
    <row r="4" spans="1:9">
      <c r="A4" s="7" t="s">
        <v>49</v>
      </c>
      <c r="B4" t="str">
        <f>VLOOKUP(A4,'[1]子sku-父sku'!$A:$B,2,0)</f>
        <v>DOLL-020</v>
      </c>
      <c r="C4">
        <f>SUMIFS(allorders!O:O,allorders!L:L,$A4,allorders!AG:AG,"&lt;="&amp;日期!$B$5,allorders!AG:AG,"&gt;="&amp;日期!$B$6,allorders!N:N,"Shipped")</f>
        <v>10</v>
      </c>
      <c r="D4">
        <f>SUMIFS(allorders!$O:$O,allorders!$L:$L,$A4,allorders!$AG:$AG,"&lt;="&amp;日期!$B$7,allorders!$AG:$AG,"&gt;="&amp;日期!$B$8,allorders!N:N,"Shipped")</f>
        <v>16</v>
      </c>
      <c r="E4">
        <f>SUMIFS(allorders!$O:$O,allorders!$L:$L,$A4,allorders!$AG:$AG,"&lt;="&amp;日期!$B$9,allorders!$AG:$AG,"&gt;="&amp;日期!$B$10,allorders!N:N,"Shipped")</f>
        <v>5</v>
      </c>
      <c r="F4">
        <f>SUMIFS(allorders!$O:$O,allorders!$L:$L,$A4,allorders!$AG:$AG,"&lt;="&amp;日期!$B$11,allorders!$AG:$AG,"&gt;="&amp;日期!$B$12,allorders!N:N,"Shipped")</f>
        <v>11</v>
      </c>
      <c r="G4">
        <f>SUMIFS(allorders!Q:Q,allorders!L:L,A4,allorders!AG:AG,"&lt;="&amp;日期!$B$5,allorders!AG:AG,"&gt;="&amp;日期!$B$12,allorders!N:N,"Shipped")/SUM(C4:F4)</f>
        <v>89.9899999999999</v>
      </c>
      <c r="H4">
        <f>SUMIFS(allorders!Q:Q,allorders!L:L,A4,allorders!AG:AG,"&gt;="&amp;日期!$B$12,allorders!AG:AG,"&lt;="&amp;日期!$B$5,allorders!N:N,"Shipped")</f>
        <v>3779.58</v>
      </c>
      <c r="I4">
        <f t="shared" si="0"/>
        <v>42</v>
      </c>
    </row>
    <row r="5" spans="1:9">
      <c r="A5" s="7" t="s">
        <v>60</v>
      </c>
      <c r="B5" t="str">
        <f>VLOOKUP(A5,'[1]子sku-父sku'!$A:$B,2,0)</f>
        <v>DOLL-0605</v>
      </c>
      <c r="C5">
        <f>SUMIFS(allorders!O:O,allorders!L:L,$A5,allorders!AG:AG,"&lt;="&amp;日期!$B$5,allorders!AG:AG,"&gt;="&amp;日期!$B$6,allorders!N:N,"Shipped")</f>
        <v>8</v>
      </c>
      <c r="D5">
        <f>SUMIFS(allorders!$O:$O,allorders!$L:$L,$A5,allorders!$AG:$AG,"&lt;="&amp;日期!$B$7,allorders!$AG:$AG,"&gt;="&amp;日期!$B$8,allorders!N:N,"Shipped")</f>
        <v>7</v>
      </c>
      <c r="E5">
        <f>SUMIFS(allorders!$O:$O,allorders!$L:$L,$A5,allorders!$AG:$AG,"&lt;="&amp;日期!$B$9,allorders!$AG:$AG,"&gt;="&amp;日期!$B$10,allorders!N:N,"Shipped")</f>
        <v>14</v>
      </c>
      <c r="F5">
        <f>SUMIFS(allorders!$O:$O,allorders!$L:$L,$A5,allorders!$AG:$AG,"&lt;="&amp;日期!$B$11,allorders!$AG:$AG,"&gt;="&amp;日期!$B$12,allorders!N:N,"Shipped")</f>
        <v>18</v>
      </c>
      <c r="G5">
        <f>SUMIFS(allorders!Q:Q,allorders!L:L,A5,allorders!AG:AG,"&lt;="&amp;日期!$B$5,allorders!AG:AG,"&gt;="&amp;日期!$B$12,allorders!N:N,"Shipped")/SUM(C5:F5)</f>
        <v>89.9899999999999</v>
      </c>
      <c r="H5">
        <f>SUMIFS(allorders!Q:Q,allorders!L:L,A5,allorders!AG:AG,"&gt;="&amp;日期!$B$12,allorders!AG:AG,"&lt;="&amp;日期!$B$5,allorders!N:N,"Shipped")</f>
        <v>4229.53</v>
      </c>
      <c r="I5">
        <f t="shared" si="0"/>
        <v>47</v>
      </c>
    </row>
    <row r="6" spans="1:9">
      <c r="A6" s="7" t="s">
        <v>71</v>
      </c>
      <c r="B6" t="str">
        <f>VLOOKUP(A6,'[1]子sku-父sku'!$A:$B,2,0)</f>
        <v>DO-YULQ070</v>
      </c>
      <c r="C6">
        <f>SUMIFS(allorders!O:O,allorders!L:L,$A6,allorders!AG:AG,"&lt;="&amp;日期!$B$5,allorders!AG:AG,"&gt;="&amp;日期!$B$6,allorders!N:N,"Shipped")</f>
        <v>3</v>
      </c>
      <c r="D6">
        <f>SUMIFS(allorders!$O:$O,allorders!$L:$L,$A6,allorders!$AG:$AG,"&lt;="&amp;日期!$B$7,allorders!$AG:$AG,"&gt;="&amp;日期!$B$8,allorders!N:N,"Shipped")</f>
        <v>4</v>
      </c>
      <c r="E6">
        <f>SUMIFS(allorders!$O:$O,allorders!$L:$L,$A6,allorders!$AG:$AG,"&lt;="&amp;日期!$B$9,allorders!$AG:$AG,"&gt;="&amp;日期!$B$10,allorders!N:N,"Shipped")</f>
        <v>1</v>
      </c>
      <c r="F6">
        <f>SUMIFS(allorders!$O:$O,allorders!$L:$L,$A6,allorders!$AG:$AG,"&lt;="&amp;日期!$B$11,allorders!$AG:$AG,"&gt;="&amp;日期!$B$12,allorders!N:N,"Shipped")</f>
        <v>7</v>
      </c>
      <c r="G6">
        <f>SUMIFS(allorders!Q:Q,allorders!L:L,A6,allorders!AG:AG,"&lt;="&amp;日期!$B$5,allorders!AG:AG,"&gt;="&amp;日期!$B$12,allorders!N:N,"Shipped")/SUM(C6:F6)</f>
        <v>79.99</v>
      </c>
      <c r="H6">
        <f>SUMIFS(allorders!Q:Q,allorders!L:L,A6,allorders!AG:AG,"&gt;="&amp;日期!$B$12,allorders!AG:AG,"&lt;="&amp;日期!$B$5,allorders!N:N,"Shipped")</f>
        <v>1199.85</v>
      </c>
      <c r="I6">
        <f t="shared" si="0"/>
        <v>15</v>
      </c>
    </row>
    <row r="7" spans="1:9">
      <c r="A7" s="7" t="s">
        <v>80</v>
      </c>
      <c r="B7" t="str">
        <f>VLOOKUP(A7,'[1]子sku-父sku'!$A:$B,2,0)</f>
        <v>DO-YULQ001</v>
      </c>
      <c r="C7">
        <f>SUMIFS(allorders!O:O,allorders!L:L,$A7,allorders!AG:AG,"&lt;="&amp;日期!$B$5,allorders!AG:AG,"&gt;="&amp;日期!$B$6,allorders!N:N,"Shipped")</f>
        <v>23</v>
      </c>
      <c r="D7">
        <f>SUMIFS(allorders!$O:$O,allorders!$L:$L,$A7,allorders!$AG:$AG,"&lt;="&amp;日期!$B$7,allorders!$AG:$AG,"&gt;="&amp;日期!$B$8,allorders!N:N,"Shipped")</f>
        <v>24</v>
      </c>
      <c r="E7">
        <f>SUMIFS(allorders!$O:$O,allorders!$L:$L,$A7,allorders!$AG:$AG,"&lt;="&amp;日期!$B$9,allorders!$AG:$AG,"&gt;="&amp;日期!$B$10,allorders!N:N,"Shipped")</f>
        <v>33</v>
      </c>
      <c r="F7">
        <f>SUMIFS(allorders!$O:$O,allorders!$L:$L,$A7,allorders!$AG:$AG,"&lt;="&amp;日期!$B$11,allorders!$AG:$AG,"&gt;="&amp;日期!$B$12,allorders!N:N,"Shipped")</f>
        <v>45</v>
      </c>
      <c r="G7">
        <f>SUMIFS(allorders!Q:Q,allorders!L:L,A7,allorders!AG:AG,"&lt;="&amp;日期!$B$5,allorders!AG:AG,"&gt;="&amp;日期!$B$12,allorders!N:N,"Shipped")/SUM(C7:F7)</f>
        <v>91.7659999999998</v>
      </c>
      <c r="H7">
        <f>SUMIFS(allorders!Q:Q,allorders!L:L,A7,allorders!AG:AG,"&gt;="&amp;日期!$B$12,allorders!AG:AG,"&lt;="&amp;日期!$B$5,allorders!N:N,"Shipped")</f>
        <v>11470.75</v>
      </c>
      <c r="I7">
        <f t="shared" si="0"/>
        <v>125</v>
      </c>
    </row>
    <row r="8" spans="1:9">
      <c r="A8" s="7" t="s">
        <v>89</v>
      </c>
      <c r="B8" t="str">
        <f>VLOOKUP(A8,'[1]子sku-父sku'!$A:$B,2,0)</f>
        <v>DO-YULQ100</v>
      </c>
      <c r="C8">
        <f>SUMIFS(allorders!O:O,allorders!L:L,$A8,allorders!AG:AG,"&lt;="&amp;日期!$B$5,allorders!AG:AG,"&gt;="&amp;日期!$B$6,allorders!N:N,"Shipped")</f>
        <v>10</v>
      </c>
      <c r="D8">
        <f>SUMIFS(allorders!$O:$O,allorders!$L:$L,$A8,allorders!$AG:$AG,"&lt;="&amp;日期!$B$7,allorders!$AG:$AG,"&gt;="&amp;日期!$B$8,allorders!N:N,"Shipped")</f>
        <v>13</v>
      </c>
      <c r="E8">
        <f>SUMIFS(allorders!$O:$O,allorders!$L:$L,$A8,allorders!$AG:$AG,"&lt;="&amp;日期!$B$9,allorders!$AG:$AG,"&gt;="&amp;日期!$B$10,allorders!N:N,"Shipped")</f>
        <v>10</v>
      </c>
      <c r="F8">
        <f>SUMIFS(allorders!$O:$O,allorders!$L:$L,$A8,allorders!$AG:$AG,"&lt;="&amp;日期!$B$11,allorders!$AG:$AG,"&gt;="&amp;日期!$B$12,allorders!N:N,"Shipped")</f>
        <v>13</v>
      </c>
      <c r="G8">
        <f>SUMIFS(allorders!Q:Q,allorders!L:L,A8,allorders!AG:AG,"&lt;="&amp;日期!$B$5,allorders!AG:AG,"&gt;="&amp;日期!$B$12,allorders!N:N,"Shipped")/SUM(C8:F8)</f>
        <v>89.9899999999999</v>
      </c>
      <c r="H8">
        <f>SUMIFS(allorders!Q:Q,allorders!L:L,A8,allorders!AG:AG,"&gt;="&amp;日期!$B$12,allorders!AG:AG,"&lt;="&amp;日期!$B$5,allorders!N:N,"Shipped")</f>
        <v>4139.54</v>
      </c>
      <c r="I8">
        <f t="shared" si="0"/>
        <v>46</v>
      </c>
    </row>
    <row r="9" spans="1:9">
      <c r="A9" s="7" t="s">
        <v>103</v>
      </c>
      <c r="B9" t="str">
        <f>VLOOKUP(A9,'[1]子sku-父sku'!$A:$B,2,0)</f>
        <v>DO-YULQ012</v>
      </c>
      <c r="C9">
        <f>SUMIFS(allorders!O:O,allorders!L:L,$A9,allorders!AG:AG,"&lt;="&amp;日期!$B$5,allorders!AG:AG,"&gt;="&amp;日期!$B$6,allorders!N:N,"Shipped")</f>
        <v>2</v>
      </c>
      <c r="D9">
        <f>SUMIFS(allorders!$O:$O,allorders!$L:$L,$A9,allorders!$AG:$AG,"&lt;="&amp;日期!$B$7,allorders!$AG:$AG,"&gt;="&amp;日期!$B$8,allorders!N:N,"Shipped")</f>
        <v>2</v>
      </c>
      <c r="E9">
        <f>SUMIFS(allorders!$O:$O,allorders!$L:$L,$A9,allorders!$AG:$AG,"&lt;="&amp;日期!$B$9,allorders!$AG:$AG,"&gt;="&amp;日期!$B$10,allorders!N:N,"Shipped")</f>
        <v>3</v>
      </c>
      <c r="F9">
        <f>SUMIFS(allorders!$O:$O,allorders!$L:$L,$A9,allorders!$AG:$AG,"&lt;="&amp;日期!$B$11,allorders!$AG:$AG,"&gt;="&amp;日期!$B$12,allorders!N:N,"Shipped")</f>
        <v>3</v>
      </c>
      <c r="G9">
        <f>SUMIFS(allorders!Q:Q,allorders!L:L,A9,allorders!AG:AG,"&lt;="&amp;日期!$B$5,allorders!AG:AG,"&gt;="&amp;日期!$B$12,allorders!N:N,"Shipped")/SUM(C9:F9)</f>
        <v>89.99</v>
      </c>
      <c r="H9">
        <f>SUMIFS(allorders!Q:Q,allorders!L:L,A9,allorders!AG:AG,"&gt;="&amp;日期!$B$12,allorders!AG:AG,"&lt;="&amp;日期!$B$5,allorders!N:N,"Shipped")</f>
        <v>899.9</v>
      </c>
      <c r="I9">
        <f t="shared" si="0"/>
        <v>10</v>
      </c>
    </row>
    <row r="10" spans="1:9">
      <c r="A10" s="7" t="s">
        <v>116</v>
      </c>
      <c r="B10" t="str">
        <f>VLOOKUP(A10,'[1]子sku-父sku'!$A:$B,2,0)</f>
        <v>DO-YULQ708</v>
      </c>
      <c r="C10">
        <f>SUMIFS(allorders!O:O,allorders!L:L,$A10,allorders!AG:AG,"&lt;="&amp;日期!$B$5,allorders!AG:AG,"&gt;="&amp;日期!$B$6,allorders!N:N,"Shipped")</f>
        <v>0</v>
      </c>
      <c r="D10">
        <f>SUMIFS(allorders!$O:$O,allorders!$L:$L,$A10,allorders!$AG:$AG,"&lt;="&amp;日期!$B$7,allorders!$AG:$AG,"&gt;="&amp;日期!$B$8,allorders!N:N,"Shipped")</f>
        <v>0</v>
      </c>
      <c r="E10">
        <f>SUMIFS(allorders!$O:$O,allorders!$L:$L,$A10,allorders!$AG:$AG,"&lt;="&amp;日期!$B$9,allorders!$AG:$AG,"&gt;="&amp;日期!$B$10,allorders!N:N,"Shipped")</f>
        <v>0</v>
      </c>
      <c r="F10">
        <f>SUMIFS(allorders!$O:$O,allorders!$L:$L,$A10,allorders!$AG:$AG,"&lt;="&amp;日期!$B$11,allorders!$AG:$AG,"&gt;="&amp;日期!$B$12,allorders!N:N,"Shipped")</f>
        <v>1</v>
      </c>
      <c r="G10">
        <f>SUMIFS(allorders!Q:Q,allorders!L:L,A10,allorders!AG:AG,"&lt;="&amp;日期!$B$5,allorders!AG:AG,"&gt;="&amp;日期!$B$12,allorders!N:N,"Shipped")/SUM(C10:F10)</f>
        <v>108.99</v>
      </c>
      <c r="H10">
        <f>SUMIFS(allorders!Q:Q,allorders!L:L,A10,allorders!AG:AG,"&gt;="&amp;日期!$B$12,allorders!AG:AG,"&lt;="&amp;日期!$B$5,allorders!N:N,"Shipped")</f>
        <v>108.99</v>
      </c>
      <c r="I10">
        <f t="shared" si="0"/>
        <v>1</v>
      </c>
    </row>
    <row r="11" spans="1:9">
      <c r="A11" s="7" t="s">
        <v>124</v>
      </c>
      <c r="B11" t="str">
        <f>VLOOKUP(A11,'[1]子sku-父sku'!$A:$B,2,0)</f>
        <v>DO-YULQ107</v>
      </c>
      <c r="C11">
        <f>SUMIFS(allorders!O:O,allorders!L:L,$A11,allorders!AG:AG,"&lt;="&amp;日期!$B$5,allorders!AG:AG,"&gt;="&amp;日期!$B$6,allorders!N:N,"Shipped")</f>
        <v>1</v>
      </c>
      <c r="D11">
        <f>SUMIFS(allorders!$O:$O,allorders!$L:$L,$A11,allorders!$AG:$AG,"&lt;="&amp;日期!$B$7,allorders!$AG:$AG,"&gt;="&amp;日期!$B$8,allorders!N:N,"Shipped")</f>
        <v>5</v>
      </c>
      <c r="E11">
        <f>SUMIFS(allorders!$O:$O,allorders!$L:$L,$A11,allorders!$AG:$AG,"&lt;="&amp;日期!$B$9,allorders!$AG:$AG,"&gt;="&amp;日期!$B$10,allorders!N:N,"Shipped")</f>
        <v>2</v>
      </c>
      <c r="F11">
        <f>SUMIFS(allorders!$O:$O,allorders!$L:$L,$A11,allorders!$AG:$AG,"&lt;="&amp;日期!$B$11,allorders!$AG:$AG,"&gt;="&amp;日期!$B$12,allorders!N:N,"Shipped")</f>
        <v>4</v>
      </c>
      <c r="G11">
        <f>SUMIFS(allorders!Q:Q,allorders!L:L,A11,allorders!AG:AG,"&lt;="&amp;日期!$B$5,allorders!AG:AG,"&gt;="&amp;日期!$B$12,allorders!N:N,"Shipped")/SUM(C11:F11)</f>
        <v>89.99</v>
      </c>
      <c r="H11">
        <f>SUMIFS(allorders!Q:Q,allorders!L:L,A11,allorders!AG:AG,"&gt;="&amp;日期!$B$12,allorders!AG:AG,"&lt;="&amp;日期!$B$5,allorders!N:N,"Shipped")</f>
        <v>1079.88</v>
      </c>
      <c r="I11">
        <f t="shared" si="0"/>
        <v>12</v>
      </c>
    </row>
    <row r="12" spans="1:9">
      <c r="A12" s="7" t="s">
        <v>132</v>
      </c>
      <c r="B12" t="str">
        <f>VLOOKUP(A12,'[1]子sku-父sku'!$A:$B,2,0)</f>
        <v>DO-YULQ812</v>
      </c>
      <c r="C12">
        <f>SUMIFS(allorders!O:O,allorders!L:L,$A12,allorders!AG:AG,"&lt;="&amp;日期!$B$5,allorders!AG:AG,"&gt;="&amp;日期!$B$6,allorders!N:N,"Shipped")</f>
        <v>1</v>
      </c>
      <c r="D12">
        <f>SUMIFS(allorders!$O:$O,allorders!$L:$L,$A12,allorders!$AG:$AG,"&lt;="&amp;日期!$B$7,allorders!$AG:$AG,"&gt;="&amp;日期!$B$8,allorders!N:N,"Shipped")</f>
        <v>5</v>
      </c>
      <c r="E12">
        <f>SUMIFS(allorders!$O:$O,allorders!$L:$L,$A12,allorders!$AG:$AG,"&lt;="&amp;日期!$B$9,allorders!$AG:$AG,"&gt;="&amp;日期!$B$10,allorders!N:N,"Shipped")</f>
        <v>2</v>
      </c>
      <c r="F12">
        <f>SUMIFS(allorders!$O:$O,allorders!$L:$L,$A12,allorders!$AG:$AG,"&lt;="&amp;日期!$B$11,allorders!$AG:$AG,"&gt;="&amp;日期!$B$12,allorders!N:N,"Shipped")</f>
        <v>2</v>
      </c>
      <c r="G12">
        <f>SUMIFS(allorders!Q:Q,allorders!L:L,A12,allorders!AG:AG,"&lt;="&amp;日期!$B$5,allorders!AG:AG,"&gt;="&amp;日期!$B$12,allorders!N:N,"Shipped")/SUM(C12:F12)</f>
        <v>89.99</v>
      </c>
      <c r="H12">
        <f>SUMIFS(allorders!Q:Q,allorders!L:L,A12,allorders!AG:AG,"&gt;="&amp;日期!$B$12,allorders!AG:AG,"&lt;="&amp;日期!$B$5,allorders!N:N,"Shipped")</f>
        <v>899.9</v>
      </c>
      <c r="I12">
        <f t="shared" si="0"/>
        <v>10</v>
      </c>
    </row>
    <row r="13" spans="1:9">
      <c r="A13" s="7" t="s">
        <v>138</v>
      </c>
      <c r="B13" t="str">
        <f>VLOOKUP(A13,'[1]子sku-父sku'!$A:$B,2,0)</f>
        <v>DO-YULQ700</v>
      </c>
      <c r="C13">
        <f>SUMIFS(allorders!O:O,allorders!L:L,$A13,allorders!AG:AG,"&lt;="&amp;日期!$B$5,allorders!AG:AG,"&gt;="&amp;日期!$B$6,allorders!N:N,"Shipped")</f>
        <v>1</v>
      </c>
      <c r="D13">
        <f>SUMIFS(allorders!$O:$O,allorders!$L:$L,$A13,allorders!$AG:$AG,"&lt;="&amp;日期!$B$7,allorders!$AG:$AG,"&gt;="&amp;日期!$B$8,allorders!N:N,"Shipped")</f>
        <v>0</v>
      </c>
      <c r="E13">
        <f>SUMIFS(allorders!$O:$O,allorders!$L:$L,$A13,allorders!$AG:$AG,"&lt;="&amp;日期!$B$9,allorders!$AG:$AG,"&gt;="&amp;日期!$B$10,allorders!N:N,"Shipped")</f>
        <v>4</v>
      </c>
      <c r="F13">
        <f>SUMIFS(allorders!$O:$O,allorders!$L:$L,$A13,allorders!$AG:$AG,"&lt;="&amp;日期!$B$11,allorders!$AG:$AG,"&gt;="&amp;日期!$B$12,allorders!N:N,"Shipped")</f>
        <v>3</v>
      </c>
      <c r="G13">
        <f>SUMIFS(allorders!Q:Q,allorders!L:L,A13,allorders!AG:AG,"&lt;="&amp;日期!$B$5,allorders!AG:AG,"&gt;="&amp;日期!$B$12,allorders!N:N,"Shipped")/SUM(C13:F13)</f>
        <v>99.99</v>
      </c>
      <c r="H13">
        <f>SUMIFS(allorders!Q:Q,allorders!L:L,A13,allorders!AG:AG,"&gt;="&amp;日期!$B$12,allorders!AG:AG,"&lt;="&amp;日期!$B$5,allorders!N:N,"Shipped")</f>
        <v>799.92</v>
      </c>
      <c r="I13">
        <f t="shared" si="0"/>
        <v>8</v>
      </c>
    </row>
    <row r="14" spans="1:9">
      <c r="A14" s="7" t="s">
        <v>149</v>
      </c>
      <c r="B14" t="str">
        <f>VLOOKUP(A14,'[1]子sku-父sku'!$A:$B,2,0)</f>
        <v>DOLL-010</v>
      </c>
      <c r="C14">
        <f>SUMIFS(allorders!O:O,allorders!L:L,$A14,allorders!AG:AG,"&lt;="&amp;日期!$B$5,allorders!AG:AG,"&gt;="&amp;日期!$B$6,allorders!N:N,"Shipped")</f>
        <v>20</v>
      </c>
      <c r="D14">
        <f>SUMIFS(allorders!$O:$O,allorders!$L:$L,$A14,allorders!$AG:$AG,"&lt;="&amp;日期!$B$7,allorders!$AG:$AG,"&gt;="&amp;日期!$B$8,allorders!N:N,"Shipped")</f>
        <v>25</v>
      </c>
      <c r="E14">
        <f>SUMIFS(allorders!$O:$O,allorders!$L:$L,$A14,allorders!$AG:$AG,"&lt;="&amp;日期!$B$9,allorders!$AG:$AG,"&gt;="&amp;日期!$B$10,allorders!N:N,"Shipped")</f>
        <v>28</v>
      </c>
      <c r="F14">
        <f>SUMIFS(allorders!$O:$O,allorders!$L:$L,$A14,allorders!$AG:$AG,"&lt;="&amp;日期!$B$11,allorders!$AG:$AG,"&gt;="&amp;日期!$B$12,allorders!N:N,"Shipped")</f>
        <v>10</v>
      </c>
      <c r="G14">
        <f>SUMIFS(allorders!Q:Q,allorders!L:L,A14,allorders!AG:AG,"&lt;="&amp;日期!$B$5,allorders!AG:AG,"&gt;="&amp;日期!$B$12,allorders!N:N,"Shipped")/SUM(C14:F14)</f>
        <v>99.0381927710842</v>
      </c>
      <c r="H14">
        <f>SUMIFS(allorders!Q:Q,allorders!L:L,A14,allorders!AG:AG,"&gt;="&amp;日期!$B$12,allorders!AG:AG,"&lt;="&amp;日期!$B$5,allorders!N:N,"Shipped")</f>
        <v>8220.16999999999</v>
      </c>
      <c r="I14">
        <f t="shared" si="0"/>
        <v>83</v>
      </c>
    </row>
    <row r="15" spans="1:9">
      <c r="A15" s="7" t="s">
        <v>165</v>
      </c>
      <c r="B15" t="str">
        <f>VLOOKUP(A15,'[1]子sku-父sku'!$A:$B,2,0)</f>
        <v>DOLLDRESS-003</v>
      </c>
      <c r="C15">
        <f>SUMIFS(allorders!O:O,allorders!L:L,$A15,allorders!AG:AG,"&lt;="&amp;日期!$B$5,allorders!AG:AG,"&gt;="&amp;日期!$B$6,allorders!N:N,"Shipped")</f>
        <v>1</v>
      </c>
      <c r="D15">
        <f>SUMIFS(allorders!$O:$O,allorders!$L:$L,$A15,allorders!$AG:$AG,"&lt;="&amp;日期!$B$7,allorders!$AG:$AG,"&gt;="&amp;日期!$B$8,allorders!N:N,"Shipped")</f>
        <v>3</v>
      </c>
      <c r="E15">
        <f>SUMIFS(allorders!$O:$O,allorders!$L:$L,$A15,allorders!$AG:$AG,"&lt;="&amp;日期!$B$9,allorders!$AG:$AG,"&gt;="&amp;日期!$B$10,allorders!N:N,"Shipped")</f>
        <v>3</v>
      </c>
      <c r="F15">
        <f>SUMIFS(allorders!$O:$O,allorders!$L:$L,$A15,allorders!$AG:$AG,"&lt;="&amp;日期!$B$11,allorders!$AG:$AG,"&gt;="&amp;日期!$B$12,allorders!N:N,"Shipped")</f>
        <v>1</v>
      </c>
      <c r="G15">
        <f>SUMIFS(allorders!Q:Q,allorders!L:L,A15,allorders!AG:AG,"&lt;="&amp;日期!$B$5,allorders!AG:AG,"&gt;="&amp;日期!$B$12,allorders!N:N,"Shipped")/SUM(C15:F15)</f>
        <v>21.99</v>
      </c>
      <c r="H15">
        <f>SUMIFS(allorders!Q:Q,allorders!L:L,A15,allorders!AG:AG,"&gt;="&amp;日期!$B$12,allorders!AG:AG,"&lt;="&amp;日期!$B$5,allorders!N:N,"Shipped")</f>
        <v>175.92</v>
      </c>
      <c r="I15">
        <f t="shared" si="0"/>
        <v>8</v>
      </c>
    </row>
    <row r="16" spans="1:9">
      <c r="A16" s="7" t="s">
        <v>180</v>
      </c>
      <c r="B16" t="str">
        <f>VLOOKUP(A16,'[1]子sku-父sku'!$A:$B,2,0)</f>
        <v>DO-YULQ153</v>
      </c>
      <c r="C16">
        <f>SUMIFS(allorders!O:O,allorders!L:L,$A16,allorders!AG:AG,"&lt;="&amp;日期!$B$5,allorders!AG:AG,"&gt;="&amp;日期!$B$6,allorders!N:N,"Shipped")</f>
        <v>0</v>
      </c>
      <c r="D16">
        <f>SUMIFS(allorders!$O:$O,allorders!$L:$L,$A16,allorders!$AG:$AG,"&lt;="&amp;日期!$B$7,allorders!$AG:$AG,"&gt;="&amp;日期!$B$8,allorders!N:N,"Shipped")</f>
        <v>0</v>
      </c>
      <c r="E16">
        <f>SUMIFS(allorders!$O:$O,allorders!$L:$L,$A16,allorders!$AG:$AG,"&lt;="&amp;日期!$B$9,allorders!$AG:$AG,"&gt;="&amp;日期!$B$10,allorders!N:N,"Shipped")</f>
        <v>1</v>
      </c>
      <c r="F16">
        <f>SUMIFS(allorders!$O:$O,allorders!$L:$L,$A16,allorders!$AG:$AG,"&lt;="&amp;日期!$B$11,allorders!$AG:$AG,"&gt;="&amp;日期!$B$12,allorders!N:N,"Shipped")</f>
        <v>1</v>
      </c>
      <c r="G16">
        <f>SUMIFS(allorders!Q:Q,allorders!L:L,A16,allorders!AG:AG,"&lt;="&amp;日期!$B$5,allorders!AG:AG,"&gt;="&amp;日期!$B$12,allorders!N:N,"Shipped")/SUM(C16:F16)</f>
        <v>85.99</v>
      </c>
      <c r="H16">
        <f>SUMIFS(allorders!Q:Q,allorders!L:L,A16,allorders!AG:AG,"&gt;="&amp;日期!$B$12,allorders!AG:AG,"&lt;="&amp;日期!$B$5,allorders!N:N,"Shipped")</f>
        <v>171.98</v>
      </c>
      <c r="I16">
        <f t="shared" si="0"/>
        <v>2</v>
      </c>
    </row>
    <row r="17" spans="1:9">
      <c r="A17" s="7" t="s">
        <v>200</v>
      </c>
      <c r="B17" t="str">
        <f>VLOOKUP(A17,'[1]子sku-父sku'!$A:$B,2,0)</f>
        <v>DO-YULQ159</v>
      </c>
      <c r="C17">
        <f>SUMIFS(allorders!O:O,allorders!L:L,$A17,allorders!AG:AG,"&lt;="&amp;日期!$B$5,allorders!AG:AG,"&gt;="&amp;日期!$B$6,allorders!N:N,"Shipped")</f>
        <v>0</v>
      </c>
      <c r="D17">
        <f>SUMIFS(allorders!$O:$O,allorders!$L:$L,$A17,allorders!$AG:$AG,"&lt;="&amp;日期!$B$7,allorders!$AG:$AG,"&gt;="&amp;日期!$B$8,allorders!N:N,"Shipped")</f>
        <v>1</v>
      </c>
      <c r="E17">
        <f>SUMIFS(allorders!$O:$O,allorders!$L:$L,$A17,allorders!$AG:$AG,"&lt;="&amp;日期!$B$9,allorders!$AG:$AG,"&gt;="&amp;日期!$B$10,allorders!N:N,"Shipped")</f>
        <v>1</v>
      </c>
      <c r="F17">
        <f>SUMIFS(allorders!$O:$O,allorders!$L:$L,$A17,allorders!$AG:$AG,"&lt;="&amp;日期!$B$11,allorders!$AG:$AG,"&gt;="&amp;日期!$B$12,allorders!N:N,"Shipped")</f>
        <v>1</v>
      </c>
      <c r="G17">
        <f>SUMIFS(allorders!Q:Q,allorders!L:L,A17,allorders!AG:AG,"&lt;="&amp;日期!$B$5,allorders!AG:AG,"&gt;="&amp;日期!$B$12,allorders!N:N,"Shipped")/SUM(C17:F17)</f>
        <v>99.6</v>
      </c>
      <c r="H17">
        <f>SUMIFS(allorders!Q:Q,allorders!L:L,A17,allorders!AG:AG,"&gt;="&amp;日期!$B$12,allorders!AG:AG,"&lt;="&amp;日期!$B$5,allorders!N:N,"Shipped")</f>
        <v>298.8</v>
      </c>
      <c r="I17">
        <f t="shared" si="0"/>
        <v>3</v>
      </c>
    </row>
    <row r="18" spans="1:9">
      <c r="A18" s="7" t="s">
        <v>214</v>
      </c>
      <c r="B18" t="str">
        <f>VLOOKUP(A18,'[1]子sku-父sku'!$A:$B,2,0)</f>
        <v>YF-YULQ007</v>
      </c>
      <c r="C18">
        <f>SUMIFS(allorders!O:O,allorders!L:L,$A18,allorders!AG:AG,"&lt;="&amp;日期!$B$5,allorders!AG:AG,"&gt;="&amp;日期!$B$6,allorders!N:N,"Shipped")</f>
        <v>3</v>
      </c>
      <c r="D18">
        <f>SUMIFS(allorders!$O:$O,allorders!$L:$L,$A18,allorders!$AG:$AG,"&lt;="&amp;日期!$B$7,allorders!$AG:$AG,"&gt;="&amp;日期!$B$8,allorders!N:N,"Shipped")</f>
        <v>12</v>
      </c>
      <c r="E18">
        <f>SUMIFS(allorders!$O:$O,allorders!$L:$L,$A18,allorders!$AG:$AG,"&lt;="&amp;日期!$B$9,allorders!$AG:$AG,"&gt;="&amp;日期!$B$10,allorders!N:N,"Shipped")</f>
        <v>5</v>
      </c>
      <c r="F18">
        <f>SUMIFS(allorders!$O:$O,allorders!$L:$L,$A18,allorders!$AG:$AG,"&lt;="&amp;日期!$B$11,allorders!$AG:$AG,"&gt;="&amp;日期!$B$12,allorders!N:N,"Shipped")</f>
        <v>11</v>
      </c>
      <c r="G18">
        <f>SUMIFS(allorders!Q:Q,allorders!L:L,A18,allorders!AG:AG,"&lt;="&amp;日期!$B$5,allorders!AG:AG,"&gt;="&amp;日期!$B$12,allorders!N:N,"Shipped")/SUM(C18:F18)</f>
        <v>21.99</v>
      </c>
      <c r="H18">
        <f>SUMIFS(allorders!Q:Q,allorders!L:L,A18,allorders!AG:AG,"&gt;="&amp;日期!$B$12,allorders!AG:AG,"&lt;="&amp;日期!$B$5,allorders!N:N,"Shipped")</f>
        <v>681.69</v>
      </c>
      <c r="I18">
        <f t="shared" si="0"/>
        <v>31</v>
      </c>
    </row>
    <row r="19" spans="1:9">
      <c r="A19" s="7" t="s">
        <v>227</v>
      </c>
      <c r="B19" t="str">
        <f>VLOOKUP(A19,'[1]子sku-父sku'!$A:$B,2,0)</f>
        <v>DOLL-7056</v>
      </c>
      <c r="C19">
        <f>SUMIFS(allorders!O:O,allorders!L:L,$A19,allorders!AG:AG,"&lt;="&amp;日期!$B$5,allorders!AG:AG,"&gt;="&amp;日期!$B$6,allorders!N:N,"Shipped")</f>
        <v>1</v>
      </c>
      <c r="D19">
        <f>SUMIFS(allorders!$O:$O,allorders!$L:$L,$A19,allorders!$AG:$AG,"&lt;="&amp;日期!$B$7,allorders!$AG:$AG,"&gt;="&amp;日期!$B$8,allorders!N:N,"Shipped")</f>
        <v>4</v>
      </c>
      <c r="E19">
        <f>SUMIFS(allorders!$O:$O,allorders!$L:$L,$A19,allorders!$AG:$AG,"&lt;="&amp;日期!$B$9,allorders!$AG:$AG,"&gt;="&amp;日期!$B$10,allorders!N:N,"Shipped")</f>
        <v>3</v>
      </c>
      <c r="F19">
        <f>SUMIFS(allorders!$O:$O,allorders!$L:$L,$A19,allorders!$AG:$AG,"&lt;="&amp;日期!$B$11,allorders!$AG:$AG,"&gt;="&amp;日期!$B$12,allorders!N:N,"Shipped")</f>
        <v>2</v>
      </c>
      <c r="G19">
        <f>SUMIFS(allorders!Q:Q,allorders!L:L,A19,allorders!AG:AG,"&lt;="&amp;日期!$B$5,allorders!AG:AG,"&gt;="&amp;日期!$B$12,allorders!N:N,"Shipped")/SUM(C19:F19)</f>
        <v>34.99</v>
      </c>
      <c r="H19">
        <f>SUMIFS(allorders!Q:Q,allorders!L:L,A19,allorders!AG:AG,"&gt;="&amp;日期!$B$12,allorders!AG:AG,"&lt;="&amp;日期!$B$5,allorders!N:N,"Shipped")</f>
        <v>349.9</v>
      </c>
      <c r="I19">
        <f t="shared" si="0"/>
        <v>10</v>
      </c>
    </row>
    <row r="20" spans="1:9">
      <c r="A20" s="7" t="s">
        <v>236</v>
      </c>
      <c r="B20" t="str">
        <f>VLOOKUP(A20,'[1]子sku-父sku'!$A:$B,2,0)</f>
        <v>DO-YULQ150</v>
      </c>
      <c r="C20">
        <f>SUMIFS(allorders!O:O,allorders!L:L,$A20,allorders!AG:AG,"&lt;="&amp;日期!$B$5,allorders!AG:AG,"&gt;="&amp;日期!$B$6,allorders!N:N,"Shipped")</f>
        <v>3</v>
      </c>
      <c r="D20">
        <f>SUMIFS(allorders!$O:$O,allorders!$L:$L,$A20,allorders!$AG:$AG,"&lt;="&amp;日期!$B$7,allorders!$AG:$AG,"&gt;="&amp;日期!$B$8,allorders!N:N,"Shipped")</f>
        <v>4</v>
      </c>
      <c r="E20">
        <f>SUMIFS(allorders!$O:$O,allorders!$L:$L,$A20,allorders!$AG:$AG,"&lt;="&amp;日期!$B$9,allorders!$AG:$AG,"&gt;="&amp;日期!$B$10,allorders!N:N,"Shipped")</f>
        <v>2</v>
      </c>
      <c r="F20">
        <f>SUMIFS(allorders!$O:$O,allorders!$L:$L,$A20,allorders!$AG:$AG,"&lt;="&amp;日期!$B$11,allorders!$AG:$AG,"&gt;="&amp;日期!$B$12,allorders!N:N,"Shipped")</f>
        <v>5</v>
      </c>
      <c r="G20">
        <f>SUMIFS(allorders!Q:Q,allorders!L:L,A20,allorders!AG:AG,"&lt;="&amp;日期!$B$5,allorders!AG:AG,"&gt;="&amp;日期!$B$12,allorders!N:N,"Shipped")/SUM(C20:F20)</f>
        <v>85.99</v>
      </c>
      <c r="H20">
        <f>SUMIFS(allorders!Q:Q,allorders!L:L,A20,allorders!AG:AG,"&gt;="&amp;日期!$B$12,allorders!AG:AG,"&lt;="&amp;日期!$B$5,allorders!N:N,"Shipped")</f>
        <v>1203.86</v>
      </c>
      <c r="I20">
        <f t="shared" si="0"/>
        <v>14</v>
      </c>
    </row>
    <row r="21" spans="1:9">
      <c r="A21" s="7" t="s">
        <v>268</v>
      </c>
      <c r="B21" t="str">
        <f>VLOOKUP(A21,'[1]子sku-父sku'!$A:$B,2,0)</f>
        <v>DO-YULQ611</v>
      </c>
      <c r="C21">
        <f>SUMIFS(allorders!O:O,allorders!L:L,$A21,allorders!AG:AG,"&lt;="&amp;日期!$B$5,allorders!AG:AG,"&gt;="&amp;日期!$B$6,allorders!N:N,"Shipped")</f>
        <v>0</v>
      </c>
      <c r="D21">
        <f>SUMIFS(allorders!$O:$O,allorders!$L:$L,$A21,allorders!$AG:$AG,"&lt;="&amp;日期!$B$7,allorders!$AG:$AG,"&gt;="&amp;日期!$B$8,allorders!N:N,"Shipped")</f>
        <v>0</v>
      </c>
      <c r="E21">
        <f>SUMIFS(allorders!$O:$O,allorders!$L:$L,$A21,allorders!$AG:$AG,"&lt;="&amp;日期!$B$9,allorders!$AG:$AG,"&gt;="&amp;日期!$B$10,allorders!N:N,"Shipped")</f>
        <v>0</v>
      </c>
      <c r="F21">
        <f>SUMIFS(allorders!$O:$O,allorders!$L:$L,$A21,allorders!$AG:$AG,"&lt;="&amp;日期!$B$11,allorders!$AG:$AG,"&gt;="&amp;日期!$B$12,allorders!N:N,"Shipped")</f>
        <v>0</v>
      </c>
      <c r="G21" t="e">
        <f>SUMIFS(allorders!Q:Q,allorders!L:L,A21,allorders!AG:AG,"&lt;="&amp;日期!$B$5,allorders!AG:AG,"&gt;="&amp;日期!$B$12,allorders!N:N,"Shipped")/SUM(C21:F21)</f>
        <v>#DIV/0!</v>
      </c>
      <c r="H21">
        <f>SUMIFS(allorders!Q:Q,allorders!L:L,A21,allorders!AG:AG,"&gt;="&amp;日期!$B$12,allorders!AG:AG,"&lt;="&amp;日期!$B$5,allorders!N:N,"Shipped")</f>
        <v>0</v>
      </c>
      <c r="I21">
        <f t="shared" si="0"/>
        <v>0</v>
      </c>
    </row>
    <row r="22" spans="1:9">
      <c r="A22" s="7" t="s">
        <v>276</v>
      </c>
      <c r="B22" t="str">
        <f>VLOOKUP(A22,'[1]子sku-父sku'!$A:$B,2,0)</f>
        <v>DO-YULQ173</v>
      </c>
      <c r="C22">
        <f>SUMIFS(allorders!O:O,allorders!L:L,$A22,allorders!AG:AG,"&lt;="&amp;日期!$B$5,allorders!AG:AG,"&gt;="&amp;日期!$B$6,allorders!N:N,"Shipped")</f>
        <v>16</v>
      </c>
      <c r="D22">
        <f>SUMIFS(allorders!$O:$O,allorders!$L:$L,$A22,allorders!$AG:$AG,"&lt;="&amp;日期!$B$7,allorders!$AG:$AG,"&gt;="&amp;日期!$B$8,allorders!N:N,"Shipped")</f>
        <v>9</v>
      </c>
      <c r="E22">
        <f>SUMIFS(allorders!$O:$O,allorders!$L:$L,$A22,allorders!$AG:$AG,"&lt;="&amp;日期!$B$9,allorders!$AG:$AG,"&gt;="&amp;日期!$B$10,allorders!N:N,"Shipped")</f>
        <v>5</v>
      </c>
      <c r="F22">
        <f>SUMIFS(allorders!$O:$O,allorders!$L:$L,$A22,allorders!$AG:$AG,"&lt;="&amp;日期!$B$11,allorders!$AG:$AG,"&gt;="&amp;日期!$B$12,allorders!N:N,"Shipped")</f>
        <v>9</v>
      </c>
      <c r="G22">
        <f>SUMIFS(allorders!Q:Q,allorders!L:L,A22,allorders!AG:AG,"&lt;="&amp;日期!$B$5,allorders!AG:AG,"&gt;="&amp;日期!$B$12,allorders!N:N,"Shipped")/SUM(C22:F22)</f>
        <v>89.9899999999999</v>
      </c>
      <c r="H22">
        <f>SUMIFS(allorders!Q:Q,allorders!L:L,A22,allorders!AG:AG,"&gt;="&amp;日期!$B$12,allorders!AG:AG,"&lt;="&amp;日期!$B$5,allorders!N:N,"Shipped")</f>
        <v>3509.61</v>
      </c>
      <c r="I22">
        <f t="shared" si="0"/>
        <v>39</v>
      </c>
    </row>
    <row r="23" spans="1:9">
      <c r="A23" s="7" t="s">
        <v>285</v>
      </c>
      <c r="B23" t="str">
        <f>VLOOKUP(A23,'[1]子sku-父sku'!$A:$B,2,0)</f>
        <v>DOLL-0630</v>
      </c>
      <c r="C23">
        <f>SUMIFS(allorders!O:O,allorders!L:L,$A23,allorders!AG:AG,"&lt;="&amp;日期!$B$5,allorders!AG:AG,"&gt;="&amp;日期!$B$6,allorders!N:N,"Shipped")</f>
        <v>2</v>
      </c>
      <c r="D23">
        <f>SUMIFS(allorders!$O:$O,allorders!$L:$L,$A23,allorders!$AG:$AG,"&lt;="&amp;日期!$B$7,allorders!$AG:$AG,"&gt;="&amp;日期!$B$8,allorders!N:N,"Shipped")</f>
        <v>9</v>
      </c>
      <c r="E23">
        <f>SUMIFS(allorders!$O:$O,allorders!$L:$L,$A23,allorders!$AG:$AG,"&lt;="&amp;日期!$B$9,allorders!$AG:$AG,"&gt;="&amp;日期!$B$10,allorders!N:N,"Shipped")</f>
        <v>1</v>
      </c>
      <c r="F23">
        <f>SUMIFS(allorders!$O:$O,allorders!$L:$L,$A23,allorders!$AG:$AG,"&lt;="&amp;日期!$B$11,allorders!$AG:$AG,"&gt;="&amp;日期!$B$12,allorders!N:N,"Shipped")</f>
        <v>7</v>
      </c>
      <c r="G23">
        <f>SUMIFS(allorders!Q:Q,allorders!L:L,A23,allorders!AG:AG,"&lt;="&amp;日期!$B$5,allorders!AG:AG,"&gt;="&amp;日期!$B$12,allorders!N:N,"Shipped")/SUM(C23:F23)</f>
        <v>89.99</v>
      </c>
      <c r="H23">
        <f>SUMIFS(allorders!Q:Q,allorders!L:L,A23,allorders!AG:AG,"&gt;="&amp;日期!$B$12,allorders!AG:AG,"&lt;="&amp;日期!$B$5,allorders!N:N,"Shipped")</f>
        <v>1709.81</v>
      </c>
      <c r="I23">
        <f t="shared" si="0"/>
        <v>19</v>
      </c>
    </row>
    <row r="24" spans="1:9">
      <c r="A24" s="7" t="s">
        <v>313</v>
      </c>
      <c r="B24" t="str">
        <f>VLOOKUP(A24,'[1]子sku-父sku'!$A:$B,2,0)</f>
        <v>DO-YULQ081</v>
      </c>
      <c r="C24">
        <f>SUMIFS(allorders!O:O,allorders!L:L,$A24,allorders!AG:AG,"&lt;="&amp;日期!$B$5,allorders!AG:AG,"&gt;="&amp;日期!$B$6,allorders!N:N,"Shipped")</f>
        <v>0</v>
      </c>
      <c r="D24">
        <f>SUMIFS(allorders!$O:$O,allorders!$L:$L,$A24,allorders!$AG:$AG,"&lt;="&amp;日期!$B$7,allorders!$AG:$AG,"&gt;="&amp;日期!$B$8,allorders!N:N,"Shipped")</f>
        <v>1</v>
      </c>
      <c r="E24">
        <f>SUMIFS(allorders!$O:$O,allorders!$L:$L,$A24,allorders!$AG:$AG,"&lt;="&amp;日期!$B$9,allorders!$AG:$AG,"&gt;="&amp;日期!$B$10,allorders!N:N,"Shipped")</f>
        <v>0</v>
      </c>
      <c r="F24">
        <f>SUMIFS(allorders!$O:$O,allorders!$L:$L,$A24,allorders!$AG:$AG,"&lt;="&amp;日期!$B$11,allorders!$AG:$AG,"&gt;="&amp;日期!$B$12,allorders!N:N,"Shipped")</f>
        <v>1</v>
      </c>
      <c r="G24">
        <f>SUMIFS(allorders!Q:Q,allorders!L:L,A24,allorders!AG:AG,"&lt;="&amp;日期!$B$5,allorders!AG:AG,"&gt;="&amp;日期!$B$12,allorders!N:N,"Shipped")/SUM(C24:F24)</f>
        <v>37.99</v>
      </c>
      <c r="H24">
        <f>SUMIFS(allorders!Q:Q,allorders!L:L,A24,allorders!AG:AG,"&gt;="&amp;日期!$B$12,allorders!AG:AG,"&lt;="&amp;日期!$B$5,allorders!N:N,"Shipped")</f>
        <v>75.98</v>
      </c>
      <c r="I24">
        <f t="shared" si="0"/>
        <v>2</v>
      </c>
    </row>
    <row r="25" spans="1:9">
      <c r="A25" s="7" t="s">
        <v>345</v>
      </c>
      <c r="B25" t="str">
        <f>VLOOKUP(A25,'[1]子sku-父sku'!$A:$B,2,0)</f>
        <v>DOLL-1613</v>
      </c>
      <c r="C25">
        <f>SUMIFS(allorders!O:O,allorders!L:L,$A25,allorders!AG:AG,"&lt;="&amp;日期!$B$5,allorders!AG:AG,"&gt;="&amp;日期!$B$6,allorders!N:N,"Shipped")</f>
        <v>0</v>
      </c>
      <c r="D25">
        <f>SUMIFS(allorders!$O:$O,allorders!$L:$L,$A25,allorders!$AG:$AG,"&lt;="&amp;日期!$B$7,allorders!$AG:$AG,"&gt;="&amp;日期!$B$8,allorders!N:N,"Shipped")</f>
        <v>0</v>
      </c>
      <c r="E25">
        <f>SUMIFS(allorders!$O:$O,allorders!$L:$L,$A25,allorders!$AG:$AG,"&lt;="&amp;日期!$B$9,allorders!$AG:$AG,"&gt;="&amp;日期!$B$10,allorders!N:N,"Shipped")</f>
        <v>0</v>
      </c>
      <c r="F25">
        <f>SUMIFS(allorders!$O:$O,allorders!$L:$L,$A25,allorders!$AG:$AG,"&lt;="&amp;日期!$B$11,allorders!$AG:$AG,"&gt;="&amp;日期!$B$12,allorders!N:N,"Shipped")</f>
        <v>1</v>
      </c>
      <c r="G25">
        <f>SUMIFS(allorders!Q:Q,allorders!L:L,A25,allorders!AG:AG,"&lt;="&amp;日期!$B$5,allorders!AG:AG,"&gt;="&amp;日期!$B$12,allorders!N:N,"Shipped")/SUM(C25:F25)</f>
        <v>89.6</v>
      </c>
      <c r="H25">
        <f>SUMIFS(allorders!Q:Q,allorders!L:L,A25,allorders!AG:AG,"&gt;="&amp;日期!$B$12,allorders!AG:AG,"&lt;="&amp;日期!$B$5,allorders!N:N,"Shipped")</f>
        <v>89.6</v>
      </c>
      <c r="I25">
        <f t="shared" si="0"/>
        <v>1</v>
      </c>
    </row>
    <row r="26" spans="1:9">
      <c r="A26" s="7" t="s">
        <v>365</v>
      </c>
      <c r="B26" t="str">
        <f>VLOOKUP(A26,'[1]子sku-父sku'!$A:$B,2,0)</f>
        <v>DO-YULQ062</v>
      </c>
      <c r="C26">
        <f>SUMIFS(allorders!O:O,allorders!L:L,$A26,allorders!AG:AG,"&lt;="&amp;日期!$B$5,allorders!AG:AG,"&gt;="&amp;日期!$B$6,allorders!N:N,"Shipped")</f>
        <v>4</v>
      </c>
      <c r="D26">
        <f>SUMIFS(allorders!$O:$O,allorders!$L:$L,$A26,allorders!$AG:$AG,"&lt;="&amp;日期!$B$7,allorders!$AG:$AG,"&gt;="&amp;日期!$B$8,allorders!N:N,"Shipped")</f>
        <v>3</v>
      </c>
      <c r="E26">
        <f>SUMIFS(allorders!$O:$O,allorders!$L:$L,$A26,allorders!$AG:$AG,"&lt;="&amp;日期!$B$9,allorders!$AG:$AG,"&gt;="&amp;日期!$B$10,allorders!N:N,"Shipped")</f>
        <v>6</v>
      </c>
      <c r="F26">
        <f>SUMIFS(allorders!$O:$O,allorders!$L:$L,$A26,allorders!$AG:$AG,"&lt;="&amp;日期!$B$11,allorders!$AG:$AG,"&gt;="&amp;日期!$B$12,allorders!N:N,"Shipped")</f>
        <v>4</v>
      </c>
      <c r="G26">
        <f>SUMIFS(allorders!Q:Q,allorders!L:L,A26,allorders!AG:AG,"&lt;="&amp;日期!$B$5,allorders!AG:AG,"&gt;="&amp;日期!$B$12,allorders!N:N,"Shipped")/SUM(C26:F26)</f>
        <v>89.8723529411765</v>
      </c>
      <c r="H26">
        <f>SUMIFS(allorders!Q:Q,allorders!L:L,A26,allorders!AG:AG,"&gt;="&amp;日期!$B$12,allorders!AG:AG,"&lt;="&amp;日期!$B$5,allorders!N:N,"Shipped")</f>
        <v>1527.83</v>
      </c>
      <c r="I26">
        <f t="shared" si="0"/>
        <v>17</v>
      </c>
    </row>
    <row r="27" spans="1:9">
      <c r="A27" s="7" t="s">
        <v>388</v>
      </c>
      <c r="B27" t="str">
        <f>VLOOKUP(A27,'[1]子sku-父sku'!$A:$B,2,0)</f>
        <v>DOLL-004</v>
      </c>
      <c r="C27">
        <f>SUMIFS(allorders!O:O,allorders!L:L,$A27,allorders!AG:AG,"&lt;="&amp;日期!$B$5,allorders!AG:AG,"&gt;="&amp;日期!$B$6,allorders!N:N,"Shipped")</f>
        <v>5</v>
      </c>
      <c r="D27">
        <f>SUMIFS(allorders!$O:$O,allorders!$L:$L,$A27,allorders!$AG:$AG,"&lt;="&amp;日期!$B$7,allorders!$AG:$AG,"&gt;="&amp;日期!$B$8,allorders!N:N,"Shipped")</f>
        <v>4</v>
      </c>
      <c r="E27">
        <f>SUMIFS(allorders!$O:$O,allorders!$L:$L,$A27,allorders!$AG:$AG,"&lt;="&amp;日期!$B$9,allorders!$AG:$AG,"&gt;="&amp;日期!$B$10,allorders!N:N,"Shipped")</f>
        <v>2</v>
      </c>
      <c r="F27">
        <f>SUMIFS(allorders!$O:$O,allorders!$L:$L,$A27,allorders!$AG:$AG,"&lt;="&amp;日期!$B$11,allorders!$AG:$AG,"&gt;="&amp;日期!$B$12,allorders!N:N,"Shipped")</f>
        <v>4</v>
      </c>
      <c r="G27">
        <f>SUMIFS(allorders!Q:Q,allorders!L:L,A27,allorders!AG:AG,"&lt;="&amp;日期!$B$5,allorders!AG:AG,"&gt;="&amp;日期!$B$12,allorders!N:N,"Shipped")/SUM(C27:F27)</f>
        <v>32.99</v>
      </c>
      <c r="H27">
        <f>SUMIFS(allorders!Q:Q,allorders!L:L,A27,allorders!AG:AG,"&gt;="&amp;日期!$B$12,allorders!AG:AG,"&lt;="&amp;日期!$B$5,allorders!N:N,"Shipped")</f>
        <v>494.85</v>
      </c>
      <c r="I27">
        <f t="shared" si="0"/>
        <v>15</v>
      </c>
    </row>
    <row r="28" spans="1:9">
      <c r="A28" s="7" t="s">
        <v>411</v>
      </c>
      <c r="B28" t="str">
        <f>VLOOKUP(A28,'[1]子sku-父sku'!$A:$B,2,0)</f>
        <v>YF-YULQ905</v>
      </c>
      <c r="C28">
        <f>SUMIFS(allorders!O:O,allorders!L:L,$A28,allorders!AG:AG,"&lt;="&amp;日期!$B$5,allorders!AG:AG,"&gt;="&amp;日期!$B$6,allorders!N:N,"Shipped")</f>
        <v>1</v>
      </c>
      <c r="D28">
        <f>SUMIFS(allorders!$O:$O,allorders!$L:$L,$A28,allorders!$AG:$AG,"&lt;="&amp;日期!$B$7,allorders!$AG:$AG,"&gt;="&amp;日期!$B$8,allorders!N:N,"Shipped")</f>
        <v>1</v>
      </c>
      <c r="E28">
        <f>SUMIFS(allorders!$O:$O,allorders!$L:$L,$A28,allorders!$AG:$AG,"&lt;="&amp;日期!$B$9,allorders!$AG:$AG,"&gt;="&amp;日期!$B$10,allorders!N:N,"Shipped")</f>
        <v>3</v>
      </c>
      <c r="F28">
        <f>SUMIFS(allorders!$O:$O,allorders!$L:$L,$A28,allorders!$AG:$AG,"&lt;="&amp;日期!$B$11,allorders!$AG:$AG,"&gt;="&amp;日期!$B$12,allorders!N:N,"Shipped")</f>
        <v>4</v>
      </c>
      <c r="G28">
        <f>SUMIFS(allorders!Q:Q,allorders!L:L,A28,allorders!AG:AG,"&lt;="&amp;日期!$B$5,allorders!AG:AG,"&gt;="&amp;日期!$B$12,allorders!N:N,"Shipped")/SUM(C28:F28)</f>
        <v>21.99</v>
      </c>
      <c r="H28">
        <f>SUMIFS(allorders!Q:Q,allorders!L:L,A28,allorders!AG:AG,"&gt;="&amp;日期!$B$12,allorders!AG:AG,"&lt;="&amp;日期!$B$5,allorders!N:N,"Shipped")</f>
        <v>197.91</v>
      </c>
      <c r="I28">
        <f t="shared" si="0"/>
        <v>9</v>
      </c>
    </row>
    <row r="29" spans="1:9">
      <c r="A29" s="7" t="s">
        <v>419</v>
      </c>
      <c r="B29" t="str">
        <f>VLOOKUP(A29,'[1]子sku-父sku'!$A:$B,2,0)</f>
        <v>DO-YULQ332</v>
      </c>
      <c r="C29">
        <f>SUMIFS(allorders!O:O,allorders!L:L,$A29,allorders!AG:AG,"&lt;="&amp;日期!$B$5,allorders!AG:AG,"&gt;="&amp;日期!$B$6,allorders!N:N,"Shipped")</f>
        <v>1</v>
      </c>
      <c r="D29">
        <f>SUMIFS(allorders!$O:$O,allorders!$L:$L,$A29,allorders!$AG:$AG,"&lt;="&amp;日期!$B$7,allorders!$AG:$AG,"&gt;="&amp;日期!$B$8,allorders!N:N,"Shipped")</f>
        <v>2</v>
      </c>
      <c r="E29">
        <f>SUMIFS(allorders!$O:$O,allorders!$L:$L,$A29,allorders!$AG:$AG,"&lt;="&amp;日期!$B$9,allorders!$AG:$AG,"&gt;="&amp;日期!$B$10,allorders!N:N,"Shipped")</f>
        <v>0</v>
      </c>
      <c r="F29">
        <f>SUMIFS(allorders!$O:$O,allorders!$L:$L,$A29,allorders!$AG:$AG,"&lt;="&amp;日期!$B$11,allorders!$AG:$AG,"&gt;="&amp;日期!$B$12,allorders!N:N,"Shipped")</f>
        <v>1</v>
      </c>
      <c r="G29">
        <f>SUMIFS(allorders!Q:Q,allorders!L:L,A29,allorders!AG:AG,"&lt;="&amp;日期!$B$5,allorders!AG:AG,"&gt;="&amp;日期!$B$12,allorders!N:N,"Shipped")/SUM(C29:F29)</f>
        <v>89.99</v>
      </c>
      <c r="H29">
        <f>SUMIFS(allorders!Q:Q,allorders!L:L,A29,allorders!AG:AG,"&gt;="&amp;日期!$B$12,allorders!AG:AG,"&lt;="&amp;日期!$B$5,allorders!N:N,"Shipped")</f>
        <v>359.96</v>
      </c>
      <c r="I29">
        <f t="shared" si="0"/>
        <v>4</v>
      </c>
    </row>
    <row r="30" spans="1:9">
      <c r="A30" s="7" t="s">
        <v>432</v>
      </c>
      <c r="B30" t="str">
        <f>VLOOKUP(A30,'[1]子sku-父sku'!$A:$B,2,0)</f>
        <v>DO-YULQ123</v>
      </c>
      <c r="C30">
        <f>SUMIFS(allorders!O:O,allorders!L:L,$A30,allorders!AG:AG,"&lt;="&amp;日期!$B$5,allorders!AG:AG,"&gt;="&amp;日期!$B$6,allorders!N:N,"Shipped")</f>
        <v>6</v>
      </c>
      <c r="D30">
        <f>SUMIFS(allorders!$O:$O,allorders!$L:$L,$A30,allorders!$AG:$AG,"&lt;="&amp;日期!$B$7,allorders!$AG:$AG,"&gt;="&amp;日期!$B$8,allorders!N:N,"Shipped")</f>
        <v>3</v>
      </c>
      <c r="E30">
        <f>SUMIFS(allorders!$O:$O,allorders!$L:$L,$A30,allorders!$AG:$AG,"&lt;="&amp;日期!$B$9,allorders!$AG:$AG,"&gt;="&amp;日期!$B$10,allorders!N:N,"Shipped")</f>
        <v>6</v>
      </c>
      <c r="F30">
        <f>SUMIFS(allorders!$O:$O,allorders!$L:$L,$A30,allorders!$AG:$AG,"&lt;="&amp;日期!$B$11,allorders!$AG:$AG,"&gt;="&amp;日期!$B$12,allorders!N:N,"Shipped")</f>
        <v>3</v>
      </c>
      <c r="G30">
        <f>SUMIFS(allorders!Q:Q,allorders!L:L,A30,allorders!AG:AG,"&lt;="&amp;日期!$B$5,allorders!AG:AG,"&gt;="&amp;日期!$B$12,allorders!N:N,"Shipped")/SUM(C30:F30)</f>
        <v>89.99</v>
      </c>
      <c r="H30">
        <f>SUMIFS(allorders!Q:Q,allorders!L:L,A30,allorders!AG:AG,"&gt;="&amp;日期!$B$12,allorders!AG:AG,"&lt;="&amp;日期!$B$5,allorders!N:N,"Shipped")</f>
        <v>1619.82</v>
      </c>
      <c r="I30">
        <f t="shared" si="0"/>
        <v>18</v>
      </c>
    </row>
    <row r="31" spans="1:9">
      <c r="A31" s="7" t="s">
        <v>458</v>
      </c>
      <c r="B31" t="str">
        <f>VLOOKUP(A31,'[1]子sku-父sku'!$A:$B,2,0)</f>
        <v>DO-YULQ664</v>
      </c>
      <c r="C31">
        <f>SUMIFS(allorders!O:O,allorders!L:L,$A31,allorders!AG:AG,"&lt;="&amp;日期!$B$5,allorders!AG:AG,"&gt;="&amp;日期!$B$6,allorders!N:N,"Shipped")</f>
        <v>1</v>
      </c>
      <c r="D31">
        <f>SUMIFS(allorders!$O:$O,allorders!$L:$L,$A31,allorders!$AG:$AG,"&lt;="&amp;日期!$B$7,allorders!$AG:$AG,"&gt;="&amp;日期!$B$8,allorders!N:N,"Shipped")</f>
        <v>3</v>
      </c>
      <c r="E31">
        <f>SUMIFS(allorders!$O:$O,allorders!$L:$L,$A31,allorders!$AG:$AG,"&lt;="&amp;日期!$B$9,allorders!$AG:$AG,"&gt;="&amp;日期!$B$10,allorders!N:N,"Shipped")</f>
        <v>0</v>
      </c>
      <c r="F31">
        <f>SUMIFS(allorders!$O:$O,allorders!$L:$L,$A31,allorders!$AG:$AG,"&lt;="&amp;日期!$B$11,allorders!$AG:$AG,"&gt;="&amp;日期!$B$12,allorders!N:N,"Shipped")</f>
        <v>2</v>
      </c>
      <c r="G31">
        <f>SUMIFS(allorders!Q:Q,allorders!L:L,A31,allorders!AG:AG,"&lt;="&amp;日期!$B$5,allorders!AG:AG,"&gt;="&amp;日期!$B$12,allorders!N:N,"Shipped")/SUM(C31:F31)</f>
        <v>79.99</v>
      </c>
      <c r="H31">
        <f>SUMIFS(allorders!Q:Q,allorders!L:L,A31,allorders!AG:AG,"&gt;="&amp;日期!$B$12,allorders!AG:AG,"&lt;="&amp;日期!$B$5,allorders!N:N,"Shipped")</f>
        <v>479.94</v>
      </c>
      <c r="I31">
        <f t="shared" si="0"/>
        <v>6</v>
      </c>
    </row>
    <row r="32" spans="1:9">
      <c r="A32" s="7" t="s">
        <v>478</v>
      </c>
      <c r="B32" t="str">
        <f>VLOOKUP(A32,'[1]子sku-父sku'!$A:$B,2,0)</f>
        <v>DO-YULQ061</v>
      </c>
      <c r="C32">
        <f>SUMIFS(allorders!O:O,allorders!L:L,$A32,allorders!AG:AG,"&lt;="&amp;日期!$B$5,allorders!AG:AG,"&gt;="&amp;日期!$B$6,allorders!N:N,"Shipped")</f>
        <v>0</v>
      </c>
      <c r="D32">
        <f>SUMIFS(allorders!$O:$O,allorders!$L:$L,$A32,allorders!$AG:$AG,"&lt;="&amp;日期!$B$7,allorders!$AG:$AG,"&gt;="&amp;日期!$B$8,allorders!N:N,"Shipped")</f>
        <v>1</v>
      </c>
      <c r="E32">
        <f>SUMIFS(allorders!$O:$O,allorders!$L:$L,$A32,allorders!$AG:$AG,"&lt;="&amp;日期!$B$9,allorders!$AG:$AG,"&gt;="&amp;日期!$B$10,allorders!N:N,"Shipped")</f>
        <v>2</v>
      </c>
      <c r="F32">
        <f>SUMIFS(allorders!$O:$O,allorders!$L:$L,$A32,allorders!$AG:$AG,"&lt;="&amp;日期!$B$11,allorders!$AG:$AG,"&gt;="&amp;日期!$B$12,allorders!N:N,"Shipped")</f>
        <v>2</v>
      </c>
      <c r="G32">
        <f>SUMIFS(allorders!Q:Q,allorders!L:L,A32,allorders!AG:AG,"&lt;="&amp;日期!$B$5,allorders!AG:AG,"&gt;="&amp;日期!$B$12,allorders!N:N,"Shipped")/SUM(C32:F32)</f>
        <v>94.6</v>
      </c>
      <c r="H32">
        <f>SUMIFS(allorders!Q:Q,allorders!L:L,A32,allorders!AG:AG,"&gt;="&amp;日期!$B$12,allorders!AG:AG,"&lt;="&amp;日期!$B$5,allorders!N:N,"Shipped")</f>
        <v>473</v>
      </c>
      <c r="I32">
        <f t="shared" si="0"/>
        <v>5</v>
      </c>
    </row>
    <row r="33" spans="1:9">
      <c r="A33" s="7" t="s">
        <v>494</v>
      </c>
      <c r="B33" t="str">
        <f>VLOOKUP(A33,'[1]子sku-父sku'!$A:$B,2,0)</f>
        <v>DO-YULQ905</v>
      </c>
      <c r="C33">
        <f>SUMIFS(allorders!O:O,allorders!L:L,$A33,allorders!AG:AG,"&lt;="&amp;日期!$B$5,allorders!AG:AG,"&gt;="&amp;日期!$B$6,allorders!N:N,"Shipped")</f>
        <v>1</v>
      </c>
      <c r="D33">
        <f>SUMIFS(allorders!$O:$O,allorders!$L:$L,$A33,allorders!$AG:$AG,"&lt;="&amp;日期!$B$7,allorders!$AG:$AG,"&gt;="&amp;日期!$B$8,allorders!N:N,"Shipped")</f>
        <v>1</v>
      </c>
      <c r="E33">
        <f>SUMIFS(allorders!$O:$O,allorders!$L:$L,$A33,allorders!$AG:$AG,"&lt;="&amp;日期!$B$9,allorders!$AG:$AG,"&gt;="&amp;日期!$B$10,allorders!N:N,"Shipped")</f>
        <v>0</v>
      </c>
      <c r="F33">
        <f>SUMIFS(allorders!$O:$O,allorders!$L:$L,$A33,allorders!$AG:$AG,"&lt;="&amp;日期!$B$11,allorders!$AG:$AG,"&gt;="&amp;日期!$B$12,allorders!N:N,"Shipped")</f>
        <v>0</v>
      </c>
      <c r="G33">
        <f>SUMIFS(allorders!Q:Q,allorders!L:L,A33,allorders!AG:AG,"&lt;="&amp;日期!$B$5,allorders!AG:AG,"&gt;="&amp;日期!$B$12,allorders!N:N,"Shipped")/SUM(C33:F33)</f>
        <v>106.99</v>
      </c>
      <c r="H33">
        <f>SUMIFS(allorders!Q:Q,allorders!L:L,A33,allorders!AG:AG,"&gt;="&amp;日期!$B$12,allorders!AG:AG,"&lt;="&amp;日期!$B$5,allorders!N:N,"Shipped")</f>
        <v>213.98</v>
      </c>
      <c r="I33">
        <f t="shared" si="0"/>
        <v>2</v>
      </c>
    </row>
    <row r="34" spans="1:9">
      <c r="A34" s="7" t="s">
        <v>527</v>
      </c>
      <c r="B34" t="str">
        <f>VLOOKUP(A34,'[1]子sku-父sku'!$A:$B,2,0)</f>
        <v>DOLL-008</v>
      </c>
      <c r="C34">
        <f>SUMIFS(allorders!O:O,allorders!L:L,$A34,allorders!AG:AG,"&lt;="&amp;日期!$B$5,allorders!AG:AG,"&gt;="&amp;日期!$B$6,allorders!N:N,"Shipped")</f>
        <v>0</v>
      </c>
      <c r="D34">
        <f>SUMIFS(allorders!$O:$O,allorders!$L:$L,$A34,allorders!$AG:$AG,"&lt;="&amp;日期!$B$7,allorders!$AG:$AG,"&gt;="&amp;日期!$B$8,allorders!N:N,"Shipped")</f>
        <v>0</v>
      </c>
      <c r="E34">
        <f>SUMIFS(allorders!$O:$O,allorders!$L:$L,$A34,allorders!$AG:$AG,"&lt;="&amp;日期!$B$9,allorders!$AG:$AG,"&gt;="&amp;日期!$B$10,allorders!N:N,"Shipped")</f>
        <v>3</v>
      </c>
      <c r="F34">
        <f>SUMIFS(allorders!$O:$O,allorders!$L:$L,$A34,allorders!$AG:$AG,"&lt;="&amp;日期!$B$11,allorders!$AG:$AG,"&gt;="&amp;日期!$B$12,allorders!N:N,"Shipped")</f>
        <v>4</v>
      </c>
      <c r="G34">
        <f>SUMIFS(allorders!Q:Q,allorders!L:L,A34,allorders!AG:AG,"&lt;="&amp;日期!$B$5,allorders!AG:AG,"&gt;="&amp;日期!$B$12,allorders!N:N,"Shipped")/SUM(C34:F34)</f>
        <v>90.3142857142857</v>
      </c>
      <c r="H34">
        <f>SUMIFS(allorders!Q:Q,allorders!L:L,A34,allorders!AG:AG,"&gt;="&amp;日期!$B$12,allorders!AG:AG,"&lt;="&amp;日期!$B$5,allorders!N:N,"Shipped")</f>
        <v>632.2</v>
      </c>
      <c r="I34">
        <f t="shared" si="0"/>
        <v>7</v>
      </c>
    </row>
    <row r="35" spans="1:9">
      <c r="A35" s="7" t="s">
        <v>538</v>
      </c>
      <c r="B35" t="str">
        <f>VLOOKUP(A35,'[1]子sku-父sku'!$A:$B,2,0)</f>
        <v>DO-YULQ200</v>
      </c>
      <c r="C35">
        <f>SUMIFS(allorders!O:O,allorders!L:L,$A35,allorders!AG:AG,"&lt;="&amp;日期!$B$5,allorders!AG:AG,"&gt;="&amp;日期!$B$6,allorders!N:N,"Shipped")</f>
        <v>0</v>
      </c>
      <c r="D35">
        <f>SUMIFS(allorders!$O:$O,allorders!$L:$L,$A35,allorders!$AG:$AG,"&lt;="&amp;日期!$B$7,allorders!$AG:$AG,"&gt;="&amp;日期!$B$8,allorders!N:N,"Shipped")</f>
        <v>0</v>
      </c>
      <c r="E35">
        <f>SUMIFS(allorders!$O:$O,allorders!$L:$L,$A35,allorders!$AG:$AG,"&lt;="&amp;日期!$B$9,allorders!$AG:$AG,"&gt;="&amp;日期!$B$10,allorders!N:N,"Shipped")</f>
        <v>0</v>
      </c>
      <c r="F35">
        <f>SUMIFS(allorders!$O:$O,allorders!$L:$L,$A35,allorders!$AG:$AG,"&lt;="&amp;日期!$B$11,allorders!$AG:$AG,"&gt;="&amp;日期!$B$12,allorders!N:N,"Shipped")</f>
        <v>1</v>
      </c>
      <c r="G35">
        <f>SUMIFS(allorders!Q:Q,allorders!L:L,A35,allorders!AG:AG,"&lt;="&amp;日期!$B$5,allorders!AG:AG,"&gt;="&amp;日期!$B$12,allorders!N:N,"Shipped")/SUM(C35:F35)</f>
        <v>32.99</v>
      </c>
      <c r="H35">
        <f>SUMIFS(allorders!Q:Q,allorders!L:L,A35,allorders!AG:AG,"&gt;="&amp;日期!$B$12,allorders!AG:AG,"&lt;="&amp;日期!$B$5,allorders!N:N,"Shipped")</f>
        <v>32.99</v>
      </c>
      <c r="I35">
        <f t="shared" si="0"/>
        <v>1</v>
      </c>
    </row>
    <row r="36" spans="1:9">
      <c r="A36" s="7" t="s">
        <v>547</v>
      </c>
      <c r="B36" t="str">
        <f>VLOOKUP(A36,'[1]子sku-父sku'!$A:$B,2,0)</f>
        <v>DOLL-1613</v>
      </c>
      <c r="C36">
        <f>SUMIFS(allorders!O:O,allorders!L:L,$A36,allorders!AG:AG,"&lt;="&amp;日期!$B$5,allorders!AG:AG,"&gt;="&amp;日期!$B$6,allorders!N:N,"Shipped")</f>
        <v>0</v>
      </c>
      <c r="D36">
        <f>SUMIFS(allorders!$O:$O,allorders!$L:$L,$A36,allorders!$AG:$AG,"&lt;="&amp;日期!$B$7,allorders!$AG:$AG,"&gt;="&amp;日期!$B$8,allorders!N:N,"Shipped")</f>
        <v>0</v>
      </c>
      <c r="E36">
        <f>SUMIFS(allorders!$O:$O,allorders!$L:$L,$A36,allorders!$AG:$AG,"&lt;="&amp;日期!$B$9,allorders!$AG:$AG,"&gt;="&amp;日期!$B$10,allorders!N:N,"Shipped")</f>
        <v>1</v>
      </c>
      <c r="F36">
        <f>SUMIFS(allorders!$O:$O,allorders!$L:$L,$A36,allorders!$AG:$AG,"&lt;="&amp;日期!$B$11,allorders!$AG:$AG,"&gt;="&amp;日期!$B$12,allorders!N:N,"Shipped")</f>
        <v>1</v>
      </c>
      <c r="G36">
        <f>SUMIFS(allorders!Q:Q,allorders!L:L,A36,allorders!AG:AG,"&lt;="&amp;日期!$B$5,allorders!AG:AG,"&gt;="&amp;日期!$B$12,allorders!N:N,"Shipped")/SUM(C36:F36)</f>
        <v>89.795</v>
      </c>
      <c r="H36">
        <f>SUMIFS(allorders!Q:Q,allorders!L:L,A36,allorders!AG:AG,"&gt;="&amp;日期!$B$12,allorders!AG:AG,"&lt;="&amp;日期!$B$5,allorders!N:N,"Shipped")</f>
        <v>179.59</v>
      </c>
      <c r="I36">
        <f t="shared" si="0"/>
        <v>2</v>
      </c>
    </row>
    <row r="37" spans="1:9">
      <c r="A37" s="7" t="s">
        <v>555</v>
      </c>
      <c r="B37" t="str">
        <f>VLOOKUP(A37,'[1]子sku-父sku'!$A:$B,2,0)</f>
        <v>DO-YULQ010</v>
      </c>
      <c r="C37">
        <f>SUMIFS(allorders!O:O,allorders!L:L,$A37,allorders!AG:AG,"&lt;="&amp;日期!$B$5,allorders!AG:AG,"&gt;="&amp;日期!$B$6,allorders!N:N,"Shipped")</f>
        <v>1</v>
      </c>
      <c r="D37">
        <f>SUMIFS(allorders!$O:$O,allorders!$L:$L,$A37,allorders!$AG:$AG,"&lt;="&amp;日期!$B$7,allorders!$AG:$AG,"&gt;="&amp;日期!$B$8,allorders!N:N,"Shipped")</f>
        <v>2</v>
      </c>
      <c r="E37">
        <f>SUMIFS(allorders!$O:$O,allorders!$L:$L,$A37,allorders!$AG:$AG,"&lt;="&amp;日期!$B$9,allorders!$AG:$AG,"&gt;="&amp;日期!$B$10,allorders!N:N,"Shipped")</f>
        <v>2</v>
      </c>
      <c r="F37">
        <f>SUMIFS(allorders!$O:$O,allorders!$L:$L,$A37,allorders!$AG:$AG,"&lt;="&amp;日期!$B$11,allorders!$AG:$AG,"&gt;="&amp;日期!$B$12,allorders!N:N,"Shipped")</f>
        <v>1</v>
      </c>
      <c r="G37">
        <f>SUMIFS(allorders!Q:Q,allorders!L:L,A37,allorders!AG:AG,"&lt;="&amp;日期!$B$5,allorders!AG:AG,"&gt;="&amp;日期!$B$12,allorders!N:N,"Shipped")/SUM(C37:F37)</f>
        <v>89.99</v>
      </c>
      <c r="H37">
        <f>SUMIFS(allorders!Q:Q,allorders!L:L,A37,allorders!AG:AG,"&gt;="&amp;日期!$B$12,allorders!AG:AG,"&lt;="&amp;日期!$B$5,allorders!N:N,"Shipped")</f>
        <v>539.94</v>
      </c>
      <c r="I37">
        <f t="shared" si="0"/>
        <v>6</v>
      </c>
    </row>
    <row r="38" spans="1:9">
      <c r="A38" s="7" t="s">
        <v>567</v>
      </c>
      <c r="B38" t="str">
        <f>VLOOKUP(A38,'[1]子sku-父sku'!$A:$B,2,0)</f>
        <v>DOLL-AD011</v>
      </c>
      <c r="C38">
        <f>SUMIFS(allorders!O:O,allorders!L:L,$A38,allorders!AG:AG,"&lt;="&amp;日期!$B$5,allorders!AG:AG,"&gt;="&amp;日期!$B$6,allorders!N:N,"Shipped")</f>
        <v>1</v>
      </c>
      <c r="D38">
        <f>SUMIFS(allorders!$O:$O,allorders!$L:$L,$A38,allorders!$AG:$AG,"&lt;="&amp;日期!$B$7,allorders!$AG:$AG,"&gt;="&amp;日期!$B$8,allorders!N:N,"Shipped")</f>
        <v>1</v>
      </c>
      <c r="E38">
        <f>SUMIFS(allorders!$O:$O,allorders!$L:$L,$A38,allorders!$AG:$AG,"&lt;="&amp;日期!$B$9,allorders!$AG:$AG,"&gt;="&amp;日期!$B$10,allorders!N:N,"Shipped")</f>
        <v>1</v>
      </c>
      <c r="F38">
        <f>SUMIFS(allorders!$O:$O,allorders!$L:$L,$A38,allorders!$AG:$AG,"&lt;="&amp;日期!$B$11,allorders!$AG:$AG,"&gt;="&amp;日期!$B$12,allorders!N:N,"Shipped")</f>
        <v>2</v>
      </c>
      <c r="G38">
        <f>SUMIFS(allorders!Q:Q,allorders!L:L,A38,allorders!AG:AG,"&lt;="&amp;日期!$B$5,allorders!AG:AG,"&gt;="&amp;日期!$B$12,allorders!N:N,"Shipped")/SUM(C38:F38)</f>
        <v>99.6</v>
      </c>
      <c r="H38">
        <f>SUMIFS(allorders!Q:Q,allorders!L:L,A38,allorders!AG:AG,"&gt;="&amp;日期!$B$12,allorders!AG:AG,"&lt;="&amp;日期!$B$5,allorders!N:N,"Shipped")</f>
        <v>498</v>
      </c>
      <c r="I38">
        <f t="shared" si="0"/>
        <v>5</v>
      </c>
    </row>
    <row r="39" spans="1:9">
      <c r="A39" s="7" t="s">
        <v>619</v>
      </c>
      <c r="B39" t="str">
        <f>VLOOKUP(A39,'[1]子sku-父sku'!$A:$B,2,0)</f>
        <v>DO-YULQ150</v>
      </c>
      <c r="C39">
        <f>SUMIFS(allorders!O:O,allorders!L:L,$A39,allorders!AG:AG,"&lt;="&amp;日期!$B$5,allorders!AG:AG,"&gt;="&amp;日期!$B$6,allorders!N:N,"Shipped")</f>
        <v>1</v>
      </c>
      <c r="D39">
        <f>SUMIFS(allorders!$O:$O,allorders!$L:$L,$A39,allorders!$AG:$AG,"&lt;="&amp;日期!$B$7,allorders!$AG:$AG,"&gt;="&amp;日期!$B$8,allorders!N:N,"Shipped")</f>
        <v>0</v>
      </c>
      <c r="E39">
        <f>SUMIFS(allorders!$O:$O,allorders!$L:$L,$A39,allorders!$AG:$AG,"&lt;="&amp;日期!$B$9,allorders!$AG:$AG,"&gt;="&amp;日期!$B$10,allorders!N:N,"Shipped")</f>
        <v>2</v>
      </c>
      <c r="F39">
        <f>SUMIFS(allorders!$O:$O,allorders!$L:$L,$A39,allorders!$AG:$AG,"&lt;="&amp;日期!$B$11,allorders!$AG:$AG,"&gt;="&amp;日期!$B$12,allorders!N:N,"Shipped")</f>
        <v>2</v>
      </c>
      <c r="G39">
        <f>SUMIFS(allorders!Q:Q,allorders!L:L,A39,allorders!AG:AG,"&lt;="&amp;日期!$B$5,allorders!AG:AG,"&gt;="&amp;日期!$B$12,allorders!N:N,"Shipped")/SUM(C39:F39)</f>
        <v>99.99</v>
      </c>
      <c r="H39">
        <f>SUMIFS(allorders!Q:Q,allorders!L:L,A39,allorders!AG:AG,"&gt;="&amp;日期!$B$12,allorders!AG:AG,"&lt;="&amp;日期!$B$5,allorders!N:N,"Shipped")</f>
        <v>499.95</v>
      </c>
      <c r="I39">
        <f t="shared" si="0"/>
        <v>5</v>
      </c>
    </row>
    <row r="40" spans="1:9">
      <c r="A40" s="7" t="s">
        <v>633</v>
      </c>
      <c r="B40" t="str">
        <f>VLOOKUP(A40,'[1]子sku-父sku'!$A:$B,2,0)</f>
        <v>DOLL-9042</v>
      </c>
      <c r="C40">
        <f>SUMIFS(allorders!O:O,allorders!L:L,$A40,allorders!AG:AG,"&lt;="&amp;日期!$B$5,allorders!AG:AG,"&gt;="&amp;日期!$B$6,allorders!N:N,"Shipped")</f>
        <v>0</v>
      </c>
      <c r="D40">
        <f>SUMIFS(allorders!$O:$O,allorders!$L:$L,$A40,allorders!$AG:$AG,"&lt;="&amp;日期!$B$7,allorders!$AG:$AG,"&gt;="&amp;日期!$B$8,allorders!N:N,"Shipped")</f>
        <v>3</v>
      </c>
      <c r="E40">
        <f>SUMIFS(allorders!$O:$O,allorders!$L:$L,$A40,allorders!$AG:$AG,"&lt;="&amp;日期!$B$9,allorders!$AG:$AG,"&gt;="&amp;日期!$B$10,allorders!N:N,"Shipped")</f>
        <v>3</v>
      </c>
      <c r="F40">
        <f>SUMIFS(allorders!$O:$O,allorders!$L:$L,$A40,allorders!$AG:$AG,"&lt;="&amp;日期!$B$11,allorders!$AG:$AG,"&gt;="&amp;日期!$B$12,allorders!N:N,"Shipped")</f>
        <v>2</v>
      </c>
      <c r="G40">
        <f>SUMIFS(allorders!Q:Q,allorders!L:L,A40,allorders!AG:AG,"&lt;="&amp;日期!$B$5,allorders!AG:AG,"&gt;="&amp;日期!$B$12,allorders!N:N,"Shipped")/SUM(C40:F40)</f>
        <v>89.99</v>
      </c>
      <c r="H40">
        <f>SUMIFS(allorders!Q:Q,allorders!L:L,A40,allorders!AG:AG,"&gt;="&amp;日期!$B$12,allorders!AG:AG,"&lt;="&amp;日期!$B$5,allorders!N:N,"Shipped")</f>
        <v>719.92</v>
      </c>
      <c r="I40">
        <f t="shared" si="0"/>
        <v>8</v>
      </c>
    </row>
    <row r="41" spans="1:9">
      <c r="A41" s="7" t="s">
        <v>643</v>
      </c>
      <c r="B41" t="str">
        <f>VLOOKUP(A41,'[1]子sku-父sku'!$A:$B,2,0)</f>
        <v>YF-YULQ602</v>
      </c>
      <c r="C41">
        <f>SUMIFS(allorders!O:O,allorders!L:L,$A41,allorders!AG:AG,"&lt;="&amp;日期!$B$5,allorders!AG:AG,"&gt;="&amp;日期!$B$6,allorders!N:N,"Shipped")</f>
        <v>1</v>
      </c>
      <c r="D41">
        <f>SUMIFS(allorders!$O:$O,allorders!$L:$L,$A41,allorders!$AG:$AG,"&lt;="&amp;日期!$B$7,allorders!$AG:$AG,"&gt;="&amp;日期!$B$8,allorders!N:N,"Shipped")</f>
        <v>4</v>
      </c>
      <c r="E41">
        <f>SUMIFS(allorders!$O:$O,allorders!$L:$L,$A41,allorders!$AG:$AG,"&lt;="&amp;日期!$B$9,allorders!$AG:$AG,"&gt;="&amp;日期!$B$10,allorders!N:N,"Shipped")</f>
        <v>3</v>
      </c>
      <c r="F41">
        <f>SUMIFS(allorders!$O:$O,allorders!$L:$L,$A41,allorders!$AG:$AG,"&lt;="&amp;日期!$B$11,allorders!$AG:$AG,"&gt;="&amp;日期!$B$12,allorders!N:N,"Shipped")</f>
        <v>2</v>
      </c>
      <c r="G41">
        <f>SUMIFS(allorders!Q:Q,allorders!L:L,A41,allorders!AG:AG,"&lt;="&amp;日期!$B$5,allorders!AG:AG,"&gt;="&amp;日期!$B$12,allorders!N:N,"Shipped")/SUM(C41:F41)</f>
        <v>21.99</v>
      </c>
      <c r="H41">
        <f>SUMIFS(allorders!Q:Q,allorders!L:L,A41,allorders!AG:AG,"&gt;="&amp;日期!$B$12,allorders!AG:AG,"&lt;="&amp;日期!$B$5,allorders!N:N,"Shipped")</f>
        <v>219.9</v>
      </c>
      <c r="I41">
        <f t="shared" si="0"/>
        <v>10</v>
      </c>
    </row>
    <row r="42" spans="1:9">
      <c r="A42" s="7" t="s">
        <v>648</v>
      </c>
      <c r="B42" t="str">
        <f>VLOOKUP(A42,'[1]子sku-父sku'!$A:$B,2,0)</f>
        <v>DO-YULQ604</v>
      </c>
      <c r="C42">
        <f>SUMIFS(allorders!O:O,allorders!L:L,$A42,allorders!AG:AG,"&lt;="&amp;日期!$B$5,allorders!AG:AG,"&gt;="&amp;日期!$B$6,allorders!N:N,"Shipped")</f>
        <v>1</v>
      </c>
      <c r="D42">
        <f>SUMIFS(allorders!$O:$O,allorders!$L:$L,$A42,allorders!$AG:$AG,"&lt;="&amp;日期!$B$7,allorders!$AG:$AG,"&gt;="&amp;日期!$B$8,allorders!N:N,"Shipped")</f>
        <v>0</v>
      </c>
      <c r="E42">
        <f>SUMIFS(allorders!$O:$O,allorders!$L:$L,$A42,allorders!$AG:$AG,"&lt;="&amp;日期!$B$9,allorders!$AG:$AG,"&gt;="&amp;日期!$B$10,allorders!N:N,"Shipped")</f>
        <v>0</v>
      </c>
      <c r="F42">
        <f>SUMIFS(allorders!$O:$O,allorders!$L:$L,$A42,allorders!$AG:$AG,"&lt;="&amp;日期!$B$11,allorders!$AG:$AG,"&gt;="&amp;日期!$B$12,allorders!N:N,"Shipped")</f>
        <v>1</v>
      </c>
      <c r="G42">
        <f>SUMIFS(allorders!Q:Q,allorders!L:L,A42,allorders!AG:AG,"&lt;="&amp;日期!$B$5,allorders!AG:AG,"&gt;="&amp;日期!$B$12,allorders!N:N,"Shipped")/SUM(C42:F42)</f>
        <v>89.99</v>
      </c>
      <c r="H42">
        <f>SUMIFS(allorders!Q:Q,allorders!L:L,A42,allorders!AG:AG,"&gt;="&amp;日期!$B$12,allorders!AG:AG,"&lt;="&amp;日期!$B$5,allorders!N:N,"Shipped")</f>
        <v>179.98</v>
      </c>
      <c r="I42">
        <f t="shared" si="0"/>
        <v>2</v>
      </c>
    </row>
    <row r="43" spans="1:9">
      <c r="A43" s="7" t="s">
        <v>661</v>
      </c>
      <c r="B43" t="str">
        <f>VLOOKUP(A43,'[1]子sku-父sku'!$A:$B,2,0)</f>
        <v>DO-YULQ230</v>
      </c>
      <c r="C43">
        <f>SUMIFS(allorders!O:O,allorders!L:L,$A43,allorders!AG:AG,"&lt;="&amp;日期!$B$5,allorders!AG:AG,"&gt;="&amp;日期!$B$6,allorders!N:N,"Shipped")</f>
        <v>7</v>
      </c>
      <c r="D43">
        <f>SUMIFS(allorders!$O:$O,allorders!$L:$L,$A43,allorders!$AG:$AG,"&lt;="&amp;日期!$B$7,allorders!$AG:$AG,"&gt;="&amp;日期!$B$8,allorders!N:N,"Shipped")</f>
        <v>8</v>
      </c>
      <c r="E43">
        <f>SUMIFS(allorders!$O:$O,allorders!$L:$L,$A43,allorders!$AG:$AG,"&lt;="&amp;日期!$B$9,allorders!$AG:$AG,"&gt;="&amp;日期!$B$10,allorders!N:N,"Shipped")</f>
        <v>7</v>
      </c>
      <c r="F43">
        <f>SUMIFS(allorders!$O:$O,allorders!$L:$L,$A43,allorders!$AG:$AG,"&lt;="&amp;日期!$B$11,allorders!$AG:$AG,"&gt;="&amp;日期!$B$12,allorders!N:N,"Shipped")</f>
        <v>7</v>
      </c>
      <c r="G43">
        <f>SUMIFS(allorders!Q:Q,allorders!L:L,A43,allorders!AG:AG,"&lt;="&amp;日期!$B$5,allorders!AG:AG,"&gt;="&amp;日期!$B$12,allorders!N:N,"Shipped")/SUM(C43:F43)</f>
        <v>79.99</v>
      </c>
      <c r="H43">
        <f>SUMIFS(allorders!Q:Q,allorders!L:L,A43,allorders!AG:AG,"&gt;="&amp;日期!$B$12,allorders!AG:AG,"&lt;="&amp;日期!$B$5,allorders!N:N,"Shipped")</f>
        <v>2319.71</v>
      </c>
      <c r="I43">
        <f t="shared" si="0"/>
        <v>29</v>
      </c>
    </row>
    <row r="44" spans="1:9">
      <c r="A44" s="7" t="s">
        <v>699</v>
      </c>
      <c r="B44" t="str">
        <f>VLOOKUP(A44,'[1]子sku-父sku'!$A:$B,2,0)</f>
        <v>DOLLDRESS-003</v>
      </c>
      <c r="C44">
        <f>SUMIFS(allorders!O:O,allorders!L:L,$A44,allorders!AG:AG,"&lt;="&amp;日期!$B$5,allorders!AG:AG,"&gt;="&amp;日期!$B$6,allorders!N:N,"Shipped")</f>
        <v>9</v>
      </c>
      <c r="D44">
        <f>SUMIFS(allorders!$O:$O,allorders!$L:$L,$A44,allorders!$AG:$AG,"&lt;="&amp;日期!$B$7,allorders!$AG:$AG,"&gt;="&amp;日期!$B$8,allorders!N:N,"Shipped")</f>
        <v>5</v>
      </c>
      <c r="E44">
        <f>SUMIFS(allorders!$O:$O,allorders!$L:$L,$A44,allorders!$AG:$AG,"&lt;="&amp;日期!$B$9,allorders!$AG:$AG,"&gt;="&amp;日期!$B$10,allorders!N:N,"Shipped")</f>
        <v>3</v>
      </c>
      <c r="F44">
        <f>SUMIFS(allorders!$O:$O,allorders!$L:$L,$A44,allorders!$AG:$AG,"&lt;="&amp;日期!$B$11,allorders!$AG:$AG,"&gt;="&amp;日期!$B$12,allorders!N:N,"Shipped")</f>
        <v>3</v>
      </c>
      <c r="G44">
        <f>SUMIFS(allorders!Q:Q,allorders!L:L,A44,allorders!AG:AG,"&lt;="&amp;日期!$B$5,allorders!AG:AG,"&gt;="&amp;日期!$B$12,allorders!N:N,"Shipped")/SUM(C44:F44)</f>
        <v>21.99</v>
      </c>
      <c r="H44">
        <f>SUMIFS(allorders!Q:Q,allorders!L:L,A44,allorders!AG:AG,"&gt;="&amp;日期!$B$12,allorders!AG:AG,"&lt;="&amp;日期!$B$5,allorders!N:N,"Shipped")</f>
        <v>439.8</v>
      </c>
      <c r="I44">
        <f t="shared" si="0"/>
        <v>20</v>
      </c>
    </row>
    <row r="45" spans="1:9">
      <c r="A45" s="7" t="s">
        <v>720</v>
      </c>
      <c r="B45" t="str">
        <f>VLOOKUP(A45,'[1]子sku-父sku'!$A:$B,2,0)</f>
        <v>YF-YULQ002</v>
      </c>
      <c r="C45">
        <f>SUMIFS(allorders!O:O,allorders!L:L,$A45,allorders!AG:AG,"&lt;="&amp;日期!$B$5,allorders!AG:AG,"&gt;="&amp;日期!$B$6,allorders!N:N,"Shipped")</f>
        <v>2</v>
      </c>
      <c r="D45">
        <f>SUMIFS(allorders!$O:$O,allorders!$L:$L,$A45,allorders!$AG:$AG,"&lt;="&amp;日期!$B$7,allorders!$AG:$AG,"&gt;="&amp;日期!$B$8,allorders!N:N,"Shipped")</f>
        <v>1</v>
      </c>
      <c r="E45">
        <f>SUMIFS(allorders!$O:$O,allorders!$L:$L,$A45,allorders!$AG:$AG,"&lt;="&amp;日期!$B$9,allorders!$AG:$AG,"&gt;="&amp;日期!$B$10,allorders!N:N,"Shipped")</f>
        <v>4</v>
      </c>
      <c r="F45">
        <f>SUMIFS(allorders!$O:$O,allorders!$L:$L,$A45,allorders!$AG:$AG,"&lt;="&amp;日期!$B$11,allorders!$AG:$AG,"&gt;="&amp;日期!$B$12,allorders!N:N,"Shipped")</f>
        <v>2</v>
      </c>
      <c r="G45">
        <f>SUMIFS(allorders!Q:Q,allorders!L:L,A45,allorders!AG:AG,"&lt;="&amp;日期!$B$5,allorders!AG:AG,"&gt;="&amp;日期!$B$12,allorders!N:N,"Shipped")/SUM(C45:F45)</f>
        <v>21.99</v>
      </c>
      <c r="H45">
        <f>SUMIFS(allorders!Q:Q,allorders!L:L,A45,allorders!AG:AG,"&gt;="&amp;日期!$B$12,allorders!AG:AG,"&lt;="&amp;日期!$B$5,allorders!N:N,"Shipped")</f>
        <v>197.91</v>
      </c>
      <c r="I45">
        <f t="shared" si="0"/>
        <v>9</v>
      </c>
    </row>
    <row r="46" spans="1:9">
      <c r="A46" s="7" t="s">
        <v>750</v>
      </c>
      <c r="B46" t="str">
        <f>VLOOKUP(A46,'[1]子sku-父sku'!$A:$B,2,0)</f>
        <v>DO-YULQ163</v>
      </c>
      <c r="C46">
        <f>SUMIFS(allorders!O:O,allorders!L:L,$A46,allorders!AG:AG,"&lt;="&amp;日期!$B$5,allorders!AG:AG,"&gt;="&amp;日期!$B$6,allorders!N:N,"Shipped")</f>
        <v>3</v>
      </c>
      <c r="D46">
        <f>SUMIFS(allorders!$O:$O,allorders!$L:$L,$A46,allorders!$AG:$AG,"&lt;="&amp;日期!$B$7,allorders!$AG:$AG,"&gt;="&amp;日期!$B$8,allorders!N:N,"Shipped")</f>
        <v>3</v>
      </c>
      <c r="E46">
        <f>SUMIFS(allorders!$O:$O,allorders!$L:$L,$A46,allorders!$AG:$AG,"&lt;="&amp;日期!$B$9,allorders!$AG:$AG,"&gt;="&amp;日期!$B$10,allorders!N:N,"Shipped")</f>
        <v>1</v>
      </c>
      <c r="F46">
        <f>SUMIFS(allorders!$O:$O,allorders!$L:$L,$A46,allorders!$AG:$AG,"&lt;="&amp;日期!$B$11,allorders!$AG:$AG,"&gt;="&amp;日期!$B$12,allorders!N:N,"Shipped")</f>
        <v>1</v>
      </c>
      <c r="G46">
        <f>SUMIFS(allorders!Q:Q,allorders!L:L,A46,allorders!AG:AG,"&lt;="&amp;日期!$B$5,allorders!AG:AG,"&gt;="&amp;日期!$B$12,allorders!N:N,"Shipped")/SUM(C46:F46)</f>
        <v>89.99</v>
      </c>
      <c r="H46">
        <f>SUMIFS(allorders!Q:Q,allorders!L:L,A46,allorders!AG:AG,"&gt;="&amp;日期!$B$12,allorders!AG:AG,"&lt;="&amp;日期!$B$5,allorders!N:N,"Shipped")</f>
        <v>719.92</v>
      </c>
      <c r="I46">
        <f t="shared" si="0"/>
        <v>8</v>
      </c>
    </row>
    <row r="47" spans="1:9">
      <c r="A47" s="7" t="s">
        <v>821</v>
      </c>
      <c r="B47" t="str">
        <f>VLOOKUP(A47,'[1]子sku-父sku'!$A:$B,2,0)</f>
        <v>DO-YULQ161</v>
      </c>
      <c r="C47">
        <f>SUMIFS(allorders!O:O,allorders!L:L,$A47,allorders!AG:AG,"&lt;="&amp;日期!$B$5,allorders!AG:AG,"&gt;="&amp;日期!$B$6,allorders!N:N,"Shipped")</f>
        <v>0</v>
      </c>
      <c r="D47">
        <f>SUMIFS(allorders!$O:$O,allorders!$L:$L,$A47,allorders!$AG:$AG,"&lt;="&amp;日期!$B$7,allorders!$AG:$AG,"&gt;="&amp;日期!$B$8,allorders!N:N,"Shipped")</f>
        <v>0</v>
      </c>
      <c r="E47">
        <f>SUMIFS(allorders!$O:$O,allorders!$L:$L,$A47,allorders!$AG:$AG,"&lt;="&amp;日期!$B$9,allorders!$AG:$AG,"&gt;="&amp;日期!$B$10,allorders!N:N,"Shipped")</f>
        <v>1</v>
      </c>
      <c r="F47">
        <f>SUMIFS(allorders!$O:$O,allorders!$L:$L,$A47,allorders!$AG:$AG,"&lt;="&amp;日期!$B$11,allorders!$AG:$AG,"&gt;="&amp;日期!$B$12,allorders!N:N,"Shipped")</f>
        <v>0</v>
      </c>
      <c r="G47">
        <f>SUMIFS(allorders!Q:Q,allorders!L:L,A47,allorders!AG:AG,"&lt;="&amp;日期!$B$5,allorders!AG:AG,"&gt;="&amp;日期!$B$12,allorders!N:N,"Shipped")/SUM(C47:F47)</f>
        <v>79.99</v>
      </c>
      <c r="H47">
        <f>SUMIFS(allorders!Q:Q,allorders!L:L,A47,allorders!AG:AG,"&gt;="&amp;日期!$B$12,allorders!AG:AG,"&lt;="&amp;日期!$B$5,allorders!N:N,"Shipped")</f>
        <v>79.99</v>
      </c>
      <c r="I47">
        <f t="shared" si="0"/>
        <v>1</v>
      </c>
    </row>
    <row r="48" spans="1:9">
      <c r="A48" s="7" t="s">
        <v>829</v>
      </c>
      <c r="B48" t="str">
        <f>VLOOKUP(A48,'[1]子sku-父sku'!$A:$B,2,0)</f>
        <v>DO-YULQ006</v>
      </c>
      <c r="C48">
        <f>SUMIFS(allorders!O:O,allorders!L:L,$A48,allorders!AG:AG,"&lt;="&amp;日期!$B$5,allorders!AG:AG,"&gt;="&amp;日期!$B$6,allorders!N:N,"Shipped")</f>
        <v>0</v>
      </c>
      <c r="D48">
        <f>SUMIFS(allorders!$O:$O,allorders!$L:$L,$A48,allorders!$AG:$AG,"&lt;="&amp;日期!$B$7,allorders!$AG:$AG,"&gt;="&amp;日期!$B$8,allorders!N:N,"Shipped")</f>
        <v>0</v>
      </c>
      <c r="E48">
        <f>SUMIFS(allorders!$O:$O,allorders!$L:$L,$A48,allorders!$AG:$AG,"&lt;="&amp;日期!$B$9,allorders!$AG:$AG,"&gt;="&amp;日期!$B$10,allorders!N:N,"Shipped")</f>
        <v>0</v>
      </c>
      <c r="F48">
        <f>SUMIFS(allorders!$O:$O,allorders!$L:$L,$A48,allorders!$AG:$AG,"&lt;="&amp;日期!$B$11,allorders!$AG:$AG,"&gt;="&amp;日期!$B$12,allorders!N:N,"Shipped")</f>
        <v>1</v>
      </c>
      <c r="G48">
        <f>SUMIFS(allorders!Q:Q,allorders!L:L,A48,allorders!AG:AG,"&lt;="&amp;日期!$B$5,allorders!AG:AG,"&gt;="&amp;日期!$B$12,allorders!N:N,"Shipped")/SUM(C48:F48)</f>
        <v>32.99</v>
      </c>
      <c r="H48">
        <f>SUMIFS(allorders!Q:Q,allorders!L:L,A48,allorders!AG:AG,"&gt;="&amp;日期!$B$12,allorders!AG:AG,"&lt;="&amp;日期!$B$5,allorders!N:N,"Shipped")</f>
        <v>32.99</v>
      </c>
      <c r="I48">
        <f t="shared" si="0"/>
        <v>1</v>
      </c>
    </row>
    <row r="49" spans="1:9">
      <c r="A49" s="7" t="s">
        <v>853</v>
      </c>
      <c r="B49" t="str">
        <f>VLOOKUP(A49,'[1]子sku-父sku'!$A:$B,2,0)</f>
        <v>DO-YULQ605</v>
      </c>
      <c r="C49">
        <f>SUMIFS(allorders!O:O,allorders!L:L,$A49,allorders!AG:AG,"&lt;="&amp;日期!$B$5,allorders!AG:AG,"&gt;="&amp;日期!$B$6,allorders!N:N,"Shipped")</f>
        <v>0</v>
      </c>
      <c r="D49">
        <f>SUMIFS(allorders!$O:$O,allorders!$L:$L,$A49,allorders!$AG:$AG,"&lt;="&amp;日期!$B$7,allorders!$AG:$AG,"&gt;="&amp;日期!$B$8,allorders!N:N,"Shipped")</f>
        <v>1</v>
      </c>
      <c r="E49">
        <f>SUMIFS(allorders!$O:$O,allorders!$L:$L,$A49,allorders!$AG:$AG,"&lt;="&amp;日期!$B$9,allorders!$AG:$AG,"&gt;="&amp;日期!$B$10,allorders!N:N,"Shipped")</f>
        <v>0</v>
      </c>
      <c r="F49">
        <f>SUMIFS(allorders!$O:$O,allorders!$L:$L,$A49,allorders!$AG:$AG,"&lt;="&amp;日期!$B$11,allorders!$AG:$AG,"&gt;="&amp;日期!$B$12,allorders!N:N,"Shipped")</f>
        <v>0</v>
      </c>
      <c r="G49">
        <f>SUMIFS(allorders!Q:Q,allorders!L:L,A49,allorders!AG:AG,"&lt;="&amp;日期!$B$5,allorders!AG:AG,"&gt;="&amp;日期!$B$12,allorders!N:N,"Shipped")/SUM(C49:F49)</f>
        <v>79.99</v>
      </c>
      <c r="H49">
        <f>SUMIFS(allorders!Q:Q,allorders!L:L,A49,allorders!AG:AG,"&gt;="&amp;日期!$B$12,allorders!AG:AG,"&lt;="&amp;日期!$B$5,allorders!N:N,"Shipped")</f>
        <v>79.99</v>
      </c>
      <c r="I49">
        <f t="shared" si="0"/>
        <v>1</v>
      </c>
    </row>
    <row r="50" spans="1:9">
      <c r="A50" s="7" t="s">
        <v>906</v>
      </c>
      <c r="B50" t="str">
        <f>VLOOKUP(A50,'[1]子sku-父sku'!$A:$B,2,0)</f>
        <v>DOLLDRESS-003</v>
      </c>
      <c r="C50">
        <f>SUMIFS(allorders!O:O,allorders!L:L,$A50,allorders!AG:AG,"&lt;="&amp;日期!$B$5,allorders!AG:AG,"&gt;="&amp;日期!$B$6,allorders!N:N,"Shipped")</f>
        <v>1</v>
      </c>
      <c r="D50">
        <f>SUMIFS(allorders!$O:$O,allorders!$L:$L,$A50,allorders!$AG:$AG,"&lt;="&amp;日期!$B$7,allorders!$AG:$AG,"&gt;="&amp;日期!$B$8,allorders!N:N,"Shipped")</f>
        <v>0</v>
      </c>
      <c r="E50">
        <f>SUMIFS(allorders!$O:$O,allorders!$L:$L,$A50,allorders!$AG:$AG,"&lt;="&amp;日期!$B$9,allorders!$AG:$AG,"&gt;="&amp;日期!$B$10,allorders!N:N,"Shipped")</f>
        <v>0</v>
      </c>
      <c r="F50">
        <f>SUMIFS(allorders!$O:$O,allorders!$L:$L,$A50,allorders!$AG:$AG,"&lt;="&amp;日期!$B$11,allorders!$AG:$AG,"&gt;="&amp;日期!$B$12,allorders!N:N,"Shipped")</f>
        <v>1</v>
      </c>
      <c r="G50">
        <f>SUMIFS(allorders!Q:Q,allorders!L:L,A50,allorders!AG:AG,"&lt;="&amp;日期!$B$5,allorders!AG:AG,"&gt;="&amp;日期!$B$12,allorders!N:N,"Shipped")/SUM(C50:F50)</f>
        <v>19.99</v>
      </c>
      <c r="H50">
        <f>SUMIFS(allorders!Q:Q,allorders!L:L,A50,allorders!AG:AG,"&gt;="&amp;日期!$B$12,allorders!AG:AG,"&lt;="&amp;日期!$B$5,allorders!N:N,"Shipped")</f>
        <v>39.98</v>
      </c>
      <c r="I50">
        <f t="shared" si="0"/>
        <v>2</v>
      </c>
    </row>
    <row r="51" spans="1:9">
      <c r="A51" s="7" t="s">
        <v>951</v>
      </c>
      <c r="B51" t="str">
        <f>VLOOKUP(A51,'[1]子sku-父sku'!$A:$B,2,0)</f>
        <v>DO-YULQ161</v>
      </c>
      <c r="C51">
        <f>SUMIFS(allorders!O:O,allorders!L:L,$A51,allorders!AG:AG,"&lt;="&amp;日期!$B$5,allorders!AG:AG,"&gt;="&amp;日期!$B$6,allorders!N:N,"Shipped")</f>
        <v>0</v>
      </c>
      <c r="D51">
        <f>SUMIFS(allorders!$O:$O,allorders!$L:$L,$A51,allorders!$AG:$AG,"&lt;="&amp;日期!$B$7,allorders!$AG:$AG,"&gt;="&amp;日期!$B$8,allorders!N:N,"Shipped")</f>
        <v>0</v>
      </c>
      <c r="E51">
        <f>SUMIFS(allorders!$O:$O,allorders!$L:$L,$A51,allorders!$AG:$AG,"&lt;="&amp;日期!$B$9,allorders!$AG:$AG,"&gt;="&amp;日期!$B$10,allorders!N:N,"Shipped")</f>
        <v>0</v>
      </c>
      <c r="F51">
        <f>SUMIFS(allorders!$O:$O,allorders!$L:$L,$A51,allorders!$AG:$AG,"&lt;="&amp;日期!$B$11,allorders!$AG:$AG,"&gt;="&amp;日期!$B$12,allorders!N:N,"Shipped")</f>
        <v>0</v>
      </c>
      <c r="G51" t="e">
        <f>SUMIFS(allorders!Q:Q,allorders!L:L,A51,allorders!AG:AG,"&lt;="&amp;日期!$B$5,allorders!AG:AG,"&gt;="&amp;日期!$B$12,allorders!N:N,"Shipped")/SUM(C51:F51)</f>
        <v>#DIV/0!</v>
      </c>
      <c r="H51">
        <f>SUMIFS(allorders!Q:Q,allorders!L:L,A51,allorders!AG:AG,"&gt;="&amp;日期!$B$12,allorders!AG:AG,"&lt;="&amp;日期!$B$5,allorders!N:N,"Shipped")</f>
        <v>0</v>
      </c>
      <c r="I51">
        <f t="shared" si="0"/>
        <v>0</v>
      </c>
    </row>
    <row r="52" spans="1:9">
      <c r="A52" s="7" t="s">
        <v>976</v>
      </c>
      <c r="B52" t="str">
        <f>VLOOKUP(A52,'[1]子sku-父sku'!$A:$B,2,0)</f>
        <v>DO-YULQ610</v>
      </c>
      <c r="C52">
        <f>SUMIFS(allorders!O:O,allorders!L:L,$A52,allorders!AG:AG,"&lt;="&amp;日期!$B$5,allorders!AG:AG,"&gt;="&amp;日期!$B$6,allorders!N:N,"Shipped")</f>
        <v>1</v>
      </c>
      <c r="D52">
        <f>SUMIFS(allorders!$O:$O,allorders!$L:$L,$A52,allorders!$AG:$AG,"&lt;="&amp;日期!$B$7,allorders!$AG:$AG,"&gt;="&amp;日期!$B$8,allorders!N:N,"Shipped")</f>
        <v>0</v>
      </c>
      <c r="E52">
        <f>SUMIFS(allorders!$O:$O,allorders!$L:$L,$A52,allorders!$AG:$AG,"&lt;="&amp;日期!$B$9,allorders!$AG:$AG,"&gt;="&amp;日期!$B$10,allorders!N:N,"Shipped")</f>
        <v>1</v>
      </c>
      <c r="F52">
        <f>SUMIFS(allorders!$O:$O,allorders!$L:$L,$A52,allorders!$AG:$AG,"&lt;="&amp;日期!$B$11,allorders!$AG:$AG,"&gt;="&amp;日期!$B$12,allorders!N:N,"Shipped")</f>
        <v>5</v>
      </c>
      <c r="G52">
        <f>SUMIFS(allorders!Q:Q,allorders!L:L,A52,allorders!AG:AG,"&lt;="&amp;日期!$B$5,allorders!AG:AG,"&gt;="&amp;日期!$B$12,allorders!N:N,"Shipped")/SUM(C52:F52)</f>
        <v>89.99</v>
      </c>
      <c r="H52">
        <f>SUMIFS(allorders!Q:Q,allorders!L:L,A52,allorders!AG:AG,"&gt;="&amp;日期!$B$12,allorders!AG:AG,"&lt;="&amp;日期!$B$5,allorders!N:N,"Shipped")</f>
        <v>629.93</v>
      </c>
      <c r="I52">
        <f t="shared" si="0"/>
        <v>7</v>
      </c>
    </row>
    <row r="53" spans="1:9">
      <c r="A53" s="7" t="s">
        <v>987</v>
      </c>
      <c r="B53" t="str">
        <f>VLOOKUP(A53,'[1]子sku-父sku'!$A:$B,2,0)</f>
        <v>DO-YULQ702</v>
      </c>
      <c r="C53">
        <f>SUMIFS(allorders!O:O,allorders!L:L,$A53,allorders!AG:AG,"&lt;="&amp;日期!$B$5,allorders!AG:AG,"&gt;="&amp;日期!$B$6,allorders!N:N,"Shipped")</f>
        <v>1</v>
      </c>
      <c r="D53">
        <f>SUMIFS(allorders!$O:$O,allorders!$L:$L,$A53,allorders!$AG:$AG,"&lt;="&amp;日期!$B$7,allorders!$AG:$AG,"&gt;="&amp;日期!$B$8,allorders!N:N,"Shipped")</f>
        <v>3</v>
      </c>
      <c r="E53">
        <f>SUMIFS(allorders!$O:$O,allorders!$L:$L,$A53,allorders!$AG:$AG,"&lt;="&amp;日期!$B$9,allorders!$AG:$AG,"&gt;="&amp;日期!$B$10,allorders!N:N,"Shipped")</f>
        <v>1</v>
      </c>
      <c r="F53">
        <f>SUMIFS(allorders!$O:$O,allorders!$L:$L,$A53,allorders!$AG:$AG,"&lt;="&amp;日期!$B$11,allorders!$AG:$AG,"&gt;="&amp;日期!$B$12,allorders!N:N,"Shipped")</f>
        <v>1</v>
      </c>
      <c r="G53">
        <f>SUMIFS(allorders!Q:Q,allorders!L:L,A53,allorders!AG:AG,"&lt;="&amp;日期!$B$5,allorders!AG:AG,"&gt;="&amp;日期!$B$12,allorders!N:N,"Shipped")/SUM(C53:F53)</f>
        <v>99.99</v>
      </c>
      <c r="H53">
        <f>SUMIFS(allorders!Q:Q,allorders!L:L,A53,allorders!AG:AG,"&gt;="&amp;日期!$B$12,allorders!AG:AG,"&lt;="&amp;日期!$B$5,allorders!N:N,"Shipped")</f>
        <v>599.94</v>
      </c>
      <c r="I53">
        <f t="shared" si="0"/>
        <v>6</v>
      </c>
    </row>
    <row r="54" spans="1:9">
      <c r="A54" s="7" t="s">
        <v>1011</v>
      </c>
      <c r="B54" t="str">
        <f>VLOOKUP(A54,'[1]子sku-父sku'!$A:$B,2,0)</f>
        <v>DO-YULQ516</v>
      </c>
      <c r="C54">
        <f>SUMIFS(allorders!O:O,allorders!L:L,$A54,allorders!AG:AG,"&lt;="&amp;日期!$B$5,allorders!AG:AG,"&gt;="&amp;日期!$B$6,allorders!N:N,"Shipped")</f>
        <v>0</v>
      </c>
      <c r="D54">
        <f>SUMIFS(allorders!$O:$O,allorders!$L:$L,$A54,allorders!$AG:$AG,"&lt;="&amp;日期!$B$7,allorders!$AG:$AG,"&gt;="&amp;日期!$B$8,allorders!N:N,"Shipped")</f>
        <v>1</v>
      </c>
      <c r="E54">
        <f>SUMIFS(allorders!$O:$O,allorders!$L:$L,$A54,allorders!$AG:$AG,"&lt;="&amp;日期!$B$9,allorders!$AG:$AG,"&gt;="&amp;日期!$B$10,allorders!N:N,"Shipped")</f>
        <v>0</v>
      </c>
      <c r="F54">
        <f>SUMIFS(allorders!$O:$O,allorders!$L:$L,$A54,allorders!$AG:$AG,"&lt;="&amp;日期!$B$11,allorders!$AG:$AG,"&gt;="&amp;日期!$B$12,allorders!N:N,"Shipped")</f>
        <v>1</v>
      </c>
      <c r="G54">
        <f>SUMIFS(allorders!Q:Q,allorders!L:L,A54,allorders!AG:AG,"&lt;="&amp;日期!$B$5,allorders!AG:AG,"&gt;="&amp;日期!$B$12,allorders!N:N,"Shipped")/SUM(C54:F54)</f>
        <v>89.99</v>
      </c>
      <c r="H54">
        <f>SUMIFS(allorders!Q:Q,allorders!L:L,A54,allorders!AG:AG,"&gt;="&amp;日期!$B$12,allorders!AG:AG,"&lt;="&amp;日期!$B$5,allorders!N:N,"Shipped")</f>
        <v>179.98</v>
      </c>
      <c r="I54">
        <f t="shared" si="0"/>
        <v>2</v>
      </c>
    </row>
    <row r="55" spans="1:9">
      <c r="A55" s="7" t="s">
        <v>1043</v>
      </c>
      <c r="B55" t="str">
        <f>VLOOKUP(A55,'[1]子sku-父sku'!$A:$B,2,0)</f>
        <v>DO-YULQ630</v>
      </c>
      <c r="C55">
        <f>SUMIFS(allorders!O:O,allorders!L:L,$A55,allorders!AG:AG,"&lt;="&amp;日期!$B$5,allorders!AG:AG,"&gt;="&amp;日期!$B$6,allorders!N:N,"Shipped")</f>
        <v>0</v>
      </c>
      <c r="D55">
        <f>SUMIFS(allorders!$O:$O,allorders!$L:$L,$A55,allorders!$AG:$AG,"&lt;="&amp;日期!$B$7,allorders!$AG:$AG,"&gt;="&amp;日期!$B$8,allorders!N:N,"Shipped")</f>
        <v>1</v>
      </c>
      <c r="E55">
        <f>SUMIFS(allorders!$O:$O,allorders!$L:$L,$A55,allorders!$AG:$AG,"&lt;="&amp;日期!$B$9,allorders!$AG:$AG,"&gt;="&amp;日期!$B$10,allorders!N:N,"Shipped")</f>
        <v>1</v>
      </c>
      <c r="F55">
        <f>SUMIFS(allorders!$O:$O,allorders!$L:$L,$A55,allorders!$AG:$AG,"&lt;="&amp;日期!$B$11,allorders!$AG:$AG,"&gt;="&amp;日期!$B$12,allorders!N:N,"Shipped")</f>
        <v>1</v>
      </c>
      <c r="G55">
        <f>SUMIFS(allorders!Q:Q,allorders!L:L,A55,allorders!AG:AG,"&lt;="&amp;日期!$B$5,allorders!AG:AG,"&gt;="&amp;日期!$B$12,allorders!N:N,"Shipped")/SUM(C55:F55)</f>
        <v>79.99</v>
      </c>
      <c r="H55">
        <f>SUMIFS(allorders!Q:Q,allorders!L:L,A55,allorders!AG:AG,"&gt;="&amp;日期!$B$12,allorders!AG:AG,"&lt;="&amp;日期!$B$5,allorders!N:N,"Shipped")</f>
        <v>239.97</v>
      </c>
      <c r="I55">
        <f t="shared" si="0"/>
        <v>3</v>
      </c>
    </row>
    <row r="56" spans="1:9">
      <c r="A56" s="7" t="s">
        <v>1066</v>
      </c>
      <c r="B56" t="str">
        <f>VLOOKUP(A56,'[1]子sku-父sku'!$A:$B,2,0)</f>
        <v>DOLL-005</v>
      </c>
      <c r="C56">
        <f>SUMIFS(allorders!O:O,allorders!L:L,$A56,allorders!AG:AG,"&lt;="&amp;日期!$B$5,allorders!AG:AG,"&gt;="&amp;日期!$B$6,allorders!N:N,"Shipped")</f>
        <v>2</v>
      </c>
      <c r="D56">
        <f>SUMIFS(allorders!$O:$O,allorders!$L:$L,$A56,allorders!$AG:$AG,"&lt;="&amp;日期!$B$7,allorders!$AG:$AG,"&gt;="&amp;日期!$B$8,allorders!N:N,"Shipped")</f>
        <v>2</v>
      </c>
      <c r="E56">
        <f>SUMIFS(allorders!$O:$O,allorders!$L:$L,$A56,allorders!$AG:$AG,"&lt;="&amp;日期!$B$9,allorders!$AG:$AG,"&gt;="&amp;日期!$B$10,allorders!N:N,"Shipped")</f>
        <v>0</v>
      </c>
      <c r="F56">
        <f>SUMIFS(allorders!$O:$O,allorders!$L:$L,$A56,allorders!$AG:$AG,"&lt;="&amp;日期!$B$11,allorders!$AG:$AG,"&gt;="&amp;日期!$B$12,allorders!N:N,"Shipped")</f>
        <v>1</v>
      </c>
      <c r="G56">
        <f>SUMIFS(allorders!Q:Q,allorders!L:L,A56,allorders!AG:AG,"&lt;="&amp;日期!$B$5,allorders!AG:AG,"&gt;="&amp;日期!$B$12,allorders!N:N,"Shipped")/SUM(C56:F56)</f>
        <v>28.19</v>
      </c>
      <c r="H56">
        <f>SUMIFS(allorders!Q:Q,allorders!L:L,A56,allorders!AG:AG,"&gt;="&amp;日期!$B$12,allorders!AG:AG,"&lt;="&amp;日期!$B$5,allorders!N:N,"Shipped")</f>
        <v>140.95</v>
      </c>
      <c r="I56">
        <f t="shared" si="0"/>
        <v>5</v>
      </c>
    </row>
    <row r="57" spans="1:9">
      <c r="A57" s="7" t="s">
        <v>1100</v>
      </c>
      <c r="B57" t="str">
        <f>VLOOKUP(A57,'[1]子sku-父sku'!$A:$B,2,0)</f>
        <v>DO-YULQ707</v>
      </c>
      <c r="C57">
        <f>SUMIFS(allorders!O:O,allorders!L:L,$A57,allorders!AG:AG,"&lt;="&amp;日期!$B$5,allorders!AG:AG,"&gt;="&amp;日期!$B$6,allorders!N:N,"Shipped")</f>
        <v>5</v>
      </c>
      <c r="D57">
        <f>SUMIFS(allorders!$O:$O,allorders!$L:$L,$A57,allorders!$AG:$AG,"&lt;="&amp;日期!$B$7,allorders!$AG:$AG,"&gt;="&amp;日期!$B$8,allorders!N:N,"Shipped")</f>
        <v>2</v>
      </c>
      <c r="E57">
        <f>SUMIFS(allorders!$O:$O,allorders!$L:$L,$A57,allorders!$AG:$AG,"&lt;="&amp;日期!$B$9,allorders!$AG:$AG,"&gt;="&amp;日期!$B$10,allorders!N:N,"Shipped")</f>
        <v>1</v>
      </c>
      <c r="F57">
        <f>SUMIFS(allorders!$O:$O,allorders!$L:$L,$A57,allorders!$AG:$AG,"&lt;="&amp;日期!$B$11,allorders!$AG:$AG,"&gt;="&amp;日期!$B$12,allorders!N:N,"Shipped")</f>
        <v>1</v>
      </c>
      <c r="G57">
        <f>SUMIFS(allorders!Q:Q,allorders!L:L,A57,allorders!AG:AG,"&lt;="&amp;日期!$B$5,allorders!AG:AG,"&gt;="&amp;日期!$B$12,allorders!N:N,"Shipped")/SUM(C57:F57)</f>
        <v>108.99</v>
      </c>
      <c r="H57">
        <f>SUMIFS(allorders!Q:Q,allorders!L:L,A57,allorders!AG:AG,"&gt;="&amp;日期!$B$12,allorders!AG:AG,"&lt;="&amp;日期!$B$5,allorders!N:N,"Shipped")</f>
        <v>980.91</v>
      </c>
      <c r="I57">
        <f t="shared" si="0"/>
        <v>9</v>
      </c>
    </row>
    <row r="58" spans="1:9">
      <c r="A58" s="7" t="s">
        <v>1121</v>
      </c>
      <c r="B58" t="str">
        <f>VLOOKUP(A58,'[1]子sku-父sku'!$A:$B,2,0)</f>
        <v>DO-YULQ063</v>
      </c>
      <c r="C58">
        <f>SUMIFS(allorders!O:O,allorders!L:L,$A58,allorders!AG:AG,"&lt;="&amp;日期!$B$5,allorders!AG:AG,"&gt;="&amp;日期!$B$6,allorders!N:N,"Shipped")</f>
        <v>0</v>
      </c>
      <c r="D58">
        <f>SUMIFS(allorders!$O:$O,allorders!$L:$L,$A58,allorders!$AG:$AG,"&lt;="&amp;日期!$B$7,allorders!$AG:$AG,"&gt;="&amp;日期!$B$8,allorders!N:N,"Shipped")</f>
        <v>0</v>
      </c>
      <c r="E58">
        <f>SUMIFS(allorders!$O:$O,allorders!$L:$L,$A58,allorders!$AG:$AG,"&lt;="&amp;日期!$B$9,allorders!$AG:$AG,"&gt;="&amp;日期!$B$10,allorders!N:N,"Shipped")</f>
        <v>0</v>
      </c>
      <c r="F58">
        <f>SUMIFS(allorders!$O:$O,allorders!$L:$L,$A58,allorders!$AG:$AG,"&lt;="&amp;日期!$B$11,allorders!$AG:$AG,"&gt;="&amp;日期!$B$12,allorders!N:N,"Shipped")</f>
        <v>1</v>
      </c>
      <c r="G58">
        <f>SUMIFS(allorders!Q:Q,allorders!L:L,A58,allorders!AG:AG,"&lt;="&amp;日期!$B$5,allorders!AG:AG,"&gt;="&amp;日期!$B$12,allorders!N:N,"Shipped")/SUM(C58:F58)</f>
        <v>90.99</v>
      </c>
      <c r="H58">
        <f>SUMIFS(allorders!Q:Q,allorders!L:L,A58,allorders!AG:AG,"&gt;="&amp;日期!$B$12,allorders!AG:AG,"&lt;="&amp;日期!$B$5,allorders!N:N,"Shipped")</f>
        <v>90.99</v>
      </c>
      <c r="I58">
        <f t="shared" si="0"/>
        <v>1</v>
      </c>
    </row>
    <row r="59" spans="1:9">
      <c r="A59" s="7" t="s">
        <v>1216</v>
      </c>
      <c r="B59" t="str">
        <f>VLOOKUP(A59,'[1]子sku-父sku'!$A:$B,2,0)</f>
        <v>DOLL-1630</v>
      </c>
      <c r="C59">
        <f>SUMIFS(allorders!O:O,allorders!L:L,$A59,allorders!AG:AG,"&lt;="&amp;日期!$B$5,allorders!AG:AG,"&gt;="&amp;日期!$B$6,allorders!N:N,"Shipped")</f>
        <v>0</v>
      </c>
      <c r="D59">
        <f>SUMIFS(allorders!$O:$O,allorders!$L:$L,$A59,allorders!$AG:$AG,"&lt;="&amp;日期!$B$7,allorders!$AG:$AG,"&gt;="&amp;日期!$B$8,allorders!N:N,"Shipped")</f>
        <v>1</v>
      </c>
      <c r="E59">
        <f>SUMIFS(allorders!$O:$O,allorders!$L:$L,$A59,allorders!$AG:$AG,"&lt;="&amp;日期!$B$9,allorders!$AG:$AG,"&gt;="&amp;日期!$B$10,allorders!N:N,"Shipped")</f>
        <v>3</v>
      </c>
      <c r="F59">
        <f>SUMIFS(allorders!$O:$O,allorders!$L:$L,$A59,allorders!$AG:$AG,"&lt;="&amp;日期!$B$11,allorders!$AG:$AG,"&gt;="&amp;日期!$B$12,allorders!N:N,"Shipped")</f>
        <v>1</v>
      </c>
      <c r="G59">
        <f>SUMIFS(allorders!Q:Q,allorders!L:L,A59,allorders!AG:AG,"&lt;="&amp;日期!$B$5,allorders!AG:AG,"&gt;="&amp;日期!$B$12,allorders!N:N,"Shipped")/SUM(C59:F59)</f>
        <v>99.99</v>
      </c>
      <c r="H59">
        <f>SUMIFS(allorders!Q:Q,allorders!L:L,A59,allorders!AG:AG,"&gt;="&amp;日期!$B$12,allorders!AG:AG,"&lt;="&amp;日期!$B$5,allorders!N:N,"Shipped")</f>
        <v>499.95</v>
      </c>
      <c r="I59">
        <f t="shared" si="0"/>
        <v>5</v>
      </c>
    </row>
    <row r="60" spans="1:9">
      <c r="A60" s="7" t="s">
        <v>1250</v>
      </c>
      <c r="B60" t="str">
        <f>VLOOKUP(A60,'[1]子sku-父sku'!$A:$B,2,0)</f>
        <v>DO-YULQ021</v>
      </c>
      <c r="C60">
        <f>SUMIFS(allorders!O:O,allorders!L:L,$A60,allorders!AG:AG,"&lt;="&amp;日期!$B$5,allorders!AG:AG,"&gt;="&amp;日期!$B$6,allorders!N:N,"Shipped")</f>
        <v>0</v>
      </c>
      <c r="D60">
        <f>SUMIFS(allorders!$O:$O,allorders!$L:$L,$A60,allorders!$AG:$AG,"&lt;="&amp;日期!$B$7,allorders!$AG:$AG,"&gt;="&amp;日期!$B$8,allorders!N:N,"Shipped")</f>
        <v>1</v>
      </c>
      <c r="E60">
        <f>SUMIFS(allorders!$O:$O,allorders!$L:$L,$A60,allorders!$AG:$AG,"&lt;="&amp;日期!$B$9,allorders!$AG:$AG,"&gt;="&amp;日期!$B$10,allorders!N:N,"Shipped")</f>
        <v>0</v>
      </c>
      <c r="F60">
        <f>SUMIFS(allorders!$O:$O,allorders!$L:$L,$A60,allorders!$AG:$AG,"&lt;="&amp;日期!$B$11,allorders!$AG:$AG,"&gt;="&amp;日期!$B$12,allorders!N:N,"Shipped")</f>
        <v>0</v>
      </c>
      <c r="G60">
        <f>SUMIFS(allorders!Q:Q,allorders!L:L,A60,allorders!AG:AG,"&lt;="&amp;日期!$B$5,allorders!AG:AG,"&gt;="&amp;日期!$B$12,allorders!N:N,"Shipped")/SUM(C60:F60)</f>
        <v>99.99</v>
      </c>
      <c r="H60">
        <f>SUMIFS(allorders!Q:Q,allorders!L:L,A60,allorders!AG:AG,"&gt;="&amp;日期!$B$12,allorders!AG:AG,"&lt;="&amp;日期!$B$5,allorders!N:N,"Shipped")</f>
        <v>99.99</v>
      </c>
      <c r="I60">
        <f t="shared" si="0"/>
        <v>1</v>
      </c>
    </row>
    <row r="61" spans="1:9">
      <c r="A61" s="7" t="s">
        <v>1263</v>
      </c>
      <c r="B61" t="str">
        <f>VLOOKUP(A61,'[1]子sku-父sku'!$A:$B,2,0)</f>
        <v>DOLL-1613</v>
      </c>
      <c r="C61">
        <f>SUMIFS(allorders!O:O,allorders!L:L,$A61,allorders!AG:AG,"&lt;="&amp;日期!$B$5,allorders!AG:AG,"&gt;="&amp;日期!$B$6,allorders!N:N,"Shipped")</f>
        <v>0</v>
      </c>
      <c r="D61">
        <f>SUMIFS(allorders!$O:$O,allorders!$L:$L,$A61,allorders!$AG:$AG,"&lt;="&amp;日期!$B$7,allorders!$AG:$AG,"&gt;="&amp;日期!$B$8,allorders!N:N,"Shipped")</f>
        <v>0</v>
      </c>
      <c r="E61">
        <f>SUMIFS(allorders!$O:$O,allorders!$L:$L,$A61,allorders!$AG:$AG,"&lt;="&amp;日期!$B$9,allorders!$AG:$AG,"&gt;="&amp;日期!$B$10,allorders!N:N,"Shipped")</f>
        <v>0</v>
      </c>
      <c r="F61">
        <f>SUMIFS(allorders!$O:$O,allorders!$L:$L,$A61,allorders!$AG:$AG,"&lt;="&amp;日期!$B$11,allorders!$AG:$AG,"&gt;="&amp;日期!$B$12,allorders!N:N,"Shipped")</f>
        <v>1</v>
      </c>
      <c r="G61">
        <f>SUMIFS(allorders!Q:Q,allorders!L:L,A61,allorders!AG:AG,"&lt;="&amp;日期!$B$5,allorders!AG:AG,"&gt;="&amp;日期!$B$12,allorders!N:N,"Shipped")/SUM(C61:F61)</f>
        <v>29.99</v>
      </c>
      <c r="H61">
        <f>SUMIFS(allorders!Q:Q,allorders!L:L,A61,allorders!AG:AG,"&gt;="&amp;日期!$B$12,allorders!AG:AG,"&lt;="&amp;日期!$B$5,allorders!N:N,"Shipped")</f>
        <v>29.99</v>
      </c>
      <c r="I61">
        <f t="shared" si="0"/>
        <v>1</v>
      </c>
    </row>
    <row r="62" spans="1:9">
      <c r="A62" s="7" t="s">
        <v>1271</v>
      </c>
      <c r="B62" t="str">
        <f>VLOOKUP(A62,'[1]子sku-父sku'!$A:$B,2,0)</f>
        <v>DO-YULQ100</v>
      </c>
      <c r="C62">
        <f>SUMIFS(allorders!O:O,allorders!L:L,$A62,allorders!AG:AG,"&lt;="&amp;日期!$B$5,allorders!AG:AG,"&gt;="&amp;日期!$B$6,allorders!N:N,"Shipped")</f>
        <v>0</v>
      </c>
      <c r="D62">
        <f>SUMIFS(allorders!$O:$O,allorders!$L:$L,$A62,allorders!$AG:$AG,"&lt;="&amp;日期!$B$7,allorders!$AG:$AG,"&gt;="&amp;日期!$B$8,allorders!N:N,"Shipped")</f>
        <v>1</v>
      </c>
      <c r="E62">
        <f>SUMIFS(allorders!$O:$O,allorders!$L:$L,$A62,allorders!$AG:$AG,"&lt;="&amp;日期!$B$9,allorders!$AG:$AG,"&gt;="&amp;日期!$B$10,allorders!N:N,"Shipped")</f>
        <v>3</v>
      </c>
      <c r="F62">
        <f>SUMIFS(allorders!$O:$O,allorders!$L:$L,$A62,allorders!$AG:$AG,"&lt;="&amp;日期!$B$11,allorders!$AG:$AG,"&gt;="&amp;日期!$B$12,allorders!N:N,"Shipped")</f>
        <v>0</v>
      </c>
      <c r="G62">
        <f>SUMIFS(allorders!Q:Q,allorders!L:L,A62,allorders!AG:AG,"&lt;="&amp;日期!$B$5,allorders!AG:AG,"&gt;="&amp;日期!$B$12,allorders!N:N,"Shipped")/SUM(C62:F62)</f>
        <v>32.99</v>
      </c>
      <c r="H62">
        <f>SUMIFS(allorders!Q:Q,allorders!L:L,A62,allorders!AG:AG,"&gt;="&amp;日期!$B$12,allorders!AG:AG,"&lt;="&amp;日期!$B$5,allorders!N:N,"Shipped")</f>
        <v>131.96</v>
      </c>
      <c r="I62">
        <f t="shared" si="0"/>
        <v>4</v>
      </c>
    </row>
    <row r="63" spans="1:9">
      <c r="A63" s="7" t="s">
        <v>1388</v>
      </c>
      <c r="B63" t="str">
        <f>VLOOKUP(A63,'[1]子sku-父sku'!$A:$B,2,0)</f>
        <v>DOLL-1523</v>
      </c>
      <c r="C63">
        <f>SUMIFS(allorders!O:O,allorders!L:L,$A63,allorders!AG:AG,"&lt;="&amp;日期!$B$5,allorders!AG:AG,"&gt;="&amp;日期!$B$6,allorders!N:N,"Shipped")</f>
        <v>1</v>
      </c>
      <c r="D63">
        <f>SUMIFS(allorders!$O:$O,allorders!$L:$L,$A63,allorders!$AG:$AG,"&lt;="&amp;日期!$B$7,allorders!$AG:$AG,"&gt;="&amp;日期!$B$8,allorders!N:N,"Shipped")</f>
        <v>0</v>
      </c>
      <c r="E63">
        <f>SUMIFS(allorders!$O:$O,allorders!$L:$L,$A63,allorders!$AG:$AG,"&lt;="&amp;日期!$B$9,allorders!$AG:$AG,"&gt;="&amp;日期!$B$10,allorders!N:N,"Shipped")</f>
        <v>0</v>
      </c>
      <c r="F63">
        <f>SUMIFS(allorders!$O:$O,allorders!$L:$L,$A63,allorders!$AG:$AG,"&lt;="&amp;日期!$B$11,allorders!$AG:$AG,"&gt;="&amp;日期!$B$12,allorders!N:N,"Shipped")</f>
        <v>1</v>
      </c>
      <c r="G63">
        <f>SUMIFS(allorders!Q:Q,allorders!L:L,A63,allorders!AG:AG,"&lt;="&amp;日期!$B$5,allorders!AG:AG,"&gt;="&amp;日期!$B$12,allorders!N:N,"Shipped")/SUM(C63:F63)</f>
        <v>83.445</v>
      </c>
      <c r="H63">
        <f>SUMIFS(allorders!Q:Q,allorders!L:L,A63,allorders!AG:AG,"&gt;="&amp;日期!$B$12,allorders!AG:AG,"&lt;="&amp;日期!$B$5,allorders!N:N,"Shipped")</f>
        <v>166.89</v>
      </c>
      <c r="I63">
        <f t="shared" si="0"/>
        <v>2</v>
      </c>
    </row>
    <row r="64" spans="1:9">
      <c r="A64" s="7" t="s">
        <v>1410</v>
      </c>
      <c r="B64" t="str">
        <f>VLOOKUP(A64,'[1]子sku-父sku'!$A:$B,2,0)</f>
        <v>DOLL-004</v>
      </c>
      <c r="C64">
        <f>SUMIFS(allorders!O:O,allorders!L:L,$A64,allorders!AG:AG,"&lt;="&amp;日期!$B$5,allorders!AG:AG,"&gt;="&amp;日期!$B$6,allorders!N:N,"Shipped")</f>
        <v>1</v>
      </c>
      <c r="D64">
        <f>SUMIFS(allorders!$O:$O,allorders!$L:$L,$A64,allorders!$AG:$AG,"&lt;="&amp;日期!$B$7,allorders!$AG:$AG,"&gt;="&amp;日期!$B$8,allorders!N:N,"Shipped")</f>
        <v>0</v>
      </c>
      <c r="E64">
        <f>SUMIFS(allorders!$O:$O,allorders!$L:$L,$A64,allorders!$AG:$AG,"&lt;="&amp;日期!$B$9,allorders!$AG:$AG,"&gt;="&amp;日期!$B$10,allorders!N:N,"Shipped")</f>
        <v>0</v>
      </c>
      <c r="F64">
        <f>SUMIFS(allorders!$O:$O,allorders!$L:$L,$A64,allorders!$AG:$AG,"&lt;="&amp;日期!$B$11,allorders!$AG:$AG,"&gt;="&amp;日期!$B$12,allorders!N:N,"Shipped")</f>
        <v>0</v>
      </c>
      <c r="G64">
        <f>SUMIFS(allorders!Q:Q,allorders!L:L,A64,allorders!AG:AG,"&lt;="&amp;日期!$B$5,allorders!AG:AG,"&gt;="&amp;日期!$B$12,allorders!N:N,"Shipped")/SUM(C64:F64)</f>
        <v>32.99</v>
      </c>
      <c r="H64">
        <f>SUMIFS(allorders!Q:Q,allorders!L:L,A64,allorders!AG:AG,"&gt;="&amp;日期!$B$12,allorders!AG:AG,"&lt;="&amp;日期!$B$5,allorders!N:N,"Shipped")</f>
        <v>32.99</v>
      </c>
      <c r="I64">
        <f t="shared" si="0"/>
        <v>1</v>
      </c>
    </row>
    <row r="65" spans="1:9">
      <c r="A65" s="7" t="s">
        <v>1437</v>
      </c>
      <c r="B65" t="str">
        <f>VLOOKUP(A65,'[1]子sku-父sku'!$A:$B,2,0)</f>
        <v>DO-YULQ638</v>
      </c>
      <c r="C65">
        <f>SUMIFS(allorders!O:O,allorders!L:L,$A65,allorders!AG:AG,"&lt;="&amp;日期!$B$5,allorders!AG:AG,"&gt;="&amp;日期!$B$6,allorders!N:N,"Shipped")</f>
        <v>0</v>
      </c>
      <c r="D65">
        <f>SUMIFS(allorders!$O:$O,allorders!$L:$L,$A65,allorders!$AG:$AG,"&lt;="&amp;日期!$B$7,allorders!$AG:$AG,"&gt;="&amp;日期!$B$8,allorders!N:N,"Shipped")</f>
        <v>2</v>
      </c>
      <c r="E65">
        <f>SUMIFS(allorders!$O:$O,allorders!$L:$L,$A65,allorders!$AG:$AG,"&lt;="&amp;日期!$B$9,allorders!$AG:$AG,"&gt;="&amp;日期!$B$10,allorders!N:N,"Shipped")</f>
        <v>0</v>
      </c>
      <c r="F65">
        <f>SUMIFS(allorders!$O:$O,allorders!$L:$L,$A65,allorders!$AG:$AG,"&lt;="&amp;日期!$B$11,allorders!$AG:$AG,"&gt;="&amp;日期!$B$12,allorders!N:N,"Shipped")</f>
        <v>1</v>
      </c>
      <c r="G65">
        <f>SUMIFS(allorders!Q:Q,allorders!L:L,A65,allorders!AG:AG,"&lt;="&amp;日期!$B$5,allorders!AG:AG,"&gt;="&amp;日期!$B$12,allorders!N:N,"Shipped")/SUM(C65:F65)</f>
        <v>99.6</v>
      </c>
      <c r="H65">
        <f>SUMIFS(allorders!Q:Q,allorders!L:L,A65,allorders!AG:AG,"&gt;="&amp;日期!$B$12,allorders!AG:AG,"&lt;="&amp;日期!$B$5,allorders!N:N,"Shipped")</f>
        <v>298.8</v>
      </c>
      <c r="I65">
        <f t="shared" si="0"/>
        <v>3</v>
      </c>
    </row>
    <row r="66" spans="1:9">
      <c r="A66" s="7" t="s">
        <v>1485</v>
      </c>
      <c r="B66" t="str">
        <f>VLOOKUP(A66,'[1]子sku-父sku'!$A:$B,2,0)</f>
        <v>DOLL-6089</v>
      </c>
      <c r="C66">
        <f>SUMIFS(allorders!O:O,allorders!L:L,$A66,allorders!AG:AG,"&lt;="&amp;日期!$B$5,allorders!AG:AG,"&gt;="&amp;日期!$B$6,allorders!N:N,"Shipped")</f>
        <v>0</v>
      </c>
      <c r="D66">
        <f>SUMIFS(allorders!$O:$O,allorders!$L:$L,$A66,allorders!$AG:$AG,"&lt;="&amp;日期!$B$7,allorders!$AG:$AG,"&gt;="&amp;日期!$B$8,allorders!N:N,"Shipped")</f>
        <v>0</v>
      </c>
      <c r="E66">
        <f>SUMIFS(allorders!$O:$O,allorders!$L:$L,$A66,allorders!$AG:$AG,"&lt;="&amp;日期!$B$9,allorders!$AG:$AG,"&gt;="&amp;日期!$B$10,allorders!N:N,"Shipped")</f>
        <v>0</v>
      </c>
      <c r="F66">
        <f>SUMIFS(allorders!$O:$O,allorders!$L:$L,$A66,allorders!$AG:$AG,"&lt;="&amp;日期!$B$11,allorders!$AG:$AG,"&gt;="&amp;日期!$B$12,allorders!N:N,"Shipped")</f>
        <v>1</v>
      </c>
      <c r="G66">
        <f>SUMIFS(allorders!Q:Q,allorders!L:L,A66,allorders!AG:AG,"&lt;="&amp;日期!$B$5,allorders!AG:AG,"&gt;="&amp;日期!$B$12,allorders!N:N,"Shipped")/SUM(C66:F66)</f>
        <v>89.99</v>
      </c>
      <c r="H66">
        <f>SUMIFS(allorders!Q:Q,allorders!L:L,A66,allorders!AG:AG,"&gt;="&amp;日期!$B$12,allorders!AG:AG,"&lt;="&amp;日期!$B$5,allorders!N:N,"Shipped")</f>
        <v>89.99</v>
      </c>
      <c r="I66">
        <f t="shared" si="0"/>
        <v>1</v>
      </c>
    </row>
    <row r="67" spans="1:9">
      <c r="A67" s="7" t="s">
        <v>1518</v>
      </c>
      <c r="B67" t="str">
        <f>VLOOKUP(A67,'[1]子sku-父sku'!$A:$B,2,0)</f>
        <v>DO-YULQ203</v>
      </c>
      <c r="C67">
        <f>SUMIFS(allorders!O:O,allorders!L:L,$A67,allorders!AG:AG,"&lt;="&amp;日期!$B$5,allorders!AG:AG,"&gt;="&amp;日期!$B$6,allorders!N:N,"Shipped")</f>
        <v>0</v>
      </c>
      <c r="D67">
        <f>SUMIFS(allorders!$O:$O,allorders!$L:$L,$A67,allorders!$AG:$AG,"&lt;="&amp;日期!$B$7,allorders!$AG:$AG,"&gt;="&amp;日期!$B$8,allorders!N:N,"Shipped")</f>
        <v>2</v>
      </c>
      <c r="E67">
        <f>SUMIFS(allorders!$O:$O,allorders!$L:$L,$A67,allorders!$AG:$AG,"&lt;="&amp;日期!$B$9,allorders!$AG:$AG,"&gt;="&amp;日期!$B$10,allorders!N:N,"Shipped")</f>
        <v>2</v>
      </c>
      <c r="F67">
        <f>SUMIFS(allorders!$O:$O,allorders!$L:$L,$A67,allorders!$AG:$AG,"&lt;="&amp;日期!$B$11,allorders!$AG:$AG,"&gt;="&amp;日期!$B$12,allorders!N:N,"Shipped")</f>
        <v>1</v>
      </c>
      <c r="G67">
        <f>SUMIFS(allorders!Q:Q,allorders!L:L,A67,allorders!AG:AG,"&lt;="&amp;日期!$B$5,allorders!AG:AG,"&gt;="&amp;日期!$B$12,allorders!N:N,"Shipped")/SUM(C67:F67)</f>
        <v>89.99</v>
      </c>
      <c r="H67">
        <f>SUMIFS(allorders!Q:Q,allorders!L:L,A67,allorders!AG:AG,"&gt;="&amp;日期!$B$12,allorders!AG:AG,"&lt;="&amp;日期!$B$5,allorders!N:N,"Shipped")</f>
        <v>449.95</v>
      </c>
      <c r="I67">
        <f t="shared" ref="I67:I124" si="1">SUM(C67:F67)</f>
        <v>5</v>
      </c>
    </row>
    <row r="68" spans="1:9">
      <c r="A68" s="7" t="s">
        <v>1571</v>
      </c>
      <c r="B68" t="str">
        <f>VLOOKUP(A68,'[1]子sku-父sku'!$A:$B,2,0)</f>
        <v>DO-YULQ018</v>
      </c>
      <c r="C68">
        <f>SUMIFS(allorders!O:O,allorders!L:L,$A68,allorders!AG:AG,"&lt;="&amp;日期!$B$5,allorders!AG:AG,"&gt;="&amp;日期!$B$6,allorders!N:N,"Shipped")</f>
        <v>0</v>
      </c>
      <c r="D68">
        <f>SUMIFS(allorders!$O:$O,allorders!$L:$L,$A68,allorders!$AG:$AG,"&lt;="&amp;日期!$B$7,allorders!$AG:$AG,"&gt;="&amp;日期!$B$8,allorders!N:N,"Shipped")</f>
        <v>0</v>
      </c>
      <c r="E68">
        <f>SUMIFS(allorders!$O:$O,allorders!$L:$L,$A68,allorders!$AG:$AG,"&lt;="&amp;日期!$B$9,allorders!$AG:$AG,"&gt;="&amp;日期!$B$10,allorders!N:N,"Shipped")</f>
        <v>1</v>
      </c>
      <c r="F68">
        <f>SUMIFS(allorders!$O:$O,allorders!$L:$L,$A68,allorders!$AG:$AG,"&lt;="&amp;日期!$B$11,allorders!$AG:$AG,"&gt;="&amp;日期!$B$12,allorders!N:N,"Shipped")</f>
        <v>1</v>
      </c>
      <c r="G68">
        <f>SUMIFS(allorders!Q:Q,allorders!L:L,A68,allorders!AG:AG,"&lt;="&amp;日期!$B$5,allorders!AG:AG,"&gt;="&amp;日期!$B$12,allorders!N:N,"Shipped")/SUM(C68:F68)</f>
        <v>89.99</v>
      </c>
      <c r="H68">
        <f>SUMIFS(allorders!Q:Q,allorders!L:L,A68,allorders!AG:AG,"&gt;="&amp;日期!$B$12,allorders!AG:AG,"&lt;="&amp;日期!$B$5,allorders!N:N,"Shipped")</f>
        <v>179.98</v>
      </c>
      <c r="I68">
        <f t="shared" si="1"/>
        <v>2</v>
      </c>
    </row>
    <row r="69" spans="1:9">
      <c r="A69" s="7" t="s">
        <v>1630</v>
      </c>
      <c r="B69" t="str">
        <f>VLOOKUP(A69,'[1]子sku-父sku'!$A:$B,2,0)</f>
        <v>DOLLDRESS-003</v>
      </c>
      <c r="C69">
        <f>SUMIFS(allorders!O:O,allorders!L:L,$A69,allorders!AG:AG,"&lt;="&amp;日期!$B$5,allorders!AG:AG,"&gt;="&amp;日期!$B$6,allorders!N:N,"Shipped")</f>
        <v>0</v>
      </c>
      <c r="D69">
        <f>SUMIFS(allorders!$O:$O,allorders!$L:$L,$A69,allorders!$AG:$AG,"&lt;="&amp;日期!$B$7,allorders!$AG:$AG,"&gt;="&amp;日期!$B$8,allorders!N:N,"Shipped")</f>
        <v>0</v>
      </c>
      <c r="E69">
        <f>SUMIFS(allorders!$O:$O,allorders!$L:$L,$A69,allorders!$AG:$AG,"&lt;="&amp;日期!$B$9,allorders!$AG:$AG,"&gt;="&amp;日期!$B$10,allorders!N:N,"Shipped")</f>
        <v>1</v>
      </c>
      <c r="F69">
        <f>SUMIFS(allorders!$O:$O,allorders!$L:$L,$A69,allorders!$AG:$AG,"&lt;="&amp;日期!$B$11,allorders!$AG:$AG,"&gt;="&amp;日期!$B$12,allorders!N:N,"Shipped")</f>
        <v>0</v>
      </c>
      <c r="G69">
        <f>SUMIFS(allorders!Q:Q,allorders!L:L,A69,allorders!AG:AG,"&lt;="&amp;日期!$B$5,allorders!AG:AG,"&gt;="&amp;日期!$B$12,allorders!N:N,"Shipped")/SUM(C69:F69)</f>
        <v>19.99</v>
      </c>
      <c r="H69">
        <f>SUMIFS(allorders!Q:Q,allorders!L:L,A69,allorders!AG:AG,"&gt;="&amp;日期!$B$12,allorders!AG:AG,"&lt;="&amp;日期!$B$5,allorders!N:N,"Shipped")</f>
        <v>19.99</v>
      </c>
      <c r="I69">
        <f t="shared" si="1"/>
        <v>1</v>
      </c>
    </row>
    <row r="70" spans="1:9">
      <c r="A70" s="7" t="s">
        <v>1693</v>
      </c>
      <c r="B70" t="str">
        <f>VLOOKUP(A70,'[1]子sku-父sku'!$A:$B,2,0)</f>
        <v>DOLL-007</v>
      </c>
      <c r="C70">
        <f>SUMIFS(allorders!O:O,allorders!L:L,$A70,allorders!AG:AG,"&lt;="&amp;日期!$B$5,allorders!AG:AG,"&gt;="&amp;日期!$B$6,allorders!N:N,"Shipped")</f>
        <v>1</v>
      </c>
      <c r="D70">
        <f>SUMIFS(allorders!$O:$O,allorders!$L:$L,$A70,allorders!$AG:$AG,"&lt;="&amp;日期!$B$7,allorders!$AG:$AG,"&gt;="&amp;日期!$B$8,allorders!N:N,"Shipped")</f>
        <v>0</v>
      </c>
      <c r="E70">
        <f>SUMIFS(allorders!$O:$O,allorders!$L:$L,$A70,allorders!$AG:$AG,"&lt;="&amp;日期!$B$9,allorders!$AG:$AG,"&gt;="&amp;日期!$B$10,allorders!N:N,"Shipped")</f>
        <v>1</v>
      </c>
      <c r="F70">
        <f>SUMIFS(allorders!$O:$O,allorders!$L:$L,$A70,allorders!$AG:$AG,"&lt;="&amp;日期!$B$11,allorders!$AG:$AG,"&gt;="&amp;日期!$B$12,allorders!N:N,"Shipped")</f>
        <v>0</v>
      </c>
      <c r="G70">
        <f>SUMIFS(allorders!Q:Q,allorders!L:L,A70,allorders!AG:AG,"&lt;="&amp;日期!$B$5,allorders!AG:AG,"&gt;="&amp;日期!$B$12,allorders!N:N,"Shipped")/SUM(C70:F70)</f>
        <v>79.99</v>
      </c>
      <c r="H70">
        <f>SUMIFS(allorders!Q:Q,allorders!L:L,A70,allorders!AG:AG,"&gt;="&amp;日期!$B$12,allorders!AG:AG,"&lt;="&amp;日期!$B$5,allorders!N:N,"Shipped")</f>
        <v>159.98</v>
      </c>
      <c r="I70">
        <f t="shared" si="1"/>
        <v>2</v>
      </c>
    </row>
    <row r="71" spans="1:9">
      <c r="A71" s="7" t="s">
        <v>1701</v>
      </c>
      <c r="B71" t="str">
        <f>VLOOKUP(A71,'[1]子sku-父sku'!$A:$B,2,0)</f>
        <v>DO-YULQ631</v>
      </c>
      <c r="C71">
        <f>SUMIFS(allorders!O:O,allorders!L:L,$A71,allorders!AG:AG,"&lt;="&amp;日期!$B$5,allorders!AG:AG,"&gt;="&amp;日期!$B$6,allorders!N:N,"Shipped")</f>
        <v>2</v>
      </c>
      <c r="D71">
        <f>SUMIFS(allorders!$O:$O,allorders!$L:$L,$A71,allorders!$AG:$AG,"&lt;="&amp;日期!$B$7,allorders!$AG:$AG,"&gt;="&amp;日期!$B$8,allorders!N:N,"Shipped")</f>
        <v>0</v>
      </c>
      <c r="E71">
        <f>SUMIFS(allorders!$O:$O,allorders!$L:$L,$A71,allorders!$AG:$AG,"&lt;="&amp;日期!$B$9,allorders!$AG:$AG,"&gt;="&amp;日期!$B$10,allorders!N:N,"Shipped")</f>
        <v>2</v>
      </c>
      <c r="F71">
        <f>SUMIFS(allorders!$O:$O,allorders!$L:$L,$A71,allorders!$AG:$AG,"&lt;="&amp;日期!$B$11,allorders!$AG:$AG,"&gt;="&amp;日期!$B$12,allorders!N:N,"Shipped")</f>
        <v>0</v>
      </c>
      <c r="G71">
        <f>SUMIFS(allorders!Q:Q,allorders!L:L,A71,allorders!AG:AG,"&lt;="&amp;日期!$B$5,allorders!AG:AG,"&gt;="&amp;日期!$B$12,allorders!N:N,"Shipped")/SUM(C71:F71)</f>
        <v>99.99</v>
      </c>
      <c r="H71">
        <f>SUMIFS(allorders!Q:Q,allorders!L:L,A71,allorders!AG:AG,"&gt;="&amp;日期!$B$12,allorders!AG:AG,"&lt;="&amp;日期!$B$5,allorders!N:N,"Shipped")</f>
        <v>399.96</v>
      </c>
      <c r="I71">
        <f t="shared" si="1"/>
        <v>4</v>
      </c>
    </row>
    <row r="72" spans="1:9">
      <c r="A72" s="7" t="s">
        <v>1767</v>
      </c>
      <c r="B72" t="str">
        <f>VLOOKUP(A72,'[1]子sku-父sku'!$A:$B,2,0)</f>
        <v>DOLLDRESS-003</v>
      </c>
      <c r="C72">
        <f>SUMIFS(allorders!O:O,allorders!L:L,$A72,allorders!AG:AG,"&lt;="&amp;日期!$B$5,allorders!AG:AG,"&gt;="&amp;日期!$B$6,allorders!N:N,"Shipped")</f>
        <v>0</v>
      </c>
      <c r="D72">
        <f>SUMIFS(allorders!$O:$O,allorders!$L:$L,$A72,allorders!$AG:$AG,"&lt;="&amp;日期!$B$7,allorders!$AG:$AG,"&gt;="&amp;日期!$B$8,allorders!N:N,"Shipped")</f>
        <v>0</v>
      </c>
      <c r="E72">
        <f>SUMIFS(allorders!$O:$O,allorders!$L:$L,$A72,allorders!$AG:$AG,"&lt;="&amp;日期!$B$9,allorders!$AG:$AG,"&gt;="&amp;日期!$B$10,allorders!N:N,"Shipped")</f>
        <v>1</v>
      </c>
      <c r="F72">
        <f>SUMIFS(allorders!$O:$O,allorders!$L:$L,$A72,allorders!$AG:$AG,"&lt;="&amp;日期!$B$11,allorders!$AG:$AG,"&gt;="&amp;日期!$B$12,allorders!N:N,"Shipped")</f>
        <v>0</v>
      </c>
      <c r="G72">
        <f>SUMIFS(allorders!Q:Q,allorders!L:L,A72,allorders!AG:AG,"&lt;="&amp;日期!$B$5,allorders!AG:AG,"&gt;="&amp;日期!$B$12,allorders!N:N,"Shipped")/SUM(C72:F72)</f>
        <v>21.99</v>
      </c>
      <c r="H72">
        <f>SUMIFS(allorders!Q:Q,allorders!L:L,A72,allorders!AG:AG,"&gt;="&amp;日期!$B$12,allorders!AG:AG,"&lt;="&amp;日期!$B$5,allorders!N:N,"Shipped")</f>
        <v>21.99</v>
      </c>
      <c r="I72">
        <f t="shared" si="1"/>
        <v>1</v>
      </c>
    </row>
    <row r="73" spans="1:9">
      <c r="A73" s="7" t="s">
        <v>1773</v>
      </c>
      <c r="B73" t="str">
        <f>VLOOKUP(A73,'[1]子sku-父sku'!$A:$B,2,0)</f>
        <v>DO-YULQ152</v>
      </c>
      <c r="C73">
        <f>SUMIFS(allorders!O:O,allorders!L:L,$A73,allorders!AG:AG,"&lt;="&amp;日期!$B$5,allorders!AG:AG,"&gt;="&amp;日期!$B$6,allorders!N:N,"Shipped")</f>
        <v>1</v>
      </c>
      <c r="D73">
        <f>SUMIFS(allorders!$O:$O,allorders!$L:$L,$A73,allorders!$AG:$AG,"&lt;="&amp;日期!$B$7,allorders!$AG:$AG,"&gt;="&amp;日期!$B$8,allorders!N:N,"Shipped")</f>
        <v>1</v>
      </c>
      <c r="E73">
        <f>SUMIFS(allorders!$O:$O,allorders!$L:$L,$A73,allorders!$AG:$AG,"&lt;="&amp;日期!$B$9,allorders!$AG:$AG,"&gt;="&amp;日期!$B$10,allorders!N:N,"Shipped")</f>
        <v>3</v>
      </c>
      <c r="F73">
        <f>SUMIFS(allorders!$O:$O,allorders!$L:$L,$A73,allorders!$AG:$AG,"&lt;="&amp;日期!$B$11,allorders!$AG:$AG,"&gt;="&amp;日期!$B$12,allorders!N:N,"Shipped")</f>
        <v>0</v>
      </c>
      <c r="G73">
        <f>SUMIFS(allorders!Q:Q,allorders!L:L,A73,allorders!AG:AG,"&lt;="&amp;日期!$B$5,allorders!AG:AG,"&gt;="&amp;日期!$B$12,allorders!N:N,"Shipped")/SUM(C73:F73)</f>
        <v>89.99</v>
      </c>
      <c r="H73">
        <f>SUMIFS(allorders!Q:Q,allorders!L:L,A73,allorders!AG:AG,"&gt;="&amp;日期!$B$12,allorders!AG:AG,"&lt;="&amp;日期!$B$5,allorders!N:N,"Shipped")</f>
        <v>449.95</v>
      </c>
      <c r="I73">
        <f t="shared" si="1"/>
        <v>5</v>
      </c>
    </row>
    <row r="74" spans="1:9">
      <c r="A74" s="7" t="s">
        <v>1808</v>
      </c>
      <c r="B74" t="str">
        <f>VLOOKUP(A74,'[1]子sku-父sku'!$A:$B,2,0)</f>
        <v>DO-YULQ620</v>
      </c>
      <c r="C74">
        <f>SUMIFS(allorders!O:O,allorders!L:L,$A74,allorders!AG:AG,"&lt;="&amp;日期!$B$5,allorders!AG:AG,"&gt;="&amp;日期!$B$6,allorders!N:N,"Shipped")</f>
        <v>3</v>
      </c>
      <c r="D74">
        <f>SUMIFS(allorders!$O:$O,allorders!$L:$L,$A74,allorders!$AG:$AG,"&lt;="&amp;日期!$B$7,allorders!$AG:$AG,"&gt;="&amp;日期!$B$8,allorders!N:N,"Shipped")</f>
        <v>2</v>
      </c>
      <c r="E74">
        <f>SUMIFS(allorders!$O:$O,allorders!$L:$L,$A74,allorders!$AG:$AG,"&lt;="&amp;日期!$B$9,allorders!$AG:$AG,"&gt;="&amp;日期!$B$10,allorders!N:N,"Shipped")</f>
        <v>3</v>
      </c>
      <c r="F74">
        <f>SUMIFS(allorders!$O:$O,allorders!$L:$L,$A74,allorders!$AG:$AG,"&lt;="&amp;日期!$B$11,allorders!$AG:$AG,"&gt;="&amp;日期!$B$12,allorders!N:N,"Shipped")</f>
        <v>0</v>
      </c>
      <c r="G74">
        <f>SUMIFS(allorders!Q:Q,allorders!L:L,A74,allorders!AG:AG,"&lt;="&amp;日期!$B$5,allorders!AG:AG,"&gt;="&amp;日期!$B$12,allorders!N:N,"Shipped")/SUM(C74:F74)</f>
        <v>80.24</v>
      </c>
      <c r="H74">
        <f>SUMIFS(allorders!Q:Q,allorders!L:L,A74,allorders!AG:AG,"&gt;="&amp;日期!$B$12,allorders!AG:AG,"&lt;="&amp;日期!$B$5,allorders!N:N,"Shipped")</f>
        <v>641.92</v>
      </c>
      <c r="I74">
        <f t="shared" si="1"/>
        <v>8</v>
      </c>
    </row>
    <row r="75" spans="1:9">
      <c r="A75" s="7" t="s">
        <v>1821</v>
      </c>
      <c r="B75" t="str">
        <f>VLOOKUP(A75,'[1]子sku-父sku'!$A:$B,2,0)</f>
        <v>DO-YULQ081</v>
      </c>
      <c r="C75">
        <f>SUMIFS(allorders!O:O,allorders!L:L,$A75,allorders!AG:AG,"&lt;="&amp;日期!$B$5,allorders!AG:AG,"&gt;="&amp;日期!$B$6,allorders!N:N,"Shipped")</f>
        <v>0</v>
      </c>
      <c r="D75">
        <f>SUMIFS(allorders!$O:$O,allorders!$L:$L,$A75,allorders!$AG:$AG,"&lt;="&amp;日期!$B$7,allorders!$AG:$AG,"&gt;="&amp;日期!$B$8,allorders!N:N,"Shipped")</f>
        <v>0</v>
      </c>
      <c r="E75">
        <f>SUMIFS(allorders!$O:$O,allorders!$L:$L,$A75,allorders!$AG:$AG,"&lt;="&amp;日期!$B$9,allorders!$AG:$AG,"&gt;="&amp;日期!$B$10,allorders!N:N,"Shipped")</f>
        <v>0</v>
      </c>
      <c r="F75">
        <f>SUMIFS(allorders!$O:$O,allorders!$L:$L,$A75,allorders!$AG:$AG,"&lt;="&amp;日期!$B$11,allorders!$AG:$AG,"&gt;="&amp;日期!$B$12,allorders!N:N,"Shipped")</f>
        <v>0</v>
      </c>
      <c r="G75" t="e">
        <f>SUMIFS(allorders!Q:Q,allorders!L:L,A75,allorders!AG:AG,"&lt;="&amp;日期!$B$5,allorders!AG:AG,"&gt;="&amp;日期!$B$12,allorders!N:N,"Shipped")/SUM(C75:F75)</f>
        <v>#DIV/0!</v>
      </c>
      <c r="H75">
        <f>SUMIFS(allorders!Q:Q,allorders!L:L,A75,allorders!AG:AG,"&gt;="&amp;日期!$B$12,allorders!AG:AG,"&lt;="&amp;日期!$B$5,allorders!N:N,"Shipped")</f>
        <v>0</v>
      </c>
      <c r="I75">
        <f t="shared" si="1"/>
        <v>0</v>
      </c>
    </row>
    <row r="76" spans="1:9">
      <c r="A76" s="7" t="s">
        <v>1838</v>
      </c>
      <c r="B76" t="str">
        <f>VLOOKUP(A76,'[1]子sku-父sku'!$A:$B,2,0)</f>
        <v>DOLLDRESS-003</v>
      </c>
      <c r="C76">
        <f>SUMIFS(allorders!O:O,allorders!L:L,$A76,allorders!AG:AG,"&lt;="&amp;日期!$B$5,allorders!AG:AG,"&gt;="&amp;日期!$B$6,allorders!N:N,"Shipped")</f>
        <v>1</v>
      </c>
      <c r="D76">
        <f>SUMIFS(allorders!$O:$O,allorders!$L:$L,$A76,allorders!$AG:$AG,"&lt;="&amp;日期!$B$7,allorders!$AG:$AG,"&gt;="&amp;日期!$B$8,allorders!N:N,"Shipped")</f>
        <v>0</v>
      </c>
      <c r="E76">
        <f>SUMIFS(allorders!$O:$O,allorders!$L:$L,$A76,allorders!$AG:$AG,"&lt;="&amp;日期!$B$9,allorders!$AG:$AG,"&gt;="&amp;日期!$B$10,allorders!N:N,"Shipped")</f>
        <v>2</v>
      </c>
      <c r="F76">
        <f>SUMIFS(allorders!$O:$O,allorders!$L:$L,$A76,allorders!$AG:$AG,"&lt;="&amp;日期!$B$11,allorders!$AG:$AG,"&gt;="&amp;日期!$B$12,allorders!N:N,"Shipped")</f>
        <v>0</v>
      </c>
      <c r="G76">
        <f>SUMIFS(allorders!Q:Q,allorders!L:L,A76,allorders!AG:AG,"&lt;="&amp;日期!$B$5,allorders!AG:AG,"&gt;="&amp;日期!$B$12,allorders!N:N,"Shipped")/SUM(C76:F76)</f>
        <v>19.99</v>
      </c>
      <c r="H76">
        <f>SUMIFS(allorders!Q:Q,allorders!L:L,A76,allorders!AG:AG,"&gt;="&amp;日期!$B$12,allorders!AG:AG,"&lt;="&amp;日期!$B$5,allorders!N:N,"Shipped")</f>
        <v>59.97</v>
      </c>
      <c r="I76">
        <f t="shared" si="1"/>
        <v>3</v>
      </c>
    </row>
    <row r="77" spans="1:9">
      <c r="A77" s="7" t="s">
        <v>1918</v>
      </c>
      <c r="B77" t="str">
        <f>VLOOKUP(A77,'[1]子sku-父sku'!$A:$B,2,0)</f>
        <v>DO-YULQ071</v>
      </c>
      <c r="C77">
        <f>SUMIFS(allorders!O:O,allorders!L:L,$A77,allorders!AG:AG,"&lt;="&amp;日期!$B$5,allorders!AG:AG,"&gt;="&amp;日期!$B$6,allorders!N:N,"Shipped")</f>
        <v>0</v>
      </c>
      <c r="D77">
        <f>SUMIFS(allorders!$O:$O,allorders!$L:$L,$A77,allorders!$AG:$AG,"&lt;="&amp;日期!$B$7,allorders!$AG:$AG,"&gt;="&amp;日期!$B$8,allorders!N:N,"Shipped")</f>
        <v>1</v>
      </c>
      <c r="E77">
        <f>SUMIFS(allorders!$O:$O,allorders!$L:$L,$A77,allorders!$AG:$AG,"&lt;="&amp;日期!$B$9,allorders!$AG:$AG,"&gt;="&amp;日期!$B$10,allorders!N:N,"Shipped")</f>
        <v>0</v>
      </c>
      <c r="F77">
        <f>SUMIFS(allorders!$O:$O,allorders!$L:$L,$A77,allorders!$AG:$AG,"&lt;="&amp;日期!$B$11,allorders!$AG:$AG,"&gt;="&amp;日期!$B$12,allorders!N:N,"Shipped")</f>
        <v>0</v>
      </c>
      <c r="G77">
        <f>SUMIFS(allorders!Q:Q,allorders!L:L,A77,allorders!AG:AG,"&lt;="&amp;日期!$B$5,allorders!AG:AG,"&gt;="&amp;日期!$B$12,allorders!N:N,"Shipped")/SUM(C77:F77)</f>
        <v>79.99</v>
      </c>
      <c r="H77">
        <f>SUMIFS(allorders!Q:Q,allorders!L:L,A77,allorders!AG:AG,"&gt;="&amp;日期!$B$12,allorders!AG:AG,"&lt;="&amp;日期!$B$5,allorders!N:N,"Shipped")</f>
        <v>79.99</v>
      </c>
      <c r="I77">
        <f t="shared" si="1"/>
        <v>1</v>
      </c>
    </row>
    <row r="78" spans="1:9">
      <c r="A78" s="7" t="s">
        <v>1934</v>
      </c>
      <c r="B78" t="str">
        <f>VLOOKUP(A78,'[1]子sku-父sku'!$A:$B,2,0)</f>
        <v>DO-YULQ018</v>
      </c>
      <c r="C78">
        <f>SUMIFS(allorders!O:O,allorders!L:L,$A78,allorders!AG:AG,"&lt;="&amp;日期!$B$5,allorders!AG:AG,"&gt;="&amp;日期!$B$6,allorders!N:N,"Shipped")</f>
        <v>0</v>
      </c>
      <c r="D78">
        <f>SUMIFS(allorders!$O:$O,allorders!$L:$L,$A78,allorders!$AG:$AG,"&lt;="&amp;日期!$B$7,allorders!$AG:$AG,"&gt;="&amp;日期!$B$8,allorders!N:N,"Shipped")</f>
        <v>0</v>
      </c>
      <c r="E78">
        <f>SUMIFS(allorders!$O:$O,allorders!$L:$L,$A78,allorders!$AG:$AG,"&lt;="&amp;日期!$B$9,allorders!$AG:$AG,"&gt;="&amp;日期!$B$10,allorders!N:N,"Shipped")</f>
        <v>1</v>
      </c>
      <c r="F78">
        <f>SUMIFS(allorders!$O:$O,allorders!$L:$L,$A78,allorders!$AG:$AG,"&lt;="&amp;日期!$B$11,allorders!$AG:$AG,"&gt;="&amp;日期!$B$12,allorders!N:N,"Shipped")</f>
        <v>0</v>
      </c>
      <c r="G78">
        <f>SUMIFS(allorders!Q:Q,allorders!L:L,A78,allorders!AG:AG,"&lt;="&amp;日期!$B$5,allorders!AG:AG,"&gt;="&amp;日期!$B$12,allorders!N:N,"Shipped")/SUM(C78:F78)</f>
        <v>79.99</v>
      </c>
      <c r="H78">
        <f>SUMIFS(allorders!Q:Q,allorders!L:L,A78,allorders!AG:AG,"&gt;="&amp;日期!$B$12,allorders!AG:AG,"&lt;="&amp;日期!$B$5,allorders!N:N,"Shipped")</f>
        <v>79.99</v>
      </c>
      <c r="I78">
        <f t="shared" si="1"/>
        <v>1</v>
      </c>
    </row>
    <row r="79" spans="1:9">
      <c r="A79" s="7" t="s">
        <v>1976</v>
      </c>
      <c r="B79" t="str">
        <f>VLOOKUP(A79,'[1]子sku-父sku'!$A:$B,2,0)</f>
        <v>DO-YULQ701</v>
      </c>
      <c r="C79">
        <f>SUMIFS(allorders!O:O,allorders!L:L,$A79,allorders!AG:AG,"&lt;="&amp;日期!$B$5,allorders!AG:AG,"&gt;="&amp;日期!$B$6,allorders!N:N,"Shipped")</f>
        <v>5</v>
      </c>
      <c r="D79">
        <f>SUMIFS(allorders!$O:$O,allorders!$L:$L,$A79,allorders!$AG:$AG,"&lt;="&amp;日期!$B$7,allorders!$AG:$AG,"&gt;="&amp;日期!$B$8,allorders!N:N,"Shipped")</f>
        <v>3</v>
      </c>
      <c r="E79">
        <f>SUMIFS(allorders!$O:$O,allorders!$L:$L,$A79,allorders!$AG:$AG,"&lt;="&amp;日期!$B$9,allorders!$AG:$AG,"&gt;="&amp;日期!$B$10,allorders!N:N,"Shipped")</f>
        <v>4</v>
      </c>
      <c r="F79">
        <f>SUMIFS(allorders!$O:$O,allorders!$L:$L,$A79,allorders!$AG:$AG,"&lt;="&amp;日期!$B$11,allorders!$AG:$AG,"&gt;="&amp;日期!$B$12,allorders!N:N,"Shipped")</f>
        <v>0</v>
      </c>
      <c r="G79">
        <f>SUMIFS(allorders!Q:Q,allorders!L:L,A79,allorders!AG:AG,"&lt;="&amp;日期!$B$5,allorders!AG:AG,"&gt;="&amp;日期!$B$12,allorders!N:N,"Shipped")/SUM(C79:F79)</f>
        <v>93.1566666666667</v>
      </c>
      <c r="H79">
        <f>SUMIFS(allorders!Q:Q,allorders!L:L,A79,allorders!AG:AG,"&gt;="&amp;日期!$B$12,allorders!AG:AG,"&lt;="&amp;日期!$B$5,allorders!N:N,"Shipped")</f>
        <v>1117.88</v>
      </c>
      <c r="I79">
        <f t="shared" si="1"/>
        <v>12</v>
      </c>
    </row>
    <row r="80" spans="1:9">
      <c r="A80" s="7" t="s">
        <v>2014</v>
      </c>
      <c r="B80" t="str">
        <f>VLOOKUP(A80,'[1]子sku-父sku'!$A:$B,2,0)</f>
        <v>DO-YULQ153</v>
      </c>
      <c r="C80">
        <f>SUMIFS(allorders!O:O,allorders!L:L,$A80,allorders!AG:AG,"&lt;="&amp;日期!$B$5,allorders!AG:AG,"&gt;="&amp;日期!$B$6,allorders!N:N,"Shipped")</f>
        <v>4</v>
      </c>
      <c r="D80">
        <f>SUMIFS(allorders!$O:$O,allorders!$L:$L,$A80,allorders!$AG:$AG,"&lt;="&amp;日期!$B$7,allorders!$AG:$AG,"&gt;="&amp;日期!$B$8,allorders!N:N,"Shipped")</f>
        <v>0</v>
      </c>
      <c r="E80">
        <f>SUMIFS(allorders!$O:$O,allorders!$L:$L,$A80,allorders!$AG:$AG,"&lt;="&amp;日期!$B$9,allorders!$AG:$AG,"&gt;="&amp;日期!$B$10,allorders!N:N,"Shipped")</f>
        <v>1</v>
      </c>
      <c r="F80">
        <f>SUMIFS(allorders!$O:$O,allorders!$L:$L,$A80,allorders!$AG:$AG,"&lt;="&amp;日期!$B$11,allorders!$AG:$AG,"&gt;="&amp;日期!$B$12,allorders!N:N,"Shipped")</f>
        <v>0</v>
      </c>
      <c r="G80">
        <f>SUMIFS(allorders!Q:Q,allorders!L:L,A80,allorders!AG:AG,"&lt;="&amp;日期!$B$5,allorders!AG:AG,"&gt;="&amp;日期!$B$12,allorders!N:N,"Shipped")/SUM(C80:F80)</f>
        <v>99.99</v>
      </c>
      <c r="H80">
        <f>SUMIFS(allorders!Q:Q,allorders!L:L,A80,allorders!AG:AG,"&gt;="&amp;日期!$B$12,allorders!AG:AG,"&lt;="&amp;日期!$B$5,allorders!N:N,"Shipped")</f>
        <v>499.95</v>
      </c>
      <c r="I80">
        <f t="shared" si="1"/>
        <v>5</v>
      </c>
    </row>
    <row r="81" spans="1:9">
      <c r="A81" s="7" t="s">
        <v>2022</v>
      </c>
      <c r="B81" t="str">
        <f>VLOOKUP(A81,'[1]子sku-父sku'!$A:$B,2,0)</f>
        <v>DOLL-7056</v>
      </c>
      <c r="C81">
        <f>SUMIFS(allorders!O:O,allorders!L:L,$A81,allorders!AG:AG,"&lt;="&amp;日期!$B$5,allorders!AG:AG,"&gt;="&amp;日期!$B$6,allorders!N:N,"Shipped")</f>
        <v>1</v>
      </c>
      <c r="D81">
        <f>SUMIFS(allorders!$O:$O,allorders!$L:$L,$A81,allorders!$AG:$AG,"&lt;="&amp;日期!$B$7,allorders!$AG:$AG,"&gt;="&amp;日期!$B$8,allorders!N:N,"Shipped")</f>
        <v>1</v>
      </c>
      <c r="E81">
        <f>SUMIFS(allorders!$O:$O,allorders!$L:$L,$A81,allorders!$AG:$AG,"&lt;="&amp;日期!$B$9,allorders!$AG:$AG,"&gt;="&amp;日期!$B$10,allorders!N:N,"Shipped")</f>
        <v>2</v>
      </c>
      <c r="F81">
        <f>SUMIFS(allorders!$O:$O,allorders!$L:$L,$A81,allorders!$AG:$AG,"&lt;="&amp;日期!$B$11,allorders!$AG:$AG,"&gt;="&amp;日期!$B$12,allorders!N:N,"Shipped")</f>
        <v>0</v>
      </c>
      <c r="G81">
        <f>SUMIFS(allorders!Q:Q,allorders!L:L,A81,allorders!AG:AG,"&lt;="&amp;日期!$B$5,allorders!AG:AG,"&gt;="&amp;日期!$B$12,allorders!N:N,"Shipped")/SUM(C81:F81)</f>
        <v>32.99</v>
      </c>
      <c r="H81">
        <f>SUMIFS(allorders!Q:Q,allorders!L:L,A81,allorders!AG:AG,"&gt;="&amp;日期!$B$12,allorders!AG:AG,"&lt;="&amp;日期!$B$5,allorders!N:N,"Shipped")</f>
        <v>131.96</v>
      </c>
      <c r="I81">
        <f t="shared" si="1"/>
        <v>4</v>
      </c>
    </row>
    <row r="82" spans="1:9">
      <c r="A82" s="7" t="s">
        <v>2028</v>
      </c>
      <c r="B82" t="str">
        <f>VLOOKUP(A82,'[1]子sku-父sku'!$A:$B,2,0)</f>
        <v>DO-YULQ620</v>
      </c>
      <c r="C82">
        <f>SUMIFS(allorders!O:O,allorders!L:L,$A82,allorders!AG:AG,"&lt;="&amp;日期!$B$5,allorders!AG:AG,"&gt;="&amp;日期!$B$6,allorders!N:N,"Shipped")</f>
        <v>0</v>
      </c>
      <c r="D82">
        <f>SUMIFS(allorders!$O:$O,allorders!$L:$L,$A82,allorders!$AG:$AG,"&lt;="&amp;日期!$B$7,allorders!$AG:$AG,"&gt;="&amp;日期!$B$8,allorders!N:N,"Shipped")</f>
        <v>1</v>
      </c>
      <c r="E82">
        <f>SUMIFS(allorders!$O:$O,allorders!$L:$L,$A82,allorders!$AG:$AG,"&lt;="&amp;日期!$B$9,allorders!$AG:$AG,"&gt;="&amp;日期!$B$10,allorders!N:N,"Shipped")</f>
        <v>5</v>
      </c>
      <c r="F82">
        <f>SUMIFS(allorders!$O:$O,allorders!$L:$L,$A82,allorders!$AG:$AG,"&lt;="&amp;日期!$B$11,allorders!$AG:$AG,"&gt;="&amp;日期!$B$12,allorders!N:N,"Shipped")</f>
        <v>0</v>
      </c>
      <c r="G82">
        <f>SUMIFS(allorders!Q:Q,allorders!L:L,A82,allorders!AG:AG,"&lt;="&amp;日期!$B$5,allorders!AG:AG,"&gt;="&amp;日期!$B$12,allorders!N:N,"Shipped")/SUM(C82:F82)</f>
        <v>81.49</v>
      </c>
      <c r="H82">
        <f>SUMIFS(allorders!Q:Q,allorders!L:L,A82,allorders!AG:AG,"&gt;="&amp;日期!$B$12,allorders!AG:AG,"&lt;="&amp;日期!$B$5,allorders!N:N,"Shipped")</f>
        <v>488.94</v>
      </c>
      <c r="I82">
        <f t="shared" si="1"/>
        <v>6</v>
      </c>
    </row>
    <row r="83" spans="1:9">
      <c r="A83" s="7" t="s">
        <v>2047</v>
      </c>
      <c r="B83" t="str">
        <f>VLOOKUP(A83,'[1]子sku-父sku'!$A:$B,2,0)</f>
        <v>DO-YULQ061</v>
      </c>
      <c r="C83">
        <f>SUMIFS(allorders!O:O,allorders!L:L,$A83,allorders!AG:AG,"&lt;="&amp;日期!$B$5,allorders!AG:AG,"&gt;="&amp;日期!$B$6,allorders!N:N,"Shipped")</f>
        <v>0</v>
      </c>
      <c r="D83">
        <f>SUMIFS(allorders!$O:$O,allorders!$L:$L,$A83,allorders!$AG:$AG,"&lt;="&amp;日期!$B$7,allorders!$AG:$AG,"&gt;="&amp;日期!$B$8,allorders!N:N,"Shipped")</f>
        <v>0</v>
      </c>
      <c r="E83">
        <f>SUMIFS(allorders!$O:$O,allorders!$L:$L,$A83,allorders!$AG:$AG,"&lt;="&amp;日期!$B$9,allorders!$AG:$AG,"&gt;="&amp;日期!$B$10,allorders!N:N,"Shipped")</f>
        <v>1</v>
      </c>
      <c r="F83">
        <f>SUMIFS(allorders!$O:$O,allorders!$L:$L,$A83,allorders!$AG:$AG,"&lt;="&amp;日期!$B$11,allorders!$AG:$AG,"&gt;="&amp;日期!$B$12,allorders!N:N,"Shipped")</f>
        <v>0</v>
      </c>
      <c r="G83">
        <f>SUMIFS(allorders!Q:Q,allorders!L:L,A83,allorders!AG:AG,"&lt;="&amp;日期!$B$5,allorders!AG:AG,"&gt;="&amp;日期!$B$12,allorders!N:N,"Shipped")/SUM(C83:F83)</f>
        <v>104.99</v>
      </c>
      <c r="H83">
        <f>SUMIFS(allorders!Q:Q,allorders!L:L,A83,allorders!AG:AG,"&gt;="&amp;日期!$B$12,allorders!AG:AG,"&lt;="&amp;日期!$B$5,allorders!N:N,"Shipped")</f>
        <v>104.99</v>
      </c>
      <c r="I83">
        <f t="shared" si="1"/>
        <v>1</v>
      </c>
    </row>
    <row r="84" spans="1:9">
      <c r="A84" s="7" t="s">
        <v>2081</v>
      </c>
      <c r="B84" t="str">
        <f>VLOOKUP(A84,'[1]子sku-父sku'!$A:$B,2,0)</f>
        <v>DO-YULQ010</v>
      </c>
      <c r="C84">
        <f>SUMIFS(allorders!O:O,allorders!L:L,$A84,allorders!AG:AG,"&lt;="&amp;日期!$B$5,allorders!AG:AG,"&gt;="&amp;日期!$B$6,allorders!N:N,"Shipped")</f>
        <v>3</v>
      </c>
      <c r="D84">
        <f>SUMIFS(allorders!$O:$O,allorders!$L:$L,$A84,allorders!$AG:$AG,"&lt;="&amp;日期!$B$7,allorders!$AG:$AG,"&gt;="&amp;日期!$B$8,allorders!N:N,"Shipped")</f>
        <v>2</v>
      </c>
      <c r="E84">
        <f>SUMIFS(allorders!$O:$O,allorders!$L:$L,$A84,allorders!$AG:$AG,"&lt;="&amp;日期!$B$9,allorders!$AG:$AG,"&gt;="&amp;日期!$B$10,allorders!N:N,"Shipped")</f>
        <v>3</v>
      </c>
      <c r="F84">
        <f>SUMIFS(allorders!$O:$O,allorders!$L:$L,$A84,allorders!$AG:$AG,"&lt;="&amp;日期!$B$11,allorders!$AG:$AG,"&gt;="&amp;日期!$B$12,allorders!N:N,"Shipped")</f>
        <v>0</v>
      </c>
      <c r="G84">
        <f>SUMIFS(allorders!Q:Q,allorders!L:L,A84,allorders!AG:AG,"&lt;="&amp;日期!$B$5,allorders!AG:AG,"&gt;="&amp;日期!$B$12,allorders!N:N,"Shipped")/SUM(C84:F84)</f>
        <v>79.99</v>
      </c>
      <c r="H84">
        <f>SUMIFS(allorders!Q:Q,allorders!L:L,A84,allorders!AG:AG,"&gt;="&amp;日期!$B$12,allorders!AG:AG,"&lt;="&amp;日期!$B$5,allorders!N:N,"Shipped")</f>
        <v>639.92</v>
      </c>
      <c r="I84">
        <f t="shared" si="1"/>
        <v>8</v>
      </c>
    </row>
    <row r="85" spans="1:9">
      <c r="A85" s="7" t="s">
        <v>2128</v>
      </c>
      <c r="B85" t="str">
        <f>VLOOKUP(A85,'[1]子sku-父sku'!$A:$B,2,0)</f>
        <v>DO-YULQ171</v>
      </c>
      <c r="C85">
        <f>SUMIFS(allorders!O:O,allorders!L:L,$A85,allorders!AG:AG,"&lt;="&amp;日期!$B$5,allorders!AG:AG,"&gt;="&amp;日期!$B$6,allorders!N:N,"Shipped")</f>
        <v>2</v>
      </c>
      <c r="D85">
        <f>SUMIFS(allorders!$O:$O,allorders!$L:$L,$A85,allorders!$AG:$AG,"&lt;="&amp;日期!$B$7,allorders!$AG:$AG,"&gt;="&amp;日期!$B$8,allorders!N:N,"Shipped")</f>
        <v>0</v>
      </c>
      <c r="E85">
        <f>SUMIFS(allorders!$O:$O,allorders!$L:$L,$A85,allorders!$AG:$AG,"&lt;="&amp;日期!$B$9,allorders!$AG:$AG,"&gt;="&amp;日期!$B$10,allorders!N:N,"Shipped")</f>
        <v>1</v>
      </c>
      <c r="F85">
        <f>SUMIFS(allorders!$O:$O,allorders!$L:$L,$A85,allorders!$AG:$AG,"&lt;="&amp;日期!$B$11,allorders!$AG:$AG,"&gt;="&amp;日期!$B$12,allorders!N:N,"Shipped")</f>
        <v>0</v>
      </c>
      <c r="G85">
        <f>SUMIFS(allorders!Q:Q,allorders!L:L,A85,allorders!AG:AG,"&lt;="&amp;日期!$B$5,allorders!AG:AG,"&gt;="&amp;日期!$B$12,allorders!N:N,"Shipped")/SUM(C85:F85)</f>
        <v>95.99</v>
      </c>
      <c r="H85">
        <f>SUMIFS(allorders!Q:Q,allorders!L:L,A85,allorders!AG:AG,"&gt;="&amp;日期!$B$12,allorders!AG:AG,"&lt;="&amp;日期!$B$5,allorders!N:N,"Shipped")</f>
        <v>287.97</v>
      </c>
      <c r="I85">
        <f t="shared" si="1"/>
        <v>3</v>
      </c>
    </row>
    <row r="86" spans="1:9">
      <c r="A86" s="7" t="s">
        <v>2136</v>
      </c>
      <c r="B86" t="str">
        <f>VLOOKUP(A86,'[1]子sku-父sku'!$A:$B,2,0)</f>
        <v>DO-YULQ058</v>
      </c>
      <c r="C86">
        <f>SUMIFS(allorders!O:O,allorders!L:L,$A86,allorders!AG:AG,"&lt;="&amp;日期!$B$5,allorders!AG:AG,"&gt;="&amp;日期!$B$6,allorders!N:N,"Shipped")</f>
        <v>1</v>
      </c>
      <c r="D86">
        <f>SUMIFS(allorders!$O:$O,allorders!$L:$L,$A86,allorders!$AG:$AG,"&lt;="&amp;日期!$B$7,allorders!$AG:$AG,"&gt;="&amp;日期!$B$8,allorders!N:N,"Shipped")</f>
        <v>1</v>
      </c>
      <c r="E86">
        <f>SUMIFS(allorders!$O:$O,allorders!$L:$L,$A86,allorders!$AG:$AG,"&lt;="&amp;日期!$B$9,allorders!$AG:$AG,"&gt;="&amp;日期!$B$10,allorders!N:N,"Shipped")</f>
        <v>2</v>
      </c>
      <c r="F86">
        <f>SUMIFS(allorders!$O:$O,allorders!$L:$L,$A86,allorders!$AG:$AG,"&lt;="&amp;日期!$B$11,allorders!$AG:$AG,"&gt;="&amp;日期!$B$12,allorders!N:N,"Shipped")</f>
        <v>0</v>
      </c>
      <c r="G86">
        <f>SUMIFS(allorders!Q:Q,allorders!L:L,A86,allorders!AG:AG,"&lt;="&amp;日期!$B$5,allorders!AG:AG,"&gt;="&amp;日期!$B$12,allorders!N:N,"Shipped")/SUM(C86:F86)</f>
        <v>32.99</v>
      </c>
      <c r="H86">
        <f>SUMIFS(allorders!Q:Q,allorders!L:L,A86,allorders!AG:AG,"&gt;="&amp;日期!$B$12,allorders!AG:AG,"&lt;="&amp;日期!$B$5,allorders!N:N,"Shipped")</f>
        <v>131.96</v>
      </c>
      <c r="I86">
        <f t="shared" si="1"/>
        <v>4</v>
      </c>
    </row>
    <row r="87" spans="1:9">
      <c r="A87" s="7" t="s">
        <v>2148</v>
      </c>
      <c r="B87" t="str">
        <f>VLOOKUP(A87,'[1]子sku-父sku'!$A:$B,2,0)</f>
        <v>DOLL-7056</v>
      </c>
      <c r="C87">
        <f>SUMIFS(allorders!O:O,allorders!L:L,$A87,allorders!AG:AG,"&lt;="&amp;日期!$B$5,allorders!AG:AG,"&gt;="&amp;日期!$B$6,allorders!N:N,"Shipped")</f>
        <v>1</v>
      </c>
      <c r="D87">
        <f>SUMIFS(allorders!$O:$O,allorders!$L:$L,$A87,allorders!$AG:$AG,"&lt;="&amp;日期!$B$7,allorders!$AG:$AG,"&gt;="&amp;日期!$B$8,allorders!N:N,"Shipped")</f>
        <v>0</v>
      </c>
      <c r="E87">
        <f>SUMIFS(allorders!$O:$O,allorders!$L:$L,$A87,allorders!$AG:$AG,"&lt;="&amp;日期!$B$9,allorders!$AG:$AG,"&gt;="&amp;日期!$B$10,allorders!N:N,"Shipped")</f>
        <v>1</v>
      </c>
      <c r="F87">
        <f>SUMIFS(allorders!$O:$O,allorders!$L:$L,$A87,allorders!$AG:$AG,"&lt;="&amp;日期!$B$11,allorders!$AG:$AG,"&gt;="&amp;日期!$B$12,allorders!N:N,"Shipped")</f>
        <v>0</v>
      </c>
      <c r="G87">
        <f>SUMIFS(allorders!Q:Q,allorders!L:L,A87,allorders!AG:AG,"&lt;="&amp;日期!$B$5,allorders!AG:AG,"&gt;="&amp;日期!$B$12,allorders!N:N,"Shipped")/SUM(C87:F87)</f>
        <v>32.99</v>
      </c>
      <c r="H87">
        <f>SUMIFS(allorders!Q:Q,allorders!L:L,A87,allorders!AG:AG,"&gt;="&amp;日期!$B$12,allorders!AG:AG,"&lt;="&amp;日期!$B$5,allorders!N:N,"Shipped")</f>
        <v>65.98</v>
      </c>
      <c r="I87">
        <f t="shared" si="1"/>
        <v>2</v>
      </c>
    </row>
    <row r="88" spans="1:9">
      <c r="A88" s="7" t="s">
        <v>2311</v>
      </c>
      <c r="B88" t="str">
        <f>VLOOKUP(A88,'[1]子sku-父sku'!$A:$B,2,0)</f>
        <v>DO-YULQ163</v>
      </c>
      <c r="C88">
        <f>SUMIFS(allorders!O:O,allorders!L:L,$A88,allorders!AG:AG,"&lt;="&amp;日期!$B$5,allorders!AG:AG,"&gt;="&amp;日期!$B$6,allorders!N:N,"Shipped")</f>
        <v>2</v>
      </c>
      <c r="D88">
        <f>SUMIFS(allorders!$O:$O,allorders!$L:$L,$A88,allorders!$AG:$AG,"&lt;="&amp;日期!$B$7,allorders!$AG:$AG,"&gt;="&amp;日期!$B$8,allorders!N:N,"Shipped")</f>
        <v>1</v>
      </c>
      <c r="E88">
        <f>SUMIFS(allorders!$O:$O,allorders!$L:$L,$A88,allorders!$AG:$AG,"&lt;="&amp;日期!$B$9,allorders!$AG:$AG,"&gt;="&amp;日期!$B$10,allorders!N:N,"Shipped")</f>
        <v>1</v>
      </c>
      <c r="F88">
        <f>SUMIFS(allorders!$O:$O,allorders!$L:$L,$A88,allorders!$AG:$AG,"&lt;="&amp;日期!$B$11,allorders!$AG:$AG,"&gt;="&amp;日期!$B$12,allorders!N:N,"Shipped")</f>
        <v>0</v>
      </c>
      <c r="G88">
        <f>SUMIFS(allorders!Q:Q,allorders!L:L,A88,allorders!AG:AG,"&lt;="&amp;日期!$B$5,allorders!AG:AG,"&gt;="&amp;日期!$B$12,allorders!N:N,"Shipped")/SUM(C88:F88)</f>
        <v>89.99</v>
      </c>
      <c r="H88">
        <f>SUMIFS(allorders!Q:Q,allorders!L:L,A88,allorders!AG:AG,"&gt;="&amp;日期!$B$12,allorders!AG:AG,"&lt;="&amp;日期!$B$5,allorders!N:N,"Shipped")</f>
        <v>359.96</v>
      </c>
      <c r="I88">
        <f t="shared" si="1"/>
        <v>4</v>
      </c>
    </row>
    <row r="89" spans="1:9">
      <c r="A89" s="7" t="s">
        <v>2377</v>
      </c>
      <c r="B89" t="str">
        <f>VLOOKUP(A89,'[1]子sku-父sku'!$A:$B,2,0)</f>
        <v>DO-YULQ071</v>
      </c>
      <c r="C89">
        <f>SUMIFS(allorders!O:O,allorders!L:L,$A89,allorders!AG:AG,"&lt;="&amp;日期!$B$5,allorders!AG:AG,"&gt;="&amp;日期!$B$6,allorders!N:N,"Shipped")</f>
        <v>0</v>
      </c>
      <c r="D89">
        <f>SUMIFS(allorders!$O:$O,allorders!$L:$L,$A89,allorders!$AG:$AG,"&lt;="&amp;日期!$B$7,allorders!$AG:$AG,"&gt;="&amp;日期!$B$8,allorders!N:N,"Shipped")</f>
        <v>1</v>
      </c>
      <c r="E89">
        <f>SUMIFS(allorders!$O:$O,allorders!$L:$L,$A89,allorders!$AG:$AG,"&lt;="&amp;日期!$B$9,allorders!$AG:$AG,"&gt;="&amp;日期!$B$10,allorders!N:N,"Shipped")</f>
        <v>1</v>
      </c>
      <c r="F89">
        <f>SUMIFS(allorders!$O:$O,allorders!$L:$L,$A89,allorders!$AG:$AG,"&lt;="&amp;日期!$B$11,allorders!$AG:$AG,"&gt;="&amp;日期!$B$12,allorders!N:N,"Shipped")</f>
        <v>0</v>
      </c>
      <c r="G89">
        <f>SUMIFS(allorders!Q:Q,allorders!L:L,A89,allorders!AG:AG,"&lt;="&amp;日期!$B$5,allorders!AG:AG,"&gt;="&amp;日期!$B$12,allorders!N:N,"Shipped")/SUM(C89:F89)</f>
        <v>79.99</v>
      </c>
      <c r="H89">
        <f>SUMIFS(allorders!Q:Q,allorders!L:L,A89,allorders!AG:AG,"&gt;="&amp;日期!$B$12,allorders!AG:AG,"&lt;="&amp;日期!$B$5,allorders!N:N,"Shipped")</f>
        <v>159.98</v>
      </c>
      <c r="I89">
        <f t="shared" si="1"/>
        <v>2</v>
      </c>
    </row>
    <row r="90" spans="1:9">
      <c r="A90" s="7" t="s">
        <v>2382</v>
      </c>
      <c r="B90" t="str">
        <f>VLOOKUP(A90,'[1]子sku-父sku'!$A:$B,2,0)</f>
        <v>YF-YULQ003</v>
      </c>
      <c r="C90">
        <f>SUMIFS(allorders!O:O,allorders!L:L,$A90,allorders!AG:AG,"&lt;="&amp;日期!$B$5,allorders!AG:AG,"&gt;="&amp;日期!$B$6,allorders!N:N,"Shipped")</f>
        <v>2</v>
      </c>
      <c r="D90">
        <f>SUMIFS(allorders!$O:$O,allorders!$L:$L,$A90,allorders!$AG:$AG,"&lt;="&amp;日期!$B$7,allorders!$AG:$AG,"&gt;="&amp;日期!$B$8,allorders!N:N,"Shipped")</f>
        <v>0</v>
      </c>
      <c r="E90">
        <f>SUMIFS(allorders!$O:$O,allorders!$L:$L,$A90,allorders!$AG:$AG,"&lt;="&amp;日期!$B$9,allorders!$AG:$AG,"&gt;="&amp;日期!$B$10,allorders!N:N,"Shipped")</f>
        <v>1</v>
      </c>
      <c r="F90">
        <f>SUMIFS(allorders!$O:$O,allorders!$L:$L,$A90,allorders!$AG:$AG,"&lt;="&amp;日期!$B$11,allorders!$AG:$AG,"&gt;="&amp;日期!$B$12,allorders!N:N,"Shipped")</f>
        <v>0</v>
      </c>
      <c r="G90">
        <f>SUMIFS(allorders!Q:Q,allorders!L:L,A90,allorders!AG:AG,"&lt;="&amp;日期!$B$5,allorders!AG:AG,"&gt;="&amp;日期!$B$12,allorders!N:N,"Shipped")/SUM(C90:F90)</f>
        <v>21.99</v>
      </c>
      <c r="H90">
        <f>SUMIFS(allorders!Q:Q,allorders!L:L,A90,allorders!AG:AG,"&gt;="&amp;日期!$B$12,allorders!AG:AG,"&lt;="&amp;日期!$B$5,allorders!N:N,"Shipped")</f>
        <v>65.97</v>
      </c>
      <c r="I90">
        <f t="shared" si="1"/>
        <v>3</v>
      </c>
    </row>
    <row r="91" spans="1:9">
      <c r="A91" s="7" t="s">
        <v>2399</v>
      </c>
      <c r="B91" t="str">
        <f>VLOOKUP(A91,'[1]子sku-父sku'!$A:$B,2,0)</f>
        <v>DO-YULQ705</v>
      </c>
      <c r="C91">
        <f>SUMIFS(allorders!O:O,allorders!L:L,$A91,allorders!AG:AG,"&lt;="&amp;日期!$B$5,allorders!AG:AG,"&gt;="&amp;日期!$B$6,allorders!N:N,"Shipped")</f>
        <v>1</v>
      </c>
      <c r="D91">
        <f>SUMIFS(allorders!$O:$O,allorders!$L:$L,$A91,allorders!$AG:$AG,"&lt;="&amp;日期!$B$7,allorders!$AG:$AG,"&gt;="&amp;日期!$B$8,allorders!N:N,"Shipped")</f>
        <v>2</v>
      </c>
      <c r="E91">
        <f>SUMIFS(allorders!$O:$O,allorders!$L:$L,$A91,allorders!$AG:$AG,"&lt;="&amp;日期!$B$9,allorders!$AG:$AG,"&gt;="&amp;日期!$B$10,allorders!N:N,"Shipped")</f>
        <v>1</v>
      </c>
      <c r="F91">
        <f>SUMIFS(allorders!$O:$O,allorders!$L:$L,$A91,allorders!$AG:$AG,"&lt;="&amp;日期!$B$11,allorders!$AG:$AG,"&gt;="&amp;日期!$B$12,allorders!N:N,"Shipped")</f>
        <v>0</v>
      </c>
      <c r="G91">
        <f>SUMIFS(allorders!Q:Q,allorders!L:L,A91,allorders!AG:AG,"&lt;="&amp;日期!$B$5,allorders!AG:AG,"&gt;="&amp;日期!$B$12,allorders!N:N,"Shipped")/SUM(C91:F91)</f>
        <v>34.99</v>
      </c>
      <c r="H91">
        <f>SUMIFS(allorders!Q:Q,allorders!L:L,A91,allorders!AG:AG,"&gt;="&amp;日期!$B$12,allorders!AG:AG,"&lt;="&amp;日期!$B$5,allorders!N:N,"Shipped")</f>
        <v>139.96</v>
      </c>
      <c r="I91">
        <f t="shared" si="1"/>
        <v>4</v>
      </c>
    </row>
    <row r="92" spans="1:9">
      <c r="A92" s="7" t="s">
        <v>2443</v>
      </c>
      <c r="B92" t="str">
        <f>VLOOKUP(A92,'[1]子sku-父sku'!$A:$B,2,0)</f>
        <v>DO-YULQ121</v>
      </c>
      <c r="C92">
        <f>SUMIFS(allorders!O:O,allorders!L:L,$A92,allorders!AG:AG,"&lt;="&amp;日期!$B$5,allorders!AG:AG,"&gt;="&amp;日期!$B$6,allorders!N:N,"Shipped")</f>
        <v>1</v>
      </c>
      <c r="D92">
        <f>SUMIFS(allorders!$O:$O,allorders!$L:$L,$A92,allorders!$AG:$AG,"&lt;="&amp;日期!$B$7,allorders!$AG:$AG,"&gt;="&amp;日期!$B$8,allorders!N:N,"Shipped")</f>
        <v>0</v>
      </c>
      <c r="E92">
        <f>SUMIFS(allorders!$O:$O,allorders!$L:$L,$A92,allorders!$AG:$AG,"&lt;="&amp;日期!$B$9,allorders!$AG:$AG,"&gt;="&amp;日期!$B$10,allorders!N:N,"Shipped")</f>
        <v>1</v>
      </c>
      <c r="F92">
        <f>SUMIFS(allorders!$O:$O,allorders!$L:$L,$A92,allorders!$AG:$AG,"&lt;="&amp;日期!$B$11,allorders!$AG:$AG,"&gt;="&amp;日期!$B$12,allorders!N:N,"Shipped")</f>
        <v>0</v>
      </c>
      <c r="G92">
        <f>SUMIFS(allorders!Q:Q,allorders!L:L,A92,allorders!AG:AG,"&lt;="&amp;日期!$B$5,allorders!AG:AG,"&gt;="&amp;日期!$B$12,allorders!N:N,"Shipped")/SUM(C92:F92)</f>
        <v>89.99</v>
      </c>
      <c r="H92">
        <f>SUMIFS(allorders!Q:Q,allorders!L:L,A92,allorders!AG:AG,"&gt;="&amp;日期!$B$12,allorders!AG:AG,"&lt;="&amp;日期!$B$5,allorders!N:N,"Shipped")</f>
        <v>179.98</v>
      </c>
      <c r="I92">
        <f t="shared" si="1"/>
        <v>2</v>
      </c>
    </row>
    <row r="93" spans="1:9">
      <c r="A93" s="7" t="s">
        <v>2499</v>
      </c>
      <c r="B93" t="str">
        <f>VLOOKUP(A93,'[1]子sku-父sku'!$A:$B,2,0)</f>
        <v>DOLL-9042</v>
      </c>
      <c r="C93">
        <f>SUMIFS(allorders!O:O,allorders!L:L,$A93,allorders!AG:AG,"&lt;="&amp;日期!$B$5,allorders!AG:AG,"&gt;="&amp;日期!$B$6,allorders!N:N,"Shipped")</f>
        <v>0</v>
      </c>
      <c r="D93">
        <f>SUMIFS(allorders!$O:$O,allorders!$L:$L,$A93,allorders!$AG:$AG,"&lt;="&amp;日期!$B$7,allorders!$AG:$AG,"&gt;="&amp;日期!$B$8,allorders!N:N,"Shipped")</f>
        <v>0</v>
      </c>
      <c r="E93">
        <f>SUMIFS(allorders!$O:$O,allorders!$L:$L,$A93,allorders!$AG:$AG,"&lt;="&amp;日期!$B$9,allorders!$AG:$AG,"&gt;="&amp;日期!$B$10,allorders!N:N,"Shipped")</f>
        <v>1</v>
      </c>
      <c r="F93">
        <f>SUMIFS(allorders!$O:$O,allorders!$L:$L,$A93,allorders!$AG:$AG,"&lt;="&amp;日期!$B$11,allorders!$AG:$AG,"&gt;="&amp;日期!$B$12,allorders!N:N,"Shipped")</f>
        <v>0</v>
      </c>
      <c r="G93">
        <f>SUMIFS(allorders!Q:Q,allorders!L:L,A93,allorders!AG:AG,"&lt;="&amp;日期!$B$5,allorders!AG:AG,"&gt;="&amp;日期!$B$12,allorders!N:N,"Shipped")/SUM(C93:F93)</f>
        <v>79.99</v>
      </c>
      <c r="H93">
        <f>SUMIFS(allorders!Q:Q,allorders!L:L,A93,allorders!AG:AG,"&gt;="&amp;日期!$B$12,allorders!AG:AG,"&lt;="&amp;日期!$B$5,allorders!N:N,"Shipped")</f>
        <v>79.99</v>
      </c>
      <c r="I93">
        <f t="shared" si="1"/>
        <v>1</v>
      </c>
    </row>
    <row r="94" spans="1:9">
      <c r="A94" s="7" t="s">
        <v>2541</v>
      </c>
      <c r="B94" t="str">
        <f>VLOOKUP(A94,'[1]子sku-父sku'!$A:$B,2,0)</f>
        <v>DOLL-006</v>
      </c>
      <c r="C94">
        <f>SUMIFS(allorders!O:O,allorders!L:L,$A94,allorders!AG:AG,"&lt;="&amp;日期!$B$5,allorders!AG:AG,"&gt;="&amp;日期!$B$6,allorders!N:N,"Shipped")</f>
        <v>1</v>
      </c>
      <c r="D94">
        <f>SUMIFS(allorders!$O:$O,allorders!$L:$L,$A94,allorders!$AG:$AG,"&lt;="&amp;日期!$B$7,allorders!$AG:$AG,"&gt;="&amp;日期!$B$8,allorders!N:N,"Shipped")</f>
        <v>2</v>
      </c>
      <c r="E94">
        <f>SUMIFS(allorders!$O:$O,allorders!$L:$L,$A94,allorders!$AG:$AG,"&lt;="&amp;日期!$B$9,allorders!$AG:$AG,"&gt;="&amp;日期!$B$10,allorders!N:N,"Shipped")</f>
        <v>2</v>
      </c>
      <c r="F94">
        <f>SUMIFS(allorders!$O:$O,allorders!$L:$L,$A94,allorders!$AG:$AG,"&lt;="&amp;日期!$B$11,allorders!$AG:$AG,"&gt;="&amp;日期!$B$12,allorders!N:N,"Shipped")</f>
        <v>0</v>
      </c>
      <c r="G94">
        <f>SUMIFS(allorders!Q:Q,allorders!L:L,A94,allorders!AG:AG,"&lt;="&amp;日期!$B$5,allorders!AG:AG,"&gt;="&amp;日期!$B$12,allorders!N:N,"Shipped")/SUM(C94:F94)</f>
        <v>27.59</v>
      </c>
      <c r="H94">
        <f>SUMIFS(allorders!Q:Q,allorders!L:L,A94,allorders!AG:AG,"&gt;="&amp;日期!$B$12,allorders!AG:AG,"&lt;="&amp;日期!$B$5,allorders!N:N,"Shipped")</f>
        <v>137.95</v>
      </c>
      <c r="I94">
        <f t="shared" si="1"/>
        <v>5</v>
      </c>
    </row>
    <row r="95" spans="1:9">
      <c r="A95" s="7" t="s">
        <v>2626</v>
      </c>
      <c r="B95" t="str">
        <f>VLOOKUP(A95,'[1]子sku-父sku'!$A:$B,2,0)</f>
        <v>DOLL-006</v>
      </c>
      <c r="C95">
        <f>SUMIFS(allorders!O:O,allorders!L:L,$A95,allorders!AG:AG,"&lt;="&amp;日期!$B$5,allorders!AG:AG,"&gt;="&amp;日期!$B$6,allorders!N:N,"Shipped")</f>
        <v>3</v>
      </c>
      <c r="D95">
        <f>SUMIFS(allorders!$O:$O,allorders!$L:$L,$A95,allorders!$AG:$AG,"&lt;="&amp;日期!$B$7,allorders!$AG:$AG,"&gt;="&amp;日期!$B$8,allorders!N:N,"Shipped")</f>
        <v>4</v>
      </c>
      <c r="E95">
        <f>SUMIFS(allorders!$O:$O,allorders!$L:$L,$A95,allorders!$AG:$AG,"&lt;="&amp;日期!$B$9,allorders!$AG:$AG,"&gt;="&amp;日期!$B$10,allorders!N:N,"Shipped")</f>
        <v>2</v>
      </c>
      <c r="F95">
        <f>SUMIFS(allorders!$O:$O,allorders!$L:$L,$A95,allorders!$AG:$AG,"&lt;="&amp;日期!$B$11,allorders!$AG:$AG,"&gt;="&amp;日期!$B$12,allorders!N:N,"Shipped")</f>
        <v>0</v>
      </c>
      <c r="G95">
        <f>SUMIFS(allorders!Q:Q,allorders!L:L,A95,allorders!AG:AG,"&lt;="&amp;日期!$B$5,allorders!AG:AG,"&gt;="&amp;日期!$B$12,allorders!N:N,"Shipped")/SUM(C95:F95)</f>
        <v>26.99</v>
      </c>
      <c r="H95">
        <f>SUMIFS(allorders!Q:Q,allorders!L:L,A95,allorders!AG:AG,"&gt;="&amp;日期!$B$12,allorders!AG:AG,"&lt;="&amp;日期!$B$5,allorders!N:N,"Shipped")</f>
        <v>242.91</v>
      </c>
      <c r="I95">
        <f t="shared" si="1"/>
        <v>9</v>
      </c>
    </row>
    <row r="96" spans="1:9">
      <c r="A96" s="7" t="s">
        <v>2651</v>
      </c>
      <c r="B96" t="str">
        <f>VLOOKUP(A96,'[1]子sku-父sku'!$A:$B,2,0)</f>
        <v>DO-YULQ704</v>
      </c>
      <c r="C96">
        <f>SUMIFS(allorders!O:O,allorders!L:L,$A96,allorders!AG:AG,"&lt;="&amp;日期!$B$5,allorders!AG:AG,"&gt;="&amp;日期!$B$6,allorders!N:N,"Shipped")</f>
        <v>0</v>
      </c>
      <c r="D96">
        <f>SUMIFS(allorders!$O:$O,allorders!$L:$L,$A96,allorders!$AG:$AG,"&lt;="&amp;日期!$B$7,allorders!$AG:$AG,"&gt;="&amp;日期!$B$8,allorders!N:N,"Shipped")</f>
        <v>0</v>
      </c>
      <c r="E96">
        <f>SUMIFS(allorders!$O:$O,allorders!$L:$L,$A96,allorders!$AG:$AG,"&lt;="&amp;日期!$B$9,allorders!$AG:$AG,"&gt;="&amp;日期!$B$10,allorders!N:N,"Shipped")</f>
        <v>1</v>
      </c>
      <c r="F96">
        <f>SUMIFS(allorders!$O:$O,allorders!$L:$L,$A96,allorders!$AG:$AG,"&lt;="&amp;日期!$B$11,allorders!$AG:$AG,"&gt;="&amp;日期!$B$12,allorders!N:N,"Shipped")</f>
        <v>0</v>
      </c>
      <c r="G96">
        <f>SUMIFS(allorders!Q:Q,allorders!L:L,A96,allorders!AG:AG,"&lt;="&amp;日期!$B$5,allorders!AG:AG,"&gt;="&amp;日期!$B$12,allorders!N:N,"Shipped")/SUM(C96:F96)</f>
        <v>108.99</v>
      </c>
      <c r="H96">
        <f>SUMIFS(allorders!Q:Q,allorders!L:L,A96,allorders!AG:AG,"&gt;="&amp;日期!$B$12,allorders!AG:AG,"&lt;="&amp;日期!$B$5,allorders!N:N,"Shipped")</f>
        <v>108.99</v>
      </c>
      <c r="I96">
        <f t="shared" si="1"/>
        <v>1</v>
      </c>
    </row>
    <row r="97" spans="1:9">
      <c r="A97" s="7" t="s">
        <v>2685</v>
      </c>
      <c r="B97" t="str">
        <f>VLOOKUP(A97,'[1]子sku-父sku'!$A:$B,2,0)</f>
        <v>DOLL-004</v>
      </c>
      <c r="C97">
        <f>SUMIFS(allorders!O:O,allorders!L:L,$A97,allorders!AG:AG,"&lt;="&amp;日期!$B$5,allorders!AG:AG,"&gt;="&amp;日期!$B$6,allorders!N:N,"Shipped")</f>
        <v>0</v>
      </c>
      <c r="D97">
        <f>SUMIFS(allorders!$O:$O,allorders!$L:$L,$A97,allorders!$AG:$AG,"&lt;="&amp;日期!$B$7,allorders!$AG:$AG,"&gt;="&amp;日期!$B$8,allorders!N:N,"Shipped")</f>
        <v>0</v>
      </c>
      <c r="E97">
        <f>SUMIFS(allorders!$O:$O,allorders!$L:$L,$A97,allorders!$AG:$AG,"&lt;="&amp;日期!$B$9,allorders!$AG:$AG,"&gt;="&amp;日期!$B$10,allorders!N:N,"Shipped")</f>
        <v>1</v>
      </c>
      <c r="F97">
        <f>SUMIFS(allorders!$O:$O,allorders!$L:$L,$A97,allorders!$AG:$AG,"&lt;="&amp;日期!$B$11,allorders!$AG:$AG,"&gt;="&amp;日期!$B$12,allorders!N:N,"Shipped")</f>
        <v>0</v>
      </c>
      <c r="G97">
        <f>SUMIFS(allorders!Q:Q,allorders!L:L,A97,allorders!AG:AG,"&lt;="&amp;日期!$B$5,allorders!AG:AG,"&gt;="&amp;日期!$B$12,allorders!N:N,"Shipped")/SUM(C97:F97)</f>
        <v>32.99</v>
      </c>
      <c r="H97">
        <f>SUMIFS(allorders!Q:Q,allorders!L:L,A97,allorders!AG:AG,"&gt;="&amp;日期!$B$12,allorders!AG:AG,"&lt;="&amp;日期!$B$5,allorders!N:N,"Shipped")</f>
        <v>32.99</v>
      </c>
      <c r="I97">
        <f t="shared" si="1"/>
        <v>1</v>
      </c>
    </row>
    <row r="98" spans="1:9">
      <c r="A98" s="7" t="s">
        <v>2847</v>
      </c>
      <c r="B98" t="str">
        <f>VLOOKUP(A98,'[1]子sku-父sku'!$A:$B,2,0)</f>
        <v>YF-YULQ162</v>
      </c>
      <c r="C98">
        <f>SUMIFS(allorders!O:O,allorders!L:L,$A98,allorders!AG:AG,"&lt;="&amp;日期!$B$5,allorders!AG:AG,"&gt;="&amp;日期!$B$6,allorders!N:N,"Shipped")</f>
        <v>0</v>
      </c>
      <c r="D98">
        <f>SUMIFS(allorders!$O:$O,allorders!$L:$L,$A98,allorders!$AG:$AG,"&lt;="&amp;日期!$B$7,allorders!$AG:$AG,"&gt;="&amp;日期!$B$8,allorders!N:N,"Shipped")</f>
        <v>0</v>
      </c>
      <c r="E98">
        <f>SUMIFS(allorders!$O:$O,allorders!$L:$L,$A98,allorders!$AG:$AG,"&lt;="&amp;日期!$B$9,allorders!$AG:$AG,"&gt;="&amp;日期!$B$10,allorders!N:N,"Shipped")</f>
        <v>1</v>
      </c>
      <c r="F98">
        <f>SUMIFS(allorders!$O:$O,allorders!$L:$L,$A98,allorders!$AG:$AG,"&lt;="&amp;日期!$B$11,allorders!$AG:$AG,"&gt;="&amp;日期!$B$12,allorders!N:N,"Shipped")</f>
        <v>0</v>
      </c>
      <c r="G98">
        <f>SUMIFS(allorders!Q:Q,allorders!L:L,A98,allorders!AG:AG,"&lt;="&amp;日期!$B$5,allorders!AG:AG,"&gt;="&amp;日期!$B$12,allorders!N:N,"Shipped")/SUM(C98:F98)</f>
        <v>21.99</v>
      </c>
      <c r="H98">
        <f>SUMIFS(allorders!Q:Q,allorders!L:L,A98,allorders!AG:AG,"&gt;="&amp;日期!$B$12,allorders!AG:AG,"&lt;="&amp;日期!$B$5,allorders!N:N,"Shipped")</f>
        <v>21.99</v>
      </c>
      <c r="I98">
        <f t="shared" si="1"/>
        <v>1</v>
      </c>
    </row>
    <row r="99" spans="1:9">
      <c r="A99" s="7" t="s">
        <v>2916</v>
      </c>
      <c r="B99" t="str">
        <f>VLOOKUP(A99,'[1]子sku-父sku'!$A:$B,2,0)</f>
        <v>DO-YULQ162</v>
      </c>
      <c r="C99">
        <f>SUMIFS(allorders!O:O,allorders!L:L,$A99,allorders!AG:AG,"&lt;="&amp;日期!$B$5,allorders!AG:AG,"&gt;="&amp;日期!$B$6,allorders!N:N,"Shipped")</f>
        <v>0</v>
      </c>
      <c r="D99">
        <f>SUMIFS(allorders!$O:$O,allorders!$L:$L,$A99,allorders!$AG:$AG,"&lt;="&amp;日期!$B$7,allorders!$AG:$AG,"&gt;="&amp;日期!$B$8,allorders!N:N,"Shipped")</f>
        <v>0</v>
      </c>
      <c r="E99">
        <f>SUMIFS(allorders!$O:$O,allorders!$L:$L,$A99,allorders!$AG:$AG,"&lt;="&amp;日期!$B$9,allorders!$AG:$AG,"&gt;="&amp;日期!$B$10,allorders!N:N,"Shipped")</f>
        <v>1</v>
      </c>
      <c r="F99">
        <f>SUMIFS(allorders!$O:$O,allorders!$L:$L,$A99,allorders!$AG:$AG,"&lt;="&amp;日期!$B$11,allorders!$AG:$AG,"&gt;="&amp;日期!$B$12,allorders!N:N,"Shipped")</f>
        <v>0</v>
      </c>
      <c r="G99">
        <f>SUMIFS(allorders!Q:Q,allorders!L:L,A99,allorders!AG:AG,"&lt;="&amp;日期!$B$5,allorders!AG:AG,"&gt;="&amp;日期!$B$12,allorders!N:N,"Shipped")/SUM(C99:F99)</f>
        <v>85.99</v>
      </c>
      <c r="H99">
        <f>SUMIFS(allorders!Q:Q,allorders!L:L,A99,allorders!AG:AG,"&gt;="&amp;日期!$B$12,allorders!AG:AG,"&lt;="&amp;日期!$B$5,allorders!N:N,"Shipped")</f>
        <v>85.99</v>
      </c>
      <c r="I99">
        <f t="shared" si="1"/>
        <v>1</v>
      </c>
    </row>
    <row r="100" spans="1:9">
      <c r="A100" s="7" t="s">
        <v>3008</v>
      </c>
      <c r="B100" t="str">
        <f>VLOOKUP(A100,'[1]子sku-父sku'!$A:$B,2,0)</f>
        <v>DO-YULQ663</v>
      </c>
      <c r="C100">
        <f>SUMIFS(allorders!O:O,allorders!L:L,$A100,allorders!AG:AG,"&lt;="&amp;日期!$B$5,allorders!AG:AG,"&gt;="&amp;日期!$B$6,allorders!N:N,"Shipped")</f>
        <v>0</v>
      </c>
      <c r="D100">
        <f>SUMIFS(allorders!$O:$O,allorders!$L:$L,$A100,allorders!$AG:$AG,"&lt;="&amp;日期!$B$7,allorders!$AG:$AG,"&gt;="&amp;日期!$B$8,allorders!N:N,"Shipped")</f>
        <v>1</v>
      </c>
      <c r="E100">
        <f>SUMIFS(allorders!$O:$O,allorders!$L:$L,$A100,allorders!$AG:$AG,"&lt;="&amp;日期!$B$9,allorders!$AG:$AG,"&gt;="&amp;日期!$B$10,allorders!N:N,"Shipped")</f>
        <v>0</v>
      </c>
      <c r="F100">
        <f>SUMIFS(allorders!$O:$O,allorders!$L:$L,$A100,allorders!$AG:$AG,"&lt;="&amp;日期!$B$11,allorders!$AG:$AG,"&gt;="&amp;日期!$B$12,allorders!N:N,"Shipped")</f>
        <v>0</v>
      </c>
      <c r="G100">
        <f>SUMIFS(allorders!Q:Q,allorders!L:L,A100,allorders!AG:AG,"&lt;="&amp;日期!$B$5,allorders!AG:AG,"&gt;="&amp;日期!$B$12,allorders!N:N,"Shipped")/SUM(C100:F100)</f>
        <v>79.99</v>
      </c>
      <c r="H100">
        <f>SUMIFS(allorders!Q:Q,allorders!L:L,A100,allorders!AG:AG,"&gt;="&amp;日期!$B$12,allorders!AG:AG,"&lt;="&amp;日期!$B$5,allorders!N:N,"Shipped")</f>
        <v>79.99</v>
      </c>
      <c r="I100">
        <f t="shared" si="1"/>
        <v>1</v>
      </c>
    </row>
    <row r="101" spans="1:9">
      <c r="A101" s="7" t="s">
        <v>3059</v>
      </c>
      <c r="B101" t="str">
        <f>VLOOKUP(A101,'[1]子sku-父sku'!$A:$B,2,0)</f>
        <v>DO-YULQ111</v>
      </c>
      <c r="C101">
        <f>SUMIFS(allorders!O:O,allorders!L:L,$A101,allorders!AG:AG,"&lt;="&amp;日期!$B$5,allorders!AG:AG,"&gt;="&amp;日期!$B$6,allorders!N:N,"Shipped")</f>
        <v>1</v>
      </c>
      <c r="D101">
        <f>SUMIFS(allorders!$O:$O,allorders!$L:$L,$A101,allorders!$AG:$AG,"&lt;="&amp;日期!$B$7,allorders!$AG:$AG,"&gt;="&amp;日期!$B$8,allorders!N:N,"Shipped")</f>
        <v>6</v>
      </c>
      <c r="E101">
        <f>SUMIFS(allorders!$O:$O,allorders!$L:$L,$A101,allorders!$AG:$AG,"&lt;="&amp;日期!$B$9,allorders!$AG:$AG,"&gt;="&amp;日期!$B$10,allorders!N:N,"Shipped")</f>
        <v>0</v>
      </c>
      <c r="F101">
        <f>SUMIFS(allorders!$O:$O,allorders!$L:$L,$A101,allorders!$AG:$AG,"&lt;="&amp;日期!$B$11,allorders!$AG:$AG,"&gt;="&amp;日期!$B$12,allorders!N:N,"Shipped")</f>
        <v>0</v>
      </c>
      <c r="G101">
        <f>SUMIFS(allorders!Q:Q,allorders!L:L,A101,allorders!AG:AG,"&lt;="&amp;日期!$B$5,allorders!AG:AG,"&gt;="&amp;日期!$B$12,allorders!N:N,"Shipped")/SUM(C101:F101)</f>
        <v>82.5614285714286</v>
      </c>
      <c r="H101">
        <f>SUMIFS(allorders!Q:Q,allorders!L:L,A101,allorders!AG:AG,"&gt;="&amp;日期!$B$12,allorders!AG:AG,"&lt;="&amp;日期!$B$5,allorders!N:N,"Shipped")</f>
        <v>577.93</v>
      </c>
      <c r="I101">
        <f t="shared" si="1"/>
        <v>7</v>
      </c>
    </row>
    <row r="102" spans="1:9">
      <c r="A102" s="7" t="s">
        <v>3071</v>
      </c>
      <c r="B102" t="str">
        <f>VLOOKUP(A102,'[1]子sku-父sku'!$A:$B,2,0)</f>
        <v>DO-YULQ200</v>
      </c>
      <c r="C102">
        <f>SUMIFS(allorders!O:O,allorders!L:L,$A102,allorders!AG:AG,"&lt;="&amp;日期!$B$5,allorders!AG:AG,"&gt;="&amp;日期!$B$6,allorders!N:N,"Shipped")</f>
        <v>0</v>
      </c>
      <c r="D102">
        <f>SUMIFS(allorders!$O:$O,allorders!$L:$L,$A102,allorders!$AG:$AG,"&lt;="&amp;日期!$B$7,allorders!$AG:$AG,"&gt;="&amp;日期!$B$8,allorders!N:N,"Shipped")</f>
        <v>2</v>
      </c>
      <c r="E102">
        <f>SUMIFS(allorders!$O:$O,allorders!$L:$L,$A102,allorders!$AG:$AG,"&lt;="&amp;日期!$B$9,allorders!$AG:$AG,"&gt;="&amp;日期!$B$10,allorders!N:N,"Shipped")</f>
        <v>0</v>
      </c>
      <c r="F102">
        <f>SUMIFS(allorders!$O:$O,allorders!$L:$L,$A102,allorders!$AG:$AG,"&lt;="&amp;日期!$B$11,allorders!$AG:$AG,"&gt;="&amp;日期!$B$12,allorders!N:N,"Shipped")</f>
        <v>0</v>
      </c>
      <c r="G102">
        <f>SUMIFS(allorders!Q:Q,allorders!L:L,A102,allorders!AG:AG,"&lt;="&amp;日期!$B$5,allorders!AG:AG,"&gt;="&amp;日期!$B$12,allorders!N:N,"Shipped")/SUM(C102:F102)</f>
        <v>32.99</v>
      </c>
      <c r="H102">
        <f>SUMIFS(allorders!Q:Q,allorders!L:L,A102,allorders!AG:AG,"&gt;="&amp;日期!$B$12,allorders!AG:AG,"&lt;="&amp;日期!$B$5,allorders!N:N,"Shipped")</f>
        <v>65.98</v>
      </c>
      <c r="I102">
        <f t="shared" si="1"/>
        <v>2</v>
      </c>
    </row>
    <row r="103" spans="1:9">
      <c r="A103" s="7" t="s">
        <v>3116</v>
      </c>
      <c r="B103" t="str">
        <f>VLOOKUP(A103,'[1]子sku-父sku'!$A:$B,2,0)</f>
        <v>DO-YULQ058</v>
      </c>
      <c r="C103">
        <f>SUMIFS(allorders!O:O,allorders!L:L,$A103,allorders!AG:AG,"&lt;="&amp;日期!$B$5,allorders!AG:AG,"&gt;="&amp;日期!$B$6,allorders!N:N,"Shipped")</f>
        <v>0</v>
      </c>
      <c r="D103">
        <f>SUMIFS(allorders!$O:$O,allorders!$L:$L,$A103,allorders!$AG:$AG,"&lt;="&amp;日期!$B$7,allorders!$AG:$AG,"&gt;="&amp;日期!$B$8,allorders!N:N,"Shipped")</f>
        <v>1</v>
      </c>
      <c r="E103">
        <f>SUMIFS(allorders!$O:$O,allorders!$L:$L,$A103,allorders!$AG:$AG,"&lt;="&amp;日期!$B$9,allorders!$AG:$AG,"&gt;="&amp;日期!$B$10,allorders!N:N,"Shipped")</f>
        <v>0</v>
      </c>
      <c r="F103">
        <f>SUMIFS(allorders!$O:$O,allorders!$L:$L,$A103,allorders!$AG:$AG,"&lt;="&amp;日期!$B$11,allorders!$AG:$AG,"&gt;="&amp;日期!$B$12,allorders!N:N,"Shipped")</f>
        <v>0</v>
      </c>
      <c r="G103">
        <f>SUMIFS(allorders!Q:Q,allorders!L:L,A103,allorders!AG:AG,"&lt;="&amp;日期!$B$5,allorders!AG:AG,"&gt;="&amp;日期!$B$12,allorders!N:N,"Shipped")/SUM(C103:F103)</f>
        <v>32.99</v>
      </c>
      <c r="H103">
        <f>SUMIFS(allorders!Q:Q,allorders!L:L,A103,allorders!AG:AG,"&gt;="&amp;日期!$B$12,allorders!AG:AG,"&lt;="&amp;日期!$B$5,allorders!N:N,"Shipped")</f>
        <v>32.99</v>
      </c>
      <c r="I103">
        <f t="shared" si="1"/>
        <v>1</v>
      </c>
    </row>
    <row r="104" spans="1:9">
      <c r="A104" s="7" t="s">
        <v>3225</v>
      </c>
      <c r="B104" t="str">
        <f>VLOOKUP(A104,'[1]子sku-父sku'!$A:$B,2,0)</f>
        <v>DO-YULQ171</v>
      </c>
      <c r="C104">
        <f>SUMIFS(allorders!O:O,allorders!L:L,$A104,allorders!AG:AG,"&lt;="&amp;日期!$B$5,allorders!AG:AG,"&gt;="&amp;日期!$B$6,allorders!N:N,"Shipped")</f>
        <v>2</v>
      </c>
      <c r="D104">
        <f>SUMIFS(allorders!$O:$O,allorders!$L:$L,$A104,allorders!$AG:$AG,"&lt;="&amp;日期!$B$7,allorders!$AG:$AG,"&gt;="&amp;日期!$B$8,allorders!N:N,"Shipped")</f>
        <v>1</v>
      </c>
      <c r="E104">
        <f>SUMIFS(allorders!$O:$O,allorders!$L:$L,$A104,allorders!$AG:$AG,"&lt;="&amp;日期!$B$9,allorders!$AG:$AG,"&gt;="&amp;日期!$B$10,allorders!N:N,"Shipped")</f>
        <v>0</v>
      </c>
      <c r="F104">
        <f>SUMIFS(allorders!$O:$O,allorders!$L:$L,$A104,allorders!$AG:$AG,"&lt;="&amp;日期!$B$11,allorders!$AG:$AG,"&gt;="&amp;日期!$B$12,allorders!N:N,"Shipped")</f>
        <v>0</v>
      </c>
      <c r="G104">
        <f>SUMIFS(allorders!Q:Q,allorders!L:L,A104,allorders!AG:AG,"&lt;="&amp;日期!$B$5,allorders!AG:AG,"&gt;="&amp;日期!$B$12,allorders!N:N,"Shipped")/SUM(C104:F104)</f>
        <v>89.6</v>
      </c>
      <c r="H104">
        <f>SUMIFS(allorders!Q:Q,allorders!L:L,A104,allorders!AG:AG,"&gt;="&amp;日期!$B$12,allorders!AG:AG,"&lt;="&amp;日期!$B$5,allorders!N:N,"Shipped")</f>
        <v>268.8</v>
      </c>
      <c r="I104">
        <f t="shared" si="1"/>
        <v>3</v>
      </c>
    </row>
    <row r="105" spans="1:9">
      <c r="A105" s="7" t="s">
        <v>3252</v>
      </c>
      <c r="B105" t="str">
        <f>VLOOKUP(A105,'[1]子sku-父sku'!$A:$B,2,0)</f>
        <v>DOLLDRESS-1612</v>
      </c>
      <c r="C105">
        <f>SUMIFS(allorders!O:O,allorders!L:L,$A105,allorders!AG:AG,"&lt;="&amp;日期!$B$5,allorders!AG:AG,"&gt;="&amp;日期!$B$6,allorders!N:N,"Shipped")</f>
        <v>0</v>
      </c>
      <c r="D105">
        <f>SUMIFS(allorders!$O:$O,allorders!$L:$L,$A105,allorders!$AG:$AG,"&lt;="&amp;日期!$B$7,allorders!$AG:$AG,"&gt;="&amp;日期!$B$8,allorders!N:N,"Shipped")</f>
        <v>1</v>
      </c>
      <c r="E105">
        <f>SUMIFS(allorders!$O:$O,allorders!$L:$L,$A105,allorders!$AG:$AG,"&lt;="&amp;日期!$B$9,allorders!$AG:$AG,"&gt;="&amp;日期!$B$10,allorders!N:N,"Shipped")</f>
        <v>0</v>
      </c>
      <c r="F105">
        <f>SUMIFS(allorders!$O:$O,allorders!$L:$L,$A105,allorders!$AG:$AG,"&lt;="&amp;日期!$B$11,allorders!$AG:$AG,"&gt;="&amp;日期!$B$12,allorders!N:N,"Shipped")</f>
        <v>0</v>
      </c>
      <c r="G105">
        <f>SUMIFS(allorders!Q:Q,allorders!L:L,A105,allorders!AG:AG,"&lt;="&amp;日期!$B$5,allorders!AG:AG,"&gt;="&amp;日期!$B$12,allorders!N:N,"Shipped")/SUM(C105:F105)</f>
        <v>23.99</v>
      </c>
      <c r="H105">
        <f>SUMIFS(allorders!Q:Q,allorders!L:L,A105,allorders!AG:AG,"&gt;="&amp;日期!$B$12,allorders!AG:AG,"&lt;="&amp;日期!$B$5,allorders!N:N,"Shipped")</f>
        <v>23.99</v>
      </c>
      <c r="I105">
        <f t="shared" si="1"/>
        <v>1</v>
      </c>
    </row>
    <row r="106" spans="1:9">
      <c r="A106" s="7" t="s">
        <v>3277</v>
      </c>
      <c r="B106" t="str">
        <f>VLOOKUP(A106,'[1]子sku-父sku'!$A:$B,2,0)</f>
        <v>DO-YULQ161</v>
      </c>
      <c r="C106">
        <f>SUMIFS(allorders!O:O,allorders!L:L,$A106,allorders!AG:AG,"&lt;="&amp;日期!$B$5,allorders!AG:AG,"&gt;="&amp;日期!$B$6,allorders!N:N,"Shipped")</f>
        <v>0</v>
      </c>
      <c r="D106">
        <f>SUMIFS(allorders!$O:$O,allorders!$L:$L,$A106,allorders!$AG:$AG,"&lt;="&amp;日期!$B$7,allorders!$AG:$AG,"&gt;="&amp;日期!$B$8,allorders!N:N,"Shipped")</f>
        <v>1</v>
      </c>
      <c r="E106">
        <f>SUMIFS(allorders!$O:$O,allorders!$L:$L,$A106,allorders!$AG:$AG,"&lt;="&amp;日期!$B$9,allorders!$AG:$AG,"&gt;="&amp;日期!$B$10,allorders!N:N,"Shipped")</f>
        <v>0</v>
      </c>
      <c r="F106">
        <f>SUMIFS(allorders!$O:$O,allorders!$L:$L,$A106,allorders!$AG:$AG,"&lt;="&amp;日期!$B$11,allorders!$AG:$AG,"&gt;="&amp;日期!$B$12,allorders!N:N,"Shipped")</f>
        <v>0</v>
      </c>
      <c r="G106">
        <f>SUMIFS(allorders!Q:Q,allorders!L:L,A106,allorders!AG:AG,"&lt;="&amp;日期!$B$5,allorders!AG:AG,"&gt;="&amp;日期!$B$12,allorders!N:N,"Shipped")/SUM(C106:F106)</f>
        <v>89.99</v>
      </c>
      <c r="H106">
        <f>SUMIFS(allorders!Q:Q,allorders!L:L,A106,allorders!AG:AG,"&gt;="&amp;日期!$B$12,allorders!AG:AG,"&lt;="&amp;日期!$B$5,allorders!N:N,"Shipped")</f>
        <v>89.99</v>
      </c>
      <c r="I106">
        <f t="shared" si="1"/>
        <v>1</v>
      </c>
    </row>
    <row r="107" spans="1:9">
      <c r="A107" s="7" t="s">
        <v>3291</v>
      </c>
      <c r="B107" t="str">
        <f>VLOOKUP(A107,'[1]子sku-父sku'!$A:$B,2,0)</f>
        <v>DO-YULQ157</v>
      </c>
      <c r="C107">
        <f>SUMIFS(allorders!O:O,allorders!L:L,$A107,allorders!AG:AG,"&lt;="&amp;日期!$B$5,allorders!AG:AG,"&gt;="&amp;日期!$B$6,allorders!N:N,"Shipped")</f>
        <v>0</v>
      </c>
      <c r="D107">
        <f>SUMIFS(allorders!$O:$O,allorders!$L:$L,$A107,allorders!$AG:$AG,"&lt;="&amp;日期!$B$7,allorders!$AG:$AG,"&gt;="&amp;日期!$B$8,allorders!N:N,"Shipped")</f>
        <v>1</v>
      </c>
      <c r="E107">
        <f>SUMIFS(allorders!$O:$O,allorders!$L:$L,$A107,allorders!$AG:$AG,"&lt;="&amp;日期!$B$9,allorders!$AG:$AG,"&gt;="&amp;日期!$B$10,allorders!N:N,"Shipped")</f>
        <v>0</v>
      </c>
      <c r="F107">
        <f>SUMIFS(allorders!$O:$O,allorders!$L:$L,$A107,allorders!$AG:$AG,"&lt;="&amp;日期!$B$11,allorders!$AG:$AG,"&gt;="&amp;日期!$B$12,allorders!N:N,"Shipped")</f>
        <v>0</v>
      </c>
      <c r="G107">
        <f>SUMIFS(allorders!Q:Q,allorders!L:L,A107,allorders!AG:AG,"&lt;="&amp;日期!$B$5,allorders!AG:AG,"&gt;="&amp;日期!$B$12,allorders!N:N,"Shipped")/SUM(C107:F107)</f>
        <v>79.6</v>
      </c>
      <c r="H107">
        <f>SUMIFS(allorders!Q:Q,allorders!L:L,A107,allorders!AG:AG,"&gt;="&amp;日期!$B$12,allorders!AG:AG,"&lt;="&amp;日期!$B$5,allorders!N:N,"Shipped")</f>
        <v>79.6</v>
      </c>
      <c r="I107">
        <f t="shared" si="1"/>
        <v>1</v>
      </c>
    </row>
    <row r="108" spans="1:9">
      <c r="A108" s="7" t="s">
        <v>3303</v>
      </c>
      <c r="B108" t="str">
        <f>VLOOKUP(A108,'[1]子sku-父sku'!$A:$B,2,0)</f>
        <v>NZZH-FLQ52</v>
      </c>
      <c r="C108">
        <f>SUMIFS(allorders!O:O,allorders!L:L,$A108,allorders!AG:AG,"&lt;="&amp;日期!$B$5,allorders!AG:AG,"&gt;="&amp;日期!$B$6,allorders!N:N,"Shipped")</f>
        <v>1</v>
      </c>
      <c r="D108">
        <f>SUMIFS(allorders!$O:$O,allorders!$L:$L,$A108,allorders!$AG:$AG,"&lt;="&amp;日期!$B$7,allorders!$AG:$AG,"&gt;="&amp;日期!$B$8,allorders!N:N,"Shipped")</f>
        <v>0</v>
      </c>
      <c r="E108">
        <f>SUMIFS(allorders!$O:$O,allorders!$L:$L,$A108,allorders!$AG:$AG,"&lt;="&amp;日期!$B$9,allorders!$AG:$AG,"&gt;="&amp;日期!$B$10,allorders!N:N,"Shipped")</f>
        <v>0</v>
      </c>
      <c r="F108">
        <f>SUMIFS(allorders!$O:$O,allorders!$L:$L,$A108,allorders!$AG:$AG,"&lt;="&amp;日期!$B$11,allorders!$AG:$AG,"&gt;="&amp;日期!$B$12,allorders!N:N,"Shipped")</f>
        <v>0</v>
      </c>
      <c r="G108">
        <f>SUMIFS(allorders!Q:Q,allorders!L:L,A108,allorders!AG:AG,"&lt;="&amp;日期!$B$5,allorders!AG:AG,"&gt;="&amp;日期!$B$12,allorders!N:N,"Shipped")/SUM(C108:F108)</f>
        <v>16.99</v>
      </c>
      <c r="H108">
        <f>SUMIFS(allorders!Q:Q,allorders!L:L,A108,allorders!AG:AG,"&gt;="&amp;日期!$B$12,allorders!AG:AG,"&lt;="&amp;日期!$B$5,allorders!N:N,"Shipped")</f>
        <v>16.99</v>
      </c>
      <c r="I108">
        <f t="shared" si="1"/>
        <v>1</v>
      </c>
    </row>
    <row r="109" spans="1:9">
      <c r="A109" s="7" t="s">
        <v>3399</v>
      </c>
      <c r="B109" t="str">
        <f>VLOOKUP(A109,'[1]子sku-父sku'!$A:$B,2,0)</f>
        <v>DO-YULQ605</v>
      </c>
      <c r="C109">
        <f>SUMIFS(allorders!O:O,allorders!L:L,$A109,allorders!AG:AG,"&lt;="&amp;日期!$B$5,allorders!AG:AG,"&gt;="&amp;日期!$B$6,allorders!N:N,"Shipped")</f>
        <v>0</v>
      </c>
      <c r="D109">
        <f>SUMIFS(allorders!$O:$O,allorders!$L:$L,$A109,allorders!$AG:$AG,"&lt;="&amp;日期!$B$7,allorders!$AG:$AG,"&gt;="&amp;日期!$B$8,allorders!N:N,"Shipped")</f>
        <v>2</v>
      </c>
      <c r="E109">
        <f>SUMIFS(allorders!$O:$O,allorders!$L:$L,$A109,allorders!$AG:$AG,"&lt;="&amp;日期!$B$9,allorders!$AG:$AG,"&gt;="&amp;日期!$B$10,allorders!N:N,"Shipped")</f>
        <v>0</v>
      </c>
      <c r="F109">
        <f>SUMIFS(allorders!$O:$O,allorders!$L:$L,$A109,allorders!$AG:$AG,"&lt;="&amp;日期!$B$11,allorders!$AG:$AG,"&gt;="&amp;日期!$B$12,allorders!N:N,"Shipped")</f>
        <v>0</v>
      </c>
      <c r="G109">
        <f>SUMIFS(allorders!Q:Q,allorders!L:L,A109,allorders!AG:AG,"&lt;="&amp;日期!$B$5,allorders!AG:AG,"&gt;="&amp;日期!$B$12,allorders!N:N,"Shipped")/SUM(C109:F109)</f>
        <v>79.99</v>
      </c>
      <c r="H109">
        <f>SUMIFS(allorders!Q:Q,allorders!L:L,A109,allorders!AG:AG,"&gt;="&amp;日期!$B$12,allorders!AG:AG,"&lt;="&amp;日期!$B$5,allorders!N:N,"Shipped")</f>
        <v>159.98</v>
      </c>
      <c r="I109">
        <f t="shared" si="1"/>
        <v>2</v>
      </c>
    </row>
    <row r="110" spans="1:9">
      <c r="A110" s="7" t="s">
        <v>3455</v>
      </c>
      <c r="B110" t="str">
        <f>VLOOKUP(A110,'[1]子sku-父sku'!$A:$B,2,0)</f>
        <v>DO-YULQ101</v>
      </c>
      <c r="C110">
        <f>SUMIFS(allorders!O:O,allorders!L:L,$A110,allorders!AG:AG,"&lt;="&amp;日期!$B$5,allorders!AG:AG,"&gt;="&amp;日期!$B$6,allorders!N:N,"Shipped")</f>
        <v>0</v>
      </c>
      <c r="D110">
        <f>SUMIFS(allorders!$O:$O,allorders!$L:$L,$A110,allorders!$AG:$AG,"&lt;="&amp;日期!$B$7,allorders!$AG:$AG,"&gt;="&amp;日期!$B$8,allorders!N:N,"Shipped")</f>
        <v>3</v>
      </c>
      <c r="E110">
        <f>SUMIFS(allorders!$O:$O,allorders!$L:$L,$A110,allorders!$AG:$AG,"&lt;="&amp;日期!$B$9,allorders!$AG:$AG,"&gt;="&amp;日期!$B$10,allorders!N:N,"Shipped")</f>
        <v>0</v>
      </c>
      <c r="F110">
        <f>SUMIFS(allorders!$O:$O,allorders!$L:$L,$A110,allorders!$AG:$AG,"&lt;="&amp;日期!$B$11,allorders!$AG:$AG,"&gt;="&amp;日期!$B$12,allorders!N:N,"Shipped")</f>
        <v>0</v>
      </c>
      <c r="G110">
        <f>SUMIFS(allorders!Q:Q,allorders!L:L,A110,allorders!AG:AG,"&lt;="&amp;日期!$B$5,allorders!AG:AG,"&gt;="&amp;日期!$B$12,allorders!N:N,"Shipped")/SUM(C110:F110)</f>
        <v>79.99</v>
      </c>
      <c r="H110">
        <f>SUMIFS(allorders!Q:Q,allorders!L:L,A110,allorders!AG:AG,"&gt;="&amp;日期!$B$12,allorders!AG:AG,"&lt;="&amp;日期!$B$5,allorders!N:N,"Shipped")</f>
        <v>239.97</v>
      </c>
      <c r="I110">
        <f t="shared" si="1"/>
        <v>3</v>
      </c>
    </row>
    <row r="111" spans="1:9">
      <c r="A111" s="7" t="s">
        <v>3579</v>
      </c>
      <c r="B111" t="str">
        <f>VLOOKUP(A111,'[1]子sku-父sku'!$A:$B,2,0)</f>
        <v>DO-YULQ232</v>
      </c>
      <c r="C111">
        <f>SUMIFS(allorders!O:O,allorders!L:L,$A111,allorders!AG:AG,"&lt;="&amp;日期!$B$5,allorders!AG:AG,"&gt;="&amp;日期!$B$6,allorders!N:N,"Shipped")</f>
        <v>3</v>
      </c>
      <c r="D111">
        <f>SUMIFS(allorders!$O:$O,allorders!$L:$L,$A111,allorders!$AG:$AG,"&lt;="&amp;日期!$B$7,allorders!$AG:$AG,"&gt;="&amp;日期!$B$8,allorders!N:N,"Shipped")</f>
        <v>2</v>
      </c>
      <c r="E111">
        <f>SUMIFS(allorders!$O:$O,allorders!$L:$L,$A111,allorders!$AG:$AG,"&lt;="&amp;日期!$B$9,allorders!$AG:$AG,"&gt;="&amp;日期!$B$10,allorders!N:N,"Shipped")</f>
        <v>0</v>
      </c>
      <c r="F111">
        <f>SUMIFS(allorders!$O:$O,allorders!$L:$L,$A111,allorders!$AG:$AG,"&lt;="&amp;日期!$B$11,allorders!$AG:$AG,"&gt;="&amp;日期!$B$12,allorders!N:N,"Shipped")</f>
        <v>0</v>
      </c>
      <c r="G111">
        <f>SUMIFS(allorders!Q:Q,allorders!L:L,A111,allorders!AG:AG,"&lt;="&amp;日期!$B$5,allorders!AG:AG,"&gt;="&amp;日期!$B$12,allorders!N:N,"Shipped")/SUM(C111:F111)</f>
        <v>32.99</v>
      </c>
      <c r="H111">
        <f>SUMIFS(allorders!Q:Q,allorders!L:L,A111,allorders!AG:AG,"&gt;="&amp;日期!$B$12,allorders!AG:AG,"&lt;="&amp;日期!$B$5,allorders!N:N,"Shipped")</f>
        <v>164.95</v>
      </c>
      <c r="I111">
        <f t="shared" si="1"/>
        <v>5</v>
      </c>
    </row>
    <row r="112" spans="1:9">
      <c r="A112" s="7" t="s">
        <v>3687</v>
      </c>
      <c r="B112" t="str">
        <f>VLOOKUP(A112,'[1]子sku-父sku'!$A:$B,2,0)</f>
        <v>DO-YULQ004</v>
      </c>
      <c r="C112">
        <f>SUMIFS(allorders!O:O,allorders!L:L,$A112,allorders!AG:AG,"&lt;="&amp;日期!$B$5,allorders!AG:AG,"&gt;="&amp;日期!$B$6,allorders!N:N,"Shipped")</f>
        <v>0</v>
      </c>
      <c r="D112">
        <f>SUMIFS(allorders!$O:$O,allorders!$L:$L,$A112,allorders!$AG:$AG,"&lt;="&amp;日期!$B$7,allorders!$AG:$AG,"&gt;="&amp;日期!$B$8,allorders!N:N,"Shipped")</f>
        <v>1</v>
      </c>
      <c r="E112">
        <f>SUMIFS(allorders!$O:$O,allorders!$L:$L,$A112,allorders!$AG:$AG,"&lt;="&amp;日期!$B$9,allorders!$AG:$AG,"&gt;="&amp;日期!$B$10,allorders!N:N,"Shipped")</f>
        <v>0</v>
      </c>
      <c r="F112">
        <f>SUMIFS(allorders!$O:$O,allorders!$L:$L,$A112,allorders!$AG:$AG,"&lt;="&amp;日期!$B$11,allorders!$AG:$AG,"&gt;="&amp;日期!$B$12,allorders!N:N,"Shipped")</f>
        <v>0</v>
      </c>
      <c r="G112">
        <f>SUMIFS(allorders!Q:Q,allorders!L:L,A112,allorders!AG:AG,"&lt;="&amp;日期!$B$5,allorders!AG:AG,"&gt;="&amp;日期!$B$12,allorders!N:N,"Shipped")/SUM(C112:F112)</f>
        <v>29.99</v>
      </c>
      <c r="H112">
        <f>SUMIFS(allorders!Q:Q,allorders!L:L,A112,allorders!AG:AG,"&gt;="&amp;日期!$B$12,allorders!AG:AG,"&lt;="&amp;日期!$B$5,allorders!N:N,"Shipped")</f>
        <v>29.99</v>
      </c>
      <c r="I112">
        <f t="shared" si="1"/>
        <v>1</v>
      </c>
    </row>
    <row r="113" spans="1:9">
      <c r="A113" s="7" t="s">
        <v>3795</v>
      </c>
      <c r="B113" t="str">
        <f>VLOOKUP(A113,'[1]子sku-父sku'!$A:$B,2,0)</f>
        <v>DOLL-0603</v>
      </c>
      <c r="C113">
        <f>SUMIFS(allorders!O:O,allorders!L:L,$A113,allorders!AG:AG,"&lt;="&amp;日期!$B$5,allorders!AG:AG,"&gt;="&amp;日期!$B$6,allorders!N:N,"Shipped")</f>
        <v>1</v>
      </c>
      <c r="D113">
        <f>SUMIFS(allorders!$O:$O,allorders!$L:$L,$A113,allorders!$AG:$AG,"&lt;="&amp;日期!$B$7,allorders!$AG:$AG,"&gt;="&amp;日期!$B$8,allorders!N:N,"Shipped")</f>
        <v>2</v>
      </c>
      <c r="E113">
        <f>SUMIFS(allorders!$O:$O,allorders!$L:$L,$A113,allorders!$AG:$AG,"&lt;="&amp;日期!$B$9,allorders!$AG:$AG,"&gt;="&amp;日期!$B$10,allorders!N:N,"Shipped")</f>
        <v>0</v>
      </c>
      <c r="F113">
        <f>SUMIFS(allorders!$O:$O,allorders!$L:$L,$A113,allorders!$AG:$AG,"&lt;="&amp;日期!$B$11,allorders!$AG:$AG,"&gt;="&amp;日期!$B$12,allorders!N:N,"Shipped")</f>
        <v>0</v>
      </c>
      <c r="G113">
        <f>SUMIFS(allorders!Q:Q,allorders!L:L,A113,allorders!AG:AG,"&lt;="&amp;日期!$B$5,allorders!AG:AG,"&gt;="&amp;日期!$B$12,allorders!N:N,"Shipped")/SUM(C113:F113)</f>
        <v>89.6</v>
      </c>
      <c r="H113">
        <f>SUMIFS(allorders!Q:Q,allorders!L:L,A113,allorders!AG:AG,"&gt;="&amp;日期!$B$12,allorders!AG:AG,"&lt;="&amp;日期!$B$5,allorders!N:N,"Shipped")</f>
        <v>268.8</v>
      </c>
      <c r="I113">
        <f t="shared" si="1"/>
        <v>3</v>
      </c>
    </row>
    <row r="114" spans="1:9">
      <c r="A114" s="7" t="s">
        <v>3876</v>
      </c>
      <c r="B114" t="str">
        <f>VLOOKUP(A114,'[1]子sku-父sku'!$A:$B,2,0)</f>
        <v>DO-YULQ703</v>
      </c>
      <c r="C114">
        <f>SUMIFS(allorders!O:O,allorders!L:L,$A114,allorders!AG:AG,"&lt;="&amp;日期!$B$5,allorders!AG:AG,"&gt;="&amp;日期!$B$6,allorders!N:N,"Shipped")</f>
        <v>0</v>
      </c>
      <c r="D114">
        <f>SUMIFS(allorders!$O:$O,allorders!$L:$L,$A114,allorders!$AG:$AG,"&lt;="&amp;日期!$B$7,allorders!$AG:$AG,"&gt;="&amp;日期!$B$8,allorders!N:N,"Shipped")</f>
        <v>1</v>
      </c>
      <c r="E114">
        <f>SUMIFS(allorders!$O:$O,allorders!$L:$L,$A114,allorders!$AG:$AG,"&lt;="&amp;日期!$B$9,allorders!$AG:$AG,"&gt;="&amp;日期!$B$10,allorders!N:N,"Shipped")</f>
        <v>0</v>
      </c>
      <c r="F114">
        <f>SUMIFS(allorders!$O:$O,allorders!$L:$L,$A114,allorders!$AG:$AG,"&lt;="&amp;日期!$B$11,allorders!$AG:$AG,"&gt;="&amp;日期!$B$12,allorders!N:N,"Shipped")</f>
        <v>0</v>
      </c>
      <c r="G114">
        <f>SUMIFS(allorders!Q:Q,allorders!L:L,A114,allorders!AG:AG,"&lt;="&amp;日期!$B$5,allorders!AG:AG,"&gt;="&amp;日期!$B$12,allorders!N:N,"Shipped")/SUM(C114:F114)</f>
        <v>89.99</v>
      </c>
      <c r="H114">
        <f>SUMIFS(allorders!Q:Q,allorders!L:L,A114,allorders!AG:AG,"&gt;="&amp;日期!$B$12,allorders!AG:AG,"&lt;="&amp;日期!$B$5,allorders!N:N,"Shipped")</f>
        <v>89.99</v>
      </c>
      <c r="I114">
        <f t="shared" si="1"/>
        <v>1</v>
      </c>
    </row>
    <row r="115" spans="1:9">
      <c r="A115" s="7" t="s">
        <v>3987</v>
      </c>
      <c r="B115" t="str">
        <f>VLOOKUP(A115,'[1]子sku-父sku'!$A:$B,2,0)</f>
        <v>DO-YULQ004</v>
      </c>
      <c r="C115">
        <f>SUMIFS(allorders!O:O,allorders!L:L,$A115,allorders!AG:AG,"&lt;="&amp;日期!$B$5,allorders!AG:AG,"&gt;="&amp;日期!$B$6,allorders!N:N,"Shipped")</f>
        <v>1</v>
      </c>
      <c r="D115">
        <f>SUMIFS(allorders!$O:$O,allorders!$L:$L,$A115,allorders!$AG:$AG,"&lt;="&amp;日期!$B$7,allorders!$AG:$AG,"&gt;="&amp;日期!$B$8,allorders!N:N,"Shipped")</f>
        <v>1</v>
      </c>
      <c r="E115">
        <f>SUMIFS(allorders!$O:$O,allorders!$L:$L,$A115,allorders!$AG:$AG,"&lt;="&amp;日期!$B$9,allorders!$AG:$AG,"&gt;="&amp;日期!$B$10,allorders!N:N,"Shipped")</f>
        <v>0</v>
      </c>
      <c r="F115">
        <f>SUMIFS(allorders!$O:$O,allorders!$L:$L,$A115,allorders!$AG:$AG,"&lt;="&amp;日期!$B$11,allorders!$AG:$AG,"&gt;="&amp;日期!$B$12,allorders!N:N,"Shipped")</f>
        <v>0</v>
      </c>
      <c r="G115">
        <f>SUMIFS(allorders!Q:Q,allorders!L:L,A115,allorders!AG:AG,"&lt;="&amp;日期!$B$5,allorders!AG:AG,"&gt;="&amp;日期!$B$12,allorders!N:N,"Shipped")/SUM(C115:F115)</f>
        <v>32.99</v>
      </c>
      <c r="H115">
        <f>SUMIFS(allorders!Q:Q,allorders!L:L,A115,allorders!AG:AG,"&gt;="&amp;日期!$B$12,allorders!AG:AG,"&lt;="&amp;日期!$B$5,allorders!N:N,"Shipped")</f>
        <v>65.98</v>
      </c>
      <c r="I115">
        <f t="shared" si="1"/>
        <v>2</v>
      </c>
    </row>
    <row r="116" spans="1:9">
      <c r="A116" s="7" t="s">
        <v>4191</v>
      </c>
      <c r="B116" t="str">
        <f>VLOOKUP(A116,'[1]子sku-父sku'!$A:$B,2,0)</f>
        <v>DO-YULQ115</v>
      </c>
      <c r="C116">
        <f>SUMIFS(allorders!O:O,allorders!L:L,$A116,allorders!AG:AG,"&lt;="&amp;日期!$B$5,allorders!AG:AG,"&gt;="&amp;日期!$B$6,allorders!N:N,"Shipped")</f>
        <v>0</v>
      </c>
      <c r="D116">
        <f>SUMIFS(allorders!$O:$O,allorders!$L:$L,$A116,allorders!$AG:$AG,"&lt;="&amp;日期!$B$7,allorders!$AG:$AG,"&gt;="&amp;日期!$B$8,allorders!N:N,"Shipped")</f>
        <v>1</v>
      </c>
      <c r="E116">
        <f>SUMIFS(allorders!$O:$O,allorders!$L:$L,$A116,allorders!$AG:$AG,"&lt;="&amp;日期!$B$9,allorders!$AG:$AG,"&gt;="&amp;日期!$B$10,allorders!N:N,"Shipped")</f>
        <v>0</v>
      </c>
      <c r="F116">
        <f>SUMIFS(allorders!$O:$O,allorders!$L:$L,$A116,allorders!$AG:$AG,"&lt;="&amp;日期!$B$11,allorders!$AG:$AG,"&gt;="&amp;日期!$B$12,allorders!N:N,"Shipped")</f>
        <v>0</v>
      </c>
      <c r="G116">
        <f>SUMIFS(allorders!Q:Q,allorders!L:L,A116,allorders!AG:AG,"&lt;="&amp;日期!$B$5,allorders!AG:AG,"&gt;="&amp;日期!$B$12,allorders!N:N,"Shipped")/SUM(C116:F116)</f>
        <v>89.6</v>
      </c>
      <c r="H116">
        <f>SUMIFS(allorders!Q:Q,allorders!L:L,A116,allorders!AG:AG,"&gt;="&amp;日期!$B$12,allorders!AG:AG,"&lt;="&amp;日期!$B$5,allorders!N:N,"Shipped")</f>
        <v>89.6</v>
      </c>
      <c r="I116">
        <f t="shared" si="1"/>
        <v>1</v>
      </c>
    </row>
    <row r="117" spans="1:9">
      <c r="A117" s="7" t="s">
        <v>4199</v>
      </c>
      <c r="B117" t="str">
        <f>VLOOKUP(A117,'[1]子sku-父sku'!$A:$B,2,0)</f>
        <v>DO-YULQ073</v>
      </c>
      <c r="C117">
        <f>SUMIFS(allorders!O:O,allorders!L:L,$A117,allorders!AG:AG,"&lt;="&amp;日期!$B$5,allorders!AG:AG,"&gt;="&amp;日期!$B$6,allorders!N:N,"Shipped")</f>
        <v>2</v>
      </c>
      <c r="D117">
        <f>SUMIFS(allorders!$O:$O,allorders!$L:$L,$A117,allorders!$AG:$AG,"&lt;="&amp;日期!$B$7,allorders!$AG:$AG,"&gt;="&amp;日期!$B$8,allorders!N:N,"Shipped")</f>
        <v>1</v>
      </c>
      <c r="E117">
        <f>SUMIFS(allorders!$O:$O,allorders!$L:$L,$A117,allorders!$AG:$AG,"&lt;="&amp;日期!$B$9,allorders!$AG:$AG,"&gt;="&amp;日期!$B$10,allorders!N:N,"Shipped")</f>
        <v>0</v>
      </c>
      <c r="F117">
        <f>SUMIFS(allorders!$O:$O,allorders!$L:$L,$A117,allorders!$AG:$AG,"&lt;="&amp;日期!$B$11,allorders!$AG:$AG,"&gt;="&amp;日期!$B$12,allorders!N:N,"Shipped")</f>
        <v>0</v>
      </c>
      <c r="G117">
        <f>SUMIFS(allorders!Q:Q,allorders!L:L,A117,allorders!AG:AG,"&lt;="&amp;日期!$B$5,allorders!AG:AG,"&gt;="&amp;日期!$B$12,allorders!N:N,"Shipped")/SUM(C117:F117)</f>
        <v>89.99</v>
      </c>
      <c r="H117">
        <f>SUMIFS(allorders!Q:Q,allorders!L:L,A117,allorders!AG:AG,"&gt;="&amp;日期!$B$12,allorders!AG:AG,"&lt;="&amp;日期!$B$5,allorders!N:N,"Shipped")</f>
        <v>269.97</v>
      </c>
      <c r="I117">
        <f t="shared" si="1"/>
        <v>3</v>
      </c>
    </row>
    <row r="118" spans="1:9">
      <c r="A118" s="7" t="s">
        <v>4272</v>
      </c>
      <c r="B118" t="str">
        <f>VLOOKUP(A118,'[1]子sku-父sku'!$A:$B,2,0)</f>
        <v>DOLL-7056</v>
      </c>
      <c r="C118">
        <f>SUMIFS(allorders!O:O,allorders!L:L,$A118,allorders!AG:AG,"&lt;="&amp;日期!$B$5,allorders!AG:AG,"&gt;="&amp;日期!$B$6,allorders!N:N,"Shipped")</f>
        <v>0</v>
      </c>
      <c r="D118">
        <f>SUMIFS(allorders!$O:$O,allorders!$L:$L,$A118,allorders!$AG:$AG,"&lt;="&amp;日期!$B$7,allorders!$AG:$AG,"&gt;="&amp;日期!$B$8,allorders!N:N,"Shipped")</f>
        <v>1</v>
      </c>
      <c r="E118">
        <f>SUMIFS(allorders!$O:$O,allorders!$L:$L,$A118,allorders!$AG:$AG,"&lt;="&amp;日期!$B$9,allorders!$AG:$AG,"&gt;="&amp;日期!$B$10,allorders!N:N,"Shipped")</f>
        <v>0</v>
      </c>
      <c r="F118">
        <f>SUMIFS(allorders!$O:$O,allorders!$L:$L,$A118,allorders!$AG:$AG,"&lt;="&amp;日期!$B$11,allorders!$AG:$AG,"&gt;="&amp;日期!$B$12,allorders!N:N,"Shipped")</f>
        <v>0</v>
      </c>
      <c r="G118">
        <f>SUMIFS(allorders!Q:Q,allorders!L:L,A118,allorders!AG:AG,"&lt;="&amp;日期!$B$5,allorders!AG:AG,"&gt;="&amp;日期!$B$12,allorders!N:N,"Shipped")/SUM(C118:F118)</f>
        <v>32.99</v>
      </c>
      <c r="H118">
        <f>SUMIFS(allorders!Q:Q,allorders!L:L,A118,allorders!AG:AG,"&gt;="&amp;日期!$B$12,allorders!AG:AG,"&lt;="&amp;日期!$B$5,allorders!N:N,"Shipped")</f>
        <v>32.99</v>
      </c>
      <c r="I118">
        <f t="shared" si="1"/>
        <v>1</v>
      </c>
    </row>
    <row r="119" spans="1:9">
      <c r="A119" s="7" t="s">
        <v>4361</v>
      </c>
      <c r="B119" t="str">
        <f>VLOOKUP(A119,'[1]子sku-父sku'!$A:$B,2,0)</f>
        <v>DO-YULQ172</v>
      </c>
      <c r="C119">
        <f>SUMIFS(allorders!O:O,allorders!L:L,$A119,allorders!AG:AG,"&lt;="&amp;日期!$B$5,allorders!AG:AG,"&gt;="&amp;日期!$B$6,allorders!N:N,"Shipped")</f>
        <v>1</v>
      </c>
      <c r="D119">
        <f>SUMIFS(allorders!$O:$O,allorders!$L:$L,$A119,allorders!$AG:$AG,"&lt;="&amp;日期!$B$7,allorders!$AG:$AG,"&gt;="&amp;日期!$B$8,allorders!N:N,"Shipped")</f>
        <v>0</v>
      </c>
      <c r="E119">
        <f>SUMIFS(allorders!$O:$O,allorders!$L:$L,$A119,allorders!$AG:$AG,"&lt;="&amp;日期!$B$9,allorders!$AG:$AG,"&gt;="&amp;日期!$B$10,allorders!N:N,"Shipped")</f>
        <v>0</v>
      </c>
      <c r="F119">
        <f>SUMIFS(allorders!$O:$O,allorders!$L:$L,$A119,allorders!$AG:$AG,"&lt;="&amp;日期!$B$11,allorders!$AG:$AG,"&gt;="&amp;日期!$B$12,allorders!N:N,"Shipped")</f>
        <v>0</v>
      </c>
      <c r="G119">
        <f>SUMIFS(allorders!Q:Q,allorders!L:L,A119,allorders!AG:AG,"&lt;="&amp;日期!$B$5,allorders!AG:AG,"&gt;="&amp;日期!$B$12,allorders!N:N,"Shipped")/SUM(C119:F119)</f>
        <v>79.99</v>
      </c>
      <c r="H119">
        <f>SUMIFS(allorders!Q:Q,allorders!L:L,A119,allorders!AG:AG,"&gt;="&amp;日期!$B$12,allorders!AG:AG,"&lt;="&amp;日期!$B$5,allorders!N:N,"Shipped")</f>
        <v>79.99</v>
      </c>
      <c r="I119">
        <f t="shared" si="1"/>
        <v>1</v>
      </c>
    </row>
    <row r="120" spans="1:9">
      <c r="A120" s="7" t="s">
        <v>4754</v>
      </c>
      <c r="B120" t="str">
        <f>VLOOKUP(A120,'[1]子sku-父sku'!$A:$B,2,0)</f>
        <v>DO-YULQ158</v>
      </c>
      <c r="C120">
        <f>SUMIFS(allorders!O:O,allorders!L:L,$A120,allorders!AG:AG,"&lt;="&amp;日期!$B$5,allorders!AG:AG,"&gt;="&amp;日期!$B$6,allorders!N:N,"Shipped")</f>
        <v>1</v>
      </c>
      <c r="D120">
        <f>SUMIFS(allorders!$O:$O,allorders!$L:$L,$A120,allorders!$AG:$AG,"&lt;="&amp;日期!$B$7,allorders!$AG:$AG,"&gt;="&amp;日期!$B$8,allorders!N:N,"Shipped")</f>
        <v>0</v>
      </c>
      <c r="E120">
        <f>SUMIFS(allorders!$O:$O,allorders!$L:$L,$A120,allorders!$AG:$AG,"&lt;="&amp;日期!$B$9,allorders!$AG:$AG,"&gt;="&amp;日期!$B$10,allorders!N:N,"Shipped")</f>
        <v>0</v>
      </c>
      <c r="F120">
        <f>SUMIFS(allorders!$O:$O,allorders!$L:$L,$A120,allorders!$AG:$AG,"&lt;="&amp;日期!$B$11,allorders!$AG:$AG,"&gt;="&amp;日期!$B$12,allorders!N:N,"Shipped")</f>
        <v>0</v>
      </c>
      <c r="G120">
        <f>SUMIFS(allorders!Q:Q,allorders!L:L,A120,allorders!AG:AG,"&lt;="&amp;日期!$B$5,allorders!AG:AG,"&gt;="&amp;日期!$B$12,allorders!N:N,"Shipped")/SUM(C120:F120)</f>
        <v>99.6</v>
      </c>
      <c r="H120">
        <f>SUMIFS(allorders!Q:Q,allorders!L:L,A120,allorders!AG:AG,"&gt;="&amp;日期!$B$12,allorders!AG:AG,"&lt;="&amp;日期!$B$5,allorders!N:N,"Shipped")</f>
        <v>99.6</v>
      </c>
      <c r="I120">
        <f t="shared" si="1"/>
        <v>1</v>
      </c>
    </row>
    <row r="121" spans="1:9">
      <c r="A121" s="7" t="s">
        <v>4765</v>
      </c>
      <c r="B121" t="str">
        <f>VLOOKUP(A121,'[1]子sku-父sku'!$A:$B,2,0)</f>
        <v>DO-YULQ639</v>
      </c>
      <c r="C121">
        <f>SUMIFS(allorders!O:O,allorders!L:L,$A121,allorders!AG:AG,"&lt;="&amp;日期!$B$5,allorders!AG:AG,"&gt;="&amp;日期!$B$6,allorders!N:N,"Shipped")</f>
        <v>2</v>
      </c>
      <c r="D121">
        <f>SUMIFS(allorders!$O:$O,allorders!$L:$L,$A121,allorders!$AG:$AG,"&lt;="&amp;日期!$B$7,allorders!$AG:$AG,"&gt;="&amp;日期!$B$8,allorders!N:N,"Shipped")</f>
        <v>0</v>
      </c>
      <c r="E121">
        <f>SUMIFS(allorders!$O:$O,allorders!$L:$L,$A121,allorders!$AG:$AG,"&lt;="&amp;日期!$B$9,allorders!$AG:$AG,"&gt;="&amp;日期!$B$10,allorders!N:N,"Shipped")</f>
        <v>0</v>
      </c>
      <c r="F121">
        <f>SUMIFS(allorders!$O:$O,allorders!$L:$L,$A121,allorders!$AG:$AG,"&lt;="&amp;日期!$B$11,allorders!$AG:$AG,"&gt;="&amp;日期!$B$12,allorders!N:N,"Shipped")</f>
        <v>0</v>
      </c>
      <c r="G121">
        <f>SUMIFS(allorders!Q:Q,allorders!L:L,A121,allorders!AG:AG,"&lt;="&amp;日期!$B$5,allorders!AG:AG,"&gt;="&amp;日期!$B$12,allorders!N:N,"Shipped")/SUM(C121:F121)</f>
        <v>99.99</v>
      </c>
      <c r="H121">
        <f>SUMIFS(allorders!Q:Q,allorders!L:L,A121,allorders!AG:AG,"&gt;="&amp;日期!$B$12,allorders!AG:AG,"&lt;="&amp;日期!$B$5,allorders!N:N,"Shipped")</f>
        <v>199.98</v>
      </c>
      <c r="I121">
        <f t="shared" si="1"/>
        <v>2</v>
      </c>
    </row>
    <row r="122" spans="1:9">
      <c r="A122" s="7" t="s">
        <v>5272</v>
      </c>
      <c r="B122" t="str">
        <f>VLOOKUP(A122,'[1]子sku-父sku'!$A:$B,2,0)</f>
        <v>DO-YULQ639</v>
      </c>
      <c r="C122">
        <f>SUMIFS(allorders!O:O,allorders!L:L,$A122,allorders!AG:AG,"&lt;="&amp;日期!$B$5,allorders!AG:AG,"&gt;="&amp;日期!$B$6,allorders!N:N,"Shipped")</f>
        <v>1</v>
      </c>
      <c r="D122">
        <f>SUMIFS(allorders!$O:$O,allorders!$L:$L,$A122,allorders!$AG:$AG,"&lt;="&amp;日期!$B$7,allorders!$AG:$AG,"&gt;="&amp;日期!$B$8,allorders!N:N,"Shipped")</f>
        <v>0</v>
      </c>
      <c r="E122">
        <f>SUMIFS(allorders!$O:$O,allorders!$L:$L,$A122,allorders!$AG:$AG,"&lt;="&amp;日期!$B$9,allorders!$AG:$AG,"&gt;="&amp;日期!$B$10,allorders!N:N,"Shipped")</f>
        <v>0</v>
      </c>
      <c r="F122">
        <f>SUMIFS(allorders!$O:$O,allorders!$L:$L,$A122,allorders!$AG:$AG,"&lt;="&amp;日期!$B$11,allorders!$AG:$AG,"&gt;="&amp;日期!$B$12,allorders!N:N,"Shipped")</f>
        <v>0</v>
      </c>
      <c r="G122">
        <f>SUMIFS(allorders!Q:Q,allorders!L:L,A122,allorders!AG:AG,"&lt;="&amp;日期!$B$5,allorders!AG:AG,"&gt;="&amp;日期!$B$12,allorders!N:N,"Shipped")/SUM(C122:F122)</f>
        <v>99.99</v>
      </c>
      <c r="H122">
        <f>SUMIFS(allorders!Q:Q,allorders!L:L,A122,allorders!AG:AG,"&gt;="&amp;日期!$B$12,allorders!AG:AG,"&lt;="&amp;日期!$B$5,allorders!N:N,"Shipped")</f>
        <v>99.99</v>
      </c>
      <c r="I122">
        <f t="shared" si="1"/>
        <v>1</v>
      </c>
    </row>
    <row r="123" spans="1:9">
      <c r="A123" s="7" t="s">
        <v>5323</v>
      </c>
      <c r="B123" t="str">
        <f>VLOOKUP(A123,'[1]子sku-父sku'!$A:$B,2,0)</f>
        <v>DO-YULQ152</v>
      </c>
      <c r="C123">
        <f>SUMIFS(allorders!O:O,allorders!L:L,$A123,allorders!AG:AG,"&lt;="&amp;日期!$B$5,allorders!AG:AG,"&gt;="&amp;日期!$B$6,allorders!N:N,"Shipped")</f>
        <v>0</v>
      </c>
      <c r="D123">
        <f>SUMIFS(allorders!$O:$O,allorders!$L:$L,$A123,allorders!$AG:$AG,"&lt;="&amp;日期!$B$7,allorders!$AG:$AG,"&gt;="&amp;日期!$B$8,allorders!N:N,"Shipped")</f>
        <v>0</v>
      </c>
      <c r="E123">
        <f>SUMIFS(allorders!$O:$O,allorders!$L:$L,$A123,allorders!$AG:$AG,"&lt;="&amp;日期!$B$9,allorders!$AG:$AG,"&gt;="&amp;日期!$B$10,allorders!N:N,"Shipped")</f>
        <v>0</v>
      </c>
      <c r="F123">
        <f>SUMIFS(allorders!$O:$O,allorders!$L:$L,$A123,allorders!$AG:$AG,"&lt;="&amp;日期!$B$11,allorders!$AG:$AG,"&gt;="&amp;日期!$B$12,allorders!N:N,"Shipped")</f>
        <v>0</v>
      </c>
      <c r="G123" t="e">
        <f>SUMIFS(allorders!Q:Q,allorders!L:L,A123,allorders!AG:AG,"&lt;="&amp;日期!$B$5,allorders!AG:AG,"&gt;="&amp;日期!$B$12,allorders!N:N,"Shipped")/SUM(C123:F123)</f>
        <v>#DIV/0!</v>
      </c>
      <c r="H123">
        <f>SUMIFS(allorders!Q:Q,allorders!L:L,A123,allorders!AG:AG,"&gt;="&amp;日期!$B$12,allorders!AG:AG,"&lt;="&amp;日期!$B$5,allorders!N:N,"Shipped")</f>
        <v>0</v>
      </c>
      <c r="I123">
        <f t="shared" si="1"/>
        <v>0</v>
      </c>
    </row>
    <row r="124" spans="1:9">
      <c r="A124" s="7" t="s">
        <v>5441</v>
      </c>
      <c r="B124" t="str">
        <f>VLOOKUP(A124,'[1]子sku-父sku'!$A:$B,2,0)</f>
        <v>DO-YULQ100</v>
      </c>
      <c r="C124">
        <f>SUMIFS(allorders!O:O,allorders!L:L,$A124,allorders!AG:AG,"&lt;="&amp;日期!$B$5,allorders!AG:AG,"&gt;="&amp;日期!$B$6,allorders!N:N,"Shipped")</f>
        <v>0</v>
      </c>
      <c r="D124">
        <f>SUMIFS(allorders!$O:$O,allorders!$L:$L,$A124,allorders!$AG:$AG,"&lt;="&amp;日期!$B$7,allorders!$AG:$AG,"&gt;="&amp;日期!$B$8,allorders!N:N,"Shipped")</f>
        <v>0</v>
      </c>
      <c r="E124">
        <f>SUMIFS(allorders!$O:$O,allorders!$L:$L,$A124,allorders!$AG:$AG,"&lt;="&amp;日期!$B$9,allorders!$AG:$AG,"&gt;="&amp;日期!$B$10,allorders!N:N,"Shipped")</f>
        <v>0</v>
      </c>
      <c r="F124">
        <f>SUMIFS(allorders!$O:$O,allorders!$L:$L,$A124,allorders!$AG:$AG,"&lt;="&amp;日期!$B$11,allorders!$AG:$AG,"&gt;="&amp;日期!$B$12,allorders!N:N,"Shipped")</f>
        <v>0</v>
      </c>
      <c r="G124" t="e">
        <f>SUMIFS(allorders!Q:Q,allorders!L:L,A124,allorders!AG:AG,"&lt;="&amp;日期!$B$5,allorders!AG:AG,"&gt;="&amp;日期!$B$12,allorders!N:N,"Shipped")/SUM(C124:F124)</f>
        <v>#DIV/0!</v>
      </c>
      <c r="H124">
        <f>SUMIFS(allorders!Q:Q,allorders!L:L,A124,allorders!AG:AG,"&gt;="&amp;日期!$B$12,allorders!AG:AG,"&lt;="&amp;日期!$B$5,allorders!N:N,"Shipped")</f>
        <v>0</v>
      </c>
      <c r="I124">
        <f t="shared" si="1"/>
        <v>0</v>
      </c>
    </row>
    <row r="1177" spans="1:1">
      <c r="A1177" s="7" t="s">
        <v>388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E30" sqref="E30"/>
    </sheetView>
  </sheetViews>
  <sheetFormatPr defaultColWidth="9" defaultRowHeight="14.25" outlineLevelCol="2"/>
  <cols>
    <col min="1" max="1" width="19" customWidth="1"/>
    <col min="2" max="2" width="17.7083333333333" customWidth="1"/>
  </cols>
  <sheetData>
    <row r="1" spans="1:3">
      <c r="A1" s="1" t="s">
        <v>5578</v>
      </c>
      <c r="B1" s="2">
        <f>B12</f>
        <v>43262</v>
      </c>
      <c r="C1" s="3"/>
    </row>
    <row r="2" spans="1:3">
      <c r="A2" s="1" t="s">
        <v>5579</v>
      </c>
      <c r="B2" s="2">
        <v>43289</v>
      </c>
      <c r="C2" s="3"/>
    </row>
    <row r="3" spans="1:2">
      <c r="A3" s="1"/>
      <c r="B3" s="1"/>
    </row>
    <row r="4" spans="1:2">
      <c r="A4" s="1" t="s">
        <v>5580</v>
      </c>
      <c r="B4" s="1"/>
    </row>
    <row r="5" spans="1:2">
      <c r="A5" s="1" t="s">
        <v>5581</v>
      </c>
      <c r="B5" s="4">
        <f>B2</f>
        <v>43289</v>
      </c>
    </row>
    <row r="6" spans="1:2">
      <c r="A6" s="1" t="s">
        <v>5582</v>
      </c>
      <c r="B6" s="5">
        <f>B5-6</f>
        <v>43283</v>
      </c>
    </row>
    <row r="7" spans="1:2">
      <c r="A7" s="1" t="s">
        <v>5583</v>
      </c>
      <c r="B7" s="5">
        <f>B5-7</f>
        <v>43282</v>
      </c>
    </row>
    <row r="8" spans="1:2">
      <c r="A8" s="1" t="s">
        <v>5584</v>
      </c>
      <c r="B8" s="5">
        <f>B5-13</f>
        <v>43276</v>
      </c>
    </row>
    <row r="9" spans="1:2">
      <c r="A9" s="1" t="s">
        <v>5585</v>
      </c>
      <c r="B9" s="5">
        <f>B5-14</f>
        <v>43275</v>
      </c>
    </row>
    <row r="10" spans="1:2">
      <c r="A10" s="1" t="s">
        <v>5586</v>
      </c>
      <c r="B10" s="5">
        <f>B5-20</f>
        <v>43269</v>
      </c>
    </row>
    <row r="11" spans="1:2">
      <c r="A11" s="1" t="s">
        <v>5587</v>
      </c>
      <c r="B11" s="5">
        <f>B5-21</f>
        <v>43268</v>
      </c>
    </row>
    <row r="12" spans="1:2">
      <c r="A12" s="1" t="s">
        <v>5588</v>
      </c>
      <c r="B12" s="5">
        <f>B5-27</f>
        <v>43262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89"/>
  <sheetViews>
    <sheetView topLeftCell="A2" workbookViewId="0">
      <selection activeCell="B2" sqref="B2:B123"/>
    </sheetView>
  </sheetViews>
  <sheetFormatPr defaultColWidth="9" defaultRowHeight="14.25" outlineLevelCol="1"/>
  <cols>
    <col min="1" max="1" width="21.625" customWidth="1"/>
    <col min="2" max="2" width="17.625" customWidth="1"/>
  </cols>
  <sheetData>
    <row r="1" spans="1:2">
      <c r="A1" t="s">
        <v>5570</v>
      </c>
      <c r="B1" t="s">
        <v>5589</v>
      </c>
    </row>
    <row r="2" spans="1:2">
      <c r="A2" t="s">
        <v>5590</v>
      </c>
      <c r="B2">
        <f>SUMIF(库存报告使用数据处理!B:B,A2,库存报告使用数据处理!H:H)/SUMIF(库存报告使用数据处理!B:B,A2,库存报告使用数据处理!I:I)</f>
        <v>89.99</v>
      </c>
    </row>
    <row r="3" spans="1:2">
      <c r="A3" t="s">
        <v>5591</v>
      </c>
      <c r="B3">
        <f>SUMIF(库存报告使用数据处理!B:B,A3,库存报告使用数据处理!H:H)/SUMIF(库存报告使用数据处理!B:B,A3,库存报告使用数据处理!I:I)</f>
        <v>89.99</v>
      </c>
    </row>
    <row r="4" spans="1:2">
      <c r="A4" t="s">
        <v>5592</v>
      </c>
      <c r="B4">
        <f>SUMIF(库存报告使用数据处理!B:B,A4,库存报告使用数据处理!H:H)/SUMIF(库存报告使用数据处理!B:B,A4,库存报告使用数据处理!I:I)</f>
        <v>89.99</v>
      </c>
    </row>
    <row r="5" spans="1:2">
      <c r="A5" t="s">
        <v>5593</v>
      </c>
      <c r="B5">
        <f>SUMIF(库存报告使用数据处理!B:B,A5,库存报告使用数据处理!H:H)/SUMIF(库存报告使用数据处理!B:B,A5,库存报告使用数据处理!I:I)</f>
        <v>79.99</v>
      </c>
    </row>
    <row r="6" spans="1:2">
      <c r="A6" t="s">
        <v>5594</v>
      </c>
      <c r="B6">
        <f>SUMIF(库存报告使用数据处理!B:B,A6,库存报告使用数据处理!H:H)/SUMIF(库存报告使用数据处理!B:B,A6,库存报告使用数据处理!I:I)</f>
        <v>91.766</v>
      </c>
    </row>
    <row r="7" spans="1:2">
      <c r="A7" t="s">
        <v>5595</v>
      </c>
      <c r="B7">
        <f>SUMIF(库存报告使用数据处理!B:B,A7,库存报告使用数据处理!H:H)/SUMIF(库存报告使用数据处理!B:B,A7,库存报告使用数据处理!I:I)</f>
        <v>85.43</v>
      </c>
    </row>
    <row r="8" spans="1:2">
      <c r="A8" t="s">
        <v>5596</v>
      </c>
      <c r="B8">
        <f>SUMIF(库存报告使用数据处理!B:B,A8,库存报告使用数据处理!H:H)/SUMIF(库存报告使用数据处理!B:B,A8,库存报告使用数据处理!I:I)</f>
        <v>89.99</v>
      </c>
    </row>
    <row r="9" spans="1:2">
      <c r="A9" t="s">
        <v>5597</v>
      </c>
      <c r="B9">
        <f>SUMIF(库存报告使用数据处理!B:B,A9,库存报告使用数据处理!H:H)/SUMIF(库存报告使用数据处理!B:B,A9,库存报告使用数据处理!I:I)</f>
        <v>108.99</v>
      </c>
    </row>
    <row r="10" spans="1:2">
      <c r="A10" t="s">
        <v>5598</v>
      </c>
      <c r="B10">
        <f>SUMIF(库存报告使用数据处理!B:B,A10,库存报告使用数据处理!H:H)/SUMIF(库存报告使用数据处理!B:B,A10,库存报告使用数据处理!I:I)</f>
        <v>89.99</v>
      </c>
    </row>
    <row r="11" spans="1:2">
      <c r="A11" t="s">
        <v>5599</v>
      </c>
      <c r="B11">
        <f>SUMIF(库存报告使用数据处理!B:B,A11,库存报告使用数据处理!H:H)/SUMIF(库存报告使用数据处理!B:B,A11,库存报告使用数据处理!I:I)</f>
        <v>89.99</v>
      </c>
    </row>
    <row r="12" spans="1:2">
      <c r="A12" t="s">
        <v>5600</v>
      </c>
      <c r="B12">
        <f>SUMIF(库存报告使用数据处理!B:B,A12,库存报告使用数据处理!H:H)/SUMIF(库存报告使用数据处理!B:B,A12,库存报告使用数据处理!I:I)</f>
        <v>99.99</v>
      </c>
    </row>
    <row r="13" spans="1:2">
      <c r="A13" t="s">
        <v>5601</v>
      </c>
      <c r="B13">
        <f>SUMIF(库存报告使用数据处理!B:B,A13,库存报告使用数据处理!H:H)/SUMIF(库存报告使用数据处理!B:B,A13,库存报告使用数据处理!I:I)</f>
        <v>99.0381927710842</v>
      </c>
    </row>
    <row r="14" spans="1:2">
      <c r="A14" t="s">
        <v>5602</v>
      </c>
      <c r="B14">
        <f>SUMIF(库存报告使用数据处理!B:B,A14,库存报告使用数据处理!H:H)/SUMIF(库存报告使用数据处理!B:B,A14,库存报告使用数据处理!I:I)</f>
        <v>21.6471428571429</v>
      </c>
    </row>
    <row r="15" spans="1:2">
      <c r="A15" t="s">
        <v>5603</v>
      </c>
      <c r="B15">
        <f>SUMIF(库存报告使用数据处理!B:B,A15,库存报告使用数据处理!H:H)/SUMIF(库存报告使用数据处理!B:B,A15,库存报告使用数据处理!I:I)</f>
        <v>95.99</v>
      </c>
    </row>
    <row r="16" spans="1:2">
      <c r="A16" t="s">
        <v>5604</v>
      </c>
      <c r="B16">
        <f>SUMIF(库存报告使用数据处理!B:B,A16,库存报告使用数据处理!H:H)/SUMIF(库存报告使用数据处理!B:B,A16,库存报告使用数据处理!I:I)</f>
        <v>99.6</v>
      </c>
    </row>
    <row r="17" spans="1:2">
      <c r="A17" t="s">
        <v>5605</v>
      </c>
      <c r="B17">
        <f>SUMIF(库存报告使用数据处理!B:B,A17,库存报告使用数据处理!H:H)/SUMIF(库存报告使用数据处理!B:B,A17,库存报告使用数据处理!I:I)</f>
        <v>21.99</v>
      </c>
    </row>
    <row r="18" spans="1:2">
      <c r="A18" t="s">
        <v>5606</v>
      </c>
      <c r="B18">
        <f>SUMIF(库存报告使用数据处理!B:B,A18,库存报告使用数据处理!H:H)/SUMIF(库存报告使用数据处理!B:B,A18,库存报告使用数据处理!I:I)</f>
        <v>34.1664705882353</v>
      </c>
    </row>
    <row r="19" spans="1:2">
      <c r="A19" t="s">
        <v>5607</v>
      </c>
      <c r="B19">
        <f>SUMIF(库存报告使用数据处理!B:B,A19,库存报告使用数据处理!H:H)/SUMIF(库存报告使用数据处理!B:B,A19,库存报告使用数据处理!I:I)</f>
        <v>89.6742105263158</v>
      </c>
    </row>
    <row r="20" spans="1:2">
      <c r="A20" t="s">
        <v>5608</v>
      </c>
      <c r="B20" t="e">
        <f>SUMIF(库存报告使用数据处理!B:B,A20,库存报告使用数据处理!H:H)/SUMIF(库存报告使用数据处理!B:B,A20,库存报告使用数据处理!I:I)</f>
        <v>#DIV/0!</v>
      </c>
    </row>
    <row r="21" spans="1:2">
      <c r="A21" t="s">
        <v>5609</v>
      </c>
      <c r="B21">
        <f>SUMIF(库存报告使用数据处理!B:B,A21,库存报告使用数据处理!H:H)/SUMIF(库存报告使用数据处理!B:B,A21,库存报告使用数据处理!I:I)</f>
        <v>89.99</v>
      </c>
    </row>
    <row r="22" spans="1:2">
      <c r="A22" t="s">
        <v>5610</v>
      </c>
      <c r="B22">
        <f>SUMIF(库存报告使用数据处理!B:B,A22,库存报告使用数据处理!H:H)/SUMIF(库存报告使用数据处理!B:B,A22,库存报告使用数据处理!I:I)</f>
        <v>89.99</v>
      </c>
    </row>
    <row r="23" spans="1:2">
      <c r="A23" t="s">
        <v>5611</v>
      </c>
      <c r="B23">
        <f>SUMIF(库存报告使用数据处理!B:B,A23,库存报告使用数据处理!H:H)/SUMIF(库存报告使用数据处理!B:B,A23,库存报告使用数据处理!I:I)</f>
        <v>37.99</v>
      </c>
    </row>
    <row r="24" spans="1:2">
      <c r="A24" t="s">
        <v>5612</v>
      </c>
      <c r="B24">
        <f>SUMIF(库存报告使用数据处理!B:B,A24,库存报告使用数据处理!H:H)/SUMIF(库存报告使用数据处理!B:B,A24,库存报告使用数据处理!I:I)</f>
        <v>74.795</v>
      </c>
    </row>
    <row r="25" spans="1:2">
      <c r="A25" t="s">
        <v>5613</v>
      </c>
      <c r="B25">
        <f>SUMIF(库存报告使用数据处理!B:B,A25,库存报告使用数据处理!H:H)/SUMIF(库存报告使用数据处理!B:B,A25,库存报告使用数据处理!I:I)</f>
        <v>89.8723529411765</v>
      </c>
    </row>
    <row r="26" spans="1:2">
      <c r="A26" t="s">
        <v>5614</v>
      </c>
      <c r="B26">
        <f>SUMIF(库存报告使用数据处理!B:B,A26,库存报告使用数据处理!H:H)/SUMIF(库存报告使用数据处理!B:B,A26,库存报告使用数据处理!I:I)</f>
        <v>32.99</v>
      </c>
    </row>
    <row r="27" spans="1:2">
      <c r="A27" t="s">
        <v>5615</v>
      </c>
      <c r="B27">
        <f>SUMIF(库存报告使用数据处理!B:B,A27,库存报告使用数据处理!H:H)/SUMIF(库存报告使用数据处理!B:B,A27,库存报告使用数据处理!I:I)</f>
        <v>21.99</v>
      </c>
    </row>
    <row r="28" spans="1:2">
      <c r="A28" t="s">
        <v>5616</v>
      </c>
      <c r="B28">
        <f>SUMIF(库存报告使用数据处理!B:B,A28,库存报告使用数据处理!H:H)/SUMIF(库存报告使用数据处理!B:B,A28,库存报告使用数据处理!I:I)</f>
        <v>89.99</v>
      </c>
    </row>
    <row r="29" spans="1:2">
      <c r="A29" t="s">
        <v>5617</v>
      </c>
      <c r="B29">
        <f>SUMIF(库存报告使用数据处理!B:B,A29,库存报告使用数据处理!H:H)/SUMIF(库存报告使用数据处理!B:B,A29,库存报告使用数据处理!I:I)</f>
        <v>89.99</v>
      </c>
    </row>
    <row r="30" spans="1:2">
      <c r="A30" t="s">
        <v>5618</v>
      </c>
      <c r="B30">
        <f>SUMIF(库存报告使用数据处理!B:B,A30,库存报告使用数据处理!H:H)/SUMIF(库存报告使用数据处理!B:B,A30,库存报告使用数据处理!I:I)</f>
        <v>79.99</v>
      </c>
    </row>
    <row r="31" spans="1:2">
      <c r="A31" t="s">
        <v>5619</v>
      </c>
      <c r="B31">
        <f>SUMIF(库存报告使用数据处理!B:B,A31,库存报告使用数据处理!H:H)/SUMIF(库存报告使用数据处理!B:B,A31,库存报告使用数据处理!I:I)</f>
        <v>96.3316666666667</v>
      </c>
    </row>
    <row r="32" spans="1:2">
      <c r="A32" t="s">
        <v>5620</v>
      </c>
      <c r="B32">
        <f>SUMIF(库存报告使用数据处理!B:B,A32,库存报告使用数据处理!H:H)/SUMIF(库存报告使用数据处理!B:B,A32,库存报告使用数据处理!I:I)</f>
        <v>106.99</v>
      </c>
    </row>
    <row r="33" spans="1:2">
      <c r="A33" t="s">
        <v>5621</v>
      </c>
      <c r="B33">
        <f>SUMIF(库存报告使用数据处理!B:B,A33,库存报告使用数据处理!H:H)/SUMIF(库存报告使用数据处理!B:B,A33,库存报告使用数据处理!I:I)</f>
        <v>90.3142857142857</v>
      </c>
    </row>
    <row r="34" spans="1:2">
      <c r="A34" t="s">
        <v>5622</v>
      </c>
      <c r="B34">
        <f>SUMIF(库存报告使用数据处理!B:B,A34,库存报告使用数据处理!H:H)/SUMIF(库存报告使用数据处理!B:B,A34,库存报告使用数据处理!I:I)</f>
        <v>32.99</v>
      </c>
    </row>
    <row r="35" spans="1:2">
      <c r="A35" t="s">
        <v>5623</v>
      </c>
      <c r="B35">
        <f>SUMIF(库存报告使用数据处理!B:B,A35,库存报告使用数据处理!H:H)/SUMIF(库存报告使用数据处理!B:B,A35,库存报告使用数据处理!I:I)</f>
        <v>84.2757142857143</v>
      </c>
    </row>
    <row r="36" spans="1:2">
      <c r="A36" t="s">
        <v>5624</v>
      </c>
      <c r="B36">
        <f>SUMIF(库存报告使用数据处理!B:B,A36,库存报告使用数据处理!H:H)/SUMIF(库存报告使用数据处理!B:B,A36,库存报告使用数据处理!I:I)</f>
        <v>99.6</v>
      </c>
    </row>
    <row r="37" spans="1:2">
      <c r="A37" t="s">
        <v>5625</v>
      </c>
      <c r="B37">
        <f>SUMIF(库存报告使用数据处理!B:B,A37,库存报告使用数据处理!H:H)/SUMIF(库存报告使用数据处理!B:B,A37,库存报告使用数据处理!I:I)</f>
        <v>88.8788888888889</v>
      </c>
    </row>
    <row r="38" spans="1:2">
      <c r="A38" t="s">
        <v>5626</v>
      </c>
      <c r="B38">
        <f>SUMIF(库存报告使用数据处理!B:B,A38,库存报告使用数据处理!H:H)/SUMIF(库存报告使用数据处理!B:B,A38,库存报告使用数据处理!I:I)</f>
        <v>21.99</v>
      </c>
    </row>
    <row r="39" spans="1:2">
      <c r="A39" t="s">
        <v>5627</v>
      </c>
      <c r="B39">
        <f>SUMIF(库存报告使用数据处理!B:B,A39,库存报告使用数据处理!H:H)/SUMIF(库存报告使用数据处理!B:B,A39,库存报告使用数据处理!I:I)</f>
        <v>89.99</v>
      </c>
    </row>
    <row r="40" spans="1:2">
      <c r="A40" t="s">
        <v>5628</v>
      </c>
      <c r="B40">
        <f>SUMIF(库存报告使用数据处理!B:B,A40,库存报告使用数据处理!H:H)/SUMIF(库存报告使用数据处理!B:B,A40,库存报告使用数据处理!I:I)</f>
        <v>79.99</v>
      </c>
    </row>
    <row r="41" spans="1:2">
      <c r="A41" t="s">
        <v>5629</v>
      </c>
      <c r="B41">
        <f>SUMIF(库存报告使用数据处理!B:B,A41,库存报告使用数据处理!H:H)/SUMIF(库存报告使用数据处理!B:B,A41,库存报告使用数据处理!I:I)</f>
        <v>21.99</v>
      </c>
    </row>
    <row r="42" spans="1:2">
      <c r="A42" t="s">
        <v>5630</v>
      </c>
      <c r="B42">
        <f>SUMIF(库存报告使用数据处理!B:B,A42,库存报告使用数据处理!H:H)/SUMIF(库存报告使用数据处理!B:B,A42,库存报告使用数据处理!I:I)</f>
        <v>89.99</v>
      </c>
    </row>
    <row r="43" spans="1:2">
      <c r="A43" t="s">
        <v>5631</v>
      </c>
      <c r="B43">
        <f>SUMIF(库存报告使用数据处理!B:B,A43,库存报告使用数据处理!H:H)/SUMIF(库存报告使用数据处理!B:B,A43,库存报告使用数据处理!I:I)</f>
        <v>84.99</v>
      </c>
    </row>
    <row r="44" spans="1:2">
      <c r="A44" t="s">
        <v>5632</v>
      </c>
      <c r="B44">
        <f>SUMIF(库存报告使用数据处理!B:B,A44,库存报告使用数据处理!H:H)/SUMIF(库存报告使用数据处理!B:B,A44,库存报告使用数据处理!I:I)</f>
        <v>32.99</v>
      </c>
    </row>
    <row r="45" spans="1:2">
      <c r="A45" t="s">
        <v>5633</v>
      </c>
      <c r="B45">
        <f>SUMIF(库存报告使用数据处理!B:B,A45,库存报告使用数据处理!H:H)/SUMIF(库存报告使用数据处理!B:B,A45,库存报告使用数据处理!I:I)</f>
        <v>79.99</v>
      </c>
    </row>
    <row r="46" spans="1:2">
      <c r="A46" t="s">
        <v>5634</v>
      </c>
      <c r="B46">
        <f>SUMIF(库存报告使用数据处理!B:B,A46,库存报告使用数据处理!H:H)/SUMIF(库存报告使用数据处理!B:B,A46,库存报告使用数据处理!I:I)</f>
        <v>89.99</v>
      </c>
    </row>
    <row r="47" spans="1:2">
      <c r="A47" t="s">
        <v>5635</v>
      </c>
      <c r="B47">
        <f>SUMIF(库存报告使用数据处理!B:B,A47,库存报告使用数据处理!H:H)/SUMIF(库存报告使用数据处理!B:B,A47,库存报告使用数据处理!I:I)</f>
        <v>99.99</v>
      </c>
    </row>
    <row r="48" spans="1:2">
      <c r="A48" t="s">
        <v>5636</v>
      </c>
      <c r="B48">
        <f>SUMIF(库存报告使用数据处理!B:B,A48,库存报告使用数据处理!H:H)/SUMIF(库存报告使用数据处理!B:B,A48,库存报告使用数据处理!I:I)</f>
        <v>89.99</v>
      </c>
    </row>
    <row r="49" spans="1:2">
      <c r="A49" t="s">
        <v>5637</v>
      </c>
      <c r="B49">
        <f>SUMIF(库存报告使用数据处理!B:B,A49,库存报告使用数据处理!H:H)/SUMIF(库存报告使用数据处理!B:B,A49,库存报告使用数据处理!I:I)</f>
        <v>79.99</v>
      </c>
    </row>
    <row r="50" spans="1:2">
      <c r="A50" t="s">
        <v>5638</v>
      </c>
      <c r="B50">
        <f>SUMIF(库存报告使用数据处理!B:B,A50,库存报告使用数据处理!H:H)/SUMIF(库存报告使用数据处理!B:B,A50,库存报告使用数据处理!I:I)</f>
        <v>28.19</v>
      </c>
    </row>
    <row r="51" spans="1:2">
      <c r="A51" t="s">
        <v>5639</v>
      </c>
      <c r="B51">
        <f>SUMIF(库存报告使用数据处理!B:B,A51,库存报告使用数据处理!H:H)/SUMIF(库存报告使用数据处理!B:B,A51,库存报告使用数据处理!I:I)</f>
        <v>108.99</v>
      </c>
    </row>
    <row r="52" spans="1:2">
      <c r="A52" t="s">
        <v>5640</v>
      </c>
      <c r="B52">
        <f>SUMIF(库存报告使用数据处理!B:B,A52,库存报告使用数据处理!H:H)/SUMIF(库存报告使用数据处理!B:B,A52,库存报告使用数据处理!I:I)</f>
        <v>90.99</v>
      </c>
    </row>
    <row r="53" spans="1:2">
      <c r="A53" t="s">
        <v>5641</v>
      </c>
      <c r="B53">
        <f>SUMIF(库存报告使用数据处理!B:B,A53,库存报告使用数据处理!H:H)/SUMIF(库存报告使用数据处理!B:B,A53,库存报告使用数据处理!I:I)</f>
        <v>99.99</v>
      </c>
    </row>
    <row r="54" spans="1:2">
      <c r="A54" t="s">
        <v>5642</v>
      </c>
      <c r="B54">
        <f>SUMIF(库存报告使用数据处理!B:B,A54,库存报告使用数据处理!H:H)/SUMIF(库存报告使用数据处理!B:B,A54,库存报告使用数据处理!I:I)</f>
        <v>99.99</v>
      </c>
    </row>
    <row r="55" spans="1:2">
      <c r="A55" t="s">
        <v>5643</v>
      </c>
      <c r="B55">
        <f>SUMIF(库存报告使用数据处理!B:B,A55,库存报告使用数据处理!H:H)/SUMIF(库存报告使用数据处理!B:B,A55,库存报告使用数据处理!I:I)</f>
        <v>83.445</v>
      </c>
    </row>
    <row r="56" spans="1:2">
      <c r="A56" t="s">
        <v>5644</v>
      </c>
      <c r="B56">
        <f>SUMIF(库存报告使用数据处理!B:B,A56,库存报告使用数据处理!H:H)/SUMIF(库存报告使用数据处理!B:B,A56,库存报告使用数据处理!I:I)</f>
        <v>99.6</v>
      </c>
    </row>
    <row r="57" spans="1:2">
      <c r="A57" t="s">
        <v>5645</v>
      </c>
      <c r="B57">
        <f>SUMIF(库存报告使用数据处理!B:B,A57,库存报告使用数据处理!H:H)/SUMIF(库存报告使用数据处理!B:B,A57,库存报告使用数据处理!I:I)</f>
        <v>89.99</v>
      </c>
    </row>
    <row r="58" spans="1:2">
      <c r="A58" t="s">
        <v>5646</v>
      </c>
      <c r="B58">
        <f>SUMIF(库存报告使用数据处理!B:B,A58,库存报告使用数据处理!H:H)/SUMIF(库存报告使用数据处理!B:B,A58,库存报告使用数据处理!I:I)</f>
        <v>89.99</v>
      </c>
    </row>
    <row r="59" spans="1:2">
      <c r="A59" t="s">
        <v>5647</v>
      </c>
      <c r="B59">
        <f>SUMIF(库存报告使用数据处理!B:B,A59,库存报告使用数据处理!H:H)/SUMIF(库存报告使用数据处理!B:B,A59,库存报告使用数据处理!I:I)</f>
        <v>86.6566666666667</v>
      </c>
    </row>
    <row r="60" spans="1:2">
      <c r="A60" t="s">
        <v>5648</v>
      </c>
      <c r="B60">
        <f>SUMIF(库存报告使用数据处理!B:B,A60,库存报告使用数据处理!H:H)/SUMIF(库存报告使用数据处理!B:B,A60,库存报告使用数据处理!I:I)</f>
        <v>79.99</v>
      </c>
    </row>
    <row r="61" spans="1:2">
      <c r="A61" t="s">
        <v>5649</v>
      </c>
      <c r="B61">
        <f>SUMIF(库存报告使用数据处理!B:B,A61,库存报告使用数据处理!H:H)/SUMIF(库存报告使用数据处理!B:B,A61,库存报告使用数据处理!I:I)</f>
        <v>99.99</v>
      </c>
    </row>
    <row r="62" spans="1:2">
      <c r="A62" t="s">
        <v>5650</v>
      </c>
      <c r="B62">
        <f>SUMIF(库存报告使用数据处理!B:B,A62,库存报告使用数据处理!H:H)/SUMIF(库存报告使用数据处理!B:B,A62,库存报告使用数据处理!I:I)</f>
        <v>89.99</v>
      </c>
    </row>
    <row r="63" spans="1:2">
      <c r="A63" t="s">
        <v>5651</v>
      </c>
      <c r="B63">
        <f>SUMIF(库存报告使用数据处理!B:B,A63,库存报告使用数据处理!H:H)/SUMIF(库存报告使用数据处理!B:B,A63,库存报告使用数据处理!I:I)</f>
        <v>80.7757142857143</v>
      </c>
    </row>
    <row r="64" spans="1:2">
      <c r="A64" t="s">
        <v>5652</v>
      </c>
      <c r="B64">
        <f>SUMIF(库存报告使用数据处理!B:B,A64,库存报告使用数据处理!H:H)/SUMIF(库存报告使用数据处理!B:B,A64,库存报告使用数据处理!I:I)</f>
        <v>79.99</v>
      </c>
    </row>
    <row r="65" spans="1:2">
      <c r="A65" t="s">
        <v>5653</v>
      </c>
      <c r="B65">
        <f>SUMIF(库存报告使用数据处理!B:B,A65,库存报告使用数据处理!H:H)/SUMIF(库存报告使用数据处理!B:B,A65,库存报告使用数据处理!I:I)</f>
        <v>93.1566666666667</v>
      </c>
    </row>
    <row r="66" spans="1:2">
      <c r="A66" t="s">
        <v>5654</v>
      </c>
      <c r="B66">
        <f>SUMIF(库存报告使用数据处理!B:B,A66,库存报告使用数据处理!H:H)/SUMIF(库存报告使用数据处理!B:B,A66,库存报告使用数据处理!I:I)</f>
        <v>92.795</v>
      </c>
    </row>
    <row r="67" spans="1:2">
      <c r="A67" t="s">
        <v>5655</v>
      </c>
      <c r="B67">
        <f>SUMIF(库存报告使用数据处理!B:B,A67,库存报告使用数据处理!H:H)/SUMIF(库存报告使用数据处理!B:B,A67,库存报告使用数据处理!I:I)</f>
        <v>32.99</v>
      </c>
    </row>
    <row r="68" spans="1:2">
      <c r="A68" t="s">
        <v>5656</v>
      </c>
      <c r="B68">
        <f>SUMIF(库存报告使用数据处理!B:B,A68,库存报告使用数据处理!H:H)/SUMIF(库存报告使用数据处理!B:B,A68,库存报告使用数据处理!I:I)</f>
        <v>21.99</v>
      </c>
    </row>
    <row r="69" spans="1:2">
      <c r="A69" t="s">
        <v>5657</v>
      </c>
      <c r="B69">
        <f>SUMIF(库存报告使用数据处理!B:B,A69,库存报告使用数据处理!H:H)/SUMIF(库存报告使用数据处理!B:B,A69,库存报告使用数据处理!I:I)</f>
        <v>34.99</v>
      </c>
    </row>
    <row r="70" spans="1:2">
      <c r="A70" t="s">
        <v>5658</v>
      </c>
      <c r="B70">
        <f>SUMIF(库存报告使用数据处理!B:B,A70,库存报告使用数据处理!H:H)/SUMIF(库存报告使用数据处理!B:B,A70,库存报告使用数据处理!I:I)</f>
        <v>89.99</v>
      </c>
    </row>
    <row r="71" spans="1:2">
      <c r="A71" t="s">
        <v>5659</v>
      </c>
      <c r="B71">
        <f>SUMIF(库存报告使用数据处理!B:B,A71,库存报告使用数据处理!H:H)/SUMIF(库存报告使用数据处理!B:B,A71,库存报告使用数据处理!I:I)</f>
        <v>27.2042857142857</v>
      </c>
    </row>
    <row r="72" spans="1:2">
      <c r="A72" t="s">
        <v>5660</v>
      </c>
      <c r="B72">
        <f>SUMIF(库存报告使用数据处理!B:B,A72,库存报告使用数据处理!H:H)/SUMIF(库存报告使用数据处理!B:B,A72,库存报告使用数据处理!I:I)</f>
        <v>108.99</v>
      </c>
    </row>
    <row r="73" spans="1:2">
      <c r="A73" t="s">
        <v>5661</v>
      </c>
      <c r="B73">
        <f>SUMIF(库存报告使用数据处理!B:B,A73,库存报告使用数据处理!H:H)/SUMIF(库存报告使用数据处理!B:B,A73,库存报告使用数据处理!I:I)</f>
        <v>21.99</v>
      </c>
    </row>
    <row r="74" spans="1:2">
      <c r="A74" t="s">
        <v>5662</v>
      </c>
      <c r="B74">
        <f>SUMIF(库存报告使用数据处理!B:B,A74,库存报告使用数据处理!H:H)/SUMIF(库存报告使用数据处理!B:B,A74,库存报告使用数据处理!I:I)</f>
        <v>85.99</v>
      </c>
    </row>
    <row r="75" spans="1:2">
      <c r="A75" t="s">
        <v>5663</v>
      </c>
      <c r="B75">
        <f>SUMIF(库存报告使用数据处理!B:B,A75,库存报告使用数据处理!H:H)/SUMIF(库存报告使用数据处理!B:B,A75,库存报告使用数据处理!I:I)</f>
        <v>79.99</v>
      </c>
    </row>
    <row r="76" spans="1:2">
      <c r="A76" t="s">
        <v>5664</v>
      </c>
      <c r="B76">
        <f>SUMIF(库存报告使用数据处理!B:B,A76,库存报告使用数据处理!H:H)/SUMIF(库存报告使用数据处理!B:B,A76,库存报告使用数据处理!I:I)</f>
        <v>82.5614285714286</v>
      </c>
    </row>
    <row r="77" spans="1:2">
      <c r="A77" t="s">
        <v>5665</v>
      </c>
      <c r="B77">
        <f>SUMIF(库存报告使用数据处理!B:B,A77,库存报告使用数据处理!H:H)/SUMIF(库存报告使用数据处理!B:B,A77,库存报告使用数据处理!I:I)</f>
        <v>23.99</v>
      </c>
    </row>
    <row r="78" spans="1:2">
      <c r="A78" t="s">
        <v>5666</v>
      </c>
      <c r="B78">
        <f>SUMIF(库存报告使用数据处理!B:B,A78,库存报告使用数据处理!H:H)/SUMIF(库存报告使用数据处理!B:B,A78,库存报告使用数据处理!I:I)</f>
        <v>79.6</v>
      </c>
    </row>
    <row r="79" spans="1:2">
      <c r="A79" t="s">
        <v>3303</v>
      </c>
      <c r="B79">
        <f>SUMIF(库存报告使用数据处理!B:B,A79,库存报告使用数据处理!H:H)/SUMIF(库存报告使用数据处理!B:B,A79,库存报告使用数据处理!I:I)</f>
        <v>16.99</v>
      </c>
    </row>
    <row r="80" spans="1:2">
      <c r="A80" t="s">
        <v>5667</v>
      </c>
      <c r="B80">
        <f>SUMIF(库存报告使用数据处理!B:B,A80,库存报告使用数据处理!H:H)/SUMIF(库存报告使用数据处理!B:B,A80,库存报告使用数据处理!I:I)</f>
        <v>79.99</v>
      </c>
    </row>
    <row r="81" spans="1:2">
      <c r="A81" t="s">
        <v>5668</v>
      </c>
      <c r="B81">
        <f>SUMIF(库存报告使用数据处理!B:B,A81,库存报告使用数据处理!H:H)/SUMIF(库存报告使用数据处理!B:B,A81,库存报告使用数据处理!I:I)</f>
        <v>32.99</v>
      </c>
    </row>
    <row r="82" spans="1:2">
      <c r="A82" t="s">
        <v>5669</v>
      </c>
      <c r="B82">
        <f>SUMIF(库存报告使用数据处理!B:B,A82,库存报告使用数据处理!H:H)/SUMIF(库存报告使用数据处理!B:B,A82,库存报告使用数据处理!I:I)</f>
        <v>31.99</v>
      </c>
    </row>
    <row r="83" spans="1:2">
      <c r="A83" t="s">
        <v>5670</v>
      </c>
      <c r="B83">
        <f>SUMIF(库存报告使用数据处理!B:B,A83,库存报告使用数据处理!H:H)/SUMIF(库存报告使用数据处理!B:B,A83,库存报告使用数据处理!I:I)</f>
        <v>89.6</v>
      </c>
    </row>
    <row r="84" spans="1:2">
      <c r="A84" t="s">
        <v>5671</v>
      </c>
      <c r="B84">
        <f>SUMIF(库存报告使用数据处理!B:B,A84,库存报告使用数据处理!H:H)/SUMIF(库存报告使用数据处理!B:B,A84,库存报告使用数据处理!I:I)</f>
        <v>89.99</v>
      </c>
    </row>
    <row r="85" spans="1:2">
      <c r="A85" t="s">
        <v>5672</v>
      </c>
      <c r="B85">
        <f>SUMIF(库存报告使用数据处理!B:B,A85,库存报告使用数据处理!H:H)/SUMIF(库存报告使用数据处理!B:B,A85,库存报告使用数据处理!I:I)</f>
        <v>89.6</v>
      </c>
    </row>
    <row r="86" spans="1:2">
      <c r="A86" t="s">
        <v>5673</v>
      </c>
      <c r="B86">
        <f>SUMIF(库存报告使用数据处理!B:B,A86,库存报告使用数据处理!H:H)/SUMIF(库存报告使用数据处理!B:B,A86,库存报告使用数据处理!I:I)</f>
        <v>89.99</v>
      </c>
    </row>
    <row r="87" spans="1:2">
      <c r="A87" t="s">
        <v>5674</v>
      </c>
      <c r="B87">
        <f>SUMIF(库存报告使用数据处理!B:B,A87,库存报告使用数据处理!H:H)/SUMIF(库存报告使用数据处理!B:B,A87,库存报告使用数据处理!I:I)</f>
        <v>79.99</v>
      </c>
    </row>
    <row r="88" spans="1:2">
      <c r="A88" t="s">
        <v>5675</v>
      </c>
      <c r="B88">
        <f>SUMIF(库存报告使用数据处理!B:B,A88,库存报告使用数据处理!H:H)/SUMIF(库存报告使用数据处理!B:B,A88,库存报告使用数据处理!I:I)</f>
        <v>99.6</v>
      </c>
    </row>
    <row r="89" spans="1:2">
      <c r="A89" t="s">
        <v>5676</v>
      </c>
      <c r="B89">
        <f>SUMIF(库存报告使用数据处理!B:B,A89,库存报告使用数据处理!H:H)/SUMIF(库存报告使用数据处理!B:B,A89,库存报告使用数据处理!I:I)</f>
        <v>99.99</v>
      </c>
    </row>
  </sheetData>
  <autoFilter ref="A1:B127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1323975</xdr:colOff>
                <xdr:row>0</xdr:row>
                <xdr:rowOff>635</xdr:rowOff>
              </from>
              <to>
                <xdr:col>4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2018-07-10T07:42:52Z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