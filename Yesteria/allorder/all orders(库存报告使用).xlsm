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allorders" sheetId="1" r:id="rId1"/>
    <sheet name="数据处理(仓储使用)" sheetId="2" state="hidden" r:id="rId2"/>
    <sheet name="库存报告使用数据处理" sheetId="4" r:id="rId3"/>
    <sheet name="日期" sheetId="3" r:id="rId4"/>
    <sheet name="父sku-单价" sheetId="5" r:id="rId5"/>
  </sheets>
  <externalReferences>
    <externalReference r:id="rId6"/>
  </externalReferences>
  <definedNames>
    <definedName name="_xlnm._FilterDatabase" localSheetId="0" hidden="1">allorders!$A$1:$AG$961</definedName>
    <definedName name="_xlnm._FilterDatabase" localSheetId="4" hidden="1">'父sku-单价'!$A$1:$B$127</definedName>
    <definedName name="_xlnm._FilterDatabase" localSheetId="2" hidden="1">库存报告使用数据处理!$A$1:$G$277</definedName>
  </definedNames>
  <calcPr calcId="144525" concurrentCalc="0"/>
</workbook>
</file>

<file path=xl/sharedStrings.xml><?xml version="1.0" encoding="utf-8"?>
<sst xmlns="http://schemas.openxmlformats.org/spreadsheetml/2006/main" count="4907">
  <si>
    <t>amazon-order-id</t>
  </si>
  <si>
    <t>merchant-order-id</t>
  </si>
  <si>
    <t>purchase-date</t>
  </si>
  <si>
    <t>last-updated-date</t>
  </si>
  <si>
    <t>order-status</t>
  </si>
  <si>
    <t>fulfillment-channel</t>
  </si>
  <si>
    <t>sales-channel</t>
  </si>
  <si>
    <t>order-channel</t>
  </si>
  <si>
    <t>url</t>
  </si>
  <si>
    <t>ship-service-level</t>
  </si>
  <si>
    <t>product-name</t>
  </si>
  <si>
    <t>sku</t>
  </si>
  <si>
    <t>asin</t>
  </si>
  <si>
    <t>item-status</t>
  </si>
  <si>
    <t>quantity</t>
  </si>
  <si>
    <t>currency</t>
  </si>
  <si>
    <t>item-price</t>
  </si>
  <si>
    <t>item-tax</t>
  </si>
  <si>
    <t>shipping-price</t>
  </si>
  <si>
    <t>shipping-tax</t>
  </si>
  <si>
    <t>gift-wrap-price</t>
  </si>
  <si>
    <t>gift-wrap-tax</t>
  </si>
  <si>
    <t>item-promotion-discount</t>
  </si>
  <si>
    <t>ship-promotion-discount</t>
  </si>
  <si>
    <t>ship-city</t>
  </si>
  <si>
    <t>ship-state</t>
  </si>
  <si>
    <t>ship-postal-code</t>
  </si>
  <si>
    <t>ship-country</t>
  </si>
  <si>
    <t xml:space="preserve">promotion-ids </t>
  </si>
  <si>
    <t>日期</t>
  </si>
  <si>
    <t>113-1495565-2005847</t>
  </si>
  <si>
    <t>2018-07-30T23:12:46+00:00</t>
  </si>
  <si>
    <t>2018-07-30T23:16:47+00:00</t>
  </si>
  <si>
    <t>Cancelled</t>
  </si>
  <si>
    <t>Amazon</t>
  </si>
  <si>
    <t>Amazon.com</t>
  </si>
  <si>
    <t>Standard</t>
  </si>
  <si>
    <t>Real Life Silicone Reborn Baby Dolls Boy Look Real White Light Blue Outfit 22 inches</t>
  </si>
  <si>
    <t>DO-YULQ100-B7-22</t>
  </si>
  <si>
    <t>B079JRPXZ8</t>
  </si>
  <si>
    <t>Unshipped</t>
  </si>
  <si>
    <t>USD</t>
  </si>
  <si>
    <t>ELIZABETH</t>
  </si>
  <si>
    <t>NJ</t>
  </si>
  <si>
    <t>07202-1186</t>
  </si>
  <si>
    <t>US</t>
  </si>
  <si>
    <t>111-0804021-9189804</t>
  </si>
  <si>
    <t>2018-07-30T23:11:47+00:00</t>
  </si>
  <si>
    <t>2018-08-04T18:48:11+00:00</t>
  </si>
  <si>
    <t>Shipped</t>
  </si>
  <si>
    <t>SecondDay</t>
  </si>
  <si>
    <t>Full Silicone Body Reborn Baby Dolls Boy Look Real Light Blue Outfit 22 inches</t>
  </si>
  <si>
    <t>DO-YULQ638-LGR-20</t>
  </si>
  <si>
    <t>B07B7G22RT</t>
  </si>
  <si>
    <t>ELKINS</t>
  </si>
  <si>
    <t>WV</t>
  </si>
  <si>
    <t>26241-7514</t>
  </si>
  <si>
    <t>112-8053782-4531400</t>
  </si>
  <si>
    <t>2018-07-30T22:27:48+00:00</t>
  </si>
  <si>
    <t>2018-07-31T20:54:28+00:00</t>
  </si>
  <si>
    <t>Reborn Baby Doll Outfits Girl Accessories for 20"- 22" Pink</t>
  </si>
  <si>
    <t>YF-YULQ007-PI-20</t>
  </si>
  <si>
    <t>B074P4D14G</t>
  </si>
  <si>
    <t>SPRING</t>
  </si>
  <si>
    <t>TX</t>
  </si>
  <si>
    <t>77379-9401</t>
  </si>
  <si>
    <t>All doll clothes 99% discount</t>
  </si>
  <si>
    <t>111-8985074-0453853</t>
  </si>
  <si>
    <t>2018-07-30T21:03:38+00:00</t>
  </si>
  <si>
    <t>2018-07-31T21:53:48+00:00</t>
  </si>
  <si>
    <t>Reborn Baby Dolls Girl Look Real Silicone Pink Outfit 22 Inches</t>
  </si>
  <si>
    <t>DOLL-010-PI-22</t>
  </si>
  <si>
    <t>B06XPJWWR4</t>
  </si>
  <si>
    <t>Moorcroft</t>
  </si>
  <si>
    <t>Wyoming</t>
  </si>
  <si>
    <t>82721-0143</t>
  </si>
  <si>
    <t>113-3664166-2042630</t>
  </si>
  <si>
    <t>2018-07-30T20:53:56+00:00</t>
  </si>
  <si>
    <t>2018-07-31T16:41:58+00:00</t>
  </si>
  <si>
    <t>Reborn Baby Doll Outfits Boy Accessories for 20"- 22" White and Light Blue Pants</t>
  </si>
  <si>
    <t>YF-YULQ002-B7-20</t>
  </si>
  <si>
    <t>B079NXJZ52</t>
  </si>
  <si>
    <t>BELLINGHAM</t>
  </si>
  <si>
    <t>MA</t>
  </si>
  <si>
    <t>02019-1199</t>
  </si>
  <si>
    <t>111-3705236-2897823</t>
  </si>
  <si>
    <t>2018-07-30T20:50:16+00:00</t>
  </si>
  <si>
    <t>2018-07-31T12:58:59+00:00</t>
  </si>
  <si>
    <t>Silicone Reborn Baby Dolls Girl Look Real Lifelike Toddler Light Blue Rose Red Outfit with Toy Penguin 22 inches</t>
  </si>
  <si>
    <t>DO-YULQ173-B7-22</t>
  </si>
  <si>
    <t>B07BFVYCH2</t>
  </si>
  <si>
    <t>MEBANE</t>
  </si>
  <si>
    <t>NC</t>
  </si>
  <si>
    <t>27302-2019</t>
  </si>
  <si>
    <t>112-7023300-4213837</t>
  </si>
  <si>
    <t>2018-07-30T20:31:37+00:00</t>
  </si>
  <si>
    <t>2018-08-01T02:38:17+00:00</t>
  </si>
  <si>
    <t>PAWLEYS ISLAND</t>
  </si>
  <si>
    <t>SC</t>
  </si>
  <si>
    <t>29585-5178</t>
  </si>
  <si>
    <t>114-2354869-6820208</t>
  </si>
  <si>
    <t>2018-07-30T20:25:17+00:00</t>
  </si>
  <si>
    <t>2018-07-31T16:40:51+00:00</t>
  </si>
  <si>
    <t>Olathe</t>
  </si>
  <si>
    <t>Kansas</t>
  </si>
  <si>
    <t>114-4472777-7661812</t>
  </si>
  <si>
    <t>2018-07-30T20:24:49+00:00</t>
  </si>
  <si>
    <t>2018-08-01T22:04:37+00:00</t>
  </si>
  <si>
    <t>XENIA</t>
  </si>
  <si>
    <t>OH</t>
  </si>
  <si>
    <t>45385-1830</t>
  </si>
  <si>
    <t>113-7588545-1992200</t>
  </si>
  <si>
    <t>2018-07-30T18:49:21+00:00</t>
  </si>
  <si>
    <t>2018-08-06T16:38:14+00:00</t>
  </si>
  <si>
    <t>SALEM</t>
  </si>
  <si>
    <t>WI</t>
  </si>
  <si>
    <t>53168-9424</t>
  </si>
  <si>
    <t>111-6608964-0777830</t>
  </si>
  <si>
    <t>2018-07-30T18:10:30+00:00</t>
  </si>
  <si>
    <t>2018-07-31T00:38:14+00:00</t>
  </si>
  <si>
    <t>Full Silicone Body Sleeping Reborn Baby Doll Twins Girl Look Real Pink Outfit 10 inches</t>
  </si>
  <si>
    <t>DOLL-004-PI-10</t>
  </si>
  <si>
    <t>B076Q8RG21</t>
  </si>
  <si>
    <t>EMMAUS</t>
  </si>
  <si>
    <t>PA</t>
  </si>
  <si>
    <t>18049-3943</t>
  </si>
  <si>
    <t>114-1387170-3912265</t>
  </si>
  <si>
    <t>2018-07-30T17:59:06+00:00</t>
  </si>
  <si>
    <t>2018-07-31T20:43:16+00:00</t>
  </si>
  <si>
    <t>Reborn Baby Dolls Girl Look Real Lifelike Toddler Silicone Vinyl Light Pink Outfit 22 Inches</t>
  </si>
  <si>
    <t>DO-YULQ350-PI-22</t>
  </si>
  <si>
    <t>B0795M8ZGB</t>
  </si>
  <si>
    <t>Princeton</t>
  </si>
  <si>
    <t>111-6610451-1113826</t>
  </si>
  <si>
    <t>2018-07-30T17:00:49+00:00</t>
  </si>
  <si>
    <t>2018-07-31T01:30:14+00:00</t>
  </si>
  <si>
    <t>COLWICH</t>
  </si>
  <si>
    <t>KS</t>
  </si>
  <si>
    <t>67030-9683</t>
  </si>
  <si>
    <t>111-8277856-9330647</t>
  </si>
  <si>
    <t>2018-07-30T16:46:17+00:00</t>
  </si>
  <si>
    <t>2018-08-01T03:54:29+00:00</t>
  </si>
  <si>
    <t>Silicone Reborn Baby Dolls Girl Look Real Lifelike Toddler White Outfit with Lovely Patterns 16 inches</t>
  </si>
  <si>
    <t>DO-YULQ070-PI-16</t>
  </si>
  <si>
    <t>B079NYR8GC</t>
  </si>
  <si>
    <t>BELLEVUE</t>
  </si>
  <si>
    <t>WA</t>
  </si>
  <si>
    <t>98004-8581</t>
  </si>
  <si>
    <t>114-3710431-5495418</t>
  </si>
  <si>
    <t>2018-07-30T15:31:39+00:00</t>
  </si>
  <si>
    <t>2018-07-30T15:39:31+00:00</t>
  </si>
  <si>
    <t>Expedited</t>
  </si>
  <si>
    <t>Reborn Baby Dolls Girl Look Real Lifelike Toddler Silicone Vinyl Light Pink Dress 16 Inches</t>
  </si>
  <si>
    <t>DO-YULQ230-PI-16</t>
  </si>
  <si>
    <t>B0795M8J8G</t>
  </si>
  <si>
    <t>farmingdale</t>
  </si>
  <si>
    <t>new york</t>
  </si>
  <si>
    <t>113-2941013-9995416</t>
  </si>
  <si>
    <t>2018-07-30T15:12:07+00:00</t>
  </si>
  <si>
    <t>2018-08-01T00:46:06+00:00</t>
  </si>
  <si>
    <t>Real Life Reborn Baby Dolls Boy Baseball Sport Style White and Blue Outfit 22 inches</t>
  </si>
  <si>
    <t>DO-YULQ123-FB-22</t>
  </si>
  <si>
    <t>B0792VZN9S</t>
  </si>
  <si>
    <t>ROANOKE</t>
  </si>
  <si>
    <t>VA</t>
  </si>
  <si>
    <t>24018-1521</t>
  </si>
  <si>
    <t>111-3609312-5910612</t>
  </si>
  <si>
    <t>2018-07-30T13:43:28+00:00</t>
  </si>
  <si>
    <t>2018-07-30T21:35:47+00:00</t>
  </si>
  <si>
    <t>Sleeping Reborn Baby Dolls Boy Look Real Lifelike Toddler Silicone Vinyl Panda Outfit 18 inches</t>
  </si>
  <si>
    <t>DO-YULQ812-W0-18</t>
  </si>
  <si>
    <t>B0792VKCCR</t>
  </si>
  <si>
    <t>COLUMBIA</t>
  </si>
  <si>
    <t>29210-6580</t>
  </si>
  <si>
    <t>111-3753594-5921823</t>
  </si>
  <si>
    <t>2018-07-30T13:10:44+00:00</t>
  </si>
  <si>
    <t>2018-07-31T21:58:45+00:00</t>
  </si>
  <si>
    <t>SOUTH EL MONTE</t>
  </si>
  <si>
    <t>CA</t>
  </si>
  <si>
    <t>91733-1727</t>
  </si>
  <si>
    <t>111-2625793-9705839</t>
  </si>
  <si>
    <t>2018-07-30T13:04:52+00:00</t>
  </si>
  <si>
    <t>2018-07-31T09:17:39+00:00</t>
  </si>
  <si>
    <t>OLIVE HILL</t>
  </si>
  <si>
    <t>KY</t>
  </si>
  <si>
    <t>41164-4315</t>
  </si>
  <si>
    <t>111-1640587-0577800</t>
  </si>
  <si>
    <t>2018-07-30T12:06:12+00:00</t>
  </si>
  <si>
    <t>2018-07-31T04:19:23+00:00</t>
  </si>
  <si>
    <t>Reborn Baby Dolls Girl Look Real Lifelike Toddler Silicone with Toy Watermelon Red Outfit 16 inches</t>
  </si>
  <si>
    <t>DO-YULQ664-AX-16</t>
  </si>
  <si>
    <t>B07BSN65PZ</t>
  </si>
  <si>
    <t>NEW HOPE</t>
  </si>
  <si>
    <t>18938-1146</t>
  </si>
  <si>
    <t>112-0002013-0812222</t>
  </si>
  <si>
    <t>2018-07-30T11:59:36+00:00</t>
  </si>
  <si>
    <t>2018-07-31T02:02:43+00:00</t>
  </si>
  <si>
    <t>Reborn Baby Doll Outfits Girl Accessories for 20"- 22" Rose Red and Cow Pattern</t>
  </si>
  <si>
    <t>DOLLDRESS-003-R2-20</t>
  </si>
  <si>
    <t>B076KQB6X1</t>
  </si>
  <si>
    <t>OXFORD</t>
  </si>
  <si>
    <t>27565-8304</t>
  </si>
  <si>
    <t>112-5631819-9965052</t>
  </si>
  <si>
    <t>2018-07-30T11:26:56+00:00</t>
  </si>
  <si>
    <t>2018-07-31T20:55:05+00:00</t>
  </si>
  <si>
    <t>TOTOWA</t>
  </si>
  <si>
    <t>NEW JERSEY</t>
  </si>
  <si>
    <t>07512-1169</t>
  </si>
  <si>
    <t>Realistic Real Life Reborn Baby Dolls Girl Silicone Pink Outfit 22 inches</t>
  </si>
  <si>
    <t>DOLL-020-PI-22</t>
  </si>
  <si>
    <t>B06XPKHVHC</t>
  </si>
  <si>
    <t>113-5593647-1090660</t>
  </si>
  <si>
    <t>2018-07-31T23:16:02+00:00</t>
  </si>
  <si>
    <t>2018-07-31T23:16:13+00:00</t>
  </si>
  <si>
    <t>113-5007485-5261826</t>
  </si>
  <si>
    <t>2018-07-31T22:04:40+00:00</t>
  </si>
  <si>
    <t>2018-08-05T20:51:48+00:00</t>
  </si>
  <si>
    <t>Full Silicone Body Sleeping Reborn Baby Doll Twins Boy Look Real Light Blue Outfit 11 inches</t>
  </si>
  <si>
    <t>DOLL-004-LB-10</t>
  </si>
  <si>
    <t>B076Q71HXL</t>
  </si>
  <si>
    <t>SOUTH HOLLAND</t>
  </si>
  <si>
    <t>IL</t>
  </si>
  <si>
    <t>60473-2922</t>
  </si>
  <si>
    <t>113-9004365-7709030</t>
  </si>
  <si>
    <t>2018-07-31T20:45:14+00:00</t>
  </si>
  <si>
    <t>2018-08-01T02:13:18+00:00</t>
  </si>
  <si>
    <t>Silicone Reborn Baby Dolls Girl Look Real Eye Closed Pink Outfit 22 inches</t>
  </si>
  <si>
    <t>DO-YULQ620-PI-22</t>
  </si>
  <si>
    <t>B079JQDDN7</t>
  </si>
  <si>
    <t>SPRINGFIELD</t>
  </si>
  <si>
    <t>MO</t>
  </si>
  <si>
    <t>65807-5705</t>
  </si>
  <si>
    <t>111-6788768-2859467</t>
  </si>
  <si>
    <t>2018-07-31T20:21:57+00:00</t>
  </si>
  <si>
    <t>2018-08-02T22:21:05+00:00</t>
  </si>
  <si>
    <t>22 inches Full Silicone Body Reborn Baby Dolls Twins Girl Handmade Toddler Eye Closed Pink Outfit</t>
  </si>
  <si>
    <t>DO-YULQ700-PI-22</t>
  </si>
  <si>
    <t>B07CM58KHK</t>
  </si>
  <si>
    <t>WEST HILLS</t>
  </si>
  <si>
    <t>91304-5354</t>
  </si>
  <si>
    <t>112-8040254-0912207</t>
  </si>
  <si>
    <t>2018-07-31T19:59:10+00:00</t>
  </si>
  <si>
    <t>2018-08-01T17:58:10+00:00</t>
  </si>
  <si>
    <t>LEANDER</t>
  </si>
  <si>
    <t>78641-8814</t>
  </si>
  <si>
    <t>112-7265647-9861018</t>
  </si>
  <si>
    <t>2018-07-31T19:53:44+00:00</t>
  </si>
  <si>
    <t>2018-08-01T08:47:31+00:00</t>
  </si>
  <si>
    <t>Reborn Baby Dolls Boy Lifelike Toddler Silicone Vinyl Light Blue Outfit 18 Inches</t>
  </si>
  <si>
    <t>DO-YULQ150-B7-18</t>
  </si>
  <si>
    <t>B0795QK1TP</t>
  </si>
  <si>
    <t>GRAPEVINE</t>
  </si>
  <si>
    <t>76051-4412</t>
  </si>
  <si>
    <t>112-1193571-1841801</t>
  </si>
  <si>
    <t>2018-07-31T19:36:02+00:00</t>
  </si>
  <si>
    <t>2018-08-01T02:52:43+00:00</t>
  </si>
  <si>
    <t>Reborn Baby Doll Outfits Girl Accessories for 20"- 22" Pink and Cow Pattern</t>
  </si>
  <si>
    <t>DOLLDRESS-003-PI-20</t>
  </si>
  <si>
    <t>B076K8YDNV</t>
  </si>
  <si>
    <t>OLIVER SPRINGS</t>
  </si>
  <si>
    <t>TN</t>
  </si>
  <si>
    <t>37840-2008</t>
  </si>
  <si>
    <t>114-1263815-7947410</t>
  </si>
  <si>
    <t>2018-07-31T19:35:20+00:00</t>
  </si>
  <si>
    <t>2018-08-24T01:28:38+00:00</t>
  </si>
  <si>
    <t>MIAMI</t>
  </si>
  <si>
    <t>FL</t>
  </si>
  <si>
    <t>33166-2300</t>
  </si>
  <si>
    <t>111-4368443-8190609</t>
  </si>
  <si>
    <t>2018-07-31T19:20:10+00:00</t>
  </si>
  <si>
    <t>2018-08-01T17:13:01+00:00</t>
  </si>
  <si>
    <t>ORMOND BEACH</t>
  </si>
  <si>
    <t>32174-4622</t>
  </si>
  <si>
    <t>113-7892807-5665052</t>
  </si>
  <si>
    <t>2018-07-31T18:59:40+00:00</t>
  </si>
  <si>
    <t>2018-08-01T10:11:02+00:00</t>
  </si>
  <si>
    <t>Real Looking Reborn Baby Dolls Girl Silicone Pink Outfit 22 inches</t>
  </si>
  <si>
    <t>DO-YULQ001-PI-22</t>
  </si>
  <si>
    <t>B079JQCWQ6</t>
  </si>
  <si>
    <t>YUMA</t>
  </si>
  <si>
    <t>AZ</t>
  </si>
  <si>
    <t>85364-8476</t>
  </si>
  <si>
    <t>111-1306325-7857804</t>
  </si>
  <si>
    <t>2018-07-31T18:58:47+00:00</t>
  </si>
  <si>
    <t>2018-08-01T07:22:33+00:00</t>
  </si>
  <si>
    <t>CADOTT</t>
  </si>
  <si>
    <t>111-2778605-9564224</t>
  </si>
  <si>
    <t>2018-07-31T18:33:06+00:00</t>
  </si>
  <si>
    <t>2018-08-02T02:29:58+00:00</t>
  </si>
  <si>
    <t>22 inches Real Looking Reborn Baby Dolls Girl Realistic Toddler Silicone Rose Red Outfit</t>
  </si>
  <si>
    <t>DO-YULQ703-PI-22</t>
  </si>
  <si>
    <t>B07CN76YH9</t>
  </si>
  <si>
    <t>TRENTON</t>
  </si>
  <si>
    <t>38382-9310</t>
  </si>
  <si>
    <t>112-3483068-4615452</t>
  </si>
  <si>
    <t>2018-07-31T18:23:12+00:00</t>
  </si>
  <si>
    <t>2018-08-01T06:07:41+00:00</t>
  </si>
  <si>
    <t>Real Looking Reborn Baby Dolls Girl Silicone Light Purple Tutu Skirt 22 Inches</t>
  </si>
  <si>
    <t>DO-YULQ203-P4-22</t>
  </si>
  <si>
    <t>B0793R99F1</t>
  </si>
  <si>
    <t>NOGALES</t>
  </si>
  <si>
    <t>85621-3215</t>
  </si>
  <si>
    <t>113-7495425-4787420</t>
  </si>
  <si>
    <t>2018-07-31T17:53:46+00:00</t>
  </si>
  <si>
    <t>2018-07-31T17:53:56+00:00</t>
  </si>
  <si>
    <t>112-2593677-5173033</t>
  </si>
  <si>
    <t>2018-07-31T17:40:36+00:00</t>
  </si>
  <si>
    <t>2018-08-03T06:56:19+00:00</t>
  </si>
  <si>
    <t>CHICAGO</t>
  </si>
  <si>
    <t>60634-2655</t>
  </si>
  <si>
    <t>113-3890514-6904228</t>
  </si>
  <si>
    <t>2018-07-31T17:16:41+00:00</t>
  </si>
  <si>
    <t>2018-08-01T03:13:42+00:00</t>
  </si>
  <si>
    <t>LAKE FOREST</t>
  </si>
  <si>
    <t>60045-2989</t>
  </si>
  <si>
    <t>111-9802247-0869855</t>
  </si>
  <si>
    <t>2018-07-31T16:54:27+00:00</t>
  </si>
  <si>
    <t>2018-08-01T12:08:12+00:00</t>
  </si>
  <si>
    <t>PULASKI</t>
  </si>
  <si>
    <t>38478-8246</t>
  </si>
  <si>
    <t>112-4184181-8507408</t>
  </si>
  <si>
    <t>2018-07-31T16:38:28+00:00</t>
  </si>
  <si>
    <t>2018-07-31T17:10:58+00:00</t>
  </si>
  <si>
    <t>111-9670480-1401853</t>
  </si>
  <si>
    <t>2018-07-31T16:23:33+00:00</t>
  </si>
  <si>
    <t>2018-08-01T00:40:08+00:00</t>
  </si>
  <si>
    <t>NextDay</t>
  </si>
  <si>
    <t>African American Reborn Baby Dolls Girl Look Real Light Purple Outfit 22 Inches</t>
  </si>
  <si>
    <t>DO-YULQ010-P0-22</t>
  </si>
  <si>
    <t>B078X59HSZ</t>
  </si>
  <si>
    <t>CHELTENHAM</t>
  </si>
  <si>
    <t>MD</t>
  </si>
  <si>
    <t>20623-1352</t>
  </si>
  <si>
    <t>112-1133726-0681065</t>
  </si>
  <si>
    <t>2018-07-31T16:16:54+00:00</t>
  </si>
  <si>
    <t>2018-08-01T00:45:24+00:00</t>
  </si>
  <si>
    <t>DORAL</t>
  </si>
  <si>
    <t>FLORIDA</t>
  </si>
  <si>
    <t>33126-1017</t>
  </si>
  <si>
    <t>113-3498986-2714667</t>
  </si>
  <si>
    <t>2018-07-31T16:11:22+00:00</t>
  </si>
  <si>
    <t>2018-07-31T16:11:32+00:00</t>
  </si>
  <si>
    <t>111-1946739-4703416</t>
  </si>
  <si>
    <t>2018-07-31T15:46:39+00:00</t>
  </si>
  <si>
    <t>2018-08-01T08:54:34+00:00</t>
  </si>
  <si>
    <t>Shoreham</t>
  </si>
  <si>
    <t>NY</t>
  </si>
  <si>
    <t>113-2438457-2755428</t>
  </si>
  <si>
    <t>2018-07-31T15:40:54+00:00</t>
  </si>
  <si>
    <t>2018-08-01T14:21:25+00:00</t>
  </si>
  <si>
    <t>WILSON</t>
  </si>
  <si>
    <t>27893-9604</t>
  </si>
  <si>
    <t>112-1633663-6589009</t>
  </si>
  <si>
    <t>2018-07-31T15:40:17+00:00</t>
  </si>
  <si>
    <t>2018-08-04T19:09:33+00:00</t>
  </si>
  <si>
    <t>AVONDALE</t>
  </si>
  <si>
    <t>85392-5529</t>
  </si>
  <si>
    <t>113-7806622-0421007</t>
  </si>
  <si>
    <t>2018-07-31T15:23:08+00:00</t>
  </si>
  <si>
    <t>2018-08-01T19:40:56+00:00</t>
  </si>
  <si>
    <t>ST Paul</t>
  </si>
  <si>
    <t>MN</t>
  </si>
  <si>
    <t>113-8031053-5691463</t>
  </si>
  <si>
    <t>2018-07-31T15:15:06+00:00</t>
  </si>
  <si>
    <t>2018-07-31T15:15:16+00:00</t>
  </si>
  <si>
    <t>113-8347085-5182627</t>
  </si>
  <si>
    <t>2018-07-31T15:12:38+00:00</t>
  </si>
  <si>
    <t>2018-07-31T15:12:49+00:00</t>
  </si>
  <si>
    <t>114-3746028-4740262</t>
  </si>
  <si>
    <t>2018-07-31T14:51:13+00:00</t>
  </si>
  <si>
    <t>2018-07-31T17:29:38+00:00</t>
  </si>
  <si>
    <t>HIGHLAND</t>
  </si>
  <si>
    <t>92346-7729</t>
  </si>
  <si>
    <t>113-6789503-9878655</t>
  </si>
  <si>
    <t>2018-07-31T14:13:46+00:00</t>
  </si>
  <si>
    <t>2018-08-01T04:13:20+00:00</t>
  </si>
  <si>
    <t>BROOKLINE</t>
  </si>
  <si>
    <t>02445-7040</t>
  </si>
  <si>
    <t>114-0181926-2822645</t>
  </si>
  <si>
    <t>2018-07-31T14:13:24+00:00</t>
  </si>
  <si>
    <t>2018-07-31T19:00:59+00:00</t>
  </si>
  <si>
    <t>LaPorte</t>
  </si>
  <si>
    <t>IN</t>
  </si>
  <si>
    <t>112-1577420-3654660</t>
  </si>
  <si>
    <t>2018-07-31T13:12:32+00:00</t>
  </si>
  <si>
    <t>2018-08-01T07:33:36+00:00</t>
  </si>
  <si>
    <t>10 inches Full Silicone Mini Palm Reborn Baby Doll Look Real Girl Toddler Eye Closed White Dress Flower Hair Band</t>
  </si>
  <si>
    <t>DO-YULQ232-W0-10</t>
  </si>
  <si>
    <t>B07DL5ZGP8</t>
  </si>
  <si>
    <t>WHITEVILLE</t>
  </si>
  <si>
    <t>28472-5990</t>
  </si>
  <si>
    <t>113-5546258-4137009</t>
  </si>
  <si>
    <t>2018-07-31T12:31:38+00:00</t>
  </si>
  <si>
    <t>2018-07-31T19:35:59+00:00</t>
  </si>
  <si>
    <t>MARYVILLE</t>
  </si>
  <si>
    <t>37803-1966</t>
  </si>
  <si>
    <t>113-2987707-7852233</t>
  </si>
  <si>
    <t>2018-07-31T11:50:41+00:00</t>
  </si>
  <si>
    <t>2018-07-31T19:32:49+00:00</t>
  </si>
  <si>
    <t>LITHIA</t>
  </si>
  <si>
    <t>33547-4829</t>
  </si>
  <si>
    <t>114-5644631-3951445</t>
  </si>
  <si>
    <t>2018-07-31T08:48:08+00:00</t>
  </si>
  <si>
    <t>2018-07-31T09:20:20+00:00</t>
  </si>
  <si>
    <t>KANSAS CITY</t>
  </si>
  <si>
    <t>64106-1004</t>
  </si>
  <si>
    <t>111-4736737-8877003</t>
  </si>
  <si>
    <t>2018-07-31T06:59:54+00:00</t>
  </si>
  <si>
    <t>2018-08-03T16:37:53+00:00</t>
  </si>
  <si>
    <t>24 inches Realistic Reborn Baby Doll Silicone Monkey Coat Blue Pants White Shoes</t>
  </si>
  <si>
    <t>DO-YULQ706-R0-24</t>
  </si>
  <si>
    <t>B07D4D6Q9C</t>
  </si>
  <si>
    <t>COUNCIL BLUFFS</t>
  </si>
  <si>
    <t>IA</t>
  </si>
  <si>
    <t>51501-0716</t>
  </si>
  <si>
    <t>113-5317223-5451433</t>
  </si>
  <si>
    <t>2018-07-31T06:26:46+00:00</t>
  </si>
  <si>
    <t>2018-08-02T02:40:57+00:00</t>
  </si>
  <si>
    <t>BOUND BROOK</t>
  </si>
  <si>
    <t>08805-2087</t>
  </si>
  <si>
    <t>112-8247134-4174622</t>
  </si>
  <si>
    <t>2018-07-31T06:05:24+00:00</t>
  </si>
  <si>
    <t>2018-08-01T06:32:43+00:00</t>
  </si>
  <si>
    <t>African American Sleeping Reborn Baby Doll Look Real Full Body Silicone Pink Outfit 10 Inches</t>
  </si>
  <si>
    <t>DOLL-006-PI-10</t>
  </si>
  <si>
    <t>B076Q7DCP1</t>
  </si>
  <si>
    <t>HANOVER PARK</t>
  </si>
  <si>
    <t>60133-4902</t>
  </si>
  <si>
    <t>113-8345727-0061049</t>
  </si>
  <si>
    <t>2018-07-31T05:20:09+00:00</t>
  </si>
  <si>
    <t>2018-07-31T08:18:18+00:00</t>
  </si>
  <si>
    <t>RACINE</t>
  </si>
  <si>
    <t>53405-5042</t>
  </si>
  <si>
    <t>114-6069873-7034612</t>
  </si>
  <si>
    <t>2018-07-31T03:56:38+00:00</t>
  </si>
  <si>
    <t>2018-08-01T01:40:54+00:00</t>
  </si>
  <si>
    <t>EAGLE POINT</t>
  </si>
  <si>
    <t>OR</t>
  </si>
  <si>
    <t>97524-9072</t>
  </si>
  <si>
    <t>114-4355237-7340218</t>
  </si>
  <si>
    <t>2018-07-31T03:43:23+00:00</t>
  </si>
  <si>
    <t>2018-08-01T02:16:25+00:00</t>
  </si>
  <si>
    <t>DO-YULQ062-PI-22</t>
  </si>
  <si>
    <t>B079JRDT89</t>
  </si>
  <si>
    <t>South bend</t>
  </si>
  <si>
    <t>114-3411869-1674641</t>
  </si>
  <si>
    <t>2018-07-31T02:08:05+00:00</t>
  </si>
  <si>
    <t>2018-08-01T04:35:44+00:00</t>
  </si>
  <si>
    <t>African American Reborn Baby Doll Boy Look Real Full Silicone Body Romper Vintage Style 10 Inches</t>
  </si>
  <si>
    <t>DO-YULQ058-BR-10</t>
  </si>
  <si>
    <t>B0793PS7QX</t>
  </si>
  <si>
    <t>LOVELAND</t>
  </si>
  <si>
    <t>45140-7210</t>
  </si>
  <si>
    <t>111-3461658-5809802</t>
  </si>
  <si>
    <t>2018-07-31T01:58:49+00:00</t>
  </si>
  <si>
    <t>2018-07-31T09:40:24+00:00</t>
  </si>
  <si>
    <t>Silicone Reborn Baby Dolls Girl Look Real Denim Dress 22 Inches</t>
  </si>
  <si>
    <t>DO-YULQ620-NZ-22</t>
  </si>
  <si>
    <t>B079JXQJSM</t>
  </si>
  <si>
    <t>NEW YORK</t>
  </si>
  <si>
    <t>10014-3463</t>
  </si>
  <si>
    <t>114-8070783-8859429</t>
  </si>
  <si>
    <t>2018-07-31T01:34:49+00:00</t>
  </si>
  <si>
    <t>2018-08-01T15:26:25+00:00</t>
  </si>
  <si>
    <t>Sleeping Reborn Baby Dolls Boy Look Real Stripe Outfit with Panda Pattern 20 inches</t>
  </si>
  <si>
    <t>DO-YULQ332-LGR-20</t>
  </si>
  <si>
    <t>B0792VHP6W</t>
  </si>
  <si>
    <t>LAKEWOOD</t>
  </si>
  <si>
    <t>08701-3856</t>
  </si>
  <si>
    <t>113-6458678-3181028</t>
  </si>
  <si>
    <t>2018-07-31T01:29:27+00:00</t>
  </si>
  <si>
    <t>2018-07-31T23:28:42+00:00</t>
  </si>
  <si>
    <t>AUSTIN</t>
  </si>
  <si>
    <t>78758-7887</t>
  </si>
  <si>
    <t>112-2556113-1075407</t>
  </si>
  <si>
    <t>2018-07-31T00:44:57+00:00</t>
  </si>
  <si>
    <t>2018-07-31T23:28:50+00:00</t>
  </si>
  <si>
    <t>Reborn Baby Doll Wig Baby Girl Look Real Silicone Pink 22 Inches</t>
  </si>
  <si>
    <t>DO-YULQ012-PI-22</t>
  </si>
  <si>
    <t>B076J2H7FC</t>
  </si>
  <si>
    <t>BAXTER</t>
  </si>
  <si>
    <t>38544-4972</t>
  </si>
  <si>
    <t>114-7209547-5287417</t>
  </si>
  <si>
    <t>2018-07-31T00:37:28+00:00</t>
  </si>
  <si>
    <t>2018-07-31T18:08:38+00:00</t>
  </si>
  <si>
    <t>Reborn Baby Dolls Boy Realistic Toddler with Toy Frog Green Outfit 22 inches</t>
  </si>
  <si>
    <t>DO-YULQ161-G0-16</t>
  </si>
  <si>
    <t>B079NY4PYK</t>
  </si>
  <si>
    <t>MOROCCO</t>
  </si>
  <si>
    <t>INDIANA</t>
  </si>
  <si>
    <t>47963-8020</t>
  </si>
  <si>
    <t>112-9850413-4405053</t>
  </si>
  <si>
    <t>2018-07-31T00:26:57+00:00</t>
  </si>
  <si>
    <t>2018-07-31T21:30:14+00:00</t>
  </si>
  <si>
    <t>Sleeping Reborn Baby Doll Boy Look Real Full Silicone Body Red Outfit 22 inches</t>
  </si>
  <si>
    <t>DOLL-1630-R0-22</t>
  </si>
  <si>
    <t>B076P99TGC</t>
  </si>
  <si>
    <t>Huntington Beach</t>
  </si>
  <si>
    <t>92647-6271</t>
  </si>
  <si>
    <t>112-0279543-4618652</t>
  </si>
  <si>
    <t>2018-07-31T00:26:14+00:00</t>
  </si>
  <si>
    <t>2018-07-31T21:39:23+00:00</t>
  </si>
  <si>
    <t>Real Life Silicone Reborn Baby Dolls Boy Look Real Striped Jumpsuit 22 Inches</t>
  </si>
  <si>
    <t>DO-YULQ611-TW-22</t>
  </si>
  <si>
    <t>B0793RG3PM</t>
  </si>
  <si>
    <t>REDWOOD FALLS</t>
  </si>
  <si>
    <t>56283-2129</t>
  </si>
  <si>
    <t>113-5537722-8559407</t>
  </si>
  <si>
    <t>2018-07-31T00:24:29+00:00</t>
  </si>
  <si>
    <t>2018-07-31T00:24:42+00:00</t>
  </si>
  <si>
    <t>114-2045082-6465035</t>
  </si>
  <si>
    <t>2018-07-31T00:19:37+00:00</t>
  </si>
  <si>
    <t>2018-08-01T23:12:59+00:00</t>
  </si>
  <si>
    <t>Reborn Baby Dolls Boy Look Real Lifelike Toddler Silicone Vinyl Dots Outfit With Toy Bear 22 Inches</t>
  </si>
  <si>
    <t>DO-YULQ172-BD-22</t>
  </si>
  <si>
    <t>B079513H1Q</t>
  </si>
  <si>
    <t>114-1880248-6055404</t>
  </si>
  <si>
    <t>2018-07-31T00:17:19+00:00</t>
  </si>
  <si>
    <t>2018-08-09T22:44:18+00:00</t>
  </si>
  <si>
    <t>Reborn Baby Dolls Girl Lifelike Toddler Silicone Vinyl Light Pink Nightdress 18 inches</t>
  </si>
  <si>
    <t>DO-YULQ330-PI-18</t>
  </si>
  <si>
    <t>B0792VK5C4</t>
  </si>
  <si>
    <t>SYRACUSE</t>
  </si>
  <si>
    <t>13204-4007</t>
  </si>
  <si>
    <t>113-4859025-6837042</t>
  </si>
  <si>
    <t>2018-07-31T00:13:51+00:00</t>
  </si>
  <si>
    <t>2018-07-31T00:14:55+00:00</t>
  </si>
  <si>
    <t>113-6812268-2729057</t>
  </si>
  <si>
    <t>2018-07-31T00:12:55+00:00</t>
  </si>
  <si>
    <t>2018-07-31T00:13:05+00:00</t>
  </si>
  <si>
    <t>113-3414973-5349013</t>
  </si>
  <si>
    <t>2018-07-31T00:11:44+00:00</t>
  </si>
  <si>
    <t>2018-07-31T00:13:06+00:00</t>
  </si>
  <si>
    <t>112-4095910-3272265</t>
  </si>
  <si>
    <t>2018-07-31T00:09:54+00:00</t>
  </si>
  <si>
    <t>2018-08-01T02:33:07+00:00</t>
  </si>
  <si>
    <t>Greenfield</t>
  </si>
  <si>
    <t>113-6971958-8755467</t>
  </si>
  <si>
    <t>2018-07-31T00:08:48+00:00</t>
  </si>
  <si>
    <t>2018-07-31T00:08:58+00:00</t>
  </si>
  <si>
    <t>112-1522772-0264223</t>
  </si>
  <si>
    <t>2018-07-31T00:05:58+00:00</t>
  </si>
  <si>
    <t>2018-07-31T06:39:53+00:00</t>
  </si>
  <si>
    <t>AKRON</t>
  </si>
  <si>
    <t>44313-5218</t>
  </si>
  <si>
    <t>111-2738431-8325838</t>
  </si>
  <si>
    <t>2018-08-01T23:07:41+00:00</t>
  </si>
  <si>
    <t>2018-08-03T09:21:37+00:00</t>
  </si>
  <si>
    <t>08701-5161</t>
  </si>
  <si>
    <t>US Core Free Shipping Promotion A3JU1FCINF5SD0</t>
  </si>
  <si>
    <t>111-7376102-1724255</t>
  </si>
  <si>
    <t>2018-08-01T22:38:59+00:00</t>
  </si>
  <si>
    <t>2018-08-03T04:52:00+00:00</t>
  </si>
  <si>
    <t>SAN JOSE</t>
  </si>
  <si>
    <t>95126-4050</t>
  </si>
  <si>
    <t>114-5937111-7202649</t>
  </si>
  <si>
    <t>2018-08-01T22:06:30+00:00</t>
  </si>
  <si>
    <t>2018-08-02T21:18:51+00:00</t>
  </si>
  <si>
    <t>FORT WALTON BEACH</t>
  </si>
  <si>
    <t>32547-1561</t>
  </si>
  <si>
    <t>113-9037861-9577832</t>
  </si>
  <si>
    <t>2018-08-01T21:05:47+00:00</t>
  </si>
  <si>
    <t>2018-08-04T07:17:57+00:00</t>
  </si>
  <si>
    <t>4 Pcs Newborn Baby Outfits Set for Girl Rose Red with Cow Pattern M(6-12 Months)</t>
  </si>
  <si>
    <t>DOLLDRESS-003-R2-M</t>
  </si>
  <si>
    <t>B077Z474QH</t>
  </si>
  <si>
    <t>FLORENCE</t>
  </si>
  <si>
    <t>85132-7673</t>
  </si>
  <si>
    <t>111-2734219-3995442</t>
  </si>
  <si>
    <t>2018-08-01T20:42:07+00:00</t>
  </si>
  <si>
    <t>2018-08-05T19:04:29+00:00</t>
  </si>
  <si>
    <t>Reborn Baby Doll Outfits Boy Accessories for 20"- 22" Pink Outfit</t>
  </si>
  <si>
    <t>YF-YULQ602-PI-20</t>
  </si>
  <si>
    <t>B079P55XYW</t>
  </si>
  <si>
    <t>BEAVER FALLS</t>
  </si>
  <si>
    <t>15010-3923</t>
  </si>
  <si>
    <t>112-2308092-3302659</t>
  </si>
  <si>
    <t>2018-08-01T20:33:03+00:00</t>
  </si>
  <si>
    <t>2018-08-05T02:44:37+00:00</t>
  </si>
  <si>
    <t>FORT WORTH</t>
  </si>
  <si>
    <t>76108-4195</t>
  </si>
  <si>
    <t>113-1408233-6273811</t>
  </si>
  <si>
    <t>2018-08-01T19:34:43+00:00</t>
  </si>
  <si>
    <t>2018-08-01T19:34:54+00:00</t>
  </si>
  <si>
    <t>114-4472691-6466657</t>
  </si>
  <si>
    <t>2018-08-01T19:10:02+00:00</t>
  </si>
  <si>
    <t>2018-08-04T16:17:23+00:00</t>
  </si>
  <si>
    <t>NEVADA</t>
  </si>
  <si>
    <t>75173-8343</t>
  </si>
  <si>
    <t>4 Pcs Newborn Baby Outfits Set for Girl Pink with Cow Pattern M(6-12 Months)</t>
  </si>
  <si>
    <t>DOLLDRESS-003-PI-M</t>
  </si>
  <si>
    <t>B0785S857P</t>
  </si>
  <si>
    <t>113-2779814-1692234</t>
  </si>
  <si>
    <t>2018-08-01T19:08:56+00:00</t>
  </si>
  <si>
    <t>2018-08-01T19:16:40+00:00</t>
  </si>
  <si>
    <t>Reborn Baby Doll Outfits Boy Accessories for 20"- 22" Light Blue Outfit</t>
  </si>
  <si>
    <t>YF-YULQ905-B7-20</t>
  </si>
  <si>
    <t>B079NX5R9C</t>
  </si>
  <si>
    <t>WILD ROSE</t>
  </si>
  <si>
    <t>54984-9058</t>
  </si>
  <si>
    <t>113-8887813-6830618</t>
  </si>
  <si>
    <t>2018-08-01T18:51:55+00:00</t>
  </si>
  <si>
    <t>2018-08-04T08:26:21+00:00</t>
  </si>
  <si>
    <t>22 inches Full Silicone Body Reborn Baby Dolls Boy Hnadmade Toddler Eye Closed Red Outfit</t>
  </si>
  <si>
    <t>DO-YULQ702-PI-22</t>
  </si>
  <si>
    <t>B07CM6R65H</t>
  </si>
  <si>
    <t>LEVITTOWN</t>
  </si>
  <si>
    <t>19055-2437</t>
  </si>
  <si>
    <t>113-8945081-5257830</t>
  </si>
  <si>
    <t>2018-08-01T17:19:36+00:00</t>
  </si>
  <si>
    <t>2018-08-02T18:34:51+00:00</t>
  </si>
  <si>
    <t>Realistic Sleeping Reborn Baby Doll Girl Lifelike Silicone Pink 22 Inches</t>
  </si>
  <si>
    <t>DOLL-0605-PI-22</t>
  </si>
  <si>
    <t>B076J6949M</t>
  </si>
  <si>
    <t>GLEN ELLYN</t>
  </si>
  <si>
    <t>60137-3210</t>
  </si>
  <si>
    <t>112-4655350-7181836</t>
  </si>
  <si>
    <t>2018-08-01T16:43:37+00:00</t>
  </si>
  <si>
    <t>2018-08-01T16:49:29+00:00</t>
  </si>
  <si>
    <t>Reborn Baby Dolls Full Silicone Body Real Looking Eye Closed Light Blue Outfit Small 10 inches</t>
  </si>
  <si>
    <t>DO-YULQ004-B7-11</t>
  </si>
  <si>
    <t>B078Y5BTZC</t>
  </si>
  <si>
    <t>ALLENTOWN</t>
  </si>
  <si>
    <t>18103-8628</t>
  </si>
  <si>
    <t>111-5121893-1053810</t>
  </si>
  <si>
    <t>2018-08-01T16:35:44+00:00</t>
  </si>
  <si>
    <t>2018-08-01T16:35:54+00:00</t>
  </si>
  <si>
    <t>DINUBA</t>
  </si>
  <si>
    <t>93618-2131</t>
  </si>
  <si>
    <t>112-2614167-3769016</t>
  </si>
  <si>
    <t>2018-08-01T16:28:14+00:00</t>
  </si>
  <si>
    <t>2018-08-03T02:25:27+00:00</t>
  </si>
  <si>
    <t>20 inches Real Looking Reborn Baby Dolls Girl Silicone Vinyl Eye Closed Pink Pajama</t>
  </si>
  <si>
    <t>DO-YULQ150-PI-20</t>
  </si>
  <si>
    <t>B07CM664M7</t>
  </si>
  <si>
    <t>NORFOLK</t>
  </si>
  <si>
    <t>23502-3918</t>
  </si>
  <si>
    <t>111-1071669-4675457</t>
  </si>
  <si>
    <t>2018-08-01T13:50:56+00:00</t>
  </si>
  <si>
    <t>2018-08-06T08:06:59+00:00</t>
  </si>
  <si>
    <t>SPRINGFIELD GARDENS</t>
  </si>
  <si>
    <t>11413-4010</t>
  </si>
  <si>
    <t>112-6124423-3123453</t>
  </si>
  <si>
    <t>2018-08-01T13:29:32+00:00</t>
  </si>
  <si>
    <t>2018-08-04T03:57:40+00:00</t>
  </si>
  <si>
    <t>KENTWOOD</t>
  </si>
  <si>
    <t>LA</t>
  </si>
  <si>
    <t>70444-4625</t>
  </si>
  <si>
    <t>113-5202651-9217068</t>
  </si>
  <si>
    <t>2018-08-01T11:19:31+00:00</t>
  </si>
  <si>
    <t>2018-08-02T06:40:30+00:00</t>
  </si>
  <si>
    <t>LOWELL</t>
  </si>
  <si>
    <t>01852-5761</t>
  </si>
  <si>
    <t>113-6968585-4859447</t>
  </si>
  <si>
    <t>2018-08-01T09:38:08+00:00</t>
  </si>
  <si>
    <t>2018-08-02T22:45:20+00:00</t>
  </si>
  <si>
    <t>20 inches Full Silicone Vinyl Body Reborn Baby Dolls Boy Real Looking Naked Toddler with Blue Blanket</t>
  </si>
  <si>
    <t>DO-YULQ985-B7-20</t>
  </si>
  <si>
    <t>B07CM67KDW</t>
  </si>
  <si>
    <t>ELK GROVE</t>
  </si>
  <si>
    <t>95758-7142</t>
  </si>
  <si>
    <t>111-1545772-4771429</t>
  </si>
  <si>
    <t>2018-08-01T04:43:59+00:00</t>
  </si>
  <si>
    <t>2018-08-04T19:41:46+00:00</t>
  </si>
  <si>
    <t>SCOTTSDALE</t>
  </si>
  <si>
    <t>85262-5160</t>
  </si>
  <si>
    <t>113-7971511-8169020</t>
  </si>
  <si>
    <t>2018-08-01T04:37:04+00:00</t>
  </si>
  <si>
    <t>2018-08-06T07:28:20+00:00</t>
  </si>
  <si>
    <t>Slidell</t>
  </si>
  <si>
    <t>Louisiana</t>
  </si>
  <si>
    <t>112-2476118-8613845</t>
  </si>
  <si>
    <t>2018-08-01T02:43:06+00:00</t>
  </si>
  <si>
    <t>2018-08-01T20:15:04+00:00</t>
  </si>
  <si>
    <t>Sleeping Reborn Baby Dolls Girls Lifelike Toddler Silicone Pink Outfit with Cat Pattern 22 inches</t>
  </si>
  <si>
    <t>DO-YULQ063-PI-22</t>
  </si>
  <si>
    <t>B079P24VZF</t>
  </si>
  <si>
    <t>GADSDEN</t>
  </si>
  <si>
    <t>AL</t>
  </si>
  <si>
    <t>35901-2825</t>
  </si>
  <si>
    <t>113-7589216-4350639</t>
  </si>
  <si>
    <t>2018-08-01T02:31:53+00:00</t>
  </si>
  <si>
    <t>2018-08-01T02:34:40+00:00</t>
  </si>
  <si>
    <t>112-4066842-9266627</t>
  </si>
  <si>
    <t>2018-08-01T02:06:15+00:00</t>
  </si>
  <si>
    <t>2018-08-01T14:57:37+00:00</t>
  </si>
  <si>
    <t>BUFFALO</t>
  </si>
  <si>
    <t>WY</t>
  </si>
  <si>
    <t>82834-9323</t>
  </si>
  <si>
    <t>114-4020397-8815452</t>
  </si>
  <si>
    <t>2018-08-01T01:40:38+00:00</t>
  </si>
  <si>
    <t>2018-08-01T09:34:31+00:00</t>
  </si>
  <si>
    <t>Realistic Reborn Baby Doll Boy Full Silicone Body Light Blue Outfit with Hippo Pattern 22 Inches</t>
  </si>
  <si>
    <t>DOLL-1523-B7-22</t>
  </si>
  <si>
    <t>B0784T23ZQ</t>
  </si>
  <si>
    <t>NORRIDGE</t>
  </si>
  <si>
    <t>60706-1136</t>
  </si>
  <si>
    <t>112-9301573-7041806</t>
  </si>
  <si>
    <t>2018-08-01T01:00:45+00:00</t>
  </si>
  <si>
    <t>2018-08-01T19:43:12+00:00</t>
  </si>
  <si>
    <t>24 inches Reborn Baby Doll Silicone Vinyl Realistic Toddler Panda Coat Black Pants with Shoes</t>
  </si>
  <si>
    <t>DO-YULQ708-W0-24</t>
  </si>
  <si>
    <t>B07D4DC72D</t>
  </si>
  <si>
    <t>willowick</t>
  </si>
  <si>
    <t>ohio</t>
  </si>
  <si>
    <t>113-6496466-5925814</t>
  </si>
  <si>
    <t>2018-08-01T00:55:44+00:00</t>
  </si>
  <si>
    <t>2018-08-01T07:24:14+00:00</t>
  </si>
  <si>
    <t>FLOYDS KNOBS</t>
  </si>
  <si>
    <t>47119-8606</t>
  </si>
  <si>
    <t>114-8329604-4617024</t>
  </si>
  <si>
    <t>2018-08-01T00:21:00+00:00</t>
  </si>
  <si>
    <t>2018-08-01T14:45:18+00:00</t>
  </si>
  <si>
    <t>Munger</t>
  </si>
  <si>
    <t>MI</t>
  </si>
  <si>
    <t>S01-8623298-4063448</t>
  </si>
  <si>
    <t>1808011RSW</t>
  </si>
  <si>
    <t>2018-08-02T05:58:13+00:00</t>
  </si>
  <si>
    <t>2018-08-05T00:56:06+00:00</t>
  </si>
  <si>
    <t>Non-Amazon</t>
  </si>
  <si>
    <t>Sleeping Reborn Baby Dolls Girl Look Real Full Silicone Body Pink Outfit 10 inches</t>
  </si>
  <si>
    <t>DOLL-1613-PI-11</t>
  </si>
  <si>
    <t>B076MTPGQ1</t>
  </si>
  <si>
    <t>112-5998272-6801822</t>
  </si>
  <si>
    <t>2018-08-02T23:17:47+00:00</t>
  </si>
  <si>
    <t>2018-08-03T21:49:54+00:00</t>
  </si>
  <si>
    <t>WYCKOFF</t>
  </si>
  <si>
    <t>07481-1943</t>
  </si>
  <si>
    <t>113-7748861-7191402</t>
  </si>
  <si>
    <t>2018-08-02T22:38:20+00:00</t>
  </si>
  <si>
    <t>2018-08-04T09:06:45+00:00</t>
  </si>
  <si>
    <t>MURRELLS INLET</t>
  </si>
  <si>
    <t>29576-8792</t>
  </si>
  <si>
    <t>114-9267917-4152253</t>
  </si>
  <si>
    <t>2018-08-02T21:52:12+00:00</t>
  </si>
  <si>
    <t>2018-08-03T05:20:28+00:00</t>
  </si>
  <si>
    <t>60625-1408</t>
  </si>
  <si>
    <t>112-0180668-6489871</t>
  </si>
  <si>
    <t>2018-08-02T21:18:02+00:00</t>
  </si>
  <si>
    <t>2018-08-05T05:23:23+00:00</t>
  </si>
  <si>
    <t>ROCKVILLE</t>
  </si>
  <si>
    <t>47872-1470</t>
  </si>
  <si>
    <t>113-4846293-6695459</t>
  </si>
  <si>
    <t>2018-08-02T21:01:43+00:00</t>
  </si>
  <si>
    <t>2018-08-03T07:20:32+00:00</t>
  </si>
  <si>
    <t>Real Looking Sleeping Reborn Baby Doll Girl Silicone Pink 22 inches</t>
  </si>
  <si>
    <t>DOLL-0601-PI-22</t>
  </si>
  <si>
    <t>B076J2TBNG</t>
  </si>
  <si>
    <t>HOUSTON</t>
  </si>
  <si>
    <t>77017-6801</t>
  </si>
  <si>
    <t>113-2187326-0672258</t>
  </si>
  <si>
    <t>2018-08-02T20:48:25+00:00</t>
  </si>
  <si>
    <t>2018-08-04T20:02:28+00:00</t>
  </si>
  <si>
    <t>Reborn Baby Doll Girl Look Real Silicone Denim Dress 22 Inches</t>
  </si>
  <si>
    <t>DOLL-0603-NZ-22</t>
  </si>
  <si>
    <t>B077SDPC6N</t>
  </si>
  <si>
    <t>Kingston</t>
  </si>
  <si>
    <t>ID</t>
  </si>
  <si>
    <t>111-2846526-7813855</t>
  </si>
  <si>
    <t>2018-08-02T20:19:31+00:00</t>
  </si>
  <si>
    <t>2018-08-03T03:51:08+00:00</t>
  </si>
  <si>
    <t>Alma</t>
  </si>
  <si>
    <t>Georgia</t>
  </si>
  <si>
    <t>114-0054584-5177008</t>
  </si>
  <si>
    <t>2018-08-02T20:09:34+00:00</t>
  </si>
  <si>
    <t>2018-08-04T02:53:39+00:00</t>
  </si>
  <si>
    <t>Full Silicone Body African American Reborn Baby Doll Girl Look Real Floral Dress Vintage Style 10 inches</t>
  </si>
  <si>
    <t>DO-YULQ058-SH-10</t>
  </si>
  <si>
    <t>B0793QZPK1</t>
  </si>
  <si>
    <t>carson</t>
  </si>
  <si>
    <t>ca</t>
  </si>
  <si>
    <t>112-1712062-5192200</t>
  </si>
  <si>
    <t>2018-08-02T19:33:58+00:00</t>
  </si>
  <si>
    <t>2018-08-03T22:06:17+00:00</t>
  </si>
  <si>
    <t>WILTON</t>
  </si>
  <si>
    <t>12831-1482</t>
  </si>
  <si>
    <t>113-9488003-3335460</t>
  </si>
  <si>
    <t>2018-08-02T18:10:39+00:00</t>
  </si>
  <si>
    <t>2018-08-03T16:38:03+00:00</t>
  </si>
  <si>
    <t>Reborn Baby Doll Outfits Girl Accessories for 20"- 22" White and Cow Pattern</t>
  </si>
  <si>
    <t>YF-YULQ003-W0-20</t>
  </si>
  <si>
    <t>B077T29TYP</t>
  </si>
  <si>
    <t>STOW</t>
  </si>
  <si>
    <t>01775-1250</t>
  </si>
  <si>
    <t>114-0199988-7200270</t>
  </si>
  <si>
    <t>2018-08-02T18:08:17+00:00</t>
  </si>
  <si>
    <t>2018-08-03T04:01:58+00:00</t>
  </si>
  <si>
    <t>ROCHESTER</t>
  </si>
  <si>
    <t>55901-8725</t>
  </si>
  <si>
    <t>111-5134517-8744210</t>
  </si>
  <si>
    <t>2018-08-02T17:43:48+00:00</t>
  </si>
  <si>
    <t>2018-08-03T06:40:00+00:00</t>
  </si>
  <si>
    <t>WINTER HAVEN</t>
  </si>
  <si>
    <t>33884-2879</t>
  </si>
  <si>
    <t>113-5836036-4670625</t>
  </si>
  <si>
    <t>2018-08-02T17:40:00+00:00</t>
  </si>
  <si>
    <t>2018-08-04T00:43:00+00:00</t>
  </si>
  <si>
    <t>MIAMI GARDENS</t>
  </si>
  <si>
    <t>33055-3445</t>
  </si>
  <si>
    <t>111-3608434-0011438</t>
  </si>
  <si>
    <t>2018-08-02T15:59:54+00:00</t>
  </si>
  <si>
    <t>2018-08-07T18:27:47+00:00</t>
  </si>
  <si>
    <t>HIALEAH</t>
  </si>
  <si>
    <t>33010-2676</t>
  </si>
  <si>
    <t>114-7452718-8985003</t>
  </si>
  <si>
    <t>2018-08-02T15:02:21+00:00</t>
  </si>
  <si>
    <t>2018-08-02T16:10:00+00:00</t>
  </si>
  <si>
    <t>CORAOPOLIS</t>
  </si>
  <si>
    <t>15108-2432</t>
  </si>
  <si>
    <t>114-9616788-6936205</t>
  </si>
  <si>
    <t>2018-08-02T14:32:44+00:00</t>
  </si>
  <si>
    <t>2018-08-03T14:28:18+00:00</t>
  </si>
  <si>
    <t>KNOXVILLE</t>
  </si>
  <si>
    <t>37923-6607</t>
  </si>
  <si>
    <t>112-9996592-6126662</t>
  </si>
  <si>
    <t>2018-08-02T13:42:27+00:00</t>
  </si>
  <si>
    <t>2018-08-02T22:52:42+00:00</t>
  </si>
  <si>
    <t>PERKINS</t>
  </si>
  <si>
    <t>OK</t>
  </si>
  <si>
    <t>74059-4215</t>
  </si>
  <si>
    <t>112-8181179-6352258</t>
  </si>
  <si>
    <t>2018-08-02T13:08:59+00:00</t>
  </si>
  <si>
    <t>2018-08-02T19:27:08+00:00</t>
  </si>
  <si>
    <t>BRIGHTON</t>
  </si>
  <si>
    <t>02135-1635</t>
  </si>
  <si>
    <t>111-6874055-6216239</t>
  </si>
  <si>
    <t>2018-08-02T11:36:50+00:00</t>
  </si>
  <si>
    <t>2018-08-02T11:42:02+00:00</t>
  </si>
  <si>
    <t>Realistic Reborn Baby Dolls Boy Look Real Silicone White Outfit with Crocodile Patterns 22 inches</t>
  </si>
  <si>
    <t>DO-YULQ606-W0-22</t>
  </si>
  <si>
    <t>B07BSFP5QZ</t>
  </si>
  <si>
    <t>PHILADELPHIA</t>
  </si>
  <si>
    <t>19140-5620</t>
  </si>
  <si>
    <t>111-4522482-5349035</t>
  </si>
  <si>
    <t>2018-08-02T09:48:20+00:00</t>
  </si>
  <si>
    <t>2018-08-02T18:45:52+00:00</t>
  </si>
  <si>
    <t>Moses Lake</t>
  </si>
  <si>
    <t>113-6546612-0301849</t>
  </si>
  <si>
    <t>2018-08-02T06:17:27+00:00</t>
  </si>
  <si>
    <t>2018-08-02T18:37:20+00:00</t>
  </si>
  <si>
    <t>Sarasota</t>
  </si>
  <si>
    <t>113-4025517-2571407</t>
  </si>
  <si>
    <t>2018-08-02T05:23:16+00:00</t>
  </si>
  <si>
    <t>2018-08-08T21:26:16+00:00</t>
  </si>
  <si>
    <t>3 Pcs Reborn Baby Doll Outfit Knitted for 20"- 22" Green</t>
  </si>
  <si>
    <t>DOLLDRESS-1612-GO-23</t>
  </si>
  <si>
    <t>B0778B83P8</t>
  </si>
  <si>
    <t>CORONA</t>
  </si>
  <si>
    <t>11368-1046</t>
  </si>
  <si>
    <t>112-8447933-9346626</t>
  </si>
  <si>
    <t>2018-08-02T05:21:44+00:00</t>
  </si>
  <si>
    <t>2018-08-03T08:10:42+00:00</t>
  </si>
  <si>
    <t>Real Life Reborn Baby Doll Girl Silicone Pink Outfit 15 inches</t>
  </si>
  <si>
    <t>DO-YULQ010-PI-15</t>
  </si>
  <si>
    <t>B0794ZPQ8B</t>
  </si>
  <si>
    <t>VANCOUVER</t>
  </si>
  <si>
    <t>98684-9816</t>
  </si>
  <si>
    <t>113-1431676-8596250</t>
  </si>
  <si>
    <t>2018-08-02T05:19:12+00:00</t>
  </si>
  <si>
    <t>2018-08-06T13:17:59+00:00</t>
  </si>
  <si>
    <t>113-6191341-1333835</t>
  </si>
  <si>
    <t>2018-08-02T03:43:42+00:00</t>
  </si>
  <si>
    <t>2018-08-04T23:11:12+00:00</t>
  </si>
  <si>
    <t>Slicone Vinyl Body Reborn Baby Doll Elephant Outfit Look Real Gray 10 inches</t>
  </si>
  <si>
    <t>DOLL-7056-LGR-11</t>
  </si>
  <si>
    <t>B077HNP6TL</t>
  </si>
  <si>
    <t>Forsyth</t>
  </si>
  <si>
    <t>Mt</t>
  </si>
  <si>
    <t>112-6570440-8905838</t>
  </si>
  <si>
    <t>2018-08-02T01:56:21+00:00</t>
  </si>
  <si>
    <t>2018-08-04T01:27:18+00:00</t>
  </si>
  <si>
    <t>CASTLE ROCK</t>
  </si>
  <si>
    <t>CO</t>
  </si>
  <si>
    <t>80109-4568</t>
  </si>
  <si>
    <t>111-7554967-3860264</t>
  </si>
  <si>
    <t>2018-08-02T00:31:55+00:00</t>
  </si>
  <si>
    <t>2018-08-04T05:29:08+00:00</t>
  </si>
  <si>
    <t>Springfield Gardens</t>
  </si>
  <si>
    <t>S01-5624709-3481856</t>
  </si>
  <si>
    <t>xi832hv937</t>
  </si>
  <si>
    <t>2018-08-03T02:17:33+00:00</t>
  </si>
  <si>
    <t>2018-08-13T23:56:40+00:00</t>
  </si>
  <si>
    <t>Cheap Full Silicone Reborn Baby Dolls Girl Bohemia Style Dress 10 Inches</t>
  </si>
  <si>
    <t>DO-YULQ705-BR-11</t>
  </si>
  <si>
    <t>B079K3D4WY</t>
  </si>
  <si>
    <t>114-3569932-0804210</t>
  </si>
  <si>
    <t>2018-08-03T23:35:39+00:00</t>
  </si>
  <si>
    <t>2018-08-04T10:28:34+00:00</t>
  </si>
  <si>
    <t>FORT HUACHUCA</t>
  </si>
  <si>
    <t>85613-1427</t>
  </si>
  <si>
    <t>113-5696002-6605034</t>
  </si>
  <si>
    <t>2018-08-03T23:04:00+00:00</t>
  </si>
  <si>
    <t>2018-08-05T08:33:55+00:00</t>
  </si>
  <si>
    <t>77379-2330</t>
  </si>
  <si>
    <t>113-1639235-6181829</t>
  </si>
  <si>
    <t>2018-08-03T22:24:12+00:00</t>
  </si>
  <si>
    <t>2018-08-04T09:02:08+00:00</t>
  </si>
  <si>
    <t>ORLANDO</t>
  </si>
  <si>
    <t>32811-6788</t>
  </si>
  <si>
    <t>111-9724093-9468219</t>
  </si>
  <si>
    <t>2018-08-03T22:08:55+00:00</t>
  </si>
  <si>
    <t>2018-08-08T00:43:08+00:00</t>
  </si>
  <si>
    <t>Realistic Reborn Baby Dolls Boy Toddler with Toy Bear Blue Outfit 22 inches</t>
  </si>
  <si>
    <t>DO-YULQ171-B0-22</t>
  </si>
  <si>
    <t>B079NW9791</t>
  </si>
  <si>
    <t>Colorado Springs</t>
  </si>
  <si>
    <t>Colorado</t>
  </si>
  <si>
    <t>112-3193732-9901008</t>
  </si>
  <si>
    <t>2018-08-03T21:59:13+00:00</t>
  </si>
  <si>
    <t>2018-08-06T21:56:44+00:00</t>
  </si>
  <si>
    <t>KATY</t>
  </si>
  <si>
    <t>TEXAS</t>
  </si>
  <si>
    <t>77449-1873</t>
  </si>
  <si>
    <t>113-1572524-4229845</t>
  </si>
  <si>
    <t>2018-08-03T20:20:56+00:00</t>
  </si>
  <si>
    <t>2018-08-08T18:55:18+00:00</t>
  </si>
  <si>
    <t>Aroda</t>
  </si>
  <si>
    <t>22709-1013</t>
  </si>
  <si>
    <t>112-3284844-3227412</t>
  </si>
  <si>
    <t>2018-08-03T18:47:56+00:00</t>
  </si>
  <si>
    <t>2018-08-04T17:04:39+00:00</t>
  </si>
  <si>
    <t>SAINT CHARLES</t>
  </si>
  <si>
    <t>60174-1264</t>
  </si>
  <si>
    <t>111-3374915-2477827</t>
  </si>
  <si>
    <t>2018-08-03T18:29:54+00:00</t>
  </si>
  <si>
    <t>2018-08-05T03:26:48+00:00</t>
  </si>
  <si>
    <t>113-4625203-9670607</t>
  </si>
  <si>
    <t>2018-08-03T18:26:18+00:00</t>
  </si>
  <si>
    <t>2018-08-05T14:36:55+00:00</t>
  </si>
  <si>
    <t>IMPERIAL</t>
  </si>
  <si>
    <t>63052-2110</t>
  </si>
  <si>
    <t>111-3567059-8902642</t>
  </si>
  <si>
    <t>2018-08-03T17:01:19+00:00</t>
  </si>
  <si>
    <t>2018-08-04T10:18:03+00:00</t>
  </si>
  <si>
    <t>112-9110165-6813803</t>
  </si>
  <si>
    <t>2018-08-03T16:46:30+00:00</t>
  </si>
  <si>
    <t>2018-08-06T17:13:44+00:00</t>
  </si>
  <si>
    <t>WALTHAM</t>
  </si>
  <si>
    <t>02451-4438</t>
  </si>
  <si>
    <t>114-4992015-2897003</t>
  </si>
  <si>
    <t>2018-08-03T16:04:13+00:00</t>
  </si>
  <si>
    <t>2018-08-04T15:33:57+00:00</t>
  </si>
  <si>
    <t>CAMBRIA</t>
  </si>
  <si>
    <t>93428-2722</t>
  </si>
  <si>
    <t>111-0076811-6249005</t>
  </si>
  <si>
    <t>2018-08-03T16:02:11+00:00</t>
  </si>
  <si>
    <t>2018-08-04T08:17:41+00:00</t>
  </si>
  <si>
    <t>SAN ANTONIO</t>
  </si>
  <si>
    <t>78258-4135</t>
  </si>
  <si>
    <t>113-1814847-3465007</t>
  </si>
  <si>
    <t>2018-08-03T15:50:40+00:00</t>
  </si>
  <si>
    <t>2018-08-05T15:49:59+00:00</t>
  </si>
  <si>
    <t>33166-5634</t>
  </si>
  <si>
    <t>114-8015209-0258617</t>
  </si>
  <si>
    <t>2018-08-03T15:47:13+00:00</t>
  </si>
  <si>
    <t>2018-08-03T22:20:38+00:00</t>
  </si>
  <si>
    <t>32819-9014</t>
  </si>
  <si>
    <t>112-1696396-7222625</t>
  </si>
  <si>
    <t>2018-08-03T15:34:35+00:00</t>
  </si>
  <si>
    <t>2018-08-06T19:26:36+00:00</t>
  </si>
  <si>
    <t>BACKUS</t>
  </si>
  <si>
    <t>56435-2426</t>
  </si>
  <si>
    <t>112-0231823-7355473</t>
  </si>
  <si>
    <t>2018-08-03T15:28:47+00:00</t>
  </si>
  <si>
    <t>2018-08-04T07:47:08+00:00</t>
  </si>
  <si>
    <t>ADRIAN</t>
  </si>
  <si>
    <t>49221-1027</t>
  </si>
  <si>
    <t>112-8249375-0612269</t>
  </si>
  <si>
    <t>2018-08-03T14:05:35+00:00</t>
  </si>
  <si>
    <t>2018-08-04T09:07:47+00:00</t>
  </si>
  <si>
    <t>toms river</t>
  </si>
  <si>
    <t>new jersey</t>
  </si>
  <si>
    <t>112-8164336-6309815</t>
  </si>
  <si>
    <t>2018-08-03T13:42:02+00:00</t>
  </si>
  <si>
    <t>2018-08-03T15:42:14+00:00</t>
  </si>
  <si>
    <t>yukon</t>
  </si>
  <si>
    <t>Pennsylvania</t>
  </si>
  <si>
    <t>YF-YULQ003-R2-20</t>
  </si>
  <si>
    <t>112-4942756-3388250</t>
  </si>
  <si>
    <t>2018-08-03T13:33:47+00:00</t>
  </si>
  <si>
    <t>2018-08-03T13:41:00+00:00</t>
  </si>
  <si>
    <t>WORCESTER</t>
  </si>
  <si>
    <t>01603-2837</t>
  </si>
  <si>
    <t>114-9955521-9661820</t>
  </si>
  <si>
    <t>2018-08-03T12:57:23+00:00</t>
  </si>
  <si>
    <t>2018-08-06T18:31:35+00:00</t>
  </si>
  <si>
    <t>33145-1616</t>
  </si>
  <si>
    <t>112-6941737-3701808</t>
  </si>
  <si>
    <t>2018-08-03T12:43:36+00:00</t>
  </si>
  <si>
    <t>2018-08-04T01:45:59+00:00</t>
  </si>
  <si>
    <t>22 inches Real Looking Reborn Baby Dolls Girl Realistic Toddler Silicone Vinyl White European Retro Nightdress</t>
  </si>
  <si>
    <t>DO-YULQ123-W0-22</t>
  </si>
  <si>
    <t>B07CM52CNC</t>
  </si>
  <si>
    <t>SICKLERVILLE</t>
  </si>
  <si>
    <t>08081-1316</t>
  </si>
  <si>
    <t>114-8000392-3537806</t>
  </si>
  <si>
    <t>2018-08-03T12:08:26+00:00</t>
  </si>
  <si>
    <t>2018-08-05T09:52:56+00:00</t>
  </si>
  <si>
    <t>SAN DIEGO</t>
  </si>
  <si>
    <t>92101-7709</t>
  </si>
  <si>
    <t>111-1251532-9017828</t>
  </si>
  <si>
    <t>2018-08-03T06:30:38+00:00</t>
  </si>
  <si>
    <t>2018-08-03T19:53:43+00:00</t>
  </si>
  <si>
    <t>Reborn Baby Dolls Boy Look Real Silicone Grey Outfit 22 inches</t>
  </si>
  <si>
    <t>DO-YULQ073-LGR-22</t>
  </si>
  <si>
    <t>B0792VRZ89</t>
  </si>
  <si>
    <t>VANCLEAVE</t>
  </si>
  <si>
    <t>MS</t>
  </si>
  <si>
    <t>39565-9743</t>
  </si>
  <si>
    <t>113-0962120-1301048</t>
  </si>
  <si>
    <t>2018-08-03T04:27:47+00:00</t>
  </si>
  <si>
    <t>2018-08-04T04:28:20+00:00</t>
  </si>
  <si>
    <t>KISSIMMEE</t>
  </si>
  <si>
    <t>34741-2018</t>
  </si>
  <si>
    <t>113-1991864-1021830</t>
  </si>
  <si>
    <t>2018-08-03T03:43:25+00:00</t>
  </si>
  <si>
    <t>2018-08-03T20:39:47+00:00</t>
  </si>
  <si>
    <t>Riverside</t>
  </si>
  <si>
    <t>111-0565796-7393801</t>
  </si>
  <si>
    <t>2018-08-03T02:21:19+00:00</t>
  </si>
  <si>
    <t>2018-08-03T17:27:03+00:00</t>
  </si>
  <si>
    <t>77073-4425</t>
  </si>
  <si>
    <t>111-6415096-1458619</t>
  </si>
  <si>
    <t>2018-08-03T01:28:32+00:00</t>
  </si>
  <si>
    <t>2018-08-03T02:02:58+00:00</t>
  </si>
  <si>
    <t>HOMESTEAD</t>
  </si>
  <si>
    <t>33032-4710</t>
  </si>
  <si>
    <t>113-4556446-4041021</t>
  </si>
  <si>
    <t>2018-08-03T01:14:12+00:00</t>
  </si>
  <si>
    <t>2018-08-03T02:24:04+00:00</t>
  </si>
  <si>
    <t>111-6443666-1273806</t>
  </si>
  <si>
    <t>2018-08-03T01:05:36+00:00</t>
  </si>
  <si>
    <t>2018-08-03T16:17:42+00:00</t>
  </si>
  <si>
    <t>New Orleans</t>
  </si>
  <si>
    <t>113-9742991-6269846</t>
  </si>
  <si>
    <t>2018-08-03T01:03:56+00:00</t>
  </si>
  <si>
    <t>2018-08-03T01:07:05+00:00</t>
  </si>
  <si>
    <t>64128-2163</t>
  </si>
  <si>
    <t>112-0559908-0083452</t>
  </si>
  <si>
    <t>2018-08-03T00:59:44+00:00</t>
  </si>
  <si>
    <t>2018-08-03T22:32:08+00:00</t>
  </si>
  <si>
    <t>Illinois</t>
  </si>
  <si>
    <t>111-9698606-5921826</t>
  </si>
  <si>
    <t>2018-08-03T00:49:05+00:00</t>
  </si>
  <si>
    <t>2018-08-03T08:58:51+00:00</t>
  </si>
  <si>
    <t>MANASSAS</t>
  </si>
  <si>
    <t>20109-8011</t>
  </si>
  <si>
    <t>112-5072577-5621023</t>
  </si>
  <si>
    <t>2018-08-04T23:59:54+00:00</t>
  </si>
  <si>
    <t>2018-08-06T22:13:02+00:00</t>
  </si>
  <si>
    <t>BALDWINSVILLE</t>
  </si>
  <si>
    <t>13027-9418</t>
  </si>
  <si>
    <t>113-4251229-0630658</t>
  </si>
  <si>
    <t>2018-08-04T23:20:03+00:00</t>
  </si>
  <si>
    <t>2018-08-05T14:57:52+00:00</t>
  </si>
  <si>
    <t>WAXHAW</t>
  </si>
  <si>
    <t>28173-7979</t>
  </si>
  <si>
    <t>111-0344143-3444254</t>
  </si>
  <si>
    <t>2018-08-04T22:48:25+00:00</t>
  </si>
  <si>
    <t>2018-08-05T19:31:26+00:00</t>
  </si>
  <si>
    <t>Sleeping Reborn Baby Doll Girl Look Real Silicone Pink with Cow Pattern 22 inches</t>
  </si>
  <si>
    <t>DOLL-0630-PI-22</t>
  </si>
  <si>
    <t>B076J4L24W</t>
  </si>
  <si>
    <t>STOCKDALE</t>
  </si>
  <si>
    <t>78160-6247</t>
  </si>
  <si>
    <t>111-8667226-5167438</t>
  </si>
  <si>
    <t>2018-08-04T22:11:01+00:00</t>
  </si>
  <si>
    <t>2018-08-06T18:09:30+00:00</t>
  </si>
  <si>
    <t>Yesteria Black Reborn Baby Dolls Full Silicone Body Real Looking Eye Closed Light Blue Outfit Small 10 Inches</t>
  </si>
  <si>
    <t>DO-YULQ006-B7-10</t>
  </si>
  <si>
    <t>B078Y8Y5F7</t>
  </si>
  <si>
    <t>OMAHA</t>
  </si>
  <si>
    <t>NE</t>
  </si>
  <si>
    <t>68124-3020</t>
  </si>
  <si>
    <t>114-9237641-8877801</t>
  </si>
  <si>
    <t>2018-08-04T22:04:46+00:00</t>
  </si>
  <si>
    <t>2018-08-05T18:02:16+00:00</t>
  </si>
  <si>
    <t>114-6438584-4679415</t>
  </si>
  <si>
    <t>2018-08-04T21:09:22+00:00</t>
  </si>
  <si>
    <t>2018-08-06T08:34:39+00:00</t>
  </si>
  <si>
    <t>EUGENE</t>
  </si>
  <si>
    <t>97404-4082</t>
  </si>
  <si>
    <t>111-6164594-6112241</t>
  </si>
  <si>
    <t>2018-08-04T20:47:48+00:00</t>
  </si>
  <si>
    <t>2018-08-06T16:00:24+00:00</t>
  </si>
  <si>
    <t>EVARTS</t>
  </si>
  <si>
    <t>40828-6510</t>
  </si>
  <si>
    <t>112-2161013-2782633</t>
  </si>
  <si>
    <t>2018-08-04T19:54:19+00:00</t>
  </si>
  <si>
    <t>2018-08-08T17:14:10+00:00</t>
  </si>
  <si>
    <t>33166-2663</t>
  </si>
  <si>
    <t>113-1204337-0444266</t>
  </si>
  <si>
    <t>2018-08-04T19:26:49+00:00</t>
  </si>
  <si>
    <t>2018-08-06T06:53:14+00:00</t>
  </si>
  <si>
    <t>San Diego</t>
  </si>
  <si>
    <t>California</t>
  </si>
  <si>
    <t>111-9860186-2661012</t>
  </si>
  <si>
    <t>2018-08-04T19:08:19+00:00</t>
  </si>
  <si>
    <t>2018-08-09T01:43:43+00:00</t>
  </si>
  <si>
    <t>Real Life Silicone Reborn Baby Dolls Boy Look Real Light Blue Outfit with Hippo Pattern 22 inches</t>
  </si>
  <si>
    <t>DO-YULQ152-B7-22</t>
  </si>
  <si>
    <t>B079JRG1TM</t>
  </si>
  <si>
    <t>Eads</t>
  </si>
  <si>
    <t>Tennessee</t>
  </si>
  <si>
    <t>112-5708563-6269811</t>
  </si>
  <si>
    <t>2018-08-04T18:12:37+00:00</t>
  </si>
  <si>
    <t>2018-08-06T15:04:14+00:00</t>
  </si>
  <si>
    <t>Powhatan</t>
  </si>
  <si>
    <t>Virginia</t>
  </si>
  <si>
    <t>111-3305462-1926660</t>
  </si>
  <si>
    <t>2018-08-04T18:07:34+00:00</t>
  </si>
  <si>
    <t>2018-08-06T18:14:23+00:00</t>
  </si>
  <si>
    <t>MABANK</t>
  </si>
  <si>
    <t>75147-3357</t>
  </si>
  <si>
    <t>111-6460510-5240229</t>
  </si>
  <si>
    <t>2018-08-04T17:37:30+00:00</t>
  </si>
  <si>
    <t>2018-08-06T14:42:14+00:00</t>
  </si>
  <si>
    <t>Atlanta</t>
  </si>
  <si>
    <t>111-2236517-1741813</t>
  </si>
  <si>
    <t>2018-08-04T16:46:32+00:00</t>
  </si>
  <si>
    <t>2018-08-04T16:50:20+00:00</t>
  </si>
  <si>
    <t>GRANGER</t>
  </si>
  <si>
    <t>50109-0323</t>
  </si>
  <si>
    <t>111-4093157-4143415</t>
  </si>
  <si>
    <t>2018-08-04T16:01:11+00:00</t>
  </si>
  <si>
    <t>2018-08-06T19:37:55+00:00</t>
  </si>
  <si>
    <t>114-0655692-2191443</t>
  </si>
  <si>
    <t>2018-08-04T15:25:29+00:00</t>
  </si>
  <si>
    <t>2018-08-04T20:01:26+00:00</t>
  </si>
  <si>
    <t>BROOKLYN PARK</t>
  </si>
  <si>
    <t>55444-1028</t>
  </si>
  <si>
    <t>111-1033330-4527407</t>
  </si>
  <si>
    <t>2018-08-04T15:17:11+00:00</t>
  </si>
  <si>
    <t>2018-08-04T15:17:20+00:00</t>
  </si>
  <si>
    <t>111-1765413-3664217</t>
  </si>
  <si>
    <t>2018-08-04T14:41:12+00:00</t>
  </si>
  <si>
    <t>2018-08-05T08:22:30+00:00</t>
  </si>
  <si>
    <t>Reborn Baby Dolls Full Silicone Body Real Looking Eye Closed Pink Outfit Small 10 inches</t>
  </si>
  <si>
    <t>DO-YULQ004-PI-11</t>
  </si>
  <si>
    <t>B078Y2G7XW</t>
  </si>
  <si>
    <t>33015-5195</t>
  </si>
  <si>
    <t>112-0270968-0713838</t>
  </si>
  <si>
    <t>2018-08-04T14:15:06+00:00</t>
  </si>
  <si>
    <t>2018-08-04T18:59:07+00:00</t>
  </si>
  <si>
    <t>Reborn Baby Doll Outfits Girl Accessories for 20"- 22" White and Black Zebra Pattern</t>
  </si>
  <si>
    <t>YF-YULQ008-BL-22</t>
  </si>
  <si>
    <t>B07FDCRR6Q</t>
  </si>
  <si>
    <t>POTOMAC</t>
  </si>
  <si>
    <t>20854-2708</t>
  </si>
  <si>
    <t>111-6652352-9983429</t>
  </si>
  <si>
    <t>2018-08-04T14:14:54+00:00</t>
  </si>
  <si>
    <t>2018-08-05T04:20:50+00:00</t>
  </si>
  <si>
    <t>Sleeping Soft Silicone Reborn Baby Dolls Girl Look Real Pink Outfit 16 inches</t>
  </si>
  <si>
    <t>DO-YULQ165-PI-16</t>
  </si>
  <si>
    <t>B07BLTPG2G</t>
  </si>
  <si>
    <t>SOMERVILLE</t>
  </si>
  <si>
    <t>02145-2126</t>
  </si>
  <si>
    <t>111-3039253-9861067</t>
  </si>
  <si>
    <t>2018-08-04T13:53:08+00:00</t>
  </si>
  <si>
    <t>2018-08-05T19:12:25+00:00</t>
  </si>
  <si>
    <t>Reborn Baby Dolls Boy Lifelike Toddler Silicone Vinyl Blue Baby Jumpsuit 18 inches</t>
  </si>
  <si>
    <t>DO-YULQ018-B0-18</t>
  </si>
  <si>
    <t>B0792VG6VZ</t>
  </si>
  <si>
    <t>BRAINTREE</t>
  </si>
  <si>
    <t>02184-8008</t>
  </si>
  <si>
    <t>112-8145334-2573062</t>
  </si>
  <si>
    <t>2018-08-04T13:51:45+00:00</t>
  </si>
  <si>
    <t>2018-08-06T18:22:32+00:00</t>
  </si>
  <si>
    <t>64114-3599</t>
  </si>
  <si>
    <t>114-8329939-4937010</t>
  </si>
  <si>
    <t>2018-08-04T13:49:02+00:00</t>
  </si>
  <si>
    <t>2018-08-07T21:02:30+00:00</t>
  </si>
  <si>
    <t>32839-5044</t>
  </si>
  <si>
    <t>113-5040201-5983450</t>
  </si>
  <si>
    <t>2018-08-04T13:21:37+00:00</t>
  </si>
  <si>
    <t>2018-08-05T18:34:02+00:00</t>
  </si>
  <si>
    <t>PRESTON</t>
  </si>
  <si>
    <t>21655-1365</t>
  </si>
  <si>
    <t>112-2556100-6459421</t>
  </si>
  <si>
    <t>2018-08-04T12:32:51+00:00</t>
  </si>
  <si>
    <t>2018-08-06T00:42:04+00:00</t>
  </si>
  <si>
    <t>FLANDERS</t>
  </si>
  <si>
    <t>07836-4205</t>
  </si>
  <si>
    <t>114-8636503-6053051</t>
  </si>
  <si>
    <t>2018-08-04T12:14:46+00:00</t>
  </si>
  <si>
    <t>2018-08-05T07:13:38+00:00</t>
  </si>
  <si>
    <t>COLEMAN</t>
  </si>
  <si>
    <t>48618-9642</t>
  </si>
  <si>
    <t>112-2337374-5301052</t>
  </si>
  <si>
    <t>2018-08-04T12:03:16+00:00</t>
  </si>
  <si>
    <t>2018-08-05T18:19:27+00:00</t>
  </si>
  <si>
    <t>Full Silicone Body Reborn Baby Dolls Girl Look Real Pink Knitted Outfit 22 inches</t>
  </si>
  <si>
    <t>DO-YULQ638-PI-20</t>
  </si>
  <si>
    <t>B07929YDZM</t>
  </si>
  <si>
    <t>RAMSEY</t>
  </si>
  <si>
    <t>07446-2670</t>
  </si>
  <si>
    <t>112-3110254-2936209</t>
  </si>
  <si>
    <t>2018-08-04T06:34:47+00:00</t>
  </si>
  <si>
    <t>2018-08-09T23:58:42+00:00</t>
  </si>
  <si>
    <t>Christiansted</t>
  </si>
  <si>
    <t>St Croix</t>
  </si>
  <si>
    <t>VI</t>
  </si>
  <si>
    <t>111-5148192-3526630</t>
  </si>
  <si>
    <t>2018-08-04T05:56:39+00:00</t>
  </si>
  <si>
    <t>2018-08-05T22:32:06+00:00</t>
  </si>
  <si>
    <t>Reborn Baby Dolls Girl Look Real Lifelike Toddler Silicone Vinyl Light Pink Knitted Outfit 22 Inches</t>
  </si>
  <si>
    <t>DO-YULQ107-PI-22</t>
  </si>
  <si>
    <t>B0795PQJS1</t>
  </si>
  <si>
    <t>32821-7812</t>
  </si>
  <si>
    <t>113-3194654-5909849</t>
  </si>
  <si>
    <t>2018-08-04T03:47:52+00:00</t>
  </si>
  <si>
    <t>2018-08-04T20:22:49+00:00</t>
  </si>
  <si>
    <t>LOS ANGELES</t>
  </si>
  <si>
    <t>90056-2213</t>
  </si>
  <si>
    <t>111-7492530-4313847</t>
  </si>
  <si>
    <t>2018-08-04T03:02:59+00:00</t>
  </si>
  <si>
    <t>2018-08-05T03:46:02+00:00</t>
  </si>
  <si>
    <t>WINDERMERE</t>
  </si>
  <si>
    <t>34786-5726</t>
  </si>
  <si>
    <t>113-4132196-3489050</t>
  </si>
  <si>
    <t>2018-08-04T02:57:28+00:00</t>
  </si>
  <si>
    <t>2018-08-05T10:47:36+00:00</t>
  </si>
  <si>
    <t>VICTORVILLE</t>
  </si>
  <si>
    <t>92394-7012</t>
  </si>
  <si>
    <t>111-3291191-4947433</t>
  </si>
  <si>
    <t>2018-08-04T02:31:48+00:00</t>
  </si>
  <si>
    <t>2018-08-05T03:43:26+00:00</t>
  </si>
  <si>
    <t>RICHMOND</t>
  </si>
  <si>
    <t>94804-1227</t>
  </si>
  <si>
    <t>112-9608244-8496216</t>
  </si>
  <si>
    <t>2018-08-04T02:01:05+00:00</t>
  </si>
  <si>
    <t>2018-08-05T05:20:00+00:00</t>
  </si>
  <si>
    <t>33195-6412</t>
  </si>
  <si>
    <t>111-0144777-5095454</t>
  </si>
  <si>
    <t>2018-08-04T01:54:43+00:00</t>
  </si>
  <si>
    <t>2018-08-04T10:28:37+00:00</t>
  </si>
  <si>
    <t>CAMERON</t>
  </si>
  <si>
    <t>76520-1846</t>
  </si>
  <si>
    <t>113-7142379-9938633</t>
  </si>
  <si>
    <t>2018-08-04T01:20:13+00:00</t>
  </si>
  <si>
    <t>2018-08-04T01:22:27+00:00</t>
  </si>
  <si>
    <t>11368-3025</t>
  </si>
  <si>
    <t>114-7376198-7722626</t>
  </si>
  <si>
    <t>2018-08-04T00:40:25+00:00</t>
  </si>
  <si>
    <t>2018-08-06T20:30:18+00:00</t>
  </si>
  <si>
    <t>DANBURY</t>
  </si>
  <si>
    <t>NH</t>
  </si>
  <si>
    <t>03230-4615</t>
  </si>
  <si>
    <t>111-5533603-8122637</t>
  </si>
  <si>
    <t>2018-08-04T00:33:12+00:00</t>
  </si>
  <si>
    <t>2018-08-05T23:38:06+00:00</t>
  </si>
  <si>
    <t>Realistic Reborn Baby Dolls Girl Eye Closed with Toy Bear Tutu Skirt Light Purple 22 inches</t>
  </si>
  <si>
    <t>DO-YULQ064-X0-22</t>
  </si>
  <si>
    <t>B079NY4SZ4</t>
  </si>
  <si>
    <t>SIOUX CITY</t>
  </si>
  <si>
    <t>IOWA</t>
  </si>
  <si>
    <t>51106-2352</t>
  </si>
  <si>
    <t>113-6598529-6945067</t>
  </si>
  <si>
    <t>2018-08-04T00:31:47+00:00</t>
  </si>
  <si>
    <t>2018-08-04T05:50:19+00:00</t>
  </si>
  <si>
    <t>MAGNOLIA</t>
  </si>
  <si>
    <t>77355-3928</t>
  </si>
  <si>
    <t>113-2639550-4675424</t>
  </si>
  <si>
    <t>2018-08-05T23:36:02+00:00</t>
  </si>
  <si>
    <t>2018-08-06T05:48:29+00:00</t>
  </si>
  <si>
    <t>MASHPEE</t>
  </si>
  <si>
    <t>02649-4041</t>
  </si>
  <si>
    <t>111-3191913-8057813</t>
  </si>
  <si>
    <t>2018-08-05T23:16:49+00:00</t>
  </si>
  <si>
    <t>2018-08-08T01:45:10+00:00</t>
  </si>
  <si>
    <t>Black Full Body Silicone Reborn Baby Dolls Boy Cheap White Outfit 10 inches</t>
  </si>
  <si>
    <t>DO-YULQ005-W0-11</t>
  </si>
  <si>
    <t>B079JQGCBR</t>
  </si>
  <si>
    <t>GRAND PRAIRIE</t>
  </si>
  <si>
    <t>75052-3408</t>
  </si>
  <si>
    <t>112-9563616-5064214</t>
  </si>
  <si>
    <t>2018-08-05T22:52:18+00:00</t>
  </si>
  <si>
    <t>2018-08-06T20:28:29+00:00</t>
  </si>
  <si>
    <t>Duarte</t>
  </si>
  <si>
    <t>114-0513341-2827415</t>
  </si>
  <si>
    <t>2018-08-05T22:13:07+00:00</t>
  </si>
  <si>
    <t>2018-08-08T10:57:01+00:00</t>
  </si>
  <si>
    <t>SAN BERNARDINO</t>
  </si>
  <si>
    <t>CALIFORNIA</t>
  </si>
  <si>
    <t>92411-2219</t>
  </si>
  <si>
    <t>113-3582405-3909054</t>
  </si>
  <si>
    <t>2018-08-05T21:56:51+00:00</t>
  </si>
  <si>
    <t>2018-08-06T12:33:09+00:00</t>
  </si>
  <si>
    <t>Huntersville</t>
  </si>
  <si>
    <t>28078-2282</t>
  </si>
  <si>
    <t>113-3083709-7221823</t>
  </si>
  <si>
    <t>2018-08-05T21:24:48+00:00</t>
  </si>
  <si>
    <t>2018-08-07T04:08:32+00:00</t>
  </si>
  <si>
    <t>SAN LEANDRO</t>
  </si>
  <si>
    <t>94577-2636</t>
  </si>
  <si>
    <t>111-3183726-2400234</t>
  </si>
  <si>
    <t>2018-08-05T20:27:58+00:00</t>
  </si>
  <si>
    <t>2018-08-06T15:21:21+00:00</t>
  </si>
  <si>
    <t>Realistic Reborn Baby Dolls Girl Look Real Toddler Silicone Light Purple Outfit with Cushion 16 Inches</t>
  </si>
  <si>
    <t>DO-YULQ018-P4-16</t>
  </si>
  <si>
    <t>B078X5DJLB</t>
  </si>
  <si>
    <t>WOODBRIDGE</t>
  </si>
  <si>
    <t>CT</t>
  </si>
  <si>
    <t>06525-1523</t>
  </si>
  <si>
    <t>111-1065435-7473868</t>
  </si>
  <si>
    <t>2018-08-05T20:09:26+00:00</t>
  </si>
  <si>
    <t>2018-08-06T06:07:20+00:00</t>
  </si>
  <si>
    <t>Reborn Baby Doll Girl Look Real Silicone Pink Tutu Skirt 22 Inches</t>
  </si>
  <si>
    <t>DOLL-AD011-PI-22</t>
  </si>
  <si>
    <t>B077SGXYL6</t>
  </si>
  <si>
    <t>85364-9232</t>
  </si>
  <si>
    <t>VPC-1-37041871 Coupon</t>
  </si>
  <si>
    <t>113-1001767-7751454</t>
  </si>
  <si>
    <t>2018-08-05T19:59:51+00:00</t>
  </si>
  <si>
    <t>2018-08-06T03:50:50+00:00</t>
  </si>
  <si>
    <t>Cheboygan</t>
  </si>
  <si>
    <t>Mi</t>
  </si>
  <si>
    <t>111-9774207-8275438</t>
  </si>
  <si>
    <t>2018-08-05T19:57:48+00:00</t>
  </si>
  <si>
    <t>2018-08-07T03:20:49+00:00</t>
  </si>
  <si>
    <t>FENTON</t>
  </si>
  <si>
    <t>63026-3310</t>
  </si>
  <si>
    <t>113-5500594-7095458</t>
  </si>
  <si>
    <t>2018-08-05T19:14:17+00:00</t>
  </si>
  <si>
    <t>2018-08-07T03:21:47+00:00</t>
  </si>
  <si>
    <t>CHESTERFIELD</t>
  </si>
  <si>
    <t>63017-2400</t>
  </si>
  <si>
    <t>113-5785802-9121822</t>
  </si>
  <si>
    <t>2018-08-05T19:00:03+00:00</t>
  </si>
  <si>
    <t>2018-08-06T17:49:27+00:00</t>
  </si>
  <si>
    <t>90011-4226</t>
  </si>
  <si>
    <t>114-8732214-1213047</t>
  </si>
  <si>
    <t>2018-08-05T18:53:52+00:00</t>
  </si>
  <si>
    <t>2018-08-06T22:40:16+00:00</t>
  </si>
  <si>
    <t>BABB</t>
  </si>
  <si>
    <t>MONTANA</t>
  </si>
  <si>
    <t>114-0433856-5904264</t>
  </si>
  <si>
    <t>2018-08-05T18:48:55+00:00</t>
  </si>
  <si>
    <t>2018-08-07T04:36:46+00:00</t>
  </si>
  <si>
    <t>Lyman</t>
  </si>
  <si>
    <t>Wy</t>
  </si>
  <si>
    <t>113-1924080-0362645</t>
  </si>
  <si>
    <t>2018-08-05T18:47:25+00:00</t>
  </si>
  <si>
    <t>2018-08-06T17:23:14+00:00</t>
  </si>
  <si>
    <t>STICKNEY</t>
  </si>
  <si>
    <t>60402-4264</t>
  </si>
  <si>
    <t>114-8692812-8205047</t>
  </si>
  <si>
    <t>2018-08-05T18:41:12+00:00</t>
  </si>
  <si>
    <t>2018-08-05T19:17:56+00:00</t>
  </si>
  <si>
    <t>CLIFTON</t>
  </si>
  <si>
    <t>81520-9130</t>
  </si>
  <si>
    <t>111-9703781-2905826</t>
  </si>
  <si>
    <t>2018-08-05T18:31:28+00:00</t>
  </si>
  <si>
    <t>2018-08-07T21:32:29+00:00</t>
  </si>
  <si>
    <t>Reborn Baby Dolls Boy Look Real White and Light Blue Outfit Crocodile Patterns 22 Inches</t>
  </si>
  <si>
    <t>DOLL-100-LB-22</t>
  </si>
  <si>
    <t>B077SHDMC8</t>
  </si>
  <si>
    <t>RIO RANCHO</t>
  </si>
  <si>
    <t>NM</t>
  </si>
  <si>
    <t>87124-8839</t>
  </si>
  <si>
    <t>114-7323261-3637058</t>
  </si>
  <si>
    <t>2018-08-05T18:31:02+00:00</t>
  </si>
  <si>
    <t>2018-08-09T06:15:35+00:00</t>
  </si>
  <si>
    <t>33157-8209</t>
  </si>
  <si>
    <t>113-3528207-1049068</t>
  </si>
  <si>
    <t>2018-08-05T18:26:24+00:00</t>
  </si>
  <si>
    <t>2018-08-06T15:20:26+00:00</t>
  </si>
  <si>
    <t>LIBERTY HILL</t>
  </si>
  <si>
    <t>78642-2104</t>
  </si>
  <si>
    <t>114-6668875-5068242</t>
  </si>
  <si>
    <t>2018-08-05T18:17:31+00:00</t>
  </si>
  <si>
    <t>2018-08-08T19:44:16+00:00</t>
  </si>
  <si>
    <t>PUYALLUP</t>
  </si>
  <si>
    <t>98375-8522</t>
  </si>
  <si>
    <t>111-6123839-1977012</t>
  </si>
  <si>
    <t>2018-08-05T17:43:32+00:00</t>
  </si>
  <si>
    <t>2018-08-07T23:44:14+00:00</t>
  </si>
  <si>
    <t>Reborn Baby Dolls Girl Look Real Lifelike Toddler with Toy Chicken and Cushion White Baby Jumpsuit White Outfit 16 inches</t>
  </si>
  <si>
    <t>DO-YULQ162-PI-16</t>
  </si>
  <si>
    <t>B07BFVF3GM</t>
  </si>
  <si>
    <t>DECATUR</t>
  </si>
  <si>
    <t>GA</t>
  </si>
  <si>
    <t>30030-1667</t>
  </si>
  <si>
    <t>112-8187810-1720207</t>
  </si>
  <si>
    <t>2018-08-05T17:32:07+00:00</t>
  </si>
  <si>
    <t>2018-08-06T15:32:21+00:00</t>
  </si>
  <si>
    <t>NEW VIENNA</t>
  </si>
  <si>
    <t>45159-9397</t>
  </si>
  <si>
    <t>113-8924866-2442601</t>
  </si>
  <si>
    <t>2018-08-05T17:28:14+00:00</t>
  </si>
  <si>
    <t>2018-08-07T01:31:37+00:00</t>
  </si>
  <si>
    <t>HAMILTON</t>
  </si>
  <si>
    <t>08691-3339</t>
  </si>
  <si>
    <t>113-6716374-7789823</t>
  </si>
  <si>
    <t>2018-08-05T16:08:35+00:00</t>
  </si>
  <si>
    <t>2018-08-06T08:11:00+00:00</t>
  </si>
  <si>
    <t>PITTSBURGH</t>
  </si>
  <si>
    <t>15214-2118</t>
  </si>
  <si>
    <t>114-3743458-6165831</t>
  </si>
  <si>
    <t>2018-08-05T15:52:15+00:00</t>
  </si>
  <si>
    <t>2018-08-11T00:40:31+00:00</t>
  </si>
  <si>
    <t>Reborn Baby Doll Boy Look Real Silicone Light Blue Outfit 22 inches</t>
  </si>
  <si>
    <t>DOLL-1613-LB-22</t>
  </si>
  <si>
    <t>B076MT3BDS</t>
  </si>
  <si>
    <t>Newtown</t>
  </si>
  <si>
    <t>US Core Free Shipping Promotion A3JU1FCINF5SD0,VPC-1-37010181 Coupon</t>
  </si>
  <si>
    <t>113-9361444-7321022</t>
  </si>
  <si>
    <t>2018-08-05T15:07:35+00:00</t>
  </si>
  <si>
    <t>2018-08-06T02:21:51+00:00</t>
  </si>
  <si>
    <t>GAYLORD</t>
  </si>
  <si>
    <t>49735-8483</t>
  </si>
  <si>
    <t>111-3261822-7973815</t>
  </si>
  <si>
    <t>2018-08-05T14:46:00+00:00</t>
  </si>
  <si>
    <t>2018-08-13T06:16:57+00:00</t>
  </si>
  <si>
    <t>Pineville</t>
  </si>
  <si>
    <t>La</t>
  </si>
  <si>
    <t>113-5782071-7179415</t>
  </si>
  <si>
    <t>2018-08-05T14:41:55+00:00</t>
  </si>
  <si>
    <t>2018-08-06T06:30:14+00:00</t>
  </si>
  <si>
    <t>WATERLOO</t>
  </si>
  <si>
    <t>50701-3358</t>
  </si>
  <si>
    <t>112-5339758-6014655</t>
  </si>
  <si>
    <t>2018-08-05T12:21:58+00:00</t>
  </si>
  <si>
    <t>2018-08-06T00:57:25+00:00</t>
  </si>
  <si>
    <t>Full Silicone Body Reborn Baby Doll Boy Light Blue Outfit with Hippo Pattern 22 inches</t>
  </si>
  <si>
    <t>DO-YULQ153-B7-22</t>
  </si>
  <si>
    <t>B07BDDC5WH</t>
  </si>
  <si>
    <t>32839-5388</t>
  </si>
  <si>
    <t>114-6386013-2551426</t>
  </si>
  <si>
    <t>2018-08-05T06:10:28+00:00</t>
  </si>
  <si>
    <t>2018-08-05T06:10:43+00:00</t>
  </si>
  <si>
    <t>MEMPHIS</t>
  </si>
  <si>
    <t>38114-1604</t>
  </si>
  <si>
    <t>113-8644420-7693040</t>
  </si>
  <si>
    <t>2018-08-05T03:00:05+00:00</t>
  </si>
  <si>
    <t>2018-08-06T13:11:39+00:00</t>
  </si>
  <si>
    <t>Reborn Baby Doll Boy Look Real Silicone Blue Outfit 22 inches</t>
  </si>
  <si>
    <t>DOLL-9042-B0-22</t>
  </si>
  <si>
    <t>B076J5RSFF</t>
  </si>
  <si>
    <t>LAFAYETTE</t>
  </si>
  <si>
    <t>47909-6348</t>
  </si>
  <si>
    <t>114-8908446-3593010</t>
  </si>
  <si>
    <t>2018-08-05T01:31:48+00:00</t>
  </si>
  <si>
    <t>2018-08-06T12:46:25+00:00</t>
  </si>
  <si>
    <t>woodside</t>
  </si>
  <si>
    <t>n.y.</t>
  </si>
  <si>
    <t>113-6201152-1813022</t>
  </si>
  <si>
    <t>2018-08-05T01:20:59+00:00</t>
  </si>
  <si>
    <t>2018-08-05T21:34:24+00:00</t>
  </si>
  <si>
    <t>77036-1518</t>
  </si>
  <si>
    <t>114-9748830-6108221</t>
  </si>
  <si>
    <t>2018-08-05T00:23:26+00:00</t>
  </si>
  <si>
    <t>2018-08-06T16:51:41+00:00</t>
  </si>
  <si>
    <t>BARK RIVER</t>
  </si>
  <si>
    <t>49807-9572</t>
  </si>
  <si>
    <t>111-0273751-8692219</t>
  </si>
  <si>
    <t>2018-08-05T00:05:59+00:00</t>
  </si>
  <si>
    <t>2018-08-06T09:52:13+00:00</t>
  </si>
  <si>
    <t>MORGANTOWN</t>
  </si>
  <si>
    <t>26505-3850</t>
  </si>
  <si>
    <t>113-4713323-8188219</t>
  </si>
  <si>
    <t>2018-08-06T23:46:30+00:00</t>
  </si>
  <si>
    <t>2018-08-07T15:41:37+00:00</t>
  </si>
  <si>
    <t>LOUISVILLE</t>
  </si>
  <si>
    <t>40299-1429</t>
  </si>
  <si>
    <t>112-2843169-6563406</t>
  </si>
  <si>
    <t>2018-08-06T23:22:07+00:00</t>
  </si>
  <si>
    <t>2018-08-08T03:07:30+00:00</t>
  </si>
  <si>
    <t>HUNTINGTON WOODS</t>
  </si>
  <si>
    <t>MICHIGAN</t>
  </si>
  <si>
    <t>48070-1520</t>
  </si>
  <si>
    <t>113-1836099-9818607</t>
  </si>
  <si>
    <t>2018-08-06T23:16:15+00:00</t>
  </si>
  <si>
    <t>2018-08-06T23:16:40+00:00</t>
  </si>
  <si>
    <t>NEW LENOX</t>
  </si>
  <si>
    <t>60451-1957</t>
  </si>
  <si>
    <t>113-3544122-2978610</t>
  </si>
  <si>
    <t>2018-08-06T23:06:28+00:00</t>
  </si>
  <si>
    <t>2018-08-08T10:28:18+00:00</t>
  </si>
  <si>
    <t>MONTGOMERY</t>
  </si>
  <si>
    <t>77356-5934</t>
  </si>
  <si>
    <t>113-3564840-4997062</t>
  </si>
  <si>
    <t>2018-08-06T22:52:13+00:00</t>
  </si>
  <si>
    <t>2018-08-08T18:56:49+00:00</t>
  </si>
  <si>
    <t>ATTLEBORO</t>
  </si>
  <si>
    <t>02703-4071</t>
  </si>
  <si>
    <t>111-0044383-9199404</t>
  </si>
  <si>
    <t>2018-08-06T22:45:03+00:00</t>
  </si>
  <si>
    <t>2018-08-11T16:20:27+00:00</t>
  </si>
  <si>
    <t>TAMARAC</t>
  </si>
  <si>
    <t>33321-1718</t>
  </si>
  <si>
    <t>112-2063552-0533846</t>
  </si>
  <si>
    <t>2018-08-06T22:01:51+00:00</t>
  </si>
  <si>
    <t>2018-08-08T03:30:51+00:00</t>
  </si>
  <si>
    <t>MENLO PARK</t>
  </si>
  <si>
    <t>94025-5001</t>
  </si>
  <si>
    <t>111-0341838-3706609</t>
  </si>
  <si>
    <t>2018-08-06T21:18:52+00:00</t>
  </si>
  <si>
    <t>2018-08-07T08:04:43+00:00</t>
  </si>
  <si>
    <t>Fuquay Varina</t>
  </si>
  <si>
    <t>114-3503602-4987451</t>
  </si>
  <si>
    <t>2018-08-06T21:03:57+00:00</t>
  </si>
  <si>
    <t>2018-08-08T03:22:39+00:00</t>
  </si>
  <si>
    <t>Real Looking Reborn Baby Dolls Twins Boy Silicone Light Blue 22 inches</t>
  </si>
  <si>
    <t>DO-YULQ163-B7-22</t>
  </si>
  <si>
    <t>B078XBDF6J</t>
  </si>
  <si>
    <t>DALLAS</t>
  </si>
  <si>
    <t>75230-2903</t>
  </si>
  <si>
    <t>111-9392959-5625020</t>
  </si>
  <si>
    <t>2018-08-06T19:00:40+00:00</t>
  </si>
  <si>
    <t>2018-08-09T09:30:04+00:00</t>
  </si>
  <si>
    <t>MARCELLUS</t>
  </si>
  <si>
    <t>13108-1327</t>
  </si>
  <si>
    <t>112-8931397-4589066</t>
  </si>
  <si>
    <t>2018-08-06T18:19:49+00:00</t>
  </si>
  <si>
    <t>2018-08-07T08:54:21+00:00</t>
  </si>
  <si>
    <t>90036-3193</t>
  </si>
  <si>
    <t>113-8004089-2200235</t>
  </si>
  <si>
    <t>2018-08-06T18:12:04+00:00</t>
  </si>
  <si>
    <t>2018-08-08T06:43:10+00:00</t>
  </si>
  <si>
    <t>92882-3654</t>
  </si>
  <si>
    <t>114-5653758-0495452</t>
  </si>
  <si>
    <t>2018-08-06T16:43:11+00:00</t>
  </si>
  <si>
    <t>2018-08-07T19:52:45+00:00</t>
  </si>
  <si>
    <t>RAYMOND</t>
  </si>
  <si>
    <t>93653-9513</t>
  </si>
  <si>
    <t>111-0634949-8905054</t>
  </si>
  <si>
    <t>2018-08-06T15:43:04+00:00</t>
  </si>
  <si>
    <t>2018-08-07T17:17:40+00:00</t>
  </si>
  <si>
    <t>WILLOW RIVER</t>
  </si>
  <si>
    <t>55795-3069</t>
  </si>
  <si>
    <t>113-0135371-0634668</t>
  </si>
  <si>
    <t>2018-08-06T14:41:47+00:00</t>
  </si>
  <si>
    <t>2018-08-07T20:24:16+00:00</t>
  </si>
  <si>
    <t>WESTERVILLE</t>
  </si>
  <si>
    <t>43081-9589</t>
  </si>
  <si>
    <t>113-4794152-2172258</t>
  </si>
  <si>
    <t>2018-08-06T14:26:36+00:00</t>
  </si>
  <si>
    <t>2018-08-07T19:26:13+00:00</t>
  </si>
  <si>
    <t>warren</t>
  </si>
  <si>
    <t>oh</t>
  </si>
  <si>
    <t>111-8355092-3274621</t>
  </si>
  <si>
    <t>2018-08-06T13:56:21+00:00</t>
  </si>
  <si>
    <t>2018-08-07T07:09:33+00:00</t>
  </si>
  <si>
    <t>NORTH MIAMI BEACH</t>
  </si>
  <si>
    <t>33162-6017</t>
  </si>
  <si>
    <t>112-4346297-2962624</t>
  </si>
  <si>
    <t>2018-08-06T13:51:58+00:00</t>
  </si>
  <si>
    <t>2018-08-07T02:30:43+00:00</t>
  </si>
  <si>
    <t>Taylors</t>
  </si>
  <si>
    <t>south carolina</t>
  </si>
  <si>
    <t>111-1538313-2973049</t>
  </si>
  <si>
    <t>2018-08-06T08:56:34+00:00</t>
  </si>
  <si>
    <t>2018-08-06T17:13:13+00:00</t>
  </si>
  <si>
    <t>ASHLAND</t>
  </si>
  <si>
    <t>41102-8056</t>
  </si>
  <si>
    <t>113-8012804-9029048</t>
  </si>
  <si>
    <t>2018-08-06T04:25:04+00:00</t>
  </si>
  <si>
    <t>2018-08-07T04:36:55+00:00</t>
  </si>
  <si>
    <t>Costa mesa</t>
  </si>
  <si>
    <t>Ca</t>
  </si>
  <si>
    <t>114-6694231-6037816</t>
  </si>
  <si>
    <t>2018-08-06T03:49:58+00:00</t>
  </si>
  <si>
    <t>2018-08-06T23:33:21+00:00</t>
  </si>
  <si>
    <t>Coronado</t>
  </si>
  <si>
    <t>112-0799540-0750652</t>
  </si>
  <si>
    <t>2018-08-06T02:43:27+00:00</t>
  </si>
  <si>
    <t>2018-08-07T02:34:00+00:00</t>
  </si>
  <si>
    <t>NORTH CANTON</t>
  </si>
  <si>
    <t>44720-6687</t>
  </si>
  <si>
    <t>114-9893488-7167450</t>
  </si>
  <si>
    <t>2018-08-06T02:39:17+00:00</t>
  </si>
  <si>
    <t>2018-08-06T19:56:46+00:00</t>
  </si>
  <si>
    <t>GAINESVILLE</t>
  </si>
  <si>
    <t>30506-3950</t>
  </si>
  <si>
    <t>113-1499212-1805802</t>
  </si>
  <si>
    <t>2018-08-06T01:58:04+00:00</t>
  </si>
  <si>
    <t>2018-08-11T03:52:55+00:00</t>
  </si>
  <si>
    <t>ODELL</t>
  </si>
  <si>
    <t>ILLINOIS</t>
  </si>
  <si>
    <t>60460-9435</t>
  </si>
  <si>
    <t>111-5664717-7065024</t>
  </si>
  <si>
    <t>2018-08-06T01:48:21+00:00</t>
  </si>
  <si>
    <t>2018-08-07T04:44:08+00:00</t>
  </si>
  <si>
    <t>IRVING</t>
  </si>
  <si>
    <t>75062-3063</t>
  </si>
  <si>
    <t>112-5359926-3864214</t>
  </si>
  <si>
    <t>2018-08-06T01:39:57+00:00</t>
  </si>
  <si>
    <t>2018-08-06T16:00:47+00:00</t>
  </si>
  <si>
    <t>MIDDLEBURY CENTER</t>
  </si>
  <si>
    <t>16935-9521</t>
  </si>
  <si>
    <t>111-9041480-5477817</t>
  </si>
  <si>
    <t>2018-08-06T01:16:45+00:00</t>
  </si>
  <si>
    <t>2018-08-10T23:24:11+00:00</t>
  </si>
  <si>
    <t>76244-4985</t>
  </si>
  <si>
    <t>111-9780814-7753038</t>
  </si>
  <si>
    <t>2018-08-06T00:57:35+00:00</t>
  </si>
  <si>
    <t>2018-08-07T19:39:08+00:00</t>
  </si>
  <si>
    <t>44460-1853</t>
  </si>
  <si>
    <t>112-0246748-1924214</t>
  </si>
  <si>
    <t>2018-08-06T00:56:02+00:00</t>
  </si>
  <si>
    <t>2018-08-06T22:11:36+00:00</t>
  </si>
  <si>
    <t>BASILE</t>
  </si>
  <si>
    <t>112-5027236-3153842</t>
  </si>
  <si>
    <t>2018-08-06T00:39:48+00:00</t>
  </si>
  <si>
    <t>2018-08-06T18:01:19+00:00</t>
  </si>
  <si>
    <t>94578-3002</t>
  </si>
  <si>
    <t>111-3338681-0982656</t>
  </si>
  <si>
    <t>2018-08-06T00:25:31+00:00</t>
  </si>
  <si>
    <t>2018-08-06T21:31:42+00:00</t>
  </si>
  <si>
    <t>SEVIERVILLE</t>
  </si>
  <si>
    <t>37876-1270</t>
  </si>
  <si>
    <t>112-6551861-6468235</t>
  </si>
  <si>
    <t>2018-08-06T00:06:34+00:00</t>
  </si>
  <si>
    <t>2018-08-07T22:45:23+00:00</t>
  </si>
  <si>
    <t>hanover</t>
  </si>
  <si>
    <t>md</t>
  </si>
  <si>
    <t>114-8511124-7433823</t>
  </si>
  <si>
    <t>2018-08-07T23:21:23+00:00</t>
  </si>
  <si>
    <t>2018-08-08T18:23:10+00:00</t>
  </si>
  <si>
    <t>113-4020383-7501847</t>
  </si>
  <si>
    <t>2018-08-07T23:16:46+00:00</t>
  </si>
  <si>
    <t>2018-08-13T06:18:12+00:00</t>
  </si>
  <si>
    <t>CARRIERE</t>
  </si>
  <si>
    <t>39426-8765</t>
  </si>
  <si>
    <t>114-5669349-6308203</t>
  </si>
  <si>
    <t>2018-08-07T22:36:52+00:00</t>
  </si>
  <si>
    <t>2018-08-08T04:08:00+00:00</t>
  </si>
  <si>
    <t>OCEAN CITY</t>
  </si>
  <si>
    <t>MARYLAND</t>
  </si>
  <si>
    <t>21842-9792</t>
  </si>
  <si>
    <t>114-1139492-2329000</t>
  </si>
  <si>
    <t>2018-08-07T22:34:37+00:00</t>
  </si>
  <si>
    <t>2018-08-13T10:47:31+00:00</t>
  </si>
  <si>
    <t>BRONX</t>
  </si>
  <si>
    <t>10454-2131</t>
  </si>
  <si>
    <t>114-4584148-3641041</t>
  </si>
  <si>
    <t>2018-08-07T21:31:25+00:00</t>
  </si>
  <si>
    <t>2018-08-08T01:47:52+00:00</t>
  </si>
  <si>
    <t>CHILLICOTHE</t>
  </si>
  <si>
    <t>45601-8944</t>
  </si>
  <si>
    <t>114-9099106-8615448</t>
  </si>
  <si>
    <t>2018-08-07T21:30:22+00:00</t>
  </si>
  <si>
    <t>2018-08-08T20:47:27+00:00</t>
  </si>
  <si>
    <t>MOUNT PLEASANT</t>
  </si>
  <si>
    <t>29466-8365</t>
  </si>
  <si>
    <t>113-7856351-7139455</t>
  </si>
  <si>
    <t>2018-08-07T20:43:57+00:00</t>
  </si>
  <si>
    <t>2018-08-08T22:29:06+00:00</t>
  </si>
  <si>
    <t>BASKING RIDGE</t>
  </si>
  <si>
    <t>07920-1820</t>
  </si>
  <si>
    <t>113-0291198-3912203</t>
  </si>
  <si>
    <t>2018-08-07T20:20:01+00:00</t>
  </si>
  <si>
    <t>2018-08-07T20:57:20+00:00</t>
  </si>
  <si>
    <t>NEW ROCHELLE</t>
  </si>
  <si>
    <t>10804-4425</t>
  </si>
  <si>
    <t>114-5667891-3233041</t>
  </si>
  <si>
    <t>2018-08-07T19:38:11+00:00</t>
  </si>
  <si>
    <t>2018-08-08T22:28:19+00:00</t>
  </si>
  <si>
    <t>22 inches Realistic Reborn Baby Dolls Girl Silicone with Toy Cow</t>
  </si>
  <si>
    <t>DO-YULQ152-Z1-22</t>
  </si>
  <si>
    <t>B07CN4J1B2</t>
  </si>
  <si>
    <t>LONG BRANCH</t>
  </si>
  <si>
    <t>07740-5850</t>
  </si>
  <si>
    <t>113-2024553-6374632</t>
  </si>
  <si>
    <t>2018-08-07T19:16:22+00:00</t>
  </si>
  <si>
    <t>2018-08-08T01:03:53+00:00</t>
  </si>
  <si>
    <t>VERNON HILLS</t>
  </si>
  <si>
    <t>60061-1731</t>
  </si>
  <si>
    <t>111-5707931-9586603</t>
  </si>
  <si>
    <t>2018-08-07T18:38:15+00:00</t>
  </si>
  <si>
    <t>2018-08-07T19:27:00+00:00</t>
  </si>
  <si>
    <t>STAMFORD</t>
  </si>
  <si>
    <t>06902-5727</t>
  </si>
  <si>
    <t>112-0734372-7380241</t>
  </si>
  <si>
    <t>2018-08-07T18:23:08+00:00</t>
  </si>
  <si>
    <t>2018-08-09T01:32:16+00:00</t>
  </si>
  <si>
    <t>Reborn Baby Doll Girl Look Real Rose Red Tutu Skirt 22 Inches</t>
  </si>
  <si>
    <t>DO-YULQ111-R2-22</t>
  </si>
  <si>
    <t>B078X5HG51</t>
  </si>
  <si>
    <t>GLENDORA</t>
  </si>
  <si>
    <t>91741-1960</t>
  </si>
  <si>
    <t>VPC-1-37036761 Coupon</t>
  </si>
  <si>
    <t>111-1296933-6553815</t>
  </si>
  <si>
    <t>2018-08-07T18:04:22+00:00</t>
  </si>
  <si>
    <t>2018-08-08T16:57:11+00:00</t>
  </si>
  <si>
    <t>24 inches Reborn Baby Doll Real Looking Toddler Blue Jacket with Crocodile Striped Pants White Shoes</t>
  </si>
  <si>
    <t>DO-YULQ704-B0-24</t>
  </si>
  <si>
    <t>B07D4DDT41</t>
  </si>
  <si>
    <t>COLUMBUS</t>
  </si>
  <si>
    <t>43202-1213</t>
  </si>
  <si>
    <t>113-7408376-5298620</t>
  </si>
  <si>
    <t>2018-08-07T18:03:54+00:00</t>
  </si>
  <si>
    <t>2018-08-07T19:11:11+00:00</t>
  </si>
  <si>
    <t>15206-2326</t>
  </si>
  <si>
    <t>113-8851639-0309068</t>
  </si>
  <si>
    <t>2018-08-07T18:01:54+00:00</t>
  </si>
  <si>
    <t>2018-08-08T10:17:56+00:00</t>
  </si>
  <si>
    <t>Edmond</t>
  </si>
  <si>
    <t>111-5433790-5013054</t>
  </si>
  <si>
    <t>2018-08-07T17:17:55+00:00</t>
  </si>
  <si>
    <t>2018-08-08T03:48:35+00:00</t>
  </si>
  <si>
    <t>ROME</t>
  </si>
  <si>
    <t>112-5925591-0381015</t>
  </si>
  <si>
    <t>2018-08-07T17:02:02+00:00</t>
  </si>
  <si>
    <t>2018-08-08T22:22:16+00:00</t>
  </si>
  <si>
    <t>MIAMI BEACH</t>
  </si>
  <si>
    <t>33139-3112</t>
  </si>
  <si>
    <t>111-7261796-0325807</t>
  </si>
  <si>
    <t>2018-08-07T15:11:09+00:00</t>
  </si>
  <si>
    <t>2018-08-09T02:44:20+00:00</t>
  </si>
  <si>
    <t>COLLEYVILLE</t>
  </si>
  <si>
    <t>76034-3681</t>
  </si>
  <si>
    <t>112-6709807-3521860</t>
  </si>
  <si>
    <t>2018-08-07T14:23:19+00:00</t>
  </si>
  <si>
    <t>2018-08-08T02:28:48+00:00</t>
  </si>
  <si>
    <t>OLATHE</t>
  </si>
  <si>
    <t>66061-6125</t>
  </si>
  <si>
    <t>111-4180190-4952268</t>
  </si>
  <si>
    <t>2018-08-07T14:23:11+00:00</t>
  </si>
  <si>
    <t>2018-08-08T02:30:39+00:00</t>
  </si>
  <si>
    <t>DES PLAINES</t>
  </si>
  <si>
    <t>60016-8622</t>
  </si>
  <si>
    <t>114-3386308-6214631</t>
  </si>
  <si>
    <t>2018-08-07T13:42:28+00:00</t>
  </si>
  <si>
    <t>2018-08-07T21:18:57+00:00</t>
  </si>
  <si>
    <t>GARRISON</t>
  </si>
  <si>
    <t>41141-8434</t>
  </si>
  <si>
    <t>113-0855029-9729832</t>
  </si>
  <si>
    <t>2018-08-07T13:26:32+00:00</t>
  </si>
  <si>
    <t>2018-08-12T13:22:52+00:00</t>
  </si>
  <si>
    <t>PITTSFIELD</t>
  </si>
  <si>
    <t>01201-4109</t>
  </si>
  <si>
    <t>112-5908741-6930605</t>
  </si>
  <si>
    <t>2018-08-07T12:40:36+00:00</t>
  </si>
  <si>
    <t>2018-08-07T16:08:46+00:00</t>
  </si>
  <si>
    <t>Kannapolis</t>
  </si>
  <si>
    <t>111-4377228-5061809</t>
  </si>
  <si>
    <t>2018-08-07T10:57:12+00:00</t>
  </si>
  <si>
    <t>2018-08-08T09:05:14+00:00</t>
  </si>
  <si>
    <t>MIDLOTHIAN</t>
  </si>
  <si>
    <t>23112-5535</t>
  </si>
  <si>
    <t>114-3719742-8564203</t>
  </si>
  <si>
    <t>2018-08-07T07:39:01+00:00</t>
  </si>
  <si>
    <t>2018-08-08T03:05:33+00:00</t>
  </si>
  <si>
    <t>75248-3806</t>
  </si>
  <si>
    <t>113-6658725-0070630</t>
  </si>
  <si>
    <t>2018-08-07T05:09:43+00:00</t>
  </si>
  <si>
    <t>2018-08-08T14:14:28+00:00</t>
  </si>
  <si>
    <t>HESSTON</t>
  </si>
  <si>
    <t>KANSAS</t>
  </si>
  <si>
    <t>67062-7701</t>
  </si>
  <si>
    <t>111-1170482-0824228</t>
  </si>
  <si>
    <t>2018-08-07T03:50:19+00:00</t>
  </si>
  <si>
    <t>2018-08-07T20:34:20+00:00</t>
  </si>
  <si>
    <t>ORTING</t>
  </si>
  <si>
    <t>98360-9355</t>
  </si>
  <si>
    <t>112-2057149-4637839</t>
  </si>
  <si>
    <t>2018-08-07T03:45:40+00:00</t>
  </si>
  <si>
    <t>2018-08-08T19:27:09+00:00</t>
  </si>
  <si>
    <t>MIDLAND</t>
  </si>
  <si>
    <t>79705-2241</t>
  </si>
  <si>
    <t>114-6521818-4899463</t>
  </si>
  <si>
    <t>2018-08-07T03:29:26+00:00</t>
  </si>
  <si>
    <t>2018-08-08T13:35:23+00:00</t>
  </si>
  <si>
    <t>MARION</t>
  </si>
  <si>
    <t>ARKANSAS</t>
  </si>
  <si>
    <t>72364-9693</t>
  </si>
  <si>
    <t>113-6708061-4565864</t>
  </si>
  <si>
    <t>2018-08-07T03:23:47+00:00</t>
  </si>
  <si>
    <t>2018-08-07T15:00:32+00:00</t>
  </si>
  <si>
    <t>112-1516522-9431417</t>
  </si>
  <si>
    <t>2018-08-07T03:01:01+00:00</t>
  </si>
  <si>
    <t>2018-08-07T10:12:52+00:00</t>
  </si>
  <si>
    <t>Warrenton</t>
  </si>
  <si>
    <t>OREGON</t>
  </si>
  <si>
    <t>113-8292691-3288218</t>
  </si>
  <si>
    <t>2018-08-07T02:57:57+00:00</t>
  </si>
  <si>
    <t>2018-08-08T00:44:45+00:00</t>
  </si>
  <si>
    <t>BLADES</t>
  </si>
  <si>
    <t>DE</t>
  </si>
  <si>
    <t>19973-4133</t>
  </si>
  <si>
    <t>111-9702591-0069057</t>
  </si>
  <si>
    <t>2018-08-07T02:46:20+00:00</t>
  </si>
  <si>
    <t>2018-08-08T02:48:29+00:00</t>
  </si>
  <si>
    <t>OAK GROVE</t>
  </si>
  <si>
    <t>64075-8390</t>
  </si>
  <si>
    <t>113-9055918-4440262</t>
  </si>
  <si>
    <t>2018-08-07T02:19:03+00:00</t>
  </si>
  <si>
    <t>2018-08-07T21:43:06+00:00</t>
  </si>
  <si>
    <t>LEWISTOWN</t>
  </si>
  <si>
    <t>61542-1427</t>
  </si>
  <si>
    <t>113-0223642-3261868</t>
  </si>
  <si>
    <t>2018-08-07T02:00:45+00:00</t>
  </si>
  <si>
    <t>2018-08-07T06:37:57+00:00</t>
  </si>
  <si>
    <t>MISSOURI CITY</t>
  </si>
  <si>
    <t>77459-1136</t>
  </si>
  <si>
    <t>113-4707218-4556223</t>
  </si>
  <si>
    <t>2018-08-07T01:54:21+00:00</t>
  </si>
  <si>
    <t>2018-08-07T20:20:49+00:00</t>
  </si>
  <si>
    <t>MACHESNEY PARK</t>
  </si>
  <si>
    <t>61115-4411</t>
  </si>
  <si>
    <t>112-6499156-4929839</t>
  </si>
  <si>
    <t>2018-08-07T01:50:32+00:00</t>
  </si>
  <si>
    <t>2018-08-07T20:13:51+00:00</t>
  </si>
  <si>
    <t>ANNAPOLIS</t>
  </si>
  <si>
    <t>21409-5432</t>
  </si>
  <si>
    <t>111-3611821-3066651</t>
  </si>
  <si>
    <t>2018-08-07T01:05:02+00:00</t>
  </si>
  <si>
    <t>2018-08-08T01:34:04+00:00</t>
  </si>
  <si>
    <t>GREENWICH</t>
  </si>
  <si>
    <t>06831-5116</t>
  </si>
  <si>
    <t>112-8684866-3053060</t>
  </si>
  <si>
    <t>2018-08-07T00:37:09+00:00</t>
  </si>
  <si>
    <t>2018-08-07T10:25:15+00:00</t>
  </si>
  <si>
    <t>Mankato</t>
  </si>
  <si>
    <t>112-7744252-1384263</t>
  </si>
  <si>
    <t>2018-08-07T00:35:30+00:00</t>
  </si>
  <si>
    <t>2018-08-08T07:16:52+00:00</t>
  </si>
  <si>
    <t>TOPPENISH</t>
  </si>
  <si>
    <t>98948-1136</t>
  </si>
  <si>
    <t>112-6806411-4982664</t>
  </si>
  <si>
    <t>2018-08-07T00:10:25+00:00</t>
  </si>
  <si>
    <t>2018-08-07T20:18:17+00:00</t>
  </si>
  <si>
    <t>Fountain</t>
  </si>
  <si>
    <t>co</t>
  </si>
  <si>
    <t>114-8574600-2861016</t>
  </si>
  <si>
    <t>2018-08-08T23:58:40+00:00</t>
  </si>
  <si>
    <t>2018-08-08T23:59:41+00:00</t>
  </si>
  <si>
    <t>WOBURN</t>
  </si>
  <si>
    <t>01801-5128</t>
  </si>
  <si>
    <t>114-9456470-0405068</t>
  </si>
  <si>
    <t>2018-08-08T23:28:30+00:00</t>
  </si>
  <si>
    <t>2018-08-09T21:37:10+00:00</t>
  </si>
  <si>
    <t>AURORA</t>
  </si>
  <si>
    <t>80012-3501</t>
  </si>
  <si>
    <t>111-8826536-2634638</t>
  </si>
  <si>
    <t>2018-08-08T23:07:14+00:00</t>
  </si>
  <si>
    <t>2018-08-10T02:56:10+00:00</t>
  </si>
  <si>
    <t>conroe</t>
  </si>
  <si>
    <t>texas</t>
  </si>
  <si>
    <t>112-7276437-8705850</t>
  </si>
  <si>
    <t>2018-08-08T22:58:18+00:00</t>
  </si>
  <si>
    <t>2018-08-09T05:06:23+00:00</t>
  </si>
  <si>
    <t>Van buren</t>
  </si>
  <si>
    <t>Arkansas</t>
  </si>
  <si>
    <t>111-3084339-4450608</t>
  </si>
  <si>
    <t>2018-08-08T22:46:33+00:00</t>
  </si>
  <si>
    <t>2018-08-09T22:33:17+00:00</t>
  </si>
  <si>
    <t>MOUNT VERNON</t>
  </si>
  <si>
    <t>10553-1360</t>
  </si>
  <si>
    <t>113-3255157-5381806</t>
  </si>
  <si>
    <t>2018-08-08T22:05:50+00:00</t>
  </si>
  <si>
    <t>2018-08-09T21:41:57+00:00</t>
  </si>
  <si>
    <t>33166-6443</t>
  </si>
  <si>
    <t>114-6454482-2766635</t>
  </si>
  <si>
    <t>2018-08-08T21:57:35+00:00</t>
  </si>
  <si>
    <t>2018-08-10T04:33:51+00:00</t>
  </si>
  <si>
    <t>PHOENIX</t>
  </si>
  <si>
    <t>85032-5430</t>
  </si>
  <si>
    <t>111-0350258-3000225</t>
  </si>
  <si>
    <t>2018-08-08T21:26:45+00:00</t>
  </si>
  <si>
    <t>2018-08-08T21:40:26+00:00</t>
  </si>
  <si>
    <t>FALLS CHURCH</t>
  </si>
  <si>
    <t>22044-3025</t>
  </si>
  <si>
    <t>113-0627710-3429860</t>
  </si>
  <si>
    <t>2018-08-08T20:39:18+00:00</t>
  </si>
  <si>
    <t>2018-08-09T18:29:44+00:00</t>
  </si>
  <si>
    <t>BOLIVAR</t>
  </si>
  <si>
    <t>44612-8994</t>
  </si>
  <si>
    <t>114-1193526-8557024</t>
  </si>
  <si>
    <t>2018-08-08T20:11:18+00:00</t>
  </si>
  <si>
    <t>2018-08-09T21:57:26+00:00</t>
  </si>
  <si>
    <t>60641-1513</t>
  </si>
  <si>
    <t>111-8648410-5989861</t>
  </si>
  <si>
    <t>2018-08-08T20:01:21+00:00</t>
  </si>
  <si>
    <t>2018-08-08T20:05:41+00:00</t>
  </si>
  <si>
    <t>VINELAND</t>
  </si>
  <si>
    <t>111-4214054-0033032</t>
  </si>
  <si>
    <t>2018-08-08T19:41:22+00:00</t>
  </si>
  <si>
    <t>2018-08-12T04:14:36+00:00</t>
  </si>
  <si>
    <t>PRINCETON</t>
  </si>
  <si>
    <t>27569-8647</t>
  </si>
  <si>
    <t>111-7655736-7901057</t>
  </si>
  <si>
    <t>2018-08-08T19:37:24+00:00</t>
  </si>
  <si>
    <t>2018-08-08T19:37:59+00:00</t>
  </si>
  <si>
    <t>WATERBURY</t>
  </si>
  <si>
    <t>CONNECTICUT</t>
  </si>
  <si>
    <t>06708-4623</t>
  </si>
  <si>
    <t>113-1753733-0878654</t>
  </si>
  <si>
    <t>2018-08-08T19:34:36+00:00</t>
  </si>
  <si>
    <t>2018-08-12T13:01:04+00:00</t>
  </si>
  <si>
    <t>DORSET</t>
  </si>
  <si>
    <t>VT</t>
  </si>
  <si>
    <t>05251-9683</t>
  </si>
  <si>
    <t>112-5339037-7437024</t>
  </si>
  <si>
    <t>2018-08-08T19:24:07+00:00</t>
  </si>
  <si>
    <t>2018-08-09T07:48:45+00:00</t>
  </si>
  <si>
    <t>MISSION HILLS</t>
  </si>
  <si>
    <t>91345-2027</t>
  </si>
  <si>
    <t>111-9175817-7487418</t>
  </si>
  <si>
    <t>2018-08-08T18:57:29+00:00</t>
  </si>
  <si>
    <t>2018-08-09T22:38:29+00:00</t>
  </si>
  <si>
    <t>NAPLES</t>
  </si>
  <si>
    <t>34117-8840</t>
  </si>
  <si>
    <t>111-2771475-4368242</t>
  </si>
  <si>
    <t>2018-08-08T18:19:17+00:00</t>
  </si>
  <si>
    <t>2018-08-09T07:02:27+00:00</t>
  </si>
  <si>
    <t>LAGRANGE</t>
  </si>
  <si>
    <t>44050-8701</t>
  </si>
  <si>
    <t>113-5544722-6599411</t>
  </si>
  <si>
    <t>2018-08-08T17:45:09+00:00</t>
  </si>
  <si>
    <t>2018-08-08T23:34:30+00:00</t>
  </si>
  <si>
    <t>Lexington</t>
  </si>
  <si>
    <t>Ohio</t>
  </si>
  <si>
    <t>112-4138772-4277024</t>
  </si>
  <si>
    <t>2018-08-08T17:37:42+00:00</t>
  </si>
  <si>
    <t>2018-08-09T00:37:26+00:00</t>
  </si>
  <si>
    <t>FORT COLLINS</t>
  </si>
  <si>
    <t>80521-3105</t>
  </si>
  <si>
    <t>112-2154254-3407441</t>
  </si>
  <si>
    <t>2018-08-08T15:15:26+00:00</t>
  </si>
  <si>
    <t>2018-08-08T23:34:49+00:00</t>
  </si>
  <si>
    <t>BROWNSVILLE</t>
  </si>
  <si>
    <t>42210-8691</t>
  </si>
  <si>
    <t>114-3203197-2541814</t>
  </si>
  <si>
    <t>2018-08-08T15:05:10+00:00</t>
  </si>
  <si>
    <t>2018-08-13T22:31:23+00:00</t>
  </si>
  <si>
    <t>Nipom</t>
  </si>
  <si>
    <t>112-7118994-2377007</t>
  </si>
  <si>
    <t>2018-08-08T14:18:06+00:00</t>
  </si>
  <si>
    <t>2018-08-08T22:29:16+00:00</t>
  </si>
  <si>
    <t>Centreville</t>
  </si>
  <si>
    <t>112-6811820-8325023</t>
  </si>
  <si>
    <t>2018-08-08T13:33:53+00:00</t>
  </si>
  <si>
    <t>2018-08-08T19:29:59+00:00</t>
  </si>
  <si>
    <t>KEARNEY</t>
  </si>
  <si>
    <t>68845-4821</t>
  </si>
  <si>
    <t>111-5317569-3165802</t>
  </si>
  <si>
    <t>2018-08-08T13:32:23+00:00</t>
  </si>
  <si>
    <t>2018-08-10T18:20:36+00:00</t>
  </si>
  <si>
    <t>MILAN</t>
  </si>
  <si>
    <t>31060-4906</t>
  </si>
  <si>
    <t>114-8299269-7499448</t>
  </si>
  <si>
    <t>2018-08-08T13:31:30+00:00</t>
  </si>
  <si>
    <t>2018-08-10T06:26:37+00:00</t>
  </si>
  <si>
    <t>SAN SEBASTIAN</t>
  </si>
  <si>
    <t>PR</t>
  </si>
  <si>
    <t>00685-7003</t>
  </si>
  <si>
    <t>112-1897200-5335437</t>
  </si>
  <si>
    <t>2018-08-08T12:00:28+00:00</t>
  </si>
  <si>
    <t>2018-08-09T05:26:02+00:00</t>
  </si>
  <si>
    <t>GROVETON</t>
  </si>
  <si>
    <t>75845-2452</t>
  </si>
  <si>
    <t>112-1180668-0373003</t>
  </si>
  <si>
    <t>2018-08-08T04:28:51+00:00</t>
  </si>
  <si>
    <t>2018-08-09T05:21:24+00:00</t>
  </si>
  <si>
    <t>LIMA</t>
  </si>
  <si>
    <t>45804-1459</t>
  </si>
  <si>
    <t>112-5931254-2926651</t>
  </si>
  <si>
    <t>2018-08-08T03:53:33+00:00</t>
  </si>
  <si>
    <t>2018-08-12T07:38:28+00:00</t>
  </si>
  <si>
    <t>33195-6503</t>
  </si>
  <si>
    <t>114-6707394-7941019</t>
  </si>
  <si>
    <t>2018-08-08T03:46:18+00:00</t>
  </si>
  <si>
    <t>2018-08-08T04:07:37+00:00</t>
  </si>
  <si>
    <t>NIPOMO</t>
  </si>
  <si>
    <t>93444-9515</t>
  </si>
  <si>
    <t>113-7456745-4522658</t>
  </si>
  <si>
    <t>2018-08-08T03:34:41+00:00</t>
  </si>
  <si>
    <t>2018-08-08T21:31:45+00:00</t>
  </si>
  <si>
    <t>SCOTTS HILL</t>
  </si>
  <si>
    <t>38374-6031</t>
  </si>
  <si>
    <t>112-6867880-6937813</t>
  </si>
  <si>
    <t>2018-08-08T03:20:34+00:00</t>
  </si>
  <si>
    <t>2018-08-13T12:25:25+00:00</t>
  </si>
  <si>
    <t>HEALDSBURG</t>
  </si>
  <si>
    <t>95448-3755</t>
  </si>
  <si>
    <t>111-3676852-6594641</t>
  </si>
  <si>
    <t>2018-08-08T03:17:18+00:00</t>
  </si>
  <si>
    <t>2018-08-08T03:20:40+00:00</t>
  </si>
  <si>
    <t>114-5709844-5973050</t>
  </si>
  <si>
    <t>2018-08-08T03:03:50+00:00</t>
  </si>
  <si>
    <t>2018-08-08T07:34:41+00:00</t>
  </si>
  <si>
    <t>GRAND RAPIDS</t>
  </si>
  <si>
    <t>49525-1469</t>
  </si>
  <si>
    <t>113-5695466-2863409</t>
  </si>
  <si>
    <t>2018-08-08T02:34:31+00:00</t>
  </si>
  <si>
    <t>2018-08-08T02:39:42+00:00</t>
  </si>
  <si>
    <t>4 Pcs Reborn Baby Doll Supplies Accessories Magnet Dummy Pacifier Transparent Blue Green Pink</t>
  </si>
  <si>
    <t>NZZH-FLQ52</t>
  </si>
  <si>
    <t>B077VNWLJW</t>
  </si>
  <si>
    <t>BELLEVILLE</t>
  </si>
  <si>
    <t>62223-3484</t>
  </si>
  <si>
    <t>111-6545891-0637040</t>
  </si>
  <si>
    <t>2018-08-08T02:29:50+00:00</t>
  </si>
  <si>
    <t>2018-08-08T22:58:50+00:00</t>
  </si>
  <si>
    <t>JONESBOROUGH</t>
  </si>
  <si>
    <t>37659-3110</t>
  </si>
  <si>
    <t>114-2321739-4721853</t>
  </si>
  <si>
    <t>2018-08-08T02:17:46+00:00</t>
  </si>
  <si>
    <t>2018-08-10T17:18:09+00:00</t>
  </si>
  <si>
    <t>Plainfield</t>
  </si>
  <si>
    <t>111-9473715-6789060</t>
  </si>
  <si>
    <t>2018-08-08T02:08:43+00:00</t>
  </si>
  <si>
    <t>2018-08-08T19:43:05+00:00</t>
  </si>
  <si>
    <t>Full Silicone Body Real Life Reborn Baby Dolls Boy Light Gray Outfit 22 Inches</t>
  </si>
  <si>
    <t>DO-YULQ171-LGR-22</t>
  </si>
  <si>
    <t>B0795117ZD</t>
  </si>
  <si>
    <t>SURPRISE</t>
  </si>
  <si>
    <t>85388-2332</t>
  </si>
  <si>
    <t>112-8539684-3906629</t>
  </si>
  <si>
    <t>2018-08-08T02:06:07+00:00</t>
  </si>
  <si>
    <t>2018-08-08T17:31:47+00:00</t>
  </si>
  <si>
    <t>76119-3423</t>
  </si>
  <si>
    <t>114-1066999-4659437</t>
  </si>
  <si>
    <t>2018-08-08T02:01:03+00:00</t>
  </si>
  <si>
    <t>2018-08-08T09:39:49+00:00</t>
  </si>
  <si>
    <t>Eufaula</t>
  </si>
  <si>
    <t>36027-6010</t>
  </si>
  <si>
    <t>111-0708316-9341829</t>
  </si>
  <si>
    <t>2018-08-08T01:37:20+00:00</t>
  </si>
  <si>
    <t>2018-08-09T02:21:04+00:00</t>
  </si>
  <si>
    <t>MARSHALL</t>
  </si>
  <si>
    <t>65340-9605</t>
  </si>
  <si>
    <t>114-2690278-4835415</t>
  </si>
  <si>
    <t>2018-08-08T01:18:57+00:00</t>
  </si>
  <si>
    <t>2018-08-08T23:29:40+00:00</t>
  </si>
  <si>
    <t>CINCINNATI</t>
  </si>
  <si>
    <t>45255-3328</t>
  </si>
  <si>
    <t>113-7769393-0716217</t>
  </si>
  <si>
    <t>2018-08-08T01:14:03+00:00</t>
  </si>
  <si>
    <t>2018-08-09T09:03:07+00:00</t>
  </si>
  <si>
    <t>BALTIMORE</t>
  </si>
  <si>
    <t>21223-1006</t>
  </si>
  <si>
    <t>111-1936863-1279462</t>
  </si>
  <si>
    <t>2018-08-08T01:09:29+00:00</t>
  </si>
  <si>
    <t>2018-08-08T01:09:46+00:00</t>
  </si>
  <si>
    <t>113-9523184-2634601</t>
  </si>
  <si>
    <t>2018-08-08T00:33:53+00:00</t>
  </si>
  <si>
    <t>2018-08-09T04:03:27+00:00</t>
  </si>
  <si>
    <t>Evart</t>
  </si>
  <si>
    <t>114-2726214-3931456</t>
  </si>
  <si>
    <t>2018-08-08T00:26:01+00:00</t>
  </si>
  <si>
    <t>2018-08-09T03:58:04+00:00</t>
  </si>
  <si>
    <t>DEARBORN</t>
  </si>
  <si>
    <t>48126-3050</t>
  </si>
  <si>
    <t>114-2137727-5106657</t>
  </si>
  <si>
    <t>2018-08-08T00:18:57+00:00</t>
  </si>
  <si>
    <t>2018-08-10T09:25:09+00:00</t>
  </si>
  <si>
    <t>WELLSVILLE</t>
  </si>
  <si>
    <t>14895-1236</t>
  </si>
  <si>
    <t>111-1191812-8197028</t>
  </si>
  <si>
    <t>2018-08-09T23:18:08+00:00</t>
  </si>
  <si>
    <t>2018-08-14T01:27:40+00:00</t>
  </si>
  <si>
    <t>BREWSTER</t>
  </si>
  <si>
    <t>02631-2871</t>
  </si>
  <si>
    <t>113-8752663-5559452</t>
  </si>
  <si>
    <t>2018-08-09T23:01:24+00:00</t>
  </si>
  <si>
    <t>2018-08-10T04:41:42+00:00</t>
  </si>
  <si>
    <t>DALHART</t>
  </si>
  <si>
    <t>79022-5301</t>
  </si>
  <si>
    <t>111-3694632-9288222</t>
  </si>
  <si>
    <t>2018-08-09T22:52:36+00:00</t>
  </si>
  <si>
    <t>2018-08-12T02:56:06+00:00</t>
  </si>
  <si>
    <t>Silicone Reborn Baby Dolls Look Real Girl Knitted Outfit Red 10 Inches</t>
  </si>
  <si>
    <t>DO-YULQ100-R0-10</t>
  </si>
  <si>
    <t>B07B9Q9YNG</t>
  </si>
  <si>
    <t>NAPERVILLE</t>
  </si>
  <si>
    <t>60563-1178</t>
  </si>
  <si>
    <t>111-0495036-9183430</t>
  </si>
  <si>
    <t>2018-08-09T21:47:33+00:00</t>
  </si>
  <si>
    <t>2018-08-12T06:08:28+00:00</t>
  </si>
  <si>
    <t>RIVERDALE</t>
  </si>
  <si>
    <t>20737-1800</t>
  </si>
  <si>
    <t>112-3167655-2538621</t>
  </si>
  <si>
    <t>2018-08-09T21:16:29+00:00</t>
  </si>
  <si>
    <t>2018-08-10T04:27:19+00:00</t>
  </si>
  <si>
    <t>IDA GROVE</t>
  </si>
  <si>
    <t>51445-1015</t>
  </si>
  <si>
    <t>114-8351869-5751415</t>
  </si>
  <si>
    <t>2018-08-09T20:59:03+00:00</t>
  </si>
  <si>
    <t>2018-08-10T21:22:53+00:00</t>
  </si>
  <si>
    <t>ROSEBUD</t>
  </si>
  <si>
    <t>MT</t>
  </si>
  <si>
    <t>59347-9554</t>
  </si>
  <si>
    <t>113-2508928-2849828</t>
  </si>
  <si>
    <t>2018-08-09T20:40:24+00:00</t>
  </si>
  <si>
    <t>2018-08-10T23:10:17+00:00</t>
  </si>
  <si>
    <t>EAST NEWARK</t>
  </si>
  <si>
    <t>07029-2802</t>
  </si>
  <si>
    <t>112-1142698-1745816</t>
  </si>
  <si>
    <t>2018-08-09T20:29:00+00:00</t>
  </si>
  <si>
    <t>2018-08-10T20:44:52+00:00</t>
  </si>
  <si>
    <t>ROCHELLE PARK</t>
  </si>
  <si>
    <t>07662-3312</t>
  </si>
  <si>
    <t>112-2083510-2988216</t>
  </si>
  <si>
    <t>2018-08-09T19:59:01+00:00</t>
  </si>
  <si>
    <t>2018-08-10T18:41:53+00:00</t>
  </si>
  <si>
    <t>Apopka</t>
  </si>
  <si>
    <t>Fl</t>
  </si>
  <si>
    <t>114-4202045-5787400</t>
  </si>
  <si>
    <t>2018-08-09T19:04:30+00:00</t>
  </si>
  <si>
    <t>2018-08-12T05:46:49+00:00</t>
  </si>
  <si>
    <t>MORENO VALLEY</t>
  </si>
  <si>
    <t>92555-2307</t>
  </si>
  <si>
    <t>114-2725267-3778600</t>
  </si>
  <si>
    <t>2018-08-09T18:57:39+00:00</t>
  </si>
  <si>
    <t>2018-08-12T22:33:34+00:00</t>
  </si>
  <si>
    <t>COTTAGE GROVE</t>
  </si>
  <si>
    <t>97424-2204</t>
  </si>
  <si>
    <t>111-9065773-5490615</t>
  </si>
  <si>
    <t>2018-08-09T18:55:11+00:00</t>
  </si>
  <si>
    <t>2018-08-12T20:02:57+00:00</t>
  </si>
  <si>
    <t>33172-2191</t>
  </si>
  <si>
    <t>113-3935993-9091424</t>
  </si>
  <si>
    <t>2018-08-09T17:28:43+00:00</t>
  </si>
  <si>
    <t>2018-08-10T06:20:35+00:00</t>
  </si>
  <si>
    <t>EL CENTRO</t>
  </si>
  <si>
    <t>92243-3144</t>
  </si>
  <si>
    <t>112-9955419-0365045</t>
  </si>
  <si>
    <t>2018-08-09T17:25:05+00:00</t>
  </si>
  <si>
    <t>2018-08-10T18:36:50+00:00</t>
  </si>
  <si>
    <t>COBDEN</t>
  </si>
  <si>
    <t>62920-3662</t>
  </si>
  <si>
    <t>113-2616758-9974636</t>
  </si>
  <si>
    <t>2018-08-09T16:54:32+00:00</t>
  </si>
  <si>
    <t>2018-08-10T13:03:35+00:00</t>
  </si>
  <si>
    <t>114-5377771-5713022</t>
  </si>
  <si>
    <t>2018-08-09T16:50:44+00:00</t>
  </si>
  <si>
    <t>2018-08-14T21:54:04+00:00</t>
  </si>
  <si>
    <t>SARASOTA</t>
  </si>
  <si>
    <t>34249-2602</t>
  </si>
  <si>
    <t>112-4999857-4989853</t>
  </si>
  <si>
    <t>2018-08-09T16:28:16+00:00</t>
  </si>
  <si>
    <t>2018-08-10T08:36:02+00:00</t>
  </si>
  <si>
    <t>WEST ORANGE</t>
  </si>
  <si>
    <t>07052-2145</t>
  </si>
  <si>
    <t>114-5846963-8513017</t>
  </si>
  <si>
    <t>2018-08-09T16:27:38+00:00</t>
  </si>
  <si>
    <t>2018-08-11T23:45:01+00:00</t>
  </si>
  <si>
    <t>Canby</t>
  </si>
  <si>
    <t>56220-1152</t>
  </si>
  <si>
    <t>111-2534148-2577857</t>
  </si>
  <si>
    <t>2018-08-09T14:27:01+00:00</t>
  </si>
  <si>
    <t>2018-08-10T23:35:17+00:00</t>
  </si>
  <si>
    <t>CORPUS CHRISTI</t>
  </si>
  <si>
    <t>78415-3236</t>
  </si>
  <si>
    <t>114-0621225-7065856</t>
  </si>
  <si>
    <t>2018-08-09T14:20:13+00:00</t>
  </si>
  <si>
    <t>2018-08-10T06:18:09+00:00</t>
  </si>
  <si>
    <t>GARLAND</t>
  </si>
  <si>
    <t>75040-3637</t>
  </si>
  <si>
    <t>113-3777705-7518664</t>
  </si>
  <si>
    <t>2018-08-09T14:13:18+00:00</t>
  </si>
  <si>
    <t>2018-08-09T22:20:09+00:00</t>
  </si>
  <si>
    <t>TARRYTOWN</t>
  </si>
  <si>
    <t>10591-3704</t>
  </si>
  <si>
    <t>113-8611301-5829826</t>
  </si>
  <si>
    <t>2018-08-09T12:37:01+00:00</t>
  </si>
  <si>
    <t>2018-08-09T16:56:28+00:00</t>
  </si>
  <si>
    <t>112-4284399-0836231</t>
  </si>
  <si>
    <t>2018-08-09T12:35:29+00:00</t>
  </si>
  <si>
    <t>2018-08-11T01:22:12+00:00</t>
  </si>
  <si>
    <t>FORT DODGE</t>
  </si>
  <si>
    <t>50501-8798</t>
  </si>
  <si>
    <t>VPC-1-37235921 Coupon</t>
  </si>
  <si>
    <t>112-1171173-5961031</t>
  </si>
  <si>
    <t>2018-08-09T12:30:41+00:00</t>
  </si>
  <si>
    <t>2018-08-10T06:40:59+00:00</t>
  </si>
  <si>
    <t>112-1385890-8297027</t>
  </si>
  <si>
    <t>2018-08-09T12:27:05+00:00</t>
  </si>
  <si>
    <t>2018-08-09T12:28:05+00:00</t>
  </si>
  <si>
    <t>112-9070817-2814647</t>
  </si>
  <si>
    <t>2018-08-09T11:44:01+00:00</t>
  </si>
  <si>
    <t>2018-08-10T08:50:19+00:00</t>
  </si>
  <si>
    <t>CATAWBA</t>
  </si>
  <si>
    <t>28609-8210</t>
  </si>
  <si>
    <t>112-2748734-3430611</t>
  </si>
  <si>
    <t>2018-08-09T11:08:54+00:00</t>
  </si>
  <si>
    <t>2018-08-10T00:17:03+00:00</t>
  </si>
  <si>
    <t>Miami</t>
  </si>
  <si>
    <t>Florida</t>
  </si>
  <si>
    <t>111-8106197-5857040</t>
  </si>
  <si>
    <t>2018-08-09T10:51:52+00:00</t>
  </si>
  <si>
    <t>2018-08-13T04:13:02+00:00</t>
  </si>
  <si>
    <t>MULLICA HILL</t>
  </si>
  <si>
    <t>08062-4740</t>
  </si>
  <si>
    <t>Reborn Baby Doll Outfits Girl Accessories for 20"- 22" Pink Giraffe Pattern</t>
  </si>
  <si>
    <t>YF-YULQ010-PI-22</t>
  </si>
  <si>
    <t>B07FD841D5</t>
  </si>
  <si>
    <t>111-1008220-7974613</t>
  </si>
  <si>
    <t>2018-08-09T08:58:31+00:00</t>
  </si>
  <si>
    <t>2018-08-09T19:47:21+00:00</t>
  </si>
  <si>
    <t>77017-5636</t>
  </si>
  <si>
    <t>111-7617825-0921010</t>
  </si>
  <si>
    <t>2018-08-09T04:05:01+00:00</t>
  </si>
  <si>
    <t>2018-08-11T03:58:58+00:00</t>
  </si>
  <si>
    <t>LUMBERTON</t>
  </si>
  <si>
    <t>28358-6308</t>
  </si>
  <si>
    <t>111-0866673-3038620</t>
  </si>
  <si>
    <t>2018-08-09T03:53:14+00:00</t>
  </si>
  <si>
    <t>2018-08-11T03:57:08+00:00</t>
  </si>
  <si>
    <t>112-1464163-1037832</t>
  </si>
  <si>
    <t>2018-08-09T02:29:13+00:00</t>
  </si>
  <si>
    <t>2018-08-11T01:29:05+00:00</t>
  </si>
  <si>
    <t>HONOR</t>
  </si>
  <si>
    <t>49640-9737</t>
  </si>
  <si>
    <t>111-7361948-0641033</t>
  </si>
  <si>
    <t>2018-08-09T02:29:03+00:00</t>
  </si>
  <si>
    <t>2018-08-09T06:35:20+00:00</t>
  </si>
  <si>
    <t>NATURAL BRIDGE</t>
  </si>
  <si>
    <t>111-9864418-1837854</t>
  </si>
  <si>
    <t>2018-08-09T02:06:15+00:00</t>
  </si>
  <si>
    <t>2018-08-09T08:32:33+00:00</t>
  </si>
  <si>
    <t>Full Silicone Reborn Baby Dolls Twins Girl Realistic Toddler Pink Outfit 22 inches</t>
  </si>
  <si>
    <t>DO-YULQ639-R2-22</t>
  </si>
  <si>
    <t>B07BFVXKTL</t>
  </si>
  <si>
    <t>BELTON</t>
  </si>
  <si>
    <t>76513-7303</t>
  </si>
  <si>
    <t>111-3215753-9272209</t>
  </si>
  <si>
    <t>2018-08-09T01:53:30+00:00</t>
  </si>
  <si>
    <t>2018-08-10T07:01:09+00:00</t>
  </si>
  <si>
    <t>watertown</t>
  </si>
  <si>
    <t>sd</t>
  </si>
  <si>
    <t>113-8967406-2146604</t>
  </si>
  <si>
    <t>2018-08-09T01:33:40+00:00</t>
  </si>
  <si>
    <t>2018-08-09T18:08:41+00:00</t>
  </si>
  <si>
    <t>Mayo</t>
  </si>
  <si>
    <t>114-6609455-7465010</t>
  </si>
  <si>
    <t>2018-08-09T01:29:55+00:00</t>
  </si>
  <si>
    <t>2018-08-09T01:30:12+00:00</t>
  </si>
  <si>
    <t>NORTHAMPTON</t>
  </si>
  <si>
    <t>18067-1715</t>
  </si>
  <si>
    <t>114-5964815-8094619</t>
  </si>
  <si>
    <t>2018-08-09T01:07:21+00:00</t>
  </si>
  <si>
    <t>2018-08-09T22:37:10+00:00</t>
  </si>
  <si>
    <t>FALL RIVER</t>
  </si>
  <si>
    <t>02720-6606</t>
  </si>
  <si>
    <t>113-0207920-8709847</t>
  </si>
  <si>
    <t>2018-08-09T00:54:26+00:00</t>
  </si>
  <si>
    <t>2018-08-09T06:51:19+00:00</t>
  </si>
  <si>
    <t>ENTERPRISE</t>
  </si>
  <si>
    <t>36330-8568</t>
  </si>
  <si>
    <t>S01-5616669-4623430</t>
  </si>
  <si>
    <t>xi8a2e9927</t>
  </si>
  <si>
    <t>2018-08-10T02:14:11+00:00</t>
  </si>
  <si>
    <t>2018-08-16T17:12:21+00:00</t>
  </si>
  <si>
    <t>Yesteria Real Looking Sleeping Reborn Baby Doll Girl Silicone Pink 22 Inches</t>
  </si>
  <si>
    <t>111-4570274-0237047</t>
  </si>
  <si>
    <t>2018-08-10T23:59:40+00:00</t>
  </si>
  <si>
    <t>2018-08-11T06:47:06+00:00</t>
  </si>
  <si>
    <t>LUNENBURG</t>
  </si>
  <si>
    <t>01462-1819</t>
  </si>
  <si>
    <t>114-0318591-1010608</t>
  </si>
  <si>
    <t>2018-08-10T22:36:35+00:00</t>
  </si>
  <si>
    <t>2018-08-11T06:41:31+00:00</t>
  </si>
  <si>
    <t>32817-4847</t>
  </si>
  <si>
    <t>114-4587724-1067420</t>
  </si>
  <si>
    <t>2018-08-10T20:55:39+00:00</t>
  </si>
  <si>
    <t>2018-08-13T19:30:30+00:00</t>
  </si>
  <si>
    <t>02721-4807</t>
  </si>
  <si>
    <t>112-6744613-8607412</t>
  </si>
  <si>
    <t>2018-08-10T20:26:16+00:00</t>
  </si>
  <si>
    <t>2018-08-16T09:46:37+00:00</t>
  </si>
  <si>
    <t>Rural Retreat</t>
  </si>
  <si>
    <t>111-7742367-1599425</t>
  </si>
  <si>
    <t>2018-08-10T18:53:51+00:00</t>
  </si>
  <si>
    <t>2018-08-11T18:44:15+00:00</t>
  </si>
  <si>
    <t>GREENWOOD</t>
  </si>
  <si>
    <t>46143-7165</t>
  </si>
  <si>
    <t>111-8771197-4012257</t>
  </si>
  <si>
    <t>2018-08-10T16:15:16+00:00</t>
  </si>
  <si>
    <t>2018-08-11T00:56:26+00:00</t>
  </si>
  <si>
    <t>REDDING</t>
  </si>
  <si>
    <t>96001-0242</t>
  </si>
  <si>
    <t>114-8033212-1594647</t>
  </si>
  <si>
    <t>2018-08-10T16:06:45+00:00</t>
  </si>
  <si>
    <t>2018-08-11T21:07:23+00:00</t>
  </si>
  <si>
    <t>Yesteria Real Looking Reborn Baby Dolls Girl Silicone Pink Outfit 22 Inches</t>
  </si>
  <si>
    <t>01850-1368</t>
  </si>
  <si>
    <t>112-1377028-2173019</t>
  </si>
  <si>
    <t>2018-08-10T15:32:26+00:00</t>
  </si>
  <si>
    <t>2018-08-13T22:36:44+00:00</t>
  </si>
  <si>
    <t>VESTAVIA HILLS</t>
  </si>
  <si>
    <t>ALABAMA</t>
  </si>
  <si>
    <t>35242-7470</t>
  </si>
  <si>
    <t>114-9255265-2244249</t>
  </si>
  <si>
    <t>2018-08-10T15:25:37+00:00</t>
  </si>
  <si>
    <t>2018-08-10T21:35:09+00:00</t>
  </si>
  <si>
    <t>Yesteria Silicone Reborn Baby Dolls Girl Look Real Eye Closed Pink Outfit 22 Inches</t>
  </si>
  <si>
    <t>64116-3322</t>
  </si>
  <si>
    <t>111-9167344-8452224</t>
  </si>
  <si>
    <t>2018-08-10T14:56:07+00:00</t>
  </si>
  <si>
    <t>2018-08-12T02:53:03+00:00</t>
  </si>
  <si>
    <t>16 inches Real Looking Reborn Baby Dolls Girl Realistic Toddler Silicone Cow Outfit</t>
  </si>
  <si>
    <t>DO-YULQ151-W0-16</t>
  </si>
  <si>
    <t>B07CN4J157</t>
  </si>
  <si>
    <t>PEMBROKE PINES</t>
  </si>
  <si>
    <t>33026-2426</t>
  </si>
  <si>
    <t>111-6226957-6909036</t>
  </si>
  <si>
    <t>2018-08-10T14:40:14+00:00</t>
  </si>
  <si>
    <t>2018-08-11T17:40:05+00:00</t>
  </si>
  <si>
    <t>DES MOINES</t>
  </si>
  <si>
    <t>50315-7425</t>
  </si>
  <si>
    <t>111-6105333-8308254</t>
  </si>
  <si>
    <t>2018-08-10T14:24:47+00:00</t>
  </si>
  <si>
    <t>2018-08-11T13:47:49+00:00</t>
  </si>
  <si>
    <t>112-4634166-9985055</t>
  </si>
  <si>
    <t>2018-08-10T13:12:00+00:00</t>
  </si>
  <si>
    <t>2018-08-13T07:28:29+00:00</t>
  </si>
  <si>
    <t>ROXBURY</t>
  </si>
  <si>
    <t>02119-1186</t>
  </si>
  <si>
    <t>114-5994001-8957026</t>
  </si>
  <si>
    <t>2018-08-10T11:34:09+00:00</t>
  </si>
  <si>
    <t>2018-08-11T07:25:45+00:00</t>
  </si>
  <si>
    <t>Yesteria Sleeping Reborn Baby Doll Boy Look Real Full Silicone Body Red Outfit 22 Inches</t>
  </si>
  <si>
    <t>LITTLE FALLS</t>
  </si>
  <si>
    <t>07424-1134</t>
  </si>
  <si>
    <t>111-6152011-4967422</t>
  </si>
  <si>
    <t>2018-08-10T03:43:43+00:00</t>
  </si>
  <si>
    <t>2018-08-10T15:33:39+00:00</t>
  </si>
  <si>
    <t>CLEMMONS</t>
  </si>
  <si>
    <t>27012-9738</t>
  </si>
  <si>
    <t>114-6515568-9293061</t>
  </si>
  <si>
    <t>2018-08-10T03:31:44+00:00</t>
  </si>
  <si>
    <t>2018-08-12T22:09:30+00:00</t>
  </si>
  <si>
    <t>24 inches Realistic Reborn Baby Doll Girl Silicone Pink Outfit White Shoes with Toy Giraffe</t>
  </si>
  <si>
    <t>DO-YULQ707-PI-24</t>
  </si>
  <si>
    <t>B07D4DRFYN</t>
  </si>
  <si>
    <t>10001-2702</t>
  </si>
  <si>
    <t>112-2847140-5745025</t>
  </si>
  <si>
    <t>2018-08-10T03:05:29+00:00</t>
  </si>
  <si>
    <t>2018-08-11T01:29:09+00:00</t>
  </si>
  <si>
    <t>Realistic Reborn Baby Dolls Boy Toddler Blue Outfit with Rhino Patterns 22 inches</t>
  </si>
  <si>
    <t>DO-YULQ516-B0-22</t>
  </si>
  <si>
    <t>B07BFVWCV4</t>
  </si>
  <si>
    <t>113-4979781-9157018</t>
  </si>
  <si>
    <t>2018-08-10T03:00:39+00:00</t>
  </si>
  <si>
    <t>2018-08-11T13:52:32+00:00</t>
  </si>
  <si>
    <t>ABINGDON</t>
  </si>
  <si>
    <t>24210-9640</t>
  </si>
  <si>
    <t>111-3184936-2945837</t>
  </si>
  <si>
    <t>2018-08-10T02:44:08+00:00</t>
  </si>
  <si>
    <t>2018-08-11T00:47:13+00:00</t>
  </si>
  <si>
    <t>ROMA</t>
  </si>
  <si>
    <t>78584-8162</t>
  </si>
  <si>
    <t>114-5407456-6722611</t>
  </si>
  <si>
    <t>2018-08-10T02:11:22+00:00</t>
  </si>
  <si>
    <t>2018-08-10T20:04:20+00:00</t>
  </si>
  <si>
    <t>85364-1568</t>
  </si>
  <si>
    <t>112-9519371-5066669</t>
  </si>
  <si>
    <t>2018-08-10T01:37:53+00:00</t>
  </si>
  <si>
    <t>2018-08-10T09:37:29+00:00</t>
  </si>
  <si>
    <t>Macomb</t>
  </si>
  <si>
    <t>112-1953442-1318652</t>
  </si>
  <si>
    <t>2018-08-11T23:51:37+00:00</t>
  </si>
  <si>
    <t>2018-08-19T13:29:40+00:00</t>
  </si>
  <si>
    <t>SOUTH PITTSBURG</t>
  </si>
  <si>
    <t>37380-1474</t>
  </si>
  <si>
    <t>111-5151055-2798619</t>
  </si>
  <si>
    <t>2018-08-11T22:30:21+00:00</t>
  </si>
  <si>
    <t>2018-08-11T22:30:46+00:00</t>
  </si>
  <si>
    <t>Yesteria Silicone Reborn Baby Dolls Girl Look Real Lifelike Toddler Light Blue Rose Red Outfit Toy Penguin 22 Inches</t>
  </si>
  <si>
    <t>NEWARK</t>
  </si>
  <si>
    <t>07114-2714</t>
  </si>
  <si>
    <t>111-2690967-7713860</t>
  </si>
  <si>
    <t>2018-08-11T22:29:23+00:00</t>
  </si>
  <si>
    <t>2018-08-12T21:01:15+00:00</t>
  </si>
  <si>
    <t>114-6779737-0663431</t>
  </si>
  <si>
    <t>2018-08-11T22:28:06+00:00</t>
  </si>
  <si>
    <t>2018-08-13T03:49:20+00:00</t>
  </si>
  <si>
    <t>Long beach</t>
  </si>
  <si>
    <t>113-0451206-3561841</t>
  </si>
  <si>
    <t>2018-08-11T21:06:11+00:00</t>
  </si>
  <si>
    <t>2018-08-13T10:33:39+00:00</t>
  </si>
  <si>
    <t>112-8072715-0846664</t>
  </si>
  <si>
    <t>2018-08-11T18:03:32+00:00</t>
  </si>
  <si>
    <t>2018-08-13T13:06:26+00:00</t>
  </si>
  <si>
    <t>leander</t>
  </si>
  <si>
    <t>tx</t>
  </si>
  <si>
    <t>113-0206327-5356200</t>
  </si>
  <si>
    <t>2018-08-11T17:59:34+00:00</t>
  </si>
  <si>
    <t>2018-08-11T22:25:24+00:00</t>
  </si>
  <si>
    <t>LAWRENCEVILLE</t>
  </si>
  <si>
    <t>30044-5783</t>
  </si>
  <si>
    <t>111-7974023-6509045</t>
  </si>
  <si>
    <t>2018-08-11T17:53:54+00:00</t>
  </si>
  <si>
    <t>2018-08-12T05:01:50+00:00</t>
  </si>
  <si>
    <t>112-3250457-1304231</t>
  </si>
  <si>
    <t>2018-08-11T17:14:40+00:00</t>
  </si>
  <si>
    <t>2018-08-13T22:31:17+00:00</t>
  </si>
  <si>
    <t>COVELO</t>
  </si>
  <si>
    <t>113-7462824-9266654</t>
  </si>
  <si>
    <t>2018-08-11T16:44:52+00:00</t>
  </si>
  <si>
    <t>2018-08-12T01:49:27+00:00</t>
  </si>
  <si>
    <t>ALBUQUERQUE</t>
  </si>
  <si>
    <t>NEW MEXICO</t>
  </si>
  <si>
    <t>87123-3453</t>
  </si>
  <si>
    <t>113-9392692-6155427</t>
  </si>
  <si>
    <t>2018-08-11T15:50:28+00:00</t>
  </si>
  <si>
    <t>2018-08-15T03:56:42+00:00</t>
  </si>
  <si>
    <t>HAYWARD</t>
  </si>
  <si>
    <t>94544-3812</t>
  </si>
  <si>
    <t>113-9838163-0834645</t>
  </si>
  <si>
    <t>2018-08-11T15:18:58+00:00</t>
  </si>
  <si>
    <t>2018-08-20T20:23:18+00:00</t>
  </si>
  <si>
    <t>Wakefield</t>
  </si>
  <si>
    <t>RI</t>
  </si>
  <si>
    <t>02879-3425</t>
  </si>
  <si>
    <t>112-1558398-6429823</t>
  </si>
  <si>
    <t>2018-08-11T14:47:42+00:00</t>
  </si>
  <si>
    <t>2018-08-12T22:15:06+00:00</t>
  </si>
  <si>
    <t>Silicone Reborn Baby Dolls Girl Look Real Lifelike Toddler White Outfit 16 Inches</t>
  </si>
  <si>
    <t>112-3833095-4725025</t>
  </si>
  <si>
    <t>2018-08-11T14:25:56+00:00</t>
  </si>
  <si>
    <t>2018-08-12T08:57:16+00:00</t>
  </si>
  <si>
    <t>So Toms River</t>
  </si>
  <si>
    <t>112-2235694-8572244</t>
  </si>
  <si>
    <t>2018-08-11T14:15:33+00:00</t>
  </si>
  <si>
    <t>2018-08-14T21:39:52+00:00</t>
  </si>
  <si>
    <t>BRENTWOOD</t>
  </si>
  <si>
    <t>11717-7547</t>
  </si>
  <si>
    <t>112-0236852-7411436</t>
  </si>
  <si>
    <t>2018-08-11T13:11:55+00:00</t>
  </si>
  <si>
    <t>2018-08-13T01:30:00+00:00</t>
  </si>
  <si>
    <t>PORTLAND</t>
  </si>
  <si>
    <t>97220-3475</t>
  </si>
  <si>
    <t>111-3577516-9412240</t>
  </si>
  <si>
    <t>2018-08-11T13:11:16+00:00</t>
  </si>
  <si>
    <t>2018-08-12T22:55:48+00:00</t>
  </si>
  <si>
    <t>78255-2294</t>
  </si>
  <si>
    <t>113-1429161-0338606</t>
  </si>
  <si>
    <t>2018-08-11T10:53:51+00:00</t>
  </si>
  <si>
    <t>2018-08-14T04:53:02+00:00</t>
  </si>
  <si>
    <t>MOUND CITY</t>
  </si>
  <si>
    <t>66056-5269</t>
  </si>
  <si>
    <t>113-8219218-5781047</t>
  </si>
  <si>
    <t>2018-08-11T05:51:41+00:00</t>
  </si>
  <si>
    <t>2018-08-11T14:47:38+00:00</t>
  </si>
  <si>
    <t>Yesteria Real Life Silicone Reborn Baby Dolls Boy Look Real White Light Blue Outfit 22 Inches</t>
  </si>
  <si>
    <t>MARIETTA</t>
  </si>
  <si>
    <t>17547-1714</t>
  </si>
  <si>
    <t>114-1010736-1781800</t>
  </si>
  <si>
    <t>2018-08-11T03:41:12+00:00</t>
  </si>
  <si>
    <t>2018-08-15T23:36:08+00:00</t>
  </si>
  <si>
    <t>38109-8274</t>
  </si>
  <si>
    <t>114-1562459-2755427</t>
  </si>
  <si>
    <t>2018-08-11T02:48:15+00:00</t>
  </si>
  <si>
    <t>2018-08-12T00:53:19+00:00</t>
  </si>
  <si>
    <t>Pasadena</t>
  </si>
  <si>
    <t>114-8125511-8493817</t>
  </si>
  <si>
    <t>2018-08-11T02:20:44+00:00</t>
  </si>
  <si>
    <t>2018-08-14T22:35:44+00:00</t>
  </si>
  <si>
    <t>Soft Silicone Reborn Baby Dolls Boy Look Real Light Blue Outfit 16 inches</t>
  </si>
  <si>
    <t>DO-YULQ165-B7-16</t>
  </si>
  <si>
    <t>B07BLVB7FH</t>
  </si>
  <si>
    <t>DENVER</t>
  </si>
  <si>
    <t>80202-6318</t>
  </si>
  <si>
    <t>111-1135969-6725869</t>
  </si>
  <si>
    <t>2018-08-11T01:26:46+00:00</t>
  </si>
  <si>
    <t>2018-08-11T09:52:56+00:00</t>
  </si>
  <si>
    <t>LONGPORT</t>
  </si>
  <si>
    <t>08403-1040</t>
  </si>
  <si>
    <t>112-1869163-1514616</t>
  </si>
  <si>
    <t>2018-08-11T01:22:15+00:00</t>
  </si>
  <si>
    <t>2018-08-11T01:24:59+00:00</t>
  </si>
  <si>
    <t>10463-4210</t>
  </si>
  <si>
    <t>111-3302854-1329802</t>
  </si>
  <si>
    <t>2018-08-11T01:04:59+00:00</t>
  </si>
  <si>
    <t>2018-08-11T18:33:45+00:00</t>
  </si>
  <si>
    <t>ROSEAU</t>
  </si>
  <si>
    <t>56751-8601</t>
  </si>
  <si>
    <t>114-9571847-1828254</t>
  </si>
  <si>
    <t>2018-08-11T01:00:37+00:00</t>
  </si>
  <si>
    <t>2018-08-14T02:02:53+00:00</t>
  </si>
  <si>
    <t>113-1014521-8016236</t>
  </si>
  <si>
    <t>2018-08-11T00:54:07+00:00</t>
  </si>
  <si>
    <t>2018-08-11T07:35:58+00:00</t>
  </si>
  <si>
    <t>GILBERT</t>
  </si>
  <si>
    <t>85298-8926</t>
  </si>
  <si>
    <t>113-7217717-7029012</t>
  </si>
  <si>
    <t>2018-08-12T23:45:58+00:00</t>
  </si>
  <si>
    <t>2018-08-13T21:41:52+00:00</t>
  </si>
  <si>
    <t>FARMINGTON</t>
  </si>
  <si>
    <t>55024-2014</t>
  </si>
  <si>
    <t>113-5980228-9040216</t>
  </si>
  <si>
    <t>2018-08-12T23:12:12+00:00</t>
  </si>
  <si>
    <t>2018-08-13T21:35:16+00:00</t>
  </si>
  <si>
    <t>Reborn Baby Dolls Girl Look Real Silicone Dot Outfit Red Pants 22 inches</t>
  </si>
  <si>
    <t>DO-YULQ372-R0-22</t>
  </si>
  <si>
    <t>B07BSC5Q33</t>
  </si>
  <si>
    <t>ROCKLIN</t>
  </si>
  <si>
    <t>95765-5848</t>
  </si>
  <si>
    <t>111-3947100-2140210</t>
  </si>
  <si>
    <t>2018-08-12T23:00:12+00:00</t>
  </si>
  <si>
    <t>2018-08-19T16:28:49+00:00</t>
  </si>
  <si>
    <t>Thibodaux</t>
  </si>
  <si>
    <t>112-3046700-3909016</t>
  </si>
  <si>
    <t>2018-08-12T22:57:39+00:00</t>
  </si>
  <si>
    <t>2018-08-13T21:34:22+00:00</t>
  </si>
  <si>
    <t>Houston</t>
  </si>
  <si>
    <t>Texas</t>
  </si>
  <si>
    <t>113-2040969-0525834</t>
  </si>
  <si>
    <t>2018-08-12T22:57:30+00:00</t>
  </si>
  <si>
    <t>2018-08-12T23:42:05+00:00</t>
  </si>
  <si>
    <t>EL PASO</t>
  </si>
  <si>
    <t>79936-1527</t>
  </si>
  <si>
    <t>112-8307560-0721013</t>
  </si>
  <si>
    <t>2018-08-12T22:14:17+00:00</t>
  </si>
  <si>
    <t>2018-08-14T16:26:15+00:00</t>
  </si>
  <si>
    <t>ELMHURST</t>
  </si>
  <si>
    <t>11373-4119</t>
  </si>
  <si>
    <t>112-8479139-6771458</t>
  </si>
  <si>
    <t>2018-08-12T21:57:30+00:00</t>
  </si>
  <si>
    <t>2018-08-13T17:56:17+00:00</t>
  </si>
  <si>
    <t>STUART</t>
  </si>
  <si>
    <t>34997-5920</t>
  </si>
  <si>
    <t>112-5462132-2264234</t>
  </si>
  <si>
    <t>2018-08-12T21:24:34+00:00</t>
  </si>
  <si>
    <t>2018-08-13T09:51:26+00:00</t>
  </si>
  <si>
    <t>RENO</t>
  </si>
  <si>
    <t>NV</t>
  </si>
  <si>
    <t>89501-1556</t>
  </si>
  <si>
    <t>114-3006116-2486604</t>
  </si>
  <si>
    <t>2018-08-12T21:17:44+00:00</t>
  </si>
  <si>
    <t>2018-08-13T23:33:22+00:00</t>
  </si>
  <si>
    <t>MC DONALD</t>
  </si>
  <si>
    <t>44437-1203</t>
  </si>
  <si>
    <t>111-0369782-2312206</t>
  </si>
  <si>
    <t>2018-08-12T18:18:23+00:00</t>
  </si>
  <si>
    <t>2018-08-20T20:35:31+00:00</t>
  </si>
  <si>
    <t>PARAGOULD</t>
  </si>
  <si>
    <t>AR</t>
  </si>
  <si>
    <t>72450-2453</t>
  </si>
  <si>
    <t>111-4134393-2113045</t>
  </si>
  <si>
    <t>2018-08-12T18:02:56+00:00</t>
  </si>
  <si>
    <t>2018-08-13T21:56:04+00:00</t>
  </si>
  <si>
    <t>LAS VEGAS</t>
  </si>
  <si>
    <t>89183-6308</t>
  </si>
  <si>
    <t>112-8128192-1256219</t>
  </si>
  <si>
    <t>2018-08-12T17:29:44+00:00</t>
  </si>
  <si>
    <t>2018-08-14T11:24:43+00:00</t>
  </si>
  <si>
    <t>Horn Lake</t>
  </si>
  <si>
    <t>111-4570456-5899466</t>
  </si>
  <si>
    <t>2018-08-12T16:44:49+00:00</t>
  </si>
  <si>
    <t>2018-08-13T03:35:14+00:00</t>
  </si>
  <si>
    <t>BENSENVILLE</t>
  </si>
  <si>
    <t>60106-2109</t>
  </si>
  <si>
    <t>111-1950367-7743405</t>
  </si>
  <si>
    <t>2018-08-12T16:03:24+00:00</t>
  </si>
  <si>
    <t>2018-08-13T02:30:28+00:00</t>
  </si>
  <si>
    <t>DREXEL HILL</t>
  </si>
  <si>
    <t>19026-2810</t>
  </si>
  <si>
    <t>112-7248107-9180201</t>
  </si>
  <si>
    <t>2018-08-12T15:30:53+00:00</t>
  </si>
  <si>
    <t>2018-08-13T07:02:28+00:00</t>
  </si>
  <si>
    <t>ALPINE</t>
  </si>
  <si>
    <t>UT</t>
  </si>
  <si>
    <t>84004-1900</t>
  </si>
  <si>
    <t>113-5561760-0682606</t>
  </si>
  <si>
    <t>2018-08-12T15:20:46+00:00</t>
  </si>
  <si>
    <t>2018-08-13T03:36:51+00:00</t>
  </si>
  <si>
    <t>Yesteria Sleeping Reborn Baby Dolls Boy Look Real Lifelike Toddler Silicone Vinyl Panda Outfit 18 Inches</t>
  </si>
  <si>
    <t>NEWFIELDS</t>
  </si>
  <si>
    <t>03856-8115</t>
  </si>
  <si>
    <t>113-0726866-2855408</t>
  </si>
  <si>
    <t>2018-08-12T14:07:20+00:00</t>
  </si>
  <si>
    <t>2018-08-21T22:30:11+00:00</t>
  </si>
  <si>
    <t>30507-3312</t>
  </si>
  <si>
    <t>112-5904399-8794653</t>
  </si>
  <si>
    <t>2018-08-12T03:22:14+00:00</t>
  </si>
  <si>
    <t>2018-08-12T03:22:19+00:00</t>
  </si>
  <si>
    <t>PELLA</t>
  </si>
  <si>
    <t>50219-7570</t>
  </si>
  <si>
    <t>112-6790404-8300212</t>
  </si>
  <si>
    <t>2018-08-12T03:03:16+00:00</t>
  </si>
  <si>
    <t>2018-08-12T03:04:01+00:00</t>
  </si>
  <si>
    <t>NEWTON</t>
  </si>
  <si>
    <t>50208-8411</t>
  </si>
  <si>
    <t>111-2918826-8463439</t>
  </si>
  <si>
    <t>2018-08-12T02:00:03+00:00</t>
  </si>
  <si>
    <t>2018-08-12T17:22:34+00:00</t>
  </si>
  <si>
    <t>BATON ROUGE</t>
  </si>
  <si>
    <t>70816-9064</t>
  </si>
  <si>
    <t>111-4311578-5912255</t>
  </si>
  <si>
    <t>2018-08-12T01:09:57+00:00</t>
  </si>
  <si>
    <t>2018-08-15T05:01:09+00:00</t>
  </si>
  <si>
    <t>San Juan</t>
  </si>
  <si>
    <t>Puerto Rico</t>
  </si>
  <si>
    <t>112-0034280-6141077</t>
  </si>
  <si>
    <t>2018-08-12T01:02:24+00:00</t>
  </si>
  <si>
    <t>2018-08-12T21:23:10+00:00</t>
  </si>
  <si>
    <t>CRANSTON</t>
  </si>
  <si>
    <t>02920-4601</t>
  </si>
  <si>
    <t>114-1748676-7186613</t>
  </si>
  <si>
    <t>2018-08-12T00:39:19+00:00</t>
  </si>
  <si>
    <t>2018-08-13T23:27:03+00:00</t>
  </si>
  <si>
    <t>SANTA ROSA BEACH</t>
  </si>
  <si>
    <t>32459-3713</t>
  </si>
  <si>
    <t>S01-5207714-5483668</t>
  </si>
  <si>
    <t>2018-08-13T01:47:19+00:00</t>
  </si>
  <si>
    <t>2018-08-16T09:40:50+00:00</t>
  </si>
  <si>
    <t>Yesteria Reborn Baby Dolls Boy Lifelike Toddler Silicone Vinyl Blue Baby Jumpsuit 18 Inches</t>
  </si>
  <si>
    <t>Temple</t>
  </si>
  <si>
    <t>30179-3222</t>
  </si>
  <si>
    <t>112-0037427-0130627</t>
  </si>
  <si>
    <t>2018-08-13T23:48:40+00:00</t>
  </si>
  <si>
    <t>2018-08-14T17:09:19+00:00</t>
  </si>
  <si>
    <t>LAKE ARIEL</t>
  </si>
  <si>
    <t>18436-4402</t>
  </si>
  <si>
    <t>114-3656918-7818634</t>
  </si>
  <si>
    <t>2018-08-13T23:33:13+00:00</t>
  </si>
  <si>
    <t>2018-08-14T02:42:52+00:00</t>
  </si>
  <si>
    <t>Phoenix</t>
  </si>
  <si>
    <t>114-3132524-9591419</t>
  </si>
  <si>
    <t>2018-08-13T23:04:07+00:00</t>
  </si>
  <si>
    <t>2018-08-14T07:45:48+00:00</t>
  </si>
  <si>
    <t>Pickerington</t>
  </si>
  <si>
    <t>114-7228465-0871460</t>
  </si>
  <si>
    <t>2018-08-13T22:33:30+00:00</t>
  </si>
  <si>
    <t>2018-08-15T22:18:54+00:00</t>
  </si>
  <si>
    <t>AMBERG</t>
  </si>
  <si>
    <t>54102-9030</t>
  </si>
  <si>
    <t>114-8629789-3471469</t>
  </si>
  <si>
    <t>2018-08-13T21:55:44+00:00</t>
  </si>
  <si>
    <t>2018-08-14T18:34:26+00:00</t>
  </si>
  <si>
    <t>CAMDEN</t>
  </si>
  <si>
    <t>13316-5700</t>
  </si>
  <si>
    <t>114-0590472-6061035</t>
  </si>
  <si>
    <t>2018-08-13T21:50:25+00:00</t>
  </si>
  <si>
    <t>2018-08-16T00:46:55+00:00</t>
  </si>
  <si>
    <t>KEARNEYSVILLE</t>
  </si>
  <si>
    <t>25430-3597</t>
  </si>
  <si>
    <t>111-5727285-4265859</t>
  </si>
  <si>
    <t>2018-08-13T21:19:18+00:00</t>
  </si>
  <si>
    <t>2018-08-14T05:52:52+00:00</t>
  </si>
  <si>
    <t>FITCHBURG</t>
  </si>
  <si>
    <t>114-6872556-6881813</t>
  </si>
  <si>
    <t>2018-08-13T21:11:06+00:00</t>
  </si>
  <si>
    <t>2018-08-14T21:54:45+00:00</t>
  </si>
  <si>
    <t>51106-9728</t>
  </si>
  <si>
    <t>112-7284755-6924265</t>
  </si>
  <si>
    <t>2018-08-13T20:30:07+00:00</t>
  </si>
  <si>
    <t>2018-08-14T22:22:06+00:00</t>
  </si>
  <si>
    <t>VACAVILLE</t>
  </si>
  <si>
    <t>95687-3108</t>
  </si>
  <si>
    <t>111-4798834-8429039</t>
  </si>
  <si>
    <t>2018-08-13T20:08:47+00:00</t>
  </si>
  <si>
    <t>2018-08-13T22:10:30+00:00</t>
  </si>
  <si>
    <t>Yesteria Real Looking Reborn Baby Dolls Girl Silicone Pink Outfit 22 inches</t>
  </si>
  <si>
    <t>LUCKEY</t>
  </si>
  <si>
    <t>43443-9741</t>
  </si>
  <si>
    <t>114-1053847-6272265</t>
  </si>
  <si>
    <t>2018-08-13T19:56:12+00:00</t>
  </si>
  <si>
    <t>2018-08-14T02:47:34+00:00</t>
  </si>
  <si>
    <t>MANASQUAN</t>
  </si>
  <si>
    <t>08736-1505</t>
  </si>
  <si>
    <t>112-9267327-6995426</t>
  </si>
  <si>
    <t>2018-08-13T19:00:15+00:00</t>
  </si>
  <si>
    <t>2018-08-14T05:19:52+00:00</t>
  </si>
  <si>
    <t>PINE BLUFF</t>
  </si>
  <si>
    <t>71603-6110</t>
  </si>
  <si>
    <t>111-8774972-7305856</t>
  </si>
  <si>
    <t>2018-08-13T17:52:19+00:00</t>
  </si>
  <si>
    <t>2018-08-15T01:30:40+00:00</t>
  </si>
  <si>
    <t>113-2969459-0661024</t>
  </si>
  <si>
    <t>2018-08-13T16:40:47+00:00</t>
  </si>
  <si>
    <t>2018-08-14T10:34:03+00:00</t>
  </si>
  <si>
    <t>22 inches Real Looking Reborn Baby Dolls Girl Realistic Toddler Silicone Vinyl Pink European Retro Nightdress</t>
  </si>
  <si>
    <t>DO-YULQ121-PI-22</t>
  </si>
  <si>
    <t>B07CM347WF</t>
  </si>
  <si>
    <t>Redwood Falls</t>
  </si>
  <si>
    <t>111-6105326-3763422</t>
  </si>
  <si>
    <t>2018-08-13T15:37:04+00:00</t>
  </si>
  <si>
    <t>2018-08-14T13:41:46+00:00</t>
  </si>
  <si>
    <t>Jeffersonville</t>
  </si>
  <si>
    <t>05464-9442</t>
  </si>
  <si>
    <t>113-6509538-4917849</t>
  </si>
  <si>
    <t>2018-08-13T15:13:25+00:00</t>
  </si>
  <si>
    <t>2018-08-13T23:04:34+00:00</t>
  </si>
  <si>
    <t>PORT READING</t>
  </si>
  <si>
    <t>07064-1813</t>
  </si>
  <si>
    <t>112-6699190-3472246</t>
  </si>
  <si>
    <t>2018-08-13T14:52:57+00:00</t>
  </si>
  <si>
    <t>2018-08-14T00:58:51+00:00</t>
  </si>
  <si>
    <t>10022-6387</t>
  </si>
  <si>
    <t>111-4403468-8989011</t>
  </si>
  <si>
    <t>2018-08-13T14:52:26+00:00</t>
  </si>
  <si>
    <t>2018-08-14T02:42:26+00:00</t>
  </si>
  <si>
    <t>WENTZVILLE</t>
  </si>
  <si>
    <t>63385-3091</t>
  </si>
  <si>
    <t>111-9187582-7063426</t>
  </si>
  <si>
    <t>2018-08-13T07:14:57+00:00</t>
  </si>
  <si>
    <t>2018-08-13T19:47:14+00:00</t>
  </si>
  <si>
    <t>SAINT LOUIS</t>
  </si>
  <si>
    <t>63129-2912</t>
  </si>
  <si>
    <t>112-6734994-5665801</t>
  </si>
  <si>
    <t>2018-08-13T02:55:29+00:00</t>
  </si>
  <si>
    <t>2018-08-15T06:30:06+00:00</t>
  </si>
  <si>
    <t>SAN MATEO</t>
  </si>
  <si>
    <t>94403-4864</t>
  </si>
  <si>
    <t>111-4892061-9724233</t>
  </si>
  <si>
    <t>2018-08-13T02:03:37+00:00</t>
  </si>
  <si>
    <t>2018-08-14T22:02:35+00:00</t>
  </si>
  <si>
    <t>33140-2606</t>
  </si>
  <si>
    <t>114-1823395-9697853</t>
  </si>
  <si>
    <t>2018-08-13T01:31:38+00:00</t>
  </si>
  <si>
    <t>2018-08-13T21:19:43+00:00</t>
  </si>
  <si>
    <t>Long Island City</t>
  </si>
  <si>
    <t>11101-1034</t>
  </si>
  <si>
    <t>111-1209539-2285820</t>
  </si>
  <si>
    <t>2018-08-13T01:19:26+00:00</t>
  </si>
  <si>
    <t>2018-08-13T20:08:14+00:00</t>
  </si>
  <si>
    <t>113-9958714-3175460</t>
  </si>
  <si>
    <t>2018-08-13T00:27:21+00:00</t>
  </si>
  <si>
    <t>2018-08-13T09:40:07+00:00</t>
  </si>
  <si>
    <t>NEWBURGH</t>
  </si>
  <si>
    <t>47630-9478</t>
  </si>
  <si>
    <t>S01-4277909-1381006</t>
  </si>
  <si>
    <t>2018-08-14T09:32:07+00:00</t>
  </si>
  <si>
    <t>2018-08-21T21:11:50+00:00</t>
  </si>
  <si>
    <t>Baton Rouge</t>
  </si>
  <si>
    <t>S01-7411535-6030608</t>
  </si>
  <si>
    <t>2018-08-14T09:31:24+00:00</t>
  </si>
  <si>
    <t>2018-08-21T01:36:01+00:00</t>
  </si>
  <si>
    <t>Yesteria Reborn Baby Doll Boy Look Real Silicone Light Blue Outfit 22 Inches</t>
  </si>
  <si>
    <t>S01-5865728-4448252</t>
  </si>
  <si>
    <t>1808146XV</t>
  </si>
  <si>
    <t>2018-08-14T09:30:29+00:00</t>
  </si>
  <si>
    <t>2018-08-14T09:30:51+00:00</t>
  </si>
  <si>
    <t>Shipping</t>
  </si>
  <si>
    <t>Sleeping Reborn Baby Doll Girl Look Real Silicone Pink with Cow Pattern 22 Inches</t>
  </si>
  <si>
    <t>S01-2476423-2345028</t>
  </si>
  <si>
    <t>1808146W7</t>
  </si>
  <si>
    <t>2018-08-14T09:29:11+00:00</t>
  </si>
  <si>
    <t>2018-08-15T12:00:44+00:00</t>
  </si>
  <si>
    <t>S01-3669397-1637811</t>
  </si>
  <si>
    <t>1808146UW</t>
  </si>
  <si>
    <t>2018-08-14T09:28:21+00:00</t>
  </si>
  <si>
    <t>2018-08-15T03:32:07+00:00</t>
  </si>
  <si>
    <t>S01-4818214-7970668</t>
  </si>
  <si>
    <t>1808146TE</t>
  </si>
  <si>
    <t>2018-08-14T09:27:28+00:00</t>
  </si>
  <si>
    <t>2018-08-14T09:28:03+00:00</t>
  </si>
  <si>
    <t>S01-6323741-0146642</t>
  </si>
  <si>
    <t>1808146S0</t>
  </si>
  <si>
    <t>2018-08-14T09:26:38+00:00</t>
  </si>
  <si>
    <t>2018-08-15T03:49:48+00:00</t>
  </si>
  <si>
    <t>S01-7701043-7448200</t>
  </si>
  <si>
    <t>1808146QO</t>
  </si>
  <si>
    <t>2018-08-14T09:25:47+00:00</t>
  </si>
  <si>
    <t>2018-08-16T04:09:11+00:00</t>
  </si>
  <si>
    <t>S01-0587573-4209019</t>
  </si>
  <si>
    <t>1808146OP</t>
  </si>
  <si>
    <t>2018-08-14T09:24:47+00:00</t>
  </si>
  <si>
    <t>2018-08-15T11:23:01+00:00</t>
  </si>
  <si>
    <t>Reborn Baby Dolls Girl Full Silicone Body Look Real Rose Red Tutu Skirt 22 inches</t>
  </si>
  <si>
    <t>DO-YULQ159-R2-22</t>
  </si>
  <si>
    <t>B07BNCFZXN</t>
  </si>
  <si>
    <t>S01-7218153-8442652</t>
  </si>
  <si>
    <t>1808146N2</t>
  </si>
  <si>
    <t>2018-08-14T09:23:41+00:00</t>
  </si>
  <si>
    <t>2018-08-14T09:24:03+00:00</t>
  </si>
  <si>
    <t>Full Silicone Body Sleeping Reborn Baby Dolls Girl Lifelike Toddler Rose Red Outfit 22 inches</t>
  </si>
  <si>
    <t>DO-YULQ631-R2-22</t>
  </si>
  <si>
    <t>B07BSHY6ZL</t>
  </si>
  <si>
    <t>S01-0733091-1996264</t>
  </si>
  <si>
    <t>1808146LO</t>
  </si>
  <si>
    <t>2018-08-14T09:22:50+00:00</t>
  </si>
  <si>
    <t>2018-08-14T09:23:08+00:00</t>
  </si>
  <si>
    <t>S01-6501916-8626647</t>
  </si>
  <si>
    <t>1808146JL</t>
  </si>
  <si>
    <t>2018-08-14T09:21:51+00:00</t>
  </si>
  <si>
    <t>2018-08-22T04:31:39+00:00</t>
  </si>
  <si>
    <t>S01-9646476-5224254</t>
  </si>
  <si>
    <t>1808146HJ</t>
  </si>
  <si>
    <t>2018-08-14T09:20:36+00:00</t>
  </si>
  <si>
    <t>2018-08-14T09:20:57+00:00</t>
  </si>
  <si>
    <t>S01-0577776-3161016</t>
  </si>
  <si>
    <t>1808146B5</t>
  </si>
  <si>
    <t>2018-08-14T09:16:34+00:00</t>
  </si>
  <si>
    <t>2018-08-15T15:41:29+00:00</t>
  </si>
  <si>
    <t>S01-6131245-8700262</t>
  </si>
  <si>
    <t>18081468L</t>
  </si>
  <si>
    <t>2018-08-14T09:15:33+00:00</t>
  </si>
  <si>
    <t>2018-08-27T09:18:36+00:00</t>
  </si>
  <si>
    <t>Realistic Real Life Reborn Baby Dolls Girl Silicone Pink Outfit 22 Inches</t>
  </si>
  <si>
    <t>S01-4676297-0010650</t>
  </si>
  <si>
    <t>18081461S</t>
  </si>
  <si>
    <t>2018-08-14T09:11:04+00:00</t>
  </si>
  <si>
    <t>2018-08-14T09:11:43+00:00</t>
  </si>
  <si>
    <t>S01-6382920-3373063</t>
  </si>
  <si>
    <t>1808145QM</t>
  </si>
  <si>
    <t>2018-08-14T09:04:11+00:00</t>
  </si>
  <si>
    <t>2018-08-22T00:23:48+00:00</t>
  </si>
  <si>
    <t>S01-6415580-3893805</t>
  </si>
  <si>
    <t>1808145OJ</t>
  </si>
  <si>
    <t>2018-08-14T09:03:18+00:00</t>
  </si>
  <si>
    <t>2018-08-22T00:10:32+00:00</t>
  </si>
  <si>
    <t>S01-7906860-2260215</t>
  </si>
  <si>
    <t>1808145MY</t>
  </si>
  <si>
    <t>2018-08-14T09:01:57+00:00</t>
  </si>
  <si>
    <t>2018-08-14T09:02:21+00:00</t>
  </si>
  <si>
    <t>S01-2892011-7307437</t>
  </si>
  <si>
    <t>1808145KO</t>
  </si>
  <si>
    <t>2018-08-14T09:01:03+00:00</t>
  </si>
  <si>
    <t>2018-08-22T04:18:05+00:00</t>
  </si>
  <si>
    <t>S01-6175472-1774626</t>
  </si>
  <si>
    <t>1808145J5</t>
  </si>
  <si>
    <t>2018-08-14T08:59:47+00:00</t>
  </si>
  <si>
    <t>2018-08-21T20:13:12+00:00</t>
  </si>
  <si>
    <t>S01-6199614-2188221</t>
  </si>
  <si>
    <t>1808145GV</t>
  </si>
  <si>
    <t>2018-08-14T08:58:43+00:00</t>
  </si>
  <si>
    <t>2018-08-24T12:32:08+00:00</t>
  </si>
  <si>
    <t>S01-2679636-1521019</t>
  </si>
  <si>
    <t>1808145EN</t>
  </si>
  <si>
    <t>2018-08-14T08:56:59+00:00</t>
  </si>
  <si>
    <t>2018-08-22T04:27:31+00:00</t>
  </si>
  <si>
    <t>20 Inches Full Silicone Reborn Baby Doll Look Real Girl Toddler with Rabbit Ear Hat Pink Love Dots Bib and Diapers</t>
  </si>
  <si>
    <t>DO-YULQ259-PI-22</t>
  </si>
  <si>
    <t>B07DQH5M4P</t>
  </si>
  <si>
    <t>S01-9835397-8611448</t>
  </si>
  <si>
    <t>1808145D8</t>
  </si>
  <si>
    <t>2018-08-14T08:56:10+00:00</t>
  </si>
  <si>
    <t>2018-08-22T04:14:26+00:00</t>
  </si>
  <si>
    <t>DO-YULQ905-B7-22</t>
  </si>
  <si>
    <t>S01-0654421-1954611</t>
  </si>
  <si>
    <t>18081458V</t>
  </si>
  <si>
    <t>2018-08-14T08:55:18+00:00</t>
  </si>
  <si>
    <t>2018-08-21T04:02:59+00:00</t>
  </si>
  <si>
    <t>S01-2799064-9555418</t>
  </si>
  <si>
    <t>18081457A</t>
  </si>
  <si>
    <t>2018-08-14T08:52:42+00:00</t>
  </si>
  <si>
    <t>2018-08-15T23:24:22+00:00</t>
  </si>
  <si>
    <t>African American Sleeping Reborn Baby Dolls Look Real Full Body Silicone Light Blue Outfit 10 Inches</t>
  </si>
  <si>
    <t>DOLL-006-LB-11</t>
  </si>
  <si>
    <t>B076Q79H79</t>
  </si>
  <si>
    <t>S01-6469667-4841027</t>
  </si>
  <si>
    <t>18081452E</t>
  </si>
  <si>
    <t>2018-08-14T08:49:46+00:00</t>
  </si>
  <si>
    <t>2018-08-22T00:09:09+00:00</t>
  </si>
  <si>
    <t>Reborn Baby Doll Boy Look Real Full Silicone Body Light Blue Outfit 10 inches</t>
  </si>
  <si>
    <t>DOLL-1613-LB-11</t>
  </si>
  <si>
    <t>B076MVRP3M</t>
  </si>
  <si>
    <t>S01-8510780-5261807</t>
  </si>
  <si>
    <t>18081450V</t>
  </si>
  <si>
    <t>2018-08-14T08:48:46+00:00</t>
  </si>
  <si>
    <t>2018-08-22T00:07:32+00:00</t>
  </si>
  <si>
    <t>African American Reborn Baby Doll Boy Look Real Full Silicone Body Bohemia Style Orange Outfit 10 Inches</t>
  </si>
  <si>
    <t>DOLL-7056B-YO-11</t>
  </si>
  <si>
    <t>B0788NF4TB</t>
  </si>
  <si>
    <t>S01-3168205-8587432</t>
  </si>
  <si>
    <t>1808144Y7</t>
  </si>
  <si>
    <t>2018-08-14T08:47:25+00:00</t>
  </si>
  <si>
    <t>2018-08-21T23:55:05+00:00</t>
  </si>
  <si>
    <t>Reborn Baby Doll Girl Panda Outfit Look Real Black and White 17 inches</t>
  </si>
  <si>
    <t>DOLL-007XM-WO-17</t>
  </si>
  <si>
    <t>B077HQRC9P</t>
  </si>
  <si>
    <t>S01-0979778-9789038</t>
  </si>
  <si>
    <t>1808144KD</t>
  </si>
  <si>
    <t>2018-08-14T08:46:02+00:00</t>
  </si>
  <si>
    <t>2018-08-22T00:06:31+00:00</t>
  </si>
  <si>
    <t>Reborn Baby Doll Girl Monkey Outfit Look Real Brown 17 inches</t>
  </si>
  <si>
    <t>DOLL-007-NO-17</t>
  </si>
  <si>
    <t>B077HPT67J</t>
  </si>
  <si>
    <t>S01-5240767-8804264</t>
  </si>
  <si>
    <t>1808144HW</t>
  </si>
  <si>
    <t>2018-08-14T08:37:45+00:00</t>
  </si>
  <si>
    <t>2018-08-21T23:41:24+00:00</t>
  </si>
  <si>
    <t>Reborn Baby Doll Girl Look Real White Outfit Cat Pattern 22 inches</t>
  </si>
  <si>
    <t>DOLL-AD010-03R-22</t>
  </si>
  <si>
    <t>B0788N4FMR</t>
  </si>
  <si>
    <t>S01-8307058-6663411</t>
  </si>
  <si>
    <t>1808144ER</t>
  </si>
  <si>
    <t>2018-08-14T08:35:56+00:00</t>
  </si>
  <si>
    <t>2018-08-22T03:43:21+00:00</t>
  </si>
  <si>
    <t>S01-5346689-8060269</t>
  </si>
  <si>
    <t>1808143ZV</t>
  </si>
  <si>
    <t>2018-08-14T08:30:08+00:00</t>
  </si>
  <si>
    <t>2018-08-21T23:57:44+00:00</t>
  </si>
  <si>
    <t>Yesteria Sleeping Reborn Baby Doll Girl Look Real Silicone Pink Outfit 22 Inches</t>
  </si>
  <si>
    <t>DOLL-1613-PI-22</t>
  </si>
  <si>
    <t>B076MW1Y4F</t>
  </si>
  <si>
    <t>S01-4865167-3633258</t>
  </si>
  <si>
    <t>CONSUMER-20180813-205550</t>
  </si>
  <si>
    <t>2018-08-14T03:56:08+00:00</t>
  </si>
  <si>
    <t>2018-08-15T15:28:24+00:00</t>
  </si>
  <si>
    <t>Monrovia</t>
  </si>
  <si>
    <t>114-3029937-5597035</t>
  </si>
  <si>
    <t>2018-08-14T23:21:43+00:00</t>
  </si>
  <si>
    <t>2018-08-15T16:27:11+00:00</t>
  </si>
  <si>
    <t>43207-3718</t>
  </si>
  <si>
    <t>112-4036206-2341836</t>
  </si>
  <si>
    <t>2018-08-14T22:30:30+00:00</t>
  </si>
  <si>
    <t>2018-08-15T17:44:50+00:00</t>
  </si>
  <si>
    <t>32817-4540</t>
  </si>
  <si>
    <t>112-6472298-7596260</t>
  </si>
  <si>
    <t>2018-08-14T22:23:01+00:00</t>
  </si>
  <si>
    <t>2018-08-16T00:23:58+00:00</t>
  </si>
  <si>
    <t>WALDOBORO</t>
  </si>
  <si>
    <t>ME</t>
  </si>
  <si>
    <t>04572-0311</t>
  </si>
  <si>
    <t>113-2305784-3116252</t>
  </si>
  <si>
    <t>2018-08-14T22:03:07+00:00</t>
  </si>
  <si>
    <t>2018-08-14T22:07:33+00:00</t>
  </si>
  <si>
    <t>GOLDSBORO</t>
  </si>
  <si>
    <t>27530-4940</t>
  </si>
  <si>
    <t>111-7649439-8673020</t>
  </si>
  <si>
    <t>2018-08-14T21:11:58+00:00</t>
  </si>
  <si>
    <t>2018-08-22T22:02:55+00:00</t>
  </si>
  <si>
    <t>WASILLA</t>
  </si>
  <si>
    <t>AK</t>
  </si>
  <si>
    <t>99654-6337</t>
  </si>
  <si>
    <t>111-9871681-5533027</t>
  </si>
  <si>
    <t>2018-08-14T20:19:00+00:00</t>
  </si>
  <si>
    <t>2018-08-15T15:37:26+00:00</t>
  </si>
  <si>
    <t>UNIVERSAL CITY</t>
  </si>
  <si>
    <t>91608-1002</t>
  </si>
  <si>
    <t>113-0070021-7506626</t>
  </si>
  <si>
    <t>2018-08-14T20:10:28+00:00</t>
  </si>
  <si>
    <t>2018-08-15T14:41:33+00:00</t>
  </si>
  <si>
    <t>LAWTON</t>
  </si>
  <si>
    <t>73501-9456</t>
  </si>
  <si>
    <t>111-7778248-6883424</t>
  </si>
  <si>
    <t>2018-08-14T19:40:13+00:00</t>
  </si>
  <si>
    <t>2018-08-15T06:37:49+00:00</t>
  </si>
  <si>
    <t>Full Silicone Reborn Baby Dolls Twins Boy Realistic Toddler Light Gray Outfit with Dinosaur Patterns 22 inches</t>
  </si>
  <si>
    <t>DO-YULQ639-LGR-22</t>
  </si>
  <si>
    <t>B07BFVHDDP</t>
  </si>
  <si>
    <t>COMPTON</t>
  </si>
  <si>
    <t>90220-4906</t>
  </si>
  <si>
    <t>111-8943580-1549808</t>
  </si>
  <si>
    <t>2018-08-14T19:31:56+00:00</t>
  </si>
  <si>
    <t>2018-08-14T19:45:58+00:00</t>
  </si>
  <si>
    <t>113-6202107-4543459</t>
  </si>
  <si>
    <t>2018-08-14T19:06:58+00:00</t>
  </si>
  <si>
    <t>2018-08-16T08:39:33+00:00</t>
  </si>
  <si>
    <t>78258-6982</t>
  </si>
  <si>
    <t>113-8879202-6909867</t>
  </si>
  <si>
    <t>2018-08-14T19:04:58+00:00</t>
  </si>
  <si>
    <t>2018-08-15T04:41:20+00:00</t>
  </si>
  <si>
    <t>DESLOGE</t>
  </si>
  <si>
    <t>63601-2921</t>
  </si>
  <si>
    <t>114-3955349-9611400</t>
  </si>
  <si>
    <t>2018-08-14T17:53:41+00:00</t>
  </si>
  <si>
    <t>2018-08-23T19:11:55+00:00</t>
  </si>
  <si>
    <t>77002-5605</t>
  </si>
  <si>
    <t>113-6116746-7775454</t>
  </si>
  <si>
    <t>2018-08-14T17:20:46+00:00</t>
  </si>
  <si>
    <t>2018-08-14T21:09:41+00:00</t>
  </si>
  <si>
    <t>113-3783294-2191425</t>
  </si>
  <si>
    <t>2018-08-14T17:10:15+00:00</t>
  </si>
  <si>
    <t>2018-08-14T17:10:59+00:00</t>
  </si>
  <si>
    <t>north plainfield</t>
  </si>
  <si>
    <t>nj</t>
  </si>
  <si>
    <t>111-7493975-5037853</t>
  </si>
  <si>
    <t>2018-08-14T16:03:20+00:00</t>
  </si>
  <si>
    <t>2018-08-15T00:34:58+00:00</t>
  </si>
  <si>
    <t>WENDELL</t>
  </si>
  <si>
    <t>83355-5097</t>
  </si>
  <si>
    <t>113-7789279-4159413</t>
  </si>
  <si>
    <t>2018-08-14T15:44:37+00:00</t>
  </si>
  <si>
    <t>2018-08-15T03:38:26+00:00</t>
  </si>
  <si>
    <t>Full Silicone Body Realistic Reborn Baby Dolls African Amrican Toddler with Curly Hair White Outfit 22 Inches</t>
  </si>
  <si>
    <t>DO-YULQ158-W0-22</t>
  </si>
  <si>
    <t>B0795M2NML</t>
  </si>
  <si>
    <t>MCKINNEY</t>
  </si>
  <si>
    <t>114-8232695-1773003</t>
  </si>
  <si>
    <t>2018-08-14T15:22:57+00:00</t>
  </si>
  <si>
    <t>2018-08-14T20:40:56+00:00</t>
  </si>
  <si>
    <t>Saint Joseph</t>
  </si>
  <si>
    <t>Missouri</t>
  </si>
  <si>
    <t>111-5290644-1185848</t>
  </si>
  <si>
    <t>2018-08-14T15:20:05+00:00</t>
  </si>
  <si>
    <t>2018-08-15T21:11:47+00:00</t>
  </si>
  <si>
    <t>DUQUESNE</t>
  </si>
  <si>
    <t>15110-1340</t>
  </si>
  <si>
    <t>112-9390679-2448252</t>
  </si>
  <si>
    <t>2018-08-14T14:20:46+00:00</t>
  </si>
  <si>
    <t>2018-08-15T16:50:44+00:00</t>
  </si>
  <si>
    <t>75203-1141</t>
  </si>
  <si>
    <t>113-0807312-2938645</t>
  </si>
  <si>
    <t>2018-08-14T14:11:35+00:00</t>
  </si>
  <si>
    <t>2018-08-16T02:39:18+00:00</t>
  </si>
  <si>
    <t>Full Silicone Vinyl Body Realistic Reborn Baby Doll Boy with Panda Blanket 16 inches</t>
  </si>
  <si>
    <t>DO-YULQ720-W0-16</t>
  </si>
  <si>
    <t>B07FNL69J7</t>
  </si>
  <si>
    <t>LEXINGTON</t>
  </si>
  <si>
    <t>40504-2235</t>
  </si>
  <si>
    <t>111-1915060-0345064</t>
  </si>
  <si>
    <t>2018-08-14T13:28:07+00:00</t>
  </si>
  <si>
    <t>2018-08-15T06:27:28+00:00</t>
  </si>
  <si>
    <t>Horace</t>
  </si>
  <si>
    <t>ND</t>
  </si>
  <si>
    <t>112-7676436-8717868</t>
  </si>
  <si>
    <t>2018-08-14T13:23:02+00:00</t>
  </si>
  <si>
    <t>2018-08-18T00:33:29+00:00</t>
  </si>
  <si>
    <t>BROOKLYN</t>
  </si>
  <si>
    <t>11206-3003</t>
  </si>
  <si>
    <t>114-3677368-1538657</t>
  </si>
  <si>
    <t>2018-08-14T13:01:11+00:00</t>
  </si>
  <si>
    <t>2018-08-19T02:51:19+00:00</t>
  </si>
  <si>
    <t>ODENTON</t>
  </si>
  <si>
    <t>21113-1457</t>
  </si>
  <si>
    <t>111-9582795-7429013</t>
  </si>
  <si>
    <t>2018-08-14T12:39:43+00:00</t>
  </si>
  <si>
    <t>2018-08-15T06:28:29+00:00</t>
  </si>
  <si>
    <t>oak Park</t>
  </si>
  <si>
    <t>Michigan</t>
  </si>
  <si>
    <t>111-3373282-0320246</t>
  </si>
  <si>
    <t>2018-08-14T10:46:21+00:00</t>
  </si>
  <si>
    <t>2018-08-15T21:22:38+00:00</t>
  </si>
  <si>
    <t>Cedar Bluff</t>
  </si>
  <si>
    <t>24609-9225</t>
  </si>
  <si>
    <t>114-4136756-4572204</t>
  </si>
  <si>
    <t>2018-08-14T05:05:03+00:00</t>
  </si>
  <si>
    <t>2018-08-18T09:29:10+00:00</t>
  </si>
  <si>
    <t>95136-1521</t>
  </si>
  <si>
    <t>111-4406764-8875420</t>
  </si>
  <si>
    <t>2018-08-14T04:06:21+00:00</t>
  </si>
  <si>
    <t>2018-08-14T06:36:30+00:00</t>
  </si>
  <si>
    <t>MONROVIA</t>
  </si>
  <si>
    <t>91016-4568</t>
  </si>
  <si>
    <t>113-4805212-2076264</t>
  </si>
  <si>
    <t>2018-08-14T04:00:36+00:00</t>
  </si>
  <si>
    <t>2018-08-14T16:37:02+00:00</t>
  </si>
  <si>
    <t>111-7399382-0229805</t>
  </si>
  <si>
    <t>2018-08-14T01:37:30+00:00</t>
  </si>
  <si>
    <t>2018-08-14T20:33:13+00:00</t>
  </si>
  <si>
    <t>32809-7081</t>
  </si>
  <si>
    <t>114-8882051-2018630</t>
  </si>
  <si>
    <t>2018-08-14T00:38:45+00:00</t>
  </si>
  <si>
    <t>2018-08-15T05:12:49+00:00</t>
  </si>
  <si>
    <t>WHITE PLAINS</t>
  </si>
  <si>
    <t>10601-1572</t>
  </si>
  <si>
    <t>111-5390986-6353818</t>
  </si>
  <si>
    <t>2018-08-14T00:07:29+00:00</t>
  </si>
  <si>
    <t>2018-08-14T18:19:24+00:00</t>
  </si>
  <si>
    <t>Chester</t>
  </si>
  <si>
    <t>114-6356883-1213814</t>
  </si>
  <si>
    <t>2018-08-15T23:37:50+00:00</t>
  </si>
  <si>
    <t>2018-08-17T18:10:25+00:00</t>
  </si>
  <si>
    <t>Yesteria Real Looking Reborn Baby Doll Girl Realistic Newborn Toddler Floral Princess Dress 24 inches</t>
  </si>
  <si>
    <t>DO-YULQ170-SH-22</t>
  </si>
  <si>
    <t>B07F72X354</t>
  </si>
  <si>
    <t>MARYSVILLE</t>
  </si>
  <si>
    <t>98270-5211</t>
  </si>
  <si>
    <t>111-0872004-6585034</t>
  </si>
  <si>
    <t>2018-08-15T23:31:21+00:00</t>
  </si>
  <si>
    <t>2018-08-17T04:10:16+00:00</t>
  </si>
  <si>
    <t>pacific</t>
  </si>
  <si>
    <t>wa</t>
  </si>
  <si>
    <t>114-5069834-3561010</t>
  </si>
  <si>
    <t>2018-08-15T23:20:16+00:00</t>
  </si>
  <si>
    <t>2018-08-16T13:31:13+00:00</t>
  </si>
  <si>
    <t>08079-3915</t>
  </si>
  <si>
    <t>112-5105544-6933016</t>
  </si>
  <si>
    <t>2018-08-15T23:14:32+00:00</t>
  </si>
  <si>
    <t>2018-08-16T20:48:51+00:00</t>
  </si>
  <si>
    <t>23235-3738</t>
  </si>
  <si>
    <t>111-7362446-2269001</t>
  </si>
  <si>
    <t>2018-08-15T22:37:07+00:00</t>
  </si>
  <si>
    <t>2018-08-17T00:39:29+00:00</t>
  </si>
  <si>
    <t>111-3815700-8560209</t>
  </si>
  <si>
    <t>2018-08-15T21:45:52+00:00</t>
  </si>
  <si>
    <t>2018-08-18T03:59:58+00:00</t>
  </si>
  <si>
    <t>33191-1501</t>
  </si>
  <si>
    <t>113-5811916-2749806</t>
  </si>
  <si>
    <t>2018-08-15T21:22:48+00:00</t>
  </si>
  <si>
    <t>2018-08-16T02:13:28+00:00</t>
  </si>
  <si>
    <t>LINDENHURST</t>
  </si>
  <si>
    <t>11757-6023</t>
  </si>
  <si>
    <t>112-3298976-7720251</t>
  </si>
  <si>
    <t>2018-08-15T21:20:06+00:00</t>
  </si>
  <si>
    <t>2018-08-19T17:45:00+00:00</t>
  </si>
  <si>
    <t>FRANKFORT</t>
  </si>
  <si>
    <t>40601-3623</t>
  </si>
  <si>
    <t>114-8311418-1949057</t>
  </si>
  <si>
    <t>2018-08-15T18:18:21+00:00</t>
  </si>
  <si>
    <t>2018-08-20T18:36:01+00:00</t>
  </si>
  <si>
    <t>INDIANAPOLIS</t>
  </si>
  <si>
    <t>46203-3929</t>
  </si>
  <si>
    <t>111-8782003-5158638</t>
  </si>
  <si>
    <t>2018-08-15T17:41:48+00:00</t>
  </si>
  <si>
    <t>2018-08-16T06:55:04+00:00</t>
  </si>
  <si>
    <t>PEABODY</t>
  </si>
  <si>
    <t>01960-5658</t>
  </si>
  <si>
    <t>113-3897974-0375469</t>
  </si>
  <si>
    <t>2018-08-15T17:00:16+00:00</t>
  </si>
  <si>
    <t>2018-08-16T17:31:35+00:00</t>
  </si>
  <si>
    <t>MONROE</t>
  </si>
  <si>
    <t>48162-4373</t>
  </si>
  <si>
    <t>113-7162627-5394654</t>
  </si>
  <si>
    <t>2018-08-15T16:53:06+00:00</t>
  </si>
  <si>
    <t>2018-08-16T08:37:37+00:00</t>
  </si>
  <si>
    <t>DUNCAN</t>
  </si>
  <si>
    <t>73533-2340</t>
  </si>
  <si>
    <t>113-8430982-0947454</t>
  </si>
  <si>
    <t>2018-08-15T16:48:31+00:00</t>
  </si>
  <si>
    <t>2018-08-19T08:58:51+00:00</t>
  </si>
  <si>
    <t>CARTHAGE</t>
  </si>
  <si>
    <t>64836-2421</t>
  </si>
  <si>
    <t>114-8553641-5433828</t>
  </si>
  <si>
    <t>2018-08-15T16:02:04+00:00</t>
  </si>
  <si>
    <t>2018-08-16T18:40:06+00:00</t>
  </si>
  <si>
    <t>GREENACRES</t>
  </si>
  <si>
    <t>33415-6014</t>
  </si>
  <si>
    <t>112-6458692-3421854</t>
  </si>
  <si>
    <t>2018-08-15T15:11:07+00:00</t>
  </si>
  <si>
    <t>2018-08-16T10:45:58+00:00</t>
  </si>
  <si>
    <t>Rocklin</t>
  </si>
  <si>
    <t>113-0109337-4721022</t>
  </si>
  <si>
    <t>2018-08-15T14:50:34+00:00</t>
  </si>
  <si>
    <t>2018-08-16T18:44:52+00:00</t>
  </si>
  <si>
    <t>BLUFFTON</t>
  </si>
  <si>
    <t>29910-4830</t>
  </si>
  <si>
    <t>112-1076799-7558652</t>
  </si>
  <si>
    <t>2018-08-15T14:18:25+00:00</t>
  </si>
  <si>
    <t>2018-08-16T21:27:22+00:00</t>
  </si>
  <si>
    <t>BEAR</t>
  </si>
  <si>
    <t>19701-6827</t>
  </si>
  <si>
    <t>114-9080204-3345838</t>
  </si>
  <si>
    <t>2018-08-15T13:37:29+00:00</t>
  </si>
  <si>
    <t>2018-08-16T09:19:00+00:00</t>
  </si>
  <si>
    <t>JENNINGS</t>
  </si>
  <si>
    <t>70546-8207</t>
  </si>
  <si>
    <t>112-4946167-9534608</t>
  </si>
  <si>
    <t>2018-08-15T13:35:59+00:00</t>
  </si>
  <si>
    <t>2018-08-17T00:45:03+00:00</t>
  </si>
  <si>
    <t>Cedarburg</t>
  </si>
  <si>
    <t>113-9777615-9133817</t>
  </si>
  <si>
    <t>2018-08-15T13:09:45+00:00</t>
  </si>
  <si>
    <t>2018-08-15T21:40:11+00:00</t>
  </si>
  <si>
    <t>BENTON</t>
  </si>
  <si>
    <t>37307-5867</t>
  </si>
  <si>
    <t>114-6198330-8661061</t>
  </si>
  <si>
    <t>2018-08-15T11:39:57+00:00</t>
  </si>
  <si>
    <t>2018-08-15T21:25:11+00:00</t>
  </si>
  <si>
    <t>Dubuque</t>
  </si>
  <si>
    <t>Ia</t>
  </si>
  <si>
    <t>111-4661113-5627401</t>
  </si>
  <si>
    <t>2018-08-15T07:13:09+00:00</t>
  </si>
  <si>
    <t>2018-08-15T18:42:48+00:00</t>
  </si>
  <si>
    <t>GOOSE CREEK</t>
  </si>
  <si>
    <t>29445-2753</t>
  </si>
  <si>
    <t>112-3830644-0096224</t>
  </si>
  <si>
    <t>2018-08-15T03:15:07+00:00</t>
  </si>
  <si>
    <t>2018-08-17T06:28:10+00:00</t>
  </si>
  <si>
    <t>Boonville</t>
  </si>
  <si>
    <t>111-3244763-4805000</t>
  </si>
  <si>
    <t>2018-08-15T02:30:14+00:00</t>
  </si>
  <si>
    <t>2018-08-15T07:08:24+00:00</t>
  </si>
  <si>
    <t>10002-4964</t>
  </si>
  <si>
    <t>111-6044343-8551449</t>
  </si>
  <si>
    <t>2018-08-15T01:29:07+00:00</t>
  </si>
  <si>
    <t>2018-08-15T07:52:49+00:00</t>
  </si>
  <si>
    <t>MINERSVILLE</t>
  </si>
  <si>
    <t>PENNSYLVANIA</t>
  </si>
  <si>
    <t>17954-2001</t>
  </si>
  <si>
    <t>111-8124438-6865032</t>
  </si>
  <si>
    <t>2018-08-15T01:16:56+00:00</t>
  </si>
  <si>
    <t>2018-08-16T10:43:12+00:00</t>
  </si>
  <si>
    <t>Geneva</t>
  </si>
  <si>
    <t>112-9211631-3440203</t>
  </si>
  <si>
    <t>2018-08-15T00:49:53+00:00</t>
  </si>
  <si>
    <t>2018-08-16T19:42:54+00:00</t>
  </si>
  <si>
    <t>TELL CITY</t>
  </si>
  <si>
    <t>47586-2502</t>
  </si>
  <si>
    <t>112-0195482-1075468</t>
  </si>
  <si>
    <t>2018-08-16T23:47:17+00:00</t>
  </si>
  <si>
    <t>2018-08-17T07:47:45+00:00</t>
  </si>
  <si>
    <t>76034-3413</t>
  </si>
  <si>
    <t>113-4067427-8693001</t>
  </si>
  <si>
    <t>2018-08-16T23:41:16+00:00</t>
  </si>
  <si>
    <t>2018-08-17T04:55:12+00:00</t>
  </si>
  <si>
    <t>BARRE</t>
  </si>
  <si>
    <t>VERMONT</t>
  </si>
  <si>
    <t>05641-4808</t>
  </si>
  <si>
    <t>112-1958136-9509055</t>
  </si>
  <si>
    <t>2018-08-16T22:43:46+00:00</t>
  </si>
  <si>
    <t>2018-08-18T10:03:38+00:00</t>
  </si>
  <si>
    <t>Castaic</t>
  </si>
  <si>
    <t>Yesteria Silicone Reborn Baby Dolls Girl Lifelike Toddler Look Real Vintage Style Pink Dress 22 Inches</t>
  </si>
  <si>
    <t>DO-YULQ002-PI-22</t>
  </si>
  <si>
    <t>B078X6K4KJ</t>
  </si>
  <si>
    <t>113-8762302-9162659</t>
  </si>
  <si>
    <t>2018-08-16T22:31:28+00:00</t>
  </si>
  <si>
    <t>2018-08-19T06:43:19+00:00</t>
  </si>
  <si>
    <t>Homestead</t>
  </si>
  <si>
    <t>113-8464902-3819447</t>
  </si>
  <si>
    <t>2018-08-16T21:40:42+00:00</t>
  </si>
  <si>
    <t>2018-08-17T07:05:42+00:00</t>
  </si>
  <si>
    <t>46143-7500</t>
  </si>
  <si>
    <t>111-3009580-3286622</t>
  </si>
  <si>
    <t>2018-08-16T21:29:28+00:00</t>
  </si>
  <si>
    <t>2018-08-21T21:30:21+00:00</t>
  </si>
  <si>
    <t>111-2750618-0168204</t>
  </si>
  <si>
    <t>2018-08-16T20:27:54+00:00</t>
  </si>
  <si>
    <t>2018-08-19T19:12:32+00:00</t>
  </si>
  <si>
    <t>10029-5378</t>
  </si>
  <si>
    <t>114-3394403-3681069</t>
  </si>
  <si>
    <t>2018-08-16T19:08:51+00:00</t>
  </si>
  <si>
    <t>2018-08-17T21:40:54+00:00</t>
  </si>
  <si>
    <t>PAWTUCKET</t>
  </si>
  <si>
    <t>02860-4435</t>
  </si>
  <si>
    <t>114-1417290-4450613</t>
  </si>
  <si>
    <t>2018-08-16T18:34:47+00:00</t>
  </si>
  <si>
    <t>2018-08-17T09:33:40+00:00</t>
  </si>
  <si>
    <t>29212-2050</t>
  </si>
  <si>
    <t>111-3570956-2029839</t>
  </si>
  <si>
    <t>2018-08-16T18:34:36+00:00</t>
  </si>
  <si>
    <t>2018-08-24T04:45:41+00:00</t>
  </si>
  <si>
    <t>RIVER VALE</t>
  </si>
  <si>
    <t>07675-6609</t>
  </si>
  <si>
    <t>112-2858177-8909039</t>
  </si>
  <si>
    <t>2018-08-16T18:31:15+00:00</t>
  </si>
  <si>
    <t>2018-08-18T08:37:28+00:00</t>
  </si>
  <si>
    <t>79925-3414</t>
  </si>
  <si>
    <t>112-2244848-8974643</t>
  </si>
  <si>
    <t>2018-08-16T17:11:36+00:00</t>
  </si>
  <si>
    <t>2018-08-17T03:01:09+00:00</t>
  </si>
  <si>
    <t>84003-3712</t>
  </si>
  <si>
    <t>113-2399100-6869848</t>
  </si>
  <si>
    <t>2018-08-16T16:45:13+00:00</t>
  </si>
  <si>
    <t>2018-08-19T07:04:34+00:00</t>
  </si>
  <si>
    <t>Silicone Reborn Baby Dolls Boy Whte Outfit with Penguin Pattern 22 inches</t>
  </si>
  <si>
    <t>DO-YULQ042-W0-22</t>
  </si>
  <si>
    <t>B07B9C9WPT</t>
  </si>
  <si>
    <t>SACRAMENTO</t>
  </si>
  <si>
    <t>95823-2421</t>
  </si>
  <si>
    <t>114-2430031-4337004</t>
  </si>
  <si>
    <t>2018-08-16T16:07:54+00:00</t>
  </si>
  <si>
    <t>2018-08-17T07:40:26+00:00</t>
  </si>
  <si>
    <t>TAYLORSVILLE</t>
  </si>
  <si>
    <t>40071-7790</t>
  </si>
  <si>
    <t>111-6882066-3417818</t>
  </si>
  <si>
    <t>2018-08-16T15:55:31+00:00</t>
  </si>
  <si>
    <t>2018-08-17T00:45:27+00:00</t>
  </si>
  <si>
    <t>SLATINGTON</t>
  </si>
  <si>
    <t>18080-3804</t>
  </si>
  <si>
    <t>112-9180846-8932215</t>
  </si>
  <si>
    <t>2018-08-16T14:59:49+00:00</t>
  </si>
  <si>
    <t>2018-08-19T17:50:36+00:00</t>
  </si>
  <si>
    <t>WASHINGTON</t>
  </si>
  <si>
    <t>27889-3522</t>
  </si>
  <si>
    <t>111-5108745-9791429</t>
  </si>
  <si>
    <t>2018-08-16T14:55:36+00:00</t>
  </si>
  <si>
    <t>2018-08-17T16:27:29+00:00</t>
  </si>
  <si>
    <t>Reborn Baby Dolls Girl Lifelike Toddler Silicone Vinyl Pink Outfit 22 Inches</t>
  </si>
  <si>
    <t>DO-YULQ105-R2-22</t>
  </si>
  <si>
    <t>B0794Z23LW</t>
  </si>
  <si>
    <t>LA PLATA</t>
  </si>
  <si>
    <t>20646-5941</t>
  </si>
  <si>
    <t>111-7821738-2166646</t>
  </si>
  <si>
    <t>2018-08-16T14:20:51+00:00</t>
  </si>
  <si>
    <t>2018-08-16T14:23:30+00:00</t>
  </si>
  <si>
    <t>SOUTH RIVER</t>
  </si>
  <si>
    <t>08882-1233</t>
  </si>
  <si>
    <t>113-8638173-4036218</t>
  </si>
  <si>
    <t>2018-08-16T13:51:17+00:00</t>
  </si>
  <si>
    <t>2018-08-16T21:29:30+00:00</t>
  </si>
  <si>
    <t>NEWBERRY</t>
  </si>
  <si>
    <t>49868-7736</t>
  </si>
  <si>
    <t>112-7663968-1280201</t>
  </si>
  <si>
    <t>2018-08-16T13:22:41+00:00</t>
  </si>
  <si>
    <t>2018-08-16T18:17:26+00:00</t>
  </si>
  <si>
    <t>111-7789218-7271443</t>
  </si>
  <si>
    <t>2018-08-16T13:08:09+00:00</t>
  </si>
  <si>
    <t>2018-08-17T12:59:00+00:00</t>
  </si>
  <si>
    <t>DOYLESTOWN</t>
  </si>
  <si>
    <t>18902-1456</t>
  </si>
  <si>
    <t>112-8407531-5433006</t>
  </si>
  <si>
    <t>2018-08-16T12:46:12+00:00</t>
  </si>
  <si>
    <t>2018-08-17T09:30:34+00:00</t>
  </si>
  <si>
    <t>VALLEY COTTAGE</t>
  </si>
  <si>
    <t>10989-1329</t>
  </si>
  <si>
    <t>113-2480822-6647462</t>
  </si>
  <si>
    <t>2018-08-16T12:34:59+00:00</t>
  </si>
  <si>
    <t>2018-08-18T20:37:06+00:00</t>
  </si>
  <si>
    <t>Urb Fairview San Juan</t>
  </si>
  <si>
    <t>112-4350331-6253037</t>
  </si>
  <si>
    <t>2018-08-16T11:50:08+00:00</t>
  </si>
  <si>
    <t>2018-08-17T05:53:10+00:00</t>
  </si>
  <si>
    <t>RENSSELAER</t>
  </si>
  <si>
    <t>12144-1503</t>
  </si>
  <si>
    <t>111-2465134-9821800</t>
  </si>
  <si>
    <t>2018-08-16T05:55:52+00:00</t>
  </si>
  <si>
    <t>2018-08-20T10:51:44+00:00</t>
  </si>
  <si>
    <t>92114-3409</t>
  </si>
  <si>
    <t>111-4395085-8133047</t>
  </si>
  <si>
    <t>2018-08-16T04:48:30+00:00</t>
  </si>
  <si>
    <t>2018-08-17T04:30:24+00:00</t>
  </si>
  <si>
    <t>Yesteria Reborn Baby Dolls Boy Look Real Silicone Grey Outfit 22 Inches</t>
  </si>
  <si>
    <t>113-7622861-0145069</t>
  </si>
  <si>
    <t>2018-08-16T03:24:35+00:00</t>
  </si>
  <si>
    <t>2018-08-16T21:23:57+00:00</t>
  </si>
  <si>
    <t>11203-4510</t>
  </si>
  <si>
    <t>113-1245635-4273025</t>
  </si>
  <si>
    <t>2018-08-16T02:33:54+00:00</t>
  </si>
  <si>
    <t>2018-08-16T22:04:26+00:00</t>
  </si>
  <si>
    <t>ALLSTON</t>
  </si>
  <si>
    <t>02134-1826</t>
  </si>
  <si>
    <t>112-9069765-5665850</t>
  </si>
  <si>
    <t>2018-08-16T01:42:39+00:00</t>
  </si>
  <si>
    <t>2018-08-20T01:57:46+00:00</t>
  </si>
  <si>
    <t>Owensboro</t>
  </si>
  <si>
    <t>Kentucky</t>
  </si>
  <si>
    <t>112-7546206-2404233</t>
  </si>
  <si>
    <t>2018-08-16T01:35:14+00:00</t>
  </si>
  <si>
    <t>2018-08-17T01:15:52+00:00</t>
  </si>
  <si>
    <t>114-5319243-8073869</t>
  </si>
  <si>
    <t>2018-08-16T01:14:13+00:00</t>
  </si>
  <si>
    <t>2018-08-17T14:26:19+00:00</t>
  </si>
  <si>
    <t>New York</t>
  </si>
  <si>
    <t>112-5182046-8313005</t>
  </si>
  <si>
    <t>2018-08-16T01:11:10+00:00</t>
  </si>
  <si>
    <t>2018-08-17T07:53:24+00:00</t>
  </si>
  <si>
    <t>Hurricane</t>
  </si>
  <si>
    <t>Utah</t>
  </si>
  <si>
    <t>111-9649531-8214627</t>
  </si>
  <si>
    <t>2018-08-16T01:07:53+00:00</t>
  </si>
  <si>
    <t>2018-08-19T16:34:24+00:00</t>
  </si>
  <si>
    <t>ZEBULON</t>
  </si>
  <si>
    <t>27597-9031</t>
  </si>
  <si>
    <t>113-8798211-5749812</t>
  </si>
  <si>
    <t>2018-08-16T00:02:02+00:00</t>
  </si>
  <si>
    <t>2018-08-17T01:32:58+00:00</t>
  </si>
  <si>
    <t>PHOENIXVILLE</t>
  </si>
  <si>
    <t>19460-5902</t>
  </si>
  <si>
    <t>S01-9467705-0377247</t>
  </si>
  <si>
    <t>2018-08-17T03:03:42+00:00</t>
  </si>
  <si>
    <t>2018-08-20T02:14:59+00:00</t>
  </si>
  <si>
    <t>Venice</t>
  </si>
  <si>
    <t>34293-2959</t>
  </si>
  <si>
    <t>113-8509555-1164253</t>
  </si>
  <si>
    <t>2018-08-17T23:36:00+00:00</t>
  </si>
  <si>
    <t>2018-08-19T05:37:01+00:00</t>
  </si>
  <si>
    <t>DESHLER</t>
  </si>
  <si>
    <t>43516-1411</t>
  </si>
  <si>
    <t>113-8457923-2802605</t>
  </si>
  <si>
    <t>2018-08-17T21:47:16+00:00</t>
  </si>
  <si>
    <t>2018-08-18T21:42:40+00:00</t>
  </si>
  <si>
    <t>YF-YULQ162-B7-20</t>
  </si>
  <si>
    <t>B079P28VV3</t>
  </si>
  <si>
    <t>TEMPLE</t>
  </si>
  <si>
    <t>113-7242874-9806611</t>
  </si>
  <si>
    <t>2018-08-17T21:24:42+00:00</t>
  </si>
  <si>
    <t>2018-08-18T09:21:41+00:00</t>
  </si>
  <si>
    <t>MODESTO</t>
  </si>
  <si>
    <t>95358-6715</t>
  </si>
  <si>
    <t>111-4730148-7266639</t>
  </si>
  <si>
    <t>2018-08-17T21:19:53+00:00</t>
  </si>
  <si>
    <t>2018-08-18T09:05:44+00:00</t>
  </si>
  <si>
    <t>LEESBURG</t>
  </si>
  <si>
    <t>20176-6623</t>
  </si>
  <si>
    <t>114-2896365-4972260</t>
  </si>
  <si>
    <t>2018-08-17T21:13:00+00:00</t>
  </si>
  <si>
    <t>2018-08-18T04:26:31+00:00</t>
  </si>
  <si>
    <t>FRANKLIN SQUARE</t>
  </si>
  <si>
    <t>11010-4214</t>
  </si>
  <si>
    <t>112-6856173-0167455</t>
  </si>
  <si>
    <t>2018-08-17T20:30:44+00:00</t>
  </si>
  <si>
    <t>2018-08-22T14:57:37+00:00</t>
  </si>
  <si>
    <t>SPRING VALLEY</t>
  </si>
  <si>
    <t>10977-2407</t>
  </si>
  <si>
    <t>114-0528334-9593023</t>
  </si>
  <si>
    <t>2018-08-17T20:18:49+00:00</t>
  </si>
  <si>
    <t>2018-08-18T20:34:22+00:00</t>
  </si>
  <si>
    <t>Brook Park</t>
  </si>
  <si>
    <t>114-2293458-8709015</t>
  </si>
  <si>
    <t>2018-08-17T19:50:31+00:00</t>
  </si>
  <si>
    <t>2018-08-18T00:43:07+00:00</t>
  </si>
  <si>
    <t>37938-3418</t>
  </si>
  <si>
    <t>112-7471047-9453825</t>
  </si>
  <si>
    <t>2018-08-17T19:48:46+00:00</t>
  </si>
  <si>
    <t>2018-08-18T09:35:38+00:00</t>
  </si>
  <si>
    <t>18067-9345</t>
  </si>
  <si>
    <t>112-4709336-7558618</t>
  </si>
  <si>
    <t>2018-08-17T18:10:11+00:00</t>
  </si>
  <si>
    <t>2018-08-27T09:29:44+00:00</t>
  </si>
  <si>
    <t>GROVE CITY</t>
  </si>
  <si>
    <t>43123-2947</t>
  </si>
  <si>
    <t>112-9430992-2071401</t>
  </si>
  <si>
    <t>2018-08-17T17:53:17+00:00</t>
  </si>
  <si>
    <t>2018-08-18T05:37:03+00:00</t>
  </si>
  <si>
    <t>REVERE</t>
  </si>
  <si>
    <t>02151-1721</t>
  </si>
  <si>
    <t>114-4628387-6624202</t>
  </si>
  <si>
    <t>2018-08-17T17:49:14+00:00</t>
  </si>
  <si>
    <t>2018-08-18T17:19:08+00:00</t>
  </si>
  <si>
    <t>Deer Park</t>
  </si>
  <si>
    <t>111-6769029-7305035</t>
  </si>
  <si>
    <t>2018-08-17T17:46:28+00:00</t>
  </si>
  <si>
    <t>2018-08-17T17:46:47+00:00</t>
  </si>
  <si>
    <t>Jacksonville</t>
  </si>
  <si>
    <t>114-9678060-8683424</t>
  </si>
  <si>
    <t>2018-08-17T16:08:24+00:00</t>
  </si>
  <si>
    <t>2018-08-18T06:51:20+00:00</t>
  </si>
  <si>
    <t>Salisbury</t>
  </si>
  <si>
    <t>Md</t>
  </si>
  <si>
    <t>111-4741025-5496226</t>
  </si>
  <si>
    <t>2018-08-17T16:01:28+00:00</t>
  </si>
  <si>
    <t>2018-08-17T22:29:06+00:00</t>
  </si>
  <si>
    <t>Memphis</t>
  </si>
  <si>
    <t>114-1564586-6186611</t>
  </si>
  <si>
    <t>2018-08-17T15:48:44+00:00</t>
  </si>
  <si>
    <t>2018-08-18T05:33:33+00:00</t>
  </si>
  <si>
    <t>FLAGSTAFF</t>
  </si>
  <si>
    <t>86004-1884</t>
  </si>
  <si>
    <t>111-8770126-5981063</t>
  </si>
  <si>
    <t>2018-08-17T15:18:14+00:00</t>
  </si>
  <si>
    <t>2018-08-18T03:35:52+00:00</t>
  </si>
  <si>
    <t>Yesteria Full Silicone Body Reborn Baby Dolls Girl Look Real Pink Knitted Outfit 18 inches</t>
  </si>
  <si>
    <t>CLOVER</t>
  </si>
  <si>
    <t>29710-1325</t>
  </si>
  <si>
    <t>112-7783120-1352255</t>
  </si>
  <si>
    <t>2018-08-17T14:52:57+00:00</t>
  </si>
  <si>
    <t>2018-08-21T20:45:23+00:00</t>
  </si>
  <si>
    <t>Yesteria 22 Inches Silicone Reborn Baby Dolls Girl Look Real Rose Red Tutu Skirt Striped Pants</t>
  </si>
  <si>
    <t>DO-YULQ701-PI-22</t>
  </si>
  <si>
    <t>B07CM9N213</t>
  </si>
  <si>
    <t>WINTER PARK</t>
  </si>
  <si>
    <t>32789-1645</t>
  </si>
  <si>
    <t>113-5259841-9686663</t>
  </si>
  <si>
    <t>2018-08-17T14:32:00+00:00</t>
  </si>
  <si>
    <t>2018-08-18T04:30:41+00:00</t>
  </si>
  <si>
    <t>Highlands</t>
  </si>
  <si>
    <t>112-2256050-1309044</t>
  </si>
  <si>
    <t>2018-08-17T14:29:43+00:00</t>
  </si>
  <si>
    <t>2018-08-18T15:19:30+00:00</t>
  </si>
  <si>
    <t>11207-2205</t>
  </si>
  <si>
    <t>114-9437792-6865050</t>
  </si>
  <si>
    <t>2018-08-17T13:10:19+00:00</t>
  </si>
  <si>
    <t>2018-08-18T01:10:04+00:00</t>
  </si>
  <si>
    <t>Yesteria Reborn Baby Doll Girl Look Real Newborn Toddler Plaid Princess Dress 24 inches</t>
  </si>
  <si>
    <t>DO-YULQ039-R0-22</t>
  </si>
  <si>
    <t>B07F73THXK</t>
  </si>
  <si>
    <t>LIVONIA</t>
  </si>
  <si>
    <t>48152-2020</t>
  </si>
  <si>
    <t>112-8210378-2660241</t>
  </si>
  <si>
    <t>2018-08-17T12:00:40+00:00</t>
  </si>
  <si>
    <t>2018-08-18T06:57:46+00:00</t>
  </si>
  <si>
    <t>112-1934536-9037811</t>
  </si>
  <si>
    <t>2018-08-17T17:18:50+00:00</t>
  </si>
  <si>
    <t>111-1768993-7650606</t>
  </si>
  <si>
    <t>2018-08-17T11:24:56+00:00</t>
  </si>
  <si>
    <t>2018-08-17T22:25:42+00:00</t>
  </si>
  <si>
    <t>Sleeping Reborn Baby Dolls Girl Half Silicone Vinyl Body Look Real Lifelike Toddler White Baby Jumpsuit 22 inches</t>
  </si>
  <si>
    <t>DO-YULQ061-W0-22</t>
  </si>
  <si>
    <t>B079DRCQ6B</t>
  </si>
  <si>
    <t>HUDSONVILLE</t>
  </si>
  <si>
    <t>49426-9158</t>
  </si>
  <si>
    <t>114-3383615-4722610</t>
  </si>
  <si>
    <t>2018-08-17T10:54:33+00:00</t>
  </si>
  <si>
    <t>2018-08-18T00:31:49+00:00</t>
  </si>
  <si>
    <t>JACKSON HEIGHTS</t>
  </si>
  <si>
    <t>11372-1923</t>
  </si>
  <si>
    <t>113-5795614-5181824</t>
  </si>
  <si>
    <t>2018-08-17T07:24:18+00:00</t>
  </si>
  <si>
    <t>2018-08-20T20:26:44+00:00</t>
  </si>
  <si>
    <t>NEW CASTLE</t>
  </si>
  <si>
    <t>19720-3400</t>
  </si>
  <si>
    <t>113-6315633-1661048</t>
  </si>
  <si>
    <t>2018-08-17T06:09:52+00:00</t>
  </si>
  <si>
    <t>2018-08-17T19:45:13+00:00</t>
  </si>
  <si>
    <t>92154-1103</t>
  </si>
  <si>
    <t>111-4035133-1285001</t>
  </si>
  <si>
    <t>2018-08-17T06:06:52+00:00</t>
  </si>
  <si>
    <t>2018-08-18T22:32:55+00:00</t>
  </si>
  <si>
    <t>01854-2115</t>
  </si>
  <si>
    <t>114-7602160-8545861</t>
  </si>
  <si>
    <t>2018-08-17T02:31:07+00:00</t>
  </si>
  <si>
    <t>2018-08-18T00:17:26+00:00</t>
  </si>
  <si>
    <t>Rosedale</t>
  </si>
  <si>
    <t>114-0158162-2680259</t>
  </si>
  <si>
    <t>2018-08-17T02:09:02+00:00</t>
  </si>
  <si>
    <t>2018-08-19T04:53:25+00:00</t>
  </si>
  <si>
    <t>YAPHANK</t>
  </si>
  <si>
    <t>11980-9707</t>
  </si>
  <si>
    <t>113-4834070-0270607</t>
  </si>
  <si>
    <t>2018-08-17T01:31:59+00:00</t>
  </si>
  <si>
    <t>2018-08-17T17:59:32+00:00</t>
  </si>
  <si>
    <t>fort myers</t>
  </si>
  <si>
    <t>fl</t>
  </si>
  <si>
    <t>111-9824700-6293014</t>
  </si>
  <si>
    <t>2018-08-17T00:59:00+00:00</t>
  </si>
  <si>
    <t>2018-08-18T19:23:14+00:00</t>
  </si>
  <si>
    <t>Reborn Baby Dolls Girl Look Real Silicone Pink Outfit 22 inches</t>
  </si>
  <si>
    <t>33178-4292</t>
  </si>
  <si>
    <t>114-7310110-6984266</t>
  </si>
  <si>
    <t>2018-08-17T00:48:49+00:00</t>
  </si>
  <si>
    <t>2018-08-17T06:36:36+00:00</t>
  </si>
  <si>
    <t>JACKSONVILLE</t>
  </si>
  <si>
    <t>32208-1957</t>
  </si>
  <si>
    <t>112-3635789-3090609</t>
  </si>
  <si>
    <t>2018-08-17T00:31:59+00:00</t>
  </si>
  <si>
    <t>2018-08-17T19:52:46+00:00</t>
  </si>
  <si>
    <t>07109-1815</t>
  </si>
  <si>
    <t>112-3859280-5321044</t>
  </si>
  <si>
    <t>2018-08-17T00:15:22+00:00</t>
  </si>
  <si>
    <t>2018-08-17T21:46:28+00:00</t>
  </si>
  <si>
    <t>21201-5704</t>
  </si>
  <si>
    <t>111-1636590-3283404</t>
  </si>
  <si>
    <t>2018-08-18T23:46:55+00:00</t>
  </si>
  <si>
    <t>2018-08-20T18:45:26+00:00</t>
  </si>
  <si>
    <t>Providence</t>
  </si>
  <si>
    <t>84332-9482</t>
  </si>
  <si>
    <t>114-1203395-4307457</t>
  </si>
  <si>
    <t>2018-08-18T23:44:28+00:00</t>
  </si>
  <si>
    <t>2018-08-23T21:41:18+00:00</t>
  </si>
  <si>
    <t>UNION CITY</t>
  </si>
  <si>
    <t>07087-6403</t>
  </si>
  <si>
    <t>113-5377329-3257864</t>
  </si>
  <si>
    <t>2018-08-18T23:03:16+00:00</t>
  </si>
  <si>
    <t>2018-08-20T18:38:45+00:00</t>
  </si>
  <si>
    <t>WHITE RIVER JUNCTION</t>
  </si>
  <si>
    <t>05001-8083</t>
  </si>
  <si>
    <t>112-6926842-6587400</t>
  </si>
  <si>
    <t>2018-08-18T22:19:35+00:00</t>
  </si>
  <si>
    <t>2018-08-20T01:15:06+00:00</t>
  </si>
  <si>
    <t>34741-2802</t>
  </si>
  <si>
    <t>113-5333609-3789810</t>
  </si>
  <si>
    <t>2018-08-18T21:58:26+00:00</t>
  </si>
  <si>
    <t>2018-08-18T22:23:13+00:00</t>
  </si>
  <si>
    <t>112-1559710-6677844</t>
  </si>
  <si>
    <t>2018-08-18T21:22:27+00:00</t>
  </si>
  <si>
    <t>2018-08-19T07:29:41+00:00</t>
  </si>
  <si>
    <t>Cheap Silicone Reborn Baby Dolls Look Real Girl Pink Outfit with Bee 10 Inches</t>
  </si>
  <si>
    <t>DO-YULQ200-PI-10</t>
  </si>
  <si>
    <t>B07B9Q774Z</t>
  </si>
  <si>
    <t>BAY CITY</t>
  </si>
  <si>
    <t>77414-4527</t>
  </si>
  <si>
    <t>114-7631808-3718618</t>
  </si>
  <si>
    <t>2018-08-18T20:38:53+00:00</t>
  </si>
  <si>
    <t>2018-08-19T05:41:40+00:00</t>
  </si>
  <si>
    <t>TARBORO</t>
  </si>
  <si>
    <t>27886-8677</t>
  </si>
  <si>
    <t>114-6580633-3967409</t>
  </si>
  <si>
    <t>2018-08-18T20:31:23+00:00</t>
  </si>
  <si>
    <t>2018-08-21T02:30:46+00:00</t>
  </si>
  <si>
    <t>COVINGTON</t>
  </si>
  <si>
    <t>76636-4481</t>
  </si>
  <si>
    <t>113-9659121-6157012</t>
  </si>
  <si>
    <t>2018-08-18T20:28:30+00:00</t>
  </si>
  <si>
    <t>2018-08-23T03:58:23+00:00</t>
  </si>
  <si>
    <t>AUBREY</t>
  </si>
  <si>
    <t>76227-9207</t>
  </si>
  <si>
    <t>112-0738081-1205048</t>
  </si>
  <si>
    <t>2018-08-18T18:58:04+00:00</t>
  </si>
  <si>
    <t>2018-08-19T05:35:17+00:00</t>
  </si>
  <si>
    <t>SEATTLE</t>
  </si>
  <si>
    <t>98108-4656</t>
  </si>
  <si>
    <t>114-0084623-8589868</t>
  </si>
  <si>
    <t>2018-08-18T18:56:01+00:00</t>
  </si>
  <si>
    <t>2018-08-19T08:26:34+00:00</t>
  </si>
  <si>
    <t>HERRIMAN</t>
  </si>
  <si>
    <t>112-0421402-9093807</t>
  </si>
  <si>
    <t>2018-08-18T18:51:45+00:00</t>
  </si>
  <si>
    <t>2018-08-19T17:59:45+00:00</t>
  </si>
  <si>
    <t>Realistic Reborn Baby Doll Girl Newborn Blue Outfit Bear Pattern 16 inches</t>
  </si>
  <si>
    <t>DO-YULQ719-B7-16</t>
  </si>
  <si>
    <t>B07FNKS38N</t>
  </si>
  <si>
    <t>32837-8301</t>
  </si>
  <si>
    <t>114-9234525-6529863</t>
  </si>
  <si>
    <t>2018-08-18T18:08:17+00:00</t>
  </si>
  <si>
    <t>2018-08-19T16:36:52+00:00</t>
  </si>
  <si>
    <t>Full Silicone Vinyl Body Realistic Reborn Baby Doll Boy with Panda Blanket 17 inches</t>
  </si>
  <si>
    <t>Myrlte Beach</t>
  </si>
  <si>
    <t>sc</t>
  </si>
  <si>
    <t>112-7226513-8654628</t>
  </si>
  <si>
    <t>2018-08-18T17:54:07+00:00</t>
  </si>
  <si>
    <t>2018-08-19T02:04:19+00:00</t>
  </si>
  <si>
    <t>RIVERSIDE</t>
  </si>
  <si>
    <t>92507-4948</t>
  </si>
  <si>
    <t>111-6788662-6335427</t>
  </si>
  <si>
    <t>2018-08-18T17:40:56+00:00</t>
  </si>
  <si>
    <t>2018-08-23T00:48:24+00:00</t>
  </si>
  <si>
    <t>SANDERSON</t>
  </si>
  <si>
    <t>79848-0072</t>
  </si>
  <si>
    <t>114-2677538-3360210</t>
  </si>
  <si>
    <t>2018-08-18T17:14:18+00:00</t>
  </si>
  <si>
    <t>2018-08-21T02:54:53+00:00</t>
  </si>
  <si>
    <t>NORTH CHESTERFIELD</t>
  </si>
  <si>
    <t>23237-2113</t>
  </si>
  <si>
    <t>114-4708813-1339419</t>
  </si>
  <si>
    <t>2018-08-18T15:28:24+00:00</t>
  </si>
  <si>
    <t>2018-08-19T03:37:59+00:00</t>
  </si>
  <si>
    <t>MANCHESTER</t>
  </si>
  <si>
    <t>37355-5001</t>
  </si>
  <si>
    <t>112-5662469-5880204</t>
  </si>
  <si>
    <t>2018-08-18T15:26:41+00:00</t>
  </si>
  <si>
    <t>2018-08-19T04:13:50+00:00</t>
  </si>
  <si>
    <t>33178-4233</t>
  </si>
  <si>
    <t>111-1956440-5706635</t>
  </si>
  <si>
    <t>2018-08-18T15:11:33+00:00</t>
  </si>
  <si>
    <t>2018-08-19T17:37:51+00:00</t>
  </si>
  <si>
    <t>LONG BEACH</t>
  </si>
  <si>
    <t>11561-2711</t>
  </si>
  <si>
    <t>113-0062994-9881013</t>
  </si>
  <si>
    <t>2018-08-18T13:16:07+00:00</t>
  </si>
  <si>
    <t>2018-08-21T22:42:58+00:00</t>
  </si>
  <si>
    <t>BILOXI</t>
  </si>
  <si>
    <t>39531-6104</t>
  </si>
  <si>
    <t>111-4416566-7061061</t>
  </si>
  <si>
    <t>2018-08-18T05:05:58+00:00</t>
  </si>
  <si>
    <t>2018-08-19T01:41:20+00:00</t>
  </si>
  <si>
    <t>114-3795293-1743412</t>
  </si>
  <si>
    <t>2018-08-18T03:29:42+00:00</t>
  </si>
  <si>
    <t>2018-08-21T19:49:27+00:00</t>
  </si>
  <si>
    <t>PENNS GROVE</t>
  </si>
  <si>
    <t>08069-1323</t>
  </si>
  <si>
    <t>113-8842486-6348260</t>
  </si>
  <si>
    <t>2018-08-18T03:25:03+00:00</t>
  </si>
  <si>
    <t>2018-08-18T17:43:20+00:00</t>
  </si>
  <si>
    <t>33125-3401</t>
  </si>
  <si>
    <t>112-5737543-1401052</t>
  </si>
  <si>
    <t>2018-08-18T03:19:38+00:00</t>
  </si>
  <si>
    <t>2018-08-19T03:57:49+00:00</t>
  </si>
  <si>
    <t>43202-1600</t>
  </si>
  <si>
    <t>114-0759383-2663415</t>
  </si>
  <si>
    <t>2018-08-18T02:27:00+00:00</t>
  </si>
  <si>
    <t>2018-08-21T17:00:32+00:00</t>
  </si>
  <si>
    <t>schenectady</t>
  </si>
  <si>
    <t>ny</t>
  </si>
  <si>
    <t>113-6789519-4253035</t>
  </si>
  <si>
    <t>2018-08-18T02:25:00+00:00</t>
  </si>
  <si>
    <t>2018-08-19T14:31:31+00:00</t>
  </si>
  <si>
    <t>114-6403365-6797051</t>
  </si>
  <si>
    <t>2018-08-18T02:01:00+00:00</t>
  </si>
  <si>
    <t>2018-08-19T04:21:35+00:00</t>
  </si>
  <si>
    <t>92630-5883</t>
  </si>
  <si>
    <t>111-8359916-6947434</t>
  </si>
  <si>
    <t>2018-08-18T01:55:12+00:00</t>
  </si>
  <si>
    <t>2018-08-19T12:38:46+00:00</t>
  </si>
  <si>
    <t>CHEHALIS</t>
  </si>
  <si>
    <t>98532-8873</t>
  </si>
  <si>
    <t>112-6944060-7107450</t>
  </si>
  <si>
    <t>2018-08-18T01:40:47+00:00</t>
  </si>
  <si>
    <t>2018-08-18T22:33:13+00:00</t>
  </si>
  <si>
    <t>Madison</t>
  </si>
  <si>
    <t>111-5783641-4025858</t>
  </si>
  <si>
    <t>2018-08-18T01:10:41+00:00</t>
  </si>
  <si>
    <t>2018-08-18T06:29:37+00:00</t>
  </si>
  <si>
    <t>ELGIN</t>
  </si>
  <si>
    <t>78621-5586</t>
  </si>
  <si>
    <t>114-4732616-3397802</t>
  </si>
  <si>
    <t>2018-08-18T00:13:50+00:00</t>
  </si>
  <si>
    <t>2018-08-19T02:57:58+00:00</t>
  </si>
  <si>
    <t>ALVA</t>
  </si>
  <si>
    <t>33920-5507</t>
  </si>
  <si>
    <t>114-9689947-5213008</t>
  </si>
  <si>
    <t>2018-08-19T23:29:49+00:00</t>
  </si>
  <si>
    <t>2018-08-20T20:09:26+00:00</t>
  </si>
  <si>
    <t>GARDNER</t>
  </si>
  <si>
    <t>60424-0481</t>
  </si>
  <si>
    <t>112-3502119-8363461</t>
  </si>
  <si>
    <t>2018-08-19T23:26:43+00:00</t>
  </si>
  <si>
    <t>2018-08-21T04:53:02+00:00</t>
  </si>
  <si>
    <t>22 inches Full Silicone Body Reborn Baby Dolls Girl Real Looking Toddler Tutu Skirt</t>
  </si>
  <si>
    <t>DO-YULQ150-K0-22</t>
  </si>
  <si>
    <t>B07CN274MC</t>
  </si>
  <si>
    <t>WILLOUGHBY</t>
  </si>
  <si>
    <t>44094-7878</t>
  </si>
  <si>
    <t>114-4790631-5627414</t>
  </si>
  <si>
    <t>2018-08-19T21:56:30+00:00</t>
  </si>
  <si>
    <t>2018-08-20T17:22:09+00:00</t>
  </si>
  <si>
    <t>02721-1052</t>
  </si>
  <si>
    <t>112-2445867-8443402</t>
  </si>
  <si>
    <t>2018-08-19T21:46:08+00:00</t>
  </si>
  <si>
    <t>2018-08-20T06:42:14+00:00</t>
  </si>
  <si>
    <t>114-0808430-8061865</t>
  </si>
  <si>
    <t>2018-08-19T21:04:47+00:00</t>
  </si>
  <si>
    <t>2018-08-20T18:51:42+00:00</t>
  </si>
  <si>
    <t>112-0725443-9348228</t>
  </si>
  <si>
    <t>2018-08-19T20:58:35+00:00</t>
  </si>
  <si>
    <t>2018-08-20T23:47:39+00:00</t>
  </si>
  <si>
    <t>40962-5745</t>
  </si>
  <si>
    <t>113-2604604-9148269</t>
  </si>
  <si>
    <t>2018-08-19T20:24:10+00:00</t>
  </si>
  <si>
    <t>2018-08-19T20:28:22+00:00</t>
  </si>
  <si>
    <t>114-1416500-5822619</t>
  </si>
  <si>
    <t>2018-08-19T19:13:10+00:00</t>
  </si>
  <si>
    <t>2018-08-20T21:45:00+00:00</t>
  </si>
  <si>
    <t>GARDEN GROVE</t>
  </si>
  <si>
    <t>92840-1422</t>
  </si>
  <si>
    <t>111-0744751-7333842</t>
  </si>
  <si>
    <t>2018-08-19T18:57:19+00:00</t>
  </si>
  <si>
    <t>2018-08-20T20:50:25+00:00</t>
  </si>
  <si>
    <t>DOVER PLAINS</t>
  </si>
  <si>
    <t>12522-9690</t>
  </si>
  <si>
    <t>114-2894041-4351433</t>
  </si>
  <si>
    <t>2018-08-19T18:05:03+00:00</t>
  </si>
  <si>
    <t>2018-08-25T02:40:10+00:00</t>
  </si>
  <si>
    <t>FORT MILL</t>
  </si>
  <si>
    <t>29715-8307</t>
  </si>
  <si>
    <t>112-9615861-1827448</t>
  </si>
  <si>
    <t>2018-08-19T17:52:17+00:00</t>
  </si>
  <si>
    <t>2018-08-20T19:24:47+00:00</t>
  </si>
  <si>
    <t>HARRISONVILLE</t>
  </si>
  <si>
    <t>64701-4207</t>
  </si>
  <si>
    <t>112-6287215-7741810</t>
  </si>
  <si>
    <t>2018-08-19T17:33:01+00:00</t>
  </si>
  <si>
    <t>2018-08-19T20:25:09+00:00</t>
  </si>
  <si>
    <t>MAYWOOD</t>
  </si>
  <si>
    <t>60153-1943</t>
  </si>
  <si>
    <t>112-1659964-7208252</t>
  </si>
  <si>
    <t>2018-08-19T17:20:14+00:00</t>
  </si>
  <si>
    <t>2018-08-20T09:32:00+00:00</t>
  </si>
  <si>
    <t>PICKERINGTON</t>
  </si>
  <si>
    <t>43147-9768</t>
  </si>
  <si>
    <t>112-7134178-9420246</t>
  </si>
  <si>
    <t>2018-08-19T16:47:29+00:00</t>
  </si>
  <si>
    <t>2018-08-27T18:00:48+00:00</t>
  </si>
  <si>
    <t>33166-6411</t>
  </si>
  <si>
    <t>113-6422720-1729817</t>
  </si>
  <si>
    <t>2018-08-19T16:19:40+00:00</t>
  </si>
  <si>
    <t>2018-08-23T02:50:23+00:00</t>
  </si>
  <si>
    <t>CHESAPEAKE</t>
  </si>
  <si>
    <t>23320-3099</t>
  </si>
  <si>
    <t>113-0827610-4352245</t>
  </si>
  <si>
    <t>2018-08-19T16:14:05+00:00</t>
  </si>
  <si>
    <t>2018-08-21T16:08:57+00:00</t>
  </si>
  <si>
    <t>DRUMMONDS</t>
  </si>
  <si>
    <t>38023-6257</t>
  </si>
  <si>
    <t>114-3587834-5518640</t>
  </si>
  <si>
    <t>2018-08-19T16:13:43+00:00</t>
  </si>
  <si>
    <t>2018-08-20T09:34:38+00:00</t>
  </si>
  <si>
    <t>DURANGO</t>
  </si>
  <si>
    <t>81301-9235</t>
  </si>
  <si>
    <t>111-4507787-1005050</t>
  </si>
  <si>
    <t>2018-08-19T13:21:09+00:00</t>
  </si>
  <si>
    <t>2018-08-21T01:40:49+00:00</t>
  </si>
  <si>
    <t>GLENDALE</t>
  </si>
  <si>
    <t>85304-1735</t>
  </si>
  <si>
    <t>114-2187833-0332251</t>
  </si>
  <si>
    <t>2018-08-19T12:09:50+00:00</t>
  </si>
  <si>
    <t>2018-08-21T07:16:53+00:00</t>
  </si>
  <si>
    <t>SIMPSONVILLE</t>
  </si>
  <si>
    <t>29680-6740</t>
  </si>
  <si>
    <t>111-9183714-2785825</t>
  </si>
  <si>
    <t>2018-08-19T12:00:12+00:00</t>
  </si>
  <si>
    <t>2018-08-20T21:47:00+00:00</t>
  </si>
  <si>
    <t>MITCHELL</t>
  </si>
  <si>
    <t>SD</t>
  </si>
  <si>
    <t>57301-6353</t>
  </si>
  <si>
    <t>112-0937995-5366657</t>
  </si>
  <si>
    <t>2018-08-19T11:57:36+00:00</t>
  </si>
  <si>
    <t>2018-08-19T18:23:23+00:00</t>
  </si>
  <si>
    <t>UPPER SADDLE RIVER</t>
  </si>
  <si>
    <t>07458-1138</t>
  </si>
  <si>
    <t>111-7746808-9191409</t>
  </si>
  <si>
    <t>2018-08-19T11:46:27+00:00</t>
  </si>
  <si>
    <t>2018-08-22T22:39:29+00:00</t>
  </si>
  <si>
    <t>Burbank</t>
  </si>
  <si>
    <t>111-5178669-0150614</t>
  </si>
  <si>
    <t>2018-08-19T02:17:25+00:00</t>
  </si>
  <si>
    <t>2018-08-20T21:47:10+00:00</t>
  </si>
  <si>
    <t>ANGLETON</t>
  </si>
  <si>
    <t>77515-3251</t>
  </si>
  <si>
    <t>114-4967186-7813038</t>
  </si>
  <si>
    <t>2018-08-19T01:46:20+00:00</t>
  </si>
  <si>
    <t>2018-08-19T21:35:45+00:00</t>
  </si>
  <si>
    <t>ISLIP</t>
  </si>
  <si>
    <t>11751-1224</t>
  </si>
  <si>
    <t>113-7948685-7186655</t>
  </si>
  <si>
    <t>2018-08-19T00:49:04+00:00</t>
  </si>
  <si>
    <t>2018-08-19T19:28:20+00:00</t>
  </si>
  <si>
    <t>SAN FRANCISCO</t>
  </si>
  <si>
    <t>94102-2116</t>
  </si>
  <si>
    <t>111-7707901-6533022</t>
  </si>
  <si>
    <t>2018-08-19T00:29:10+00:00</t>
  </si>
  <si>
    <t>2018-08-22T18:24:18+00:00</t>
  </si>
  <si>
    <t>111-1027380-9935444</t>
  </si>
  <si>
    <t>2018-08-20T23:33:31+00:00</t>
  </si>
  <si>
    <t>2018-08-20T23:33:41+00:00</t>
  </si>
  <si>
    <t>TAMPA</t>
  </si>
  <si>
    <t>33619-5629</t>
  </si>
  <si>
    <t>111-5400860-6641858</t>
  </si>
  <si>
    <t>2018-08-20T23:32:17+00:00</t>
  </si>
  <si>
    <t>2018-08-20T23:33:00+00:00</t>
  </si>
  <si>
    <t>113-5866198-2922660</t>
  </si>
  <si>
    <t>2018-08-20T23:21:31+00:00</t>
  </si>
  <si>
    <t>2018-08-21T16:10:23+00:00</t>
  </si>
  <si>
    <t>INGLEWOOD</t>
  </si>
  <si>
    <t>90302-1405</t>
  </si>
  <si>
    <t>112-5033957-5067443</t>
  </si>
  <si>
    <t>2018-08-20T23:07:44+00:00</t>
  </si>
  <si>
    <t>2018-08-22T01:19:36+00:00</t>
  </si>
  <si>
    <t>113-6380869-0321042</t>
  </si>
  <si>
    <t>2018-08-20T22:29:17+00:00</t>
  </si>
  <si>
    <t>2018-08-21T17:16:17+00:00</t>
  </si>
  <si>
    <t>HOLLYWOOD</t>
  </si>
  <si>
    <t>29449-6001</t>
  </si>
  <si>
    <t>112-0020478-5753841</t>
  </si>
  <si>
    <t>2018-08-20T22:21:28+00:00</t>
  </si>
  <si>
    <t>2018-08-22T09:26:43+00:00</t>
  </si>
  <si>
    <t>SIREN</t>
  </si>
  <si>
    <t>54872-9137</t>
  </si>
  <si>
    <t>114-8057157-0639467</t>
  </si>
  <si>
    <t>2018-08-20T22:13:38+00:00</t>
  </si>
  <si>
    <t>2018-08-22T00:31:40+00:00</t>
  </si>
  <si>
    <t>BOHEMIA</t>
  </si>
  <si>
    <t>11716-4915</t>
  </si>
  <si>
    <t>111-5639757-6767423</t>
  </si>
  <si>
    <t>2018-08-20T21:12:30+00:00</t>
  </si>
  <si>
    <t>2018-08-21T21:26:49+00:00</t>
  </si>
  <si>
    <t>27597-7007</t>
  </si>
  <si>
    <t>112-7086964-2466609</t>
  </si>
  <si>
    <t>2018-08-20T20:59:28+00:00</t>
  </si>
  <si>
    <t>2018-08-21T05:43:17+00:00</t>
  </si>
  <si>
    <t>113-0278545-3131435</t>
  </si>
  <si>
    <t>2018-08-20T20:49:10+00:00</t>
  </si>
  <si>
    <t>2018-08-21T10:33:21+00:00</t>
  </si>
  <si>
    <t>SEDRO WOOLLEY</t>
  </si>
  <si>
    <t>98284-7759</t>
  </si>
  <si>
    <t>114-8822892-8805867</t>
  </si>
  <si>
    <t>2018-08-20T19:13:40+00:00</t>
  </si>
  <si>
    <t>2018-08-21T00:28:29+00:00</t>
  </si>
  <si>
    <t>santa rosa</t>
  </si>
  <si>
    <t>california</t>
  </si>
  <si>
    <t>111-8102964-3932246</t>
  </si>
  <si>
    <t>2018-08-20T17:44:14+00:00</t>
  </si>
  <si>
    <t>2018-08-21T02:29:12+00:00</t>
  </si>
  <si>
    <t>oskaloosa</t>
  </si>
  <si>
    <t>iowa</t>
  </si>
  <si>
    <t>111-0213702-8814626</t>
  </si>
  <si>
    <t>2018-08-20T17:20:16+00:00</t>
  </si>
  <si>
    <t>2018-08-22T23:00:01+00:00</t>
  </si>
  <si>
    <t>HAMMONTON</t>
  </si>
  <si>
    <t>08037-3354</t>
  </si>
  <si>
    <t>112-0681261-2981814</t>
  </si>
  <si>
    <t>2018-08-20T16:49:10+00:00</t>
  </si>
  <si>
    <t>2018-08-21T14:48:31+00:00</t>
  </si>
  <si>
    <t>33166-4223</t>
  </si>
  <si>
    <t>114-2702557-7539448</t>
  </si>
  <si>
    <t>2018-08-20T15:35:08+00:00</t>
  </si>
  <si>
    <t>2018-08-21T09:41:46+00:00</t>
  </si>
  <si>
    <t>WEATOGUE</t>
  </si>
  <si>
    <t>06089-9784</t>
  </si>
  <si>
    <t>114-8781943-0364262</t>
  </si>
  <si>
    <t>2018-08-20T14:53:16+00:00</t>
  </si>
  <si>
    <t>2018-08-21T01:52:41+00:00</t>
  </si>
  <si>
    <t>06811-3615</t>
  </si>
  <si>
    <t>114-8395981-5801851</t>
  </si>
  <si>
    <t>2018-08-20T13:39:55+00:00</t>
  </si>
  <si>
    <t>2018-08-21T05:27:03+00:00</t>
  </si>
  <si>
    <t>Daytona Beach</t>
  </si>
  <si>
    <t>111-5916421-8518614</t>
  </si>
  <si>
    <t>2018-08-20T12:45:43+00:00</t>
  </si>
  <si>
    <t>2018-08-20T19:23:06+00:00</t>
  </si>
  <si>
    <t>BEAVERCREEK</t>
  </si>
  <si>
    <t>45431-8711</t>
  </si>
  <si>
    <t>111-9982650-3722635</t>
  </si>
  <si>
    <t>2018-08-20T12:24:34+00:00</t>
  </si>
  <si>
    <t>2018-08-21T07:18:49+00:00</t>
  </si>
  <si>
    <t>Yesteria Realistic Reborn Baby Doll Girl Newborn Toddler Pink Princess Dress 24 inches</t>
  </si>
  <si>
    <t>DO-YULQ504-PI-22</t>
  </si>
  <si>
    <t>B07F71667Y</t>
  </si>
  <si>
    <t>19726-2079</t>
  </si>
  <si>
    <t>111-8155144-8146654</t>
  </si>
  <si>
    <t>2018-08-20T08:44:06+00:00</t>
  </si>
  <si>
    <t>2018-08-22T19:07:39+00:00</t>
  </si>
  <si>
    <t>WILDWOOD</t>
  </si>
  <si>
    <t>08260-1864</t>
  </si>
  <si>
    <t>112-7527536-7355457</t>
  </si>
  <si>
    <t>2018-08-20T04:59:00+00:00</t>
  </si>
  <si>
    <t>2018-08-23T23:34:24+00:00</t>
  </si>
  <si>
    <t>Denham springs</t>
  </si>
  <si>
    <t>la</t>
  </si>
  <si>
    <t>113-3486036-6381005</t>
  </si>
  <si>
    <t>2018-08-20T03:03:39+00:00</t>
  </si>
  <si>
    <t>2018-08-20T22:32:36+00:00</t>
  </si>
  <si>
    <t>42078-8003</t>
  </si>
  <si>
    <t>111-9838766-5170656</t>
  </si>
  <si>
    <t>2018-08-20T02:05:11+00:00</t>
  </si>
  <si>
    <t>2018-08-23T02:11:14+00:00</t>
  </si>
  <si>
    <t>SPARTANBURG</t>
  </si>
  <si>
    <t>29301-4104</t>
  </si>
  <si>
    <t>114-0673115-9033857</t>
  </si>
  <si>
    <t>2018-08-20T02:04:17+00:00</t>
  </si>
  <si>
    <t>2018-08-21T09:25:15+00:00</t>
  </si>
  <si>
    <t>14216-2336</t>
  </si>
  <si>
    <t>112-1573801-6240222</t>
  </si>
  <si>
    <t>2018-08-20T01:50:41+00:00</t>
  </si>
  <si>
    <t>2018-08-21T01:29:09+00:00</t>
  </si>
  <si>
    <t>113-5814167-2258601</t>
  </si>
  <si>
    <t>2018-08-20T00:56:56+00:00</t>
  </si>
  <si>
    <t>2018-08-21T04:04:25+00:00</t>
  </si>
  <si>
    <t>Syracuse</t>
  </si>
  <si>
    <t>114-8876745-6369042</t>
  </si>
  <si>
    <t>2018-08-20T00:54:54+00:00</t>
  </si>
  <si>
    <t>2018-08-20T01:01:06+00:00</t>
  </si>
  <si>
    <t>Wonewoc</t>
  </si>
  <si>
    <t>Wisconsin</t>
  </si>
  <si>
    <t>113-5108977-2953050</t>
  </si>
  <si>
    <t>2018-08-20T00:31:34+00:00</t>
  </si>
  <si>
    <t>2018-08-20T21:59:09+00:00</t>
  </si>
  <si>
    <t>YUBA CITY</t>
  </si>
  <si>
    <t>95991-9114</t>
  </si>
  <si>
    <t>111-5856960-4372250</t>
  </si>
  <si>
    <t>2018-08-20T00:13:28+00:00</t>
  </si>
  <si>
    <t>2018-08-20T09:49:39+00:00</t>
  </si>
  <si>
    <t>Verona</t>
  </si>
  <si>
    <t>ky</t>
  </si>
  <si>
    <t>113-3723907-9733837</t>
  </si>
  <si>
    <t>2018-08-20T00:12:55+00:00</t>
  </si>
  <si>
    <t>2018-08-22T03:29:26+00:00</t>
  </si>
  <si>
    <t>Pittsburgh</t>
  </si>
  <si>
    <t>111-2052048-6638614</t>
  </si>
  <si>
    <t>2018-08-20T00:02:53+00:00</t>
  </si>
  <si>
    <t>2018-08-20T00:13:40+00:00</t>
  </si>
  <si>
    <t>JUPITER</t>
  </si>
  <si>
    <t>33458-4914</t>
  </si>
  <si>
    <t>111-4207874-3091421</t>
  </si>
  <si>
    <t>2018-08-21T23:57:26+00:00</t>
  </si>
  <si>
    <t>2018-08-23T04:45:49+00:00</t>
  </si>
  <si>
    <t>Newark</t>
  </si>
  <si>
    <t>New Jersey</t>
  </si>
  <si>
    <t>111-6391527-4179422</t>
  </si>
  <si>
    <t>2018-08-21T23:52:53+00:00</t>
  </si>
  <si>
    <t>2018-08-22T19:12:08+00:00</t>
  </si>
  <si>
    <t>Full Silicone Reborn Baby Dolls Twins Boy Realistic Toddler Light Gray Outfit with Dinosaur Patterns 20 inches</t>
  </si>
  <si>
    <t>ST SIMONS ISLAND</t>
  </si>
  <si>
    <t>31522-2316</t>
  </si>
  <si>
    <t>112-2646415-6928248</t>
  </si>
  <si>
    <t>2018-08-21T23:38:42+00:00</t>
  </si>
  <si>
    <t>2018-08-22T17:22:30+00:00</t>
  </si>
  <si>
    <t>33177-3116</t>
  </si>
  <si>
    <t>113-8310169-4757802</t>
  </si>
  <si>
    <t>2018-08-21T23:35:18+00:00</t>
  </si>
  <si>
    <t>2018-08-23T01:45:28+00:00</t>
  </si>
  <si>
    <t>LAKE WORTH</t>
  </si>
  <si>
    <t>33461-3144</t>
  </si>
  <si>
    <t>113-4740200-0048236</t>
  </si>
  <si>
    <t>2018-08-21T23:22:47+00:00</t>
  </si>
  <si>
    <t>2018-08-22T19:34:38+00:00</t>
  </si>
  <si>
    <t>FRESNO</t>
  </si>
  <si>
    <t>93727-8657</t>
  </si>
  <si>
    <t>111-1034023-5366607</t>
  </si>
  <si>
    <t>2018-08-21T22:56:48+00:00</t>
  </si>
  <si>
    <t>2018-08-22T03:16:45+00:00</t>
  </si>
  <si>
    <t>76262-6139</t>
  </si>
  <si>
    <t>112-5092136-1139469</t>
  </si>
  <si>
    <t>2018-08-21T22:55:23+00:00</t>
  </si>
  <si>
    <t>2018-08-22T18:33:17+00:00</t>
  </si>
  <si>
    <t>40515-5423</t>
  </si>
  <si>
    <t>112-6439243-8794662</t>
  </si>
  <si>
    <t>2018-08-21T21:22:23+00:00</t>
  </si>
  <si>
    <t>2018-08-23T03:46:32+00:00</t>
  </si>
  <si>
    <t>10989-2315</t>
  </si>
  <si>
    <t>114-7192388-0513864</t>
  </si>
  <si>
    <t>2018-08-21T21:03:21+00:00</t>
  </si>
  <si>
    <t>2018-08-22T18:44:32+00:00</t>
  </si>
  <si>
    <t>Yesteria Cheap Reborn Baby Dolls Silicone Full Body Girl Elephant Outfit 10 Inches</t>
  </si>
  <si>
    <t>DO-YULQ705-GR-11</t>
  </si>
  <si>
    <t>B079JWNR6Z</t>
  </si>
  <si>
    <t>BRANCHVILLE</t>
  </si>
  <si>
    <t>29432-2024</t>
  </si>
  <si>
    <t>113-6772768-8227424</t>
  </si>
  <si>
    <t>2018-08-21T20:39:34+00:00</t>
  </si>
  <si>
    <t>2018-08-24T00:57:57+00:00</t>
  </si>
  <si>
    <t>ORLAND</t>
  </si>
  <si>
    <t>95963-9678</t>
  </si>
  <si>
    <t>114-5953670-5825025</t>
  </si>
  <si>
    <t>2018-08-21T20:11:55+00:00</t>
  </si>
  <si>
    <t>2018-08-22T18:45:17+00:00</t>
  </si>
  <si>
    <t>ALTAMONT</t>
  </si>
  <si>
    <t>67330-0501</t>
  </si>
  <si>
    <t>112-7581366-0167432</t>
  </si>
  <si>
    <t>2018-08-21T20:11:49+00:00</t>
  </si>
  <si>
    <t>2018-08-23T09:20:58+00:00</t>
  </si>
  <si>
    <t>OAKBORO</t>
  </si>
  <si>
    <t>28129-9675</t>
  </si>
  <si>
    <t>113-4876299-9290641</t>
  </si>
  <si>
    <t>2018-08-21T18:28:11+00:00</t>
  </si>
  <si>
    <t>2018-08-22T04:34:56+00:00</t>
  </si>
  <si>
    <t>MACOMB</t>
  </si>
  <si>
    <t>48044-1355</t>
  </si>
  <si>
    <t>114-8127036-0377835</t>
  </si>
  <si>
    <t>2018-08-21T16:43:42+00:00</t>
  </si>
  <si>
    <t>2018-08-23T15:30:06+00:00</t>
  </si>
  <si>
    <t>NEWCOMERSTOWN</t>
  </si>
  <si>
    <t>43832-1286</t>
  </si>
  <si>
    <t>113-2878004-1705002</t>
  </si>
  <si>
    <t>2018-08-21T14:42:26+00:00</t>
  </si>
  <si>
    <t>2018-08-21T20:59:52+00:00</t>
  </si>
  <si>
    <t>32824-6071</t>
  </si>
  <si>
    <t>112-8647339-0820235</t>
  </si>
  <si>
    <t>2018-08-21T13:51:30+00:00</t>
  </si>
  <si>
    <t>2018-08-22T21:49:48+00:00</t>
  </si>
  <si>
    <t>GUTTENBERG</t>
  </si>
  <si>
    <t>52052-8352</t>
  </si>
  <si>
    <t>112-8615075-8997869</t>
  </si>
  <si>
    <t>2018-08-21T13:13:31+00:00</t>
  </si>
  <si>
    <t>2018-08-21T22:24:49+00:00</t>
  </si>
  <si>
    <t>32837-7717</t>
  </si>
  <si>
    <t>114-5793111-9620228</t>
  </si>
  <si>
    <t>2018-08-21T11:58:00+00:00</t>
  </si>
  <si>
    <t>2018-08-21T22:48:06+00:00</t>
  </si>
  <si>
    <t>HAMPDEN</t>
  </si>
  <si>
    <t>01036-9652</t>
  </si>
  <si>
    <t>VPC-1-37256131 Coupon</t>
  </si>
  <si>
    <t>113-3978358-3601844</t>
  </si>
  <si>
    <t>2018-08-21T09:09:32+00:00</t>
  </si>
  <si>
    <t>2018-08-27T14:00:26+00:00</t>
  </si>
  <si>
    <t>LORIS</t>
  </si>
  <si>
    <t>29569-6144</t>
  </si>
  <si>
    <t>112-1038107-2964235</t>
  </si>
  <si>
    <t>2018-08-21T08:21:25+00:00</t>
  </si>
  <si>
    <t>2018-08-21T21:45:08+00:00</t>
  </si>
  <si>
    <t>111-9534574-6788200</t>
  </si>
  <si>
    <t>2018-08-21T03:49:34+00:00</t>
  </si>
  <si>
    <t>2018-08-21T23:57:13+00:00</t>
  </si>
  <si>
    <t>DORCHESTER</t>
  </si>
  <si>
    <t>02121-3537</t>
  </si>
  <si>
    <t>114-2031960-2102606</t>
  </si>
  <si>
    <t>2018-08-21T03:42:46+00:00</t>
  </si>
  <si>
    <t>2018-08-21T09:30:28+00:00</t>
  </si>
  <si>
    <t>whitestone</t>
  </si>
  <si>
    <t>113-2351594-6718650</t>
  </si>
  <si>
    <t>2018-08-21T02:53:30+00:00</t>
  </si>
  <si>
    <t>2018-08-22T09:49:43+00:00</t>
  </si>
  <si>
    <t>RIPLEY</t>
  </si>
  <si>
    <t>25271-1525</t>
  </si>
  <si>
    <t>114-0416302-6445024</t>
  </si>
  <si>
    <t>2018-08-21T02:30:15+00:00</t>
  </si>
  <si>
    <t>2018-08-21T19:49:55+00:00</t>
  </si>
  <si>
    <t>EYOTA</t>
  </si>
  <si>
    <t>55934-3105</t>
  </si>
  <si>
    <t>114-3143631-3557035</t>
  </si>
  <si>
    <t>2018-08-21T02:02:32+00:00</t>
  </si>
  <si>
    <t>2018-08-21T13:35:27+00:00</t>
  </si>
  <si>
    <t>BAKERSFIELD</t>
  </si>
  <si>
    <t>93309-3683</t>
  </si>
  <si>
    <t>112-7900270-0675424</t>
  </si>
  <si>
    <t>2018-08-21T00:59:05+00:00</t>
  </si>
  <si>
    <t>2018-08-21T18:22:39+00:00</t>
  </si>
  <si>
    <t>CHAUVIN</t>
  </si>
  <si>
    <t>70344-3519</t>
  </si>
  <si>
    <t>112-4661848-0094653</t>
  </si>
  <si>
    <t>2018-08-21T00:21:07+00:00</t>
  </si>
  <si>
    <t>2018-08-22T23:40:15+00:00</t>
  </si>
  <si>
    <t>LAGUNA HILLS</t>
  </si>
  <si>
    <t>92653-1341</t>
  </si>
  <si>
    <t>114-1389026-5963400</t>
  </si>
  <si>
    <t>2018-08-22T23:53:14+00:00</t>
  </si>
  <si>
    <t>2018-08-23T04:17:50+00:00</t>
  </si>
  <si>
    <t>FEASTERVILLE</t>
  </si>
  <si>
    <t>111-3546030-9285843</t>
  </si>
  <si>
    <t>2018-08-22T23:44:30+00:00</t>
  </si>
  <si>
    <t>2018-08-23T19:44:19+00:00</t>
  </si>
  <si>
    <t>FORT MYERS</t>
  </si>
  <si>
    <t>33908-3165</t>
  </si>
  <si>
    <t>112-7695043-0466633</t>
  </si>
  <si>
    <t>2018-08-22T23:44:11+00:00</t>
  </si>
  <si>
    <t>2018-08-23T22:32:06+00:00</t>
  </si>
  <si>
    <t>PLAINVIEW</t>
  </si>
  <si>
    <t>11803-5207</t>
  </si>
  <si>
    <t>111-5150459-3757845</t>
  </si>
  <si>
    <t>2018-08-22T23:02:51+00:00</t>
  </si>
  <si>
    <t>2018-08-23T00:29:25+00:00</t>
  </si>
  <si>
    <t>SANFORD</t>
  </si>
  <si>
    <t>04073-4320</t>
  </si>
  <si>
    <t>113-5054378-5135446</t>
  </si>
  <si>
    <t>2018-08-22T21:55:44+00:00</t>
  </si>
  <si>
    <t>2018-08-23T04:30:28+00:00</t>
  </si>
  <si>
    <t>Timnath</t>
  </si>
  <si>
    <t>Co</t>
  </si>
  <si>
    <t>113-6604661-6778609</t>
  </si>
  <si>
    <t>2018-08-22T21:14:49+00:00</t>
  </si>
  <si>
    <t>2018-08-24T03:43:43+00:00</t>
  </si>
  <si>
    <t>Harrisonville</t>
  </si>
  <si>
    <t>Mo</t>
  </si>
  <si>
    <t>114-2943700-2432222</t>
  </si>
  <si>
    <t>2018-08-22T20:12:41+00:00</t>
  </si>
  <si>
    <t>2018-08-24T21:01:21+00:00</t>
  </si>
  <si>
    <t>Larsen</t>
  </si>
  <si>
    <t>111-9120681-4998634</t>
  </si>
  <si>
    <t>2018-08-22T19:47:53+00:00</t>
  </si>
  <si>
    <t>2018-08-22T22:21:25+00:00</t>
  </si>
  <si>
    <t>07740-7616</t>
  </si>
  <si>
    <t>111-3003476-6895439</t>
  </si>
  <si>
    <t>2018-08-22T19:43:16+00:00</t>
  </si>
  <si>
    <t>2018-08-23T22:34:48+00:00</t>
  </si>
  <si>
    <t>33172-2177</t>
  </si>
  <si>
    <t>114-8386865-8813841</t>
  </si>
  <si>
    <t>2018-08-22T19:35:53+00:00</t>
  </si>
  <si>
    <t>2018-08-27T04:04:15+00:00</t>
  </si>
  <si>
    <t>95826-4413</t>
  </si>
  <si>
    <t>111-5941702-4230606</t>
  </si>
  <si>
    <t>2018-08-22T18:43:51+00:00</t>
  </si>
  <si>
    <t>2018-08-24T18:30:48+00:00</t>
  </si>
  <si>
    <t>78218-3510</t>
  </si>
  <si>
    <t>114-8161813-8959431</t>
  </si>
  <si>
    <t>2018-08-22T17:53:03+00:00</t>
  </si>
  <si>
    <t>2018-08-27T20:36:38+00:00</t>
  </si>
  <si>
    <t>DEVERS</t>
  </si>
  <si>
    <t>77538-7112</t>
  </si>
  <si>
    <t>113-7033471-7820256</t>
  </si>
  <si>
    <t>2018-08-22T17:12:26+00:00</t>
  </si>
  <si>
    <t>2018-08-23T22:31:15+00:00</t>
  </si>
  <si>
    <t>75227-7620</t>
  </si>
  <si>
    <t>113-0803853-8408213</t>
  </si>
  <si>
    <t>2018-08-22T17:03:59+00:00</t>
  </si>
  <si>
    <t>2018-08-22T17:04:36+00:00</t>
  </si>
  <si>
    <t>75217-1926</t>
  </si>
  <si>
    <t>113-6725695-3396225</t>
  </si>
  <si>
    <t>2018-08-22T16:56:50+00:00</t>
  </si>
  <si>
    <t>2018-08-23T21:03:02+00:00</t>
  </si>
  <si>
    <t>FOUNTAIN</t>
  </si>
  <si>
    <t>80817-2506</t>
  </si>
  <si>
    <t>114-7953614-7055425</t>
  </si>
  <si>
    <t>2018-08-22T16:48:08+00:00</t>
  </si>
  <si>
    <t>2018-08-23T02:48:50+00:00</t>
  </si>
  <si>
    <t>BEND</t>
  </si>
  <si>
    <t>97702-9323</t>
  </si>
  <si>
    <t>111-5328170-1118649</t>
  </si>
  <si>
    <t>2018-08-22T16:45:56+00:00</t>
  </si>
  <si>
    <t>2018-08-25T07:31:38+00:00</t>
  </si>
  <si>
    <t>33195-2698</t>
  </si>
  <si>
    <t>114-8506127-1570625</t>
  </si>
  <si>
    <t>2018-08-22T15:35:03+00:00</t>
  </si>
  <si>
    <t>2018-08-24T22:15:35+00:00</t>
  </si>
  <si>
    <t>APO</t>
  </si>
  <si>
    <t>AE</t>
  </si>
  <si>
    <t>09464-0060</t>
  </si>
  <si>
    <t>113-9177269-2900206</t>
  </si>
  <si>
    <t>2018-08-22T15:24:47+00:00</t>
  </si>
  <si>
    <t>2018-08-27T11:06:02+00:00</t>
  </si>
  <si>
    <t>BUFORD</t>
  </si>
  <si>
    <t>30519-8021</t>
  </si>
  <si>
    <t>112-8214996-3022651</t>
  </si>
  <si>
    <t>2018-08-22T15:06:49+00:00</t>
  </si>
  <si>
    <t>2018-08-23T01:10:15+00:00</t>
  </si>
  <si>
    <t>Hauppauge</t>
  </si>
  <si>
    <t>111-1916151-3491447</t>
  </si>
  <si>
    <t>2018-08-22T14:29:42+00:00</t>
  </si>
  <si>
    <t>2018-08-22T21:34:15+00:00</t>
  </si>
  <si>
    <t>MORRISVILLE</t>
  </si>
  <si>
    <t>65710-9105</t>
  </si>
  <si>
    <t>111-6483873-3281043</t>
  </si>
  <si>
    <t>2018-08-22T14:24:47+00:00</t>
  </si>
  <si>
    <t>2018-08-22T14:28:56+00:00</t>
  </si>
  <si>
    <t>lenoir</t>
  </si>
  <si>
    <t>nc</t>
  </si>
  <si>
    <t>111-8271294-0273051</t>
  </si>
  <si>
    <t>2018-08-22T14:15:23+00:00</t>
  </si>
  <si>
    <t>2018-08-27T16:38:56+00:00</t>
  </si>
  <si>
    <t>JACKSON</t>
  </si>
  <si>
    <t>45640-1805</t>
  </si>
  <si>
    <t>113-8545243-8237050</t>
  </si>
  <si>
    <t>2018-08-22T14:00:16+00:00</t>
  </si>
  <si>
    <t>2018-08-23T07:02:28+00:00</t>
  </si>
  <si>
    <t>Frisco</t>
  </si>
  <si>
    <t>114-1302330-0930622</t>
  </si>
  <si>
    <t>2018-08-22T13:10:40+00:00</t>
  </si>
  <si>
    <t>2018-08-22T13:12:51+00:00</t>
  </si>
  <si>
    <t>STERLING</t>
  </si>
  <si>
    <t>80751-9091</t>
  </si>
  <si>
    <t>111-2433128-5199438</t>
  </si>
  <si>
    <t>2018-08-22T13:06:15+00:00</t>
  </si>
  <si>
    <t>2018-08-23T14:55:39+00:00</t>
  </si>
  <si>
    <t>30033-5106</t>
  </si>
  <si>
    <t>112-2331883-0032263</t>
  </si>
  <si>
    <t>2018-08-22T09:43:13+00:00</t>
  </si>
  <si>
    <t>2018-08-22T09:45:53+00:00</t>
  </si>
  <si>
    <t>SEATAC</t>
  </si>
  <si>
    <t>98198-4232</t>
  </si>
  <si>
    <t>112-4515504-6473018</t>
  </si>
  <si>
    <t>2018-08-22T08:11:04+00:00</t>
  </si>
  <si>
    <t>2018-08-22T08:15:34+00:00</t>
  </si>
  <si>
    <t>112-4533806-8942657</t>
  </si>
  <si>
    <t>2018-08-22T08:01:31+00:00</t>
  </si>
  <si>
    <t>2018-08-22T08:05:22+00:00</t>
  </si>
  <si>
    <t>114-4469723-0714658</t>
  </si>
  <si>
    <t>2018-08-22T07:10:29+00:00</t>
  </si>
  <si>
    <t>2018-08-23T02:37:08+00:00</t>
  </si>
  <si>
    <t>Real Looking Reborn Baby Doll Realistic Toddler Silicone Baseball Jacket White Pants White Shoes 24 inches</t>
  </si>
  <si>
    <t>DO-YULQ705-W0-22</t>
  </si>
  <si>
    <t>B07D4D4876</t>
  </si>
  <si>
    <t>114-7934618-5336211</t>
  </si>
  <si>
    <t>2018-08-22T04:45:48+00:00</t>
  </si>
  <si>
    <t>2018-08-24T19:22:09+00:00</t>
  </si>
  <si>
    <t>95122-2535</t>
  </si>
  <si>
    <t>112-3220147-8806631</t>
  </si>
  <si>
    <t>2018-08-22T04:15:40+00:00</t>
  </si>
  <si>
    <t>2018-08-22T10:42:17+00:00</t>
  </si>
  <si>
    <t>Lehi</t>
  </si>
  <si>
    <t>Ut</t>
  </si>
  <si>
    <t>114-3592201-9957022</t>
  </si>
  <si>
    <t>2018-08-22T03:34:00+00:00</t>
  </si>
  <si>
    <t>2018-08-22T17:24:27+00:00</t>
  </si>
  <si>
    <t>Watertown</t>
  </si>
  <si>
    <t>111-4909637-6600207</t>
  </si>
  <si>
    <t>2018-08-22T02:44:00+00:00</t>
  </si>
  <si>
    <t>2018-08-24T09:52:59+00:00</t>
  </si>
  <si>
    <t>10472-4045</t>
  </si>
  <si>
    <t>114-5033982-7330646</t>
  </si>
  <si>
    <t>2018-08-22T01:29:39+00:00</t>
  </si>
  <si>
    <t>2018-08-22T09:21:39+00:00</t>
  </si>
  <si>
    <t>CEDAR CREEK</t>
  </si>
  <si>
    <t>78612-3114</t>
  </si>
  <si>
    <t>114-2621888-1910647</t>
  </si>
  <si>
    <t>2018-08-22T00:51:06+00:00</t>
  </si>
  <si>
    <t>2018-08-22T22:40:53+00:00</t>
  </si>
  <si>
    <t>MCHENRY</t>
  </si>
  <si>
    <t>60050-8700</t>
  </si>
  <si>
    <t>113-6540193-0650657</t>
  </si>
  <si>
    <t>2018-08-22T00:46:57+00:00</t>
  </si>
  <si>
    <t>2018-08-22T18:59:53+00:00</t>
  </si>
  <si>
    <t>HALLANDALE BEACH</t>
  </si>
  <si>
    <t>33009-4209</t>
  </si>
  <si>
    <t>113-8799417-1227439</t>
  </si>
  <si>
    <t>2018-08-22T00:37:30+00:00</t>
  </si>
  <si>
    <t>2018-08-22T22:43:19+00:00</t>
  </si>
  <si>
    <t>denver</t>
  </si>
  <si>
    <t>114-8052641-5879411</t>
  </si>
  <si>
    <t>2018-08-22T00:33:20+00:00</t>
  </si>
  <si>
    <t>2018-08-22T07:20:01+00:00</t>
  </si>
  <si>
    <t>WEST UNION</t>
  </si>
  <si>
    <t>26456-8606</t>
  </si>
  <si>
    <t>S01-7369477-8462808</t>
  </si>
  <si>
    <t>CONSUMER-20180822-193806</t>
  </si>
  <si>
    <t>2018-08-23T02:38:30+00:00</t>
  </si>
  <si>
    <t>2018-08-23T02:56:00+00:00</t>
  </si>
  <si>
    <t>114-4075056-6768242</t>
  </si>
  <si>
    <t>2018-08-23T23:07:55+00:00</t>
  </si>
  <si>
    <t>2018-08-24T14:56:43+00:00</t>
  </si>
  <si>
    <t>AUBURN</t>
  </si>
  <si>
    <t>03032-3925</t>
  </si>
  <si>
    <t>112-7315951-7826643</t>
  </si>
  <si>
    <t>2018-08-23T22:32:39+00:00</t>
  </si>
  <si>
    <t>2018-08-24T06:36:02+00:00</t>
  </si>
  <si>
    <t>CARROLLTON</t>
  </si>
  <si>
    <t>30117-1507</t>
  </si>
  <si>
    <t>112-9579455-4237041</t>
  </si>
  <si>
    <t>2018-08-23T22:22:17+00:00</t>
  </si>
  <si>
    <t>2018-08-24T02:31:57+00:00</t>
  </si>
  <si>
    <t>East Falmouth</t>
  </si>
  <si>
    <t>02536-8532</t>
  </si>
  <si>
    <t>112-1711923-9073837</t>
  </si>
  <si>
    <t>2018-08-23T22:15:02+00:00</t>
  </si>
  <si>
    <t>2018-08-24T04:56:04+00:00</t>
  </si>
  <si>
    <t>10026-2798</t>
  </si>
  <si>
    <t>114-7228461-4826629</t>
  </si>
  <si>
    <t>2018-08-23T22:06:30+00:00</t>
  </si>
  <si>
    <t>2018-08-24T13:18:28+00:00</t>
  </si>
  <si>
    <t>BRISTOL</t>
  </si>
  <si>
    <t>37620-8549</t>
  </si>
  <si>
    <t>112-4230630-1140202</t>
  </si>
  <si>
    <t>2018-08-23T19:28:16+00:00</t>
  </si>
  <si>
    <t>2018-08-27T20:02:06+00:00</t>
  </si>
  <si>
    <t>KINGSTON</t>
  </si>
  <si>
    <t>12401-6614</t>
  </si>
  <si>
    <t>111-5078268-4361029</t>
  </si>
  <si>
    <t>2018-08-23T17:44:20+00:00</t>
  </si>
  <si>
    <t>2018-08-23T21:07:12+00:00</t>
  </si>
  <si>
    <t>90001-1819</t>
  </si>
  <si>
    <t>113-3939021-1327434</t>
  </si>
  <si>
    <t>2018-08-23T17:28:22+00:00</t>
  </si>
  <si>
    <t>2018-08-27T09:56:03+00:00</t>
  </si>
  <si>
    <t>syracuse</t>
  </si>
  <si>
    <t>112-6570180-4635464</t>
  </si>
  <si>
    <t>2018-08-23T17:13:13+00:00</t>
  </si>
  <si>
    <t>2018-08-24T20:12:54+00:00</t>
  </si>
  <si>
    <t>JODIE</t>
  </si>
  <si>
    <t>26690-6022</t>
  </si>
  <si>
    <t>VPC-1-36216071 Coupon</t>
  </si>
  <si>
    <t>114-4046324-6067468</t>
  </si>
  <si>
    <t>2018-08-23T16:28:28+00:00</t>
  </si>
  <si>
    <t>2018-08-23T16:31:07+00:00</t>
  </si>
  <si>
    <t>LITTLETON</t>
  </si>
  <si>
    <t>80128-4807</t>
  </si>
  <si>
    <t>112-0464775-6631418</t>
  </si>
  <si>
    <t>2018-08-23T15:57:40+00:00</t>
  </si>
  <si>
    <t>2018-08-23T15:57:46+00:00</t>
  </si>
  <si>
    <t>Pending</t>
  </si>
  <si>
    <t>WEST NEW YORK</t>
  </si>
  <si>
    <t>07093-3141</t>
  </si>
  <si>
    <t>114-7502739-5893850</t>
  </si>
  <si>
    <t>2018-08-23T15:53:03+00:00</t>
  </si>
  <si>
    <t>2018-08-27T08:32:18+00:00</t>
  </si>
  <si>
    <t>BRACEY</t>
  </si>
  <si>
    <t>VIRGINIA</t>
  </si>
  <si>
    <t>23919-1878</t>
  </si>
  <si>
    <t>111-5331134-8901010</t>
  </si>
  <si>
    <t>2018-08-23T15:47:57+00:00</t>
  </si>
  <si>
    <t>2018-08-25T03:56:52+00:00</t>
  </si>
  <si>
    <t>ORANGE CITY</t>
  </si>
  <si>
    <t>32763-6608</t>
  </si>
  <si>
    <t>111-4514424-6886665</t>
  </si>
  <si>
    <t>2018-08-23T15:44:37+00:00</t>
  </si>
  <si>
    <t>2018-08-23T18:56:05+00:00</t>
  </si>
  <si>
    <t>21239-3517</t>
  </si>
  <si>
    <t>112-4193514-8060242</t>
  </si>
  <si>
    <t>2018-08-23T15:43:14+00:00</t>
  </si>
  <si>
    <t>2018-08-27T09:39:36+00:00</t>
  </si>
  <si>
    <t>KAUKAUNA</t>
  </si>
  <si>
    <t>54130-3825</t>
  </si>
  <si>
    <t>113-7221863-2238621</t>
  </si>
  <si>
    <t>2018-08-23T15:18:43+00:00</t>
  </si>
  <si>
    <t>2018-08-23T20:08:30+00:00</t>
  </si>
  <si>
    <t>WORTHINGTON</t>
  </si>
  <si>
    <t>47471-1526</t>
  </si>
  <si>
    <t>111-9854236-9961845</t>
  </si>
  <si>
    <t>2018-08-23T15:14:53+00:00</t>
  </si>
  <si>
    <t>2018-08-24T01:32:10+00:00</t>
  </si>
  <si>
    <t>113-8451480-3879468</t>
  </si>
  <si>
    <t>2018-08-23T15:13:48+00:00</t>
  </si>
  <si>
    <t>2018-08-23T15:15:21+00:00</t>
  </si>
  <si>
    <t>10016-7406</t>
  </si>
  <si>
    <t>113-1035192-7021844</t>
  </si>
  <si>
    <t>2018-08-23T14:14:47+00:00</t>
  </si>
  <si>
    <t>2018-08-23T22:38:20+00:00</t>
  </si>
  <si>
    <t>FUQUAY VARINA</t>
  </si>
  <si>
    <t>27526-6919</t>
  </si>
  <si>
    <t>113-4110788-6753840</t>
  </si>
  <si>
    <t>2018-08-23T13:46:36+00:00</t>
  </si>
  <si>
    <t>2018-08-23T20:28:50+00:00</t>
  </si>
  <si>
    <t>ANGIER</t>
  </si>
  <si>
    <t>N.C.</t>
  </si>
  <si>
    <t>111-7331316-7557012</t>
  </si>
  <si>
    <t>2018-08-23T12:26:43+00:00</t>
  </si>
  <si>
    <t>2018-08-23T12:30:38+00:00</t>
  </si>
  <si>
    <t>Yesteria Reborn Baby Dolls Girl Look Real Silicone Pink Outfit 22 Inches</t>
  </si>
  <si>
    <t>33129-1619</t>
  </si>
  <si>
    <t>111-4699437-7534643</t>
  </si>
  <si>
    <t>2018-08-23T11:01:28+00:00</t>
  </si>
  <si>
    <t>2018-08-24T16:33:19+00:00</t>
  </si>
  <si>
    <t>miami</t>
  </si>
  <si>
    <t>111-2590899-2044245</t>
  </si>
  <si>
    <t>2018-08-23T04:41:47+00:00</t>
  </si>
  <si>
    <t>2018-08-24T06:15:16+00:00</t>
  </si>
  <si>
    <t>DUBLIN</t>
  </si>
  <si>
    <t>94568-7104</t>
  </si>
  <si>
    <t>114-8352120-7806643</t>
  </si>
  <si>
    <t>2018-08-23T04:40:40+00:00</t>
  </si>
  <si>
    <t>2018-08-23T09:56:48+00:00</t>
  </si>
  <si>
    <t>STONY POINT</t>
  </si>
  <si>
    <t>10980-1729</t>
  </si>
  <si>
    <t>114-0774322-5483414</t>
  </si>
  <si>
    <t>2018-08-23T04:37:08+00:00</t>
  </si>
  <si>
    <t>2018-08-24T21:30:31+00:00</t>
  </si>
  <si>
    <t>33195-5649</t>
  </si>
  <si>
    <t>112-4050578-1381051</t>
  </si>
  <si>
    <t>2018-08-23T04:19:32+00:00</t>
  </si>
  <si>
    <t>2018-08-23T18:40:54+00:00</t>
  </si>
  <si>
    <t>23112-1677</t>
  </si>
  <si>
    <t>112-5683370-2424244</t>
  </si>
  <si>
    <t>2018-08-23T03:30:01+00:00</t>
  </si>
  <si>
    <t>2018-08-25T23:48:05+00:00</t>
  </si>
  <si>
    <t>32825-4839</t>
  </si>
  <si>
    <t>114-9080403-7965034</t>
  </si>
  <si>
    <t>2018-08-23T02:19:13+00:00</t>
  </si>
  <si>
    <t>2018-08-23T02:52:44+00:00</t>
  </si>
  <si>
    <t>GREENBRIER</t>
  </si>
  <si>
    <t>72058-9365</t>
  </si>
  <si>
    <t>112-8089043-1957055</t>
  </si>
  <si>
    <t>2018-08-23T01:10:53+00:00</t>
  </si>
  <si>
    <t>2018-08-23T06:38:24+00:00</t>
  </si>
  <si>
    <t>77406-3786</t>
  </si>
  <si>
    <t>113-6891478-9147401</t>
  </si>
  <si>
    <t>2018-08-23T00:56:58+00:00</t>
  </si>
  <si>
    <t>2018-08-23T10:51:56+00:00</t>
  </si>
  <si>
    <t>ELK RIDGE</t>
  </si>
  <si>
    <t>84651-5568</t>
  </si>
  <si>
    <t>114-5952307-1677864</t>
  </si>
  <si>
    <t>2018-08-23T00:14:34+00:00</t>
  </si>
  <si>
    <t>2018-08-23T19:33:54+00:00</t>
  </si>
  <si>
    <t>CLARKRANGE</t>
  </si>
  <si>
    <t>38553-5364</t>
  </si>
  <si>
    <t>111-4737476-1202627</t>
  </si>
  <si>
    <t>2018-08-24T23:31:56+00:00</t>
  </si>
  <si>
    <t>2018-08-25T21:26:30+00:00</t>
  </si>
  <si>
    <t>Full Body Silicone African American Sleeping Reborn Baby Dolls Boy Look Real White Outfit 10 inches</t>
  </si>
  <si>
    <t>DOLL-005-WO-11</t>
  </si>
  <si>
    <t>B076PDDZW9</t>
  </si>
  <si>
    <t>10028-2763</t>
  </si>
  <si>
    <t>114-1786894-2317050</t>
  </si>
  <si>
    <t>2018-08-24T23:11:30+00:00</t>
  </si>
  <si>
    <t>2018-08-25T02:19:21+00:00</t>
  </si>
  <si>
    <t>SUNRISE</t>
  </si>
  <si>
    <t>33323-0902</t>
  </si>
  <si>
    <t>111-7501398-7587468</t>
  </si>
  <si>
    <t>2018-08-24T23:07:53+00:00</t>
  </si>
  <si>
    <t>2018-08-27T21:31:48+00:00</t>
  </si>
  <si>
    <t>02536-4911</t>
  </si>
  <si>
    <t>113-4302194-1813005</t>
  </si>
  <si>
    <t>2018-08-24T22:35:34+00:00</t>
  </si>
  <si>
    <t>2018-08-26T23:41:58+00:00</t>
  </si>
  <si>
    <t>113-8445082-1296240</t>
  </si>
  <si>
    <t>2018-08-24T22:28:33+00:00</t>
  </si>
  <si>
    <t>2018-08-27T02:29:19+00:00</t>
  </si>
  <si>
    <t>45601-9301</t>
  </si>
  <si>
    <t>114-3559163-3109831</t>
  </si>
  <si>
    <t>2018-08-24T22:22:12+00:00</t>
  </si>
  <si>
    <t>2018-08-27T02:34:09+00:00</t>
  </si>
  <si>
    <t>VIRGINIA BEACH</t>
  </si>
  <si>
    <t>23462-3935</t>
  </si>
  <si>
    <t>112-6076326-6890662</t>
  </si>
  <si>
    <t>2018-08-24T22:09:24+00:00</t>
  </si>
  <si>
    <t>2018-08-25T10:09:23+00:00</t>
  </si>
  <si>
    <t>111-4020299-6438631</t>
  </si>
  <si>
    <t>2018-08-24T21:38:46+00:00</t>
  </si>
  <si>
    <t>2018-08-25T20:28:35+00:00</t>
  </si>
  <si>
    <t>Lewis Center</t>
  </si>
  <si>
    <t>43035-9360</t>
  </si>
  <si>
    <t>114-0459317-6369825</t>
  </si>
  <si>
    <t>2018-08-24T21:26:57+00:00</t>
  </si>
  <si>
    <t>2018-08-26T12:46:45+00:00</t>
  </si>
  <si>
    <t>85032-1927</t>
  </si>
  <si>
    <t>113-4891881-8142667</t>
  </si>
  <si>
    <t>2018-08-24T21:18:36+00:00</t>
  </si>
  <si>
    <t>2018-08-27T12:02:19+00:00</t>
  </si>
  <si>
    <t>33012-5522</t>
  </si>
  <si>
    <t>113-0205413-2805076</t>
  </si>
  <si>
    <t>2018-08-24T21:17:57+00:00</t>
  </si>
  <si>
    <t>2018-08-26T01:14:08+00:00</t>
  </si>
  <si>
    <t>BERKLEY</t>
  </si>
  <si>
    <t>48072-1287</t>
  </si>
  <si>
    <t>111-6659191-8265840</t>
  </si>
  <si>
    <t>2018-08-24T21:14:14+00:00</t>
  </si>
  <si>
    <t>2018-08-25T11:40:40+00:00</t>
  </si>
  <si>
    <t>53402-9570</t>
  </si>
  <si>
    <t>112-1358300-1310661</t>
  </si>
  <si>
    <t>2018-08-24T20:07:01+00:00</t>
  </si>
  <si>
    <t>2018-08-24T20:07:05+00:00</t>
  </si>
  <si>
    <t>MILTON</t>
  </si>
  <si>
    <t>03851-4839</t>
  </si>
  <si>
    <t>113-0025838-1533072</t>
  </si>
  <si>
    <t>2018-08-24T19:14:29+00:00</t>
  </si>
  <si>
    <t>2018-08-26T06:24:52+00:00</t>
  </si>
  <si>
    <t>32821-6353</t>
  </si>
  <si>
    <t>111-6177232-8977066</t>
  </si>
  <si>
    <t>2018-08-24T17:33:33+00:00</t>
  </si>
  <si>
    <t>2018-08-26T16:52:55+00:00</t>
  </si>
  <si>
    <t>33142-4230</t>
  </si>
  <si>
    <t>114-7531928-4882658</t>
  </si>
  <si>
    <t>2018-08-24T17:04:51+00:00</t>
  </si>
  <si>
    <t>2018-08-25T12:14:02+00:00</t>
  </si>
  <si>
    <t>Plantation</t>
  </si>
  <si>
    <t>111-7408881-4309051</t>
  </si>
  <si>
    <t>2018-08-24T16:36:46+00:00</t>
  </si>
  <si>
    <t>2018-08-25T23:01:25+00:00</t>
  </si>
  <si>
    <t>ANAHEIM</t>
  </si>
  <si>
    <t>92804-6311</t>
  </si>
  <si>
    <t>114-2140163-0307451</t>
  </si>
  <si>
    <t>2018-08-24T16:28:21+00:00</t>
  </si>
  <si>
    <t>2018-08-25T09:43:48+00:00</t>
  </si>
  <si>
    <t>Absecon</t>
  </si>
  <si>
    <t>111-7096089-8363424</t>
  </si>
  <si>
    <t>2018-08-24T16:07:11+00:00</t>
  </si>
  <si>
    <t>2018-08-25T18:05:52+00:00</t>
  </si>
  <si>
    <t>32835-2747</t>
  </si>
  <si>
    <t>114-3275478-4128201</t>
  </si>
  <si>
    <t>2018-08-24T15:48:33+00:00</t>
  </si>
  <si>
    <t>2018-08-25T07:23:51+00:00</t>
  </si>
  <si>
    <t>ACTON</t>
  </si>
  <si>
    <t>01720-2803</t>
  </si>
  <si>
    <t>114-9137653-1745842</t>
  </si>
  <si>
    <t>2018-08-24T15:24:27+00:00</t>
  </si>
  <si>
    <t>2018-08-25T14:01:50+00:00</t>
  </si>
  <si>
    <t>Warsaw</t>
  </si>
  <si>
    <t>113-5608371-4227456</t>
  </si>
  <si>
    <t>2018-08-24T14:58:44+00:00</t>
  </si>
  <si>
    <t>2018-08-27T21:25:28+00:00</t>
  </si>
  <si>
    <t>Idaho Falls</t>
  </si>
  <si>
    <t>114-4858211-5702605</t>
  </si>
  <si>
    <t>2018-08-24T14:45:08+00:00</t>
  </si>
  <si>
    <t>2018-08-24T22:26:48+00:00</t>
  </si>
  <si>
    <t>SAGINAW</t>
  </si>
  <si>
    <t>48609-8513</t>
  </si>
  <si>
    <t>114-2046263-7381021</t>
  </si>
  <si>
    <t>2018-08-24T14:34:57+00:00</t>
  </si>
  <si>
    <t>2018-08-27T16:23:44+00:00</t>
  </si>
  <si>
    <t>winchester</t>
  </si>
  <si>
    <t>112-9540813-7549846</t>
  </si>
  <si>
    <t>2018-08-24T14:19:06+00:00</t>
  </si>
  <si>
    <t>2018-08-25T18:31:14+00:00</t>
  </si>
  <si>
    <t>08805-1638</t>
  </si>
  <si>
    <t>111-9500658-6670636</t>
  </si>
  <si>
    <t>2018-08-24T14:16:54+00:00</t>
  </si>
  <si>
    <t>2018-08-25T07:58:08+00:00</t>
  </si>
  <si>
    <t>UTICA</t>
  </si>
  <si>
    <t>48317-4449</t>
  </si>
  <si>
    <t>114-5792128-3736230</t>
  </si>
  <si>
    <t>2018-08-24T13:43:51+00:00</t>
  </si>
  <si>
    <t>2018-08-24T13:43:55+00:00</t>
  </si>
  <si>
    <t>TICONDEROGA</t>
  </si>
  <si>
    <t>12883-1037</t>
  </si>
  <si>
    <t>112-4844616-5915448</t>
  </si>
  <si>
    <t>2018-08-24T13:15:50+00:00</t>
  </si>
  <si>
    <t>2018-08-25T01:16:41+00:00</t>
  </si>
  <si>
    <t>32819-7610</t>
  </si>
  <si>
    <t>111-4594547-9235423</t>
  </si>
  <si>
    <t>2018-08-24T11:26:46+00:00</t>
  </si>
  <si>
    <t>2018-08-25T19:14:00+00:00</t>
  </si>
  <si>
    <t>SARVER</t>
  </si>
  <si>
    <t>16055-8504</t>
  </si>
  <si>
    <t>112-8255556-1757029</t>
  </si>
  <si>
    <t>2018-08-24T06:27:18+00:00</t>
  </si>
  <si>
    <t>2018-08-24T06:53:14+00:00</t>
  </si>
  <si>
    <t>07106-3149</t>
  </si>
  <si>
    <t>112-5982600-9489026</t>
  </si>
  <si>
    <t>2018-08-24T06:24:29+00:00</t>
  </si>
  <si>
    <t>2018-08-24T06:58:54+00:00</t>
  </si>
  <si>
    <t>112-2017857-1279456</t>
  </si>
  <si>
    <t>2018-08-24T06:24:12+00:00</t>
  </si>
  <si>
    <t>2018-08-24T06:58:57+00:00</t>
  </si>
  <si>
    <t>112-3742312-7371426</t>
  </si>
  <si>
    <t>2018-08-24T06:21:45+00:00</t>
  </si>
  <si>
    <t>2018-08-24T06:47:50+00:00</t>
  </si>
  <si>
    <t>112-5202037-2823463</t>
  </si>
  <si>
    <t>2018-08-24T06:17:58+00:00</t>
  </si>
  <si>
    <t>2018-08-24T06:56:37+00:00</t>
  </si>
  <si>
    <t>111-7613741-2541825</t>
  </si>
  <si>
    <t>2018-08-24T04:56:43+00:00</t>
  </si>
  <si>
    <t>2018-08-26T12:46:57+00:00</t>
  </si>
  <si>
    <t>34747-1088</t>
  </si>
  <si>
    <t>114-8752256-6578620</t>
  </si>
  <si>
    <t>2018-08-24T04:31:46+00:00</t>
  </si>
  <si>
    <t>2018-08-24T22:44:19+00:00</t>
  </si>
  <si>
    <t>Full Silicone Body Realistic Reborn Baby Doll Girl Pink Outfit with Toy Rabbit 24 inches</t>
  </si>
  <si>
    <t>DO-YULQ507-PI-24</t>
  </si>
  <si>
    <t>B07FD9B9Q1</t>
  </si>
  <si>
    <t>10021-3865</t>
  </si>
  <si>
    <t>113-9276733-1790617</t>
  </si>
  <si>
    <t>2018-08-24T01:20:23+00:00</t>
  </si>
  <si>
    <t>2018-08-25T09:37:56+00:00</t>
  </si>
  <si>
    <t>INTERLOCHEN</t>
  </si>
  <si>
    <t>49643-9618</t>
  </si>
  <si>
    <t>113-5578153-5717840</t>
  </si>
  <si>
    <t>2018-08-24T00:40:45+00:00</t>
  </si>
  <si>
    <t>2018-08-26T15:26:09+00:00</t>
  </si>
  <si>
    <t>114-4459396-3517061</t>
  </si>
  <si>
    <t>2018-08-25T23:30:45+00:00</t>
  </si>
  <si>
    <t>2018-08-26T08:43:51+00:00</t>
  </si>
  <si>
    <t>112-6967949-9050639</t>
  </si>
  <si>
    <t>2018-08-25T23:24:29+00:00</t>
  </si>
  <si>
    <t>2018-08-27T08:19:28+00:00</t>
  </si>
  <si>
    <t>BUCKLEY</t>
  </si>
  <si>
    <t>98321-9303</t>
  </si>
  <si>
    <t>112-3224518-6284231</t>
  </si>
  <si>
    <t>2018-08-25T22:53:56+00:00</t>
  </si>
  <si>
    <t>2018-08-27T01:23:38+00:00</t>
  </si>
  <si>
    <t>SCRANTON</t>
  </si>
  <si>
    <t>18504-1711</t>
  </si>
  <si>
    <t>112-2774453-2461849</t>
  </si>
  <si>
    <t>2018-08-25T21:12:51+00:00</t>
  </si>
  <si>
    <t>2018-08-26T06:42:51+00:00</t>
  </si>
  <si>
    <t>Mays Landing</t>
  </si>
  <si>
    <t>111-8750478-3275427</t>
  </si>
  <si>
    <t>2018-08-25T21:08:03+00:00</t>
  </si>
  <si>
    <t>2018-08-26T20:00:47+00:00</t>
  </si>
  <si>
    <t>FONTANA</t>
  </si>
  <si>
    <t>92335-6862</t>
  </si>
  <si>
    <t>111-3408135-9590609</t>
  </si>
  <si>
    <t>2018-08-25T21:02:15+00:00</t>
  </si>
  <si>
    <t>2018-08-26T06:45:57+00:00</t>
  </si>
  <si>
    <t>111-0704804-8653810</t>
  </si>
  <si>
    <t>2018-08-25T20:30:05+00:00</t>
  </si>
  <si>
    <t>2018-08-26T09:20:14+00:00</t>
  </si>
  <si>
    <t>WINONA</t>
  </si>
  <si>
    <t>55987-6206</t>
  </si>
  <si>
    <t>114-5964749-9104256</t>
  </si>
  <si>
    <t>2018-08-25T20:23:37+00:00</t>
  </si>
  <si>
    <t>2018-08-27T01:56:30+00:00</t>
  </si>
  <si>
    <t>Jasper</t>
  </si>
  <si>
    <t>112-7638635-0293816</t>
  </si>
  <si>
    <t>2018-08-25T20:10:55+00:00</t>
  </si>
  <si>
    <t>2018-08-26T01:23:14+00:00</t>
  </si>
  <si>
    <t>11201-5805</t>
  </si>
  <si>
    <t>112-3425646-0241822</t>
  </si>
  <si>
    <t>2018-08-25T19:58:05+00:00</t>
  </si>
  <si>
    <t>2018-08-26T20:31:52+00:00</t>
  </si>
  <si>
    <t>111-5645545-1113066</t>
  </si>
  <si>
    <t>2018-08-25T19:48:17+00:00</t>
  </si>
  <si>
    <t>2018-08-26T21:01:27+00:00</t>
  </si>
  <si>
    <t>Hartford</t>
  </si>
  <si>
    <t>111-4570155-8172217</t>
  </si>
  <si>
    <t>2018-08-25T18:08:09+00:00</t>
  </si>
  <si>
    <t>2018-08-26T14:10:30+00:00</t>
  </si>
  <si>
    <t>08075-3500</t>
  </si>
  <si>
    <t>111-5163889-9197037</t>
  </si>
  <si>
    <t>2018-08-25T17:32:54+00:00</t>
  </si>
  <si>
    <t>2018-08-27T21:56:33+00:00</t>
  </si>
  <si>
    <t>Aquebogue</t>
  </si>
  <si>
    <t>Ny</t>
  </si>
  <si>
    <t>111-0126704-1763401</t>
  </si>
  <si>
    <t>2018-08-25T16:05:11+00:00</t>
  </si>
  <si>
    <t>2018-08-27T12:10:26+00:00</t>
  </si>
  <si>
    <t>HENDERSON</t>
  </si>
  <si>
    <t>89015-0104</t>
  </si>
  <si>
    <t>112-1283860-8580220</t>
  </si>
  <si>
    <t>2018-08-25T15:56:41+00:00</t>
  </si>
  <si>
    <t>2018-08-26T21:31:00+00:00</t>
  </si>
  <si>
    <t>PORT RICHEY</t>
  </si>
  <si>
    <t>34668-3944</t>
  </si>
  <si>
    <t>112-9439654-5497010</t>
  </si>
  <si>
    <t>2018-08-25T14:53:28+00:00</t>
  </si>
  <si>
    <t>2018-08-25T14:53:32+00:00</t>
  </si>
  <si>
    <t>KINMUNDY</t>
  </si>
  <si>
    <t>62854-2705</t>
  </si>
  <si>
    <t>111-6426203-6780207</t>
  </si>
  <si>
    <t>2018-08-25T14:40:32+00:00</t>
  </si>
  <si>
    <t>2018-08-26T09:41:15+00:00</t>
  </si>
  <si>
    <t>BREEZY POINT</t>
  </si>
  <si>
    <t>11697-1621</t>
  </si>
  <si>
    <t>114-0274242-3214627</t>
  </si>
  <si>
    <t>2018-08-25T14:06:17+00:00</t>
  </si>
  <si>
    <t>2018-08-25T19:27:47+00:00</t>
  </si>
  <si>
    <t>Fords</t>
  </si>
  <si>
    <t>08863-1641</t>
  </si>
  <si>
    <t>113-0744429-5433026</t>
  </si>
  <si>
    <t>2018-08-25T13:30:49+00:00</t>
  </si>
  <si>
    <t>2018-08-25T15:31:01+00:00</t>
  </si>
  <si>
    <t>08701-1105</t>
  </si>
  <si>
    <t>112-2264912-1374649</t>
  </si>
  <si>
    <t>2018-08-25T12:27:09+00:00</t>
  </si>
  <si>
    <t>2018-08-26T18:36:23+00:00</t>
  </si>
  <si>
    <t>02881-1749</t>
  </si>
  <si>
    <t>114-0998105-3917821</t>
  </si>
  <si>
    <t>2018-08-25T12:09:34+00:00</t>
  </si>
  <si>
    <t>2018-08-26T06:21:31+00:00</t>
  </si>
  <si>
    <t>BISMARCK</t>
  </si>
  <si>
    <t>58501-8671</t>
  </si>
  <si>
    <t>114-5839583-0225817</t>
  </si>
  <si>
    <t>2018-08-25T10:42:42+00:00</t>
  </si>
  <si>
    <t>2018-08-26T23:42:35+00:00</t>
  </si>
  <si>
    <t>FOLEY</t>
  </si>
  <si>
    <t>36535-5192</t>
  </si>
  <si>
    <t>111-5195053-8929025</t>
  </si>
  <si>
    <t>2018-08-25T02:07:11+00:00</t>
  </si>
  <si>
    <t>2018-08-26T08:05:38+00:00</t>
  </si>
  <si>
    <t>Cheap Silicone Reborn Baby Dolls Look Real Boy White Outfit with Bee 10 Inches</t>
  </si>
  <si>
    <t>DO-YULQ200-W0-10</t>
  </si>
  <si>
    <t>B07B94LQJR</t>
  </si>
  <si>
    <t>MAYFIELD</t>
  </si>
  <si>
    <t>12117-3997</t>
  </si>
  <si>
    <t>112-6797400-5841051</t>
  </si>
  <si>
    <t>2018-08-26T23:43:27+00:00</t>
  </si>
  <si>
    <t>2018-08-28T00:12:40+00:00</t>
  </si>
  <si>
    <t>48154-5204</t>
  </si>
  <si>
    <t>111-5398913-4773044</t>
  </si>
  <si>
    <t>2018-08-26T22:27:26+00:00</t>
  </si>
  <si>
    <t>2018-08-26T22:27:31+00:00</t>
  </si>
  <si>
    <t>YANKTON</t>
  </si>
  <si>
    <t>57078-4852</t>
  </si>
  <si>
    <t>114-0144630-8192228</t>
  </si>
  <si>
    <t>2018-08-26T22:24:57+00:00</t>
  </si>
  <si>
    <t>2018-08-27T23:35:51+00:00</t>
  </si>
  <si>
    <t>Leominster</t>
  </si>
  <si>
    <t>111-2347704-0716247</t>
  </si>
  <si>
    <t>2018-08-26T22:03:24+00:00</t>
  </si>
  <si>
    <t>2018-08-27T07:04:24+00:00</t>
  </si>
  <si>
    <t>89145-5426</t>
  </si>
  <si>
    <t>111-5536386-0988249</t>
  </si>
  <si>
    <t>2018-08-26T22:02:34+00:00</t>
  </si>
  <si>
    <t>2018-08-27T23:51:55+00:00</t>
  </si>
  <si>
    <t>19144-4079</t>
  </si>
  <si>
    <t>113-4249935-5922633</t>
  </si>
  <si>
    <t>2018-08-26T21:42:09+00:00</t>
  </si>
  <si>
    <t>2018-08-27T03:52:39+00:00</t>
  </si>
  <si>
    <t>111-6018737-5252209</t>
  </si>
  <si>
    <t>2018-08-26T21:30:46+00:00</t>
  </si>
  <si>
    <t>2018-08-26T21:31:21+00:00</t>
  </si>
  <si>
    <t>RED BANK</t>
  </si>
  <si>
    <t>07701-1705</t>
  </si>
  <si>
    <t>111-9522395-2305021</t>
  </si>
  <si>
    <t>2018-08-26T20:04:48+00:00</t>
  </si>
  <si>
    <t>2018-08-27T07:56:26+00:00</t>
  </si>
  <si>
    <t>Osage Beach,</t>
  </si>
  <si>
    <t>114-5562446-6465852</t>
  </si>
  <si>
    <t>2018-08-26T19:48:08+00:00</t>
  </si>
  <si>
    <t>2018-08-27T16:16:18+00:00</t>
  </si>
  <si>
    <t>61061-9300</t>
  </si>
  <si>
    <t>114-0847446-3211414</t>
  </si>
  <si>
    <t>2018-08-26T18:30:08+00:00</t>
  </si>
  <si>
    <t>2018-08-27T20:32:16+00:00</t>
  </si>
  <si>
    <t>Life Like Reborn Baby Dolls Girl Pink and White Outfit Blonde Curls 22 inches</t>
  </si>
  <si>
    <t>DO-YULQ187-CV-22</t>
  </si>
  <si>
    <t>B07FYGT2PC</t>
  </si>
  <si>
    <t>Mukwonago</t>
  </si>
  <si>
    <t>113-5938329-0337024</t>
  </si>
  <si>
    <t>2018-08-26T16:55:14+00:00</t>
  </si>
  <si>
    <t>2018-08-28T01:16:46+00:00</t>
  </si>
  <si>
    <t>38108-2827</t>
  </si>
  <si>
    <t>111-5064097-5581860</t>
  </si>
  <si>
    <t>2018-08-26T15:47:04+00:00</t>
  </si>
  <si>
    <t>2018-08-27T17:04:23+00:00</t>
  </si>
  <si>
    <t>WEST READING</t>
  </si>
  <si>
    <t>19611-1733</t>
  </si>
  <si>
    <t>112-8381491-1392224</t>
  </si>
  <si>
    <t>2018-08-26T14:59:39+00:00</t>
  </si>
  <si>
    <t>2018-08-27T10:39:35+00:00</t>
  </si>
  <si>
    <t>GREENWOOD VILLAGE</t>
  </si>
  <si>
    <t>80112-5882</t>
  </si>
  <si>
    <t>114-0461669-6463434</t>
  </si>
  <si>
    <t>2018-08-26T14:39:41+00:00</t>
  </si>
  <si>
    <t>2018-08-27T01:21:19+00:00</t>
  </si>
  <si>
    <t>Austin</t>
  </si>
  <si>
    <t>111-9456697-0753045</t>
  </si>
  <si>
    <t>2018-08-26T14:20:33+00:00</t>
  </si>
  <si>
    <t>2018-08-27T20:27:34+00:00</t>
  </si>
  <si>
    <t>10018-1404</t>
  </si>
  <si>
    <t>111-5670403-5160211</t>
  </si>
  <si>
    <t>2018-08-26T14:09:09+00:00</t>
  </si>
  <si>
    <t>2018-08-26T22:17:28+00:00</t>
  </si>
  <si>
    <t>112-5312756-7835402</t>
  </si>
  <si>
    <t>2018-08-26T13:53:56+00:00</t>
  </si>
  <si>
    <t>2018-08-26T21:14:47+00:00</t>
  </si>
  <si>
    <t>Waukesha</t>
  </si>
  <si>
    <t>111-6810030-3602631</t>
  </si>
  <si>
    <t>2018-08-26T13:29:24+00:00</t>
  </si>
  <si>
    <t>2018-08-27T23:47:11+00:00</t>
  </si>
  <si>
    <t>ANAMOSA</t>
  </si>
  <si>
    <t>52205-7617</t>
  </si>
  <si>
    <t>113-5092648-0352252</t>
  </si>
  <si>
    <t>2018-08-26T06:02:51+00:00</t>
  </si>
  <si>
    <t>2018-08-26T16:09:07+00:00</t>
  </si>
  <si>
    <t>west long branch</t>
  </si>
  <si>
    <t>113-3802969-0903408</t>
  </si>
  <si>
    <t>2018-08-26T02:50:47+00:00</t>
  </si>
  <si>
    <t>2018-08-26T02:50:51+00:00</t>
  </si>
  <si>
    <t>INDEPENDENCE</t>
  </si>
  <si>
    <t>64055-4138</t>
  </si>
  <si>
    <t>112-2782294-0448217</t>
  </si>
  <si>
    <t>2018-08-26T02:42:05+00:00</t>
  </si>
  <si>
    <t>2018-08-27T06:17:16+00:00</t>
  </si>
  <si>
    <t>RESEDA</t>
  </si>
  <si>
    <t>91335-4012</t>
  </si>
  <si>
    <t>111-8920780-2910605</t>
  </si>
  <si>
    <t>2018-08-26T02:24:18+00:00</t>
  </si>
  <si>
    <t>2018-08-26T02:24:22+00:00</t>
  </si>
  <si>
    <t>33013-3342</t>
  </si>
  <si>
    <t>113-8402608-4786651</t>
  </si>
  <si>
    <t>2018-08-26T01:34:04+00:00</t>
  </si>
  <si>
    <t>2018-08-27T07:45:31+00:00</t>
  </si>
  <si>
    <t>SMETHPORT</t>
  </si>
  <si>
    <t>16749-4759</t>
  </si>
  <si>
    <t>114-9523796-6035454</t>
  </si>
  <si>
    <t>2018-08-26T01:22:00+00:00</t>
  </si>
  <si>
    <t>2018-08-27T20:20:36+00:00</t>
  </si>
  <si>
    <t>46143-9169</t>
  </si>
  <si>
    <t>112-0360191-4609070</t>
  </si>
  <si>
    <t>2018-08-26T01:07:36+00:00</t>
  </si>
  <si>
    <t>2018-08-26T05:03:26+00:00</t>
  </si>
  <si>
    <t>34120-0539</t>
  </si>
  <si>
    <t>113-1301477-4071417</t>
  </si>
  <si>
    <t>2018-08-26T01:03:52+00:00</t>
  </si>
  <si>
    <t>2018-08-27T15:54:03+00:00</t>
  </si>
  <si>
    <t>BRAMAN</t>
  </si>
  <si>
    <t>74632-3201</t>
  </si>
  <si>
    <t>112-4237559-8118669</t>
  </si>
  <si>
    <t>2018-08-26T00:12:05+00:00</t>
  </si>
  <si>
    <t>2018-08-26T10:05:33+00:00</t>
  </si>
  <si>
    <t>93727-4522</t>
  </si>
  <si>
    <t>销量</t>
  </si>
  <si>
    <t>日均销量</t>
  </si>
  <si>
    <t>合计</t>
  </si>
  <si>
    <t>DOLL-006-PI-11</t>
  </si>
  <si>
    <t>DOLL-1630-01R-22</t>
  </si>
  <si>
    <t>DOLL-008-WO-22</t>
  </si>
  <si>
    <t>DOLL-004-PI-11</t>
  </si>
  <si>
    <t>DOLL-1105-PI-22</t>
  </si>
  <si>
    <t>DOLL-0603-PI-22</t>
  </si>
  <si>
    <t>DOLL-DS001-LB-22</t>
  </si>
  <si>
    <t>JFB-FLQ55-PI-17</t>
  </si>
  <si>
    <t>DOLL-0603-02R-22</t>
  </si>
  <si>
    <t>DOLL-004-LB-11</t>
  </si>
  <si>
    <t>DOLL-002-PI-22</t>
  </si>
  <si>
    <t>DOLL-AD010-PI-22</t>
  </si>
  <si>
    <t>DOLLDRESS-003-WO-20</t>
  </si>
  <si>
    <t>DOLL-6089-BO-22</t>
  </si>
  <si>
    <t>DOLL-9042-01R-22</t>
  </si>
  <si>
    <t>DOLL-001-PI-22</t>
  </si>
  <si>
    <t>DOLL-0603-01R-22</t>
  </si>
  <si>
    <t>DOLL-7056-GR-11</t>
  </si>
  <si>
    <t>DOLL-7056G-YO-11</t>
  </si>
  <si>
    <t>NZ-FLQ52</t>
  </si>
  <si>
    <t>DOLLSHOES-AS08-RO-6.5</t>
  </si>
  <si>
    <t>DOLLDRESS-007-PI-20</t>
  </si>
  <si>
    <t>DOLL-AD010-02F-22</t>
  </si>
  <si>
    <t>DOLLSHOES-AS11-PI-6.5</t>
  </si>
  <si>
    <t>DOLL-0602-NZ-22</t>
  </si>
  <si>
    <t>DO-YULQ904-B7-22</t>
  </si>
  <si>
    <t>DO-YULQ004-PI-10</t>
  </si>
  <si>
    <t>父sku</t>
  </si>
  <si>
    <t>一周销量</t>
  </si>
  <si>
    <t>二周销量</t>
  </si>
  <si>
    <t>三周销量</t>
  </si>
  <si>
    <t>四周销量</t>
  </si>
  <si>
    <t>销售单价</t>
  </si>
  <si>
    <t>销售额</t>
  </si>
  <si>
    <t>总销量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</si>
  <si>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</si>
  <si>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</si>
  <si>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</si>
  <si>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</si>
  <si>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</si>
  <si>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</si>
  <si>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</si>
  <si>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</si>
  <si>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</si>
  <si>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</si>
  <si>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</si>
  <si>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单价</t>
  </si>
  <si>
    <t>DO-YULQ100</t>
  </si>
  <si>
    <t>DO-YULQ638</t>
  </si>
  <si>
    <t>YF-YULQ007</t>
  </si>
  <si>
    <t>DOLL-010</t>
  </si>
  <si>
    <t>YF-YULQ002</t>
  </si>
  <si>
    <t>DO-YULQ173</t>
  </si>
  <si>
    <t>DOLL-004</t>
  </si>
  <si>
    <t>DO-YULQ350</t>
  </si>
  <si>
    <t>DO-YULQ070</t>
  </si>
  <si>
    <t>DO-YULQ230</t>
  </si>
  <si>
    <t>DO-YULQ123</t>
  </si>
  <si>
    <t>DO-YULQ812</t>
  </si>
  <si>
    <t>DO-YULQ664</t>
  </si>
  <si>
    <t>DOLLDRESS-003</t>
  </si>
  <si>
    <t>DOLL-020</t>
  </si>
  <si>
    <t>DO-YULQ620</t>
  </si>
  <si>
    <t>DO-YULQ700</t>
  </si>
  <si>
    <t>DO-YULQ150</t>
  </si>
  <si>
    <t>DO-YULQ001</t>
  </si>
  <si>
    <t>DO-YULQ703</t>
  </si>
  <si>
    <t>DO-YULQ203</t>
  </si>
  <si>
    <t>DO-YULQ010</t>
  </si>
  <si>
    <t>DO-YULQ232</t>
  </si>
  <si>
    <t>DO-YULQ706</t>
  </si>
  <si>
    <t>DOLL-006</t>
  </si>
  <si>
    <t>DO-YULQ062</t>
  </si>
  <si>
    <t>DO-YULQ058</t>
  </si>
  <si>
    <t>DO-YULQ332</t>
  </si>
  <si>
    <t>DO-YULQ012</t>
  </si>
  <si>
    <t>DO-YULQ161</t>
  </si>
  <si>
    <t>DOLL-1630</t>
  </si>
  <si>
    <t>DO-YULQ611</t>
  </si>
  <si>
    <t>DO-YULQ172</t>
  </si>
  <si>
    <t>DO-YULQ330</t>
  </si>
  <si>
    <t>YF-YULQ602</t>
  </si>
  <si>
    <t>YF-YULQ905</t>
  </si>
  <si>
    <t>DO-YULQ702</t>
  </si>
  <si>
    <t>DOLL-0605</t>
  </si>
  <si>
    <t>DO-YULQ004</t>
  </si>
  <si>
    <t>DO-YULQ905</t>
  </si>
  <si>
    <t>DO-YULQ063</t>
  </si>
  <si>
    <t>DOLL-1523</t>
  </si>
  <si>
    <t>DO-YULQ708</t>
  </si>
  <si>
    <t>DOLL-1613</t>
  </si>
  <si>
    <t>DOLL-0601</t>
  </si>
  <si>
    <t>DOLL-0603</t>
  </si>
  <si>
    <t>YF-YULQ003</t>
  </si>
  <si>
    <t>DO-YULQ606</t>
  </si>
  <si>
    <t>DOLLDRESS-1612</t>
  </si>
  <si>
    <t>DOLL-7056</t>
  </si>
  <si>
    <t>DO-YULQ705</t>
  </si>
  <si>
    <t>DO-YULQ171</t>
  </si>
  <si>
    <t>DO-YULQ073</t>
  </si>
  <si>
    <t>DOLL-0630</t>
  </si>
  <si>
    <t>DO-YULQ006</t>
  </si>
  <si>
    <t>DO-YULQ152</t>
  </si>
  <si>
    <t>YF-YULQ008</t>
  </si>
  <si>
    <t>DO-YULQ165</t>
  </si>
  <si>
    <t>DO-YULQ018</t>
  </si>
  <si>
    <t>DO-YULQ107</t>
  </si>
  <si>
    <t>DO-YULQ064</t>
  </si>
  <si>
    <t>DO-YULQ005</t>
  </si>
  <si>
    <t>DOLL-AD011</t>
  </si>
  <si>
    <t>DOLL-100</t>
  </si>
  <si>
    <t>DO-YULQ162</t>
  </si>
  <si>
    <t>DO-YULQ153</t>
  </si>
  <si>
    <t>DOLL-9042</t>
  </si>
  <si>
    <t>DO-YULQ163</t>
  </si>
  <si>
    <t>DO-YULQ111</t>
  </si>
  <si>
    <t>DO-YULQ704</t>
  </si>
  <si>
    <t>YF-YULQ010</t>
  </si>
  <si>
    <t>DO-YULQ639</t>
  </si>
  <si>
    <t>DO-YULQ151</t>
  </si>
  <si>
    <t>DO-YULQ707</t>
  </si>
  <si>
    <t>DO-YULQ516</t>
  </si>
  <si>
    <t>DO-YULQ372</t>
  </si>
  <si>
    <t>DO-YULQ121</t>
  </si>
  <si>
    <t>DO-YULQ159</t>
  </si>
  <si>
    <t>DO-YULQ631</t>
  </si>
  <si>
    <t>DO-YULQ259</t>
  </si>
  <si>
    <t>DOLL-007</t>
  </si>
  <si>
    <t>DOLL-AD010</t>
  </si>
  <si>
    <t>DO-YULQ158</t>
  </si>
  <si>
    <t>DO-YULQ720</t>
  </si>
  <si>
    <t>DO-YULQ170</t>
  </si>
  <si>
    <t>DO-YULQ002</t>
  </si>
  <si>
    <t>DO-YULQ042</t>
  </si>
  <si>
    <t>DO-YULQ105</t>
  </si>
  <si>
    <t>YF-YULQ162</t>
  </si>
  <si>
    <t>DO-YULQ701</t>
  </si>
  <si>
    <t>DO-YULQ039</t>
  </si>
  <si>
    <t>DO-YULQ061</t>
  </si>
  <si>
    <t>DO-YULQ200</t>
  </si>
  <si>
    <t>DO-YULQ719</t>
  </si>
  <si>
    <t>DO-YULQ504</t>
  </si>
  <si>
    <t>DOLL-005</t>
  </si>
  <si>
    <t>DO-YULQ507</t>
  </si>
  <si>
    <t>DO-YULQ187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</si>
</sst>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2" fillId="3" borderId="1" applyNumberFormat="0" applyAlignment="0" applyProtection="0">
      <alignment vertical="center"/>
    </xf>
    <xf numFmtId="0" fontId="11" fillId="3" borderId="3" applyNumberFormat="0" applyAlignment="0" applyProtection="0">
      <alignment vertical="center"/>
    </xf>
    <xf numFmtId="0" fontId="19" fillId="28" borderId="7" applyNumberFormat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/>
    <xf numFmtId="176" fontId="0" fillId="0" borderId="0" xfId="0" applyNumberFormat="1" applyFill="1" applyAlignment="1">
      <alignment horizontal="right"/>
    </xf>
    <xf numFmtId="176" fontId="0" fillId="0" borderId="0" xfId="0" applyNumberFormat="1" applyFill="1" applyAlignment="1"/>
    <xf numFmtId="0" fontId="1" fillId="0" borderId="0" xfId="0" applyFont="1"/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176" fontId="0" fillId="2" borderId="0" xfId="0" applyNumberFormat="1" applyFill="1"/>
    <xf numFmtId="176" fontId="0" fillId="2" borderId="0" xfId="0" applyNumberFormat="1" applyFill="1" applyBorder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1181100</xdr:colOff>
          <xdr:row>0</xdr:row>
          <xdr:rowOff>0</xdr:rowOff>
        </xdr:from>
        <xdr:to>
          <xdr:col>33</xdr:col>
          <xdr:colOff>661670</xdr:colOff>
          <xdr:row>2</xdr:row>
          <xdr:rowOff>28575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5401270" y="0"/>
              <a:ext cx="6667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4</xdr:col>
          <xdr:colOff>19050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816225" y="361950"/>
              <a:ext cx="13716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1323975</xdr:colOff>
          <xdr:row>0</xdr:row>
          <xdr:rowOff>635</xdr:rowOff>
        </xdr:from>
        <xdr:to>
          <xdr:col>4</xdr:col>
          <xdr:colOff>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971800" y="635"/>
              <a:ext cx="140017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DOLL-006-B7-10</v>
          </cell>
          <cell r="B12" t="str">
            <v>DOLL-006</v>
          </cell>
        </row>
        <row r="13">
          <cell r="A13" t="str">
            <v>DOLL-006-LB-10</v>
          </cell>
          <cell r="B13" t="str">
            <v>DOLL-006</v>
          </cell>
        </row>
        <row r="14">
          <cell r="A14" t="str">
            <v>DOLL-006-LB-11</v>
          </cell>
          <cell r="B14" t="str">
            <v>DOLL-006</v>
          </cell>
        </row>
        <row r="15">
          <cell r="A15" t="str">
            <v>DOLL-006-PI-10</v>
          </cell>
          <cell r="B15" t="str">
            <v>DOLL-006</v>
          </cell>
        </row>
        <row r="16">
          <cell r="A16" t="str">
            <v>DOLL-006-PI-11</v>
          </cell>
          <cell r="B16" t="str">
            <v>DOLL-006</v>
          </cell>
        </row>
        <row r="17">
          <cell r="A17" t="str">
            <v>DOLL-007-NO-17</v>
          </cell>
          <cell r="B17" t="str">
            <v>DOLL-007</v>
          </cell>
        </row>
        <row r="18">
          <cell r="A18" t="str">
            <v>DOLL-007XM-WO-17</v>
          </cell>
          <cell r="B18" t="str">
            <v>DOLL-007</v>
          </cell>
        </row>
        <row r="19">
          <cell r="A19" t="str">
            <v>DOLL-008-W0-22</v>
          </cell>
          <cell r="B19" t="str">
            <v>DOLL-008</v>
          </cell>
        </row>
        <row r="20">
          <cell r="A20" t="str">
            <v>DOLL-008-WO-22</v>
          </cell>
          <cell r="B20" t="str">
            <v>DOLL-008</v>
          </cell>
        </row>
        <row r="21">
          <cell r="A21" t="str">
            <v>DOLL-009-PI-22</v>
          </cell>
          <cell r="B21" t="str">
            <v>DOLL-009</v>
          </cell>
        </row>
        <row r="22">
          <cell r="A22" t="str">
            <v>DOLL-010-PI-22</v>
          </cell>
          <cell r="B22" t="str">
            <v>DOLL-010</v>
          </cell>
        </row>
        <row r="23">
          <cell r="A23" t="str">
            <v>DOLL-020-PI-22</v>
          </cell>
          <cell r="B23" t="str">
            <v>DOLL-020</v>
          </cell>
        </row>
        <row r="24">
          <cell r="A24" t="str">
            <v>DOLL-0601-PI-22</v>
          </cell>
          <cell r="B24" t="str">
            <v>DOLL-0601</v>
          </cell>
        </row>
        <row r="25">
          <cell r="A25" t="str">
            <v>DOLL-0602-NZ-22</v>
          </cell>
          <cell r="B25" t="str">
            <v>DOLL-0602</v>
          </cell>
        </row>
        <row r="26">
          <cell r="A26" t="str">
            <v>DOLL-0603-01R-22</v>
          </cell>
          <cell r="B26" t="str">
            <v>DOLL-0603</v>
          </cell>
        </row>
        <row r="27">
          <cell r="A27" t="str">
            <v>DOLL-0603-02R-22</v>
          </cell>
          <cell r="B27" t="str">
            <v>DOLL-0603</v>
          </cell>
        </row>
        <row r="28">
          <cell r="A28" t="str">
            <v>DOLL-0603-NZ-22</v>
          </cell>
          <cell r="B28" t="str">
            <v>DOLL-0603</v>
          </cell>
        </row>
        <row r="29">
          <cell r="A29" t="str">
            <v>DOLL-0603-PI-22</v>
          </cell>
          <cell r="B29" t="str">
            <v>DOLL-0603</v>
          </cell>
        </row>
        <row r="30">
          <cell r="A30" t="str">
            <v>DOLL-0605-PI-22</v>
          </cell>
          <cell r="B30" t="str">
            <v>DOLL-0605</v>
          </cell>
        </row>
        <row r="31">
          <cell r="A31" t="str">
            <v>DOLL-0630-PI-22</v>
          </cell>
          <cell r="B31" t="str">
            <v>DOLL-0630</v>
          </cell>
        </row>
        <row r="32">
          <cell r="A32" t="str">
            <v>DOLL-100-LB-22</v>
          </cell>
          <cell r="B32" t="str">
            <v>DOLL-100</v>
          </cell>
        </row>
        <row r="33">
          <cell r="A33" t="str">
            <v>DOLL-1105-PI-22</v>
          </cell>
          <cell r="B33" t="str">
            <v>DOLL-1105</v>
          </cell>
        </row>
        <row r="34">
          <cell r="A34" t="str">
            <v>DOLL-1523-B7-22</v>
          </cell>
          <cell r="B34" t="str">
            <v>DOLL-1523</v>
          </cell>
        </row>
        <row r="35">
          <cell r="A35" t="str">
            <v>DOLL-1523-BO-22</v>
          </cell>
          <cell r="B35" t="str">
            <v>DOLL-1523</v>
          </cell>
        </row>
        <row r="36">
          <cell r="A36" t="str">
            <v>DOLL-1613-LB-11</v>
          </cell>
          <cell r="B36" t="str">
            <v>DOLL-1613</v>
          </cell>
        </row>
        <row r="37">
          <cell r="A37" t="str">
            <v>DOLL-1613-LB-22</v>
          </cell>
          <cell r="B37" t="str">
            <v>DOLL-1613</v>
          </cell>
        </row>
        <row r="38">
          <cell r="A38" t="str">
            <v>DOLL-1613-PI-11</v>
          </cell>
          <cell r="B38" t="str">
            <v>DOLL-1613</v>
          </cell>
        </row>
        <row r="39">
          <cell r="A39" t="str">
            <v>DOLL-1613-PI-22</v>
          </cell>
          <cell r="B39" t="str">
            <v>DOLL-1613</v>
          </cell>
        </row>
        <row r="40">
          <cell r="A40" t="str">
            <v>DOLL-1630-01R-22</v>
          </cell>
          <cell r="B40" t="str">
            <v>DOLL-1630</v>
          </cell>
        </row>
        <row r="41">
          <cell r="A41" t="str">
            <v>DOLL-1630-R0-22</v>
          </cell>
          <cell r="B41" t="str">
            <v>DOLL-1630</v>
          </cell>
        </row>
        <row r="42">
          <cell r="A42" t="str">
            <v>DOLL-1631-R0-22</v>
          </cell>
          <cell r="B42" t="str">
            <v>DOLL-1631</v>
          </cell>
        </row>
        <row r="43">
          <cell r="A43" t="str">
            <v>DOLL-6089-B0-22</v>
          </cell>
          <cell r="B43" t="str">
            <v>DOLL-6089</v>
          </cell>
        </row>
        <row r="44">
          <cell r="A44" t="str">
            <v>DOLL-6089-BO-22</v>
          </cell>
          <cell r="B44" t="str">
            <v>DOLL-6089</v>
          </cell>
        </row>
        <row r="45">
          <cell r="A45" t="str">
            <v>DOLL-7056-0R-11</v>
          </cell>
          <cell r="B45" t="str">
            <v>DOLL-7056</v>
          </cell>
        </row>
        <row r="46">
          <cell r="A46" t="str">
            <v>DOLL-7056-BR-11</v>
          </cell>
          <cell r="B46" t="str">
            <v>DOLL-7056</v>
          </cell>
        </row>
        <row r="47">
          <cell r="A47" t="str">
            <v>DOLL-7056B-YO-11</v>
          </cell>
          <cell r="B47" t="str">
            <v>DOLL-7056</v>
          </cell>
        </row>
        <row r="48">
          <cell r="A48" t="str">
            <v>DOLL-7056-GR-11</v>
          </cell>
          <cell r="B48" t="str">
            <v>DOLL-7056</v>
          </cell>
        </row>
        <row r="49">
          <cell r="A49" t="str">
            <v>DOLL-7056G-YO-11</v>
          </cell>
          <cell r="B49" t="str">
            <v>DOLL-7056</v>
          </cell>
        </row>
        <row r="50">
          <cell r="A50" t="str">
            <v>DOLL-7056-LGR-11</v>
          </cell>
          <cell r="B50" t="str">
            <v>DOLL-7056</v>
          </cell>
        </row>
        <row r="51">
          <cell r="A51" t="str">
            <v>DOLL-7056-YO-11</v>
          </cell>
          <cell r="B51" t="str">
            <v>DOLL-7056</v>
          </cell>
        </row>
        <row r="52">
          <cell r="A52" t="str">
            <v>DOLL-9042-01R-22</v>
          </cell>
          <cell r="B52" t="str">
            <v>DOLL-9042</v>
          </cell>
        </row>
        <row r="53">
          <cell r="A53" t="str">
            <v>DOLL-9042-B0-22</v>
          </cell>
          <cell r="B53" t="str">
            <v>DOLL-9042</v>
          </cell>
        </row>
        <row r="54">
          <cell r="A54" t="str">
            <v>DOLL-AD010-02F-22</v>
          </cell>
          <cell r="B54" t="str">
            <v>DOLL-AD010</v>
          </cell>
        </row>
        <row r="55">
          <cell r="A55" t="str">
            <v>DOLL-AD010-03R-22</v>
          </cell>
          <cell r="B55" t="str">
            <v>DOLL-AD010</v>
          </cell>
        </row>
        <row r="56">
          <cell r="A56" t="str">
            <v>DOLL-AD010-PI-22</v>
          </cell>
          <cell r="B56" t="str">
            <v>DOLL-AD010</v>
          </cell>
        </row>
        <row r="57">
          <cell r="A57" t="str">
            <v>DOLL-AD010-W0-22</v>
          </cell>
          <cell r="B57" t="str">
            <v>DOLL-AD010</v>
          </cell>
        </row>
        <row r="58">
          <cell r="A58" t="str">
            <v>DOLL-AD011-PI-22</v>
          </cell>
          <cell r="B58" t="str">
            <v>DOLL-AD011</v>
          </cell>
        </row>
        <row r="59">
          <cell r="A59" t="str">
            <v>DOLLDRESS-003-PI-20</v>
          </cell>
          <cell r="B59" t="str">
            <v>DOLLDRESS-003</v>
          </cell>
        </row>
        <row r="60">
          <cell r="A60" t="str">
            <v>DOLLDRESS-003-PI-M</v>
          </cell>
          <cell r="B60" t="str">
            <v>DOLLDRESS-003</v>
          </cell>
        </row>
        <row r="61">
          <cell r="A61" t="str">
            <v>DOLLDRESS-003-R2-20</v>
          </cell>
          <cell r="B61" t="str">
            <v>DOLLDRESS-003</v>
          </cell>
        </row>
        <row r="62">
          <cell r="A62" t="str">
            <v>DOLLDRESS-003-R2-M</v>
          </cell>
          <cell r="B62" t="str">
            <v>DOLLDRESS-003</v>
          </cell>
        </row>
        <row r="63">
          <cell r="A63" t="str">
            <v>DOLLDRESS-003-WO-20</v>
          </cell>
          <cell r="B63" t="str">
            <v>DOLLDRESS-003</v>
          </cell>
        </row>
        <row r="64">
          <cell r="A64" t="str">
            <v>DOLLDRESS-003-WO-M</v>
          </cell>
          <cell r="B64" t="str">
            <v>DOLLDRESS-003</v>
          </cell>
        </row>
        <row r="65">
          <cell r="A65" t="str">
            <v>DOLLDRESS-007-PI-20</v>
          </cell>
          <cell r="B65" t="str">
            <v>DOLLDRESS-007</v>
          </cell>
        </row>
        <row r="66">
          <cell r="A66" t="str">
            <v>DOLLDRESS-1009-RO-20</v>
          </cell>
          <cell r="B66" t="str">
            <v>DOLLDRESS-1009</v>
          </cell>
        </row>
        <row r="67">
          <cell r="A67" t="str">
            <v>DOLLDRESS-1612-GO-23</v>
          </cell>
          <cell r="B67" t="str">
            <v>DOLLDRESS-1612</v>
          </cell>
        </row>
        <row r="68">
          <cell r="A68" t="str">
            <v>DOLLDRESS-2304-WO-20</v>
          </cell>
          <cell r="B68" t="str">
            <v>DOLLDRESS-2304</v>
          </cell>
        </row>
        <row r="69">
          <cell r="A69" t="str">
            <v>DOLL-DS001-LB-22</v>
          </cell>
          <cell r="B69" t="str">
            <v>DOLL-DS001</v>
          </cell>
        </row>
        <row r="70">
          <cell r="A70" t="str">
            <v>DOLLSHOES-AS08-RO-6.5</v>
          </cell>
          <cell r="B70" t="str">
            <v>DOLLSHOES-AS08</v>
          </cell>
        </row>
        <row r="71">
          <cell r="A71" t="str">
            <v>DOLLSHOES-AS11-PI-6.5</v>
          </cell>
          <cell r="B71" t="str">
            <v>DOLLSHOES-AS11</v>
          </cell>
        </row>
        <row r="72">
          <cell r="A72" t="str">
            <v>DOLL-YULQ602-PI-22</v>
          </cell>
          <cell r="B72" t="str">
            <v>DOLL-YULQ602</v>
          </cell>
        </row>
        <row r="73">
          <cell r="A73" t="str">
            <v>DO-YCLQ001-PI-22</v>
          </cell>
          <cell r="B73" t="str">
            <v>DO-YCLQ001</v>
          </cell>
        </row>
        <row r="74">
          <cell r="A74" t="str">
            <v>DO-YCLQ005-PI-22</v>
          </cell>
          <cell r="B74" t="str">
            <v>DO-YCLQ005</v>
          </cell>
        </row>
        <row r="75">
          <cell r="A75" t="str">
            <v>DO-YCLQ007-R0-24</v>
          </cell>
          <cell r="B75" t="str">
            <v>DO-YCLQ007</v>
          </cell>
        </row>
        <row r="76">
          <cell r="A76" t="str">
            <v>DO-YCLQ008-PI-24</v>
          </cell>
          <cell r="B76" t="str">
            <v>DO-YCLQ008</v>
          </cell>
        </row>
        <row r="77">
          <cell r="A77" t="str">
            <v>DO-YCLQ009-W0-24</v>
          </cell>
          <cell r="B77" t="str">
            <v>DO-YCLQ009</v>
          </cell>
        </row>
        <row r="78">
          <cell r="A78" t="str">
            <v>DO-YCLQ010-W0-24</v>
          </cell>
          <cell r="B78" t="str">
            <v>DO-YCLQ010</v>
          </cell>
        </row>
        <row r="79">
          <cell r="A79" t="str">
            <v>DO-YCLQ011-B0-24</v>
          </cell>
          <cell r="B79" t="str">
            <v>DO-YCLQ011</v>
          </cell>
        </row>
        <row r="80">
          <cell r="A80" t="str">
            <v>DO-YULQ001-PI-15</v>
          </cell>
          <cell r="B80" t="str">
            <v>DO-YULQ001</v>
          </cell>
        </row>
        <row r="81">
          <cell r="A81" t="str">
            <v>DO-YULQ001-PI-22</v>
          </cell>
          <cell r="B81" t="str">
            <v>DO-YULQ001</v>
          </cell>
        </row>
        <row r="82">
          <cell r="A82" t="str">
            <v>DO-YULQ002-PI-22</v>
          </cell>
          <cell r="B82" t="str">
            <v>DO-YULQ002</v>
          </cell>
        </row>
        <row r="83">
          <cell r="A83" t="str">
            <v>DO-YULQ004-B7-10</v>
          </cell>
          <cell r="B83" t="str">
            <v>DO-YULQ004</v>
          </cell>
        </row>
        <row r="84">
          <cell r="A84" t="str">
            <v>DO-YULQ004-B7-11</v>
          </cell>
          <cell r="B84" t="str">
            <v>DO-YULQ004</v>
          </cell>
        </row>
        <row r="85">
          <cell r="A85" t="str">
            <v>DO-YULQ004-PI-10</v>
          </cell>
          <cell r="B85" t="str">
            <v>DO-YULQ004</v>
          </cell>
        </row>
        <row r="86">
          <cell r="A86" t="str">
            <v>DO-YULQ004-PI-11</v>
          </cell>
          <cell r="B86" t="str">
            <v>DO-YULQ004</v>
          </cell>
        </row>
        <row r="87">
          <cell r="A87" t="str">
            <v>DO-YULQ005-PI-22</v>
          </cell>
          <cell r="B87" t="str">
            <v>DO-YULQ005</v>
          </cell>
        </row>
        <row r="88">
          <cell r="A88" t="str">
            <v>DO-YULQ005-W0-10</v>
          </cell>
          <cell r="B88" t="str">
            <v>DO-YULQ005</v>
          </cell>
        </row>
        <row r="89">
          <cell r="A89" t="str">
            <v>DO-YULQ005-W0-11</v>
          </cell>
          <cell r="B89" t="str">
            <v>DO-YULQ005</v>
          </cell>
        </row>
        <row r="90">
          <cell r="A90" t="str">
            <v>DO-YULQ006-B7-10</v>
          </cell>
          <cell r="B90" t="str">
            <v>DO-YULQ006</v>
          </cell>
        </row>
        <row r="91">
          <cell r="A91" t="str">
            <v>DO-YULQ006-B7-11</v>
          </cell>
          <cell r="B91" t="str">
            <v>DO-YULQ006</v>
          </cell>
        </row>
        <row r="92">
          <cell r="A92" t="str">
            <v>DO-YULQ006-PI-10</v>
          </cell>
          <cell r="B92" t="str">
            <v>DO-YULQ006</v>
          </cell>
        </row>
        <row r="93">
          <cell r="A93" t="str">
            <v>DO-YULQ006-PI-11</v>
          </cell>
          <cell r="B93" t="str">
            <v>DO-YULQ006</v>
          </cell>
        </row>
        <row r="94">
          <cell r="A94" t="str">
            <v>DO-YULQ007-LGR-16</v>
          </cell>
          <cell r="B94" t="str">
            <v>DO-YULQ007</v>
          </cell>
        </row>
        <row r="95">
          <cell r="A95" t="str">
            <v>DO-YULQ007-R0-24</v>
          </cell>
          <cell r="B95" t="str">
            <v>DO-YULQ007</v>
          </cell>
        </row>
        <row r="96">
          <cell r="A96" t="str">
            <v>DO-YULQ007-Y0-17</v>
          </cell>
          <cell r="B96" t="str">
            <v>DO-YULQ007</v>
          </cell>
        </row>
        <row r="97">
          <cell r="A97" t="str">
            <v>DO-YULQ008-LGR-16</v>
          </cell>
          <cell r="B97" t="str">
            <v>DO-YULQ008</v>
          </cell>
        </row>
        <row r="98">
          <cell r="A98" t="str">
            <v>DO-YULQ008-PI-24</v>
          </cell>
          <cell r="B98" t="str">
            <v>DO-YULQ008</v>
          </cell>
        </row>
        <row r="99">
          <cell r="A99" t="str">
            <v>DO-YULQ008-Y0-17</v>
          </cell>
          <cell r="B99" t="str">
            <v>DO-YULQ008</v>
          </cell>
        </row>
        <row r="100">
          <cell r="A100" t="str">
            <v>DO-YULQ009-PI-16</v>
          </cell>
          <cell r="B100" t="str">
            <v>DO-YULQ009</v>
          </cell>
        </row>
        <row r="101">
          <cell r="A101" t="str">
            <v>DO-YULQ009-W0-24</v>
          </cell>
          <cell r="B101" t="str">
            <v>DO-YULQ009</v>
          </cell>
        </row>
        <row r="102">
          <cell r="A102" t="str">
            <v>DO-YULQ010-NZ-22</v>
          </cell>
          <cell r="B102" t="str">
            <v>DO-YULQ010</v>
          </cell>
        </row>
        <row r="103">
          <cell r="A103" t="str">
            <v>DO-YULQ010-P0-22</v>
          </cell>
          <cell r="B103" t="str">
            <v>DO-YULQ010</v>
          </cell>
        </row>
        <row r="104">
          <cell r="A104" t="str">
            <v>DO-YULQ010-PI-15</v>
          </cell>
          <cell r="B104" t="str">
            <v>DO-YULQ010</v>
          </cell>
        </row>
        <row r="105">
          <cell r="A105" t="str">
            <v>DO-YULQ010-PI-22</v>
          </cell>
          <cell r="B105" t="str">
            <v>DO-YULQ010</v>
          </cell>
        </row>
        <row r="106">
          <cell r="A106" t="str">
            <v>DO-YULQ010-R2-22</v>
          </cell>
          <cell r="B106" t="str">
            <v>DO-YULQ010</v>
          </cell>
        </row>
        <row r="107">
          <cell r="A107" t="str">
            <v>DO-YULQ010-W0-24</v>
          </cell>
          <cell r="B107" t="str">
            <v>DO-YULQ010</v>
          </cell>
        </row>
        <row r="108">
          <cell r="A108" t="str">
            <v>DO-YULQ011-B0-24</v>
          </cell>
          <cell r="B108" t="str">
            <v>DO-YULQ011</v>
          </cell>
        </row>
        <row r="109">
          <cell r="A109" t="str">
            <v>DO-YULQ011-NZ-22</v>
          </cell>
          <cell r="B109" t="str">
            <v>DO-YULQ011</v>
          </cell>
        </row>
        <row r="110">
          <cell r="A110" t="str">
            <v>DO-YULQ012-PI-22</v>
          </cell>
          <cell r="B110" t="str">
            <v>DO-YULQ012</v>
          </cell>
        </row>
        <row r="111">
          <cell r="A111" t="str">
            <v>DO-YULQ017-B0-18</v>
          </cell>
          <cell r="B111" t="str">
            <v>DO-YULQ017</v>
          </cell>
        </row>
        <row r="112">
          <cell r="A112" t="str">
            <v>DO-YULQ017-P4-16</v>
          </cell>
          <cell r="B112" t="str">
            <v>DO-YULQ017</v>
          </cell>
        </row>
        <row r="113">
          <cell r="A113" t="str">
            <v>DO-YULQ018-B0-18</v>
          </cell>
          <cell r="B113" t="str">
            <v>DO-YULQ018</v>
          </cell>
        </row>
        <row r="114">
          <cell r="A114" t="str">
            <v>DO-YULQ018-P4-16</v>
          </cell>
          <cell r="B114" t="str">
            <v>DO-YULQ018</v>
          </cell>
        </row>
        <row r="115">
          <cell r="A115" t="str">
            <v>DO-YULQ021-PI-22</v>
          </cell>
          <cell r="B115" t="str">
            <v>DO-YULQ021</v>
          </cell>
        </row>
        <row r="116">
          <cell r="A116" t="str">
            <v>DO-YULQ021-W0-22</v>
          </cell>
          <cell r="B116" t="str">
            <v>DO-YULQ021</v>
          </cell>
        </row>
        <row r="117">
          <cell r="A117" t="str">
            <v>DO-YULQ039-R0-22</v>
          </cell>
          <cell r="B117" t="str">
            <v>DO-YULQ039</v>
          </cell>
        </row>
        <row r="118">
          <cell r="A118" t="str">
            <v>DO-YULQ042-W0-22</v>
          </cell>
          <cell r="B118" t="str">
            <v>DO-YULQ042</v>
          </cell>
        </row>
        <row r="119">
          <cell r="A119" t="str">
            <v>DO-YULQ057-BR-10</v>
          </cell>
          <cell r="B119" t="str">
            <v>DO-YULQ057</v>
          </cell>
        </row>
        <row r="120">
          <cell r="A120" t="str">
            <v>DO-YULQ057-SH-10</v>
          </cell>
          <cell r="B120" t="str">
            <v>DO-YULQ057</v>
          </cell>
        </row>
        <row r="121">
          <cell r="A121" t="str">
            <v>DO-YULQ058-BR-10</v>
          </cell>
          <cell r="B121" t="str">
            <v>DO-YULQ058</v>
          </cell>
        </row>
        <row r="122">
          <cell r="A122" t="str">
            <v>DO-YULQ058-SH-10</v>
          </cell>
          <cell r="B122" t="str">
            <v>DO-YULQ058</v>
          </cell>
        </row>
        <row r="123">
          <cell r="A123" t="str">
            <v>DO-YULQ060-LGR-22</v>
          </cell>
          <cell r="B123" t="str">
            <v>DO-YULQ060</v>
          </cell>
        </row>
        <row r="124">
          <cell r="A124" t="str">
            <v>DO-YULQ061-LGR-22</v>
          </cell>
          <cell r="B124" t="str">
            <v>DO-YULQ061</v>
          </cell>
        </row>
        <row r="125">
          <cell r="A125" t="str">
            <v>DO-YULQ061-W0-22</v>
          </cell>
          <cell r="B125" t="str">
            <v>DO-YULQ061</v>
          </cell>
        </row>
        <row r="126">
          <cell r="A126" t="str">
            <v>DO-YULQ062-PI-22</v>
          </cell>
          <cell r="B126" t="str">
            <v>DO-YULQ062</v>
          </cell>
        </row>
        <row r="127">
          <cell r="A127" t="str">
            <v>DO-YULQ063-PI-22</v>
          </cell>
          <cell r="B127" t="str">
            <v>DO-YULQ063</v>
          </cell>
        </row>
        <row r="128">
          <cell r="A128" t="str">
            <v>DO-YULQ064-X0-22</v>
          </cell>
          <cell r="B128" t="str">
            <v>DO-YULQ064</v>
          </cell>
        </row>
        <row r="129">
          <cell r="A129" t="str">
            <v>DO-YULQ070-PI-16</v>
          </cell>
          <cell r="B129" t="str">
            <v>DO-YULQ070</v>
          </cell>
        </row>
        <row r="130">
          <cell r="A130" t="str">
            <v>DO-YULQ071-B7-16</v>
          </cell>
          <cell r="B130" t="str">
            <v>DO-YULQ071</v>
          </cell>
        </row>
        <row r="131">
          <cell r="A131" t="str">
            <v>DO-YULQ071-PI-16</v>
          </cell>
          <cell r="B131" t="str">
            <v>DO-YULQ071</v>
          </cell>
        </row>
        <row r="132">
          <cell r="A132" t="str">
            <v>DO-YULQ072-LGR-22</v>
          </cell>
          <cell r="B132" t="str">
            <v>DO-YULQ072</v>
          </cell>
        </row>
        <row r="133">
          <cell r="A133" t="str">
            <v>DO-YULQ073-LGR-22</v>
          </cell>
          <cell r="B133" t="str">
            <v>DO-YULQ073</v>
          </cell>
        </row>
        <row r="134">
          <cell r="A134" t="str">
            <v>DO-YULQ080-B7-10</v>
          </cell>
          <cell r="B134" t="str">
            <v>DO-YULQ080</v>
          </cell>
        </row>
        <row r="135">
          <cell r="A135" t="str">
            <v>DO-YULQ080-PI-10</v>
          </cell>
          <cell r="B135" t="str">
            <v>DO-YULQ080</v>
          </cell>
        </row>
        <row r="136">
          <cell r="A136" t="str">
            <v>DO-YULQ081-B7-10</v>
          </cell>
          <cell r="B136" t="str">
            <v>DO-YULQ081</v>
          </cell>
        </row>
        <row r="137">
          <cell r="A137" t="str">
            <v>DO-YULQ081-PI-10</v>
          </cell>
          <cell r="B137" t="str">
            <v>DO-YULQ081</v>
          </cell>
        </row>
        <row r="138">
          <cell r="A138" t="str">
            <v>DO-YULQ100-B7-22</v>
          </cell>
          <cell r="B138" t="str">
            <v>DO-YULQ100</v>
          </cell>
        </row>
        <row r="139">
          <cell r="A139" t="str">
            <v>DO-YULQ100-G0-10</v>
          </cell>
          <cell r="B139" t="str">
            <v>DO-YULQ100</v>
          </cell>
        </row>
        <row r="140">
          <cell r="A140" t="str">
            <v>DO-YULQ100-R0-10</v>
          </cell>
          <cell r="B140" t="str">
            <v>DO-YULQ100</v>
          </cell>
        </row>
        <row r="141">
          <cell r="A141" t="str">
            <v>DO-YULQ101-PI-22</v>
          </cell>
          <cell r="B141" t="str">
            <v>DO-YULQ101</v>
          </cell>
        </row>
        <row r="142">
          <cell r="A142" t="str">
            <v>DO-YULQ105-PI-22</v>
          </cell>
          <cell r="B142" t="str">
            <v>DO-YULQ105</v>
          </cell>
        </row>
        <row r="143">
          <cell r="A143" t="str">
            <v>DO-YULQ105-R2-22</v>
          </cell>
          <cell r="B143" t="str">
            <v>DO-YULQ105</v>
          </cell>
        </row>
        <row r="144">
          <cell r="A144" t="str">
            <v>DO-YULQ106-PI-22</v>
          </cell>
          <cell r="B144" t="str">
            <v>DO-YULQ106</v>
          </cell>
        </row>
        <row r="145">
          <cell r="A145" t="str">
            <v>DO-YULQ107-PI-22</v>
          </cell>
          <cell r="B145" t="str">
            <v>DO-YULQ107</v>
          </cell>
        </row>
        <row r="146">
          <cell r="A146" t="str">
            <v>DO-YULQ110-R2-22</v>
          </cell>
          <cell r="B146" t="str">
            <v>DO-YULQ110</v>
          </cell>
        </row>
        <row r="147">
          <cell r="A147" t="str">
            <v>DO-YULQ111-PI-22</v>
          </cell>
          <cell r="B147" t="str">
            <v>DO-YULQ111</v>
          </cell>
        </row>
        <row r="148">
          <cell r="A148" t="str">
            <v>DO-YULQ111-R2-22</v>
          </cell>
          <cell r="B148" t="str">
            <v>DO-YULQ111</v>
          </cell>
        </row>
        <row r="149">
          <cell r="A149" t="str">
            <v>DO-YULQ115-R2-22</v>
          </cell>
          <cell r="B149" t="str">
            <v>DO-YULQ115</v>
          </cell>
        </row>
        <row r="150">
          <cell r="A150" t="str">
            <v>DO-YULQ121-PI-22</v>
          </cell>
          <cell r="B150" t="str">
            <v>DO-YULQ121</v>
          </cell>
        </row>
        <row r="151">
          <cell r="A151" t="str">
            <v>DO-YULQ122-FB-22</v>
          </cell>
          <cell r="B151" t="str">
            <v>DO-YULQ122</v>
          </cell>
        </row>
        <row r="152">
          <cell r="A152" t="str">
            <v>DO-YULQ123-FB-22</v>
          </cell>
          <cell r="B152" t="str">
            <v>DO-YULQ123</v>
          </cell>
        </row>
        <row r="153">
          <cell r="A153" t="str">
            <v>DO-YULQ123-W0-22</v>
          </cell>
          <cell r="B153" t="str">
            <v>DO-YULQ123</v>
          </cell>
        </row>
        <row r="154">
          <cell r="A154" t="str">
            <v>DO-YULQ149-B7-18</v>
          </cell>
          <cell r="B154" t="str">
            <v>DO-YULQ149</v>
          </cell>
        </row>
        <row r="155">
          <cell r="A155" t="str">
            <v>DO-YULQ150-B7-18</v>
          </cell>
          <cell r="B155" t="str">
            <v>DO-YULQ150</v>
          </cell>
        </row>
        <row r="156">
          <cell r="A156" t="str">
            <v>DO-YULQ150-B7-22</v>
          </cell>
          <cell r="B156" t="str">
            <v>DO-YULQ150</v>
          </cell>
        </row>
        <row r="157">
          <cell r="A157" t="str">
            <v>DO-YULQ150-K0-22</v>
          </cell>
          <cell r="B157" t="str">
            <v>DO-YULQ150</v>
          </cell>
        </row>
        <row r="158">
          <cell r="A158" t="str">
            <v>DO-YULQ150-PI-20</v>
          </cell>
          <cell r="B158" t="str">
            <v>DO-YULQ150</v>
          </cell>
        </row>
        <row r="159">
          <cell r="A159" t="str">
            <v>DO-YULQ150-R2-22</v>
          </cell>
          <cell r="B159" t="str">
            <v>DO-YULQ150</v>
          </cell>
        </row>
        <row r="160">
          <cell r="A160" t="str">
            <v>DO-YULQ151-W0-16</v>
          </cell>
          <cell r="B160" t="str">
            <v>DO-YULQ151</v>
          </cell>
        </row>
        <row r="161">
          <cell r="A161" t="str">
            <v>DO-YULQ152-B7-22</v>
          </cell>
          <cell r="B161" t="str">
            <v>DO-YULQ152</v>
          </cell>
        </row>
        <row r="162">
          <cell r="A162" t="str">
            <v>DO-YULQ152-Z1-22</v>
          </cell>
          <cell r="B162" t="str">
            <v>DO-YULQ152</v>
          </cell>
        </row>
        <row r="163">
          <cell r="A163" t="str">
            <v>DO-YULQ153-B7-22</v>
          </cell>
          <cell r="B163" t="str">
            <v>DO-YULQ153</v>
          </cell>
        </row>
        <row r="164">
          <cell r="A164" t="str">
            <v>DO-YULQ153-TW-20</v>
          </cell>
          <cell r="B164" t="str">
            <v>DO-YULQ153</v>
          </cell>
        </row>
        <row r="165">
          <cell r="A165" t="str">
            <v>DO-YULQ157-W0-22</v>
          </cell>
          <cell r="B165" t="str">
            <v>DO-YULQ157</v>
          </cell>
        </row>
        <row r="166">
          <cell r="A166" t="str">
            <v>DO-YULQ158-W0-22</v>
          </cell>
          <cell r="B166" t="str">
            <v>DO-YULQ158</v>
          </cell>
        </row>
        <row r="167">
          <cell r="A167" t="str">
            <v>DO-YULQ159-R2-22</v>
          </cell>
          <cell r="B167" t="str">
            <v>DO-YULQ159</v>
          </cell>
        </row>
        <row r="168">
          <cell r="A168" t="str">
            <v>DO-YULQ161-B7-16</v>
          </cell>
          <cell r="B168" t="str">
            <v>DO-YULQ161</v>
          </cell>
        </row>
        <row r="169">
          <cell r="A169" t="str">
            <v>DO-YULQ161-B7-22</v>
          </cell>
          <cell r="B169" t="str">
            <v>DO-YULQ161</v>
          </cell>
        </row>
        <row r="170">
          <cell r="A170" t="str">
            <v>DO-YULQ161-G0-16</v>
          </cell>
          <cell r="B170" t="str">
            <v>DO-YULQ161</v>
          </cell>
        </row>
        <row r="171">
          <cell r="A171" t="str">
            <v>DO-YULQ161-PI-16</v>
          </cell>
          <cell r="B171" t="str">
            <v>DO-YULQ161</v>
          </cell>
        </row>
        <row r="172">
          <cell r="A172" t="str">
            <v>DO-YULQ161-PI-22</v>
          </cell>
          <cell r="B172" t="str">
            <v>DO-YULQ161</v>
          </cell>
        </row>
        <row r="173">
          <cell r="A173" t="str">
            <v>DO-YULQ162-PI-16</v>
          </cell>
          <cell r="B173" t="str">
            <v>DO-YULQ162</v>
          </cell>
        </row>
        <row r="174">
          <cell r="A174" t="str">
            <v>DO-YULQ163-B7-22</v>
          </cell>
          <cell r="B174" t="str">
            <v>DO-YULQ163</v>
          </cell>
        </row>
        <row r="175">
          <cell r="A175" t="str">
            <v>DO-YULQ163-PI-22</v>
          </cell>
          <cell r="B175" t="str">
            <v>DO-YULQ163</v>
          </cell>
        </row>
        <row r="176">
          <cell r="A176" t="str">
            <v>DO-YULQ165-B7-16</v>
          </cell>
          <cell r="B176" t="str">
            <v>DO-YULQ165</v>
          </cell>
        </row>
        <row r="177">
          <cell r="A177" t="str">
            <v>DO-YULQ165-PI-16</v>
          </cell>
          <cell r="B177" t="str">
            <v>DO-YULQ165</v>
          </cell>
        </row>
        <row r="178">
          <cell r="A178" t="str">
            <v>DO-YULQ170-LGR-22</v>
          </cell>
          <cell r="B178" t="str">
            <v>DO-YULQ170</v>
          </cell>
        </row>
        <row r="179">
          <cell r="A179" t="str">
            <v>DO-YULQ170-SH-22</v>
          </cell>
          <cell r="B179" t="str">
            <v>DO-YULQ170</v>
          </cell>
        </row>
        <row r="180">
          <cell r="A180" t="str">
            <v>DO-YULQ171-B0-22</v>
          </cell>
          <cell r="B180" t="str">
            <v>DO-YULQ171</v>
          </cell>
        </row>
        <row r="181">
          <cell r="A181" t="str">
            <v>DO-YULQ171-BD-22</v>
          </cell>
          <cell r="B181" t="str">
            <v>DO-YULQ171</v>
          </cell>
        </row>
        <row r="182">
          <cell r="A182" t="str">
            <v>DO-YULQ171-LGR-22</v>
          </cell>
          <cell r="B182" t="str">
            <v>DO-YULQ171</v>
          </cell>
        </row>
        <row r="183">
          <cell r="A183" t="str">
            <v>DO-YULQ172-BD-22</v>
          </cell>
          <cell r="B183" t="str">
            <v>DO-YULQ172</v>
          </cell>
        </row>
        <row r="184">
          <cell r="A184" t="str">
            <v>DO-YULQ173-B7-22</v>
          </cell>
          <cell r="B184" t="str">
            <v>DO-YULQ173</v>
          </cell>
        </row>
        <row r="185">
          <cell r="A185" t="str">
            <v>DO-YULQ187-BR-22</v>
          </cell>
          <cell r="B185" t="str">
            <v>DO-YULQ187</v>
          </cell>
        </row>
        <row r="186">
          <cell r="A186" t="str">
            <v>DO-YULQ187-CV-22</v>
          </cell>
          <cell r="B186" t="str">
            <v>DO-YULQ187</v>
          </cell>
        </row>
        <row r="187">
          <cell r="A187" t="str">
            <v>DO-YULQ188-PI-22</v>
          </cell>
          <cell r="B187" t="str">
            <v>DO-YULQ188</v>
          </cell>
        </row>
        <row r="188">
          <cell r="A188" t="str">
            <v>DO-YULQ189-PI-22</v>
          </cell>
          <cell r="B188" t="str">
            <v>DO-YULQ189</v>
          </cell>
        </row>
        <row r="189">
          <cell r="A189" t="str">
            <v>DO-YULQ190-B7-22</v>
          </cell>
          <cell r="B189" t="str">
            <v>DO-YULQ190</v>
          </cell>
        </row>
        <row r="190">
          <cell r="A190" t="str">
            <v>DO-YULQ191-E0-22</v>
          </cell>
          <cell r="B190" t="str">
            <v>DO-YULQ191</v>
          </cell>
        </row>
        <row r="191">
          <cell r="A191" t="str">
            <v>DO-YULQ192-G0-22</v>
          </cell>
          <cell r="B191" t="str">
            <v>DO-YULQ192</v>
          </cell>
        </row>
        <row r="192">
          <cell r="A192" t="str">
            <v>DO-YULQ193-PI-24</v>
          </cell>
          <cell r="B192" t="str">
            <v>DO-YULQ193</v>
          </cell>
        </row>
        <row r="193">
          <cell r="A193" t="str">
            <v>DO-YULQ194-R0-24</v>
          </cell>
          <cell r="B193" t="str">
            <v>DO-YULQ194</v>
          </cell>
        </row>
        <row r="194">
          <cell r="A194" t="str">
            <v>DO-YULQ195-R0-24</v>
          </cell>
          <cell r="B194" t="str">
            <v>DO-YULQ195</v>
          </cell>
        </row>
        <row r="195">
          <cell r="A195" t="str">
            <v>DO-YULQ196-PI-24</v>
          </cell>
          <cell r="B195" t="str">
            <v>DO-YULQ196</v>
          </cell>
        </row>
        <row r="196">
          <cell r="A196" t="str">
            <v>DO-YULQ200-PI-10</v>
          </cell>
          <cell r="B196" t="str">
            <v>DO-YULQ200</v>
          </cell>
        </row>
        <row r="197">
          <cell r="A197" t="str">
            <v>DO-YULQ200-W0-10</v>
          </cell>
          <cell r="B197" t="str">
            <v>DO-YULQ200</v>
          </cell>
        </row>
        <row r="198">
          <cell r="A198" t="str">
            <v>DO-YULQ202-P4-22</v>
          </cell>
          <cell r="B198" t="str">
            <v>DO-YULQ202</v>
          </cell>
        </row>
        <row r="199">
          <cell r="A199" t="str">
            <v>DO-YULQ203-P4-22</v>
          </cell>
          <cell r="B199" t="str">
            <v>DO-YULQ203</v>
          </cell>
        </row>
        <row r="200">
          <cell r="A200" t="str">
            <v>DO-YULQ220-R2-22</v>
          </cell>
          <cell r="B200" t="str">
            <v>DO-YULQ220</v>
          </cell>
        </row>
        <row r="201">
          <cell r="A201" t="str">
            <v>DO-YULQ229-PI-16</v>
          </cell>
          <cell r="B201" t="str">
            <v>DO-YULQ229</v>
          </cell>
        </row>
        <row r="202">
          <cell r="A202" t="str">
            <v>DO-YULQ230-PI-16</v>
          </cell>
          <cell r="B202" t="str">
            <v>DO-YULQ230</v>
          </cell>
        </row>
        <row r="203">
          <cell r="A203" t="str">
            <v>DO-YULQ232-W0-10</v>
          </cell>
          <cell r="B203" t="str">
            <v>DO-YULQ232</v>
          </cell>
        </row>
        <row r="204">
          <cell r="A204" t="str">
            <v>DO-YULQ259-PI-20</v>
          </cell>
          <cell r="B204" t="str">
            <v>DO-YULQ259</v>
          </cell>
        </row>
        <row r="205">
          <cell r="A205" t="str">
            <v>DO-YULQ259-PI-22</v>
          </cell>
          <cell r="B205" t="str">
            <v>DO-YULQ259</v>
          </cell>
        </row>
        <row r="206">
          <cell r="A206" t="str">
            <v>DO-YULQ330-PI-18</v>
          </cell>
          <cell r="B206" t="str">
            <v>DO-YULQ330</v>
          </cell>
        </row>
        <row r="207">
          <cell r="A207" t="str">
            <v>DO-YULQ331-LGR-20</v>
          </cell>
          <cell r="B207" t="str">
            <v>DO-YULQ331</v>
          </cell>
        </row>
        <row r="208">
          <cell r="A208" t="str">
            <v>DO-YULQ332-LGR-20</v>
          </cell>
          <cell r="B208" t="str">
            <v>DO-YULQ332</v>
          </cell>
        </row>
        <row r="209">
          <cell r="A209" t="str">
            <v>DO-YULQ349-PI-22</v>
          </cell>
          <cell r="B209" t="str">
            <v>DO-YULQ349</v>
          </cell>
        </row>
        <row r="210">
          <cell r="A210" t="str">
            <v>DO-YULQ350-PI-22</v>
          </cell>
          <cell r="B210" t="str">
            <v>DO-YULQ350</v>
          </cell>
        </row>
        <row r="211">
          <cell r="A211" t="str">
            <v>DO-YULQ372-R0-22</v>
          </cell>
          <cell r="B211" t="str">
            <v>DO-YULQ372</v>
          </cell>
        </row>
        <row r="212">
          <cell r="A212" t="str">
            <v>DO-YULQ504-PI-22</v>
          </cell>
          <cell r="B212" t="str">
            <v>DO-YULQ504</v>
          </cell>
        </row>
        <row r="213">
          <cell r="A213" t="str">
            <v>DO-YULQ507-PI-24</v>
          </cell>
          <cell r="B213" t="str">
            <v>DO-YULQ507</v>
          </cell>
        </row>
        <row r="214">
          <cell r="A214" t="str">
            <v>DO-YULQ516-B0-22</v>
          </cell>
          <cell r="B214" t="str">
            <v>DO-YULQ516</v>
          </cell>
        </row>
        <row r="215">
          <cell r="A215" t="str">
            <v>DO-YULQ601-PI-22</v>
          </cell>
          <cell r="B215" t="str">
            <v>DO-YULQ601</v>
          </cell>
        </row>
        <row r="216">
          <cell r="A216" t="str">
            <v>DO-YULQ602-PI-22</v>
          </cell>
          <cell r="B216" t="str">
            <v>DO-YULQ602</v>
          </cell>
        </row>
        <row r="217">
          <cell r="A217" t="str">
            <v>DO-YULQ602-R2-15</v>
          </cell>
          <cell r="B217" t="str">
            <v>DO-YULQ602</v>
          </cell>
        </row>
        <row r="218">
          <cell r="A218" t="str">
            <v>DO-YULQ603-PI-22</v>
          </cell>
          <cell r="B218" t="str">
            <v>DO-YULQ603</v>
          </cell>
        </row>
        <row r="219">
          <cell r="A219" t="str">
            <v>DO-YULQ604-PI-22</v>
          </cell>
          <cell r="B219" t="str">
            <v>DO-YULQ604</v>
          </cell>
        </row>
        <row r="220">
          <cell r="A220" t="str">
            <v>DO-YULQ605-PI-16</v>
          </cell>
          <cell r="B220" t="str">
            <v>DO-YULQ605</v>
          </cell>
        </row>
        <row r="221">
          <cell r="A221" t="str">
            <v>DO-YULQ605-PI-22</v>
          </cell>
          <cell r="B221" t="str">
            <v>DO-YULQ605</v>
          </cell>
        </row>
        <row r="222">
          <cell r="A222" t="str">
            <v>DO-YULQ606-W0-22</v>
          </cell>
          <cell r="B222" t="str">
            <v>DO-YULQ606</v>
          </cell>
        </row>
        <row r="223">
          <cell r="A223" t="str">
            <v>DO-YULQ609-R2-22</v>
          </cell>
          <cell r="B223" t="str">
            <v>DO-YULQ609</v>
          </cell>
        </row>
        <row r="224">
          <cell r="A224" t="str">
            <v>DO-YULQ610-R2-22</v>
          </cell>
          <cell r="B224" t="str">
            <v>DO-YULQ610</v>
          </cell>
        </row>
        <row r="225">
          <cell r="A225" t="str">
            <v>DO-YULQ610-TW-22</v>
          </cell>
          <cell r="B225" t="str">
            <v>DO-YULQ610</v>
          </cell>
        </row>
        <row r="226">
          <cell r="A226" t="str">
            <v>DO-YULQ611-TW-22</v>
          </cell>
          <cell r="B226" t="str">
            <v>DO-YULQ611</v>
          </cell>
        </row>
        <row r="227">
          <cell r="A227" t="str">
            <v>DO-YULQ620-NZ-22</v>
          </cell>
          <cell r="B227" t="str">
            <v>DO-YULQ620</v>
          </cell>
        </row>
        <row r="228">
          <cell r="A228" t="str">
            <v>DO-YULQ620-PI-22</v>
          </cell>
          <cell r="B228" t="str">
            <v>DO-YULQ620</v>
          </cell>
        </row>
        <row r="229">
          <cell r="A229" t="str">
            <v>DO-YULQ630-R2-15</v>
          </cell>
          <cell r="B229" t="str">
            <v>DO-YULQ630</v>
          </cell>
        </row>
        <row r="230">
          <cell r="A230" t="str">
            <v>DO-YULQ631-R2-22</v>
          </cell>
          <cell r="B230" t="str">
            <v>DO-YULQ631</v>
          </cell>
        </row>
        <row r="231">
          <cell r="A231" t="str">
            <v>DO-YULQ637-B7-20</v>
          </cell>
          <cell r="B231" t="str">
            <v>DO-YULQ637</v>
          </cell>
        </row>
        <row r="232">
          <cell r="A232" t="str">
            <v>DO-YULQ637-PI-20</v>
          </cell>
          <cell r="B232" t="str">
            <v>DO-YULQ637</v>
          </cell>
        </row>
        <row r="233">
          <cell r="A233" t="str">
            <v>DO-YULQ638-B7-20</v>
          </cell>
          <cell r="B233" t="str">
            <v>DO-YULQ638</v>
          </cell>
        </row>
        <row r="234">
          <cell r="A234" t="str">
            <v>DO-YULQ638-LGR-20</v>
          </cell>
          <cell r="B234" t="str">
            <v>DO-YULQ638</v>
          </cell>
        </row>
        <row r="235">
          <cell r="A235" t="str">
            <v>DO-YULQ638-PI-20</v>
          </cell>
          <cell r="B235" t="str">
            <v>DO-YULQ638</v>
          </cell>
        </row>
        <row r="236">
          <cell r="A236" t="str">
            <v>DO-YULQ639-LGR-22</v>
          </cell>
          <cell r="B236" t="str">
            <v>DO-YULQ639</v>
          </cell>
        </row>
        <row r="237">
          <cell r="A237" t="str">
            <v>DO-YULQ639-R2-22</v>
          </cell>
          <cell r="B237" t="str">
            <v>DO-YULQ639</v>
          </cell>
        </row>
        <row r="238">
          <cell r="A238" t="str">
            <v>DO-YULQ662-PI-15</v>
          </cell>
          <cell r="B238" t="str">
            <v>DO-YULQ662</v>
          </cell>
        </row>
        <row r="239">
          <cell r="A239" t="str">
            <v>DO-YULQ663-PI-15</v>
          </cell>
          <cell r="B239" t="str">
            <v>DO-YULQ663</v>
          </cell>
        </row>
        <row r="240">
          <cell r="A240" t="str">
            <v>DO-YULQ664-AX-16</v>
          </cell>
          <cell r="B240" t="str">
            <v>DO-YULQ664</v>
          </cell>
        </row>
        <row r="241">
          <cell r="A241" t="str">
            <v>DO-YULQ693-PI-22</v>
          </cell>
          <cell r="B241" t="str">
            <v>DO-YULQ693</v>
          </cell>
        </row>
        <row r="242">
          <cell r="A242" t="str">
            <v>DO-YULQ694-B7-22</v>
          </cell>
          <cell r="B242" t="str">
            <v>DO-YULQ694</v>
          </cell>
        </row>
        <row r="243">
          <cell r="A243" t="str">
            <v>DO-YULQ695-PI-18</v>
          </cell>
          <cell r="B243" t="str">
            <v>DO-YULQ695</v>
          </cell>
        </row>
        <row r="244">
          <cell r="A244" t="str">
            <v>DO-YULQ696-K0-17</v>
          </cell>
          <cell r="B244" t="str">
            <v>DO-YULQ696</v>
          </cell>
        </row>
        <row r="245">
          <cell r="A245" t="str">
            <v>DO-YULQ697-BR-17</v>
          </cell>
          <cell r="B245" t="str">
            <v>DO-YULQ697</v>
          </cell>
        </row>
        <row r="246">
          <cell r="A246" t="str">
            <v>DO-YULQ698-W0-22</v>
          </cell>
          <cell r="B246" t="str">
            <v>DO-YULQ698</v>
          </cell>
        </row>
        <row r="247">
          <cell r="A247" t="str">
            <v>DO-YULQ699-B7-11</v>
          </cell>
          <cell r="B247" t="str">
            <v>DO-YULQ699</v>
          </cell>
        </row>
        <row r="248">
          <cell r="A248" t="str">
            <v>DO-YULQ699-B7-22</v>
          </cell>
          <cell r="B248" t="str">
            <v>DO-YULQ699</v>
          </cell>
        </row>
        <row r="249">
          <cell r="A249" t="str">
            <v>DO-YULQ699-PI-22</v>
          </cell>
          <cell r="B249" t="str">
            <v>DO-YULQ699</v>
          </cell>
        </row>
        <row r="250">
          <cell r="A250" t="str">
            <v>DO-YULQ700-PI-22</v>
          </cell>
          <cell r="B250" t="str">
            <v>DO-YULQ700</v>
          </cell>
        </row>
        <row r="251">
          <cell r="A251" t="str">
            <v>DO-YULQ700-W0-22</v>
          </cell>
          <cell r="B251" t="str">
            <v>DO-YULQ700</v>
          </cell>
        </row>
        <row r="252">
          <cell r="A252" t="str">
            <v>DO-YULQ701-PI-22</v>
          </cell>
          <cell r="B252" t="str">
            <v>DO-YULQ701</v>
          </cell>
        </row>
        <row r="253">
          <cell r="A253" t="str">
            <v>DO-YULQ702-PI-22</v>
          </cell>
          <cell r="B253" t="str">
            <v>DO-YULQ702</v>
          </cell>
        </row>
        <row r="254">
          <cell r="A254" t="str">
            <v>DO-YULQ703-PI-22</v>
          </cell>
          <cell r="B254" t="str">
            <v>DO-YULQ703</v>
          </cell>
        </row>
        <row r="255">
          <cell r="A255" t="str">
            <v>DO-YULQ704-B0-24</v>
          </cell>
          <cell r="B255" t="str">
            <v>DO-YULQ704</v>
          </cell>
        </row>
        <row r="256">
          <cell r="A256" t="str">
            <v>DO-YULQ705-0R-10</v>
          </cell>
          <cell r="B256" t="str">
            <v>DO-YULQ705</v>
          </cell>
        </row>
        <row r="257">
          <cell r="A257" t="str">
            <v>DO-YULQ705-BR-10</v>
          </cell>
          <cell r="B257" t="str">
            <v>DO-YULQ705</v>
          </cell>
        </row>
        <row r="258">
          <cell r="A258" t="str">
            <v>DO-YULQ705-BR-11</v>
          </cell>
          <cell r="B258" t="str">
            <v>DO-YULQ705</v>
          </cell>
        </row>
        <row r="259">
          <cell r="A259" t="str">
            <v>DO-YULQ705-GR-11</v>
          </cell>
          <cell r="B259" t="str">
            <v>DO-YULQ705</v>
          </cell>
        </row>
        <row r="260">
          <cell r="A260" t="str">
            <v>DO-YULQ705-W0-22</v>
          </cell>
          <cell r="B260" t="str">
            <v>DO-YULQ705</v>
          </cell>
        </row>
        <row r="261">
          <cell r="A261" t="str">
            <v>DO-YULQ706-R0-24</v>
          </cell>
          <cell r="B261" t="str">
            <v>DO-YULQ706</v>
          </cell>
        </row>
        <row r="262">
          <cell r="A262" t="str">
            <v>DO-YULQ707-PI-24</v>
          </cell>
          <cell r="B262" t="str">
            <v>DO-YULQ707</v>
          </cell>
        </row>
        <row r="263">
          <cell r="A263" t="str">
            <v>DO-YULQ708-W0-24</v>
          </cell>
          <cell r="B263" t="str">
            <v>DO-YULQ708</v>
          </cell>
        </row>
        <row r="264">
          <cell r="A264" t="str">
            <v>DO-YULQ712-W0-22</v>
          </cell>
          <cell r="B264" t="str">
            <v>DO-YULQ712</v>
          </cell>
        </row>
        <row r="265">
          <cell r="A265" t="str">
            <v>DO-YULQ718-WA-16</v>
          </cell>
          <cell r="B265" t="str">
            <v>DO-YULQ718</v>
          </cell>
        </row>
        <row r="266">
          <cell r="A266" t="str">
            <v>DO-YULQ719-B7-16</v>
          </cell>
          <cell r="B266" t="str">
            <v>DO-YULQ719</v>
          </cell>
        </row>
        <row r="267">
          <cell r="A267" t="str">
            <v>DO-YULQ720-W0-16</v>
          </cell>
          <cell r="B267" t="str">
            <v>DO-YULQ720</v>
          </cell>
        </row>
        <row r="268">
          <cell r="A268" t="str">
            <v>DO-YULQ721-PI-16</v>
          </cell>
          <cell r="B268" t="str">
            <v>DO-YULQ721</v>
          </cell>
        </row>
        <row r="269">
          <cell r="A269" t="str">
            <v>DO-YULQ811-W0-18</v>
          </cell>
          <cell r="B269" t="str">
            <v>DO-YULQ811</v>
          </cell>
        </row>
        <row r="270">
          <cell r="A270" t="str">
            <v>DO-YULQ812-W0-18</v>
          </cell>
          <cell r="B270" t="str">
            <v>DO-YULQ812</v>
          </cell>
        </row>
        <row r="271">
          <cell r="A271" t="str">
            <v>DO-YULQ904-B7-22</v>
          </cell>
          <cell r="B271" t="str">
            <v>DO-YULQ904</v>
          </cell>
        </row>
        <row r="272">
          <cell r="A272" t="str">
            <v>DO-YULQ905-B7-22</v>
          </cell>
          <cell r="B272" t="str">
            <v>DO-YULQ905</v>
          </cell>
        </row>
        <row r="273">
          <cell r="A273" t="str">
            <v>DO-YULQ985-B7-20</v>
          </cell>
          <cell r="B273" t="str">
            <v>DO-YULQ905</v>
          </cell>
        </row>
        <row r="274">
          <cell r="A274" t="str">
            <v>HF-FL1</v>
          </cell>
          <cell r="B274" t="str">
            <v>HF-FL1</v>
          </cell>
        </row>
        <row r="275">
          <cell r="A275" t="str">
            <v>JFB-FLQ55-PI-17</v>
          </cell>
          <cell r="B275" t="str">
            <v>JFB-FLQ55</v>
          </cell>
        </row>
        <row r="276">
          <cell r="A276" t="str">
            <v>LYQ-1001-B0-2XL</v>
          </cell>
          <cell r="B276" t="str">
            <v>LYQ-1001</v>
          </cell>
        </row>
        <row r="277">
          <cell r="A277" t="str">
            <v>LYQ-1001-B0-L</v>
          </cell>
          <cell r="B277" t="str">
            <v>LYQ-1001</v>
          </cell>
        </row>
        <row r="278">
          <cell r="A278" t="str">
            <v>LYQ-1001-B0-M</v>
          </cell>
          <cell r="B278" t="str">
            <v>LYQ-1001</v>
          </cell>
        </row>
        <row r="279">
          <cell r="A279" t="str">
            <v>LYQ-1001-B0-XL</v>
          </cell>
          <cell r="B279" t="str">
            <v>LYQ-1001</v>
          </cell>
        </row>
        <row r="280">
          <cell r="A280" t="str">
            <v>LYQ-1001-B0-XS</v>
          </cell>
          <cell r="B280" t="str">
            <v>LYQ-1001</v>
          </cell>
        </row>
        <row r="281">
          <cell r="A281" t="str">
            <v>LYQ-1001-G0-2XL</v>
          </cell>
          <cell r="B281" t="str">
            <v>LYQ-1001</v>
          </cell>
        </row>
        <row r="282">
          <cell r="A282" t="str">
            <v>LYQ-1001-G0-M</v>
          </cell>
          <cell r="B282" t="str">
            <v>LYQ-1001</v>
          </cell>
        </row>
        <row r="283">
          <cell r="A283" t="str">
            <v>LYQ-1001-G0-S</v>
          </cell>
          <cell r="B283" t="str">
            <v>LYQ-1001</v>
          </cell>
        </row>
        <row r="284">
          <cell r="A284" t="str">
            <v>LYQ-1001-G0-XS</v>
          </cell>
          <cell r="B284" t="str">
            <v>LYQ-1001</v>
          </cell>
        </row>
        <row r="285">
          <cell r="A285" t="str">
            <v>LYQ-1001-G7-2XL</v>
          </cell>
          <cell r="B285" t="str">
            <v>LYQ-1001</v>
          </cell>
        </row>
        <row r="286">
          <cell r="A286" t="str">
            <v>LYQ-1001-G7-M</v>
          </cell>
          <cell r="B286" t="str">
            <v>LYQ-1001</v>
          </cell>
        </row>
        <row r="287">
          <cell r="A287" t="str">
            <v>LYQ-1001-G7-S</v>
          </cell>
          <cell r="B287" t="str">
            <v>LYQ-1001</v>
          </cell>
        </row>
        <row r="288">
          <cell r="A288" t="str">
            <v>LYQ-1001-G7-XL</v>
          </cell>
          <cell r="B288" t="str">
            <v>LYQ-1001</v>
          </cell>
        </row>
        <row r="289">
          <cell r="A289" t="str">
            <v>LYQ-1001-G7-XS</v>
          </cell>
          <cell r="B289" t="str">
            <v>LYQ-1001</v>
          </cell>
        </row>
        <row r="290">
          <cell r="A290" t="str">
            <v>LYQ-1001-K0-L</v>
          </cell>
          <cell r="B290" t="str">
            <v>LYQ-1001</v>
          </cell>
        </row>
        <row r="291">
          <cell r="A291" t="str">
            <v>LYQ-1001-K0-M</v>
          </cell>
          <cell r="B291" t="str">
            <v>LYQ-1001</v>
          </cell>
        </row>
        <row r="292">
          <cell r="A292" t="str">
            <v>LYQ-1001-K0-S</v>
          </cell>
          <cell r="B292" t="str">
            <v>LYQ-1001</v>
          </cell>
        </row>
        <row r="293">
          <cell r="A293" t="str">
            <v>LYQ-1001-K0-XL</v>
          </cell>
          <cell r="B293" t="str">
            <v>LYQ-1001</v>
          </cell>
        </row>
        <row r="294">
          <cell r="A294" t="str">
            <v>LYQ-1001-N0-2XL</v>
          </cell>
          <cell r="B294" t="str">
            <v>LYQ-1001</v>
          </cell>
        </row>
        <row r="295">
          <cell r="A295" t="str">
            <v>LYQ-1001-N0-L</v>
          </cell>
          <cell r="B295" t="str">
            <v>LYQ-1001</v>
          </cell>
        </row>
        <row r="296">
          <cell r="A296" t="str">
            <v>LYQ-1001-N0-S</v>
          </cell>
          <cell r="B296" t="str">
            <v>LYQ-1001</v>
          </cell>
        </row>
        <row r="297">
          <cell r="A297" t="str">
            <v>LYQ-1001-N0-XL</v>
          </cell>
          <cell r="B297" t="str">
            <v>LYQ-1001</v>
          </cell>
        </row>
        <row r="298">
          <cell r="A298" t="str">
            <v>LYQ-1001-N0-XS</v>
          </cell>
          <cell r="B298" t="str">
            <v>LYQ-1001</v>
          </cell>
        </row>
        <row r="299">
          <cell r="A299" t="str">
            <v>LYQ-1001New-P0-2XL</v>
          </cell>
          <cell r="B299" t="str">
            <v>LYQ-1001</v>
          </cell>
        </row>
        <row r="300">
          <cell r="A300" t="str">
            <v>LYQ-1001New-P0-L</v>
          </cell>
          <cell r="B300" t="str">
            <v>LYQ-1001</v>
          </cell>
        </row>
        <row r="301">
          <cell r="A301" t="str">
            <v>LYQ-1001New-P0-M</v>
          </cell>
          <cell r="B301" t="str">
            <v>LYQ-1001</v>
          </cell>
        </row>
        <row r="302">
          <cell r="A302" t="str">
            <v>LYQ-1001New-P0-S</v>
          </cell>
          <cell r="B302" t="str">
            <v>LYQ-1001</v>
          </cell>
        </row>
        <row r="303">
          <cell r="A303" t="str">
            <v>LYQ-1001New-P0-XL</v>
          </cell>
          <cell r="B303" t="str">
            <v>LYQ-1001</v>
          </cell>
        </row>
        <row r="304">
          <cell r="A304" t="str">
            <v>LYQ-1001New-P0-XS</v>
          </cell>
          <cell r="B304" t="str">
            <v>LYQ-1001</v>
          </cell>
        </row>
        <row r="305">
          <cell r="A305" t="str">
            <v>LYQ-1001-P0-2XL</v>
          </cell>
          <cell r="B305" t="str">
            <v>LYQ-1001</v>
          </cell>
        </row>
        <row r="306">
          <cell r="A306" t="str">
            <v>LYQ-1001-P0-L</v>
          </cell>
          <cell r="B306" t="str">
            <v>LYQ-1001</v>
          </cell>
        </row>
        <row r="307">
          <cell r="A307" t="str">
            <v>LYQ-1001-P0-M</v>
          </cell>
          <cell r="B307" t="str">
            <v>LYQ-1001</v>
          </cell>
        </row>
        <row r="308">
          <cell r="A308" t="str">
            <v>LYQ-1001-P0-S</v>
          </cell>
          <cell r="B308" t="str">
            <v>LYQ-1001</v>
          </cell>
        </row>
        <row r="309">
          <cell r="A309" t="str">
            <v>LYQ-1001-P0-XL</v>
          </cell>
          <cell r="B309" t="str">
            <v>LYQ-1001</v>
          </cell>
        </row>
        <row r="310">
          <cell r="A310" t="str">
            <v>LYQ-1001-P0-XS</v>
          </cell>
          <cell r="B310" t="str">
            <v>LYQ-1001</v>
          </cell>
        </row>
        <row r="311">
          <cell r="A311" t="str">
            <v>LYQ-1001-R0-2XL</v>
          </cell>
          <cell r="B311" t="str">
            <v>LYQ-1001</v>
          </cell>
        </row>
        <row r="312">
          <cell r="A312" t="str">
            <v>LYQ-1001-R0-L</v>
          </cell>
          <cell r="B312" t="str">
            <v>LYQ-1001</v>
          </cell>
        </row>
        <row r="313">
          <cell r="A313" t="str">
            <v>LYQ-1001-R0-M</v>
          </cell>
          <cell r="B313" t="str">
            <v>LYQ-1001</v>
          </cell>
        </row>
        <row r="314">
          <cell r="A314" t="str">
            <v>LYQ-1001-R0-S</v>
          </cell>
          <cell r="B314" t="str">
            <v>LYQ-1001</v>
          </cell>
        </row>
        <row r="315">
          <cell r="A315" t="str">
            <v>LYQ-1001-R0-XL</v>
          </cell>
          <cell r="B315" t="str">
            <v>LYQ-1001</v>
          </cell>
        </row>
        <row r="316">
          <cell r="A316" t="str">
            <v>LYQ-1001-R0-XS</v>
          </cell>
          <cell r="B316" t="str">
            <v>LYQ-1001</v>
          </cell>
        </row>
        <row r="317">
          <cell r="A317" t="str">
            <v>LYQ-1001-W0-2XL</v>
          </cell>
          <cell r="B317" t="str">
            <v>LYQ-1001</v>
          </cell>
        </row>
        <row r="318">
          <cell r="A318" t="str">
            <v>LYQ-1001-W0-L</v>
          </cell>
          <cell r="B318" t="str">
            <v>LYQ-1001</v>
          </cell>
        </row>
        <row r="319">
          <cell r="A319" t="str">
            <v>LYQ-1001-W0-M</v>
          </cell>
          <cell r="B319" t="str">
            <v>LYQ-1001</v>
          </cell>
        </row>
        <row r="320">
          <cell r="A320" t="str">
            <v>LYQ-1001-W0-XL</v>
          </cell>
          <cell r="B320" t="str">
            <v>LYQ-1001</v>
          </cell>
        </row>
        <row r="321">
          <cell r="A321" t="str">
            <v>LYQ-1001-W0-XS</v>
          </cell>
          <cell r="B321" t="str">
            <v>LYQ-1001</v>
          </cell>
        </row>
        <row r="322">
          <cell r="A322" t="str">
            <v>LYQ-1001-Z0-2XL</v>
          </cell>
          <cell r="B322" t="str">
            <v>LYQ-1001</v>
          </cell>
        </row>
        <row r="323">
          <cell r="A323" t="str">
            <v>LYQ-1001-Z0-L</v>
          </cell>
          <cell r="B323" t="str">
            <v>LYQ-1001</v>
          </cell>
        </row>
        <row r="324">
          <cell r="A324" t="str">
            <v>LYQ-1001-Z0-M</v>
          </cell>
          <cell r="B324" t="str">
            <v>LYQ-1001</v>
          </cell>
        </row>
        <row r="325">
          <cell r="A325" t="str">
            <v>LYQ-1001-Z0-S</v>
          </cell>
          <cell r="B325" t="str">
            <v>LYQ-1001</v>
          </cell>
        </row>
        <row r="326">
          <cell r="A326" t="str">
            <v>LYQ-1001-Z0-XL</v>
          </cell>
          <cell r="B326" t="str">
            <v>LYQ-1001</v>
          </cell>
        </row>
        <row r="327">
          <cell r="A327" t="str">
            <v>LYQ-1001-Z0-XS</v>
          </cell>
          <cell r="B327" t="str">
            <v>LYQ-1001</v>
          </cell>
        </row>
        <row r="328">
          <cell r="A328" t="str">
            <v>LYQ-CL0045-K0-L</v>
          </cell>
          <cell r="B328" t="str">
            <v>LYQ-CL0045</v>
          </cell>
        </row>
        <row r="329">
          <cell r="A329" t="str">
            <v>LYQ-CL0045-K0-S</v>
          </cell>
          <cell r="B329" t="str">
            <v>LYQ-CL0045</v>
          </cell>
        </row>
        <row r="330">
          <cell r="A330" t="str">
            <v>LYQ-CL0045-K0-XL</v>
          </cell>
          <cell r="B330" t="str">
            <v>LYQ-CL0045</v>
          </cell>
        </row>
        <row r="331">
          <cell r="A331" t="str">
            <v>LYQ-CL0045-Y0-L</v>
          </cell>
          <cell r="B331" t="str">
            <v>LYQ-CL0045</v>
          </cell>
        </row>
        <row r="332">
          <cell r="A332" t="str">
            <v>LYQ-CL0045-Y0-M</v>
          </cell>
          <cell r="B332" t="str">
            <v>LYQ-CL0045</v>
          </cell>
        </row>
        <row r="333">
          <cell r="A333" t="str">
            <v>LYQ-CL0045-Y0-S</v>
          </cell>
          <cell r="B333" t="str">
            <v>LYQ-CL0045</v>
          </cell>
        </row>
        <row r="334">
          <cell r="A334" t="str">
            <v>LYQ-CL0045-Y0-XL</v>
          </cell>
          <cell r="B334" t="str">
            <v>LYQ-CL0045</v>
          </cell>
        </row>
        <row r="335">
          <cell r="A335" t="str">
            <v>LYQ-CL61652-R6-M</v>
          </cell>
          <cell r="B335" t="str">
            <v>LYQ-CL61652</v>
          </cell>
        </row>
        <row r="336">
          <cell r="A336" t="str">
            <v>LYQ-CL6287-B0-L</v>
          </cell>
          <cell r="B336" t="str">
            <v>LYQ-CL6287</v>
          </cell>
        </row>
        <row r="337">
          <cell r="A337" t="str">
            <v>LYQ-CL6287-FB-L</v>
          </cell>
          <cell r="B337" t="str">
            <v>LYQ-CL6287</v>
          </cell>
        </row>
        <row r="338">
          <cell r="A338" t="str">
            <v>LYQ-CL6287-G7-L</v>
          </cell>
          <cell r="B338" t="str">
            <v>LYQ-CL6287</v>
          </cell>
        </row>
        <row r="339">
          <cell r="A339" t="str">
            <v>LYQ-CL6287-G7-M</v>
          </cell>
          <cell r="B339" t="str">
            <v>LYQ-CL6287</v>
          </cell>
        </row>
        <row r="340">
          <cell r="A340" t="str">
            <v>LYQ-CL6287-K0-L</v>
          </cell>
          <cell r="B340" t="str">
            <v>LYQ-CL6287</v>
          </cell>
        </row>
        <row r="341">
          <cell r="A341" t="str">
            <v>LYQ-CL6287-K0-M</v>
          </cell>
          <cell r="B341" t="str">
            <v>LYQ-CL6287</v>
          </cell>
        </row>
        <row r="342">
          <cell r="A342" t="str">
            <v>LYQ-CL6408NO-G0-L</v>
          </cell>
          <cell r="B342" t="str">
            <v>LYQ-CL6408NO</v>
          </cell>
        </row>
        <row r="343">
          <cell r="A343" t="str">
            <v>LYQ-CL6408NO-K0-L</v>
          </cell>
          <cell r="B343" t="str">
            <v>LYQ-CL6408NO</v>
          </cell>
        </row>
        <row r="344">
          <cell r="A344" t="str">
            <v>LYQ-CL6408SL-G0XL</v>
          </cell>
          <cell r="B344" t="str">
            <v>LYQ-CL6408SL</v>
          </cell>
        </row>
        <row r="345">
          <cell r="A345" t="str">
            <v>LYQ-CL6408SL-K0XL</v>
          </cell>
          <cell r="B345" t="str">
            <v>LYQ-CL6408SL</v>
          </cell>
        </row>
        <row r="346">
          <cell r="A346" t="str">
            <v>LYQ-CLBAH002-L</v>
          </cell>
          <cell r="B346" t="str">
            <v>LYQ-CLBAH002</v>
          </cell>
        </row>
        <row r="347">
          <cell r="A347" t="str">
            <v>LYQ-CLBAH002-M</v>
          </cell>
          <cell r="B347" t="str">
            <v>LYQ-CLBAH002</v>
          </cell>
        </row>
        <row r="348">
          <cell r="A348" t="str">
            <v>LYQ-CLBAH002-S</v>
          </cell>
          <cell r="B348" t="str">
            <v>LYQ-CLBAH002</v>
          </cell>
        </row>
        <row r="349">
          <cell r="A349" t="str">
            <v>LYQ-CLBAH002-XL</v>
          </cell>
          <cell r="B349" t="str">
            <v>LYQ-CLBAH002</v>
          </cell>
        </row>
        <row r="350">
          <cell r="A350" t="str">
            <v>LYQ-CSM048-G0-L</v>
          </cell>
          <cell r="B350" t="str">
            <v>LYQ-CSM048</v>
          </cell>
        </row>
        <row r="351">
          <cell r="A351" t="str">
            <v>LYQ-CSM048-G0-S</v>
          </cell>
          <cell r="B351" t="str">
            <v>LYQ-CSM048</v>
          </cell>
        </row>
        <row r="352">
          <cell r="A352" t="str">
            <v>LYQ-CSM048-GR0-M</v>
          </cell>
          <cell r="B352" t="str">
            <v>LYQ-CSM048</v>
          </cell>
        </row>
        <row r="353">
          <cell r="A353" t="str">
            <v>LYQ-CSM048-GR1-L</v>
          </cell>
          <cell r="B353" t="str">
            <v>LYQ-CSM048</v>
          </cell>
        </row>
        <row r="354">
          <cell r="A354" t="str">
            <v>LYQ-CSM048-GR1-XL</v>
          </cell>
          <cell r="B354" t="str">
            <v>LYQ-CSM048</v>
          </cell>
        </row>
        <row r="355">
          <cell r="A355" t="str">
            <v>LYQ-CSM048-K0-S</v>
          </cell>
          <cell r="B355" t="str">
            <v>LYQ-CSM048</v>
          </cell>
        </row>
        <row r="356">
          <cell r="A356" t="str">
            <v>LYQ-CSM048-ZL-L</v>
          </cell>
          <cell r="B356" t="str">
            <v>LYQ-CSM048</v>
          </cell>
        </row>
        <row r="357">
          <cell r="A357" t="str">
            <v>LYQ-CSM048-ZL-XL</v>
          </cell>
          <cell r="B357" t="str">
            <v>LYQ-CSM048</v>
          </cell>
        </row>
        <row r="358">
          <cell r="A358" t="str">
            <v>LYQ-HM0505-W0-3XL</v>
          </cell>
          <cell r="B358" t="str">
            <v>LYQ-HM0505</v>
          </cell>
        </row>
        <row r="359">
          <cell r="A359" t="str">
            <v>LYQ-HM1205-BR-L</v>
          </cell>
          <cell r="B359" t="str">
            <v>LYQ-HM1205</v>
          </cell>
        </row>
        <row r="360">
          <cell r="A360" t="str">
            <v>LYQ-HM1205-BR-M</v>
          </cell>
          <cell r="B360" t="str">
            <v>LYQ-HM1205</v>
          </cell>
        </row>
        <row r="361">
          <cell r="A361" t="str">
            <v>LYQ-HM1205-BR-S</v>
          </cell>
          <cell r="B361" t="str">
            <v>LYQ-HM1205</v>
          </cell>
        </row>
        <row r="362">
          <cell r="A362" t="str">
            <v>LYQ-HM1205-BR-XL</v>
          </cell>
          <cell r="B362" t="str">
            <v>LYQ-HM1205</v>
          </cell>
        </row>
        <row r="363">
          <cell r="A363" t="str">
            <v>LYQ-HM1205-K0-S</v>
          </cell>
          <cell r="B363" t="str">
            <v>LYQ-HM1205</v>
          </cell>
        </row>
        <row r="364">
          <cell r="A364" t="str">
            <v>LYQ-HM1205-KH-L</v>
          </cell>
          <cell r="B364" t="str">
            <v>LYQ-HM1205</v>
          </cell>
        </row>
        <row r="365">
          <cell r="A365" t="str">
            <v>LYQ-HM1205-KH-M</v>
          </cell>
          <cell r="B365" t="str">
            <v>LYQ-HM1205</v>
          </cell>
        </row>
        <row r="366">
          <cell r="A366" t="str">
            <v>LYQ-HM1205-KH-S</v>
          </cell>
          <cell r="B366" t="str">
            <v>LYQ-HM1205</v>
          </cell>
        </row>
        <row r="367">
          <cell r="A367" t="str">
            <v>LYQ-HM1205-KH-XL</v>
          </cell>
          <cell r="B367" t="str">
            <v>LYQ-HM1205</v>
          </cell>
        </row>
        <row r="368">
          <cell r="A368" t="str">
            <v>LYQ-HM1205-OR-L</v>
          </cell>
          <cell r="B368" t="str">
            <v>LYQ-HM1205</v>
          </cell>
        </row>
        <row r="369">
          <cell r="A369" t="str">
            <v>LYQ-HM1205-OR-M</v>
          </cell>
          <cell r="B369" t="str">
            <v>LYQ-HM1205</v>
          </cell>
        </row>
        <row r="370">
          <cell r="A370" t="str">
            <v>LYQ-HM1205-OR-S</v>
          </cell>
          <cell r="B370" t="str">
            <v>LYQ-HM1205</v>
          </cell>
        </row>
        <row r="371">
          <cell r="A371" t="str">
            <v>LYQ-HM1205-W0-L</v>
          </cell>
          <cell r="B371" t="str">
            <v>LYQ-HM1205</v>
          </cell>
        </row>
        <row r="372">
          <cell r="A372" t="str">
            <v>LYQ-HM1205-W0-M</v>
          </cell>
          <cell r="B372" t="str">
            <v>LYQ-HM1205</v>
          </cell>
        </row>
        <row r="373">
          <cell r="A373" t="str">
            <v>LYQ-HM1205-W0-S</v>
          </cell>
          <cell r="B373" t="str">
            <v>LYQ-HM1205</v>
          </cell>
        </row>
        <row r="374">
          <cell r="A374" t="str">
            <v>LYQ-HM1205-W0-XL</v>
          </cell>
          <cell r="B374" t="str">
            <v>LYQ-HM1205</v>
          </cell>
        </row>
        <row r="375">
          <cell r="A375" t="str">
            <v>LYQ-HMQZZ-MOM-2XL</v>
          </cell>
          <cell r="B375" t="str">
            <v>LYQ-HMQZZ</v>
          </cell>
        </row>
        <row r="376">
          <cell r="A376" t="str">
            <v>LYQ-HMQZZ-MOM-S</v>
          </cell>
          <cell r="B376" t="str">
            <v>LYQ-HMQZZ</v>
          </cell>
        </row>
        <row r="377">
          <cell r="A377" t="str">
            <v>LYQ-LY064-B0-3XL</v>
          </cell>
          <cell r="B377" t="str">
            <v>LYQ-LY064</v>
          </cell>
        </row>
        <row r="378">
          <cell r="A378" t="str">
            <v>LYQ-LY064-B0-4XL</v>
          </cell>
          <cell r="B378" t="str">
            <v>LYQ-LY064</v>
          </cell>
        </row>
        <row r="379">
          <cell r="A379" t="str">
            <v>LYQ-LY064-B0-L</v>
          </cell>
          <cell r="B379" t="str">
            <v>LYQ-LY064</v>
          </cell>
        </row>
        <row r="380">
          <cell r="A380" t="str">
            <v>LYQ-LY064-G0-3XL</v>
          </cell>
          <cell r="B380" t="str">
            <v>LYQ-LY064</v>
          </cell>
        </row>
        <row r="381">
          <cell r="A381" t="str">
            <v>LYQ-LY064-G0-4XL</v>
          </cell>
          <cell r="B381" t="str">
            <v>LYQ-LY064</v>
          </cell>
        </row>
        <row r="382">
          <cell r="A382" t="str">
            <v>LYQ-LY064-G0-L</v>
          </cell>
          <cell r="B382" t="str">
            <v>LYQ-LY064</v>
          </cell>
        </row>
        <row r="383">
          <cell r="A383" t="str">
            <v>LYQ-LY064-G0-M</v>
          </cell>
          <cell r="B383" t="str">
            <v>LYQ-LY064</v>
          </cell>
        </row>
        <row r="384">
          <cell r="A384" t="str">
            <v>LYQ-LY064-K0-2XL</v>
          </cell>
          <cell r="B384" t="str">
            <v>LYQ-LY064</v>
          </cell>
        </row>
        <row r="385">
          <cell r="A385" t="str">
            <v>LYQ-LY064-K0-3XL</v>
          </cell>
          <cell r="B385" t="str">
            <v>LYQ-LY064</v>
          </cell>
        </row>
        <row r="386">
          <cell r="A386" t="str">
            <v>LYQ-LY064-K0-4XL</v>
          </cell>
          <cell r="B386" t="str">
            <v>LYQ-LY064</v>
          </cell>
        </row>
        <row r="387">
          <cell r="A387" t="str">
            <v>LYQ-LY064-K0-M</v>
          </cell>
          <cell r="B387" t="str">
            <v>LYQ-LY064</v>
          </cell>
        </row>
        <row r="388">
          <cell r="A388" t="str">
            <v>LYQ-LY064-K0-S</v>
          </cell>
          <cell r="B388" t="str">
            <v>LYQ-LY064</v>
          </cell>
        </row>
        <row r="389">
          <cell r="A389" t="str">
            <v>LYQ-LY064-OR-4XL</v>
          </cell>
          <cell r="B389" t="str">
            <v>LYQ-LY064</v>
          </cell>
        </row>
        <row r="390">
          <cell r="A390" t="str">
            <v>LYQ-LY064-OR-M</v>
          </cell>
          <cell r="B390" t="str">
            <v>LYQ-LY064</v>
          </cell>
        </row>
        <row r="391">
          <cell r="A391" t="str">
            <v>LYQ-WH885-ZL-L</v>
          </cell>
          <cell r="B391" t="str">
            <v>LYQ-WH885</v>
          </cell>
        </row>
        <row r="392">
          <cell r="A392" t="str">
            <v>LYQ-ZQ1052-R0-XL</v>
          </cell>
          <cell r="B392" t="str">
            <v>LYQ-ZQ1052</v>
          </cell>
        </row>
        <row r="393">
          <cell r="A393" t="str">
            <v>LYQ-ZQ1117-B0-2XL</v>
          </cell>
          <cell r="B393" t="str">
            <v>LYQ-ZQ1117</v>
          </cell>
        </row>
        <row r="394">
          <cell r="A394" t="str">
            <v>LYQ-ZQ1117-B0-L</v>
          </cell>
          <cell r="B394" t="str">
            <v>LYQ-ZQ1117</v>
          </cell>
        </row>
        <row r="395">
          <cell r="A395" t="str">
            <v>LYQ-ZQ1117-B0-M</v>
          </cell>
          <cell r="B395" t="str">
            <v>LYQ-ZQ1117</v>
          </cell>
        </row>
        <row r="396">
          <cell r="A396" t="str">
            <v>LYQ-ZQ1117-B0-S</v>
          </cell>
          <cell r="B396" t="str">
            <v>LYQ-ZQ1117</v>
          </cell>
        </row>
        <row r="397">
          <cell r="A397" t="str">
            <v>LYQ-ZQ1117-B0-XL</v>
          </cell>
          <cell r="B397" t="str">
            <v>LYQ-ZQ1117</v>
          </cell>
        </row>
        <row r="398">
          <cell r="A398" t="str">
            <v>LYQ-ZQ1117-BD-2XL</v>
          </cell>
          <cell r="B398" t="str">
            <v>LYQ-ZQ1117</v>
          </cell>
        </row>
        <row r="399">
          <cell r="A399" t="str">
            <v>LYQ-ZQ1117-BD-L</v>
          </cell>
          <cell r="B399" t="str">
            <v>LYQ-ZQ1117</v>
          </cell>
        </row>
        <row r="400">
          <cell r="A400" t="str">
            <v>LYQ-ZQ1117-BD-M</v>
          </cell>
          <cell r="B400" t="str">
            <v>LYQ-ZQ1117</v>
          </cell>
        </row>
        <row r="401">
          <cell r="A401" t="str">
            <v>LYQ-ZQ1117-BD-S</v>
          </cell>
          <cell r="B401" t="str">
            <v>LYQ-ZQ1117</v>
          </cell>
        </row>
        <row r="402">
          <cell r="A402" t="str">
            <v>LYQ-ZQ1117-BD-XL</v>
          </cell>
          <cell r="B402" t="str">
            <v>LYQ-ZQ1117</v>
          </cell>
        </row>
        <row r="403">
          <cell r="A403" t="str">
            <v>LYQ-ZQ1117-C0-2XL</v>
          </cell>
          <cell r="B403" t="str">
            <v>LYQ-ZQ1117</v>
          </cell>
        </row>
        <row r="404">
          <cell r="A404" t="str">
            <v>LYQ-ZQ1117-C0-L</v>
          </cell>
          <cell r="B404" t="str">
            <v>LYQ-ZQ1117</v>
          </cell>
        </row>
        <row r="405">
          <cell r="A405" t="str">
            <v>LYQ-ZQ1117-C0-M</v>
          </cell>
          <cell r="B405" t="str">
            <v>LYQ-ZQ1117</v>
          </cell>
        </row>
        <row r="406">
          <cell r="A406" t="str">
            <v>LYQ-ZQ1117-C0-S</v>
          </cell>
          <cell r="B406" t="str">
            <v>LYQ-ZQ1117</v>
          </cell>
        </row>
        <row r="407">
          <cell r="A407" t="str">
            <v>LYQ-ZQ1117-C0-XL</v>
          </cell>
          <cell r="B407" t="str">
            <v>LYQ-ZQ1117</v>
          </cell>
        </row>
        <row r="408">
          <cell r="A408" t="str">
            <v>LYQ-ZQ1117-E0-2XL</v>
          </cell>
          <cell r="B408" t="str">
            <v>LYQ-ZQ1117</v>
          </cell>
        </row>
        <row r="409">
          <cell r="A409" t="str">
            <v>LYQ-ZQ1117-E0-L</v>
          </cell>
          <cell r="B409" t="str">
            <v>LYQ-ZQ1117</v>
          </cell>
        </row>
        <row r="410">
          <cell r="A410" t="str">
            <v>LYQ-ZQ1117-E0-M</v>
          </cell>
          <cell r="B410" t="str">
            <v>LYQ-ZQ1117</v>
          </cell>
        </row>
        <row r="411">
          <cell r="A411" t="str">
            <v>LYQ-ZQ1117-E0-S</v>
          </cell>
          <cell r="B411" t="str">
            <v>LYQ-ZQ1117</v>
          </cell>
        </row>
        <row r="412">
          <cell r="A412" t="str">
            <v>LYQ-ZQ1117-E0-XL</v>
          </cell>
          <cell r="B412" t="str">
            <v>LYQ-ZQ1117</v>
          </cell>
        </row>
        <row r="413">
          <cell r="A413" t="str">
            <v>LYQ-ZQ1117-G7-2XL</v>
          </cell>
          <cell r="B413" t="str">
            <v>LYQ-ZQ1117</v>
          </cell>
        </row>
        <row r="414">
          <cell r="A414" t="str">
            <v>LYQ-ZQ1117-G7-L</v>
          </cell>
          <cell r="B414" t="str">
            <v>LYQ-ZQ1117</v>
          </cell>
        </row>
        <row r="415">
          <cell r="A415" t="str">
            <v>LYQ-ZQ1117-G7-M</v>
          </cell>
          <cell r="B415" t="str">
            <v>LYQ-ZQ1117</v>
          </cell>
        </row>
        <row r="416">
          <cell r="A416" t="str">
            <v>LYQ-ZQ1117-G7-S</v>
          </cell>
          <cell r="B416" t="str">
            <v>LYQ-ZQ1117</v>
          </cell>
        </row>
        <row r="417">
          <cell r="A417" t="str">
            <v>LYQ-ZQ1117-G7-XL</v>
          </cell>
          <cell r="B417" t="str">
            <v>LYQ-ZQ1117</v>
          </cell>
        </row>
        <row r="418">
          <cell r="A418" t="str">
            <v>LYQ-ZQ1117-K0-2XL</v>
          </cell>
          <cell r="B418" t="str">
            <v>LYQ-ZQ1117</v>
          </cell>
        </row>
        <row r="419">
          <cell r="A419" t="str">
            <v>LYQ-ZQ1117-K0-L</v>
          </cell>
          <cell r="B419" t="str">
            <v>LYQ-ZQ1117</v>
          </cell>
        </row>
        <row r="420">
          <cell r="A420" t="str">
            <v>LYQ-ZQ1117-K0-M</v>
          </cell>
          <cell r="B420" t="str">
            <v>LYQ-ZQ1117</v>
          </cell>
        </row>
        <row r="421">
          <cell r="A421" t="str">
            <v>LYQ-ZQ1117-K0-S</v>
          </cell>
          <cell r="B421" t="str">
            <v>LYQ-ZQ1117</v>
          </cell>
        </row>
        <row r="422">
          <cell r="A422" t="str">
            <v>LYQ-ZQ1117-K0-XL</v>
          </cell>
          <cell r="B422" t="str">
            <v>LYQ-ZQ1117</v>
          </cell>
        </row>
        <row r="423">
          <cell r="A423" t="str">
            <v>LYQ-ZQ1117-KQ-2XL</v>
          </cell>
          <cell r="B423" t="str">
            <v>LYQ-ZQ1117</v>
          </cell>
        </row>
        <row r="424">
          <cell r="A424" t="str">
            <v>LYQ-ZQ1117-KQ-L</v>
          </cell>
          <cell r="B424" t="str">
            <v>LYQ-ZQ1117</v>
          </cell>
        </row>
        <row r="425">
          <cell r="A425" t="str">
            <v>LYQ-ZQ1117-KQ-M</v>
          </cell>
          <cell r="B425" t="str">
            <v>LYQ-ZQ1117</v>
          </cell>
        </row>
        <row r="426">
          <cell r="A426" t="str">
            <v>LYQ-ZQ1117-KQ-S</v>
          </cell>
          <cell r="B426" t="str">
            <v>LYQ-ZQ1117</v>
          </cell>
        </row>
        <row r="427">
          <cell r="A427" t="str">
            <v>LYQ-ZQ1117-KQ-XL</v>
          </cell>
          <cell r="B427" t="str">
            <v>LYQ-ZQ1117</v>
          </cell>
        </row>
        <row r="428">
          <cell r="A428" t="str">
            <v>LYQ-ZQ1428-R0-M</v>
          </cell>
          <cell r="B428" t="str">
            <v>LYQ-ZQ1428</v>
          </cell>
        </row>
        <row r="429">
          <cell r="A429" t="str">
            <v>LYQ-ZQ1428-Y0-S</v>
          </cell>
          <cell r="B429" t="str">
            <v>LYQ-ZQ1428</v>
          </cell>
        </row>
        <row r="430">
          <cell r="A430" t="str">
            <v>LYQ-ZQ1669-B0-L</v>
          </cell>
          <cell r="B430" t="str">
            <v>LYQ-ZQ1669</v>
          </cell>
        </row>
        <row r="431">
          <cell r="A431" t="str">
            <v>LYQ-ZQ1669-B0-M</v>
          </cell>
          <cell r="B431" t="str">
            <v>LYQ-ZQ1669</v>
          </cell>
        </row>
        <row r="432">
          <cell r="A432" t="str">
            <v>LYQ-ZQ1669-B0-S</v>
          </cell>
          <cell r="B432" t="str">
            <v>LYQ-ZQ1669</v>
          </cell>
        </row>
        <row r="433">
          <cell r="A433" t="str">
            <v>LYQ-ZQ1669-B0-XL</v>
          </cell>
          <cell r="B433" t="str">
            <v>LYQ-ZQ1669</v>
          </cell>
        </row>
        <row r="434">
          <cell r="A434" t="str">
            <v>LYQ-ZQ1880-R0-L</v>
          </cell>
          <cell r="B434" t="str">
            <v>LYQ-ZQ1880</v>
          </cell>
        </row>
        <row r="435">
          <cell r="A435" t="str">
            <v>LYQ-ZQ1880-R0-M</v>
          </cell>
          <cell r="B435" t="str">
            <v>LYQ-ZQ1880</v>
          </cell>
        </row>
        <row r="436">
          <cell r="A436" t="str">
            <v>LYQ-ZQ1880-R0-S</v>
          </cell>
          <cell r="B436" t="str">
            <v>LYQ-ZQ1880</v>
          </cell>
        </row>
        <row r="437">
          <cell r="A437" t="str">
            <v>LYQ-ZQ1880-R0-XL</v>
          </cell>
          <cell r="B437" t="str">
            <v>LYQ-ZQ1880</v>
          </cell>
        </row>
        <row r="438">
          <cell r="A438" t="str">
            <v>LYQ-ZQ1880-Y0-M</v>
          </cell>
          <cell r="B438" t="str">
            <v>LYQ-ZQ1880</v>
          </cell>
        </row>
        <row r="439">
          <cell r="A439" t="str">
            <v>LYQ-ZQ1880-ZL-L</v>
          </cell>
          <cell r="B439" t="str">
            <v>LYQ-ZQ1880</v>
          </cell>
        </row>
        <row r="440">
          <cell r="A440" t="str">
            <v>LYQ-ZQ1880-ZL-M</v>
          </cell>
          <cell r="B440" t="str">
            <v>LYQ-ZQ1880</v>
          </cell>
        </row>
        <row r="441">
          <cell r="A441" t="str">
            <v>LYQ-ZQ1880-ZL-S</v>
          </cell>
          <cell r="B441" t="str">
            <v>LYQ-ZQ1880</v>
          </cell>
        </row>
        <row r="442">
          <cell r="A442" t="str">
            <v>LYQ-ZQ1880-ZL-XL</v>
          </cell>
          <cell r="B442" t="str">
            <v>LYQ-ZQ1880</v>
          </cell>
        </row>
        <row r="443">
          <cell r="A443" t="str">
            <v>LYQ-ZQ2973-BD-2XL</v>
          </cell>
          <cell r="B443" t="str">
            <v>LYQ-ZQ2973</v>
          </cell>
        </row>
        <row r="444">
          <cell r="A444" t="str">
            <v>LYQ-ZQ2973-BD-L</v>
          </cell>
          <cell r="B444" t="str">
            <v>LYQ-ZQ2973</v>
          </cell>
        </row>
        <row r="445">
          <cell r="A445" t="str">
            <v>LYQ-ZQ2973-BD-M</v>
          </cell>
          <cell r="B445" t="str">
            <v>LYQ-ZQ2973</v>
          </cell>
        </row>
        <row r="446">
          <cell r="A446" t="str">
            <v>LYQ-ZQ2973-BD-S</v>
          </cell>
          <cell r="B446" t="str">
            <v>LYQ-ZQ2973</v>
          </cell>
        </row>
        <row r="447">
          <cell r="A447" t="str">
            <v>LYQ-ZQ2973-BD-XL</v>
          </cell>
          <cell r="B447" t="str">
            <v>LYQ-ZQ2973</v>
          </cell>
        </row>
        <row r="448">
          <cell r="A448" t="str">
            <v>LYQ-ZQ2973-E0-2XL</v>
          </cell>
          <cell r="B448" t="str">
            <v>LYQ-ZQ2973</v>
          </cell>
        </row>
        <row r="449">
          <cell r="A449" t="str">
            <v>LYQ-ZQ2973-E0-L</v>
          </cell>
          <cell r="B449" t="str">
            <v>LYQ-ZQ2973</v>
          </cell>
        </row>
        <row r="450">
          <cell r="A450" t="str">
            <v>LYQ-ZQ2973-E0-M</v>
          </cell>
          <cell r="B450" t="str">
            <v>LYQ-ZQ2973</v>
          </cell>
        </row>
        <row r="451">
          <cell r="A451" t="str">
            <v>LYQ-ZQ2973-E0-S</v>
          </cell>
          <cell r="B451" t="str">
            <v>LYQ-ZQ2973</v>
          </cell>
        </row>
        <row r="452">
          <cell r="A452" t="str">
            <v>LYQ-ZQ2973-E0-XL</v>
          </cell>
          <cell r="B452" t="str">
            <v>LYQ-ZQ2973</v>
          </cell>
        </row>
        <row r="453">
          <cell r="A453" t="str">
            <v>LYQ-ZQ2973-G0-2XL</v>
          </cell>
          <cell r="B453" t="str">
            <v>LYQ-ZQ2973</v>
          </cell>
        </row>
        <row r="454">
          <cell r="A454" t="str">
            <v>LYQ-ZQ2973-G0-L</v>
          </cell>
          <cell r="B454" t="str">
            <v>LYQ-ZQ2973</v>
          </cell>
        </row>
        <row r="455">
          <cell r="A455" t="str">
            <v>LYQ-ZQ2973-G0-M</v>
          </cell>
          <cell r="B455" t="str">
            <v>LYQ-ZQ2973</v>
          </cell>
        </row>
        <row r="456">
          <cell r="A456" t="str">
            <v>LYQ-ZQ2973-G0-S</v>
          </cell>
          <cell r="B456" t="str">
            <v>LYQ-ZQ2973</v>
          </cell>
        </row>
        <row r="457">
          <cell r="A457" t="str">
            <v>LYQ-ZQ2973-G0-XL</v>
          </cell>
          <cell r="B457" t="str">
            <v>LYQ-ZQ2973</v>
          </cell>
        </row>
        <row r="458">
          <cell r="A458" t="str">
            <v>LYQ-ZQ2973-K0-2XL</v>
          </cell>
          <cell r="B458" t="str">
            <v>LYQ-ZQ2973</v>
          </cell>
        </row>
        <row r="459">
          <cell r="A459" t="str">
            <v>LYQ-ZQ2973-K0-L</v>
          </cell>
          <cell r="B459" t="str">
            <v>LYQ-ZQ2973</v>
          </cell>
        </row>
        <row r="460">
          <cell r="A460" t="str">
            <v>LYQ-ZQ2973-K0-M</v>
          </cell>
          <cell r="B460" t="str">
            <v>LYQ-ZQ2973</v>
          </cell>
        </row>
        <row r="461">
          <cell r="A461" t="str">
            <v>LYQ-ZQ2973-K0-S</v>
          </cell>
          <cell r="B461" t="str">
            <v>LYQ-ZQ2973</v>
          </cell>
        </row>
        <row r="462">
          <cell r="A462" t="str">
            <v>LYQ-ZQ2973-K0-XL</v>
          </cell>
          <cell r="B462" t="str">
            <v>LYQ-ZQ2973</v>
          </cell>
        </row>
        <row r="463">
          <cell r="A463" t="str">
            <v>LYQ-ZQ2973-KQ-2XL</v>
          </cell>
          <cell r="B463" t="str">
            <v>LYQ-ZQ2973</v>
          </cell>
        </row>
        <row r="464">
          <cell r="A464" t="str">
            <v>LYQ-ZQ2973-KQ-L</v>
          </cell>
          <cell r="B464" t="str">
            <v>LYQ-ZQ2973</v>
          </cell>
        </row>
        <row r="465">
          <cell r="A465" t="str">
            <v>LYQ-ZQ2973-KQ-M</v>
          </cell>
          <cell r="B465" t="str">
            <v>LYQ-ZQ2973</v>
          </cell>
        </row>
        <row r="466">
          <cell r="A466" t="str">
            <v>LYQ-ZQ2973-KQ-S</v>
          </cell>
          <cell r="B466" t="str">
            <v>LYQ-ZQ2973</v>
          </cell>
        </row>
        <row r="467">
          <cell r="A467" t="str">
            <v>LYQ-ZQ2973-KQ-XL</v>
          </cell>
          <cell r="B467" t="str">
            <v>LYQ-ZQ2973</v>
          </cell>
        </row>
        <row r="468">
          <cell r="A468" t="str">
            <v>LYQ-ZQ2973-P0-2XL</v>
          </cell>
          <cell r="B468" t="str">
            <v>LYQ-ZQ2973</v>
          </cell>
        </row>
        <row r="469">
          <cell r="A469" t="str">
            <v>LYQ-ZQ2973-P0-L</v>
          </cell>
          <cell r="B469" t="str">
            <v>LYQ-ZQ2973</v>
          </cell>
        </row>
        <row r="470">
          <cell r="A470" t="str">
            <v>LYQ-ZQ2973-P0-S</v>
          </cell>
          <cell r="B470" t="str">
            <v>LYQ-ZQ2973</v>
          </cell>
        </row>
        <row r="471">
          <cell r="A471" t="str">
            <v>LYQ-ZQ2973-P0-XL</v>
          </cell>
          <cell r="B471" t="str">
            <v>LYQ-ZQ2973</v>
          </cell>
        </row>
        <row r="472">
          <cell r="A472" t="str">
            <v>LYQ-ZQ2973-W1-2XL</v>
          </cell>
          <cell r="B472" t="str">
            <v>LYQ-ZQ2973</v>
          </cell>
        </row>
        <row r="473">
          <cell r="A473" t="str">
            <v>LYQ-ZQ2973-W1-L</v>
          </cell>
          <cell r="B473" t="str">
            <v>LYQ-ZQ2973</v>
          </cell>
        </row>
        <row r="474">
          <cell r="A474" t="str">
            <v>LYQ-ZQ2973-W1-M</v>
          </cell>
          <cell r="B474" t="str">
            <v>LYQ-ZQ2973</v>
          </cell>
        </row>
        <row r="475">
          <cell r="A475" t="str">
            <v>LYQ-ZQ2973-W1-S</v>
          </cell>
          <cell r="B475" t="str">
            <v>LYQ-ZQ2973</v>
          </cell>
        </row>
        <row r="476">
          <cell r="A476" t="str">
            <v>LYQ-ZQ2973-W1-XL</v>
          </cell>
          <cell r="B476" t="str">
            <v>LYQ-ZQ2973</v>
          </cell>
        </row>
        <row r="477">
          <cell r="A477" t="str">
            <v>LYQ-ZQ2973-ZL-2XL</v>
          </cell>
          <cell r="B477" t="str">
            <v>LYQ-ZQ2973</v>
          </cell>
        </row>
        <row r="478">
          <cell r="A478" t="str">
            <v>LYQ-ZQ2973-ZL-L</v>
          </cell>
          <cell r="B478" t="str">
            <v>LYQ-ZQ2973</v>
          </cell>
        </row>
        <row r="479">
          <cell r="A479" t="str">
            <v>LYQ-ZQ2973-ZL-M</v>
          </cell>
          <cell r="B479" t="str">
            <v>LYQ-ZQ2973</v>
          </cell>
        </row>
        <row r="480">
          <cell r="A480" t="str">
            <v>LYQ-ZQ2973-ZL-S</v>
          </cell>
          <cell r="B480" t="str">
            <v>LYQ-ZQ2973</v>
          </cell>
        </row>
        <row r="481">
          <cell r="A481" t="str">
            <v>LYQ-ZQ2973-ZL-XL</v>
          </cell>
          <cell r="B481" t="str">
            <v>LYQ-ZQ2973</v>
          </cell>
        </row>
        <row r="482">
          <cell r="A482" t="str">
            <v>LYQ-ZQ2W00-K0-L</v>
          </cell>
          <cell r="B482" t="str">
            <v>LYQ-ZQ2W00</v>
          </cell>
        </row>
        <row r="483">
          <cell r="A483" t="str">
            <v>LYQ-ZQ2W00-K0-M</v>
          </cell>
          <cell r="B483" t="str">
            <v>LYQ-ZQ2W00</v>
          </cell>
        </row>
        <row r="484">
          <cell r="A484" t="str">
            <v>LYQ-ZQ2W00-K0-XL</v>
          </cell>
          <cell r="B484" t="str">
            <v>LYQ-ZQ2W00</v>
          </cell>
        </row>
        <row r="485">
          <cell r="A485" t="str">
            <v>LYQ-ZQ3550-E0-2X</v>
          </cell>
          <cell r="B485" t="str">
            <v>LYQ-ZQ3550</v>
          </cell>
        </row>
        <row r="486">
          <cell r="A486" t="str">
            <v>LYQ-ZQ3550-E0-3X</v>
          </cell>
          <cell r="B486" t="str">
            <v>LYQ-ZQ3550</v>
          </cell>
        </row>
        <row r="487">
          <cell r="A487" t="str">
            <v>LYQ-ZQ3550-E0-4X</v>
          </cell>
          <cell r="B487" t="str">
            <v>LYQ-ZQ3550</v>
          </cell>
        </row>
        <row r="488">
          <cell r="A488" t="str">
            <v>LYQ-ZQ3550-E0-5X</v>
          </cell>
          <cell r="B488" t="str">
            <v>LYQ-ZQ3550</v>
          </cell>
        </row>
        <row r="489">
          <cell r="A489" t="str">
            <v>LYQ-ZQ3550-E0-L</v>
          </cell>
          <cell r="B489" t="str">
            <v>LYQ-ZQ3550</v>
          </cell>
        </row>
        <row r="490">
          <cell r="A490" t="str">
            <v>LYQ-ZQ3550-E0-M</v>
          </cell>
          <cell r="B490" t="str">
            <v>LYQ-ZQ3550</v>
          </cell>
        </row>
        <row r="491">
          <cell r="A491" t="str">
            <v>LYQ-ZQ3550-E0-S</v>
          </cell>
          <cell r="B491" t="str">
            <v>LYQ-ZQ3550</v>
          </cell>
        </row>
        <row r="492">
          <cell r="A492" t="str">
            <v>LYQ-ZQ3550-E0-XL</v>
          </cell>
          <cell r="B492" t="str">
            <v>LYQ-ZQ3550</v>
          </cell>
        </row>
        <row r="493">
          <cell r="A493" t="str">
            <v>LYQ-ZQ3550-PI-2X</v>
          </cell>
          <cell r="B493" t="str">
            <v>LYQ-ZQ3550</v>
          </cell>
        </row>
        <row r="494">
          <cell r="A494" t="str">
            <v>LYQ-ZQ3550-PI-3X</v>
          </cell>
          <cell r="B494" t="str">
            <v>LYQ-ZQ3550</v>
          </cell>
        </row>
        <row r="495">
          <cell r="A495" t="str">
            <v>LYQ-ZQ3550-PI-4X</v>
          </cell>
          <cell r="B495" t="str">
            <v>LYQ-ZQ3550</v>
          </cell>
        </row>
        <row r="496">
          <cell r="A496" t="str">
            <v>LYQ-ZQ3550-PI-5X</v>
          </cell>
          <cell r="B496" t="str">
            <v>LYQ-ZQ3550</v>
          </cell>
        </row>
        <row r="497">
          <cell r="A497" t="str">
            <v>LYQ-ZQ3550-PI-L</v>
          </cell>
          <cell r="B497" t="str">
            <v>LYQ-ZQ3550</v>
          </cell>
        </row>
        <row r="498">
          <cell r="A498" t="str">
            <v>LYQ-ZQ3550-PI-M</v>
          </cell>
          <cell r="B498" t="str">
            <v>LYQ-ZQ3550</v>
          </cell>
        </row>
        <row r="499">
          <cell r="A499" t="str">
            <v>LYQ-ZQ3550-PI-S</v>
          </cell>
          <cell r="B499" t="str">
            <v>LYQ-ZQ3550</v>
          </cell>
        </row>
        <row r="500">
          <cell r="A500" t="str">
            <v>LYQ-ZQ3550-PI-XL</v>
          </cell>
          <cell r="B500" t="str">
            <v>LYQ-ZQ3550</v>
          </cell>
        </row>
        <row r="501">
          <cell r="A501" t="str">
            <v>LYQ-ZQ456-E0-S</v>
          </cell>
          <cell r="B501" t="str">
            <v>LYQ-ZQ456</v>
          </cell>
        </row>
        <row r="502">
          <cell r="A502" t="str">
            <v>LYQ-ZQ6044-B0-S</v>
          </cell>
          <cell r="B502" t="str">
            <v>LYQ-ZQ6044</v>
          </cell>
        </row>
        <row r="503">
          <cell r="A503" t="str">
            <v>LYQ-ZQ7900-W0-L</v>
          </cell>
          <cell r="B503" t="str">
            <v>LYQ-ZQ7900</v>
          </cell>
        </row>
        <row r="504">
          <cell r="A504" t="str">
            <v>LYQ-ZQ7900-W0-S</v>
          </cell>
          <cell r="B504" t="str">
            <v>LYQ-ZQ7900</v>
          </cell>
        </row>
        <row r="505">
          <cell r="A505" t="str">
            <v>LYQ-ZQ7900-W0-XL</v>
          </cell>
          <cell r="B505" t="str">
            <v>LYQ-ZQ7900</v>
          </cell>
        </row>
        <row r="506">
          <cell r="A506" t="str">
            <v>LYQ-ZQ7900-W0-XXL</v>
          </cell>
          <cell r="B506" t="str">
            <v>LYQ-ZQ7900</v>
          </cell>
        </row>
        <row r="507">
          <cell r="A507" t="str">
            <v>LYQ-ZQ8200-FB-L</v>
          </cell>
          <cell r="B507" t="str">
            <v>LYQ-ZQ8200</v>
          </cell>
        </row>
        <row r="508">
          <cell r="A508" t="str">
            <v>LYQ-ZQ8200-FB-M</v>
          </cell>
          <cell r="B508" t="str">
            <v>LYQ-ZQ8200</v>
          </cell>
        </row>
        <row r="509">
          <cell r="A509" t="str">
            <v>LYQ-ZQ8200-FB-S</v>
          </cell>
          <cell r="B509" t="str">
            <v>LYQ-ZQ8200</v>
          </cell>
        </row>
        <row r="510">
          <cell r="A510" t="str">
            <v>LYQ-ZQ8200-FB-XL</v>
          </cell>
          <cell r="B510" t="str">
            <v>LYQ-ZQ8200</v>
          </cell>
        </row>
        <row r="511">
          <cell r="A511" t="str">
            <v>LYQ-ZQ8200-K0-L</v>
          </cell>
          <cell r="B511" t="str">
            <v>LYQ-ZQ8200</v>
          </cell>
        </row>
        <row r="512">
          <cell r="A512" t="str">
            <v>LYQ-ZQ8200-K0-M</v>
          </cell>
          <cell r="B512" t="str">
            <v>LYQ-ZQ8200</v>
          </cell>
        </row>
        <row r="513">
          <cell r="A513" t="str">
            <v>LYQ-ZQ8200-K0-S</v>
          </cell>
          <cell r="B513" t="str">
            <v>LYQ-ZQ8200</v>
          </cell>
        </row>
        <row r="514">
          <cell r="A514" t="str">
            <v>LYQ-ZQ8200-K0-XL</v>
          </cell>
          <cell r="B514" t="str">
            <v>LYQ-ZQ8200</v>
          </cell>
        </row>
        <row r="515">
          <cell r="A515" t="str">
            <v>LYQ-ZQ8200-P0-L</v>
          </cell>
          <cell r="B515" t="str">
            <v>LYQ-ZQ8200</v>
          </cell>
        </row>
        <row r="516">
          <cell r="A516" t="str">
            <v>LYQ-ZQ8200-P0-M</v>
          </cell>
          <cell r="B516" t="str">
            <v>LYQ-ZQ8200</v>
          </cell>
        </row>
        <row r="517">
          <cell r="A517" t="str">
            <v>LYQ-ZQ8200-P0-S</v>
          </cell>
          <cell r="B517" t="str">
            <v>LYQ-ZQ8200</v>
          </cell>
        </row>
        <row r="518">
          <cell r="A518" t="str">
            <v>LYQ-ZQ8200-P0-XL</v>
          </cell>
          <cell r="B518" t="str">
            <v>LYQ-ZQ8200</v>
          </cell>
        </row>
        <row r="519">
          <cell r="A519" t="str">
            <v>LYQ-ZQC910-K0-XL</v>
          </cell>
          <cell r="B519" t="str">
            <v>LYQ-ZQC910</v>
          </cell>
        </row>
        <row r="520">
          <cell r="A520" t="str">
            <v>LYQ-ZQD270-K0-L</v>
          </cell>
          <cell r="B520" t="str">
            <v>LYQ-ZQD270</v>
          </cell>
        </row>
        <row r="521">
          <cell r="A521" t="str">
            <v>LYQ-ZQD270-K0-XL</v>
          </cell>
          <cell r="B521" t="str">
            <v>LYQ-ZQD270</v>
          </cell>
        </row>
        <row r="522">
          <cell r="A522" t="str">
            <v>LYQ-ZQD270-P0-S</v>
          </cell>
          <cell r="B522" t="str">
            <v>LYQ-ZQD270</v>
          </cell>
        </row>
        <row r="523">
          <cell r="A523" t="str">
            <v>LYQ-ZQD270-P0-XL</v>
          </cell>
          <cell r="B523" t="str">
            <v>LYQ-ZQD270</v>
          </cell>
        </row>
        <row r="524">
          <cell r="A524" t="str">
            <v>LYQ-ZQD270-W0-S</v>
          </cell>
          <cell r="B524" t="str">
            <v>LYQ-ZQD270</v>
          </cell>
        </row>
        <row r="525">
          <cell r="A525" t="str">
            <v>LYQ-ZQD390-B0-L</v>
          </cell>
          <cell r="B525" t="str">
            <v>LYQ-ZQD390</v>
          </cell>
        </row>
        <row r="526">
          <cell r="A526" t="str">
            <v>LYQ-ZQD390-E0-S</v>
          </cell>
          <cell r="B526" t="str">
            <v>LYQ-ZQD390</v>
          </cell>
        </row>
        <row r="527">
          <cell r="A527" t="str">
            <v>LYQ-ZQD390-G0-S</v>
          </cell>
          <cell r="B527" t="str">
            <v>LYQ-ZQD390</v>
          </cell>
        </row>
        <row r="528">
          <cell r="A528" t="str">
            <v>LYQ-ZQD390-K0-S</v>
          </cell>
          <cell r="B528" t="str">
            <v>LYQ-ZQD390</v>
          </cell>
        </row>
        <row r="529">
          <cell r="A529" t="str">
            <v>LYQ-ZQLC00-K0-XL</v>
          </cell>
          <cell r="B529" t="str">
            <v>LYQ-ZQLC00</v>
          </cell>
        </row>
        <row r="530">
          <cell r="A530" t="str">
            <v>LYQ-ZQLP01-P0-M</v>
          </cell>
          <cell r="B530" t="str">
            <v>LYQ-ZQLP01</v>
          </cell>
        </row>
        <row r="531">
          <cell r="A531" t="str">
            <v>LYQ-ZQLP01-P0-S</v>
          </cell>
          <cell r="B531" t="str">
            <v>LYQ-ZQLP01</v>
          </cell>
        </row>
        <row r="532">
          <cell r="A532" t="str">
            <v>LYQ-ZQMB170005-K0-2X</v>
          </cell>
          <cell r="B532" t="str">
            <v>LYQ-ZQMB170005</v>
          </cell>
        </row>
        <row r="533">
          <cell r="A533" t="str">
            <v>LYQ-ZQMB170005-K0-XL</v>
          </cell>
          <cell r="B533" t="str">
            <v>LYQ-ZQMB170005</v>
          </cell>
        </row>
        <row r="534">
          <cell r="A534" t="str">
            <v>LYQ-ZQMB3811-E0-2X</v>
          </cell>
          <cell r="B534" t="str">
            <v>LYQ-ZQMB3811</v>
          </cell>
        </row>
        <row r="535">
          <cell r="A535" t="str">
            <v>LYQ-ZQMB3811-E0-3X</v>
          </cell>
          <cell r="B535" t="str">
            <v>LYQ-ZQMB3811</v>
          </cell>
        </row>
        <row r="536">
          <cell r="A536" t="str">
            <v>LYQ-ZQMB3811-E0-5X</v>
          </cell>
          <cell r="B536" t="str">
            <v>LYQ-ZQMB3811</v>
          </cell>
        </row>
        <row r="537">
          <cell r="A537" t="str">
            <v>LYQ-ZQMB3811-E0-6X</v>
          </cell>
          <cell r="B537" t="str">
            <v>LYQ-ZQMB3811</v>
          </cell>
        </row>
        <row r="538">
          <cell r="A538" t="str">
            <v>LYQ-ZQMB3811-E0-XL</v>
          </cell>
          <cell r="B538" t="str">
            <v>LYQ-ZQMB3811</v>
          </cell>
        </row>
        <row r="539">
          <cell r="A539" t="str">
            <v>LYQ-ZQMB3811-K0-3X</v>
          </cell>
          <cell r="B539" t="str">
            <v>LYQ-ZQMB3811</v>
          </cell>
        </row>
        <row r="540">
          <cell r="A540" t="str">
            <v>LYQ-ZQMB3811-K0-4X</v>
          </cell>
          <cell r="B540" t="str">
            <v>LYQ-ZQMB3811</v>
          </cell>
        </row>
        <row r="541">
          <cell r="A541" t="str">
            <v>LYQ-ZQPC01-B0-L</v>
          </cell>
          <cell r="B541" t="str">
            <v>LYQ-ZQPC01</v>
          </cell>
        </row>
        <row r="542">
          <cell r="A542" t="str">
            <v>LYQ-ZQPC01-B0-M</v>
          </cell>
          <cell r="B542" t="str">
            <v>LYQ-ZQPC01</v>
          </cell>
        </row>
        <row r="543">
          <cell r="A543" t="str">
            <v>LYQ-ZQPC01-B0-S</v>
          </cell>
          <cell r="B543" t="str">
            <v>LYQ-ZQPC01</v>
          </cell>
        </row>
        <row r="544">
          <cell r="A544" t="str">
            <v>LYQ-ZQPC01-B0-XL</v>
          </cell>
          <cell r="B544" t="str">
            <v>LYQ-ZQPC01</v>
          </cell>
        </row>
        <row r="545">
          <cell r="A545" t="str">
            <v>LYQ-ZQPC01-B0-XXL</v>
          </cell>
          <cell r="B545" t="str">
            <v>LYQ-ZQPC01</v>
          </cell>
        </row>
        <row r="546">
          <cell r="A546" t="str">
            <v>LYQ-ZQPC01-BD-L</v>
          </cell>
          <cell r="B546" t="str">
            <v>LYQ-ZQPC01</v>
          </cell>
        </row>
        <row r="547">
          <cell r="A547" t="str">
            <v>LYQ-ZQPC01-BD-M</v>
          </cell>
          <cell r="B547" t="str">
            <v>LYQ-ZQPC01</v>
          </cell>
        </row>
        <row r="548">
          <cell r="A548" t="str">
            <v>LYQ-ZQPC01-BD-S</v>
          </cell>
          <cell r="B548" t="str">
            <v>LYQ-ZQPC01</v>
          </cell>
        </row>
        <row r="549">
          <cell r="A549" t="str">
            <v>LYQ-ZQPC01-BD-XL</v>
          </cell>
          <cell r="B549" t="str">
            <v>LYQ-ZQPC01</v>
          </cell>
        </row>
        <row r="550">
          <cell r="A550" t="str">
            <v>LYQ-ZQPC01-BD-XXL</v>
          </cell>
          <cell r="B550" t="str">
            <v>LYQ-ZQPC01</v>
          </cell>
        </row>
        <row r="551">
          <cell r="A551" t="str">
            <v>LYQ-ZQPC01-E0-L</v>
          </cell>
          <cell r="B551" t="str">
            <v>LYQ-ZQPC01</v>
          </cell>
        </row>
        <row r="552">
          <cell r="A552" t="str">
            <v>LYQ-ZQPC01-E0-M</v>
          </cell>
          <cell r="B552" t="str">
            <v>LYQ-ZQPC01</v>
          </cell>
        </row>
        <row r="553">
          <cell r="A553" t="str">
            <v>LYQ-ZQPC01-E0-S</v>
          </cell>
          <cell r="B553" t="str">
            <v>LYQ-ZQPC01</v>
          </cell>
        </row>
        <row r="554">
          <cell r="A554" t="str">
            <v>LYQ-ZQPC01-E0-XL</v>
          </cell>
          <cell r="B554" t="str">
            <v>LYQ-ZQPC01</v>
          </cell>
        </row>
        <row r="555">
          <cell r="A555" t="str">
            <v>LYQ-ZQPC01-E0-XXL</v>
          </cell>
          <cell r="B555" t="str">
            <v>LYQ-ZQPC01</v>
          </cell>
        </row>
        <row r="556">
          <cell r="A556" t="str">
            <v>LYQ-ZQPC01-P0-L</v>
          </cell>
          <cell r="B556" t="str">
            <v>LYQ-ZQPC01</v>
          </cell>
        </row>
        <row r="557">
          <cell r="A557" t="str">
            <v>LYQ-ZQPC01-P0-M</v>
          </cell>
          <cell r="B557" t="str">
            <v>LYQ-ZQPC01</v>
          </cell>
        </row>
        <row r="558">
          <cell r="A558" t="str">
            <v>LYQ-ZQPC01-P0-S</v>
          </cell>
          <cell r="B558" t="str">
            <v>LYQ-ZQPC01</v>
          </cell>
        </row>
        <row r="559">
          <cell r="A559" t="str">
            <v>LYQ-ZQPC01-P0-XL</v>
          </cell>
          <cell r="B559" t="str">
            <v>LYQ-ZQPC01</v>
          </cell>
        </row>
        <row r="560">
          <cell r="A560" t="str">
            <v>LYQ-ZQPC01-P0-XXL</v>
          </cell>
          <cell r="B560" t="str">
            <v>LYQ-ZQPC01</v>
          </cell>
        </row>
        <row r="561">
          <cell r="A561" t="str">
            <v>LYQ-ZQPC01-ZL-L</v>
          </cell>
          <cell r="B561" t="str">
            <v>LYQ-ZQPC01</v>
          </cell>
        </row>
        <row r="562">
          <cell r="A562" t="str">
            <v>LYQ-ZQPC01-ZL-M</v>
          </cell>
          <cell r="B562" t="str">
            <v>LYQ-ZQPC01</v>
          </cell>
        </row>
        <row r="563">
          <cell r="A563" t="str">
            <v>LYQ-ZQPC01-ZL-XL</v>
          </cell>
          <cell r="B563" t="str">
            <v>LYQ-ZQPC01</v>
          </cell>
        </row>
        <row r="564">
          <cell r="A564" t="str">
            <v>LYQ-ZQPC01-ZL-XXL</v>
          </cell>
          <cell r="B564" t="str">
            <v>LYQ-ZQPC01</v>
          </cell>
        </row>
        <row r="565">
          <cell r="A565" t="str">
            <v>LYQ-ZQS1741-G7-L</v>
          </cell>
          <cell r="B565" t="str">
            <v>LYQ-ZQS1741</v>
          </cell>
        </row>
        <row r="566">
          <cell r="A566" t="str">
            <v>LYQ-ZQS1741-G7-M</v>
          </cell>
          <cell r="B566" t="str">
            <v>LYQ-ZQS1741</v>
          </cell>
        </row>
        <row r="567">
          <cell r="A567" t="str">
            <v>LYQ-ZQS1741-G7-S</v>
          </cell>
          <cell r="B567" t="str">
            <v>LYQ-ZQS1741</v>
          </cell>
        </row>
        <row r="568">
          <cell r="A568" t="str">
            <v>LYQ-ZQS1741-G7-XL</v>
          </cell>
          <cell r="B568" t="str">
            <v>LYQ-ZQS1741</v>
          </cell>
        </row>
        <row r="569">
          <cell r="A569" t="str">
            <v>LYQ-ZQS1741-K0-L</v>
          </cell>
          <cell r="B569" t="str">
            <v>LYQ-ZQS1741</v>
          </cell>
        </row>
        <row r="570">
          <cell r="A570" t="str">
            <v>LYQ-ZQS1741-K0-M</v>
          </cell>
          <cell r="B570" t="str">
            <v>LYQ-ZQS1741</v>
          </cell>
        </row>
        <row r="571">
          <cell r="A571" t="str">
            <v>LYQ-ZQS1741-K0-S</v>
          </cell>
          <cell r="B571" t="str">
            <v>LYQ-ZQS1741</v>
          </cell>
        </row>
        <row r="572">
          <cell r="A572" t="str">
            <v>LYQ-ZQS1741-W0-L</v>
          </cell>
          <cell r="B572" t="str">
            <v>LYQ-ZQS1741</v>
          </cell>
        </row>
        <row r="573">
          <cell r="A573" t="str">
            <v>LYQ-ZQS1741-W0-M</v>
          </cell>
          <cell r="B573" t="str">
            <v>LYQ-ZQS1741</v>
          </cell>
        </row>
        <row r="574">
          <cell r="A574" t="str">
            <v>LYQ-ZQS1741-W0-S</v>
          </cell>
          <cell r="B574" t="str">
            <v>LYQ-ZQS1741</v>
          </cell>
        </row>
        <row r="575">
          <cell r="A575" t="str">
            <v>LYQ-ZQS1741-W0-XL</v>
          </cell>
          <cell r="B575" t="str">
            <v>LYQ-ZQS1741</v>
          </cell>
        </row>
        <row r="576">
          <cell r="A576" t="str">
            <v>LYQ-ZQTN2611-BD-2X</v>
          </cell>
          <cell r="B576" t="str">
            <v>LYQ-ZQTN2611</v>
          </cell>
        </row>
        <row r="577">
          <cell r="A577" t="str">
            <v>LYQ-ZQTN2611-BD-3X</v>
          </cell>
          <cell r="B577" t="str">
            <v>LYQ-ZQTN2611</v>
          </cell>
        </row>
        <row r="578">
          <cell r="A578" t="str">
            <v>LYQ-ZQTN2611-BD-4X</v>
          </cell>
          <cell r="B578" t="str">
            <v>LYQ-ZQTN2611</v>
          </cell>
        </row>
        <row r="579">
          <cell r="A579" t="str">
            <v>LYQ-ZQTN2611-PI-2X</v>
          </cell>
          <cell r="B579" t="str">
            <v>LYQ-ZQTN2611</v>
          </cell>
        </row>
        <row r="580">
          <cell r="A580" t="str">
            <v>LYQ-ZQTN2611-PI-3X</v>
          </cell>
          <cell r="B580" t="str">
            <v>LYQ-ZQTN2611</v>
          </cell>
        </row>
        <row r="581">
          <cell r="A581" t="str">
            <v>LYQ-ZQTN2611-PI-5X</v>
          </cell>
          <cell r="B581" t="str">
            <v>LYQ-ZQTN2611</v>
          </cell>
        </row>
        <row r="582">
          <cell r="A582" t="str">
            <v>LYQ-ZQTN2611-PI-6X</v>
          </cell>
          <cell r="B582" t="str">
            <v>LYQ-ZQTN2611</v>
          </cell>
        </row>
        <row r="583">
          <cell r="A583" t="str">
            <v>LYQ-ZQTN2611-PI-XL</v>
          </cell>
          <cell r="B583" t="str">
            <v>LYQ-ZQTN2611</v>
          </cell>
        </row>
        <row r="584">
          <cell r="A584" t="str">
            <v>MNQ-N718-W0-M</v>
          </cell>
          <cell r="B584" t="str">
            <v>MNQ-N718</v>
          </cell>
        </row>
        <row r="585">
          <cell r="A585" t="str">
            <v>MZ-JY1616-CF</v>
          </cell>
          <cell r="B585" t="str">
            <v>MZ-JY1616</v>
          </cell>
        </row>
        <row r="586">
          <cell r="A586" t="str">
            <v>MZ-JY1616-KH</v>
          </cell>
          <cell r="B586" t="str">
            <v>MZ-JY1616</v>
          </cell>
        </row>
        <row r="587">
          <cell r="A587" t="str">
            <v>MZ-JY1616-R0</v>
          </cell>
          <cell r="B587" t="str">
            <v>MZ-JY1616</v>
          </cell>
        </row>
        <row r="588">
          <cell r="A588" t="str">
            <v>MZ-JY1616-ZL</v>
          </cell>
          <cell r="B588" t="str">
            <v>MZ-JY1616</v>
          </cell>
        </row>
        <row r="589">
          <cell r="A589" t="str">
            <v>NZ-FLQ52</v>
          </cell>
          <cell r="B589" t="str">
            <v>NZ-FLQ52</v>
          </cell>
        </row>
        <row r="590">
          <cell r="A590" t="str">
            <v>NZ-FLQ53</v>
          </cell>
          <cell r="B590" t="str">
            <v>NZ-FLQ53</v>
          </cell>
        </row>
        <row r="591">
          <cell r="A591" t="str">
            <v>NZZH-FLQ52</v>
          </cell>
          <cell r="B591" t="str">
            <v>NZZH-FLQ52</v>
          </cell>
        </row>
        <row r="592">
          <cell r="A592" t="str">
            <v>PJ-ZQ0976-K0</v>
          </cell>
          <cell r="B592" t="str">
            <v>PJ-ZQ0976</v>
          </cell>
        </row>
        <row r="593">
          <cell r="A593" t="str">
            <v>PJ-ZQ0976-O0</v>
          </cell>
          <cell r="B593" t="str">
            <v>PJ-ZQ0976</v>
          </cell>
        </row>
        <row r="594">
          <cell r="A594" t="str">
            <v>PJ-ZQ7050-C3</v>
          </cell>
          <cell r="B594" t="str">
            <v>PJ-ZQ7050</v>
          </cell>
        </row>
        <row r="595">
          <cell r="A595" t="str">
            <v>SHJ-ZQLS01-B0-2XL</v>
          </cell>
          <cell r="B595" t="str">
            <v>SHJ-ZQLS01</v>
          </cell>
        </row>
        <row r="596">
          <cell r="A596" t="str">
            <v>SHJ-ZQLS01-B0-3XL</v>
          </cell>
          <cell r="B596" t="str">
            <v>SHJ-ZQLS01</v>
          </cell>
        </row>
        <row r="597">
          <cell r="A597" t="str">
            <v>SHJ-ZQLS01-B0-4XL</v>
          </cell>
          <cell r="B597" t="str">
            <v>SHJ-ZQLS01</v>
          </cell>
        </row>
        <row r="598">
          <cell r="A598" t="str">
            <v>SHJ-ZQLS01-B0-XL</v>
          </cell>
          <cell r="B598" t="str">
            <v>SHJ-ZQLS01</v>
          </cell>
        </row>
        <row r="599">
          <cell r="A599" t="str">
            <v>SHJ-ZQLS12-K0-2XL</v>
          </cell>
          <cell r="B599" t="str">
            <v>SHJ-ZQLS12</v>
          </cell>
        </row>
        <row r="600">
          <cell r="A600" t="str">
            <v>SHJ-ZQLS12-K0-3XL</v>
          </cell>
          <cell r="B600" t="str">
            <v>SHJ-ZQLS12</v>
          </cell>
        </row>
        <row r="601">
          <cell r="A601" t="str">
            <v>SHJ-ZQLS12-K0-L</v>
          </cell>
          <cell r="B601" t="str">
            <v>SHJ-ZQLS12</v>
          </cell>
        </row>
        <row r="602">
          <cell r="A602" t="str">
            <v>SHJ-ZQLS12-K0-XL</v>
          </cell>
          <cell r="B602" t="str">
            <v>SHJ-ZQLS12</v>
          </cell>
        </row>
        <row r="603">
          <cell r="A603" t="str">
            <v>SJ-HM1995-K0</v>
          </cell>
          <cell r="B603" t="str">
            <v>SJ-HM1995</v>
          </cell>
        </row>
        <row r="604">
          <cell r="A604" t="str">
            <v>SJ-HM1995-W0</v>
          </cell>
          <cell r="B604" t="str">
            <v>SJ-HM1995</v>
          </cell>
        </row>
        <row r="605">
          <cell r="A605" t="str">
            <v>WJ-ZQ650-C1</v>
          </cell>
          <cell r="B605" t="str">
            <v>WJ-ZQ650</v>
          </cell>
        </row>
        <row r="606">
          <cell r="A606" t="str">
            <v>WJ-ZQ650-C10</v>
          </cell>
          <cell r="B606" t="str">
            <v>WJ-ZQ650</v>
          </cell>
        </row>
        <row r="607">
          <cell r="A607" t="str">
            <v>WJ-ZQ650-C11</v>
          </cell>
          <cell r="B607" t="str">
            <v>WJ-ZQ650</v>
          </cell>
        </row>
        <row r="608">
          <cell r="A608" t="str">
            <v>WJ-ZQ650-C3</v>
          </cell>
          <cell r="B608" t="str">
            <v>WJ-ZQ650</v>
          </cell>
        </row>
        <row r="609">
          <cell r="A609" t="str">
            <v>WJ-ZQ650-C4</v>
          </cell>
          <cell r="B609" t="str">
            <v>WJ-ZQ650</v>
          </cell>
        </row>
        <row r="610">
          <cell r="A610" t="str">
            <v>WJ-ZQ650-C5</v>
          </cell>
          <cell r="B610" t="str">
            <v>WJ-ZQ650</v>
          </cell>
        </row>
        <row r="611">
          <cell r="A611" t="str">
            <v>WJ-ZQ650-C6</v>
          </cell>
          <cell r="B611" t="str">
            <v>WJ-ZQ650</v>
          </cell>
        </row>
        <row r="612">
          <cell r="A612" t="str">
            <v>WJ-ZQ650-C7</v>
          </cell>
          <cell r="B612" t="str">
            <v>WJ-ZQ650</v>
          </cell>
        </row>
        <row r="613">
          <cell r="A613" t="str">
            <v>WJ-ZQ650-C8</v>
          </cell>
          <cell r="B613" t="str">
            <v>WJ-ZQ650</v>
          </cell>
        </row>
        <row r="614">
          <cell r="A614" t="str">
            <v>WJ-ZQ650-C9</v>
          </cell>
          <cell r="B614" t="str">
            <v>WJ-ZQ650</v>
          </cell>
        </row>
        <row r="615">
          <cell r="A615" t="str">
            <v>WT-ZQ921-G7-4XL</v>
          </cell>
          <cell r="B615" t="str">
            <v>WT-ZQ921</v>
          </cell>
        </row>
        <row r="616">
          <cell r="A616" t="str">
            <v>WT-ZQ921-K0-2XL</v>
          </cell>
          <cell r="B616" t="str">
            <v>WT-ZQ921</v>
          </cell>
        </row>
        <row r="617">
          <cell r="A617" t="str">
            <v>WT-ZQ921-K0-L</v>
          </cell>
          <cell r="B617" t="str">
            <v>WT-ZQ921</v>
          </cell>
        </row>
        <row r="618">
          <cell r="A618" t="str">
            <v>YF-YULQ001-B7-20</v>
          </cell>
          <cell r="B618" t="str">
            <v>YF-YULQ001</v>
          </cell>
        </row>
        <row r="619">
          <cell r="A619" t="str">
            <v>YF-YULQ002-B7-20</v>
          </cell>
          <cell r="B619" t="str">
            <v>YF-YULQ002</v>
          </cell>
        </row>
        <row r="620">
          <cell r="A620" t="str">
            <v>YF-YULQ003-R2-20</v>
          </cell>
          <cell r="B620" t="str">
            <v>YF-YULQ003</v>
          </cell>
        </row>
        <row r="621">
          <cell r="A621" t="str">
            <v>YF-YULQ003-W0-20</v>
          </cell>
          <cell r="B621" t="str">
            <v>YF-YULQ003</v>
          </cell>
        </row>
        <row r="622">
          <cell r="A622" t="str">
            <v>YF-YULQ007-PI-20</v>
          </cell>
          <cell r="B622" t="str">
            <v>YF-YULQ007</v>
          </cell>
        </row>
        <row r="623">
          <cell r="A623" t="str">
            <v>YF-YULQ008-BL-22</v>
          </cell>
          <cell r="B623" t="str">
            <v>YF-YULQ008</v>
          </cell>
        </row>
        <row r="624">
          <cell r="A624" t="str">
            <v>YF-YULQ009-YE-22</v>
          </cell>
          <cell r="B624" t="str">
            <v>YF-YULQ009</v>
          </cell>
        </row>
        <row r="625">
          <cell r="A625" t="str">
            <v>YF-YULQ010-PI-22</v>
          </cell>
          <cell r="B625" t="str">
            <v>YF-YULQ010</v>
          </cell>
        </row>
        <row r="626">
          <cell r="A626" t="str">
            <v>YF-YULQ161-B7-20</v>
          </cell>
          <cell r="B626" t="str">
            <v>YF-YULQ161</v>
          </cell>
        </row>
        <row r="627">
          <cell r="A627" t="str">
            <v>YF-YULQ162-B7-20</v>
          </cell>
          <cell r="B627" t="str">
            <v>YF-YULQ162</v>
          </cell>
        </row>
        <row r="628">
          <cell r="A628" t="str">
            <v>YF-YULQ601-PI-20</v>
          </cell>
          <cell r="B628" t="str">
            <v>YF-YULQ601</v>
          </cell>
        </row>
        <row r="629">
          <cell r="A629" t="str">
            <v>YF-YULQ602-PI-20</v>
          </cell>
          <cell r="B629" t="str">
            <v>YF-YULQ602</v>
          </cell>
        </row>
        <row r="630">
          <cell r="A630" t="str">
            <v>YF-YULQ904-B7-20</v>
          </cell>
          <cell r="B630" t="str">
            <v>YF-YULQ904</v>
          </cell>
        </row>
        <row r="631">
          <cell r="A631" t="str">
            <v>YF-YULQ905-B7-20</v>
          </cell>
          <cell r="B631" t="str">
            <v>YF-YULQ905</v>
          </cell>
        </row>
        <row r="632">
          <cell r="A632" t="str">
            <v>YL-FLQ58-PI-50</v>
          </cell>
          <cell r="B632" t="str">
            <v>YL-FLQ58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3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G6830"/>
  <sheetViews>
    <sheetView tabSelected="1" topLeftCell="M1" workbookViewId="0">
      <selection activeCell="AG836" sqref="AG2:AG971"/>
    </sheetView>
  </sheetViews>
  <sheetFormatPr defaultColWidth="9" defaultRowHeight="14.25"/>
  <cols>
    <col min="2" max="2" width="12.625"/>
    <col min="3" max="3" width="18.425" customWidth="1"/>
    <col min="12" max="12" width="25" customWidth="1"/>
    <col min="27" max="27" width="9.375"/>
    <col min="31" max="31" width="9.425"/>
    <col min="33" max="33" width="15.5666666666667" style="9" customWidth="1"/>
  </cols>
  <sheetData>
    <row r="1" spans="1:3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G1" s="9" t="s">
        <v>29</v>
      </c>
    </row>
    <row r="2" spans="1:33">
      <c r="A2" s="7" t="s">
        <v>30</v>
      </c>
      <c r="B2" s="7" t="s">
        <v>30</v>
      </c>
      <c r="C2" s="7" t="s">
        <v>31</v>
      </c>
      <c r="D2" s="7" t="s">
        <v>32</v>
      </c>
      <c r="E2" s="7" t="s">
        <v>33</v>
      </c>
      <c r="F2" s="7" t="s">
        <v>34</v>
      </c>
      <c r="G2" s="7" t="s">
        <v>35</v>
      </c>
      <c r="H2" s="7"/>
      <c r="I2" s="7"/>
      <c r="J2" s="7" t="s">
        <v>36</v>
      </c>
      <c r="K2" s="7" t="s">
        <v>37</v>
      </c>
      <c r="L2" s="7" t="s">
        <v>38</v>
      </c>
      <c r="M2" s="7" t="s">
        <v>39</v>
      </c>
      <c r="N2" s="7" t="s">
        <v>40</v>
      </c>
      <c r="O2" s="7">
        <v>1</v>
      </c>
      <c r="P2" s="7" t="s">
        <v>41</v>
      </c>
      <c r="Q2" s="7">
        <v>89.99</v>
      </c>
      <c r="R2" s="7"/>
      <c r="S2" s="7"/>
      <c r="T2" s="7"/>
      <c r="U2" s="7"/>
      <c r="V2" s="7"/>
      <c r="W2" s="7"/>
      <c r="X2" s="7"/>
      <c r="Y2" s="7" t="s">
        <v>42</v>
      </c>
      <c r="Z2" s="7" t="s">
        <v>43</v>
      </c>
      <c r="AA2" s="7" t="s">
        <v>44</v>
      </c>
      <c r="AB2" s="7" t="s">
        <v>45</v>
      </c>
      <c r="AC2" s="7"/>
      <c r="AD2" s="8"/>
      <c r="AE2" s="8"/>
      <c r="AF2" s="8"/>
      <c r="AG2" s="10">
        <f t="shared" ref="AG2:AG65" si="0">DATEVALUE(LEFT(C2,10))</f>
        <v>43311</v>
      </c>
    </row>
    <row r="3" spans="1:33">
      <c r="A3" s="7" t="s">
        <v>46</v>
      </c>
      <c r="B3" s="7" t="s">
        <v>46</v>
      </c>
      <c r="C3" s="7" t="s">
        <v>47</v>
      </c>
      <c r="D3" s="7" t="s">
        <v>48</v>
      </c>
      <c r="E3" s="7" t="s">
        <v>49</v>
      </c>
      <c r="F3" s="7" t="s">
        <v>34</v>
      </c>
      <c r="G3" s="7" t="s">
        <v>35</v>
      </c>
      <c r="H3" s="7"/>
      <c r="I3" s="7"/>
      <c r="J3" s="7" t="s">
        <v>50</v>
      </c>
      <c r="K3" s="7" t="s">
        <v>51</v>
      </c>
      <c r="L3" s="7" t="s">
        <v>52</v>
      </c>
      <c r="M3" s="7" t="s">
        <v>53</v>
      </c>
      <c r="N3" s="7" t="s">
        <v>49</v>
      </c>
      <c r="O3" s="7">
        <v>1</v>
      </c>
      <c r="P3" s="7" t="s">
        <v>41</v>
      </c>
      <c r="Q3" s="7">
        <v>99.6</v>
      </c>
      <c r="R3" s="7"/>
      <c r="S3" s="7"/>
      <c r="T3" s="7"/>
      <c r="U3" s="7"/>
      <c r="V3" s="7"/>
      <c r="W3" s="7"/>
      <c r="X3" s="7"/>
      <c r="Y3" s="7" t="s">
        <v>54</v>
      </c>
      <c r="Z3" s="7" t="s">
        <v>55</v>
      </c>
      <c r="AA3" s="7" t="s">
        <v>56</v>
      </c>
      <c r="AB3" s="7" t="s">
        <v>45</v>
      </c>
      <c r="AC3" s="7"/>
      <c r="AD3" s="8"/>
      <c r="AE3" s="8"/>
      <c r="AF3" s="8"/>
      <c r="AG3" s="10">
        <f t="shared" si="0"/>
        <v>43311</v>
      </c>
    </row>
    <row r="4" spans="1:33">
      <c r="A4" s="7" t="s">
        <v>57</v>
      </c>
      <c r="B4" s="7" t="s">
        <v>57</v>
      </c>
      <c r="C4" s="7" t="s">
        <v>58</v>
      </c>
      <c r="D4" s="7" t="s">
        <v>59</v>
      </c>
      <c r="E4" s="7" t="s">
        <v>49</v>
      </c>
      <c r="F4" s="7" t="s">
        <v>34</v>
      </c>
      <c r="G4" s="7" t="s">
        <v>35</v>
      </c>
      <c r="H4" s="7"/>
      <c r="I4" s="7"/>
      <c r="J4" s="7" t="s">
        <v>50</v>
      </c>
      <c r="K4" s="7" t="s">
        <v>60</v>
      </c>
      <c r="L4" s="7" t="s">
        <v>61</v>
      </c>
      <c r="M4" s="7" t="s">
        <v>62</v>
      </c>
      <c r="N4" s="7" t="s">
        <v>49</v>
      </c>
      <c r="O4" s="7">
        <v>1</v>
      </c>
      <c r="P4" s="7" t="s">
        <v>41</v>
      </c>
      <c r="Q4" s="7">
        <v>21.99</v>
      </c>
      <c r="R4" s="7"/>
      <c r="S4" s="7"/>
      <c r="T4" s="7"/>
      <c r="U4" s="7"/>
      <c r="V4" s="7"/>
      <c r="W4" s="7">
        <v>21.77</v>
      </c>
      <c r="X4" s="7"/>
      <c r="Y4" s="7" t="s">
        <v>63</v>
      </c>
      <c r="Z4" s="7" t="s">
        <v>64</v>
      </c>
      <c r="AA4" s="7" t="s">
        <v>65</v>
      </c>
      <c r="AB4" s="7" t="s">
        <v>45</v>
      </c>
      <c r="AC4" s="7" t="s">
        <v>66</v>
      </c>
      <c r="AD4" s="8"/>
      <c r="AE4" s="8"/>
      <c r="AF4" s="8"/>
      <c r="AG4" s="10">
        <f t="shared" si="0"/>
        <v>43311</v>
      </c>
    </row>
    <row r="5" spans="1:33">
      <c r="A5" s="7" t="s">
        <v>67</v>
      </c>
      <c r="B5" s="7" t="s">
        <v>67</v>
      </c>
      <c r="C5" s="7" t="s">
        <v>68</v>
      </c>
      <c r="D5" s="7" t="s">
        <v>69</v>
      </c>
      <c r="E5" s="7" t="s">
        <v>49</v>
      </c>
      <c r="F5" s="7" t="s">
        <v>34</v>
      </c>
      <c r="G5" s="7" t="s">
        <v>35</v>
      </c>
      <c r="H5" s="7"/>
      <c r="I5" s="7"/>
      <c r="J5" s="7" t="s">
        <v>50</v>
      </c>
      <c r="K5" s="7" t="s">
        <v>70</v>
      </c>
      <c r="L5" s="7" t="s">
        <v>71</v>
      </c>
      <c r="M5" s="7" t="s">
        <v>72</v>
      </c>
      <c r="N5" s="7" t="s">
        <v>49</v>
      </c>
      <c r="O5" s="7">
        <v>1</v>
      </c>
      <c r="P5" s="7" t="s">
        <v>41</v>
      </c>
      <c r="Q5" s="7">
        <v>98.99</v>
      </c>
      <c r="R5" s="7"/>
      <c r="S5" s="7"/>
      <c r="T5" s="7"/>
      <c r="U5" s="7"/>
      <c r="V5" s="7"/>
      <c r="W5" s="7"/>
      <c r="X5" s="7"/>
      <c r="Y5" s="7" t="s">
        <v>73</v>
      </c>
      <c r="Z5" s="7" t="s">
        <v>74</v>
      </c>
      <c r="AA5" s="7" t="s">
        <v>75</v>
      </c>
      <c r="AB5" s="7" t="s">
        <v>45</v>
      </c>
      <c r="AC5" s="7"/>
      <c r="AD5" s="8"/>
      <c r="AE5" s="8"/>
      <c r="AF5" s="8"/>
      <c r="AG5" s="10">
        <f t="shared" si="0"/>
        <v>43311</v>
      </c>
    </row>
    <row r="6" spans="1:33">
      <c r="A6" s="7" t="s">
        <v>76</v>
      </c>
      <c r="B6" s="7" t="s">
        <v>76</v>
      </c>
      <c r="C6" s="7" t="s">
        <v>77</v>
      </c>
      <c r="D6" s="7" t="s">
        <v>78</v>
      </c>
      <c r="E6" s="7" t="s">
        <v>49</v>
      </c>
      <c r="F6" s="7" t="s">
        <v>34</v>
      </c>
      <c r="G6" s="7" t="s">
        <v>35</v>
      </c>
      <c r="H6" s="7"/>
      <c r="I6" s="7"/>
      <c r="J6" s="7" t="s">
        <v>50</v>
      </c>
      <c r="K6" s="7" t="s">
        <v>79</v>
      </c>
      <c r="L6" s="7" t="s">
        <v>80</v>
      </c>
      <c r="M6" s="7" t="s">
        <v>81</v>
      </c>
      <c r="N6" s="7" t="s">
        <v>49</v>
      </c>
      <c r="O6" s="7">
        <v>1</v>
      </c>
      <c r="P6" s="7" t="s">
        <v>41</v>
      </c>
      <c r="Q6" s="7">
        <v>21.99</v>
      </c>
      <c r="R6" s="7"/>
      <c r="S6" s="7"/>
      <c r="T6" s="7"/>
      <c r="U6" s="7"/>
      <c r="V6" s="7"/>
      <c r="W6" s="7"/>
      <c r="X6" s="7"/>
      <c r="Y6" s="7" t="s">
        <v>82</v>
      </c>
      <c r="Z6" s="7" t="s">
        <v>83</v>
      </c>
      <c r="AA6" s="7" t="s">
        <v>84</v>
      </c>
      <c r="AB6" s="7" t="s">
        <v>45</v>
      </c>
      <c r="AC6" s="7"/>
      <c r="AD6" s="8"/>
      <c r="AE6" s="8"/>
      <c r="AF6" s="8"/>
      <c r="AG6" s="10">
        <f t="shared" si="0"/>
        <v>43311</v>
      </c>
    </row>
    <row r="7" spans="1:33">
      <c r="A7" s="7" t="s">
        <v>85</v>
      </c>
      <c r="B7" s="7" t="s">
        <v>85</v>
      </c>
      <c r="C7" s="7" t="s">
        <v>86</v>
      </c>
      <c r="D7" s="7" t="s">
        <v>87</v>
      </c>
      <c r="E7" s="7" t="s">
        <v>49</v>
      </c>
      <c r="F7" s="7" t="s">
        <v>34</v>
      </c>
      <c r="G7" s="7" t="s">
        <v>35</v>
      </c>
      <c r="H7" s="7"/>
      <c r="I7" s="7"/>
      <c r="J7" s="7" t="s">
        <v>50</v>
      </c>
      <c r="K7" s="7" t="s">
        <v>88</v>
      </c>
      <c r="L7" s="7" t="s">
        <v>89</v>
      </c>
      <c r="M7" s="7" t="s">
        <v>90</v>
      </c>
      <c r="N7" s="7" t="s">
        <v>49</v>
      </c>
      <c r="O7" s="7">
        <v>1</v>
      </c>
      <c r="P7" s="7" t="s">
        <v>41</v>
      </c>
      <c r="Q7" s="7">
        <v>89.99</v>
      </c>
      <c r="R7" s="7"/>
      <c r="S7" s="7"/>
      <c r="T7" s="7"/>
      <c r="U7" s="7"/>
      <c r="V7" s="7"/>
      <c r="W7" s="7"/>
      <c r="X7" s="7"/>
      <c r="Y7" s="7" t="s">
        <v>91</v>
      </c>
      <c r="Z7" s="7" t="s">
        <v>92</v>
      </c>
      <c r="AA7" s="7" t="s">
        <v>93</v>
      </c>
      <c r="AB7" s="7" t="s">
        <v>45</v>
      </c>
      <c r="AC7" s="7"/>
      <c r="AD7" s="8"/>
      <c r="AE7" s="8"/>
      <c r="AF7" s="8"/>
      <c r="AG7" s="10">
        <f t="shared" si="0"/>
        <v>43311</v>
      </c>
    </row>
    <row r="8" spans="1:33">
      <c r="A8" s="7" t="s">
        <v>94</v>
      </c>
      <c r="B8" s="7" t="s">
        <v>94</v>
      </c>
      <c r="C8" s="7" t="s">
        <v>95</v>
      </c>
      <c r="D8" s="7" t="s">
        <v>96</v>
      </c>
      <c r="E8" s="7" t="s">
        <v>49</v>
      </c>
      <c r="F8" s="7" t="s">
        <v>34</v>
      </c>
      <c r="G8" s="7" t="s">
        <v>35</v>
      </c>
      <c r="H8" s="7"/>
      <c r="I8" s="7"/>
      <c r="J8" s="7" t="s">
        <v>50</v>
      </c>
      <c r="K8" s="7" t="s">
        <v>88</v>
      </c>
      <c r="L8" s="7" t="s">
        <v>89</v>
      </c>
      <c r="M8" s="7" t="s">
        <v>90</v>
      </c>
      <c r="N8" s="7" t="s">
        <v>49</v>
      </c>
      <c r="O8" s="7">
        <v>1</v>
      </c>
      <c r="P8" s="7" t="s">
        <v>41</v>
      </c>
      <c r="Q8" s="7">
        <v>89.99</v>
      </c>
      <c r="R8" s="7"/>
      <c r="S8" s="7"/>
      <c r="T8" s="7"/>
      <c r="U8" s="7"/>
      <c r="V8" s="7"/>
      <c r="W8" s="7"/>
      <c r="X8" s="7"/>
      <c r="Y8" s="7" t="s">
        <v>97</v>
      </c>
      <c r="Z8" s="7" t="s">
        <v>98</v>
      </c>
      <c r="AA8" s="7" t="s">
        <v>99</v>
      </c>
      <c r="AB8" s="7" t="s">
        <v>45</v>
      </c>
      <c r="AC8" s="7"/>
      <c r="AD8" s="8"/>
      <c r="AE8" s="8"/>
      <c r="AF8" s="8"/>
      <c r="AG8" s="10">
        <f t="shared" si="0"/>
        <v>43311</v>
      </c>
    </row>
    <row r="9" spans="1:33">
      <c r="A9" s="7" t="s">
        <v>100</v>
      </c>
      <c r="B9" s="7" t="s">
        <v>100</v>
      </c>
      <c r="C9" s="7" t="s">
        <v>101</v>
      </c>
      <c r="D9" s="7" t="s">
        <v>102</v>
      </c>
      <c r="E9" s="7" t="s">
        <v>49</v>
      </c>
      <c r="F9" s="7" t="s">
        <v>34</v>
      </c>
      <c r="G9" s="7" t="s">
        <v>35</v>
      </c>
      <c r="H9" s="7"/>
      <c r="I9" s="7"/>
      <c r="J9" s="7" t="s">
        <v>50</v>
      </c>
      <c r="K9" s="7" t="s">
        <v>37</v>
      </c>
      <c r="L9" s="7" t="s">
        <v>38</v>
      </c>
      <c r="M9" s="7" t="s">
        <v>39</v>
      </c>
      <c r="N9" s="7" t="s">
        <v>49</v>
      </c>
      <c r="O9" s="7">
        <v>1</v>
      </c>
      <c r="P9" s="7" t="s">
        <v>41</v>
      </c>
      <c r="Q9" s="7">
        <v>89.99</v>
      </c>
      <c r="R9" s="7"/>
      <c r="S9" s="7"/>
      <c r="T9" s="7"/>
      <c r="U9" s="7"/>
      <c r="V9" s="7"/>
      <c r="W9" s="7"/>
      <c r="X9" s="7"/>
      <c r="Y9" s="7" t="s">
        <v>103</v>
      </c>
      <c r="Z9" s="7" t="s">
        <v>104</v>
      </c>
      <c r="AA9" s="7">
        <v>66061</v>
      </c>
      <c r="AB9" s="7" t="s">
        <v>45</v>
      </c>
      <c r="AC9" s="7"/>
      <c r="AD9" s="8"/>
      <c r="AE9" s="8"/>
      <c r="AF9" s="8"/>
      <c r="AG9" s="10">
        <f t="shared" si="0"/>
        <v>43311</v>
      </c>
    </row>
    <row r="10" spans="1:33">
      <c r="A10" s="7" t="s">
        <v>105</v>
      </c>
      <c r="B10" s="7" t="s">
        <v>105</v>
      </c>
      <c r="C10" s="7" t="s">
        <v>106</v>
      </c>
      <c r="D10" s="7" t="s">
        <v>107</v>
      </c>
      <c r="E10" s="7" t="s">
        <v>49</v>
      </c>
      <c r="F10" s="7" t="s">
        <v>34</v>
      </c>
      <c r="G10" s="7" t="s">
        <v>35</v>
      </c>
      <c r="H10" s="7"/>
      <c r="I10" s="7"/>
      <c r="J10" s="7" t="s">
        <v>50</v>
      </c>
      <c r="K10" s="7" t="s">
        <v>70</v>
      </c>
      <c r="L10" s="7" t="s">
        <v>71</v>
      </c>
      <c r="M10" s="7" t="s">
        <v>72</v>
      </c>
      <c r="N10" s="7" t="s">
        <v>49</v>
      </c>
      <c r="O10" s="7">
        <v>1</v>
      </c>
      <c r="P10" s="7" t="s">
        <v>41</v>
      </c>
      <c r="Q10" s="7">
        <v>98.99</v>
      </c>
      <c r="R10" s="7"/>
      <c r="S10" s="7"/>
      <c r="T10" s="7"/>
      <c r="U10" s="7"/>
      <c r="V10" s="7"/>
      <c r="W10" s="7"/>
      <c r="X10" s="7"/>
      <c r="Y10" s="7" t="s">
        <v>108</v>
      </c>
      <c r="Z10" s="7" t="s">
        <v>109</v>
      </c>
      <c r="AA10" s="7" t="s">
        <v>110</v>
      </c>
      <c r="AB10" s="7" t="s">
        <v>45</v>
      </c>
      <c r="AC10" s="7"/>
      <c r="AD10" s="8"/>
      <c r="AE10" s="8"/>
      <c r="AF10" s="8"/>
      <c r="AG10" s="10">
        <f t="shared" si="0"/>
        <v>43311</v>
      </c>
    </row>
    <row r="11" spans="1:33">
      <c r="A11" s="7" t="s">
        <v>111</v>
      </c>
      <c r="B11" s="7" t="s">
        <v>111</v>
      </c>
      <c r="C11" s="7" t="s">
        <v>112</v>
      </c>
      <c r="D11" s="7" t="s">
        <v>113</v>
      </c>
      <c r="E11" s="7" t="s">
        <v>49</v>
      </c>
      <c r="F11" s="7" t="s">
        <v>34</v>
      </c>
      <c r="G11" s="7" t="s">
        <v>35</v>
      </c>
      <c r="H11" s="7"/>
      <c r="I11" s="7"/>
      <c r="J11" s="7" t="s">
        <v>36</v>
      </c>
      <c r="K11" s="7" t="s">
        <v>60</v>
      </c>
      <c r="L11" s="7" t="s">
        <v>61</v>
      </c>
      <c r="M11" s="7" t="s">
        <v>62</v>
      </c>
      <c r="N11" s="7" t="s">
        <v>49</v>
      </c>
      <c r="O11" s="7">
        <v>1</v>
      </c>
      <c r="P11" s="7" t="s">
        <v>41</v>
      </c>
      <c r="Q11" s="7">
        <v>21.99</v>
      </c>
      <c r="R11" s="7"/>
      <c r="S11" s="7"/>
      <c r="T11" s="7"/>
      <c r="U11" s="7"/>
      <c r="V11" s="7"/>
      <c r="W11" s="7"/>
      <c r="X11" s="7"/>
      <c r="Y11" s="7" t="s">
        <v>114</v>
      </c>
      <c r="Z11" s="7" t="s">
        <v>115</v>
      </c>
      <c r="AA11" s="7" t="s">
        <v>116</v>
      </c>
      <c r="AB11" s="7" t="s">
        <v>45</v>
      </c>
      <c r="AC11" s="7"/>
      <c r="AD11" s="8"/>
      <c r="AE11" s="8"/>
      <c r="AF11" s="8"/>
      <c r="AG11" s="10">
        <f t="shared" si="0"/>
        <v>43311</v>
      </c>
    </row>
    <row r="12" spans="1:33">
      <c r="A12" s="7" t="s">
        <v>117</v>
      </c>
      <c r="B12" s="7" t="s">
        <v>117</v>
      </c>
      <c r="C12" s="7" t="s">
        <v>118</v>
      </c>
      <c r="D12" s="7" t="s">
        <v>119</v>
      </c>
      <c r="E12" s="7" t="s">
        <v>49</v>
      </c>
      <c r="F12" s="7" t="s">
        <v>34</v>
      </c>
      <c r="G12" s="7" t="s">
        <v>35</v>
      </c>
      <c r="H12" s="7"/>
      <c r="I12" s="7"/>
      <c r="J12" s="7" t="s">
        <v>50</v>
      </c>
      <c r="K12" s="7" t="s">
        <v>120</v>
      </c>
      <c r="L12" s="7" t="s">
        <v>121</v>
      </c>
      <c r="M12" s="7" t="s">
        <v>122</v>
      </c>
      <c r="N12" s="7" t="s">
        <v>49</v>
      </c>
      <c r="O12" s="7">
        <v>1</v>
      </c>
      <c r="P12" s="7" t="s">
        <v>41</v>
      </c>
      <c r="Q12" s="7">
        <v>29.99</v>
      </c>
      <c r="R12" s="7">
        <v>1.8</v>
      </c>
      <c r="S12" s="7"/>
      <c r="T12" s="7"/>
      <c r="U12" s="7"/>
      <c r="V12" s="7"/>
      <c r="W12" s="7"/>
      <c r="X12" s="7"/>
      <c r="Y12" s="7" t="s">
        <v>123</v>
      </c>
      <c r="Z12" s="7" t="s">
        <v>124</v>
      </c>
      <c r="AA12" s="7" t="s">
        <v>125</v>
      </c>
      <c r="AB12" s="7" t="s">
        <v>45</v>
      </c>
      <c r="AC12" s="7"/>
      <c r="AD12" s="8"/>
      <c r="AE12" s="8"/>
      <c r="AF12" s="8"/>
      <c r="AG12" s="10">
        <f t="shared" si="0"/>
        <v>43311</v>
      </c>
    </row>
    <row r="13" spans="1:33">
      <c r="A13" s="7" t="s">
        <v>126</v>
      </c>
      <c r="B13" s="7" t="s">
        <v>126</v>
      </c>
      <c r="C13" s="7" t="s">
        <v>127</v>
      </c>
      <c r="D13" s="7" t="s">
        <v>128</v>
      </c>
      <c r="E13" s="7" t="s">
        <v>49</v>
      </c>
      <c r="F13" s="7" t="s">
        <v>34</v>
      </c>
      <c r="G13" s="7" t="s">
        <v>35</v>
      </c>
      <c r="H13" s="7"/>
      <c r="I13" s="7"/>
      <c r="J13" s="7" t="s">
        <v>50</v>
      </c>
      <c r="K13" s="7" t="s">
        <v>129</v>
      </c>
      <c r="L13" s="7" t="s">
        <v>130</v>
      </c>
      <c r="M13" s="7" t="s">
        <v>131</v>
      </c>
      <c r="N13" s="7" t="s">
        <v>49</v>
      </c>
      <c r="O13" s="7">
        <v>1</v>
      </c>
      <c r="P13" s="7" t="s">
        <v>41</v>
      </c>
      <c r="Q13" s="7">
        <v>79.99</v>
      </c>
      <c r="R13" s="7"/>
      <c r="S13" s="7"/>
      <c r="T13" s="7"/>
      <c r="U13" s="7"/>
      <c r="V13" s="7"/>
      <c r="W13" s="7"/>
      <c r="X13" s="7"/>
      <c r="Y13" s="7" t="s">
        <v>132</v>
      </c>
      <c r="Z13" s="7" t="s">
        <v>55</v>
      </c>
      <c r="AA13" s="7">
        <v>24739</v>
      </c>
      <c r="AB13" s="7" t="s">
        <v>45</v>
      </c>
      <c r="AC13" s="7"/>
      <c r="AD13" s="8"/>
      <c r="AE13" s="8"/>
      <c r="AF13" s="8"/>
      <c r="AG13" s="10">
        <f t="shared" si="0"/>
        <v>43311</v>
      </c>
    </row>
    <row r="14" spans="1:33">
      <c r="A14" s="7" t="s">
        <v>133</v>
      </c>
      <c r="B14" s="7" t="s">
        <v>133</v>
      </c>
      <c r="C14" s="7" t="s">
        <v>134</v>
      </c>
      <c r="D14" s="7" t="s">
        <v>135</v>
      </c>
      <c r="E14" s="7" t="s">
        <v>49</v>
      </c>
      <c r="F14" s="7" t="s">
        <v>34</v>
      </c>
      <c r="G14" s="7" t="s">
        <v>35</v>
      </c>
      <c r="H14" s="7"/>
      <c r="I14" s="7"/>
      <c r="J14" s="7" t="s">
        <v>50</v>
      </c>
      <c r="K14" s="7" t="s">
        <v>60</v>
      </c>
      <c r="L14" s="7" t="s">
        <v>61</v>
      </c>
      <c r="M14" s="7" t="s">
        <v>62</v>
      </c>
      <c r="N14" s="7" t="s">
        <v>49</v>
      </c>
      <c r="O14" s="7">
        <v>1</v>
      </c>
      <c r="P14" s="7" t="s">
        <v>41</v>
      </c>
      <c r="Q14" s="7">
        <v>21.99</v>
      </c>
      <c r="R14" s="7"/>
      <c r="S14" s="7"/>
      <c r="T14" s="7"/>
      <c r="U14" s="7"/>
      <c r="V14" s="7"/>
      <c r="W14" s="7"/>
      <c r="X14" s="7"/>
      <c r="Y14" s="7" t="s">
        <v>136</v>
      </c>
      <c r="Z14" s="7" t="s">
        <v>137</v>
      </c>
      <c r="AA14" s="7" t="s">
        <v>138</v>
      </c>
      <c r="AB14" s="7" t="s">
        <v>45</v>
      </c>
      <c r="AC14" s="7"/>
      <c r="AD14" s="8"/>
      <c r="AE14" s="8"/>
      <c r="AF14" s="8"/>
      <c r="AG14" s="10">
        <f t="shared" si="0"/>
        <v>43311</v>
      </c>
    </row>
    <row r="15" spans="1:33">
      <c r="A15" s="7" t="s">
        <v>139</v>
      </c>
      <c r="B15" s="7" t="s">
        <v>139</v>
      </c>
      <c r="C15" s="7" t="s">
        <v>140</v>
      </c>
      <c r="D15" s="7" t="s">
        <v>141</v>
      </c>
      <c r="E15" s="7" t="s">
        <v>49</v>
      </c>
      <c r="F15" s="7" t="s">
        <v>34</v>
      </c>
      <c r="G15" s="7" t="s">
        <v>35</v>
      </c>
      <c r="H15" s="7"/>
      <c r="I15" s="7"/>
      <c r="J15" s="7" t="s">
        <v>50</v>
      </c>
      <c r="K15" s="7" t="s">
        <v>142</v>
      </c>
      <c r="L15" s="7" t="s">
        <v>143</v>
      </c>
      <c r="M15" s="7" t="s">
        <v>144</v>
      </c>
      <c r="N15" s="7" t="s">
        <v>49</v>
      </c>
      <c r="O15" s="7">
        <v>1</v>
      </c>
      <c r="P15" s="7" t="s">
        <v>41</v>
      </c>
      <c r="Q15" s="7">
        <v>79.99</v>
      </c>
      <c r="R15" s="7">
        <v>8</v>
      </c>
      <c r="S15" s="7"/>
      <c r="T15" s="7"/>
      <c r="U15" s="7"/>
      <c r="V15" s="7"/>
      <c r="W15" s="7"/>
      <c r="X15" s="7"/>
      <c r="Y15" s="7" t="s">
        <v>145</v>
      </c>
      <c r="Z15" s="7" t="s">
        <v>146</v>
      </c>
      <c r="AA15" s="7" t="s">
        <v>147</v>
      </c>
      <c r="AB15" s="7" t="s">
        <v>45</v>
      </c>
      <c r="AC15" s="7"/>
      <c r="AD15" s="8"/>
      <c r="AE15" s="8"/>
      <c r="AF15" s="8"/>
      <c r="AG15" s="10">
        <f t="shared" si="0"/>
        <v>43311</v>
      </c>
    </row>
    <row r="16" spans="1:33">
      <c r="A16" s="7" t="s">
        <v>148</v>
      </c>
      <c r="B16" s="7" t="s">
        <v>148</v>
      </c>
      <c r="C16" s="7" t="s">
        <v>149</v>
      </c>
      <c r="D16" s="7" t="s">
        <v>150</v>
      </c>
      <c r="E16" s="7" t="s">
        <v>33</v>
      </c>
      <c r="F16" s="7" t="s">
        <v>34</v>
      </c>
      <c r="G16" s="7" t="s">
        <v>35</v>
      </c>
      <c r="H16" s="7"/>
      <c r="I16" s="7"/>
      <c r="J16" s="7" t="s">
        <v>151</v>
      </c>
      <c r="K16" s="7" t="s">
        <v>152</v>
      </c>
      <c r="L16" s="7" t="s">
        <v>153</v>
      </c>
      <c r="M16" s="7" t="s">
        <v>154</v>
      </c>
      <c r="N16" s="7" t="s">
        <v>33</v>
      </c>
      <c r="O16" s="7">
        <v>0</v>
      </c>
      <c r="P16" s="7"/>
      <c r="Q16" s="7"/>
      <c r="R16" s="7"/>
      <c r="S16" s="7"/>
      <c r="T16" s="7"/>
      <c r="U16" s="7"/>
      <c r="V16" s="7"/>
      <c r="W16" s="7"/>
      <c r="X16" s="7"/>
      <c r="Y16" s="7" t="s">
        <v>155</v>
      </c>
      <c r="Z16" s="7" t="s">
        <v>156</v>
      </c>
      <c r="AA16" s="7">
        <v>11735</v>
      </c>
      <c r="AB16" s="7" t="s">
        <v>45</v>
      </c>
      <c r="AC16" s="7"/>
      <c r="AD16" s="8"/>
      <c r="AE16" s="8"/>
      <c r="AF16" s="8"/>
      <c r="AG16" s="10">
        <f t="shared" si="0"/>
        <v>43311</v>
      </c>
    </row>
    <row r="17" spans="1:33">
      <c r="A17" s="7" t="s">
        <v>157</v>
      </c>
      <c r="B17" s="7" t="s">
        <v>157</v>
      </c>
      <c r="C17" s="7" t="s">
        <v>158</v>
      </c>
      <c r="D17" s="7" t="s">
        <v>159</v>
      </c>
      <c r="E17" s="7" t="s">
        <v>49</v>
      </c>
      <c r="F17" s="7" t="s">
        <v>34</v>
      </c>
      <c r="G17" s="7" t="s">
        <v>35</v>
      </c>
      <c r="H17" s="7"/>
      <c r="I17" s="7"/>
      <c r="J17" s="7" t="s">
        <v>50</v>
      </c>
      <c r="K17" s="7" t="s">
        <v>160</v>
      </c>
      <c r="L17" s="7" t="s">
        <v>161</v>
      </c>
      <c r="M17" s="7" t="s">
        <v>162</v>
      </c>
      <c r="N17" s="7" t="s">
        <v>49</v>
      </c>
      <c r="O17" s="7">
        <v>1</v>
      </c>
      <c r="P17" s="7" t="s">
        <v>41</v>
      </c>
      <c r="Q17" s="7">
        <v>89.99</v>
      </c>
      <c r="R17" s="7"/>
      <c r="S17" s="7"/>
      <c r="T17" s="7"/>
      <c r="U17" s="7"/>
      <c r="V17" s="7"/>
      <c r="W17" s="7"/>
      <c r="X17" s="7"/>
      <c r="Y17" s="7" t="s">
        <v>163</v>
      </c>
      <c r="Z17" s="7" t="s">
        <v>164</v>
      </c>
      <c r="AA17" s="7" t="s">
        <v>165</v>
      </c>
      <c r="AB17" s="7" t="s">
        <v>45</v>
      </c>
      <c r="AC17" s="7"/>
      <c r="AD17" s="8"/>
      <c r="AE17" s="8"/>
      <c r="AF17" s="8"/>
      <c r="AG17" s="10">
        <f t="shared" si="0"/>
        <v>43311</v>
      </c>
    </row>
    <row r="18" spans="1:33">
      <c r="A18" s="7" t="s">
        <v>166</v>
      </c>
      <c r="B18" s="7" t="s">
        <v>166</v>
      </c>
      <c r="C18" s="7" t="s">
        <v>167</v>
      </c>
      <c r="D18" s="7" t="s">
        <v>168</v>
      </c>
      <c r="E18" s="7" t="s">
        <v>49</v>
      </c>
      <c r="F18" s="7" t="s">
        <v>34</v>
      </c>
      <c r="G18" s="7" t="s">
        <v>35</v>
      </c>
      <c r="H18" s="7"/>
      <c r="I18" s="7"/>
      <c r="J18" s="7" t="s">
        <v>50</v>
      </c>
      <c r="K18" s="7" t="s">
        <v>169</v>
      </c>
      <c r="L18" s="7" t="s">
        <v>170</v>
      </c>
      <c r="M18" s="7" t="s">
        <v>171</v>
      </c>
      <c r="N18" s="7" t="s">
        <v>49</v>
      </c>
      <c r="O18" s="7">
        <v>1</v>
      </c>
      <c r="P18" s="7" t="s">
        <v>41</v>
      </c>
      <c r="Q18" s="7">
        <v>89.99</v>
      </c>
      <c r="R18" s="7"/>
      <c r="S18" s="7"/>
      <c r="T18" s="7"/>
      <c r="U18" s="7"/>
      <c r="V18" s="7"/>
      <c r="W18" s="7"/>
      <c r="X18" s="7"/>
      <c r="Y18" s="7" t="s">
        <v>172</v>
      </c>
      <c r="Z18" s="7" t="s">
        <v>98</v>
      </c>
      <c r="AA18" s="7" t="s">
        <v>173</v>
      </c>
      <c r="AB18" s="7" t="s">
        <v>45</v>
      </c>
      <c r="AC18" s="7"/>
      <c r="AD18" s="8"/>
      <c r="AE18" s="8"/>
      <c r="AF18" s="8"/>
      <c r="AG18" s="10">
        <f t="shared" si="0"/>
        <v>43311</v>
      </c>
    </row>
    <row r="19" spans="1:33">
      <c r="A19" s="7" t="s">
        <v>174</v>
      </c>
      <c r="B19" s="7" t="s">
        <v>174</v>
      </c>
      <c r="C19" s="7" t="s">
        <v>175</v>
      </c>
      <c r="D19" s="7" t="s">
        <v>176</v>
      </c>
      <c r="E19" s="7" t="s">
        <v>49</v>
      </c>
      <c r="F19" s="7" t="s">
        <v>34</v>
      </c>
      <c r="G19" s="7" t="s">
        <v>35</v>
      </c>
      <c r="H19" s="7"/>
      <c r="I19" s="7"/>
      <c r="J19" s="7" t="s">
        <v>50</v>
      </c>
      <c r="K19" s="7" t="s">
        <v>169</v>
      </c>
      <c r="L19" s="7" t="s">
        <v>170</v>
      </c>
      <c r="M19" s="7" t="s">
        <v>171</v>
      </c>
      <c r="N19" s="7" t="s">
        <v>49</v>
      </c>
      <c r="O19" s="7">
        <v>1</v>
      </c>
      <c r="P19" s="7" t="s">
        <v>41</v>
      </c>
      <c r="Q19" s="7">
        <v>89.99</v>
      </c>
      <c r="R19" s="7"/>
      <c r="S19" s="7"/>
      <c r="T19" s="7"/>
      <c r="U19" s="7"/>
      <c r="V19" s="7"/>
      <c r="W19" s="7"/>
      <c r="X19" s="7"/>
      <c r="Y19" s="7" t="s">
        <v>177</v>
      </c>
      <c r="Z19" s="7" t="s">
        <v>178</v>
      </c>
      <c r="AA19" s="7" t="s">
        <v>179</v>
      </c>
      <c r="AB19" s="7" t="s">
        <v>45</v>
      </c>
      <c r="AC19" s="7"/>
      <c r="AD19" s="8"/>
      <c r="AE19" s="8"/>
      <c r="AF19" s="8"/>
      <c r="AG19" s="10">
        <f t="shared" si="0"/>
        <v>43311</v>
      </c>
    </row>
    <row r="20" spans="1:33">
      <c r="A20" s="7" t="s">
        <v>180</v>
      </c>
      <c r="B20" s="7" t="s">
        <v>180</v>
      </c>
      <c r="C20" s="7" t="s">
        <v>181</v>
      </c>
      <c r="D20" s="7" t="s">
        <v>182</v>
      </c>
      <c r="E20" s="7" t="s">
        <v>49</v>
      </c>
      <c r="F20" s="7" t="s">
        <v>34</v>
      </c>
      <c r="G20" s="7" t="s">
        <v>35</v>
      </c>
      <c r="H20" s="7"/>
      <c r="I20" s="7"/>
      <c r="J20" s="7" t="s">
        <v>50</v>
      </c>
      <c r="K20" s="7" t="s">
        <v>88</v>
      </c>
      <c r="L20" s="7" t="s">
        <v>89</v>
      </c>
      <c r="M20" s="7" t="s">
        <v>90</v>
      </c>
      <c r="N20" s="7" t="s">
        <v>49</v>
      </c>
      <c r="O20" s="7">
        <v>1</v>
      </c>
      <c r="P20" s="7" t="s">
        <v>41</v>
      </c>
      <c r="Q20" s="7">
        <v>89.99</v>
      </c>
      <c r="R20" s="7"/>
      <c r="S20" s="7"/>
      <c r="T20" s="7"/>
      <c r="U20" s="7"/>
      <c r="V20" s="7"/>
      <c r="W20" s="7"/>
      <c r="X20" s="7"/>
      <c r="Y20" s="7" t="s">
        <v>183</v>
      </c>
      <c r="Z20" s="7" t="s">
        <v>184</v>
      </c>
      <c r="AA20" s="7" t="s">
        <v>185</v>
      </c>
      <c r="AB20" s="7" t="s">
        <v>45</v>
      </c>
      <c r="AC20" s="7"/>
      <c r="AD20" s="8"/>
      <c r="AE20" s="8"/>
      <c r="AF20" s="8"/>
      <c r="AG20" s="10">
        <f t="shared" si="0"/>
        <v>43311</v>
      </c>
    </row>
    <row r="21" spans="1:33">
      <c r="A21" s="7" t="s">
        <v>186</v>
      </c>
      <c r="B21" s="7" t="s">
        <v>186</v>
      </c>
      <c r="C21" s="7" t="s">
        <v>187</v>
      </c>
      <c r="D21" s="7" t="s">
        <v>188</v>
      </c>
      <c r="E21" s="7" t="s">
        <v>49</v>
      </c>
      <c r="F21" s="7" t="s">
        <v>34</v>
      </c>
      <c r="G21" s="7" t="s">
        <v>35</v>
      </c>
      <c r="H21" s="7"/>
      <c r="I21" s="7"/>
      <c r="J21" s="7" t="s">
        <v>50</v>
      </c>
      <c r="K21" s="7" t="s">
        <v>189</v>
      </c>
      <c r="L21" s="7" t="s">
        <v>190</v>
      </c>
      <c r="M21" s="7" t="s">
        <v>191</v>
      </c>
      <c r="N21" s="7" t="s">
        <v>49</v>
      </c>
      <c r="O21" s="7">
        <v>1</v>
      </c>
      <c r="P21" s="7" t="s">
        <v>41</v>
      </c>
      <c r="Q21" s="7">
        <v>79.99</v>
      </c>
      <c r="R21" s="7">
        <v>4.8</v>
      </c>
      <c r="S21" s="7"/>
      <c r="T21" s="7"/>
      <c r="U21" s="7"/>
      <c r="V21" s="7"/>
      <c r="W21" s="7"/>
      <c r="X21" s="7"/>
      <c r="Y21" s="7" t="s">
        <v>192</v>
      </c>
      <c r="Z21" s="7" t="s">
        <v>124</v>
      </c>
      <c r="AA21" s="7" t="s">
        <v>193</v>
      </c>
      <c r="AB21" s="7" t="s">
        <v>45</v>
      </c>
      <c r="AC21" s="7"/>
      <c r="AD21" s="8"/>
      <c r="AE21" s="8"/>
      <c r="AF21" s="8"/>
      <c r="AG21" s="10">
        <f t="shared" si="0"/>
        <v>43311</v>
      </c>
    </row>
    <row r="22" spans="1:33">
      <c r="A22" s="7" t="s">
        <v>194</v>
      </c>
      <c r="B22" s="7" t="s">
        <v>194</v>
      </c>
      <c r="C22" s="7" t="s">
        <v>195</v>
      </c>
      <c r="D22" s="7" t="s">
        <v>196</v>
      </c>
      <c r="E22" s="7" t="s">
        <v>49</v>
      </c>
      <c r="F22" s="7" t="s">
        <v>34</v>
      </c>
      <c r="G22" s="7" t="s">
        <v>35</v>
      </c>
      <c r="H22" s="7"/>
      <c r="I22" s="7"/>
      <c r="J22" s="7" t="s">
        <v>50</v>
      </c>
      <c r="K22" s="7" t="s">
        <v>197</v>
      </c>
      <c r="L22" s="7" t="s">
        <v>198</v>
      </c>
      <c r="M22" s="7" t="s">
        <v>199</v>
      </c>
      <c r="N22" s="7" t="s">
        <v>49</v>
      </c>
      <c r="O22" s="7">
        <v>1</v>
      </c>
      <c r="P22" s="7" t="s">
        <v>41</v>
      </c>
      <c r="Q22" s="7">
        <v>21.99</v>
      </c>
      <c r="R22" s="7"/>
      <c r="S22" s="7"/>
      <c r="T22" s="7"/>
      <c r="U22" s="7"/>
      <c r="V22" s="7"/>
      <c r="W22" s="7">
        <v>21.77</v>
      </c>
      <c r="X22" s="7"/>
      <c r="Y22" s="7" t="s">
        <v>200</v>
      </c>
      <c r="Z22" s="7" t="s">
        <v>92</v>
      </c>
      <c r="AA22" s="7" t="s">
        <v>201</v>
      </c>
      <c r="AB22" s="7" t="s">
        <v>45</v>
      </c>
      <c r="AC22" s="7" t="s">
        <v>66</v>
      </c>
      <c r="AD22" s="8"/>
      <c r="AE22" s="8"/>
      <c r="AF22" s="8"/>
      <c r="AG22" s="10">
        <f t="shared" si="0"/>
        <v>43311</v>
      </c>
    </row>
    <row r="23" spans="1:33">
      <c r="A23" s="7" t="s">
        <v>202</v>
      </c>
      <c r="B23" s="7" t="s">
        <v>202</v>
      </c>
      <c r="C23" s="7" t="s">
        <v>203</v>
      </c>
      <c r="D23" s="7" t="s">
        <v>204</v>
      </c>
      <c r="E23" s="7" t="s">
        <v>49</v>
      </c>
      <c r="F23" s="7" t="s">
        <v>34</v>
      </c>
      <c r="G23" s="7" t="s">
        <v>35</v>
      </c>
      <c r="H23" s="7"/>
      <c r="I23" s="7"/>
      <c r="J23" s="7" t="s">
        <v>50</v>
      </c>
      <c r="K23" s="7" t="s">
        <v>60</v>
      </c>
      <c r="L23" s="7" t="s">
        <v>61</v>
      </c>
      <c r="M23" s="7" t="s">
        <v>62</v>
      </c>
      <c r="N23" s="7" t="s">
        <v>49</v>
      </c>
      <c r="O23" s="7">
        <v>1</v>
      </c>
      <c r="P23" s="7" t="s">
        <v>41</v>
      </c>
      <c r="Q23" s="7">
        <v>21.99</v>
      </c>
      <c r="R23" s="7"/>
      <c r="S23" s="7"/>
      <c r="T23" s="7"/>
      <c r="U23" s="7"/>
      <c r="V23" s="7"/>
      <c r="W23" s="7"/>
      <c r="X23" s="7"/>
      <c r="Y23" s="7" t="s">
        <v>205</v>
      </c>
      <c r="Z23" s="7" t="s">
        <v>206</v>
      </c>
      <c r="AA23" s="7" t="s">
        <v>207</v>
      </c>
      <c r="AB23" s="7" t="s">
        <v>45</v>
      </c>
      <c r="AC23" s="7"/>
      <c r="AD23" s="8"/>
      <c r="AE23" s="8"/>
      <c r="AF23" s="8"/>
      <c r="AG23" s="10">
        <f t="shared" si="0"/>
        <v>43311</v>
      </c>
    </row>
    <row r="24" spans="1:33">
      <c r="A24" s="7" t="s">
        <v>202</v>
      </c>
      <c r="B24" s="7" t="s">
        <v>202</v>
      </c>
      <c r="C24" s="7" t="s">
        <v>203</v>
      </c>
      <c r="D24" s="7" t="s">
        <v>204</v>
      </c>
      <c r="E24" s="7" t="s">
        <v>49</v>
      </c>
      <c r="F24" s="7" t="s">
        <v>34</v>
      </c>
      <c r="G24" s="7" t="s">
        <v>35</v>
      </c>
      <c r="H24" s="7"/>
      <c r="I24" s="7"/>
      <c r="J24" s="7" t="s">
        <v>50</v>
      </c>
      <c r="K24" s="7" t="s">
        <v>208</v>
      </c>
      <c r="L24" s="7" t="s">
        <v>209</v>
      </c>
      <c r="M24" s="7" t="s">
        <v>210</v>
      </c>
      <c r="N24" s="7" t="s">
        <v>49</v>
      </c>
      <c r="O24" s="7">
        <v>1</v>
      </c>
      <c r="P24" s="7" t="s">
        <v>41</v>
      </c>
      <c r="Q24" s="7">
        <v>89.99</v>
      </c>
      <c r="R24" s="7"/>
      <c r="S24" s="7"/>
      <c r="T24" s="7"/>
      <c r="U24" s="7"/>
      <c r="V24" s="7"/>
      <c r="W24" s="7"/>
      <c r="X24" s="7"/>
      <c r="Y24" s="7" t="s">
        <v>205</v>
      </c>
      <c r="Z24" s="7" t="s">
        <v>206</v>
      </c>
      <c r="AA24" s="7" t="s">
        <v>207</v>
      </c>
      <c r="AB24" s="7" t="s">
        <v>45</v>
      </c>
      <c r="AC24" s="7"/>
      <c r="AD24" s="8"/>
      <c r="AE24" s="8"/>
      <c r="AF24" s="8"/>
      <c r="AG24" s="10">
        <f t="shared" si="0"/>
        <v>43311</v>
      </c>
    </row>
    <row r="25" spans="1:33">
      <c r="A25" s="7" t="s">
        <v>211</v>
      </c>
      <c r="B25" s="7" t="s">
        <v>211</v>
      </c>
      <c r="C25" s="7" t="s">
        <v>212</v>
      </c>
      <c r="D25" s="7" t="s">
        <v>213</v>
      </c>
      <c r="E25" s="7" t="s">
        <v>33</v>
      </c>
      <c r="F25" s="7" t="s">
        <v>34</v>
      </c>
      <c r="G25" s="7" t="s">
        <v>35</v>
      </c>
      <c r="H25" s="7"/>
      <c r="I25" s="7"/>
      <c r="J25" s="7" t="s">
        <v>36</v>
      </c>
      <c r="K25" s="7" t="s">
        <v>37</v>
      </c>
      <c r="L25" s="7" t="s">
        <v>38</v>
      </c>
      <c r="M25" s="7" t="s">
        <v>39</v>
      </c>
      <c r="N25" s="7" t="s">
        <v>40</v>
      </c>
      <c r="O25" s="7">
        <v>1</v>
      </c>
      <c r="P25" s="7" t="s">
        <v>41</v>
      </c>
      <c r="Q25" s="7">
        <v>89.99</v>
      </c>
      <c r="R25" s="7"/>
      <c r="S25" s="7"/>
      <c r="T25" s="7"/>
      <c r="U25" s="7"/>
      <c r="V25" s="7"/>
      <c r="W25" s="7"/>
      <c r="X25" s="7"/>
      <c r="Y25" s="7" t="s">
        <v>42</v>
      </c>
      <c r="Z25" s="7" t="s">
        <v>43</v>
      </c>
      <c r="AA25" s="7" t="s">
        <v>44</v>
      </c>
      <c r="AB25" s="7" t="s">
        <v>45</v>
      </c>
      <c r="AC25" s="7"/>
      <c r="AD25" s="8"/>
      <c r="AE25" s="8"/>
      <c r="AF25" s="8"/>
      <c r="AG25" s="10">
        <f t="shared" si="0"/>
        <v>43312</v>
      </c>
    </row>
    <row r="26" spans="1:33">
      <c r="A26" s="7" t="s">
        <v>214</v>
      </c>
      <c r="B26" s="7" t="s">
        <v>214</v>
      </c>
      <c r="C26" s="7" t="s">
        <v>215</v>
      </c>
      <c r="D26" s="7" t="s">
        <v>216</v>
      </c>
      <c r="E26" s="7" t="s">
        <v>49</v>
      </c>
      <c r="F26" s="7" t="s">
        <v>34</v>
      </c>
      <c r="G26" s="7" t="s">
        <v>35</v>
      </c>
      <c r="H26" s="7"/>
      <c r="I26" s="7"/>
      <c r="J26" s="7" t="s">
        <v>36</v>
      </c>
      <c r="K26" s="7" t="s">
        <v>217</v>
      </c>
      <c r="L26" s="7" t="s">
        <v>218</v>
      </c>
      <c r="M26" s="7" t="s">
        <v>219</v>
      </c>
      <c r="N26" s="7" t="s">
        <v>49</v>
      </c>
      <c r="O26" s="7">
        <v>1</v>
      </c>
      <c r="P26" s="7" t="s">
        <v>41</v>
      </c>
      <c r="Q26" s="7">
        <v>29.99</v>
      </c>
      <c r="R26" s="7"/>
      <c r="S26" s="7">
        <v>7.45</v>
      </c>
      <c r="T26" s="7"/>
      <c r="U26" s="7"/>
      <c r="V26" s="7"/>
      <c r="W26" s="7"/>
      <c r="X26" s="7"/>
      <c r="Y26" s="7" t="s">
        <v>220</v>
      </c>
      <c r="Z26" s="7" t="s">
        <v>221</v>
      </c>
      <c r="AA26" s="7" t="s">
        <v>222</v>
      </c>
      <c r="AB26" s="7" t="s">
        <v>45</v>
      </c>
      <c r="AC26" s="7"/>
      <c r="AD26" s="8"/>
      <c r="AE26" s="8"/>
      <c r="AF26" s="8"/>
      <c r="AG26" s="10">
        <f t="shared" si="0"/>
        <v>43312</v>
      </c>
    </row>
    <row r="27" spans="1:33">
      <c r="A27" s="7" t="s">
        <v>223</v>
      </c>
      <c r="B27" s="7" t="s">
        <v>223</v>
      </c>
      <c r="C27" s="7" t="s">
        <v>224</v>
      </c>
      <c r="D27" s="7" t="s">
        <v>225</v>
      </c>
      <c r="E27" s="7" t="s">
        <v>49</v>
      </c>
      <c r="F27" s="7" t="s">
        <v>34</v>
      </c>
      <c r="G27" s="7" t="s">
        <v>35</v>
      </c>
      <c r="H27" s="7"/>
      <c r="I27" s="7"/>
      <c r="J27" s="7" t="s">
        <v>50</v>
      </c>
      <c r="K27" s="7" t="s">
        <v>226</v>
      </c>
      <c r="L27" s="7" t="s">
        <v>227</v>
      </c>
      <c r="M27" s="7" t="s">
        <v>228</v>
      </c>
      <c r="N27" s="7" t="s">
        <v>49</v>
      </c>
      <c r="O27" s="7">
        <v>1</v>
      </c>
      <c r="P27" s="7" t="s">
        <v>41</v>
      </c>
      <c r="Q27" s="7">
        <v>85.99</v>
      </c>
      <c r="R27" s="7"/>
      <c r="S27" s="7">
        <v>14.21</v>
      </c>
      <c r="T27" s="7"/>
      <c r="U27" s="7"/>
      <c r="V27" s="7"/>
      <c r="W27" s="7"/>
      <c r="X27" s="7"/>
      <c r="Y27" s="7" t="s">
        <v>229</v>
      </c>
      <c r="Z27" s="7" t="s">
        <v>230</v>
      </c>
      <c r="AA27" s="7" t="s">
        <v>231</v>
      </c>
      <c r="AB27" s="7" t="s">
        <v>45</v>
      </c>
      <c r="AC27" s="7"/>
      <c r="AD27" s="8"/>
      <c r="AE27" s="8"/>
      <c r="AF27" s="8"/>
      <c r="AG27" s="10">
        <f t="shared" si="0"/>
        <v>43312</v>
      </c>
    </row>
    <row r="28" spans="1:33">
      <c r="A28" s="7" t="s">
        <v>232</v>
      </c>
      <c r="B28" s="7" t="s">
        <v>232</v>
      </c>
      <c r="C28" s="7" t="s">
        <v>233</v>
      </c>
      <c r="D28" s="7" t="s">
        <v>234</v>
      </c>
      <c r="E28" s="7" t="s">
        <v>49</v>
      </c>
      <c r="F28" s="7" t="s">
        <v>34</v>
      </c>
      <c r="G28" s="7" t="s">
        <v>35</v>
      </c>
      <c r="H28" s="7"/>
      <c r="I28" s="7"/>
      <c r="J28" s="7" t="s">
        <v>50</v>
      </c>
      <c r="K28" s="7" t="s">
        <v>235</v>
      </c>
      <c r="L28" s="7" t="s">
        <v>236</v>
      </c>
      <c r="M28" s="7" t="s">
        <v>237</v>
      </c>
      <c r="N28" s="7" t="s">
        <v>49</v>
      </c>
      <c r="O28" s="7">
        <v>1</v>
      </c>
      <c r="P28" s="7" t="s">
        <v>41</v>
      </c>
      <c r="Q28" s="7">
        <v>99.99</v>
      </c>
      <c r="R28" s="7"/>
      <c r="S28" s="7"/>
      <c r="T28" s="7"/>
      <c r="U28" s="7"/>
      <c r="V28" s="7"/>
      <c r="W28" s="7"/>
      <c r="X28" s="7"/>
      <c r="Y28" s="7" t="s">
        <v>238</v>
      </c>
      <c r="Z28" s="7" t="s">
        <v>178</v>
      </c>
      <c r="AA28" s="7" t="s">
        <v>239</v>
      </c>
      <c r="AB28" s="7" t="s">
        <v>45</v>
      </c>
      <c r="AC28" s="7"/>
      <c r="AD28" s="8"/>
      <c r="AE28" s="8"/>
      <c r="AF28" s="8"/>
      <c r="AG28" s="10">
        <f t="shared" si="0"/>
        <v>43312</v>
      </c>
    </row>
    <row r="29" spans="1:33">
      <c r="A29" s="7" t="s">
        <v>240</v>
      </c>
      <c r="B29" s="7" t="s">
        <v>240</v>
      </c>
      <c r="C29" s="7" t="s">
        <v>241</v>
      </c>
      <c r="D29" s="7" t="s">
        <v>242</v>
      </c>
      <c r="E29" s="7" t="s">
        <v>49</v>
      </c>
      <c r="F29" s="7" t="s">
        <v>34</v>
      </c>
      <c r="G29" s="7" t="s">
        <v>35</v>
      </c>
      <c r="H29" s="7"/>
      <c r="I29" s="7"/>
      <c r="J29" s="7" t="s">
        <v>50</v>
      </c>
      <c r="K29" s="7" t="s">
        <v>169</v>
      </c>
      <c r="L29" s="7" t="s">
        <v>170</v>
      </c>
      <c r="M29" s="7" t="s">
        <v>171</v>
      </c>
      <c r="N29" s="7" t="s">
        <v>49</v>
      </c>
      <c r="O29" s="7">
        <v>1</v>
      </c>
      <c r="P29" s="7" t="s">
        <v>41</v>
      </c>
      <c r="Q29" s="7">
        <v>89.99</v>
      </c>
      <c r="R29" s="7"/>
      <c r="S29" s="7"/>
      <c r="T29" s="7"/>
      <c r="U29" s="7"/>
      <c r="V29" s="7"/>
      <c r="W29" s="7"/>
      <c r="X29" s="7"/>
      <c r="Y29" s="7" t="s">
        <v>243</v>
      </c>
      <c r="Z29" s="7" t="s">
        <v>64</v>
      </c>
      <c r="AA29" s="7" t="s">
        <v>244</v>
      </c>
      <c r="AB29" s="7" t="s">
        <v>45</v>
      </c>
      <c r="AC29" s="7"/>
      <c r="AD29" s="8"/>
      <c r="AE29" s="8"/>
      <c r="AF29" s="8"/>
      <c r="AG29" s="10">
        <f t="shared" si="0"/>
        <v>43312</v>
      </c>
    </row>
    <row r="30" spans="1:33">
      <c r="A30" s="7" t="s">
        <v>245</v>
      </c>
      <c r="B30" s="7" t="s">
        <v>245</v>
      </c>
      <c r="C30" s="7" t="s">
        <v>246</v>
      </c>
      <c r="D30" s="7" t="s">
        <v>247</v>
      </c>
      <c r="E30" s="7" t="s">
        <v>49</v>
      </c>
      <c r="F30" s="7" t="s">
        <v>34</v>
      </c>
      <c r="G30" s="7" t="s">
        <v>35</v>
      </c>
      <c r="H30" s="7"/>
      <c r="I30" s="7"/>
      <c r="J30" s="7" t="s">
        <v>50</v>
      </c>
      <c r="K30" s="7" t="s">
        <v>248</v>
      </c>
      <c r="L30" s="7" t="s">
        <v>249</v>
      </c>
      <c r="M30" s="7" t="s">
        <v>250</v>
      </c>
      <c r="N30" s="7" t="s">
        <v>49</v>
      </c>
      <c r="O30" s="7">
        <v>1</v>
      </c>
      <c r="P30" s="7" t="s">
        <v>41</v>
      </c>
      <c r="Q30" s="7">
        <v>84.99</v>
      </c>
      <c r="R30" s="7"/>
      <c r="S30" s="7"/>
      <c r="T30" s="7"/>
      <c r="U30" s="7"/>
      <c r="V30" s="7"/>
      <c r="W30" s="7"/>
      <c r="X30" s="7"/>
      <c r="Y30" s="7" t="s">
        <v>251</v>
      </c>
      <c r="Z30" s="7" t="s">
        <v>64</v>
      </c>
      <c r="AA30" s="7" t="s">
        <v>252</v>
      </c>
      <c r="AB30" s="7" t="s">
        <v>45</v>
      </c>
      <c r="AC30" s="7"/>
      <c r="AD30" s="8"/>
      <c r="AE30" s="8"/>
      <c r="AF30" s="8"/>
      <c r="AG30" s="10">
        <f t="shared" si="0"/>
        <v>43312</v>
      </c>
    </row>
    <row r="31" spans="1:33">
      <c r="A31" s="7" t="s">
        <v>253</v>
      </c>
      <c r="B31" s="7" t="s">
        <v>253</v>
      </c>
      <c r="C31" s="7" t="s">
        <v>254</v>
      </c>
      <c r="D31" s="7" t="s">
        <v>255</v>
      </c>
      <c r="E31" s="7" t="s">
        <v>49</v>
      </c>
      <c r="F31" s="7" t="s">
        <v>34</v>
      </c>
      <c r="G31" s="7" t="s">
        <v>35</v>
      </c>
      <c r="H31" s="7"/>
      <c r="I31" s="7"/>
      <c r="J31" s="7" t="s">
        <v>50</v>
      </c>
      <c r="K31" s="7" t="s">
        <v>256</v>
      </c>
      <c r="L31" s="7" t="s">
        <v>257</v>
      </c>
      <c r="M31" s="7" t="s">
        <v>258</v>
      </c>
      <c r="N31" s="7" t="s">
        <v>49</v>
      </c>
      <c r="O31" s="7">
        <v>1</v>
      </c>
      <c r="P31" s="7" t="s">
        <v>41</v>
      </c>
      <c r="Q31" s="7">
        <v>21.99</v>
      </c>
      <c r="R31" s="7"/>
      <c r="S31" s="7"/>
      <c r="T31" s="7"/>
      <c r="U31" s="7"/>
      <c r="V31" s="7"/>
      <c r="W31" s="7">
        <v>21.77</v>
      </c>
      <c r="X31" s="7"/>
      <c r="Y31" s="7" t="s">
        <v>259</v>
      </c>
      <c r="Z31" s="7" t="s">
        <v>260</v>
      </c>
      <c r="AA31" s="7" t="s">
        <v>261</v>
      </c>
      <c r="AB31" s="7" t="s">
        <v>45</v>
      </c>
      <c r="AC31" s="7" t="s">
        <v>66</v>
      </c>
      <c r="AD31" s="8"/>
      <c r="AE31" s="8"/>
      <c r="AF31" s="8"/>
      <c r="AG31" s="10">
        <f t="shared" si="0"/>
        <v>43312</v>
      </c>
    </row>
    <row r="32" spans="1:33">
      <c r="A32" s="7" t="s">
        <v>262</v>
      </c>
      <c r="B32" s="7" t="s">
        <v>262</v>
      </c>
      <c r="C32" s="7" t="s">
        <v>263</v>
      </c>
      <c r="D32" s="7" t="s">
        <v>264</v>
      </c>
      <c r="E32" s="7" t="s">
        <v>33</v>
      </c>
      <c r="F32" s="7" t="s">
        <v>34</v>
      </c>
      <c r="G32" s="7" t="s">
        <v>35</v>
      </c>
      <c r="H32" s="7"/>
      <c r="I32" s="7"/>
      <c r="J32" s="7" t="s">
        <v>50</v>
      </c>
      <c r="K32" s="7" t="s">
        <v>60</v>
      </c>
      <c r="L32" s="7" t="s">
        <v>61</v>
      </c>
      <c r="M32" s="7" t="s">
        <v>62</v>
      </c>
      <c r="N32" s="7" t="s">
        <v>33</v>
      </c>
      <c r="O32" s="7">
        <v>0</v>
      </c>
      <c r="P32" s="7"/>
      <c r="Q32" s="7"/>
      <c r="R32" s="7"/>
      <c r="S32" s="7"/>
      <c r="T32" s="7"/>
      <c r="U32" s="7"/>
      <c r="V32" s="7"/>
      <c r="W32" s="7"/>
      <c r="X32" s="7"/>
      <c r="Y32" s="7" t="s">
        <v>265</v>
      </c>
      <c r="Z32" s="7" t="s">
        <v>266</v>
      </c>
      <c r="AA32" s="7" t="s">
        <v>267</v>
      </c>
      <c r="AB32" s="7" t="s">
        <v>45</v>
      </c>
      <c r="AC32" s="7"/>
      <c r="AD32" s="8"/>
      <c r="AE32" s="8"/>
      <c r="AF32" s="8"/>
      <c r="AG32" s="10">
        <f t="shared" si="0"/>
        <v>43312</v>
      </c>
    </row>
    <row r="33" spans="1:33">
      <c r="A33" s="7" t="s">
        <v>268</v>
      </c>
      <c r="B33" s="7" t="s">
        <v>268</v>
      </c>
      <c r="C33" s="7" t="s">
        <v>269</v>
      </c>
      <c r="D33" s="7" t="s">
        <v>270</v>
      </c>
      <c r="E33" s="7" t="s">
        <v>49</v>
      </c>
      <c r="F33" s="7" t="s">
        <v>34</v>
      </c>
      <c r="G33" s="7" t="s">
        <v>35</v>
      </c>
      <c r="H33" s="7"/>
      <c r="I33" s="7"/>
      <c r="J33" s="7" t="s">
        <v>50</v>
      </c>
      <c r="K33" s="7" t="s">
        <v>88</v>
      </c>
      <c r="L33" s="7" t="s">
        <v>89</v>
      </c>
      <c r="M33" s="7" t="s">
        <v>90</v>
      </c>
      <c r="N33" s="7" t="s">
        <v>49</v>
      </c>
      <c r="O33" s="7">
        <v>1</v>
      </c>
      <c r="P33" s="7" t="s">
        <v>41</v>
      </c>
      <c r="Q33" s="7">
        <v>89.99</v>
      </c>
      <c r="R33" s="7"/>
      <c r="S33" s="7"/>
      <c r="T33" s="7"/>
      <c r="U33" s="7"/>
      <c r="V33" s="7"/>
      <c r="W33" s="7"/>
      <c r="X33" s="7"/>
      <c r="Y33" s="7" t="s">
        <v>271</v>
      </c>
      <c r="Z33" s="7" t="s">
        <v>266</v>
      </c>
      <c r="AA33" s="7" t="s">
        <v>272</v>
      </c>
      <c r="AB33" s="7" t="s">
        <v>45</v>
      </c>
      <c r="AC33" s="7"/>
      <c r="AD33" s="8"/>
      <c r="AE33" s="8"/>
      <c r="AF33" s="8"/>
      <c r="AG33" s="10">
        <f t="shared" si="0"/>
        <v>43312</v>
      </c>
    </row>
    <row r="34" spans="1:33">
      <c r="A34" s="7" t="s">
        <v>273</v>
      </c>
      <c r="B34" s="7" t="s">
        <v>273</v>
      </c>
      <c r="C34" s="7" t="s">
        <v>274</v>
      </c>
      <c r="D34" s="7" t="s">
        <v>275</v>
      </c>
      <c r="E34" s="7" t="s">
        <v>49</v>
      </c>
      <c r="F34" s="7" t="s">
        <v>34</v>
      </c>
      <c r="G34" s="7" t="s">
        <v>35</v>
      </c>
      <c r="H34" s="7"/>
      <c r="I34" s="7"/>
      <c r="J34" s="7" t="s">
        <v>151</v>
      </c>
      <c r="K34" s="7" t="s">
        <v>276</v>
      </c>
      <c r="L34" s="7" t="s">
        <v>277</v>
      </c>
      <c r="M34" s="7" t="s">
        <v>278</v>
      </c>
      <c r="N34" s="7" t="s">
        <v>49</v>
      </c>
      <c r="O34" s="7">
        <v>1</v>
      </c>
      <c r="P34" s="7" t="s">
        <v>41</v>
      </c>
      <c r="Q34" s="7">
        <v>91.99</v>
      </c>
      <c r="R34" s="7"/>
      <c r="S34" s="7">
        <v>6.99</v>
      </c>
      <c r="T34" s="7"/>
      <c r="U34" s="7"/>
      <c r="V34" s="7"/>
      <c r="W34" s="7"/>
      <c r="X34" s="7">
        <v>6.99</v>
      </c>
      <c r="Y34" s="7" t="s">
        <v>279</v>
      </c>
      <c r="Z34" s="7" t="s">
        <v>280</v>
      </c>
      <c r="AA34" s="7" t="s">
        <v>281</v>
      </c>
      <c r="AB34" s="7" t="s">
        <v>45</v>
      </c>
      <c r="AC34" s="7"/>
      <c r="AD34" s="8"/>
      <c r="AE34" s="8"/>
      <c r="AF34" s="8"/>
      <c r="AG34" s="10">
        <f t="shared" si="0"/>
        <v>43312</v>
      </c>
    </row>
    <row r="35" spans="1:33">
      <c r="A35" s="7" t="s">
        <v>282</v>
      </c>
      <c r="B35" s="7" t="s">
        <v>282</v>
      </c>
      <c r="C35" s="7" t="s">
        <v>283</v>
      </c>
      <c r="D35" s="7" t="s">
        <v>284</v>
      </c>
      <c r="E35" s="7" t="s">
        <v>49</v>
      </c>
      <c r="F35" s="7" t="s">
        <v>34</v>
      </c>
      <c r="G35" s="7" t="s">
        <v>35</v>
      </c>
      <c r="H35" s="7"/>
      <c r="I35" s="7"/>
      <c r="J35" s="7" t="s">
        <v>50</v>
      </c>
      <c r="K35" s="7" t="s">
        <v>197</v>
      </c>
      <c r="L35" s="7" t="s">
        <v>198</v>
      </c>
      <c r="M35" s="7" t="s">
        <v>199</v>
      </c>
      <c r="N35" s="7" t="s">
        <v>49</v>
      </c>
      <c r="O35" s="7">
        <v>1</v>
      </c>
      <c r="P35" s="7" t="s">
        <v>41</v>
      </c>
      <c r="Q35" s="7">
        <v>21.99</v>
      </c>
      <c r="R35" s="7"/>
      <c r="S35" s="7"/>
      <c r="T35" s="7"/>
      <c r="U35" s="7"/>
      <c r="V35" s="7"/>
      <c r="W35" s="7">
        <v>21.77</v>
      </c>
      <c r="X35" s="7"/>
      <c r="Y35" s="7" t="s">
        <v>285</v>
      </c>
      <c r="Z35" s="7" t="s">
        <v>115</v>
      </c>
      <c r="AA35" s="7">
        <v>54727</v>
      </c>
      <c r="AB35" s="7" t="s">
        <v>45</v>
      </c>
      <c r="AC35" s="7" t="s">
        <v>66</v>
      </c>
      <c r="AD35" s="8"/>
      <c r="AE35" s="8"/>
      <c r="AF35" s="8"/>
      <c r="AG35" s="10">
        <f t="shared" si="0"/>
        <v>43312</v>
      </c>
    </row>
    <row r="36" spans="1:33">
      <c r="A36" s="7" t="s">
        <v>286</v>
      </c>
      <c r="B36" s="7" t="s">
        <v>286</v>
      </c>
      <c r="C36" s="7" t="s">
        <v>287</v>
      </c>
      <c r="D36" s="7" t="s">
        <v>288</v>
      </c>
      <c r="E36" s="7" t="s">
        <v>49</v>
      </c>
      <c r="F36" s="7" t="s">
        <v>34</v>
      </c>
      <c r="G36" s="7" t="s">
        <v>35</v>
      </c>
      <c r="H36" s="7"/>
      <c r="I36" s="7"/>
      <c r="J36" s="7" t="s">
        <v>50</v>
      </c>
      <c r="K36" s="7" t="s">
        <v>289</v>
      </c>
      <c r="L36" s="7" t="s">
        <v>290</v>
      </c>
      <c r="M36" s="7" t="s">
        <v>291</v>
      </c>
      <c r="N36" s="7" t="s">
        <v>49</v>
      </c>
      <c r="O36" s="7">
        <v>1</v>
      </c>
      <c r="P36" s="7" t="s">
        <v>41</v>
      </c>
      <c r="Q36" s="7">
        <v>89.99</v>
      </c>
      <c r="R36" s="7"/>
      <c r="S36" s="7"/>
      <c r="T36" s="7"/>
      <c r="U36" s="7"/>
      <c r="V36" s="7"/>
      <c r="W36" s="7"/>
      <c r="X36" s="7"/>
      <c r="Y36" s="7" t="s">
        <v>292</v>
      </c>
      <c r="Z36" s="7" t="s">
        <v>260</v>
      </c>
      <c r="AA36" s="7" t="s">
        <v>293</v>
      </c>
      <c r="AB36" s="7" t="s">
        <v>45</v>
      </c>
      <c r="AC36" s="7"/>
      <c r="AD36" s="8"/>
      <c r="AE36" s="8"/>
      <c r="AF36" s="8"/>
      <c r="AG36" s="10">
        <f t="shared" si="0"/>
        <v>43312</v>
      </c>
    </row>
    <row r="37" spans="1:33">
      <c r="A37" s="7" t="s">
        <v>294</v>
      </c>
      <c r="B37" s="7" t="s">
        <v>294</v>
      </c>
      <c r="C37" s="7" t="s">
        <v>295</v>
      </c>
      <c r="D37" s="7" t="s">
        <v>296</v>
      </c>
      <c r="E37" s="7" t="s">
        <v>49</v>
      </c>
      <c r="F37" s="7" t="s">
        <v>34</v>
      </c>
      <c r="G37" s="7" t="s">
        <v>35</v>
      </c>
      <c r="H37" s="7"/>
      <c r="I37" s="7"/>
      <c r="J37" s="7" t="s">
        <v>151</v>
      </c>
      <c r="K37" s="7" t="s">
        <v>297</v>
      </c>
      <c r="L37" s="7" t="s">
        <v>298</v>
      </c>
      <c r="M37" s="7" t="s">
        <v>299</v>
      </c>
      <c r="N37" s="7" t="s">
        <v>49</v>
      </c>
      <c r="O37" s="7">
        <v>1</v>
      </c>
      <c r="P37" s="7" t="s">
        <v>41</v>
      </c>
      <c r="Q37" s="7">
        <v>89.99</v>
      </c>
      <c r="R37" s="7"/>
      <c r="S37" s="7">
        <v>7.99</v>
      </c>
      <c r="T37" s="7"/>
      <c r="U37" s="7"/>
      <c r="V37" s="7"/>
      <c r="W37" s="7"/>
      <c r="X37" s="7">
        <v>7.99</v>
      </c>
      <c r="Y37" s="7" t="s">
        <v>300</v>
      </c>
      <c r="Z37" s="7" t="s">
        <v>280</v>
      </c>
      <c r="AA37" s="7" t="s">
        <v>301</v>
      </c>
      <c r="AB37" s="7" t="s">
        <v>45</v>
      </c>
      <c r="AC37" s="7"/>
      <c r="AD37" s="8"/>
      <c r="AE37" s="8"/>
      <c r="AF37" s="8"/>
      <c r="AG37" s="10">
        <f t="shared" si="0"/>
        <v>43312</v>
      </c>
    </row>
    <row r="38" spans="1:33">
      <c r="A38" s="7" t="s">
        <v>302</v>
      </c>
      <c r="B38" s="7" t="s">
        <v>302</v>
      </c>
      <c r="C38" s="7" t="s">
        <v>303</v>
      </c>
      <c r="D38" s="7" t="s">
        <v>304</v>
      </c>
      <c r="E38" s="7" t="s">
        <v>33</v>
      </c>
      <c r="F38" s="7" t="s">
        <v>34</v>
      </c>
      <c r="G38" s="7" t="s">
        <v>35</v>
      </c>
      <c r="H38" s="7"/>
      <c r="I38" s="7"/>
      <c r="J38" s="7" t="s">
        <v>36</v>
      </c>
      <c r="K38" s="7" t="s">
        <v>169</v>
      </c>
      <c r="L38" s="7" t="s">
        <v>170</v>
      </c>
      <c r="M38" s="7" t="s">
        <v>171</v>
      </c>
      <c r="N38" s="7" t="s">
        <v>40</v>
      </c>
      <c r="O38" s="7">
        <v>1</v>
      </c>
      <c r="P38" s="7" t="s">
        <v>41</v>
      </c>
      <c r="Q38" s="7">
        <v>89.99</v>
      </c>
      <c r="R38" s="7"/>
      <c r="S38" s="7"/>
      <c r="T38" s="7"/>
      <c r="U38" s="7"/>
      <c r="V38" s="7"/>
      <c r="W38" s="7"/>
      <c r="X38" s="7"/>
      <c r="Y38" s="7" t="s">
        <v>42</v>
      </c>
      <c r="Z38" s="7" t="s">
        <v>43</v>
      </c>
      <c r="AA38" s="7" t="s">
        <v>44</v>
      </c>
      <c r="AB38" s="7" t="s">
        <v>45</v>
      </c>
      <c r="AC38" s="7"/>
      <c r="AD38" s="8"/>
      <c r="AE38" s="8"/>
      <c r="AF38" s="8"/>
      <c r="AG38" s="10">
        <f t="shared" si="0"/>
        <v>43312</v>
      </c>
    </row>
    <row r="39" spans="1:33">
      <c r="A39" s="7" t="s">
        <v>305</v>
      </c>
      <c r="B39" s="7" t="s">
        <v>305</v>
      </c>
      <c r="C39" s="7" t="s">
        <v>306</v>
      </c>
      <c r="D39" s="7" t="s">
        <v>307</v>
      </c>
      <c r="E39" s="7" t="s">
        <v>49</v>
      </c>
      <c r="F39" s="7" t="s">
        <v>34</v>
      </c>
      <c r="G39" s="7" t="s">
        <v>35</v>
      </c>
      <c r="H39" s="7"/>
      <c r="I39" s="7"/>
      <c r="J39" s="7" t="s">
        <v>50</v>
      </c>
      <c r="K39" s="7" t="s">
        <v>160</v>
      </c>
      <c r="L39" s="7" t="s">
        <v>161</v>
      </c>
      <c r="M39" s="7" t="s">
        <v>162</v>
      </c>
      <c r="N39" s="7" t="s">
        <v>49</v>
      </c>
      <c r="O39" s="7">
        <v>1</v>
      </c>
      <c r="P39" s="7" t="s">
        <v>41</v>
      </c>
      <c r="Q39" s="7">
        <v>89.99</v>
      </c>
      <c r="R39" s="7"/>
      <c r="S39" s="7"/>
      <c r="T39" s="7"/>
      <c r="U39" s="7"/>
      <c r="V39" s="7"/>
      <c r="W39" s="7"/>
      <c r="X39" s="7"/>
      <c r="Y39" s="7" t="s">
        <v>308</v>
      </c>
      <c r="Z39" s="7" t="s">
        <v>221</v>
      </c>
      <c r="AA39" s="7" t="s">
        <v>309</v>
      </c>
      <c r="AB39" s="7" t="s">
        <v>45</v>
      </c>
      <c r="AC39" s="7"/>
      <c r="AD39" s="8"/>
      <c r="AE39" s="8"/>
      <c r="AF39" s="8"/>
      <c r="AG39" s="10">
        <f t="shared" si="0"/>
        <v>43312</v>
      </c>
    </row>
    <row r="40" spans="1:33">
      <c r="A40" s="7" t="s">
        <v>310</v>
      </c>
      <c r="B40" s="7" t="s">
        <v>310</v>
      </c>
      <c r="C40" s="7" t="s">
        <v>311</v>
      </c>
      <c r="D40" s="7" t="s">
        <v>312</v>
      </c>
      <c r="E40" s="7" t="s">
        <v>49</v>
      </c>
      <c r="F40" s="7" t="s">
        <v>34</v>
      </c>
      <c r="G40" s="7" t="s">
        <v>35</v>
      </c>
      <c r="H40" s="7"/>
      <c r="I40" s="7"/>
      <c r="J40" s="7" t="s">
        <v>151</v>
      </c>
      <c r="K40" s="7" t="s">
        <v>276</v>
      </c>
      <c r="L40" s="7" t="s">
        <v>277</v>
      </c>
      <c r="M40" s="7" t="s">
        <v>278</v>
      </c>
      <c r="N40" s="7" t="s">
        <v>49</v>
      </c>
      <c r="O40" s="7">
        <v>1</v>
      </c>
      <c r="P40" s="7" t="s">
        <v>41</v>
      </c>
      <c r="Q40" s="7">
        <v>91.99</v>
      </c>
      <c r="R40" s="7"/>
      <c r="S40" s="7">
        <v>5.99</v>
      </c>
      <c r="T40" s="7"/>
      <c r="U40" s="7"/>
      <c r="V40" s="7"/>
      <c r="W40" s="7"/>
      <c r="X40" s="7">
        <v>5.99</v>
      </c>
      <c r="Y40" s="7" t="s">
        <v>313</v>
      </c>
      <c r="Z40" s="7" t="s">
        <v>221</v>
      </c>
      <c r="AA40" s="7" t="s">
        <v>314</v>
      </c>
      <c r="AB40" s="7" t="s">
        <v>45</v>
      </c>
      <c r="AC40" s="7"/>
      <c r="AD40" s="8"/>
      <c r="AE40" s="8"/>
      <c r="AF40" s="8"/>
      <c r="AG40" s="10">
        <f t="shared" si="0"/>
        <v>43312</v>
      </c>
    </row>
    <row r="41" spans="1:33">
      <c r="A41" s="7" t="s">
        <v>315</v>
      </c>
      <c r="B41" s="7" t="s">
        <v>315</v>
      </c>
      <c r="C41" s="7" t="s">
        <v>316</v>
      </c>
      <c r="D41" s="7" t="s">
        <v>317</v>
      </c>
      <c r="E41" s="7" t="s">
        <v>49</v>
      </c>
      <c r="F41" s="7" t="s">
        <v>34</v>
      </c>
      <c r="G41" s="7" t="s">
        <v>35</v>
      </c>
      <c r="H41" s="7"/>
      <c r="I41" s="7"/>
      <c r="J41" s="7" t="s">
        <v>50</v>
      </c>
      <c r="K41" s="7" t="s">
        <v>235</v>
      </c>
      <c r="L41" s="7" t="s">
        <v>236</v>
      </c>
      <c r="M41" s="7" t="s">
        <v>237</v>
      </c>
      <c r="N41" s="7" t="s">
        <v>49</v>
      </c>
      <c r="O41" s="7">
        <v>1</v>
      </c>
      <c r="P41" s="7" t="s">
        <v>41</v>
      </c>
      <c r="Q41" s="7">
        <v>99.99</v>
      </c>
      <c r="R41" s="7"/>
      <c r="S41" s="7"/>
      <c r="T41" s="7"/>
      <c r="U41" s="7"/>
      <c r="V41" s="7"/>
      <c r="W41" s="7"/>
      <c r="X41" s="7"/>
      <c r="Y41" s="7" t="s">
        <v>318</v>
      </c>
      <c r="Z41" s="7" t="s">
        <v>260</v>
      </c>
      <c r="AA41" s="7" t="s">
        <v>319</v>
      </c>
      <c r="AB41" s="7" t="s">
        <v>45</v>
      </c>
      <c r="AC41" s="7"/>
      <c r="AD41" s="8"/>
      <c r="AE41" s="8"/>
      <c r="AF41" s="8"/>
      <c r="AG41" s="10">
        <f t="shared" si="0"/>
        <v>43312</v>
      </c>
    </row>
    <row r="42" spans="1:33">
      <c r="A42" s="7" t="s">
        <v>320</v>
      </c>
      <c r="B42" s="7" t="s">
        <v>320</v>
      </c>
      <c r="C42" s="7" t="s">
        <v>321</v>
      </c>
      <c r="D42" s="7" t="s">
        <v>322</v>
      </c>
      <c r="E42" s="7" t="s">
        <v>33</v>
      </c>
      <c r="F42" s="7" t="s">
        <v>34</v>
      </c>
      <c r="G42" s="7" t="s">
        <v>35</v>
      </c>
      <c r="H42" s="7"/>
      <c r="I42" s="7"/>
      <c r="J42" s="7" t="s">
        <v>50</v>
      </c>
      <c r="K42" s="7" t="s">
        <v>70</v>
      </c>
      <c r="L42" s="7" t="s">
        <v>71</v>
      </c>
      <c r="M42" s="7" t="s">
        <v>72</v>
      </c>
      <c r="N42" s="7" t="s">
        <v>33</v>
      </c>
      <c r="O42" s="7">
        <v>0</v>
      </c>
      <c r="P42" s="7"/>
      <c r="Q42" s="7"/>
      <c r="R42" s="7"/>
      <c r="S42" s="7"/>
      <c r="T42" s="7"/>
      <c r="U42" s="7"/>
      <c r="V42" s="7"/>
      <c r="W42" s="7"/>
      <c r="X42" s="7"/>
      <c r="Y42" s="7" t="s">
        <v>300</v>
      </c>
      <c r="Z42" s="7" t="s">
        <v>280</v>
      </c>
      <c r="AA42" s="7" t="s">
        <v>301</v>
      </c>
      <c r="AB42" s="7" t="s">
        <v>45</v>
      </c>
      <c r="AC42" s="7"/>
      <c r="AD42" s="8"/>
      <c r="AE42" s="8"/>
      <c r="AF42" s="8"/>
      <c r="AG42" s="10">
        <f t="shared" si="0"/>
        <v>43312</v>
      </c>
    </row>
    <row r="43" spans="1:33">
      <c r="A43" s="7" t="s">
        <v>323</v>
      </c>
      <c r="B43" s="7" t="s">
        <v>323</v>
      </c>
      <c r="C43" s="7" t="s">
        <v>324</v>
      </c>
      <c r="D43" s="7" t="s">
        <v>325</v>
      </c>
      <c r="E43" s="7" t="s">
        <v>49</v>
      </c>
      <c r="F43" s="7" t="s">
        <v>34</v>
      </c>
      <c r="G43" s="7" t="s">
        <v>35</v>
      </c>
      <c r="H43" s="7"/>
      <c r="I43" s="7"/>
      <c r="J43" s="7" t="s">
        <v>326</v>
      </c>
      <c r="K43" s="7" t="s">
        <v>327</v>
      </c>
      <c r="L43" s="7" t="s">
        <v>328</v>
      </c>
      <c r="M43" s="7" t="s">
        <v>329</v>
      </c>
      <c r="N43" s="7" t="s">
        <v>49</v>
      </c>
      <c r="O43" s="7">
        <v>1</v>
      </c>
      <c r="P43" s="7" t="s">
        <v>41</v>
      </c>
      <c r="Q43" s="7">
        <v>89.99</v>
      </c>
      <c r="R43" s="7"/>
      <c r="S43" s="7">
        <v>20.95</v>
      </c>
      <c r="T43" s="7"/>
      <c r="U43" s="7"/>
      <c r="V43" s="7"/>
      <c r="W43" s="7"/>
      <c r="X43" s="7"/>
      <c r="Y43" s="7" t="s">
        <v>330</v>
      </c>
      <c r="Z43" s="7" t="s">
        <v>331</v>
      </c>
      <c r="AA43" s="7" t="s">
        <v>332</v>
      </c>
      <c r="AB43" s="7" t="s">
        <v>45</v>
      </c>
      <c r="AC43" s="7"/>
      <c r="AD43" s="8"/>
      <c r="AE43" s="8"/>
      <c r="AF43" s="8"/>
      <c r="AG43" s="10">
        <f t="shared" si="0"/>
        <v>43312</v>
      </c>
    </row>
    <row r="44" spans="1:33">
      <c r="A44" s="7" t="s">
        <v>333</v>
      </c>
      <c r="B44" s="7" t="s">
        <v>333</v>
      </c>
      <c r="C44" s="7" t="s">
        <v>334</v>
      </c>
      <c r="D44" s="7" t="s">
        <v>335</v>
      </c>
      <c r="E44" s="7" t="s">
        <v>49</v>
      </c>
      <c r="F44" s="7" t="s">
        <v>34</v>
      </c>
      <c r="G44" s="7" t="s">
        <v>35</v>
      </c>
      <c r="H44" s="7"/>
      <c r="I44" s="7"/>
      <c r="J44" s="7" t="s">
        <v>50</v>
      </c>
      <c r="K44" s="7" t="s">
        <v>208</v>
      </c>
      <c r="L44" s="7" t="s">
        <v>209</v>
      </c>
      <c r="M44" s="7" t="s">
        <v>210</v>
      </c>
      <c r="N44" s="7" t="s">
        <v>49</v>
      </c>
      <c r="O44" s="7">
        <v>1</v>
      </c>
      <c r="P44" s="7" t="s">
        <v>41</v>
      </c>
      <c r="Q44" s="7">
        <v>89.99</v>
      </c>
      <c r="R44" s="7"/>
      <c r="S44" s="7"/>
      <c r="T44" s="7"/>
      <c r="U44" s="7"/>
      <c r="V44" s="7"/>
      <c r="W44" s="7"/>
      <c r="X44" s="7"/>
      <c r="Y44" s="7" t="s">
        <v>336</v>
      </c>
      <c r="Z44" s="7" t="s">
        <v>337</v>
      </c>
      <c r="AA44" s="7" t="s">
        <v>338</v>
      </c>
      <c r="AB44" s="7" t="s">
        <v>45</v>
      </c>
      <c r="AC44" s="7"/>
      <c r="AD44" s="8"/>
      <c r="AE44" s="8"/>
      <c r="AF44" s="8"/>
      <c r="AG44" s="10">
        <f t="shared" si="0"/>
        <v>43312</v>
      </c>
    </row>
    <row r="45" spans="1:33">
      <c r="A45" s="7" t="s">
        <v>339</v>
      </c>
      <c r="B45" s="7" t="s">
        <v>339</v>
      </c>
      <c r="C45" s="7" t="s">
        <v>340</v>
      </c>
      <c r="D45" s="7" t="s">
        <v>341</v>
      </c>
      <c r="E45" s="7" t="s">
        <v>33</v>
      </c>
      <c r="F45" s="7" t="s">
        <v>34</v>
      </c>
      <c r="G45" s="7" t="s">
        <v>35</v>
      </c>
      <c r="H45" s="7"/>
      <c r="I45" s="7"/>
      <c r="J45" s="7" t="s">
        <v>36</v>
      </c>
      <c r="K45" s="7" t="s">
        <v>169</v>
      </c>
      <c r="L45" s="7" t="s">
        <v>170</v>
      </c>
      <c r="M45" s="7" t="s">
        <v>171</v>
      </c>
      <c r="N45" s="7" t="s">
        <v>40</v>
      </c>
      <c r="O45" s="7">
        <v>3</v>
      </c>
      <c r="P45" s="7" t="s">
        <v>41</v>
      </c>
      <c r="Q45" s="7">
        <v>269.97</v>
      </c>
      <c r="R45" s="7"/>
      <c r="S45" s="7"/>
      <c r="T45" s="7"/>
      <c r="U45" s="7"/>
      <c r="V45" s="7"/>
      <c r="W45" s="7"/>
      <c r="X45" s="7"/>
      <c r="Y45" s="7" t="s">
        <v>42</v>
      </c>
      <c r="Z45" s="7" t="s">
        <v>43</v>
      </c>
      <c r="AA45" s="7" t="s">
        <v>44</v>
      </c>
      <c r="AB45" s="7" t="s">
        <v>45</v>
      </c>
      <c r="AC45" s="7"/>
      <c r="AD45" s="8"/>
      <c r="AE45" s="8"/>
      <c r="AF45" s="8"/>
      <c r="AG45" s="10">
        <f t="shared" si="0"/>
        <v>43312</v>
      </c>
    </row>
    <row r="46" spans="1:33">
      <c r="A46" s="7" t="s">
        <v>342</v>
      </c>
      <c r="B46" s="7" t="s">
        <v>342</v>
      </c>
      <c r="C46" s="7" t="s">
        <v>343</v>
      </c>
      <c r="D46" s="7" t="s">
        <v>344</v>
      </c>
      <c r="E46" s="7" t="s">
        <v>49</v>
      </c>
      <c r="F46" s="7" t="s">
        <v>34</v>
      </c>
      <c r="G46" s="7" t="s">
        <v>35</v>
      </c>
      <c r="H46" s="7"/>
      <c r="I46" s="7"/>
      <c r="J46" s="7" t="s">
        <v>50</v>
      </c>
      <c r="K46" s="7" t="s">
        <v>208</v>
      </c>
      <c r="L46" s="7" t="s">
        <v>209</v>
      </c>
      <c r="M46" s="7" t="s">
        <v>210</v>
      </c>
      <c r="N46" s="7" t="s">
        <v>49</v>
      </c>
      <c r="O46" s="7">
        <v>1</v>
      </c>
      <c r="P46" s="7" t="s">
        <v>41</v>
      </c>
      <c r="Q46" s="7">
        <v>89.99</v>
      </c>
      <c r="R46" s="7"/>
      <c r="S46" s="7"/>
      <c r="T46" s="7"/>
      <c r="U46" s="7"/>
      <c r="V46" s="7"/>
      <c r="W46" s="7"/>
      <c r="X46" s="7"/>
      <c r="Y46" s="7" t="s">
        <v>345</v>
      </c>
      <c r="Z46" s="7" t="s">
        <v>346</v>
      </c>
      <c r="AA46" s="7">
        <v>11786</v>
      </c>
      <c r="AB46" s="7" t="s">
        <v>45</v>
      </c>
      <c r="AC46" s="7"/>
      <c r="AD46" s="8"/>
      <c r="AE46" s="8"/>
      <c r="AF46" s="8"/>
      <c r="AG46" s="10">
        <f t="shared" si="0"/>
        <v>43312</v>
      </c>
    </row>
    <row r="47" spans="1:33">
      <c r="A47" s="7" t="s">
        <v>347</v>
      </c>
      <c r="B47" s="7" t="s">
        <v>347</v>
      </c>
      <c r="C47" s="7" t="s">
        <v>348</v>
      </c>
      <c r="D47" s="7" t="s">
        <v>349</v>
      </c>
      <c r="E47" s="7" t="s">
        <v>49</v>
      </c>
      <c r="F47" s="7" t="s">
        <v>34</v>
      </c>
      <c r="G47" s="7" t="s">
        <v>35</v>
      </c>
      <c r="H47" s="7"/>
      <c r="I47" s="7"/>
      <c r="J47" s="7" t="s">
        <v>50</v>
      </c>
      <c r="K47" s="7" t="s">
        <v>235</v>
      </c>
      <c r="L47" s="7" t="s">
        <v>236</v>
      </c>
      <c r="M47" s="7" t="s">
        <v>237</v>
      </c>
      <c r="N47" s="7" t="s">
        <v>49</v>
      </c>
      <c r="O47" s="7">
        <v>1</v>
      </c>
      <c r="P47" s="7" t="s">
        <v>41</v>
      </c>
      <c r="Q47" s="7">
        <v>99.99</v>
      </c>
      <c r="R47" s="7"/>
      <c r="S47" s="7"/>
      <c r="T47" s="7"/>
      <c r="U47" s="7"/>
      <c r="V47" s="7"/>
      <c r="W47" s="7"/>
      <c r="X47" s="7"/>
      <c r="Y47" s="7" t="s">
        <v>350</v>
      </c>
      <c r="Z47" s="7" t="s">
        <v>92</v>
      </c>
      <c r="AA47" s="7" t="s">
        <v>351</v>
      </c>
      <c r="AB47" s="7" t="s">
        <v>45</v>
      </c>
      <c r="AC47" s="7"/>
      <c r="AD47" s="8"/>
      <c r="AE47" s="8"/>
      <c r="AF47" s="8"/>
      <c r="AG47" s="10">
        <f t="shared" si="0"/>
        <v>43312</v>
      </c>
    </row>
    <row r="48" spans="1:33">
      <c r="A48" s="7" t="s">
        <v>352</v>
      </c>
      <c r="B48" s="7" t="s">
        <v>352</v>
      </c>
      <c r="C48" s="7" t="s">
        <v>353</v>
      </c>
      <c r="D48" s="7" t="s">
        <v>354</v>
      </c>
      <c r="E48" s="7" t="s">
        <v>49</v>
      </c>
      <c r="F48" s="7" t="s">
        <v>34</v>
      </c>
      <c r="G48" s="7" t="s">
        <v>35</v>
      </c>
      <c r="H48" s="7"/>
      <c r="I48" s="7"/>
      <c r="J48" s="7" t="s">
        <v>50</v>
      </c>
      <c r="K48" s="7" t="s">
        <v>142</v>
      </c>
      <c r="L48" s="7" t="s">
        <v>143</v>
      </c>
      <c r="M48" s="7" t="s">
        <v>144</v>
      </c>
      <c r="N48" s="7" t="s">
        <v>49</v>
      </c>
      <c r="O48" s="7">
        <v>1</v>
      </c>
      <c r="P48" s="7" t="s">
        <v>41</v>
      </c>
      <c r="Q48" s="7">
        <v>79.99</v>
      </c>
      <c r="R48" s="7"/>
      <c r="S48" s="7"/>
      <c r="T48" s="7"/>
      <c r="U48" s="7"/>
      <c r="V48" s="7"/>
      <c r="W48" s="7"/>
      <c r="X48" s="7"/>
      <c r="Y48" s="7" t="s">
        <v>355</v>
      </c>
      <c r="Z48" s="7" t="s">
        <v>280</v>
      </c>
      <c r="AA48" s="7" t="s">
        <v>356</v>
      </c>
      <c r="AB48" s="7" t="s">
        <v>45</v>
      </c>
      <c r="AC48" s="7"/>
      <c r="AD48" s="8"/>
      <c r="AE48" s="8"/>
      <c r="AF48" s="8"/>
      <c r="AG48" s="10">
        <f t="shared" si="0"/>
        <v>43312</v>
      </c>
    </row>
    <row r="49" spans="1:33">
      <c r="A49" s="7" t="s">
        <v>357</v>
      </c>
      <c r="B49" s="7" t="s">
        <v>357</v>
      </c>
      <c r="C49" s="7" t="s">
        <v>358</v>
      </c>
      <c r="D49" s="7" t="s">
        <v>359</v>
      </c>
      <c r="E49" s="7" t="s">
        <v>49</v>
      </c>
      <c r="F49" s="7" t="s">
        <v>34</v>
      </c>
      <c r="G49" s="7" t="s">
        <v>35</v>
      </c>
      <c r="H49" s="7"/>
      <c r="I49" s="7"/>
      <c r="J49" s="7" t="s">
        <v>50</v>
      </c>
      <c r="K49" s="7" t="s">
        <v>70</v>
      </c>
      <c r="L49" s="7" t="s">
        <v>71</v>
      </c>
      <c r="M49" s="7" t="s">
        <v>72</v>
      </c>
      <c r="N49" s="7" t="s">
        <v>49</v>
      </c>
      <c r="O49" s="7">
        <v>1</v>
      </c>
      <c r="P49" s="7" t="s">
        <v>41</v>
      </c>
      <c r="Q49" s="7">
        <v>98.99</v>
      </c>
      <c r="R49" s="7"/>
      <c r="S49" s="7"/>
      <c r="T49" s="7"/>
      <c r="U49" s="7"/>
      <c r="V49" s="7"/>
      <c r="W49" s="7"/>
      <c r="X49" s="7"/>
      <c r="Y49" s="7" t="s">
        <v>360</v>
      </c>
      <c r="Z49" s="7" t="s">
        <v>361</v>
      </c>
      <c r="AA49" s="7">
        <v>55119</v>
      </c>
      <c r="AB49" s="7" t="s">
        <v>45</v>
      </c>
      <c r="AC49" s="7"/>
      <c r="AD49" s="8"/>
      <c r="AE49" s="8"/>
      <c r="AF49" s="8"/>
      <c r="AG49" s="10">
        <f t="shared" si="0"/>
        <v>43312</v>
      </c>
    </row>
    <row r="50" spans="1:33">
      <c r="A50" s="7" t="s">
        <v>362</v>
      </c>
      <c r="B50" s="7" t="s">
        <v>362</v>
      </c>
      <c r="C50" s="7" t="s">
        <v>363</v>
      </c>
      <c r="D50" s="7" t="s">
        <v>364</v>
      </c>
      <c r="E50" s="7" t="s">
        <v>33</v>
      </c>
      <c r="F50" s="7" t="s">
        <v>34</v>
      </c>
      <c r="G50" s="7" t="s">
        <v>35</v>
      </c>
      <c r="H50" s="7"/>
      <c r="I50" s="7"/>
      <c r="J50" s="7" t="s">
        <v>36</v>
      </c>
      <c r="K50" s="7" t="s">
        <v>169</v>
      </c>
      <c r="L50" s="7" t="s">
        <v>170</v>
      </c>
      <c r="M50" s="7" t="s">
        <v>171</v>
      </c>
      <c r="N50" s="7" t="s">
        <v>40</v>
      </c>
      <c r="O50" s="7">
        <v>2</v>
      </c>
      <c r="P50" s="7" t="s">
        <v>41</v>
      </c>
      <c r="Q50" s="7">
        <v>179.98</v>
      </c>
      <c r="R50" s="7"/>
      <c r="S50" s="7"/>
      <c r="T50" s="7"/>
      <c r="U50" s="7"/>
      <c r="V50" s="7"/>
      <c r="W50" s="7"/>
      <c r="X50" s="7"/>
      <c r="Y50" s="7" t="s">
        <v>42</v>
      </c>
      <c r="Z50" s="7" t="s">
        <v>43</v>
      </c>
      <c r="AA50" s="7" t="s">
        <v>44</v>
      </c>
      <c r="AB50" s="7" t="s">
        <v>45</v>
      </c>
      <c r="AC50" s="7"/>
      <c r="AD50" s="8"/>
      <c r="AE50" s="8"/>
      <c r="AF50" s="8"/>
      <c r="AG50" s="10">
        <f t="shared" si="0"/>
        <v>43312</v>
      </c>
    </row>
    <row r="51" spans="1:33">
      <c r="A51" s="7" t="s">
        <v>365</v>
      </c>
      <c r="B51" s="7" t="s">
        <v>365</v>
      </c>
      <c r="C51" s="7" t="s">
        <v>366</v>
      </c>
      <c r="D51" s="7" t="s">
        <v>367</v>
      </c>
      <c r="E51" s="7" t="s">
        <v>33</v>
      </c>
      <c r="F51" s="7" t="s">
        <v>34</v>
      </c>
      <c r="G51" s="7" t="s">
        <v>35</v>
      </c>
      <c r="H51" s="7"/>
      <c r="I51" s="7"/>
      <c r="J51" s="7" t="s">
        <v>36</v>
      </c>
      <c r="K51" s="7" t="s">
        <v>169</v>
      </c>
      <c r="L51" s="7" t="s">
        <v>170</v>
      </c>
      <c r="M51" s="7" t="s">
        <v>171</v>
      </c>
      <c r="N51" s="7" t="s">
        <v>40</v>
      </c>
      <c r="O51" s="7">
        <v>1</v>
      </c>
      <c r="P51" s="7" t="s">
        <v>41</v>
      </c>
      <c r="Q51" s="7">
        <v>89.99</v>
      </c>
      <c r="R51" s="7"/>
      <c r="S51" s="7"/>
      <c r="T51" s="7"/>
      <c r="U51" s="7"/>
      <c r="V51" s="7"/>
      <c r="W51" s="7"/>
      <c r="X51" s="7"/>
      <c r="Y51" s="7" t="s">
        <v>42</v>
      </c>
      <c r="Z51" s="7" t="s">
        <v>43</v>
      </c>
      <c r="AA51" s="7" t="s">
        <v>44</v>
      </c>
      <c r="AB51" s="7" t="s">
        <v>45</v>
      </c>
      <c r="AC51" s="7"/>
      <c r="AD51" s="8"/>
      <c r="AE51" s="8"/>
      <c r="AF51" s="8"/>
      <c r="AG51" s="10">
        <f t="shared" si="0"/>
        <v>43312</v>
      </c>
    </row>
    <row r="52" spans="1:33">
      <c r="A52" s="7" t="s">
        <v>368</v>
      </c>
      <c r="B52" s="7" t="s">
        <v>368</v>
      </c>
      <c r="C52" s="7" t="s">
        <v>369</v>
      </c>
      <c r="D52" s="7" t="s">
        <v>370</v>
      </c>
      <c r="E52" s="7" t="s">
        <v>49</v>
      </c>
      <c r="F52" s="7" t="s">
        <v>34</v>
      </c>
      <c r="G52" s="7" t="s">
        <v>35</v>
      </c>
      <c r="H52" s="7"/>
      <c r="I52" s="7"/>
      <c r="J52" s="7" t="s">
        <v>326</v>
      </c>
      <c r="K52" s="7" t="s">
        <v>160</v>
      </c>
      <c r="L52" s="7" t="s">
        <v>161</v>
      </c>
      <c r="M52" s="7" t="s">
        <v>162</v>
      </c>
      <c r="N52" s="7" t="s">
        <v>49</v>
      </c>
      <c r="O52" s="7">
        <v>1</v>
      </c>
      <c r="P52" s="7" t="s">
        <v>41</v>
      </c>
      <c r="Q52" s="7">
        <v>89.99</v>
      </c>
      <c r="R52" s="7"/>
      <c r="S52" s="7">
        <v>7.99</v>
      </c>
      <c r="T52" s="7"/>
      <c r="U52" s="7"/>
      <c r="V52" s="7"/>
      <c r="W52" s="7"/>
      <c r="X52" s="7"/>
      <c r="Y52" s="7" t="s">
        <v>371</v>
      </c>
      <c r="Z52" s="7" t="s">
        <v>178</v>
      </c>
      <c r="AA52" s="7" t="s">
        <v>372</v>
      </c>
      <c r="AB52" s="7" t="s">
        <v>45</v>
      </c>
      <c r="AC52" s="7"/>
      <c r="AD52" s="8"/>
      <c r="AE52" s="8"/>
      <c r="AF52" s="8"/>
      <c r="AG52" s="10">
        <f t="shared" si="0"/>
        <v>43312</v>
      </c>
    </row>
    <row r="53" spans="1:33">
      <c r="A53" s="7" t="s">
        <v>373</v>
      </c>
      <c r="B53" s="7" t="s">
        <v>373</v>
      </c>
      <c r="C53" s="7" t="s">
        <v>374</v>
      </c>
      <c r="D53" s="7" t="s">
        <v>375</v>
      </c>
      <c r="E53" s="7" t="s">
        <v>49</v>
      </c>
      <c r="F53" s="7" t="s">
        <v>34</v>
      </c>
      <c r="G53" s="7" t="s">
        <v>35</v>
      </c>
      <c r="H53" s="7"/>
      <c r="I53" s="7"/>
      <c r="J53" s="7" t="s">
        <v>50</v>
      </c>
      <c r="K53" s="7" t="s">
        <v>142</v>
      </c>
      <c r="L53" s="7" t="s">
        <v>143</v>
      </c>
      <c r="M53" s="7" t="s">
        <v>144</v>
      </c>
      <c r="N53" s="7" t="s">
        <v>49</v>
      </c>
      <c r="O53" s="7">
        <v>1</v>
      </c>
      <c r="P53" s="7" t="s">
        <v>41</v>
      </c>
      <c r="Q53" s="7">
        <v>79.99</v>
      </c>
      <c r="R53" s="7"/>
      <c r="S53" s="7"/>
      <c r="T53" s="7"/>
      <c r="U53" s="7"/>
      <c r="V53" s="7"/>
      <c r="W53" s="7"/>
      <c r="X53" s="7"/>
      <c r="Y53" s="7" t="s">
        <v>376</v>
      </c>
      <c r="Z53" s="7" t="s">
        <v>83</v>
      </c>
      <c r="AA53" s="7" t="s">
        <v>377</v>
      </c>
      <c r="AB53" s="7" t="s">
        <v>45</v>
      </c>
      <c r="AC53" s="7"/>
      <c r="AD53" s="8"/>
      <c r="AE53" s="8"/>
      <c r="AF53" s="8"/>
      <c r="AG53" s="10">
        <f t="shared" si="0"/>
        <v>43312</v>
      </c>
    </row>
    <row r="54" spans="1:33">
      <c r="A54" s="7" t="s">
        <v>378</v>
      </c>
      <c r="B54" s="7" t="s">
        <v>378</v>
      </c>
      <c r="C54" s="7" t="s">
        <v>379</v>
      </c>
      <c r="D54" s="7" t="s">
        <v>380</v>
      </c>
      <c r="E54" s="7" t="s">
        <v>49</v>
      </c>
      <c r="F54" s="7" t="s">
        <v>34</v>
      </c>
      <c r="G54" s="7" t="s">
        <v>35</v>
      </c>
      <c r="H54" s="7"/>
      <c r="I54" s="7"/>
      <c r="J54" s="7" t="s">
        <v>36</v>
      </c>
      <c r="K54" s="7" t="s">
        <v>142</v>
      </c>
      <c r="L54" s="7" t="s">
        <v>143</v>
      </c>
      <c r="M54" s="7" t="s">
        <v>144</v>
      </c>
      <c r="N54" s="7" t="s">
        <v>49</v>
      </c>
      <c r="O54" s="7">
        <v>1</v>
      </c>
      <c r="P54" s="7" t="s">
        <v>41</v>
      </c>
      <c r="Q54" s="7">
        <v>79.99</v>
      </c>
      <c r="R54" s="7"/>
      <c r="S54" s="7">
        <v>9.14</v>
      </c>
      <c r="T54" s="7"/>
      <c r="U54" s="7"/>
      <c r="V54" s="7"/>
      <c r="W54" s="7"/>
      <c r="X54" s="7"/>
      <c r="Y54" s="7" t="s">
        <v>381</v>
      </c>
      <c r="Z54" s="7" t="s">
        <v>382</v>
      </c>
      <c r="AA54" s="7">
        <v>46350</v>
      </c>
      <c r="AB54" s="7" t="s">
        <v>45</v>
      </c>
      <c r="AC54" s="7"/>
      <c r="AD54" s="8"/>
      <c r="AE54" s="8"/>
      <c r="AF54" s="8"/>
      <c r="AG54" s="10">
        <f t="shared" si="0"/>
        <v>43312</v>
      </c>
    </row>
    <row r="55" spans="1:33">
      <c r="A55" s="7" t="s">
        <v>383</v>
      </c>
      <c r="B55" s="7" t="s">
        <v>383</v>
      </c>
      <c r="C55" s="7" t="s">
        <v>384</v>
      </c>
      <c r="D55" s="7" t="s">
        <v>385</v>
      </c>
      <c r="E55" s="7" t="s">
        <v>49</v>
      </c>
      <c r="F55" s="7" t="s">
        <v>34</v>
      </c>
      <c r="G55" s="7" t="s">
        <v>35</v>
      </c>
      <c r="H55" s="7"/>
      <c r="I55" s="7"/>
      <c r="J55" s="7" t="s">
        <v>50</v>
      </c>
      <c r="K55" s="7" t="s">
        <v>386</v>
      </c>
      <c r="L55" s="7" t="s">
        <v>387</v>
      </c>
      <c r="M55" s="7" t="s">
        <v>388</v>
      </c>
      <c r="N55" s="7" t="s">
        <v>49</v>
      </c>
      <c r="O55" s="7">
        <v>1</v>
      </c>
      <c r="P55" s="7" t="s">
        <v>41</v>
      </c>
      <c r="Q55" s="7">
        <v>32.99</v>
      </c>
      <c r="R55" s="7"/>
      <c r="S55" s="7"/>
      <c r="T55" s="7"/>
      <c r="U55" s="7"/>
      <c r="V55" s="7"/>
      <c r="W55" s="7"/>
      <c r="X55" s="7"/>
      <c r="Y55" s="7" t="s">
        <v>389</v>
      </c>
      <c r="Z55" s="7" t="s">
        <v>92</v>
      </c>
      <c r="AA55" s="7" t="s">
        <v>390</v>
      </c>
      <c r="AB55" s="7" t="s">
        <v>45</v>
      </c>
      <c r="AC55" s="7"/>
      <c r="AD55" s="8"/>
      <c r="AE55" s="8"/>
      <c r="AF55" s="8"/>
      <c r="AG55" s="10">
        <f t="shared" si="0"/>
        <v>43312</v>
      </c>
    </row>
    <row r="56" spans="1:33">
      <c r="A56" s="7" t="s">
        <v>391</v>
      </c>
      <c r="B56" s="7" t="s">
        <v>391</v>
      </c>
      <c r="C56" s="7" t="s">
        <v>392</v>
      </c>
      <c r="D56" s="7" t="s">
        <v>393</v>
      </c>
      <c r="E56" s="7" t="s">
        <v>49</v>
      </c>
      <c r="F56" s="7" t="s">
        <v>34</v>
      </c>
      <c r="G56" s="7" t="s">
        <v>35</v>
      </c>
      <c r="H56" s="7"/>
      <c r="I56" s="7"/>
      <c r="J56" s="7" t="s">
        <v>50</v>
      </c>
      <c r="K56" s="7" t="s">
        <v>70</v>
      </c>
      <c r="L56" s="7" t="s">
        <v>71</v>
      </c>
      <c r="M56" s="7" t="s">
        <v>72</v>
      </c>
      <c r="N56" s="7" t="s">
        <v>49</v>
      </c>
      <c r="O56" s="7">
        <v>1</v>
      </c>
      <c r="P56" s="7" t="s">
        <v>41</v>
      </c>
      <c r="Q56" s="7">
        <v>98.99</v>
      </c>
      <c r="R56" s="7"/>
      <c r="S56" s="7"/>
      <c r="T56" s="7"/>
      <c r="U56" s="7"/>
      <c r="V56" s="7"/>
      <c r="W56" s="7"/>
      <c r="X56" s="7"/>
      <c r="Y56" s="7" t="s">
        <v>394</v>
      </c>
      <c r="Z56" s="7" t="s">
        <v>260</v>
      </c>
      <c r="AA56" s="7" t="s">
        <v>395</v>
      </c>
      <c r="AB56" s="7" t="s">
        <v>45</v>
      </c>
      <c r="AC56" s="7"/>
      <c r="AD56" s="8"/>
      <c r="AE56" s="8"/>
      <c r="AF56" s="8"/>
      <c r="AG56" s="10">
        <f t="shared" si="0"/>
        <v>43312</v>
      </c>
    </row>
    <row r="57" spans="1:33">
      <c r="A57" s="7" t="s">
        <v>396</v>
      </c>
      <c r="B57" s="7" t="s">
        <v>396</v>
      </c>
      <c r="C57" s="7" t="s">
        <v>397</v>
      </c>
      <c r="D57" s="7" t="s">
        <v>398</v>
      </c>
      <c r="E57" s="7" t="s">
        <v>49</v>
      </c>
      <c r="F57" s="7" t="s">
        <v>34</v>
      </c>
      <c r="G57" s="7" t="s">
        <v>35</v>
      </c>
      <c r="H57" s="7"/>
      <c r="I57" s="7"/>
      <c r="J57" s="7" t="s">
        <v>50</v>
      </c>
      <c r="K57" s="7" t="s">
        <v>70</v>
      </c>
      <c r="L57" s="7" t="s">
        <v>71</v>
      </c>
      <c r="M57" s="7" t="s">
        <v>72</v>
      </c>
      <c r="N57" s="7" t="s">
        <v>49</v>
      </c>
      <c r="O57" s="7">
        <v>1</v>
      </c>
      <c r="P57" s="7" t="s">
        <v>41</v>
      </c>
      <c r="Q57" s="7">
        <v>98.99</v>
      </c>
      <c r="R57" s="7"/>
      <c r="S57" s="7"/>
      <c r="T57" s="7"/>
      <c r="U57" s="7"/>
      <c r="V57" s="7"/>
      <c r="W57" s="7"/>
      <c r="X57" s="7"/>
      <c r="Y57" s="7" t="s">
        <v>399</v>
      </c>
      <c r="Z57" s="7" t="s">
        <v>266</v>
      </c>
      <c r="AA57" s="7" t="s">
        <v>400</v>
      </c>
      <c r="AB57" s="7" t="s">
        <v>45</v>
      </c>
      <c r="AC57" s="7"/>
      <c r="AD57" s="8"/>
      <c r="AE57" s="8"/>
      <c r="AF57" s="8"/>
      <c r="AG57" s="10">
        <f t="shared" si="0"/>
        <v>43312</v>
      </c>
    </row>
    <row r="58" spans="1:33">
      <c r="A58" s="7" t="s">
        <v>401</v>
      </c>
      <c r="B58" s="7" t="s">
        <v>401</v>
      </c>
      <c r="C58" s="7" t="s">
        <v>402</v>
      </c>
      <c r="D58" s="7" t="s">
        <v>403</v>
      </c>
      <c r="E58" s="7" t="s">
        <v>33</v>
      </c>
      <c r="F58" s="7" t="s">
        <v>34</v>
      </c>
      <c r="G58" s="7" t="s">
        <v>35</v>
      </c>
      <c r="H58" s="7"/>
      <c r="I58" s="7"/>
      <c r="J58" s="7" t="s">
        <v>36</v>
      </c>
      <c r="K58" s="7" t="s">
        <v>226</v>
      </c>
      <c r="L58" s="7" t="s">
        <v>227</v>
      </c>
      <c r="M58" s="7" t="s">
        <v>228</v>
      </c>
      <c r="N58" s="7" t="s">
        <v>40</v>
      </c>
      <c r="O58" s="7">
        <v>1</v>
      </c>
      <c r="P58" s="7" t="s">
        <v>41</v>
      </c>
      <c r="Q58" s="7">
        <v>85.99</v>
      </c>
      <c r="R58" s="7"/>
      <c r="S58" s="7"/>
      <c r="T58" s="7"/>
      <c r="U58" s="7"/>
      <c r="V58" s="7"/>
      <c r="W58" s="7"/>
      <c r="X58" s="7"/>
      <c r="Y58" s="7" t="s">
        <v>404</v>
      </c>
      <c r="Z58" s="7" t="s">
        <v>230</v>
      </c>
      <c r="AA58" s="7" t="s">
        <v>405</v>
      </c>
      <c r="AB58" s="7" t="s">
        <v>45</v>
      </c>
      <c r="AC58" s="7"/>
      <c r="AD58" s="8"/>
      <c r="AE58" s="8"/>
      <c r="AF58" s="8"/>
      <c r="AG58" s="10">
        <f t="shared" si="0"/>
        <v>43312</v>
      </c>
    </row>
    <row r="59" spans="1:33">
      <c r="A59" s="7" t="s">
        <v>406</v>
      </c>
      <c r="B59" s="7" t="s">
        <v>406</v>
      </c>
      <c r="C59" s="7" t="s">
        <v>407</v>
      </c>
      <c r="D59" s="7" t="s">
        <v>408</v>
      </c>
      <c r="E59" s="7" t="s">
        <v>33</v>
      </c>
      <c r="F59" s="7" t="s">
        <v>34</v>
      </c>
      <c r="G59" s="7" t="s">
        <v>35</v>
      </c>
      <c r="H59" s="7"/>
      <c r="I59" s="7"/>
      <c r="J59" s="7" t="s">
        <v>50</v>
      </c>
      <c r="K59" s="7" t="s">
        <v>409</v>
      </c>
      <c r="L59" s="7" t="s">
        <v>410</v>
      </c>
      <c r="M59" s="7" t="s">
        <v>411</v>
      </c>
      <c r="N59" s="7" t="s">
        <v>33</v>
      </c>
      <c r="O59" s="7">
        <v>0</v>
      </c>
      <c r="P59" s="7"/>
      <c r="Q59" s="7"/>
      <c r="R59" s="7"/>
      <c r="S59" s="7"/>
      <c r="T59" s="7"/>
      <c r="U59" s="7"/>
      <c r="V59" s="7"/>
      <c r="W59" s="7"/>
      <c r="X59" s="7"/>
      <c r="Y59" s="7" t="s">
        <v>412</v>
      </c>
      <c r="Z59" s="7" t="s">
        <v>413</v>
      </c>
      <c r="AA59" s="7" t="s">
        <v>414</v>
      </c>
      <c r="AB59" s="7" t="s">
        <v>45</v>
      </c>
      <c r="AC59" s="7"/>
      <c r="AD59" s="8"/>
      <c r="AE59" s="8"/>
      <c r="AF59" s="8"/>
      <c r="AG59" s="10">
        <f t="shared" si="0"/>
        <v>43312</v>
      </c>
    </row>
    <row r="60" spans="1:33">
      <c r="A60" s="7" t="s">
        <v>415</v>
      </c>
      <c r="B60" s="7" t="s">
        <v>415</v>
      </c>
      <c r="C60" s="7" t="s">
        <v>416</v>
      </c>
      <c r="D60" s="7" t="s">
        <v>417</v>
      </c>
      <c r="E60" s="7" t="s">
        <v>49</v>
      </c>
      <c r="F60" s="7" t="s">
        <v>34</v>
      </c>
      <c r="G60" s="7" t="s">
        <v>35</v>
      </c>
      <c r="H60" s="7"/>
      <c r="I60" s="7"/>
      <c r="J60" s="7" t="s">
        <v>50</v>
      </c>
      <c r="K60" s="7" t="s">
        <v>160</v>
      </c>
      <c r="L60" s="7" t="s">
        <v>161</v>
      </c>
      <c r="M60" s="7" t="s">
        <v>162</v>
      </c>
      <c r="N60" s="7" t="s">
        <v>49</v>
      </c>
      <c r="O60" s="7">
        <v>1</v>
      </c>
      <c r="P60" s="7" t="s">
        <v>41</v>
      </c>
      <c r="Q60" s="7">
        <v>89.99</v>
      </c>
      <c r="R60" s="7"/>
      <c r="S60" s="7"/>
      <c r="T60" s="7"/>
      <c r="U60" s="7"/>
      <c r="V60" s="7"/>
      <c r="W60" s="7"/>
      <c r="X60" s="7"/>
      <c r="Y60" s="7" t="s">
        <v>418</v>
      </c>
      <c r="Z60" s="7" t="s">
        <v>43</v>
      </c>
      <c r="AA60" s="7" t="s">
        <v>419</v>
      </c>
      <c r="AB60" s="7" t="s">
        <v>45</v>
      </c>
      <c r="AC60" s="7"/>
      <c r="AD60" s="8"/>
      <c r="AE60" s="8"/>
      <c r="AF60" s="8"/>
      <c r="AG60" s="10">
        <f t="shared" si="0"/>
        <v>43312</v>
      </c>
    </row>
    <row r="61" spans="1:33">
      <c r="A61" s="7" t="s">
        <v>420</v>
      </c>
      <c r="B61" s="7" t="s">
        <v>420</v>
      </c>
      <c r="C61" s="7" t="s">
        <v>421</v>
      </c>
      <c r="D61" s="7" t="s">
        <v>422</v>
      </c>
      <c r="E61" s="7" t="s">
        <v>49</v>
      </c>
      <c r="F61" s="7" t="s">
        <v>34</v>
      </c>
      <c r="G61" s="7" t="s">
        <v>35</v>
      </c>
      <c r="H61" s="7"/>
      <c r="I61" s="7"/>
      <c r="J61" s="7" t="s">
        <v>36</v>
      </c>
      <c r="K61" s="7" t="s">
        <v>423</v>
      </c>
      <c r="L61" s="7" t="s">
        <v>424</v>
      </c>
      <c r="M61" s="7" t="s">
        <v>425</v>
      </c>
      <c r="N61" s="7" t="s">
        <v>49</v>
      </c>
      <c r="O61" s="7">
        <v>1</v>
      </c>
      <c r="P61" s="7" t="s">
        <v>41</v>
      </c>
      <c r="Q61" s="7">
        <v>26.99</v>
      </c>
      <c r="R61" s="7"/>
      <c r="S61" s="7">
        <v>7.42</v>
      </c>
      <c r="T61" s="7"/>
      <c r="U61" s="7"/>
      <c r="V61" s="7"/>
      <c r="W61" s="7"/>
      <c r="X61" s="7"/>
      <c r="Y61" s="7" t="s">
        <v>426</v>
      </c>
      <c r="Z61" s="7" t="s">
        <v>221</v>
      </c>
      <c r="AA61" s="7" t="s">
        <v>427</v>
      </c>
      <c r="AB61" s="7" t="s">
        <v>45</v>
      </c>
      <c r="AC61" s="7"/>
      <c r="AD61" s="8"/>
      <c r="AE61" s="8"/>
      <c r="AF61" s="8"/>
      <c r="AG61" s="10">
        <f t="shared" si="0"/>
        <v>43312</v>
      </c>
    </row>
    <row r="62" spans="1:33">
      <c r="A62" s="7" t="s">
        <v>428</v>
      </c>
      <c r="B62" s="7" t="s">
        <v>428</v>
      </c>
      <c r="C62" s="7" t="s">
        <v>429</v>
      </c>
      <c r="D62" s="7" t="s">
        <v>430</v>
      </c>
      <c r="E62" s="7" t="s">
        <v>49</v>
      </c>
      <c r="F62" s="7" t="s">
        <v>34</v>
      </c>
      <c r="G62" s="7" t="s">
        <v>35</v>
      </c>
      <c r="H62" s="7"/>
      <c r="I62" s="7"/>
      <c r="J62" s="7" t="s">
        <v>151</v>
      </c>
      <c r="K62" s="7" t="s">
        <v>208</v>
      </c>
      <c r="L62" s="7" t="s">
        <v>209</v>
      </c>
      <c r="M62" s="7" t="s">
        <v>210</v>
      </c>
      <c r="N62" s="7" t="s">
        <v>49</v>
      </c>
      <c r="O62" s="7">
        <v>1</v>
      </c>
      <c r="P62" s="7" t="s">
        <v>41</v>
      </c>
      <c r="Q62" s="7">
        <v>89.99</v>
      </c>
      <c r="R62" s="7"/>
      <c r="S62" s="7">
        <v>5.99</v>
      </c>
      <c r="T62" s="7"/>
      <c r="U62" s="7"/>
      <c r="V62" s="7"/>
      <c r="W62" s="7"/>
      <c r="X62" s="7">
        <v>5.99</v>
      </c>
      <c r="Y62" s="7" t="s">
        <v>431</v>
      </c>
      <c r="Z62" s="7" t="s">
        <v>115</v>
      </c>
      <c r="AA62" s="7" t="s">
        <v>432</v>
      </c>
      <c r="AB62" s="7" t="s">
        <v>45</v>
      </c>
      <c r="AC62" s="7"/>
      <c r="AD62" s="8"/>
      <c r="AE62" s="8"/>
      <c r="AF62" s="8"/>
      <c r="AG62" s="10">
        <f t="shared" si="0"/>
        <v>43312</v>
      </c>
    </row>
    <row r="63" spans="1:33">
      <c r="A63" s="7" t="s">
        <v>433</v>
      </c>
      <c r="B63" s="7" t="s">
        <v>433</v>
      </c>
      <c r="C63" s="7" t="s">
        <v>434</v>
      </c>
      <c r="D63" s="7" t="s">
        <v>435</v>
      </c>
      <c r="E63" s="7" t="s">
        <v>49</v>
      </c>
      <c r="F63" s="7" t="s">
        <v>34</v>
      </c>
      <c r="G63" s="7" t="s">
        <v>35</v>
      </c>
      <c r="H63" s="7"/>
      <c r="I63" s="7"/>
      <c r="J63" s="7" t="s">
        <v>50</v>
      </c>
      <c r="K63" s="7" t="s">
        <v>88</v>
      </c>
      <c r="L63" s="7" t="s">
        <v>89</v>
      </c>
      <c r="M63" s="7" t="s">
        <v>90</v>
      </c>
      <c r="N63" s="7" t="s">
        <v>49</v>
      </c>
      <c r="O63" s="7">
        <v>1</v>
      </c>
      <c r="P63" s="7" t="s">
        <v>41</v>
      </c>
      <c r="Q63" s="7">
        <v>89.99</v>
      </c>
      <c r="R63" s="7"/>
      <c r="S63" s="7"/>
      <c r="T63" s="7"/>
      <c r="U63" s="7"/>
      <c r="V63" s="7"/>
      <c r="W63" s="7"/>
      <c r="X63" s="7"/>
      <c r="Y63" s="7" t="s">
        <v>436</v>
      </c>
      <c r="Z63" s="7" t="s">
        <v>437</v>
      </c>
      <c r="AA63" s="7" t="s">
        <v>438</v>
      </c>
      <c r="AB63" s="7" t="s">
        <v>45</v>
      </c>
      <c r="AC63" s="7"/>
      <c r="AD63" s="8"/>
      <c r="AE63" s="8"/>
      <c r="AF63" s="8"/>
      <c r="AG63" s="10">
        <f t="shared" si="0"/>
        <v>43312</v>
      </c>
    </row>
    <row r="64" spans="1:33">
      <c r="A64" s="7" t="s">
        <v>439</v>
      </c>
      <c r="B64" s="7" t="s">
        <v>439</v>
      </c>
      <c r="C64" s="7" t="s">
        <v>440</v>
      </c>
      <c r="D64" s="7" t="s">
        <v>441</v>
      </c>
      <c r="E64" s="7" t="s">
        <v>49</v>
      </c>
      <c r="F64" s="7" t="s">
        <v>34</v>
      </c>
      <c r="G64" s="7" t="s">
        <v>35</v>
      </c>
      <c r="H64" s="7"/>
      <c r="I64" s="7"/>
      <c r="J64" s="7" t="s">
        <v>50</v>
      </c>
      <c r="K64" s="7" t="s">
        <v>226</v>
      </c>
      <c r="L64" s="7" t="s">
        <v>442</v>
      </c>
      <c r="M64" s="7" t="s">
        <v>443</v>
      </c>
      <c r="N64" s="7" t="s">
        <v>49</v>
      </c>
      <c r="O64" s="7">
        <v>1</v>
      </c>
      <c r="P64" s="7" t="s">
        <v>41</v>
      </c>
      <c r="Q64" s="7">
        <v>88.99</v>
      </c>
      <c r="R64" s="7"/>
      <c r="S64" s="7"/>
      <c r="T64" s="7"/>
      <c r="U64" s="7"/>
      <c r="V64" s="7"/>
      <c r="W64" s="7"/>
      <c r="X64" s="7"/>
      <c r="Y64" s="7" t="s">
        <v>444</v>
      </c>
      <c r="Z64" s="7" t="s">
        <v>382</v>
      </c>
      <c r="AA64" s="7">
        <v>46637</v>
      </c>
      <c r="AB64" s="7" t="s">
        <v>45</v>
      </c>
      <c r="AC64" s="7"/>
      <c r="AD64" s="8"/>
      <c r="AE64" s="8"/>
      <c r="AF64" s="8"/>
      <c r="AG64" s="10">
        <f t="shared" si="0"/>
        <v>43312</v>
      </c>
    </row>
    <row r="65" spans="1:33">
      <c r="A65" s="7" t="s">
        <v>445</v>
      </c>
      <c r="B65" s="7" t="s">
        <v>445</v>
      </c>
      <c r="C65" s="7" t="s">
        <v>446</v>
      </c>
      <c r="D65" s="7" t="s">
        <v>447</v>
      </c>
      <c r="E65" s="7" t="s">
        <v>49</v>
      </c>
      <c r="F65" s="7" t="s">
        <v>34</v>
      </c>
      <c r="G65" s="7" t="s">
        <v>35</v>
      </c>
      <c r="H65" s="7"/>
      <c r="I65" s="7"/>
      <c r="J65" s="7" t="s">
        <v>50</v>
      </c>
      <c r="K65" s="7" t="s">
        <v>448</v>
      </c>
      <c r="L65" s="7" t="s">
        <v>449</v>
      </c>
      <c r="M65" s="7" t="s">
        <v>450</v>
      </c>
      <c r="N65" s="7" t="s">
        <v>49</v>
      </c>
      <c r="O65" s="7">
        <v>1</v>
      </c>
      <c r="P65" s="7" t="s">
        <v>41</v>
      </c>
      <c r="Q65" s="7">
        <v>32.99</v>
      </c>
      <c r="R65" s="7"/>
      <c r="S65" s="7"/>
      <c r="T65" s="7"/>
      <c r="U65" s="7"/>
      <c r="V65" s="7"/>
      <c r="W65" s="7"/>
      <c r="X65" s="7"/>
      <c r="Y65" s="7" t="s">
        <v>451</v>
      </c>
      <c r="Z65" s="7" t="s">
        <v>109</v>
      </c>
      <c r="AA65" s="7" t="s">
        <v>452</v>
      </c>
      <c r="AB65" s="7" t="s">
        <v>45</v>
      </c>
      <c r="AC65" s="7"/>
      <c r="AD65" s="8"/>
      <c r="AE65" s="8"/>
      <c r="AF65" s="8"/>
      <c r="AG65" s="10">
        <f t="shared" si="0"/>
        <v>43312</v>
      </c>
    </row>
    <row r="66" spans="1:33">
      <c r="A66" s="7" t="s">
        <v>453</v>
      </c>
      <c r="B66" s="7" t="s">
        <v>453</v>
      </c>
      <c r="C66" s="7" t="s">
        <v>454</v>
      </c>
      <c r="D66" s="7" t="s">
        <v>455</v>
      </c>
      <c r="E66" s="7" t="s">
        <v>49</v>
      </c>
      <c r="F66" s="7" t="s">
        <v>34</v>
      </c>
      <c r="G66" s="7" t="s">
        <v>35</v>
      </c>
      <c r="H66" s="7"/>
      <c r="I66" s="7"/>
      <c r="J66" s="7" t="s">
        <v>50</v>
      </c>
      <c r="K66" s="7" t="s">
        <v>456</v>
      </c>
      <c r="L66" s="7" t="s">
        <v>457</v>
      </c>
      <c r="M66" s="7" t="s">
        <v>458</v>
      </c>
      <c r="N66" s="7" t="s">
        <v>49</v>
      </c>
      <c r="O66" s="7">
        <v>1</v>
      </c>
      <c r="P66" s="7" t="s">
        <v>41</v>
      </c>
      <c r="Q66" s="7">
        <v>85.99</v>
      </c>
      <c r="R66" s="7"/>
      <c r="S66" s="7"/>
      <c r="T66" s="7"/>
      <c r="U66" s="7"/>
      <c r="V66" s="7"/>
      <c r="W66" s="7"/>
      <c r="X66" s="7"/>
      <c r="Y66" s="7" t="s">
        <v>459</v>
      </c>
      <c r="Z66" s="7" t="s">
        <v>346</v>
      </c>
      <c r="AA66" s="7" t="s">
        <v>460</v>
      </c>
      <c r="AB66" s="7" t="s">
        <v>45</v>
      </c>
      <c r="AC66" s="7"/>
      <c r="AD66" s="8"/>
      <c r="AE66" s="8"/>
      <c r="AF66" s="8"/>
      <c r="AG66" s="10">
        <f t="shared" ref="AG66:AG129" si="1">DATEVALUE(LEFT(C66,10))</f>
        <v>43312</v>
      </c>
    </row>
    <row r="67" spans="1:33">
      <c r="A67" s="7" t="s">
        <v>461</v>
      </c>
      <c r="B67" s="7" t="s">
        <v>461</v>
      </c>
      <c r="C67" s="7" t="s">
        <v>462</v>
      </c>
      <c r="D67" s="7" t="s">
        <v>463</v>
      </c>
      <c r="E67" s="7" t="s">
        <v>49</v>
      </c>
      <c r="F67" s="7" t="s">
        <v>34</v>
      </c>
      <c r="G67" s="7" t="s">
        <v>35</v>
      </c>
      <c r="H67" s="7"/>
      <c r="I67" s="7"/>
      <c r="J67" s="7" t="s">
        <v>151</v>
      </c>
      <c r="K67" s="7" t="s">
        <v>464</v>
      </c>
      <c r="L67" s="7" t="s">
        <v>465</v>
      </c>
      <c r="M67" s="7" t="s">
        <v>466</v>
      </c>
      <c r="N67" s="7" t="s">
        <v>49</v>
      </c>
      <c r="O67" s="7">
        <v>1</v>
      </c>
      <c r="P67" s="7" t="s">
        <v>41</v>
      </c>
      <c r="Q67" s="7">
        <v>89.99</v>
      </c>
      <c r="R67" s="7"/>
      <c r="S67" s="7">
        <v>5.99</v>
      </c>
      <c r="T67" s="7"/>
      <c r="U67" s="7"/>
      <c r="V67" s="7"/>
      <c r="W67" s="7"/>
      <c r="X67" s="7">
        <v>5.99</v>
      </c>
      <c r="Y67" s="7" t="s">
        <v>467</v>
      </c>
      <c r="Z67" s="7" t="s">
        <v>43</v>
      </c>
      <c r="AA67" s="7" t="s">
        <v>468</v>
      </c>
      <c r="AB67" s="7" t="s">
        <v>45</v>
      </c>
      <c r="AC67" s="7"/>
      <c r="AD67" s="8"/>
      <c r="AE67" s="8"/>
      <c r="AF67" s="8"/>
      <c r="AG67" s="10">
        <f t="shared" si="1"/>
        <v>43312</v>
      </c>
    </row>
    <row r="68" spans="1:33">
      <c r="A68" s="7" t="s">
        <v>469</v>
      </c>
      <c r="B68" s="7" t="s">
        <v>469</v>
      </c>
      <c r="C68" s="7" t="s">
        <v>470</v>
      </c>
      <c r="D68" s="7" t="s">
        <v>471</v>
      </c>
      <c r="E68" s="7" t="s">
        <v>49</v>
      </c>
      <c r="F68" s="7" t="s">
        <v>34</v>
      </c>
      <c r="G68" s="7" t="s">
        <v>35</v>
      </c>
      <c r="H68" s="7"/>
      <c r="I68" s="7"/>
      <c r="J68" s="7" t="s">
        <v>50</v>
      </c>
      <c r="K68" s="7" t="s">
        <v>152</v>
      </c>
      <c r="L68" s="7" t="s">
        <v>153</v>
      </c>
      <c r="M68" s="7" t="s">
        <v>154</v>
      </c>
      <c r="N68" s="7" t="s">
        <v>49</v>
      </c>
      <c r="O68" s="7">
        <v>1</v>
      </c>
      <c r="P68" s="7" t="s">
        <v>41</v>
      </c>
      <c r="Q68" s="7">
        <v>79.99</v>
      </c>
      <c r="R68" s="7"/>
      <c r="S68" s="7"/>
      <c r="T68" s="7"/>
      <c r="U68" s="7"/>
      <c r="V68" s="7"/>
      <c r="W68" s="7"/>
      <c r="X68" s="7"/>
      <c r="Y68" s="7" t="s">
        <v>472</v>
      </c>
      <c r="Z68" s="7" t="s">
        <v>64</v>
      </c>
      <c r="AA68" s="7" t="s">
        <v>473</v>
      </c>
      <c r="AB68" s="7" t="s">
        <v>45</v>
      </c>
      <c r="AC68" s="7"/>
      <c r="AD68" s="8"/>
      <c r="AE68" s="8"/>
      <c r="AF68" s="8"/>
      <c r="AG68" s="10">
        <f t="shared" si="1"/>
        <v>43312</v>
      </c>
    </row>
    <row r="69" spans="1:33">
      <c r="A69" s="7" t="s">
        <v>474</v>
      </c>
      <c r="B69" s="7" t="s">
        <v>474</v>
      </c>
      <c r="C69" s="7" t="s">
        <v>475</v>
      </c>
      <c r="D69" s="7" t="s">
        <v>476</v>
      </c>
      <c r="E69" s="7" t="s">
        <v>49</v>
      </c>
      <c r="F69" s="7" t="s">
        <v>34</v>
      </c>
      <c r="G69" s="7" t="s">
        <v>35</v>
      </c>
      <c r="H69" s="7"/>
      <c r="I69" s="7"/>
      <c r="J69" s="7" t="s">
        <v>50</v>
      </c>
      <c r="K69" s="7" t="s">
        <v>477</v>
      </c>
      <c r="L69" s="7" t="s">
        <v>478</v>
      </c>
      <c r="M69" s="7" t="s">
        <v>479</v>
      </c>
      <c r="N69" s="7" t="s">
        <v>49</v>
      </c>
      <c r="O69" s="7">
        <v>1</v>
      </c>
      <c r="P69" s="7" t="s">
        <v>41</v>
      </c>
      <c r="Q69" s="7">
        <v>89.99</v>
      </c>
      <c r="R69" s="7"/>
      <c r="S69" s="7">
        <v>6.25</v>
      </c>
      <c r="T69" s="7"/>
      <c r="U69" s="7"/>
      <c r="V69" s="7"/>
      <c r="W69" s="7"/>
      <c r="X69" s="7"/>
      <c r="Y69" s="7" t="s">
        <v>480</v>
      </c>
      <c r="Z69" s="7" t="s">
        <v>260</v>
      </c>
      <c r="AA69" s="7" t="s">
        <v>481</v>
      </c>
      <c r="AB69" s="7" t="s">
        <v>45</v>
      </c>
      <c r="AC69" s="7"/>
      <c r="AD69" s="8"/>
      <c r="AE69" s="8"/>
      <c r="AF69" s="8"/>
      <c r="AG69" s="10">
        <f t="shared" si="1"/>
        <v>43312</v>
      </c>
    </row>
    <row r="70" spans="1:33">
      <c r="A70" s="7" t="s">
        <v>482</v>
      </c>
      <c r="B70" s="7" t="s">
        <v>482</v>
      </c>
      <c r="C70" s="7" t="s">
        <v>483</v>
      </c>
      <c r="D70" s="7" t="s">
        <v>484</v>
      </c>
      <c r="E70" s="7" t="s">
        <v>49</v>
      </c>
      <c r="F70" s="7" t="s">
        <v>34</v>
      </c>
      <c r="G70" s="7" t="s">
        <v>35</v>
      </c>
      <c r="H70" s="7"/>
      <c r="I70" s="7"/>
      <c r="J70" s="7" t="s">
        <v>50</v>
      </c>
      <c r="K70" s="7" t="s">
        <v>485</v>
      </c>
      <c r="L70" s="7" t="s">
        <v>486</v>
      </c>
      <c r="M70" s="7" t="s">
        <v>487</v>
      </c>
      <c r="N70" s="7" t="s">
        <v>49</v>
      </c>
      <c r="O70" s="7">
        <v>1</v>
      </c>
      <c r="P70" s="7" t="s">
        <v>41</v>
      </c>
      <c r="Q70" s="7">
        <v>69.99</v>
      </c>
      <c r="R70" s="7"/>
      <c r="S70" s="7"/>
      <c r="T70" s="7"/>
      <c r="U70" s="7"/>
      <c r="V70" s="7"/>
      <c r="W70" s="7"/>
      <c r="X70" s="7"/>
      <c r="Y70" s="7" t="s">
        <v>488</v>
      </c>
      <c r="Z70" s="7" t="s">
        <v>489</v>
      </c>
      <c r="AA70" s="7" t="s">
        <v>490</v>
      </c>
      <c r="AB70" s="7" t="s">
        <v>45</v>
      </c>
      <c r="AC70" s="7"/>
      <c r="AD70" s="8"/>
      <c r="AE70" s="8"/>
      <c r="AF70" s="8"/>
      <c r="AG70" s="10">
        <f t="shared" si="1"/>
        <v>43312</v>
      </c>
    </row>
    <row r="71" spans="1:33">
      <c r="A71" s="7" t="s">
        <v>491</v>
      </c>
      <c r="B71" s="7" t="s">
        <v>491</v>
      </c>
      <c r="C71" s="7" t="s">
        <v>492</v>
      </c>
      <c r="D71" s="7" t="s">
        <v>493</v>
      </c>
      <c r="E71" s="7" t="s">
        <v>49</v>
      </c>
      <c r="F71" s="7" t="s">
        <v>34</v>
      </c>
      <c r="G71" s="7" t="s">
        <v>35</v>
      </c>
      <c r="H71" s="7"/>
      <c r="I71" s="7"/>
      <c r="J71" s="7" t="s">
        <v>50</v>
      </c>
      <c r="K71" s="7" t="s">
        <v>494</v>
      </c>
      <c r="L71" s="7" t="s">
        <v>495</v>
      </c>
      <c r="M71" s="7" t="s">
        <v>496</v>
      </c>
      <c r="N71" s="7" t="s">
        <v>49</v>
      </c>
      <c r="O71" s="7">
        <v>1</v>
      </c>
      <c r="P71" s="7" t="s">
        <v>41</v>
      </c>
      <c r="Q71" s="7">
        <v>99.99</v>
      </c>
      <c r="R71" s="7"/>
      <c r="S71" s="7"/>
      <c r="T71" s="7"/>
      <c r="U71" s="7"/>
      <c r="V71" s="7"/>
      <c r="W71" s="7"/>
      <c r="X71" s="7"/>
      <c r="Y71" s="7" t="s">
        <v>497</v>
      </c>
      <c r="Z71" s="7" t="s">
        <v>178</v>
      </c>
      <c r="AA71" s="7" t="s">
        <v>498</v>
      </c>
      <c r="AB71" s="7" t="s">
        <v>45</v>
      </c>
      <c r="AC71" s="7"/>
      <c r="AD71" s="8"/>
      <c r="AE71" s="8"/>
      <c r="AF71" s="8"/>
      <c r="AG71" s="10">
        <f t="shared" si="1"/>
        <v>43312</v>
      </c>
    </row>
    <row r="72" spans="1:33">
      <c r="A72" s="7" t="s">
        <v>499</v>
      </c>
      <c r="B72" s="7" t="s">
        <v>499</v>
      </c>
      <c r="C72" s="7" t="s">
        <v>500</v>
      </c>
      <c r="D72" s="7" t="s">
        <v>501</v>
      </c>
      <c r="E72" s="7" t="s">
        <v>49</v>
      </c>
      <c r="F72" s="7" t="s">
        <v>34</v>
      </c>
      <c r="G72" s="7" t="s">
        <v>35</v>
      </c>
      <c r="H72" s="7"/>
      <c r="I72" s="7"/>
      <c r="J72" s="7" t="s">
        <v>50</v>
      </c>
      <c r="K72" s="7" t="s">
        <v>502</v>
      </c>
      <c r="L72" s="7" t="s">
        <v>503</v>
      </c>
      <c r="M72" s="7" t="s">
        <v>504</v>
      </c>
      <c r="N72" s="7" t="s">
        <v>49</v>
      </c>
      <c r="O72" s="7">
        <v>1</v>
      </c>
      <c r="P72" s="7" t="s">
        <v>41</v>
      </c>
      <c r="Q72" s="7">
        <v>89.99</v>
      </c>
      <c r="R72" s="7"/>
      <c r="S72" s="7"/>
      <c r="T72" s="7"/>
      <c r="U72" s="7"/>
      <c r="V72" s="7"/>
      <c r="W72" s="7"/>
      <c r="X72" s="7"/>
      <c r="Y72" s="7" t="s">
        <v>505</v>
      </c>
      <c r="Z72" s="7" t="s">
        <v>361</v>
      </c>
      <c r="AA72" s="7" t="s">
        <v>506</v>
      </c>
      <c r="AB72" s="7" t="s">
        <v>45</v>
      </c>
      <c r="AC72" s="7"/>
      <c r="AD72" s="8"/>
      <c r="AE72" s="8"/>
      <c r="AF72" s="8"/>
      <c r="AG72" s="10">
        <f t="shared" si="1"/>
        <v>43312</v>
      </c>
    </row>
    <row r="73" spans="1:33">
      <c r="A73" s="7" t="s">
        <v>507</v>
      </c>
      <c r="B73" s="7" t="s">
        <v>507</v>
      </c>
      <c r="C73" s="7" t="s">
        <v>508</v>
      </c>
      <c r="D73" s="7" t="s">
        <v>509</v>
      </c>
      <c r="E73" s="7" t="s">
        <v>33</v>
      </c>
      <c r="F73" s="7" t="s">
        <v>34</v>
      </c>
      <c r="G73" s="7" t="s">
        <v>35</v>
      </c>
      <c r="H73" s="7"/>
      <c r="I73" s="7"/>
      <c r="J73" s="7" t="s">
        <v>36</v>
      </c>
      <c r="K73" s="7" t="s">
        <v>169</v>
      </c>
      <c r="L73" s="7" t="s">
        <v>170</v>
      </c>
      <c r="M73" s="7" t="s">
        <v>171</v>
      </c>
      <c r="N73" s="7" t="s">
        <v>40</v>
      </c>
      <c r="O73" s="7">
        <v>1</v>
      </c>
      <c r="P73" s="7" t="s">
        <v>41</v>
      </c>
      <c r="Q73" s="7">
        <v>89.99</v>
      </c>
      <c r="R73" s="7"/>
      <c r="S73" s="7"/>
      <c r="T73" s="7"/>
      <c r="U73" s="7"/>
      <c r="V73" s="7"/>
      <c r="W73" s="7"/>
      <c r="X73" s="7"/>
      <c r="Y73" s="7" t="s">
        <v>42</v>
      </c>
      <c r="Z73" s="7" t="s">
        <v>43</v>
      </c>
      <c r="AA73" s="7" t="s">
        <v>44</v>
      </c>
      <c r="AB73" s="7" t="s">
        <v>45</v>
      </c>
      <c r="AC73" s="7"/>
      <c r="AD73" s="8"/>
      <c r="AE73" s="8"/>
      <c r="AF73" s="8"/>
      <c r="AG73" s="10">
        <f t="shared" si="1"/>
        <v>43312</v>
      </c>
    </row>
    <row r="74" spans="1:33">
      <c r="A74" s="7" t="s">
        <v>510</v>
      </c>
      <c r="B74" s="7" t="s">
        <v>510</v>
      </c>
      <c r="C74" s="7" t="s">
        <v>511</v>
      </c>
      <c r="D74" s="7" t="s">
        <v>512</v>
      </c>
      <c r="E74" s="7" t="s">
        <v>49</v>
      </c>
      <c r="F74" s="7" t="s">
        <v>34</v>
      </c>
      <c r="G74" s="7" t="s">
        <v>35</v>
      </c>
      <c r="H74" s="7"/>
      <c r="I74" s="7"/>
      <c r="J74" s="7" t="s">
        <v>50</v>
      </c>
      <c r="K74" s="7" t="s">
        <v>513</v>
      </c>
      <c r="L74" s="7" t="s">
        <v>514</v>
      </c>
      <c r="M74" s="7" t="s">
        <v>515</v>
      </c>
      <c r="N74" s="7" t="s">
        <v>49</v>
      </c>
      <c r="O74" s="7">
        <v>1</v>
      </c>
      <c r="P74" s="7" t="s">
        <v>41</v>
      </c>
      <c r="Q74" s="7">
        <v>79.99</v>
      </c>
      <c r="R74" s="7"/>
      <c r="S74" s="7"/>
      <c r="T74" s="7"/>
      <c r="U74" s="7"/>
      <c r="V74" s="7"/>
      <c r="W74" s="7"/>
      <c r="X74" s="7"/>
      <c r="Y74" s="7" t="s">
        <v>488</v>
      </c>
      <c r="Z74" s="7" t="s">
        <v>489</v>
      </c>
      <c r="AA74" s="7" t="s">
        <v>490</v>
      </c>
      <c r="AB74" s="7" t="s">
        <v>45</v>
      </c>
      <c r="AC74" s="7"/>
      <c r="AD74" s="8"/>
      <c r="AE74" s="8"/>
      <c r="AF74" s="8"/>
      <c r="AG74" s="10">
        <f t="shared" si="1"/>
        <v>43312</v>
      </c>
    </row>
    <row r="75" spans="1:33">
      <c r="A75" s="7" t="s">
        <v>516</v>
      </c>
      <c r="B75" s="7" t="s">
        <v>516</v>
      </c>
      <c r="C75" s="7" t="s">
        <v>517</v>
      </c>
      <c r="D75" s="7" t="s">
        <v>518</v>
      </c>
      <c r="E75" s="7" t="s">
        <v>33</v>
      </c>
      <c r="F75" s="7" t="s">
        <v>34</v>
      </c>
      <c r="G75" s="7" t="s">
        <v>35</v>
      </c>
      <c r="H75" s="7"/>
      <c r="I75" s="7"/>
      <c r="J75" s="7" t="s">
        <v>36</v>
      </c>
      <c r="K75" s="7" t="s">
        <v>519</v>
      </c>
      <c r="L75" s="7" t="s">
        <v>520</v>
      </c>
      <c r="M75" s="7" t="s">
        <v>521</v>
      </c>
      <c r="N75" s="7" t="s">
        <v>40</v>
      </c>
      <c r="O75" s="7">
        <v>1</v>
      </c>
      <c r="P75" s="7" t="s">
        <v>41</v>
      </c>
      <c r="Q75" s="7">
        <v>79.6</v>
      </c>
      <c r="R75" s="7"/>
      <c r="S75" s="7"/>
      <c r="T75" s="7"/>
      <c r="U75" s="7"/>
      <c r="V75" s="7"/>
      <c r="W75" s="7"/>
      <c r="X75" s="7"/>
      <c r="Y75" s="7" t="s">
        <v>522</v>
      </c>
      <c r="Z75" s="7" t="s">
        <v>346</v>
      </c>
      <c r="AA75" s="7" t="s">
        <v>523</v>
      </c>
      <c r="AB75" s="7" t="s">
        <v>45</v>
      </c>
      <c r="AC75" s="7"/>
      <c r="AD75" s="8"/>
      <c r="AE75" s="8"/>
      <c r="AF75" s="8"/>
      <c r="AG75" s="10">
        <f t="shared" si="1"/>
        <v>43312</v>
      </c>
    </row>
    <row r="76" spans="1:33">
      <c r="A76" s="7" t="s">
        <v>524</v>
      </c>
      <c r="B76" s="7" t="s">
        <v>524</v>
      </c>
      <c r="C76" s="7" t="s">
        <v>525</v>
      </c>
      <c r="D76" s="7" t="s">
        <v>526</v>
      </c>
      <c r="E76" s="7" t="s">
        <v>33</v>
      </c>
      <c r="F76" s="7" t="s">
        <v>34</v>
      </c>
      <c r="G76" s="7" t="s">
        <v>35</v>
      </c>
      <c r="H76" s="7"/>
      <c r="I76" s="7"/>
      <c r="J76" s="7" t="s">
        <v>36</v>
      </c>
      <c r="K76" s="7" t="s">
        <v>169</v>
      </c>
      <c r="L76" s="7" t="s">
        <v>170</v>
      </c>
      <c r="M76" s="7" t="s">
        <v>171</v>
      </c>
      <c r="N76" s="7" t="s">
        <v>40</v>
      </c>
      <c r="O76" s="7">
        <v>1</v>
      </c>
      <c r="P76" s="7" t="s">
        <v>41</v>
      </c>
      <c r="Q76" s="7">
        <v>89.99</v>
      </c>
      <c r="R76" s="7"/>
      <c r="S76" s="7"/>
      <c r="T76" s="7"/>
      <c r="U76" s="7"/>
      <c r="V76" s="7"/>
      <c r="W76" s="7"/>
      <c r="X76" s="7"/>
      <c r="Y76" s="7" t="s">
        <v>42</v>
      </c>
      <c r="Z76" s="7" t="s">
        <v>43</v>
      </c>
      <c r="AA76" s="7" t="s">
        <v>44</v>
      </c>
      <c r="AB76" s="7" t="s">
        <v>45</v>
      </c>
      <c r="AC76" s="7"/>
      <c r="AD76" s="8"/>
      <c r="AE76" s="8"/>
      <c r="AF76" s="8"/>
      <c r="AG76" s="10">
        <f t="shared" si="1"/>
        <v>43312</v>
      </c>
    </row>
    <row r="77" spans="1:33">
      <c r="A77" s="7" t="s">
        <v>527</v>
      </c>
      <c r="B77" s="7" t="s">
        <v>527</v>
      </c>
      <c r="C77" s="7" t="s">
        <v>528</v>
      </c>
      <c r="D77" s="7" t="s">
        <v>529</v>
      </c>
      <c r="E77" s="7" t="s">
        <v>33</v>
      </c>
      <c r="F77" s="7" t="s">
        <v>34</v>
      </c>
      <c r="G77" s="7" t="s">
        <v>35</v>
      </c>
      <c r="H77" s="7"/>
      <c r="I77" s="7"/>
      <c r="J77" s="7" t="s">
        <v>36</v>
      </c>
      <c r="K77" s="7" t="s">
        <v>169</v>
      </c>
      <c r="L77" s="7" t="s">
        <v>170</v>
      </c>
      <c r="M77" s="7" t="s">
        <v>171</v>
      </c>
      <c r="N77" s="7" t="s">
        <v>40</v>
      </c>
      <c r="O77" s="7">
        <v>1</v>
      </c>
      <c r="P77" s="7" t="s">
        <v>41</v>
      </c>
      <c r="Q77" s="7">
        <v>89.99</v>
      </c>
      <c r="R77" s="7"/>
      <c r="S77" s="7"/>
      <c r="T77" s="7"/>
      <c r="U77" s="7"/>
      <c r="V77" s="7"/>
      <c r="W77" s="7"/>
      <c r="X77" s="7"/>
      <c r="Y77" s="7" t="s">
        <v>42</v>
      </c>
      <c r="Z77" s="7" t="s">
        <v>43</v>
      </c>
      <c r="AA77" s="7" t="s">
        <v>44</v>
      </c>
      <c r="AB77" s="7" t="s">
        <v>45</v>
      </c>
      <c r="AC77" s="7"/>
      <c r="AD77" s="8"/>
      <c r="AE77" s="8"/>
      <c r="AF77" s="8"/>
      <c r="AG77" s="10">
        <f t="shared" si="1"/>
        <v>43312</v>
      </c>
    </row>
    <row r="78" spans="1:33">
      <c r="A78" s="7" t="s">
        <v>530</v>
      </c>
      <c r="B78" s="7" t="s">
        <v>530</v>
      </c>
      <c r="C78" s="7" t="s">
        <v>531</v>
      </c>
      <c r="D78" s="7" t="s">
        <v>532</v>
      </c>
      <c r="E78" s="7" t="s">
        <v>33</v>
      </c>
      <c r="F78" s="7" t="s">
        <v>34</v>
      </c>
      <c r="G78" s="7" t="s">
        <v>35</v>
      </c>
      <c r="H78" s="7"/>
      <c r="I78" s="7"/>
      <c r="J78" s="7" t="s">
        <v>36</v>
      </c>
      <c r="K78" s="7" t="s">
        <v>169</v>
      </c>
      <c r="L78" s="7" t="s">
        <v>170</v>
      </c>
      <c r="M78" s="7" t="s">
        <v>171</v>
      </c>
      <c r="N78" s="7" t="s">
        <v>40</v>
      </c>
      <c r="O78" s="7">
        <v>1</v>
      </c>
      <c r="P78" s="7" t="s">
        <v>41</v>
      </c>
      <c r="Q78" s="7">
        <v>89.99</v>
      </c>
      <c r="R78" s="7"/>
      <c r="S78" s="7"/>
      <c r="T78" s="7"/>
      <c r="U78" s="7"/>
      <c r="V78" s="7"/>
      <c r="W78" s="7"/>
      <c r="X78" s="7"/>
      <c r="Y78" s="7" t="s">
        <v>42</v>
      </c>
      <c r="Z78" s="7" t="s">
        <v>43</v>
      </c>
      <c r="AA78" s="7" t="s">
        <v>44</v>
      </c>
      <c r="AB78" s="7" t="s">
        <v>45</v>
      </c>
      <c r="AC78" s="7"/>
      <c r="AD78" s="8"/>
      <c r="AE78" s="8"/>
      <c r="AF78" s="8"/>
      <c r="AG78" s="10">
        <f t="shared" si="1"/>
        <v>43312</v>
      </c>
    </row>
    <row r="79" spans="1:33">
      <c r="A79" s="7" t="s">
        <v>533</v>
      </c>
      <c r="B79" s="7" t="s">
        <v>533</v>
      </c>
      <c r="C79" s="7" t="s">
        <v>534</v>
      </c>
      <c r="D79" s="7" t="s">
        <v>535</v>
      </c>
      <c r="E79" s="7" t="s">
        <v>33</v>
      </c>
      <c r="F79" s="7" t="s">
        <v>34</v>
      </c>
      <c r="G79" s="7" t="s">
        <v>35</v>
      </c>
      <c r="H79" s="7"/>
      <c r="I79" s="7"/>
      <c r="J79" s="7" t="s">
        <v>50</v>
      </c>
      <c r="K79" s="7" t="s">
        <v>37</v>
      </c>
      <c r="L79" s="7" t="s">
        <v>38</v>
      </c>
      <c r="M79" s="7" t="s">
        <v>39</v>
      </c>
      <c r="N79" s="7" t="s">
        <v>33</v>
      </c>
      <c r="O79" s="7">
        <v>0</v>
      </c>
      <c r="P79" s="7"/>
      <c r="Q79" s="7"/>
      <c r="R79" s="7"/>
      <c r="S79" s="7"/>
      <c r="T79" s="7"/>
      <c r="U79" s="7"/>
      <c r="V79" s="7"/>
      <c r="W79" s="7"/>
      <c r="X79" s="7"/>
      <c r="Y79" s="7" t="s">
        <v>536</v>
      </c>
      <c r="Z79" s="7" t="s">
        <v>115</v>
      </c>
      <c r="AA79" s="7">
        <v>53228</v>
      </c>
      <c r="AB79" s="7" t="s">
        <v>45</v>
      </c>
      <c r="AC79" s="7"/>
      <c r="AD79" s="8"/>
      <c r="AE79" s="8"/>
      <c r="AF79" s="8"/>
      <c r="AG79" s="10">
        <f t="shared" si="1"/>
        <v>43312</v>
      </c>
    </row>
    <row r="80" spans="1:33">
      <c r="A80" s="7" t="s">
        <v>537</v>
      </c>
      <c r="B80" s="7" t="s">
        <v>537</v>
      </c>
      <c r="C80" s="7" t="s">
        <v>538</v>
      </c>
      <c r="D80" s="7" t="s">
        <v>539</v>
      </c>
      <c r="E80" s="7" t="s">
        <v>33</v>
      </c>
      <c r="F80" s="7" t="s">
        <v>34</v>
      </c>
      <c r="G80" s="7" t="s">
        <v>35</v>
      </c>
      <c r="H80" s="7"/>
      <c r="I80" s="7"/>
      <c r="J80" s="7" t="s">
        <v>36</v>
      </c>
      <c r="K80" s="7" t="s">
        <v>169</v>
      </c>
      <c r="L80" s="7" t="s">
        <v>170</v>
      </c>
      <c r="M80" s="7" t="s">
        <v>171</v>
      </c>
      <c r="N80" s="7" t="s">
        <v>40</v>
      </c>
      <c r="O80" s="7">
        <v>1</v>
      </c>
      <c r="P80" s="7" t="s">
        <v>41</v>
      </c>
      <c r="Q80" s="7">
        <v>89.99</v>
      </c>
      <c r="R80" s="7"/>
      <c r="S80" s="7"/>
      <c r="T80" s="7"/>
      <c r="U80" s="7"/>
      <c r="V80" s="7"/>
      <c r="W80" s="7"/>
      <c r="X80" s="7"/>
      <c r="Y80" s="7" t="s">
        <v>42</v>
      </c>
      <c r="Z80" s="7" t="s">
        <v>43</v>
      </c>
      <c r="AA80" s="7" t="s">
        <v>44</v>
      </c>
      <c r="AB80" s="7" t="s">
        <v>45</v>
      </c>
      <c r="AC80" s="7"/>
      <c r="AD80" s="8"/>
      <c r="AE80" s="8"/>
      <c r="AF80" s="8"/>
      <c r="AG80" s="10">
        <f t="shared" si="1"/>
        <v>43312</v>
      </c>
    </row>
    <row r="81" spans="1:33">
      <c r="A81" s="7" t="s">
        <v>540</v>
      </c>
      <c r="B81" s="7" t="s">
        <v>540</v>
      </c>
      <c r="C81" s="7" t="s">
        <v>541</v>
      </c>
      <c r="D81" s="7" t="s">
        <v>542</v>
      </c>
      <c r="E81" s="7" t="s">
        <v>49</v>
      </c>
      <c r="F81" s="7" t="s">
        <v>34</v>
      </c>
      <c r="G81" s="7" t="s">
        <v>35</v>
      </c>
      <c r="H81" s="7"/>
      <c r="I81" s="7"/>
      <c r="J81" s="7" t="s">
        <v>50</v>
      </c>
      <c r="K81" s="7" t="s">
        <v>79</v>
      </c>
      <c r="L81" s="7" t="s">
        <v>80</v>
      </c>
      <c r="M81" s="7" t="s">
        <v>81</v>
      </c>
      <c r="N81" s="7" t="s">
        <v>49</v>
      </c>
      <c r="O81" s="7">
        <v>1</v>
      </c>
      <c r="P81" s="7" t="s">
        <v>41</v>
      </c>
      <c r="Q81" s="7">
        <v>21.99</v>
      </c>
      <c r="R81" s="7"/>
      <c r="S81" s="7"/>
      <c r="T81" s="7"/>
      <c r="U81" s="7"/>
      <c r="V81" s="7"/>
      <c r="W81" s="7">
        <v>21.77</v>
      </c>
      <c r="X81" s="7"/>
      <c r="Y81" s="7" t="s">
        <v>543</v>
      </c>
      <c r="Z81" s="7" t="s">
        <v>109</v>
      </c>
      <c r="AA81" s="7" t="s">
        <v>544</v>
      </c>
      <c r="AB81" s="7" t="s">
        <v>45</v>
      </c>
      <c r="AC81" s="7" t="s">
        <v>66</v>
      </c>
      <c r="AD81" s="8"/>
      <c r="AE81" s="8"/>
      <c r="AF81" s="8"/>
      <c r="AG81" s="10">
        <f t="shared" si="1"/>
        <v>43312</v>
      </c>
    </row>
    <row r="82" spans="1:33">
      <c r="A82" s="7" t="s">
        <v>545</v>
      </c>
      <c r="B82" s="7" t="s">
        <v>545</v>
      </c>
      <c r="C82" s="7" t="s">
        <v>546</v>
      </c>
      <c r="D82" s="7" t="s">
        <v>547</v>
      </c>
      <c r="E82" s="7" t="s">
        <v>49</v>
      </c>
      <c r="F82" s="7" t="s">
        <v>34</v>
      </c>
      <c r="G82" s="7" t="s">
        <v>35</v>
      </c>
      <c r="H82" s="7"/>
      <c r="I82" s="7"/>
      <c r="J82" s="7" t="s">
        <v>36</v>
      </c>
      <c r="K82" s="7" t="s">
        <v>160</v>
      </c>
      <c r="L82" s="7" t="s">
        <v>161</v>
      </c>
      <c r="M82" s="7" t="s">
        <v>162</v>
      </c>
      <c r="N82" s="7" t="s">
        <v>49</v>
      </c>
      <c r="O82" s="7">
        <v>1</v>
      </c>
      <c r="P82" s="7" t="s">
        <v>41</v>
      </c>
      <c r="Q82" s="7">
        <v>89.99</v>
      </c>
      <c r="R82" s="7"/>
      <c r="S82" s="7">
        <v>4.33</v>
      </c>
      <c r="T82" s="7"/>
      <c r="U82" s="7"/>
      <c r="V82" s="7"/>
      <c r="W82" s="7"/>
      <c r="X82" s="7">
        <v>4.33</v>
      </c>
      <c r="Y82" s="7" t="s">
        <v>467</v>
      </c>
      <c r="Z82" s="7" t="s">
        <v>43</v>
      </c>
      <c r="AA82" s="7" t="s">
        <v>548</v>
      </c>
      <c r="AB82" s="7" t="s">
        <v>45</v>
      </c>
      <c r="AC82" s="7" t="s">
        <v>549</v>
      </c>
      <c r="AD82" s="8"/>
      <c r="AE82" s="8"/>
      <c r="AF82" s="8"/>
      <c r="AG82" s="10">
        <f t="shared" si="1"/>
        <v>43313</v>
      </c>
    </row>
    <row r="83" spans="1:33">
      <c r="A83" s="7" t="s">
        <v>550</v>
      </c>
      <c r="B83" s="7" t="s">
        <v>550</v>
      </c>
      <c r="C83" s="7" t="s">
        <v>551</v>
      </c>
      <c r="D83" s="7" t="s">
        <v>552</v>
      </c>
      <c r="E83" s="7" t="s">
        <v>49</v>
      </c>
      <c r="F83" s="7" t="s">
        <v>34</v>
      </c>
      <c r="G83" s="7" t="s">
        <v>35</v>
      </c>
      <c r="H83" s="7"/>
      <c r="I83" s="7"/>
      <c r="J83" s="7" t="s">
        <v>50</v>
      </c>
      <c r="K83" s="7" t="s">
        <v>297</v>
      </c>
      <c r="L83" s="7" t="s">
        <v>298</v>
      </c>
      <c r="M83" s="7" t="s">
        <v>299</v>
      </c>
      <c r="N83" s="7" t="s">
        <v>49</v>
      </c>
      <c r="O83" s="7">
        <v>1</v>
      </c>
      <c r="P83" s="7" t="s">
        <v>41</v>
      </c>
      <c r="Q83" s="7">
        <v>89.99</v>
      </c>
      <c r="R83" s="7"/>
      <c r="S83" s="7"/>
      <c r="T83" s="7"/>
      <c r="U83" s="7"/>
      <c r="V83" s="7"/>
      <c r="W83" s="7"/>
      <c r="X83" s="7"/>
      <c r="Y83" s="7" t="s">
        <v>553</v>
      </c>
      <c r="Z83" s="7" t="s">
        <v>178</v>
      </c>
      <c r="AA83" s="7" t="s">
        <v>554</v>
      </c>
      <c r="AB83" s="7" t="s">
        <v>45</v>
      </c>
      <c r="AC83" s="7"/>
      <c r="AD83" s="8"/>
      <c r="AE83" s="8"/>
      <c r="AF83" s="8"/>
      <c r="AG83" s="10">
        <f t="shared" si="1"/>
        <v>43313</v>
      </c>
    </row>
    <row r="84" spans="1:33">
      <c r="A84" s="7" t="s">
        <v>555</v>
      </c>
      <c r="B84" s="7" t="s">
        <v>555</v>
      </c>
      <c r="C84" s="7" t="s">
        <v>556</v>
      </c>
      <c r="D84" s="7" t="s">
        <v>557</v>
      </c>
      <c r="E84" s="7" t="s">
        <v>49</v>
      </c>
      <c r="F84" s="7" t="s">
        <v>34</v>
      </c>
      <c r="G84" s="7" t="s">
        <v>35</v>
      </c>
      <c r="H84" s="7"/>
      <c r="I84" s="7"/>
      <c r="J84" s="7" t="s">
        <v>50</v>
      </c>
      <c r="K84" s="7" t="s">
        <v>226</v>
      </c>
      <c r="L84" s="7" t="s">
        <v>442</v>
      </c>
      <c r="M84" s="7" t="s">
        <v>443</v>
      </c>
      <c r="N84" s="7" t="s">
        <v>49</v>
      </c>
      <c r="O84" s="7">
        <v>1</v>
      </c>
      <c r="P84" s="7" t="s">
        <v>41</v>
      </c>
      <c r="Q84" s="7">
        <v>88.99</v>
      </c>
      <c r="R84" s="7"/>
      <c r="S84" s="7"/>
      <c r="T84" s="7"/>
      <c r="U84" s="7"/>
      <c r="V84" s="7"/>
      <c r="W84" s="7"/>
      <c r="X84" s="7"/>
      <c r="Y84" s="7" t="s">
        <v>558</v>
      </c>
      <c r="Z84" s="7" t="s">
        <v>266</v>
      </c>
      <c r="AA84" s="7" t="s">
        <v>559</v>
      </c>
      <c r="AB84" s="7" t="s">
        <v>45</v>
      </c>
      <c r="AC84" s="7"/>
      <c r="AD84" s="8"/>
      <c r="AE84" s="8"/>
      <c r="AF84" s="8"/>
      <c r="AG84" s="10">
        <f t="shared" si="1"/>
        <v>43313</v>
      </c>
    </row>
    <row r="85" spans="1:33">
      <c r="A85" s="7" t="s">
        <v>560</v>
      </c>
      <c r="B85" s="7" t="s">
        <v>560</v>
      </c>
      <c r="C85" s="7" t="s">
        <v>561</v>
      </c>
      <c r="D85" s="7" t="s">
        <v>562</v>
      </c>
      <c r="E85" s="7" t="s">
        <v>49</v>
      </c>
      <c r="F85" s="7" t="s">
        <v>34</v>
      </c>
      <c r="G85" s="7" t="s">
        <v>35</v>
      </c>
      <c r="H85" s="7"/>
      <c r="I85" s="7"/>
      <c r="J85" s="7" t="s">
        <v>50</v>
      </c>
      <c r="K85" s="7" t="s">
        <v>563</v>
      </c>
      <c r="L85" s="7" t="s">
        <v>564</v>
      </c>
      <c r="M85" s="7" t="s">
        <v>565</v>
      </c>
      <c r="N85" s="7" t="s">
        <v>49</v>
      </c>
      <c r="O85" s="7">
        <v>1</v>
      </c>
      <c r="P85" s="7" t="s">
        <v>41</v>
      </c>
      <c r="Q85" s="7">
        <v>12.99</v>
      </c>
      <c r="R85" s="7"/>
      <c r="S85" s="7"/>
      <c r="T85" s="7"/>
      <c r="U85" s="7"/>
      <c r="V85" s="7"/>
      <c r="W85" s="7"/>
      <c r="X85" s="7"/>
      <c r="Y85" s="7" t="s">
        <v>566</v>
      </c>
      <c r="Z85" s="7" t="s">
        <v>280</v>
      </c>
      <c r="AA85" s="7" t="s">
        <v>567</v>
      </c>
      <c r="AB85" s="7" t="s">
        <v>45</v>
      </c>
      <c r="AC85" s="7"/>
      <c r="AD85" s="8"/>
      <c r="AE85" s="8"/>
      <c r="AF85" s="8"/>
      <c r="AG85" s="10">
        <f t="shared" si="1"/>
        <v>43313</v>
      </c>
    </row>
    <row r="86" spans="1:33">
      <c r="A86" s="7" t="s">
        <v>568</v>
      </c>
      <c r="B86" s="7" t="s">
        <v>568</v>
      </c>
      <c r="C86" s="7" t="s">
        <v>569</v>
      </c>
      <c r="D86" s="7" t="s">
        <v>570</v>
      </c>
      <c r="E86" s="7" t="s">
        <v>49</v>
      </c>
      <c r="F86" s="7" t="s">
        <v>34</v>
      </c>
      <c r="G86" s="7" t="s">
        <v>35</v>
      </c>
      <c r="H86" s="7"/>
      <c r="I86" s="7"/>
      <c r="J86" s="7" t="s">
        <v>50</v>
      </c>
      <c r="K86" s="7" t="s">
        <v>571</v>
      </c>
      <c r="L86" s="7" t="s">
        <v>572</v>
      </c>
      <c r="M86" s="7" t="s">
        <v>573</v>
      </c>
      <c r="N86" s="7" t="s">
        <v>49</v>
      </c>
      <c r="O86" s="7">
        <v>1</v>
      </c>
      <c r="P86" s="7" t="s">
        <v>41</v>
      </c>
      <c r="Q86" s="7">
        <v>21.99</v>
      </c>
      <c r="R86" s="7">
        <v>1.32</v>
      </c>
      <c r="S86" s="7"/>
      <c r="T86" s="7"/>
      <c r="U86" s="7"/>
      <c r="V86" s="7"/>
      <c r="W86" s="7"/>
      <c r="X86" s="7"/>
      <c r="Y86" s="7" t="s">
        <v>574</v>
      </c>
      <c r="Z86" s="7" t="s">
        <v>124</v>
      </c>
      <c r="AA86" s="7" t="s">
        <v>575</v>
      </c>
      <c r="AB86" s="7" t="s">
        <v>45</v>
      </c>
      <c r="AC86" s="7"/>
      <c r="AD86" s="8"/>
      <c r="AE86" s="8"/>
      <c r="AF86" s="8"/>
      <c r="AG86" s="10">
        <f t="shared" si="1"/>
        <v>43313</v>
      </c>
    </row>
    <row r="87" spans="1:33">
      <c r="A87" s="7" t="s">
        <v>576</v>
      </c>
      <c r="B87" s="7" t="s">
        <v>576</v>
      </c>
      <c r="C87" s="7" t="s">
        <v>577</v>
      </c>
      <c r="D87" s="7" t="s">
        <v>578</v>
      </c>
      <c r="E87" s="7" t="s">
        <v>49</v>
      </c>
      <c r="F87" s="7" t="s">
        <v>34</v>
      </c>
      <c r="G87" s="7" t="s">
        <v>35</v>
      </c>
      <c r="H87" s="7"/>
      <c r="I87" s="7"/>
      <c r="J87" s="7" t="s">
        <v>151</v>
      </c>
      <c r="K87" s="7" t="s">
        <v>276</v>
      </c>
      <c r="L87" s="7" t="s">
        <v>277</v>
      </c>
      <c r="M87" s="7" t="s">
        <v>278</v>
      </c>
      <c r="N87" s="7" t="s">
        <v>49</v>
      </c>
      <c r="O87" s="7">
        <v>1</v>
      </c>
      <c r="P87" s="7" t="s">
        <v>41</v>
      </c>
      <c r="Q87" s="7">
        <v>91.99</v>
      </c>
      <c r="R87" s="7"/>
      <c r="S87" s="7">
        <v>6.99</v>
      </c>
      <c r="T87" s="7"/>
      <c r="U87" s="7"/>
      <c r="V87" s="7"/>
      <c r="W87" s="7"/>
      <c r="X87" s="7">
        <v>6.99</v>
      </c>
      <c r="Y87" s="7" t="s">
        <v>579</v>
      </c>
      <c r="Z87" s="7" t="s">
        <v>64</v>
      </c>
      <c r="AA87" s="7" t="s">
        <v>580</v>
      </c>
      <c r="AB87" s="7" t="s">
        <v>45</v>
      </c>
      <c r="AC87" s="7"/>
      <c r="AD87" s="8"/>
      <c r="AE87" s="8"/>
      <c r="AF87" s="8"/>
      <c r="AG87" s="10">
        <f t="shared" si="1"/>
        <v>43313</v>
      </c>
    </row>
    <row r="88" spans="1:33">
      <c r="A88" s="7" t="s">
        <v>581</v>
      </c>
      <c r="B88" s="7" t="s">
        <v>581</v>
      </c>
      <c r="C88" s="7" t="s">
        <v>582</v>
      </c>
      <c r="D88" s="7" t="s">
        <v>583</v>
      </c>
      <c r="E88" s="7" t="s">
        <v>33</v>
      </c>
      <c r="F88" s="7" t="s">
        <v>34</v>
      </c>
      <c r="G88" s="7" t="s">
        <v>35</v>
      </c>
      <c r="H88" s="7"/>
      <c r="I88" s="7"/>
      <c r="J88" s="7" t="s">
        <v>36</v>
      </c>
      <c r="K88" s="7" t="s">
        <v>169</v>
      </c>
      <c r="L88" s="7" t="s">
        <v>170</v>
      </c>
      <c r="M88" s="7" t="s">
        <v>171</v>
      </c>
      <c r="N88" s="7" t="s">
        <v>40</v>
      </c>
      <c r="O88" s="7">
        <v>1</v>
      </c>
      <c r="P88" s="7" t="s">
        <v>41</v>
      </c>
      <c r="Q88" s="7">
        <v>89.99</v>
      </c>
      <c r="R88" s="7"/>
      <c r="S88" s="7"/>
      <c r="T88" s="7"/>
      <c r="U88" s="7"/>
      <c r="V88" s="7"/>
      <c r="W88" s="7"/>
      <c r="X88" s="7"/>
      <c r="Y88" s="7" t="s">
        <v>42</v>
      </c>
      <c r="Z88" s="7" t="s">
        <v>43</v>
      </c>
      <c r="AA88" s="7" t="s">
        <v>44</v>
      </c>
      <c r="AB88" s="7" t="s">
        <v>45</v>
      </c>
      <c r="AC88" s="7"/>
      <c r="AD88" s="8"/>
      <c r="AE88" s="8"/>
      <c r="AF88" s="8"/>
      <c r="AG88" s="10">
        <f t="shared" si="1"/>
        <v>43313</v>
      </c>
    </row>
    <row r="89" spans="1:33">
      <c r="A89" s="7" t="s">
        <v>584</v>
      </c>
      <c r="B89" s="7" t="s">
        <v>584</v>
      </c>
      <c r="C89" s="7" t="s">
        <v>585</v>
      </c>
      <c r="D89" s="7" t="s">
        <v>586</v>
      </c>
      <c r="E89" s="7" t="s">
        <v>49</v>
      </c>
      <c r="F89" s="7" t="s">
        <v>34</v>
      </c>
      <c r="G89" s="7" t="s">
        <v>35</v>
      </c>
      <c r="H89" s="7"/>
      <c r="I89" s="7"/>
      <c r="J89" s="7" t="s">
        <v>50</v>
      </c>
      <c r="K89" s="7" t="s">
        <v>563</v>
      </c>
      <c r="L89" s="7" t="s">
        <v>564</v>
      </c>
      <c r="M89" s="7" t="s">
        <v>565</v>
      </c>
      <c r="N89" s="7" t="s">
        <v>49</v>
      </c>
      <c r="O89" s="7">
        <v>1</v>
      </c>
      <c r="P89" s="7" t="s">
        <v>41</v>
      </c>
      <c r="Q89" s="7">
        <v>12.99</v>
      </c>
      <c r="R89" s="7"/>
      <c r="S89" s="7"/>
      <c r="T89" s="7"/>
      <c r="U89" s="7"/>
      <c r="V89" s="7"/>
      <c r="W89" s="7"/>
      <c r="X89" s="7"/>
      <c r="Y89" s="7" t="s">
        <v>587</v>
      </c>
      <c r="Z89" s="7" t="s">
        <v>64</v>
      </c>
      <c r="AA89" s="7" t="s">
        <v>588</v>
      </c>
      <c r="AB89" s="7" t="s">
        <v>45</v>
      </c>
      <c r="AC89" s="7"/>
      <c r="AD89" s="8"/>
      <c r="AE89" s="8"/>
      <c r="AF89" s="8"/>
      <c r="AG89" s="10">
        <f t="shared" si="1"/>
        <v>43313</v>
      </c>
    </row>
    <row r="90" spans="1:33">
      <c r="A90" s="7" t="s">
        <v>584</v>
      </c>
      <c r="B90" s="7" t="s">
        <v>584</v>
      </c>
      <c r="C90" s="7" t="s">
        <v>585</v>
      </c>
      <c r="D90" s="7" t="s">
        <v>586</v>
      </c>
      <c r="E90" s="7" t="s">
        <v>49</v>
      </c>
      <c r="F90" s="7" t="s">
        <v>34</v>
      </c>
      <c r="G90" s="7" t="s">
        <v>35</v>
      </c>
      <c r="H90" s="7"/>
      <c r="I90" s="7"/>
      <c r="J90" s="7" t="s">
        <v>50</v>
      </c>
      <c r="K90" s="7" t="s">
        <v>589</v>
      </c>
      <c r="L90" s="7" t="s">
        <v>590</v>
      </c>
      <c r="M90" s="7" t="s">
        <v>591</v>
      </c>
      <c r="N90" s="7" t="s">
        <v>49</v>
      </c>
      <c r="O90" s="7">
        <v>1</v>
      </c>
      <c r="P90" s="7" t="s">
        <v>41</v>
      </c>
      <c r="Q90" s="7">
        <v>12.99</v>
      </c>
      <c r="R90" s="7"/>
      <c r="S90" s="7"/>
      <c r="T90" s="7"/>
      <c r="U90" s="7"/>
      <c r="V90" s="7"/>
      <c r="W90" s="7"/>
      <c r="X90" s="7"/>
      <c r="Y90" s="7" t="s">
        <v>587</v>
      </c>
      <c r="Z90" s="7" t="s">
        <v>64</v>
      </c>
      <c r="AA90" s="7" t="s">
        <v>588</v>
      </c>
      <c r="AB90" s="7" t="s">
        <v>45</v>
      </c>
      <c r="AC90" s="7"/>
      <c r="AD90" s="8"/>
      <c r="AE90" s="8"/>
      <c r="AF90" s="8"/>
      <c r="AG90" s="10">
        <f t="shared" si="1"/>
        <v>43313</v>
      </c>
    </row>
    <row r="91" spans="1:33">
      <c r="A91" s="7" t="s">
        <v>592</v>
      </c>
      <c r="B91" s="7" t="s">
        <v>592</v>
      </c>
      <c r="C91" s="7" t="s">
        <v>593</v>
      </c>
      <c r="D91" s="7" t="s">
        <v>594</v>
      </c>
      <c r="E91" s="7" t="s">
        <v>33</v>
      </c>
      <c r="F91" s="7" t="s">
        <v>34</v>
      </c>
      <c r="G91" s="7" t="s">
        <v>35</v>
      </c>
      <c r="H91" s="7"/>
      <c r="I91" s="7"/>
      <c r="J91" s="7" t="s">
        <v>36</v>
      </c>
      <c r="K91" s="7" t="s">
        <v>595</v>
      </c>
      <c r="L91" s="7" t="s">
        <v>596</v>
      </c>
      <c r="M91" s="7" t="s">
        <v>597</v>
      </c>
      <c r="N91" s="7" t="s">
        <v>40</v>
      </c>
      <c r="O91" s="7">
        <v>1</v>
      </c>
      <c r="P91" s="7" t="s">
        <v>41</v>
      </c>
      <c r="Q91" s="7">
        <v>21.99</v>
      </c>
      <c r="R91" s="7"/>
      <c r="S91" s="7"/>
      <c r="T91" s="7"/>
      <c r="U91" s="7"/>
      <c r="V91" s="7"/>
      <c r="W91" s="7"/>
      <c r="X91" s="7"/>
      <c r="Y91" s="7" t="s">
        <v>598</v>
      </c>
      <c r="Z91" s="7" t="s">
        <v>115</v>
      </c>
      <c r="AA91" s="7" t="s">
        <v>599</v>
      </c>
      <c r="AB91" s="7" t="s">
        <v>45</v>
      </c>
      <c r="AC91" s="7"/>
      <c r="AD91" s="8"/>
      <c r="AE91" s="8"/>
      <c r="AF91" s="8"/>
      <c r="AG91" s="10">
        <f t="shared" si="1"/>
        <v>43313</v>
      </c>
    </row>
    <row r="92" spans="1:33">
      <c r="A92" s="7" t="s">
        <v>592</v>
      </c>
      <c r="B92" s="7" t="s">
        <v>592</v>
      </c>
      <c r="C92" s="7" t="s">
        <v>593</v>
      </c>
      <c r="D92" s="7" t="s">
        <v>594</v>
      </c>
      <c r="E92" s="7" t="s">
        <v>33</v>
      </c>
      <c r="F92" s="7" t="s">
        <v>34</v>
      </c>
      <c r="G92" s="7" t="s">
        <v>35</v>
      </c>
      <c r="H92" s="7"/>
      <c r="I92" s="7"/>
      <c r="J92" s="7" t="s">
        <v>36</v>
      </c>
      <c r="K92" s="7" t="s">
        <v>79</v>
      </c>
      <c r="L92" s="7" t="s">
        <v>80</v>
      </c>
      <c r="M92" s="7" t="s">
        <v>81</v>
      </c>
      <c r="N92" s="7" t="s">
        <v>40</v>
      </c>
      <c r="O92" s="7">
        <v>1</v>
      </c>
      <c r="P92" s="7" t="s">
        <v>41</v>
      </c>
      <c r="Q92" s="7">
        <v>21.99</v>
      </c>
      <c r="R92" s="7"/>
      <c r="S92" s="7"/>
      <c r="T92" s="7"/>
      <c r="U92" s="7"/>
      <c r="V92" s="7"/>
      <c r="W92" s="7"/>
      <c r="X92" s="7"/>
      <c r="Y92" s="7" t="s">
        <v>598</v>
      </c>
      <c r="Z92" s="7" t="s">
        <v>115</v>
      </c>
      <c r="AA92" s="7" t="s">
        <v>599</v>
      </c>
      <c r="AB92" s="7" t="s">
        <v>45</v>
      </c>
      <c r="AC92" s="7"/>
      <c r="AD92" s="11"/>
      <c r="AE92" s="11"/>
      <c r="AF92" s="11"/>
      <c r="AG92" s="10">
        <f t="shared" si="1"/>
        <v>43313</v>
      </c>
    </row>
    <row r="93" spans="1:33">
      <c r="A93" s="7" t="s">
        <v>600</v>
      </c>
      <c r="B93" s="7" t="s">
        <v>600</v>
      </c>
      <c r="C93" s="7" t="s">
        <v>601</v>
      </c>
      <c r="D93" s="7" t="s">
        <v>602</v>
      </c>
      <c r="E93" s="7" t="s">
        <v>49</v>
      </c>
      <c r="F93" s="7" t="s">
        <v>34</v>
      </c>
      <c r="G93" s="7" t="s">
        <v>35</v>
      </c>
      <c r="H93" s="7"/>
      <c r="I93" s="7"/>
      <c r="J93" s="7" t="s">
        <v>50</v>
      </c>
      <c r="K93" s="7" t="s">
        <v>603</v>
      </c>
      <c r="L93" s="7" t="s">
        <v>604</v>
      </c>
      <c r="M93" s="7" t="s">
        <v>605</v>
      </c>
      <c r="N93" s="7" t="s">
        <v>49</v>
      </c>
      <c r="O93" s="7">
        <v>1</v>
      </c>
      <c r="P93" s="7" t="s">
        <v>41</v>
      </c>
      <c r="Q93" s="7">
        <v>99.99</v>
      </c>
      <c r="R93" s="7">
        <v>6</v>
      </c>
      <c r="S93" s="7"/>
      <c r="T93" s="7"/>
      <c r="U93" s="7"/>
      <c r="V93" s="7"/>
      <c r="W93" s="7"/>
      <c r="X93" s="7"/>
      <c r="Y93" s="7" t="s">
        <v>606</v>
      </c>
      <c r="Z93" s="7" t="s">
        <v>124</v>
      </c>
      <c r="AA93" s="7" t="s">
        <v>607</v>
      </c>
      <c r="AB93" s="7" t="s">
        <v>45</v>
      </c>
      <c r="AC93" s="7"/>
      <c r="AD93" s="11"/>
      <c r="AE93" s="11"/>
      <c r="AF93" s="11"/>
      <c r="AG93" s="10">
        <f t="shared" si="1"/>
        <v>43313</v>
      </c>
    </row>
    <row r="94" spans="1:33">
      <c r="A94" s="7" t="s">
        <v>608</v>
      </c>
      <c r="B94" s="7" t="s">
        <v>608</v>
      </c>
      <c r="C94" s="7" t="s">
        <v>609</v>
      </c>
      <c r="D94" s="7" t="s">
        <v>610</v>
      </c>
      <c r="E94" s="7" t="s">
        <v>49</v>
      </c>
      <c r="F94" s="7" t="s">
        <v>34</v>
      </c>
      <c r="G94" s="7" t="s">
        <v>35</v>
      </c>
      <c r="H94" s="7"/>
      <c r="I94" s="7"/>
      <c r="J94" s="7" t="s">
        <v>50</v>
      </c>
      <c r="K94" s="7" t="s">
        <v>611</v>
      </c>
      <c r="L94" s="7" t="s">
        <v>612</v>
      </c>
      <c r="M94" s="7" t="s">
        <v>613</v>
      </c>
      <c r="N94" s="7" t="s">
        <v>49</v>
      </c>
      <c r="O94" s="7">
        <v>1</v>
      </c>
      <c r="P94" s="7" t="s">
        <v>41</v>
      </c>
      <c r="Q94" s="7">
        <v>89.99</v>
      </c>
      <c r="R94" s="7"/>
      <c r="S94" s="7"/>
      <c r="T94" s="7"/>
      <c r="U94" s="7"/>
      <c r="V94" s="7"/>
      <c r="W94" s="7"/>
      <c r="X94" s="7"/>
      <c r="Y94" s="7" t="s">
        <v>614</v>
      </c>
      <c r="Z94" s="7" t="s">
        <v>221</v>
      </c>
      <c r="AA94" s="7" t="s">
        <v>615</v>
      </c>
      <c r="AB94" s="7" t="s">
        <v>45</v>
      </c>
      <c r="AC94" s="7"/>
      <c r="AD94" s="11"/>
      <c r="AE94" s="11"/>
      <c r="AF94" s="11"/>
      <c r="AG94" s="10">
        <f t="shared" si="1"/>
        <v>43313</v>
      </c>
    </row>
    <row r="95" spans="1:33">
      <c r="A95" s="7" t="s">
        <v>616</v>
      </c>
      <c r="B95" s="7" t="s">
        <v>616</v>
      </c>
      <c r="C95" s="7" t="s">
        <v>617</v>
      </c>
      <c r="D95" s="7" t="s">
        <v>618</v>
      </c>
      <c r="E95" s="7" t="s">
        <v>33</v>
      </c>
      <c r="F95" s="7" t="s">
        <v>34</v>
      </c>
      <c r="G95" s="7" t="s">
        <v>35</v>
      </c>
      <c r="H95" s="7"/>
      <c r="I95" s="7"/>
      <c r="J95" s="7" t="s">
        <v>50</v>
      </c>
      <c r="K95" s="7" t="s">
        <v>619</v>
      </c>
      <c r="L95" s="7" t="s">
        <v>620</v>
      </c>
      <c r="M95" s="7" t="s">
        <v>621</v>
      </c>
      <c r="N95" s="7" t="s">
        <v>33</v>
      </c>
      <c r="O95" s="7">
        <v>0</v>
      </c>
      <c r="P95" s="7"/>
      <c r="Q95" s="7"/>
      <c r="R95" s="7"/>
      <c r="S95" s="7"/>
      <c r="T95" s="7"/>
      <c r="U95" s="7"/>
      <c r="V95" s="7"/>
      <c r="W95" s="7"/>
      <c r="X95" s="7"/>
      <c r="Y95" s="7" t="s">
        <v>622</v>
      </c>
      <c r="Z95" s="7" t="s">
        <v>124</v>
      </c>
      <c r="AA95" s="7" t="s">
        <v>623</v>
      </c>
      <c r="AB95" s="7" t="s">
        <v>45</v>
      </c>
      <c r="AC95" s="7"/>
      <c r="AD95" s="11"/>
      <c r="AE95" s="11"/>
      <c r="AF95" s="11"/>
      <c r="AG95" s="10">
        <f t="shared" si="1"/>
        <v>43313</v>
      </c>
    </row>
    <row r="96" spans="1:33">
      <c r="A96" s="7" t="s">
        <v>624</v>
      </c>
      <c r="B96" s="7" t="s">
        <v>624</v>
      </c>
      <c r="C96" s="7" t="s">
        <v>625</v>
      </c>
      <c r="D96" s="7" t="s">
        <v>626</v>
      </c>
      <c r="E96" s="7" t="s">
        <v>33</v>
      </c>
      <c r="F96" s="7" t="s">
        <v>34</v>
      </c>
      <c r="G96" s="7" t="s">
        <v>35</v>
      </c>
      <c r="H96" s="7"/>
      <c r="I96" s="7"/>
      <c r="J96" s="7" t="s">
        <v>151</v>
      </c>
      <c r="K96" s="7" t="s">
        <v>276</v>
      </c>
      <c r="L96" s="7" t="s">
        <v>277</v>
      </c>
      <c r="M96" s="7" t="s">
        <v>278</v>
      </c>
      <c r="N96" s="7" t="s">
        <v>40</v>
      </c>
      <c r="O96" s="7">
        <v>1</v>
      </c>
      <c r="P96" s="7" t="s">
        <v>41</v>
      </c>
      <c r="Q96" s="7">
        <v>91.99</v>
      </c>
      <c r="R96" s="7"/>
      <c r="S96" s="7"/>
      <c r="T96" s="7"/>
      <c r="U96" s="7"/>
      <c r="V96" s="7"/>
      <c r="W96" s="7"/>
      <c r="X96" s="7"/>
      <c r="Y96" s="7" t="s">
        <v>627</v>
      </c>
      <c r="Z96" s="7" t="s">
        <v>178</v>
      </c>
      <c r="AA96" s="7" t="s">
        <v>628</v>
      </c>
      <c r="AB96" s="7" t="s">
        <v>45</v>
      </c>
      <c r="AC96" s="7"/>
      <c r="AD96" s="11"/>
      <c r="AE96" s="11"/>
      <c r="AF96" s="11"/>
      <c r="AG96" s="10">
        <f t="shared" si="1"/>
        <v>43313</v>
      </c>
    </row>
    <row r="97" spans="1:33">
      <c r="A97" s="7" t="s">
        <v>629</v>
      </c>
      <c r="B97" s="7" t="s">
        <v>629</v>
      </c>
      <c r="C97" s="7" t="s">
        <v>630</v>
      </c>
      <c r="D97" s="7" t="s">
        <v>631</v>
      </c>
      <c r="E97" s="7" t="s">
        <v>49</v>
      </c>
      <c r="F97" s="7" t="s">
        <v>34</v>
      </c>
      <c r="G97" s="7" t="s">
        <v>35</v>
      </c>
      <c r="H97" s="7"/>
      <c r="I97" s="7"/>
      <c r="J97" s="7" t="s">
        <v>50</v>
      </c>
      <c r="K97" s="7" t="s">
        <v>632</v>
      </c>
      <c r="L97" s="7" t="s">
        <v>633</v>
      </c>
      <c r="M97" s="7" t="s">
        <v>634</v>
      </c>
      <c r="N97" s="7" t="s">
        <v>49</v>
      </c>
      <c r="O97" s="7">
        <v>1</v>
      </c>
      <c r="P97" s="7" t="s">
        <v>41</v>
      </c>
      <c r="Q97" s="7">
        <v>85.99</v>
      </c>
      <c r="R97" s="7"/>
      <c r="S97" s="7"/>
      <c r="T97" s="7"/>
      <c r="U97" s="7"/>
      <c r="V97" s="7"/>
      <c r="W97" s="7"/>
      <c r="X97" s="7"/>
      <c r="Y97" s="7" t="s">
        <v>635</v>
      </c>
      <c r="Z97" s="7" t="s">
        <v>164</v>
      </c>
      <c r="AA97" s="7" t="s">
        <v>636</v>
      </c>
      <c r="AB97" s="7" t="s">
        <v>45</v>
      </c>
      <c r="AC97" s="7"/>
      <c r="AD97" s="11"/>
      <c r="AE97" s="11"/>
      <c r="AF97" s="11"/>
      <c r="AG97" s="10">
        <f t="shared" si="1"/>
        <v>43313</v>
      </c>
    </row>
    <row r="98" spans="1:33">
      <c r="A98" s="7" t="s">
        <v>637</v>
      </c>
      <c r="B98" s="7" t="s">
        <v>637</v>
      </c>
      <c r="C98" s="7" t="s">
        <v>638</v>
      </c>
      <c r="D98" s="7" t="s">
        <v>639</v>
      </c>
      <c r="E98" s="7" t="s">
        <v>49</v>
      </c>
      <c r="F98" s="7" t="s">
        <v>34</v>
      </c>
      <c r="G98" s="7" t="s">
        <v>35</v>
      </c>
      <c r="H98" s="7"/>
      <c r="I98" s="7"/>
      <c r="J98" s="7" t="s">
        <v>36</v>
      </c>
      <c r="K98" s="7" t="s">
        <v>632</v>
      </c>
      <c r="L98" s="7" t="s">
        <v>633</v>
      </c>
      <c r="M98" s="7" t="s">
        <v>634</v>
      </c>
      <c r="N98" s="7" t="s">
        <v>49</v>
      </c>
      <c r="O98" s="7">
        <v>1</v>
      </c>
      <c r="P98" s="7" t="s">
        <v>41</v>
      </c>
      <c r="Q98" s="7">
        <v>85.99</v>
      </c>
      <c r="R98" s="7"/>
      <c r="S98" s="7">
        <v>1.99</v>
      </c>
      <c r="T98" s="7"/>
      <c r="U98" s="7"/>
      <c r="V98" s="7"/>
      <c r="W98" s="7"/>
      <c r="X98" s="7"/>
      <c r="Y98" s="7" t="s">
        <v>640</v>
      </c>
      <c r="Z98" s="7" t="s">
        <v>346</v>
      </c>
      <c r="AA98" s="7" t="s">
        <v>641</v>
      </c>
      <c r="AB98" s="7" t="s">
        <v>45</v>
      </c>
      <c r="AC98" s="7"/>
      <c r="AD98" s="11"/>
      <c r="AE98" s="11"/>
      <c r="AF98" s="11"/>
      <c r="AG98" s="10">
        <f t="shared" si="1"/>
        <v>43313</v>
      </c>
    </row>
    <row r="99" spans="1:33">
      <c r="A99" s="7" t="s">
        <v>642</v>
      </c>
      <c r="B99" s="7" t="s">
        <v>642</v>
      </c>
      <c r="C99" s="7" t="s">
        <v>643</v>
      </c>
      <c r="D99" s="7" t="s">
        <v>644</v>
      </c>
      <c r="E99" s="7" t="s">
        <v>49</v>
      </c>
      <c r="F99" s="7" t="s">
        <v>34</v>
      </c>
      <c r="G99" s="7" t="s">
        <v>35</v>
      </c>
      <c r="H99" s="7"/>
      <c r="I99" s="7"/>
      <c r="J99" s="7" t="s">
        <v>36</v>
      </c>
      <c r="K99" s="7" t="s">
        <v>37</v>
      </c>
      <c r="L99" s="7" t="s">
        <v>38</v>
      </c>
      <c r="M99" s="7" t="s">
        <v>39</v>
      </c>
      <c r="N99" s="7" t="s">
        <v>49</v>
      </c>
      <c r="O99" s="7">
        <v>1</v>
      </c>
      <c r="P99" s="7" t="s">
        <v>41</v>
      </c>
      <c r="Q99" s="7">
        <v>89.99</v>
      </c>
      <c r="R99" s="7"/>
      <c r="S99" s="7">
        <v>8.26</v>
      </c>
      <c r="T99" s="7"/>
      <c r="U99" s="7"/>
      <c r="V99" s="7"/>
      <c r="W99" s="7"/>
      <c r="X99" s="7"/>
      <c r="Y99" s="7" t="s">
        <v>645</v>
      </c>
      <c r="Z99" s="7" t="s">
        <v>646</v>
      </c>
      <c r="AA99" s="7" t="s">
        <v>647</v>
      </c>
      <c r="AB99" s="7" t="s">
        <v>45</v>
      </c>
      <c r="AC99" s="7"/>
      <c r="AD99" s="11"/>
      <c r="AE99" s="11"/>
      <c r="AF99" s="11"/>
      <c r="AG99" s="10">
        <f t="shared" si="1"/>
        <v>43313</v>
      </c>
    </row>
    <row r="100" spans="1:33">
      <c r="A100" s="7" t="s">
        <v>648</v>
      </c>
      <c r="B100" s="7" t="s">
        <v>648</v>
      </c>
      <c r="C100" s="7" t="s">
        <v>649</v>
      </c>
      <c r="D100" s="7" t="s">
        <v>650</v>
      </c>
      <c r="E100" s="7" t="s">
        <v>49</v>
      </c>
      <c r="F100" s="7" t="s">
        <v>34</v>
      </c>
      <c r="G100" s="7" t="s">
        <v>35</v>
      </c>
      <c r="H100" s="7"/>
      <c r="I100" s="7"/>
      <c r="J100" s="7" t="s">
        <v>50</v>
      </c>
      <c r="K100" s="7" t="s">
        <v>513</v>
      </c>
      <c r="L100" s="7" t="s">
        <v>514</v>
      </c>
      <c r="M100" s="7" t="s">
        <v>515</v>
      </c>
      <c r="N100" s="7" t="s">
        <v>49</v>
      </c>
      <c r="O100" s="7">
        <v>1</v>
      </c>
      <c r="P100" s="7" t="s">
        <v>41</v>
      </c>
      <c r="Q100" s="7">
        <v>79.99</v>
      </c>
      <c r="R100" s="7"/>
      <c r="S100" s="7"/>
      <c r="T100" s="7"/>
      <c r="U100" s="7"/>
      <c r="V100" s="7"/>
      <c r="W100" s="7"/>
      <c r="X100" s="7"/>
      <c r="Y100" s="7" t="s">
        <v>651</v>
      </c>
      <c r="Z100" s="7" t="s">
        <v>83</v>
      </c>
      <c r="AA100" s="7" t="s">
        <v>652</v>
      </c>
      <c r="AB100" s="7" t="s">
        <v>45</v>
      </c>
      <c r="AC100" s="7"/>
      <c r="AD100" s="11"/>
      <c r="AE100" s="11"/>
      <c r="AF100" s="11"/>
      <c r="AG100" s="10">
        <f t="shared" si="1"/>
        <v>43313</v>
      </c>
    </row>
    <row r="101" spans="1:33">
      <c r="A101" s="7" t="s">
        <v>648</v>
      </c>
      <c r="B101" s="7" t="s">
        <v>648</v>
      </c>
      <c r="C101" s="7" t="s">
        <v>649</v>
      </c>
      <c r="D101" s="7" t="s">
        <v>650</v>
      </c>
      <c r="E101" s="7" t="s">
        <v>49</v>
      </c>
      <c r="F101" s="7" t="s">
        <v>34</v>
      </c>
      <c r="G101" s="7" t="s">
        <v>35</v>
      </c>
      <c r="H101" s="7"/>
      <c r="I101" s="7"/>
      <c r="J101" s="7" t="s">
        <v>50</v>
      </c>
      <c r="K101" s="7" t="s">
        <v>485</v>
      </c>
      <c r="L101" s="7" t="s">
        <v>486</v>
      </c>
      <c r="M101" s="7" t="s">
        <v>487</v>
      </c>
      <c r="N101" s="7" t="s">
        <v>49</v>
      </c>
      <c r="O101" s="7">
        <v>1</v>
      </c>
      <c r="P101" s="7" t="s">
        <v>41</v>
      </c>
      <c r="Q101" s="7">
        <v>69.99</v>
      </c>
      <c r="R101" s="7"/>
      <c r="S101" s="7"/>
      <c r="T101" s="7"/>
      <c r="U101" s="7"/>
      <c r="V101" s="7"/>
      <c r="W101" s="7"/>
      <c r="X101" s="7"/>
      <c r="Y101" s="7" t="s">
        <v>651</v>
      </c>
      <c r="Z101" s="7" t="s">
        <v>83</v>
      </c>
      <c r="AA101" s="7" t="s">
        <v>652</v>
      </c>
      <c r="AB101" s="7" t="s">
        <v>45</v>
      </c>
      <c r="AC101" s="7"/>
      <c r="AD101" s="11"/>
      <c r="AE101" s="11"/>
      <c r="AF101" s="11"/>
      <c r="AG101" s="10">
        <f t="shared" si="1"/>
        <v>43313</v>
      </c>
    </row>
    <row r="102" spans="1:33">
      <c r="A102" s="7" t="s">
        <v>653</v>
      </c>
      <c r="B102" s="7" t="s">
        <v>653</v>
      </c>
      <c r="C102" s="7" t="s">
        <v>654</v>
      </c>
      <c r="D102" s="7" t="s">
        <v>655</v>
      </c>
      <c r="E102" s="7" t="s">
        <v>49</v>
      </c>
      <c r="F102" s="7" t="s">
        <v>34</v>
      </c>
      <c r="G102" s="7" t="s">
        <v>35</v>
      </c>
      <c r="H102" s="7"/>
      <c r="I102" s="7"/>
      <c r="J102" s="7" t="s">
        <v>36</v>
      </c>
      <c r="K102" s="7" t="s">
        <v>656</v>
      </c>
      <c r="L102" s="7" t="s">
        <v>657</v>
      </c>
      <c r="M102" s="7" t="s">
        <v>658</v>
      </c>
      <c r="N102" s="7" t="s">
        <v>49</v>
      </c>
      <c r="O102" s="7">
        <v>1</v>
      </c>
      <c r="P102" s="7" t="s">
        <v>41</v>
      </c>
      <c r="Q102" s="7">
        <v>106.99</v>
      </c>
      <c r="R102" s="7"/>
      <c r="S102" s="7">
        <v>7.58</v>
      </c>
      <c r="T102" s="7"/>
      <c r="U102" s="7"/>
      <c r="V102" s="7"/>
      <c r="W102" s="7"/>
      <c r="X102" s="7">
        <v>7.58</v>
      </c>
      <c r="Y102" s="7" t="s">
        <v>659</v>
      </c>
      <c r="Z102" s="7" t="s">
        <v>178</v>
      </c>
      <c r="AA102" s="7" t="s">
        <v>660</v>
      </c>
      <c r="AB102" s="7" t="s">
        <v>45</v>
      </c>
      <c r="AC102" s="7" t="s">
        <v>549</v>
      </c>
      <c r="AD102" s="8"/>
      <c r="AE102" s="8"/>
      <c r="AF102" s="8"/>
      <c r="AG102" s="10">
        <f t="shared" si="1"/>
        <v>43313</v>
      </c>
    </row>
    <row r="103" spans="1:33">
      <c r="A103" s="7" t="s">
        <v>661</v>
      </c>
      <c r="B103" s="7" t="s">
        <v>661</v>
      </c>
      <c r="C103" s="7" t="s">
        <v>662</v>
      </c>
      <c r="D103" s="7" t="s">
        <v>663</v>
      </c>
      <c r="E103" s="7" t="s">
        <v>49</v>
      </c>
      <c r="F103" s="7" t="s">
        <v>34</v>
      </c>
      <c r="G103" s="7" t="s">
        <v>35</v>
      </c>
      <c r="H103" s="7"/>
      <c r="I103" s="7"/>
      <c r="J103" s="7" t="s">
        <v>50</v>
      </c>
      <c r="K103" s="7" t="s">
        <v>208</v>
      </c>
      <c r="L103" s="7" t="s">
        <v>209</v>
      </c>
      <c r="M103" s="7" t="s">
        <v>210</v>
      </c>
      <c r="N103" s="7" t="s">
        <v>49</v>
      </c>
      <c r="O103" s="7">
        <v>1</v>
      </c>
      <c r="P103" s="7" t="s">
        <v>41</v>
      </c>
      <c r="Q103" s="7">
        <v>89.99</v>
      </c>
      <c r="R103" s="7"/>
      <c r="S103" s="7"/>
      <c r="T103" s="7"/>
      <c r="U103" s="7"/>
      <c r="V103" s="7"/>
      <c r="W103" s="7"/>
      <c r="X103" s="7"/>
      <c r="Y103" s="7" t="s">
        <v>664</v>
      </c>
      <c r="Z103" s="7" t="s">
        <v>280</v>
      </c>
      <c r="AA103" s="7" t="s">
        <v>665</v>
      </c>
      <c r="AB103" s="7" t="s">
        <v>45</v>
      </c>
      <c r="AC103" s="7"/>
      <c r="AD103" s="8"/>
      <c r="AE103" s="8"/>
      <c r="AF103" s="8"/>
      <c r="AG103" s="10">
        <f t="shared" si="1"/>
        <v>43313</v>
      </c>
    </row>
    <row r="104" spans="1:33">
      <c r="A104" s="7" t="s">
        <v>666</v>
      </c>
      <c r="B104" s="7" t="s">
        <v>666</v>
      </c>
      <c r="C104" s="7" t="s">
        <v>667</v>
      </c>
      <c r="D104" s="7" t="s">
        <v>668</v>
      </c>
      <c r="E104" s="7" t="s">
        <v>33</v>
      </c>
      <c r="F104" s="7" t="s">
        <v>34</v>
      </c>
      <c r="G104" s="7" t="s">
        <v>35</v>
      </c>
      <c r="H104" s="7"/>
      <c r="I104" s="7"/>
      <c r="J104" s="7" t="s">
        <v>50</v>
      </c>
      <c r="K104" s="7" t="s">
        <v>60</v>
      </c>
      <c r="L104" s="7" t="s">
        <v>61</v>
      </c>
      <c r="M104" s="7" t="s">
        <v>62</v>
      </c>
      <c r="N104" s="7" t="s">
        <v>40</v>
      </c>
      <c r="O104" s="7">
        <v>1</v>
      </c>
      <c r="P104" s="7" t="s">
        <v>41</v>
      </c>
      <c r="Q104" s="7">
        <v>21.99</v>
      </c>
      <c r="R104" s="7"/>
      <c r="S104" s="7"/>
      <c r="T104" s="7"/>
      <c r="U104" s="7"/>
      <c r="V104" s="7"/>
      <c r="W104" s="7"/>
      <c r="X104" s="7"/>
      <c r="Y104" s="7" t="s">
        <v>669</v>
      </c>
      <c r="Z104" s="7" t="s">
        <v>670</v>
      </c>
      <c r="AA104" s="7">
        <v>70460</v>
      </c>
      <c r="AB104" s="7" t="s">
        <v>45</v>
      </c>
      <c r="AC104" s="7"/>
      <c r="AD104" s="8"/>
      <c r="AE104" s="8"/>
      <c r="AF104" s="8"/>
      <c r="AG104" s="10">
        <f t="shared" si="1"/>
        <v>43313</v>
      </c>
    </row>
    <row r="105" spans="1:33">
      <c r="A105" s="7" t="s">
        <v>671</v>
      </c>
      <c r="B105" s="7" t="s">
        <v>671</v>
      </c>
      <c r="C105" s="7" t="s">
        <v>672</v>
      </c>
      <c r="D105" s="7" t="s">
        <v>673</v>
      </c>
      <c r="E105" s="7" t="s">
        <v>49</v>
      </c>
      <c r="F105" s="7" t="s">
        <v>34</v>
      </c>
      <c r="G105" s="7" t="s">
        <v>35</v>
      </c>
      <c r="H105" s="7"/>
      <c r="I105" s="7"/>
      <c r="J105" s="7" t="s">
        <v>50</v>
      </c>
      <c r="K105" s="7" t="s">
        <v>674</v>
      </c>
      <c r="L105" s="7" t="s">
        <v>675</v>
      </c>
      <c r="M105" s="7" t="s">
        <v>676</v>
      </c>
      <c r="N105" s="7" t="s">
        <v>49</v>
      </c>
      <c r="O105" s="7">
        <v>1</v>
      </c>
      <c r="P105" s="7" t="s">
        <v>41</v>
      </c>
      <c r="Q105" s="7">
        <v>79.99</v>
      </c>
      <c r="R105" s="7"/>
      <c r="S105" s="7"/>
      <c r="T105" s="7"/>
      <c r="U105" s="7"/>
      <c r="V105" s="7"/>
      <c r="W105" s="7"/>
      <c r="X105" s="7"/>
      <c r="Y105" s="7" t="s">
        <v>677</v>
      </c>
      <c r="Z105" s="7" t="s">
        <v>678</v>
      </c>
      <c r="AA105" s="7" t="s">
        <v>679</v>
      </c>
      <c r="AB105" s="7" t="s">
        <v>45</v>
      </c>
      <c r="AC105" s="7"/>
      <c r="AD105" s="8"/>
      <c r="AE105" s="8"/>
      <c r="AF105" s="8"/>
      <c r="AG105" s="10">
        <f t="shared" si="1"/>
        <v>43313</v>
      </c>
    </row>
    <row r="106" spans="1:33">
      <c r="A106" s="7" t="s">
        <v>680</v>
      </c>
      <c r="B106" s="7" t="s">
        <v>680</v>
      </c>
      <c r="C106" s="7" t="s">
        <v>681</v>
      </c>
      <c r="D106" s="7" t="s">
        <v>682</v>
      </c>
      <c r="E106" s="7" t="s">
        <v>33</v>
      </c>
      <c r="F106" s="7" t="s">
        <v>34</v>
      </c>
      <c r="G106" s="7" t="s">
        <v>35</v>
      </c>
      <c r="H106" s="7"/>
      <c r="I106" s="7"/>
      <c r="J106" s="7" t="s">
        <v>326</v>
      </c>
      <c r="K106" s="7" t="s">
        <v>79</v>
      </c>
      <c r="L106" s="7" t="s">
        <v>80</v>
      </c>
      <c r="M106" s="7" t="s">
        <v>81</v>
      </c>
      <c r="N106" s="7" t="s">
        <v>40</v>
      </c>
      <c r="O106" s="7">
        <v>1</v>
      </c>
      <c r="P106" s="7" t="s">
        <v>41</v>
      </c>
      <c r="Q106" s="7">
        <v>21.99</v>
      </c>
      <c r="R106" s="7"/>
      <c r="S106" s="7"/>
      <c r="T106" s="7"/>
      <c r="U106" s="7"/>
      <c r="V106" s="7"/>
      <c r="W106" s="7"/>
      <c r="X106" s="7"/>
      <c r="Y106" s="7" t="s">
        <v>598</v>
      </c>
      <c r="Z106" s="7" t="s">
        <v>115</v>
      </c>
      <c r="AA106" s="7" t="s">
        <v>599</v>
      </c>
      <c r="AB106" s="7" t="s">
        <v>45</v>
      </c>
      <c r="AC106" s="7"/>
      <c r="AD106" s="8"/>
      <c r="AE106" s="8"/>
      <c r="AF106" s="8"/>
      <c r="AG106" s="10">
        <f t="shared" si="1"/>
        <v>43313</v>
      </c>
    </row>
    <row r="107" spans="1:33">
      <c r="A107" s="7" t="s">
        <v>680</v>
      </c>
      <c r="B107" s="7" t="s">
        <v>680</v>
      </c>
      <c r="C107" s="7" t="s">
        <v>681</v>
      </c>
      <c r="D107" s="7" t="s">
        <v>682</v>
      </c>
      <c r="E107" s="7" t="s">
        <v>33</v>
      </c>
      <c r="F107" s="7" t="s">
        <v>34</v>
      </c>
      <c r="G107" s="7" t="s">
        <v>35</v>
      </c>
      <c r="H107" s="7"/>
      <c r="I107" s="7"/>
      <c r="J107" s="7" t="s">
        <v>326</v>
      </c>
      <c r="K107" s="7" t="s">
        <v>595</v>
      </c>
      <c r="L107" s="7" t="s">
        <v>596</v>
      </c>
      <c r="M107" s="7" t="s">
        <v>597</v>
      </c>
      <c r="N107" s="7" t="s">
        <v>40</v>
      </c>
      <c r="O107" s="7">
        <v>1</v>
      </c>
      <c r="P107" s="7" t="s">
        <v>41</v>
      </c>
      <c r="Q107" s="7">
        <v>21.99</v>
      </c>
      <c r="R107" s="7"/>
      <c r="S107" s="7"/>
      <c r="T107" s="7"/>
      <c r="U107" s="7"/>
      <c r="V107" s="7"/>
      <c r="W107" s="7"/>
      <c r="X107" s="7"/>
      <c r="Y107" s="7" t="s">
        <v>598</v>
      </c>
      <c r="Z107" s="7" t="s">
        <v>115</v>
      </c>
      <c r="AA107" s="7" t="s">
        <v>599</v>
      </c>
      <c r="AB107" s="7" t="s">
        <v>45</v>
      </c>
      <c r="AC107" s="7"/>
      <c r="AD107" s="8"/>
      <c r="AE107" s="8"/>
      <c r="AF107" s="8"/>
      <c r="AG107" s="10">
        <f t="shared" si="1"/>
        <v>43313</v>
      </c>
    </row>
    <row r="108" spans="1:33">
      <c r="A108" s="7" t="s">
        <v>683</v>
      </c>
      <c r="B108" s="7" t="s">
        <v>683</v>
      </c>
      <c r="C108" s="7" t="s">
        <v>684</v>
      </c>
      <c r="D108" s="7" t="s">
        <v>685</v>
      </c>
      <c r="E108" s="7" t="s">
        <v>49</v>
      </c>
      <c r="F108" s="7" t="s">
        <v>34</v>
      </c>
      <c r="G108" s="7" t="s">
        <v>35</v>
      </c>
      <c r="H108" s="7"/>
      <c r="I108" s="7"/>
      <c r="J108" s="7" t="s">
        <v>50</v>
      </c>
      <c r="K108" s="7" t="s">
        <v>611</v>
      </c>
      <c r="L108" s="7" t="s">
        <v>612</v>
      </c>
      <c r="M108" s="7" t="s">
        <v>613</v>
      </c>
      <c r="N108" s="7" t="s">
        <v>49</v>
      </c>
      <c r="O108" s="7">
        <v>1</v>
      </c>
      <c r="P108" s="7" t="s">
        <v>41</v>
      </c>
      <c r="Q108" s="7">
        <v>89.99</v>
      </c>
      <c r="R108" s="7"/>
      <c r="S108" s="7"/>
      <c r="T108" s="7"/>
      <c r="U108" s="7"/>
      <c r="V108" s="7"/>
      <c r="W108" s="7"/>
      <c r="X108" s="7"/>
      <c r="Y108" s="7" t="s">
        <v>686</v>
      </c>
      <c r="Z108" s="7" t="s">
        <v>687</v>
      </c>
      <c r="AA108" s="7" t="s">
        <v>688</v>
      </c>
      <c r="AB108" s="7" t="s">
        <v>45</v>
      </c>
      <c r="AC108" s="7"/>
      <c r="AD108" s="8"/>
      <c r="AE108" s="8"/>
      <c r="AF108" s="8"/>
      <c r="AG108" s="10">
        <f t="shared" si="1"/>
        <v>43313</v>
      </c>
    </row>
    <row r="109" spans="1:33">
      <c r="A109" s="7" t="s">
        <v>689</v>
      </c>
      <c r="B109" s="7" t="s">
        <v>689</v>
      </c>
      <c r="C109" s="7" t="s">
        <v>690</v>
      </c>
      <c r="D109" s="7" t="s">
        <v>691</v>
      </c>
      <c r="E109" s="7" t="s">
        <v>49</v>
      </c>
      <c r="F109" s="7" t="s">
        <v>34</v>
      </c>
      <c r="G109" s="7" t="s">
        <v>35</v>
      </c>
      <c r="H109" s="7"/>
      <c r="I109" s="7"/>
      <c r="J109" s="7" t="s">
        <v>50</v>
      </c>
      <c r="K109" s="7" t="s">
        <v>692</v>
      </c>
      <c r="L109" s="7" t="s">
        <v>693</v>
      </c>
      <c r="M109" s="7" t="s">
        <v>694</v>
      </c>
      <c r="N109" s="7" t="s">
        <v>49</v>
      </c>
      <c r="O109" s="7">
        <v>1</v>
      </c>
      <c r="P109" s="7" t="s">
        <v>41</v>
      </c>
      <c r="Q109" s="7">
        <v>79.99</v>
      </c>
      <c r="R109" s="7"/>
      <c r="S109" s="7"/>
      <c r="T109" s="7"/>
      <c r="U109" s="7">
        <v>4.99</v>
      </c>
      <c r="V109" s="7"/>
      <c r="W109" s="7"/>
      <c r="X109" s="7"/>
      <c r="Y109" s="7" t="s">
        <v>695</v>
      </c>
      <c r="Z109" s="7" t="s">
        <v>221</v>
      </c>
      <c r="AA109" s="7" t="s">
        <v>696</v>
      </c>
      <c r="AB109" s="7" t="s">
        <v>45</v>
      </c>
      <c r="AC109" s="7"/>
      <c r="AD109" s="8"/>
      <c r="AE109" s="8"/>
      <c r="AF109" s="8"/>
      <c r="AG109" s="10">
        <f t="shared" si="1"/>
        <v>43313</v>
      </c>
    </row>
    <row r="110" spans="1:33">
      <c r="A110" s="7" t="s">
        <v>697</v>
      </c>
      <c r="B110" s="7" t="s">
        <v>697</v>
      </c>
      <c r="C110" s="7" t="s">
        <v>698</v>
      </c>
      <c r="D110" s="7" t="s">
        <v>699</v>
      </c>
      <c r="E110" s="7" t="s">
        <v>49</v>
      </c>
      <c r="F110" s="7" t="s">
        <v>34</v>
      </c>
      <c r="G110" s="7" t="s">
        <v>35</v>
      </c>
      <c r="H110" s="7"/>
      <c r="I110" s="7"/>
      <c r="J110" s="7" t="s">
        <v>50</v>
      </c>
      <c r="K110" s="7" t="s">
        <v>700</v>
      </c>
      <c r="L110" s="7" t="s">
        <v>701</v>
      </c>
      <c r="M110" s="7" t="s">
        <v>702</v>
      </c>
      <c r="N110" s="7" t="s">
        <v>49</v>
      </c>
      <c r="O110" s="7">
        <v>1</v>
      </c>
      <c r="P110" s="7" t="s">
        <v>41</v>
      </c>
      <c r="Q110" s="7">
        <v>108.99</v>
      </c>
      <c r="R110" s="7"/>
      <c r="S110" s="7"/>
      <c r="T110" s="7"/>
      <c r="U110" s="7"/>
      <c r="V110" s="7"/>
      <c r="W110" s="7"/>
      <c r="X110" s="7"/>
      <c r="Y110" s="7" t="s">
        <v>703</v>
      </c>
      <c r="Z110" s="7" t="s">
        <v>704</v>
      </c>
      <c r="AA110" s="7">
        <v>44095</v>
      </c>
      <c r="AB110" s="7" t="s">
        <v>45</v>
      </c>
      <c r="AC110" s="7"/>
      <c r="AD110" s="8"/>
      <c r="AE110" s="8"/>
      <c r="AF110" s="8"/>
      <c r="AG110" s="10">
        <f t="shared" si="1"/>
        <v>43313</v>
      </c>
    </row>
    <row r="111" spans="1:33">
      <c r="A111" s="7" t="s">
        <v>705</v>
      </c>
      <c r="B111" s="7" t="s">
        <v>705</v>
      </c>
      <c r="C111" s="7" t="s">
        <v>706</v>
      </c>
      <c r="D111" s="7" t="s">
        <v>707</v>
      </c>
      <c r="E111" s="7" t="s">
        <v>49</v>
      </c>
      <c r="F111" s="7" t="s">
        <v>34</v>
      </c>
      <c r="G111" s="7" t="s">
        <v>35</v>
      </c>
      <c r="H111" s="7"/>
      <c r="I111" s="7"/>
      <c r="J111" s="7" t="s">
        <v>50</v>
      </c>
      <c r="K111" s="7" t="s">
        <v>51</v>
      </c>
      <c r="L111" s="7" t="s">
        <v>52</v>
      </c>
      <c r="M111" s="7" t="s">
        <v>53</v>
      </c>
      <c r="N111" s="7" t="s">
        <v>49</v>
      </c>
      <c r="O111" s="7">
        <v>1</v>
      </c>
      <c r="P111" s="7" t="s">
        <v>41</v>
      </c>
      <c r="Q111" s="7">
        <v>99.6</v>
      </c>
      <c r="R111" s="7"/>
      <c r="S111" s="7"/>
      <c r="T111" s="7"/>
      <c r="U111" s="7"/>
      <c r="V111" s="7"/>
      <c r="W111" s="7"/>
      <c r="X111" s="7"/>
      <c r="Y111" s="7" t="s">
        <v>708</v>
      </c>
      <c r="Z111" s="7" t="s">
        <v>382</v>
      </c>
      <c r="AA111" s="7" t="s">
        <v>709</v>
      </c>
      <c r="AB111" s="7" t="s">
        <v>45</v>
      </c>
      <c r="AC111" s="7"/>
      <c r="AD111" s="8"/>
      <c r="AE111" s="8"/>
      <c r="AF111" s="8"/>
      <c r="AG111" s="10">
        <f t="shared" si="1"/>
        <v>43313</v>
      </c>
    </row>
    <row r="112" spans="1:33">
      <c r="A112" s="7" t="s">
        <v>710</v>
      </c>
      <c r="B112" s="7" t="s">
        <v>710</v>
      </c>
      <c r="C112" s="7" t="s">
        <v>711</v>
      </c>
      <c r="D112" s="7" t="s">
        <v>712</v>
      </c>
      <c r="E112" s="7" t="s">
        <v>49</v>
      </c>
      <c r="F112" s="7" t="s">
        <v>34</v>
      </c>
      <c r="G112" s="7" t="s">
        <v>35</v>
      </c>
      <c r="H112" s="7"/>
      <c r="I112" s="7"/>
      <c r="J112" s="7" t="s">
        <v>50</v>
      </c>
      <c r="K112" s="7" t="s">
        <v>88</v>
      </c>
      <c r="L112" s="7" t="s">
        <v>89</v>
      </c>
      <c r="M112" s="7" t="s">
        <v>90</v>
      </c>
      <c r="N112" s="7" t="s">
        <v>49</v>
      </c>
      <c r="O112" s="7">
        <v>1</v>
      </c>
      <c r="P112" s="7" t="s">
        <v>41</v>
      </c>
      <c r="Q112" s="7">
        <v>89.99</v>
      </c>
      <c r="R112" s="7"/>
      <c r="S112" s="7"/>
      <c r="T112" s="7"/>
      <c r="U112" s="7"/>
      <c r="V112" s="7"/>
      <c r="W112" s="7"/>
      <c r="X112" s="7"/>
      <c r="Y112" s="7" t="s">
        <v>713</v>
      </c>
      <c r="Z112" s="7" t="s">
        <v>714</v>
      </c>
      <c r="AA112" s="7">
        <v>48747</v>
      </c>
      <c r="AB112" s="7" t="s">
        <v>45</v>
      </c>
      <c r="AC112" s="7"/>
      <c r="AD112" s="8"/>
      <c r="AE112" s="8"/>
      <c r="AF112" s="8"/>
      <c r="AG112" s="10">
        <f t="shared" si="1"/>
        <v>43313</v>
      </c>
    </row>
    <row r="113" spans="1:33">
      <c r="A113" s="7" t="s">
        <v>715</v>
      </c>
      <c r="B113" s="7" t="s">
        <v>716</v>
      </c>
      <c r="C113" s="7" t="s">
        <v>717</v>
      </c>
      <c r="D113" s="7" t="s">
        <v>718</v>
      </c>
      <c r="E113" s="7" t="s">
        <v>49</v>
      </c>
      <c r="F113" s="7" t="s">
        <v>34</v>
      </c>
      <c r="G113" s="7" t="s">
        <v>719</v>
      </c>
      <c r="H113" s="7"/>
      <c r="I113" s="7"/>
      <c r="J113" s="7" t="s">
        <v>36</v>
      </c>
      <c r="K113" s="7" t="s">
        <v>720</v>
      </c>
      <c r="L113" s="7" t="s">
        <v>721</v>
      </c>
      <c r="M113" s="7" t="s">
        <v>722</v>
      </c>
      <c r="N113" s="7" t="s">
        <v>40</v>
      </c>
      <c r="O113" s="7">
        <v>1</v>
      </c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11"/>
      <c r="AE113" s="11"/>
      <c r="AF113" s="11"/>
      <c r="AG113" s="10">
        <f t="shared" si="1"/>
        <v>43314</v>
      </c>
    </row>
    <row r="114" spans="1:33">
      <c r="A114" s="7" t="s">
        <v>723</v>
      </c>
      <c r="B114" s="7" t="s">
        <v>723</v>
      </c>
      <c r="C114" s="7" t="s">
        <v>724</v>
      </c>
      <c r="D114" s="7" t="s">
        <v>725</v>
      </c>
      <c r="E114" s="7" t="s">
        <v>49</v>
      </c>
      <c r="F114" s="7" t="s">
        <v>34</v>
      </c>
      <c r="G114" s="7" t="s">
        <v>35</v>
      </c>
      <c r="H114" s="7"/>
      <c r="I114" s="7"/>
      <c r="J114" s="7" t="s">
        <v>50</v>
      </c>
      <c r="K114" s="7" t="s">
        <v>60</v>
      </c>
      <c r="L114" s="7" t="s">
        <v>61</v>
      </c>
      <c r="M114" s="7" t="s">
        <v>62</v>
      </c>
      <c r="N114" s="7" t="s">
        <v>49</v>
      </c>
      <c r="O114" s="7">
        <v>1</v>
      </c>
      <c r="P114" s="7" t="s">
        <v>41</v>
      </c>
      <c r="Q114" s="7">
        <v>21.99</v>
      </c>
      <c r="R114" s="7"/>
      <c r="S114" s="7"/>
      <c r="T114" s="7"/>
      <c r="U114" s="7"/>
      <c r="V114" s="7"/>
      <c r="W114" s="7"/>
      <c r="X114" s="7"/>
      <c r="Y114" s="7" t="s">
        <v>726</v>
      </c>
      <c r="Z114" s="7" t="s">
        <v>43</v>
      </c>
      <c r="AA114" s="7" t="s">
        <v>727</v>
      </c>
      <c r="AB114" s="7" t="s">
        <v>45</v>
      </c>
      <c r="AC114" s="7"/>
      <c r="AD114" s="8"/>
      <c r="AE114" s="8"/>
      <c r="AF114" s="8"/>
      <c r="AG114" s="10">
        <f t="shared" si="1"/>
        <v>43314</v>
      </c>
    </row>
    <row r="115" spans="1:33">
      <c r="A115" s="7" t="s">
        <v>728</v>
      </c>
      <c r="B115" s="7" t="s">
        <v>728</v>
      </c>
      <c r="C115" s="7" t="s">
        <v>729</v>
      </c>
      <c r="D115" s="7" t="s">
        <v>730</v>
      </c>
      <c r="E115" s="7" t="s">
        <v>49</v>
      </c>
      <c r="F115" s="7" t="s">
        <v>34</v>
      </c>
      <c r="G115" s="7" t="s">
        <v>35</v>
      </c>
      <c r="H115" s="7"/>
      <c r="I115" s="7"/>
      <c r="J115" s="7" t="s">
        <v>36</v>
      </c>
      <c r="K115" s="7" t="s">
        <v>70</v>
      </c>
      <c r="L115" s="7" t="s">
        <v>71</v>
      </c>
      <c r="M115" s="7" t="s">
        <v>72</v>
      </c>
      <c r="N115" s="7" t="s">
        <v>49</v>
      </c>
      <c r="O115" s="7">
        <v>1</v>
      </c>
      <c r="P115" s="7" t="s">
        <v>41</v>
      </c>
      <c r="Q115" s="7">
        <v>96.99</v>
      </c>
      <c r="R115" s="7"/>
      <c r="S115" s="7">
        <v>2.91</v>
      </c>
      <c r="T115" s="7"/>
      <c r="U115" s="7"/>
      <c r="V115" s="7"/>
      <c r="W115" s="7"/>
      <c r="X115" s="7">
        <v>2.91</v>
      </c>
      <c r="Y115" s="7" t="s">
        <v>731</v>
      </c>
      <c r="Z115" s="7" t="s">
        <v>98</v>
      </c>
      <c r="AA115" s="7" t="s">
        <v>732</v>
      </c>
      <c r="AB115" s="7" t="s">
        <v>45</v>
      </c>
      <c r="AC115" s="7" t="s">
        <v>549</v>
      </c>
      <c r="AD115" s="8"/>
      <c r="AE115" s="8"/>
      <c r="AF115" s="8"/>
      <c r="AG115" s="10">
        <f t="shared" si="1"/>
        <v>43314</v>
      </c>
    </row>
    <row r="116" spans="1:33">
      <c r="A116" s="7" t="s">
        <v>733</v>
      </c>
      <c r="B116" s="7" t="s">
        <v>733</v>
      </c>
      <c r="C116" s="7" t="s">
        <v>734</v>
      </c>
      <c r="D116" s="7" t="s">
        <v>735</v>
      </c>
      <c r="E116" s="7" t="s">
        <v>49</v>
      </c>
      <c r="F116" s="7" t="s">
        <v>34</v>
      </c>
      <c r="G116" s="7" t="s">
        <v>35</v>
      </c>
      <c r="H116" s="7"/>
      <c r="I116" s="7"/>
      <c r="J116" s="7" t="s">
        <v>50</v>
      </c>
      <c r="K116" s="7" t="s">
        <v>208</v>
      </c>
      <c r="L116" s="7" t="s">
        <v>209</v>
      </c>
      <c r="M116" s="7" t="s">
        <v>210</v>
      </c>
      <c r="N116" s="7" t="s">
        <v>49</v>
      </c>
      <c r="O116" s="7">
        <v>1</v>
      </c>
      <c r="P116" s="7" t="s">
        <v>41</v>
      </c>
      <c r="Q116" s="7">
        <v>89.99</v>
      </c>
      <c r="R116" s="7"/>
      <c r="S116" s="7"/>
      <c r="T116" s="7"/>
      <c r="U116" s="7">
        <v>3.99</v>
      </c>
      <c r="V116" s="7"/>
      <c r="W116" s="7"/>
      <c r="X116" s="7"/>
      <c r="Y116" s="7" t="s">
        <v>308</v>
      </c>
      <c r="Z116" s="7" t="s">
        <v>221</v>
      </c>
      <c r="AA116" s="7" t="s">
        <v>736</v>
      </c>
      <c r="AB116" s="7" t="s">
        <v>45</v>
      </c>
      <c r="AC116" s="7"/>
      <c r="AD116" s="8"/>
      <c r="AE116" s="8"/>
      <c r="AF116" s="8"/>
      <c r="AG116" s="10">
        <f t="shared" si="1"/>
        <v>43314</v>
      </c>
    </row>
    <row r="117" spans="1:33">
      <c r="A117" s="7" t="s">
        <v>737</v>
      </c>
      <c r="B117" s="7" t="s">
        <v>737</v>
      </c>
      <c r="C117" s="7" t="s">
        <v>738</v>
      </c>
      <c r="D117" s="7" t="s">
        <v>739</v>
      </c>
      <c r="E117" s="7" t="s">
        <v>49</v>
      </c>
      <c r="F117" s="7" t="s">
        <v>34</v>
      </c>
      <c r="G117" s="7" t="s">
        <v>35</v>
      </c>
      <c r="H117" s="7"/>
      <c r="I117" s="7"/>
      <c r="J117" s="7" t="s">
        <v>50</v>
      </c>
      <c r="K117" s="7" t="s">
        <v>79</v>
      </c>
      <c r="L117" s="7" t="s">
        <v>80</v>
      </c>
      <c r="M117" s="7" t="s">
        <v>81</v>
      </c>
      <c r="N117" s="7" t="s">
        <v>49</v>
      </c>
      <c r="O117" s="7">
        <v>1</v>
      </c>
      <c r="P117" s="7" t="s">
        <v>41</v>
      </c>
      <c r="Q117" s="7">
        <v>21.99</v>
      </c>
      <c r="R117" s="7"/>
      <c r="S117" s="7"/>
      <c r="T117" s="7"/>
      <c r="U117" s="7"/>
      <c r="V117" s="7"/>
      <c r="W117" s="7">
        <v>21.77</v>
      </c>
      <c r="X117" s="7"/>
      <c r="Y117" s="7" t="s">
        <v>740</v>
      </c>
      <c r="Z117" s="7" t="s">
        <v>382</v>
      </c>
      <c r="AA117" s="7" t="s">
        <v>741</v>
      </c>
      <c r="AB117" s="7" t="s">
        <v>45</v>
      </c>
      <c r="AC117" s="7" t="s">
        <v>66</v>
      </c>
      <c r="AD117" s="8"/>
      <c r="AE117" s="8"/>
      <c r="AF117" s="8"/>
      <c r="AG117" s="10">
        <f t="shared" si="1"/>
        <v>43314</v>
      </c>
    </row>
    <row r="118" spans="1:33">
      <c r="A118" s="7" t="s">
        <v>742</v>
      </c>
      <c r="B118" s="7" t="s">
        <v>742</v>
      </c>
      <c r="C118" s="7" t="s">
        <v>743</v>
      </c>
      <c r="D118" s="7" t="s">
        <v>744</v>
      </c>
      <c r="E118" s="7" t="s">
        <v>49</v>
      </c>
      <c r="F118" s="7" t="s">
        <v>34</v>
      </c>
      <c r="G118" s="7" t="s">
        <v>35</v>
      </c>
      <c r="H118" s="7"/>
      <c r="I118" s="7"/>
      <c r="J118" s="7" t="s">
        <v>151</v>
      </c>
      <c r="K118" s="7" t="s">
        <v>745</v>
      </c>
      <c r="L118" s="7" t="s">
        <v>746</v>
      </c>
      <c r="M118" s="7" t="s">
        <v>747</v>
      </c>
      <c r="N118" s="7" t="s">
        <v>49</v>
      </c>
      <c r="O118" s="7">
        <v>1</v>
      </c>
      <c r="P118" s="7" t="s">
        <v>41</v>
      </c>
      <c r="Q118" s="7">
        <v>89.99</v>
      </c>
      <c r="R118" s="7"/>
      <c r="S118" s="7">
        <v>5.99</v>
      </c>
      <c r="T118" s="7"/>
      <c r="U118" s="7"/>
      <c r="V118" s="7"/>
      <c r="W118" s="7"/>
      <c r="X118" s="7">
        <v>5.99</v>
      </c>
      <c r="Y118" s="7" t="s">
        <v>748</v>
      </c>
      <c r="Z118" s="7" t="s">
        <v>64</v>
      </c>
      <c r="AA118" s="7" t="s">
        <v>749</v>
      </c>
      <c r="AB118" s="7" t="s">
        <v>45</v>
      </c>
      <c r="AC118" s="7"/>
      <c r="AD118" s="8"/>
      <c r="AE118" s="8"/>
      <c r="AF118" s="8"/>
      <c r="AG118" s="10">
        <f t="shared" si="1"/>
        <v>43314</v>
      </c>
    </row>
    <row r="119" spans="1:33">
      <c r="A119" s="7" t="s">
        <v>750</v>
      </c>
      <c r="B119" s="7" t="s">
        <v>750</v>
      </c>
      <c r="C119" s="7" t="s">
        <v>751</v>
      </c>
      <c r="D119" s="7" t="s">
        <v>752</v>
      </c>
      <c r="E119" s="7" t="s">
        <v>49</v>
      </c>
      <c r="F119" s="7" t="s">
        <v>34</v>
      </c>
      <c r="G119" s="7" t="s">
        <v>35</v>
      </c>
      <c r="H119" s="7"/>
      <c r="I119" s="7"/>
      <c r="J119" s="7" t="s">
        <v>50</v>
      </c>
      <c r="K119" s="7" t="s">
        <v>753</v>
      </c>
      <c r="L119" s="7" t="s">
        <v>754</v>
      </c>
      <c r="M119" s="7" t="s">
        <v>755</v>
      </c>
      <c r="N119" s="7" t="s">
        <v>49</v>
      </c>
      <c r="O119" s="7">
        <v>1</v>
      </c>
      <c r="P119" s="7" t="s">
        <v>41</v>
      </c>
      <c r="Q119" s="7">
        <v>89.6</v>
      </c>
      <c r="R119" s="7"/>
      <c r="S119" s="7"/>
      <c r="T119" s="7"/>
      <c r="U119" s="7"/>
      <c r="V119" s="7"/>
      <c r="W119" s="7"/>
      <c r="X119" s="7"/>
      <c r="Y119" s="7" t="s">
        <v>756</v>
      </c>
      <c r="Z119" s="7" t="s">
        <v>757</v>
      </c>
      <c r="AA119" s="7">
        <v>83839</v>
      </c>
      <c r="AB119" s="7" t="s">
        <v>45</v>
      </c>
      <c r="AC119" s="7"/>
      <c r="AD119" s="8"/>
      <c r="AE119" s="8"/>
      <c r="AF119" s="8"/>
      <c r="AG119" s="10">
        <f t="shared" si="1"/>
        <v>43314</v>
      </c>
    </row>
    <row r="120" spans="1:33">
      <c r="A120" s="7" t="s">
        <v>758</v>
      </c>
      <c r="B120" s="7" t="s">
        <v>758</v>
      </c>
      <c r="C120" s="7" t="s">
        <v>759</v>
      </c>
      <c r="D120" s="7" t="s">
        <v>760</v>
      </c>
      <c r="E120" s="7" t="s">
        <v>49</v>
      </c>
      <c r="F120" s="7" t="s">
        <v>34</v>
      </c>
      <c r="G120" s="7" t="s">
        <v>35</v>
      </c>
      <c r="H120" s="7"/>
      <c r="I120" s="7"/>
      <c r="J120" s="7" t="s">
        <v>50</v>
      </c>
      <c r="K120" s="7" t="s">
        <v>611</v>
      </c>
      <c r="L120" s="7" t="s">
        <v>612</v>
      </c>
      <c r="M120" s="7" t="s">
        <v>613</v>
      </c>
      <c r="N120" s="7" t="s">
        <v>49</v>
      </c>
      <c r="O120" s="7">
        <v>1</v>
      </c>
      <c r="P120" s="7" t="s">
        <v>41</v>
      </c>
      <c r="Q120" s="7">
        <v>89.99</v>
      </c>
      <c r="R120" s="7"/>
      <c r="S120" s="7"/>
      <c r="T120" s="7"/>
      <c r="U120" s="7"/>
      <c r="V120" s="7"/>
      <c r="W120" s="7">
        <v>13.5</v>
      </c>
      <c r="X120" s="7"/>
      <c r="Y120" s="7" t="s">
        <v>761</v>
      </c>
      <c r="Z120" s="7" t="s">
        <v>762</v>
      </c>
      <c r="AA120" s="7">
        <v>31510</v>
      </c>
      <c r="AB120" s="7" t="s">
        <v>45</v>
      </c>
      <c r="AC120" s="7"/>
      <c r="AD120" s="8"/>
      <c r="AE120" s="8"/>
      <c r="AF120" s="8"/>
      <c r="AG120" s="10">
        <f t="shared" si="1"/>
        <v>43314</v>
      </c>
    </row>
    <row r="121" spans="1:33">
      <c r="A121" s="7" t="s">
        <v>763</v>
      </c>
      <c r="B121" s="7" t="s">
        <v>763</v>
      </c>
      <c r="C121" s="7" t="s">
        <v>764</v>
      </c>
      <c r="D121" s="7" t="s">
        <v>765</v>
      </c>
      <c r="E121" s="7" t="s">
        <v>49</v>
      </c>
      <c r="F121" s="7" t="s">
        <v>34</v>
      </c>
      <c r="G121" s="7" t="s">
        <v>35</v>
      </c>
      <c r="H121" s="7"/>
      <c r="I121" s="7"/>
      <c r="J121" s="7" t="s">
        <v>50</v>
      </c>
      <c r="K121" s="7" t="s">
        <v>766</v>
      </c>
      <c r="L121" s="7" t="s">
        <v>767</v>
      </c>
      <c r="M121" s="7" t="s">
        <v>768</v>
      </c>
      <c r="N121" s="7" t="s">
        <v>49</v>
      </c>
      <c r="O121" s="7">
        <v>1</v>
      </c>
      <c r="P121" s="7" t="s">
        <v>41</v>
      </c>
      <c r="Q121" s="7">
        <v>32.99</v>
      </c>
      <c r="R121" s="7"/>
      <c r="S121" s="7">
        <v>3.85</v>
      </c>
      <c r="T121" s="7"/>
      <c r="U121" s="7"/>
      <c r="V121" s="7"/>
      <c r="W121" s="7"/>
      <c r="X121" s="7"/>
      <c r="Y121" s="7" t="s">
        <v>769</v>
      </c>
      <c r="Z121" s="7" t="s">
        <v>770</v>
      </c>
      <c r="AA121" s="7">
        <v>90746</v>
      </c>
      <c r="AB121" s="7" t="s">
        <v>45</v>
      </c>
      <c r="AC121" s="7"/>
      <c r="AD121" s="8"/>
      <c r="AE121" s="8"/>
      <c r="AF121" s="8"/>
      <c r="AG121" s="10">
        <f t="shared" si="1"/>
        <v>43314</v>
      </c>
    </row>
    <row r="122" spans="1:33">
      <c r="A122" s="7" t="s">
        <v>771</v>
      </c>
      <c r="B122" s="7" t="s">
        <v>771</v>
      </c>
      <c r="C122" s="7" t="s">
        <v>772</v>
      </c>
      <c r="D122" s="7" t="s">
        <v>773</v>
      </c>
      <c r="E122" s="7" t="s">
        <v>49</v>
      </c>
      <c r="F122" s="7" t="s">
        <v>34</v>
      </c>
      <c r="G122" s="7" t="s">
        <v>35</v>
      </c>
      <c r="H122" s="7"/>
      <c r="I122" s="7"/>
      <c r="J122" s="7" t="s">
        <v>50</v>
      </c>
      <c r="K122" s="7" t="s">
        <v>70</v>
      </c>
      <c r="L122" s="7" t="s">
        <v>71</v>
      </c>
      <c r="M122" s="7" t="s">
        <v>72</v>
      </c>
      <c r="N122" s="7" t="s">
        <v>49</v>
      </c>
      <c r="O122" s="7">
        <v>1</v>
      </c>
      <c r="P122" s="7" t="s">
        <v>41</v>
      </c>
      <c r="Q122" s="7">
        <v>96.99</v>
      </c>
      <c r="R122" s="7"/>
      <c r="S122" s="7"/>
      <c r="T122" s="7"/>
      <c r="U122" s="7"/>
      <c r="V122" s="7"/>
      <c r="W122" s="7"/>
      <c r="X122" s="7"/>
      <c r="Y122" s="7" t="s">
        <v>774</v>
      </c>
      <c r="Z122" s="7" t="s">
        <v>459</v>
      </c>
      <c r="AA122" s="7" t="s">
        <v>775</v>
      </c>
      <c r="AB122" s="7" t="s">
        <v>45</v>
      </c>
      <c r="AC122" s="7"/>
      <c r="AD122" s="8"/>
      <c r="AE122" s="8"/>
      <c r="AF122" s="8"/>
      <c r="AG122" s="10">
        <f t="shared" si="1"/>
        <v>43314</v>
      </c>
    </row>
    <row r="123" spans="1:33">
      <c r="A123" s="7" t="s">
        <v>776</v>
      </c>
      <c r="B123" s="7" t="s">
        <v>776</v>
      </c>
      <c r="C123" s="7" t="s">
        <v>777</v>
      </c>
      <c r="D123" s="7" t="s">
        <v>778</v>
      </c>
      <c r="E123" s="7" t="s">
        <v>49</v>
      </c>
      <c r="F123" s="7" t="s">
        <v>34</v>
      </c>
      <c r="G123" s="7" t="s">
        <v>35</v>
      </c>
      <c r="H123" s="7"/>
      <c r="I123" s="7"/>
      <c r="J123" s="7" t="s">
        <v>50</v>
      </c>
      <c r="K123" s="7" t="s">
        <v>779</v>
      </c>
      <c r="L123" s="7" t="s">
        <v>780</v>
      </c>
      <c r="M123" s="7" t="s">
        <v>781</v>
      </c>
      <c r="N123" s="7" t="s">
        <v>49</v>
      </c>
      <c r="O123" s="7">
        <v>1</v>
      </c>
      <c r="P123" s="7" t="s">
        <v>41</v>
      </c>
      <c r="Q123" s="7">
        <v>21.99</v>
      </c>
      <c r="R123" s="7"/>
      <c r="S123" s="7"/>
      <c r="T123" s="7"/>
      <c r="U123" s="7"/>
      <c r="V123" s="7"/>
      <c r="W123" s="7">
        <v>21.77</v>
      </c>
      <c r="X123" s="7"/>
      <c r="Y123" s="7" t="s">
        <v>782</v>
      </c>
      <c r="Z123" s="7" t="s">
        <v>83</v>
      </c>
      <c r="AA123" s="7" t="s">
        <v>783</v>
      </c>
      <c r="AB123" s="7" t="s">
        <v>45</v>
      </c>
      <c r="AC123" s="7" t="s">
        <v>66</v>
      </c>
      <c r="AD123" s="8"/>
      <c r="AE123" s="8"/>
      <c r="AF123" s="8"/>
      <c r="AG123" s="10">
        <f t="shared" si="1"/>
        <v>43314</v>
      </c>
    </row>
    <row r="124" spans="1:33">
      <c r="A124" s="7" t="s">
        <v>784</v>
      </c>
      <c r="B124" s="7" t="s">
        <v>784</v>
      </c>
      <c r="C124" s="7" t="s">
        <v>785</v>
      </c>
      <c r="D124" s="7" t="s">
        <v>786</v>
      </c>
      <c r="E124" s="7" t="s">
        <v>49</v>
      </c>
      <c r="F124" s="7" t="s">
        <v>34</v>
      </c>
      <c r="G124" s="7" t="s">
        <v>35</v>
      </c>
      <c r="H124" s="7"/>
      <c r="I124" s="7"/>
      <c r="J124" s="7" t="s">
        <v>50</v>
      </c>
      <c r="K124" s="7" t="s">
        <v>619</v>
      </c>
      <c r="L124" s="7" t="s">
        <v>620</v>
      </c>
      <c r="M124" s="7" t="s">
        <v>621</v>
      </c>
      <c r="N124" s="7" t="s">
        <v>49</v>
      </c>
      <c r="O124" s="7">
        <v>1</v>
      </c>
      <c r="P124" s="7" t="s">
        <v>41</v>
      </c>
      <c r="Q124" s="7">
        <v>32.99</v>
      </c>
      <c r="R124" s="7"/>
      <c r="S124" s="7"/>
      <c r="T124" s="7"/>
      <c r="U124" s="7"/>
      <c r="V124" s="7"/>
      <c r="W124" s="7"/>
      <c r="X124" s="7"/>
      <c r="Y124" s="7" t="s">
        <v>787</v>
      </c>
      <c r="Z124" s="7" t="s">
        <v>361</v>
      </c>
      <c r="AA124" s="7" t="s">
        <v>788</v>
      </c>
      <c r="AB124" s="7" t="s">
        <v>45</v>
      </c>
      <c r="AC124" s="7"/>
      <c r="AD124" s="8"/>
      <c r="AE124" s="8"/>
      <c r="AF124" s="8"/>
      <c r="AG124" s="10">
        <f t="shared" si="1"/>
        <v>43314</v>
      </c>
    </row>
    <row r="125" spans="1:33">
      <c r="A125" s="7" t="s">
        <v>789</v>
      </c>
      <c r="B125" s="7" t="s">
        <v>789</v>
      </c>
      <c r="C125" s="7" t="s">
        <v>790</v>
      </c>
      <c r="D125" s="7" t="s">
        <v>791</v>
      </c>
      <c r="E125" s="7" t="s">
        <v>49</v>
      </c>
      <c r="F125" s="7" t="s">
        <v>34</v>
      </c>
      <c r="G125" s="7" t="s">
        <v>35</v>
      </c>
      <c r="H125" s="7"/>
      <c r="I125" s="7"/>
      <c r="J125" s="7" t="s">
        <v>50</v>
      </c>
      <c r="K125" s="7" t="s">
        <v>276</v>
      </c>
      <c r="L125" s="7" t="s">
        <v>277</v>
      </c>
      <c r="M125" s="7" t="s">
        <v>278</v>
      </c>
      <c r="N125" s="7" t="s">
        <v>49</v>
      </c>
      <c r="O125" s="7">
        <v>1</v>
      </c>
      <c r="P125" s="7" t="s">
        <v>41</v>
      </c>
      <c r="Q125" s="7">
        <v>91.99</v>
      </c>
      <c r="R125" s="7"/>
      <c r="S125" s="7"/>
      <c r="T125" s="7"/>
      <c r="U125" s="7"/>
      <c r="V125" s="7"/>
      <c r="W125" s="7"/>
      <c r="X125" s="7"/>
      <c r="Y125" s="7" t="s">
        <v>792</v>
      </c>
      <c r="Z125" s="7" t="s">
        <v>266</v>
      </c>
      <c r="AA125" s="7" t="s">
        <v>793</v>
      </c>
      <c r="AB125" s="7" t="s">
        <v>45</v>
      </c>
      <c r="AC125" s="7"/>
      <c r="AD125" s="8"/>
      <c r="AE125" s="8"/>
      <c r="AF125" s="8"/>
      <c r="AG125" s="10">
        <f t="shared" si="1"/>
        <v>43314</v>
      </c>
    </row>
    <row r="126" spans="1:33">
      <c r="A126" s="7" t="s">
        <v>794</v>
      </c>
      <c r="B126" s="7" t="s">
        <v>794</v>
      </c>
      <c r="C126" s="7" t="s">
        <v>795</v>
      </c>
      <c r="D126" s="7" t="s">
        <v>796</v>
      </c>
      <c r="E126" s="7" t="s">
        <v>49</v>
      </c>
      <c r="F126" s="7" t="s">
        <v>34</v>
      </c>
      <c r="G126" s="7" t="s">
        <v>35</v>
      </c>
      <c r="H126" s="7"/>
      <c r="I126" s="7"/>
      <c r="J126" s="7" t="s">
        <v>50</v>
      </c>
      <c r="K126" s="7" t="s">
        <v>409</v>
      </c>
      <c r="L126" s="7" t="s">
        <v>410</v>
      </c>
      <c r="M126" s="7" t="s">
        <v>411</v>
      </c>
      <c r="N126" s="7" t="s">
        <v>49</v>
      </c>
      <c r="O126" s="7">
        <v>1</v>
      </c>
      <c r="P126" s="7" t="s">
        <v>41</v>
      </c>
      <c r="Q126" s="7">
        <v>99.99</v>
      </c>
      <c r="R126" s="7"/>
      <c r="S126" s="7"/>
      <c r="T126" s="7"/>
      <c r="U126" s="7"/>
      <c r="V126" s="7"/>
      <c r="W126" s="7"/>
      <c r="X126" s="7"/>
      <c r="Y126" s="7" t="s">
        <v>797</v>
      </c>
      <c r="Z126" s="7" t="s">
        <v>266</v>
      </c>
      <c r="AA126" s="7" t="s">
        <v>798</v>
      </c>
      <c r="AB126" s="7" t="s">
        <v>45</v>
      </c>
      <c r="AC126" s="7"/>
      <c r="AD126" s="8"/>
      <c r="AE126" s="8"/>
      <c r="AF126" s="8"/>
      <c r="AG126" s="10">
        <f t="shared" si="1"/>
        <v>43314</v>
      </c>
    </row>
    <row r="127" spans="1:33">
      <c r="A127" s="7" t="s">
        <v>799</v>
      </c>
      <c r="B127" s="7" t="s">
        <v>799</v>
      </c>
      <c r="C127" s="7" t="s">
        <v>800</v>
      </c>
      <c r="D127" s="7" t="s">
        <v>801</v>
      </c>
      <c r="E127" s="7" t="s">
        <v>49</v>
      </c>
      <c r="F127" s="7" t="s">
        <v>34</v>
      </c>
      <c r="G127" s="7" t="s">
        <v>35</v>
      </c>
      <c r="H127" s="7"/>
      <c r="I127" s="7"/>
      <c r="J127" s="7" t="s">
        <v>36</v>
      </c>
      <c r="K127" s="7" t="s">
        <v>142</v>
      </c>
      <c r="L127" s="7" t="s">
        <v>143</v>
      </c>
      <c r="M127" s="7" t="s">
        <v>144</v>
      </c>
      <c r="N127" s="7" t="s">
        <v>49</v>
      </c>
      <c r="O127" s="7">
        <v>1</v>
      </c>
      <c r="P127" s="7" t="s">
        <v>41</v>
      </c>
      <c r="Q127" s="7">
        <v>79.99</v>
      </c>
      <c r="R127" s="7"/>
      <c r="S127" s="7">
        <v>7.97</v>
      </c>
      <c r="T127" s="7"/>
      <c r="U127" s="7"/>
      <c r="V127" s="7"/>
      <c r="W127" s="7"/>
      <c r="X127" s="7"/>
      <c r="Y127" s="7" t="s">
        <v>802</v>
      </c>
      <c r="Z127" s="7" t="s">
        <v>266</v>
      </c>
      <c r="AA127" s="7" t="s">
        <v>803</v>
      </c>
      <c r="AB127" s="7" t="s">
        <v>45</v>
      </c>
      <c r="AC127" s="7"/>
      <c r="AD127" s="8"/>
      <c r="AE127" s="8"/>
      <c r="AF127" s="8"/>
      <c r="AG127" s="10">
        <f t="shared" si="1"/>
        <v>43314</v>
      </c>
    </row>
    <row r="128" spans="1:33">
      <c r="A128" s="7" t="s">
        <v>804</v>
      </c>
      <c r="B128" s="7" t="s">
        <v>804</v>
      </c>
      <c r="C128" s="7" t="s">
        <v>805</v>
      </c>
      <c r="D128" s="7" t="s">
        <v>806</v>
      </c>
      <c r="E128" s="7" t="s">
        <v>33</v>
      </c>
      <c r="F128" s="7" t="s">
        <v>34</v>
      </c>
      <c r="G128" s="7" t="s">
        <v>35</v>
      </c>
      <c r="H128" s="7"/>
      <c r="I128" s="7"/>
      <c r="J128" s="7" t="s">
        <v>50</v>
      </c>
      <c r="K128" s="7" t="s">
        <v>142</v>
      </c>
      <c r="L128" s="7" t="s">
        <v>143</v>
      </c>
      <c r="M128" s="7" t="s">
        <v>144</v>
      </c>
      <c r="N128" s="7" t="s">
        <v>33</v>
      </c>
      <c r="O128" s="7">
        <v>0</v>
      </c>
      <c r="P128" s="7"/>
      <c r="Q128" s="7"/>
      <c r="R128" s="7"/>
      <c r="S128" s="7"/>
      <c r="T128" s="7"/>
      <c r="U128" s="7"/>
      <c r="V128" s="7"/>
      <c r="W128" s="7"/>
      <c r="X128" s="7"/>
      <c r="Y128" s="7" t="s">
        <v>807</v>
      </c>
      <c r="Z128" s="7" t="s">
        <v>124</v>
      </c>
      <c r="AA128" s="7" t="s">
        <v>808</v>
      </c>
      <c r="AB128" s="7" t="s">
        <v>45</v>
      </c>
      <c r="AC128" s="7"/>
      <c r="AD128" s="8"/>
      <c r="AE128" s="8"/>
      <c r="AF128" s="8"/>
      <c r="AG128" s="10">
        <f t="shared" si="1"/>
        <v>43314</v>
      </c>
    </row>
    <row r="129" spans="1:33">
      <c r="A129" s="7" t="s">
        <v>809</v>
      </c>
      <c r="B129" s="7" t="s">
        <v>809</v>
      </c>
      <c r="C129" s="7" t="s">
        <v>810</v>
      </c>
      <c r="D129" s="7" t="s">
        <v>811</v>
      </c>
      <c r="E129" s="7" t="s">
        <v>33</v>
      </c>
      <c r="F129" s="7" t="s">
        <v>34</v>
      </c>
      <c r="G129" s="7" t="s">
        <v>35</v>
      </c>
      <c r="H129" s="7"/>
      <c r="I129" s="7"/>
      <c r="J129" s="7" t="s">
        <v>36</v>
      </c>
      <c r="K129" s="7" t="s">
        <v>276</v>
      </c>
      <c r="L129" s="7" t="s">
        <v>277</v>
      </c>
      <c r="M129" s="7" t="s">
        <v>278</v>
      </c>
      <c r="N129" s="7" t="s">
        <v>33</v>
      </c>
      <c r="O129" s="7">
        <v>0</v>
      </c>
      <c r="P129" s="7"/>
      <c r="Q129" s="7"/>
      <c r="R129" s="7"/>
      <c r="S129" s="7"/>
      <c r="T129" s="7"/>
      <c r="U129" s="7"/>
      <c r="V129" s="7"/>
      <c r="W129" s="7"/>
      <c r="X129" s="7"/>
      <c r="Y129" s="7" t="s">
        <v>812</v>
      </c>
      <c r="Z129" s="7" t="s">
        <v>260</v>
      </c>
      <c r="AA129" s="7" t="s">
        <v>813</v>
      </c>
      <c r="AB129" s="7" t="s">
        <v>45</v>
      </c>
      <c r="AC129" s="7"/>
      <c r="AD129" s="11"/>
      <c r="AE129" s="11"/>
      <c r="AF129" s="11"/>
      <c r="AG129" s="10">
        <f t="shared" si="1"/>
        <v>43314</v>
      </c>
    </row>
    <row r="130" spans="1:33">
      <c r="A130" s="7" t="s">
        <v>814</v>
      </c>
      <c r="B130" s="7" t="s">
        <v>814</v>
      </c>
      <c r="C130" s="7" t="s">
        <v>815</v>
      </c>
      <c r="D130" s="7" t="s">
        <v>816</v>
      </c>
      <c r="E130" s="7" t="s">
        <v>49</v>
      </c>
      <c r="F130" s="7" t="s">
        <v>34</v>
      </c>
      <c r="G130" s="7" t="s">
        <v>35</v>
      </c>
      <c r="H130" s="7"/>
      <c r="I130" s="7"/>
      <c r="J130" s="7" t="s">
        <v>326</v>
      </c>
      <c r="K130" s="7" t="s">
        <v>745</v>
      </c>
      <c r="L130" s="7" t="s">
        <v>746</v>
      </c>
      <c r="M130" s="7" t="s">
        <v>747</v>
      </c>
      <c r="N130" s="7" t="s">
        <v>49</v>
      </c>
      <c r="O130" s="7">
        <v>1</v>
      </c>
      <c r="P130" s="7" t="s">
        <v>41</v>
      </c>
      <c r="Q130" s="7">
        <v>89.99</v>
      </c>
      <c r="R130" s="7">
        <v>4.78</v>
      </c>
      <c r="S130" s="7">
        <v>7.99</v>
      </c>
      <c r="T130" s="7">
        <v>0.42</v>
      </c>
      <c r="U130" s="7"/>
      <c r="V130" s="7"/>
      <c r="W130" s="7"/>
      <c r="X130" s="7"/>
      <c r="Y130" s="7" t="s">
        <v>817</v>
      </c>
      <c r="Z130" s="7" t="s">
        <v>818</v>
      </c>
      <c r="AA130" s="7" t="s">
        <v>819</v>
      </c>
      <c r="AB130" s="7" t="s">
        <v>45</v>
      </c>
      <c r="AC130" s="7"/>
      <c r="AD130" s="11"/>
      <c r="AE130" s="11"/>
      <c r="AF130" s="11"/>
      <c r="AG130" s="10">
        <f t="shared" ref="AG130:AG193" si="2">DATEVALUE(LEFT(C130,10))</f>
        <v>43314</v>
      </c>
    </row>
    <row r="131" spans="1:33">
      <c r="A131" s="7" t="s">
        <v>820</v>
      </c>
      <c r="B131" s="7" t="s">
        <v>820</v>
      </c>
      <c r="C131" s="7" t="s">
        <v>821</v>
      </c>
      <c r="D131" s="7" t="s">
        <v>822</v>
      </c>
      <c r="E131" s="7" t="s">
        <v>49</v>
      </c>
      <c r="F131" s="7" t="s">
        <v>34</v>
      </c>
      <c r="G131" s="7" t="s">
        <v>35</v>
      </c>
      <c r="H131" s="7"/>
      <c r="I131" s="7"/>
      <c r="J131" s="7" t="s">
        <v>326</v>
      </c>
      <c r="K131" s="7" t="s">
        <v>160</v>
      </c>
      <c r="L131" s="7" t="s">
        <v>161</v>
      </c>
      <c r="M131" s="7" t="s">
        <v>162</v>
      </c>
      <c r="N131" s="7" t="s">
        <v>49</v>
      </c>
      <c r="O131" s="7">
        <v>1</v>
      </c>
      <c r="P131" s="7" t="s">
        <v>41</v>
      </c>
      <c r="Q131" s="7">
        <v>89.99</v>
      </c>
      <c r="R131" s="7"/>
      <c r="S131" s="7">
        <v>16.35</v>
      </c>
      <c r="T131" s="7"/>
      <c r="U131" s="7"/>
      <c r="V131" s="7"/>
      <c r="W131" s="7"/>
      <c r="X131" s="7"/>
      <c r="Y131" s="7" t="s">
        <v>823</v>
      </c>
      <c r="Z131" s="7" t="s">
        <v>83</v>
      </c>
      <c r="AA131" s="7" t="s">
        <v>824</v>
      </c>
      <c r="AB131" s="7" t="s">
        <v>45</v>
      </c>
      <c r="AC131" s="7"/>
      <c r="AD131" s="11"/>
      <c r="AE131" s="11"/>
      <c r="AF131" s="11"/>
      <c r="AG131" s="10">
        <f t="shared" si="2"/>
        <v>43314</v>
      </c>
    </row>
    <row r="132" spans="1:33">
      <c r="A132" s="7" t="s">
        <v>825</v>
      </c>
      <c r="B132" s="7" t="s">
        <v>825</v>
      </c>
      <c r="C132" s="7" t="s">
        <v>826</v>
      </c>
      <c r="D132" s="7" t="s">
        <v>827</v>
      </c>
      <c r="E132" s="7" t="s">
        <v>33</v>
      </c>
      <c r="F132" s="7" t="s">
        <v>34</v>
      </c>
      <c r="G132" s="7" t="s">
        <v>35</v>
      </c>
      <c r="H132" s="7"/>
      <c r="I132" s="7"/>
      <c r="J132" s="7" t="s">
        <v>50</v>
      </c>
      <c r="K132" s="7" t="s">
        <v>828</v>
      </c>
      <c r="L132" s="7" t="s">
        <v>829</v>
      </c>
      <c r="M132" s="7" t="s">
        <v>830</v>
      </c>
      <c r="N132" s="7" t="s">
        <v>33</v>
      </c>
      <c r="O132" s="7">
        <v>0</v>
      </c>
      <c r="P132" s="7"/>
      <c r="Q132" s="7"/>
      <c r="R132" s="7"/>
      <c r="S132" s="7"/>
      <c r="T132" s="7"/>
      <c r="U132" s="7"/>
      <c r="V132" s="7"/>
      <c r="W132" s="7"/>
      <c r="X132" s="7"/>
      <c r="Y132" s="7" t="s">
        <v>831</v>
      </c>
      <c r="Z132" s="7" t="s">
        <v>124</v>
      </c>
      <c r="AA132" s="7" t="s">
        <v>832</v>
      </c>
      <c r="AB132" s="7" t="s">
        <v>45</v>
      </c>
      <c r="AC132" s="7"/>
      <c r="AD132" s="11"/>
      <c r="AE132" s="11"/>
      <c r="AF132" s="11"/>
      <c r="AG132" s="10">
        <f t="shared" si="2"/>
        <v>43314</v>
      </c>
    </row>
    <row r="133" spans="1:33">
      <c r="A133" s="7" t="s">
        <v>833</v>
      </c>
      <c r="B133" s="7" t="s">
        <v>833</v>
      </c>
      <c r="C133" s="7" t="s">
        <v>834</v>
      </c>
      <c r="D133" s="7" t="s">
        <v>835</v>
      </c>
      <c r="E133" s="7" t="s">
        <v>49</v>
      </c>
      <c r="F133" s="7" t="s">
        <v>34</v>
      </c>
      <c r="G133" s="7" t="s">
        <v>35</v>
      </c>
      <c r="H133" s="7"/>
      <c r="I133" s="7"/>
      <c r="J133" s="7" t="s">
        <v>326</v>
      </c>
      <c r="K133" s="7" t="s">
        <v>289</v>
      </c>
      <c r="L133" s="7" t="s">
        <v>290</v>
      </c>
      <c r="M133" s="7" t="s">
        <v>291</v>
      </c>
      <c r="N133" s="7" t="s">
        <v>49</v>
      </c>
      <c r="O133" s="7">
        <v>1</v>
      </c>
      <c r="P133" s="7" t="s">
        <v>41</v>
      </c>
      <c r="Q133" s="7">
        <v>89.99</v>
      </c>
      <c r="R133" s="7">
        <v>7.29</v>
      </c>
      <c r="S133" s="7">
        <v>7.99</v>
      </c>
      <c r="T133" s="7">
        <v>0.65</v>
      </c>
      <c r="U133" s="7"/>
      <c r="V133" s="7"/>
      <c r="W133" s="7"/>
      <c r="X133" s="7"/>
      <c r="Y133" s="7" t="s">
        <v>836</v>
      </c>
      <c r="Z133" s="7" t="s">
        <v>146</v>
      </c>
      <c r="AA133" s="7">
        <v>98837</v>
      </c>
      <c r="AB133" s="7" t="s">
        <v>45</v>
      </c>
      <c r="AC133" s="7"/>
      <c r="AD133" s="8"/>
      <c r="AE133" s="8"/>
      <c r="AF133" s="8"/>
      <c r="AG133" s="10">
        <f t="shared" si="2"/>
        <v>43314</v>
      </c>
    </row>
    <row r="134" spans="1:33">
      <c r="A134" s="7" t="s">
        <v>837</v>
      </c>
      <c r="B134" s="7" t="s">
        <v>837</v>
      </c>
      <c r="C134" s="7" t="s">
        <v>838</v>
      </c>
      <c r="D134" s="7" t="s">
        <v>839</v>
      </c>
      <c r="E134" s="7" t="s">
        <v>49</v>
      </c>
      <c r="F134" s="7" t="s">
        <v>34</v>
      </c>
      <c r="G134" s="7" t="s">
        <v>35</v>
      </c>
      <c r="H134" s="7"/>
      <c r="I134" s="7"/>
      <c r="J134" s="7" t="s">
        <v>151</v>
      </c>
      <c r="K134" s="7" t="s">
        <v>37</v>
      </c>
      <c r="L134" s="7" t="s">
        <v>38</v>
      </c>
      <c r="M134" s="7" t="s">
        <v>39</v>
      </c>
      <c r="N134" s="7" t="s">
        <v>49</v>
      </c>
      <c r="O134" s="7">
        <v>1</v>
      </c>
      <c r="P134" s="7" t="s">
        <v>41</v>
      </c>
      <c r="Q134" s="7">
        <v>89.99</v>
      </c>
      <c r="R134" s="7"/>
      <c r="S134" s="7">
        <v>5.99</v>
      </c>
      <c r="T134" s="7"/>
      <c r="U134" s="7"/>
      <c r="V134" s="7"/>
      <c r="W134" s="7"/>
      <c r="X134" s="7">
        <v>5.99</v>
      </c>
      <c r="Y134" s="7" t="s">
        <v>840</v>
      </c>
      <c r="Z134" s="7" t="s">
        <v>266</v>
      </c>
      <c r="AA134" s="7">
        <v>34232</v>
      </c>
      <c r="AB134" s="7" t="s">
        <v>45</v>
      </c>
      <c r="AC134" s="7"/>
      <c r="AD134" s="8"/>
      <c r="AE134" s="8"/>
      <c r="AF134" s="8"/>
      <c r="AG134" s="10">
        <f t="shared" si="2"/>
        <v>43314</v>
      </c>
    </row>
    <row r="135" spans="1:33">
      <c r="A135" s="7" t="s">
        <v>841</v>
      </c>
      <c r="B135" s="7" t="s">
        <v>841</v>
      </c>
      <c r="C135" s="7" t="s">
        <v>842</v>
      </c>
      <c r="D135" s="7" t="s">
        <v>843</v>
      </c>
      <c r="E135" s="7" t="s">
        <v>49</v>
      </c>
      <c r="F135" s="7" t="s">
        <v>34</v>
      </c>
      <c r="G135" s="7" t="s">
        <v>35</v>
      </c>
      <c r="H135" s="7"/>
      <c r="I135" s="7"/>
      <c r="J135" s="7" t="s">
        <v>36</v>
      </c>
      <c r="K135" s="7" t="s">
        <v>844</v>
      </c>
      <c r="L135" s="7" t="s">
        <v>845</v>
      </c>
      <c r="M135" s="7" t="s">
        <v>846</v>
      </c>
      <c r="N135" s="7" t="s">
        <v>49</v>
      </c>
      <c r="O135" s="7">
        <v>1</v>
      </c>
      <c r="P135" s="7" t="s">
        <v>41</v>
      </c>
      <c r="Q135" s="7">
        <v>23.99</v>
      </c>
      <c r="R135" s="7"/>
      <c r="S135" s="7">
        <v>5.99</v>
      </c>
      <c r="T135" s="7"/>
      <c r="U135" s="7"/>
      <c r="V135" s="7"/>
      <c r="W135" s="7"/>
      <c r="X135" s="7"/>
      <c r="Y135" s="7" t="s">
        <v>847</v>
      </c>
      <c r="Z135" s="7" t="s">
        <v>346</v>
      </c>
      <c r="AA135" s="7" t="s">
        <v>848</v>
      </c>
      <c r="AB135" s="7" t="s">
        <v>45</v>
      </c>
      <c r="AC135" s="7"/>
      <c r="AD135" s="8"/>
      <c r="AE135" s="8"/>
      <c r="AF135" s="8"/>
      <c r="AG135" s="10">
        <f t="shared" si="2"/>
        <v>43314</v>
      </c>
    </row>
    <row r="136" spans="1:33">
      <c r="A136" s="7" t="s">
        <v>849</v>
      </c>
      <c r="B136" s="7" t="s">
        <v>849</v>
      </c>
      <c r="C136" s="7" t="s">
        <v>850</v>
      </c>
      <c r="D136" s="7" t="s">
        <v>851</v>
      </c>
      <c r="E136" s="7" t="s">
        <v>49</v>
      </c>
      <c r="F136" s="7" t="s">
        <v>34</v>
      </c>
      <c r="G136" s="7" t="s">
        <v>35</v>
      </c>
      <c r="H136" s="7"/>
      <c r="I136" s="7"/>
      <c r="J136" s="7" t="s">
        <v>50</v>
      </c>
      <c r="K136" s="7" t="s">
        <v>852</v>
      </c>
      <c r="L136" s="7" t="s">
        <v>853</v>
      </c>
      <c r="M136" s="7" t="s">
        <v>854</v>
      </c>
      <c r="N136" s="7" t="s">
        <v>49</v>
      </c>
      <c r="O136" s="7">
        <v>1</v>
      </c>
      <c r="P136" s="7" t="s">
        <v>41</v>
      </c>
      <c r="Q136" s="7">
        <v>79.99</v>
      </c>
      <c r="R136" s="7">
        <v>6.72</v>
      </c>
      <c r="S136" s="7"/>
      <c r="T136" s="7"/>
      <c r="U136" s="7"/>
      <c r="V136" s="7"/>
      <c r="W136" s="7"/>
      <c r="X136" s="7"/>
      <c r="Y136" s="7" t="s">
        <v>855</v>
      </c>
      <c r="Z136" s="7" t="s">
        <v>146</v>
      </c>
      <c r="AA136" s="7" t="s">
        <v>856</v>
      </c>
      <c r="AB136" s="7" t="s">
        <v>45</v>
      </c>
      <c r="AC136" s="7"/>
      <c r="AD136" s="8"/>
      <c r="AE136" s="8"/>
      <c r="AF136" s="8"/>
      <c r="AG136" s="10">
        <f t="shared" si="2"/>
        <v>43314</v>
      </c>
    </row>
    <row r="137" spans="1:33">
      <c r="A137" s="7" t="s">
        <v>857</v>
      </c>
      <c r="B137" s="7" t="s">
        <v>857</v>
      </c>
      <c r="C137" s="7" t="s">
        <v>858</v>
      </c>
      <c r="D137" s="7" t="s">
        <v>859</v>
      </c>
      <c r="E137" s="7" t="s">
        <v>49</v>
      </c>
      <c r="F137" s="7" t="s">
        <v>34</v>
      </c>
      <c r="G137" s="7" t="s">
        <v>35</v>
      </c>
      <c r="H137" s="7"/>
      <c r="I137" s="7"/>
      <c r="J137" s="7" t="s">
        <v>36</v>
      </c>
      <c r="K137" s="7" t="s">
        <v>844</v>
      </c>
      <c r="L137" s="7" t="s">
        <v>845</v>
      </c>
      <c r="M137" s="7" t="s">
        <v>846</v>
      </c>
      <c r="N137" s="7" t="s">
        <v>49</v>
      </c>
      <c r="O137" s="7">
        <v>1</v>
      </c>
      <c r="P137" s="7" t="s">
        <v>41</v>
      </c>
      <c r="Q137" s="7">
        <v>23.99</v>
      </c>
      <c r="R137" s="7"/>
      <c r="S137" s="7">
        <v>2</v>
      </c>
      <c r="T137" s="7"/>
      <c r="U137" s="7"/>
      <c r="V137" s="7"/>
      <c r="W137" s="7"/>
      <c r="X137" s="7">
        <v>2</v>
      </c>
      <c r="Y137" s="7" t="s">
        <v>847</v>
      </c>
      <c r="Z137" s="7" t="s">
        <v>346</v>
      </c>
      <c r="AA137" s="7" t="s">
        <v>848</v>
      </c>
      <c r="AB137" s="7" t="s">
        <v>45</v>
      </c>
      <c r="AC137" s="7" t="s">
        <v>549</v>
      </c>
      <c r="AD137" s="8"/>
      <c r="AE137" s="8"/>
      <c r="AF137" s="8"/>
      <c r="AG137" s="10">
        <f t="shared" si="2"/>
        <v>43314</v>
      </c>
    </row>
    <row r="138" spans="1:33">
      <c r="A138" s="7" t="s">
        <v>860</v>
      </c>
      <c r="B138" s="7" t="s">
        <v>860</v>
      </c>
      <c r="C138" s="7" t="s">
        <v>861</v>
      </c>
      <c r="D138" s="7" t="s">
        <v>862</v>
      </c>
      <c r="E138" s="7" t="s">
        <v>49</v>
      </c>
      <c r="F138" s="7" t="s">
        <v>34</v>
      </c>
      <c r="G138" s="7" t="s">
        <v>35</v>
      </c>
      <c r="H138" s="7"/>
      <c r="I138" s="7"/>
      <c r="J138" s="7" t="s">
        <v>50</v>
      </c>
      <c r="K138" s="7" t="s">
        <v>863</v>
      </c>
      <c r="L138" s="7" t="s">
        <v>864</v>
      </c>
      <c r="M138" s="7" t="s">
        <v>865</v>
      </c>
      <c r="N138" s="7" t="s">
        <v>49</v>
      </c>
      <c r="O138" s="7">
        <v>1</v>
      </c>
      <c r="P138" s="7" t="s">
        <v>41</v>
      </c>
      <c r="Q138" s="7">
        <v>34.99</v>
      </c>
      <c r="R138" s="7"/>
      <c r="S138" s="7"/>
      <c r="T138" s="7"/>
      <c r="U138" s="7"/>
      <c r="V138" s="7"/>
      <c r="W138" s="7"/>
      <c r="X138" s="7"/>
      <c r="Y138" s="7" t="s">
        <v>866</v>
      </c>
      <c r="Z138" s="7" t="s">
        <v>867</v>
      </c>
      <c r="AA138" s="7">
        <v>59327</v>
      </c>
      <c r="AB138" s="7" t="s">
        <v>45</v>
      </c>
      <c r="AC138" s="7"/>
      <c r="AD138" s="8"/>
      <c r="AE138" s="8"/>
      <c r="AF138" s="8"/>
      <c r="AG138" s="10">
        <f t="shared" si="2"/>
        <v>43314</v>
      </c>
    </row>
    <row r="139" spans="1:33">
      <c r="A139" s="7" t="s">
        <v>868</v>
      </c>
      <c r="B139" s="7" t="s">
        <v>868</v>
      </c>
      <c r="C139" s="7" t="s">
        <v>869</v>
      </c>
      <c r="D139" s="7" t="s">
        <v>870</v>
      </c>
      <c r="E139" s="7" t="s">
        <v>49</v>
      </c>
      <c r="F139" s="7" t="s">
        <v>34</v>
      </c>
      <c r="G139" s="7" t="s">
        <v>35</v>
      </c>
      <c r="H139" s="7"/>
      <c r="I139" s="7"/>
      <c r="J139" s="7" t="s">
        <v>50</v>
      </c>
      <c r="K139" s="7" t="s">
        <v>88</v>
      </c>
      <c r="L139" s="7" t="s">
        <v>89</v>
      </c>
      <c r="M139" s="7" t="s">
        <v>90</v>
      </c>
      <c r="N139" s="7" t="s">
        <v>49</v>
      </c>
      <c r="O139" s="7">
        <v>1</v>
      </c>
      <c r="P139" s="7" t="s">
        <v>41</v>
      </c>
      <c r="Q139" s="7">
        <v>89.99</v>
      </c>
      <c r="R139" s="7"/>
      <c r="S139" s="7"/>
      <c r="T139" s="7"/>
      <c r="U139" s="7"/>
      <c r="V139" s="7"/>
      <c r="W139" s="7"/>
      <c r="X139" s="7"/>
      <c r="Y139" s="7" t="s">
        <v>871</v>
      </c>
      <c r="Z139" s="7" t="s">
        <v>872</v>
      </c>
      <c r="AA139" s="7" t="s">
        <v>873</v>
      </c>
      <c r="AB139" s="7" t="s">
        <v>45</v>
      </c>
      <c r="AC139" s="7"/>
      <c r="AD139" s="8"/>
      <c r="AE139" s="8"/>
      <c r="AF139" s="8"/>
      <c r="AG139" s="10">
        <f t="shared" si="2"/>
        <v>43314</v>
      </c>
    </row>
    <row r="140" spans="1:33">
      <c r="A140" s="7" t="s">
        <v>874</v>
      </c>
      <c r="B140" s="7" t="s">
        <v>874</v>
      </c>
      <c r="C140" s="7" t="s">
        <v>875</v>
      </c>
      <c r="D140" s="7" t="s">
        <v>876</v>
      </c>
      <c r="E140" s="7" t="s">
        <v>49</v>
      </c>
      <c r="F140" s="7" t="s">
        <v>34</v>
      </c>
      <c r="G140" s="7" t="s">
        <v>35</v>
      </c>
      <c r="H140" s="7"/>
      <c r="I140" s="7"/>
      <c r="J140" s="7" t="s">
        <v>36</v>
      </c>
      <c r="K140" s="7" t="s">
        <v>632</v>
      </c>
      <c r="L140" s="7" t="s">
        <v>633</v>
      </c>
      <c r="M140" s="7" t="s">
        <v>634</v>
      </c>
      <c r="N140" s="7" t="s">
        <v>49</v>
      </c>
      <c r="O140" s="7">
        <v>1</v>
      </c>
      <c r="P140" s="7" t="s">
        <v>41</v>
      </c>
      <c r="Q140" s="7">
        <v>85.99</v>
      </c>
      <c r="R140" s="7"/>
      <c r="S140" s="7">
        <v>7.85</v>
      </c>
      <c r="T140" s="7"/>
      <c r="U140" s="7"/>
      <c r="V140" s="7"/>
      <c r="W140" s="7"/>
      <c r="X140" s="7"/>
      <c r="Y140" s="7" t="s">
        <v>877</v>
      </c>
      <c r="Z140" s="7" t="s">
        <v>346</v>
      </c>
      <c r="AA140" s="7">
        <v>11413</v>
      </c>
      <c r="AB140" s="7" t="s">
        <v>45</v>
      </c>
      <c r="AC140" s="7"/>
      <c r="AD140" s="8"/>
      <c r="AE140" s="8"/>
      <c r="AF140" s="8"/>
      <c r="AG140" s="10">
        <f t="shared" si="2"/>
        <v>43314</v>
      </c>
    </row>
    <row r="141" spans="1:33">
      <c r="A141" s="7" t="s">
        <v>878</v>
      </c>
      <c r="B141" s="7" t="s">
        <v>879</v>
      </c>
      <c r="C141" s="7" t="s">
        <v>880</v>
      </c>
      <c r="D141" s="7" t="s">
        <v>881</v>
      </c>
      <c r="E141" s="7" t="s">
        <v>49</v>
      </c>
      <c r="F141" s="7" t="s">
        <v>34</v>
      </c>
      <c r="G141" s="7" t="s">
        <v>719</v>
      </c>
      <c r="H141" s="7"/>
      <c r="I141" s="7"/>
      <c r="J141" s="7" t="s">
        <v>36</v>
      </c>
      <c r="K141" s="7" t="s">
        <v>882</v>
      </c>
      <c r="L141" s="7" t="s">
        <v>883</v>
      </c>
      <c r="M141" s="7" t="s">
        <v>884</v>
      </c>
      <c r="N141" s="7" t="s">
        <v>40</v>
      </c>
      <c r="O141" s="7">
        <v>1</v>
      </c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8"/>
      <c r="AE141" s="8"/>
      <c r="AF141" s="8"/>
      <c r="AG141" s="10">
        <f t="shared" si="2"/>
        <v>43315</v>
      </c>
    </row>
    <row r="142" spans="1:33">
      <c r="A142" s="7" t="s">
        <v>885</v>
      </c>
      <c r="B142" s="7" t="s">
        <v>885</v>
      </c>
      <c r="C142" s="7" t="s">
        <v>886</v>
      </c>
      <c r="D142" s="7" t="s">
        <v>887</v>
      </c>
      <c r="E142" s="7" t="s">
        <v>49</v>
      </c>
      <c r="F142" s="7" t="s">
        <v>34</v>
      </c>
      <c r="G142" s="7" t="s">
        <v>35</v>
      </c>
      <c r="H142" s="7"/>
      <c r="I142" s="7"/>
      <c r="J142" s="7" t="s">
        <v>50</v>
      </c>
      <c r="K142" s="7" t="s">
        <v>37</v>
      </c>
      <c r="L142" s="7" t="s">
        <v>38</v>
      </c>
      <c r="M142" s="7" t="s">
        <v>39</v>
      </c>
      <c r="N142" s="7" t="s">
        <v>49</v>
      </c>
      <c r="O142" s="7">
        <v>1</v>
      </c>
      <c r="P142" s="7" t="s">
        <v>41</v>
      </c>
      <c r="Q142" s="7">
        <v>89.99</v>
      </c>
      <c r="R142" s="7"/>
      <c r="S142" s="7"/>
      <c r="T142" s="7"/>
      <c r="U142" s="7"/>
      <c r="V142" s="7"/>
      <c r="W142" s="7"/>
      <c r="X142" s="7"/>
      <c r="Y142" s="7" t="s">
        <v>888</v>
      </c>
      <c r="Z142" s="7" t="s">
        <v>280</v>
      </c>
      <c r="AA142" s="7" t="s">
        <v>889</v>
      </c>
      <c r="AB142" s="7" t="s">
        <v>45</v>
      </c>
      <c r="AC142" s="7"/>
      <c r="AD142" s="8"/>
      <c r="AE142" s="8"/>
      <c r="AF142" s="8"/>
      <c r="AG142" s="10">
        <f t="shared" si="2"/>
        <v>43315</v>
      </c>
    </row>
    <row r="143" spans="1:33">
      <c r="A143" s="7" t="s">
        <v>890</v>
      </c>
      <c r="B143" s="7" t="s">
        <v>890</v>
      </c>
      <c r="C143" s="7" t="s">
        <v>891</v>
      </c>
      <c r="D143" s="7" t="s">
        <v>892</v>
      </c>
      <c r="E143" s="7" t="s">
        <v>49</v>
      </c>
      <c r="F143" s="7" t="s">
        <v>34</v>
      </c>
      <c r="G143" s="7" t="s">
        <v>35</v>
      </c>
      <c r="H143" s="7"/>
      <c r="I143" s="7"/>
      <c r="J143" s="7" t="s">
        <v>50</v>
      </c>
      <c r="K143" s="7" t="s">
        <v>477</v>
      </c>
      <c r="L143" s="7" t="s">
        <v>478</v>
      </c>
      <c r="M143" s="7" t="s">
        <v>479</v>
      </c>
      <c r="N143" s="7" t="s">
        <v>49</v>
      </c>
      <c r="O143" s="7">
        <v>1</v>
      </c>
      <c r="P143" s="7" t="s">
        <v>41</v>
      </c>
      <c r="Q143" s="7">
        <v>89.99</v>
      </c>
      <c r="R143" s="7"/>
      <c r="S143" s="7"/>
      <c r="T143" s="7"/>
      <c r="U143" s="7"/>
      <c r="V143" s="7"/>
      <c r="W143" s="7"/>
      <c r="X143" s="7"/>
      <c r="Y143" s="7" t="s">
        <v>63</v>
      </c>
      <c r="Z143" s="7" t="s">
        <v>64</v>
      </c>
      <c r="AA143" s="7" t="s">
        <v>893</v>
      </c>
      <c r="AB143" s="7" t="s">
        <v>45</v>
      </c>
      <c r="AC143" s="7"/>
      <c r="AD143" s="8"/>
      <c r="AE143" s="8"/>
      <c r="AF143" s="8"/>
      <c r="AG143" s="10">
        <f t="shared" si="2"/>
        <v>43315</v>
      </c>
    </row>
    <row r="144" spans="1:33">
      <c r="A144" s="7" t="s">
        <v>894</v>
      </c>
      <c r="B144" s="7" t="s">
        <v>894</v>
      </c>
      <c r="C144" s="7" t="s">
        <v>895</v>
      </c>
      <c r="D144" s="7" t="s">
        <v>896</v>
      </c>
      <c r="E144" s="7" t="s">
        <v>49</v>
      </c>
      <c r="F144" s="7" t="s">
        <v>34</v>
      </c>
      <c r="G144" s="7" t="s">
        <v>35</v>
      </c>
      <c r="H144" s="7"/>
      <c r="I144" s="7"/>
      <c r="J144" s="7" t="s">
        <v>50</v>
      </c>
      <c r="K144" s="7" t="s">
        <v>142</v>
      </c>
      <c r="L144" s="7" t="s">
        <v>143</v>
      </c>
      <c r="M144" s="7" t="s">
        <v>144</v>
      </c>
      <c r="N144" s="7" t="s">
        <v>49</v>
      </c>
      <c r="O144" s="7">
        <v>1</v>
      </c>
      <c r="P144" s="7" t="s">
        <v>41</v>
      </c>
      <c r="Q144" s="7">
        <v>79.99</v>
      </c>
      <c r="R144" s="7"/>
      <c r="S144" s="7"/>
      <c r="T144" s="7"/>
      <c r="U144" s="7"/>
      <c r="V144" s="7"/>
      <c r="W144" s="7"/>
      <c r="X144" s="7"/>
      <c r="Y144" s="7" t="s">
        <v>897</v>
      </c>
      <c r="Z144" s="7" t="s">
        <v>266</v>
      </c>
      <c r="AA144" s="7" t="s">
        <v>898</v>
      </c>
      <c r="AB144" s="7" t="s">
        <v>45</v>
      </c>
      <c r="AC144" s="7"/>
      <c r="AD144" s="8"/>
      <c r="AE144" s="8"/>
      <c r="AF144" s="8"/>
      <c r="AG144" s="10">
        <f t="shared" si="2"/>
        <v>43315</v>
      </c>
    </row>
    <row r="145" spans="1:33">
      <c r="A145" s="7" t="s">
        <v>899</v>
      </c>
      <c r="B145" s="7" t="s">
        <v>899</v>
      </c>
      <c r="C145" s="7" t="s">
        <v>900</v>
      </c>
      <c r="D145" s="7" t="s">
        <v>901</v>
      </c>
      <c r="E145" s="7" t="s">
        <v>49</v>
      </c>
      <c r="F145" s="7" t="s">
        <v>34</v>
      </c>
      <c r="G145" s="7" t="s">
        <v>35</v>
      </c>
      <c r="H145" s="7"/>
      <c r="I145" s="7"/>
      <c r="J145" s="7" t="s">
        <v>36</v>
      </c>
      <c r="K145" s="7" t="s">
        <v>902</v>
      </c>
      <c r="L145" s="7" t="s">
        <v>903</v>
      </c>
      <c r="M145" s="7" t="s">
        <v>904</v>
      </c>
      <c r="N145" s="7" t="s">
        <v>49</v>
      </c>
      <c r="O145" s="7">
        <v>1</v>
      </c>
      <c r="P145" s="7" t="s">
        <v>41</v>
      </c>
      <c r="Q145" s="7">
        <v>95.99</v>
      </c>
      <c r="R145" s="7"/>
      <c r="S145" s="7">
        <v>8.16</v>
      </c>
      <c r="T145" s="7"/>
      <c r="U145" s="7"/>
      <c r="V145" s="7"/>
      <c r="W145" s="7"/>
      <c r="X145" s="7"/>
      <c r="Y145" s="7" t="s">
        <v>905</v>
      </c>
      <c r="Z145" s="7" t="s">
        <v>906</v>
      </c>
      <c r="AA145" s="7">
        <v>80918</v>
      </c>
      <c r="AB145" s="7" t="s">
        <v>45</v>
      </c>
      <c r="AC145" s="7"/>
      <c r="AD145" s="8"/>
      <c r="AE145" s="8"/>
      <c r="AF145" s="8"/>
      <c r="AG145" s="10">
        <f t="shared" si="2"/>
        <v>43315</v>
      </c>
    </row>
    <row r="146" spans="1:33">
      <c r="A146" s="7" t="s">
        <v>907</v>
      </c>
      <c r="B146" s="7" t="s">
        <v>907</v>
      </c>
      <c r="C146" s="7" t="s">
        <v>908</v>
      </c>
      <c r="D146" s="7" t="s">
        <v>909</v>
      </c>
      <c r="E146" s="7" t="s">
        <v>49</v>
      </c>
      <c r="F146" s="7" t="s">
        <v>34</v>
      </c>
      <c r="G146" s="7" t="s">
        <v>35</v>
      </c>
      <c r="H146" s="7"/>
      <c r="I146" s="7"/>
      <c r="J146" s="7" t="s">
        <v>36</v>
      </c>
      <c r="K146" s="7" t="s">
        <v>700</v>
      </c>
      <c r="L146" s="7" t="s">
        <v>701</v>
      </c>
      <c r="M146" s="7" t="s">
        <v>702</v>
      </c>
      <c r="N146" s="7" t="s">
        <v>49</v>
      </c>
      <c r="O146" s="7">
        <v>1</v>
      </c>
      <c r="P146" s="7" t="s">
        <v>41</v>
      </c>
      <c r="Q146" s="7">
        <v>108.99</v>
      </c>
      <c r="R146" s="7"/>
      <c r="S146" s="7">
        <v>8.71</v>
      </c>
      <c r="T146" s="7"/>
      <c r="U146" s="7"/>
      <c r="V146" s="7"/>
      <c r="W146" s="7"/>
      <c r="X146" s="7"/>
      <c r="Y146" s="7" t="s">
        <v>910</v>
      </c>
      <c r="Z146" s="7" t="s">
        <v>911</v>
      </c>
      <c r="AA146" s="7" t="s">
        <v>912</v>
      </c>
      <c r="AB146" s="7" t="s">
        <v>45</v>
      </c>
      <c r="AC146" s="7"/>
      <c r="AD146" s="8"/>
      <c r="AE146" s="8"/>
      <c r="AF146" s="8"/>
      <c r="AG146" s="10">
        <f t="shared" si="2"/>
        <v>43315</v>
      </c>
    </row>
    <row r="147" spans="1:33">
      <c r="A147" s="7" t="s">
        <v>913</v>
      </c>
      <c r="B147" s="7" t="s">
        <v>913</v>
      </c>
      <c r="C147" s="7" t="s">
        <v>914</v>
      </c>
      <c r="D147" s="7" t="s">
        <v>915</v>
      </c>
      <c r="E147" s="7" t="s">
        <v>49</v>
      </c>
      <c r="F147" s="7" t="s">
        <v>34</v>
      </c>
      <c r="G147" s="7" t="s">
        <v>35</v>
      </c>
      <c r="H147" s="7"/>
      <c r="I147" s="7"/>
      <c r="J147" s="7" t="s">
        <v>36</v>
      </c>
      <c r="K147" s="7" t="s">
        <v>595</v>
      </c>
      <c r="L147" s="7" t="s">
        <v>596</v>
      </c>
      <c r="M147" s="7" t="s">
        <v>597</v>
      </c>
      <c r="N147" s="7" t="s">
        <v>49</v>
      </c>
      <c r="O147" s="7">
        <v>1</v>
      </c>
      <c r="P147" s="7" t="s">
        <v>41</v>
      </c>
      <c r="Q147" s="7">
        <v>21.99</v>
      </c>
      <c r="R147" s="7"/>
      <c r="S147" s="7">
        <v>0.31</v>
      </c>
      <c r="T147" s="7"/>
      <c r="U147" s="7"/>
      <c r="V147" s="7"/>
      <c r="W147" s="7"/>
      <c r="X147" s="7"/>
      <c r="Y147" s="7" t="s">
        <v>916</v>
      </c>
      <c r="Z147" s="7" t="s">
        <v>164</v>
      </c>
      <c r="AA147" s="7" t="s">
        <v>917</v>
      </c>
      <c r="AB147" s="7" t="s">
        <v>45</v>
      </c>
      <c r="AC147" s="7"/>
      <c r="AD147" s="8"/>
      <c r="AE147" s="8"/>
      <c r="AF147" s="8"/>
      <c r="AG147" s="10">
        <f t="shared" si="2"/>
        <v>43315</v>
      </c>
    </row>
    <row r="148" spans="1:33">
      <c r="A148" s="7" t="s">
        <v>913</v>
      </c>
      <c r="B148" s="7" t="s">
        <v>913</v>
      </c>
      <c r="C148" s="7" t="s">
        <v>914</v>
      </c>
      <c r="D148" s="7" t="s">
        <v>915</v>
      </c>
      <c r="E148" s="7" t="s">
        <v>49</v>
      </c>
      <c r="F148" s="7" t="s">
        <v>34</v>
      </c>
      <c r="G148" s="7" t="s">
        <v>35</v>
      </c>
      <c r="H148" s="7"/>
      <c r="I148" s="7"/>
      <c r="J148" s="7" t="s">
        <v>36</v>
      </c>
      <c r="K148" s="7" t="s">
        <v>60</v>
      </c>
      <c r="L148" s="7" t="s">
        <v>61</v>
      </c>
      <c r="M148" s="7" t="s">
        <v>62</v>
      </c>
      <c r="N148" s="7" t="s">
        <v>49</v>
      </c>
      <c r="O148" s="7">
        <v>1</v>
      </c>
      <c r="P148" s="7" t="s">
        <v>41</v>
      </c>
      <c r="Q148" s="7">
        <v>21.99</v>
      </c>
      <c r="R148" s="7"/>
      <c r="S148" s="7">
        <v>0.54</v>
      </c>
      <c r="T148" s="7"/>
      <c r="U148" s="7"/>
      <c r="V148" s="7"/>
      <c r="W148" s="7"/>
      <c r="X148" s="7"/>
      <c r="Y148" s="7" t="s">
        <v>916</v>
      </c>
      <c r="Z148" s="7" t="s">
        <v>164</v>
      </c>
      <c r="AA148" s="7" t="s">
        <v>917</v>
      </c>
      <c r="AB148" s="7" t="s">
        <v>45</v>
      </c>
      <c r="AC148" s="7"/>
      <c r="AD148" s="8"/>
      <c r="AE148" s="8"/>
      <c r="AF148" s="8"/>
      <c r="AG148" s="10">
        <f t="shared" si="2"/>
        <v>43315</v>
      </c>
    </row>
    <row r="149" spans="1:33">
      <c r="A149" s="7" t="s">
        <v>918</v>
      </c>
      <c r="B149" s="7" t="s">
        <v>918</v>
      </c>
      <c r="C149" s="7" t="s">
        <v>919</v>
      </c>
      <c r="D149" s="7" t="s">
        <v>920</v>
      </c>
      <c r="E149" s="7" t="s">
        <v>49</v>
      </c>
      <c r="F149" s="7" t="s">
        <v>34</v>
      </c>
      <c r="G149" s="7" t="s">
        <v>35</v>
      </c>
      <c r="H149" s="7"/>
      <c r="I149" s="7"/>
      <c r="J149" s="7" t="s">
        <v>50</v>
      </c>
      <c r="K149" s="7" t="s">
        <v>70</v>
      </c>
      <c r="L149" s="7" t="s">
        <v>71</v>
      </c>
      <c r="M149" s="7" t="s">
        <v>72</v>
      </c>
      <c r="N149" s="7" t="s">
        <v>49</v>
      </c>
      <c r="O149" s="7">
        <v>1</v>
      </c>
      <c r="P149" s="7" t="s">
        <v>41</v>
      </c>
      <c r="Q149" s="7">
        <v>96.99</v>
      </c>
      <c r="R149" s="7"/>
      <c r="S149" s="7">
        <v>6.62</v>
      </c>
      <c r="T149" s="7"/>
      <c r="U149" s="7"/>
      <c r="V149" s="7"/>
      <c r="W149" s="7"/>
      <c r="X149" s="7"/>
      <c r="Y149" s="7" t="s">
        <v>921</v>
      </c>
      <c r="Z149" s="7" t="s">
        <v>221</v>
      </c>
      <c r="AA149" s="7" t="s">
        <v>922</v>
      </c>
      <c r="AB149" s="7" t="s">
        <v>45</v>
      </c>
      <c r="AC149" s="7"/>
      <c r="AD149" s="8"/>
      <c r="AE149" s="8"/>
      <c r="AF149" s="8"/>
      <c r="AG149" s="10">
        <f t="shared" si="2"/>
        <v>43315</v>
      </c>
    </row>
    <row r="150" spans="1:33">
      <c r="A150" s="7" t="s">
        <v>923</v>
      </c>
      <c r="B150" s="7" t="s">
        <v>923</v>
      </c>
      <c r="C150" s="7" t="s">
        <v>924</v>
      </c>
      <c r="D150" s="7" t="s">
        <v>925</v>
      </c>
      <c r="E150" s="7" t="s">
        <v>49</v>
      </c>
      <c r="F150" s="7" t="s">
        <v>34</v>
      </c>
      <c r="G150" s="7" t="s">
        <v>35</v>
      </c>
      <c r="H150" s="7"/>
      <c r="I150" s="7"/>
      <c r="J150" s="7" t="s">
        <v>50</v>
      </c>
      <c r="K150" s="7" t="s">
        <v>60</v>
      </c>
      <c r="L150" s="7" t="s">
        <v>61</v>
      </c>
      <c r="M150" s="7" t="s">
        <v>62</v>
      </c>
      <c r="N150" s="7" t="s">
        <v>49</v>
      </c>
      <c r="O150" s="7">
        <v>1</v>
      </c>
      <c r="P150" s="7" t="s">
        <v>41</v>
      </c>
      <c r="Q150" s="7">
        <v>21.99</v>
      </c>
      <c r="R150" s="7"/>
      <c r="S150" s="7"/>
      <c r="T150" s="7"/>
      <c r="U150" s="7"/>
      <c r="V150" s="7"/>
      <c r="W150" s="7">
        <v>21.77</v>
      </c>
      <c r="X150" s="7"/>
      <c r="Y150" s="7" t="s">
        <v>271</v>
      </c>
      <c r="Z150" s="7" t="s">
        <v>266</v>
      </c>
      <c r="AA150" s="7" t="s">
        <v>272</v>
      </c>
      <c r="AB150" s="7" t="s">
        <v>45</v>
      </c>
      <c r="AC150" s="7" t="s">
        <v>66</v>
      </c>
      <c r="AD150" s="8"/>
      <c r="AE150" s="8"/>
      <c r="AF150" s="8"/>
      <c r="AG150" s="10">
        <f t="shared" si="2"/>
        <v>43315</v>
      </c>
    </row>
    <row r="151" spans="1:33">
      <c r="A151" s="7" t="s">
        <v>926</v>
      </c>
      <c r="B151" s="7" t="s">
        <v>926</v>
      </c>
      <c r="C151" s="7" t="s">
        <v>927</v>
      </c>
      <c r="D151" s="7" t="s">
        <v>928</v>
      </c>
      <c r="E151" s="7" t="s">
        <v>49</v>
      </c>
      <c r="F151" s="7" t="s">
        <v>34</v>
      </c>
      <c r="G151" s="7" t="s">
        <v>35</v>
      </c>
      <c r="H151" s="7"/>
      <c r="I151" s="7"/>
      <c r="J151" s="7" t="s">
        <v>50</v>
      </c>
      <c r="K151" s="7" t="s">
        <v>208</v>
      </c>
      <c r="L151" s="7" t="s">
        <v>209</v>
      </c>
      <c r="M151" s="7" t="s">
        <v>210</v>
      </c>
      <c r="N151" s="7" t="s">
        <v>49</v>
      </c>
      <c r="O151" s="7">
        <v>1</v>
      </c>
      <c r="P151" s="7" t="s">
        <v>41</v>
      </c>
      <c r="Q151" s="7">
        <v>89.99</v>
      </c>
      <c r="R151" s="7"/>
      <c r="S151" s="7"/>
      <c r="T151" s="7"/>
      <c r="U151" s="7"/>
      <c r="V151" s="7"/>
      <c r="W151" s="7"/>
      <c r="X151" s="7"/>
      <c r="Y151" s="7" t="s">
        <v>929</v>
      </c>
      <c r="Z151" s="7" t="s">
        <v>230</v>
      </c>
      <c r="AA151" s="7" t="s">
        <v>930</v>
      </c>
      <c r="AB151" s="7" t="s">
        <v>45</v>
      </c>
      <c r="AC151" s="7"/>
      <c r="AD151" s="8"/>
      <c r="AE151" s="8"/>
      <c r="AF151" s="8"/>
      <c r="AG151" s="10">
        <f t="shared" si="2"/>
        <v>43315</v>
      </c>
    </row>
    <row r="152" spans="1:33">
      <c r="A152" s="7" t="s">
        <v>931</v>
      </c>
      <c r="B152" s="7" t="s">
        <v>931</v>
      </c>
      <c r="C152" s="7" t="s">
        <v>932</v>
      </c>
      <c r="D152" s="7" t="s">
        <v>933</v>
      </c>
      <c r="E152" s="7" t="s">
        <v>49</v>
      </c>
      <c r="F152" s="7" t="s">
        <v>34</v>
      </c>
      <c r="G152" s="7" t="s">
        <v>35</v>
      </c>
      <c r="H152" s="7"/>
      <c r="I152" s="7"/>
      <c r="J152" s="7" t="s">
        <v>50</v>
      </c>
      <c r="K152" s="7" t="s">
        <v>611</v>
      </c>
      <c r="L152" s="7" t="s">
        <v>612</v>
      </c>
      <c r="M152" s="7" t="s">
        <v>613</v>
      </c>
      <c r="N152" s="7" t="s">
        <v>49</v>
      </c>
      <c r="O152" s="7">
        <v>1</v>
      </c>
      <c r="P152" s="7" t="s">
        <v>41</v>
      </c>
      <c r="Q152" s="7">
        <v>89.99</v>
      </c>
      <c r="R152" s="7"/>
      <c r="S152" s="7"/>
      <c r="T152" s="7"/>
      <c r="U152" s="7"/>
      <c r="V152" s="7"/>
      <c r="W152" s="7"/>
      <c r="X152" s="7"/>
      <c r="Y152" s="7" t="s">
        <v>300</v>
      </c>
      <c r="Z152" s="7" t="s">
        <v>280</v>
      </c>
      <c r="AA152" s="7" t="s">
        <v>301</v>
      </c>
      <c r="AB152" s="7" t="s">
        <v>45</v>
      </c>
      <c r="AC152" s="7"/>
      <c r="AD152" s="11"/>
      <c r="AE152" s="11"/>
      <c r="AF152" s="11"/>
      <c r="AG152" s="10">
        <f t="shared" si="2"/>
        <v>43315</v>
      </c>
    </row>
    <row r="153" spans="1:33">
      <c r="A153" s="7" t="s">
        <v>934</v>
      </c>
      <c r="B153" s="7" t="s">
        <v>934</v>
      </c>
      <c r="C153" s="7" t="s">
        <v>935</v>
      </c>
      <c r="D153" s="7" t="s">
        <v>936</v>
      </c>
      <c r="E153" s="7" t="s">
        <v>33</v>
      </c>
      <c r="F153" s="7" t="s">
        <v>34</v>
      </c>
      <c r="G153" s="7" t="s">
        <v>35</v>
      </c>
      <c r="H153" s="7"/>
      <c r="I153" s="7"/>
      <c r="J153" s="7" t="s">
        <v>36</v>
      </c>
      <c r="K153" s="7" t="s">
        <v>276</v>
      </c>
      <c r="L153" s="7" t="s">
        <v>277</v>
      </c>
      <c r="M153" s="7" t="s">
        <v>278</v>
      </c>
      <c r="N153" s="7" t="s">
        <v>40</v>
      </c>
      <c r="O153" s="7">
        <v>1</v>
      </c>
      <c r="P153" s="7" t="s">
        <v>41</v>
      </c>
      <c r="Q153" s="7">
        <v>91.99</v>
      </c>
      <c r="R153" s="7"/>
      <c r="S153" s="7"/>
      <c r="T153" s="7"/>
      <c r="U153" s="7"/>
      <c r="V153" s="7"/>
      <c r="W153" s="7"/>
      <c r="X153" s="7"/>
      <c r="Y153" s="7" t="s">
        <v>937</v>
      </c>
      <c r="Z153" s="7" t="s">
        <v>83</v>
      </c>
      <c r="AA153" s="7" t="s">
        <v>938</v>
      </c>
      <c r="AB153" s="7" t="s">
        <v>45</v>
      </c>
      <c r="AC153" s="7"/>
      <c r="AD153" s="11"/>
      <c r="AE153" s="11"/>
      <c r="AF153" s="11"/>
      <c r="AG153" s="10">
        <f t="shared" si="2"/>
        <v>43315</v>
      </c>
    </row>
    <row r="154" spans="1:33">
      <c r="A154" s="7" t="s">
        <v>939</v>
      </c>
      <c r="B154" s="7" t="s">
        <v>939</v>
      </c>
      <c r="C154" s="7" t="s">
        <v>940</v>
      </c>
      <c r="D154" s="7" t="s">
        <v>941</v>
      </c>
      <c r="E154" s="7" t="s">
        <v>49</v>
      </c>
      <c r="F154" s="7" t="s">
        <v>34</v>
      </c>
      <c r="G154" s="7" t="s">
        <v>35</v>
      </c>
      <c r="H154" s="7"/>
      <c r="I154" s="7"/>
      <c r="J154" s="7" t="s">
        <v>50</v>
      </c>
      <c r="K154" s="7" t="s">
        <v>902</v>
      </c>
      <c r="L154" s="7" t="s">
        <v>903</v>
      </c>
      <c r="M154" s="7" t="s">
        <v>904</v>
      </c>
      <c r="N154" s="7" t="s">
        <v>49</v>
      </c>
      <c r="O154" s="7">
        <v>1</v>
      </c>
      <c r="P154" s="7" t="s">
        <v>41</v>
      </c>
      <c r="Q154" s="7">
        <v>95.99</v>
      </c>
      <c r="R154" s="7"/>
      <c r="S154" s="7"/>
      <c r="T154" s="7"/>
      <c r="U154" s="7"/>
      <c r="V154" s="7"/>
      <c r="W154" s="7"/>
      <c r="X154" s="7"/>
      <c r="Y154" s="7" t="s">
        <v>942</v>
      </c>
      <c r="Z154" s="7" t="s">
        <v>178</v>
      </c>
      <c r="AA154" s="7" t="s">
        <v>943</v>
      </c>
      <c r="AB154" s="7" t="s">
        <v>45</v>
      </c>
      <c r="AC154" s="7"/>
      <c r="AD154" s="11"/>
      <c r="AE154" s="11"/>
      <c r="AF154" s="11"/>
      <c r="AG154" s="10">
        <f t="shared" si="2"/>
        <v>43315</v>
      </c>
    </row>
    <row r="155" spans="1:33">
      <c r="A155" s="7" t="s">
        <v>944</v>
      </c>
      <c r="B155" s="7" t="s">
        <v>944</v>
      </c>
      <c r="C155" s="7" t="s">
        <v>945</v>
      </c>
      <c r="D155" s="7" t="s">
        <v>946</v>
      </c>
      <c r="E155" s="7" t="s">
        <v>49</v>
      </c>
      <c r="F155" s="7" t="s">
        <v>34</v>
      </c>
      <c r="G155" s="7" t="s">
        <v>35</v>
      </c>
      <c r="H155" s="7"/>
      <c r="I155" s="7"/>
      <c r="J155" s="7" t="s">
        <v>50</v>
      </c>
      <c r="K155" s="7" t="s">
        <v>276</v>
      </c>
      <c r="L155" s="7" t="s">
        <v>277</v>
      </c>
      <c r="M155" s="7" t="s">
        <v>278</v>
      </c>
      <c r="N155" s="7" t="s">
        <v>49</v>
      </c>
      <c r="O155" s="7">
        <v>1</v>
      </c>
      <c r="P155" s="7" t="s">
        <v>41</v>
      </c>
      <c r="Q155" s="7">
        <v>91.99</v>
      </c>
      <c r="R155" s="7"/>
      <c r="S155" s="7"/>
      <c r="T155" s="7"/>
      <c r="U155" s="7"/>
      <c r="V155" s="7"/>
      <c r="W155" s="7"/>
      <c r="X155" s="7"/>
      <c r="Y155" s="7" t="s">
        <v>947</v>
      </c>
      <c r="Z155" s="7" t="s">
        <v>64</v>
      </c>
      <c r="AA155" s="7" t="s">
        <v>948</v>
      </c>
      <c r="AB155" s="7" t="s">
        <v>45</v>
      </c>
      <c r="AC155" s="7"/>
      <c r="AD155" s="11"/>
      <c r="AE155" s="11"/>
      <c r="AF155" s="11"/>
      <c r="AG155" s="10">
        <f t="shared" si="2"/>
        <v>43315</v>
      </c>
    </row>
    <row r="156" spans="1:33">
      <c r="A156" s="7" t="s">
        <v>949</v>
      </c>
      <c r="B156" s="7" t="s">
        <v>949</v>
      </c>
      <c r="C156" s="7" t="s">
        <v>950</v>
      </c>
      <c r="D156" s="7" t="s">
        <v>951</v>
      </c>
      <c r="E156" s="7" t="s">
        <v>49</v>
      </c>
      <c r="F156" s="7" t="s">
        <v>34</v>
      </c>
      <c r="G156" s="7" t="s">
        <v>35</v>
      </c>
      <c r="H156" s="7"/>
      <c r="I156" s="7"/>
      <c r="J156" s="7" t="s">
        <v>50</v>
      </c>
      <c r="K156" s="7" t="s">
        <v>208</v>
      </c>
      <c r="L156" s="7" t="s">
        <v>209</v>
      </c>
      <c r="M156" s="7" t="s">
        <v>210</v>
      </c>
      <c r="N156" s="7" t="s">
        <v>49</v>
      </c>
      <c r="O156" s="7">
        <v>1</v>
      </c>
      <c r="P156" s="7" t="s">
        <v>41</v>
      </c>
      <c r="Q156" s="7">
        <v>89.99</v>
      </c>
      <c r="R156" s="7"/>
      <c r="S156" s="7"/>
      <c r="T156" s="7"/>
      <c r="U156" s="7"/>
      <c r="V156" s="7"/>
      <c r="W156" s="7"/>
      <c r="X156" s="7"/>
      <c r="Y156" s="7" t="s">
        <v>265</v>
      </c>
      <c r="Z156" s="7" t="s">
        <v>266</v>
      </c>
      <c r="AA156" s="7" t="s">
        <v>952</v>
      </c>
      <c r="AB156" s="7" t="s">
        <v>45</v>
      </c>
      <c r="AC156" s="7"/>
      <c r="AD156" s="11"/>
      <c r="AE156" s="11"/>
      <c r="AF156" s="11"/>
      <c r="AG156" s="10">
        <f t="shared" si="2"/>
        <v>43315</v>
      </c>
    </row>
    <row r="157" spans="1:33">
      <c r="A157" s="7" t="s">
        <v>953</v>
      </c>
      <c r="B157" s="7" t="s">
        <v>953</v>
      </c>
      <c r="C157" s="7" t="s">
        <v>954</v>
      </c>
      <c r="D157" s="7" t="s">
        <v>955</v>
      </c>
      <c r="E157" s="7" t="s">
        <v>49</v>
      </c>
      <c r="F157" s="7" t="s">
        <v>34</v>
      </c>
      <c r="G157" s="7" t="s">
        <v>35</v>
      </c>
      <c r="H157" s="7"/>
      <c r="I157" s="7"/>
      <c r="J157" s="7" t="s">
        <v>151</v>
      </c>
      <c r="K157" s="7" t="s">
        <v>208</v>
      </c>
      <c r="L157" s="7" t="s">
        <v>209</v>
      </c>
      <c r="M157" s="7" t="s">
        <v>210</v>
      </c>
      <c r="N157" s="7" t="s">
        <v>49</v>
      </c>
      <c r="O157" s="7">
        <v>1</v>
      </c>
      <c r="P157" s="7" t="s">
        <v>41</v>
      </c>
      <c r="Q157" s="7">
        <v>89.99</v>
      </c>
      <c r="R157" s="7"/>
      <c r="S157" s="7">
        <v>27.96</v>
      </c>
      <c r="T157" s="7"/>
      <c r="U157" s="7"/>
      <c r="V157" s="7"/>
      <c r="W157" s="7"/>
      <c r="X157" s="7"/>
      <c r="Y157" s="7" t="s">
        <v>897</v>
      </c>
      <c r="Z157" s="7" t="s">
        <v>266</v>
      </c>
      <c r="AA157" s="7" t="s">
        <v>956</v>
      </c>
      <c r="AB157" s="7" t="s">
        <v>45</v>
      </c>
      <c r="AC157" s="7"/>
      <c r="AD157" s="11"/>
      <c r="AE157" s="11"/>
      <c r="AF157" s="11"/>
      <c r="AG157" s="10">
        <f t="shared" si="2"/>
        <v>43315</v>
      </c>
    </row>
    <row r="158" spans="1:33">
      <c r="A158" s="7" t="s">
        <v>957</v>
      </c>
      <c r="B158" s="7" t="s">
        <v>957</v>
      </c>
      <c r="C158" s="7" t="s">
        <v>958</v>
      </c>
      <c r="D158" s="7" t="s">
        <v>959</v>
      </c>
      <c r="E158" s="7" t="s">
        <v>33</v>
      </c>
      <c r="F158" s="7" t="s">
        <v>34</v>
      </c>
      <c r="G158" s="7" t="s">
        <v>35</v>
      </c>
      <c r="H158" s="7"/>
      <c r="I158" s="7"/>
      <c r="J158" s="7" t="s">
        <v>50</v>
      </c>
      <c r="K158" s="7" t="s">
        <v>208</v>
      </c>
      <c r="L158" s="7" t="s">
        <v>209</v>
      </c>
      <c r="M158" s="7" t="s">
        <v>210</v>
      </c>
      <c r="N158" s="7" t="s">
        <v>33</v>
      </c>
      <c r="O158" s="7">
        <v>0</v>
      </c>
      <c r="P158" s="7"/>
      <c r="Q158" s="7"/>
      <c r="R158" s="7"/>
      <c r="S158" s="7"/>
      <c r="T158" s="7"/>
      <c r="U158" s="7"/>
      <c r="V158" s="7"/>
      <c r="W158" s="7"/>
      <c r="X158" s="7"/>
      <c r="Y158" s="7" t="s">
        <v>960</v>
      </c>
      <c r="Z158" s="7" t="s">
        <v>361</v>
      </c>
      <c r="AA158" s="7" t="s">
        <v>961</v>
      </c>
      <c r="AB158" s="7" t="s">
        <v>45</v>
      </c>
      <c r="AC158" s="7"/>
      <c r="AD158" s="11"/>
      <c r="AE158" s="11"/>
      <c r="AF158" s="11"/>
      <c r="AG158" s="10">
        <f t="shared" si="2"/>
        <v>43315</v>
      </c>
    </row>
    <row r="159" spans="1:33">
      <c r="A159" s="7" t="s">
        <v>962</v>
      </c>
      <c r="B159" s="7" t="s">
        <v>962</v>
      </c>
      <c r="C159" s="7" t="s">
        <v>963</v>
      </c>
      <c r="D159" s="7" t="s">
        <v>964</v>
      </c>
      <c r="E159" s="7" t="s">
        <v>49</v>
      </c>
      <c r="F159" s="7" t="s">
        <v>34</v>
      </c>
      <c r="G159" s="7" t="s">
        <v>35</v>
      </c>
      <c r="H159" s="7"/>
      <c r="I159" s="7"/>
      <c r="J159" s="7" t="s">
        <v>50</v>
      </c>
      <c r="K159" s="7" t="s">
        <v>464</v>
      </c>
      <c r="L159" s="7" t="s">
        <v>465</v>
      </c>
      <c r="M159" s="7" t="s">
        <v>466</v>
      </c>
      <c r="N159" s="7" t="s">
        <v>49</v>
      </c>
      <c r="O159" s="7">
        <v>1</v>
      </c>
      <c r="P159" s="7" t="s">
        <v>41</v>
      </c>
      <c r="Q159" s="7">
        <v>89.99</v>
      </c>
      <c r="R159" s="7"/>
      <c r="S159" s="7"/>
      <c r="T159" s="7"/>
      <c r="U159" s="7"/>
      <c r="V159" s="7"/>
      <c r="W159" s="7"/>
      <c r="X159" s="7"/>
      <c r="Y159" s="7" t="s">
        <v>965</v>
      </c>
      <c r="Z159" s="7" t="s">
        <v>714</v>
      </c>
      <c r="AA159" s="7" t="s">
        <v>966</v>
      </c>
      <c r="AB159" s="7" t="s">
        <v>45</v>
      </c>
      <c r="AC159" s="7"/>
      <c r="AD159" s="11"/>
      <c r="AE159" s="11"/>
      <c r="AF159" s="11"/>
      <c r="AG159" s="10">
        <f t="shared" si="2"/>
        <v>43315</v>
      </c>
    </row>
    <row r="160" spans="1:33">
      <c r="A160" s="7" t="s">
        <v>967</v>
      </c>
      <c r="B160" s="7" t="s">
        <v>967</v>
      </c>
      <c r="C160" s="7" t="s">
        <v>968</v>
      </c>
      <c r="D160" s="7" t="s">
        <v>969</v>
      </c>
      <c r="E160" s="7" t="s">
        <v>49</v>
      </c>
      <c r="F160" s="7" t="s">
        <v>34</v>
      </c>
      <c r="G160" s="7" t="s">
        <v>35</v>
      </c>
      <c r="H160" s="7"/>
      <c r="I160" s="7"/>
      <c r="J160" s="7" t="s">
        <v>50</v>
      </c>
      <c r="K160" s="7" t="s">
        <v>494</v>
      </c>
      <c r="L160" s="7" t="s">
        <v>495</v>
      </c>
      <c r="M160" s="7" t="s">
        <v>496</v>
      </c>
      <c r="N160" s="7" t="s">
        <v>49</v>
      </c>
      <c r="O160" s="7">
        <v>1</v>
      </c>
      <c r="P160" s="7" t="s">
        <v>41</v>
      </c>
      <c r="Q160" s="7">
        <v>99.99</v>
      </c>
      <c r="R160" s="7"/>
      <c r="S160" s="7"/>
      <c r="T160" s="7"/>
      <c r="U160" s="7"/>
      <c r="V160" s="7"/>
      <c r="W160" s="7"/>
      <c r="X160" s="7"/>
      <c r="Y160" s="7" t="s">
        <v>970</v>
      </c>
      <c r="Z160" s="7" t="s">
        <v>971</v>
      </c>
      <c r="AA160" s="7">
        <v>8755</v>
      </c>
      <c r="AB160" s="7" t="s">
        <v>45</v>
      </c>
      <c r="AC160" s="7"/>
      <c r="AD160" s="11"/>
      <c r="AE160" s="11"/>
      <c r="AF160" s="11"/>
      <c r="AG160" s="10">
        <f t="shared" si="2"/>
        <v>43315</v>
      </c>
    </row>
    <row r="161" spans="1:33">
      <c r="A161" s="7" t="s">
        <v>972</v>
      </c>
      <c r="B161" s="7" t="s">
        <v>972</v>
      </c>
      <c r="C161" s="7" t="s">
        <v>973</v>
      </c>
      <c r="D161" s="7" t="s">
        <v>974</v>
      </c>
      <c r="E161" s="7" t="s">
        <v>33</v>
      </c>
      <c r="F161" s="7" t="s">
        <v>34</v>
      </c>
      <c r="G161" s="7" t="s">
        <v>35</v>
      </c>
      <c r="H161" s="7"/>
      <c r="I161" s="7"/>
      <c r="J161" s="7" t="s">
        <v>151</v>
      </c>
      <c r="K161" s="7" t="s">
        <v>88</v>
      </c>
      <c r="L161" s="7" t="s">
        <v>89</v>
      </c>
      <c r="M161" s="7" t="s">
        <v>90</v>
      </c>
      <c r="N161" s="7" t="s">
        <v>33</v>
      </c>
      <c r="O161" s="7">
        <v>0</v>
      </c>
      <c r="P161" s="7"/>
      <c r="Q161" s="7"/>
      <c r="R161" s="7"/>
      <c r="S161" s="7"/>
      <c r="T161" s="7"/>
      <c r="U161" s="7"/>
      <c r="V161" s="7"/>
      <c r="W161" s="7"/>
      <c r="X161" s="7"/>
      <c r="Y161" s="7" t="s">
        <v>975</v>
      </c>
      <c r="Z161" s="7" t="s">
        <v>976</v>
      </c>
      <c r="AA161" s="7">
        <v>15698</v>
      </c>
      <c r="AB161" s="7" t="s">
        <v>45</v>
      </c>
      <c r="AC161" s="7"/>
      <c r="AD161" s="11"/>
      <c r="AE161" s="11"/>
      <c r="AF161" s="11"/>
      <c r="AG161" s="10">
        <f t="shared" si="2"/>
        <v>43315</v>
      </c>
    </row>
    <row r="162" spans="1:33">
      <c r="A162" s="7" t="s">
        <v>972</v>
      </c>
      <c r="B162" s="7" t="s">
        <v>972</v>
      </c>
      <c r="C162" s="7" t="s">
        <v>973</v>
      </c>
      <c r="D162" s="7" t="s">
        <v>974</v>
      </c>
      <c r="E162" s="7" t="s">
        <v>33</v>
      </c>
      <c r="F162" s="7" t="s">
        <v>34</v>
      </c>
      <c r="G162" s="7" t="s">
        <v>35</v>
      </c>
      <c r="H162" s="7"/>
      <c r="I162" s="7"/>
      <c r="J162" s="7" t="s">
        <v>151</v>
      </c>
      <c r="K162" s="7" t="s">
        <v>197</v>
      </c>
      <c r="L162" s="7" t="s">
        <v>977</v>
      </c>
      <c r="M162" s="7" t="s">
        <v>199</v>
      </c>
      <c r="N162" s="7" t="s">
        <v>33</v>
      </c>
      <c r="O162" s="7">
        <v>0</v>
      </c>
      <c r="P162" s="7"/>
      <c r="Q162" s="7"/>
      <c r="R162" s="7"/>
      <c r="S162" s="7"/>
      <c r="T162" s="7"/>
      <c r="U162" s="7"/>
      <c r="V162" s="7"/>
      <c r="W162" s="7"/>
      <c r="X162" s="7"/>
      <c r="Y162" s="7" t="s">
        <v>975</v>
      </c>
      <c r="Z162" s="7" t="s">
        <v>976</v>
      </c>
      <c r="AA162" s="7">
        <v>15698</v>
      </c>
      <c r="AB162" s="7" t="s">
        <v>45</v>
      </c>
      <c r="AC162" s="7"/>
      <c r="AD162" s="11"/>
      <c r="AE162" s="11"/>
      <c r="AF162" s="11"/>
      <c r="AG162" s="10">
        <f t="shared" si="2"/>
        <v>43315</v>
      </c>
    </row>
    <row r="163" spans="1:33">
      <c r="A163" s="7" t="s">
        <v>978</v>
      </c>
      <c r="B163" s="7" t="s">
        <v>978</v>
      </c>
      <c r="C163" s="7" t="s">
        <v>979</v>
      </c>
      <c r="D163" s="7" t="s">
        <v>980</v>
      </c>
      <c r="E163" s="7" t="s">
        <v>33</v>
      </c>
      <c r="F163" s="7" t="s">
        <v>34</v>
      </c>
      <c r="G163" s="7" t="s">
        <v>35</v>
      </c>
      <c r="H163" s="7"/>
      <c r="I163" s="7"/>
      <c r="J163" s="7" t="s">
        <v>50</v>
      </c>
      <c r="K163" s="7" t="s">
        <v>60</v>
      </c>
      <c r="L163" s="7" t="s">
        <v>61</v>
      </c>
      <c r="M163" s="7" t="s">
        <v>62</v>
      </c>
      <c r="N163" s="7" t="s">
        <v>40</v>
      </c>
      <c r="O163" s="7">
        <v>1</v>
      </c>
      <c r="P163" s="7" t="s">
        <v>41</v>
      </c>
      <c r="Q163" s="7">
        <v>21.99</v>
      </c>
      <c r="R163" s="7"/>
      <c r="S163" s="7"/>
      <c r="T163" s="7"/>
      <c r="U163" s="7"/>
      <c r="V163" s="7"/>
      <c r="W163" s="7"/>
      <c r="X163" s="7"/>
      <c r="Y163" s="7" t="s">
        <v>981</v>
      </c>
      <c r="Z163" s="7" t="s">
        <v>83</v>
      </c>
      <c r="AA163" s="7" t="s">
        <v>982</v>
      </c>
      <c r="AB163" s="7" t="s">
        <v>45</v>
      </c>
      <c r="AC163" s="7"/>
      <c r="AD163" s="11"/>
      <c r="AE163" s="11"/>
      <c r="AF163" s="11"/>
      <c r="AG163" s="10">
        <f t="shared" si="2"/>
        <v>43315</v>
      </c>
    </row>
    <row r="164" spans="1:33">
      <c r="A164" s="7" t="s">
        <v>983</v>
      </c>
      <c r="B164" s="7" t="s">
        <v>983</v>
      </c>
      <c r="C164" s="7" t="s">
        <v>984</v>
      </c>
      <c r="D164" s="7" t="s">
        <v>985</v>
      </c>
      <c r="E164" s="7" t="s">
        <v>49</v>
      </c>
      <c r="F164" s="7" t="s">
        <v>34</v>
      </c>
      <c r="G164" s="7" t="s">
        <v>35</v>
      </c>
      <c r="H164" s="7"/>
      <c r="I164" s="7"/>
      <c r="J164" s="7" t="s">
        <v>50</v>
      </c>
      <c r="K164" s="7" t="s">
        <v>60</v>
      </c>
      <c r="L164" s="7" t="s">
        <v>61</v>
      </c>
      <c r="M164" s="7" t="s">
        <v>62</v>
      </c>
      <c r="N164" s="7" t="s">
        <v>49</v>
      </c>
      <c r="O164" s="7">
        <v>1</v>
      </c>
      <c r="P164" s="7" t="s">
        <v>41</v>
      </c>
      <c r="Q164" s="7">
        <v>21.99</v>
      </c>
      <c r="R164" s="7"/>
      <c r="S164" s="7"/>
      <c r="T164" s="7"/>
      <c r="U164" s="7"/>
      <c r="V164" s="7"/>
      <c r="W164" s="7"/>
      <c r="X164" s="7"/>
      <c r="Y164" s="7" t="s">
        <v>265</v>
      </c>
      <c r="Z164" s="7" t="s">
        <v>266</v>
      </c>
      <c r="AA164" s="7" t="s">
        <v>986</v>
      </c>
      <c r="AB164" s="7" t="s">
        <v>45</v>
      </c>
      <c r="AC164" s="7"/>
      <c r="AD164" s="11"/>
      <c r="AE164" s="11"/>
      <c r="AF164" s="11"/>
      <c r="AG164" s="10">
        <f t="shared" si="2"/>
        <v>43315</v>
      </c>
    </row>
    <row r="165" spans="1:33">
      <c r="A165" s="7" t="s">
        <v>987</v>
      </c>
      <c r="B165" s="7" t="s">
        <v>987</v>
      </c>
      <c r="C165" s="7" t="s">
        <v>988</v>
      </c>
      <c r="D165" s="7" t="s">
        <v>989</v>
      </c>
      <c r="E165" s="7" t="s">
        <v>49</v>
      </c>
      <c r="F165" s="7" t="s">
        <v>34</v>
      </c>
      <c r="G165" s="7" t="s">
        <v>35</v>
      </c>
      <c r="H165" s="7"/>
      <c r="I165" s="7"/>
      <c r="J165" s="7" t="s">
        <v>50</v>
      </c>
      <c r="K165" s="7" t="s">
        <v>990</v>
      </c>
      <c r="L165" s="7" t="s">
        <v>991</v>
      </c>
      <c r="M165" s="7" t="s">
        <v>992</v>
      </c>
      <c r="N165" s="7" t="s">
        <v>49</v>
      </c>
      <c r="O165" s="7">
        <v>1</v>
      </c>
      <c r="P165" s="7" t="s">
        <v>41</v>
      </c>
      <c r="Q165" s="7">
        <v>69.99</v>
      </c>
      <c r="R165" s="7"/>
      <c r="S165" s="7"/>
      <c r="T165" s="7"/>
      <c r="U165" s="7"/>
      <c r="V165" s="7"/>
      <c r="W165" s="7"/>
      <c r="X165" s="7"/>
      <c r="Y165" s="7" t="s">
        <v>993</v>
      </c>
      <c r="Z165" s="7" t="s">
        <v>43</v>
      </c>
      <c r="AA165" s="7" t="s">
        <v>994</v>
      </c>
      <c r="AB165" s="7" t="s">
        <v>45</v>
      </c>
      <c r="AC165" s="7"/>
      <c r="AD165" s="11"/>
      <c r="AE165" s="11"/>
      <c r="AF165" s="11"/>
      <c r="AG165" s="10">
        <f t="shared" si="2"/>
        <v>43315</v>
      </c>
    </row>
    <row r="166" spans="1:33">
      <c r="A166" s="7" t="s">
        <v>995</v>
      </c>
      <c r="B166" s="7" t="s">
        <v>995</v>
      </c>
      <c r="C166" s="7" t="s">
        <v>996</v>
      </c>
      <c r="D166" s="7" t="s">
        <v>997</v>
      </c>
      <c r="E166" s="7" t="s">
        <v>49</v>
      </c>
      <c r="F166" s="7" t="s">
        <v>34</v>
      </c>
      <c r="G166" s="7" t="s">
        <v>35</v>
      </c>
      <c r="H166" s="7"/>
      <c r="I166" s="7"/>
      <c r="J166" s="7" t="s">
        <v>50</v>
      </c>
      <c r="K166" s="7" t="s">
        <v>863</v>
      </c>
      <c r="L166" s="7" t="s">
        <v>864</v>
      </c>
      <c r="M166" s="7" t="s">
        <v>865</v>
      </c>
      <c r="N166" s="7" t="s">
        <v>49</v>
      </c>
      <c r="O166" s="7">
        <v>1</v>
      </c>
      <c r="P166" s="7" t="s">
        <v>41</v>
      </c>
      <c r="Q166" s="7">
        <v>34.99</v>
      </c>
      <c r="R166" s="7"/>
      <c r="S166" s="7"/>
      <c r="T166" s="7"/>
      <c r="U166" s="7"/>
      <c r="V166" s="7"/>
      <c r="W166" s="7"/>
      <c r="X166" s="7"/>
      <c r="Y166" s="7" t="s">
        <v>998</v>
      </c>
      <c r="Z166" s="7" t="s">
        <v>178</v>
      </c>
      <c r="AA166" s="7" t="s">
        <v>999</v>
      </c>
      <c r="AB166" s="7" t="s">
        <v>45</v>
      </c>
      <c r="AC166" s="7"/>
      <c r="AD166" s="11"/>
      <c r="AE166" s="11"/>
      <c r="AF166" s="11"/>
      <c r="AG166" s="10">
        <f t="shared" si="2"/>
        <v>43315</v>
      </c>
    </row>
    <row r="167" spans="1:33">
      <c r="A167" s="7" t="s">
        <v>1000</v>
      </c>
      <c r="B167" s="7" t="s">
        <v>1000</v>
      </c>
      <c r="C167" s="7" t="s">
        <v>1001</v>
      </c>
      <c r="D167" s="7" t="s">
        <v>1002</v>
      </c>
      <c r="E167" s="7" t="s">
        <v>49</v>
      </c>
      <c r="F167" s="7" t="s">
        <v>34</v>
      </c>
      <c r="G167" s="7" t="s">
        <v>35</v>
      </c>
      <c r="H167" s="7"/>
      <c r="I167" s="7"/>
      <c r="J167" s="7" t="s">
        <v>50</v>
      </c>
      <c r="K167" s="7" t="s">
        <v>1003</v>
      </c>
      <c r="L167" s="7" t="s">
        <v>1004</v>
      </c>
      <c r="M167" s="7" t="s">
        <v>1005</v>
      </c>
      <c r="N167" s="7" t="s">
        <v>49</v>
      </c>
      <c r="O167" s="7">
        <v>1</v>
      </c>
      <c r="P167" s="7" t="s">
        <v>41</v>
      </c>
      <c r="Q167" s="7">
        <v>89.99</v>
      </c>
      <c r="R167" s="7"/>
      <c r="S167" s="7">
        <v>6</v>
      </c>
      <c r="T167" s="7"/>
      <c r="U167" s="7"/>
      <c r="V167" s="7"/>
      <c r="W167" s="7"/>
      <c r="X167" s="7"/>
      <c r="Y167" s="7" t="s">
        <v>1006</v>
      </c>
      <c r="Z167" s="7" t="s">
        <v>1007</v>
      </c>
      <c r="AA167" s="7" t="s">
        <v>1008</v>
      </c>
      <c r="AB167" s="7" t="s">
        <v>45</v>
      </c>
      <c r="AC167" s="7"/>
      <c r="AD167" s="11"/>
      <c r="AE167" s="11"/>
      <c r="AF167" s="11"/>
      <c r="AG167" s="10">
        <f t="shared" si="2"/>
        <v>43315</v>
      </c>
    </row>
    <row r="168" spans="1:33">
      <c r="A168" s="7" t="s">
        <v>1009</v>
      </c>
      <c r="B168" s="7" t="s">
        <v>1009</v>
      </c>
      <c r="C168" s="7" t="s">
        <v>1010</v>
      </c>
      <c r="D168" s="7" t="s">
        <v>1011</v>
      </c>
      <c r="E168" s="7" t="s">
        <v>49</v>
      </c>
      <c r="F168" s="7" t="s">
        <v>34</v>
      </c>
      <c r="G168" s="7" t="s">
        <v>35</v>
      </c>
      <c r="H168" s="7"/>
      <c r="I168" s="7"/>
      <c r="J168" s="7" t="s">
        <v>50</v>
      </c>
      <c r="K168" s="7" t="s">
        <v>208</v>
      </c>
      <c r="L168" s="7" t="s">
        <v>209</v>
      </c>
      <c r="M168" s="7" t="s">
        <v>210</v>
      </c>
      <c r="N168" s="7" t="s">
        <v>49</v>
      </c>
      <c r="O168" s="7">
        <v>1</v>
      </c>
      <c r="P168" s="7" t="s">
        <v>41</v>
      </c>
      <c r="Q168" s="7">
        <v>89.99</v>
      </c>
      <c r="R168" s="7"/>
      <c r="S168" s="7"/>
      <c r="T168" s="7"/>
      <c r="U168" s="7"/>
      <c r="V168" s="7"/>
      <c r="W168" s="7"/>
      <c r="X168" s="7"/>
      <c r="Y168" s="7" t="s">
        <v>1012</v>
      </c>
      <c r="Z168" s="7" t="s">
        <v>266</v>
      </c>
      <c r="AA168" s="7" t="s">
        <v>1013</v>
      </c>
      <c r="AB168" s="7" t="s">
        <v>45</v>
      </c>
      <c r="AC168" s="7"/>
      <c r="AD168" s="11"/>
      <c r="AE168" s="11"/>
      <c r="AF168" s="11"/>
      <c r="AG168" s="10">
        <f t="shared" si="2"/>
        <v>43315</v>
      </c>
    </row>
    <row r="169" spans="1:33">
      <c r="A169" s="7" t="s">
        <v>1014</v>
      </c>
      <c r="B169" s="7" t="s">
        <v>1014</v>
      </c>
      <c r="C169" s="7" t="s">
        <v>1015</v>
      </c>
      <c r="D169" s="7" t="s">
        <v>1016</v>
      </c>
      <c r="E169" s="7" t="s">
        <v>49</v>
      </c>
      <c r="F169" s="7" t="s">
        <v>34</v>
      </c>
      <c r="G169" s="7" t="s">
        <v>35</v>
      </c>
      <c r="H169" s="7"/>
      <c r="I169" s="7"/>
      <c r="J169" s="7" t="s">
        <v>151</v>
      </c>
      <c r="K169" s="7" t="s">
        <v>611</v>
      </c>
      <c r="L169" s="7" t="s">
        <v>612</v>
      </c>
      <c r="M169" s="7" t="s">
        <v>613</v>
      </c>
      <c r="N169" s="7" t="s">
        <v>49</v>
      </c>
      <c r="O169" s="7">
        <v>1</v>
      </c>
      <c r="P169" s="7" t="s">
        <v>41</v>
      </c>
      <c r="Q169" s="7">
        <v>89.99</v>
      </c>
      <c r="R169" s="7"/>
      <c r="S169" s="7">
        <v>5.99</v>
      </c>
      <c r="T169" s="7"/>
      <c r="U169" s="7"/>
      <c r="V169" s="7"/>
      <c r="W169" s="7"/>
      <c r="X169" s="7">
        <v>5.99</v>
      </c>
      <c r="Y169" s="7" t="s">
        <v>1017</v>
      </c>
      <c r="Z169" s="7" t="s">
        <v>770</v>
      </c>
      <c r="AA169" s="7">
        <v>92503</v>
      </c>
      <c r="AB169" s="7" t="s">
        <v>45</v>
      </c>
      <c r="AC169" s="7"/>
      <c r="AD169" s="11"/>
      <c r="AE169" s="11"/>
      <c r="AF169" s="11"/>
      <c r="AG169" s="10">
        <f t="shared" si="2"/>
        <v>43315</v>
      </c>
    </row>
    <row r="170" spans="1:33">
      <c r="A170" s="7" t="s">
        <v>1018</v>
      </c>
      <c r="B170" s="7" t="s">
        <v>1018</v>
      </c>
      <c r="C170" s="7" t="s">
        <v>1019</v>
      </c>
      <c r="D170" s="7" t="s">
        <v>1020</v>
      </c>
      <c r="E170" s="7" t="s">
        <v>49</v>
      </c>
      <c r="F170" s="7" t="s">
        <v>34</v>
      </c>
      <c r="G170" s="7" t="s">
        <v>35</v>
      </c>
      <c r="H170" s="7"/>
      <c r="I170" s="7"/>
      <c r="J170" s="7" t="s">
        <v>50</v>
      </c>
      <c r="K170" s="7" t="s">
        <v>828</v>
      </c>
      <c r="L170" s="7" t="s">
        <v>829</v>
      </c>
      <c r="M170" s="7" t="s">
        <v>830</v>
      </c>
      <c r="N170" s="7" t="s">
        <v>49</v>
      </c>
      <c r="O170" s="7">
        <v>1</v>
      </c>
      <c r="P170" s="7" t="s">
        <v>41</v>
      </c>
      <c r="Q170" s="7">
        <v>59.99</v>
      </c>
      <c r="R170" s="7"/>
      <c r="S170" s="7"/>
      <c r="T170" s="7"/>
      <c r="U170" s="7"/>
      <c r="V170" s="7"/>
      <c r="W170" s="7"/>
      <c r="X170" s="7"/>
      <c r="Y170" s="7" t="s">
        <v>748</v>
      </c>
      <c r="Z170" s="7" t="s">
        <v>64</v>
      </c>
      <c r="AA170" s="7" t="s">
        <v>1021</v>
      </c>
      <c r="AB170" s="7" t="s">
        <v>45</v>
      </c>
      <c r="AC170" s="7"/>
      <c r="AD170" s="11"/>
      <c r="AE170" s="11"/>
      <c r="AF170" s="11"/>
      <c r="AG170" s="10">
        <f t="shared" si="2"/>
        <v>43315</v>
      </c>
    </row>
    <row r="171" spans="1:33">
      <c r="A171" s="7" t="s">
        <v>1022</v>
      </c>
      <c r="B171" s="7" t="s">
        <v>1022</v>
      </c>
      <c r="C171" s="7" t="s">
        <v>1023</v>
      </c>
      <c r="D171" s="7" t="s">
        <v>1024</v>
      </c>
      <c r="E171" s="7" t="s">
        <v>33</v>
      </c>
      <c r="F171" s="7" t="s">
        <v>34</v>
      </c>
      <c r="G171" s="7" t="s">
        <v>35</v>
      </c>
      <c r="H171" s="7"/>
      <c r="I171" s="7"/>
      <c r="J171" s="7" t="s">
        <v>36</v>
      </c>
      <c r="K171" s="7" t="s">
        <v>477</v>
      </c>
      <c r="L171" s="7" t="s">
        <v>478</v>
      </c>
      <c r="M171" s="7" t="s">
        <v>479</v>
      </c>
      <c r="N171" s="7" t="s">
        <v>33</v>
      </c>
      <c r="O171" s="7">
        <v>0</v>
      </c>
      <c r="P171" s="7"/>
      <c r="Q171" s="7"/>
      <c r="R171" s="7"/>
      <c r="S171" s="7"/>
      <c r="T171" s="7"/>
      <c r="U171" s="7"/>
      <c r="V171" s="7"/>
      <c r="W171" s="7"/>
      <c r="X171" s="7"/>
      <c r="Y171" s="7" t="s">
        <v>1025</v>
      </c>
      <c r="Z171" s="7" t="s">
        <v>266</v>
      </c>
      <c r="AA171" s="7" t="s">
        <v>1026</v>
      </c>
      <c r="AB171" s="7" t="s">
        <v>45</v>
      </c>
      <c r="AC171" s="7"/>
      <c r="AD171" s="11"/>
      <c r="AE171" s="11"/>
      <c r="AF171" s="11"/>
      <c r="AG171" s="10">
        <f t="shared" si="2"/>
        <v>43315</v>
      </c>
    </row>
    <row r="172" spans="1:33">
      <c r="A172" s="7" t="s">
        <v>1027</v>
      </c>
      <c r="B172" s="7" t="s">
        <v>1027</v>
      </c>
      <c r="C172" s="7" t="s">
        <v>1028</v>
      </c>
      <c r="D172" s="7" t="s">
        <v>1029</v>
      </c>
      <c r="E172" s="7" t="s">
        <v>33</v>
      </c>
      <c r="F172" s="7" t="s">
        <v>34</v>
      </c>
      <c r="G172" s="7" t="s">
        <v>35</v>
      </c>
      <c r="H172" s="7"/>
      <c r="I172" s="7"/>
      <c r="J172" s="7" t="s">
        <v>50</v>
      </c>
      <c r="K172" s="7" t="s">
        <v>208</v>
      </c>
      <c r="L172" s="7" t="s">
        <v>209</v>
      </c>
      <c r="M172" s="7" t="s">
        <v>210</v>
      </c>
      <c r="N172" s="7" t="s">
        <v>33</v>
      </c>
      <c r="O172" s="7">
        <v>0</v>
      </c>
      <c r="P172" s="7"/>
      <c r="Q172" s="7"/>
      <c r="R172" s="7"/>
      <c r="S172" s="7"/>
      <c r="T172" s="7"/>
      <c r="U172" s="7"/>
      <c r="V172" s="7"/>
      <c r="W172" s="7"/>
      <c r="X172" s="7"/>
      <c r="Y172" s="7" t="s">
        <v>265</v>
      </c>
      <c r="Z172" s="7" t="s">
        <v>266</v>
      </c>
      <c r="AA172" s="7" t="s">
        <v>952</v>
      </c>
      <c r="AB172" s="7" t="s">
        <v>45</v>
      </c>
      <c r="AC172" s="7"/>
      <c r="AD172" s="11"/>
      <c r="AE172" s="11"/>
      <c r="AF172" s="11"/>
      <c r="AG172" s="10">
        <f t="shared" si="2"/>
        <v>43315</v>
      </c>
    </row>
    <row r="173" spans="1:33">
      <c r="A173" s="7" t="s">
        <v>1030</v>
      </c>
      <c r="B173" s="7" t="s">
        <v>1030</v>
      </c>
      <c r="C173" s="7" t="s">
        <v>1031</v>
      </c>
      <c r="D173" s="7" t="s">
        <v>1032</v>
      </c>
      <c r="E173" s="7" t="s">
        <v>49</v>
      </c>
      <c r="F173" s="7" t="s">
        <v>34</v>
      </c>
      <c r="G173" s="7" t="s">
        <v>35</v>
      </c>
      <c r="H173" s="7"/>
      <c r="I173" s="7"/>
      <c r="J173" s="7" t="s">
        <v>50</v>
      </c>
      <c r="K173" s="7" t="s">
        <v>226</v>
      </c>
      <c r="L173" s="7" t="s">
        <v>442</v>
      </c>
      <c r="M173" s="7" t="s">
        <v>443</v>
      </c>
      <c r="N173" s="7" t="s">
        <v>49</v>
      </c>
      <c r="O173" s="7">
        <v>1</v>
      </c>
      <c r="P173" s="7" t="s">
        <v>41</v>
      </c>
      <c r="Q173" s="7">
        <v>88.99</v>
      </c>
      <c r="R173" s="7"/>
      <c r="S173" s="7"/>
      <c r="T173" s="7"/>
      <c r="U173" s="7"/>
      <c r="V173" s="7"/>
      <c r="W173" s="7"/>
      <c r="X173" s="7"/>
      <c r="Y173" s="7" t="s">
        <v>1033</v>
      </c>
      <c r="Z173" s="7" t="s">
        <v>646</v>
      </c>
      <c r="AA173" s="7">
        <v>70118</v>
      </c>
      <c r="AB173" s="7" t="s">
        <v>45</v>
      </c>
      <c r="AC173" s="7"/>
      <c r="AD173" s="11"/>
      <c r="AE173" s="11"/>
      <c r="AF173" s="11"/>
      <c r="AG173" s="10">
        <f t="shared" si="2"/>
        <v>43315</v>
      </c>
    </row>
    <row r="174" spans="1:33">
      <c r="A174" s="7" t="s">
        <v>1034</v>
      </c>
      <c r="B174" s="7" t="s">
        <v>1034</v>
      </c>
      <c r="C174" s="7" t="s">
        <v>1035</v>
      </c>
      <c r="D174" s="7" t="s">
        <v>1036</v>
      </c>
      <c r="E174" s="7" t="s">
        <v>33</v>
      </c>
      <c r="F174" s="7" t="s">
        <v>34</v>
      </c>
      <c r="G174" s="7" t="s">
        <v>35</v>
      </c>
      <c r="H174" s="7"/>
      <c r="I174" s="7"/>
      <c r="J174" s="7" t="s">
        <v>50</v>
      </c>
      <c r="K174" s="7" t="s">
        <v>327</v>
      </c>
      <c r="L174" s="7" t="s">
        <v>328</v>
      </c>
      <c r="M174" s="7" t="s">
        <v>329</v>
      </c>
      <c r="N174" s="7" t="s">
        <v>33</v>
      </c>
      <c r="O174" s="7">
        <v>0</v>
      </c>
      <c r="P174" s="7"/>
      <c r="Q174" s="7"/>
      <c r="R174" s="7"/>
      <c r="S174" s="7"/>
      <c r="T174" s="7"/>
      <c r="U174" s="7"/>
      <c r="V174" s="7"/>
      <c r="W174" s="7"/>
      <c r="X174" s="7"/>
      <c r="Y174" s="7" t="s">
        <v>404</v>
      </c>
      <c r="Z174" s="7" t="s">
        <v>230</v>
      </c>
      <c r="AA174" s="7" t="s">
        <v>1037</v>
      </c>
      <c r="AB174" s="7" t="s">
        <v>45</v>
      </c>
      <c r="AC174" s="7"/>
      <c r="AD174" s="11"/>
      <c r="AE174" s="11"/>
      <c r="AF174" s="11"/>
      <c r="AG174" s="10">
        <f t="shared" si="2"/>
        <v>43315</v>
      </c>
    </row>
    <row r="175" spans="1:33">
      <c r="A175" s="7" t="s">
        <v>1038</v>
      </c>
      <c r="B175" s="7" t="s">
        <v>1038</v>
      </c>
      <c r="C175" s="7" t="s">
        <v>1039</v>
      </c>
      <c r="D175" s="7" t="s">
        <v>1040</v>
      </c>
      <c r="E175" s="7" t="s">
        <v>49</v>
      </c>
      <c r="F175" s="7" t="s">
        <v>34</v>
      </c>
      <c r="G175" s="7" t="s">
        <v>35</v>
      </c>
      <c r="H175" s="7"/>
      <c r="I175" s="7"/>
      <c r="J175" s="7" t="s">
        <v>36</v>
      </c>
      <c r="K175" s="7" t="s">
        <v>502</v>
      </c>
      <c r="L175" s="7" t="s">
        <v>503</v>
      </c>
      <c r="M175" s="7" t="s">
        <v>504</v>
      </c>
      <c r="N175" s="7" t="s">
        <v>49</v>
      </c>
      <c r="O175" s="7">
        <v>1</v>
      </c>
      <c r="P175" s="7" t="s">
        <v>41</v>
      </c>
      <c r="Q175" s="7">
        <v>85.99</v>
      </c>
      <c r="R175" s="7"/>
      <c r="S175" s="7">
        <v>8.26</v>
      </c>
      <c r="T175" s="7"/>
      <c r="U175" s="7"/>
      <c r="V175" s="7"/>
      <c r="W175" s="7"/>
      <c r="X175" s="7"/>
      <c r="Y175" s="7" t="s">
        <v>536</v>
      </c>
      <c r="Z175" s="7" t="s">
        <v>1041</v>
      </c>
      <c r="AA175" s="7">
        <v>62044</v>
      </c>
      <c r="AB175" s="7" t="s">
        <v>45</v>
      </c>
      <c r="AC175" s="7"/>
      <c r="AD175" s="11"/>
      <c r="AE175" s="11"/>
      <c r="AF175" s="11"/>
      <c r="AG175" s="10">
        <f t="shared" si="2"/>
        <v>43315</v>
      </c>
    </row>
    <row r="176" spans="1:33">
      <c r="A176" s="7" t="s">
        <v>1042</v>
      </c>
      <c r="B176" s="7" t="s">
        <v>1042</v>
      </c>
      <c r="C176" s="7" t="s">
        <v>1043</v>
      </c>
      <c r="D176" s="7" t="s">
        <v>1044</v>
      </c>
      <c r="E176" s="7" t="s">
        <v>49</v>
      </c>
      <c r="F176" s="7" t="s">
        <v>34</v>
      </c>
      <c r="G176" s="7" t="s">
        <v>35</v>
      </c>
      <c r="H176" s="7"/>
      <c r="I176" s="7"/>
      <c r="J176" s="7" t="s">
        <v>50</v>
      </c>
      <c r="K176" s="7" t="s">
        <v>745</v>
      </c>
      <c r="L176" s="7" t="s">
        <v>746</v>
      </c>
      <c r="M176" s="7" t="s">
        <v>747</v>
      </c>
      <c r="N176" s="7" t="s">
        <v>49</v>
      </c>
      <c r="O176" s="7">
        <v>1</v>
      </c>
      <c r="P176" s="7" t="s">
        <v>41</v>
      </c>
      <c r="Q176" s="7">
        <v>89.99</v>
      </c>
      <c r="R176" s="7"/>
      <c r="S176" s="7"/>
      <c r="T176" s="7"/>
      <c r="U176" s="7"/>
      <c r="V176" s="7"/>
      <c r="W176" s="7"/>
      <c r="X176" s="7"/>
      <c r="Y176" s="7" t="s">
        <v>1045</v>
      </c>
      <c r="Z176" s="7" t="s">
        <v>164</v>
      </c>
      <c r="AA176" s="7" t="s">
        <v>1046</v>
      </c>
      <c r="AB176" s="7" t="s">
        <v>45</v>
      </c>
      <c r="AC176" s="7"/>
      <c r="AD176" s="8"/>
      <c r="AE176" s="8"/>
      <c r="AF176" s="8"/>
      <c r="AG176" s="10">
        <f t="shared" si="2"/>
        <v>43315</v>
      </c>
    </row>
    <row r="177" spans="1:33">
      <c r="A177" s="7" t="s">
        <v>1047</v>
      </c>
      <c r="B177" s="7" t="s">
        <v>1047</v>
      </c>
      <c r="C177" s="7" t="s">
        <v>1048</v>
      </c>
      <c r="D177" s="7" t="s">
        <v>1049</v>
      </c>
      <c r="E177" s="7" t="s">
        <v>49</v>
      </c>
      <c r="F177" s="7" t="s">
        <v>34</v>
      </c>
      <c r="G177" s="7" t="s">
        <v>35</v>
      </c>
      <c r="H177" s="7"/>
      <c r="I177" s="7"/>
      <c r="J177" s="7" t="s">
        <v>50</v>
      </c>
      <c r="K177" s="7" t="s">
        <v>276</v>
      </c>
      <c r="L177" s="7" t="s">
        <v>277</v>
      </c>
      <c r="M177" s="7" t="s">
        <v>278</v>
      </c>
      <c r="N177" s="7" t="s">
        <v>49</v>
      </c>
      <c r="O177" s="7">
        <v>1</v>
      </c>
      <c r="P177" s="7" t="s">
        <v>41</v>
      </c>
      <c r="Q177" s="7">
        <v>91.99</v>
      </c>
      <c r="R177" s="7"/>
      <c r="S177" s="7"/>
      <c r="T177" s="7"/>
      <c r="U177" s="7"/>
      <c r="V177" s="7"/>
      <c r="W177" s="7"/>
      <c r="X177" s="7"/>
      <c r="Y177" s="7" t="s">
        <v>1050</v>
      </c>
      <c r="Z177" s="7" t="s">
        <v>459</v>
      </c>
      <c r="AA177" s="7" t="s">
        <v>1051</v>
      </c>
      <c r="AB177" s="7" t="s">
        <v>45</v>
      </c>
      <c r="AC177" s="7"/>
      <c r="AD177" s="8"/>
      <c r="AE177" s="8"/>
      <c r="AF177" s="8"/>
      <c r="AG177" s="10">
        <f t="shared" si="2"/>
        <v>43316</v>
      </c>
    </row>
    <row r="178" spans="1:33">
      <c r="A178" s="7" t="s">
        <v>1052</v>
      </c>
      <c r="B178" s="7" t="s">
        <v>1052</v>
      </c>
      <c r="C178" s="7" t="s">
        <v>1053</v>
      </c>
      <c r="D178" s="7" t="s">
        <v>1054</v>
      </c>
      <c r="E178" s="7" t="s">
        <v>49</v>
      </c>
      <c r="F178" s="7" t="s">
        <v>34</v>
      </c>
      <c r="G178" s="7" t="s">
        <v>35</v>
      </c>
      <c r="H178" s="7"/>
      <c r="I178" s="7"/>
      <c r="J178" s="7" t="s">
        <v>50</v>
      </c>
      <c r="K178" s="7" t="s">
        <v>603</v>
      </c>
      <c r="L178" s="7" t="s">
        <v>604</v>
      </c>
      <c r="M178" s="7" t="s">
        <v>605</v>
      </c>
      <c r="N178" s="7" t="s">
        <v>49</v>
      </c>
      <c r="O178" s="7">
        <v>1</v>
      </c>
      <c r="P178" s="7" t="s">
        <v>41</v>
      </c>
      <c r="Q178" s="7">
        <v>99.99</v>
      </c>
      <c r="R178" s="7"/>
      <c r="S178" s="7"/>
      <c r="T178" s="7"/>
      <c r="U178" s="7"/>
      <c r="V178" s="7"/>
      <c r="W178" s="7"/>
      <c r="X178" s="7"/>
      <c r="Y178" s="7" t="s">
        <v>1055</v>
      </c>
      <c r="Z178" s="7" t="s">
        <v>92</v>
      </c>
      <c r="AA178" s="7" t="s">
        <v>1056</v>
      </c>
      <c r="AB178" s="7" t="s">
        <v>45</v>
      </c>
      <c r="AC178" s="7"/>
      <c r="AD178" s="8"/>
      <c r="AE178" s="8"/>
      <c r="AF178" s="8"/>
      <c r="AG178" s="10">
        <f t="shared" si="2"/>
        <v>43316</v>
      </c>
    </row>
    <row r="179" spans="1:33">
      <c r="A179" s="7" t="s">
        <v>1057</v>
      </c>
      <c r="B179" s="7" t="s">
        <v>1057</v>
      </c>
      <c r="C179" s="7" t="s">
        <v>1058</v>
      </c>
      <c r="D179" s="7" t="s">
        <v>1059</v>
      </c>
      <c r="E179" s="7" t="s">
        <v>49</v>
      </c>
      <c r="F179" s="7" t="s">
        <v>34</v>
      </c>
      <c r="G179" s="7" t="s">
        <v>35</v>
      </c>
      <c r="H179" s="7"/>
      <c r="I179" s="7"/>
      <c r="J179" s="7" t="s">
        <v>50</v>
      </c>
      <c r="K179" s="7" t="s">
        <v>1060</v>
      </c>
      <c r="L179" s="7" t="s">
        <v>1061</v>
      </c>
      <c r="M179" s="7" t="s">
        <v>1062</v>
      </c>
      <c r="N179" s="7" t="s">
        <v>49</v>
      </c>
      <c r="O179" s="7">
        <v>1</v>
      </c>
      <c r="P179" s="7" t="s">
        <v>41</v>
      </c>
      <c r="Q179" s="7">
        <v>89.99</v>
      </c>
      <c r="R179" s="7"/>
      <c r="S179" s="7"/>
      <c r="T179" s="7"/>
      <c r="U179" s="7"/>
      <c r="V179" s="7"/>
      <c r="W179" s="7"/>
      <c r="X179" s="7"/>
      <c r="Y179" s="7" t="s">
        <v>1063</v>
      </c>
      <c r="Z179" s="7" t="s">
        <v>64</v>
      </c>
      <c r="AA179" s="7" t="s">
        <v>1064</v>
      </c>
      <c r="AB179" s="7" t="s">
        <v>45</v>
      </c>
      <c r="AC179" s="7"/>
      <c r="AD179" s="8"/>
      <c r="AE179" s="8"/>
      <c r="AF179" s="8"/>
      <c r="AG179" s="10">
        <f t="shared" si="2"/>
        <v>43316</v>
      </c>
    </row>
    <row r="180" spans="1:33">
      <c r="A180" s="7" t="s">
        <v>1065</v>
      </c>
      <c r="B180" s="7" t="s">
        <v>1065</v>
      </c>
      <c r="C180" s="7" t="s">
        <v>1066</v>
      </c>
      <c r="D180" s="7" t="s">
        <v>1067</v>
      </c>
      <c r="E180" s="7" t="s">
        <v>49</v>
      </c>
      <c r="F180" s="7" t="s">
        <v>34</v>
      </c>
      <c r="G180" s="7" t="s">
        <v>35</v>
      </c>
      <c r="H180" s="7"/>
      <c r="I180" s="7"/>
      <c r="J180" s="7" t="s">
        <v>50</v>
      </c>
      <c r="K180" s="7" t="s">
        <v>1068</v>
      </c>
      <c r="L180" s="7" t="s">
        <v>1069</v>
      </c>
      <c r="M180" s="7" t="s">
        <v>1070</v>
      </c>
      <c r="N180" s="7" t="s">
        <v>49</v>
      </c>
      <c r="O180" s="7">
        <v>1</v>
      </c>
      <c r="P180" s="7" t="s">
        <v>41</v>
      </c>
      <c r="Q180" s="7">
        <v>23.99</v>
      </c>
      <c r="R180" s="7"/>
      <c r="S180" s="7"/>
      <c r="T180" s="7"/>
      <c r="U180" s="7"/>
      <c r="V180" s="7"/>
      <c r="W180" s="7"/>
      <c r="X180" s="7"/>
      <c r="Y180" s="7" t="s">
        <v>1071</v>
      </c>
      <c r="Z180" s="7" t="s">
        <v>1072</v>
      </c>
      <c r="AA180" s="7" t="s">
        <v>1073</v>
      </c>
      <c r="AB180" s="7" t="s">
        <v>45</v>
      </c>
      <c r="AC180" s="7"/>
      <c r="AD180" s="8"/>
      <c r="AE180" s="8"/>
      <c r="AF180" s="8"/>
      <c r="AG180" s="10">
        <f t="shared" si="2"/>
        <v>43316</v>
      </c>
    </row>
    <row r="181" spans="1:33">
      <c r="A181" s="7" t="s">
        <v>1074</v>
      </c>
      <c r="B181" s="7" t="s">
        <v>1074</v>
      </c>
      <c r="C181" s="7" t="s">
        <v>1075</v>
      </c>
      <c r="D181" s="7" t="s">
        <v>1076</v>
      </c>
      <c r="E181" s="7" t="s">
        <v>49</v>
      </c>
      <c r="F181" s="7" t="s">
        <v>34</v>
      </c>
      <c r="G181" s="7" t="s">
        <v>35</v>
      </c>
      <c r="H181" s="7"/>
      <c r="I181" s="7"/>
      <c r="J181" s="7" t="s">
        <v>50</v>
      </c>
      <c r="K181" s="7" t="s">
        <v>779</v>
      </c>
      <c r="L181" s="7" t="s">
        <v>780</v>
      </c>
      <c r="M181" s="7" t="s">
        <v>781</v>
      </c>
      <c r="N181" s="7" t="s">
        <v>49</v>
      </c>
      <c r="O181" s="7">
        <v>1</v>
      </c>
      <c r="P181" s="7" t="s">
        <v>41</v>
      </c>
      <c r="Q181" s="7">
        <v>21.99</v>
      </c>
      <c r="R181" s="7"/>
      <c r="S181" s="7"/>
      <c r="T181" s="7"/>
      <c r="U181" s="7"/>
      <c r="V181" s="7"/>
      <c r="W181" s="7">
        <v>21.77</v>
      </c>
      <c r="X181" s="7"/>
      <c r="Y181" s="7" t="s">
        <v>1045</v>
      </c>
      <c r="Z181" s="7" t="s">
        <v>164</v>
      </c>
      <c r="AA181" s="7" t="s">
        <v>1046</v>
      </c>
      <c r="AB181" s="7" t="s">
        <v>45</v>
      </c>
      <c r="AC181" s="7" t="s">
        <v>66</v>
      </c>
      <c r="AD181" s="8"/>
      <c r="AE181" s="8"/>
      <c r="AF181" s="8"/>
      <c r="AG181" s="10">
        <f t="shared" si="2"/>
        <v>43316</v>
      </c>
    </row>
    <row r="182" spans="1:33">
      <c r="A182" s="7" t="s">
        <v>1077</v>
      </c>
      <c r="B182" s="7" t="s">
        <v>1077</v>
      </c>
      <c r="C182" s="7" t="s">
        <v>1078</v>
      </c>
      <c r="D182" s="7" t="s">
        <v>1079</v>
      </c>
      <c r="E182" s="7" t="s">
        <v>49</v>
      </c>
      <c r="F182" s="7" t="s">
        <v>34</v>
      </c>
      <c r="G182" s="7" t="s">
        <v>35</v>
      </c>
      <c r="H182" s="7"/>
      <c r="I182" s="7"/>
      <c r="J182" s="7" t="s">
        <v>50</v>
      </c>
      <c r="K182" s="7" t="s">
        <v>142</v>
      </c>
      <c r="L182" s="7" t="s">
        <v>143</v>
      </c>
      <c r="M182" s="7" t="s">
        <v>144</v>
      </c>
      <c r="N182" s="7" t="s">
        <v>49</v>
      </c>
      <c r="O182" s="7">
        <v>1</v>
      </c>
      <c r="P182" s="7" t="s">
        <v>41</v>
      </c>
      <c r="Q182" s="7">
        <v>79.99</v>
      </c>
      <c r="R182" s="7"/>
      <c r="S182" s="7"/>
      <c r="T182" s="7"/>
      <c r="U182" s="7"/>
      <c r="V182" s="7"/>
      <c r="W182" s="7"/>
      <c r="X182" s="7"/>
      <c r="Y182" s="7" t="s">
        <v>1080</v>
      </c>
      <c r="Z182" s="7" t="s">
        <v>437</v>
      </c>
      <c r="AA182" s="7" t="s">
        <v>1081</v>
      </c>
      <c r="AB182" s="7" t="s">
        <v>45</v>
      </c>
      <c r="AC182" s="7"/>
      <c r="AD182" s="8"/>
      <c r="AE182" s="8"/>
      <c r="AF182" s="8"/>
      <c r="AG182" s="10">
        <f t="shared" si="2"/>
        <v>43316</v>
      </c>
    </row>
    <row r="183" spans="1:33">
      <c r="A183" s="7" t="s">
        <v>1082</v>
      </c>
      <c r="B183" s="7" t="s">
        <v>1082</v>
      </c>
      <c r="C183" s="7" t="s">
        <v>1083</v>
      </c>
      <c r="D183" s="7" t="s">
        <v>1084</v>
      </c>
      <c r="E183" s="7" t="s">
        <v>49</v>
      </c>
      <c r="F183" s="7" t="s">
        <v>34</v>
      </c>
      <c r="G183" s="7" t="s">
        <v>35</v>
      </c>
      <c r="H183" s="7"/>
      <c r="I183" s="7"/>
      <c r="J183" s="7" t="s">
        <v>50</v>
      </c>
      <c r="K183" s="7" t="s">
        <v>37</v>
      </c>
      <c r="L183" s="7" t="s">
        <v>38</v>
      </c>
      <c r="M183" s="7" t="s">
        <v>39</v>
      </c>
      <c r="N183" s="7" t="s">
        <v>49</v>
      </c>
      <c r="O183" s="7">
        <v>1</v>
      </c>
      <c r="P183" s="7" t="s">
        <v>41</v>
      </c>
      <c r="Q183" s="7">
        <v>89.99</v>
      </c>
      <c r="R183" s="7"/>
      <c r="S183" s="7">
        <v>13.91</v>
      </c>
      <c r="T183" s="7"/>
      <c r="U183" s="7"/>
      <c r="V183" s="7"/>
      <c r="W183" s="7"/>
      <c r="X183" s="7"/>
      <c r="Y183" s="7" t="s">
        <v>1085</v>
      </c>
      <c r="Z183" s="7" t="s">
        <v>184</v>
      </c>
      <c r="AA183" s="7" t="s">
        <v>1086</v>
      </c>
      <c r="AB183" s="7" t="s">
        <v>45</v>
      </c>
      <c r="AC183" s="7"/>
      <c r="AD183" s="8"/>
      <c r="AE183" s="8"/>
      <c r="AF183" s="8"/>
      <c r="AG183" s="10">
        <f t="shared" si="2"/>
        <v>43316</v>
      </c>
    </row>
    <row r="184" spans="1:33">
      <c r="A184" s="7" t="s">
        <v>1087</v>
      </c>
      <c r="B184" s="7" t="s">
        <v>1087</v>
      </c>
      <c r="C184" s="7" t="s">
        <v>1088</v>
      </c>
      <c r="D184" s="7" t="s">
        <v>1089</v>
      </c>
      <c r="E184" s="7" t="s">
        <v>49</v>
      </c>
      <c r="F184" s="7" t="s">
        <v>34</v>
      </c>
      <c r="G184" s="7" t="s">
        <v>35</v>
      </c>
      <c r="H184" s="7"/>
      <c r="I184" s="7"/>
      <c r="J184" s="7" t="s">
        <v>36</v>
      </c>
      <c r="K184" s="7" t="s">
        <v>276</v>
      </c>
      <c r="L184" s="7" t="s">
        <v>277</v>
      </c>
      <c r="M184" s="7" t="s">
        <v>278</v>
      </c>
      <c r="N184" s="7" t="s">
        <v>49</v>
      </c>
      <c r="O184" s="7">
        <v>1</v>
      </c>
      <c r="P184" s="7" t="s">
        <v>41</v>
      </c>
      <c r="Q184" s="7">
        <v>91.99</v>
      </c>
      <c r="R184" s="7"/>
      <c r="S184" s="7">
        <v>8.07</v>
      </c>
      <c r="T184" s="7"/>
      <c r="U184" s="7"/>
      <c r="V184" s="7"/>
      <c r="W184" s="7"/>
      <c r="X184" s="7"/>
      <c r="Y184" s="7" t="s">
        <v>265</v>
      </c>
      <c r="Z184" s="7" t="s">
        <v>266</v>
      </c>
      <c r="AA184" s="7" t="s">
        <v>1090</v>
      </c>
      <c r="AB184" s="7" t="s">
        <v>45</v>
      </c>
      <c r="AC184" s="7"/>
      <c r="AD184" s="8"/>
      <c r="AE184" s="8"/>
      <c r="AF184" s="8"/>
      <c r="AG184" s="10">
        <f t="shared" si="2"/>
        <v>43316</v>
      </c>
    </row>
    <row r="185" spans="1:33">
      <c r="A185" s="7" t="s">
        <v>1091</v>
      </c>
      <c r="B185" s="7" t="s">
        <v>1091</v>
      </c>
      <c r="C185" s="7" t="s">
        <v>1092</v>
      </c>
      <c r="D185" s="7" t="s">
        <v>1093</v>
      </c>
      <c r="E185" s="7" t="s">
        <v>49</v>
      </c>
      <c r="F185" s="7" t="s">
        <v>34</v>
      </c>
      <c r="G185" s="7" t="s">
        <v>35</v>
      </c>
      <c r="H185" s="7"/>
      <c r="I185" s="7"/>
      <c r="J185" s="7" t="s">
        <v>50</v>
      </c>
      <c r="K185" s="7" t="s">
        <v>423</v>
      </c>
      <c r="L185" s="7" t="s">
        <v>424</v>
      </c>
      <c r="M185" s="7" t="s">
        <v>425</v>
      </c>
      <c r="N185" s="7" t="s">
        <v>49</v>
      </c>
      <c r="O185" s="7">
        <v>1</v>
      </c>
      <c r="P185" s="7" t="s">
        <v>41</v>
      </c>
      <c r="Q185" s="7">
        <v>26.99</v>
      </c>
      <c r="R185" s="7"/>
      <c r="S185" s="7"/>
      <c r="T185" s="7"/>
      <c r="U185" s="7"/>
      <c r="V185" s="7"/>
      <c r="W185" s="7"/>
      <c r="X185" s="7"/>
      <c r="Y185" s="7" t="s">
        <v>1094</v>
      </c>
      <c r="Z185" s="7" t="s">
        <v>1095</v>
      </c>
      <c r="AA185" s="7">
        <v>92139</v>
      </c>
      <c r="AB185" s="7" t="s">
        <v>45</v>
      </c>
      <c r="AC185" s="7"/>
      <c r="AD185" s="8"/>
      <c r="AE185" s="8"/>
      <c r="AF185" s="8"/>
      <c r="AG185" s="10">
        <f t="shared" si="2"/>
        <v>43316</v>
      </c>
    </row>
    <row r="186" spans="1:33">
      <c r="A186" s="7" t="s">
        <v>1096</v>
      </c>
      <c r="B186" s="7" t="s">
        <v>1096</v>
      </c>
      <c r="C186" s="7" t="s">
        <v>1097</v>
      </c>
      <c r="D186" s="7" t="s">
        <v>1098</v>
      </c>
      <c r="E186" s="7" t="s">
        <v>49</v>
      </c>
      <c r="F186" s="7" t="s">
        <v>34</v>
      </c>
      <c r="G186" s="7" t="s">
        <v>35</v>
      </c>
      <c r="H186" s="7"/>
      <c r="I186" s="7"/>
      <c r="J186" s="7" t="s">
        <v>36</v>
      </c>
      <c r="K186" s="7" t="s">
        <v>1099</v>
      </c>
      <c r="L186" s="7" t="s">
        <v>1100</v>
      </c>
      <c r="M186" s="7" t="s">
        <v>1101</v>
      </c>
      <c r="N186" s="7" t="s">
        <v>49</v>
      </c>
      <c r="O186" s="7">
        <v>1</v>
      </c>
      <c r="P186" s="7" t="s">
        <v>41</v>
      </c>
      <c r="Q186" s="7">
        <v>79.99</v>
      </c>
      <c r="R186" s="7"/>
      <c r="S186" s="7">
        <v>7.42</v>
      </c>
      <c r="T186" s="7"/>
      <c r="U186" s="7"/>
      <c r="V186" s="7"/>
      <c r="W186" s="7"/>
      <c r="X186" s="7"/>
      <c r="Y186" s="7" t="s">
        <v>1102</v>
      </c>
      <c r="Z186" s="7" t="s">
        <v>1103</v>
      </c>
      <c r="AA186" s="7">
        <v>38028</v>
      </c>
      <c r="AB186" s="7" t="s">
        <v>45</v>
      </c>
      <c r="AC186" s="7"/>
      <c r="AD186" s="8"/>
      <c r="AE186" s="8"/>
      <c r="AF186" s="8"/>
      <c r="AG186" s="10">
        <f t="shared" si="2"/>
        <v>43316</v>
      </c>
    </row>
    <row r="187" spans="1:33">
      <c r="A187" s="7" t="s">
        <v>1104</v>
      </c>
      <c r="B187" s="7" t="s">
        <v>1104</v>
      </c>
      <c r="C187" s="7" t="s">
        <v>1105</v>
      </c>
      <c r="D187" s="7" t="s">
        <v>1106</v>
      </c>
      <c r="E187" s="7" t="s">
        <v>49</v>
      </c>
      <c r="F187" s="7" t="s">
        <v>34</v>
      </c>
      <c r="G187" s="7" t="s">
        <v>35</v>
      </c>
      <c r="H187" s="7"/>
      <c r="I187" s="7"/>
      <c r="J187" s="7" t="s">
        <v>50</v>
      </c>
      <c r="K187" s="7" t="s">
        <v>477</v>
      </c>
      <c r="L187" s="7" t="s">
        <v>478</v>
      </c>
      <c r="M187" s="7" t="s">
        <v>479</v>
      </c>
      <c r="N187" s="7" t="s">
        <v>49</v>
      </c>
      <c r="O187" s="7">
        <v>1</v>
      </c>
      <c r="P187" s="7" t="s">
        <v>41</v>
      </c>
      <c r="Q187" s="7">
        <v>89.99</v>
      </c>
      <c r="R187" s="7"/>
      <c r="S187" s="7"/>
      <c r="T187" s="7"/>
      <c r="U187" s="7"/>
      <c r="V187" s="7"/>
      <c r="W187" s="7"/>
      <c r="X187" s="7"/>
      <c r="Y187" s="7" t="s">
        <v>1107</v>
      </c>
      <c r="Z187" s="7" t="s">
        <v>1108</v>
      </c>
      <c r="AA187" s="7">
        <v>23139</v>
      </c>
      <c r="AB187" s="7" t="s">
        <v>45</v>
      </c>
      <c r="AC187" s="7"/>
      <c r="AD187" s="8"/>
      <c r="AE187" s="8"/>
      <c r="AF187" s="8"/>
      <c r="AG187" s="10">
        <f t="shared" si="2"/>
        <v>43316</v>
      </c>
    </row>
    <row r="188" spans="1:33">
      <c r="A188" s="7" t="s">
        <v>1109</v>
      </c>
      <c r="B188" s="7" t="s">
        <v>1109</v>
      </c>
      <c r="C188" s="7" t="s">
        <v>1110</v>
      </c>
      <c r="D188" s="7" t="s">
        <v>1111</v>
      </c>
      <c r="E188" s="7" t="s">
        <v>49</v>
      </c>
      <c r="F188" s="7" t="s">
        <v>34</v>
      </c>
      <c r="G188" s="7" t="s">
        <v>35</v>
      </c>
      <c r="H188" s="7"/>
      <c r="I188" s="7"/>
      <c r="J188" s="7" t="s">
        <v>50</v>
      </c>
      <c r="K188" s="7" t="s">
        <v>603</v>
      </c>
      <c r="L188" s="7" t="s">
        <v>604</v>
      </c>
      <c r="M188" s="7" t="s">
        <v>605</v>
      </c>
      <c r="N188" s="7" t="s">
        <v>49</v>
      </c>
      <c r="O188" s="7">
        <v>1</v>
      </c>
      <c r="P188" s="7" t="s">
        <v>41</v>
      </c>
      <c r="Q188" s="7">
        <v>99.99</v>
      </c>
      <c r="R188" s="7"/>
      <c r="S188" s="7"/>
      <c r="T188" s="7"/>
      <c r="U188" s="7"/>
      <c r="V188" s="7"/>
      <c r="W188" s="7"/>
      <c r="X188" s="7"/>
      <c r="Y188" s="7" t="s">
        <v>1112</v>
      </c>
      <c r="Z188" s="7" t="s">
        <v>911</v>
      </c>
      <c r="AA188" s="7" t="s">
        <v>1113</v>
      </c>
      <c r="AB188" s="7" t="s">
        <v>45</v>
      </c>
      <c r="AC188" s="7"/>
      <c r="AD188" s="8"/>
      <c r="AE188" s="8"/>
      <c r="AF188" s="8"/>
      <c r="AG188" s="10">
        <f t="shared" si="2"/>
        <v>43316</v>
      </c>
    </row>
    <row r="189" spans="1:33">
      <c r="A189" s="7" t="s">
        <v>1114</v>
      </c>
      <c r="B189" s="7" t="s">
        <v>1114</v>
      </c>
      <c r="C189" s="7" t="s">
        <v>1115</v>
      </c>
      <c r="D189" s="7" t="s">
        <v>1116</v>
      </c>
      <c r="E189" s="7" t="s">
        <v>49</v>
      </c>
      <c r="F189" s="7" t="s">
        <v>34</v>
      </c>
      <c r="G189" s="7" t="s">
        <v>35</v>
      </c>
      <c r="H189" s="7"/>
      <c r="I189" s="7"/>
      <c r="J189" s="7" t="s">
        <v>36</v>
      </c>
      <c r="K189" s="7" t="s">
        <v>208</v>
      </c>
      <c r="L189" s="7" t="s">
        <v>209</v>
      </c>
      <c r="M189" s="7" t="s">
        <v>210</v>
      </c>
      <c r="N189" s="7" t="s">
        <v>49</v>
      </c>
      <c r="O189" s="7">
        <v>1</v>
      </c>
      <c r="P189" s="7" t="s">
        <v>41</v>
      </c>
      <c r="Q189" s="7">
        <v>89.99</v>
      </c>
      <c r="R189" s="7"/>
      <c r="S189" s="7">
        <v>8.28</v>
      </c>
      <c r="T189" s="7"/>
      <c r="U189" s="7"/>
      <c r="V189" s="7"/>
      <c r="W189" s="7"/>
      <c r="X189" s="7"/>
      <c r="Y189" s="7" t="s">
        <v>1117</v>
      </c>
      <c r="Z189" s="7" t="s">
        <v>762</v>
      </c>
      <c r="AA189" s="7">
        <v>30324</v>
      </c>
      <c r="AB189" s="7" t="s">
        <v>45</v>
      </c>
      <c r="AC189" s="7"/>
      <c r="AD189" s="8"/>
      <c r="AE189" s="8"/>
      <c r="AF189" s="8"/>
      <c r="AG189" s="10">
        <f t="shared" si="2"/>
        <v>43316</v>
      </c>
    </row>
    <row r="190" spans="1:33">
      <c r="A190" s="7" t="s">
        <v>1118</v>
      </c>
      <c r="B190" s="7" t="s">
        <v>1118</v>
      </c>
      <c r="C190" s="7" t="s">
        <v>1119</v>
      </c>
      <c r="D190" s="7" t="s">
        <v>1120</v>
      </c>
      <c r="E190" s="7" t="s">
        <v>33</v>
      </c>
      <c r="F190" s="7" t="s">
        <v>34</v>
      </c>
      <c r="G190" s="7" t="s">
        <v>35</v>
      </c>
      <c r="H190" s="7"/>
      <c r="I190" s="7"/>
      <c r="J190" s="7" t="s">
        <v>50</v>
      </c>
      <c r="K190" s="7" t="s">
        <v>276</v>
      </c>
      <c r="L190" s="7" t="s">
        <v>277</v>
      </c>
      <c r="M190" s="7" t="s">
        <v>278</v>
      </c>
      <c r="N190" s="7" t="s">
        <v>40</v>
      </c>
      <c r="O190" s="7">
        <v>1</v>
      </c>
      <c r="P190" s="7" t="s">
        <v>41</v>
      </c>
      <c r="Q190" s="7">
        <v>91.99</v>
      </c>
      <c r="R190" s="7"/>
      <c r="S190" s="7"/>
      <c r="T190" s="7"/>
      <c r="U190" s="7"/>
      <c r="V190" s="7"/>
      <c r="W190" s="7"/>
      <c r="X190" s="7"/>
      <c r="Y190" s="7" t="s">
        <v>1121</v>
      </c>
      <c r="Z190" s="7" t="s">
        <v>413</v>
      </c>
      <c r="AA190" s="7" t="s">
        <v>1122</v>
      </c>
      <c r="AB190" s="7" t="s">
        <v>45</v>
      </c>
      <c r="AC190" s="7"/>
      <c r="AD190" s="8"/>
      <c r="AE190" s="8"/>
      <c r="AF190" s="8"/>
      <c r="AG190" s="10">
        <f t="shared" si="2"/>
        <v>43316</v>
      </c>
    </row>
    <row r="191" spans="1:33">
      <c r="A191" s="7" t="s">
        <v>1123</v>
      </c>
      <c r="B191" s="7" t="s">
        <v>1123</v>
      </c>
      <c r="C191" s="7" t="s">
        <v>1124</v>
      </c>
      <c r="D191" s="7" t="s">
        <v>1125</v>
      </c>
      <c r="E191" s="7" t="s">
        <v>49</v>
      </c>
      <c r="F191" s="7" t="s">
        <v>34</v>
      </c>
      <c r="G191" s="7" t="s">
        <v>35</v>
      </c>
      <c r="H191" s="7"/>
      <c r="I191" s="7"/>
      <c r="J191" s="7" t="s">
        <v>50</v>
      </c>
      <c r="K191" s="7" t="s">
        <v>226</v>
      </c>
      <c r="L191" s="7" t="s">
        <v>442</v>
      </c>
      <c r="M191" s="7" t="s">
        <v>443</v>
      </c>
      <c r="N191" s="7" t="s">
        <v>49</v>
      </c>
      <c r="O191" s="7">
        <v>1</v>
      </c>
      <c r="P191" s="7" t="s">
        <v>41</v>
      </c>
      <c r="Q191" s="7">
        <v>88.99</v>
      </c>
      <c r="R191" s="7"/>
      <c r="S191" s="7"/>
      <c r="T191" s="7"/>
      <c r="U191" s="7"/>
      <c r="V191" s="7"/>
      <c r="W191" s="7"/>
      <c r="X191" s="7"/>
      <c r="Y191" s="7" t="s">
        <v>265</v>
      </c>
      <c r="Z191" s="7" t="s">
        <v>266</v>
      </c>
      <c r="AA191" s="7" t="s">
        <v>952</v>
      </c>
      <c r="AB191" s="7" t="s">
        <v>45</v>
      </c>
      <c r="AC191" s="7"/>
      <c r="AD191" s="8"/>
      <c r="AE191" s="8"/>
      <c r="AF191" s="8"/>
      <c r="AG191" s="10">
        <f t="shared" si="2"/>
        <v>43316</v>
      </c>
    </row>
    <row r="192" spans="1:33">
      <c r="A192" s="7" t="s">
        <v>1126</v>
      </c>
      <c r="B192" s="7" t="s">
        <v>1126</v>
      </c>
      <c r="C192" s="7" t="s">
        <v>1127</v>
      </c>
      <c r="D192" s="7" t="s">
        <v>1128</v>
      </c>
      <c r="E192" s="7" t="s">
        <v>49</v>
      </c>
      <c r="F192" s="7" t="s">
        <v>34</v>
      </c>
      <c r="G192" s="7" t="s">
        <v>35</v>
      </c>
      <c r="H192" s="7"/>
      <c r="I192" s="7"/>
      <c r="J192" s="7" t="s">
        <v>151</v>
      </c>
      <c r="K192" s="7" t="s">
        <v>276</v>
      </c>
      <c r="L192" s="7" t="s">
        <v>277</v>
      </c>
      <c r="M192" s="7" t="s">
        <v>278</v>
      </c>
      <c r="N192" s="7" t="s">
        <v>49</v>
      </c>
      <c r="O192" s="7">
        <v>1</v>
      </c>
      <c r="P192" s="7" t="s">
        <v>41</v>
      </c>
      <c r="Q192" s="7">
        <v>91.99</v>
      </c>
      <c r="R192" s="7"/>
      <c r="S192" s="7">
        <v>5.99</v>
      </c>
      <c r="T192" s="7"/>
      <c r="U192" s="7"/>
      <c r="V192" s="7"/>
      <c r="W192" s="7"/>
      <c r="X192" s="7">
        <v>5.99</v>
      </c>
      <c r="Y192" s="7" t="s">
        <v>1129</v>
      </c>
      <c r="Z192" s="7" t="s">
        <v>361</v>
      </c>
      <c r="AA192" s="7" t="s">
        <v>1130</v>
      </c>
      <c r="AB192" s="7" t="s">
        <v>45</v>
      </c>
      <c r="AC192" s="7"/>
      <c r="AD192" s="8"/>
      <c r="AE192" s="8"/>
      <c r="AF192" s="8"/>
      <c r="AG192" s="10">
        <f t="shared" si="2"/>
        <v>43316</v>
      </c>
    </row>
    <row r="193" spans="1:33">
      <c r="A193" s="7" t="s">
        <v>1131</v>
      </c>
      <c r="B193" s="7" t="s">
        <v>1131</v>
      </c>
      <c r="C193" s="7" t="s">
        <v>1132</v>
      </c>
      <c r="D193" s="7" t="s">
        <v>1133</v>
      </c>
      <c r="E193" s="7" t="s">
        <v>33</v>
      </c>
      <c r="F193" s="7" t="s">
        <v>34</v>
      </c>
      <c r="G193" s="7" t="s">
        <v>35</v>
      </c>
      <c r="H193" s="7"/>
      <c r="I193" s="7"/>
      <c r="J193" s="7" t="s">
        <v>36</v>
      </c>
      <c r="K193" s="7" t="s">
        <v>70</v>
      </c>
      <c r="L193" s="7" t="s">
        <v>71</v>
      </c>
      <c r="M193" s="7" t="s">
        <v>72</v>
      </c>
      <c r="N193" s="7" t="s">
        <v>40</v>
      </c>
      <c r="O193" s="7">
        <v>1</v>
      </c>
      <c r="P193" s="7" t="s">
        <v>41</v>
      </c>
      <c r="Q193" s="7">
        <v>96.99</v>
      </c>
      <c r="R193" s="7"/>
      <c r="S193" s="7"/>
      <c r="T193" s="7"/>
      <c r="U193" s="7"/>
      <c r="V193" s="7"/>
      <c r="W193" s="7"/>
      <c r="X193" s="7"/>
      <c r="Y193" s="7" t="s">
        <v>1121</v>
      </c>
      <c r="Z193" s="7" t="s">
        <v>413</v>
      </c>
      <c r="AA193" s="7" t="s">
        <v>1122</v>
      </c>
      <c r="AB193" s="7" t="s">
        <v>45</v>
      </c>
      <c r="AC193" s="7"/>
      <c r="AD193" s="8"/>
      <c r="AE193" s="8"/>
      <c r="AF193" s="8"/>
      <c r="AG193" s="10">
        <f t="shared" si="2"/>
        <v>43316</v>
      </c>
    </row>
    <row r="194" spans="1:33">
      <c r="A194" s="7" t="s">
        <v>1134</v>
      </c>
      <c r="B194" s="7" t="s">
        <v>1134</v>
      </c>
      <c r="C194" s="7" t="s">
        <v>1135</v>
      </c>
      <c r="D194" s="7" t="s">
        <v>1136</v>
      </c>
      <c r="E194" s="7" t="s">
        <v>49</v>
      </c>
      <c r="F194" s="7" t="s">
        <v>34</v>
      </c>
      <c r="G194" s="7" t="s">
        <v>35</v>
      </c>
      <c r="H194" s="7"/>
      <c r="I194" s="7"/>
      <c r="J194" s="7" t="s">
        <v>50</v>
      </c>
      <c r="K194" s="7" t="s">
        <v>1137</v>
      </c>
      <c r="L194" s="7" t="s">
        <v>1138</v>
      </c>
      <c r="M194" s="7" t="s">
        <v>1139</v>
      </c>
      <c r="N194" s="7" t="s">
        <v>49</v>
      </c>
      <c r="O194" s="7">
        <v>1</v>
      </c>
      <c r="P194" s="7" t="s">
        <v>41</v>
      </c>
      <c r="Q194" s="7">
        <v>32.99</v>
      </c>
      <c r="R194" s="7"/>
      <c r="S194" s="7"/>
      <c r="T194" s="7"/>
      <c r="U194" s="7"/>
      <c r="V194" s="7"/>
      <c r="W194" s="7"/>
      <c r="X194" s="7"/>
      <c r="Y194" s="7" t="s">
        <v>802</v>
      </c>
      <c r="Z194" s="7" t="s">
        <v>266</v>
      </c>
      <c r="AA194" s="7" t="s">
        <v>1140</v>
      </c>
      <c r="AB194" s="7" t="s">
        <v>45</v>
      </c>
      <c r="AC194" s="7"/>
      <c r="AD194" s="8"/>
      <c r="AE194" s="8"/>
      <c r="AF194" s="8"/>
      <c r="AG194" s="10">
        <f t="shared" ref="AG194:AG257" si="3">DATEVALUE(LEFT(C194,10))</f>
        <v>43316</v>
      </c>
    </row>
    <row r="195" spans="1:33">
      <c r="A195" s="7" t="s">
        <v>1141</v>
      </c>
      <c r="B195" s="7" t="s">
        <v>1141</v>
      </c>
      <c r="C195" s="7" t="s">
        <v>1142</v>
      </c>
      <c r="D195" s="7" t="s">
        <v>1143</v>
      </c>
      <c r="E195" s="7" t="s">
        <v>49</v>
      </c>
      <c r="F195" s="7" t="s">
        <v>34</v>
      </c>
      <c r="G195" s="7" t="s">
        <v>35</v>
      </c>
      <c r="H195" s="7"/>
      <c r="I195" s="7"/>
      <c r="J195" s="7" t="s">
        <v>151</v>
      </c>
      <c r="K195" s="7" t="s">
        <v>1144</v>
      </c>
      <c r="L195" s="7" t="s">
        <v>1145</v>
      </c>
      <c r="M195" s="7" t="s">
        <v>1146</v>
      </c>
      <c r="N195" s="7" t="s">
        <v>49</v>
      </c>
      <c r="O195" s="7">
        <v>1</v>
      </c>
      <c r="P195" s="7" t="s">
        <v>41</v>
      </c>
      <c r="Q195" s="7">
        <v>21.99</v>
      </c>
      <c r="R195" s="7"/>
      <c r="S195" s="7">
        <v>3</v>
      </c>
      <c r="T195" s="7"/>
      <c r="U195" s="7"/>
      <c r="V195" s="7"/>
      <c r="W195" s="7"/>
      <c r="X195" s="7">
        <v>3</v>
      </c>
      <c r="Y195" s="7" t="s">
        <v>1147</v>
      </c>
      <c r="Z195" s="7" t="s">
        <v>331</v>
      </c>
      <c r="AA195" s="7" t="s">
        <v>1148</v>
      </c>
      <c r="AB195" s="7" t="s">
        <v>45</v>
      </c>
      <c r="AC195" s="7"/>
      <c r="AD195" s="8"/>
      <c r="AE195" s="8"/>
      <c r="AF195" s="8"/>
      <c r="AG195" s="10">
        <f t="shared" si="3"/>
        <v>43316</v>
      </c>
    </row>
    <row r="196" spans="1:33">
      <c r="A196" s="7" t="s">
        <v>1149</v>
      </c>
      <c r="B196" s="7" t="s">
        <v>1149</v>
      </c>
      <c r="C196" s="7" t="s">
        <v>1150</v>
      </c>
      <c r="D196" s="7" t="s">
        <v>1151</v>
      </c>
      <c r="E196" s="7" t="s">
        <v>49</v>
      </c>
      <c r="F196" s="7" t="s">
        <v>34</v>
      </c>
      <c r="G196" s="7" t="s">
        <v>35</v>
      </c>
      <c r="H196" s="7"/>
      <c r="I196" s="7"/>
      <c r="J196" s="7" t="s">
        <v>50</v>
      </c>
      <c r="K196" s="7" t="s">
        <v>1152</v>
      </c>
      <c r="L196" s="7" t="s">
        <v>1153</v>
      </c>
      <c r="M196" s="7" t="s">
        <v>1154</v>
      </c>
      <c r="N196" s="7" t="s">
        <v>49</v>
      </c>
      <c r="O196" s="7">
        <v>1</v>
      </c>
      <c r="P196" s="7" t="s">
        <v>41</v>
      </c>
      <c r="Q196" s="7">
        <v>79.99</v>
      </c>
      <c r="R196" s="7"/>
      <c r="S196" s="7"/>
      <c r="T196" s="7"/>
      <c r="U196" s="7"/>
      <c r="V196" s="7"/>
      <c r="W196" s="7"/>
      <c r="X196" s="7"/>
      <c r="Y196" s="7" t="s">
        <v>1155</v>
      </c>
      <c r="Z196" s="7" t="s">
        <v>83</v>
      </c>
      <c r="AA196" s="7" t="s">
        <v>1156</v>
      </c>
      <c r="AB196" s="7" t="s">
        <v>45</v>
      </c>
      <c r="AC196" s="7"/>
      <c r="AD196" s="8"/>
      <c r="AE196" s="8"/>
      <c r="AF196" s="8"/>
      <c r="AG196" s="10">
        <f t="shared" si="3"/>
        <v>43316</v>
      </c>
    </row>
    <row r="197" spans="1:33">
      <c r="A197" s="7" t="s">
        <v>1157</v>
      </c>
      <c r="B197" s="7" t="s">
        <v>1157</v>
      </c>
      <c r="C197" s="7" t="s">
        <v>1158</v>
      </c>
      <c r="D197" s="7" t="s">
        <v>1159</v>
      </c>
      <c r="E197" s="7" t="s">
        <v>49</v>
      </c>
      <c r="F197" s="7" t="s">
        <v>34</v>
      </c>
      <c r="G197" s="7" t="s">
        <v>35</v>
      </c>
      <c r="H197" s="7"/>
      <c r="I197" s="7"/>
      <c r="J197" s="7" t="s">
        <v>50</v>
      </c>
      <c r="K197" s="7" t="s">
        <v>1160</v>
      </c>
      <c r="L197" s="7" t="s">
        <v>1161</v>
      </c>
      <c r="M197" s="7" t="s">
        <v>1162</v>
      </c>
      <c r="N197" s="7" t="s">
        <v>49</v>
      </c>
      <c r="O197" s="7">
        <v>1</v>
      </c>
      <c r="P197" s="7" t="s">
        <v>41</v>
      </c>
      <c r="Q197" s="7">
        <v>89.99</v>
      </c>
      <c r="R197" s="7"/>
      <c r="S197" s="7"/>
      <c r="T197" s="7"/>
      <c r="U197" s="7"/>
      <c r="V197" s="7"/>
      <c r="W197" s="7"/>
      <c r="X197" s="7"/>
      <c r="Y197" s="7" t="s">
        <v>1163</v>
      </c>
      <c r="Z197" s="7" t="s">
        <v>83</v>
      </c>
      <c r="AA197" s="7" t="s">
        <v>1164</v>
      </c>
      <c r="AB197" s="7" t="s">
        <v>45</v>
      </c>
      <c r="AC197" s="7"/>
      <c r="AD197" s="8"/>
      <c r="AE197" s="8"/>
      <c r="AF197" s="8"/>
      <c r="AG197" s="10">
        <f t="shared" si="3"/>
        <v>43316</v>
      </c>
    </row>
    <row r="198" spans="1:33">
      <c r="A198" s="7" t="s">
        <v>1165</v>
      </c>
      <c r="B198" s="7" t="s">
        <v>1165</v>
      </c>
      <c r="C198" s="7" t="s">
        <v>1166</v>
      </c>
      <c r="D198" s="7" t="s">
        <v>1167</v>
      </c>
      <c r="E198" s="7" t="s">
        <v>49</v>
      </c>
      <c r="F198" s="7" t="s">
        <v>34</v>
      </c>
      <c r="G198" s="7" t="s">
        <v>35</v>
      </c>
      <c r="H198" s="7"/>
      <c r="I198" s="7"/>
      <c r="J198" s="7" t="s">
        <v>50</v>
      </c>
      <c r="K198" s="7" t="s">
        <v>70</v>
      </c>
      <c r="L198" s="7" t="s">
        <v>71</v>
      </c>
      <c r="M198" s="7" t="s">
        <v>72</v>
      </c>
      <c r="N198" s="7" t="s">
        <v>49</v>
      </c>
      <c r="O198" s="7">
        <v>1</v>
      </c>
      <c r="P198" s="7" t="s">
        <v>41</v>
      </c>
      <c r="Q198" s="7">
        <v>96.99</v>
      </c>
      <c r="R198" s="7"/>
      <c r="S198" s="7"/>
      <c r="T198" s="7"/>
      <c r="U198" s="7"/>
      <c r="V198" s="7"/>
      <c r="W198" s="7"/>
      <c r="X198" s="7"/>
      <c r="Y198" s="7" t="s">
        <v>404</v>
      </c>
      <c r="Z198" s="7" t="s">
        <v>230</v>
      </c>
      <c r="AA198" s="7" t="s">
        <v>1168</v>
      </c>
      <c r="AB198" s="7" t="s">
        <v>45</v>
      </c>
      <c r="AC198" s="7"/>
      <c r="AD198" s="8"/>
      <c r="AE198" s="8"/>
      <c r="AF198" s="8"/>
      <c r="AG198" s="10">
        <f t="shared" si="3"/>
        <v>43316</v>
      </c>
    </row>
    <row r="199" spans="1:33">
      <c r="A199" s="7" t="s">
        <v>1169</v>
      </c>
      <c r="B199" s="7" t="s">
        <v>1169</v>
      </c>
      <c r="C199" s="7" t="s">
        <v>1170</v>
      </c>
      <c r="D199" s="7" t="s">
        <v>1171</v>
      </c>
      <c r="E199" s="7" t="s">
        <v>49</v>
      </c>
      <c r="F199" s="7" t="s">
        <v>34</v>
      </c>
      <c r="G199" s="7" t="s">
        <v>35</v>
      </c>
      <c r="H199" s="7"/>
      <c r="I199" s="7"/>
      <c r="J199" s="7" t="s">
        <v>36</v>
      </c>
      <c r="K199" s="7" t="s">
        <v>142</v>
      </c>
      <c r="L199" s="7" t="s">
        <v>143</v>
      </c>
      <c r="M199" s="7" t="s">
        <v>144</v>
      </c>
      <c r="N199" s="7" t="s">
        <v>49</v>
      </c>
      <c r="O199" s="7">
        <v>1</v>
      </c>
      <c r="P199" s="7" t="s">
        <v>41</v>
      </c>
      <c r="Q199" s="7">
        <v>79.99</v>
      </c>
      <c r="R199" s="7"/>
      <c r="S199" s="7">
        <v>4.79</v>
      </c>
      <c r="T199" s="7"/>
      <c r="U199" s="7"/>
      <c r="V199" s="7"/>
      <c r="W199" s="7"/>
      <c r="X199" s="7">
        <v>4.79</v>
      </c>
      <c r="Y199" s="7" t="s">
        <v>897</v>
      </c>
      <c r="Z199" s="7" t="s">
        <v>266</v>
      </c>
      <c r="AA199" s="7" t="s">
        <v>1172</v>
      </c>
      <c r="AB199" s="7" t="s">
        <v>45</v>
      </c>
      <c r="AC199" s="7" t="s">
        <v>549</v>
      </c>
      <c r="AD199" s="8"/>
      <c r="AE199" s="8"/>
      <c r="AF199" s="8"/>
      <c r="AG199" s="10">
        <f t="shared" si="3"/>
        <v>43316</v>
      </c>
    </row>
    <row r="200" spans="1:33">
      <c r="A200" s="7" t="s">
        <v>1173</v>
      </c>
      <c r="B200" s="7" t="s">
        <v>1173</v>
      </c>
      <c r="C200" s="7" t="s">
        <v>1174</v>
      </c>
      <c r="D200" s="7" t="s">
        <v>1175</v>
      </c>
      <c r="E200" s="7" t="s">
        <v>49</v>
      </c>
      <c r="F200" s="7" t="s">
        <v>34</v>
      </c>
      <c r="G200" s="7" t="s">
        <v>35</v>
      </c>
      <c r="H200" s="7"/>
      <c r="I200" s="7"/>
      <c r="J200" s="7" t="s">
        <v>50</v>
      </c>
      <c r="K200" s="7" t="s">
        <v>88</v>
      </c>
      <c r="L200" s="7" t="s">
        <v>89</v>
      </c>
      <c r="M200" s="7" t="s">
        <v>90</v>
      </c>
      <c r="N200" s="7" t="s">
        <v>49</v>
      </c>
      <c r="O200" s="7">
        <v>1</v>
      </c>
      <c r="P200" s="7" t="s">
        <v>41</v>
      </c>
      <c r="Q200" s="7">
        <v>89.99</v>
      </c>
      <c r="R200" s="7"/>
      <c r="S200" s="7"/>
      <c r="T200" s="7"/>
      <c r="U200" s="7"/>
      <c r="V200" s="7"/>
      <c r="W200" s="7"/>
      <c r="X200" s="7"/>
      <c r="Y200" s="7" t="s">
        <v>1176</v>
      </c>
      <c r="Z200" s="7" t="s">
        <v>331</v>
      </c>
      <c r="AA200" s="7" t="s">
        <v>1177</v>
      </c>
      <c r="AB200" s="7" t="s">
        <v>45</v>
      </c>
      <c r="AC200" s="7"/>
      <c r="AD200" s="8"/>
      <c r="AE200" s="8"/>
      <c r="AF200" s="8"/>
      <c r="AG200" s="10">
        <f t="shared" si="3"/>
        <v>43316</v>
      </c>
    </row>
    <row r="201" spans="1:33">
      <c r="A201" s="7" t="s">
        <v>1178</v>
      </c>
      <c r="B201" s="7" t="s">
        <v>1178</v>
      </c>
      <c r="C201" s="7" t="s">
        <v>1179</v>
      </c>
      <c r="D201" s="7" t="s">
        <v>1180</v>
      </c>
      <c r="E201" s="7" t="s">
        <v>49</v>
      </c>
      <c r="F201" s="7" t="s">
        <v>34</v>
      </c>
      <c r="G201" s="7" t="s">
        <v>35</v>
      </c>
      <c r="H201" s="7"/>
      <c r="I201" s="7"/>
      <c r="J201" s="7" t="s">
        <v>50</v>
      </c>
      <c r="K201" s="7" t="s">
        <v>37</v>
      </c>
      <c r="L201" s="7" t="s">
        <v>38</v>
      </c>
      <c r="M201" s="7" t="s">
        <v>39</v>
      </c>
      <c r="N201" s="7" t="s">
        <v>49</v>
      </c>
      <c r="O201" s="7">
        <v>1</v>
      </c>
      <c r="P201" s="7" t="s">
        <v>41</v>
      </c>
      <c r="Q201" s="7">
        <v>89.99</v>
      </c>
      <c r="R201" s="7"/>
      <c r="S201" s="7"/>
      <c r="T201" s="7"/>
      <c r="U201" s="7"/>
      <c r="V201" s="7"/>
      <c r="W201" s="7"/>
      <c r="X201" s="7"/>
      <c r="Y201" s="7" t="s">
        <v>1181</v>
      </c>
      <c r="Z201" s="7" t="s">
        <v>43</v>
      </c>
      <c r="AA201" s="7" t="s">
        <v>1182</v>
      </c>
      <c r="AB201" s="7" t="s">
        <v>45</v>
      </c>
      <c r="AC201" s="7"/>
      <c r="AD201" s="8"/>
      <c r="AE201" s="8"/>
      <c r="AF201" s="8"/>
      <c r="AG201" s="10">
        <f t="shared" si="3"/>
        <v>43316</v>
      </c>
    </row>
    <row r="202" spans="1:33">
      <c r="A202" s="7" t="s">
        <v>1183</v>
      </c>
      <c r="B202" s="7" t="s">
        <v>1183</v>
      </c>
      <c r="C202" s="7" t="s">
        <v>1184</v>
      </c>
      <c r="D202" s="7" t="s">
        <v>1185</v>
      </c>
      <c r="E202" s="7" t="s">
        <v>49</v>
      </c>
      <c r="F202" s="7" t="s">
        <v>34</v>
      </c>
      <c r="G202" s="7" t="s">
        <v>35</v>
      </c>
      <c r="H202" s="7"/>
      <c r="I202" s="7"/>
      <c r="J202" s="7" t="s">
        <v>36</v>
      </c>
      <c r="K202" s="7" t="s">
        <v>208</v>
      </c>
      <c r="L202" s="7" t="s">
        <v>209</v>
      </c>
      <c r="M202" s="7" t="s">
        <v>210</v>
      </c>
      <c r="N202" s="7" t="s">
        <v>49</v>
      </c>
      <c r="O202" s="7">
        <v>2</v>
      </c>
      <c r="P202" s="7" t="s">
        <v>41</v>
      </c>
      <c r="Q202" s="7">
        <v>179.98</v>
      </c>
      <c r="R202" s="7"/>
      <c r="S202" s="7">
        <v>9.49</v>
      </c>
      <c r="T202" s="7"/>
      <c r="U202" s="7"/>
      <c r="V202" s="7"/>
      <c r="W202" s="7"/>
      <c r="X202" s="7">
        <v>9.49</v>
      </c>
      <c r="Y202" s="7" t="s">
        <v>1186</v>
      </c>
      <c r="Z202" s="7" t="s">
        <v>714</v>
      </c>
      <c r="AA202" s="7" t="s">
        <v>1187</v>
      </c>
      <c r="AB202" s="7" t="s">
        <v>45</v>
      </c>
      <c r="AC202" s="7" t="s">
        <v>549</v>
      </c>
      <c r="AD202" s="8"/>
      <c r="AE202" s="8"/>
      <c r="AF202" s="8"/>
      <c r="AG202" s="10">
        <f t="shared" si="3"/>
        <v>43316</v>
      </c>
    </row>
    <row r="203" spans="1:33">
      <c r="A203" s="7" t="s">
        <v>1188</v>
      </c>
      <c r="B203" s="7" t="s">
        <v>1188</v>
      </c>
      <c r="C203" s="7" t="s">
        <v>1189</v>
      </c>
      <c r="D203" s="7" t="s">
        <v>1190</v>
      </c>
      <c r="E203" s="7" t="s">
        <v>49</v>
      </c>
      <c r="F203" s="7" t="s">
        <v>34</v>
      </c>
      <c r="G203" s="7" t="s">
        <v>35</v>
      </c>
      <c r="H203" s="7"/>
      <c r="I203" s="7"/>
      <c r="J203" s="7" t="s">
        <v>50</v>
      </c>
      <c r="K203" s="7" t="s">
        <v>1191</v>
      </c>
      <c r="L203" s="7" t="s">
        <v>1192</v>
      </c>
      <c r="M203" s="7" t="s">
        <v>1193</v>
      </c>
      <c r="N203" s="7" t="s">
        <v>49</v>
      </c>
      <c r="O203" s="7">
        <v>1</v>
      </c>
      <c r="P203" s="7" t="s">
        <v>41</v>
      </c>
      <c r="Q203" s="7">
        <v>99.6</v>
      </c>
      <c r="R203" s="7"/>
      <c r="S203" s="7"/>
      <c r="T203" s="7"/>
      <c r="U203" s="7"/>
      <c r="V203" s="7"/>
      <c r="W203" s="7"/>
      <c r="X203" s="7"/>
      <c r="Y203" s="7" t="s">
        <v>1194</v>
      </c>
      <c r="Z203" s="7" t="s">
        <v>43</v>
      </c>
      <c r="AA203" s="7" t="s">
        <v>1195</v>
      </c>
      <c r="AB203" s="7" t="s">
        <v>45</v>
      </c>
      <c r="AC203" s="7"/>
      <c r="AD203" s="8"/>
      <c r="AE203" s="8"/>
      <c r="AF203" s="8"/>
      <c r="AG203" s="10">
        <f t="shared" si="3"/>
        <v>43316</v>
      </c>
    </row>
    <row r="204" spans="1:33">
      <c r="A204" s="7" t="s">
        <v>1196</v>
      </c>
      <c r="B204" s="7" t="s">
        <v>1196</v>
      </c>
      <c r="C204" s="7" t="s">
        <v>1197</v>
      </c>
      <c r="D204" s="7" t="s">
        <v>1198</v>
      </c>
      <c r="E204" s="7" t="s">
        <v>49</v>
      </c>
      <c r="F204" s="7" t="s">
        <v>34</v>
      </c>
      <c r="G204" s="7" t="s">
        <v>35</v>
      </c>
      <c r="H204" s="7"/>
      <c r="I204" s="7"/>
      <c r="J204" s="7" t="s">
        <v>36</v>
      </c>
      <c r="K204" s="7" t="s">
        <v>494</v>
      </c>
      <c r="L204" s="7" t="s">
        <v>495</v>
      </c>
      <c r="M204" s="7" t="s">
        <v>496</v>
      </c>
      <c r="N204" s="7" t="s">
        <v>49</v>
      </c>
      <c r="O204" s="7">
        <v>1</v>
      </c>
      <c r="P204" s="7" t="s">
        <v>41</v>
      </c>
      <c r="Q204" s="7">
        <v>99.99</v>
      </c>
      <c r="R204" s="7"/>
      <c r="S204" s="7">
        <v>12.23</v>
      </c>
      <c r="T204" s="7"/>
      <c r="U204" s="7"/>
      <c r="V204" s="7"/>
      <c r="W204" s="7"/>
      <c r="X204" s="7"/>
      <c r="Y204" s="7" t="s">
        <v>1199</v>
      </c>
      <c r="Z204" s="7" t="s">
        <v>1200</v>
      </c>
      <c r="AA204" s="7">
        <v>822</v>
      </c>
      <c r="AB204" s="7" t="s">
        <v>1201</v>
      </c>
      <c r="AC204" s="7"/>
      <c r="AD204" s="8"/>
      <c r="AE204" s="8"/>
      <c r="AF204" s="8"/>
      <c r="AG204" s="10">
        <f t="shared" si="3"/>
        <v>43316</v>
      </c>
    </row>
    <row r="205" spans="1:33">
      <c r="A205" s="7" t="s">
        <v>1202</v>
      </c>
      <c r="B205" s="7" t="s">
        <v>1202</v>
      </c>
      <c r="C205" s="7" t="s">
        <v>1203</v>
      </c>
      <c r="D205" s="7" t="s">
        <v>1204</v>
      </c>
      <c r="E205" s="7" t="s">
        <v>49</v>
      </c>
      <c r="F205" s="7" t="s">
        <v>34</v>
      </c>
      <c r="G205" s="7" t="s">
        <v>35</v>
      </c>
      <c r="H205" s="7"/>
      <c r="I205" s="7"/>
      <c r="J205" s="7" t="s">
        <v>50</v>
      </c>
      <c r="K205" s="7" t="s">
        <v>1205</v>
      </c>
      <c r="L205" s="7" t="s">
        <v>1206</v>
      </c>
      <c r="M205" s="7" t="s">
        <v>1207</v>
      </c>
      <c r="N205" s="7" t="s">
        <v>49</v>
      </c>
      <c r="O205" s="7">
        <v>2</v>
      </c>
      <c r="P205" s="7" t="s">
        <v>41</v>
      </c>
      <c r="Q205" s="7">
        <v>179.98</v>
      </c>
      <c r="R205" s="7"/>
      <c r="S205" s="7"/>
      <c r="T205" s="7"/>
      <c r="U205" s="7"/>
      <c r="V205" s="7"/>
      <c r="W205" s="7"/>
      <c r="X205" s="7"/>
      <c r="Y205" s="7" t="s">
        <v>897</v>
      </c>
      <c r="Z205" s="7" t="s">
        <v>266</v>
      </c>
      <c r="AA205" s="7" t="s">
        <v>1208</v>
      </c>
      <c r="AB205" s="7" t="s">
        <v>45</v>
      </c>
      <c r="AC205" s="7"/>
      <c r="AD205" s="8"/>
      <c r="AE205" s="8"/>
      <c r="AF205" s="8"/>
      <c r="AG205" s="10">
        <f t="shared" si="3"/>
        <v>43316</v>
      </c>
    </row>
    <row r="206" spans="1:33">
      <c r="A206" s="7" t="s">
        <v>1209</v>
      </c>
      <c r="B206" s="7" t="s">
        <v>1209</v>
      </c>
      <c r="C206" s="7" t="s">
        <v>1210</v>
      </c>
      <c r="D206" s="7" t="s">
        <v>1211</v>
      </c>
      <c r="E206" s="7" t="s">
        <v>49</v>
      </c>
      <c r="F206" s="7" t="s">
        <v>34</v>
      </c>
      <c r="G206" s="7" t="s">
        <v>35</v>
      </c>
      <c r="H206" s="7"/>
      <c r="I206" s="7"/>
      <c r="J206" s="7" t="s">
        <v>50</v>
      </c>
      <c r="K206" s="7" t="s">
        <v>189</v>
      </c>
      <c r="L206" s="7" t="s">
        <v>190</v>
      </c>
      <c r="M206" s="7" t="s">
        <v>191</v>
      </c>
      <c r="N206" s="7" t="s">
        <v>49</v>
      </c>
      <c r="O206" s="7">
        <v>1</v>
      </c>
      <c r="P206" s="7" t="s">
        <v>41</v>
      </c>
      <c r="Q206" s="7">
        <v>79.99</v>
      </c>
      <c r="R206" s="7"/>
      <c r="S206" s="7"/>
      <c r="T206" s="7"/>
      <c r="U206" s="7"/>
      <c r="V206" s="7"/>
      <c r="W206" s="7"/>
      <c r="X206" s="7"/>
      <c r="Y206" s="7" t="s">
        <v>1212</v>
      </c>
      <c r="Z206" s="7" t="s">
        <v>178</v>
      </c>
      <c r="AA206" s="7" t="s">
        <v>1213</v>
      </c>
      <c r="AB206" s="7" t="s">
        <v>45</v>
      </c>
      <c r="AC206" s="7"/>
      <c r="AD206" s="8"/>
      <c r="AE206" s="8"/>
      <c r="AF206" s="8"/>
      <c r="AG206" s="10">
        <f t="shared" si="3"/>
        <v>43316</v>
      </c>
    </row>
    <row r="207" spans="1:33">
      <c r="A207" s="7" t="s">
        <v>1214</v>
      </c>
      <c r="B207" s="7" t="s">
        <v>1214</v>
      </c>
      <c r="C207" s="7" t="s">
        <v>1215</v>
      </c>
      <c r="D207" s="7" t="s">
        <v>1216</v>
      </c>
      <c r="E207" s="7" t="s">
        <v>49</v>
      </c>
      <c r="F207" s="7" t="s">
        <v>34</v>
      </c>
      <c r="G207" s="7" t="s">
        <v>35</v>
      </c>
      <c r="H207" s="7"/>
      <c r="I207" s="7"/>
      <c r="J207" s="7" t="s">
        <v>50</v>
      </c>
      <c r="K207" s="7" t="s">
        <v>70</v>
      </c>
      <c r="L207" s="7" t="s">
        <v>71</v>
      </c>
      <c r="M207" s="7" t="s">
        <v>72</v>
      </c>
      <c r="N207" s="7" t="s">
        <v>49</v>
      </c>
      <c r="O207" s="7">
        <v>1</v>
      </c>
      <c r="P207" s="7" t="s">
        <v>41</v>
      </c>
      <c r="Q207" s="7">
        <v>96.99</v>
      </c>
      <c r="R207" s="7"/>
      <c r="S207" s="7"/>
      <c r="T207" s="7"/>
      <c r="U207" s="7"/>
      <c r="V207" s="7"/>
      <c r="W207" s="7"/>
      <c r="X207" s="7"/>
      <c r="Y207" s="7" t="s">
        <v>1217</v>
      </c>
      <c r="Z207" s="7" t="s">
        <v>266</v>
      </c>
      <c r="AA207" s="7" t="s">
        <v>1218</v>
      </c>
      <c r="AB207" s="7" t="s">
        <v>45</v>
      </c>
      <c r="AC207" s="7"/>
      <c r="AD207" s="8"/>
      <c r="AE207" s="8"/>
      <c r="AF207" s="8"/>
      <c r="AG207" s="10">
        <f t="shared" si="3"/>
        <v>43316</v>
      </c>
    </row>
    <row r="208" spans="1:33">
      <c r="A208" s="7" t="s">
        <v>1219</v>
      </c>
      <c r="B208" s="7" t="s">
        <v>1219</v>
      </c>
      <c r="C208" s="7" t="s">
        <v>1220</v>
      </c>
      <c r="D208" s="7" t="s">
        <v>1221</v>
      </c>
      <c r="E208" s="7" t="s">
        <v>49</v>
      </c>
      <c r="F208" s="7" t="s">
        <v>34</v>
      </c>
      <c r="G208" s="7" t="s">
        <v>35</v>
      </c>
      <c r="H208" s="7"/>
      <c r="I208" s="7"/>
      <c r="J208" s="7" t="s">
        <v>50</v>
      </c>
      <c r="K208" s="7" t="s">
        <v>70</v>
      </c>
      <c r="L208" s="7" t="s">
        <v>71</v>
      </c>
      <c r="M208" s="7" t="s">
        <v>72</v>
      </c>
      <c r="N208" s="7" t="s">
        <v>49</v>
      </c>
      <c r="O208" s="7">
        <v>1</v>
      </c>
      <c r="P208" s="7" t="s">
        <v>41</v>
      </c>
      <c r="Q208" s="7">
        <v>96.99</v>
      </c>
      <c r="R208" s="7"/>
      <c r="S208" s="7"/>
      <c r="T208" s="7"/>
      <c r="U208" s="7"/>
      <c r="V208" s="7"/>
      <c r="W208" s="7"/>
      <c r="X208" s="7"/>
      <c r="Y208" s="7" t="s">
        <v>1222</v>
      </c>
      <c r="Z208" s="7" t="s">
        <v>178</v>
      </c>
      <c r="AA208" s="7" t="s">
        <v>1223</v>
      </c>
      <c r="AB208" s="7" t="s">
        <v>45</v>
      </c>
      <c r="AC208" s="7"/>
      <c r="AD208" s="8"/>
      <c r="AE208" s="8"/>
      <c r="AF208" s="8"/>
      <c r="AG208" s="10">
        <f t="shared" si="3"/>
        <v>43316</v>
      </c>
    </row>
    <row r="209" spans="1:33">
      <c r="A209" s="7" t="s">
        <v>1224</v>
      </c>
      <c r="B209" s="7" t="s">
        <v>1224</v>
      </c>
      <c r="C209" s="7" t="s">
        <v>1225</v>
      </c>
      <c r="D209" s="7" t="s">
        <v>1226</v>
      </c>
      <c r="E209" s="7" t="s">
        <v>49</v>
      </c>
      <c r="F209" s="7" t="s">
        <v>34</v>
      </c>
      <c r="G209" s="7" t="s">
        <v>35</v>
      </c>
      <c r="H209" s="7"/>
      <c r="I209" s="7"/>
      <c r="J209" s="7" t="s">
        <v>50</v>
      </c>
      <c r="K209" s="7" t="s">
        <v>1137</v>
      </c>
      <c r="L209" s="7" t="s">
        <v>1138</v>
      </c>
      <c r="M209" s="7" t="s">
        <v>1139</v>
      </c>
      <c r="N209" s="7" t="s">
        <v>49</v>
      </c>
      <c r="O209" s="7">
        <v>1</v>
      </c>
      <c r="P209" s="7" t="s">
        <v>41</v>
      </c>
      <c r="Q209" s="7">
        <v>32.99</v>
      </c>
      <c r="R209" s="7"/>
      <c r="S209" s="7"/>
      <c r="T209" s="7"/>
      <c r="U209" s="7"/>
      <c r="V209" s="7"/>
      <c r="W209" s="7"/>
      <c r="X209" s="7"/>
      <c r="Y209" s="7" t="s">
        <v>1227</v>
      </c>
      <c r="Z209" s="7" t="s">
        <v>178</v>
      </c>
      <c r="AA209" s="7" t="s">
        <v>1228</v>
      </c>
      <c r="AB209" s="7" t="s">
        <v>45</v>
      </c>
      <c r="AC209" s="7"/>
      <c r="AD209" s="8"/>
      <c r="AE209" s="8"/>
      <c r="AF209" s="8"/>
      <c r="AG209" s="10">
        <f t="shared" si="3"/>
        <v>43316</v>
      </c>
    </row>
    <row r="210" spans="1:33">
      <c r="A210" s="7" t="s">
        <v>1229</v>
      </c>
      <c r="B210" s="7" t="s">
        <v>1229</v>
      </c>
      <c r="C210" s="7" t="s">
        <v>1230</v>
      </c>
      <c r="D210" s="7" t="s">
        <v>1231</v>
      </c>
      <c r="E210" s="7" t="s">
        <v>49</v>
      </c>
      <c r="F210" s="7" t="s">
        <v>34</v>
      </c>
      <c r="G210" s="7" t="s">
        <v>35</v>
      </c>
      <c r="H210" s="7"/>
      <c r="I210" s="7"/>
      <c r="J210" s="7" t="s">
        <v>50</v>
      </c>
      <c r="K210" s="7" t="s">
        <v>276</v>
      </c>
      <c r="L210" s="7" t="s">
        <v>277</v>
      </c>
      <c r="M210" s="7" t="s">
        <v>278</v>
      </c>
      <c r="N210" s="7" t="s">
        <v>49</v>
      </c>
      <c r="O210" s="7">
        <v>1</v>
      </c>
      <c r="P210" s="7" t="s">
        <v>41</v>
      </c>
      <c r="Q210" s="7">
        <v>91.99</v>
      </c>
      <c r="R210" s="7"/>
      <c r="S210" s="7">
        <v>8.84</v>
      </c>
      <c r="T210" s="7"/>
      <c r="U210" s="7"/>
      <c r="V210" s="7"/>
      <c r="W210" s="7"/>
      <c r="X210" s="7"/>
      <c r="Y210" s="7" t="s">
        <v>265</v>
      </c>
      <c r="Z210" s="7" t="s">
        <v>266</v>
      </c>
      <c r="AA210" s="7" t="s">
        <v>1232</v>
      </c>
      <c r="AB210" s="7" t="s">
        <v>45</v>
      </c>
      <c r="AC210" s="7"/>
      <c r="AD210" s="8"/>
      <c r="AE210" s="8"/>
      <c r="AF210" s="8"/>
      <c r="AG210" s="10">
        <f t="shared" si="3"/>
        <v>43316</v>
      </c>
    </row>
    <row r="211" spans="1:33">
      <c r="A211" s="7" t="s">
        <v>1233</v>
      </c>
      <c r="B211" s="7" t="s">
        <v>1233</v>
      </c>
      <c r="C211" s="7" t="s">
        <v>1234</v>
      </c>
      <c r="D211" s="7" t="s">
        <v>1235</v>
      </c>
      <c r="E211" s="7" t="s">
        <v>49</v>
      </c>
      <c r="F211" s="7" t="s">
        <v>34</v>
      </c>
      <c r="G211" s="7" t="s">
        <v>35</v>
      </c>
      <c r="H211" s="7"/>
      <c r="I211" s="7"/>
      <c r="J211" s="7" t="s">
        <v>36</v>
      </c>
      <c r="K211" s="7" t="s">
        <v>208</v>
      </c>
      <c r="L211" s="7" t="s">
        <v>209</v>
      </c>
      <c r="M211" s="7" t="s">
        <v>210</v>
      </c>
      <c r="N211" s="7" t="s">
        <v>49</v>
      </c>
      <c r="O211" s="7">
        <v>1</v>
      </c>
      <c r="P211" s="7" t="s">
        <v>41</v>
      </c>
      <c r="Q211" s="7">
        <v>89.99</v>
      </c>
      <c r="R211" s="7"/>
      <c r="S211" s="7">
        <v>8.28</v>
      </c>
      <c r="T211" s="7"/>
      <c r="U211" s="7"/>
      <c r="V211" s="7"/>
      <c r="W211" s="7"/>
      <c r="X211" s="7"/>
      <c r="Y211" s="7" t="s">
        <v>1236</v>
      </c>
      <c r="Z211" s="7" t="s">
        <v>64</v>
      </c>
      <c r="AA211" s="7" t="s">
        <v>1237</v>
      </c>
      <c r="AB211" s="7" t="s">
        <v>45</v>
      </c>
      <c r="AC211" s="7"/>
      <c r="AD211" s="8"/>
      <c r="AE211" s="8"/>
      <c r="AF211" s="8"/>
      <c r="AG211" s="10">
        <f t="shared" si="3"/>
        <v>43316</v>
      </c>
    </row>
    <row r="212" spans="1:33">
      <c r="A212" s="7" t="s">
        <v>1238</v>
      </c>
      <c r="B212" s="7" t="s">
        <v>1238</v>
      </c>
      <c r="C212" s="7" t="s">
        <v>1239</v>
      </c>
      <c r="D212" s="7" t="s">
        <v>1240</v>
      </c>
      <c r="E212" s="7" t="s">
        <v>33</v>
      </c>
      <c r="F212" s="7" t="s">
        <v>34</v>
      </c>
      <c r="G212" s="7" t="s">
        <v>35</v>
      </c>
      <c r="H212" s="7"/>
      <c r="I212" s="7"/>
      <c r="J212" s="7" t="s">
        <v>50</v>
      </c>
      <c r="K212" s="7" t="s">
        <v>276</v>
      </c>
      <c r="L212" s="7" t="s">
        <v>277</v>
      </c>
      <c r="M212" s="7" t="s">
        <v>278</v>
      </c>
      <c r="N212" s="7" t="s">
        <v>33</v>
      </c>
      <c r="O212" s="7">
        <v>0</v>
      </c>
      <c r="P212" s="7"/>
      <c r="Q212" s="7"/>
      <c r="R212" s="7"/>
      <c r="S212" s="7"/>
      <c r="T212" s="7"/>
      <c r="U212" s="7"/>
      <c r="V212" s="7"/>
      <c r="W212" s="7"/>
      <c r="X212" s="7"/>
      <c r="Y212" s="7" t="s">
        <v>847</v>
      </c>
      <c r="Z212" s="7" t="s">
        <v>346</v>
      </c>
      <c r="AA212" s="7" t="s">
        <v>1241</v>
      </c>
      <c r="AB212" s="7" t="s">
        <v>45</v>
      </c>
      <c r="AC212" s="7"/>
      <c r="AD212" s="8"/>
      <c r="AE212" s="8"/>
      <c r="AF212" s="8"/>
      <c r="AG212" s="10">
        <f t="shared" si="3"/>
        <v>43316</v>
      </c>
    </row>
    <row r="213" spans="1:33">
      <c r="A213" s="7" t="s">
        <v>1242</v>
      </c>
      <c r="B213" s="7" t="s">
        <v>1242</v>
      </c>
      <c r="C213" s="7" t="s">
        <v>1243</v>
      </c>
      <c r="D213" s="7" t="s">
        <v>1244</v>
      </c>
      <c r="E213" s="7" t="s">
        <v>49</v>
      </c>
      <c r="F213" s="7" t="s">
        <v>34</v>
      </c>
      <c r="G213" s="7" t="s">
        <v>35</v>
      </c>
      <c r="H213" s="7"/>
      <c r="I213" s="7"/>
      <c r="J213" s="7" t="s">
        <v>50</v>
      </c>
      <c r="K213" s="7" t="s">
        <v>589</v>
      </c>
      <c r="L213" s="7" t="s">
        <v>590</v>
      </c>
      <c r="M213" s="7" t="s">
        <v>591</v>
      </c>
      <c r="N213" s="7" t="s">
        <v>49</v>
      </c>
      <c r="O213" s="7">
        <v>1</v>
      </c>
      <c r="P213" s="7" t="s">
        <v>41</v>
      </c>
      <c r="Q213" s="7">
        <v>12.99</v>
      </c>
      <c r="R213" s="7"/>
      <c r="S213" s="7"/>
      <c r="T213" s="7"/>
      <c r="U213" s="7"/>
      <c r="V213" s="7"/>
      <c r="W213" s="7"/>
      <c r="X213" s="7"/>
      <c r="Y213" s="7" t="s">
        <v>1245</v>
      </c>
      <c r="Z213" s="7" t="s">
        <v>1246</v>
      </c>
      <c r="AA213" s="7" t="s">
        <v>1247</v>
      </c>
      <c r="AB213" s="7" t="s">
        <v>45</v>
      </c>
      <c r="AC213" s="7"/>
      <c r="AD213" s="8"/>
      <c r="AE213" s="8"/>
      <c r="AF213" s="8"/>
      <c r="AG213" s="10">
        <f t="shared" si="3"/>
        <v>43316</v>
      </c>
    </row>
    <row r="214" spans="1:33">
      <c r="A214" s="7" t="s">
        <v>1248</v>
      </c>
      <c r="B214" s="7" t="s">
        <v>1248</v>
      </c>
      <c r="C214" s="7" t="s">
        <v>1249</v>
      </c>
      <c r="D214" s="7" t="s">
        <v>1250</v>
      </c>
      <c r="E214" s="7" t="s">
        <v>49</v>
      </c>
      <c r="F214" s="7" t="s">
        <v>34</v>
      </c>
      <c r="G214" s="7" t="s">
        <v>35</v>
      </c>
      <c r="H214" s="7"/>
      <c r="I214" s="7"/>
      <c r="J214" s="7" t="s">
        <v>36</v>
      </c>
      <c r="K214" s="7" t="s">
        <v>1251</v>
      </c>
      <c r="L214" s="7" t="s">
        <v>1252</v>
      </c>
      <c r="M214" s="7" t="s">
        <v>1253</v>
      </c>
      <c r="N214" s="7" t="s">
        <v>49</v>
      </c>
      <c r="O214" s="7">
        <v>1</v>
      </c>
      <c r="P214" s="7" t="s">
        <v>41</v>
      </c>
      <c r="Q214" s="7">
        <v>99.99</v>
      </c>
      <c r="R214" s="7"/>
      <c r="S214" s="7">
        <v>8.28</v>
      </c>
      <c r="T214" s="7"/>
      <c r="U214" s="7"/>
      <c r="V214" s="7"/>
      <c r="W214" s="7"/>
      <c r="X214" s="7"/>
      <c r="Y214" s="7" t="s">
        <v>1254</v>
      </c>
      <c r="Z214" s="7" t="s">
        <v>1255</v>
      </c>
      <c r="AA214" s="7" t="s">
        <v>1256</v>
      </c>
      <c r="AB214" s="7" t="s">
        <v>45</v>
      </c>
      <c r="AC214" s="7"/>
      <c r="AD214" s="8"/>
      <c r="AE214" s="8"/>
      <c r="AF214" s="8"/>
      <c r="AG214" s="10">
        <f t="shared" si="3"/>
        <v>43316</v>
      </c>
    </row>
    <row r="215" spans="1:33">
      <c r="A215" s="7" t="s">
        <v>1257</v>
      </c>
      <c r="B215" s="7" t="s">
        <v>1257</v>
      </c>
      <c r="C215" s="7" t="s">
        <v>1258</v>
      </c>
      <c r="D215" s="7" t="s">
        <v>1259</v>
      </c>
      <c r="E215" s="7" t="s">
        <v>49</v>
      </c>
      <c r="F215" s="7" t="s">
        <v>34</v>
      </c>
      <c r="G215" s="7" t="s">
        <v>35</v>
      </c>
      <c r="H215" s="7"/>
      <c r="I215" s="7"/>
      <c r="J215" s="7" t="s">
        <v>50</v>
      </c>
      <c r="K215" s="7" t="s">
        <v>611</v>
      </c>
      <c r="L215" s="7" t="s">
        <v>612</v>
      </c>
      <c r="M215" s="7" t="s">
        <v>613</v>
      </c>
      <c r="N215" s="7" t="s">
        <v>49</v>
      </c>
      <c r="O215" s="7">
        <v>1</v>
      </c>
      <c r="P215" s="7" t="s">
        <v>41</v>
      </c>
      <c r="Q215" s="7">
        <v>89.99</v>
      </c>
      <c r="R215" s="7"/>
      <c r="S215" s="7"/>
      <c r="T215" s="7"/>
      <c r="U215" s="7"/>
      <c r="V215" s="7"/>
      <c r="W215" s="7"/>
      <c r="X215" s="7"/>
      <c r="Y215" s="7" t="s">
        <v>1260</v>
      </c>
      <c r="Z215" s="7" t="s">
        <v>64</v>
      </c>
      <c r="AA215" s="7" t="s">
        <v>1261</v>
      </c>
      <c r="AB215" s="7" t="s">
        <v>45</v>
      </c>
      <c r="AC215" s="7"/>
      <c r="AD215" s="8"/>
      <c r="AE215" s="8"/>
      <c r="AF215" s="8"/>
      <c r="AG215" s="10">
        <f t="shared" si="3"/>
        <v>43316</v>
      </c>
    </row>
    <row r="216" spans="1:33">
      <c r="A216" s="7" t="s">
        <v>1262</v>
      </c>
      <c r="B216" s="7" t="s">
        <v>1262</v>
      </c>
      <c r="C216" s="7" t="s">
        <v>1263</v>
      </c>
      <c r="D216" s="7" t="s">
        <v>1264</v>
      </c>
      <c r="E216" s="7" t="s">
        <v>49</v>
      </c>
      <c r="F216" s="7" t="s">
        <v>34</v>
      </c>
      <c r="G216" s="7" t="s">
        <v>35</v>
      </c>
      <c r="H216" s="7"/>
      <c r="I216" s="7"/>
      <c r="J216" s="7" t="s">
        <v>50</v>
      </c>
      <c r="K216" s="7" t="s">
        <v>456</v>
      </c>
      <c r="L216" s="7" t="s">
        <v>457</v>
      </c>
      <c r="M216" s="7" t="s">
        <v>458</v>
      </c>
      <c r="N216" s="7" t="s">
        <v>49</v>
      </c>
      <c r="O216" s="7">
        <v>1</v>
      </c>
      <c r="P216" s="7" t="s">
        <v>41</v>
      </c>
      <c r="Q216" s="7">
        <v>85.99</v>
      </c>
      <c r="R216" s="7"/>
      <c r="S216" s="7"/>
      <c r="T216" s="7"/>
      <c r="U216" s="7"/>
      <c r="V216" s="7"/>
      <c r="W216" s="7"/>
      <c r="X216" s="7"/>
      <c r="Y216" s="7" t="s">
        <v>1265</v>
      </c>
      <c r="Z216" s="7" t="s">
        <v>83</v>
      </c>
      <c r="AA216" s="7" t="s">
        <v>1266</v>
      </c>
      <c r="AB216" s="7" t="s">
        <v>45</v>
      </c>
      <c r="AC216" s="7"/>
      <c r="AD216" s="8"/>
      <c r="AE216" s="8"/>
      <c r="AF216" s="8"/>
      <c r="AG216" s="10">
        <f t="shared" si="3"/>
        <v>43317</v>
      </c>
    </row>
    <row r="217" spans="1:33">
      <c r="A217" s="7" t="s">
        <v>1267</v>
      </c>
      <c r="B217" s="7" t="s">
        <v>1267</v>
      </c>
      <c r="C217" s="7" t="s">
        <v>1268</v>
      </c>
      <c r="D217" s="7" t="s">
        <v>1269</v>
      </c>
      <c r="E217" s="7" t="s">
        <v>33</v>
      </c>
      <c r="F217" s="7" t="s">
        <v>34</v>
      </c>
      <c r="G217" s="7" t="s">
        <v>35</v>
      </c>
      <c r="H217" s="7"/>
      <c r="I217" s="7"/>
      <c r="J217" s="7" t="s">
        <v>50</v>
      </c>
      <c r="K217" s="7" t="s">
        <v>1270</v>
      </c>
      <c r="L217" s="7" t="s">
        <v>1271</v>
      </c>
      <c r="M217" s="7" t="s">
        <v>1272</v>
      </c>
      <c r="N217" s="7" t="s">
        <v>33</v>
      </c>
      <c r="O217" s="7">
        <v>0</v>
      </c>
      <c r="P217" s="7"/>
      <c r="Q217" s="7"/>
      <c r="R217" s="7"/>
      <c r="S217" s="7"/>
      <c r="T217" s="7"/>
      <c r="U217" s="7"/>
      <c r="V217" s="7"/>
      <c r="W217" s="7"/>
      <c r="X217" s="7"/>
      <c r="Y217" s="7" t="s">
        <v>1273</v>
      </c>
      <c r="Z217" s="7" t="s">
        <v>64</v>
      </c>
      <c r="AA217" s="7" t="s">
        <v>1274</v>
      </c>
      <c r="AB217" s="7" t="s">
        <v>45</v>
      </c>
      <c r="AC217" s="7"/>
      <c r="AD217" s="8"/>
      <c r="AE217" s="8"/>
      <c r="AF217" s="8"/>
      <c r="AG217" s="10">
        <f t="shared" si="3"/>
        <v>43317</v>
      </c>
    </row>
    <row r="218" spans="1:33">
      <c r="A218" s="7" t="s">
        <v>1275</v>
      </c>
      <c r="B218" s="7" t="s">
        <v>1275</v>
      </c>
      <c r="C218" s="7" t="s">
        <v>1276</v>
      </c>
      <c r="D218" s="7" t="s">
        <v>1277</v>
      </c>
      <c r="E218" s="7" t="s">
        <v>49</v>
      </c>
      <c r="F218" s="7" t="s">
        <v>34</v>
      </c>
      <c r="G218" s="7" t="s">
        <v>35</v>
      </c>
      <c r="H218" s="7"/>
      <c r="I218" s="7"/>
      <c r="J218" s="7" t="s">
        <v>50</v>
      </c>
      <c r="K218" s="7" t="s">
        <v>603</v>
      </c>
      <c r="L218" s="7" t="s">
        <v>604</v>
      </c>
      <c r="M218" s="7" t="s">
        <v>605</v>
      </c>
      <c r="N218" s="7" t="s">
        <v>49</v>
      </c>
      <c r="O218" s="7">
        <v>1</v>
      </c>
      <c r="P218" s="7" t="s">
        <v>41</v>
      </c>
      <c r="Q218" s="7">
        <v>99.99</v>
      </c>
      <c r="R218" s="7"/>
      <c r="S218" s="7"/>
      <c r="T218" s="7"/>
      <c r="U218" s="7"/>
      <c r="V218" s="7"/>
      <c r="W218" s="7"/>
      <c r="X218" s="7"/>
      <c r="Y218" s="7" t="s">
        <v>1278</v>
      </c>
      <c r="Z218" s="7" t="s">
        <v>178</v>
      </c>
      <c r="AA218" s="7">
        <v>91010</v>
      </c>
      <c r="AB218" s="7" t="s">
        <v>45</v>
      </c>
      <c r="AC218" s="7"/>
      <c r="AD218" s="8"/>
      <c r="AE218" s="8"/>
      <c r="AF218" s="8"/>
      <c r="AG218" s="10">
        <f t="shared" si="3"/>
        <v>43317</v>
      </c>
    </row>
    <row r="219" spans="1:33">
      <c r="A219" s="7" t="s">
        <v>1279</v>
      </c>
      <c r="B219" s="7" t="s">
        <v>1279</v>
      </c>
      <c r="C219" s="7" t="s">
        <v>1280</v>
      </c>
      <c r="D219" s="7" t="s">
        <v>1281</v>
      </c>
      <c r="E219" s="7" t="s">
        <v>49</v>
      </c>
      <c r="F219" s="7" t="s">
        <v>34</v>
      </c>
      <c r="G219" s="7" t="s">
        <v>35</v>
      </c>
      <c r="H219" s="7"/>
      <c r="I219" s="7"/>
      <c r="J219" s="7" t="s">
        <v>36</v>
      </c>
      <c r="K219" s="7" t="s">
        <v>142</v>
      </c>
      <c r="L219" s="7" t="s">
        <v>143</v>
      </c>
      <c r="M219" s="7" t="s">
        <v>144</v>
      </c>
      <c r="N219" s="7" t="s">
        <v>49</v>
      </c>
      <c r="O219" s="7">
        <v>1</v>
      </c>
      <c r="P219" s="7" t="s">
        <v>41</v>
      </c>
      <c r="Q219" s="7">
        <v>79.99</v>
      </c>
      <c r="R219" s="7"/>
      <c r="S219" s="7">
        <v>7.97</v>
      </c>
      <c r="T219" s="7"/>
      <c r="U219" s="7"/>
      <c r="V219" s="7"/>
      <c r="W219" s="7"/>
      <c r="X219" s="7"/>
      <c r="Y219" s="7" t="s">
        <v>1282</v>
      </c>
      <c r="Z219" s="7" t="s">
        <v>1283</v>
      </c>
      <c r="AA219" s="7" t="s">
        <v>1284</v>
      </c>
      <c r="AB219" s="7" t="s">
        <v>45</v>
      </c>
      <c r="AC219" s="7"/>
      <c r="AD219" s="8"/>
      <c r="AE219" s="8"/>
      <c r="AF219" s="8"/>
      <c r="AG219" s="10">
        <f t="shared" si="3"/>
        <v>43317</v>
      </c>
    </row>
    <row r="220" spans="1:33">
      <c r="A220" s="7" t="s">
        <v>1285</v>
      </c>
      <c r="B220" s="7" t="s">
        <v>1285</v>
      </c>
      <c r="C220" s="7" t="s">
        <v>1286</v>
      </c>
      <c r="D220" s="7" t="s">
        <v>1287</v>
      </c>
      <c r="E220" s="7" t="s">
        <v>49</v>
      </c>
      <c r="F220" s="7" t="s">
        <v>34</v>
      </c>
      <c r="G220" s="7" t="s">
        <v>35</v>
      </c>
      <c r="H220" s="7"/>
      <c r="I220" s="7"/>
      <c r="J220" s="7" t="s">
        <v>50</v>
      </c>
      <c r="K220" s="7" t="s">
        <v>603</v>
      </c>
      <c r="L220" s="7" t="s">
        <v>604</v>
      </c>
      <c r="M220" s="7" t="s">
        <v>605</v>
      </c>
      <c r="N220" s="7" t="s">
        <v>49</v>
      </c>
      <c r="O220" s="7">
        <v>1</v>
      </c>
      <c r="P220" s="7" t="s">
        <v>41</v>
      </c>
      <c r="Q220" s="7">
        <v>99.99</v>
      </c>
      <c r="R220" s="7"/>
      <c r="S220" s="7"/>
      <c r="T220" s="7"/>
      <c r="U220" s="7"/>
      <c r="V220" s="7"/>
      <c r="W220" s="7"/>
      <c r="X220" s="7"/>
      <c r="Y220" s="7" t="s">
        <v>1288</v>
      </c>
      <c r="Z220" s="7" t="s">
        <v>92</v>
      </c>
      <c r="AA220" s="7" t="s">
        <v>1289</v>
      </c>
      <c r="AB220" s="7" t="s">
        <v>45</v>
      </c>
      <c r="AC220" s="7"/>
      <c r="AD220" s="8"/>
      <c r="AE220" s="8"/>
      <c r="AF220" s="8"/>
      <c r="AG220" s="10">
        <f t="shared" si="3"/>
        <v>43317</v>
      </c>
    </row>
    <row r="221" spans="1:33">
      <c r="A221" s="7" t="s">
        <v>1290</v>
      </c>
      <c r="B221" s="7" t="s">
        <v>1290</v>
      </c>
      <c r="C221" s="7" t="s">
        <v>1291</v>
      </c>
      <c r="D221" s="7" t="s">
        <v>1292</v>
      </c>
      <c r="E221" s="7" t="s">
        <v>49</v>
      </c>
      <c r="F221" s="7" t="s">
        <v>34</v>
      </c>
      <c r="G221" s="7" t="s">
        <v>35</v>
      </c>
      <c r="H221" s="7"/>
      <c r="I221" s="7"/>
      <c r="J221" s="7" t="s">
        <v>50</v>
      </c>
      <c r="K221" s="7" t="s">
        <v>276</v>
      </c>
      <c r="L221" s="7" t="s">
        <v>277</v>
      </c>
      <c r="M221" s="7" t="s">
        <v>278</v>
      </c>
      <c r="N221" s="7" t="s">
        <v>49</v>
      </c>
      <c r="O221" s="7">
        <v>1</v>
      </c>
      <c r="P221" s="7" t="s">
        <v>41</v>
      </c>
      <c r="Q221" s="7">
        <v>91.99</v>
      </c>
      <c r="R221" s="7"/>
      <c r="S221" s="7"/>
      <c r="T221" s="7"/>
      <c r="U221" s="7"/>
      <c r="V221" s="7"/>
      <c r="W221" s="7"/>
      <c r="X221" s="7"/>
      <c r="Y221" s="7" t="s">
        <v>1293</v>
      </c>
      <c r="Z221" s="7" t="s">
        <v>178</v>
      </c>
      <c r="AA221" s="7" t="s">
        <v>1294</v>
      </c>
      <c r="AB221" s="7" t="s">
        <v>45</v>
      </c>
      <c r="AC221" s="7"/>
      <c r="AD221" s="11"/>
      <c r="AE221" s="11"/>
      <c r="AF221" s="11"/>
      <c r="AG221" s="10">
        <f t="shared" si="3"/>
        <v>43317</v>
      </c>
    </row>
    <row r="222" spans="1:33">
      <c r="A222" s="7" t="s">
        <v>1295</v>
      </c>
      <c r="B222" s="7" t="s">
        <v>1295</v>
      </c>
      <c r="C222" s="7" t="s">
        <v>1296</v>
      </c>
      <c r="D222" s="7" t="s">
        <v>1297</v>
      </c>
      <c r="E222" s="7" t="s">
        <v>33</v>
      </c>
      <c r="F222" s="7" t="s">
        <v>34</v>
      </c>
      <c r="G222" s="7" t="s">
        <v>35</v>
      </c>
      <c r="H222" s="7"/>
      <c r="I222" s="7"/>
      <c r="J222" s="7" t="s">
        <v>50</v>
      </c>
      <c r="K222" s="7" t="s">
        <v>1298</v>
      </c>
      <c r="L222" s="7" t="s">
        <v>1299</v>
      </c>
      <c r="M222" s="7" t="s">
        <v>1300</v>
      </c>
      <c r="N222" s="7" t="s">
        <v>33</v>
      </c>
      <c r="O222" s="7">
        <v>0</v>
      </c>
      <c r="P222" s="7"/>
      <c r="Q222" s="7"/>
      <c r="R222" s="7"/>
      <c r="S222" s="7"/>
      <c r="T222" s="7"/>
      <c r="U222" s="7"/>
      <c r="V222" s="7"/>
      <c r="W222" s="7"/>
      <c r="X222" s="7"/>
      <c r="Y222" s="7" t="s">
        <v>1301</v>
      </c>
      <c r="Z222" s="7" t="s">
        <v>1302</v>
      </c>
      <c r="AA222" s="7" t="s">
        <v>1303</v>
      </c>
      <c r="AB222" s="7" t="s">
        <v>45</v>
      </c>
      <c r="AC222" s="7"/>
      <c r="AD222" s="11"/>
      <c r="AE222" s="11"/>
      <c r="AF222" s="11"/>
      <c r="AG222" s="10">
        <f t="shared" si="3"/>
        <v>43317</v>
      </c>
    </row>
    <row r="223" spans="1:33">
      <c r="A223" s="7" t="s">
        <v>1304</v>
      </c>
      <c r="B223" s="7" t="s">
        <v>1304</v>
      </c>
      <c r="C223" s="7" t="s">
        <v>1305</v>
      </c>
      <c r="D223" s="7" t="s">
        <v>1306</v>
      </c>
      <c r="E223" s="7" t="s">
        <v>49</v>
      </c>
      <c r="F223" s="7" t="s">
        <v>34</v>
      </c>
      <c r="G223" s="7" t="s">
        <v>35</v>
      </c>
      <c r="H223" s="7"/>
      <c r="I223" s="7"/>
      <c r="J223" s="7" t="s">
        <v>50</v>
      </c>
      <c r="K223" s="7" t="s">
        <v>1307</v>
      </c>
      <c r="L223" s="7" t="s">
        <v>1308</v>
      </c>
      <c r="M223" s="7" t="s">
        <v>1309</v>
      </c>
      <c r="N223" s="7" t="s">
        <v>49</v>
      </c>
      <c r="O223" s="7">
        <v>1</v>
      </c>
      <c r="P223" s="7" t="s">
        <v>41</v>
      </c>
      <c r="Q223" s="7">
        <v>99.6</v>
      </c>
      <c r="R223" s="7"/>
      <c r="S223" s="7"/>
      <c r="T223" s="7"/>
      <c r="U223" s="7"/>
      <c r="V223" s="7"/>
      <c r="W223" s="7">
        <v>9.96</v>
      </c>
      <c r="X223" s="7"/>
      <c r="Y223" s="7" t="s">
        <v>279</v>
      </c>
      <c r="Z223" s="7" t="s">
        <v>280</v>
      </c>
      <c r="AA223" s="7" t="s">
        <v>1310</v>
      </c>
      <c r="AB223" s="7" t="s">
        <v>45</v>
      </c>
      <c r="AC223" s="7" t="s">
        <v>1311</v>
      </c>
      <c r="AD223" s="11"/>
      <c r="AE223" s="11"/>
      <c r="AF223" s="11"/>
      <c r="AG223" s="10">
        <f t="shared" si="3"/>
        <v>43317</v>
      </c>
    </row>
    <row r="224" spans="1:33">
      <c r="A224" s="7" t="s">
        <v>1312</v>
      </c>
      <c r="B224" s="7" t="s">
        <v>1312</v>
      </c>
      <c r="C224" s="7" t="s">
        <v>1313</v>
      </c>
      <c r="D224" s="7" t="s">
        <v>1314</v>
      </c>
      <c r="E224" s="7" t="s">
        <v>49</v>
      </c>
      <c r="F224" s="7" t="s">
        <v>34</v>
      </c>
      <c r="G224" s="7" t="s">
        <v>35</v>
      </c>
      <c r="H224" s="7"/>
      <c r="I224" s="7"/>
      <c r="J224" s="7" t="s">
        <v>50</v>
      </c>
      <c r="K224" s="7" t="s">
        <v>120</v>
      </c>
      <c r="L224" s="7" t="s">
        <v>121</v>
      </c>
      <c r="M224" s="7" t="s">
        <v>122</v>
      </c>
      <c r="N224" s="7" t="s">
        <v>49</v>
      </c>
      <c r="O224" s="7">
        <v>1</v>
      </c>
      <c r="P224" s="7" t="s">
        <v>41</v>
      </c>
      <c r="Q224" s="7">
        <v>29.99</v>
      </c>
      <c r="R224" s="7"/>
      <c r="S224" s="7"/>
      <c r="T224" s="7"/>
      <c r="U224" s="7"/>
      <c r="V224" s="7"/>
      <c r="W224" s="7"/>
      <c r="X224" s="7"/>
      <c r="Y224" s="7" t="s">
        <v>1315</v>
      </c>
      <c r="Z224" s="7" t="s">
        <v>1316</v>
      </c>
      <c r="AA224" s="7">
        <v>49721</v>
      </c>
      <c r="AB224" s="7" t="s">
        <v>45</v>
      </c>
      <c r="AC224" s="7"/>
      <c r="AD224" s="11"/>
      <c r="AE224" s="11"/>
      <c r="AF224" s="11"/>
      <c r="AG224" s="10">
        <f t="shared" si="3"/>
        <v>43317</v>
      </c>
    </row>
    <row r="225" spans="1:33">
      <c r="A225" s="7" t="s">
        <v>1317</v>
      </c>
      <c r="B225" s="7" t="s">
        <v>1317</v>
      </c>
      <c r="C225" s="7" t="s">
        <v>1318</v>
      </c>
      <c r="D225" s="7" t="s">
        <v>1319</v>
      </c>
      <c r="E225" s="7" t="s">
        <v>49</v>
      </c>
      <c r="F225" s="7" t="s">
        <v>34</v>
      </c>
      <c r="G225" s="7" t="s">
        <v>35</v>
      </c>
      <c r="H225" s="7"/>
      <c r="I225" s="7"/>
      <c r="J225" s="7" t="s">
        <v>50</v>
      </c>
      <c r="K225" s="7" t="s">
        <v>208</v>
      </c>
      <c r="L225" s="7" t="s">
        <v>209</v>
      </c>
      <c r="M225" s="7" t="s">
        <v>210</v>
      </c>
      <c r="N225" s="7" t="s">
        <v>49</v>
      </c>
      <c r="O225" s="7">
        <v>1</v>
      </c>
      <c r="P225" s="7" t="s">
        <v>41</v>
      </c>
      <c r="Q225" s="7">
        <v>89.99</v>
      </c>
      <c r="R225" s="7"/>
      <c r="S225" s="7"/>
      <c r="T225" s="7"/>
      <c r="U225" s="7"/>
      <c r="V225" s="7"/>
      <c r="W225" s="7"/>
      <c r="X225" s="7"/>
      <c r="Y225" s="7" t="s">
        <v>1320</v>
      </c>
      <c r="Z225" s="7" t="s">
        <v>230</v>
      </c>
      <c r="AA225" s="7" t="s">
        <v>1321</v>
      </c>
      <c r="AB225" s="7" t="s">
        <v>45</v>
      </c>
      <c r="AC225" s="7"/>
      <c r="AD225" s="11"/>
      <c r="AE225" s="11"/>
      <c r="AF225" s="11"/>
      <c r="AG225" s="10">
        <f t="shared" si="3"/>
        <v>43317</v>
      </c>
    </row>
    <row r="226" spans="1:33">
      <c r="A226" s="7" t="s">
        <v>1322</v>
      </c>
      <c r="B226" s="7" t="s">
        <v>1322</v>
      </c>
      <c r="C226" s="7" t="s">
        <v>1323</v>
      </c>
      <c r="D226" s="7" t="s">
        <v>1324</v>
      </c>
      <c r="E226" s="7" t="s">
        <v>49</v>
      </c>
      <c r="F226" s="7" t="s">
        <v>34</v>
      </c>
      <c r="G226" s="7" t="s">
        <v>35</v>
      </c>
      <c r="H226" s="7"/>
      <c r="I226" s="7"/>
      <c r="J226" s="7" t="s">
        <v>50</v>
      </c>
      <c r="K226" s="7" t="s">
        <v>276</v>
      </c>
      <c r="L226" s="7" t="s">
        <v>277</v>
      </c>
      <c r="M226" s="7" t="s">
        <v>278</v>
      </c>
      <c r="N226" s="7" t="s">
        <v>49</v>
      </c>
      <c r="O226" s="7">
        <v>1</v>
      </c>
      <c r="P226" s="7" t="s">
        <v>41</v>
      </c>
      <c r="Q226" s="7">
        <v>91.99</v>
      </c>
      <c r="R226" s="7"/>
      <c r="S226" s="7"/>
      <c r="T226" s="7"/>
      <c r="U226" s="7"/>
      <c r="V226" s="7"/>
      <c r="W226" s="7">
        <v>22</v>
      </c>
      <c r="X226" s="7"/>
      <c r="Y226" s="7" t="s">
        <v>1325</v>
      </c>
      <c r="Z226" s="7" t="s">
        <v>230</v>
      </c>
      <c r="AA226" s="7" t="s">
        <v>1326</v>
      </c>
      <c r="AB226" s="7" t="s">
        <v>45</v>
      </c>
      <c r="AC226" s="7"/>
      <c r="AD226" s="11"/>
      <c r="AE226" s="11"/>
      <c r="AF226" s="11"/>
      <c r="AG226" s="10">
        <f t="shared" si="3"/>
        <v>43317</v>
      </c>
    </row>
    <row r="227" spans="1:33">
      <c r="A227" s="7" t="s">
        <v>1327</v>
      </c>
      <c r="B227" s="7" t="s">
        <v>1327</v>
      </c>
      <c r="C227" s="7" t="s">
        <v>1328</v>
      </c>
      <c r="D227" s="7" t="s">
        <v>1329</v>
      </c>
      <c r="E227" s="7" t="s">
        <v>49</v>
      </c>
      <c r="F227" s="7" t="s">
        <v>34</v>
      </c>
      <c r="G227" s="7" t="s">
        <v>35</v>
      </c>
      <c r="H227" s="7"/>
      <c r="I227" s="7"/>
      <c r="J227" s="7" t="s">
        <v>50</v>
      </c>
      <c r="K227" s="7" t="s">
        <v>276</v>
      </c>
      <c r="L227" s="7" t="s">
        <v>277</v>
      </c>
      <c r="M227" s="7" t="s">
        <v>278</v>
      </c>
      <c r="N227" s="7" t="s">
        <v>49</v>
      </c>
      <c r="O227" s="7">
        <v>1</v>
      </c>
      <c r="P227" s="7" t="s">
        <v>41</v>
      </c>
      <c r="Q227" s="7">
        <v>91.99</v>
      </c>
      <c r="R227" s="7"/>
      <c r="S227" s="7"/>
      <c r="T227" s="7"/>
      <c r="U227" s="7"/>
      <c r="V227" s="7"/>
      <c r="W227" s="7">
        <v>22</v>
      </c>
      <c r="X227" s="7"/>
      <c r="Y227" s="7" t="s">
        <v>1212</v>
      </c>
      <c r="Z227" s="7" t="s">
        <v>178</v>
      </c>
      <c r="AA227" s="7" t="s">
        <v>1330</v>
      </c>
      <c r="AB227" s="7" t="s">
        <v>45</v>
      </c>
      <c r="AC227" s="7"/>
      <c r="AD227" s="11"/>
      <c r="AE227" s="11"/>
      <c r="AF227" s="11"/>
      <c r="AG227" s="10">
        <f t="shared" si="3"/>
        <v>43317</v>
      </c>
    </row>
    <row r="228" spans="1:33">
      <c r="A228" s="7" t="s">
        <v>1331</v>
      </c>
      <c r="B228" s="7" t="s">
        <v>1331</v>
      </c>
      <c r="C228" s="7" t="s">
        <v>1332</v>
      </c>
      <c r="D228" s="7" t="s">
        <v>1333</v>
      </c>
      <c r="E228" s="7" t="s">
        <v>49</v>
      </c>
      <c r="F228" s="7" t="s">
        <v>34</v>
      </c>
      <c r="G228" s="7" t="s">
        <v>35</v>
      </c>
      <c r="H228" s="7"/>
      <c r="I228" s="7"/>
      <c r="J228" s="7" t="s">
        <v>50</v>
      </c>
      <c r="K228" s="7" t="s">
        <v>611</v>
      </c>
      <c r="L228" s="7" t="s">
        <v>612</v>
      </c>
      <c r="M228" s="7" t="s">
        <v>613</v>
      </c>
      <c r="N228" s="7" t="s">
        <v>49</v>
      </c>
      <c r="O228" s="7">
        <v>1</v>
      </c>
      <c r="P228" s="7" t="s">
        <v>41</v>
      </c>
      <c r="Q228" s="7">
        <v>89.99</v>
      </c>
      <c r="R228" s="7"/>
      <c r="S228" s="7"/>
      <c r="T228" s="7"/>
      <c r="U228" s="7"/>
      <c r="V228" s="7"/>
      <c r="W228" s="7"/>
      <c r="X228" s="7"/>
      <c r="Y228" s="7" t="s">
        <v>1334</v>
      </c>
      <c r="Z228" s="7" t="s">
        <v>1335</v>
      </c>
      <c r="AA228" s="7">
        <v>59411</v>
      </c>
      <c r="AB228" s="7" t="s">
        <v>45</v>
      </c>
      <c r="AC228" s="7"/>
      <c r="AD228" s="11"/>
      <c r="AE228" s="11"/>
      <c r="AF228" s="11"/>
      <c r="AG228" s="10">
        <f t="shared" si="3"/>
        <v>43317</v>
      </c>
    </row>
    <row r="229" spans="1:33">
      <c r="A229" s="7" t="s">
        <v>1336</v>
      </c>
      <c r="B229" s="7" t="s">
        <v>1336</v>
      </c>
      <c r="C229" s="7" t="s">
        <v>1337</v>
      </c>
      <c r="D229" s="7" t="s">
        <v>1338</v>
      </c>
      <c r="E229" s="7" t="s">
        <v>49</v>
      </c>
      <c r="F229" s="7" t="s">
        <v>34</v>
      </c>
      <c r="G229" s="7" t="s">
        <v>35</v>
      </c>
      <c r="H229" s="7"/>
      <c r="I229" s="7"/>
      <c r="J229" s="7" t="s">
        <v>50</v>
      </c>
      <c r="K229" s="7" t="s">
        <v>276</v>
      </c>
      <c r="L229" s="7" t="s">
        <v>277</v>
      </c>
      <c r="M229" s="7" t="s">
        <v>278</v>
      </c>
      <c r="N229" s="7" t="s">
        <v>49</v>
      </c>
      <c r="O229" s="7">
        <v>1</v>
      </c>
      <c r="P229" s="7" t="s">
        <v>41</v>
      </c>
      <c r="Q229" s="7">
        <v>91.99</v>
      </c>
      <c r="R229" s="7"/>
      <c r="S229" s="7"/>
      <c r="T229" s="7"/>
      <c r="U229" s="7"/>
      <c r="V229" s="7"/>
      <c r="W229" s="7">
        <v>22</v>
      </c>
      <c r="X229" s="7"/>
      <c r="Y229" s="7" t="s">
        <v>1339</v>
      </c>
      <c r="Z229" s="7" t="s">
        <v>1340</v>
      </c>
      <c r="AA229" s="7">
        <v>82937</v>
      </c>
      <c r="AB229" s="7" t="s">
        <v>45</v>
      </c>
      <c r="AC229" s="7"/>
      <c r="AD229" s="11"/>
      <c r="AE229" s="11"/>
      <c r="AF229" s="11"/>
      <c r="AG229" s="10">
        <f t="shared" si="3"/>
        <v>43317</v>
      </c>
    </row>
    <row r="230" spans="1:33">
      <c r="A230" s="7" t="s">
        <v>1341</v>
      </c>
      <c r="B230" s="7" t="s">
        <v>1341</v>
      </c>
      <c r="C230" s="7" t="s">
        <v>1342</v>
      </c>
      <c r="D230" s="7" t="s">
        <v>1343</v>
      </c>
      <c r="E230" s="7" t="s">
        <v>49</v>
      </c>
      <c r="F230" s="7" t="s">
        <v>34</v>
      </c>
      <c r="G230" s="7" t="s">
        <v>35</v>
      </c>
      <c r="H230" s="7"/>
      <c r="I230" s="7"/>
      <c r="J230" s="7" t="s">
        <v>50</v>
      </c>
      <c r="K230" s="7" t="s">
        <v>70</v>
      </c>
      <c r="L230" s="7" t="s">
        <v>71</v>
      </c>
      <c r="M230" s="7" t="s">
        <v>72</v>
      </c>
      <c r="N230" s="7" t="s">
        <v>49</v>
      </c>
      <c r="O230" s="7">
        <v>1</v>
      </c>
      <c r="P230" s="7" t="s">
        <v>41</v>
      </c>
      <c r="Q230" s="7">
        <v>96.99</v>
      </c>
      <c r="R230" s="7"/>
      <c r="S230" s="7"/>
      <c r="T230" s="7"/>
      <c r="U230" s="7"/>
      <c r="V230" s="7"/>
      <c r="W230" s="7"/>
      <c r="X230" s="7"/>
      <c r="Y230" s="7" t="s">
        <v>1344</v>
      </c>
      <c r="Z230" s="7" t="s">
        <v>221</v>
      </c>
      <c r="AA230" s="7" t="s">
        <v>1345</v>
      </c>
      <c r="AB230" s="7" t="s">
        <v>45</v>
      </c>
      <c r="AC230" s="7"/>
      <c r="AD230" s="11"/>
      <c r="AE230" s="11"/>
      <c r="AF230" s="11"/>
      <c r="AG230" s="10">
        <f t="shared" si="3"/>
        <v>43317</v>
      </c>
    </row>
    <row r="231" spans="1:33">
      <c r="A231" s="7" t="s">
        <v>1346</v>
      </c>
      <c r="B231" s="7" t="s">
        <v>1346</v>
      </c>
      <c r="C231" s="7" t="s">
        <v>1347</v>
      </c>
      <c r="D231" s="7" t="s">
        <v>1348</v>
      </c>
      <c r="E231" s="7" t="s">
        <v>33</v>
      </c>
      <c r="F231" s="7" t="s">
        <v>34</v>
      </c>
      <c r="G231" s="7" t="s">
        <v>35</v>
      </c>
      <c r="H231" s="7"/>
      <c r="I231" s="7"/>
      <c r="J231" s="7" t="s">
        <v>50</v>
      </c>
      <c r="K231" s="7" t="s">
        <v>276</v>
      </c>
      <c r="L231" s="7" t="s">
        <v>277</v>
      </c>
      <c r="M231" s="7" t="s">
        <v>278</v>
      </c>
      <c r="N231" s="7" t="s">
        <v>33</v>
      </c>
      <c r="O231" s="7">
        <v>0</v>
      </c>
      <c r="P231" s="7"/>
      <c r="Q231" s="7"/>
      <c r="R231" s="7"/>
      <c r="S231" s="7"/>
      <c r="T231" s="7"/>
      <c r="U231" s="7"/>
      <c r="V231" s="7"/>
      <c r="W231" s="7"/>
      <c r="X231" s="7"/>
      <c r="Y231" s="7" t="s">
        <v>1349</v>
      </c>
      <c r="Z231" s="7" t="s">
        <v>872</v>
      </c>
      <c r="AA231" s="7" t="s">
        <v>1350</v>
      </c>
      <c r="AB231" s="7" t="s">
        <v>45</v>
      </c>
      <c r="AC231" s="7"/>
      <c r="AD231" s="11"/>
      <c r="AE231" s="11"/>
      <c r="AF231" s="11"/>
      <c r="AG231" s="10">
        <f t="shared" si="3"/>
        <v>43317</v>
      </c>
    </row>
    <row r="232" spans="1:33">
      <c r="A232" s="7" t="s">
        <v>1351</v>
      </c>
      <c r="B232" s="7" t="s">
        <v>1351</v>
      </c>
      <c r="C232" s="7" t="s">
        <v>1352</v>
      </c>
      <c r="D232" s="7" t="s">
        <v>1353</v>
      </c>
      <c r="E232" s="7" t="s">
        <v>49</v>
      </c>
      <c r="F232" s="7" t="s">
        <v>34</v>
      </c>
      <c r="G232" s="7" t="s">
        <v>35</v>
      </c>
      <c r="H232" s="7"/>
      <c r="I232" s="7"/>
      <c r="J232" s="7" t="s">
        <v>50</v>
      </c>
      <c r="K232" s="7" t="s">
        <v>1354</v>
      </c>
      <c r="L232" s="7" t="s">
        <v>1355</v>
      </c>
      <c r="M232" s="7" t="s">
        <v>1356</v>
      </c>
      <c r="N232" s="7" t="s">
        <v>49</v>
      </c>
      <c r="O232" s="7">
        <v>1</v>
      </c>
      <c r="P232" s="7" t="s">
        <v>41</v>
      </c>
      <c r="Q232" s="7">
        <v>79.6</v>
      </c>
      <c r="R232" s="7"/>
      <c r="S232" s="7"/>
      <c r="T232" s="7"/>
      <c r="U232" s="7"/>
      <c r="V232" s="7"/>
      <c r="W232" s="7"/>
      <c r="X232" s="7"/>
      <c r="Y232" s="7" t="s">
        <v>1357</v>
      </c>
      <c r="Z232" s="7" t="s">
        <v>1358</v>
      </c>
      <c r="AA232" s="7" t="s">
        <v>1359</v>
      </c>
      <c r="AB232" s="7" t="s">
        <v>45</v>
      </c>
      <c r="AC232" s="7"/>
      <c r="AD232" s="11"/>
      <c r="AE232" s="11"/>
      <c r="AF232" s="11"/>
      <c r="AG232" s="10">
        <f t="shared" si="3"/>
        <v>43317</v>
      </c>
    </row>
    <row r="233" spans="1:33">
      <c r="A233" s="7" t="s">
        <v>1360</v>
      </c>
      <c r="B233" s="7" t="s">
        <v>1360</v>
      </c>
      <c r="C233" s="7" t="s">
        <v>1361</v>
      </c>
      <c r="D233" s="7" t="s">
        <v>1362</v>
      </c>
      <c r="E233" s="7" t="s">
        <v>49</v>
      </c>
      <c r="F233" s="7" t="s">
        <v>34</v>
      </c>
      <c r="G233" s="7" t="s">
        <v>35</v>
      </c>
      <c r="H233" s="7"/>
      <c r="I233" s="7"/>
      <c r="J233" s="7" t="s">
        <v>36</v>
      </c>
      <c r="K233" s="7" t="s">
        <v>276</v>
      </c>
      <c r="L233" s="7" t="s">
        <v>277</v>
      </c>
      <c r="M233" s="7" t="s">
        <v>278</v>
      </c>
      <c r="N233" s="7" t="s">
        <v>49</v>
      </c>
      <c r="O233" s="7">
        <v>1</v>
      </c>
      <c r="P233" s="7" t="s">
        <v>41</v>
      </c>
      <c r="Q233" s="7">
        <v>91.99</v>
      </c>
      <c r="R233" s="7"/>
      <c r="S233" s="7">
        <v>8.07</v>
      </c>
      <c r="T233" s="7"/>
      <c r="U233" s="7"/>
      <c r="V233" s="7"/>
      <c r="W233" s="7">
        <v>22</v>
      </c>
      <c r="X233" s="7"/>
      <c r="Y233" s="7" t="s">
        <v>265</v>
      </c>
      <c r="Z233" s="7" t="s">
        <v>266</v>
      </c>
      <c r="AA233" s="7" t="s">
        <v>1363</v>
      </c>
      <c r="AB233" s="7" t="s">
        <v>45</v>
      </c>
      <c r="AC233" s="7"/>
      <c r="AD233" s="11"/>
      <c r="AE233" s="11"/>
      <c r="AF233" s="11"/>
      <c r="AG233" s="10">
        <f t="shared" si="3"/>
        <v>43317</v>
      </c>
    </row>
    <row r="234" spans="1:33">
      <c r="A234" s="7" t="s">
        <v>1364</v>
      </c>
      <c r="B234" s="7" t="s">
        <v>1364</v>
      </c>
      <c r="C234" s="7" t="s">
        <v>1365</v>
      </c>
      <c r="D234" s="7" t="s">
        <v>1366</v>
      </c>
      <c r="E234" s="7" t="s">
        <v>49</v>
      </c>
      <c r="F234" s="7" t="s">
        <v>34</v>
      </c>
      <c r="G234" s="7" t="s">
        <v>35</v>
      </c>
      <c r="H234" s="7"/>
      <c r="I234" s="7"/>
      <c r="J234" s="7" t="s">
        <v>50</v>
      </c>
      <c r="K234" s="7" t="s">
        <v>276</v>
      </c>
      <c r="L234" s="7" t="s">
        <v>277</v>
      </c>
      <c r="M234" s="7" t="s">
        <v>278</v>
      </c>
      <c r="N234" s="7" t="s">
        <v>49</v>
      </c>
      <c r="O234" s="7">
        <v>1</v>
      </c>
      <c r="P234" s="7" t="s">
        <v>41</v>
      </c>
      <c r="Q234" s="7">
        <v>91.99</v>
      </c>
      <c r="R234" s="7"/>
      <c r="S234" s="7"/>
      <c r="T234" s="7"/>
      <c r="U234" s="7"/>
      <c r="V234" s="7"/>
      <c r="W234" s="7">
        <v>22</v>
      </c>
      <c r="X234" s="7"/>
      <c r="Y234" s="7" t="s">
        <v>1367</v>
      </c>
      <c r="Z234" s="7" t="s">
        <v>64</v>
      </c>
      <c r="AA234" s="7" t="s">
        <v>1368</v>
      </c>
      <c r="AB234" s="7" t="s">
        <v>45</v>
      </c>
      <c r="AC234" s="7"/>
      <c r="AD234" s="11"/>
      <c r="AE234" s="11"/>
      <c r="AF234" s="11"/>
      <c r="AG234" s="10">
        <f t="shared" si="3"/>
        <v>43317</v>
      </c>
    </row>
    <row r="235" spans="1:33">
      <c r="A235" s="7" t="s">
        <v>1369</v>
      </c>
      <c r="B235" s="7" t="s">
        <v>1369</v>
      </c>
      <c r="C235" s="7" t="s">
        <v>1370</v>
      </c>
      <c r="D235" s="7" t="s">
        <v>1371</v>
      </c>
      <c r="E235" s="7" t="s">
        <v>33</v>
      </c>
      <c r="F235" s="7" t="s">
        <v>34</v>
      </c>
      <c r="G235" s="7" t="s">
        <v>35</v>
      </c>
      <c r="H235" s="7"/>
      <c r="I235" s="7"/>
      <c r="J235" s="7" t="s">
        <v>36</v>
      </c>
      <c r="K235" s="7" t="s">
        <v>208</v>
      </c>
      <c r="L235" s="7" t="s">
        <v>209</v>
      </c>
      <c r="M235" s="7" t="s">
        <v>210</v>
      </c>
      <c r="N235" s="7" t="s">
        <v>40</v>
      </c>
      <c r="O235" s="7">
        <v>1</v>
      </c>
      <c r="P235" s="7" t="s">
        <v>41</v>
      </c>
      <c r="Q235" s="7">
        <v>89.99</v>
      </c>
      <c r="R235" s="7"/>
      <c r="S235" s="7"/>
      <c r="T235" s="7"/>
      <c r="U235" s="7"/>
      <c r="V235" s="7"/>
      <c r="W235" s="7"/>
      <c r="X235" s="7"/>
      <c r="Y235" s="7" t="s">
        <v>1372</v>
      </c>
      <c r="Z235" s="7" t="s">
        <v>146</v>
      </c>
      <c r="AA235" s="7" t="s">
        <v>1373</v>
      </c>
      <c r="AB235" s="7" t="s">
        <v>45</v>
      </c>
      <c r="AC235" s="7"/>
      <c r="AD235" s="8"/>
      <c r="AE235" s="8"/>
      <c r="AF235" s="8"/>
      <c r="AG235" s="10">
        <f t="shared" si="3"/>
        <v>43317</v>
      </c>
    </row>
    <row r="236" spans="1:33">
      <c r="A236" s="7" t="s">
        <v>1374</v>
      </c>
      <c r="B236" s="7" t="s">
        <v>1374</v>
      </c>
      <c r="C236" s="7" t="s">
        <v>1375</v>
      </c>
      <c r="D236" s="7" t="s">
        <v>1376</v>
      </c>
      <c r="E236" s="7" t="s">
        <v>49</v>
      </c>
      <c r="F236" s="7" t="s">
        <v>34</v>
      </c>
      <c r="G236" s="7" t="s">
        <v>35</v>
      </c>
      <c r="H236" s="7"/>
      <c r="I236" s="7"/>
      <c r="J236" s="7" t="s">
        <v>50</v>
      </c>
      <c r="K236" s="7" t="s">
        <v>1377</v>
      </c>
      <c r="L236" s="7" t="s">
        <v>1378</v>
      </c>
      <c r="M236" s="7" t="s">
        <v>1379</v>
      </c>
      <c r="N236" s="7" t="s">
        <v>49</v>
      </c>
      <c r="O236" s="7">
        <v>1</v>
      </c>
      <c r="P236" s="7" t="s">
        <v>41</v>
      </c>
      <c r="Q236" s="7">
        <v>85.99</v>
      </c>
      <c r="R236" s="7"/>
      <c r="S236" s="7"/>
      <c r="T236" s="7"/>
      <c r="U236" s="7"/>
      <c r="V236" s="7"/>
      <c r="W236" s="7"/>
      <c r="X236" s="7"/>
      <c r="Y236" s="7" t="s">
        <v>1380</v>
      </c>
      <c r="Z236" s="7" t="s">
        <v>1381</v>
      </c>
      <c r="AA236" s="7" t="s">
        <v>1382</v>
      </c>
      <c r="AB236" s="7" t="s">
        <v>45</v>
      </c>
      <c r="AC236" s="7"/>
      <c r="AD236" s="11"/>
      <c r="AE236" s="11"/>
      <c r="AF236" s="11"/>
      <c r="AG236" s="10">
        <f t="shared" si="3"/>
        <v>43317</v>
      </c>
    </row>
    <row r="237" spans="1:33">
      <c r="A237" s="7" t="s">
        <v>1383</v>
      </c>
      <c r="B237" s="7" t="s">
        <v>1383</v>
      </c>
      <c r="C237" s="7" t="s">
        <v>1384</v>
      </c>
      <c r="D237" s="7" t="s">
        <v>1385</v>
      </c>
      <c r="E237" s="7" t="s">
        <v>49</v>
      </c>
      <c r="F237" s="7" t="s">
        <v>34</v>
      </c>
      <c r="G237" s="7" t="s">
        <v>35</v>
      </c>
      <c r="H237" s="7"/>
      <c r="I237" s="7"/>
      <c r="J237" s="7" t="s">
        <v>50</v>
      </c>
      <c r="K237" s="7" t="s">
        <v>88</v>
      </c>
      <c r="L237" s="7" t="s">
        <v>89</v>
      </c>
      <c r="M237" s="7" t="s">
        <v>90</v>
      </c>
      <c r="N237" s="7" t="s">
        <v>49</v>
      </c>
      <c r="O237" s="7">
        <v>1</v>
      </c>
      <c r="P237" s="7" t="s">
        <v>41</v>
      </c>
      <c r="Q237" s="7">
        <v>89.99</v>
      </c>
      <c r="R237" s="7"/>
      <c r="S237" s="7"/>
      <c r="T237" s="7"/>
      <c r="U237" s="7"/>
      <c r="V237" s="7"/>
      <c r="W237" s="7"/>
      <c r="X237" s="7"/>
      <c r="Y237" s="7" t="s">
        <v>1386</v>
      </c>
      <c r="Z237" s="7" t="s">
        <v>109</v>
      </c>
      <c r="AA237" s="7" t="s">
        <v>1387</v>
      </c>
      <c r="AB237" s="7" t="s">
        <v>45</v>
      </c>
      <c r="AC237" s="7"/>
      <c r="AD237" s="8"/>
      <c r="AE237" s="8"/>
      <c r="AF237" s="8"/>
      <c r="AG237" s="10">
        <f t="shared" si="3"/>
        <v>43317</v>
      </c>
    </row>
    <row r="238" spans="1:33">
      <c r="A238" s="7" t="s">
        <v>1388</v>
      </c>
      <c r="B238" s="7" t="s">
        <v>1388</v>
      </c>
      <c r="C238" s="7" t="s">
        <v>1389</v>
      </c>
      <c r="D238" s="7" t="s">
        <v>1390</v>
      </c>
      <c r="E238" s="7" t="s">
        <v>49</v>
      </c>
      <c r="F238" s="7" t="s">
        <v>34</v>
      </c>
      <c r="G238" s="7" t="s">
        <v>35</v>
      </c>
      <c r="H238" s="7"/>
      <c r="I238" s="7"/>
      <c r="J238" s="7" t="s">
        <v>50</v>
      </c>
      <c r="K238" s="7" t="s">
        <v>276</v>
      </c>
      <c r="L238" s="7" t="s">
        <v>277</v>
      </c>
      <c r="M238" s="7" t="s">
        <v>278</v>
      </c>
      <c r="N238" s="7" t="s">
        <v>49</v>
      </c>
      <c r="O238" s="7">
        <v>1</v>
      </c>
      <c r="P238" s="7" t="s">
        <v>41</v>
      </c>
      <c r="Q238" s="7">
        <v>91.99</v>
      </c>
      <c r="R238" s="7"/>
      <c r="S238" s="7"/>
      <c r="T238" s="7"/>
      <c r="U238" s="7"/>
      <c r="V238" s="7"/>
      <c r="W238" s="7">
        <v>22</v>
      </c>
      <c r="X238" s="7"/>
      <c r="Y238" s="7" t="s">
        <v>1391</v>
      </c>
      <c r="Z238" s="7" t="s">
        <v>43</v>
      </c>
      <c r="AA238" s="7" t="s">
        <v>1392</v>
      </c>
      <c r="AB238" s="7" t="s">
        <v>45</v>
      </c>
      <c r="AC238" s="7"/>
      <c r="AD238" s="8"/>
      <c r="AE238" s="8"/>
      <c r="AF238" s="8"/>
      <c r="AG238" s="10">
        <f t="shared" si="3"/>
        <v>43317</v>
      </c>
    </row>
    <row r="239" spans="1:33">
      <c r="A239" s="7" t="s">
        <v>1393</v>
      </c>
      <c r="B239" s="7" t="s">
        <v>1393</v>
      </c>
      <c r="C239" s="7" t="s">
        <v>1394</v>
      </c>
      <c r="D239" s="7" t="s">
        <v>1395</v>
      </c>
      <c r="E239" s="7" t="s">
        <v>49</v>
      </c>
      <c r="F239" s="7" t="s">
        <v>34</v>
      </c>
      <c r="G239" s="7" t="s">
        <v>35</v>
      </c>
      <c r="H239" s="7"/>
      <c r="I239" s="7"/>
      <c r="J239" s="7" t="s">
        <v>50</v>
      </c>
      <c r="K239" s="7" t="s">
        <v>1307</v>
      </c>
      <c r="L239" s="7" t="s">
        <v>1308</v>
      </c>
      <c r="M239" s="7" t="s">
        <v>1309</v>
      </c>
      <c r="N239" s="7" t="s">
        <v>49</v>
      </c>
      <c r="O239" s="7">
        <v>1</v>
      </c>
      <c r="P239" s="7" t="s">
        <v>41</v>
      </c>
      <c r="Q239" s="7">
        <v>99.6</v>
      </c>
      <c r="R239" s="7">
        <v>5.38</v>
      </c>
      <c r="S239" s="7"/>
      <c r="T239" s="7"/>
      <c r="U239" s="7"/>
      <c r="V239" s="7"/>
      <c r="W239" s="7">
        <v>9.96</v>
      </c>
      <c r="X239" s="7"/>
      <c r="Y239" s="7" t="s">
        <v>1396</v>
      </c>
      <c r="Z239" s="7" t="s">
        <v>124</v>
      </c>
      <c r="AA239" s="7" t="s">
        <v>1397</v>
      </c>
      <c r="AB239" s="7" t="s">
        <v>45</v>
      </c>
      <c r="AC239" s="7" t="s">
        <v>1311</v>
      </c>
      <c r="AD239" s="8"/>
      <c r="AE239" s="8"/>
      <c r="AF239" s="8"/>
      <c r="AG239" s="10">
        <f t="shared" si="3"/>
        <v>43317</v>
      </c>
    </row>
    <row r="240" spans="1:33">
      <c r="A240" s="7" t="s">
        <v>1398</v>
      </c>
      <c r="B240" s="7" t="s">
        <v>1398</v>
      </c>
      <c r="C240" s="7" t="s">
        <v>1399</v>
      </c>
      <c r="D240" s="7" t="s">
        <v>1400</v>
      </c>
      <c r="E240" s="7" t="s">
        <v>49</v>
      </c>
      <c r="F240" s="7" t="s">
        <v>34</v>
      </c>
      <c r="G240" s="7" t="s">
        <v>35</v>
      </c>
      <c r="H240" s="7"/>
      <c r="I240" s="7"/>
      <c r="J240" s="7" t="s">
        <v>36</v>
      </c>
      <c r="K240" s="7" t="s">
        <v>1401</v>
      </c>
      <c r="L240" s="7" t="s">
        <v>1402</v>
      </c>
      <c r="M240" s="7" t="s">
        <v>1403</v>
      </c>
      <c r="N240" s="7" t="s">
        <v>49</v>
      </c>
      <c r="O240" s="7">
        <v>1</v>
      </c>
      <c r="P240" s="7" t="s">
        <v>41</v>
      </c>
      <c r="Q240" s="7">
        <v>89.99</v>
      </c>
      <c r="R240" s="7"/>
      <c r="S240" s="7">
        <v>3.22</v>
      </c>
      <c r="T240" s="7"/>
      <c r="U240" s="7"/>
      <c r="V240" s="7"/>
      <c r="W240" s="7">
        <v>9</v>
      </c>
      <c r="X240" s="7">
        <v>3.22</v>
      </c>
      <c r="Y240" s="7" t="s">
        <v>1404</v>
      </c>
      <c r="Z240" s="7" t="s">
        <v>1302</v>
      </c>
      <c r="AA240" s="7">
        <v>6470</v>
      </c>
      <c r="AB240" s="7" t="s">
        <v>45</v>
      </c>
      <c r="AC240" s="7" t="s">
        <v>1405</v>
      </c>
      <c r="AD240" s="8"/>
      <c r="AE240" s="8"/>
      <c r="AF240" s="8"/>
      <c r="AG240" s="10">
        <f t="shared" si="3"/>
        <v>43317</v>
      </c>
    </row>
    <row r="241" spans="1:33">
      <c r="A241" s="7" t="s">
        <v>1406</v>
      </c>
      <c r="B241" s="7" t="s">
        <v>1406</v>
      </c>
      <c r="C241" s="7" t="s">
        <v>1407</v>
      </c>
      <c r="D241" s="7" t="s">
        <v>1408</v>
      </c>
      <c r="E241" s="7" t="s">
        <v>49</v>
      </c>
      <c r="F241" s="7" t="s">
        <v>34</v>
      </c>
      <c r="G241" s="7" t="s">
        <v>35</v>
      </c>
      <c r="H241" s="7"/>
      <c r="I241" s="7"/>
      <c r="J241" s="7" t="s">
        <v>50</v>
      </c>
      <c r="K241" s="7" t="s">
        <v>276</v>
      </c>
      <c r="L241" s="7" t="s">
        <v>277</v>
      </c>
      <c r="M241" s="7" t="s">
        <v>278</v>
      </c>
      <c r="N241" s="7" t="s">
        <v>49</v>
      </c>
      <c r="O241" s="7">
        <v>1</v>
      </c>
      <c r="P241" s="7" t="s">
        <v>41</v>
      </c>
      <c r="Q241" s="7">
        <v>91.99</v>
      </c>
      <c r="R241" s="7"/>
      <c r="S241" s="7"/>
      <c r="T241" s="7"/>
      <c r="U241" s="7"/>
      <c r="V241" s="7"/>
      <c r="W241" s="7"/>
      <c r="X241" s="7"/>
      <c r="Y241" s="7" t="s">
        <v>1409</v>
      </c>
      <c r="Z241" s="7" t="s">
        <v>714</v>
      </c>
      <c r="AA241" s="7" t="s">
        <v>1410</v>
      </c>
      <c r="AB241" s="7" t="s">
        <v>45</v>
      </c>
      <c r="AC241" s="7"/>
      <c r="AD241" s="8"/>
      <c r="AE241" s="8"/>
      <c r="AF241" s="8"/>
      <c r="AG241" s="10">
        <f t="shared" si="3"/>
        <v>43317</v>
      </c>
    </row>
    <row r="242" spans="1:33">
      <c r="A242" s="7" t="s">
        <v>1406</v>
      </c>
      <c r="B242" s="7" t="s">
        <v>1406</v>
      </c>
      <c r="C242" s="7" t="s">
        <v>1407</v>
      </c>
      <c r="D242" s="7" t="s">
        <v>1408</v>
      </c>
      <c r="E242" s="7" t="s">
        <v>49</v>
      </c>
      <c r="F242" s="7" t="s">
        <v>34</v>
      </c>
      <c r="G242" s="7" t="s">
        <v>35</v>
      </c>
      <c r="H242" s="7"/>
      <c r="I242" s="7"/>
      <c r="J242" s="7" t="s">
        <v>50</v>
      </c>
      <c r="K242" s="7" t="s">
        <v>256</v>
      </c>
      <c r="L242" s="7" t="s">
        <v>257</v>
      </c>
      <c r="M242" s="7" t="s">
        <v>258</v>
      </c>
      <c r="N242" s="7" t="s">
        <v>49</v>
      </c>
      <c r="O242" s="7">
        <v>1</v>
      </c>
      <c r="P242" s="7" t="s">
        <v>41</v>
      </c>
      <c r="Q242" s="7">
        <v>21.99</v>
      </c>
      <c r="R242" s="7"/>
      <c r="S242" s="7"/>
      <c r="T242" s="7"/>
      <c r="U242" s="7"/>
      <c r="V242" s="7"/>
      <c r="W242" s="7"/>
      <c r="X242" s="7"/>
      <c r="Y242" s="7" t="s">
        <v>1409</v>
      </c>
      <c r="Z242" s="7" t="s">
        <v>714</v>
      </c>
      <c r="AA242" s="7" t="s">
        <v>1410</v>
      </c>
      <c r="AB242" s="7" t="s">
        <v>45</v>
      </c>
      <c r="AC242" s="7"/>
      <c r="AD242" s="8"/>
      <c r="AE242" s="8"/>
      <c r="AF242" s="8"/>
      <c r="AG242" s="10">
        <f t="shared" si="3"/>
        <v>43317</v>
      </c>
    </row>
    <row r="243" spans="1:33">
      <c r="A243" s="7" t="s">
        <v>1411</v>
      </c>
      <c r="B243" s="7" t="s">
        <v>1411</v>
      </c>
      <c r="C243" s="7" t="s">
        <v>1412</v>
      </c>
      <c r="D243" s="7" t="s">
        <v>1413</v>
      </c>
      <c r="E243" s="7" t="s">
        <v>49</v>
      </c>
      <c r="F243" s="7" t="s">
        <v>34</v>
      </c>
      <c r="G243" s="7" t="s">
        <v>35</v>
      </c>
      <c r="H243" s="7"/>
      <c r="I243" s="7"/>
      <c r="J243" s="7" t="s">
        <v>36</v>
      </c>
      <c r="K243" s="7" t="s">
        <v>276</v>
      </c>
      <c r="L243" s="7" t="s">
        <v>277</v>
      </c>
      <c r="M243" s="7" t="s">
        <v>278</v>
      </c>
      <c r="N243" s="7" t="s">
        <v>49</v>
      </c>
      <c r="O243" s="7">
        <v>1</v>
      </c>
      <c r="P243" s="7" t="s">
        <v>41</v>
      </c>
      <c r="Q243" s="7">
        <v>91.99</v>
      </c>
      <c r="R243" s="7"/>
      <c r="S243" s="7"/>
      <c r="T243" s="7"/>
      <c r="U243" s="7"/>
      <c r="V243" s="7"/>
      <c r="W243" s="7">
        <v>22</v>
      </c>
      <c r="X243" s="7"/>
      <c r="Y243" s="7" t="s">
        <v>1414</v>
      </c>
      <c r="Z243" s="7" t="s">
        <v>1415</v>
      </c>
      <c r="AA243" s="7">
        <v>71360</v>
      </c>
      <c r="AB243" s="7" t="s">
        <v>45</v>
      </c>
      <c r="AC243" s="7"/>
      <c r="AD243" s="8"/>
      <c r="AE243" s="8"/>
      <c r="AF243" s="8"/>
      <c r="AG243" s="10">
        <f t="shared" si="3"/>
        <v>43317</v>
      </c>
    </row>
    <row r="244" spans="1:33">
      <c r="A244" s="7" t="s">
        <v>1416</v>
      </c>
      <c r="B244" s="7" t="s">
        <v>1416</v>
      </c>
      <c r="C244" s="7" t="s">
        <v>1417</v>
      </c>
      <c r="D244" s="7" t="s">
        <v>1418</v>
      </c>
      <c r="E244" s="7" t="s">
        <v>49</v>
      </c>
      <c r="F244" s="7" t="s">
        <v>34</v>
      </c>
      <c r="G244" s="7" t="s">
        <v>35</v>
      </c>
      <c r="H244" s="7"/>
      <c r="I244" s="7"/>
      <c r="J244" s="7" t="s">
        <v>50</v>
      </c>
      <c r="K244" s="7" t="s">
        <v>37</v>
      </c>
      <c r="L244" s="7" t="s">
        <v>38</v>
      </c>
      <c r="M244" s="7" t="s">
        <v>39</v>
      </c>
      <c r="N244" s="7" t="s">
        <v>49</v>
      </c>
      <c r="O244" s="7">
        <v>1</v>
      </c>
      <c r="P244" s="7" t="s">
        <v>41</v>
      </c>
      <c r="Q244" s="7">
        <v>89.99</v>
      </c>
      <c r="R244" s="7"/>
      <c r="S244" s="7"/>
      <c r="T244" s="7"/>
      <c r="U244" s="7"/>
      <c r="V244" s="7"/>
      <c r="W244" s="7"/>
      <c r="X244" s="7"/>
      <c r="Y244" s="7" t="s">
        <v>1419</v>
      </c>
      <c r="Z244" s="7" t="s">
        <v>413</v>
      </c>
      <c r="AA244" s="7" t="s">
        <v>1420</v>
      </c>
      <c r="AB244" s="7" t="s">
        <v>45</v>
      </c>
      <c r="AC244" s="7"/>
      <c r="AD244" s="8"/>
      <c r="AE244" s="8"/>
      <c r="AF244" s="8"/>
      <c r="AG244" s="10">
        <f t="shared" si="3"/>
        <v>43317</v>
      </c>
    </row>
    <row r="245" spans="1:33">
      <c r="A245" s="7" t="s">
        <v>1421</v>
      </c>
      <c r="B245" s="7" t="s">
        <v>1421</v>
      </c>
      <c r="C245" s="7" t="s">
        <v>1422</v>
      </c>
      <c r="D245" s="7" t="s">
        <v>1423</v>
      </c>
      <c r="E245" s="7" t="s">
        <v>49</v>
      </c>
      <c r="F245" s="7" t="s">
        <v>34</v>
      </c>
      <c r="G245" s="7" t="s">
        <v>35</v>
      </c>
      <c r="H245" s="7"/>
      <c r="I245" s="7"/>
      <c r="J245" s="7" t="s">
        <v>36</v>
      </c>
      <c r="K245" s="7" t="s">
        <v>1424</v>
      </c>
      <c r="L245" s="7" t="s">
        <v>1425</v>
      </c>
      <c r="M245" s="7" t="s">
        <v>1426</v>
      </c>
      <c r="N245" s="7" t="s">
        <v>49</v>
      </c>
      <c r="O245" s="7">
        <v>1</v>
      </c>
      <c r="P245" s="7" t="s">
        <v>41</v>
      </c>
      <c r="Q245" s="7">
        <v>99.99</v>
      </c>
      <c r="R245" s="7"/>
      <c r="S245" s="7">
        <v>9.91</v>
      </c>
      <c r="T245" s="7"/>
      <c r="U245" s="7"/>
      <c r="V245" s="7"/>
      <c r="W245" s="7"/>
      <c r="X245" s="7"/>
      <c r="Y245" s="7" t="s">
        <v>897</v>
      </c>
      <c r="Z245" s="7" t="s">
        <v>266</v>
      </c>
      <c r="AA245" s="7" t="s">
        <v>1427</v>
      </c>
      <c r="AB245" s="7" t="s">
        <v>45</v>
      </c>
      <c r="AC245" s="7"/>
      <c r="AD245" s="8"/>
      <c r="AE245" s="8"/>
      <c r="AF245" s="8"/>
      <c r="AG245" s="10">
        <f t="shared" si="3"/>
        <v>43317</v>
      </c>
    </row>
    <row r="246" spans="1:33">
      <c r="A246" s="7" t="s">
        <v>1428</v>
      </c>
      <c r="B246" s="7" t="s">
        <v>1428</v>
      </c>
      <c r="C246" s="7" t="s">
        <v>1429</v>
      </c>
      <c r="D246" s="7" t="s">
        <v>1430</v>
      </c>
      <c r="E246" s="7" t="s">
        <v>33</v>
      </c>
      <c r="F246" s="7" t="s">
        <v>34</v>
      </c>
      <c r="G246" s="7" t="s">
        <v>35</v>
      </c>
      <c r="H246" s="7"/>
      <c r="I246" s="7"/>
      <c r="J246" s="7" t="s">
        <v>50</v>
      </c>
      <c r="K246" s="7" t="s">
        <v>327</v>
      </c>
      <c r="L246" s="7" t="s">
        <v>328</v>
      </c>
      <c r="M246" s="7" t="s">
        <v>329</v>
      </c>
      <c r="N246" s="7" t="s">
        <v>40</v>
      </c>
      <c r="O246" s="7">
        <v>1</v>
      </c>
      <c r="P246" s="7" t="s">
        <v>41</v>
      </c>
      <c r="Q246" s="7">
        <v>89.99</v>
      </c>
      <c r="R246" s="7"/>
      <c r="S246" s="7"/>
      <c r="T246" s="7"/>
      <c r="U246" s="7"/>
      <c r="V246" s="7"/>
      <c r="W246" s="7"/>
      <c r="X246" s="7"/>
      <c r="Y246" s="7" t="s">
        <v>1431</v>
      </c>
      <c r="Z246" s="7" t="s">
        <v>260</v>
      </c>
      <c r="AA246" s="7" t="s">
        <v>1432</v>
      </c>
      <c r="AB246" s="7" t="s">
        <v>45</v>
      </c>
      <c r="AC246" s="7"/>
      <c r="AD246" s="8"/>
      <c r="AE246" s="8"/>
      <c r="AF246" s="8"/>
      <c r="AG246" s="10">
        <f t="shared" si="3"/>
        <v>43317</v>
      </c>
    </row>
    <row r="247" spans="1:33">
      <c r="A247" s="7" t="s">
        <v>1433</v>
      </c>
      <c r="B247" s="7" t="s">
        <v>1433</v>
      </c>
      <c r="C247" s="7" t="s">
        <v>1434</v>
      </c>
      <c r="D247" s="7" t="s">
        <v>1435</v>
      </c>
      <c r="E247" s="7" t="s">
        <v>49</v>
      </c>
      <c r="F247" s="7" t="s">
        <v>34</v>
      </c>
      <c r="G247" s="7" t="s">
        <v>35</v>
      </c>
      <c r="H247" s="7"/>
      <c r="I247" s="7"/>
      <c r="J247" s="7" t="s">
        <v>36</v>
      </c>
      <c r="K247" s="7" t="s">
        <v>1436</v>
      </c>
      <c r="L247" s="7" t="s">
        <v>1437</v>
      </c>
      <c r="M247" s="7" t="s">
        <v>1438</v>
      </c>
      <c r="N247" s="7" t="s">
        <v>49</v>
      </c>
      <c r="O247" s="7">
        <v>1</v>
      </c>
      <c r="P247" s="7" t="s">
        <v>41</v>
      </c>
      <c r="Q247" s="7">
        <v>89.99</v>
      </c>
      <c r="R247" s="7"/>
      <c r="S247" s="7">
        <v>8.46</v>
      </c>
      <c r="T247" s="7"/>
      <c r="U247" s="7"/>
      <c r="V247" s="7"/>
      <c r="W247" s="7"/>
      <c r="X247" s="7"/>
      <c r="Y247" s="7" t="s">
        <v>1439</v>
      </c>
      <c r="Z247" s="7" t="s">
        <v>382</v>
      </c>
      <c r="AA247" s="7" t="s">
        <v>1440</v>
      </c>
      <c r="AB247" s="7" t="s">
        <v>45</v>
      </c>
      <c r="AC247" s="7"/>
      <c r="AD247" s="11"/>
      <c r="AE247" s="11"/>
      <c r="AF247" s="11"/>
      <c r="AG247" s="10">
        <f t="shared" si="3"/>
        <v>43317</v>
      </c>
    </row>
    <row r="248" spans="1:33">
      <c r="A248" s="7" t="s">
        <v>1441</v>
      </c>
      <c r="B248" s="7" t="s">
        <v>1441</v>
      </c>
      <c r="C248" s="7" t="s">
        <v>1442</v>
      </c>
      <c r="D248" s="7" t="s">
        <v>1443</v>
      </c>
      <c r="E248" s="7" t="s">
        <v>49</v>
      </c>
      <c r="F248" s="7" t="s">
        <v>34</v>
      </c>
      <c r="G248" s="7" t="s">
        <v>35</v>
      </c>
      <c r="H248" s="7"/>
      <c r="I248" s="7"/>
      <c r="J248" s="7" t="s">
        <v>50</v>
      </c>
      <c r="K248" s="7" t="s">
        <v>70</v>
      </c>
      <c r="L248" s="7" t="s">
        <v>71</v>
      </c>
      <c r="M248" s="7" t="s">
        <v>72</v>
      </c>
      <c r="N248" s="7" t="s">
        <v>49</v>
      </c>
      <c r="O248" s="7">
        <v>1</v>
      </c>
      <c r="P248" s="7" t="s">
        <v>41</v>
      </c>
      <c r="Q248" s="7">
        <v>96.99</v>
      </c>
      <c r="R248" s="7"/>
      <c r="S248" s="7"/>
      <c r="T248" s="7"/>
      <c r="U248" s="7"/>
      <c r="V248" s="7"/>
      <c r="W248" s="7"/>
      <c r="X248" s="7"/>
      <c r="Y248" s="7" t="s">
        <v>1444</v>
      </c>
      <c r="Z248" s="7" t="s">
        <v>1445</v>
      </c>
      <c r="AA248" s="7">
        <v>11377</v>
      </c>
      <c r="AB248" s="7" t="s">
        <v>45</v>
      </c>
      <c r="AC248" s="7"/>
      <c r="AD248" s="11"/>
      <c r="AE248" s="11"/>
      <c r="AF248" s="11"/>
      <c r="AG248" s="10">
        <f t="shared" si="3"/>
        <v>43317</v>
      </c>
    </row>
    <row r="249" spans="1:33">
      <c r="A249" s="7" t="s">
        <v>1446</v>
      </c>
      <c r="B249" s="7" t="s">
        <v>1446</v>
      </c>
      <c r="C249" s="7" t="s">
        <v>1447</v>
      </c>
      <c r="D249" s="7" t="s">
        <v>1448</v>
      </c>
      <c r="E249" s="7" t="s">
        <v>49</v>
      </c>
      <c r="F249" s="7" t="s">
        <v>34</v>
      </c>
      <c r="G249" s="7" t="s">
        <v>35</v>
      </c>
      <c r="H249" s="7"/>
      <c r="I249" s="7"/>
      <c r="J249" s="7" t="s">
        <v>50</v>
      </c>
      <c r="K249" s="7" t="s">
        <v>753</v>
      </c>
      <c r="L249" s="7" t="s">
        <v>754</v>
      </c>
      <c r="M249" s="7" t="s">
        <v>755</v>
      </c>
      <c r="N249" s="7" t="s">
        <v>49</v>
      </c>
      <c r="O249" s="7">
        <v>1</v>
      </c>
      <c r="P249" s="7" t="s">
        <v>41</v>
      </c>
      <c r="Q249" s="7">
        <v>89.6</v>
      </c>
      <c r="R249" s="7"/>
      <c r="S249" s="7"/>
      <c r="T249" s="7"/>
      <c r="U249" s="7"/>
      <c r="V249" s="7"/>
      <c r="W249" s="7"/>
      <c r="X249" s="7"/>
      <c r="Y249" s="7" t="s">
        <v>748</v>
      </c>
      <c r="Z249" s="7" t="s">
        <v>64</v>
      </c>
      <c r="AA249" s="7" t="s">
        <v>1449</v>
      </c>
      <c r="AB249" s="7" t="s">
        <v>45</v>
      </c>
      <c r="AC249" s="7"/>
      <c r="AD249" s="8"/>
      <c r="AE249" s="8"/>
      <c r="AF249" s="8"/>
      <c r="AG249" s="10">
        <f t="shared" si="3"/>
        <v>43317</v>
      </c>
    </row>
    <row r="250" spans="1:33">
      <c r="A250" s="7" t="s">
        <v>1450</v>
      </c>
      <c r="B250" s="7" t="s">
        <v>1450</v>
      </c>
      <c r="C250" s="7" t="s">
        <v>1451</v>
      </c>
      <c r="D250" s="7" t="s">
        <v>1452</v>
      </c>
      <c r="E250" s="7" t="s">
        <v>49</v>
      </c>
      <c r="F250" s="7" t="s">
        <v>34</v>
      </c>
      <c r="G250" s="7" t="s">
        <v>35</v>
      </c>
      <c r="H250" s="7"/>
      <c r="I250" s="7"/>
      <c r="J250" s="7" t="s">
        <v>50</v>
      </c>
      <c r="K250" s="7" t="s">
        <v>1060</v>
      </c>
      <c r="L250" s="7" t="s">
        <v>1061</v>
      </c>
      <c r="M250" s="7" t="s">
        <v>1062</v>
      </c>
      <c r="N250" s="7" t="s">
        <v>49</v>
      </c>
      <c r="O250" s="7">
        <v>1</v>
      </c>
      <c r="P250" s="7" t="s">
        <v>41</v>
      </c>
      <c r="Q250" s="7">
        <v>89.99</v>
      </c>
      <c r="R250" s="7"/>
      <c r="S250" s="7"/>
      <c r="T250" s="7"/>
      <c r="U250" s="7"/>
      <c r="V250" s="7"/>
      <c r="W250" s="7"/>
      <c r="X250" s="7"/>
      <c r="Y250" s="7" t="s">
        <v>1453</v>
      </c>
      <c r="Z250" s="7" t="s">
        <v>714</v>
      </c>
      <c r="AA250" s="7" t="s">
        <v>1454</v>
      </c>
      <c r="AB250" s="7" t="s">
        <v>45</v>
      </c>
      <c r="AC250" s="7"/>
      <c r="AD250" s="8"/>
      <c r="AE250" s="8"/>
      <c r="AF250" s="8"/>
      <c r="AG250" s="10">
        <f t="shared" si="3"/>
        <v>43317</v>
      </c>
    </row>
    <row r="251" spans="1:33">
      <c r="A251" s="7" t="s">
        <v>1455</v>
      </c>
      <c r="B251" s="7" t="s">
        <v>1455</v>
      </c>
      <c r="C251" s="7" t="s">
        <v>1456</v>
      </c>
      <c r="D251" s="7" t="s">
        <v>1457</v>
      </c>
      <c r="E251" s="7" t="s">
        <v>33</v>
      </c>
      <c r="F251" s="7" t="s">
        <v>34</v>
      </c>
      <c r="G251" s="7" t="s">
        <v>35</v>
      </c>
      <c r="H251" s="7"/>
      <c r="I251" s="7"/>
      <c r="J251" s="7" t="s">
        <v>50</v>
      </c>
      <c r="K251" s="7" t="s">
        <v>745</v>
      </c>
      <c r="L251" s="7" t="s">
        <v>746</v>
      </c>
      <c r="M251" s="7" t="s">
        <v>747</v>
      </c>
      <c r="N251" s="7" t="s">
        <v>33</v>
      </c>
      <c r="O251" s="7">
        <v>0</v>
      </c>
      <c r="P251" s="7"/>
      <c r="Q251" s="7"/>
      <c r="R251" s="7"/>
      <c r="S251" s="7"/>
      <c r="T251" s="7"/>
      <c r="U251" s="7"/>
      <c r="V251" s="7"/>
      <c r="W251" s="7"/>
      <c r="X251" s="7"/>
      <c r="Y251" s="7" t="s">
        <v>1458</v>
      </c>
      <c r="Z251" s="7" t="s">
        <v>55</v>
      </c>
      <c r="AA251" s="7" t="s">
        <v>1459</v>
      </c>
      <c r="AB251" s="7" t="s">
        <v>45</v>
      </c>
      <c r="AC251" s="7"/>
      <c r="AD251" s="8"/>
      <c r="AE251" s="8"/>
      <c r="AF251" s="8"/>
      <c r="AG251" s="10">
        <f t="shared" si="3"/>
        <v>43317</v>
      </c>
    </row>
    <row r="252" spans="1:33">
      <c r="A252" s="7" t="s">
        <v>1460</v>
      </c>
      <c r="B252" s="7" t="s">
        <v>1460</v>
      </c>
      <c r="C252" s="7" t="s">
        <v>1461</v>
      </c>
      <c r="D252" s="7" t="s">
        <v>1462</v>
      </c>
      <c r="E252" s="7" t="s">
        <v>49</v>
      </c>
      <c r="F252" s="7" t="s">
        <v>34</v>
      </c>
      <c r="G252" s="7" t="s">
        <v>35</v>
      </c>
      <c r="H252" s="7"/>
      <c r="I252" s="7"/>
      <c r="J252" s="7" t="s">
        <v>50</v>
      </c>
      <c r="K252" s="7" t="s">
        <v>88</v>
      </c>
      <c r="L252" s="7" t="s">
        <v>89</v>
      </c>
      <c r="M252" s="7" t="s">
        <v>90</v>
      </c>
      <c r="N252" s="7" t="s">
        <v>49</v>
      </c>
      <c r="O252" s="7">
        <v>1</v>
      </c>
      <c r="P252" s="7" t="s">
        <v>41</v>
      </c>
      <c r="Q252" s="7">
        <v>89.99</v>
      </c>
      <c r="R252" s="7"/>
      <c r="S252" s="7"/>
      <c r="T252" s="7"/>
      <c r="U252" s="7"/>
      <c r="V252" s="7"/>
      <c r="W252" s="7"/>
      <c r="X252" s="7"/>
      <c r="Y252" s="7" t="s">
        <v>1463</v>
      </c>
      <c r="Z252" s="7" t="s">
        <v>184</v>
      </c>
      <c r="AA252" s="7" t="s">
        <v>1464</v>
      </c>
      <c r="AB252" s="7" t="s">
        <v>45</v>
      </c>
      <c r="AC252" s="7"/>
      <c r="AD252" s="11"/>
      <c r="AE252" s="11"/>
      <c r="AF252" s="11"/>
      <c r="AG252" s="10">
        <f t="shared" si="3"/>
        <v>43318</v>
      </c>
    </row>
    <row r="253" spans="1:33">
      <c r="A253" s="7" t="s">
        <v>1465</v>
      </c>
      <c r="B253" s="7" t="s">
        <v>1465</v>
      </c>
      <c r="C253" s="7" t="s">
        <v>1466</v>
      </c>
      <c r="D253" s="7" t="s">
        <v>1467</v>
      </c>
      <c r="E253" s="7" t="s">
        <v>49</v>
      </c>
      <c r="F253" s="7" t="s">
        <v>34</v>
      </c>
      <c r="G253" s="7" t="s">
        <v>35</v>
      </c>
      <c r="H253" s="7"/>
      <c r="I253" s="7"/>
      <c r="J253" s="7" t="s">
        <v>50</v>
      </c>
      <c r="K253" s="7" t="s">
        <v>595</v>
      </c>
      <c r="L253" s="7" t="s">
        <v>596</v>
      </c>
      <c r="M253" s="7" t="s">
        <v>597</v>
      </c>
      <c r="N253" s="7" t="s">
        <v>49</v>
      </c>
      <c r="O253" s="7">
        <v>1</v>
      </c>
      <c r="P253" s="7" t="s">
        <v>41</v>
      </c>
      <c r="Q253" s="7">
        <v>21.99</v>
      </c>
      <c r="R253" s="7"/>
      <c r="S253" s="7"/>
      <c r="T253" s="7"/>
      <c r="U253" s="7"/>
      <c r="V253" s="7"/>
      <c r="W253" s="7"/>
      <c r="X253" s="7"/>
      <c r="Y253" s="7" t="s">
        <v>1468</v>
      </c>
      <c r="Z253" s="7" t="s">
        <v>1469</v>
      </c>
      <c r="AA253" s="7" t="s">
        <v>1470</v>
      </c>
      <c r="AB253" s="7" t="s">
        <v>45</v>
      </c>
      <c r="AC253" s="7"/>
      <c r="AD253" s="11"/>
      <c r="AE253" s="11"/>
      <c r="AF253" s="11"/>
      <c r="AG253" s="10">
        <f t="shared" si="3"/>
        <v>43318</v>
      </c>
    </row>
    <row r="254" spans="1:33">
      <c r="A254" s="7" t="s">
        <v>1471</v>
      </c>
      <c r="B254" s="7" t="s">
        <v>1471</v>
      </c>
      <c r="C254" s="7" t="s">
        <v>1472</v>
      </c>
      <c r="D254" s="7" t="s">
        <v>1473</v>
      </c>
      <c r="E254" s="7" t="s">
        <v>33</v>
      </c>
      <c r="F254" s="7" t="s">
        <v>34</v>
      </c>
      <c r="G254" s="7" t="s">
        <v>35</v>
      </c>
      <c r="H254" s="7"/>
      <c r="I254" s="7"/>
      <c r="J254" s="7" t="s">
        <v>50</v>
      </c>
      <c r="K254" s="7" t="s">
        <v>142</v>
      </c>
      <c r="L254" s="7" t="s">
        <v>143</v>
      </c>
      <c r="M254" s="7" t="s">
        <v>144</v>
      </c>
      <c r="N254" s="7" t="s">
        <v>33</v>
      </c>
      <c r="O254" s="7">
        <v>0</v>
      </c>
      <c r="P254" s="7"/>
      <c r="Q254" s="7"/>
      <c r="R254" s="7"/>
      <c r="S254" s="7"/>
      <c r="T254" s="7"/>
      <c r="U254" s="7"/>
      <c r="V254" s="7"/>
      <c r="W254" s="7"/>
      <c r="X254" s="7"/>
      <c r="Y254" s="7" t="s">
        <v>1474</v>
      </c>
      <c r="Z254" s="7" t="s">
        <v>221</v>
      </c>
      <c r="AA254" s="7" t="s">
        <v>1475</v>
      </c>
      <c r="AB254" s="7" t="s">
        <v>45</v>
      </c>
      <c r="AC254" s="7"/>
      <c r="AD254" s="11"/>
      <c r="AE254" s="11"/>
      <c r="AF254" s="11"/>
      <c r="AG254" s="10">
        <f t="shared" si="3"/>
        <v>43318</v>
      </c>
    </row>
    <row r="255" spans="1:33">
      <c r="A255" s="7" t="s">
        <v>1476</v>
      </c>
      <c r="B255" s="7" t="s">
        <v>1476</v>
      </c>
      <c r="C255" s="7" t="s">
        <v>1477</v>
      </c>
      <c r="D255" s="7" t="s">
        <v>1478</v>
      </c>
      <c r="E255" s="7" t="s">
        <v>49</v>
      </c>
      <c r="F255" s="7" t="s">
        <v>34</v>
      </c>
      <c r="G255" s="7" t="s">
        <v>35</v>
      </c>
      <c r="H255" s="7"/>
      <c r="I255" s="7"/>
      <c r="J255" s="7" t="s">
        <v>50</v>
      </c>
      <c r="K255" s="7" t="s">
        <v>197</v>
      </c>
      <c r="L255" s="7" t="s">
        <v>977</v>
      </c>
      <c r="M255" s="7" t="s">
        <v>199</v>
      </c>
      <c r="N255" s="7" t="s">
        <v>49</v>
      </c>
      <c r="O255" s="7">
        <v>1</v>
      </c>
      <c r="P255" s="7" t="s">
        <v>41</v>
      </c>
      <c r="Q255" s="7">
        <v>21.99</v>
      </c>
      <c r="R255" s="7"/>
      <c r="S255" s="7"/>
      <c r="T255" s="7"/>
      <c r="U255" s="7"/>
      <c r="V255" s="7"/>
      <c r="W255" s="7"/>
      <c r="X255" s="7"/>
      <c r="Y255" s="7" t="s">
        <v>1479</v>
      </c>
      <c r="Z255" s="7" t="s">
        <v>911</v>
      </c>
      <c r="AA255" s="7" t="s">
        <v>1480</v>
      </c>
      <c r="AB255" s="7" t="s">
        <v>45</v>
      </c>
      <c r="AC255" s="7"/>
      <c r="AD255" s="11"/>
      <c r="AE255" s="11"/>
      <c r="AF255" s="11"/>
      <c r="AG255" s="10">
        <f t="shared" si="3"/>
        <v>43318</v>
      </c>
    </row>
    <row r="256" spans="1:33">
      <c r="A256" s="7" t="s">
        <v>1481</v>
      </c>
      <c r="B256" s="7" t="s">
        <v>1481</v>
      </c>
      <c r="C256" s="7" t="s">
        <v>1482</v>
      </c>
      <c r="D256" s="7" t="s">
        <v>1483</v>
      </c>
      <c r="E256" s="7" t="s">
        <v>33</v>
      </c>
      <c r="F256" s="7" t="s">
        <v>34</v>
      </c>
      <c r="G256" s="7" t="s">
        <v>35</v>
      </c>
      <c r="H256" s="7"/>
      <c r="I256" s="7"/>
      <c r="J256" s="7" t="s">
        <v>50</v>
      </c>
      <c r="K256" s="7" t="s">
        <v>208</v>
      </c>
      <c r="L256" s="7" t="s">
        <v>209</v>
      </c>
      <c r="M256" s="7" t="s">
        <v>210</v>
      </c>
      <c r="N256" s="7" t="s">
        <v>33</v>
      </c>
      <c r="O256" s="7">
        <v>0</v>
      </c>
      <c r="P256" s="7"/>
      <c r="Q256" s="7"/>
      <c r="R256" s="7"/>
      <c r="S256" s="7"/>
      <c r="T256" s="7"/>
      <c r="U256" s="7"/>
      <c r="V256" s="7"/>
      <c r="W256" s="7"/>
      <c r="X256" s="7"/>
      <c r="Y256" s="7" t="s">
        <v>1484</v>
      </c>
      <c r="Z256" s="7" t="s">
        <v>83</v>
      </c>
      <c r="AA256" s="7" t="s">
        <v>1485</v>
      </c>
      <c r="AB256" s="7" t="s">
        <v>45</v>
      </c>
      <c r="AC256" s="7"/>
      <c r="AD256" s="11"/>
      <c r="AE256" s="11"/>
      <c r="AF256" s="11"/>
      <c r="AG256" s="10">
        <f t="shared" si="3"/>
        <v>43318</v>
      </c>
    </row>
    <row r="257" spans="1:33">
      <c r="A257" s="7" t="s">
        <v>1486</v>
      </c>
      <c r="B257" s="7" t="s">
        <v>1486</v>
      </c>
      <c r="C257" s="7" t="s">
        <v>1487</v>
      </c>
      <c r="D257" s="7" t="s">
        <v>1488</v>
      </c>
      <c r="E257" s="7" t="s">
        <v>49</v>
      </c>
      <c r="F257" s="7" t="s">
        <v>34</v>
      </c>
      <c r="G257" s="7" t="s">
        <v>35</v>
      </c>
      <c r="H257" s="7"/>
      <c r="I257" s="7"/>
      <c r="J257" s="7" t="s">
        <v>36</v>
      </c>
      <c r="K257" s="7" t="s">
        <v>276</v>
      </c>
      <c r="L257" s="7" t="s">
        <v>277</v>
      </c>
      <c r="M257" s="7" t="s">
        <v>278</v>
      </c>
      <c r="N257" s="7" t="s">
        <v>49</v>
      </c>
      <c r="O257" s="7">
        <v>1</v>
      </c>
      <c r="P257" s="7" t="s">
        <v>41</v>
      </c>
      <c r="Q257" s="7">
        <v>91.99</v>
      </c>
      <c r="R257" s="7"/>
      <c r="S257" s="7">
        <v>6.87</v>
      </c>
      <c r="T257" s="7"/>
      <c r="U257" s="7"/>
      <c r="V257" s="7"/>
      <c r="W257" s="7"/>
      <c r="X257" s="7">
        <v>6.87</v>
      </c>
      <c r="Y257" s="7" t="s">
        <v>1489</v>
      </c>
      <c r="Z257" s="7" t="s">
        <v>266</v>
      </c>
      <c r="AA257" s="7" t="s">
        <v>1490</v>
      </c>
      <c r="AB257" s="7" t="s">
        <v>45</v>
      </c>
      <c r="AC257" s="7" t="s">
        <v>549</v>
      </c>
      <c r="AD257" s="11"/>
      <c r="AE257" s="11"/>
      <c r="AF257" s="11"/>
      <c r="AG257" s="10">
        <f t="shared" si="3"/>
        <v>43318</v>
      </c>
    </row>
    <row r="258" spans="1:33">
      <c r="A258" s="7" t="s">
        <v>1491</v>
      </c>
      <c r="B258" s="7" t="s">
        <v>1491</v>
      </c>
      <c r="C258" s="7" t="s">
        <v>1492</v>
      </c>
      <c r="D258" s="7" t="s">
        <v>1493</v>
      </c>
      <c r="E258" s="7" t="s">
        <v>49</v>
      </c>
      <c r="F258" s="7" t="s">
        <v>34</v>
      </c>
      <c r="G258" s="7" t="s">
        <v>35</v>
      </c>
      <c r="H258" s="7"/>
      <c r="I258" s="7"/>
      <c r="J258" s="7" t="s">
        <v>50</v>
      </c>
      <c r="K258" s="7" t="s">
        <v>485</v>
      </c>
      <c r="L258" s="7" t="s">
        <v>486</v>
      </c>
      <c r="M258" s="7" t="s">
        <v>487</v>
      </c>
      <c r="N258" s="7" t="s">
        <v>49</v>
      </c>
      <c r="O258" s="7">
        <v>1</v>
      </c>
      <c r="P258" s="7" t="s">
        <v>41</v>
      </c>
      <c r="Q258" s="7">
        <v>69.99</v>
      </c>
      <c r="R258" s="7"/>
      <c r="S258" s="7"/>
      <c r="T258" s="7"/>
      <c r="U258" s="7"/>
      <c r="V258" s="7"/>
      <c r="W258" s="7"/>
      <c r="X258" s="7"/>
      <c r="Y258" s="7" t="s">
        <v>1494</v>
      </c>
      <c r="Z258" s="7" t="s">
        <v>178</v>
      </c>
      <c r="AA258" s="7" t="s">
        <v>1495</v>
      </c>
      <c r="AB258" s="7" t="s">
        <v>45</v>
      </c>
      <c r="AC258" s="7"/>
      <c r="AD258" s="11"/>
      <c r="AE258" s="11"/>
      <c r="AF258" s="11"/>
      <c r="AG258" s="10">
        <f t="shared" ref="AG258:AG321" si="4">DATEVALUE(LEFT(C258,10))</f>
        <v>43318</v>
      </c>
    </row>
    <row r="259" spans="1:33">
      <c r="A259" s="7" t="s">
        <v>1496</v>
      </c>
      <c r="B259" s="7" t="s">
        <v>1496</v>
      </c>
      <c r="C259" s="7" t="s">
        <v>1497</v>
      </c>
      <c r="D259" s="7" t="s">
        <v>1498</v>
      </c>
      <c r="E259" s="7" t="s">
        <v>49</v>
      </c>
      <c r="F259" s="7" t="s">
        <v>34</v>
      </c>
      <c r="G259" s="7" t="s">
        <v>35</v>
      </c>
      <c r="H259" s="7"/>
      <c r="I259" s="7"/>
      <c r="J259" s="7" t="s">
        <v>50</v>
      </c>
      <c r="K259" s="7" t="s">
        <v>863</v>
      </c>
      <c r="L259" s="7" t="s">
        <v>864</v>
      </c>
      <c r="M259" s="7" t="s">
        <v>865</v>
      </c>
      <c r="N259" s="7" t="s">
        <v>49</v>
      </c>
      <c r="O259" s="7">
        <v>1</v>
      </c>
      <c r="P259" s="7" t="s">
        <v>41</v>
      </c>
      <c r="Q259" s="7">
        <v>34.99</v>
      </c>
      <c r="R259" s="7"/>
      <c r="S259" s="7"/>
      <c r="T259" s="7"/>
      <c r="U259" s="7"/>
      <c r="V259" s="7"/>
      <c r="W259" s="7"/>
      <c r="X259" s="7"/>
      <c r="Y259" s="7" t="s">
        <v>1499</v>
      </c>
      <c r="Z259" s="7" t="s">
        <v>92</v>
      </c>
      <c r="AA259" s="7">
        <v>27526</v>
      </c>
      <c r="AB259" s="7" t="s">
        <v>45</v>
      </c>
      <c r="AC259" s="7"/>
      <c r="AD259" s="11"/>
      <c r="AE259" s="11"/>
      <c r="AF259" s="11"/>
      <c r="AG259" s="10">
        <f t="shared" si="4"/>
        <v>43318</v>
      </c>
    </row>
    <row r="260" spans="1:33">
      <c r="A260" s="7" t="s">
        <v>1500</v>
      </c>
      <c r="B260" s="7" t="s">
        <v>1500</v>
      </c>
      <c r="C260" s="7" t="s">
        <v>1501</v>
      </c>
      <c r="D260" s="7" t="s">
        <v>1502</v>
      </c>
      <c r="E260" s="7" t="s">
        <v>49</v>
      </c>
      <c r="F260" s="7" t="s">
        <v>34</v>
      </c>
      <c r="G260" s="7" t="s">
        <v>35</v>
      </c>
      <c r="H260" s="7"/>
      <c r="I260" s="7"/>
      <c r="J260" s="7" t="s">
        <v>50</v>
      </c>
      <c r="K260" s="7" t="s">
        <v>1503</v>
      </c>
      <c r="L260" s="7" t="s">
        <v>1504</v>
      </c>
      <c r="M260" s="7" t="s">
        <v>1505</v>
      </c>
      <c r="N260" s="7" t="s">
        <v>49</v>
      </c>
      <c r="O260" s="7">
        <v>1</v>
      </c>
      <c r="P260" s="7" t="s">
        <v>41</v>
      </c>
      <c r="Q260" s="7">
        <v>89.99</v>
      </c>
      <c r="R260" s="7"/>
      <c r="S260" s="7"/>
      <c r="T260" s="7"/>
      <c r="U260" s="7"/>
      <c r="V260" s="7"/>
      <c r="W260" s="7"/>
      <c r="X260" s="7"/>
      <c r="Y260" s="7" t="s">
        <v>1506</v>
      </c>
      <c r="Z260" s="7" t="s">
        <v>64</v>
      </c>
      <c r="AA260" s="7" t="s">
        <v>1507</v>
      </c>
      <c r="AB260" s="7" t="s">
        <v>45</v>
      </c>
      <c r="AC260" s="7"/>
      <c r="AD260" s="11"/>
      <c r="AE260" s="11"/>
      <c r="AF260" s="11"/>
      <c r="AG260" s="10">
        <f t="shared" si="4"/>
        <v>43318</v>
      </c>
    </row>
    <row r="261" spans="1:33">
      <c r="A261" s="7" t="s">
        <v>1508</v>
      </c>
      <c r="B261" s="7" t="s">
        <v>1508</v>
      </c>
      <c r="C261" s="7" t="s">
        <v>1509</v>
      </c>
      <c r="D261" s="7" t="s">
        <v>1510</v>
      </c>
      <c r="E261" s="7" t="s">
        <v>49</v>
      </c>
      <c r="F261" s="7" t="s">
        <v>34</v>
      </c>
      <c r="G261" s="7" t="s">
        <v>35</v>
      </c>
      <c r="H261" s="7"/>
      <c r="I261" s="7"/>
      <c r="J261" s="7" t="s">
        <v>50</v>
      </c>
      <c r="K261" s="7" t="s">
        <v>276</v>
      </c>
      <c r="L261" s="7" t="s">
        <v>277</v>
      </c>
      <c r="M261" s="7" t="s">
        <v>278</v>
      </c>
      <c r="N261" s="7" t="s">
        <v>49</v>
      </c>
      <c r="O261" s="7">
        <v>1</v>
      </c>
      <c r="P261" s="7" t="s">
        <v>41</v>
      </c>
      <c r="Q261" s="7">
        <v>91.99</v>
      </c>
      <c r="R261" s="7"/>
      <c r="S261" s="7"/>
      <c r="T261" s="7"/>
      <c r="U261" s="7"/>
      <c r="V261" s="7"/>
      <c r="W261" s="7"/>
      <c r="X261" s="7"/>
      <c r="Y261" s="7" t="s">
        <v>1511</v>
      </c>
      <c r="Z261" s="7" t="s">
        <v>346</v>
      </c>
      <c r="AA261" s="7" t="s">
        <v>1512</v>
      </c>
      <c r="AB261" s="7" t="s">
        <v>45</v>
      </c>
      <c r="AC261" s="7"/>
      <c r="AD261" s="11"/>
      <c r="AE261" s="11"/>
      <c r="AF261" s="11"/>
      <c r="AG261" s="10">
        <f t="shared" si="4"/>
        <v>43318</v>
      </c>
    </row>
    <row r="262" spans="1:33">
      <c r="A262" s="7" t="s">
        <v>1513</v>
      </c>
      <c r="B262" s="7" t="s">
        <v>1513</v>
      </c>
      <c r="C262" s="7" t="s">
        <v>1514</v>
      </c>
      <c r="D262" s="7" t="s">
        <v>1515</v>
      </c>
      <c r="E262" s="7" t="s">
        <v>49</v>
      </c>
      <c r="F262" s="7" t="s">
        <v>34</v>
      </c>
      <c r="G262" s="7" t="s">
        <v>35</v>
      </c>
      <c r="H262" s="7"/>
      <c r="I262" s="7"/>
      <c r="J262" s="7" t="s">
        <v>50</v>
      </c>
      <c r="K262" s="7" t="s">
        <v>208</v>
      </c>
      <c r="L262" s="7" t="s">
        <v>209</v>
      </c>
      <c r="M262" s="7" t="s">
        <v>210</v>
      </c>
      <c r="N262" s="7" t="s">
        <v>49</v>
      </c>
      <c r="O262" s="7">
        <v>3</v>
      </c>
      <c r="P262" s="7" t="s">
        <v>41</v>
      </c>
      <c r="Q262" s="7">
        <v>269.97</v>
      </c>
      <c r="R262" s="7"/>
      <c r="S262" s="7"/>
      <c r="T262" s="7"/>
      <c r="U262" s="7"/>
      <c r="V262" s="7"/>
      <c r="W262" s="7"/>
      <c r="X262" s="7"/>
      <c r="Y262" s="7" t="s">
        <v>1212</v>
      </c>
      <c r="Z262" s="7" t="s">
        <v>178</v>
      </c>
      <c r="AA262" s="7" t="s">
        <v>1516</v>
      </c>
      <c r="AB262" s="7" t="s">
        <v>45</v>
      </c>
      <c r="AC262" s="7"/>
      <c r="AD262" s="11"/>
      <c r="AE262" s="11"/>
      <c r="AF262" s="11"/>
      <c r="AG262" s="10">
        <f t="shared" si="4"/>
        <v>43318</v>
      </c>
    </row>
    <row r="263" spans="1:33">
      <c r="A263" s="7" t="s">
        <v>1517</v>
      </c>
      <c r="B263" s="7" t="s">
        <v>1517</v>
      </c>
      <c r="C263" s="7" t="s">
        <v>1518</v>
      </c>
      <c r="D263" s="7" t="s">
        <v>1519</v>
      </c>
      <c r="E263" s="7" t="s">
        <v>49</v>
      </c>
      <c r="F263" s="7" t="s">
        <v>34</v>
      </c>
      <c r="G263" s="7" t="s">
        <v>35</v>
      </c>
      <c r="H263" s="7"/>
      <c r="I263" s="7"/>
      <c r="J263" s="7" t="s">
        <v>50</v>
      </c>
      <c r="K263" s="7" t="s">
        <v>120</v>
      </c>
      <c r="L263" s="7" t="s">
        <v>121</v>
      </c>
      <c r="M263" s="7" t="s">
        <v>122</v>
      </c>
      <c r="N263" s="7" t="s">
        <v>49</v>
      </c>
      <c r="O263" s="7">
        <v>1</v>
      </c>
      <c r="P263" s="7" t="s">
        <v>41</v>
      </c>
      <c r="Q263" s="7">
        <v>29.99</v>
      </c>
      <c r="R263" s="7"/>
      <c r="S263" s="7"/>
      <c r="T263" s="7"/>
      <c r="U263" s="7"/>
      <c r="V263" s="7"/>
      <c r="W263" s="7"/>
      <c r="X263" s="7"/>
      <c r="Y263" s="7" t="s">
        <v>847</v>
      </c>
      <c r="Z263" s="7" t="s">
        <v>178</v>
      </c>
      <c r="AA263" s="7" t="s">
        <v>1520</v>
      </c>
      <c r="AB263" s="7" t="s">
        <v>45</v>
      </c>
      <c r="AC263" s="7"/>
      <c r="AD263" s="11"/>
      <c r="AE263" s="11"/>
      <c r="AF263" s="11"/>
      <c r="AG263" s="10">
        <f t="shared" si="4"/>
        <v>43318</v>
      </c>
    </row>
    <row r="264" spans="1:33">
      <c r="A264" s="7" t="s">
        <v>1521</v>
      </c>
      <c r="B264" s="7" t="s">
        <v>1521</v>
      </c>
      <c r="C264" s="7" t="s">
        <v>1522</v>
      </c>
      <c r="D264" s="7" t="s">
        <v>1523</v>
      </c>
      <c r="E264" s="7" t="s">
        <v>49</v>
      </c>
      <c r="F264" s="7" t="s">
        <v>34</v>
      </c>
      <c r="G264" s="7" t="s">
        <v>35</v>
      </c>
      <c r="H264" s="7"/>
      <c r="I264" s="7"/>
      <c r="J264" s="7" t="s">
        <v>50</v>
      </c>
      <c r="K264" s="7" t="s">
        <v>603</v>
      </c>
      <c r="L264" s="7" t="s">
        <v>604</v>
      </c>
      <c r="M264" s="7" t="s">
        <v>605</v>
      </c>
      <c r="N264" s="7" t="s">
        <v>49</v>
      </c>
      <c r="O264" s="7">
        <v>1</v>
      </c>
      <c r="P264" s="7" t="s">
        <v>41</v>
      </c>
      <c r="Q264" s="7">
        <v>99.99</v>
      </c>
      <c r="R264" s="7"/>
      <c r="S264" s="7"/>
      <c r="T264" s="7"/>
      <c r="U264" s="7"/>
      <c r="V264" s="7"/>
      <c r="W264" s="7"/>
      <c r="X264" s="7"/>
      <c r="Y264" s="7" t="s">
        <v>1524</v>
      </c>
      <c r="Z264" s="7" t="s">
        <v>178</v>
      </c>
      <c r="AA264" s="7" t="s">
        <v>1525</v>
      </c>
      <c r="AB264" s="7" t="s">
        <v>45</v>
      </c>
      <c r="AC264" s="7"/>
      <c r="AD264" s="11"/>
      <c r="AE264" s="11"/>
      <c r="AF264" s="11"/>
      <c r="AG264" s="10">
        <f t="shared" si="4"/>
        <v>43318</v>
      </c>
    </row>
    <row r="265" spans="1:33">
      <c r="A265" s="7" t="s">
        <v>1526</v>
      </c>
      <c r="B265" s="7" t="s">
        <v>1526</v>
      </c>
      <c r="C265" s="7" t="s">
        <v>1527</v>
      </c>
      <c r="D265" s="7" t="s">
        <v>1528</v>
      </c>
      <c r="E265" s="7" t="s">
        <v>49</v>
      </c>
      <c r="F265" s="7" t="s">
        <v>34</v>
      </c>
      <c r="G265" s="7" t="s">
        <v>35</v>
      </c>
      <c r="H265" s="7"/>
      <c r="I265" s="7"/>
      <c r="J265" s="7" t="s">
        <v>50</v>
      </c>
      <c r="K265" s="7" t="s">
        <v>226</v>
      </c>
      <c r="L265" s="7" t="s">
        <v>227</v>
      </c>
      <c r="M265" s="7" t="s">
        <v>228</v>
      </c>
      <c r="N265" s="7" t="s">
        <v>49</v>
      </c>
      <c r="O265" s="7">
        <v>1</v>
      </c>
      <c r="P265" s="7" t="s">
        <v>41</v>
      </c>
      <c r="Q265" s="7">
        <v>85.99</v>
      </c>
      <c r="R265" s="7"/>
      <c r="S265" s="7"/>
      <c r="T265" s="7"/>
      <c r="U265" s="7"/>
      <c r="V265" s="7"/>
      <c r="W265" s="7"/>
      <c r="X265" s="7"/>
      <c r="Y265" s="7" t="s">
        <v>1529</v>
      </c>
      <c r="Z265" s="7" t="s">
        <v>361</v>
      </c>
      <c r="AA265" s="7" t="s">
        <v>1530</v>
      </c>
      <c r="AB265" s="7" t="s">
        <v>45</v>
      </c>
      <c r="AC265" s="7"/>
      <c r="AD265" s="11"/>
      <c r="AE265" s="11"/>
      <c r="AF265" s="11"/>
      <c r="AG265" s="10">
        <f t="shared" si="4"/>
        <v>43318</v>
      </c>
    </row>
    <row r="266" spans="1:33">
      <c r="A266" s="7" t="s">
        <v>1531</v>
      </c>
      <c r="B266" s="7" t="s">
        <v>1531</v>
      </c>
      <c r="C266" s="7" t="s">
        <v>1532</v>
      </c>
      <c r="D266" s="7" t="s">
        <v>1533</v>
      </c>
      <c r="E266" s="7" t="s">
        <v>49</v>
      </c>
      <c r="F266" s="7" t="s">
        <v>34</v>
      </c>
      <c r="G266" s="7" t="s">
        <v>35</v>
      </c>
      <c r="H266" s="7"/>
      <c r="I266" s="7"/>
      <c r="J266" s="7" t="s">
        <v>50</v>
      </c>
      <c r="K266" s="7" t="s">
        <v>217</v>
      </c>
      <c r="L266" s="7" t="s">
        <v>218</v>
      </c>
      <c r="M266" s="7" t="s">
        <v>219</v>
      </c>
      <c r="N266" s="7" t="s">
        <v>49</v>
      </c>
      <c r="O266" s="7">
        <v>1</v>
      </c>
      <c r="P266" s="7" t="s">
        <v>41</v>
      </c>
      <c r="Q266" s="7">
        <v>29.99</v>
      </c>
      <c r="R266" s="7"/>
      <c r="S266" s="7"/>
      <c r="T266" s="7"/>
      <c r="U266" s="7"/>
      <c r="V266" s="7"/>
      <c r="W266" s="7"/>
      <c r="X266" s="7"/>
      <c r="Y266" s="7" t="s">
        <v>1534</v>
      </c>
      <c r="Z266" s="7" t="s">
        <v>109</v>
      </c>
      <c r="AA266" s="7" t="s">
        <v>1535</v>
      </c>
      <c r="AB266" s="7" t="s">
        <v>45</v>
      </c>
      <c r="AC266" s="7"/>
      <c r="AD266" s="11"/>
      <c r="AE266" s="11"/>
      <c r="AF266" s="11"/>
      <c r="AG266" s="10">
        <f t="shared" si="4"/>
        <v>43318</v>
      </c>
    </row>
    <row r="267" spans="1:33">
      <c r="A267" s="7" t="s">
        <v>1536</v>
      </c>
      <c r="B267" s="7" t="s">
        <v>1536</v>
      </c>
      <c r="C267" s="7" t="s">
        <v>1537</v>
      </c>
      <c r="D267" s="7" t="s">
        <v>1538</v>
      </c>
      <c r="E267" s="7" t="s">
        <v>49</v>
      </c>
      <c r="F267" s="7" t="s">
        <v>34</v>
      </c>
      <c r="G267" s="7" t="s">
        <v>35</v>
      </c>
      <c r="H267" s="7"/>
      <c r="I267" s="7"/>
      <c r="J267" s="7" t="s">
        <v>36</v>
      </c>
      <c r="K267" s="7" t="s">
        <v>120</v>
      </c>
      <c r="L267" s="7" t="s">
        <v>121</v>
      </c>
      <c r="M267" s="7" t="s">
        <v>122</v>
      </c>
      <c r="N267" s="7" t="s">
        <v>49</v>
      </c>
      <c r="O267" s="7">
        <v>1</v>
      </c>
      <c r="P267" s="7" t="s">
        <v>41</v>
      </c>
      <c r="Q267" s="7">
        <v>29.99</v>
      </c>
      <c r="R267" s="7"/>
      <c r="S267" s="7">
        <v>5.74</v>
      </c>
      <c r="T267" s="7"/>
      <c r="U267" s="7"/>
      <c r="V267" s="7"/>
      <c r="W267" s="7"/>
      <c r="X267" s="7">
        <v>5.74</v>
      </c>
      <c r="Y267" s="7" t="s">
        <v>1539</v>
      </c>
      <c r="Z267" s="7" t="s">
        <v>1540</v>
      </c>
      <c r="AA267" s="7">
        <v>44484</v>
      </c>
      <c r="AB267" s="7" t="s">
        <v>45</v>
      </c>
      <c r="AC267" s="7" t="s">
        <v>549</v>
      </c>
      <c r="AD267" s="11"/>
      <c r="AE267" s="11"/>
      <c r="AF267" s="11"/>
      <c r="AG267" s="10">
        <f t="shared" si="4"/>
        <v>43318</v>
      </c>
    </row>
    <row r="268" spans="1:33">
      <c r="A268" s="7" t="s">
        <v>1541</v>
      </c>
      <c r="B268" s="7" t="s">
        <v>1541</v>
      </c>
      <c r="C268" s="7" t="s">
        <v>1542</v>
      </c>
      <c r="D268" s="7" t="s">
        <v>1543</v>
      </c>
      <c r="E268" s="7" t="s">
        <v>49</v>
      </c>
      <c r="F268" s="7" t="s">
        <v>34</v>
      </c>
      <c r="G268" s="7" t="s">
        <v>35</v>
      </c>
      <c r="H268" s="7"/>
      <c r="I268" s="7"/>
      <c r="J268" s="7" t="s">
        <v>50</v>
      </c>
      <c r="K268" s="7" t="s">
        <v>863</v>
      </c>
      <c r="L268" s="7" t="s">
        <v>864</v>
      </c>
      <c r="M268" s="7" t="s">
        <v>865</v>
      </c>
      <c r="N268" s="7" t="s">
        <v>49</v>
      </c>
      <c r="O268" s="7">
        <v>1</v>
      </c>
      <c r="P268" s="7" t="s">
        <v>41</v>
      </c>
      <c r="Q268" s="7">
        <v>34.99</v>
      </c>
      <c r="R268" s="7"/>
      <c r="S268" s="7"/>
      <c r="T268" s="7"/>
      <c r="U268" s="7"/>
      <c r="V268" s="7"/>
      <c r="W268" s="7"/>
      <c r="X268" s="7"/>
      <c r="Y268" s="7" t="s">
        <v>1544</v>
      </c>
      <c r="Z268" s="7" t="s">
        <v>266</v>
      </c>
      <c r="AA268" s="7" t="s">
        <v>1545</v>
      </c>
      <c r="AB268" s="7" t="s">
        <v>45</v>
      </c>
      <c r="AC268" s="7"/>
      <c r="AD268" s="11"/>
      <c r="AE268" s="11"/>
      <c r="AF268" s="11"/>
      <c r="AG268" s="10">
        <f t="shared" si="4"/>
        <v>43318</v>
      </c>
    </row>
    <row r="269" spans="1:33">
      <c r="A269" s="7" t="s">
        <v>1546</v>
      </c>
      <c r="B269" s="7" t="s">
        <v>1546</v>
      </c>
      <c r="C269" s="7" t="s">
        <v>1547</v>
      </c>
      <c r="D269" s="7" t="s">
        <v>1548</v>
      </c>
      <c r="E269" s="7" t="s">
        <v>49</v>
      </c>
      <c r="F269" s="7" t="s">
        <v>34</v>
      </c>
      <c r="G269" s="7" t="s">
        <v>35</v>
      </c>
      <c r="H269" s="7"/>
      <c r="I269" s="7"/>
      <c r="J269" s="7" t="s">
        <v>50</v>
      </c>
      <c r="K269" s="7" t="s">
        <v>1436</v>
      </c>
      <c r="L269" s="7" t="s">
        <v>1437</v>
      </c>
      <c r="M269" s="7" t="s">
        <v>1438</v>
      </c>
      <c r="N269" s="7" t="s">
        <v>49</v>
      </c>
      <c r="O269" s="7">
        <v>1</v>
      </c>
      <c r="P269" s="7" t="s">
        <v>41</v>
      </c>
      <c r="Q269" s="7">
        <v>89.99</v>
      </c>
      <c r="R269" s="7"/>
      <c r="S269" s="7"/>
      <c r="T269" s="7"/>
      <c r="U269" s="7"/>
      <c r="V269" s="7"/>
      <c r="W269" s="7"/>
      <c r="X269" s="7"/>
      <c r="Y269" s="7" t="s">
        <v>1549</v>
      </c>
      <c r="Z269" s="7" t="s">
        <v>1550</v>
      </c>
      <c r="AA269" s="7">
        <v>29687</v>
      </c>
      <c r="AB269" s="7" t="s">
        <v>45</v>
      </c>
      <c r="AC269" s="7"/>
      <c r="AD269" s="11"/>
      <c r="AE269" s="11"/>
      <c r="AF269" s="11"/>
      <c r="AG269" s="10">
        <f t="shared" si="4"/>
        <v>43318</v>
      </c>
    </row>
    <row r="270" spans="1:33">
      <c r="A270" s="7" t="s">
        <v>1551</v>
      </c>
      <c r="B270" s="7" t="s">
        <v>1551</v>
      </c>
      <c r="C270" s="7" t="s">
        <v>1552</v>
      </c>
      <c r="D270" s="7" t="s">
        <v>1553</v>
      </c>
      <c r="E270" s="7" t="s">
        <v>33</v>
      </c>
      <c r="F270" s="7" t="s">
        <v>34</v>
      </c>
      <c r="G270" s="7" t="s">
        <v>35</v>
      </c>
      <c r="H270" s="7"/>
      <c r="I270" s="7"/>
      <c r="J270" s="7" t="s">
        <v>326</v>
      </c>
      <c r="K270" s="7" t="s">
        <v>632</v>
      </c>
      <c r="L270" s="7" t="s">
        <v>633</v>
      </c>
      <c r="M270" s="7" t="s">
        <v>634</v>
      </c>
      <c r="N270" s="7" t="s">
        <v>33</v>
      </c>
      <c r="O270" s="7">
        <v>0</v>
      </c>
      <c r="P270" s="7"/>
      <c r="Q270" s="7"/>
      <c r="R270" s="7"/>
      <c r="S270" s="7"/>
      <c r="T270" s="7"/>
      <c r="U270" s="7"/>
      <c r="V270" s="7"/>
      <c r="W270" s="7"/>
      <c r="X270" s="7"/>
      <c r="Y270" s="7" t="s">
        <v>1554</v>
      </c>
      <c r="Z270" s="7" t="s">
        <v>184</v>
      </c>
      <c r="AA270" s="7" t="s">
        <v>1555</v>
      </c>
      <c r="AB270" s="7" t="s">
        <v>45</v>
      </c>
      <c r="AC270" s="7"/>
      <c r="AD270" s="11"/>
      <c r="AE270" s="11"/>
      <c r="AF270" s="11"/>
      <c r="AG270" s="10">
        <f t="shared" si="4"/>
        <v>43318</v>
      </c>
    </row>
    <row r="271" spans="1:33">
      <c r="A271" s="7" t="s">
        <v>1556</v>
      </c>
      <c r="B271" s="7" t="s">
        <v>1556</v>
      </c>
      <c r="C271" s="7" t="s">
        <v>1557</v>
      </c>
      <c r="D271" s="7" t="s">
        <v>1558</v>
      </c>
      <c r="E271" s="7" t="s">
        <v>49</v>
      </c>
      <c r="F271" s="7" t="s">
        <v>34</v>
      </c>
      <c r="G271" s="7" t="s">
        <v>35</v>
      </c>
      <c r="H271" s="7"/>
      <c r="I271" s="7"/>
      <c r="J271" s="7" t="s">
        <v>50</v>
      </c>
      <c r="K271" s="7" t="s">
        <v>169</v>
      </c>
      <c r="L271" s="7" t="s">
        <v>170</v>
      </c>
      <c r="M271" s="7" t="s">
        <v>171</v>
      </c>
      <c r="N271" s="7" t="s">
        <v>49</v>
      </c>
      <c r="O271" s="7">
        <v>1</v>
      </c>
      <c r="P271" s="7" t="s">
        <v>41</v>
      </c>
      <c r="Q271" s="7">
        <v>89.99</v>
      </c>
      <c r="R271" s="7"/>
      <c r="S271" s="7"/>
      <c r="T271" s="7"/>
      <c r="U271" s="7"/>
      <c r="V271" s="7"/>
      <c r="W271" s="7"/>
      <c r="X271" s="7"/>
      <c r="Y271" s="7" t="s">
        <v>1559</v>
      </c>
      <c r="Z271" s="7" t="s">
        <v>1560</v>
      </c>
      <c r="AA271" s="7">
        <v>92627</v>
      </c>
      <c r="AB271" s="7" t="s">
        <v>45</v>
      </c>
      <c r="AC271" s="7"/>
      <c r="AD271" s="11"/>
      <c r="AE271" s="11"/>
      <c r="AF271" s="11"/>
      <c r="AG271" s="10">
        <f t="shared" si="4"/>
        <v>43318</v>
      </c>
    </row>
    <row r="272" spans="1:33">
      <c r="A272" s="7" t="s">
        <v>1561</v>
      </c>
      <c r="B272" s="7" t="s">
        <v>1561</v>
      </c>
      <c r="C272" s="7" t="s">
        <v>1562</v>
      </c>
      <c r="D272" s="7" t="s">
        <v>1563</v>
      </c>
      <c r="E272" s="7" t="s">
        <v>49</v>
      </c>
      <c r="F272" s="7" t="s">
        <v>34</v>
      </c>
      <c r="G272" s="7" t="s">
        <v>35</v>
      </c>
      <c r="H272" s="7"/>
      <c r="I272" s="7"/>
      <c r="J272" s="7" t="s">
        <v>50</v>
      </c>
      <c r="K272" s="7" t="s">
        <v>276</v>
      </c>
      <c r="L272" s="7" t="s">
        <v>277</v>
      </c>
      <c r="M272" s="7" t="s">
        <v>278</v>
      </c>
      <c r="N272" s="7" t="s">
        <v>49</v>
      </c>
      <c r="O272" s="7">
        <v>1</v>
      </c>
      <c r="P272" s="7" t="s">
        <v>41</v>
      </c>
      <c r="Q272" s="7">
        <v>91.99</v>
      </c>
      <c r="R272" s="7"/>
      <c r="S272" s="7"/>
      <c r="T272" s="7"/>
      <c r="U272" s="7"/>
      <c r="V272" s="7"/>
      <c r="W272" s="7"/>
      <c r="X272" s="7"/>
      <c r="Y272" s="7" t="s">
        <v>1564</v>
      </c>
      <c r="Z272" s="7" t="s">
        <v>1095</v>
      </c>
      <c r="AA272" s="7">
        <v>92118</v>
      </c>
      <c r="AB272" s="7" t="s">
        <v>45</v>
      </c>
      <c r="AC272" s="7"/>
      <c r="AD272" s="11"/>
      <c r="AE272" s="11"/>
      <c r="AF272" s="11"/>
      <c r="AG272" s="10">
        <f t="shared" si="4"/>
        <v>43318</v>
      </c>
    </row>
    <row r="273" spans="1:33">
      <c r="A273" s="7" t="s">
        <v>1565</v>
      </c>
      <c r="B273" s="7" t="s">
        <v>1565</v>
      </c>
      <c r="C273" s="7" t="s">
        <v>1566</v>
      </c>
      <c r="D273" s="7" t="s">
        <v>1567</v>
      </c>
      <c r="E273" s="7" t="s">
        <v>49</v>
      </c>
      <c r="F273" s="7" t="s">
        <v>34</v>
      </c>
      <c r="G273" s="7" t="s">
        <v>35</v>
      </c>
      <c r="H273" s="7"/>
      <c r="I273" s="7"/>
      <c r="J273" s="7" t="s">
        <v>50</v>
      </c>
      <c r="K273" s="7" t="s">
        <v>197</v>
      </c>
      <c r="L273" s="7" t="s">
        <v>977</v>
      </c>
      <c r="M273" s="7" t="s">
        <v>199</v>
      </c>
      <c r="N273" s="7" t="s">
        <v>49</v>
      </c>
      <c r="O273" s="7">
        <v>1</v>
      </c>
      <c r="P273" s="7" t="s">
        <v>41</v>
      </c>
      <c r="Q273" s="7">
        <v>21.99</v>
      </c>
      <c r="R273" s="7"/>
      <c r="S273" s="7"/>
      <c r="T273" s="7"/>
      <c r="U273" s="7"/>
      <c r="V273" s="7"/>
      <c r="W273" s="7"/>
      <c r="X273" s="7"/>
      <c r="Y273" s="7" t="s">
        <v>1568</v>
      </c>
      <c r="Z273" s="7" t="s">
        <v>109</v>
      </c>
      <c r="AA273" s="7" t="s">
        <v>1569</v>
      </c>
      <c r="AB273" s="7" t="s">
        <v>45</v>
      </c>
      <c r="AC273" s="7"/>
      <c r="AD273" s="11"/>
      <c r="AE273" s="11"/>
      <c r="AF273" s="11"/>
      <c r="AG273" s="10">
        <f t="shared" si="4"/>
        <v>43318</v>
      </c>
    </row>
    <row r="274" spans="1:33">
      <c r="A274" s="7" t="s">
        <v>1570</v>
      </c>
      <c r="B274" s="7" t="s">
        <v>1570</v>
      </c>
      <c r="C274" s="7" t="s">
        <v>1571</v>
      </c>
      <c r="D274" s="7" t="s">
        <v>1572</v>
      </c>
      <c r="E274" s="7" t="s">
        <v>49</v>
      </c>
      <c r="F274" s="7" t="s">
        <v>34</v>
      </c>
      <c r="G274" s="7" t="s">
        <v>35</v>
      </c>
      <c r="H274" s="7"/>
      <c r="I274" s="7"/>
      <c r="J274" s="7" t="s">
        <v>50</v>
      </c>
      <c r="K274" s="7" t="s">
        <v>1270</v>
      </c>
      <c r="L274" s="7" t="s">
        <v>1271</v>
      </c>
      <c r="M274" s="7" t="s">
        <v>1272</v>
      </c>
      <c r="N274" s="7" t="s">
        <v>49</v>
      </c>
      <c r="O274" s="7">
        <v>5</v>
      </c>
      <c r="P274" s="7" t="s">
        <v>41</v>
      </c>
      <c r="Q274" s="7">
        <v>119.95</v>
      </c>
      <c r="R274" s="7"/>
      <c r="S274" s="7"/>
      <c r="T274" s="7"/>
      <c r="U274" s="7"/>
      <c r="V274" s="7"/>
      <c r="W274" s="7"/>
      <c r="X274" s="7"/>
      <c r="Y274" s="7" t="s">
        <v>1573</v>
      </c>
      <c r="Z274" s="7" t="s">
        <v>1381</v>
      </c>
      <c r="AA274" s="7" t="s">
        <v>1574</v>
      </c>
      <c r="AB274" s="7" t="s">
        <v>45</v>
      </c>
      <c r="AC274" s="7"/>
      <c r="AD274" s="11"/>
      <c r="AE274" s="11"/>
      <c r="AF274" s="11"/>
      <c r="AG274" s="10">
        <f t="shared" si="4"/>
        <v>43318</v>
      </c>
    </row>
    <row r="275" spans="1:33">
      <c r="A275" s="7" t="s">
        <v>1575</v>
      </c>
      <c r="B275" s="7" t="s">
        <v>1575</v>
      </c>
      <c r="C275" s="7" t="s">
        <v>1576</v>
      </c>
      <c r="D275" s="7" t="s">
        <v>1577</v>
      </c>
      <c r="E275" s="7" t="s">
        <v>49</v>
      </c>
      <c r="F275" s="7" t="s">
        <v>34</v>
      </c>
      <c r="G275" s="7" t="s">
        <v>35</v>
      </c>
      <c r="H275" s="7"/>
      <c r="I275" s="7"/>
      <c r="J275" s="7" t="s">
        <v>36</v>
      </c>
      <c r="K275" s="7" t="s">
        <v>1436</v>
      </c>
      <c r="L275" s="7" t="s">
        <v>1437</v>
      </c>
      <c r="M275" s="7" t="s">
        <v>1438</v>
      </c>
      <c r="N275" s="7" t="s">
        <v>49</v>
      </c>
      <c r="O275" s="7">
        <v>1</v>
      </c>
      <c r="P275" s="7" t="s">
        <v>41</v>
      </c>
      <c r="Q275" s="7">
        <v>89.99</v>
      </c>
      <c r="R275" s="7"/>
      <c r="S275" s="7">
        <v>4.91</v>
      </c>
      <c r="T275" s="7"/>
      <c r="U275" s="7"/>
      <c r="V275" s="7"/>
      <c r="W275" s="7"/>
      <c r="X275" s="7">
        <v>4.91</v>
      </c>
      <c r="Y275" s="7" t="s">
        <v>1578</v>
      </c>
      <c r="Z275" s="7" t="s">
        <v>1579</v>
      </c>
      <c r="AA275" s="7" t="s">
        <v>1580</v>
      </c>
      <c r="AB275" s="7" t="s">
        <v>45</v>
      </c>
      <c r="AC275" s="7" t="s">
        <v>549</v>
      </c>
      <c r="AD275" s="11"/>
      <c r="AE275" s="11"/>
      <c r="AF275" s="11"/>
      <c r="AG275" s="10">
        <f t="shared" si="4"/>
        <v>43318</v>
      </c>
    </row>
    <row r="276" spans="1:33">
      <c r="A276" s="7" t="s">
        <v>1581</v>
      </c>
      <c r="B276" s="7" t="s">
        <v>1581</v>
      </c>
      <c r="C276" s="7" t="s">
        <v>1582</v>
      </c>
      <c r="D276" s="7" t="s">
        <v>1583</v>
      </c>
      <c r="E276" s="7" t="s">
        <v>49</v>
      </c>
      <c r="F276" s="7" t="s">
        <v>34</v>
      </c>
      <c r="G276" s="7" t="s">
        <v>35</v>
      </c>
      <c r="H276" s="7"/>
      <c r="I276" s="7"/>
      <c r="J276" s="7" t="s">
        <v>50</v>
      </c>
      <c r="K276" s="7" t="s">
        <v>197</v>
      </c>
      <c r="L276" s="7" t="s">
        <v>977</v>
      </c>
      <c r="M276" s="7" t="s">
        <v>199</v>
      </c>
      <c r="N276" s="7" t="s">
        <v>49</v>
      </c>
      <c r="O276" s="7">
        <v>1</v>
      </c>
      <c r="P276" s="7" t="s">
        <v>41</v>
      </c>
      <c r="Q276" s="7">
        <v>21.99</v>
      </c>
      <c r="R276" s="7"/>
      <c r="S276" s="7"/>
      <c r="T276" s="7"/>
      <c r="U276" s="7"/>
      <c r="V276" s="7"/>
      <c r="W276" s="7"/>
      <c r="X276" s="7"/>
      <c r="Y276" s="7" t="s">
        <v>1584</v>
      </c>
      <c r="Z276" s="7" t="s">
        <v>64</v>
      </c>
      <c r="AA276" s="7" t="s">
        <v>1585</v>
      </c>
      <c r="AB276" s="7" t="s">
        <v>45</v>
      </c>
      <c r="AC276" s="7"/>
      <c r="AD276" s="11"/>
      <c r="AE276" s="11"/>
      <c r="AF276" s="11"/>
      <c r="AG276" s="10">
        <f t="shared" si="4"/>
        <v>43318</v>
      </c>
    </row>
    <row r="277" spans="1:33">
      <c r="A277" s="7" t="s">
        <v>1586</v>
      </c>
      <c r="B277" s="7" t="s">
        <v>1586</v>
      </c>
      <c r="C277" s="7" t="s">
        <v>1587</v>
      </c>
      <c r="D277" s="7" t="s">
        <v>1588</v>
      </c>
      <c r="E277" s="7" t="s">
        <v>49</v>
      </c>
      <c r="F277" s="7" t="s">
        <v>34</v>
      </c>
      <c r="G277" s="7" t="s">
        <v>35</v>
      </c>
      <c r="H277" s="7"/>
      <c r="I277" s="7"/>
      <c r="J277" s="7" t="s">
        <v>50</v>
      </c>
      <c r="K277" s="7" t="s">
        <v>160</v>
      </c>
      <c r="L277" s="7" t="s">
        <v>161</v>
      </c>
      <c r="M277" s="7" t="s">
        <v>162</v>
      </c>
      <c r="N277" s="7" t="s">
        <v>49</v>
      </c>
      <c r="O277" s="7">
        <v>1</v>
      </c>
      <c r="P277" s="7" t="s">
        <v>41</v>
      </c>
      <c r="Q277" s="7">
        <v>89.99</v>
      </c>
      <c r="R277" s="7">
        <v>5.4</v>
      </c>
      <c r="S277" s="7"/>
      <c r="T277" s="7"/>
      <c r="U277" s="7"/>
      <c r="V277" s="7"/>
      <c r="W277" s="7"/>
      <c r="X277" s="7"/>
      <c r="Y277" s="7" t="s">
        <v>1589</v>
      </c>
      <c r="Z277" s="7" t="s">
        <v>124</v>
      </c>
      <c r="AA277" s="7" t="s">
        <v>1590</v>
      </c>
      <c r="AB277" s="7" t="s">
        <v>45</v>
      </c>
      <c r="AC277" s="7"/>
      <c r="AD277" s="11"/>
      <c r="AE277" s="11"/>
      <c r="AF277" s="11"/>
      <c r="AG277" s="10">
        <f t="shared" si="4"/>
        <v>43318</v>
      </c>
    </row>
    <row r="278" spans="1:33">
      <c r="A278" s="7" t="s">
        <v>1591</v>
      </c>
      <c r="B278" s="7" t="s">
        <v>1591</v>
      </c>
      <c r="C278" s="7" t="s">
        <v>1592</v>
      </c>
      <c r="D278" s="7" t="s">
        <v>1593</v>
      </c>
      <c r="E278" s="7" t="s">
        <v>49</v>
      </c>
      <c r="F278" s="7" t="s">
        <v>34</v>
      </c>
      <c r="G278" s="7" t="s">
        <v>35</v>
      </c>
      <c r="H278" s="7"/>
      <c r="I278" s="7"/>
      <c r="J278" s="7" t="s">
        <v>36</v>
      </c>
      <c r="K278" s="7" t="s">
        <v>828</v>
      </c>
      <c r="L278" s="7" t="s">
        <v>829</v>
      </c>
      <c r="M278" s="7" t="s">
        <v>830</v>
      </c>
      <c r="N278" s="7" t="s">
        <v>49</v>
      </c>
      <c r="O278" s="7">
        <v>1</v>
      </c>
      <c r="P278" s="7" t="s">
        <v>41</v>
      </c>
      <c r="Q278" s="7">
        <v>59.99</v>
      </c>
      <c r="R278" s="7"/>
      <c r="S278" s="7">
        <v>5.74</v>
      </c>
      <c r="T278" s="7"/>
      <c r="U278" s="7"/>
      <c r="V278" s="7"/>
      <c r="W278" s="7"/>
      <c r="X278" s="7">
        <v>5.74</v>
      </c>
      <c r="Y278" s="7" t="s">
        <v>579</v>
      </c>
      <c r="Z278" s="7" t="s">
        <v>64</v>
      </c>
      <c r="AA278" s="7" t="s">
        <v>1594</v>
      </c>
      <c r="AB278" s="7" t="s">
        <v>45</v>
      </c>
      <c r="AC278" s="7" t="s">
        <v>549</v>
      </c>
      <c r="AD278" s="11"/>
      <c r="AE278" s="11"/>
      <c r="AF278" s="11"/>
      <c r="AG278" s="10">
        <f t="shared" si="4"/>
        <v>43318</v>
      </c>
    </row>
    <row r="279" spans="1:33">
      <c r="A279" s="7" t="s">
        <v>1595</v>
      </c>
      <c r="B279" s="7" t="s">
        <v>1595</v>
      </c>
      <c r="C279" s="7" t="s">
        <v>1596</v>
      </c>
      <c r="D279" s="7" t="s">
        <v>1597</v>
      </c>
      <c r="E279" s="7" t="s">
        <v>49</v>
      </c>
      <c r="F279" s="7" t="s">
        <v>34</v>
      </c>
      <c r="G279" s="7" t="s">
        <v>35</v>
      </c>
      <c r="H279" s="7"/>
      <c r="I279" s="7"/>
      <c r="J279" s="7" t="s">
        <v>50</v>
      </c>
      <c r="K279" s="7" t="s">
        <v>753</v>
      </c>
      <c r="L279" s="7" t="s">
        <v>754</v>
      </c>
      <c r="M279" s="7" t="s">
        <v>755</v>
      </c>
      <c r="N279" s="7" t="s">
        <v>49</v>
      </c>
      <c r="O279" s="7">
        <v>1</v>
      </c>
      <c r="P279" s="7" t="s">
        <v>41</v>
      </c>
      <c r="Q279" s="7">
        <v>89.6</v>
      </c>
      <c r="R279" s="7"/>
      <c r="S279" s="7"/>
      <c r="T279" s="7"/>
      <c r="U279" s="7"/>
      <c r="V279" s="7"/>
      <c r="W279" s="7"/>
      <c r="X279" s="7"/>
      <c r="Y279" s="7" t="s">
        <v>114</v>
      </c>
      <c r="Z279" s="7" t="s">
        <v>109</v>
      </c>
      <c r="AA279" s="7" t="s">
        <v>1598</v>
      </c>
      <c r="AB279" s="7" t="s">
        <v>45</v>
      </c>
      <c r="AC279" s="7"/>
      <c r="AD279" s="11"/>
      <c r="AE279" s="11"/>
      <c r="AF279" s="11"/>
      <c r="AG279" s="10">
        <f t="shared" si="4"/>
        <v>43318</v>
      </c>
    </row>
    <row r="280" spans="1:33">
      <c r="A280" s="7" t="s">
        <v>1599</v>
      </c>
      <c r="B280" s="7" t="s">
        <v>1599</v>
      </c>
      <c r="C280" s="7" t="s">
        <v>1600</v>
      </c>
      <c r="D280" s="7" t="s">
        <v>1601</v>
      </c>
      <c r="E280" s="7" t="s">
        <v>49</v>
      </c>
      <c r="F280" s="7" t="s">
        <v>34</v>
      </c>
      <c r="G280" s="7" t="s">
        <v>35</v>
      </c>
      <c r="H280" s="7"/>
      <c r="I280" s="7"/>
      <c r="J280" s="7" t="s">
        <v>50</v>
      </c>
      <c r="K280" s="7" t="s">
        <v>88</v>
      </c>
      <c r="L280" s="7" t="s">
        <v>89</v>
      </c>
      <c r="M280" s="7" t="s">
        <v>90</v>
      </c>
      <c r="N280" s="7" t="s">
        <v>49</v>
      </c>
      <c r="O280" s="7">
        <v>1</v>
      </c>
      <c r="P280" s="7" t="s">
        <v>41</v>
      </c>
      <c r="Q280" s="7">
        <v>89.99</v>
      </c>
      <c r="R280" s="7"/>
      <c r="S280" s="7"/>
      <c r="T280" s="7"/>
      <c r="U280" s="7"/>
      <c r="V280" s="7"/>
      <c r="W280" s="7"/>
      <c r="X280" s="7"/>
      <c r="Y280" s="7" t="s">
        <v>1602</v>
      </c>
      <c r="Z280" s="7" t="s">
        <v>646</v>
      </c>
      <c r="AA280" s="7">
        <v>70515</v>
      </c>
      <c r="AB280" s="7" t="s">
        <v>45</v>
      </c>
      <c r="AC280" s="7"/>
      <c r="AD280" s="8"/>
      <c r="AE280" s="8"/>
      <c r="AF280" s="8"/>
      <c r="AG280" s="10">
        <f t="shared" si="4"/>
        <v>43318</v>
      </c>
    </row>
    <row r="281" spans="1:33">
      <c r="A281" s="7" t="s">
        <v>1603</v>
      </c>
      <c r="B281" s="7" t="s">
        <v>1603</v>
      </c>
      <c r="C281" s="7" t="s">
        <v>1604</v>
      </c>
      <c r="D281" s="7" t="s">
        <v>1605</v>
      </c>
      <c r="E281" s="7" t="s">
        <v>49</v>
      </c>
      <c r="F281" s="7" t="s">
        <v>34</v>
      </c>
      <c r="G281" s="7" t="s">
        <v>35</v>
      </c>
      <c r="H281" s="7"/>
      <c r="I281" s="7"/>
      <c r="J281" s="7" t="s">
        <v>50</v>
      </c>
      <c r="K281" s="7" t="s">
        <v>276</v>
      </c>
      <c r="L281" s="7" t="s">
        <v>277</v>
      </c>
      <c r="M281" s="7" t="s">
        <v>278</v>
      </c>
      <c r="N281" s="7" t="s">
        <v>49</v>
      </c>
      <c r="O281" s="7">
        <v>1</v>
      </c>
      <c r="P281" s="7" t="s">
        <v>41</v>
      </c>
      <c r="Q281" s="7">
        <v>91.99</v>
      </c>
      <c r="R281" s="7"/>
      <c r="S281" s="7"/>
      <c r="T281" s="7"/>
      <c r="U281" s="7"/>
      <c r="V281" s="7"/>
      <c r="W281" s="7"/>
      <c r="X281" s="7"/>
      <c r="Y281" s="7" t="s">
        <v>1293</v>
      </c>
      <c r="Z281" s="7" t="s">
        <v>178</v>
      </c>
      <c r="AA281" s="7" t="s">
        <v>1606</v>
      </c>
      <c r="AB281" s="7" t="s">
        <v>45</v>
      </c>
      <c r="AC281" s="7"/>
      <c r="AD281" s="8"/>
      <c r="AE281" s="8"/>
      <c r="AF281" s="8"/>
      <c r="AG281" s="10">
        <f t="shared" si="4"/>
        <v>43318</v>
      </c>
    </row>
    <row r="282" spans="1:33">
      <c r="A282" s="7" t="s">
        <v>1607</v>
      </c>
      <c r="B282" s="7" t="s">
        <v>1607</v>
      </c>
      <c r="C282" s="7" t="s">
        <v>1608</v>
      </c>
      <c r="D282" s="7" t="s">
        <v>1609</v>
      </c>
      <c r="E282" s="7" t="s">
        <v>49</v>
      </c>
      <c r="F282" s="7" t="s">
        <v>34</v>
      </c>
      <c r="G282" s="7" t="s">
        <v>35</v>
      </c>
      <c r="H282" s="7"/>
      <c r="I282" s="7"/>
      <c r="J282" s="7" t="s">
        <v>50</v>
      </c>
      <c r="K282" s="7" t="s">
        <v>1503</v>
      </c>
      <c r="L282" s="7" t="s">
        <v>1504</v>
      </c>
      <c r="M282" s="7" t="s">
        <v>1505</v>
      </c>
      <c r="N282" s="7" t="s">
        <v>49</v>
      </c>
      <c r="O282" s="7">
        <v>1</v>
      </c>
      <c r="P282" s="7" t="s">
        <v>41</v>
      </c>
      <c r="Q282" s="7">
        <v>89.99</v>
      </c>
      <c r="R282" s="7"/>
      <c r="S282" s="7"/>
      <c r="T282" s="7"/>
      <c r="U282" s="7"/>
      <c r="V282" s="7"/>
      <c r="W282" s="7"/>
      <c r="X282" s="7"/>
      <c r="Y282" s="7" t="s">
        <v>1610</v>
      </c>
      <c r="Z282" s="7" t="s">
        <v>260</v>
      </c>
      <c r="AA282" s="7" t="s">
        <v>1611</v>
      </c>
      <c r="AB282" s="7" t="s">
        <v>45</v>
      </c>
      <c r="AC282" s="7"/>
      <c r="AD282" s="8"/>
      <c r="AE282" s="8"/>
      <c r="AF282" s="8"/>
      <c r="AG282" s="10">
        <f t="shared" si="4"/>
        <v>43318</v>
      </c>
    </row>
    <row r="283" spans="1:33">
      <c r="A283" s="7" t="s">
        <v>1612</v>
      </c>
      <c r="B283" s="7" t="s">
        <v>1612</v>
      </c>
      <c r="C283" s="7" t="s">
        <v>1613</v>
      </c>
      <c r="D283" s="7" t="s">
        <v>1614</v>
      </c>
      <c r="E283" s="7" t="s">
        <v>49</v>
      </c>
      <c r="F283" s="7" t="s">
        <v>34</v>
      </c>
      <c r="G283" s="7" t="s">
        <v>35</v>
      </c>
      <c r="H283" s="7"/>
      <c r="I283" s="7"/>
      <c r="J283" s="7" t="s">
        <v>36</v>
      </c>
      <c r="K283" s="7" t="s">
        <v>70</v>
      </c>
      <c r="L283" s="7" t="s">
        <v>71</v>
      </c>
      <c r="M283" s="7" t="s">
        <v>72</v>
      </c>
      <c r="N283" s="7" t="s">
        <v>49</v>
      </c>
      <c r="O283" s="7">
        <v>1</v>
      </c>
      <c r="P283" s="7" t="s">
        <v>41</v>
      </c>
      <c r="Q283" s="7">
        <v>96.99</v>
      </c>
      <c r="R283" s="7"/>
      <c r="S283" s="7">
        <v>7.14</v>
      </c>
      <c r="T283" s="7"/>
      <c r="U283" s="7"/>
      <c r="V283" s="7"/>
      <c r="W283" s="7"/>
      <c r="X283" s="7">
        <v>7.14</v>
      </c>
      <c r="Y283" s="7" t="s">
        <v>1615</v>
      </c>
      <c r="Z283" s="7" t="s">
        <v>1616</v>
      </c>
      <c r="AA283" s="7">
        <v>21076</v>
      </c>
      <c r="AB283" s="7" t="s">
        <v>45</v>
      </c>
      <c r="AC283" s="7" t="s">
        <v>549</v>
      </c>
      <c r="AD283" s="8"/>
      <c r="AE283" s="8"/>
      <c r="AF283" s="8"/>
      <c r="AG283" s="10">
        <f t="shared" si="4"/>
        <v>43318</v>
      </c>
    </row>
    <row r="284" spans="1:33">
      <c r="A284" s="7" t="s">
        <v>1617</v>
      </c>
      <c r="B284" s="7" t="s">
        <v>1617</v>
      </c>
      <c r="C284" s="7" t="s">
        <v>1618</v>
      </c>
      <c r="D284" s="7" t="s">
        <v>1619</v>
      </c>
      <c r="E284" s="7" t="s">
        <v>49</v>
      </c>
      <c r="F284" s="7" t="s">
        <v>34</v>
      </c>
      <c r="G284" s="7" t="s">
        <v>35</v>
      </c>
      <c r="H284" s="7"/>
      <c r="I284" s="7"/>
      <c r="J284" s="7" t="s">
        <v>36</v>
      </c>
      <c r="K284" s="7" t="s">
        <v>60</v>
      </c>
      <c r="L284" s="7" t="s">
        <v>61</v>
      </c>
      <c r="M284" s="7" t="s">
        <v>62</v>
      </c>
      <c r="N284" s="7" t="s">
        <v>49</v>
      </c>
      <c r="O284" s="7">
        <v>1</v>
      </c>
      <c r="P284" s="7" t="s">
        <v>41</v>
      </c>
      <c r="Q284" s="7">
        <v>21.99</v>
      </c>
      <c r="R284" s="7"/>
      <c r="S284" s="7">
        <v>5.99</v>
      </c>
      <c r="T284" s="7"/>
      <c r="U284" s="7"/>
      <c r="V284" s="7"/>
      <c r="W284" s="7">
        <v>21.77</v>
      </c>
      <c r="X284" s="7"/>
      <c r="Y284" s="7" t="s">
        <v>1254</v>
      </c>
      <c r="Z284" s="7" t="s">
        <v>1255</v>
      </c>
      <c r="AA284" s="7" t="s">
        <v>1256</v>
      </c>
      <c r="AB284" s="7" t="s">
        <v>45</v>
      </c>
      <c r="AC284" s="7" t="s">
        <v>66</v>
      </c>
      <c r="AD284" s="11"/>
      <c r="AE284" s="11"/>
      <c r="AF284" s="11"/>
      <c r="AG284" s="10">
        <f t="shared" si="4"/>
        <v>43319</v>
      </c>
    </row>
    <row r="285" spans="1:33">
      <c r="A285" s="7" t="s">
        <v>1620</v>
      </c>
      <c r="B285" s="7" t="s">
        <v>1620</v>
      </c>
      <c r="C285" s="7" t="s">
        <v>1621</v>
      </c>
      <c r="D285" s="7" t="s">
        <v>1622</v>
      </c>
      <c r="E285" s="7" t="s">
        <v>49</v>
      </c>
      <c r="F285" s="7" t="s">
        <v>34</v>
      </c>
      <c r="G285" s="7" t="s">
        <v>35</v>
      </c>
      <c r="H285" s="7"/>
      <c r="I285" s="7"/>
      <c r="J285" s="7" t="s">
        <v>36</v>
      </c>
      <c r="K285" s="7" t="s">
        <v>632</v>
      </c>
      <c r="L285" s="7" t="s">
        <v>633</v>
      </c>
      <c r="M285" s="7" t="s">
        <v>634</v>
      </c>
      <c r="N285" s="7" t="s">
        <v>49</v>
      </c>
      <c r="O285" s="7">
        <v>1</v>
      </c>
      <c r="P285" s="7" t="s">
        <v>41</v>
      </c>
      <c r="Q285" s="7">
        <v>85.99</v>
      </c>
      <c r="R285" s="7"/>
      <c r="S285" s="7">
        <v>7.85</v>
      </c>
      <c r="T285" s="7"/>
      <c r="U285" s="7"/>
      <c r="V285" s="7"/>
      <c r="W285" s="7"/>
      <c r="X285" s="7"/>
      <c r="Y285" s="7" t="s">
        <v>1623</v>
      </c>
      <c r="Z285" s="7" t="s">
        <v>1007</v>
      </c>
      <c r="AA285" s="7" t="s">
        <v>1624</v>
      </c>
      <c r="AB285" s="7" t="s">
        <v>45</v>
      </c>
      <c r="AC285" s="7"/>
      <c r="AD285" s="11"/>
      <c r="AE285" s="11"/>
      <c r="AF285" s="11"/>
      <c r="AG285" s="10">
        <f t="shared" si="4"/>
        <v>43319</v>
      </c>
    </row>
    <row r="286" spans="1:33">
      <c r="A286" s="7" t="s">
        <v>1625</v>
      </c>
      <c r="B286" s="7" t="s">
        <v>1625</v>
      </c>
      <c r="C286" s="7" t="s">
        <v>1626</v>
      </c>
      <c r="D286" s="7" t="s">
        <v>1627</v>
      </c>
      <c r="E286" s="7" t="s">
        <v>49</v>
      </c>
      <c r="F286" s="7" t="s">
        <v>34</v>
      </c>
      <c r="G286" s="7" t="s">
        <v>35</v>
      </c>
      <c r="H286" s="7"/>
      <c r="I286" s="7"/>
      <c r="J286" s="7" t="s">
        <v>50</v>
      </c>
      <c r="K286" s="7" t="s">
        <v>1160</v>
      </c>
      <c r="L286" s="7" t="s">
        <v>1161</v>
      </c>
      <c r="M286" s="7" t="s">
        <v>1162</v>
      </c>
      <c r="N286" s="7" t="s">
        <v>49</v>
      </c>
      <c r="O286" s="7">
        <v>1</v>
      </c>
      <c r="P286" s="7" t="s">
        <v>41</v>
      </c>
      <c r="Q286" s="7">
        <v>89.99</v>
      </c>
      <c r="R286" s="7"/>
      <c r="S286" s="7"/>
      <c r="T286" s="7"/>
      <c r="U286" s="7"/>
      <c r="V286" s="7"/>
      <c r="W286" s="7"/>
      <c r="X286" s="7"/>
      <c r="Y286" s="7" t="s">
        <v>1628</v>
      </c>
      <c r="Z286" s="7" t="s">
        <v>1629</v>
      </c>
      <c r="AA286" s="7" t="s">
        <v>1630</v>
      </c>
      <c r="AB286" s="7" t="s">
        <v>45</v>
      </c>
      <c r="AC286" s="7"/>
      <c r="AD286" s="11"/>
      <c r="AE286" s="11"/>
      <c r="AF286" s="11"/>
      <c r="AG286" s="10">
        <f t="shared" si="4"/>
        <v>43319</v>
      </c>
    </row>
    <row r="287" spans="1:33">
      <c r="A287" s="7" t="s">
        <v>1631</v>
      </c>
      <c r="B287" s="7" t="s">
        <v>1631</v>
      </c>
      <c r="C287" s="7" t="s">
        <v>1632</v>
      </c>
      <c r="D287" s="7" t="s">
        <v>1633</v>
      </c>
      <c r="E287" s="7" t="s">
        <v>33</v>
      </c>
      <c r="F287" s="7" t="s">
        <v>34</v>
      </c>
      <c r="G287" s="7" t="s">
        <v>35</v>
      </c>
      <c r="H287" s="7"/>
      <c r="I287" s="7"/>
      <c r="J287" s="7" t="s">
        <v>36</v>
      </c>
      <c r="K287" s="7" t="s">
        <v>828</v>
      </c>
      <c r="L287" s="7" t="s">
        <v>829</v>
      </c>
      <c r="M287" s="7" t="s">
        <v>830</v>
      </c>
      <c r="N287" s="7" t="s">
        <v>40</v>
      </c>
      <c r="O287" s="7">
        <v>1</v>
      </c>
      <c r="P287" s="7" t="s">
        <v>41</v>
      </c>
      <c r="Q287" s="7">
        <v>59.99</v>
      </c>
      <c r="R287" s="7"/>
      <c r="S287" s="7"/>
      <c r="T287" s="7"/>
      <c r="U287" s="7"/>
      <c r="V287" s="7"/>
      <c r="W287" s="7"/>
      <c r="X287" s="7"/>
      <c r="Y287" s="7" t="s">
        <v>1634</v>
      </c>
      <c r="Z287" s="7" t="s">
        <v>346</v>
      </c>
      <c r="AA287" s="7" t="s">
        <v>1635</v>
      </c>
      <c r="AB287" s="7" t="s">
        <v>45</v>
      </c>
      <c r="AC287" s="7"/>
      <c r="AD287" s="11"/>
      <c r="AE287" s="11"/>
      <c r="AF287" s="11"/>
      <c r="AG287" s="10">
        <f t="shared" si="4"/>
        <v>43319</v>
      </c>
    </row>
    <row r="288" spans="1:33">
      <c r="A288" s="7" t="s">
        <v>1636</v>
      </c>
      <c r="B288" s="7" t="s">
        <v>1636</v>
      </c>
      <c r="C288" s="7" t="s">
        <v>1637</v>
      </c>
      <c r="D288" s="7" t="s">
        <v>1638</v>
      </c>
      <c r="E288" s="7" t="s">
        <v>49</v>
      </c>
      <c r="F288" s="7" t="s">
        <v>34</v>
      </c>
      <c r="G288" s="7" t="s">
        <v>35</v>
      </c>
      <c r="H288" s="7"/>
      <c r="I288" s="7"/>
      <c r="J288" s="7" t="s">
        <v>50</v>
      </c>
      <c r="K288" s="7" t="s">
        <v>589</v>
      </c>
      <c r="L288" s="7" t="s">
        <v>590</v>
      </c>
      <c r="M288" s="7" t="s">
        <v>591</v>
      </c>
      <c r="N288" s="7" t="s">
        <v>49</v>
      </c>
      <c r="O288" s="7">
        <v>1</v>
      </c>
      <c r="P288" s="7" t="s">
        <v>41</v>
      </c>
      <c r="Q288" s="7">
        <v>12.99</v>
      </c>
      <c r="R288" s="7"/>
      <c r="S288" s="7"/>
      <c r="T288" s="7"/>
      <c r="U288" s="7"/>
      <c r="V288" s="7"/>
      <c r="W288" s="7"/>
      <c r="X288" s="7"/>
      <c r="Y288" s="7" t="s">
        <v>1639</v>
      </c>
      <c r="Z288" s="7" t="s">
        <v>109</v>
      </c>
      <c r="AA288" s="7" t="s">
        <v>1640</v>
      </c>
      <c r="AB288" s="7" t="s">
        <v>45</v>
      </c>
      <c r="AC288" s="7"/>
      <c r="AD288" s="8"/>
      <c r="AE288" s="8"/>
      <c r="AF288" s="8"/>
      <c r="AG288" s="10">
        <f t="shared" si="4"/>
        <v>43319</v>
      </c>
    </row>
    <row r="289" spans="1:33">
      <c r="A289" s="7" t="s">
        <v>1641</v>
      </c>
      <c r="B289" s="7" t="s">
        <v>1641</v>
      </c>
      <c r="C289" s="7" t="s">
        <v>1642</v>
      </c>
      <c r="D289" s="7" t="s">
        <v>1643</v>
      </c>
      <c r="E289" s="7" t="s">
        <v>49</v>
      </c>
      <c r="F289" s="7" t="s">
        <v>34</v>
      </c>
      <c r="G289" s="7" t="s">
        <v>35</v>
      </c>
      <c r="H289" s="7"/>
      <c r="I289" s="7"/>
      <c r="J289" s="7" t="s">
        <v>50</v>
      </c>
      <c r="K289" s="7" t="s">
        <v>37</v>
      </c>
      <c r="L289" s="7" t="s">
        <v>38</v>
      </c>
      <c r="M289" s="7" t="s">
        <v>39</v>
      </c>
      <c r="N289" s="7" t="s">
        <v>49</v>
      </c>
      <c r="O289" s="7">
        <v>1</v>
      </c>
      <c r="P289" s="7" t="s">
        <v>41</v>
      </c>
      <c r="Q289" s="7">
        <v>89.99</v>
      </c>
      <c r="R289" s="7"/>
      <c r="S289" s="7"/>
      <c r="T289" s="7"/>
      <c r="U289" s="7"/>
      <c r="V289" s="7"/>
      <c r="W289" s="7"/>
      <c r="X289" s="7"/>
      <c r="Y289" s="7" t="s">
        <v>1644</v>
      </c>
      <c r="Z289" s="7" t="s">
        <v>98</v>
      </c>
      <c r="AA289" s="7" t="s">
        <v>1645</v>
      </c>
      <c r="AB289" s="7" t="s">
        <v>45</v>
      </c>
      <c r="AC289" s="7"/>
      <c r="AD289" s="11"/>
      <c r="AE289" s="11"/>
      <c r="AF289" s="11"/>
      <c r="AG289" s="10">
        <f t="shared" si="4"/>
        <v>43319</v>
      </c>
    </row>
    <row r="290" spans="1:33">
      <c r="A290" s="7" t="s">
        <v>1646</v>
      </c>
      <c r="B290" s="7" t="s">
        <v>1646</v>
      </c>
      <c r="C290" s="7" t="s">
        <v>1647</v>
      </c>
      <c r="D290" s="7" t="s">
        <v>1648</v>
      </c>
      <c r="E290" s="7" t="s">
        <v>49</v>
      </c>
      <c r="F290" s="7" t="s">
        <v>34</v>
      </c>
      <c r="G290" s="7" t="s">
        <v>35</v>
      </c>
      <c r="H290" s="7"/>
      <c r="I290" s="7"/>
      <c r="J290" s="7" t="s">
        <v>50</v>
      </c>
      <c r="K290" s="7" t="s">
        <v>700</v>
      </c>
      <c r="L290" s="7" t="s">
        <v>701</v>
      </c>
      <c r="M290" s="7" t="s">
        <v>702</v>
      </c>
      <c r="N290" s="7" t="s">
        <v>49</v>
      </c>
      <c r="O290" s="7">
        <v>1</v>
      </c>
      <c r="P290" s="7" t="s">
        <v>41</v>
      </c>
      <c r="Q290" s="7">
        <v>108.99</v>
      </c>
      <c r="R290" s="7"/>
      <c r="S290" s="7"/>
      <c r="T290" s="7"/>
      <c r="U290" s="7"/>
      <c r="V290" s="7"/>
      <c r="W290" s="7"/>
      <c r="X290" s="7"/>
      <c r="Y290" s="7" t="s">
        <v>1649</v>
      </c>
      <c r="Z290" s="7" t="s">
        <v>43</v>
      </c>
      <c r="AA290" s="7" t="s">
        <v>1650</v>
      </c>
      <c r="AB290" s="7" t="s">
        <v>45</v>
      </c>
      <c r="AC290" s="7"/>
      <c r="AD290" s="8"/>
      <c r="AE290" s="8"/>
      <c r="AF290" s="8"/>
      <c r="AG290" s="10">
        <f t="shared" si="4"/>
        <v>43319</v>
      </c>
    </row>
    <row r="291" spans="1:33">
      <c r="A291" s="7" t="s">
        <v>1651</v>
      </c>
      <c r="B291" s="7" t="s">
        <v>1651</v>
      </c>
      <c r="C291" s="7" t="s">
        <v>1652</v>
      </c>
      <c r="D291" s="7" t="s">
        <v>1653</v>
      </c>
      <c r="E291" s="7" t="s">
        <v>33</v>
      </c>
      <c r="F291" s="7" t="s">
        <v>34</v>
      </c>
      <c r="G291" s="7" t="s">
        <v>35</v>
      </c>
      <c r="H291" s="7"/>
      <c r="I291" s="7"/>
      <c r="J291" s="7" t="s">
        <v>50</v>
      </c>
      <c r="K291" s="7" t="s">
        <v>70</v>
      </c>
      <c r="L291" s="7" t="s">
        <v>71</v>
      </c>
      <c r="M291" s="7" t="s">
        <v>72</v>
      </c>
      <c r="N291" s="7" t="s">
        <v>33</v>
      </c>
      <c r="O291" s="7">
        <v>0</v>
      </c>
      <c r="P291" s="7"/>
      <c r="Q291" s="7"/>
      <c r="R291" s="7"/>
      <c r="S291" s="7"/>
      <c r="T291" s="7"/>
      <c r="U291" s="7"/>
      <c r="V291" s="7"/>
      <c r="W291" s="7"/>
      <c r="X291" s="7"/>
      <c r="Y291" s="7" t="s">
        <v>1654</v>
      </c>
      <c r="Z291" s="7" t="s">
        <v>346</v>
      </c>
      <c r="AA291" s="7" t="s">
        <v>1655</v>
      </c>
      <c r="AB291" s="7" t="s">
        <v>45</v>
      </c>
      <c r="AC291" s="7"/>
      <c r="AD291" s="11"/>
      <c r="AE291" s="11"/>
      <c r="AF291" s="11"/>
      <c r="AG291" s="10">
        <f t="shared" si="4"/>
        <v>43319</v>
      </c>
    </row>
    <row r="292" spans="1:33">
      <c r="A292" s="7" t="s">
        <v>1656</v>
      </c>
      <c r="B292" s="7" t="s">
        <v>1656</v>
      </c>
      <c r="C292" s="7" t="s">
        <v>1657</v>
      </c>
      <c r="D292" s="7" t="s">
        <v>1658</v>
      </c>
      <c r="E292" s="7" t="s">
        <v>49</v>
      </c>
      <c r="F292" s="7" t="s">
        <v>34</v>
      </c>
      <c r="G292" s="7" t="s">
        <v>35</v>
      </c>
      <c r="H292" s="7"/>
      <c r="I292" s="7"/>
      <c r="J292" s="7" t="s">
        <v>50</v>
      </c>
      <c r="K292" s="7" t="s">
        <v>1659</v>
      </c>
      <c r="L292" s="7" t="s">
        <v>1660</v>
      </c>
      <c r="M292" s="7" t="s">
        <v>1661</v>
      </c>
      <c r="N292" s="7" t="s">
        <v>49</v>
      </c>
      <c r="O292" s="7">
        <v>1</v>
      </c>
      <c r="P292" s="7" t="s">
        <v>41</v>
      </c>
      <c r="Q292" s="7">
        <v>89.99</v>
      </c>
      <c r="R292" s="7"/>
      <c r="S292" s="7">
        <v>5.52</v>
      </c>
      <c r="T292" s="7"/>
      <c r="U292" s="7"/>
      <c r="V292" s="7"/>
      <c r="W292" s="7"/>
      <c r="X292" s="7"/>
      <c r="Y292" s="7" t="s">
        <v>1662</v>
      </c>
      <c r="Z292" s="7" t="s">
        <v>43</v>
      </c>
      <c r="AA292" s="7" t="s">
        <v>1663</v>
      </c>
      <c r="AB292" s="7" t="s">
        <v>45</v>
      </c>
      <c r="AC292" s="7"/>
      <c r="AD292" s="11"/>
      <c r="AE292" s="11"/>
      <c r="AF292" s="11"/>
      <c r="AG292" s="10">
        <f t="shared" si="4"/>
        <v>43319</v>
      </c>
    </row>
    <row r="293" spans="1:33">
      <c r="A293" s="7" t="s">
        <v>1664</v>
      </c>
      <c r="B293" s="7" t="s">
        <v>1664</v>
      </c>
      <c r="C293" s="7" t="s">
        <v>1665</v>
      </c>
      <c r="D293" s="7" t="s">
        <v>1666</v>
      </c>
      <c r="E293" s="7" t="s">
        <v>49</v>
      </c>
      <c r="F293" s="7" t="s">
        <v>34</v>
      </c>
      <c r="G293" s="7" t="s">
        <v>35</v>
      </c>
      <c r="H293" s="7"/>
      <c r="I293" s="7"/>
      <c r="J293" s="7" t="s">
        <v>50</v>
      </c>
      <c r="K293" s="7" t="s">
        <v>611</v>
      </c>
      <c r="L293" s="7" t="s">
        <v>612</v>
      </c>
      <c r="M293" s="7" t="s">
        <v>613</v>
      </c>
      <c r="N293" s="7" t="s">
        <v>49</v>
      </c>
      <c r="O293" s="7">
        <v>1</v>
      </c>
      <c r="P293" s="7" t="s">
        <v>41</v>
      </c>
      <c r="Q293" s="7">
        <v>89.99</v>
      </c>
      <c r="R293" s="7"/>
      <c r="S293" s="7"/>
      <c r="T293" s="7"/>
      <c r="U293" s="7"/>
      <c r="V293" s="7"/>
      <c r="W293" s="7"/>
      <c r="X293" s="7"/>
      <c r="Y293" s="7" t="s">
        <v>1667</v>
      </c>
      <c r="Z293" s="7" t="s">
        <v>221</v>
      </c>
      <c r="AA293" s="7" t="s">
        <v>1668</v>
      </c>
      <c r="AB293" s="7" t="s">
        <v>45</v>
      </c>
      <c r="AC293" s="7"/>
      <c r="AD293" s="11"/>
      <c r="AE293" s="11"/>
      <c r="AF293" s="11"/>
      <c r="AG293" s="10">
        <f t="shared" si="4"/>
        <v>43319</v>
      </c>
    </row>
    <row r="294" spans="1:33">
      <c r="A294" s="7" t="s">
        <v>1669</v>
      </c>
      <c r="B294" s="7" t="s">
        <v>1669</v>
      </c>
      <c r="C294" s="7" t="s">
        <v>1670</v>
      </c>
      <c r="D294" s="7" t="s">
        <v>1671</v>
      </c>
      <c r="E294" s="7" t="s">
        <v>33</v>
      </c>
      <c r="F294" s="7" t="s">
        <v>34</v>
      </c>
      <c r="G294" s="7" t="s">
        <v>35</v>
      </c>
      <c r="H294" s="7"/>
      <c r="I294" s="7"/>
      <c r="J294" s="7" t="s">
        <v>36</v>
      </c>
      <c r="K294" s="7" t="s">
        <v>611</v>
      </c>
      <c r="L294" s="7" t="s">
        <v>612</v>
      </c>
      <c r="M294" s="7" t="s">
        <v>613</v>
      </c>
      <c r="N294" s="7" t="s">
        <v>40</v>
      </c>
      <c r="O294" s="7">
        <v>1</v>
      </c>
      <c r="P294" s="7" t="s">
        <v>41</v>
      </c>
      <c r="Q294" s="7">
        <v>89.99</v>
      </c>
      <c r="R294" s="7"/>
      <c r="S294" s="7"/>
      <c r="T294" s="7"/>
      <c r="U294" s="7"/>
      <c r="V294" s="7"/>
      <c r="W294" s="7"/>
      <c r="X294" s="7"/>
      <c r="Y294" s="7" t="s">
        <v>1672</v>
      </c>
      <c r="Z294" s="7" t="s">
        <v>1302</v>
      </c>
      <c r="AA294" s="7" t="s">
        <v>1673</v>
      </c>
      <c r="AB294" s="7" t="s">
        <v>45</v>
      </c>
      <c r="AC294" s="7"/>
      <c r="AD294" s="11"/>
      <c r="AE294" s="11"/>
      <c r="AF294" s="11"/>
      <c r="AG294" s="10">
        <f t="shared" si="4"/>
        <v>43319</v>
      </c>
    </row>
    <row r="295" spans="1:33">
      <c r="A295" s="7" t="s">
        <v>1674</v>
      </c>
      <c r="B295" s="7" t="s">
        <v>1674</v>
      </c>
      <c r="C295" s="7" t="s">
        <v>1675</v>
      </c>
      <c r="D295" s="7" t="s">
        <v>1676</v>
      </c>
      <c r="E295" s="7" t="s">
        <v>49</v>
      </c>
      <c r="F295" s="7" t="s">
        <v>34</v>
      </c>
      <c r="G295" s="7" t="s">
        <v>35</v>
      </c>
      <c r="H295" s="7"/>
      <c r="I295" s="7"/>
      <c r="J295" s="7" t="s">
        <v>50</v>
      </c>
      <c r="K295" s="7" t="s">
        <v>1677</v>
      </c>
      <c r="L295" s="7" t="s">
        <v>1678</v>
      </c>
      <c r="M295" s="7" t="s">
        <v>1679</v>
      </c>
      <c r="N295" s="7" t="s">
        <v>49</v>
      </c>
      <c r="O295" s="7">
        <v>1</v>
      </c>
      <c r="P295" s="7" t="s">
        <v>41</v>
      </c>
      <c r="Q295" s="7">
        <v>91.6</v>
      </c>
      <c r="R295" s="7"/>
      <c r="S295" s="7"/>
      <c r="T295" s="7"/>
      <c r="U295" s="7"/>
      <c r="V295" s="7"/>
      <c r="W295" s="7">
        <v>10</v>
      </c>
      <c r="X295" s="7"/>
      <c r="Y295" s="7" t="s">
        <v>1680</v>
      </c>
      <c r="Z295" s="7" t="s">
        <v>178</v>
      </c>
      <c r="AA295" s="7" t="s">
        <v>1681</v>
      </c>
      <c r="AB295" s="7" t="s">
        <v>45</v>
      </c>
      <c r="AC295" s="7" t="s">
        <v>1682</v>
      </c>
      <c r="AD295" s="11"/>
      <c r="AE295" s="11"/>
      <c r="AF295" s="11"/>
      <c r="AG295" s="10">
        <f t="shared" si="4"/>
        <v>43319</v>
      </c>
    </row>
    <row r="296" spans="1:33">
      <c r="A296" s="7" t="s">
        <v>1683</v>
      </c>
      <c r="B296" s="7" t="s">
        <v>1683</v>
      </c>
      <c r="C296" s="7" t="s">
        <v>1684</v>
      </c>
      <c r="D296" s="7" t="s">
        <v>1685</v>
      </c>
      <c r="E296" s="7" t="s">
        <v>49</v>
      </c>
      <c r="F296" s="7" t="s">
        <v>34</v>
      </c>
      <c r="G296" s="7" t="s">
        <v>35</v>
      </c>
      <c r="H296" s="7"/>
      <c r="I296" s="7"/>
      <c r="J296" s="7" t="s">
        <v>50</v>
      </c>
      <c r="K296" s="7" t="s">
        <v>1686</v>
      </c>
      <c r="L296" s="7" t="s">
        <v>1687</v>
      </c>
      <c r="M296" s="7" t="s">
        <v>1688</v>
      </c>
      <c r="N296" s="7" t="s">
        <v>49</v>
      </c>
      <c r="O296" s="7">
        <v>1</v>
      </c>
      <c r="P296" s="7" t="s">
        <v>41</v>
      </c>
      <c r="Q296" s="7">
        <v>108.99</v>
      </c>
      <c r="R296" s="7"/>
      <c r="S296" s="7"/>
      <c r="T296" s="7"/>
      <c r="U296" s="7"/>
      <c r="V296" s="7"/>
      <c r="W296" s="7"/>
      <c r="X296" s="7"/>
      <c r="Y296" s="7" t="s">
        <v>1689</v>
      </c>
      <c r="Z296" s="7" t="s">
        <v>109</v>
      </c>
      <c r="AA296" s="7" t="s">
        <v>1690</v>
      </c>
      <c r="AB296" s="7" t="s">
        <v>45</v>
      </c>
      <c r="AC296" s="7"/>
      <c r="AD296" s="11"/>
      <c r="AE296" s="11"/>
      <c r="AF296" s="11"/>
      <c r="AG296" s="10">
        <f t="shared" si="4"/>
        <v>43319</v>
      </c>
    </row>
    <row r="297" spans="1:33">
      <c r="A297" s="7" t="s">
        <v>1691</v>
      </c>
      <c r="B297" s="7" t="s">
        <v>1691</v>
      </c>
      <c r="C297" s="7" t="s">
        <v>1692</v>
      </c>
      <c r="D297" s="7" t="s">
        <v>1693</v>
      </c>
      <c r="E297" s="7" t="s">
        <v>33</v>
      </c>
      <c r="F297" s="7" t="s">
        <v>34</v>
      </c>
      <c r="G297" s="7" t="s">
        <v>35</v>
      </c>
      <c r="H297" s="7"/>
      <c r="I297" s="7"/>
      <c r="J297" s="7" t="s">
        <v>326</v>
      </c>
      <c r="K297" s="7" t="s">
        <v>37</v>
      </c>
      <c r="L297" s="7" t="s">
        <v>38</v>
      </c>
      <c r="M297" s="7" t="s">
        <v>39</v>
      </c>
      <c r="N297" s="7" t="s">
        <v>40</v>
      </c>
      <c r="O297" s="7">
        <v>1</v>
      </c>
      <c r="P297" s="7" t="s">
        <v>41</v>
      </c>
      <c r="Q297" s="7">
        <v>89.99</v>
      </c>
      <c r="R297" s="7"/>
      <c r="S297" s="7"/>
      <c r="T297" s="7"/>
      <c r="U297" s="7"/>
      <c r="V297" s="7"/>
      <c r="W297" s="7"/>
      <c r="X297" s="7"/>
      <c r="Y297" s="7" t="s">
        <v>1396</v>
      </c>
      <c r="Z297" s="7" t="s">
        <v>124</v>
      </c>
      <c r="AA297" s="7" t="s">
        <v>1694</v>
      </c>
      <c r="AB297" s="7" t="s">
        <v>45</v>
      </c>
      <c r="AC297" s="7"/>
      <c r="AD297" s="11"/>
      <c r="AE297" s="11"/>
      <c r="AF297" s="11"/>
      <c r="AG297" s="10">
        <f t="shared" si="4"/>
        <v>43319</v>
      </c>
    </row>
    <row r="298" spans="1:33">
      <c r="A298" s="7" t="s">
        <v>1695</v>
      </c>
      <c r="B298" s="7" t="s">
        <v>1695</v>
      </c>
      <c r="C298" s="7" t="s">
        <v>1696</v>
      </c>
      <c r="D298" s="7" t="s">
        <v>1697</v>
      </c>
      <c r="E298" s="7" t="s">
        <v>49</v>
      </c>
      <c r="F298" s="7" t="s">
        <v>34</v>
      </c>
      <c r="G298" s="7" t="s">
        <v>35</v>
      </c>
      <c r="H298" s="7"/>
      <c r="I298" s="7"/>
      <c r="J298" s="7" t="s">
        <v>50</v>
      </c>
      <c r="K298" s="7" t="s">
        <v>37</v>
      </c>
      <c r="L298" s="7" t="s">
        <v>38</v>
      </c>
      <c r="M298" s="7" t="s">
        <v>39</v>
      </c>
      <c r="N298" s="7" t="s">
        <v>49</v>
      </c>
      <c r="O298" s="7">
        <v>1</v>
      </c>
      <c r="P298" s="7" t="s">
        <v>41</v>
      </c>
      <c r="Q298" s="7">
        <v>89.99</v>
      </c>
      <c r="R298" s="7">
        <v>7.42</v>
      </c>
      <c r="S298" s="7"/>
      <c r="T298" s="7"/>
      <c r="U298" s="7"/>
      <c r="V298" s="7"/>
      <c r="W298" s="7"/>
      <c r="X298" s="7"/>
      <c r="Y298" s="7" t="s">
        <v>1698</v>
      </c>
      <c r="Z298" s="7" t="s">
        <v>818</v>
      </c>
      <c r="AA298" s="7">
        <v>73003</v>
      </c>
      <c r="AB298" s="7" t="s">
        <v>45</v>
      </c>
      <c r="AC298" s="7"/>
      <c r="AD298" s="11"/>
      <c r="AE298" s="11"/>
      <c r="AF298" s="11"/>
      <c r="AG298" s="10">
        <f t="shared" si="4"/>
        <v>43319</v>
      </c>
    </row>
    <row r="299" spans="1:33">
      <c r="A299" s="7" t="s">
        <v>1699</v>
      </c>
      <c r="B299" s="7" t="s">
        <v>1699</v>
      </c>
      <c r="C299" s="7" t="s">
        <v>1700</v>
      </c>
      <c r="D299" s="7" t="s">
        <v>1701</v>
      </c>
      <c r="E299" s="7" t="s">
        <v>49</v>
      </c>
      <c r="F299" s="7" t="s">
        <v>34</v>
      </c>
      <c r="G299" s="7" t="s">
        <v>35</v>
      </c>
      <c r="H299" s="7"/>
      <c r="I299" s="7"/>
      <c r="J299" s="7" t="s">
        <v>50</v>
      </c>
      <c r="K299" s="7" t="s">
        <v>60</v>
      </c>
      <c r="L299" s="7" t="s">
        <v>61</v>
      </c>
      <c r="M299" s="7" t="s">
        <v>62</v>
      </c>
      <c r="N299" s="7" t="s">
        <v>49</v>
      </c>
      <c r="O299" s="7">
        <v>1</v>
      </c>
      <c r="P299" s="7" t="s">
        <v>41</v>
      </c>
      <c r="Q299" s="7">
        <v>21.99</v>
      </c>
      <c r="R299" s="7"/>
      <c r="S299" s="7"/>
      <c r="T299" s="7"/>
      <c r="U299" s="7"/>
      <c r="V299" s="7"/>
      <c r="W299" s="7">
        <v>21.77</v>
      </c>
      <c r="X299" s="7"/>
      <c r="Y299" s="7" t="s">
        <v>1702</v>
      </c>
      <c r="Z299" s="7" t="s">
        <v>346</v>
      </c>
      <c r="AA299" s="7">
        <v>13440</v>
      </c>
      <c r="AB299" s="7" t="s">
        <v>45</v>
      </c>
      <c r="AC299" s="7" t="s">
        <v>66</v>
      </c>
      <c r="AD299" s="11"/>
      <c r="AE299" s="11"/>
      <c r="AF299" s="11"/>
      <c r="AG299" s="10">
        <f t="shared" si="4"/>
        <v>43319</v>
      </c>
    </row>
    <row r="300" spans="1:33">
      <c r="A300" s="7" t="s">
        <v>1703</v>
      </c>
      <c r="B300" s="7" t="s">
        <v>1703</v>
      </c>
      <c r="C300" s="7" t="s">
        <v>1704</v>
      </c>
      <c r="D300" s="7" t="s">
        <v>1705</v>
      </c>
      <c r="E300" s="7" t="s">
        <v>49</v>
      </c>
      <c r="F300" s="7" t="s">
        <v>34</v>
      </c>
      <c r="G300" s="7" t="s">
        <v>35</v>
      </c>
      <c r="H300" s="7"/>
      <c r="I300" s="7"/>
      <c r="J300" s="7" t="s">
        <v>50</v>
      </c>
      <c r="K300" s="7" t="s">
        <v>753</v>
      </c>
      <c r="L300" s="7" t="s">
        <v>754</v>
      </c>
      <c r="M300" s="7" t="s">
        <v>755</v>
      </c>
      <c r="N300" s="7" t="s">
        <v>49</v>
      </c>
      <c r="O300" s="7">
        <v>1</v>
      </c>
      <c r="P300" s="7" t="s">
        <v>41</v>
      </c>
      <c r="Q300" s="7">
        <v>89.6</v>
      </c>
      <c r="R300" s="7"/>
      <c r="S300" s="7"/>
      <c r="T300" s="7"/>
      <c r="U300" s="7"/>
      <c r="V300" s="7"/>
      <c r="W300" s="7"/>
      <c r="X300" s="7"/>
      <c r="Y300" s="7" t="s">
        <v>1706</v>
      </c>
      <c r="Z300" s="7" t="s">
        <v>266</v>
      </c>
      <c r="AA300" s="7" t="s">
        <v>1707</v>
      </c>
      <c r="AB300" s="7" t="s">
        <v>45</v>
      </c>
      <c r="AC300" s="7"/>
      <c r="AD300" s="11"/>
      <c r="AE300" s="11"/>
      <c r="AF300" s="11"/>
      <c r="AG300" s="10">
        <f t="shared" si="4"/>
        <v>43319</v>
      </c>
    </row>
    <row r="301" spans="1:33">
      <c r="A301" s="7" t="s">
        <v>1708</v>
      </c>
      <c r="B301" s="7" t="s">
        <v>1708</v>
      </c>
      <c r="C301" s="7" t="s">
        <v>1709</v>
      </c>
      <c r="D301" s="7" t="s">
        <v>1710</v>
      </c>
      <c r="E301" s="7" t="s">
        <v>49</v>
      </c>
      <c r="F301" s="7" t="s">
        <v>34</v>
      </c>
      <c r="G301" s="7" t="s">
        <v>35</v>
      </c>
      <c r="H301" s="7"/>
      <c r="I301" s="7"/>
      <c r="J301" s="7" t="s">
        <v>50</v>
      </c>
      <c r="K301" s="7" t="s">
        <v>276</v>
      </c>
      <c r="L301" s="7" t="s">
        <v>277</v>
      </c>
      <c r="M301" s="7" t="s">
        <v>278</v>
      </c>
      <c r="N301" s="7" t="s">
        <v>49</v>
      </c>
      <c r="O301" s="7">
        <v>1</v>
      </c>
      <c r="P301" s="7" t="s">
        <v>41</v>
      </c>
      <c r="Q301" s="7">
        <v>91.99</v>
      </c>
      <c r="R301" s="7"/>
      <c r="S301" s="7"/>
      <c r="T301" s="7"/>
      <c r="U301" s="7"/>
      <c r="V301" s="7"/>
      <c r="W301" s="7"/>
      <c r="X301" s="7"/>
      <c r="Y301" s="7" t="s">
        <v>1711</v>
      </c>
      <c r="Z301" s="7" t="s">
        <v>64</v>
      </c>
      <c r="AA301" s="7" t="s">
        <v>1712</v>
      </c>
      <c r="AB301" s="7" t="s">
        <v>45</v>
      </c>
      <c r="AC301" s="7"/>
      <c r="AD301" s="11"/>
      <c r="AE301" s="11"/>
      <c r="AF301" s="11"/>
      <c r="AG301" s="10">
        <f t="shared" si="4"/>
        <v>43319</v>
      </c>
    </row>
    <row r="302" spans="1:33">
      <c r="A302" s="7" t="s">
        <v>1713</v>
      </c>
      <c r="B302" s="7" t="s">
        <v>1713</v>
      </c>
      <c r="C302" s="7" t="s">
        <v>1714</v>
      </c>
      <c r="D302" s="7" t="s">
        <v>1715</v>
      </c>
      <c r="E302" s="7" t="s">
        <v>49</v>
      </c>
      <c r="F302" s="7" t="s">
        <v>34</v>
      </c>
      <c r="G302" s="7" t="s">
        <v>35</v>
      </c>
      <c r="H302" s="7"/>
      <c r="I302" s="7"/>
      <c r="J302" s="7" t="s">
        <v>50</v>
      </c>
      <c r="K302" s="7" t="s">
        <v>563</v>
      </c>
      <c r="L302" s="7" t="s">
        <v>564</v>
      </c>
      <c r="M302" s="7" t="s">
        <v>565</v>
      </c>
      <c r="N302" s="7" t="s">
        <v>49</v>
      </c>
      <c r="O302" s="7">
        <v>1</v>
      </c>
      <c r="P302" s="7" t="s">
        <v>41</v>
      </c>
      <c r="Q302" s="7">
        <v>12.99</v>
      </c>
      <c r="R302" s="7"/>
      <c r="S302" s="7"/>
      <c r="T302" s="7"/>
      <c r="U302" s="7"/>
      <c r="V302" s="7"/>
      <c r="W302" s="7"/>
      <c r="X302" s="7"/>
      <c r="Y302" s="7" t="s">
        <v>1716</v>
      </c>
      <c r="Z302" s="7" t="s">
        <v>137</v>
      </c>
      <c r="AA302" s="7" t="s">
        <v>1717</v>
      </c>
      <c r="AB302" s="7" t="s">
        <v>45</v>
      </c>
      <c r="AC302" s="7"/>
      <c r="AD302" s="11"/>
      <c r="AE302" s="11"/>
      <c r="AF302" s="11"/>
      <c r="AG302" s="10">
        <f t="shared" si="4"/>
        <v>43319</v>
      </c>
    </row>
    <row r="303" spans="1:33">
      <c r="A303" s="7" t="s">
        <v>1718</v>
      </c>
      <c r="B303" s="7" t="s">
        <v>1718</v>
      </c>
      <c r="C303" s="7" t="s">
        <v>1719</v>
      </c>
      <c r="D303" s="7" t="s">
        <v>1720</v>
      </c>
      <c r="E303" s="7" t="s">
        <v>49</v>
      </c>
      <c r="F303" s="7" t="s">
        <v>34</v>
      </c>
      <c r="G303" s="7" t="s">
        <v>35</v>
      </c>
      <c r="H303" s="7"/>
      <c r="I303" s="7"/>
      <c r="J303" s="7" t="s">
        <v>50</v>
      </c>
      <c r="K303" s="7" t="s">
        <v>477</v>
      </c>
      <c r="L303" s="7" t="s">
        <v>478</v>
      </c>
      <c r="M303" s="7" t="s">
        <v>479</v>
      </c>
      <c r="N303" s="7" t="s">
        <v>49</v>
      </c>
      <c r="O303" s="7">
        <v>1</v>
      </c>
      <c r="P303" s="7" t="s">
        <v>41</v>
      </c>
      <c r="Q303" s="7">
        <v>89.99</v>
      </c>
      <c r="R303" s="7"/>
      <c r="S303" s="7"/>
      <c r="T303" s="7"/>
      <c r="U303" s="7"/>
      <c r="V303" s="7"/>
      <c r="W303" s="7"/>
      <c r="X303" s="7"/>
      <c r="Y303" s="7" t="s">
        <v>1721</v>
      </c>
      <c r="Z303" s="7" t="s">
        <v>221</v>
      </c>
      <c r="AA303" s="7" t="s">
        <v>1722</v>
      </c>
      <c r="AB303" s="7" t="s">
        <v>45</v>
      </c>
      <c r="AC303" s="7"/>
      <c r="AD303" s="8"/>
      <c r="AE303" s="8"/>
      <c r="AF303" s="8"/>
      <c r="AG303" s="10">
        <f t="shared" si="4"/>
        <v>43319</v>
      </c>
    </row>
    <row r="304" spans="1:33">
      <c r="A304" s="7" t="s">
        <v>1723</v>
      </c>
      <c r="B304" s="7" t="s">
        <v>1723</v>
      </c>
      <c r="C304" s="7" t="s">
        <v>1724</v>
      </c>
      <c r="D304" s="7" t="s">
        <v>1725</v>
      </c>
      <c r="E304" s="7" t="s">
        <v>49</v>
      </c>
      <c r="F304" s="7" t="s">
        <v>34</v>
      </c>
      <c r="G304" s="7" t="s">
        <v>35</v>
      </c>
      <c r="H304" s="7"/>
      <c r="I304" s="7"/>
      <c r="J304" s="7" t="s">
        <v>50</v>
      </c>
      <c r="K304" s="7" t="s">
        <v>456</v>
      </c>
      <c r="L304" s="7" t="s">
        <v>457</v>
      </c>
      <c r="M304" s="7" t="s">
        <v>458</v>
      </c>
      <c r="N304" s="7" t="s">
        <v>49</v>
      </c>
      <c r="O304" s="7">
        <v>1</v>
      </c>
      <c r="P304" s="7" t="s">
        <v>41</v>
      </c>
      <c r="Q304" s="7">
        <v>85.99</v>
      </c>
      <c r="R304" s="7"/>
      <c r="S304" s="7"/>
      <c r="T304" s="7"/>
      <c r="U304" s="7"/>
      <c r="V304" s="7"/>
      <c r="W304" s="7"/>
      <c r="X304" s="7"/>
      <c r="Y304" s="7" t="s">
        <v>1726</v>
      </c>
      <c r="Z304" s="7" t="s">
        <v>184</v>
      </c>
      <c r="AA304" s="7" t="s">
        <v>1727</v>
      </c>
      <c r="AB304" s="7" t="s">
        <v>45</v>
      </c>
      <c r="AC304" s="7"/>
      <c r="AD304" s="11"/>
      <c r="AE304" s="11"/>
      <c r="AF304" s="11"/>
      <c r="AG304" s="10">
        <f t="shared" si="4"/>
        <v>43319</v>
      </c>
    </row>
    <row r="305" spans="1:33">
      <c r="A305" s="7" t="s">
        <v>1728</v>
      </c>
      <c r="B305" s="7" t="s">
        <v>1728</v>
      </c>
      <c r="C305" s="7" t="s">
        <v>1729</v>
      </c>
      <c r="D305" s="7" t="s">
        <v>1730</v>
      </c>
      <c r="E305" s="7" t="s">
        <v>49</v>
      </c>
      <c r="F305" s="7" t="s">
        <v>34</v>
      </c>
      <c r="G305" s="7" t="s">
        <v>35</v>
      </c>
      <c r="H305" s="7"/>
      <c r="I305" s="7"/>
      <c r="J305" s="7" t="s">
        <v>36</v>
      </c>
      <c r="K305" s="7" t="s">
        <v>208</v>
      </c>
      <c r="L305" s="7" t="s">
        <v>209</v>
      </c>
      <c r="M305" s="7" t="s">
        <v>210</v>
      </c>
      <c r="N305" s="7" t="s">
        <v>49</v>
      </c>
      <c r="O305" s="7">
        <v>1</v>
      </c>
      <c r="P305" s="7" t="s">
        <v>41</v>
      </c>
      <c r="Q305" s="7">
        <v>89.99</v>
      </c>
      <c r="R305" s="7"/>
      <c r="S305" s="7">
        <v>7.24</v>
      </c>
      <c r="T305" s="7"/>
      <c r="U305" s="7"/>
      <c r="V305" s="7"/>
      <c r="W305" s="7"/>
      <c r="X305" s="7">
        <v>7.24</v>
      </c>
      <c r="Y305" s="7" t="s">
        <v>1731</v>
      </c>
      <c r="Z305" s="7" t="s">
        <v>83</v>
      </c>
      <c r="AA305" s="7" t="s">
        <v>1732</v>
      </c>
      <c r="AB305" s="7" t="s">
        <v>45</v>
      </c>
      <c r="AC305" s="7" t="s">
        <v>549</v>
      </c>
      <c r="AD305" s="8"/>
      <c r="AE305" s="8"/>
      <c r="AF305" s="8"/>
      <c r="AG305" s="10">
        <f t="shared" si="4"/>
        <v>43319</v>
      </c>
    </row>
    <row r="306" spans="1:33">
      <c r="A306" s="7" t="s">
        <v>1733</v>
      </c>
      <c r="B306" s="7" t="s">
        <v>1733</v>
      </c>
      <c r="C306" s="7" t="s">
        <v>1734</v>
      </c>
      <c r="D306" s="7" t="s">
        <v>1735</v>
      </c>
      <c r="E306" s="7" t="s">
        <v>49</v>
      </c>
      <c r="F306" s="7" t="s">
        <v>34</v>
      </c>
      <c r="G306" s="7" t="s">
        <v>35</v>
      </c>
      <c r="H306" s="7"/>
      <c r="I306" s="7"/>
      <c r="J306" s="7" t="s">
        <v>151</v>
      </c>
      <c r="K306" s="7" t="s">
        <v>37</v>
      </c>
      <c r="L306" s="7" t="s">
        <v>38</v>
      </c>
      <c r="M306" s="7" t="s">
        <v>39</v>
      </c>
      <c r="N306" s="7" t="s">
        <v>49</v>
      </c>
      <c r="O306" s="7">
        <v>1</v>
      </c>
      <c r="P306" s="7" t="s">
        <v>41</v>
      </c>
      <c r="Q306" s="7">
        <v>89.99</v>
      </c>
      <c r="R306" s="7"/>
      <c r="S306" s="7">
        <v>5.99</v>
      </c>
      <c r="T306" s="7"/>
      <c r="U306" s="7"/>
      <c r="V306" s="7"/>
      <c r="W306" s="7">
        <v>20</v>
      </c>
      <c r="X306" s="7">
        <v>5.99</v>
      </c>
      <c r="Y306" s="7" t="s">
        <v>1736</v>
      </c>
      <c r="Z306" s="7" t="s">
        <v>92</v>
      </c>
      <c r="AA306" s="7">
        <v>28081</v>
      </c>
      <c r="AB306" s="7" t="s">
        <v>45</v>
      </c>
      <c r="AC306" s="7"/>
      <c r="AD306" s="11"/>
      <c r="AE306" s="11"/>
      <c r="AF306" s="11"/>
      <c r="AG306" s="10">
        <f t="shared" si="4"/>
        <v>43319</v>
      </c>
    </row>
    <row r="307" spans="1:33">
      <c r="A307" s="7" t="s">
        <v>1737</v>
      </c>
      <c r="B307" s="7" t="s">
        <v>1737</v>
      </c>
      <c r="C307" s="7" t="s">
        <v>1738</v>
      </c>
      <c r="D307" s="7" t="s">
        <v>1739</v>
      </c>
      <c r="E307" s="7" t="s">
        <v>49</v>
      </c>
      <c r="F307" s="7" t="s">
        <v>34</v>
      </c>
      <c r="G307" s="7" t="s">
        <v>35</v>
      </c>
      <c r="H307" s="7"/>
      <c r="I307" s="7"/>
      <c r="J307" s="7" t="s">
        <v>50</v>
      </c>
      <c r="K307" s="7" t="s">
        <v>88</v>
      </c>
      <c r="L307" s="7" t="s">
        <v>89</v>
      </c>
      <c r="M307" s="7" t="s">
        <v>90</v>
      </c>
      <c r="N307" s="7" t="s">
        <v>49</v>
      </c>
      <c r="O307" s="7">
        <v>1</v>
      </c>
      <c r="P307" s="7" t="s">
        <v>41</v>
      </c>
      <c r="Q307" s="7">
        <v>89.99</v>
      </c>
      <c r="R307" s="7"/>
      <c r="S307" s="7"/>
      <c r="T307" s="7"/>
      <c r="U307" s="7"/>
      <c r="V307" s="7"/>
      <c r="W307" s="7"/>
      <c r="X307" s="7"/>
      <c r="Y307" s="7" t="s">
        <v>1740</v>
      </c>
      <c r="Z307" s="7" t="s">
        <v>164</v>
      </c>
      <c r="AA307" s="7" t="s">
        <v>1741</v>
      </c>
      <c r="AB307" s="7" t="s">
        <v>45</v>
      </c>
      <c r="AC307" s="7"/>
      <c r="AD307" s="11"/>
      <c r="AE307" s="11"/>
      <c r="AF307" s="11"/>
      <c r="AG307" s="10">
        <f t="shared" si="4"/>
        <v>43319</v>
      </c>
    </row>
    <row r="308" spans="1:33">
      <c r="A308" s="7" t="s">
        <v>1742</v>
      </c>
      <c r="B308" s="7" t="s">
        <v>1742</v>
      </c>
      <c r="C308" s="7" t="s">
        <v>1743</v>
      </c>
      <c r="D308" s="7" t="s">
        <v>1744</v>
      </c>
      <c r="E308" s="7" t="s">
        <v>49</v>
      </c>
      <c r="F308" s="7" t="s">
        <v>34</v>
      </c>
      <c r="G308" s="7" t="s">
        <v>35</v>
      </c>
      <c r="H308" s="7"/>
      <c r="I308" s="7"/>
      <c r="J308" s="7" t="s">
        <v>151</v>
      </c>
      <c r="K308" s="7" t="s">
        <v>37</v>
      </c>
      <c r="L308" s="7" t="s">
        <v>38</v>
      </c>
      <c r="M308" s="7" t="s">
        <v>39</v>
      </c>
      <c r="N308" s="7" t="s">
        <v>49</v>
      </c>
      <c r="O308" s="7">
        <v>1</v>
      </c>
      <c r="P308" s="7" t="s">
        <v>41</v>
      </c>
      <c r="Q308" s="7">
        <v>89.99</v>
      </c>
      <c r="R308" s="7"/>
      <c r="S308" s="7">
        <v>5.99</v>
      </c>
      <c r="T308" s="7"/>
      <c r="U308" s="7"/>
      <c r="V308" s="7"/>
      <c r="W308" s="7">
        <v>20</v>
      </c>
      <c r="X308" s="7">
        <v>5.99</v>
      </c>
      <c r="Y308" s="7" t="s">
        <v>1506</v>
      </c>
      <c r="Z308" s="7" t="s">
        <v>64</v>
      </c>
      <c r="AA308" s="7" t="s">
        <v>1745</v>
      </c>
      <c r="AB308" s="7" t="s">
        <v>45</v>
      </c>
      <c r="AC308" s="7"/>
      <c r="AD308" s="11"/>
      <c r="AE308" s="11"/>
      <c r="AF308" s="11"/>
      <c r="AG308" s="10">
        <f t="shared" si="4"/>
        <v>43319</v>
      </c>
    </row>
    <row r="309" spans="1:33">
      <c r="A309" s="7" t="s">
        <v>1746</v>
      </c>
      <c r="B309" s="7" t="s">
        <v>1746</v>
      </c>
      <c r="C309" s="7" t="s">
        <v>1747</v>
      </c>
      <c r="D309" s="7" t="s">
        <v>1748</v>
      </c>
      <c r="E309" s="7" t="s">
        <v>49</v>
      </c>
      <c r="F309" s="7" t="s">
        <v>34</v>
      </c>
      <c r="G309" s="7" t="s">
        <v>35</v>
      </c>
      <c r="H309" s="7"/>
      <c r="I309" s="7"/>
      <c r="J309" s="7" t="s">
        <v>50</v>
      </c>
      <c r="K309" s="7" t="s">
        <v>563</v>
      </c>
      <c r="L309" s="7" t="s">
        <v>564</v>
      </c>
      <c r="M309" s="7" t="s">
        <v>565</v>
      </c>
      <c r="N309" s="7" t="s">
        <v>49</v>
      </c>
      <c r="O309" s="7">
        <v>1</v>
      </c>
      <c r="P309" s="7" t="s">
        <v>41</v>
      </c>
      <c r="Q309" s="7">
        <v>12.99</v>
      </c>
      <c r="R309" s="7"/>
      <c r="S309" s="7"/>
      <c r="T309" s="7"/>
      <c r="U309" s="7"/>
      <c r="V309" s="7"/>
      <c r="W309" s="7"/>
      <c r="X309" s="7"/>
      <c r="Y309" s="7" t="s">
        <v>1749</v>
      </c>
      <c r="Z309" s="7" t="s">
        <v>1750</v>
      </c>
      <c r="AA309" s="7" t="s">
        <v>1751</v>
      </c>
      <c r="AB309" s="7" t="s">
        <v>45</v>
      </c>
      <c r="AC309" s="7"/>
      <c r="AD309" s="11"/>
      <c r="AE309" s="11"/>
      <c r="AF309" s="11"/>
      <c r="AG309" s="10">
        <f t="shared" si="4"/>
        <v>43319</v>
      </c>
    </row>
    <row r="310" spans="1:33">
      <c r="A310" s="7" t="s">
        <v>1752</v>
      </c>
      <c r="B310" s="7" t="s">
        <v>1752</v>
      </c>
      <c r="C310" s="7" t="s">
        <v>1753</v>
      </c>
      <c r="D310" s="7" t="s">
        <v>1754</v>
      </c>
      <c r="E310" s="7" t="s">
        <v>49</v>
      </c>
      <c r="F310" s="7" t="s">
        <v>34</v>
      </c>
      <c r="G310" s="7" t="s">
        <v>35</v>
      </c>
      <c r="H310" s="7"/>
      <c r="I310" s="7"/>
      <c r="J310" s="7" t="s">
        <v>50</v>
      </c>
      <c r="K310" s="7" t="s">
        <v>208</v>
      </c>
      <c r="L310" s="7" t="s">
        <v>209</v>
      </c>
      <c r="M310" s="7" t="s">
        <v>210</v>
      </c>
      <c r="N310" s="7" t="s">
        <v>49</v>
      </c>
      <c r="O310" s="7">
        <v>1</v>
      </c>
      <c r="P310" s="7" t="s">
        <v>41</v>
      </c>
      <c r="Q310" s="7">
        <v>89.99</v>
      </c>
      <c r="R310" s="7">
        <v>7.11</v>
      </c>
      <c r="S310" s="7"/>
      <c r="T310" s="7"/>
      <c r="U310" s="7"/>
      <c r="V310" s="7"/>
      <c r="W310" s="7"/>
      <c r="X310" s="7"/>
      <c r="Y310" s="7" t="s">
        <v>1755</v>
      </c>
      <c r="Z310" s="7" t="s">
        <v>146</v>
      </c>
      <c r="AA310" s="7" t="s">
        <v>1756</v>
      </c>
      <c r="AB310" s="7" t="s">
        <v>45</v>
      </c>
      <c r="AC310" s="7"/>
      <c r="AD310" s="11"/>
      <c r="AE310" s="11"/>
      <c r="AF310" s="11"/>
      <c r="AG310" s="10">
        <f t="shared" si="4"/>
        <v>43319</v>
      </c>
    </row>
    <row r="311" spans="1:33">
      <c r="A311" s="7" t="s">
        <v>1757</v>
      </c>
      <c r="B311" s="7" t="s">
        <v>1757</v>
      </c>
      <c r="C311" s="7" t="s">
        <v>1758</v>
      </c>
      <c r="D311" s="7" t="s">
        <v>1759</v>
      </c>
      <c r="E311" s="7" t="s">
        <v>49</v>
      </c>
      <c r="F311" s="7" t="s">
        <v>34</v>
      </c>
      <c r="G311" s="7" t="s">
        <v>35</v>
      </c>
      <c r="H311" s="7"/>
      <c r="I311" s="7"/>
      <c r="J311" s="7" t="s">
        <v>50</v>
      </c>
      <c r="K311" s="7" t="s">
        <v>120</v>
      </c>
      <c r="L311" s="7" t="s">
        <v>121</v>
      </c>
      <c r="M311" s="7" t="s">
        <v>122</v>
      </c>
      <c r="N311" s="7" t="s">
        <v>49</v>
      </c>
      <c r="O311" s="7">
        <v>1</v>
      </c>
      <c r="P311" s="7" t="s">
        <v>41</v>
      </c>
      <c r="Q311" s="7">
        <v>29.99</v>
      </c>
      <c r="R311" s="7"/>
      <c r="S311" s="7"/>
      <c r="T311" s="7"/>
      <c r="U311" s="7"/>
      <c r="V311" s="7"/>
      <c r="W311" s="7"/>
      <c r="X311" s="7"/>
      <c r="Y311" s="7" t="s">
        <v>1760</v>
      </c>
      <c r="Z311" s="7" t="s">
        <v>64</v>
      </c>
      <c r="AA311" s="7" t="s">
        <v>1761</v>
      </c>
      <c r="AB311" s="7" t="s">
        <v>45</v>
      </c>
      <c r="AC311" s="7"/>
      <c r="AD311" s="11"/>
      <c r="AE311" s="11"/>
      <c r="AF311" s="11"/>
      <c r="AG311" s="10">
        <f t="shared" si="4"/>
        <v>43319</v>
      </c>
    </row>
    <row r="312" spans="1:33">
      <c r="A312" s="7" t="s">
        <v>1762</v>
      </c>
      <c r="B312" s="7" t="s">
        <v>1762</v>
      </c>
      <c r="C312" s="7" t="s">
        <v>1763</v>
      </c>
      <c r="D312" s="7" t="s">
        <v>1764</v>
      </c>
      <c r="E312" s="7" t="s">
        <v>49</v>
      </c>
      <c r="F312" s="7" t="s">
        <v>34</v>
      </c>
      <c r="G312" s="7" t="s">
        <v>35</v>
      </c>
      <c r="H312" s="7"/>
      <c r="I312" s="7"/>
      <c r="J312" s="7" t="s">
        <v>50</v>
      </c>
      <c r="K312" s="7" t="s">
        <v>169</v>
      </c>
      <c r="L312" s="7" t="s">
        <v>170</v>
      </c>
      <c r="M312" s="7" t="s">
        <v>171</v>
      </c>
      <c r="N312" s="7" t="s">
        <v>49</v>
      </c>
      <c r="O312" s="7">
        <v>1</v>
      </c>
      <c r="P312" s="7" t="s">
        <v>41</v>
      </c>
      <c r="Q312" s="7">
        <v>89.99</v>
      </c>
      <c r="R312" s="7"/>
      <c r="S312" s="7"/>
      <c r="T312" s="7"/>
      <c r="U312" s="7"/>
      <c r="V312" s="7"/>
      <c r="W312" s="7"/>
      <c r="X312" s="7"/>
      <c r="Y312" s="7" t="s">
        <v>1765</v>
      </c>
      <c r="Z312" s="7" t="s">
        <v>1766</v>
      </c>
      <c r="AA312" s="7" t="s">
        <v>1767</v>
      </c>
      <c r="AB312" s="7" t="s">
        <v>45</v>
      </c>
      <c r="AC312" s="7"/>
      <c r="AD312" s="11"/>
      <c r="AE312" s="11"/>
      <c r="AF312" s="11"/>
      <c r="AG312" s="10">
        <f t="shared" si="4"/>
        <v>43319</v>
      </c>
    </row>
    <row r="313" spans="1:33">
      <c r="A313" s="7" t="s">
        <v>1768</v>
      </c>
      <c r="B313" s="7" t="s">
        <v>1768</v>
      </c>
      <c r="C313" s="7" t="s">
        <v>1769</v>
      </c>
      <c r="D313" s="7" t="s">
        <v>1770</v>
      </c>
      <c r="E313" s="7" t="s">
        <v>49</v>
      </c>
      <c r="F313" s="7" t="s">
        <v>34</v>
      </c>
      <c r="G313" s="7" t="s">
        <v>35</v>
      </c>
      <c r="H313" s="7"/>
      <c r="I313" s="7"/>
      <c r="J313" s="7" t="s">
        <v>50</v>
      </c>
      <c r="K313" s="7" t="s">
        <v>745</v>
      </c>
      <c r="L313" s="7" t="s">
        <v>746</v>
      </c>
      <c r="M313" s="7" t="s">
        <v>747</v>
      </c>
      <c r="N313" s="7" t="s">
        <v>49</v>
      </c>
      <c r="O313" s="7">
        <v>1</v>
      </c>
      <c r="P313" s="7" t="s">
        <v>41</v>
      </c>
      <c r="Q313" s="7">
        <v>89.99</v>
      </c>
      <c r="R313" s="7">
        <v>5.77</v>
      </c>
      <c r="S313" s="7"/>
      <c r="T313" s="7"/>
      <c r="U313" s="7"/>
      <c r="V313" s="7"/>
      <c r="W313" s="7">
        <v>20</v>
      </c>
      <c r="X313" s="7"/>
      <c r="Y313" s="7" t="s">
        <v>1698</v>
      </c>
      <c r="Z313" s="7" t="s">
        <v>818</v>
      </c>
      <c r="AA313" s="7">
        <v>73003</v>
      </c>
      <c r="AB313" s="7" t="s">
        <v>45</v>
      </c>
      <c r="AC313" s="7"/>
      <c r="AD313" s="11"/>
      <c r="AE313" s="11"/>
      <c r="AF313" s="11"/>
      <c r="AG313" s="10">
        <f t="shared" si="4"/>
        <v>43319</v>
      </c>
    </row>
    <row r="314" spans="1:33">
      <c r="A314" s="7" t="s">
        <v>1771</v>
      </c>
      <c r="B314" s="7" t="s">
        <v>1771</v>
      </c>
      <c r="C314" s="7" t="s">
        <v>1772</v>
      </c>
      <c r="D314" s="7" t="s">
        <v>1773</v>
      </c>
      <c r="E314" s="7" t="s">
        <v>49</v>
      </c>
      <c r="F314" s="7" t="s">
        <v>34</v>
      </c>
      <c r="G314" s="7" t="s">
        <v>35</v>
      </c>
      <c r="H314" s="7"/>
      <c r="I314" s="7"/>
      <c r="J314" s="7" t="s">
        <v>50</v>
      </c>
      <c r="K314" s="7" t="s">
        <v>632</v>
      </c>
      <c r="L314" s="7" t="s">
        <v>633</v>
      </c>
      <c r="M314" s="7" t="s">
        <v>634</v>
      </c>
      <c r="N314" s="7" t="s">
        <v>49</v>
      </c>
      <c r="O314" s="7">
        <v>1</v>
      </c>
      <c r="P314" s="7" t="s">
        <v>41</v>
      </c>
      <c r="Q314" s="7">
        <v>85.99</v>
      </c>
      <c r="R314" s="7"/>
      <c r="S314" s="7"/>
      <c r="T314" s="7"/>
      <c r="U314" s="7"/>
      <c r="V314" s="7"/>
      <c r="W314" s="7"/>
      <c r="X314" s="7"/>
      <c r="Y314" s="7" t="s">
        <v>1774</v>
      </c>
      <c r="Z314" s="7" t="s">
        <v>1775</v>
      </c>
      <c r="AA314" s="7">
        <v>97146</v>
      </c>
      <c r="AB314" s="7" t="s">
        <v>45</v>
      </c>
      <c r="AC314" s="7"/>
      <c r="AD314" s="11"/>
      <c r="AE314" s="11"/>
      <c r="AF314" s="11"/>
      <c r="AG314" s="10">
        <f t="shared" si="4"/>
        <v>43319</v>
      </c>
    </row>
    <row r="315" spans="1:33">
      <c r="A315" s="7" t="s">
        <v>1776</v>
      </c>
      <c r="B315" s="7" t="s">
        <v>1776</v>
      </c>
      <c r="C315" s="7" t="s">
        <v>1777</v>
      </c>
      <c r="D315" s="7" t="s">
        <v>1778</v>
      </c>
      <c r="E315" s="7" t="s">
        <v>49</v>
      </c>
      <c r="F315" s="7" t="s">
        <v>34</v>
      </c>
      <c r="G315" s="7" t="s">
        <v>35</v>
      </c>
      <c r="H315" s="7"/>
      <c r="I315" s="7"/>
      <c r="J315" s="7" t="s">
        <v>50</v>
      </c>
      <c r="K315" s="7" t="s">
        <v>142</v>
      </c>
      <c r="L315" s="7" t="s">
        <v>143</v>
      </c>
      <c r="M315" s="7" t="s">
        <v>144</v>
      </c>
      <c r="N315" s="7" t="s">
        <v>49</v>
      </c>
      <c r="O315" s="7">
        <v>1</v>
      </c>
      <c r="P315" s="7" t="s">
        <v>41</v>
      </c>
      <c r="Q315" s="7">
        <v>79.99</v>
      </c>
      <c r="R315" s="7"/>
      <c r="S315" s="7"/>
      <c r="T315" s="7"/>
      <c r="U315" s="7">
        <v>3.99</v>
      </c>
      <c r="V315" s="7"/>
      <c r="W315" s="7"/>
      <c r="X315" s="7"/>
      <c r="Y315" s="7" t="s">
        <v>1779</v>
      </c>
      <c r="Z315" s="7" t="s">
        <v>1780</v>
      </c>
      <c r="AA315" s="7" t="s">
        <v>1781</v>
      </c>
      <c r="AB315" s="7" t="s">
        <v>45</v>
      </c>
      <c r="AC315" s="7"/>
      <c r="AD315" s="11"/>
      <c r="AE315" s="11"/>
      <c r="AF315" s="11"/>
      <c r="AG315" s="10">
        <f t="shared" si="4"/>
        <v>43319</v>
      </c>
    </row>
    <row r="316" spans="1:33">
      <c r="A316" s="7" t="s">
        <v>1782</v>
      </c>
      <c r="B316" s="7" t="s">
        <v>1782</v>
      </c>
      <c r="C316" s="7" t="s">
        <v>1783</v>
      </c>
      <c r="D316" s="7" t="s">
        <v>1784</v>
      </c>
      <c r="E316" s="7" t="s">
        <v>49</v>
      </c>
      <c r="F316" s="7" t="s">
        <v>34</v>
      </c>
      <c r="G316" s="7" t="s">
        <v>35</v>
      </c>
      <c r="H316" s="7"/>
      <c r="I316" s="7"/>
      <c r="J316" s="7" t="s">
        <v>50</v>
      </c>
      <c r="K316" s="7" t="s">
        <v>37</v>
      </c>
      <c r="L316" s="7" t="s">
        <v>38</v>
      </c>
      <c r="M316" s="7" t="s">
        <v>39</v>
      </c>
      <c r="N316" s="7" t="s">
        <v>49</v>
      </c>
      <c r="O316" s="7">
        <v>1</v>
      </c>
      <c r="P316" s="7" t="s">
        <v>41</v>
      </c>
      <c r="Q316" s="7">
        <v>89.99</v>
      </c>
      <c r="R316" s="7"/>
      <c r="S316" s="7"/>
      <c r="T316" s="7"/>
      <c r="U316" s="7"/>
      <c r="V316" s="7"/>
      <c r="W316" s="7"/>
      <c r="X316" s="7"/>
      <c r="Y316" s="7" t="s">
        <v>1785</v>
      </c>
      <c r="Z316" s="7" t="s">
        <v>230</v>
      </c>
      <c r="AA316" s="7" t="s">
        <v>1786</v>
      </c>
      <c r="AB316" s="7" t="s">
        <v>45</v>
      </c>
      <c r="AC316" s="7"/>
      <c r="AD316" s="11"/>
      <c r="AE316" s="11"/>
      <c r="AF316" s="11"/>
      <c r="AG316" s="10">
        <f t="shared" si="4"/>
        <v>43319</v>
      </c>
    </row>
    <row r="317" spans="1:33">
      <c r="A317" s="7" t="s">
        <v>1787</v>
      </c>
      <c r="B317" s="7" t="s">
        <v>1787</v>
      </c>
      <c r="C317" s="7" t="s">
        <v>1788</v>
      </c>
      <c r="D317" s="7" t="s">
        <v>1789</v>
      </c>
      <c r="E317" s="7" t="s">
        <v>49</v>
      </c>
      <c r="F317" s="7" t="s">
        <v>34</v>
      </c>
      <c r="G317" s="7" t="s">
        <v>35</v>
      </c>
      <c r="H317" s="7"/>
      <c r="I317" s="7"/>
      <c r="J317" s="7" t="s">
        <v>50</v>
      </c>
      <c r="K317" s="7" t="s">
        <v>589</v>
      </c>
      <c r="L317" s="7" t="s">
        <v>590</v>
      </c>
      <c r="M317" s="7" t="s">
        <v>591</v>
      </c>
      <c r="N317" s="7" t="s">
        <v>49</v>
      </c>
      <c r="O317" s="7">
        <v>1</v>
      </c>
      <c r="P317" s="7" t="s">
        <v>41</v>
      </c>
      <c r="Q317" s="7">
        <v>12.99</v>
      </c>
      <c r="R317" s="7"/>
      <c r="S317" s="7"/>
      <c r="T317" s="7"/>
      <c r="U317" s="7"/>
      <c r="V317" s="7"/>
      <c r="W317" s="7"/>
      <c r="X317" s="7"/>
      <c r="Y317" s="7" t="s">
        <v>1790</v>
      </c>
      <c r="Z317" s="7" t="s">
        <v>221</v>
      </c>
      <c r="AA317" s="7" t="s">
        <v>1791</v>
      </c>
      <c r="AB317" s="7" t="s">
        <v>45</v>
      </c>
      <c r="AC317" s="7"/>
      <c r="AD317" s="11"/>
      <c r="AE317" s="11"/>
      <c r="AF317" s="11"/>
      <c r="AG317" s="10">
        <f t="shared" si="4"/>
        <v>43319</v>
      </c>
    </row>
    <row r="318" spans="1:33">
      <c r="A318" s="7" t="s">
        <v>1792</v>
      </c>
      <c r="B318" s="7" t="s">
        <v>1792</v>
      </c>
      <c r="C318" s="7" t="s">
        <v>1793</v>
      </c>
      <c r="D318" s="7" t="s">
        <v>1794</v>
      </c>
      <c r="E318" s="7" t="s">
        <v>49</v>
      </c>
      <c r="F318" s="7" t="s">
        <v>34</v>
      </c>
      <c r="G318" s="7" t="s">
        <v>35</v>
      </c>
      <c r="H318" s="7"/>
      <c r="I318" s="7"/>
      <c r="J318" s="7" t="s">
        <v>50</v>
      </c>
      <c r="K318" s="7" t="s">
        <v>208</v>
      </c>
      <c r="L318" s="7" t="s">
        <v>209</v>
      </c>
      <c r="M318" s="7" t="s">
        <v>210</v>
      </c>
      <c r="N318" s="7" t="s">
        <v>49</v>
      </c>
      <c r="O318" s="7">
        <v>1</v>
      </c>
      <c r="P318" s="7" t="s">
        <v>41</v>
      </c>
      <c r="Q318" s="7">
        <v>89.99</v>
      </c>
      <c r="R318" s="7"/>
      <c r="S318" s="7"/>
      <c r="T318" s="7"/>
      <c r="U318" s="7">
        <v>3.99</v>
      </c>
      <c r="V318" s="7"/>
      <c r="W318" s="7"/>
      <c r="X318" s="7"/>
      <c r="Y318" s="7" t="s">
        <v>1795</v>
      </c>
      <c r="Z318" s="7" t="s">
        <v>64</v>
      </c>
      <c r="AA318" s="7" t="s">
        <v>1796</v>
      </c>
      <c r="AB318" s="7" t="s">
        <v>45</v>
      </c>
      <c r="AC318" s="7"/>
      <c r="AD318" s="8"/>
      <c r="AE318" s="8"/>
      <c r="AF318" s="8"/>
      <c r="AG318" s="10">
        <f t="shared" si="4"/>
        <v>43319</v>
      </c>
    </row>
    <row r="319" spans="1:33">
      <c r="A319" s="7" t="s">
        <v>1797</v>
      </c>
      <c r="B319" s="7" t="s">
        <v>1797</v>
      </c>
      <c r="C319" s="7" t="s">
        <v>1798</v>
      </c>
      <c r="D319" s="7" t="s">
        <v>1799</v>
      </c>
      <c r="E319" s="7" t="s">
        <v>49</v>
      </c>
      <c r="F319" s="7" t="s">
        <v>34</v>
      </c>
      <c r="G319" s="7" t="s">
        <v>35</v>
      </c>
      <c r="H319" s="7"/>
      <c r="I319" s="7"/>
      <c r="J319" s="7" t="s">
        <v>50</v>
      </c>
      <c r="K319" s="7" t="s">
        <v>88</v>
      </c>
      <c r="L319" s="7" t="s">
        <v>89</v>
      </c>
      <c r="M319" s="7" t="s">
        <v>90</v>
      </c>
      <c r="N319" s="7" t="s">
        <v>49</v>
      </c>
      <c r="O319" s="7">
        <v>1</v>
      </c>
      <c r="P319" s="7" t="s">
        <v>41</v>
      </c>
      <c r="Q319" s="7">
        <v>89.99</v>
      </c>
      <c r="R319" s="7"/>
      <c r="S319" s="7"/>
      <c r="T319" s="7"/>
      <c r="U319" s="7"/>
      <c r="V319" s="7"/>
      <c r="W319" s="7"/>
      <c r="X319" s="7"/>
      <c r="Y319" s="7" t="s">
        <v>1800</v>
      </c>
      <c r="Z319" s="7" t="s">
        <v>221</v>
      </c>
      <c r="AA319" s="7" t="s">
        <v>1801</v>
      </c>
      <c r="AB319" s="7" t="s">
        <v>45</v>
      </c>
      <c r="AC319" s="7"/>
      <c r="AD319" s="8"/>
      <c r="AE319" s="8"/>
      <c r="AF319" s="8"/>
      <c r="AG319" s="10">
        <f t="shared" si="4"/>
        <v>43319</v>
      </c>
    </row>
    <row r="320" spans="1:33">
      <c r="A320" s="7" t="s">
        <v>1802</v>
      </c>
      <c r="B320" s="7" t="s">
        <v>1802</v>
      </c>
      <c r="C320" s="7" t="s">
        <v>1803</v>
      </c>
      <c r="D320" s="7" t="s">
        <v>1804</v>
      </c>
      <c r="E320" s="7" t="s">
        <v>49</v>
      </c>
      <c r="F320" s="7" t="s">
        <v>34</v>
      </c>
      <c r="G320" s="7" t="s">
        <v>35</v>
      </c>
      <c r="H320" s="7"/>
      <c r="I320" s="7"/>
      <c r="J320" s="7" t="s">
        <v>50</v>
      </c>
      <c r="K320" s="7" t="s">
        <v>70</v>
      </c>
      <c r="L320" s="7" t="s">
        <v>71</v>
      </c>
      <c r="M320" s="7" t="s">
        <v>72</v>
      </c>
      <c r="N320" s="7" t="s">
        <v>49</v>
      </c>
      <c r="O320" s="7">
        <v>1</v>
      </c>
      <c r="P320" s="7" t="s">
        <v>41</v>
      </c>
      <c r="Q320" s="7">
        <v>96.99</v>
      </c>
      <c r="R320" s="7"/>
      <c r="S320" s="7"/>
      <c r="T320" s="7"/>
      <c r="U320" s="7"/>
      <c r="V320" s="7"/>
      <c r="W320" s="7"/>
      <c r="X320" s="7"/>
      <c r="Y320" s="7" t="s">
        <v>1805</v>
      </c>
      <c r="Z320" s="7" t="s">
        <v>331</v>
      </c>
      <c r="AA320" s="7" t="s">
        <v>1806</v>
      </c>
      <c r="AB320" s="7" t="s">
        <v>45</v>
      </c>
      <c r="AC320" s="7"/>
      <c r="AD320" s="11"/>
      <c r="AE320" s="11"/>
      <c r="AF320" s="11"/>
      <c r="AG320" s="10">
        <f t="shared" si="4"/>
        <v>43319</v>
      </c>
    </row>
    <row r="321" spans="1:33">
      <c r="A321" s="7" t="s">
        <v>1807</v>
      </c>
      <c r="B321" s="7" t="s">
        <v>1807</v>
      </c>
      <c r="C321" s="7" t="s">
        <v>1808</v>
      </c>
      <c r="D321" s="7" t="s">
        <v>1809</v>
      </c>
      <c r="E321" s="7" t="s">
        <v>49</v>
      </c>
      <c r="F321" s="7" t="s">
        <v>34</v>
      </c>
      <c r="G321" s="7" t="s">
        <v>35</v>
      </c>
      <c r="H321" s="7"/>
      <c r="I321" s="7"/>
      <c r="J321" s="7" t="s">
        <v>50</v>
      </c>
      <c r="K321" s="7" t="s">
        <v>226</v>
      </c>
      <c r="L321" s="7" t="s">
        <v>442</v>
      </c>
      <c r="M321" s="7" t="s">
        <v>443</v>
      </c>
      <c r="N321" s="7" t="s">
        <v>49</v>
      </c>
      <c r="O321" s="7">
        <v>1</v>
      </c>
      <c r="P321" s="7" t="s">
        <v>41</v>
      </c>
      <c r="Q321" s="7">
        <v>88.99</v>
      </c>
      <c r="R321" s="7"/>
      <c r="S321" s="7"/>
      <c r="T321" s="7"/>
      <c r="U321" s="7"/>
      <c r="V321" s="7"/>
      <c r="W321" s="7"/>
      <c r="X321" s="7"/>
      <c r="Y321" s="7" t="s">
        <v>1810</v>
      </c>
      <c r="Z321" s="7" t="s">
        <v>1302</v>
      </c>
      <c r="AA321" s="7" t="s">
        <v>1811</v>
      </c>
      <c r="AB321" s="7" t="s">
        <v>45</v>
      </c>
      <c r="AC321" s="7"/>
      <c r="AD321" s="11"/>
      <c r="AE321" s="11"/>
      <c r="AF321" s="11"/>
      <c r="AG321" s="10">
        <f t="shared" si="4"/>
        <v>43319</v>
      </c>
    </row>
    <row r="322" spans="1:33">
      <c r="A322" s="7" t="s">
        <v>1812</v>
      </c>
      <c r="B322" s="7" t="s">
        <v>1812</v>
      </c>
      <c r="C322" s="7" t="s">
        <v>1813</v>
      </c>
      <c r="D322" s="7" t="s">
        <v>1814</v>
      </c>
      <c r="E322" s="7" t="s">
        <v>49</v>
      </c>
      <c r="F322" s="7" t="s">
        <v>34</v>
      </c>
      <c r="G322" s="7" t="s">
        <v>35</v>
      </c>
      <c r="H322" s="7"/>
      <c r="I322" s="7"/>
      <c r="J322" s="7" t="s">
        <v>50</v>
      </c>
      <c r="K322" s="7" t="s">
        <v>611</v>
      </c>
      <c r="L322" s="7" t="s">
        <v>612</v>
      </c>
      <c r="M322" s="7" t="s">
        <v>613</v>
      </c>
      <c r="N322" s="7" t="s">
        <v>49</v>
      </c>
      <c r="O322" s="7">
        <v>1</v>
      </c>
      <c r="P322" s="7" t="s">
        <v>41</v>
      </c>
      <c r="Q322" s="7">
        <v>89.99</v>
      </c>
      <c r="R322" s="7"/>
      <c r="S322" s="7"/>
      <c r="T322" s="7"/>
      <c r="U322" s="7"/>
      <c r="V322" s="7"/>
      <c r="W322" s="7"/>
      <c r="X322" s="7"/>
      <c r="Y322" s="7" t="s">
        <v>1815</v>
      </c>
      <c r="Z322" s="7" t="s">
        <v>361</v>
      </c>
      <c r="AA322" s="7">
        <v>56001</v>
      </c>
      <c r="AB322" s="7" t="s">
        <v>45</v>
      </c>
      <c r="AC322" s="7"/>
      <c r="AD322" s="11"/>
      <c r="AE322" s="11"/>
      <c r="AF322" s="11"/>
      <c r="AG322" s="10">
        <f t="shared" ref="AG322:AG385" si="5">DATEVALUE(LEFT(C322,10))</f>
        <v>43319</v>
      </c>
    </row>
    <row r="323" spans="1:33">
      <c r="A323" s="7" t="s">
        <v>1816</v>
      </c>
      <c r="B323" s="7" t="s">
        <v>1816</v>
      </c>
      <c r="C323" s="7" t="s">
        <v>1817</v>
      </c>
      <c r="D323" s="7" t="s">
        <v>1818</v>
      </c>
      <c r="E323" s="7" t="s">
        <v>49</v>
      </c>
      <c r="F323" s="7" t="s">
        <v>34</v>
      </c>
      <c r="G323" s="7" t="s">
        <v>35</v>
      </c>
      <c r="H323" s="7"/>
      <c r="I323" s="7"/>
      <c r="J323" s="7" t="s">
        <v>50</v>
      </c>
      <c r="K323" s="7" t="s">
        <v>152</v>
      </c>
      <c r="L323" s="7" t="s">
        <v>153</v>
      </c>
      <c r="M323" s="7" t="s">
        <v>154</v>
      </c>
      <c r="N323" s="7" t="s">
        <v>49</v>
      </c>
      <c r="O323" s="7">
        <v>1</v>
      </c>
      <c r="P323" s="7" t="s">
        <v>41</v>
      </c>
      <c r="Q323" s="7">
        <v>79.99</v>
      </c>
      <c r="R323" s="7">
        <v>6.32</v>
      </c>
      <c r="S323" s="7"/>
      <c r="T323" s="7"/>
      <c r="U323" s="7"/>
      <c r="V323" s="7"/>
      <c r="W323" s="7"/>
      <c r="X323" s="7"/>
      <c r="Y323" s="7" t="s">
        <v>1819</v>
      </c>
      <c r="Z323" s="7" t="s">
        <v>146</v>
      </c>
      <c r="AA323" s="7" t="s">
        <v>1820</v>
      </c>
      <c r="AB323" s="7" t="s">
        <v>45</v>
      </c>
      <c r="AC323" s="7"/>
      <c r="AD323" s="11"/>
      <c r="AE323" s="11"/>
      <c r="AF323" s="11"/>
      <c r="AG323" s="10">
        <f t="shared" si="5"/>
        <v>43319</v>
      </c>
    </row>
    <row r="324" spans="1:33">
      <c r="A324" s="7" t="s">
        <v>1821</v>
      </c>
      <c r="B324" s="7" t="s">
        <v>1821</v>
      </c>
      <c r="C324" s="7" t="s">
        <v>1822</v>
      </c>
      <c r="D324" s="7" t="s">
        <v>1823</v>
      </c>
      <c r="E324" s="7" t="s">
        <v>49</v>
      </c>
      <c r="F324" s="7" t="s">
        <v>34</v>
      </c>
      <c r="G324" s="7" t="s">
        <v>35</v>
      </c>
      <c r="H324" s="7"/>
      <c r="I324" s="7"/>
      <c r="J324" s="7" t="s">
        <v>50</v>
      </c>
      <c r="K324" s="7" t="s">
        <v>745</v>
      </c>
      <c r="L324" s="7" t="s">
        <v>746</v>
      </c>
      <c r="M324" s="7" t="s">
        <v>747</v>
      </c>
      <c r="N324" s="7" t="s">
        <v>49</v>
      </c>
      <c r="O324" s="7">
        <v>1</v>
      </c>
      <c r="P324" s="7" t="s">
        <v>41</v>
      </c>
      <c r="Q324" s="7">
        <v>89.99</v>
      </c>
      <c r="R324" s="7"/>
      <c r="S324" s="7"/>
      <c r="T324" s="7"/>
      <c r="U324" s="7"/>
      <c r="V324" s="7"/>
      <c r="W324" s="7">
        <v>20</v>
      </c>
      <c r="X324" s="7"/>
      <c r="Y324" s="7" t="s">
        <v>1824</v>
      </c>
      <c r="Z324" s="7" t="s">
        <v>1825</v>
      </c>
      <c r="AA324" s="7">
        <v>80817</v>
      </c>
      <c r="AB324" s="7" t="s">
        <v>45</v>
      </c>
      <c r="AC324" s="7"/>
      <c r="AD324" s="11"/>
      <c r="AE324" s="11"/>
      <c r="AF324" s="11"/>
      <c r="AG324" s="10">
        <f t="shared" si="5"/>
        <v>43319</v>
      </c>
    </row>
    <row r="325" spans="1:33">
      <c r="A325" s="7" t="s">
        <v>1826</v>
      </c>
      <c r="B325" s="7" t="s">
        <v>1826</v>
      </c>
      <c r="C325" s="7" t="s">
        <v>1827</v>
      </c>
      <c r="D325" s="7" t="s">
        <v>1828</v>
      </c>
      <c r="E325" s="7" t="s">
        <v>33</v>
      </c>
      <c r="F325" s="7" t="s">
        <v>34</v>
      </c>
      <c r="G325" s="7" t="s">
        <v>35</v>
      </c>
      <c r="H325" s="7"/>
      <c r="I325" s="7"/>
      <c r="J325" s="7" t="s">
        <v>50</v>
      </c>
      <c r="K325" s="7" t="s">
        <v>276</v>
      </c>
      <c r="L325" s="7" t="s">
        <v>277</v>
      </c>
      <c r="M325" s="7" t="s">
        <v>278</v>
      </c>
      <c r="N325" s="7" t="s">
        <v>33</v>
      </c>
      <c r="O325" s="7">
        <v>0</v>
      </c>
      <c r="P325" s="7"/>
      <c r="Q325" s="7"/>
      <c r="R325" s="7"/>
      <c r="S325" s="7"/>
      <c r="T325" s="7"/>
      <c r="U325" s="7"/>
      <c r="V325" s="7"/>
      <c r="W325" s="7"/>
      <c r="X325" s="7"/>
      <c r="Y325" s="7" t="s">
        <v>1829</v>
      </c>
      <c r="Z325" s="7" t="s">
        <v>83</v>
      </c>
      <c r="AA325" s="7" t="s">
        <v>1830</v>
      </c>
      <c r="AB325" s="7" t="s">
        <v>45</v>
      </c>
      <c r="AC325" s="7"/>
      <c r="AD325" s="11"/>
      <c r="AE325" s="11"/>
      <c r="AF325" s="11"/>
      <c r="AG325" s="10">
        <f t="shared" si="5"/>
        <v>43320</v>
      </c>
    </row>
    <row r="326" spans="1:33">
      <c r="A326" s="7" t="s">
        <v>1831</v>
      </c>
      <c r="B326" s="7" t="s">
        <v>1831</v>
      </c>
      <c r="C326" s="7" t="s">
        <v>1832</v>
      </c>
      <c r="D326" s="7" t="s">
        <v>1833</v>
      </c>
      <c r="E326" s="7" t="s">
        <v>49</v>
      </c>
      <c r="F326" s="7" t="s">
        <v>34</v>
      </c>
      <c r="G326" s="7" t="s">
        <v>35</v>
      </c>
      <c r="H326" s="7"/>
      <c r="I326" s="7"/>
      <c r="J326" s="7" t="s">
        <v>50</v>
      </c>
      <c r="K326" s="7" t="s">
        <v>477</v>
      </c>
      <c r="L326" s="7" t="s">
        <v>478</v>
      </c>
      <c r="M326" s="7" t="s">
        <v>479</v>
      </c>
      <c r="N326" s="7" t="s">
        <v>49</v>
      </c>
      <c r="O326" s="7">
        <v>1</v>
      </c>
      <c r="P326" s="7" t="s">
        <v>41</v>
      </c>
      <c r="Q326" s="7">
        <v>89.99</v>
      </c>
      <c r="R326" s="7"/>
      <c r="S326" s="7"/>
      <c r="T326" s="7"/>
      <c r="U326" s="7"/>
      <c r="V326" s="7"/>
      <c r="W326" s="7"/>
      <c r="X326" s="7"/>
      <c r="Y326" s="7" t="s">
        <v>1834</v>
      </c>
      <c r="Z326" s="7" t="s">
        <v>872</v>
      </c>
      <c r="AA326" s="7" t="s">
        <v>1835</v>
      </c>
      <c r="AB326" s="7" t="s">
        <v>45</v>
      </c>
      <c r="AC326" s="7"/>
      <c r="AD326" s="11"/>
      <c r="AE326" s="11"/>
      <c r="AF326" s="11"/>
      <c r="AG326" s="10">
        <f t="shared" si="5"/>
        <v>43320</v>
      </c>
    </row>
    <row r="327" spans="1:33">
      <c r="A327" s="7" t="s">
        <v>1836</v>
      </c>
      <c r="B327" s="7" t="s">
        <v>1836</v>
      </c>
      <c r="C327" s="7" t="s">
        <v>1837</v>
      </c>
      <c r="D327" s="7" t="s">
        <v>1838</v>
      </c>
      <c r="E327" s="7" t="s">
        <v>49</v>
      </c>
      <c r="F327" s="7" t="s">
        <v>34</v>
      </c>
      <c r="G327" s="7" t="s">
        <v>35</v>
      </c>
      <c r="H327" s="7"/>
      <c r="I327" s="7"/>
      <c r="J327" s="7" t="s">
        <v>50</v>
      </c>
      <c r="K327" s="7" t="s">
        <v>563</v>
      </c>
      <c r="L327" s="7" t="s">
        <v>564</v>
      </c>
      <c r="M327" s="7" t="s">
        <v>565</v>
      </c>
      <c r="N327" s="7" t="s">
        <v>49</v>
      </c>
      <c r="O327" s="7">
        <v>1</v>
      </c>
      <c r="P327" s="7" t="s">
        <v>41</v>
      </c>
      <c r="Q327" s="7">
        <v>12.99</v>
      </c>
      <c r="R327" s="7"/>
      <c r="S327" s="7"/>
      <c r="T327" s="7"/>
      <c r="U327" s="7"/>
      <c r="V327" s="7"/>
      <c r="W327" s="7"/>
      <c r="X327" s="7"/>
      <c r="Y327" s="7" t="s">
        <v>1839</v>
      </c>
      <c r="Z327" s="7" t="s">
        <v>1840</v>
      </c>
      <c r="AA327" s="7">
        <v>77302</v>
      </c>
      <c r="AB327" s="7" t="s">
        <v>45</v>
      </c>
      <c r="AC327" s="7"/>
      <c r="AD327" s="11"/>
      <c r="AE327" s="11"/>
      <c r="AF327" s="11"/>
      <c r="AG327" s="10">
        <f t="shared" si="5"/>
        <v>43320</v>
      </c>
    </row>
    <row r="328" spans="1:33">
      <c r="A328" s="7" t="s">
        <v>1841</v>
      </c>
      <c r="B328" s="7" t="s">
        <v>1841</v>
      </c>
      <c r="C328" s="7" t="s">
        <v>1842</v>
      </c>
      <c r="D328" s="7" t="s">
        <v>1843</v>
      </c>
      <c r="E328" s="7" t="s">
        <v>49</v>
      </c>
      <c r="F328" s="7" t="s">
        <v>34</v>
      </c>
      <c r="G328" s="7" t="s">
        <v>35</v>
      </c>
      <c r="H328" s="7"/>
      <c r="I328" s="7"/>
      <c r="J328" s="7" t="s">
        <v>50</v>
      </c>
      <c r="K328" s="7" t="s">
        <v>60</v>
      </c>
      <c r="L328" s="7" t="s">
        <v>61</v>
      </c>
      <c r="M328" s="7" t="s">
        <v>62</v>
      </c>
      <c r="N328" s="7" t="s">
        <v>49</v>
      </c>
      <c r="O328" s="7">
        <v>1</v>
      </c>
      <c r="P328" s="7" t="s">
        <v>41</v>
      </c>
      <c r="Q328" s="7">
        <v>21.99</v>
      </c>
      <c r="R328" s="7"/>
      <c r="S328" s="7"/>
      <c r="T328" s="7"/>
      <c r="U328" s="7"/>
      <c r="V328" s="7"/>
      <c r="W328" s="7">
        <v>21.77</v>
      </c>
      <c r="X328" s="7"/>
      <c r="Y328" s="7" t="s">
        <v>1844</v>
      </c>
      <c r="Z328" s="7" t="s">
        <v>1845</v>
      </c>
      <c r="AA328" s="7">
        <v>72956</v>
      </c>
      <c r="AB328" s="7" t="s">
        <v>45</v>
      </c>
      <c r="AC328" s="7" t="s">
        <v>66</v>
      </c>
      <c r="AD328" s="11"/>
      <c r="AE328" s="11"/>
      <c r="AF328" s="11"/>
      <c r="AG328" s="10">
        <f t="shared" si="5"/>
        <v>43320</v>
      </c>
    </row>
    <row r="329" spans="1:33">
      <c r="A329" s="7" t="s">
        <v>1846</v>
      </c>
      <c r="B329" s="7" t="s">
        <v>1846</v>
      </c>
      <c r="C329" s="7" t="s">
        <v>1847</v>
      </c>
      <c r="D329" s="7" t="s">
        <v>1848</v>
      </c>
      <c r="E329" s="7" t="s">
        <v>49</v>
      </c>
      <c r="F329" s="7" t="s">
        <v>34</v>
      </c>
      <c r="G329" s="7" t="s">
        <v>35</v>
      </c>
      <c r="H329" s="7"/>
      <c r="I329" s="7"/>
      <c r="J329" s="7" t="s">
        <v>50</v>
      </c>
      <c r="K329" s="7" t="s">
        <v>611</v>
      </c>
      <c r="L329" s="7" t="s">
        <v>612</v>
      </c>
      <c r="M329" s="7" t="s">
        <v>613</v>
      </c>
      <c r="N329" s="7" t="s">
        <v>49</v>
      </c>
      <c r="O329" s="7">
        <v>1</v>
      </c>
      <c r="P329" s="7" t="s">
        <v>41</v>
      </c>
      <c r="Q329" s="7">
        <v>89.99</v>
      </c>
      <c r="R329" s="7"/>
      <c r="S329" s="7"/>
      <c r="T329" s="7"/>
      <c r="U329" s="7"/>
      <c r="V329" s="7"/>
      <c r="W329" s="7"/>
      <c r="X329" s="7"/>
      <c r="Y329" s="7" t="s">
        <v>1849</v>
      </c>
      <c r="Z329" s="7" t="s">
        <v>346</v>
      </c>
      <c r="AA329" s="7" t="s">
        <v>1850</v>
      </c>
      <c r="AB329" s="7" t="s">
        <v>45</v>
      </c>
      <c r="AC329" s="7"/>
      <c r="AD329" s="8"/>
      <c r="AE329" s="8"/>
      <c r="AF329" s="8"/>
      <c r="AG329" s="10">
        <f t="shared" si="5"/>
        <v>43320</v>
      </c>
    </row>
    <row r="330" spans="1:33">
      <c r="A330" s="7" t="s">
        <v>1846</v>
      </c>
      <c r="B330" s="7" t="s">
        <v>1846</v>
      </c>
      <c r="C330" s="7" t="s">
        <v>1847</v>
      </c>
      <c r="D330" s="7" t="s">
        <v>1848</v>
      </c>
      <c r="E330" s="7" t="s">
        <v>49</v>
      </c>
      <c r="F330" s="7" t="s">
        <v>34</v>
      </c>
      <c r="G330" s="7" t="s">
        <v>35</v>
      </c>
      <c r="H330" s="7"/>
      <c r="I330" s="7"/>
      <c r="J330" s="7" t="s">
        <v>50</v>
      </c>
      <c r="K330" s="7" t="s">
        <v>745</v>
      </c>
      <c r="L330" s="7" t="s">
        <v>746</v>
      </c>
      <c r="M330" s="7" t="s">
        <v>747</v>
      </c>
      <c r="N330" s="7" t="s">
        <v>49</v>
      </c>
      <c r="O330" s="7">
        <v>1</v>
      </c>
      <c r="P330" s="7" t="s">
        <v>41</v>
      </c>
      <c r="Q330" s="7">
        <v>89.99</v>
      </c>
      <c r="R330" s="7"/>
      <c r="S330" s="7"/>
      <c r="T330" s="7"/>
      <c r="U330" s="7"/>
      <c r="V330" s="7"/>
      <c r="W330" s="7"/>
      <c r="X330" s="7"/>
      <c r="Y330" s="7" t="s">
        <v>1849</v>
      </c>
      <c r="Z330" s="7" t="s">
        <v>346</v>
      </c>
      <c r="AA330" s="7" t="s">
        <v>1850</v>
      </c>
      <c r="AB330" s="7" t="s">
        <v>45</v>
      </c>
      <c r="AC330" s="7"/>
      <c r="AD330" s="11"/>
      <c r="AE330" s="11"/>
      <c r="AF330" s="11"/>
      <c r="AG330" s="10">
        <f t="shared" si="5"/>
        <v>43320</v>
      </c>
    </row>
    <row r="331" spans="1:33">
      <c r="A331" s="7" t="s">
        <v>1851</v>
      </c>
      <c r="B331" s="7" t="s">
        <v>1851</v>
      </c>
      <c r="C331" s="7" t="s">
        <v>1852</v>
      </c>
      <c r="D331" s="7" t="s">
        <v>1853</v>
      </c>
      <c r="E331" s="7" t="s">
        <v>49</v>
      </c>
      <c r="F331" s="7" t="s">
        <v>34</v>
      </c>
      <c r="G331" s="7" t="s">
        <v>35</v>
      </c>
      <c r="H331" s="7"/>
      <c r="I331" s="7"/>
      <c r="J331" s="7" t="s">
        <v>50</v>
      </c>
      <c r="K331" s="7" t="s">
        <v>276</v>
      </c>
      <c r="L331" s="7" t="s">
        <v>277</v>
      </c>
      <c r="M331" s="7" t="s">
        <v>278</v>
      </c>
      <c r="N331" s="7" t="s">
        <v>49</v>
      </c>
      <c r="O331" s="7">
        <v>1</v>
      </c>
      <c r="P331" s="7" t="s">
        <v>41</v>
      </c>
      <c r="Q331" s="7">
        <v>91.99</v>
      </c>
      <c r="R331" s="7"/>
      <c r="S331" s="7"/>
      <c r="T331" s="7"/>
      <c r="U331" s="7"/>
      <c r="V331" s="7"/>
      <c r="W331" s="7"/>
      <c r="X331" s="7"/>
      <c r="Y331" s="7" t="s">
        <v>265</v>
      </c>
      <c r="Z331" s="7" t="s">
        <v>266</v>
      </c>
      <c r="AA331" s="7" t="s">
        <v>1854</v>
      </c>
      <c r="AB331" s="7" t="s">
        <v>45</v>
      </c>
      <c r="AC331" s="7"/>
      <c r="AD331" s="11"/>
      <c r="AE331" s="11"/>
      <c r="AF331" s="11"/>
      <c r="AG331" s="10">
        <f t="shared" si="5"/>
        <v>43320</v>
      </c>
    </row>
    <row r="332" spans="1:33">
      <c r="A332" s="7" t="s">
        <v>1855</v>
      </c>
      <c r="B332" s="7" t="s">
        <v>1855</v>
      </c>
      <c r="C332" s="7" t="s">
        <v>1856</v>
      </c>
      <c r="D332" s="7" t="s">
        <v>1857</v>
      </c>
      <c r="E332" s="7" t="s">
        <v>49</v>
      </c>
      <c r="F332" s="7" t="s">
        <v>34</v>
      </c>
      <c r="G332" s="7" t="s">
        <v>35</v>
      </c>
      <c r="H332" s="7"/>
      <c r="I332" s="7"/>
      <c r="J332" s="7" t="s">
        <v>50</v>
      </c>
      <c r="K332" s="7" t="s">
        <v>248</v>
      </c>
      <c r="L332" s="7" t="s">
        <v>249</v>
      </c>
      <c r="M332" s="7" t="s">
        <v>250</v>
      </c>
      <c r="N332" s="7" t="s">
        <v>49</v>
      </c>
      <c r="O332" s="7">
        <v>1</v>
      </c>
      <c r="P332" s="7" t="s">
        <v>41</v>
      </c>
      <c r="Q332" s="7">
        <v>84.99</v>
      </c>
      <c r="R332" s="7"/>
      <c r="S332" s="7"/>
      <c r="T332" s="7"/>
      <c r="U332" s="7"/>
      <c r="V332" s="7"/>
      <c r="W332" s="7"/>
      <c r="X332" s="7"/>
      <c r="Y332" s="7" t="s">
        <v>1858</v>
      </c>
      <c r="Z332" s="7" t="s">
        <v>280</v>
      </c>
      <c r="AA332" s="7" t="s">
        <v>1859</v>
      </c>
      <c r="AB332" s="7" t="s">
        <v>45</v>
      </c>
      <c r="AC332" s="7"/>
      <c r="AD332" s="11"/>
      <c r="AE332" s="11"/>
      <c r="AF332" s="11"/>
      <c r="AG332" s="10">
        <f t="shared" si="5"/>
        <v>43320</v>
      </c>
    </row>
    <row r="333" spans="1:33">
      <c r="A333" s="7" t="s">
        <v>1860</v>
      </c>
      <c r="B333" s="7" t="s">
        <v>1860</v>
      </c>
      <c r="C333" s="7" t="s">
        <v>1861</v>
      </c>
      <c r="D333" s="7" t="s">
        <v>1862</v>
      </c>
      <c r="E333" s="7" t="s">
        <v>33</v>
      </c>
      <c r="F333" s="7" t="s">
        <v>34</v>
      </c>
      <c r="G333" s="7" t="s">
        <v>35</v>
      </c>
      <c r="H333" s="7"/>
      <c r="I333" s="7"/>
      <c r="J333" s="7" t="s">
        <v>50</v>
      </c>
      <c r="K333" s="7" t="s">
        <v>852</v>
      </c>
      <c r="L333" s="7" t="s">
        <v>853</v>
      </c>
      <c r="M333" s="7" t="s">
        <v>854</v>
      </c>
      <c r="N333" s="7" t="s">
        <v>33</v>
      </c>
      <c r="O333" s="7">
        <v>0</v>
      </c>
      <c r="P333" s="7"/>
      <c r="Q333" s="7"/>
      <c r="R333" s="7"/>
      <c r="S333" s="7"/>
      <c r="T333" s="7"/>
      <c r="U333" s="7"/>
      <c r="V333" s="7"/>
      <c r="W333" s="7"/>
      <c r="X333" s="7"/>
      <c r="Y333" s="7" t="s">
        <v>1863</v>
      </c>
      <c r="Z333" s="7" t="s">
        <v>164</v>
      </c>
      <c r="AA333" s="7" t="s">
        <v>1864</v>
      </c>
      <c r="AB333" s="7" t="s">
        <v>45</v>
      </c>
      <c r="AC333" s="7"/>
      <c r="AD333" s="11"/>
      <c r="AE333" s="11"/>
      <c r="AF333" s="11"/>
      <c r="AG333" s="10">
        <f t="shared" si="5"/>
        <v>43320</v>
      </c>
    </row>
    <row r="334" spans="1:33">
      <c r="A334" s="7" t="s">
        <v>1865</v>
      </c>
      <c r="B334" s="7" t="s">
        <v>1865</v>
      </c>
      <c r="C334" s="7" t="s">
        <v>1866</v>
      </c>
      <c r="D334" s="7" t="s">
        <v>1867</v>
      </c>
      <c r="E334" s="7" t="s">
        <v>49</v>
      </c>
      <c r="F334" s="7" t="s">
        <v>34</v>
      </c>
      <c r="G334" s="7" t="s">
        <v>35</v>
      </c>
      <c r="H334" s="7"/>
      <c r="I334" s="7"/>
      <c r="J334" s="7" t="s">
        <v>50</v>
      </c>
      <c r="K334" s="7" t="s">
        <v>70</v>
      </c>
      <c r="L334" s="7" t="s">
        <v>71</v>
      </c>
      <c r="M334" s="7" t="s">
        <v>72</v>
      </c>
      <c r="N334" s="7" t="s">
        <v>49</v>
      </c>
      <c r="O334" s="7">
        <v>1</v>
      </c>
      <c r="P334" s="7" t="s">
        <v>41</v>
      </c>
      <c r="Q334" s="7">
        <v>96.99</v>
      </c>
      <c r="R334" s="7"/>
      <c r="S334" s="7"/>
      <c r="T334" s="7"/>
      <c r="U334" s="7"/>
      <c r="V334" s="7"/>
      <c r="W334" s="7"/>
      <c r="X334" s="7"/>
      <c r="Y334" s="7" t="s">
        <v>1868</v>
      </c>
      <c r="Z334" s="7" t="s">
        <v>109</v>
      </c>
      <c r="AA334" s="7" t="s">
        <v>1869</v>
      </c>
      <c r="AB334" s="7" t="s">
        <v>45</v>
      </c>
      <c r="AC334" s="7"/>
      <c r="AD334" s="11"/>
      <c r="AE334" s="11"/>
      <c r="AF334" s="11"/>
      <c r="AG334" s="10">
        <f t="shared" si="5"/>
        <v>43320</v>
      </c>
    </row>
    <row r="335" spans="1:33">
      <c r="A335" s="7" t="s">
        <v>1870</v>
      </c>
      <c r="B335" s="7" t="s">
        <v>1870</v>
      </c>
      <c r="C335" s="7" t="s">
        <v>1871</v>
      </c>
      <c r="D335" s="7" t="s">
        <v>1872</v>
      </c>
      <c r="E335" s="7" t="s">
        <v>49</v>
      </c>
      <c r="F335" s="7" t="s">
        <v>34</v>
      </c>
      <c r="G335" s="7" t="s">
        <v>35</v>
      </c>
      <c r="H335" s="7"/>
      <c r="I335" s="7"/>
      <c r="J335" s="7" t="s">
        <v>36</v>
      </c>
      <c r="K335" s="7" t="s">
        <v>70</v>
      </c>
      <c r="L335" s="7" t="s">
        <v>71</v>
      </c>
      <c r="M335" s="7" t="s">
        <v>72</v>
      </c>
      <c r="N335" s="7" t="s">
        <v>49</v>
      </c>
      <c r="O335" s="7">
        <v>2</v>
      </c>
      <c r="P335" s="7" t="s">
        <v>41</v>
      </c>
      <c r="Q335" s="7">
        <v>193.98</v>
      </c>
      <c r="R335" s="7"/>
      <c r="S335" s="7">
        <v>9.3</v>
      </c>
      <c r="T335" s="7"/>
      <c r="U335" s="7"/>
      <c r="V335" s="7"/>
      <c r="W335" s="7"/>
      <c r="X335" s="7">
        <v>9.3</v>
      </c>
      <c r="Y335" s="7" t="s">
        <v>308</v>
      </c>
      <c r="Z335" s="7" t="s">
        <v>221</v>
      </c>
      <c r="AA335" s="7" t="s">
        <v>1873</v>
      </c>
      <c r="AB335" s="7" t="s">
        <v>45</v>
      </c>
      <c r="AC335" s="7" t="s">
        <v>549</v>
      </c>
      <c r="AD335" s="11"/>
      <c r="AE335" s="11"/>
      <c r="AF335" s="11"/>
      <c r="AG335" s="10">
        <f t="shared" si="5"/>
        <v>43320</v>
      </c>
    </row>
    <row r="336" spans="1:33">
      <c r="A336" s="7" t="s">
        <v>1874</v>
      </c>
      <c r="B336" s="7" t="s">
        <v>1874</v>
      </c>
      <c r="C336" s="7" t="s">
        <v>1875</v>
      </c>
      <c r="D336" s="7" t="s">
        <v>1876</v>
      </c>
      <c r="E336" s="7" t="s">
        <v>33</v>
      </c>
      <c r="F336" s="7" t="s">
        <v>34</v>
      </c>
      <c r="G336" s="7" t="s">
        <v>35</v>
      </c>
      <c r="H336" s="7"/>
      <c r="I336" s="7"/>
      <c r="J336" s="7" t="s">
        <v>36</v>
      </c>
      <c r="K336" s="7" t="s">
        <v>327</v>
      </c>
      <c r="L336" s="7" t="s">
        <v>328</v>
      </c>
      <c r="M336" s="7" t="s">
        <v>329</v>
      </c>
      <c r="N336" s="7" t="s">
        <v>33</v>
      </c>
      <c r="O336" s="7">
        <v>0</v>
      </c>
      <c r="P336" s="7"/>
      <c r="Q336" s="7"/>
      <c r="R336" s="7"/>
      <c r="S336" s="7"/>
      <c r="T336" s="7"/>
      <c r="U336" s="7"/>
      <c r="V336" s="7"/>
      <c r="W336" s="7"/>
      <c r="X336" s="7"/>
      <c r="Y336" s="7" t="s">
        <v>1877</v>
      </c>
      <c r="Z336" s="7" t="s">
        <v>43</v>
      </c>
      <c r="AA336" s="7">
        <v>8360</v>
      </c>
      <c r="AB336" s="7" t="s">
        <v>45</v>
      </c>
      <c r="AC336" s="7"/>
      <c r="AD336" s="11"/>
      <c r="AE336" s="11"/>
      <c r="AF336" s="11"/>
      <c r="AG336" s="10">
        <f t="shared" si="5"/>
        <v>43320</v>
      </c>
    </row>
    <row r="337" spans="1:33">
      <c r="A337" s="7" t="s">
        <v>1878</v>
      </c>
      <c r="B337" s="7" t="s">
        <v>1878</v>
      </c>
      <c r="C337" s="7" t="s">
        <v>1879</v>
      </c>
      <c r="D337" s="7" t="s">
        <v>1880</v>
      </c>
      <c r="E337" s="7" t="s">
        <v>49</v>
      </c>
      <c r="F337" s="7" t="s">
        <v>34</v>
      </c>
      <c r="G337" s="7" t="s">
        <v>35</v>
      </c>
      <c r="H337" s="7"/>
      <c r="I337" s="7"/>
      <c r="J337" s="7" t="s">
        <v>50</v>
      </c>
      <c r="K337" s="7" t="s">
        <v>828</v>
      </c>
      <c r="L337" s="7" t="s">
        <v>829</v>
      </c>
      <c r="M337" s="7" t="s">
        <v>830</v>
      </c>
      <c r="N337" s="7" t="s">
        <v>49</v>
      </c>
      <c r="O337" s="7">
        <v>1</v>
      </c>
      <c r="P337" s="7" t="s">
        <v>41</v>
      </c>
      <c r="Q337" s="7">
        <v>59.99</v>
      </c>
      <c r="R337" s="7"/>
      <c r="S337" s="7"/>
      <c r="T337" s="7"/>
      <c r="U337" s="7"/>
      <c r="V337" s="7"/>
      <c r="W337" s="7"/>
      <c r="X337" s="7"/>
      <c r="Y337" s="7" t="s">
        <v>1881</v>
      </c>
      <c r="Z337" s="7" t="s">
        <v>92</v>
      </c>
      <c r="AA337" s="7" t="s">
        <v>1882</v>
      </c>
      <c r="AB337" s="7" t="s">
        <v>45</v>
      </c>
      <c r="AC337" s="7"/>
      <c r="AD337" s="11"/>
      <c r="AE337" s="11"/>
      <c r="AF337" s="11"/>
      <c r="AG337" s="10">
        <f t="shared" si="5"/>
        <v>43320</v>
      </c>
    </row>
    <row r="338" spans="1:33">
      <c r="A338" s="7" t="s">
        <v>1883</v>
      </c>
      <c r="B338" s="7" t="s">
        <v>1883</v>
      </c>
      <c r="C338" s="7" t="s">
        <v>1884</v>
      </c>
      <c r="D338" s="7" t="s">
        <v>1885</v>
      </c>
      <c r="E338" s="7" t="s">
        <v>33</v>
      </c>
      <c r="F338" s="7" t="s">
        <v>34</v>
      </c>
      <c r="G338" s="7" t="s">
        <v>35</v>
      </c>
      <c r="H338" s="7"/>
      <c r="I338" s="7"/>
      <c r="J338" s="7" t="s">
        <v>36</v>
      </c>
      <c r="K338" s="7" t="s">
        <v>409</v>
      </c>
      <c r="L338" s="7" t="s">
        <v>410</v>
      </c>
      <c r="M338" s="7" t="s">
        <v>411</v>
      </c>
      <c r="N338" s="7" t="s">
        <v>40</v>
      </c>
      <c r="O338" s="7">
        <v>1</v>
      </c>
      <c r="P338" s="7" t="s">
        <v>41</v>
      </c>
      <c r="Q338" s="7">
        <v>99.99</v>
      </c>
      <c r="R338" s="7"/>
      <c r="S338" s="7"/>
      <c r="T338" s="7"/>
      <c r="U338" s="7"/>
      <c r="V338" s="7"/>
      <c r="W338" s="7"/>
      <c r="X338" s="7"/>
      <c r="Y338" s="7" t="s">
        <v>1886</v>
      </c>
      <c r="Z338" s="7" t="s">
        <v>1887</v>
      </c>
      <c r="AA338" s="7" t="s">
        <v>1888</v>
      </c>
      <c r="AB338" s="7" t="s">
        <v>45</v>
      </c>
      <c r="AC338" s="7"/>
      <c r="AD338" s="11"/>
      <c r="AE338" s="11"/>
      <c r="AF338" s="11"/>
      <c r="AG338" s="10">
        <f t="shared" si="5"/>
        <v>43320</v>
      </c>
    </row>
    <row r="339" spans="1:33">
      <c r="A339" s="7" t="s">
        <v>1889</v>
      </c>
      <c r="B339" s="7" t="s">
        <v>1889</v>
      </c>
      <c r="C339" s="7" t="s">
        <v>1890</v>
      </c>
      <c r="D339" s="7" t="s">
        <v>1891</v>
      </c>
      <c r="E339" s="7" t="s">
        <v>33</v>
      </c>
      <c r="F339" s="7" t="s">
        <v>34</v>
      </c>
      <c r="G339" s="7" t="s">
        <v>35</v>
      </c>
      <c r="H339" s="7"/>
      <c r="I339" s="7"/>
      <c r="J339" s="7" t="s">
        <v>50</v>
      </c>
      <c r="K339" s="7" t="s">
        <v>37</v>
      </c>
      <c r="L339" s="7" t="s">
        <v>38</v>
      </c>
      <c r="M339" s="7" t="s">
        <v>39</v>
      </c>
      <c r="N339" s="7" t="s">
        <v>40</v>
      </c>
      <c r="O339" s="7">
        <v>1</v>
      </c>
      <c r="P339" s="7" t="s">
        <v>41</v>
      </c>
      <c r="Q339" s="7">
        <v>89.99</v>
      </c>
      <c r="R339" s="7"/>
      <c r="S339" s="7"/>
      <c r="T339" s="7"/>
      <c r="U339" s="7"/>
      <c r="V339" s="7"/>
      <c r="W339" s="7"/>
      <c r="X339" s="7"/>
      <c r="Y339" s="7" t="s">
        <v>1892</v>
      </c>
      <c r="Z339" s="7" t="s">
        <v>1893</v>
      </c>
      <c r="AA339" s="7" t="s">
        <v>1894</v>
      </c>
      <c r="AB339" s="7" t="s">
        <v>45</v>
      </c>
      <c r="AC339" s="7"/>
      <c r="AD339" s="11"/>
      <c r="AE339" s="11"/>
      <c r="AF339" s="11"/>
      <c r="AG339" s="10">
        <f t="shared" si="5"/>
        <v>43320</v>
      </c>
    </row>
    <row r="340" spans="1:33">
      <c r="A340" s="7" t="s">
        <v>1895</v>
      </c>
      <c r="B340" s="7" t="s">
        <v>1895</v>
      </c>
      <c r="C340" s="7" t="s">
        <v>1896</v>
      </c>
      <c r="D340" s="7" t="s">
        <v>1897</v>
      </c>
      <c r="E340" s="7" t="s">
        <v>49</v>
      </c>
      <c r="F340" s="7" t="s">
        <v>34</v>
      </c>
      <c r="G340" s="7" t="s">
        <v>35</v>
      </c>
      <c r="H340" s="7"/>
      <c r="I340" s="7"/>
      <c r="J340" s="7" t="s">
        <v>50</v>
      </c>
      <c r="K340" s="7" t="s">
        <v>70</v>
      </c>
      <c r="L340" s="7" t="s">
        <v>71</v>
      </c>
      <c r="M340" s="7" t="s">
        <v>72</v>
      </c>
      <c r="N340" s="7" t="s">
        <v>49</v>
      </c>
      <c r="O340" s="7">
        <v>1</v>
      </c>
      <c r="P340" s="7" t="s">
        <v>41</v>
      </c>
      <c r="Q340" s="7">
        <v>96.99</v>
      </c>
      <c r="R340" s="7"/>
      <c r="S340" s="7"/>
      <c r="T340" s="7"/>
      <c r="U340" s="7"/>
      <c r="V340" s="7"/>
      <c r="W340" s="7"/>
      <c r="X340" s="7"/>
      <c r="Y340" s="7" t="s">
        <v>1898</v>
      </c>
      <c r="Z340" s="7" t="s">
        <v>178</v>
      </c>
      <c r="AA340" s="7" t="s">
        <v>1899</v>
      </c>
      <c r="AB340" s="7" t="s">
        <v>45</v>
      </c>
      <c r="AC340" s="7"/>
      <c r="AD340" s="11"/>
      <c r="AE340" s="11"/>
      <c r="AF340" s="11"/>
      <c r="AG340" s="10">
        <f t="shared" si="5"/>
        <v>43320</v>
      </c>
    </row>
    <row r="341" spans="1:33">
      <c r="A341" s="7" t="s">
        <v>1900</v>
      </c>
      <c r="B341" s="7" t="s">
        <v>1900</v>
      </c>
      <c r="C341" s="7" t="s">
        <v>1901</v>
      </c>
      <c r="D341" s="7" t="s">
        <v>1902</v>
      </c>
      <c r="E341" s="7" t="s">
        <v>49</v>
      </c>
      <c r="F341" s="7" t="s">
        <v>34</v>
      </c>
      <c r="G341" s="7" t="s">
        <v>35</v>
      </c>
      <c r="H341" s="7"/>
      <c r="I341" s="7"/>
      <c r="J341" s="7" t="s">
        <v>50</v>
      </c>
      <c r="K341" s="7" t="s">
        <v>1436</v>
      </c>
      <c r="L341" s="7" t="s">
        <v>1437</v>
      </c>
      <c r="M341" s="7" t="s">
        <v>1438</v>
      </c>
      <c r="N341" s="7" t="s">
        <v>49</v>
      </c>
      <c r="O341" s="7">
        <v>1</v>
      </c>
      <c r="P341" s="7" t="s">
        <v>41</v>
      </c>
      <c r="Q341" s="7">
        <v>89.99</v>
      </c>
      <c r="R341" s="7"/>
      <c r="S341" s="7">
        <v>14.38</v>
      </c>
      <c r="T341" s="7"/>
      <c r="U341" s="7"/>
      <c r="V341" s="7"/>
      <c r="W341" s="7"/>
      <c r="X341" s="7"/>
      <c r="Y341" s="7" t="s">
        <v>1903</v>
      </c>
      <c r="Z341" s="7" t="s">
        <v>266</v>
      </c>
      <c r="AA341" s="7" t="s">
        <v>1904</v>
      </c>
      <c r="AB341" s="7" t="s">
        <v>45</v>
      </c>
      <c r="AC341" s="7"/>
      <c r="AD341" s="11"/>
      <c r="AE341" s="11"/>
      <c r="AF341" s="11"/>
      <c r="AG341" s="10">
        <f t="shared" si="5"/>
        <v>43320</v>
      </c>
    </row>
    <row r="342" spans="1:33">
      <c r="A342" s="7" t="s">
        <v>1905</v>
      </c>
      <c r="B342" s="7" t="s">
        <v>1905</v>
      </c>
      <c r="C342" s="7" t="s">
        <v>1906</v>
      </c>
      <c r="D342" s="7" t="s">
        <v>1907</v>
      </c>
      <c r="E342" s="7" t="s">
        <v>49</v>
      </c>
      <c r="F342" s="7" t="s">
        <v>34</v>
      </c>
      <c r="G342" s="7" t="s">
        <v>35</v>
      </c>
      <c r="H342" s="7"/>
      <c r="I342" s="7"/>
      <c r="J342" s="7" t="s">
        <v>50</v>
      </c>
      <c r="K342" s="7" t="s">
        <v>692</v>
      </c>
      <c r="L342" s="7" t="s">
        <v>693</v>
      </c>
      <c r="M342" s="7" t="s">
        <v>694</v>
      </c>
      <c r="N342" s="7" t="s">
        <v>49</v>
      </c>
      <c r="O342" s="7">
        <v>1</v>
      </c>
      <c r="P342" s="7" t="s">
        <v>41</v>
      </c>
      <c r="Q342" s="7">
        <v>79.99</v>
      </c>
      <c r="R342" s="7"/>
      <c r="S342" s="7"/>
      <c r="T342" s="7"/>
      <c r="U342" s="7"/>
      <c r="V342" s="7"/>
      <c r="W342" s="7"/>
      <c r="X342" s="7"/>
      <c r="Y342" s="7" t="s">
        <v>1908</v>
      </c>
      <c r="Z342" s="7" t="s">
        <v>109</v>
      </c>
      <c r="AA342" s="7" t="s">
        <v>1909</v>
      </c>
      <c r="AB342" s="7" t="s">
        <v>45</v>
      </c>
      <c r="AC342" s="7"/>
      <c r="AD342" s="11"/>
      <c r="AE342" s="11"/>
      <c r="AF342" s="11"/>
      <c r="AG342" s="10">
        <f t="shared" si="5"/>
        <v>43320</v>
      </c>
    </row>
    <row r="343" spans="1:33">
      <c r="A343" s="7" t="s">
        <v>1910</v>
      </c>
      <c r="B343" s="7" t="s">
        <v>1910</v>
      </c>
      <c r="C343" s="7" t="s">
        <v>1911</v>
      </c>
      <c r="D343" s="7" t="s">
        <v>1912</v>
      </c>
      <c r="E343" s="7" t="s">
        <v>49</v>
      </c>
      <c r="F343" s="7" t="s">
        <v>34</v>
      </c>
      <c r="G343" s="7" t="s">
        <v>35</v>
      </c>
      <c r="H343" s="7"/>
      <c r="I343" s="7"/>
      <c r="J343" s="7" t="s">
        <v>50</v>
      </c>
      <c r="K343" s="7" t="s">
        <v>152</v>
      </c>
      <c r="L343" s="7" t="s">
        <v>153</v>
      </c>
      <c r="M343" s="7" t="s">
        <v>154</v>
      </c>
      <c r="N343" s="7" t="s">
        <v>49</v>
      </c>
      <c r="O343" s="7">
        <v>1</v>
      </c>
      <c r="P343" s="7" t="s">
        <v>41</v>
      </c>
      <c r="Q343" s="7">
        <v>79.99</v>
      </c>
      <c r="R343" s="7"/>
      <c r="S343" s="7"/>
      <c r="T343" s="7"/>
      <c r="U343" s="7"/>
      <c r="V343" s="7"/>
      <c r="W343" s="7"/>
      <c r="X343" s="7"/>
      <c r="Y343" s="7" t="s">
        <v>1913</v>
      </c>
      <c r="Z343" s="7" t="s">
        <v>1914</v>
      </c>
      <c r="AA343" s="7">
        <v>44904</v>
      </c>
      <c r="AB343" s="7" t="s">
        <v>45</v>
      </c>
      <c r="AC343" s="7"/>
      <c r="AD343" s="11"/>
      <c r="AE343" s="11"/>
      <c r="AF343" s="11"/>
      <c r="AG343" s="10">
        <f t="shared" si="5"/>
        <v>43320</v>
      </c>
    </row>
    <row r="344" spans="1:33">
      <c r="A344" s="7" t="s">
        <v>1915</v>
      </c>
      <c r="B344" s="7" t="s">
        <v>1915</v>
      </c>
      <c r="C344" s="7" t="s">
        <v>1916</v>
      </c>
      <c r="D344" s="7" t="s">
        <v>1917</v>
      </c>
      <c r="E344" s="7" t="s">
        <v>49</v>
      </c>
      <c r="F344" s="7" t="s">
        <v>34</v>
      </c>
      <c r="G344" s="7" t="s">
        <v>35</v>
      </c>
      <c r="H344" s="7"/>
      <c r="I344" s="7"/>
      <c r="J344" s="7" t="s">
        <v>50</v>
      </c>
      <c r="K344" s="7" t="s">
        <v>276</v>
      </c>
      <c r="L344" s="7" t="s">
        <v>277</v>
      </c>
      <c r="M344" s="7" t="s">
        <v>278</v>
      </c>
      <c r="N344" s="7" t="s">
        <v>49</v>
      </c>
      <c r="O344" s="7">
        <v>1</v>
      </c>
      <c r="P344" s="7" t="s">
        <v>41</v>
      </c>
      <c r="Q344" s="7">
        <v>91.99</v>
      </c>
      <c r="R344" s="7"/>
      <c r="S344" s="7"/>
      <c r="T344" s="7"/>
      <c r="U344" s="7">
        <v>4.99</v>
      </c>
      <c r="V344" s="7"/>
      <c r="W344" s="7"/>
      <c r="X344" s="7"/>
      <c r="Y344" s="7" t="s">
        <v>1918</v>
      </c>
      <c r="Z344" s="7" t="s">
        <v>872</v>
      </c>
      <c r="AA344" s="7" t="s">
        <v>1919</v>
      </c>
      <c r="AB344" s="7" t="s">
        <v>45</v>
      </c>
      <c r="AC344" s="7"/>
      <c r="AD344" s="11"/>
      <c r="AE344" s="11"/>
      <c r="AF344" s="11"/>
      <c r="AG344" s="10">
        <f t="shared" si="5"/>
        <v>43320</v>
      </c>
    </row>
    <row r="345" spans="1:33">
      <c r="A345" s="7" t="s">
        <v>1920</v>
      </c>
      <c r="B345" s="7" t="s">
        <v>1920</v>
      </c>
      <c r="C345" s="7" t="s">
        <v>1921</v>
      </c>
      <c r="D345" s="7" t="s">
        <v>1922</v>
      </c>
      <c r="E345" s="7" t="s">
        <v>49</v>
      </c>
      <c r="F345" s="7" t="s">
        <v>34</v>
      </c>
      <c r="G345" s="7" t="s">
        <v>35</v>
      </c>
      <c r="H345" s="7"/>
      <c r="I345" s="7"/>
      <c r="J345" s="7" t="s">
        <v>36</v>
      </c>
      <c r="K345" s="7" t="s">
        <v>779</v>
      </c>
      <c r="L345" s="7" t="s">
        <v>780</v>
      </c>
      <c r="M345" s="7" t="s">
        <v>781</v>
      </c>
      <c r="N345" s="7" t="s">
        <v>49</v>
      </c>
      <c r="O345" s="7">
        <v>1</v>
      </c>
      <c r="P345" s="7" t="s">
        <v>41</v>
      </c>
      <c r="Q345" s="7">
        <v>21.99</v>
      </c>
      <c r="R345" s="7"/>
      <c r="S345" s="7">
        <v>5.99</v>
      </c>
      <c r="T345" s="7"/>
      <c r="U345" s="7"/>
      <c r="V345" s="7"/>
      <c r="W345" s="7">
        <v>21.77</v>
      </c>
      <c r="X345" s="7"/>
      <c r="Y345" s="7" t="s">
        <v>1923</v>
      </c>
      <c r="Z345" s="7" t="s">
        <v>184</v>
      </c>
      <c r="AA345" s="7" t="s">
        <v>1924</v>
      </c>
      <c r="AB345" s="7" t="s">
        <v>45</v>
      </c>
      <c r="AC345" s="7" t="s">
        <v>66</v>
      </c>
      <c r="AD345" s="11"/>
      <c r="AE345" s="11"/>
      <c r="AF345" s="11"/>
      <c r="AG345" s="10">
        <f t="shared" si="5"/>
        <v>43320</v>
      </c>
    </row>
    <row r="346" spans="1:33">
      <c r="A346" s="7" t="s">
        <v>1925</v>
      </c>
      <c r="B346" s="7" t="s">
        <v>1925</v>
      </c>
      <c r="C346" s="7" t="s">
        <v>1926</v>
      </c>
      <c r="D346" s="7" t="s">
        <v>1927</v>
      </c>
      <c r="E346" s="7" t="s">
        <v>49</v>
      </c>
      <c r="F346" s="7" t="s">
        <v>34</v>
      </c>
      <c r="G346" s="7" t="s">
        <v>35</v>
      </c>
      <c r="H346" s="7"/>
      <c r="I346" s="7"/>
      <c r="J346" s="7" t="s">
        <v>326</v>
      </c>
      <c r="K346" s="7" t="s">
        <v>494</v>
      </c>
      <c r="L346" s="7" t="s">
        <v>495</v>
      </c>
      <c r="M346" s="7" t="s">
        <v>496</v>
      </c>
      <c r="N346" s="7" t="s">
        <v>49</v>
      </c>
      <c r="O346" s="7">
        <v>1</v>
      </c>
      <c r="P346" s="7" t="s">
        <v>41</v>
      </c>
      <c r="Q346" s="7">
        <v>99.99</v>
      </c>
      <c r="R346" s="7"/>
      <c r="S346" s="7"/>
      <c r="T346" s="7"/>
      <c r="U346" s="7"/>
      <c r="V346" s="7"/>
      <c r="W346" s="7"/>
      <c r="X346" s="7"/>
      <c r="Y346" s="7" t="s">
        <v>1928</v>
      </c>
      <c r="Z346" s="7" t="s">
        <v>1560</v>
      </c>
      <c r="AA346" s="7">
        <v>93444</v>
      </c>
      <c r="AB346" s="7" t="s">
        <v>45</v>
      </c>
      <c r="AC346" s="7"/>
      <c r="AD346" s="11"/>
      <c r="AE346" s="11"/>
      <c r="AF346" s="11"/>
      <c r="AG346" s="10">
        <f t="shared" si="5"/>
        <v>43320</v>
      </c>
    </row>
    <row r="347" spans="1:33">
      <c r="A347" s="7" t="s">
        <v>1929</v>
      </c>
      <c r="B347" s="7" t="s">
        <v>1929</v>
      </c>
      <c r="C347" s="7" t="s">
        <v>1930</v>
      </c>
      <c r="D347" s="7" t="s">
        <v>1931</v>
      </c>
      <c r="E347" s="7" t="s">
        <v>49</v>
      </c>
      <c r="F347" s="7" t="s">
        <v>34</v>
      </c>
      <c r="G347" s="7" t="s">
        <v>35</v>
      </c>
      <c r="H347" s="7"/>
      <c r="I347" s="7"/>
      <c r="J347" s="7" t="s">
        <v>50</v>
      </c>
      <c r="K347" s="7" t="s">
        <v>327</v>
      </c>
      <c r="L347" s="7" t="s">
        <v>328</v>
      </c>
      <c r="M347" s="7" t="s">
        <v>329</v>
      </c>
      <c r="N347" s="7" t="s">
        <v>49</v>
      </c>
      <c r="O347" s="7">
        <v>1</v>
      </c>
      <c r="P347" s="7" t="s">
        <v>41</v>
      </c>
      <c r="Q347" s="7">
        <v>89.99</v>
      </c>
      <c r="R347" s="7"/>
      <c r="S347" s="7">
        <v>15.94</v>
      </c>
      <c r="T347" s="7"/>
      <c r="U347" s="7"/>
      <c r="V347" s="7"/>
      <c r="W347" s="7"/>
      <c r="X347" s="7"/>
      <c r="Y347" s="7" t="s">
        <v>1932</v>
      </c>
      <c r="Z347" s="7" t="s">
        <v>1108</v>
      </c>
      <c r="AA347" s="7">
        <v>20120</v>
      </c>
      <c r="AB347" s="7" t="s">
        <v>45</v>
      </c>
      <c r="AC347" s="7"/>
      <c r="AD347" s="11"/>
      <c r="AE347" s="11"/>
      <c r="AF347" s="11"/>
      <c r="AG347" s="10">
        <f t="shared" si="5"/>
        <v>43320</v>
      </c>
    </row>
    <row r="348" spans="1:33">
      <c r="A348" s="7" t="s">
        <v>1933</v>
      </c>
      <c r="B348" s="7" t="s">
        <v>1933</v>
      </c>
      <c r="C348" s="7" t="s">
        <v>1934</v>
      </c>
      <c r="D348" s="7" t="s">
        <v>1935</v>
      </c>
      <c r="E348" s="7" t="s">
        <v>49</v>
      </c>
      <c r="F348" s="7" t="s">
        <v>34</v>
      </c>
      <c r="G348" s="7" t="s">
        <v>35</v>
      </c>
      <c r="H348" s="7"/>
      <c r="I348" s="7"/>
      <c r="J348" s="7" t="s">
        <v>50</v>
      </c>
      <c r="K348" s="7" t="s">
        <v>1307</v>
      </c>
      <c r="L348" s="7" t="s">
        <v>1308</v>
      </c>
      <c r="M348" s="7" t="s">
        <v>1309</v>
      </c>
      <c r="N348" s="7" t="s">
        <v>49</v>
      </c>
      <c r="O348" s="7">
        <v>1</v>
      </c>
      <c r="P348" s="7" t="s">
        <v>41</v>
      </c>
      <c r="Q348" s="7">
        <v>99.6</v>
      </c>
      <c r="R348" s="7"/>
      <c r="S348" s="7"/>
      <c r="T348" s="7"/>
      <c r="U348" s="7"/>
      <c r="V348" s="7"/>
      <c r="W348" s="7"/>
      <c r="X348" s="7"/>
      <c r="Y348" s="7" t="s">
        <v>1936</v>
      </c>
      <c r="Z348" s="7" t="s">
        <v>1072</v>
      </c>
      <c r="AA348" s="7" t="s">
        <v>1937</v>
      </c>
      <c r="AB348" s="7" t="s">
        <v>45</v>
      </c>
      <c r="AC348" s="7"/>
      <c r="AD348" s="11"/>
      <c r="AE348" s="11"/>
      <c r="AF348" s="11"/>
      <c r="AG348" s="10">
        <f t="shared" si="5"/>
        <v>43320</v>
      </c>
    </row>
    <row r="349" spans="1:33">
      <c r="A349" s="7" t="s">
        <v>1938</v>
      </c>
      <c r="B349" s="7" t="s">
        <v>1938</v>
      </c>
      <c r="C349" s="7" t="s">
        <v>1939</v>
      </c>
      <c r="D349" s="7" t="s">
        <v>1940</v>
      </c>
      <c r="E349" s="7" t="s">
        <v>49</v>
      </c>
      <c r="F349" s="7" t="s">
        <v>34</v>
      </c>
      <c r="G349" s="7" t="s">
        <v>35</v>
      </c>
      <c r="H349" s="7"/>
      <c r="I349" s="7"/>
      <c r="J349" s="7" t="s">
        <v>36</v>
      </c>
      <c r="K349" s="7" t="s">
        <v>745</v>
      </c>
      <c r="L349" s="7" t="s">
        <v>746</v>
      </c>
      <c r="M349" s="7" t="s">
        <v>747</v>
      </c>
      <c r="N349" s="7" t="s">
        <v>49</v>
      </c>
      <c r="O349" s="7">
        <v>1</v>
      </c>
      <c r="P349" s="7" t="s">
        <v>41</v>
      </c>
      <c r="Q349" s="7">
        <v>89.99</v>
      </c>
      <c r="R349" s="7"/>
      <c r="S349" s="7">
        <v>8.37</v>
      </c>
      <c r="T349" s="7"/>
      <c r="U349" s="7"/>
      <c r="V349" s="7"/>
      <c r="W349" s="7"/>
      <c r="X349" s="7"/>
      <c r="Y349" s="7" t="s">
        <v>1941</v>
      </c>
      <c r="Z349" s="7" t="s">
        <v>1381</v>
      </c>
      <c r="AA349" s="7" t="s">
        <v>1942</v>
      </c>
      <c r="AB349" s="7" t="s">
        <v>45</v>
      </c>
      <c r="AC349" s="7"/>
      <c r="AD349" s="11"/>
      <c r="AE349" s="11"/>
      <c r="AF349" s="11"/>
      <c r="AG349" s="10">
        <f t="shared" si="5"/>
        <v>43320</v>
      </c>
    </row>
    <row r="350" spans="1:33">
      <c r="A350" s="7" t="s">
        <v>1943</v>
      </c>
      <c r="B350" s="7" t="s">
        <v>1943</v>
      </c>
      <c r="C350" s="7" t="s">
        <v>1944</v>
      </c>
      <c r="D350" s="7" t="s">
        <v>1945</v>
      </c>
      <c r="E350" s="7" t="s">
        <v>49</v>
      </c>
      <c r="F350" s="7" t="s">
        <v>34</v>
      </c>
      <c r="G350" s="7" t="s">
        <v>35</v>
      </c>
      <c r="H350" s="7"/>
      <c r="I350" s="7"/>
      <c r="J350" s="7" t="s">
        <v>36</v>
      </c>
      <c r="K350" s="7" t="s">
        <v>632</v>
      </c>
      <c r="L350" s="7" t="s">
        <v>633</v>
      </c>
      <c r="M350" s="7" t="s">
        <v>634</v>
      </c>
      <c r="N350" s="7" t="s">
        <v>49</v>
      </c>
      <c r="O350" s="7">
        <v>1</v>
      </c>
      <c r="P350" s="7" t="s">
        <v>41</v>
      </c>
      <c r="Q350" s="7">
        <v>85.99</v>
      </c>
      <c r="R350" s="7"/>
      <c r="S350" s="7"/>
      <c r="T350" s="7"/>
      <c r="U350" s="7"/>
      <c r="V350" s="7"/>
      <c r="W350" s="7"/>
      <c r="X350" s="7"/>
      <c r="Y350" s="7" t="s">
        <v>1946</v>
      </c>
      <c r="Z350" s="7" t="s">
        <v>1947</v>
      </c>
      <c r="AA350" s="7" t="s">
        <v>1948</v>
      </c>
      <c r="AB350" s="7" t="s">
        <v>45</v>
      </c>
      <c r="AC350" s="7"/>
      <c r="AD350" s="11"/>
      <c r="AE350" s="11"/>
      <c r="AF350" s="11"/>
      <c r="AG350" s="10">
        <f t="shared" si="5"/>
        <v>43320</v>
      </c>
    </row>
    <row r="351" spans="1:33">
      <c r="A351" s="7" t="s">
        <v>1949</v>
      </c>
      <c r="B351" s="7" t="s">
        <v>1949</v>
      </c>
      <c r="C351" s="7" t="s">
        <v>1950</v>
      </c>
      <c r="D351" s="7" t="s">
        <v>1951</v>
      </c>
      <c r="E351" s="7" t="s">
        <v>49</v>
      </c>
      <c r="F351" s="7" t="s">
        <v>34</v>
      </c>
      <c r="G351" s="7" t="s">
        <v>35</v>
      </c>
      <c r="H351" s="7"/>
      <c r="I351" s="7"/>
      <c r="J351" s="7" t="s">
        <v>50</v>
      </c>
      <c r="K351" s="7" t="s">
        <v>160</v>
      </c>
      <c r="L351" s="7" t="s">
        <v>161</v>
      </c>
      <c r="M351" s="7" t="s">
        <v>162</v>
      </c>
      <c r="N351" s="7" t="s">
        <v>49</v>
      </c>
      <c r="O351" s="7">
        <v>1</v>
      </c>
      <c r="P351" s="7" t="s">
        <v>41</v>
      </c>
      <c r="Q351" s="7">
        <v>89.99</v>
      </c>
      <c r="R351" s="7"/>
      <c r="S351" s="7"/>
      <c r="T351" s="7"/>
      <c r="U351" s="7"/>
      <c r="V351" s="7"/>
      <c r="W351" s="7"/>
      <c r="X351" s="7"/>
      <c r="Y351" s="7" t="s">
        <v>1952</v>
      </c>
      <c r="Z351" s="7" t="s">
        <v>64</v>
      </c>
      <c r="AA351" s="7" t="s">
        <v>1953</v>
      </c>
      <c r="AB351" s="7" t="s">
        <v>45</v>
      </c>
      <c r="AC351" s="7"/>
      <c r="AD351" s="11"/>
      <c r="AE351" s="11"/>
      <c r="AF351" s="11"/>
      <c r="AG351" s="10">
        <f t="shared" si="5"/>
        <v>43320</v>
      </c>
    </row>
    <row r="352" spans="1:33">
      <c r="A352" s="7" t="s">
        <v>1954</v>
      </c>
      <c r="B352" s="7" t="s">
        <v>1954</v>
      </c>
      <c r="C352" s="7" t="s">
        <v>1955</v>
      </c>
      <c r="D352" s="7" t="s">
        <v>1956</v>
      </c>
      <c r="E352" s="7" t="s">
        <v>49</v>
      </c>
      <c r="F352" s="7" t="s">
        <v>34</v>
      </c>
      <c r="G352" s="7" t="s">
        <v>35</v>
      </c>
      <c r="H352" s="7"/>
      <c r="I352" s="7"/>
      <c r="J352" s="7" t="s">
        <v>50</v>
      </c>
      <c r="K352" s="7" t="s">
        <v>1270</v>
      </c>
      <c r="L352" s="7" t="s">
        <v>1271</v>
      </c>
      <c r="M352" s="7" t="s">
        <v>1272</v>
      </c>
      <c r="N352" s="7" t="s">
        <v>49</v>
      </c>
      <c r="O352" s="7">
        <v>1</v>
      </c>
      <c r="P352" s="7" t="s">
        <v>41</v>
      </c>
      <c r="Q352" s="7">
        <v>23.99</v>
      </c>
      <c r="R352" s="7"/>
      <c r="S352" s="7"/>
      <c r="T352" s="7"/>
      <c r="U352" s="7"/>
      <c r="V352" s="7"/>
      <c r="W352" s="7"/>
      <c r="X352" s="7"/>
      <c r="Y352" s="7" t="s">
        <v>1957</v>
      </c>
      <c r="Z352" s="7" t="s">
        <v>109</v>
      </c>
      <c r="AA352" s="7" t="s">
        <v>1958</v>
      </c>
      <c r="AB352" s="7" t="s">
        <v>45</v>
      </c>
      <c r="AC352" s="7"/>
      <c r="AD352" s="11"/>
      <c r="AE352" s="11"/>
      <c r="AF352" s="11"/>
      <c r="AG352" s="10">
        <f t="shared" si="5"/>
        <v>43320</v>
      </c>
    </row>
    <row r="353" spans="1:33">
      <c r="A353" s="7" t="s">
        <v>1959</v>
      </c>
      <c r="B353" s="7" t="s">
        <v>1959</v>
      </c>
      <c r="C353" s="7" t="s">
        <v>1960</v>
      </c>
      <c r="D353" s="7" t="s">
        <v>1961</v>
      </c>
      <c r="E353" s="7" t="s">
        <v>49</v>
      </c>
      <c r="F353" s="7" t="s">
        <v>34</v>
      </c>
      <c r="G353" s="7" t="s">
        <v>35</v>
      </c>
      <c r="H353" s="7"/>
      <c r="I353" s="7"/>
      <c r="J353" s="7" t="s">
        <v>50</v>
      </c>
      <c r="K353" s="7" t="s">
        <v>70</v>
      </c>
      <c r="L353" s="7" t="s">
        <v>71</v>
      </c>
      <c r="M353" s="7" t="s">
        <v>72</v>
      </c>
      <c r="N353" s="7" t="s">
        <v>49</v>
      </c>
      <c r="O353" s="7">
        <v>1</v>
      </c>
      <c r="P353" s="7" t="s">
        <v>41</v>
      </c>
      <c r="Q353" s="7">
        <v>96.99</v>
      </c>
      <c r="R353" s="7"/>
      <c r="S353" s="7"/>
      <c r="T353" s="7"/>
      <c r="U353" s="7"/>
      <c r="V353" s="7"/>
      <c r="W353" s="7"/>
      <c r="X353" s="7"/>
      <c r="Y353" s="7" t="s">
        <v>336</v>
      </c>
      <c r="Z353" s="7" t="s">
        <v>266</v>
      </c>
      <c r="AA353" s="7" t="s">
        <v>1962</v>
      </c>
      <c r="AB353" s="7" t="s">
        <v>45</v>
      </c>
      <c r="AC353" s="7"/>
      <c r="AD353" s="8"/>
      <c r="AE353" s="8"/>
      <c r="AF353" s="8"/>
      <c r="AG353" s="10">
        <f t="shared" si="5"/>
        <v>43320</v>
      </c>
    </row>
    <row r="354" spans="1:33">
      <c r="A354" s="7" t="s">
        <v>1959</v>
      </c>
      <c r="B354" s="7" t="s">
        <v>1959</v>
      </c>
      <c r="C354" s="7" t="s">
        <v>1960</v>
      </c>
      <c r="D354" s="7" t="s">
        <v>1961</v>
      </c>
      <c r="E354" s="7" t="s">
        <v>49</v>
      </c>
      <c r="F354" s="7" t="s">
        <v>34</v>
      </c>
      <c r="G354" s="7" t="s">
        <v>35</v>
      </c>
      <c r="H354" s="7"/>
      <c r="I354" s="7"/>
      <c r="J354" s="7" t="s">
        <v>50</v>
      </c>
      <c r="K354" s="7" t="s">
        <v>160</v>
      </c>
      <c r="L354" s="7" t="s">
        <v>161</v>
      </c>
      <c r="M354" s="7" t="s">
        <v>162</v>
      </c>
      <c r="N354" s="7" t="s">
        <v>49</v>
      </c>
      <c r="O354" s="7">
        <v>1</v>
      </c>
      <c r="P354" s="7" t="s">
        <v>41</v>
      </c>
      <c r="Q354" s="7">
        <v>89.99</v>
      </c>
      <c r="R354" s="7"/>
      <c r="S354" s="7"/>
      <c r="T354" s="7"/>
      <c r="U354" s="7"/>
      <c r="V354" s="7"/>
      <c r="W354" s="7"/>
      <c r="X354" s="7"/>
      <c r="Y354" s="7" t="s">
        <v>336</v>
      </c>
      <c r="Z354" s="7" t="s">
        <v>266</v>
      </c>
      <c r="AA354" s="7" t="s">
        <v>1962</v>
      </c>
      <c r="AB354" s="7" t="s">
        <v>45</v>
      </c>
      <c r="AC354" s="7"/>
      <c r="AD354" s="8"/>
      <c r="AE354" s="8"/>
      <c r="AF354" s="8"/>
      <c r="AG354" s="10">
        <f t="shared" si="5"/>
        <v>43320</v>
      </c>
    </row>
    <row r="355" spans="1:33">
      <c r="A355" s="7" t="s">
        <v>1963</v>
      </c>
      <c r="B355" s="7" t="s">
        <v>1963</v>
      </c>
      <c r="C355" s="7" t="s">
        <v>1964</v>
      </c>
      <c r="D355" s="7" t="s">
        <v>1965</v>
      </c>
      <c r="E355" s="7" t="s">
        <v>33</v>
      </c>
      <c r="F355" s="7" t="s">
        <v>34</v>
      </c>
      <c r="G355" s="7" t="s">
        <v>35</v>
      </c>
      <c r="H355" s="7"/>
      <c r="I355" s="7"/>
      <c r="J355" s="7" t="s">
        <v>50</v>
      </c>
      <c r="K355" s="7" t="s">
        <v>494</v>
      </c>
      <c r="L355" s="7" t="s">
        <v>495</v>
      </c>
      <c r="M355" s="7" t="s">
        <v>496</v>
      </c>
      <c r="N355" s="7" t="s">
        <v>33</v>
      </c>
      <c r="O355" s="7">
        <v>0</v>
      </c>
      <c r="P355" s="7"/>
      <c r="Q355" s="7"/>
      <c r="R355" s="7"/>
      <c r="S355" s="7"/>
      <c r="T355" s="7"/>
      <c r="U355" s="7"/>
      <c r="V355" s="7"/>
      <c r="W355" s="7"/>
      <c r="X355" s="7"/>
      <c r="Y355" s="7" t="s">
        <v>1966</v>
      </c>
      <c r="Z355" s="7" t="s">
        <v>178</v>
      </c>
      <c r="AA355" s="7" t="s">
        <v>1967</v>
      </c>
      <c r="AB355" s="7" t="s">
        <v>45</v>
      </c>
      <c r="AC355" s="7"/>
      <c r="AD355" s="8"/>
      <c r="AE355" s="8"/>
      <c r="AF355" s="8"/>
      <c r="AG355" s="10">
        <f t="shared" si="5"/>
        <v>43320</v>
      </c>
    </row>
    <row r="356" spans="1:33">
      <c r="A356" s="7" t="s">
        <v>1968</v>
      </c>
      <c r="B356" s="7" t="s">
        <v>1968</v>
      </c>
      <c r="C356" s="7" t="s">
        <v>1969</v>
      </c>
      <c r="D356" s="7" t="s">
        <v>1970</v>
      </c>
      <c r="E356" s="7" t="s">
        <v>49</v>
      </c>
      <c r="F356" s="7" t="s">
        <v>34</v>
      </c>
      <c r="G356" s="7" t="s">
        <v>35</v>
      </c>
      <c r="H356" s="7"/>
      <c r="I356" s="7"/>
      <c r="J356" s="7" t="s">
        <v>50</v>
      </c>
      <c r="K356" s="7" t="s">
        <v>852</v>
      </c>
      <c r="L356" s="7" t="s">
        <v>853</v>
      </c>
      <c r="M356" s="7" t="s">
        <v>854</v>
      </c>
      <c r="N356" s="7" t="s">
        <v>49</v>
      </c>
      <c r="O356" s="7">
        <v>1</v>
      </c>
      <c r="P356" s="7" t="s">
        <v>41</v>
      </c>
      <c r="Q356" s="7">
        <v>79.99</v>
      </c>
      <c r="R356" s="7"/>
      <c r="S356" s="7"/>
      <c r="T356" s="7"/>
      <c r="U356" s="7"/>
      <c r="V356" s="7"/>
      <c r="W356" s="7"/>
      <c r="X356" s="7"/>
      <c r="Y356" s="7" t="s">
        <v>1971</v>
      </c>
      <c r="Z356" s="7" t="s">
        <v>260</v>
      </c>
      <c r="AA356" s="7" t="s">
        <v>1972</v>
      </c>
      <c r="AB356" s="7" t="s">
        <v>45</v>
      </c>
      <c r="AC356" s="7"/>
      <c r="AD356" s="8"/>
      <c r="AE356" s="8"/>
      <c r="AF356" s="8"/>
      <c r="AG356" s="10">
        <f t="shared" si="5"/>
        <v>43320</v>
      </c>
    </row>
    <row r="357" spans="1:33">
      <c r="A357" s="7" t="s">
        <v>1973</v>
      </c>
      <c r="B357" s="7" t="s">
        <v>1973</v>
      </c>
      <c r="C357" s="7" t="s">
        <v>1974</v>
      </c>
      <c r="D357" s="7" t="s">
        <v>1975</v>
      </c>
      <c r="E357" s="7" t="s">
        <v>49</v>
      </c>
      <c r="F357" s="7" t="s">
        <v>34</v>
      </c>
      <c r="G357" s="7" t="s">
        <v>35</v>
      </c>
      <c r="H357" s="7"/>
      <c r="I357" s="7"/>
      <c r="J357" s="7" t="s">
        <v>36</v>
      </c>
      <c r="K357" s="7" t="s">
        <v>589</v>
      </c>
      <c r="L357" s="7" t="s">
        <v>590</v>
      </c>
      <c r="M357" s="7" t="s">
        <v>591</v>
      </c>
      <c r="N357" s="7" t="s">
        <v>49</v>
      </c>
      <c r="O357" s="7">
        <v>1</v>
      </c>
      <c r="P357" s="7" t="s">
        <v>41</v>
      </c>
      <c r="Q357" s="7">
        <v>12.99</v>
      </c>
      <c r="R357" s="7"/>
      <c r="S357" s="7">
        <v>5.99</v>
      </c>
      <c r="T357" s="7"/>
      <c r="U357" s="7"/>
      <c r="V357" s="7"/>
      <c r="W357" s="7"/>
      <c r="X357" s="7"/>
      <c r="Y357" s="7" t="s">
        <v>1976</v>
      </c>
      <c r="Z357" s="7" t="s">
        <v>178</v>
      </c>
      <c r="AA357" s="7" t="s">
        <v>1977</v>
      </c>
      <c r="AB357" s="7" t="s">
        <v>45</v>
      </c>
      <c r="AC357" s="7"/>
      <c r="AD357" s="8"/>
      <c r="AE357" s="8"/>
      <c r="AF357" s="8"/>
      <c r="AG357" s="10">
        <f t="shared" si="5"/>
        <v>43320</v>
      </c>
    </row>
    <row r="358" spans="1:33">
      <c r="A358" s="7" t="s">
        <v>1978</v>
      </c>
      <c r="B358" s="7" t="s">
        <v>1978</v>
      </c>
      <c r="C358" s="7" t="s">
        <v>1979</v>
      </c>
      <c r="D358" s="7" t="s">
        <v>1980</v>
      </c>
      <c r="E358" s="7" t="s">
        <v>33</v>
      </c>
      <c r="F358" s="7" t="s">
        <v>34</v>
      </c>
      <c r="G358" s="7" t="s">
        <v>35</v>
      </c>
      <c r="H358" s="7"/>
      <c r="I358" s="7"/>
      <c r="J358" s="7" t="s">
        <v>326</v>
      </c>
      <c r="K358" s="7" t="s">
        <v>494</v>
      </c>
      <c r="L358" s="7" t="s">
        <v>495</v>
      </c>
      <c r="M358" s="7" t="s">
        <v>496</v>
      </c>
      <c r="N358" s="7" t="s">
        <v>40</v>
      </c>
      <c r="O358" s="7">
        <v>1</v>
      </c>
      <c r="P358" s="7" t="s">
        <v>41</v>
      </c>
      <c r="Q358" s="7">
        <v>99.99</v>
      </c>
      <c r="R358" s="7"/>
      <c r="S358" s="7"/>
      <c r="T358" s="7"/>
      <c r="U358" s="7"/>
      <c r="V358" s="7"/>
      <c r="W358" s="7"/>
      <c r="X358" s="7"/>
      <c r="Y358" s="7" t="s">
        <v>1928</v>
      </c>
      <c r="Z358" s="7" t="s">
        <v>1560</v>
      </c>
      <c r="AA358" s="7">
        <v>93444</v>
      </c>
      <c r="AB358" s="7" t="s">
        <v>45</v>
      </c>
      <c r="AC358" s="7"/>
      <c r="AD358" s="8"/>
      <c r="AE358" s="8"/>
      <c r="AF358" s="8"/>
      <c r="AG358" s="10">
        <f t="shared" si="5"/>
        <v>43320</v>
      </c>
    </row>
    <row r="359" spans="1:33">
      <c r="A359" s="7" t="s">
        <v>1981</v>
      </c>
      <c r="B359" s="7" t="s">
        <v>1981</v>
      </c>
      <c r="C359" s="7" t="s">
        <v>1982</v>
      </c>
      <c r="D359" s="7" t="s">
        <v>1983</v>
      </c>
      <c r="E359" s="7" t="s">
        <v>49</v>
      </c>
      <c r="F359" s="7" t="s">
        <v>34</v>
      </c>
      <c r="G359" s="7" t="s">
        <v>35</v>
      </c>
      <c r="H359" s="7"/>
      <c r="I359" s="7"/>
      <c r="J359" s="7" t="s">
        <v>50</v>
      </c>
      <c r="K359" s="7" t="s">
        <v>611</v>
      </c>
      <c r="L359" s="7" t="s">
        <v>612</v>
      </c>
      <c r="M359" s="7" t="s">
        <v>613</v>
      </c>
      <c r="N359" s="7" t="s">
        <v>49</v>
      </c>
      <c r="O359" s="7">
        <v>1</v>
      </c>
      <c r="P359" s="7" t="s">
        <v>41</v>
      </c>
      <c r="Q359" s="7">
        <v>89.99</v>
      </c>
      <c r="R359" s="7"/>
      <c r="S359" s="7"/>
      <c r="T359" s="7"/>
      <c r="U359" s="7"/>
      <c r="V359" s="7"/>
      <c r="W359" s="7"/>
      <c r="X359" s="7"/>
      <c r="Y359" s="7" t="s">
        <v>1984</v>
      </c>
      <c r="Z359" s="7" t="s">
        <v>714</v>
      </c>
      <c r="AA359" s="7" t="s">
        <v>1985</v>
      </c>
      <c r="AB359" s="7" t="s">
        <v>45</v>
      </c>
      <c r="AC359" s="7"/>
      <c r="AD359" s="11"/>
      <c r="AE359" s="11"/>
      <c r="AF359" s="11"/>
      <c r="AG359" s="10">
        <f t="shared" si="5"/>
        <v>43320</v>
      </c>
    </row>
    <row r="360" spans="1:33">
      <c r="A360" s="7" t="s">
        <v>1986</v>
      </c>
      <c r="B360" s="7" t="s">
        <v>1986</v>
      </c>
      <c r="C360" s="7" t="s">
        <v>1987</v>
      </c>
      <c r="D360" s="7" t="s">
        <v>1988</v>
      </c>
      <c r="E360" s="7" t="s">
        <v>33</v>
      </c>
      <c r="F360" s="7" t="s">
        <v>34</v>
      </c>
      <c r="G360" s="7" t="s">
        <v>35</v>
      </c>
      <c r="H360" s="7"/>
      <c r="I360" s="7"/>
      <c r="J360" s="7" t="s">
        <v>36</v>
      </c>
      <c r="K360" s="7" t="s">
        <v>1989</v>
      </c>
      <c r="L360" s="7" t="s">
        <v>1990</v>
      </c>
      <c r="M360" s="7" t="s">
        <v>1991</v>
      </c>
      <c r="N360" s="7" t="s">
        <v>40</v>
      </c>
      <c r="O360" s="7">
        <v>1</v>
      </c>
      <c r="P360" s="7" t="s">
        <v>41</v>
      </c>
      <c r="Q360" s="7">
        <v>16.99</v>
      </c>
      <c r="R360" s="7"/>
      <c r="S360" s="7"/>
      <c r="T360" s="7"/>
      <c r="U360" s="7"/>
      <c r="V360" s="7"/>
      <c r="W360" s="7"/>
      <c r="X360" s="7"/>
      <c r="Y360" s="7" t="s">
        <v>1992</v>
      </c>
      <c r="Z360" s="7" t="s">
        <v>221</v>
      </c>
      <c r="AA360" s="7" t="s">
        <v>1993</v>
      </c>
      <c r="AB360" s="7" t="s">
        <v>45</v>
      </c>
      <c r="AC360" s="7"/>
      <c r="AD360" s="11"/>
      <c r="AE360" s="11"/>
      <c r="AF360" s="11"/>
      <c r="AG360" s="10">
        <f t="shared" si="5"/>
        <v>43320</v>
      </c>
    </row>
    <row r="361" spans="1:33">
      <c r="A361" s="7" t="s">
        <v>1994</v>
      </c>
      <c r="B361" s="7" t="s">
        <v>1994</v>
      </c>
      <c r="C361" s="7" t="s">
        <v>1995</v>
      </c>
      <c r="D361" s="7" t="s">
        <v>1996</v>
      </c>
      <c r="E361" s="7" t="s">
        <v>49</v>
      </c>
      <c r="F361" s="7" t="s">
        <v>34</v>
      </c>
      <c r="G361" s="7" t="s">
        <v>35</v>
      </c>
      <c r="H361" s="7"/>
      <c r="I361" s="7"/>
      <c r="J361" s="7" t="s">
        <v>50</v>
      </c>
      <c r="K361" s="7" t="s">
        <v>632</v>
      </c>
      <c r="L361" s="7" t="s">
        <v>633</v>
      </c>
      <c r="M361" s="7" t="s">
        <v>634</v>
      </c>
      <c r="N361" s="7" t="s">
        <v>49</v>
      </c>
      <c r="O361" s="7">
        <v>1</v>
      </c>
      <c r="P361" s="7" t="s">
        <v>41</v>
      </c>
      <c r="Q361" s="7">
        <v>85.99</v>
      </c>
      <c r="R361" s="7"/>
      <c r="S361" s="7"/>
      <c r="T361" s="7"/>
      <c r="U361" s="7"/>
      <c r="V361" s="7"/>
      <c r="W361" s="7"/>
      <c r="X361" s="7"/>
      <c r="Y361" s="7" t="s">
        <v>1997</v>
      </c>
      <c r="Z361" s="7" t="s">
        <v>260</v>
      </c>
      <c r="AA361" s="7" t="s">
        <v>1998</v>
      </c>
      <c r="AB361" s="7" t="s">
        <v>45</v>
      </c>
      <c r="AC361" s="7"/>
      <c r="AD361" s="11"/>
      <c r="AE361" s="11"/>
      <c r="AF361" s="11"/>
      <c r="AG361" s="10">
        <f t="shared" si="5"/>
        <v>43320</v>
      </c>
    </row>
    <row r="362" spans="1:33">
      <c r="A362" s="7" t="s">
        <v>1999</v>
      </c>
      <c r="B362" s="7" t="s">
        <v>1999</v>
      </c>
      <c r="C362" s="7" t="s">
        <v>2000</v>
      </c>
      <c r="D362" s="7" t="s">
        <v>2001</v>
      </c>
      <c r="E362" s="7" t="s">
        <v>49</v>
      </c>
      <c r="F362" s="7" t="s">
        <v>34</v>
      </c>
      <c r="G362" s="7" t="s">
        <v>35</v>
      </c>
      <c r="H362" s="7"/>
      <c r="I362" s="7"/>
      <c r="J362" s="7" t="s">
        <v>36</v>
      </c>
      <c r="K362" s="7" t="s">
        <v>1686</v>
      </c>
      <c r="L362" s="7" t="s">
        <v>1687</v>
      </c>
      <c r="M362" s="7" t="s">
        <v>1688</v>
      </c>
      <c r="N362" s="7" t="s">
        <v>49</v>
      </c>
      <c r="O362" s="7">
        <v>1</v>
      </c>
      <c r="P362" s="7" t="s">
        <v>41</v>
      </c>
      <c r="Q362" s="7">
        <v>108.99</v>
      </c>
      <c r="R362" s="7"/>
      <c r="S362" s="7">
        <v>8.1</v>
      </c>
      <c r="T362" s="7"/>
      <c r="U362" s="7"/>
      <c r="V362" s="7"/>
      <c r="W362" s="7"/>
      <c r="X362" s="7">
        <v>8.1</v>
      </c>
      <c r="Y362" s="7" t="s">
        <v>2002</v>
      </c>
      <c r="Z362" s="7" t="s">
        <v>221</v>
      </c>
      <c r="AA362" s="7">
        <v>60544</v>
      </c>
      <c r="AB362" s="7" t="s">
        <v>45</v>
      </c>
      <c r="AC362" s="7" t="s">
        <v>549</v>
      </c>
      <c r="AD362" s="11"/>
      <c r="AE362" s="11"/>
      <c r="AF362" s="11"/>
      <c r="AG362" s="10">
        <f t="shared" si="5"/>
        <v>43320</v>
      </c>
    </row>
    <row r="363" spans="1:33">
      <c r="A363" s="7" t="s">
        <v>2003</v>
      </c>
      <c r="B363" s="7" t="s">
        <v>2003</v>
      </c>
      <c r="C363" s="7" t="s">
        <v>2004</v>
      </c>
      <c r="D363" s="7" t="s">
        <v>2005</v>
      </c>
      <c r="E363" s="7" t="s">
        <v>49</v>
      </c>
      <c r="F363" s="7" t="s">
        <v>34</v>
      </c>
      <c r="G363" s="7" t="s">
        <v>35</v>
      </c>
      <c r="H363" s="7"/>
      <c r="I363" s="7"/>
      <c r="J363" s="7" t="s">
        <v>50</v>
      </c>
      <c r="K363" s="7" t="s">
        <v>2006</v>
      </c>
      <c r="L363" s="7" t="s">
        <v>2007</v>
      </c>
      <c r="M363" s="7" t="s">
        <v>2008</v>
      </c>
      <c r="N363" s="7" t="s">
        <v>49</v>
      </c>
      <c r="O363" s="7">
        <v>1</v>
      </c>
      <c r="P363" s="7" t="s">
        <v>41</v>
      </c>
      <c r="Q363" s="7">
        <v>89.6</v>
      </c>
      <c r="R363" s="7"/>
      <c r="S363" s="7"/>
      <c r="T363" s="7"/>
      <c r="U363" s="7"/>
      <c r="V363" s="7"/>
      <c r="W363" s="7"/>
      <c r="X363" s="7"/>
      <c r="Y363" s="7" t="s">
        <v>2009</v>
      </c>
      <c r="Z363" s="7" t="s">
        <v>280</v>
      </c>
      <c r="AA363" s="7" t="s">
        <v>2010</v>
      </c>
      <c r="AB363" s="7" t="s">
        <v>45</v>
      </c>
      <c r="AC363" s="7"/>
      <c r="AD363" s="11"/>
      <c r="AE363" s="11"/>
      <c r="AF363" s="11"/>
      <c r="AG363" s="10">
        <f t="shared" si="5"/>
        <v>43320</v>
      </c>
    </row>
    <row r="364" spans="1:33">
      <c r="A364" s="7" t="s">
        <v>2011</v>
      </c>
      <c r="B364" s="7" t="s">
        <v>2011</v>
      </c>
      <c r="C364" s="7" t="s">
        <v>2012</v>
      </c>
      <c r="D364" s="7" t="s">
        <v>2013</v>
      </c>
      <c r="E364" s="7" t="s">
        <v>49</v>
      </c>
      <c r="F364" s="7" t="s">
        <v>34</v>
      </c>
      <c r="G364" s="7" t="s">
        <v>35</v>
      </c>
      <c r="H364" s="7"/>
      <c r="I364" s="7"/>
      <c r="J364" s="7" t="s">
        <v>151</v>
      </c>
      <c r="K364" s="7" t="s">
        <v>276</v>
      </c>
      <c r="L364" s="7" t="s">
        <v>277</v>
      </c>
      <c r="M364" s="7" t="s">
        <v>278</v>
      </c>
      <c r="N364" s="7" t="s">
        <v>49</v>
      </c>
      <c r="O364" s="7">
        <v>1</v>
      </c>
      <c r="P364" s="7" t="s">
        <v>41</v>
      </c>
      <c r="Q364" s="7">
        <v>91.99</v>
      </c>
      <c r="R364" s="7"/>
      <c r="S364" s="7">
        <v>5.99</v>
      </c>
      <c r="T364" s="7"/>
      <c r="U364" s="7"/>
      <c r="V364" s="7"/>
      <c r="W364" s="7"/>
      <c r="X364" s="7">
        <v>5.99</v>
      </c>
      <c r="Y364" s="7" t="s">
        <v>579</v>
      </c>
      <c r="Z364" s="7" t="s">
        <v>64</v>
      </c>
      <c r="AA364" s="7" t="s">
        <v>2014</v>
      </c>
      <c r="AB364" s="7" t="s">
        <v>45</v>
      </c>
      <c r="AC364" s="7"/>
      <c r="AD364" s="11"/>
      <c r="AE364" s="11"/>
      <c r="AF364" s="11"/>
      <c r="AG364" s="10">
        <f t="shared" si="5"/>
        <v>43320</v>
      </c>
    </row>
    <row r="365" spans="1:33">
      <c r="A365" s="7" t="s">
        <v>2015</v>
      </c>
      <c r="B365" s="7" t="s">
        <v>2015</v>
      </c>
      <c r="C365" s="7" t="s">
        <v>2016</v>
      </c>
      <c r="D365" s="7" t="s">
        <v>2017</v>
      </c>
      <c r="E365" s="7" t="s">
        <v>49</v>
      </c>
      <c r="F365" s="7" t="s">
        <v>34</v>
      </c>
      <c r="G365" s="7" t="s">
        <v>35</v>
      </c>
      <c r="H365" s="7"/>
      <c r="I365" s="7"/>
      <c r="J365" s="7" t="s">
        <v>50</v>
      </c>
      <c r="K365" s="7" t="s">
        <v>700</v>
      </c>
      <c r="L365" s="7" t="s">
        <v>701</v>
      </c>
      <c r="M365" s="7" t="s">
        <v>702</v>
      </c>
      <c r="N365" s="7" t="s">
        <v>49</v>
      </c>
      <c r="O365" s="7">
        <v>1</v>
      </c>
      <c r="P365" s="7" t="s">
        <v>41</v>
      </c>
      <c r="Q365" s="7">
        <v>108.99</v>
      </c>
      <c r="R365" s="7"/>
      <c r="S365" s="7"/>
      <c r="T365" s="7"/>
      <c r="U365" s="7"/>
      <c r="V365" s="7"/>
      <c r="W365" s="7"/>
      <c r="X365" s="7"/>
      <c r="Y365" s="7" t="s">
        <v>2018</v>
      </c>
      <c r="Z365" s="7" t="s">
        <v>678</v>
      </c>
      <c r="AA365" s="7" t="s">
        <v>2019</v>
      </c>
      <c r="AB365" s="7" t="s">
        <v>45</v>
      </c>
      <c r="AC365" s="7"/>
      <c r="AD365" s="8"/>
      <c r="AE365" s="8"/>
      <c r="AF365" s="8"/>
      <c r="AG365" s="10">
        <f t="shared" si="5"/>
        <v>43320</v>
      </c>
    </row>
    <row r="366" spans="1:33">
      <c r="A366" s="7" t="s">
        <v>2020</v>
      </c>
      <c r="B366" s="7" t="s">
        <v>2020</v>
      </c>
      <c r="C366" s="7" t="s">
        <v>2021</v>
      </c>
      <c r="D366" s="7" t="s">
        <v>2022</v>
      </c>
      <c r="E366" s="7" t="s">
        <v>49</v>
      </c>
      <c r="F366" s="7" t="s">
        <v>34</v>
      </c>
      <c r="G366" s="7" t="s">
        <v>35</v>
      </c>
      <c r="H366" s="7"/>
      <c r="I366" s="7"/>
      <c r="J366" s="7" t="s">
        <v>50</v>
      </c>
      <c r="K366" s="7" t="s">
        <v>142</v>
      </c>
      <c r="L366" s="7" t="s">
        <v>143</v>
      </c>
      <c r="M366" s="7" t="s">
        <v>144</v>
      </c>
      <c r="N366" s="7" t="s">
        <v>49</v>
      </c>
      <c r="O366" s="7">
        <v>1</v>
      </c>
      <c r="P366" s="7" t="s">
        <v>41</v>
      </c>
      <c r="Q366" s="7">
        <v>79.99</v>
      </c>
      <c r="R366" s="7"/>
      <c r="S366" s="7"/>
      <c r="T366" s="7"/>
      <c r="U366" s="7"/>
      <c r="V366" s="7"/>
      <c r="W366" s="7"/>
      <c r="X366" s="7"/>
      <c r="Y366" s="7" t="s">
        <v>2023</v>
      </c>
      <c r="Z366" s="7" t="s">
        <v>230</v>
      </c>
      <c r="AA366" s="7" t="s">
        <v>2024</v>
      </c>
      <c r="AB366" s="7" t="s">
        <v>45</v>
      </c>
      <c r="AC366" s="7"/>
      <c r="AD366" s="11"/>
      <c r="AE366" s="11"/>
      <c r="AF366" s="11"/>
      <c r="AG366" s="10">
        <f t="shared" si="5"/>
        <v>43320</v>
      </c>
    </row>
    <row r="367" spans="1:33">
      <c r="A367" s="7" t="s">
        <v>2025</v>
      </c>
      <c r="B367" s="7" t="s">
        <v>2025</v>
      </c>
      <c r="C367" s="7" t="s">
        <v>2026</v>
      </c>
      <c r="D367" s="7" t="s">
        <v>2027</v>
      </c>
      <c r="E367" s="7" t="s">
        <v>49</v>
      </c>
      <c r="F367" s="7" t="s">
        <v>34</v>
      </c>
      <c r="G367" s="7" t="s">
        <v>35</v>
      </c>
      <c r="H367" s="7"/>
      <c r="I367" s="7"/>
      <c r="J367" s="7" t="s">
        <v>50</v>
      </c>
      <c r="K367" s="7" t="s">
        <v>1436</v>
      </c>
      <c r="L367" s="7" t="s">
        <v>1437</v>
      </c>
      <c r="M367" s="7" t="s">
        <v>1438</v>
      </c>
      <c r="N367" s="7" t="s">
        <v>49</v>
      </c>
      <c r="O367" s="7">
        <v>1</v>
      </c>
      <c r="P367" s="7" t="s">
        <v>41</v>
      </c>
      <c r="Q367" s="7">
        <v>89.99</v>
      </c>
      <c r="R367" s="7"/>
      <c r="S367" s="7"/>
      <c r="T367" s="7"/>
      <c r="U367" s="7"/>
      <c r="V367" s="7"/>
      <c r="W367" s="7"/>
      <c r="X367" s="7"/>
      <c r="Y367" s="7" t="s">
        <v>2028</v>
      </c>
      <c r="Z367" s="7" t="s">
        <v>109</v>
      </c>
      <c r="AA367" s="7" t="s">
        <v>2029</v>
      </c>
      <c r="AB367" s="7" t="s">
        <v>45</v>
      </c>
      <c r="AC367" s="7"/>
      <c r="AD367" s="11"/>
      <c r="AE367" s="11"/>
      <c r="AF367" s="11"/>
      <c r="AG367" s="10">
        <f t="shared" si="5"/>
        <v>43320</v>
      </c>
    </row>
    <row r="368" spans="1:33">
      <c r="A368" s="7" t="s">
        <v>2030</v>
      </c>
      <c r="B368" s="7" t="s">
        <v>2030</v>
      </c>
      <c r="C368" s="7" t="s">
        <v>2031</v>
      </c>
      <c r="D368" s="7" t="s">
        <v>2032</v>
      </c>
      <c r="E368" s="7" t="s">
        <v>49</v>
      </c>
      <c r="F368" s="7" t="s">
        <v>34</v>
      </c>
      <c r="G368" s="7" t="s">
        <v>35</v>
      </c>
      <c r="H368" s="7"/>
      <c r="I368" s="7"/>
      <c r="J368" s="7" t="s">
        <v>36</v>
      </c>
      <c r="K368" s="7" t="s">
        <v>88</v>
      </c>
      <c r="L368" s="7" t="s">
        <v>89</v>
      </c>
      <c r="M368" s="7" t="s">
        <v>90</v>
      </c>
      <c r="N368" s="7" t="s">
        <v>49</v>
      </c>
      <c r="O368" s="7">
        <v>1</v>
      </c>
      <c r="P368" s="7" t="s">
        <v>41</v>
      </c>
      <c r="Q368" s="7">
        <v>89.99</v>
      </c>
      <c r="R368" s="7"/>
      <c r="S368" s="7">
        <v>8.45</v>
      </c>
      <c r="T368" s="7"/>
      <c r="U368" s="7"/>
      <c r="V368" s="7"/>
      <c r="W368" s="7"/>
      <c r="X368" s="7"/>
      <c r="Y368" s="7" t="s">
        <v>2033</v>
      </c>
      <c r="Z368" s="7" t="s">
        <v>331</v>
      </c>
      <c r="AA368" s="7" t="s">
        <v>2034</v>
      </c>
      <c r="AB368" s="7" t="s">
        <v>45</v>
      </c>
      <c r="AC368" s="7"/>
      <c r="AD368" s="11"/>
      <c r="AE368" s="11"/>
      <c r="AF368" s="11"/>
      <c r="AG368" s="10">
        <f t="shared" si="5"/>
        <v>43320</v>
      </c>
    </row>
    <row r="369" spans="1:33">
      <c r="A369" s="7" t="s">
        <v>2035</v>
      </c>
      <c r="B369" s="7" t="s">
        <v>2035</v>
      </c>
      <c r="C369" s="7" t="s">
        <v>2036</v>
      </c>
      <c r="D369" s="7" t="s">
        <v>2037</v>
      </c>
      <c r="E369" s="7" t="s">
        <v>33</v>
      </c>
      <c r="F369" s="7" t="s">
        <v>34</v>
      </c>
      <c r="G369" s="7" t="s">
        <v>35</v>
      </c>
      <c r="H369" s="7"/>
      <c r="I369" s="7"/>
      <c r="J369" s="7" t="s">
        <v>36</v>
      </c>
      <c r="K369" s="7" t="s">
        <v>276</v>
      </c>
      <c r="L369" s="7" t="s">
        <v>277</v>
      </c>
      <c r="M369" s="7" t="s">
        <v>278</v>
      </c>
      <c r="N369" s="7" t="s">
        <v>40</v>
      </c>
      <c r="O369" s="7">
        <v>1</v>
      </c>
      <c r="P369" s="7" t="s">
        <v>41</v>
      </c>
      <c r="Q369" s="7">
        <v>91.99</v>
      </c>
      <c r="R369" s="7"/>
      <c r="S369" s="7"/>
      <c r="T369" s="7"/>
      <c r="U369" s="7"/>
      <c r="V369" s="7"/>
      <c r="W369" s="7"/>
      <c r="X369" s="7"/>
      <c r="Y369" s="7" t="s">
        <v>1672</v>
      </c>
      <c r="Z369" s="7" t="s">
        <v>1302</v>
      </c>
      <c r="AA369" s="7" t="s">
        <v>1673</v>
      </c>
      <c r="AB369" s="7" t="s">
        <v>45</v>
      </c>
      <c r="AC369" s="7"/>
      <c r="AD369" s="11"/>
      <c r="AE369" s="11"/>
      <c r="AF369" s="11"/>
      <c r="AG369" s="10">
        <f t="shared" si="5"/>
        <v>43320</v>
      </c>
    </row>
    <row r="370" spans="1:33">
      <c r="A370" s="7" t="s">
        <v>2038</v>
      </c>
      <c r="B370" s="7" t="s">
        <v>2038</v>
      </c>
      <c r="C370" s="7" t="s">
        <v>2039</v>
      </c>
      <c r="D370" s="7" t="s">
        <v>2040</v>
      </c>
      <c r="E370" s="7" t="s">
        <v>49</v>
      </c>
      <c r="F370" s="7" t="s">
        <v>34</v>
      </c>
      <c r="G370" s="7" t="s">
        <v>35</v>
      </c>
      <c r="H370" s="7"/>
      <c r="I370" s="7"/>
      <c r="J370" s="7" t="s">
        <v>50</v>
      </c>
      <c r="K370" s="7" t="s">
        <v>289</v>
      </c>
      <c r="L370" s="7" t="s">
        <v>290</v>
      </c>
      <c r="M370" s="7" t="s">
        <v>291</v>
      </c>
      <c r="N370" s="7" t="s">
        <v>49</v>
      </c>
      <c r="O370" s="7">
        <v>1</v>
      </c>
      <c r="P370" s="7" t="s">
        <v>41</v>
      </c>
      <c r="Q370" s="7">
        <v>89.99</v>
      </c>
      <c r="R370" s="7"/>
      <c r="S370" s="7"/>
      <c r="T370" s="7"/>
      <c r="U370" s="7"/>
      <c r="V370" s="7"/>
      <c r="W370" s="7"/>
      <c r="X370" s="7"/>
      <c r="Y370" s="7" t="s">
        <v>2041</v>
      </c>
      <c r="Z370" s="7" t="s">
        <v>714</v>
      </c>
      <c r="AA370" s="7">
        <v>49631</v>
      </c>
      <c r="AB370" s="7" t="s">
        <v>45</v>
      </c>
      <c r="AC370" s="7"/>
      <c r="AD370" s="11"/>
      <c r="AE370" s="11"/>
      <c r="AF370" s="11"/>
      <c r="AG370" s="10">
        <f t="shared" si="5"/>
        <v>43320</v>
      </c>
    </row>
    <row r="371" spans="1:33">
      <c r="A371" s="7" t="s">
        <v>2042</v>
      </c>
      <c r="B371" s="7" t="s">
        <v>2042</v>
      </c>
      <c r="C371" s="7" t="s">
        <v>2043</v>
      </c>
      <c r="D371" s="7" t="s">
        <v>2044</v>
      </c>
      <c r="E371" s="7" t="s">
        <v>49</v>
      </c>
      <c r="F371" s="7" t="s">
        <v>34</v>
      </c>
      <c r="G371" s="7" t="s">
        <v>35</v>
      </c>
      <c r="H371" s="7"/>
      <c r="I371" s="7"/>
      <c r="J371" s="7" t="s">
        <v>50</v>
      </c>
      <c r="K371" s="7" t="s">
        <v>70</v>
      </c>
      <c r="L371" s="7" t="s">
        <v>71</v>
      </c>
      <c r="M371" s="7" t="s">
        <v>72</v>
      </c>
      <c r="N371" s="7" t="s">
        <v>49</v>
      </c>
      <c r="O371" s="7">
        <v>1</v>
      </c>
      <c r="P371" s="7" t="s">
        <v>41</v>
      </c>
      <c r="Q371" s="7">
        <v>96.99</v>
      </c>
      <c r="R371" s="7"/>
      <c r="S371" s="7"/>
      <c r="T371" s="7"/>
      <c r="U371" s="7"/>
      <c r="V371" s="7"/>
      <c r="W371" s="7"/>
      <c r="X371" s="7"/>
      <c r="Y371" s="7" t="s">
        <v>2045</v>
      </c>
      <c r="Z371" s="7" t="s">
        <v>714</v>
      </c>
      <c r="AA371" s="7" t="s">
        <v>2046</v>
      </c>
      <c r="AB371" s="7" t="s">
        <v>45</v>
      </c>
      <c r="AC371" s="7"/>
      <c r="AD371" s="11"/>
      <c r="AE371" s="11"/>
      <c r="AF371" s="11"/>
      <c r="AG371" s="10">
        <f t="shared" si="5"/>
        <v>43320</v>
      </c>
    </row>
    <row r="372" spans="1:33">
      <c r="A372" s="7" t="s">
        <v>2047</v>
      </c>
      <c r="B372" s="7" t="s">
        <v>2047</v>
      </c>
      <c r="C372" s="7" t="s">
        <v>2048</v>
      </c>
      <c r="D372" s="7" t="s">
        <v>2049</v>
      </c>
      <c r="E372" s="7" t="s">
        <v>49</v>
      </c>
      <c r="F372" s="7" t="s">
        <v>34</v>
      </c>
      <c r="G372" s="7" t="s">
        <v>35</v>
      </c>
      <c r="H372" s="7"/>
      <c r="I372" s="7"/>
      <c r="J372" s="7" t="s">
        <v>50</v>
      </c>
      <c r="K372" s="7" t="s">
        <v>70</v>
      </c>
      <c r="L372" s="7" t="s">
        <v>71</v>
      </c>
      <c r="M372" s="7" t="s">
        <v>72</v>
      </c>
      <c r="N372" s="7" t="s">
        <v>49</v>
      </c>
      <c r="O372" s="7">
        <v>1</v>
      </c>
      <c r="P372" s="7" t="s">
        <v>41</v>
      </c>
      <c r="Q372" s="7">
        <v>96.99</v>
      </c>
      <c r="R372" s="7"/>
      <c r="S372" s="7"/>
      <c r="T372" s="7"/>
      <c r="U372" s="7"/>
      <c r="V372" s="7"/>
      <c r="W372" s="7"/>
      <c r="X372" s="7"/>
      <c r="Y372" s="7" t="s">
        <v>2050</v>
      </c>
      <c r="Z372" s="7" t="s">
        <v>459</v>
      </c>
      <c r="AA372" s="7" t="s">
        <v>2051</v>
      </c>
      <c r="AB372" s="7" t="s">
        <v>45</v>
      </c>
      <c r="AC372" s="7"/>
      <c r="AD372" s="11"/>
      <c r="AE372" s="11"/>
      <c r="AF372" s="11"/>
      <c r="AG372" s="10">
        <f t="shared" si="5"/>
        <v>43320</v>
      </c>
    </row>
    <row r="373" spans="1:33">
      <c r="A373" s="7" t="s">
        <v>2052</v>
      </c>
      <c r="B373" s="7" t="s">
        <v>2052</v>
      </c>
      <c r="C373" s="7" t="s">
        <v>2053</v>
      </c>
      <c r="D373" s="7" t="s">
        <v>2054</v>
      </c>
      <c r="E373" s="7" t="s">
        <v>49</v>
      </c>
      <c r="F373" s="7" t="s">
        <v>34</v>
      </c>
      <c r="G373" s="7" t="s">
        <v>35</v>
      </c>
      <c r="H373" s="7"/>
      <c r="I373" s="7"/>
      <c r="J373" s="7" t="s">
        <v>36</v>
      </c>
      <c r="K373" s="7" t="s">
        <v>120</v>
      </c>
      <c r="L373" s="7" t="s">
        <v>121</v>
      </c>
      <c r="M373" s="7" t="s">
        <v>122</v>
      </c>
      <c r="N373" s="7" t="s">
        <v>49</v>
      </c>
      <c r="O373" s="7">
        <v>1</v>
      </c>
      <c r="P373" s="7" t="s">
        <v>41</v>
      </c>
      <c r="Q373" s="7">
        <v>29.99</v>
      </c>
      <c r="R373" s="7"/>
      <c r="S373" s="7">
        <v>7.42</v>
      </c>
      <c r="T373" s="7"/>
      <c r="U373" s="7"/>
      <c r="V373" s="7"/>
      <c r="W373" s="7"/>
      <c r="X373" s="7"/>
      <c r="Y373" s="7" t="s">
        <v>2055</v>
      </c>
      <c r="Z373" s="7" t="s">
        <v>83</v>
      </c>
      <c r="AA373" s="7" t="s">
        <v>2056</v>
      </c>
      <c r="AB373" s="7" t="s">
        <v>45</v>
      </c>
      <c r="AC373" s="7"/>
      <c r="AD373" s="11"/>
      <c r="AE373" s="11"/>
      <c r="AF373" s="11"/>
      <c r="AG373" s="10">
        <f t="shared" si="5"/>
        <v>43321</v>
      </c>
    </row>
    <row r="374" spans="1:33">
      <c r="A374" s="7" t="s">
        <v>2057</v>
      </c>
      <c r="B374" s="7" t="s">
        <v>2057</v>
      </c>
      <c r="C374" s="7" t="s">
        <v>2058</v>
      </c>
      <c r="D374" s="7" t="s">
        <v>2059</v>
      </c>
      <c r="E374" s="7" t="s">
        <v>33</v>
      </c>
      <c r="F374" s="7" t="s">
        <v>34</v>
      </c>
      <c r="G374" s="7" t="s">
        <v>35</v>
      </c>
      <c r="H374" s="7"/>
      <c r="I374" s="7"/>
      <c r="J374" s="7" t="s">
        <v>50</v>
      </c>
      <c r="K374" s="7" t="s">
        <v>276</v>
      </c>
      <c r="L374" s="7" t="s">
        <v>277</v>
      </c>
      <c r="M374" s="7" t="s">
        <v>278</v>
      </c>
      <c r="N374" s="7" t="s">
        <v>40</v>
      </c>
      <c r="O374" s="7">
        <v>1</v>
      </c>
      <c r="P374" s="7" t="s">
        <v>41</v>
      </c>
      <c r="Q374" s="7">
        <v>91.99</v>
      </c>
      <c r="R374" s="7"/>
      <c r="S374" s="7"/>
      <c r="T374" s="7"/>
      <c r="U374" s="7"/>
      <c r="V374" s="7"/>
      <c r="W374" s="7"/>
      <c r="X374" s="7"/>
      <c r="Y374" s="7" t="s">
        <v>2060</v>
      </c>
      <c r="Z374" s="7" t="s">
        <v>64</v>
      </c>
      <c r="AA374" s="7" t="s">
        <v>2061</v>
      </c>
      <c r="AB374" s="7" t="s">
        <v>45</v>
      </c>
      <c r="AC374" s="7"/>
      <c r="AD374" s="11"/>
      <c r="AE374" s="11"/>
      <c r="AF374" s="11"/>
      <c r="AG374" s="10">
        <f t="shared" si="5"/>
        <v>43321</v>
      </c>
    </row>
    <row r="375" spans="1:33">
      <c r="A375" s="7" t="s">
        <v>2062</v>
      </c>
      <c r="B375" s="7" t="s">
        <v>2062</v>
      </c>
      <c r="C375" s="7" t="s">
        <v>2063</v>
      </c>
      <c r="D375" s="7" t="s">
        <v>2064</v>
      </c>
      <c r="E375" s="7" t="s">
        <v>49</v>
      </c>
      <c r="F375" s="7" t="s">
        <v>34</v>
      </c>
      <c r="G375" s="7" t="s">
        <v>35</v>
      </c>
      <c r="H375" s="7"/>
      <c r="I375" s="7"/>
      <c r="J375" s="7" t="s">
        <v>50</v>
      </c>
      <c r="K375" s="7" t="s">
        <v>2065</v>
      </c>
      <c r="L375" s="7" t="s">
        <v>2066</v>
      </c>
      <c r="M375" s="7" t="s">
        <v>2067</v>
      </c>
      <c r="N375" s="7" t="s">
        <v>49</v>
      </c>
      <c r="O375" s="7">
        <v>1</v>
      </c>
      <c r="P375" s="7" t="s">
        <v>41</v>
      </c>
      <c r="Q375" s="7">
        <v>32.99</v>
      </c>
      <c r="R375" s="7"/>
      <c r="S375" s="7"/>
      <c r="T375" s="7"/>
      <c r="U375" s="7"/>
      <c r="V375" s="7"/>
      <c r="W375" s="7"/>
      <c r="X375" s="7"/>
      <c r="Y375" s="7" t="s">
        <v>2068</v>
      </c>
      <c r="Z375" s="7" t="s">
        <v>221</v>
      </c>
      <c r="AA375" s="7" t="s">
        <v>2069</v>
      </c>
      <c r="AB375" s="7" t="s">
        <v>45</v>
      </c>
      <c r="AC375" s="7"/>
      <c r="AD375" s="11"/>
      <c r="AE375" s="11"/>
      <c r="AF375" s="11"/>
      <c r="AG375" s="10">
        <f t="shared" si="5"/>
        <v>43321</v>
      </c>
    </row>
    <row r="376" spans="1:33">
      <c r="A376" s="7" t="s">
        <v>2070</v>
      </c>
      <c r="B376" s="7" t="s">
        <v>2070</v>
      </c>
      <c r="C376" s="7" t="s">
        <v>2071</v>
      </c>
      <c r="D376" s="7" t="s">
        <v>2072</v>
      </c>
      <c r="E376" s="7" t="s">
        <v>49</v>
      </c>
      <c r="F376" s="7" t="s">
        <v>34</v>
      </c>
      <c r="G376" s="7" t="s">
        <v>35</v>
      </c>
      <c r="H376" s="7"/>
      <c r="I376" s="7"/>
      <c r="J376" s="7" t="s">
        <v>36</v>
      </c>
      <c r="K376" s="7" t="s">
        <v>494</v>
      </c>
      <c r="L376" s="7" t="s">
        <v>495</v>
      </c>
      <c r="M376" s="7" t="s">
        <v>496</v>
      </c>
      <c r="N376" s="7" t="s">
        <v>49</v>
      </c>
      <c r="O376" s="7">
        <v>1</v>
      </c>
      <c r="P376" s="7" t="s">
        <v>41</v>
      </c>
      <c r="Q376" s="7">
        <v>99.99</v>
      </c>
      <c r="R376" s="7"/>
      <c r="S376" s="7">
        <v>8.62</v>
      </c>
      <c r="T376" s="7"/>
      <c r="U376" s="7"/>
      <c r="V376" s="7"/>
      <c r="W376" s="7"/>
      <c r="X376" s="7"/>
      <c r="Y376" s="7" t="s">
        <v>2073</v>
      </c>
      <c r="Z376" s="7" t="s">
        <v>331</v>
      </c>
      <c r="AA376" s="7" t="s">
        <v>2074</v>
      </c>
      <c r="AB376" s="7" t="s">
        <v>45</v>
      </c>
      <c r="AC376" s="7"/>
      <c r="AD376" s="11"/>
      <c r="AE376" s="11"/>
      <c r="AF376" s="11"/>
      <c r="AG376" s="10">
        <f t="shared" si="5"/>
        <v>43321</v>
      </c>
    </row>
    <row r="377" spans="1:33">
      <c r="A377" s="7" t="s">
        <v>2075</v>
      </c>
      <c r="B377" s="7" t="s">
        <v>2075</v>
      </c>
      <c r="C377" s="7" t="s">
        <v>2076</v>
      </c>
      <c r="D377" s="7" t="s">
        <v>2077</v>
      </c>
      <c r="E377" s="7" t="s">
        <v>49</v>
      </c>
      <c r="F377" s="7" t="s">
        <v>34</v>
      </c>
      <c r="G377" s="7" t="s">
        <v>35</v>
      </c>
      <c r="H377" s="7"/>
      <c r="I377" s="7"/>
      <c r="J377" s="7" t="s">
        <v>50</v>
      </c>
      <c r="K377" s="7" t="s">
        <v>1436</v>
      </c>
      <c r="L377" s="7" t="s">
        <v>1437</v>
      </c>
      <c r="M377" s="7" t="s">
        <v>1438</v>
      </c>
      <c r="N377" s="7" t="s">
        <v>49</v>
      </c>
      <c r="O377" s="7">
        <v>1</v>
      </c>
      <c r="P377" s="7" t="s">
        <v>41</v>
      </c>
      <c r="Q377" s="7">
        <v>89.99</v>
      </c>
      <c r="R377" s="7"/>
      <c r="S377" s="7"/>
      <c r="T377" s="7"/>
      <c r="U377" s="7"/>
      <c r="V377" s="7"/>
      <c r="W377" s="7"/>
      <c r="X377" s="7"/>
      <c r="Y377" s="7" t="s">
        <v>2078</v>
      </c>
      <c r="Z377" s="7" t="s">
        <v>413</v>
      </c>
      <c r="AA377" s="7" t="s">
        <v>2079</v>
      </c>
      <c r="AB377" s="7" t="s">
        <v>45</v>
      </c>
      <c r="AC377" s="7"/>
      <c r="AD377" s="11"/>
      <c r="AE377" s="11"/>
      <c r="AF377" s="11"/>
      <c r="AG377" s="10">
        <f t="shared" si="5"/>
        <v>43321</v>
      </c>
    </row>
    <row r="378" spans="1:33">
      <c r="A378" s="7" t="s">
        <v>2080</v>
      </c>
      <c r="B378" s="7" t="s">
        <v>2080</v>
      </c>
      <c r="C378" s="7" t="s">
        <v>2081</v>
      </c>
      <c r="D378" s="7" t="s">
        <v>2082</v>
      </c>
      <c r="E378" s="7" t="s">
        <v>49</v>
      </c>
      <c r="F378" s="7" t="s">
        <v>34</v>
      </c>
      <c r="G378" s="7" t="s">
        <v>35</v>
      </c>
      <c r="H378" s="7"/>
      <c r="I378" s="7"/>
      <c r="J378" s="7" t="s">
        <v>50</v>
      </c>
      <c r="K378" s="7" t="s">
        <v>226</v>
      </c>
      <c r="L378" s="7" t="s">
        <v>442</v>
      </c>
      <c r="M378" s="7" t="s">
        <v>443</v>
      </c>
      <c r="N378" s="7" t="s">
        <v>49</v>
      </c>
      <c r="O378" s="7">
        <v>1</v>
      </c>
      <c r="P378" s="7" t="s">
        <v>41</v>
      </c>
      <c r="Q378" s="7">
        <v>88.99</v>
      </c>
      <c r="R378" s="7"/>
      <c r="S378" s="7"/>
      <c r="T378" s="7"/>
      <c r="U378" s="7"/>
      <c r="V378" s="7"/>
      <c r="W378" s="7"/>
      <c r="X378" s="7"/>
      <c r="Y378" s="7" t="s">
        <v>2083</v>
      </c>
      <c r="Z378" s="7" t="s">
        <v>2084</v>
      </c>
      <c r="AA378" s="7" t="s">
        <v>2085</v>
      </c>
      <c r="AB378" s="7" t="s">
        <v>45</v>
      </c>
      <c r="AC378" s="7"/>
      <c r="AD378" s="11"/>
      <c r="AE378" s="11"/>
      <c r="AF378" s="11"/>
      <c r="AG378" s="10">
        <f t="shared" si="5"/>
        <v>43321</v>
      </c>
    </row>
    <row r="379" spans="1:33">
      <c r="A379" s="7" t="s">
        <v>2086</v>
      </c>
      <c r="B379" s="7" t="s">
        <v>2086</v>
      </c>
      <c r="C379" s="7" t="s">
        <v>2087</v>
      </c>
      <c r="D379" s="7" t="s">
        <v>2088</v>
      </c>
      <c r="E379" s="7" t="s">
        <v>49</v>
      </c>
      <c r="F379" s="7" t="s">
        <v>34</v>
      </c>
      <c r="G379" s="7" t="s">
        <v>35</v>
      </c>
      <c r="H379" s="7"/>
      <c r="I379" s="7"/>
      <c r="J379" s="7" t="s">
        <v>50</v>
      </c>
      <c r="K379" s="7" t="s">
        <v>70</v>
      </c>
      <c r="L379" s="7" t="s">
        <v>71</v>
      </c>
      <c r="M379" s="7" t="s">
        <v>72</v>
      </c>
      <c r="N379" s="7" t="s">
        <v>49</v>
      </c>
      <c r="O379" s="7">
        <v>1</v>
      </c>
      <c r="P379" s="7" t="s">
        <v>41</v>
      </c>
      <c r="Q379" s="7">
        <v>96.99</v>
      </c>
      <c r="R379" s="7"/>
      <c r="S379" s="7"/>
      <c r="T379" s="7"/>
      <c r="U379" s="7"/>
      <c r="V379" s="7"/>
      <c r="W379" s="7"/>
      <c r="X379" s="7"/>
      <c r="Y379" s="7" t="s">
        <v>2089</v>
      </c>
      <c r="Z379" s="7" t="s">
        <v>43</v>
      </c>
      <c r="AA379" s="7" t="s">
        <v>2090</v>
      </c>
      <c r="AB379" s="7" t="s">
        <v>45</v>
      </c>
      <c r="AC379" s="7"/>
      <c r="AD379" s="11"/>
      <c r="AE379" s="11"/>
      <c r="AF379" s="11"/>
      <c r="AG379" s="10">
        <f t="shared" si="5"/>
        <v>43321</v>
      </c>
    </row>
    <row r="380" spans="1:33">
      <c r="A380" s="7" t="s">
        <v>2091</v>
      </c>
      <c r="B380" s="7" t="s">
        <v>2091</v>
      </c>
      <c r="C380" s="7" t="s">
        <v>2092</v>
      </c>
      <c r="D380" s="7" t="s">
        <v>2093</v>
      </c>
      <c r="E380" s="7" t="s">
        <v>49</v>
      </c>
      <c r="F380" s="7" t="s">
        <v>34</v>
      </c>
      <c r="G380" s="7" t="s">
        <v>35</v>
      </c>
      <c r="H380" s="7"/>
      <c r="I380" s="7"/>
      <c r="J380" s="7" t="s">
        <v>50</v>
      </c>
      <c r="K380" s="7" t="s">
        <v>152</v>
      </c>
      <c r="L380" s="7" t="s">
        <v>153</v>
      </c>
      <c r="M380" s="7" t="s">
        <v>154</v>
      </c>
      <c r="N380" s="7" t="s">
        <v>49</v>
      </c>
      <c r="O380" s="7">
        <v>1</v>
      </c>
      <c r="P380" s="7" t="s">
        <v>41</v>
      </c>
      <c r="Q380" s="7">
        <v>79.99</v>
      </c>
      <c r="R380" s="7"/>
      <c r="S380" s="7"/>
      <c r="T380" s="7"/>
      <c r="U380" s="7"/>
      <c r="V380" s="7"/>
      <c r="W380" s="7"/>
      <c r="X380" s="7"/>
      <c r="Y380" s="7" t="s">
        <v>2094</v>
      </c>
      <c r="Z380" s="7" t="s">
        <v>43</v>
      </c>
      <c r="AA380" s="7" t="s">
        <v>2095</v>
      </c>
      <c r="AB380" s="7" t="s">
        <v>45</v>
      </c>
      <c r="AC380" s="7"/>
      <c r="AD380" s="11"/>
      <c r="AE380" s="11"/>
      <c r="AF380" s="11"/>
      <c r="AG380" s="10">
        <f t="shared" si="5"/>
        <v>43321</v>
      </c>
    </row>
    <row r="381" spans="1:33">
      <c r="A381" s="7" t="s">
        <v>2096</v>
      </c>
      <c r="B381" s="7" t="s">
        <v>2096</v>
      </c>
      <c r="C381" s="7" t="s">
        <v>2097</v>
      </c>
      <c r="D381" s="7" t="s">
        <v>2098</v>
      </c>
      <c r="E381" s="7" t="s">
        <v>49</v>
      </c>
      <c r="F381" s="7" t="s">
        <v>34</v>
      </c>
      <c r="G381" s="7" t="s">
        <v>35</v>
      </c>
      <c r="H381" s="7"/>
      <c r="I381" s="7"/>
      <c r="J381" s="7" t="s">
        <v>151</v>
      </c>
      <c r="K381" s="7" t="s">
        <v>1686</v>
      </c>
      <c r="L381" s="7" t="s">
        <v>1687</v>
      </c>
      <c r="M381" s="7" t="s">
        <v>1688</v>
      </c>
      <c r="N381" s="7" t="s">
        <v>49</v>
      </c>
      <c r="O381" s="7">
        <v>1</v>
      </c>
      <c r="P381" s="7" t="s">
        <v>41</v>
      </c>
      <c r="Q381" s="7">
        <v>108.99</v>
      </c>
      <c r="R381" s="7"/>
      <c r="S381" s="7">
        <v>5.99</v>
      </c>
      <c r="T381" s="7"/>
      <c r="U381" s="7"/>
      <c r="V381" s="7"/>
      <c r="W381" s="7"/>
      <c r="X381" s="7">
        <v>5.99</v>
      </c>
      <c r="Y381" s="7" t="s">
        <v>2099</v>
      </c>
      <c r="Z381" s="7" t="s">
        <v>2100</v>
      </c>
      <c r="AA381" s="7">
        <v>32703</v>
      </c>
      <c r="AB381" s="7" t="s">
        <v>45</v>
      </c>
      <c r="AC381" s="7"/>
      <c r="AD381" s="11"/>
      <c r="AE381" s="11"/>
      <c r="AF381" s="11"/>
      <c r="AG381" s="10">
        <f t="shared" si="5"/>
        <v>43321</v>
      </c>
    </row>
    <row r="382" spans="1:33">
      <c r="A382" s="7" t="s">
        <v>2101</v>
      </c>
      <c r="B382" s="7" t="s">
        <v>2101</v>
      </c>
      <c r="C382" s="7" t="s">
        <v>2102</v>
      </c>
      <c r="D382" s="7" t="s">
        <v>2103</v>
      </c>
      <c r="E382" s="7" t="s">
        <v>49</v>
      </c>
      <c r="F382" s="7" t="s">
        <v>34</v>
      </c>
      <c r="G382" s="7" t="s">
        <v>35</v>
      </c>
      <c r="H382" s="7"/>
      <c r="I382" s="7"/>
      <c r="J382" s="7" t="s">
        <v>50</v>
      </c>
      <c r="K382" s="7" t="s">
        <v>456</v>
      </c>
      <c r="L382" s="7" t="s">
        <v>457</v>
      </c>
      <c r="M382" s="7" t="s">
        <v>458</v>
      </c>
      <c r="N382" s="7" t="s">
        <v>49</v>
      </c>
      <c r="O382" s="7">
        <v>1</v>
      </c>
      <c r="P382" s="7" t="s">
        <v>41</v>
      </c>
      <c r="Q382" s="7">
        <v>85.99</v>
      </c>
      <c r="R382" s="7"/>
      <c r="S382" s="7"/>
      <c r="T382" s="7"/>
      <c r="U382" s="7"/>
      <c r="V382" s="7"/>
      <c r="W382" s="7"/>
      <c r="X382" s="7"/>
      <c r="Y382" s="7" t="s">
        <v>2104</v>
      </c>
      <c r="Z382" s="7" t="s">
        <v>178</v>
      </c>
      <c r="AA382" s="7" t="s">
        <v>2105</v>
      </c>
      <c r="AB382" s="7" t="s">
        <v>45</v>
      </c>
      <c r="AC382" s="7"/>
      <c r="AD382" s="11"/>
      <c r="AE382" s="11"/>
      <c r="AF382" s="11"/>
      <c r="AG382" s="10">
        <f t="shared" si="5"/>
        <v>43321</v>
      </c>
    </row>
    <row r="383" spans="1:33">
      <c r="A383" s="7" t="s">
        <v>2106</v>
      </c>
      <c r="B383" s="7" t="s">
        <v>2106</v>
      </c>
      <c r="C383" s="7" t="s">
        <v>2107</v>
      </c>
      <c r="D383" s="7" t="s">
        <v>2108</v>
      </c>
      <c r="E383" s="7" t="s">
        <v>49</v>
      </c>
      <c r="F383" s="7" t="s">
        <v>34</v>
      </c>
      <c r="G383" s="7" t="s">
        <v>35</v>
      </c>
      <c r="H383" s="7"/>
      <c r="I383" s="7"/>
      <c r="J383" s="7" t="s">
        <v>50</v>
      </c>
      <c r="K383" s="7" t="s">
        <v>656</v>
      </c>
      <c r="L383" s="7" t="s">
        <v>657</v>
      </c>
      <c r="M383" s="7" t="s">
        <v>658</v>
      </c>
      <c r="N383" s="7" t="s">
        <v>49</v>
      </c>
      <c r="O383" s="7">
        <v>1</v>
      </c>
      <c r="P383" s="7" t="s">
        <v>41</v>
      </c>
      <c r="Q383" s="7">
        <v>106.99</v>
      </c>
      <c r="R383" s="7"/>
      <c r="S383" s="7"/>
      <c r="T383" s="7"/>
      <c r="U383" s="7"/>
      <c r="V383" s="7"/>
      <c r="W383" s="7"/>
      <c r="X383" s="7"/>
      <c r="Y383" s="7" t="s">
        <v>2109</v>
      </c>
      <c r="Z383" s="7" t="s">
        <v>437</v>
      </c>
      <c r="AA383" s="7" t="s">
        <v>2110</v>
      </c>
      <c r="AB383" s="7" t="s">
        <v>45</v>
      </c>
      <c r="AC383" s="7"/>
      <c r="AD383" s="11"/>
      <c r="AE383" s="11"/>
      <c r="AF383" s="11"/>
      <c r="AG383" s="10">
        <f t="shared" si="5"/>
        <v>43321</v>
      </c>
    </row>
    <row r="384" spans="1:33">
      <c r="A384" s="7" t="s">
        <v>2111</v>
      </c>
      <c r="B384" s="7" t="s">
        <v>2111</v>
      </c>
      <c r="C384" s="7" t="s">
        <v>2112</v>
      </c>
      <c r="D384" s="7" t="s">
        <v>2113</v>
      </c>
      <c r="E384" s="7" t="s">
        <v>33</v>
      </c>
      <c r="F384" s="7" t="s">
        <v>34</v>
      </c>
      <c r="G384" s="7" t="s">
        <v>35</v>
      </c>
      <c r="H384" s="7"/>
      <c r="I384" s="7"/>
      <c r="J384" s="7" t="s">
        <v>36</v>
      </c>
      <c r="K384" s="7" t="s">
        <v>70</v>
      </c>
      <c r="L384" s="7" t="s">
        <v>71</v>
      </c>
      <c r="M384" s="7" t="s">
        <v>72</v>
      </c>
      <c r="N384" s="7" t="s">
        <v>40</v>
      </c>
      <c r="O384" s="7">
        <v>1</v>
      </c>
      <c r="P384" s="7" t="s">
        <v>41</v>
      </c>
      <c r="Q384" s="7">
        <v>96.99</v>
      </c>
      <c r="R384" s="7"/>
      <c r="S384" s="7"/>
      <c r="T384" s="7"/>
      <c r="U384" s="7"/>
      <c r="V384" s="7"/>
      <c r="W384" s="7"/>
      <c r="X384" s="7"/>
      <c r="Y384" s="7" t="s">
        <v>265</v>
      </c>
      <c r="Z384" s="7" t="s">
        <v>337</v>
      </c>
      <c r="AA384" s="7" t="s">
        <v>2114</v>
      </c>
      <c r="AB384" s="7" t="s">
        <v>45</v>
      </c>
      <c r="AC384" s="7"/>
      <c r="AD384" s="11"/>
      <c r="AE384" s="11"/>
      <c r="AF384" s="11"/>
      <c r="AG384" s="10">
        <f t="shared" si="5"/>
        <v>43321</v>
      </c>
    </row>
    <row r="385" spans="1:33">
      <c r="A385" s="7" t="s">
        <v>2115</v>
      </c>
      <c r="B385" s="7" t="s">
        <v>2115</v>
      </c>
      <c r="C385" s="7" t="s">
        <v>2116</v>
      </c>
      <c r="D385" s="7" t="s">
        <v>2117</v>
      </c>
      <c r="E385" s="7" t="s">
        <v>49</v>
      </c>
      <c r="F385" s="7" t="s">
        <v>34</v>
      </c>
      <c r="G385" s="7" t="s">
        <v>35</v>
      </c>
      <c r="H385" s="7"/>
      <c r="I385" s="7"/>
      <c r="J385" s="7" t="s">
        <v>50</v>
      </c>
      <c r="K385" s="7" t="s">
        <v>37</v>
      </c>
      <c r="L385" s="7" t="s">
        <v>38</v>
      </c>
      <c r="M385" s="7" t="s">
        <v>39</v>
      </c>
      <c r="N385" s="7" t="s">
        <v>49</v>
      </c>
      <c r="O385" s="7">
        <v>1</v>
      </c>
      <c r="P385" s="7" t="s">
        <v>41</v>
      </c>
      <c r="Q385" s="7">
        <v>89.99</v>
      </c>
      <c r="R385" s="7"/>
      <c r="S385" s="7"/>
      <c r="T385" s="7"/>
      <c r="U385" s="7"/>
      <c r="V385" s="7"/>
      <c r="W385" s="7"/>
      <c r="X385" s="7"/>
      <c r="Y385" s="7" t="s">
        <v>2118</v>
      </c>
      <c r="Z385" s="7" t="s">
        <v>178</v>
      </c>
      <c r="AA385" s="7" t="s">
        <v>2119</v>
      </c>
      <c r="AB385" s="7" t="s">
        <v>45</v>
      </c>
      <c r="AC385" s="7"/>
      <c r="AD385" s="11"/>
      <c r="AE385" s="11"/>
      <c r="AF385" s="11"/>
      <c r="AG385" s="10">
        <f t="shared" si="5"/>
        <v>43321</v>
      </c>
    </row>
    <row r="386" spans="1:33">
      <c r="A386" s="7" t="s">
        <v>2120</v>
      </c>
      <c r="B386" s="7" t="s">
        <v>2120</v>
      </c>
      <c r="C386" s="7" t="s">
        <v>2121</v>
      </c>
      <c r="D386" s="7" t="s">
        <v>2122</v>
      </c>
      <c r="E386" s="7" t="s">
        <v>49</v>
      </c>
      <c r="F386" s="7" t="s">
        <v>34</v>
      </c>
      <c r="G386" s="7" t="s">
        <v>35</v>
      </c>
      <c r="H386" s="7"/>
      <c r="I386" s="7"/>
      <c r="J386" s="7" t="s">
        <v>50</v>
      </c>
      <c r="K386" s="7" t="s">
        <v>611</v>
      </c>
      <c r="L386" s="7" t="s">
        <v>612</v>
      </c>
      <c r="M386" s="7" t="s">
        <v>613</v>
      </c>
      <c r="N386" s="7" t="s">
        <v>49</v>
      </c>
      <c r="O386" s="7">
        <v>1</v>
      </c>
      <c r="P386" s="7" t="s">
        <v>41</v>
      </c>
      <c r="Q386" s="7">
        <v>89.99</v>
      </c>
      <c r="R386" s="7"/>
      <c r="S386" s="7"/>
      <c r="T386" s="7"/>
      <c r="U386" s="7"/>
      <c r="V386" s="7"/>
      <c r="W386" s="7"/>
      <c r="X386" s="7"/>
      <c r="Y386" s="7" t="s">
        <v>2123</v>
      </c>
      <c r="Z386" s="7" t="s">
        <v>1579</v>
      </c>
      <c r="AA386" s="7" t="s">
        <v>2124</v>
      </c>
      <c r="AB386" s="7" t="s">
        <v>45</v>
      </c>
      <c r="AC386" s="7"/>
      <c r="AD386" s="11"/>
      <c r="AE386" s="11"/>
      <c r="AF386" s="11"/>
      <c r="AG386" s="10">
        <f t="shared" ref="AG386:AG449" si="6">DATEVALUE(LEFT(C386,10))</f>
        <v>43321</v>
      </c>
    </row>
    <row r="387" spans="1:33">
      <c r="A387" s="7" t="s">
        <v>2125</v>
      </c>
      <c r="B387" s="7" t="s">
        <v>2125</v>
      </c>
      <c r="C387" s="7" t="s">
        <v>2126</v>
      </c>
      <c r="D387" s="7" t="s">
        <v>2127</v>
      </c>
      <c r="E387" s="7" t="s">
        <v>49</v>
      </c>
      <c r="F387" s="7" t="s">
        <v>34</v>
      </c>
      <c r="G387" s="7" t="s">
        <v>35</v>
      </c>
      <c r="H387" s="7"/>
      <c r="I387" s="7"/>
      <c r="J387" s="7" t="s">
        <v>50</v>
      </c>
      <c r="K387" s="7" t="s">
        <v>197</v>
      </c>
      <c r="L387" s="7" t="s">
        <v>977</v>
      </c>
      <c r="M387" s="7" t="s">
        <v>199</v>
      </c>
      <c r="N387" s="7" t="s">
        <v>49</v>
      </c>
      <c r="O387" s="7">
        <v>1</v>
      </c>
      <c r="P387" s="7" t="s">
        <v>41</v>
      </c>
      <c r="Q387" s="7">
        <v>21.99</v>
      </c>
      <c r="R387" s="7"/>
      <c r="S387" s="7"/>
      <c r="T387" s="7"/>
      <c r="U387" s="7"/>
      <c r="V387" s="7"/>
      <c r="W387" s="7"/>
      <c r="X387" s="7"/>
      <c r="Y387" s="7" t="s">
        <v>1800</v>
      </c>
      <c r="Z387" s="7" t="s">
        <v>221</v>
      </c>
      <c r="AA387" s="7" t="s">
        <v>1801</v>
      </c>
      <c r="AB387" s="7" t="s">
        <v>45</v>
      </c>
      <c r="AC387" s="7"/>
      <c r="AD387" s="11"/>
      <c r="AE387" s="11"/>
      <c r="AF387" s="11"/>
      <c r="AG387" s="10">
        <f t="shared" si="6"/>
        <v>43321</v>
      </c>
    </row>
    <row r="388" spans="1:33">
      <c r="A388" s="7" t="s">
        <v>2128</v>
      </c>
      <c r="B388" s="7" t="s">
        <v>2128</v>
      </c>
      <c r="C388" s="7" t="s">
        <v>2129</v>
      </c>
      <c r="D388" s="7" t="s">
        <v>2130</v>
      </c>
      <c r="E388" s="7" t="s">
        <v>49</v>
      </c>
      <c r="F388" s="7" t="s">
        <v>34</v>
      </c>
      <c r="G388" s="7" t="s">
        <v>35</v>
      </c>
      <c r="H388" s="7"/>
      <c r="I388" s="7"/>
      <c r="J388" s="7" t="s">
        <v>36</v>
      </c>
      <c r="K388" s="7" t="s">
        <v>37</v>
      </c>
      <c r="L388" s="7" t="s">
        <v>38</v>
      </c>
      <c r="M388" s="7" t="s">
        <v>39</v>
      </c>
      <c r="N388" s="7" t="s">
        <v>49</v>
      </c>
      <c r="O388" s="7">
        <v>1</v>
      </c>
      <c r="P388" s="7" t="s">
        <v>41</v>
      </c>
      <c r="Q388" s="7">
        <v>89.99</v>
      </c>
      <c r="R388" s="7"/>
      <c r="S388" s="7">
        <v>3.09</v>
      </c>
      <c r="T388" s="7"/>
      <c r="U388" s="7"/>
      <c r="V388" s="7"/>
      <c r="W388" s="7"/>
      <c r="X388" s="7"/>
      <c r="Y388" s="7" t="s">
        <v>2131</v>
      </c>
      <c r="Z388" s="7" t="s">
        <v>266</v>
      </c>
      <c r="AA388" s="7" t="s">
        <v>2132</v>
      </c>
      <c r="AB388" s="7" t="s">
        <v>45</v>
      </c>
      <c r="AC388" s="7"/>
      <c r="AD388" s="11"/>
      <c r="AE388" s="11"/>
      <c r="AF388" s="11"/>
      <c r="AG388" s="10">
        <f t="shared" si="6"/>
        <v>43321</v>
      </c>
    </row>
    <row r="389" spans="1:33">
      <c r="A389" s="7" t="s">
        <v>2128</v>
      </c>
      <c r="B389" s="7" t="s">
        <v>2128</v>
      </c>
      <c r="C389" s="7" t="s">
        <v>2129</v>
      </c>
      <c r="D389" s="7" t="s">
        <v>2130</v>
      </c>
      <c r="E389" s="7" t="s">
        <v>49</v>
      </c>
      <c r="F389" s="7" t="s">
        <v>34</v>
      </c>
      <c r="G389" s="7" t="s">
        <v>35</v>
      </c>
      <c r="H389" s="7"/>
      <c r="I389" s="7"/>
      <c r="J389" s="7" t="s">
        <v>36</v>
      </c>
      <c r="K389" s="7" t="s">
        <v>745</v>
      </c>
      <c r="L389" s="7" t="s">
        <v>746</v>
      </c>
      <c r="M389" s="7" t="s">
        <v>747</v>
      </c>
      <c r="N389" s="7" t="s">
        <v>49</v>
      </c>
      <c r="O389" s="7">
        <v>1</v>
      </c>
      <c r="P389" s="7" t="s">
        <v>41</v>
      </c>
      <c r="Q389" s="7">
        <v>89.99</v>
      </c>
      <c r="R389" s="7"/>
      <c r="S389" s="7">
        <v>3.35</v>
      </c>
      <c r="T389" s="7"/>
      <c r="U389" s="7"/>
      <c r="V389" s="7"/>
      <c r="W389" s="7"/>
      <c r="X389" s="7"/>
      <c r="Y389" s="7" t="s">
        <v>2131</v>
      </c>
      <c r="Z389" s="7" t="s">
        <v>266</v>
      </c>
      <c r="AA389" s="7" t="s">
        <v>2132</v>
      </c>
      <c r="AB389" s="7" t="s">
        <v>45</v>
      </c>
      <c r="AC389" s="7"/>
      <c r="AD389" s="11"/>
      <c r="AE389" s="11"/>
      <c r="AF389" s="11"/>
      <c r="AG389" s="10">
        <f t="shared" si="6"/>
        <v>43321</v>
      </c>
    </row>
    <row r="390" spans="1:33">
      <c r="A390" s="7" t="s">
        <v>2133</v>
      </c>
      <c r="B390" s="7" t="s">
        <v>2133</v>
      </c>
      <c r="C390" s="7" t="s">
        <v>2134</v>
      </c>
      <c r="D390" s="7" t="s">
        <v>2135</v>
      </c>
      <c r="E390" s="7" t="s">
        <v>49</v>
      </c>
      <c r="F390" s="7" t="s">
        <v>34</v>
      </c>
      <c r="G390" s="7" t="s">
        <v>35</v>
      </c>
      <c r="H390" s="7"/>
      <c r="I390" s="7"/>
      <c r="J390" s="7" t="s">
        <v>50</v>
      </c>
      <c r="K390" s="7" t="s">
        <v>753</v>
      </c>
      <c r="L390" s="7" t="s">
        <v>754</v>
      </c>
      <c r="M390" s="7" t="s">
        <v>755</v>
      </c>
      <c r="N390" s="7" t="s">
        <v>49</v>
      </c>
      <c r="O390" s="7">
        <v>1</v>
      </c>
      <c r="P390" s="7" t="s">
        <v>41</v>
      </c>
      <c r="Q390" s="7">
        <v>89.6</v>
      </c>
      <c r="R390" s="7"/>
      <c r="S390" s="7"/>
      <c r="T390" s="7"/>
      <c r="U390" s="7"/>
      <c r="V390" s="7"/>
      <c r="W390" s="7"/>
      <c r="X390" s="7"/>
      <c r="Y390" s="7" t="s">
        <v>2136</v>
      </c>
      <c r="Z390" s="7" t="s">
        <v>43</v>
      </c>
      <c r="AA390" s="7" t="s">
        <v>2137</v>
      </c>
      <c r="AB390" s="7" t="s">
        <v>45</v>
      </c>
      <c r="AC390" s="7"/>
      <c r="AD390" s="11"/>
      <c r="AE390" s="11"/>
      <c r="AF390" s="11"/>
      <c r="AG390" s="10">
        <f t="shared" si="6"/>
        <v>43321</v>
      </c>
    </row>
    <row r="391" spans="1:33">
      <c r="A391" s="7" t="s">
        <v>2138</v>
      </c>
      <c r="B391" s="7" t="s">
        <v>2138</v>
      </c>
      <c r="C391" s="7" t="s">
        <v>2139</v>
      </c>
      <c r="D391" s="7" t="s">
        <v>2140</v>
      </c>
      <c r="E391" s="7" t="s">
        <v>49</v>
      </c>
      <c r="F391" s="7" t="s">
        <v>34</v>
      </c>
      <c r="G391" s="7" t="s">
        <v>35</v>
      </c>
      <c r="H391" s="7"/>
      <c r="I391" s="7"/>
      <c r="J391" s="7" t="s">
        <v>50</v>
      </c>
      <c r="K391" s="7" t="s">
        <v>589</v>
      </c>
      <c r="L391" s="7" t="s">
        <v>590</v>
      </c>
      <c r="M391" s="7" t="s">
        <v>591</v>
      </c>
      <c r="N391" s="7" t="s">
        <v>49</v>
      </c>
      <c r="O391" s="7">
        <v>1</v>
      </c>
      <c r="P391" s="7" t="s">
        <v>41</v>
      </c>
      <c r="Q391" s="7">
        <v>12.99</v>
      </c>
      <c r="R391" s="7"/>
      <c r="S391" s="7"/>
      <c r="T391" s="7"/>
      <c r="U391" s="7"/>
      <c r="V391" s="7"/>
      <c r="W391" s="7"/>
      <c r="X391" s="7"/>
      <c r="Y391" s="7" t="s">
        <v>2141</v>
      </c>
      <c r="Z391" s="7" t="s">
        <v>361</v>
      </c>
      <c r="AA391" s="7" t="s">
        <v>2142</v>
      </c>
      <c r="AB391" s="7" t="s">
        <v>45</v>
      </c>
      <c r="AC391" s="7"/>
      <c r="AD391" s="11"/>
      <c r="AE391" s="11"/>
      <c r="AF391" s="11"/>
      <c r="AG391" s="10">
        <f t="shared" si="6"/>
        <v>43321</v>
      </c>
    </row>
    <row r="392" s="7" customFormat="1" spans="1:33">
      <c r="A392" s="7" t="s">
        <v>2143</v>
      </c>
      <c r="B392" s="7" t="s">
        <v>2143</v>
      </c>
      <c r="C392" s="7" t="s">
        <v>2144</v>
      </c>
      <c r="D392" s="7" t="s">
        <v>2145</v>
      </c>
      <c r="E392" s="7" t="s">
        <v>49</v>
      </c>
      <c r="F392" s="7" t="s">
        <v>34</v>
      </c>
      <c r="G392" s="7" t="s">
        <v>35</v>
      </c>
      <c r="J392" s="7" t="s">
        <v>36</v>
      </c>
      <c r="K392" s="7" t="s">
        <v>37</v>
      </c>
      <c r="L392" s="7" t="s">
        <v>38</v>
      </c>
      <c r="M392" s="7" t="s">
        <v>39</v>
      </c>
      <c r="N392" s="7" t="s">
        <v>49</v>
      </c>
      <c r="O392" s="7">
        <v>1</v>
      </c>
      <c r="P392" s="7" t="s">
        <v>41</v>
      </c>
      <c r="Q392" s="7">
        <v>89.99</v>
      </c>
      <c r="S392" s="7">
        <v>8.26</v>
      </c>
      <c r="Y392" s="7" t="s">
        <v>2146</v>
      </c>
      <c r="Z392" s="7" t="s">
        <v>64</v>
      </c>
      <c r="AA392" s="7" t="s">
        <v>2147</v>
      </c>
      <c r="AB392" s="7" t="s">
        <v>45</v>
      </c>
      <c r="AD392" s="11"/>
      <c r="AE392" s="11"/>
      <c r="AF392" s="11"/>
      <c r="AG392" s="10">
        <f t="shared" si="6"/>
        <v>43321</v>
      </c>
    </row>
    <row r="393" s="7" customFormat="1" spans="1:33">
      <c r="A393" s="7" t="s">
        <v>2148</v>
      </c>
      <c r="B393" s="7" t="s">
        <v>2148</v>
      </c>
      <c r="C393" s="7" t="s">
        <v>2149</v>
      </c>
      <c r="D393" s="7" t="s">
        <v>2150</v>
      </c>
      <c r="E393" s="7" t="s">
        <v>49</v>
      </c>
      <c r="F393" s="7" t="s">
        <v>34</v>
      </c>
      <c r="G393" s="7" t="s">
        <v>35</v>
      </c>
      <c r="J393" s="7" t="s">
        <v>50</v>
      </c>
      <c r="K393" s="7" t="s">
        <v>120</v>
      </c>
      <c r="L393" s="7" t="s">
        <v>121</v>
      </c>
      <c r="M393" s="7" t="s">
        <v>122</v>
      </c>
      <c r="N393" s="7" t="s">
        <v>49</v>
      </c>
      <c r="O393" s="7">
        <v>1</v>
      </c>
      <c r="P393" s="7" t="s">
        <v>41</v>
      </c>
      <c r="Q393" s="7">
        <v>29.99</v>
      </c>
      <c r="Y393" s="7" t="s">
        <v>2151</v>
      </c>
      <c r="Z393" s="7" t="s">
        <v>64</v>
      </c>
      <c r="AA393" s="7" t="s">
        <v>2152</v>
      </c>
      <c r="AB393" s="7" t="s">
        <v>45</v>
      </c>
      <c r="AD393" s="11"/>
      <c r="AE393" s="11"/>
      <c r="AF393" s="11"/>
      <c r="AG393" s="10">
        <f t="shared" si="6"/>
        <v>43321</v>
      </c>
    </row>
    <row r="394" s="7" customFormat="1" spans="1:33">
      <c r="A394" s="7" t="s">
        <v>2153</v>
      </c>
      <c r="B394" s="7" t="s">
        <v>2153</v>
      </c>
      <c r="C394" s="7" t="s">
        <v>2154</v>
      </c>
      <c r="D394" s="7" t="s">
        <v>2155</v>
      </c>
      <c r="E394" s="7" t="s">
        <v>49</v>
      </c>
      <c r="F394" s="7" t="s">
        <v>34</v>
      </c>
      <c r="G394" s="7" t="s">
        <v>35</v>
      </c>
      <c r="J394" s="7" t="s">
        <v>50</v>
      </c>
      <c r="K394" s="7" t="s">
        <v>456</v>
      </c>
      <c r="L394" s="7" t="s">
        <v>457</v>
      </c>
      <c r="M394" s="7" t="s">
        <v>458</v>
      </c>
      <c r="N394" s="7" t="s">
        <v>49</v>
      </c>
      <c r="O394" s="7">
        <v>1</v>
      </c>
      <c r="P394" s="7" t="s">
        <v>41</v>
      </c>
      <c r="Q394" s="7">
        <v>85.99</v>
      </c>
      <c r="Y394" s="7" t="s">
        <v>2156</v>
      </c>
      <c r="Z394" s="7" t="s">
        <v>346</v>
      </c>
      <c r="AA394" s="7" t="s">
        <v>2157</v>
      </c>
      <c r="AB394" s="7" t="s">
        <v>45</v>
      </c>
      <c r="AD394" s="11"/>
      <c r="AE394" s="11"/>
      <c r="AF394" s="11"/>
      <c r="AG394" s="10">
        <f t="shared" si="6"/>
        <v>43321</v>
      </c>
    </row>
    <row r="395" s="7" customFormat="1" spans="1:33">
      <c r="A395" s="7" t="s">
        <v>2158</v>
      </c>
      <c r="B395" s="7" t="s">
        <v>2158</v>
      </c>
      <c r="C395" s="7" t="s">
        <v>2159</v>
      </c>
      <c r="D395" s="7" t="s">
        <v>2160</v>
      </c>
      <c r="E395" s="7" t="s">
        <v>49</v>
      </c>
      <c r="F395" s="7" t="s">
        <v>34</v>
      </c>
      <c r="G395" s="7" t="s">
        <v>35</v>
      </c>
      <c r="J395" s="7" t="s">
        <v>50</v>
      </c>
      <c r="K395" s="7" t="s">
        <v>37</v>
      </c>
      <c r="L395" s="7" t="s">
        <v>38</v>
      </c>
      <c r="M395" s="7" t="s">
        <v>39</v>
      </c>
      <c r="N395" s="7" t="s">
        <v>49</v>
      </c>
      <c r="O395" s="7">
        <v>1</v>
      </c>
      <c r="P395" s="7" t="s">
        <v>41</v>
      </c>
      <c r="Q395" s="7">
        <v>89.99</v>
      </c>
      <c r="Y395" s="7" t="s">
        <v>1892</v>
      </c>
      <c r="Z395" s="7" t="s">
        <v>1893</v>
      </c>
      <c r="AA395" s="7" t="s">
        <v>1894</v>
      </c>
      <c r="AB395" s="7" t="s">
        <v>45</v>
      </c>
      <c r="AD395" s="11"/>
      <c r="AE395" s="11"/>
      <c r="AF395" s="11"/>
      <c r="AG395" s="10">
        <f t="shared" si="6"/>
        <v>43321</v>
      </c>
    </row>
    <row r="396" s="7" customFormat="1" spans="1:33">
      <c r="A396" s="7" t="s">
        <v>2161</v>
      </c>
      <c r="B396" s="7" t="s">
        <v>2161</v>
      </c>
      <c r="C396" s="7" t="s">
        <v>2162</v>
      </c>
      <c r="D396" s="7" t="s">
        <v>2163</v>
      </c>
      <c r="E396" s="7" t="s">
        <v>49</v>
      </c>
      <c r="F396" s="7" t="s">
        <v>34</v>
      </c>
      <c r="G396" s="7" t="s">
        <v>35</v>
      </c>
      <c r="J396" s="7" t="s">
        <v>50</v>
      </c>
      <c r="K396" s="7" t="s">
        <v>619</v>
      </c>
      <c r="L396" s="7" t="s">
        <v>620</v>
      </c>
      <c r="M396" s="7" t="s">
        <v>621</v>
      </c>
      <c r="N396" s="7" t="s">
        <v>49</v>
      </c>
      <c r="O396" s="7">
        <v>1</v>
      </c>
      <c r="P396" s="7" t="s">
        <v>41</v>
      </c>
      <c r="Q396" s="7">
        <v>32.99</v>
      </c>
      <c r="W396" s="7">
        <v>6.6</v>
      </c>
      <c r="Y396" s="7" t="s">
        <v>2164</v>
      </c>
      <c r="Z396" s="7" t="s">
        <v>413</v>
      </c>
      <c r="AA396" s="7" t="s">
        <v>2165</v>
      </c>
      <c r="AB396" s="7" t="s">
        <v>45</v>
      </c>
      <c r="AC396" s="7" t="s">
        <v>2166</v>
      </c>
      <c r="AD396" s="11"/>
      <c r="AE396" s="11"/>
      <c r="AF396" s="11"/>
      <c r="AG396" s="10">
        <f t="shared" si="6"/>
        <v>43321</v>
      </c>
    </row>
    <row r="397" s="7" customFormat="1" spans="1:33">
      <c r="A397" s="7" t="s">
        <v>2167</v>
      </c>
      <c r="B397" s="7" t="s">
        <v>2167</v>
      </c>
      <c r="C397" s="7" t="s">
        <v>2168</v>
      </c>
      <c r="D397" s="7" t="s">
        <v>2169</v>
      </c>
      <c r="E397" s="7" t="s">
        <v>49</v>
      </c>
      <c r="F397" s="7" t="s">
        <v>34</v>
      </c>
      <c r="G397" s="7" t="s">
        <v>35</v>
      </c>
      <c r="J397" s="7" t="s">
        <v>50</v>
      </c>
      <c r="K397" s="7" t="s">
        <v>1137</v>
      </c>
      <c r="L397" s="7" t="s">
        <v>1138</v>
      </c>
      <c r="M397" s="7" t="s">
        <v>1139</v>
      </c>
      <c r="N397" s="7" t="s">
        <v>49</v>
      </c>
      <c r="O397" s="7">
        <v>1</v>
      </c>
      <c r="P397" s="7" t="s">
        <v>41</v>
      </c>
      <c r="Q397" s="7">
        <v>32.99</v>
      </c>
      <c r="W397" s="7">
        <v>6.6</v>
      </c>
      <c r="Y397" s="7" t="s">
        <v>2164</v>
      </c>
      <c r="Z397" s="7" t="s">
        <v>413</v>
      </c>
      <c r="AA397" s="7" t="s">
        <v>2165</v>
      </c>
      <c r="AB397" s="7" t="s">
        <v>45</v>
      </c>
      <c r="AC397" s="7" t="s">
        <v>2166</v>
      </c>
      <c r="AD397" s="11"/>
      <c r="AE397" s="11"/>
      <c r="AF397" s="11"/>
      <c r="AG397" s="10">
        <f t="shared" si="6"/>
        <v>43321</v>
      </c>
    </row>
    <row r="398" s="7" customFormat="1" spans="1:33">
      <c r="A398" s="7" t="s">
        <v>2170</v>
      </c>
      <c r="B398" s="7" t="s">
        <v>2170</v>
      </c>
      <c r="C398" s="7" t="s">
        <v>2171</v>
      </c>
      <c r="D398" s="7" t="s">
        <v>2172</v>
      </c>
      <c r="E398" s="7" t="s">
        <v>33</v>
      </c>
      <c r="F398" s="7" t="s">
        <v>34</v>
      </c>
      <c r="G398" s="7" t="s">
        <v>35</v>
      </c>
      <c r="J398" s="7" t="s">
        <v>50</v>
      </c>
      <c r="K398" s="7" t="s">
        <v>619</v>
      </c>
      <c r="L398" s="7" t="s">
        <v>620</v>
      </c>
      <c r="M398" s="7" t="s">
        <v>621</v>
      </c>
      <c r="N398" s="7" t="s">
        <v>33</v>
      </c>
      <c r="O398" s="7">
        <v>0</v>
      </c>
      <c r="Y398" s="7" t="s">
        <v>2164</v>
      </c>
      <c r="Z398" s="7" t="s">
        <v>413</v>
      </c>
      <c r="AA398" s="7" t="s">
        <v>2165</v>
      </c>
      <c r="AB398" s="7" t="s">
        <v>45</v>
      </c>
      <c r="AD398" s="11"/>
      <c r="AE398" s="11"/>
      <c r="AF398" s="11"/>
      <c r="AG398" s="10">
        <f t="shared" si="6"/>
        <v>43321</v>
      </c>
    </row>
    <row r="399" s="7" customFormat="1" spans="1:33">
      <c r="A399" s="7" t="s">
        <v>2170</v>
      </c>
      <c r="B399" s="7" t="s">
        <v>2170</v>
      </c>
      <c r="C399" s="7" t="s">
        <v>2171</v>
      </c>
      <c r="D399" s="7" t="s">
        <v>2172</v>
      </c>
      <c r="E399" s="7" t="s">
        <v>33</v>
      </c>
      <c r="F399" s="7" t="s">
        <v>34</v>
      </c>
      <c r="G399" s="7" t="s">
        <v>35</v>
      </c>
      <c r="J399" s="7" t="s">
        <v>50</v>
      </c>
      <c r="K399" s="7" t="s">
        <v>1137</v>
      </c>
      <c r="L399" s="7" t="s">
        <v>1138</v>
      </c>
      <c r="M399" s="7" t="s">
        <v>1139</v>
      </c>
      <c r="N399" s="7" t="s">
        <v>33</v>
      </c>
      <c r="O399" s="7">
        <v>0</v>
      </c>
      <c r="Y399" s="7" t="s">
        <v>2164</v>
      </c>
      <c r="Z399" s="7" t="s">
        <v>413</v>
      </c>
      <c r="AA399" s="7" t="s">
        <v>2165</v>
      </c>
      <c r="AB399" s="7" t="s">
        <v>45</v>
      </c>
      <c r="AD399" s="11"/>
      <c r="AE399" s="11"/>
      <c r="AF399" s="11"/>
      <c r="AG399" s="10">
        <f t="shared" si="6"/>
        <v>43321</v>
      </c>
    </row>
    <row r="400" s="7" customFormat="1" spans="1:33">
      <c r="A400" s="7" t="s">
        <v>2173</v>
      </c>
      <c r="B400" s="7" t="s">
        <v>2173</v>
      </c>
      <c r="C400" s="7" t="s">
        <v>2174</v>
      </c>
      <c r="D400" s="7" t="s">
        <v>2175</v>
      </c>
      <c r="E400" s="7" t="s">
        <v>49</v>
      </c>
      <c r="F400" s="7" t="s">
        <v>34</v>
      </c>
      <c r="G400" s="7" t="s">
        <v>35</v>
      </c>
      <c r="J400" s="7" t="s">
        <v>50</v>
      </c>
      <c r="K400" s="7" t="s">
        <v>37</v>
      </c>
      <c r="L400" s="7" t="s">
        <v>38</v>
      </c>
      <c r="M400" s="7" t="s">
        <v>39</v>
      </c>
      <c r="N400" s="7" t="s">
        <v>49</v>
      </c>
      <c r="O400" s="7">
        <v>1</v>
      </c>
      <c r="P400" s="7" t="s">
        <v>41</v>
      </c>
      <c r="Q400" s="7">
        <v>89.99</v>
      </c>
      <c r="Y400" s="7" t="s">
        <v>2176</v>
      </c>
      <c r="Z400" s="7" t="s">
        <v>92</v>
      </c>
      <c r="AA400" s="7" t="s">
        <v>2177</v>
      </c>
      <c r="AB400" s="7" t="s">
        <v>45</v>
      </c>
      <c r="AD400" s="11"/>
      <c r="AE400" s="11"/>
      <c r="AF400" s="11"/>
      <c r="AG400" s="10">
        <f t="shared" si="6"/>
        <v>43321</v>
      </c>
    </row>
    <row r="401" s="7" customFormat="1" spans="1:33">
      <c r="A401" s="7" t="s">
        <v>2178</v>
      </c>
      <c r="B401" s="7" t="s">
        <v>2178</v>
      </c>
      <c r="C401" s="7" t="s">
        <v>2179</v>
      </c>
      <c r="D401" s="7" t="s">
        <v>2180</v>
      </c>
      <c r="E401" s="7" t="s">
        <v>33</v>
      </c>
      <c r="F401" s="7" t="s">
        <v>34</v>
      </c>
      <c r="G401" s="7" t="s">
        <v>35</v>
      </c>
      <c r="J401" s="7" t="s">
        <v>36</v>
      </c>
      <c r="K401" s="7" t="s">
        <v>142</v>
      </c>
      <c r="L401" s="7" t="s">
        <v>143</v>
      </c>
      <c r="M401" s="7" t="s">
        <v>144</v>
      </c>
      <c r="N401" s="7" t="s">
        <v>33</v>
      </c>
      <c r="O401" s="7">
        <v>0</v>
      </c>
      <c r="Y401" s="7" t="s">
        <v>2181</v>
      </c>
      <c r="Z401" s="7" t="s">
        <v>2182</v>
      </c>
      <c r="AA401" s="7">
        <v>33172</v>
      </c>
      <c r="AB401" s="7" t="s">
        <v>45</v>
      </c>
      <c r="AD401" s="11"/>
      <c r="AE401" s="11"/>
      <c r="AF401" s="11"/>
      <c r="AG401" s="10">
        <f t="shared" si="6"/>
        <v>43321</v>
      </c>
    </row>
    <row r="402" s="7" customFormat="1" spans="1:33">
      <c r="A402" s="7" t="s">
        <v>2183</v>
      </c>
      <c r="B402" s="7" t="s">
        <v>2183</v>
      </c>
      <c r="C402" s="7" t="s">
        <v>2184</v>
      </c>
      <c r="D402" s="7" t="s">
        <v>2185</v>
      </c>
      <c r="E402" s="7" t="s">
        <v>49</v>
      </c>
      <c r="F402" s="7" t="s">
        <v>34</v>
      </c>
      <c r="G402" s="7" t="s">
        <v>35</v>
      </c>
      <c r="J402" s="7" t="s">
        <v>50</v>
      </c>
      <c r="K402" s="7" t="s">
        <v>60</v>
      </c>
      <c r="L402" s="7" t="s">
        <v>61</v>
      </c>
      <c r="M402" s="7" t="s">
        <v>62</v>
      </c>
      <c r="N402" s="7" t="s">
        <v>49</v>
      </c>
      <c r="O402" s="7">
        <v>1</v>
      </c>
      <c r="P402" s="7" t="s">
        <v>41</v>
      </c>
      <c r="Q402" s="7">
        <v>21.99</v>
      </c>
      <c r="Y402" s="7" t="s">
        <v>2186</v>
      </c>
      <c r="Z402" s="7" t="s">
        <v>43</v>
      </c>
      <c r="AA402" s="7" t="s">
        <v>2187</v>
      </c>
      <c r="AB402" s="7" t="s">
        <v>45</v>
      </c>
      <c r="AD402" s="11"/>
      <c r="AE402" s="11"/>
      <c r="AF402" s="11"/>
      <c r="AG402" s="10">
        <f t="shared" si="6"/>
        <v>43321</v>
      </c>
    </row>
    <row r="403" s="7" customFormat="1" spans="1:33">
      <c r="A403" s="7" t="s">
        <v>2183</v>
      </c>
      <c r="B403" s="7" t="s">
        <v>2183</v>
      </c>
      <c r="C403" s="7" t="s">
        <v>2184</v>
      </c>
      <c r="D403" s="7" t="s">
        <v>2185</v>
      </c>
      <c r="E403" s="7" t="s">
        <v>49</v>
      </c>
      <c r="F403" s="7" t="s">
        <v>34</v>
      </c>
      <c r="G403" s="7" t="s">
        <v>35</v>
      </c>
      <c r="J403" s="7" t="s">
        <v>50</v>
      </c>
      <c r="K403" s="7" t="s">
        <v>2188</v>
      </c>
      <c r="L403" s="7" t="s">
        <v>2189</v>
      </c>
      <c r="M403" s="7" t="s">
        <v>2190</v>
      </c>
      <c r="N403" s="7" t="s">
        <v>49</v>
      </c>
      <c r="O403" s="7">
        <v>1</v>
      </c>
      <c r="P403" s="7" t="s">
        <v>41</v>
      </c>
      <c r="Q403" s="7">
        <v>23.99</v>
      </c>
      <c r="Y403" s="7" t="s">
        <v>2186</v>
      </c>
      <c r="Z403" s="7" t="s">
        <v>43</v>
      </c>
      <c r="AA403" s="7" t="s">
        <v>2187</v>
      </c>
      <c r="AB403" s="7" t="s">
        <v>45</v>
      </c>
      <c r="AD403" s="11"/>
      <c r="AE403" s="11"/>
      <c r="AF403" s="11"/>
      <c r="AG403" s="10">
        <f t="shared" si="6"/>
        <v>43321</v>
      </c>
    </row>
    <row r="404" s="7" customFormat="1" spans="1:33">
      <c r="A404" s="7" t="s">
        <v>2191</v>
      </c>
      <c r="B404" s="7" t="s">
        <v>2191</v>
      </c>
      <c r="C404" s="7" t="s">
        <v>2192</v>
      </c>
      <c r="D404" s="7" t="s">
        <v>2193</v>
      </c>
      <c r="E404" s="7" t="s">
        <v>49</v>
      </c>
      <c r="F404" s="7" t="s">
        <v>34</v>
      </c>
      <c r="G404" s="7" t="s">
        <v>35</v>
      </c>
      <c r="J404" s="7" t="s">
        <v>326</v>
      </c>
      <c r="K404" s="7" t="s">
        <v>276</v>
      </c>
      <c r="L404" s="7" t="s">
        <v>277</v>
      </c>
      <c r="M404" s="7" t="s">
        <v>278</v>
      </c>
      <c r="N404" s="7" t="s">
        <v>49</v>
      </c>
      <c r="O404" s="7">
        <v>1</v>
      </c>
      <c r="P404" s="7" t="s">
        <v>41</v>
      </c>
      <c r="Q404" s="7">
        <v>91.99</v>
      </c>
      <c r="S404" s="7">
        <v>6.99</v>
      </c>
      <c r="Y404" s="7" t="s">
        <v>748</v>
      </c>
      <c r="Z404" s="7" t="s">
        <v>64</v>
      </c>
      <c r="AA404" s="7" t="s">
        <v>2194</v>
      </c>
      <c r="AB404" s="7" t="s">
        <v>45</v>
      </c>
      <c r="AD404" s="8"/>
      <c r="AE404" s="8"/>
      <c r="AF404" s="8"/>
      <c r="AG404" s="10">
        <f t="shared" si="6"/>
        <v>43321</v>
      </c>
    </row>
    <row r="405" s="7" customFormat="1" spans="1:33">
      <c r="A405" s="7" t="s">
        <v>2195</v>
      </c>
      <c r="B405" s="7" t="s">
        <v>2195</v>
      </c>
      <c r="C405" s="7" t="s">
        <v>2196</v>
      </c>
      <c r="D405" s="7" t="s">
        <v>2197</v>
      </c>
      <c r="E405" s="7" t="s">
        <v>33</v>
      </c>
      <c r="F405" s="7" t="s">
        <v>34</v>
      </c>
      <c r="G405" s="7" t="s">
        <v>35</v>
      </c>
      <c r="J405" s="7" t="s">
        <v>50</v>
      </c>
      <c r="K405" s="7" t="s">
        <v>1191</v>
      </c>
      <c r="L405" s="7" t="s">
        <v>1192</v>
      </c>
      <c r="M405" s="7" t="s">
        <v>1193</v>
      </c>
      <c r="N405" s="7" t="s">
        <v>33</v>
      </c>
      <c r="O405" s="7">
        <v>0</v>
      </c>
      <c r="Y405" s="7" t="s">
        <v>2198</v>
      </c>
      <c r="Z405" s="7" t="s">
        <v>92</v>
      </c>
      <c r="AA405" s="7" t="s">
        <v>2199</v>
      </c>
      <c r="AB405" s="7" t="s">
        <v>45</v>
      </c>
      <c r="AD405" s="8"/>
      <c r="AE405" s="8"/>
      <c r="AF405" s="8"/>
      <c r="AG405" s="10">
        <f t="shared" si="6"/>
        <v>43321</v>
      </c>
    </row>
    <row r="406" s="7" customFormat="1" spans="1:33">
      <c r="A406" s="7" t="s">
        <v>2200</v>
      </c>
      <c r="B406" s="7" t="s">
        <v>2200</v>
      </c>
      <c r="C406" s="7" t="s">
        <v>2201</v>
      </c>
      <c r="D406" s="7" t="s">
        <v>2202</v>
      </c>
      <c r="E406" s="7" t="s">
        <v>33</v>
      </c>
      <c r="F406" s="7" t="s">
        <v>34</v>
      </c>
      <c r="G406" s="7" t="s">
        <v>35</v>
      </c>
      <c r="J406" s="7" t="s">
        <v>50</v>
      </c>
      <c r="K406" s="7" t="s">
        <v>1191</v>
      </c>
      <c r="L406" s="7" t="s">
        <v>1192</v>
      </c>
      <c r="M406" s="7" t="s">
        <v>1193</v>
      </c>
      <c r="N406" s="7" t="s">
        <v>33</v>
      </c>
      <c r="O406" s="7">
        <v>0</v>
      </c>
      <c r="Y406" s="7" t="s">
        <v>2198</v>
      </c>
      <c r="Z406" s="7" t="s">
        <v>92</v>
      </c>
      <c r="AA406" s="7" t="s">
        <v>2199</v>
      </c>
      <c r="AB406" s="7" t="s">
        <v>45</v>
      </c>
      <c r="AD406" s="11"/>
      <c r="AE406" s="11"/>
      <c r="AF406" s="11"/>
      <c r="AG406" s="10">
        <f t="shared" si="6"/>
        <v>43321</v>
      </c>
    </row>
    <row r="407" s="7" customFormat="1" spans="1:33">
      <c r="A407" s="7" t="s">
        <v>2203</v>
      </c>
      <c r="B407" s="7" t="s">
        <v>2203</v>
      </c>
      <c r="C407" s="7" t="s">
        <v>2204</v>
      </c>
      <c r="D407" s="7" t="s">
        <v>2205</v>
      </c>
      <c r="E407" s="7" t="s">
        <v>49</v>
      </c>
      <c r="F407" s="7" t="s">
        <v>34</v>
      </c>
      <c r="G407" s="7" t="s">
        <v>35</v>
      </c>
      <c r="J407" s="7" t="s">
        <v>50</v>
      </c>
      <c r="K407" s="7" t="s">
        <v>276</v>
      </c>
      <c r="L407" s="7" t="s">
        <v>277</v>
      </c>
      <c r="M407" s="7" t="s">
        <v>278</v>
      </c>
      <c r="N407" s="7" t="s">
        <v>49</v>
      </c>
      <c r="O407" s="7">
        <v>1</v>
      </c>
      <c r="P407" s="7" t="s">
        <v>41</v>
      </c>
      <c r="Q407" s="7">
        <v>91.99</v>
      </c>
      <c r="Y407" s="7" t="s">
        <v>2206</v>
      </c>
      <c r="Z407" s="7" t="s">
        <v>1469</v>
      </c>
      <c r="AA407" s="7" t="s">
        <v>2207</v>
      </c>
      <c r="AB407" s="7" t="s">
        <v>45</v>
      </c>
      <c r="AD407" s="11"/>
      <c r="AE407" s="11"/>
      <c r="AF407" s="11"/>
      <c r="AG407" s="10">
        <f t="shared" si="6"/>
        <v>43321</v>
      </c>
    </row>
    <row r="408" s="7" customFormat="1" spans="1:33">
      <c r="A408" s="7" t="s">
        <v>2208</v>
      </c>
      <c r="B408" s="7" t="s">
        <v>2208</v>
      </c>
      <c r="C408" s="7" t="s">
        <v>2209</v>
      </c>
      <c r="D408" s="7" t="s">
        <v>2210</v>
      </c>
      <c r="E408" s="7" t="s">
        <v>33</v>
      </c>
      <c r="F408" s="7" t="s">
        <v>34</v>
      </c>
      <c r="G408" s="7" t="s">
        <v>35</v>
      </c>
      <c r="J408" s="7" t="s">
        <v>50</v>
      </c>
      <c r="K408" s="7" t="s">
        <v>386</v>
      </c>
      <c r="L408" s="7" t="s">
        <v>387</v>
      </c>
      <c r="M408" s="7" t="s">
        <v>388</v>
      </c>
      <c r="N408" s="7" t="s">
        <v>33</v>
      </c>
      <c r="O408" s="7">
        <v>0</v>
      </c>
      <c r="Y408" s="7" t="s">
        <v>2211</v>
      </c>
      <c r="Z408" s="7" t="s">
        <v>346</v>
      </c>
      <c r="AA408" s="7">
        <v>13665</v>
      </c>
      <c r="AB408" s="7" t="s">
        <v>45</v>
      </c>
      <c r="AD408" s="11"/>
      <c r="AE408" s="11"/>
      <c r="AF408" s="11"/>
      <c r="AG408" s="10">
        <f t="shared" si="6"/>
        <v>43321</v>
      </c>
    </row>
    <row r="409" s="7" customFormat="1" spans="1:33">
      <c r="A409" s="7" t="s">
        <v>2212</v>
      </c>
      <c r="B409" s="7" t="s">
        <v>2212</v>
      </c>
      <c r="C409" s="7" t="s">
        <v>2213</v>
      </c>
      <c r="D409" s="7" t="s">
        <v>2214</v>
      </c>
      <c r="E409" s="7" t="s">
        <v>49</v>
      </c>
      <c r="F409" s="7" t="s">
        <v>34</v>
      </c>
      <c r="G409" s="7" t="s">
        <v>35</v>
      </c>
      <c r="J409" s="7" t="s">
        <v>50</v>
      </c>
      <c r="K409" s="7" t="s">
        <v>2215</v>
      </c>
      <c r="L409" s="7" t="s">
        <v>2216</v>
      </c>
      <c r="M409" s="7" t="s">
        <v>2217</v>
      </c>
      <c r="N409" s="7" t="s">
        <v>49</v>
      </c>
      <c r="O409" s="7">
        <v>1</v>
      </c>
      <c r="P409" s="7" t="s">
        <v>41</v>
      </c>
      <c r="Q409" s="7">
        <v>99.99</v>
      </c>
      <c r="U409" s="7">
        <v>4.99</v>
      </c>
      <c r="Y409" s="7" t="s">
        <v>2218</v>
      </c>
      <c r="Z409" s="7" t="s">
        <v>64</v>
      </c>
      <c r="AA409" s="7" t="s">
        <v>2219</v>
      </c>
      <c r="AB409" s="7" t="s">
        <v>45</v>
      </c>
      <c r="AD409" s="11"/>
      <c r="AE409" s="11"/>
      <c r="AF409" s="11"/>
      <c r="AG409" s="10">
        <f t="shared" si="6"/>
        <v>43321</v>
      </c>
    </row>
    <row r="410" s="7" customFormat="1" spans="1:33">
      <c r="A410" s="7" t="s">
        <v>2220</v>
      </c>
      <c r="B410" s="7" t="s">
        <v>2220</v>
      </c>
      <c r="C410" s="7" t="s">
        <v>2221</v>
      </c>
      <c r="D410" s="7" t="s">
        <v>2222</v>
      </c>
      <c r="E410" s="7" t="s">
        <v>49</v>
      </c>
      <c r="F410" s="7" t="s">
        <v>34</v>
      </c>
      <c r="G410" s="7" t="s">
        <v>35</v>
      </c>
      <c r="J410" s="7" t="s">
        <v>50</v>
      </c>
      <c r="K410" s="7" t="s">
        <v>589</v>
      </c>
      <c r="L410" s="7" t="s">
        <v>590</v>
      </c>
      <c r="M410" s="7" t="s">
        <v>591</v>
      </c>
      <c r="N410" s="7" t="s">
        <v>49</v>
      </c>
      <c r="O410" s="7">
        <v>1</v>
      </c>
      <c r="P410" s="7" t="s">
        <v>41</v>
      </c>
      <c r="Q410" s="7">
        <v>12.99</v>
      </c>
      <c r="Y410" s="7" t="s">
        <v>2223</v>
      </c>
      <c r="Z410" s="7" t="s">
        <v>2224</v>
      </c>
      <c r="AA410" s="7">
        <v>57201</v>
      </c>
      <c r="AB410" s="7" t="s">
        <v>45</v>
      </c>
      <c r="AD410" s="11"/>
      <c r="AE410" s="11"/>
      <c r="AF410" s="11"/>
      <c r="AG410" s="10">
        <f t="shared" si="6"/>
        <v>43321</v>
      </c>
    </row>
    <row r="411" s="7" customFormat="1" spans="1:33">
      <c r="A411" s="7" t="s">
        <v>2225</v>
      </c>
      <c r="B411" s="7" t="s">
        <v>2225</v>
      </c>
      <c r="C411" s="7" t="s">
        <v>2226</v>
      </c>
      <c r="D411" s="7" t="s">
        <v>2227</v>
      </c>
      <c r="E411" s="7" t="s">
        <v>49</v>
      </c>
      <c r="F411" s="7" t="s">
        <v>34</v>
      </c>
      <c r="G411" s="7" t="s">
        <v>35</v>
      </c>
      <c r="J411" s="7" t="s">
        <v>50</v>
      </c>
      <c r="K411" s="7" t="s">
        <v>276</v>
      </c>
      <c r="L411" s="7" t="s">
        <v>277</v>
      </c>
      <c r="M411" s="7" t="s">
        <v>278</v>
      </c>
      <c r="N411" s="7" t="s">
        <v>49</v>
      </c>
      <c r="O411" s="7">
        <v>1</v>
      </c>
      <c r="P411" s="7" t="s">
        <v>41</v>
      </c>
      <c r="Q411" s="7">
        <v>91.99</v>
      </c>
      <c r="Y411" s="7" t="s">
        <v>2228</v>
      </c>
      <c r="Z411" s="7" t="s">
        <v>2182</v>
      </c>
      <c r="AA411" s="7">
        <v>32066</v>
      </c>
      <c r="AB411" s="7" t="s">
        <v>45</v>
      </c>
      <c r="AD411" s="11"/>
      <c r="AE411" s="11"/>
      <c r="AF411" s="11"/>
      <c r="AG411" s="10">
        <f t="shared" si="6"/>
        <v>43321</v>
      </c>
    </row>
    <row r="412" s="7" customFormat="1" spans="1:33">
      <c r="A412" s="7" t="s">
        <v>2229</v>
      </c>
      <c r="B412" s="7" t="s">
        <v>2229</v>
      </c>
      <c r="C412" s="7" t="s">
        <v>2230</v>
      </c>
      <c r="D412" s="7" t="s">
        <v>2231</v>
      </c>
      <c r="E412" s="7" t="s">
        <v>33</v>
      </c>
      <c r="F412" s="7" t="s">
        <v>34</v>
      </c>
      <c r="G412" s="7" t="s">
        <v>35</v>
      </c>
      <c r="J412" s="7" t="s">
        <v>36</v>
      </c>
      <c r="K412" s="7" t="s">
        <v>88</v>
      </c>
      <c r="L412" s="7" t="s">
        <v>89</v>
      </c>
      <c r="M412" s="7" t="s">
        <v>90</v>
      </c>
      <c r="N412" s="7" t="s">
        <v>40</v>
      </c>
      <c r="O412" s="7">
        <v>1</v>
      </c>
      <c r="P412" s="7" t="s">
        <v>41</v>
      </c>
      <c r="Q412" s="7">
        <v>89.99</v>
      </c>
      <c r="Y412" s="7" t="s">
        <v>2232</v>
      </c>
      <c r="Z412" s="7" t="s">
        <v>124</v>
      </c>
      <c r="AA412" s="7" t="s">
        <v>2233</v>
      </c>
      <c r="AB412" s="7" t="s">
        <v>45</v>
      </c>
      <c r="AD412" s="11"/>
      <c r="AE412" s="11"/>
      <c r="AF412" s="11"/>
      <c r="AG412" s="10">
        <f t="shared" si="6"/>
        <v>43321</v>
      </c>
    </row>
    <row r="413" s="7" customFormat="1" spans="1:33">
      <c r="A413" s="7" t="s">
        <v>2234</v>
      </c>
      <c r="B413" s="7" t="s">
        <v>2234</v>
      </c>
      <c r="C413" s="7" t="s">
        <v>2235</v>
      </c>
      <c r="D413" s="7" t="s">
        <v>2236</v>
      </c>
      <c r="E413" s="7" t="s">
        <v>49</v>
      </c>
      <c r="F413" s="7" t="s">
        <v>34</v>
      </c>
      <c r="G413" s="7" t="s">
        <v>35</v>
      </c>
      <c r="J413" s="7" t="s">
        <v>50</v>
      </c>
      <c r="K413" s="7" t="s">
        <v>1989</v>
      </c>
      <c r="L413" s="7" t="s">
        <v>1990</v>
      </c>
      <c r="M413" s="7" t="s">
        <v>1991</v>
      </c>
      <c r="N413" s="7" t="s">
        <v>49</v>
      </c>
      <c r="O413" s="7">
        <v>1</v>
      </c>
      <c r="P413" s="7" t="s">
        <v>41</v>
      </c>
      <c r="Q413" s="7">
        <v>16.99</v>
      </c>
      <c r="Y413" s="7" t="s">
        <v>2237</v>
      </c>
      <c r="Z413" s="7" t="s">
        <v>83</v>
      </c>
      <c r="AA413" s="7" t="s">
        <v>2238</v>
      </c>
      <c r="AB413" s="7" t="s">
        <v>45</v>
      </c>
      <c r="AD413" s="11"/>
      <c r="AE413" s="11"/>
      <c r="AF413" s="11"/>
      <c r="AG413" s="10">
        <f t="shared" si="6"/>
        <v>43321</v>
      </c>
    </row>
    <row r="414" s="7" customFormat="1" spans="1:33">
      <c r="A414" s="7" t="s">
        <v>2239</v>
      </c>
      <c r="B414" s="7" t="s">
        <v>2239</v>
      </c>
      <c r="C414" s="7" t="s">
        <v>2240</v>
      </c>
      <c r="D414" s="7" t="s">
        <v>2241</v>
      </c>
      <c r="E414" s="7" t="s">
        <v>49</v>
      </c>
      <c r="F414" s="7" t="s">
        <v>34</v>
      </c>
      <c r="G414" s="7" t="s">
        <v>35</v>
      </c>
      <c r="J414" s="7" t="s">
        <v>50</v>
      </c>
      <c r="K414" s="7" t="s">
        <v>327</v>
      </c>
      <c r="L414" s="7" t="s">
        <v>328</v>
      </c>
      <c r="M414" s="7" t="s">
        <v>329</v>
      </c>
      <c r="N414" s="7" t="s">
        <v>49</v>
      </c>
      <c r="O414" s="7">
        <v>1</v>
      </c>
      <c r="P414" s="7" t="s">
        <v>41</v>
      </c>
      <c r="Q414" s="7">
        <v>89.99</v>
      </c>
      <c r="S414" s="7">
        <v>15.94</v>
      </c>
      <c r="Y414" s="7" t="s">
        <v>2242</v>
      </c>
      <c r="Z414" s="7" t="s">
        <v>678</v>
      </c>
      <c r="AA414" s="7" t="s">
        <v>2243</v>
      </c>
      <c r="AB414" s="7" t="s">
        <v>45</v>
      </c>
      <c r="AD414" s="11"/>
      <c r="AE414" s="11"/>
      <c r="AF414" s="11"/>
      <c r="AG414" s="10">
        <f t="shared" si="6"/>
        <v>43321</v>
      </c>
    </row>
    <row r="415" s="7" customFormat="1" spans="1:33">
      <c r="A415" s="7" t="s">
        <v>2244</v>
      </c>
      <c r="B415" s="7" t="s">
        <v>2245</v>
      </c>
      <c r="C415" s="7" t="s">
        <v>2246</v>
      </c>
      <c r="D415" s="7" t="s">
        <v>2247</v>
      </c>
      <c r="E415" s="7" t="s">
        <v>49</v>
      </c>
      <c r="F415" s="7" t="s">
        <v>34</v>
      </c>
      <c r="G415" s="7" t="s">
        <v>719</v>
      </c>
      <c r="J415" s="7" t="s">
        <v>36</v>
      </c>
      <c r="K415" s="7" t="s">
        <v>2248</v>
      </c>
      <c r="L415" s="7" t="s">
        <v>746</v>
      </c>
      <c r="M415" s="7" t="s">
        <v>747</v>
      </c>
      <c r="N415" s="7" t="s">
        <v>40</v>
      </c>
      <c r="O415" s="7">
        <v>2</v>
      </c>
      <c r="AD415" s="8"/>
      <c r="AE415" s="8"/>
      <c r="AF415" s="8"/>
      <c r="AG415" s="10">
        <f t="shared" si="6"/>
        <v>43322</v>
      </c>
    </row>
    <row r="416" s="7" customFormat="1" spans="1:33">
      <c r="A416" s="7" t="s">
        <v>2249</v>
      </c>
      <c r="B416" s="7" t="s">
        <v>2249</v>
      </c>
      <c r="C416" s="7" t="s">
        <v>2250</v>
      </c>
      <c r="D416" s="7" t="s">
        <v>2251</v>
      </c>
      <c r="E416" s="7" t="s">
        <v>49</v>
      </c>
      <c r="F416" s="7" t="s">
        <v>34</v>
      </c>
      <c r="G416" s="7" t="s">
        <v>35</v>
      </c>
      <c r="J416" s="7" t="s">
        <v>50</v>
      </c>
      <c r="K416" s="7" t="s">
        <v>464</v>
      </c>
      <c r="L416" s="7" t="s">
        <v>465</v>
      </c>
      <c r="M416" s="7" t="s">
        <v>466</v>
      </c>
      <c r="N416" s="7" t="s">
        <v>49</v>
      </c>
      <c r="O416" s="7">
        <v>1</v>
      </c>
      <c r="P416" s="7" t="s">
        <v>41</v>
      </c>
      <c r="Q416" s="7">
        <v>89.99</v>
      </c>
      <c r="Y416" s="7" t="s">
        <v>2252</v>
      </c>
      <c r="Z416" s="7" t="s">
        <v>83</v>
      </c>
      <c r="AA416" s="7" t="s">
        <v>2253</v>
      </c>
      <c r="AB416" s="7" t="s">
        <v>45</v>
      </c>
      <c r="AD416" s="11"/>
      <c r="AE416" s="11"/>
      <c r="AF416" s="11"/>
      <c r="AG416" s="10">
        <f t="shared" si="6"/>
        <v>43322</v>
      </c>
    </row>
    <row r="417" s="7" customFormat="1" spans="1:33">
      <c r="A417" s="7" t="s">
        <v>2254</v>
      </c>
      <c r="B417" s="7" t="s">
        <v>2254</v>
      </c>
      <c r="C417" s="7" t="s">
        <v>2255</v>
      </c>
      <c r="D417" s="7" t="s">
        <v>2256</v>
      </c>
      <c r="E417" s="7" t="s">
        <v>49</v>
      </c>
      <c r="F417" s="7" t="s">
        <v>34</v>
      </c>
      <c r="G417" s="7" t="s">
        <v>35</v>
      </c>
      <c r="J417" s="7" t="s">
        <v>50</v>
      </c>
      <c r="K417" s="7" t="s">
        <v>208</v>
      </c>
      <c r="L417" s="7" t="s">
        <v>209</v>
      </c>
      <c r="M417" s="7" t="s">
        <v>210</v>
      </c>
      <c r="N417" s="7" t="s">
        <v>49</v>
      </c>
      <c r="O417" s="7">
        <v>1</v>
      </c>
      <c r="P417" s="7" t="s">
        <v>41</v>
      </c>
      <c r="Q417" s="7">
        <v>89.99</v>
      </c>
      <c r="Y417" s="7" t="s">
        <v>897</v>
      </c>
      <c r="Z417" s="7" t="s">
        <v>266</v>
      </c>
      <c r="AA417" s="7" t="s">
        <v>2257</v>
      </c>
      <c r="AB417" s="7" t="s">
        <v>45</v>
      </c>
      <c r="AD417" s="11"/>
      <c r="AE417" s="11"/>
      <c r="AF417" s="11"/>
      <c r="AG417" s="10">
        <f t="shared" si="6"/>
        <v>43322</v>
      </c>
    </row>
    <row r="418" s="7" customFormat="1" spans="1:33">
      <c r="A418" s="7" t="s">
        <v>2258</v>
      </c>
      <c r="B418" s="7" t="s">
        <v>2258</v>
      </c>
      <c r="C418" s="7" t="s">
        <v>2259</v>
      </c>
      <c r="D418" s="7" t="s">
        <v>2260</v>
      </c>
      <c r="E418" s="7" t="s">
        <v>49</v>
      </c>
      <c r="F418" s="7" t="s">
        <v>34</v>
      </c>
      <c r="G418" s="7" t="s">
        <v>35</v>
      </c>
      <c r="J418" s="7" t="s">
        <v>50</v>
      </c>
      <c r="K418" s="7" t="s">
        <v>70</v>
      </c>
      <c r="L418" s="7" t="s">
        <v>71</v>
      </c>
      <c r="M418" s="7" t="s">
        <v>72</v>
      </c>
      <c r="N418" s="7" t="s">
        <v>49</v>
      </c>
      <c r="O418" s="7">
        <v>2</v>
      </c>
      <c r="P418" s="7" t="s">
        <v>41</v>
      </c>
      <c r="Q418" s="7">
        <v>193.98</v>
      </c>
      <c r="Y418" s="7" t="s">
        <v>2237</v>
      </c>
      <c r="Z418" s="7" t="s">
        <v>83</v>
      </c>
      <c r="AA418" s="7" t="s">
        <v>2261</v>
      </c>
      <c r="AB418" s="7" t="s">
        <v>45</v>
      </c>
      <c r="AD418" s="11"/>
      <c r="AE418" s="11"/>
      <c r="AF418" s="11"/>
      <c r="AG418" s="10">
        <f t="shared" si="6"/>
        <v>43322</v>
      </c>
    </row>
    <row r="419" s="7" customFormat="1" spans="1:33">
      <c r="A419" s="7" t="s">
        <v>2262</v>
      </c>
      <c r="B419" s="7" t="s">
        <v>2262</v>
      </c>
      <c r="C419" s="7" t="s">
        <v>2263</v>
      </c>
      <c r="D419" s="7" t="s">
        <v>2264</v>
      </c>
      <c r="E419" s="7" t="s">
        <v>49</v>
      </c>
      <c r="F419" s="7" t="s">
        <v>34</v>
      </c>
      <c r="G419" s="7" t="s">
        <v>35</v>
      </c>
      <c r="J419" s="7" t="s">
        <v>36</v>
      </c>
      <c r="K419" s="7" t="s">
        <v>563</v>
      </c>
      <c r="L419" s="7" t="s">
        <v>564</v>
      </c>
      <c r="M419" s="7" t="s">
        <v>565</v>
      </c>
      <c r="N419" s="7" t="s">
        <v>49</v>
      </c>
      <c r="O419" s="7">
        <v>1</v>
      </c>
      <c r="P419" s="7" t="s">
        <v>41</v>
      </c>
      <c r="Q419" s="7">
        <v>12.99</v>
      </c>
      <c r="Y419" s="7" t="s">
        <v>2265</v>
      </c>
      <c r="Z419" s="7" t="s">
        <v>164</v>
      </c>
      <c r="AA419" s="7">
        <v>24368</v>
      </c>
      <c r="AB419" s="7" t="s">
        <v>45</v>
      </c>
      <c r="AD419" s="11"/>
      <c r="AE419" s="11"/>
      <c r="AF419" s="11"/>
      <c r="AG419" s="10">
        <f t="shared" si="6"/>
        <v>43322</v>
      </c>
    </row>
    <row r="420" s="7" customFormat="1" spans="1:33">
      <c r="A420" s="7" t="s">
        <v>2266</v>
      </c>
      <c r="B420" s="7" t="s">
        <v>2266</v>
      </c>
      <c r="C420" s="7" t="s">
        <v>2267</v>
      </c>
      <c r="D420" s="7" t="s">
        <v>2268</v>
      </c>
      <c r="E420" s="7" t="s">
        <v>49</v>
      </c>
      <c r="F420" s="7" t="s">
        <v>34</v>
      </c>
      <c r="G420" s="7" t="s">
        <v>35</v>
      </c>
      <c r="J420" s="7" t="s">
        <v>151</v>
      </c>
      <c r="K420" s="7" t="s">
        <v>208</v>
      </c>
      <c r="L420" s="7" t="s">
        <v>209</v>
      </c>
      <c r="M420" s="7" t="s">
        <v>210</v>
      </c>
      <c r="N420" s="7" t="s">
        <v>49</v>
      </c>
      <c r="O420" s="7">
        <v>1</v>
      </c>
      <c r="P420" s="7" t="s">
        <v>41</v>
      </c>
      <c r="Q420" s="7">
        <v>89.99</v>
      </c>
      <c r="S420" s="7">
        <v>2.99</v>
      </c>
      <c r="U420" s="7">
        <v>3.99</v>
      </c>
      <c r="X420" s="7">
        <v>2.99</v>
      </c>
      <c r="Y420" s="7" t="s">
        <v>2269</v>
      </c>
      <c r="Z420" s="7" t="s">
        <v>382</v>
      </c>
      <c r="AA420" s="7" t="s">
        <v>2270</v>
      </c>
      <c r="AB420" s="7" t="s">
        <v>45</v>
      </c>
      <c r="AD420" s="11"/>
      <c r="AE420" s="11"/>
      <c r="AF420" s="11"/>
      <c r="AG420" s="10">
        <f t="shared" si="6"/>
        <v>43322</v>
      </c>
    </row>
    <row r="421" s="7" customFormat="1" spans="1:33">
      <c r="A421" s="7" t="s">
        <v>2271</v>
      </c>
      <c r="B421" s="7" t="s">
        <v>2271</v>
      </c>
      <c r="C421" s="7" t="s">
        <v>2272</v>
      </c>
      <c r="D421" s="7" t="s">
        <v>2273</v>
      </c>
      <c r="E421" s="7" t="s">
        <v>49</v>
      </c>
      <c r="F421" s="7" t="s">
        <v>34</v>
      </c>
      <c r="G421" s="7" t="s">
        <v>35</v>
      </c>
      <c r="J421" s="7" t="s">
        <v>326</v>
      </c>
      <c r="K421" s="7" t="s">
        <v>611</v>
      </c>
      <c r="L421" s="7" t="s">
        <v>612</v>
      </c>
      <c r="M421" s="7" t="s">
        <v>613</v>
      </c>
      <c r="N421" s="7" t="s">
        <v>49</v>
      </c>
      <c r="O421" s="7">
        <v>1</v>
      </c>
      <c r="P421" s="7" t="s">
        <v>41</v>
      </c>
      <c r="Q421" s="7">
        <v>89.99</v>
      </c>
      <c r="S421" s="7">
        <v>7.99</v>
      </c>
      <c r="Y421" s="7" t="s">
        <v>2274</v>
      </c>
      <c r="Z421" s="7" t="s">
        <v>178</v>
      </c>
      <c r="AA421" s="7" t="s">
        <v>2275</v>
      </c>
      <c r="AB421" s="7" t="s">
        <v>45</v>
      </c>
      <c r="AD421" s="11"/>
      <c r="AE421" s="11"/>
      <c r="AF421" s="11"/>
      <c r="AG421" s="10">
        <f t="shared" si="6"/>
        <v>43322</v>
      </c>
    </row>
    <row r="422" s="7" customFormat="1" spans="1:33">
      <c r="A422" s="7" t="s">
        <v>2276</v>
      </c>
      <c r="B422" s="7" t="s">
        <v>2276</v>
      </c>
      <c r="C422" s="7" t="s">
        <v>2277</v>
      </c>
      <c r="D422" s="7" t="s">
        <v>2278</v>
      </c>
      <c r="E422" s="7" t="s">
        <v>49</v>
      </c>
      <c r="F422" s="7" t="s">
        <v>34</v>
      </c>
      <c r="G422" s="7" t="s">
        <v>35</v>
      </c>
      <c r="J422" s="7" t="s">
        <v>50</v>
      </c>
      <c r="K422" s="7" t="s">
        <v>2279</v>
      </c>
      <c r="L422" s="7" t="s">
        <v>277</v>
      </c>
      <c r="M422" s="7" t="s">
        <v>278</v>
      </c>
      <c r="N422" s="7" t="s">
        <v>49</v>
      </c>
      <c r="O422" s="7">
        <v>1</v>
      </c>
      <c r="P422" s="7" t="s">
        <v>41</v>
      </c>
      <c r="Q422" s="7">
        <v>91.99</v>
      </c>
      <c r="Y422" s="7" t="s">
        <v>651</v>
      </c>
      <c r="Z422" s="7" t="s">
        <v>83</v>
      </c>
      <c r="AA422" s="7" t="s">
        <v>2280</v>
      </c>
      <c r="AB422" s="7" t="s">
        <v>45</v>
      </c>
      <c r="AD422" s="11"/>
      <c r="AE422" s="11"/>
      <c r="AF422" s="11"/>
      <c r="AG422" s="10">
        <f t="shared" si="6"/>
        <v>43322</v>
      </c>
    </row>
    <row r="423" s="7" customFormat="1" spans="1:33">
      <c r="A423" s="7" t="s">
        <v>2281</v>
      </c>
      <c r="B423" s="7" t="s">
        <v>2281</v>
      </c>
      <c r="C423" s="7" t="s">
        <v>2282</v>
      </c>
      <c r="D423" s="7" t="s">
        <v>2283</v>
      </c>
      <c r="E423" s="7" t="s">
        <v>49</v>
      </c>
      <c r="F423" s="7" t="s">
        <v>34</v>
      </c>
      <c r="G423" s="7" t="s">
        <v>35</v>
      </c>
      <c r="J423" s="7" t="s">
        <v>50</v>
      </c>
      <c r="K423" s="7" t="s">
        <v>60</v>
      </c>
      <c r="L423" s="7" t="s">
        <v>61</v>
      </c>
      <c r="M423" s="7" t="s">
        <v>62</v>
      </c>
      <c r="N423" s="7" t="s">
        <v>49</v>
      </c>
      <c r="O423" s="7">
        <v>1</v>
      </c>
      <c r="P423" s="7" t="s">
        <v>41</v>
      </c>
      <c r="Q423" s="7">
        <v>21.99</v>
      </c>
      <c r="Y423" s="7" t="s">
        <v>2284</v>
      </c>
      <c r="Z423" s="7" t="s">
        <v>2285</v>
      </c>
      <c r="AA423" s="7" t="s">
        <v>2286</v>
      </c>
      <c r="AB423" s="7" t="s">
        <v>45</v>
      </c>
      <c r="AD423" s="11"/>
      <c r="AE423" s="11"/>
      <c r="AF423" s="11"/>
      <c r="AG423" s="10">
        <f t="shared" si="6"/>
        <v>43322</v>
      </c>
    </row>
    <row r="424" s="7" customFormat="1" spans="1:33">
      <c r="A424" s="7" t="s">
        <v>2287</v>
      </c>
      <c r="B424" s="7" t="s">
        <v>2287</v>
      </c>
      <c r="C424" s="7" t="s">
        <v>2288</v>
      </c>
      <c r="D424" s="7" t="s">
        <v>2289</v>
      </c>
      <c r="E424" s="7" t="s">
        <v>49</v>
      </c>
      <c r="F424" s="7" t="s">
        <v>34</v>
      </c>
      <c r="G424" s="7" t="s">
        <v>35</v>
      </c>
      <c r="J424" s="7" t="s">
        <v>50</v>
      </c>
      <c r="K424" s="7" t="s">
        <v>2290</v>
      </c>
      <c r="L424" s="7" t="s">
        <v>442</v>
      </c>
      <c r="M424" s="7" t="s">
        <v>443</v>
      </c>
      <c r="N424" s="7" t="s">
        <v>49</v>
      </c>
      <c r="O424" s="7">
        <v>1</v>
      </c>
      <c r="P424" s="7" t="s">
        <v>41</v>
      </c>
      <c r="Q424" s="7">
        <v>88.99</v>
      </c>
      <c r="U424" s="7">
        <v>3.99</v>
      </c>
      <c r="Y424" s="7" t="s">
        <v>404</v>
      </c>
      <c r="Z424" s="7" t="s">
        <v>230</v>
      </c>
      <c r="AA424" s="7" t="s">
        <v>2291</v>
      </c>
      <c r="AB424" s="7" t="s">
        <v>45</v>
      </c>
      <c r="AD424" s="11"/>
      <c r="AE424" s="11"/>
      <c r="AF424" s="11"/>
      <c r="AG424" s="10">
        <f t="shared" si="6"/>
        <v>43322</v>
      </c>
    </row>
    <row r="425" s="7" customFormat="1" spans="1:33">
      <c r="A425" s="7" t="s">
        <v>2292</v>
      </c>
      <c r="B425" s="7" t="s">
        <v>2292</v>
      </c>
      <c r="C425" s="7" t="s">
        <v>2293</v>
      </c>
      <c r="D425" s="7" t="s">
        <v>2294</v>
      </c>
      <c r="E425" s="7" t="s">
        <v>49</v>
      </c>
      <c r="F425" s="7" t="s">
        <v>34</v>
      </c>
      <c r="G425" s="7" t="s">
        <v>35</v>
      </c>
      <c r="J425" s="7" t="s">
        <v>50</v>
      </c>
      <c r="K425" s="7" t="s">
        <v>2295</v>
      </c>
      <c r="L425" s="7" t="s">
        <v>2296</v>
      </c>
      <c r="M425" s="7" t="s">
        <v>2297</v>
      </c>
      <c r="N425" s="7" t="s">
        <v>49</v>
      </c>
      <c r="O425" s="7">
        <v>1</v>
      </c>
      <c r="P425" s="7" t="s">
        <v>41</v>
      </c>
      <c r="Q425" s="7">
        <v>79.99</v>
      </c>
      <c r="Y425" s="7" t="s">
        <v>2298</v>
      </c>
      <c r="Z425" s="7" t="s">
        <v>266</v>
      </c>
      <c r="AA425" s="7" t="s">
        <v>2299</v>
      </c>
      <c r="AB425" s="7" t="s">
        <v>45</v>
      </c>
      <c r="AD425" s="11"/>
      <c r="AE425" s="11"/>
      <c r="AF425" s="11"/>
      <c r="AG425" s="10">
        <f t="shared" si="6"/>
        <v>43322</v>
      </c>
    </row>
    <row r="426" s="7" customFormat="1" spans="1:33">
      <c r="A426" s="7" t="s">
        <v>2300</v>
      </c>
      <c r="B426" s="7" t="s">
        <v>2300</v>
      </c>
      <c r="C426" s="7" t="s">
        <v>2301</v>
      </c>
      <c r="D426" s="7" t="s">
        <v>2302</v>
      </c>
      <c r="E426" s="7" t="s">
        <v>49</v>
      </c>
      <c r="F426" s="7" t="s">
        <v>34</v>
      </c>
      <c r="G426" s="7" t="s">
        <v>35</v>
      </c>
      <c r="J426" s="7" t="s">
        <v>50</v>
      </c>
      <c r="K426" s="7" t="s">
        <v>70</v>
      </c>
      <c r="L426" s="7" t="s">
        <v>71</v>
      </c>
      <c r="M426" s="7" t="s">
        <v>72</v>
      </c>
      <c r="N426" s="7" t="s">
        <v>49</v>
      </c>
      <c r="O426" s="7">
        <v>1</v>
      </c>
      <c r="P426" s="7" t="s">
        <v>41</v>
      </c>
      <c r="Q426" s="7">
        <v>96.99</v>
      </c>
      <c r="Y426" s="7" t="s">
        <v>2303</v>
      </c>
      <c r="Z426" s="7" t="s">
        <v>413</v>
      </c>
      <c r="AA426" s="7" t="s">
        <v>2304</v>
      </c>
      <c r="AB426" s="7" t="s">
        <v>45</v>
      </c>
      <c r="AD426" s="11"/>
      <c r="AE426" s="11"/>
      <c r="AF426" s="11"/>
      <c r="AG426" s="10">
        <f t="shared" si="6"/>
        <v>43322</v>
      </c>
    </row>
    <row r="427" s="7" customFormat="1" spans="1:33">
      <c r="A427" s="7" t="s">
        <v>2305</v>
      </c>
      <c r="B427" s="7" t="s">
        <v>2305</v>
      </c>
      <c r="C427" s="7" t="s">
        <v>2306</v>
      </c>
      <c r="D427" s="7" t="s">
        <v>2307</v>
      </c>
      <c r="E427" s="7" t="s">
        <v>49</v>
      </c>
      <c r="F427" s="7" t="s">
        <v>34</v>
      </c>
      <c r="G427" s="7" t="s">
        <v>35</v>
      </c>
      <c r="J427" s="7" t="s">
        <v>50</v>
      </c>
      <c r="K427" s="7" t="s">
        <v>571</v>
      </c>
      <c r="L427" s="7" t="s">
        <v>572</v>
      </c>
      <c r="M427" s="7" t="s">
        <v>573</v>
      </c>
      <c r="N427" s="7" t="s">
        <v>49</v>
      </c>
      <c r="O427" s="7">
        <v>1</v>
      </c>
      <c r="P427" s="7" t="s">
        <v>41</v>
      </c>
      <c r="Q427" s="7">
        <v>21.99</v>
      </c>
      <c r="W427" s="7">
        <v>21.77</v>
      </c>
      <c r="Y427" s="7" t="s">
        <v>1689</v>
      </c>
      <c r="Z427" s="7" t="s">
        <v>109</v>
      </c>
      <c r="AA427" s="7" t="s">
        <v>1690</v>
      </c>
      <c r="AB427" s="7" t="s">
        <v>45</v>
      </c>
      <c r="AC427" s="7" t="s">
        <v>66</v>
      </c>
      <c r="AD427" s="11"/>
      <c r="AE427" s="11"/>
      <c r="AF427" s="11"/>
      <c r="AG427" s="10">
        <f t="shared" si="6"/>
        <v>43322</v>
      </c>
    </row>
    <row r="428" s="7" customFormat="1" spans="1:33">
      <c r="A428" s="7" t="s">
        <v>2308</v>
      </c>
      <c r="B428" s="7" t="s">
        <v>2308</v>
      </c>
      <c r="C428" s="7" t="s">
        <v>2309</v>
      </c>
      <c r="D428" s="7" t="s">
        <v>2310</v>
      </c>
      <c r="E428" s="7" t="s">
        <v>49</v>
      </c>
      <c r="F428" s="7" t="s">
        <v>34</v>
      </c>
      <c r="G428" s="7" t="s">
        <v>35</v>
      </c>
      <c r="J428" s="7" t="s">
        <v>50</v>
      </c>
      <c r="K428" s="7" t="s">
        <v>327</v>
      </c>
      <c r="L428" s="7" t="s">
        <v>328</v>
      </c>
      <c r="M428" s="7" t="s">
        <v>329</v>
      </c>
      <c r="N428" s="7" t="s">
        <v>49</v>
      </c>
      <c r="O428" s="7">
        <v>1</v>
      </c>
      <c r="P428" s="7" t="s">
        <v>41</v>
      </c>
      <c r="Q428" s="7">
        <v>89.99</v>
      </c>
      <c r="Y428" s="7" t="s">
        <v>2311</v>
      </c>
      <c r="Z428" s="7" t="s">
        <v>83</v>
      </c>
      <c r="AA428" s="7" t="s">
        <v>2312</v>
      </c>
      <c r="AB428" s="7" t="s">
        <v>45</v>
      </c>
      <c r="AD428" s="11"/>
      <c r="AE428" s="11"/>
      <c r="AF428" s="11"/>
      <c r="AG428" s="10">
        <f t="shared" si="6"/>
        <v>43322</v>
      </c>
    </row>
    <row r="429" s="7" customFormat="1" spans="1:33">
      <c r="A429" s="7" t="s">
        <v>2313</v>
      </c>
      <c r="B429" s="7" t="s">
        <v>2313</v>
      </c>
      <c r="C429" s="7" t="s">
        <v>2314</v>
      </c>
      <c r="D429" s="7" t="s">
        <v>2315</v>
      </c>
      <c r="E429" s="7" t="s">
        <v>49</v>
      </c>
      <c r="F429" s="7" t="s">
        <v>34</v>
      </c>
      <c r="G429" s="7" t="s">
        <v>35</v>
      </c>
      <c r="J429" s="7" t="s">
        <v>50</v>
      </c>
      <c r="K429" s="7" t="s">
        <v>2316</v>
      </c>
      <c r="L429" s="7" t="s">
        <v>495</v>
      </c>
      <c r="M429" s="7" t="s">
        <v>496</v>
      </c>
      <c r="N429" s="7" t="s">
        <v>49</v>
      </c>
      <c r="O429" s="7">
        <v>1</v>
      </c>
      <c r="P429" s="7" t="s">
        <v>41</v>
      </c>
      <c r="Q429" s="7">
        <v>99.99</v>
      </c>
      <c r="Y429" s="7" t="s">
        <v>2317</v>
      </c>
      <c r="Z429" s="7" t="s">
        <v>43</v>
      </c>
      <c r="AA429" s="7" t="s">
        <v>2318</v>
      </c>
      <c r="AB429" s="7" t="s">
        <v>45</v>
      </c>
      <c r="AD429" s="11"/>
      <c r="AE429" s="11"/>
      <c r="AF429" s="11"/>
      <c r="AG429" s="10">
        <f t="shared" si="6"/>
        <v>43322</v>
      </c>
    </row>
    <row r="430" s="7" customFormat="1" spans="1:33">
      <c r="A430" s="7" t="s">
        <v>2319</v>
      </c>
      <c r="B430" s="7" t="s">
        <v>2319</v>
      </c>
      <c r="C430" s="7" t="s">
        <v>2320</v>
      </c>
      <c r="D430" s="7" t="s">
        <v>2321</v>
      </c>
      <c r="E430" s="7" t="s">
        <v>33</v>
      </c>
      <c r="F430" s="7" t="s">
        <v>34</v>
      </c>
      <c r="G430" s="7" t="s">
        <v>35</v>
      </c>
      <c r="J430" s="7" t="s">
        <v>36</v>
      </c>
      <c r="K430" s="7" t="s">
        <v>632</v>
      </c>
      <c r="L430" s="7" t="s">
        <v>633</v>
      </c>
      <c r="M430" s="7" t="s">
        <v>634</v>
      </c>
      <c r="N430" s="7" t="s">
        <v>33</v>
      </c>
      <c r="O430" s="7">
        <v>0</v>
      </c>
      <c r="Y430" s="7" t="s">
        <v>2322</v>
      </c>
      <c r="Z430" s="7" t="s">
        <v>92</v>
      </c>
      <c r="AA430" s="7" t="s">
        <v>2323</v>
      </c>
      <c r="AB430" s="7" t="s">
        <v>45</v>
      </c>
      <c r="AD430" s="11"/>
      <c r="AE430" s="11"/>
      <c r="AF430" s="11"/>
      <c r="AG430" s="10">
        <f t="shared" si="6"/>
        <v>43322</v>
      </c>
    </row>
    <row r="431" s="7" customFormat="1" spans="1:33">
      <c r="A431" s="7" t="s">
        <v>2324</v>
      </c>
      <c r="B431" s="7" t="s">
        <v>2324</v>
      </c>
      <c r="C431" s="7" t="s">
        <v>2325</v>
      </c>
      <c r="D431" s="7" t="s">
        <v>2326</v>
      </c>
      <c r="E431" s="7" t="s">
        <v>49</v>
      </c>
      <c r="F431" s="7" t="s">
        <v>34</v>
      </c>
      <c r="G431" s="7" t="s">
        <v>35</v>
      </c>
      <c r="J431" s="7" t="s">
        <v>36</v>
      </c>
      <c r="K431" s="7" t="s">
        <v>2327</v>
      </c>
      <c r="L431" s="7" t="s">
        <v>2328</v>
      </c>
      <c r="M431" s="7" t="s">
        <v>2329</v>
      </c>
      <c r="N431" s="7" t="s">
        <v>49</v>
      </c>
      <c r="O431" s="7">
        <v>1</v>
      </c>
      <c r="P431" s="7" t="s">
        <v>41</v>
      </c>
      <c r="Q431" s="7">
        <v>108.99</v>
      </c>
      <c r="S431" s="7">
        <v>5.85</v>
      </c>
      <c r="X431" s="7">
        <v>5.85</v>
      </c>
      <c r="Y431" s="7" t="s">
        <v>459</v>
      </c>
      <c r="Z431" s="7" t="s">
        <v>346</v>
      </c>
      <c r="AA431" s="7" t="s">
        <v>2330</v>
      </c>
      <c r="AB431" s="7" t="s">
        <v>45</v>
      </c>
      <c r="AC431" s="7" t="s">
        <v>549</v>
      </c>
      <c r="AD431" s="11"/>
      <c r="AE431" s="11"/>
      <c r="AF431" s="11"/>
      <c r="AG431" s="10">
        <f t="shared" si="6"/>
        <v>43322</v>
      </c>
    </row>
    <row r="432" s="7" customFormat="1" spans="1:33">
      <c r="A432" s="7" t="s">
        <v>2331</v>
      </c>
      <c r="B432" s="7" t="s">
        <v>2331</v>
      </c>
      <c r="C432" s="7" t="s">
        <v>2332</v>
      </c>
      <c r="D432" s="7" t="s">
        <v>2333</v>
      </c>
      <c r="E432" s="7" t="s">
        <v>49</v>
      </c>
      <c r="F432" s="7" t="s">
        <v>34</v>
      </c>
      <c r="G432" s="7" t="s">
        <v>35</v>
      </c>
      <c r="J432" s="7" t="s">
        <v>50</v>
      </c>
      <c r="K432" s="7" t="s">
        <v>2334</v>
      </c>
      <c r="L432" s="7" t="s">
        <v>2335</v>
      </c>
      <c r="M432" s="7" t="s">
        <v>2336</v>
      </c>
      <c r="N432" s="7" t="s">
        <v>49</v>
      </c>
      <c r="O432" s="7">
        <v>1</v>
      </c>
      <c r="P432" s="7" t="s">
        <v>41</v>
      </c>
      <c r="Q432" s="7">
        <v>89.99</v>
      </c>
      <c r="R432" s="7">
        <v>5.4</v>
      </c>
      <c r="Y432" s="7" t="s">
        <v>622</v>
      </c>
      <c r="Z432" s="7" t="s">
        <v>124</v>
      </c>
      <c r="AA432" s="7" t="s">
        <v>623</v>
      </c>
      <c r="AB432" s="7" t="s">
        <v>45</v>
      </c>
      <c r="AD432" s="11"/>
      <c r="AE432" s="11"/>
      <c r="AF432" s="11"/>
      <c r="AG432" s="10">
        <f t="shared" si="6"/>
        <v>43322</v>
      </c>
    </row>
    <row r="433" s="7" customFormat="1" spans="1:33">
      <c r="A433" s="7" t="s">
        <v>2337</v>
      </c>
      <c r="B433" s="7" t="s">
        <v>2337</v>
      </c>
      <c r="C433" s="7" t="s">
        <v>2338</v>
      </c>
      <c r="D433" s="7" t="s">
        <v>2339</v>
      </c>
      <c r="E433" s="7" t="s">
        <v>49</v>
      </c>
      <c r="F433" s="7" t="s">
        <v>34</v>
      </c>
      <c r="G433" s="7" t="s">
        <v>35</v>
      </c>
      <c r="J433" s="7" t="s">
        <v>50</v>
      </c>
      <c r="K433" s="7" t="s">
        <v>208</v>
      </c>
      <c r="L433" s="7" t="s">
        <v>209</v>
      </c>
      <c r="M433" s="7" t="s">
        <v>210</v>
      </c>
      <c r="N433" s="7" t="s">
        <v>49</v>
      </c>
      <c r="O433" s="7">
        <v>1</v>
      </c>
      <c r="P433" s="7" t="s">
        <v>41</v>
      </c>
      <c r="Q433" s="7">
        <v>89.99</v>
      </c>
      <c r="Y433" s="7" t="s">
        <v>2340</v>
      </c>
      <c r="Z433" s="7" t="s">
        <v>164</v>
      </c>
      <c r="AA433" s="7" t="s">
        <v>2341</v>
      </c>
      <c r="AB433" s="7" t="s">
        <v>45</v>
      </c>
      <c r="AD433" s="11"/>
      <c r="AE433" s="11"/>
      <c r="AF433" s="11"/>
      <c r="AG433" s="10">
        <f t="shared" si="6"/>
        <v>43322</v>
      </c>
    </row>
    <row r="434" s="7" customFormat="1" spans="1:33">
      <c r="A434" s="7" t="s">
        <v>2342</v>
      </c>
      <c r="B434" s="7" t="s">
        <v>2342</v>
      </c>
      <c r="C434" s="7" t="s">
        <v>2343</v>
      </c>
      <c r="D434" s="7" t="s">
        <v>2344</v>
      </c>
      <c r="E434" s="7" t="s">
        <v>49</v>
      </c>
      <c r="F434" s="7" t="s">
        <v>34</v>
      </c>
      <c r="G434" s="7" t="s">
        <v>35</v>
      </c>
      <c r="J434" s="7" t="s">
        <v>50</v>
      </c>
      <c r="K434" s="7" t="s">
        <v>169</v>
      </c>
      <c r="L434" s="7" t="s">
        <v>170</v>
      </c>
      <c r="M434" s="7" t="s">
        <v>171</v>
      </c>
      <c r="N434" s="7" t="s">
        <v>49</v>
      </c>
      <c r="O434" s="7">
        <v>1</v>
      </c>
      <c r="P434" s="7" t="s">
        <v>41</v>
      </c>
      <c r="Q434" s="7">
        <v>89.99</v>
      </c>
      <c r="Y434" s="7" t="s">
        <v>2345</v>
      </c>
      <c r="Z434" s="7" t="s">
        <v>64</v>
      </c>
      <c r="AA434" s="7" t="s">
        <v>2346</v>
      </c>
      <c r="AB434" s="7" t="s">
        <v>45</v>
      </c>
      <c r="AD434" s="11"/>
      <c r="AE434" s="11"/>
      <c r="AF434" s="11"/>
      <c r="AG434" s="10">
        <f t="shared" si="6"/>
        <v>43322</v>
      </c>
    </row>
    <row r="435" s="7" customFormat="1" spans="1:33">
      <c r="A435" s="7" t="s">
        <v>2347</v>
      </c>
      <c r="B435" s="7" t="s">
        <v>2347</v>
      </c>
      <c r="C435" s="7" t="s">
        <v>2348</v>
      </c>
      <c r="D435" s="7" t="s">
        <v>2349</v>
      </c>
      <c r="E435" s="7" t="s">
        <v>49</v>
      </c>
      <c r="F435" s="7" t="s">
        <v>34</v>
      </c>
      <c r="G435" s="7" t="s">
        <v>35</v>
      </c>
      <c r="J435" s="7" t="s">
        <v>50</v>
      </c>
      <c r="K435" s="7" t="s">
        <v>423</v>
      </c>
      <c r="L435" s="7" t="s">
        <v>424</v>
      </c>
      <c r="M435" s="7" t="s">
        <v>425</v>
      </c>
      <c r="N435" s="7" t="s">
        <v>49</v>
      </c>
      <c r="O435" s="7">
        <v>1</v>
      </c>
      <c r="P435" s="7" t="s">
        <v>41</v>
      </c>
      <c r="Q435" s="7">
        <v>26.99</v>
      </c>
      <c r="Y435" s="7" t="s">
        <v>279</v>
      </c>
      <c r="Z435" s="7" t="s">
        <v>280</v>
      </c>
      <c r="AA435" s="7" t="s">
        <v>2350</v>
      </c>
      <c r="AB435" s="7" t="s">
        <v>45</v>
      </c>
      <c r="AD435" s="11"/>
      <c r="AE435" s="11"/>
      <c r="AF435" s="11"/>
      <c r="AG435" s="10">
        <f t="shared" si="6"/>
        <v>43322</v>
      </c>
    </row>
    <row r="436" s="7" customFormat="1" spans="1:33">
      <c r="A436" s="7" t="s">
        <v>2351</v>
      </c>
      <c r="B436" s="7" t="s">
        <v>2351</v>
      </c>
      <c r="C436" s="7" t="s">
        <v>2352</v>
      </c>
      <c r="D436" s="7" t="s">
        <v>2353</v>
      </c>
      <c r="E436" s="7" t="s">
        <v>49</v>
      </c>
      <c r="F436" s="7" t="s">
        <v>34</v>
      </c>
      <c r="G436" s="7" t="s">
        <v>35</v>
      </c>
      <c r="J436" s="7" t="s">
        <v>50</v>
      </c>
      <c r="K436" s="7" t="s">
        <v>611</v>
      </c>
      <c r="L436" s="7" t="s">
        <v>612</v>
      </c>
      <c r="M436" s="7" t="s">
        <v>613</v>
      </c>
      <c r="N436" s="7" t="s">
        <v>49</v>
      </c>
      <c r="O436" s="7">
        <v>1</v>
      </c>
      <c r="P436" s="7" t="s">
        <v>41</v>
      </c>
      <c r="Q436" s="7">
        <v>89.99</v>
      </c>
      <c r="Y436" s="7" t="s">
        <v>2354</v>
      </c>
      <c r="Z436" s="7" t="s">
        <v>1316</v>
      </c>
      <c r="AA436" s="7">
        <v>48044</v>
      </c>
      <c r="AB436" s="7" t="s">
        <v>45</v>
      </c>
      <c r="AD436" s="11"/>
      <c r="AE436" s="11"/>
      <c r="AF436" s="11"/>
      <c r="AG436" s="10">
        <f t="shared" si="6"/>
        <v>43322</v>
      </c>
    </row>
    <row r="437" s="7" customFormat="1" spans="1:33">
      <c r="A437" s="7" t="s">
        <v>2355</v>
      </c>
      <c r="B437" s="7" t="s">
        <v>2355</v>
      </c>
      <c r="C437" s="7" t="s">
        <v>2356</v>
      </c>
      <c r="D437" s="7" t="s">
        <v>2357</v>
      </c>
      <c r="E437" s="7" t="s">
        <v>49</v>
      </c>
      <c r="F437" s="7" t="s">
        <v>34</v>
      </c>
      <c r="G437" s="7" t="s">
        <v>35</v>
      </c>
      <c r="J437" s="7" t="s">
        <v>36</v>
      </c>
      <c r="K437" s="7" t="s">
        <v>456</v>
      </c>
      <c r="L437" s="7" t="s">
        <v>457</v>
      </c>
      <c r="M437" s="7" t="s">
        <v>458</v>
      </c>
      <c r="N437" s="7" t="s">
        <v>49</v>
      </c>
      <c r="O437" s="7">
        <v>1</v>
      </c>
      <c r="P437" s="7" t="s">
        <v>41</v>
      </c>
      <c r="Q437" s="7">
        <v>85.99</v>
      </c>
      <c r="S437" s="7">
        <v>1.57</v>
      </c>
      <c r="Y437" s="7" t="s">
        <v>2358</v>
      </c>
      <c r="Z437" s="7" t="s">
        <v>260</v>
      </c>
      <c r="AA437" s="7" t="s">
        <v>2359</v>
      </c>
      <c r="AB437" s="7" t="s">
        <v>45</v>
      </c>
      <c r="AD437" s="11"/>
      <c r="AE437" s="11"/>
      <c r="AF437" s="11"/>
      <c r="AG437" s="10">
        <f t="shared" si="6"/>
        <v>43323</v>
      </c>
    </row>
    <row r="438" s="7" customFormat="1" spans="1:33">
      <c r="A438" s="7" t="s">
        <v>2360</v>
      </c>
      <c r="B438" s="7" t="s">
        <v>2360</v>
      </c>
      <c r="C438" s="7" t="s">
        <v>2361</v>
      </c>
      <c r="D438" s="7" t="s">
        <v>2362</v>
      </c>
      <c r="E438" s="7" t="s">
        <v>33</v>
      </c>
      <c r="F438" s="7" t="s">
        <v>34</v>
      </c>
      <c r="G438" s="7" t="s">
        <v>35</v>
      </c>
      <c r="J438" s="7" t="s">
        <v>50</v>
      </c>
      <c r="K438" s="7" t="s">
        <v>2363</v>
      </c>
      <c r="L438" s="7" t="s">
        <v>89</v>
      </c>
      <c r="M438" s="7" t="s">
        <v>90</v>
      </c>
      <c r="N438" s="7" t="s">
        <v>33</v>
      </c>
      <c r="O438" s="7">
        <v>0</v>
      </c>
      <c r="Y438" s="7" t="s">
        <v>2364</v>
      </c>
      <c r="Z438" s="7" t="s">
        <v>43</v>
      </c>
      <c r="AA438" s="7" t="s">
        <v>2365</v>
      </c>
      <c r="AB438" s="7" t="s">
        <v>45</v>
      </c>
      <c r="AD438" s="11"/>
      <c r="AE438" s="11"/>
      <c r="AF438" s="11"/>
      <c r="AG438" s="10">
        <f t="shared" si="6"/>
        <v>43323</v>
      </c>
    </row>
    <row r="439" s="7" customFormat="1" spans="1:33">
      <c r="A439" s="7" t="s">
        <v>2366</v>
      </c>
      <c r="B439" s="7" t="s">
        <v>2366</v>
      </c>
      <c r="C439" s="7" t="s">
        <v>2367</v>
      </c>
      <c r="D439" s="7" t="s">
        <v>2368</v>
      </c>
      <c r="E439" s="7" t="s">
        <v>49</v>
      </c>
      <c r="F439" s="7" t="s">
        <v>34</v>
      </c>
      <c r="G439" s="7" t="s">
        <v>35</v>
      </c>
      <c r="J439" s="7" t="s">
        <v>50</v>
      </c>
      <c r="K439" s="7" t="s">
        <v>2363</v>
      </c>
      <c r="L439" s="7" t="s">
        <v>89</v>
      </c>
      <c r="M439" s="7" t="s">
        <v>90</v>
      </c>
      <c r="N439" s="7" t="s">
        <v>49</v>
      </c>
      <c r="O439" s="7">
        <v>1</v>
      </c>
      <c r="P439" s="7" t="s">
        <v>41</v>
      </c>
      <c r="Q439" s="7">
        <v>89.99</v>
      </c>
      <c r="Y439" s="7" t="s">
        <v>2364</v>
      </c>
      <c r="Z439" s="7" t="s">
        <v>43</v>
      </c>
      <c r="AA439" s="7" t="s">
        <v>2365</v>
      </c>
      <c r="AB439" s="7" t="s">
        <v>45</v>
      </c>
      <c r="AD439" s="11"/>
      <c r="AE439" s="11"/>
      <c r="AF439" s="11"/>
      <c r="AG439" s="10">
        <f t="shared" si="6"/>
        <v>43323</v>
      </c>
    </row>
    <row r="440" s="7" customFormat="1" spans="1:33">
      <c r="A440" s="7" t="s">
        <v>2369</v>
      </c>
      <c r="B440" s="7" t="s">
        <v>2369</v>
      </c>
      <c r="C440" s="7" t="s">
        <v>2370</v>
      </c>
      <c r="D440" s="7" t="s">
        <v>2371</v>
      </c>
      <c r="E440" s="7" t="s">
        <v>49</v>
      </c>
      <c r="F440" s="7" t="s">
        <v>34</v>
      </c>
      <c r="G440" s="7" t="s">
        <v>35</v>
      </c>
      <c r="J440" s="7" t="s">
        <v>36</v>
      </c>
      <c r="K440" s="7" t="s">
        <v>60</v>
      </c>
      <c r="L440" s="7" t="s">
        <v>61</v>
      </c>
      <c r="M440" s="7" t="s">
        <v>62</v>
      </c>
      <c r="N440" s="7" t="s">
        <v>49</v>
      </c>
      <c r="O440" s="7">
        <v>1</v>
      </c>
      <c r="P440" s="7" t="s">
        <v>41</v>
      </c>
      <c r="Q440" s="7">
        <v>21.99</v>
      </c>
      <c r="S440" s="7">
        <v>2.03</v>
      </c>
      <c r="Y440" s="7" t="s">
        <v>2372</v>
      </c>
      <c r="Z440" s="7" t="s">
        <v>1560</v>
      </c>
      <c r="AA440" s="7">
        <v>90805</v>
      </c>
      <c r="AB440" s="7" t="s">
        <v>45</v>
      </c>
      <c r="AD440" s="8"/>
      <c r="AE440" s="8"/>
      <c r="AF440" s="8"/>
      <c r="AG440" s="10">
        <f t="shared" si="6"/>
        <v>43323</v>
      </c>
    </row>
    <row r="441" s="7" customFormat="1" spans="1:33">
      <c r="A441" s="7" t="s">
        <v>2373</v>
      </c>
      <c r="B441" s="7" t="s">
        <v>2373</v>
      </c>
      <c r="C441" s="7" t="s">
        <v>2374</v>
      </c>
      <c r="D441" s="7" t="s">
        <v>2375</v>
      </c>
      <c r="E441" s="7" t="s">
        <v>49</v>
      </c>
      <c r="F441" s="7" t="s">
        <v>34</v>
      </c>
      <c r="G441" s="7" t="s">
        <v>35</v>
      </c>
      <c r="J441" s="7" t="s">
        <v>50</v>
      </c>
      <c r="K441" s="7" t="s">
        <v>197</v>
      </c>
      <c r="L441" s="7" t="s">
        <v>977</v>
      </c>
      <c r="M441" s="7" t="s">
        <v>199</v>
      </c>
      <c r="N441" s="7" t="s">
        <v>49</v>
      </c>
      <c r="O441" s="7">
        <v>1</v>
      </c>
      <c r="P441" s="7" t="s">
        <v>41</v>
      </c>
      <c r="Q441" s="7">
        <v>21.99</v>
      </c>
      <c r="W441" s="7">
        <v>21.77</v>
      </c>
      <c r="Y441" s="7" t="s">
        <v>866</v>
      </c>
      <c r="Z441" s="7" t="s">
        <v>867</v>
      </c>
      <c r="AA441" s="7">
        <v>59327</v>
      </c>
      <c r="AB441" s="7" t="s">
        <v>45</v>
      </c>
      <c r="AC441" s="7" t="s">
        <v>66</v>
      </c>
      <c r="AD441" s="8"/>
      <c r="AE441" s="8"/>
      <c r="AF441" s="8"/>
      <c r="AG441" s="10">
        <f t="shared" si="6"/>
        <v>43323</v>
      </c>
    </row>
    <row r="442" s="7" customFormat="1" spans="1:33">
      <c r="A442" s="7" t="s">
        <v>2376</v>
      </c>
      <c r="B442" s="7" t="s">
        <v>2376</v>
      </c>
      <c r="C442" s="7" t="s">
        <v>2377</v>
      </c>
      <c r="D442" s="7" t="s">
        <v>2378</v>
      </c>
      <c r="E442" s="7" t="s">
        <v>49</v>
      </c>
      <c r="F442" s="7" t="s">
        <v>34</v>
      </c>
      <c r="G442" s="7" t="s">
        <v>35</v>
      </c>
      <c r="J442" s="7" t="s">
        <v>50</v>
      </c>
      <c r="K442" s="7" t="s">
        <v>70</v>
      </c>
      <c r="L442" s="7" t="s">
        <v>71</v>
      </c>
      <c r="M442" s="7" t="s">
        <v>72</v>
      </c>
      <c r="N442" s="7" t="s">
        <v>49</v>
      </c>
      <c r="O442" s="7">
        <v>1</v>
      </c>
      <c r="P442" s="7" t="s">
        <v>41</v>
      </c>
      <c r="Q442" s="7">
        <v>96.99</v>
      </c>
      <c r="Y442" s="7" t="s">
        <v>2379</v>
      </c>
      <c r="Z442" s="7" t="s">
        <v>2380</v>
      </c>
      <c r="AA442" s="7">
        <v>78641</v>
      </c>
      <c r="AB442" s="7" t="s">
        <v>45</v>
      </c>
      <c r="AD442" s="11"/>
      <c r="AE442" s="11"/>
      <c r="AF442" s="11"/>
      <c r="AG442" s="10">
        <f t="shared" si="6"/>
        <v>43323</v>
      </c>
    </row>
    <row r="443" s="7" customFormat="1" spans="1:33">
      <c r="A443" s="7" t="s">
        <v>2381</v>
      </c>
      <c r="B443" s="7" t="s">
        <v>2381</v>
      </c>
      <c r="C443" s="7" t="s">
        <v>2382</v>
      </c>
      <c r="D443" s="7" t="s">
        <v>2383</v>
      </c>
      <c r="E443" s="7" t="s">
        <v>49</v>
      </c>
      <c r="F443" s="7" t="s">
        <v>34</v>
      </c>
      <c r="G443" s="7" t="s">
        <v>35</v>
      </c>
      <c r="J443" s="7" t="s">
        <v>50</v>
      </c>
      <c r="K443" s="7" t="s">
        <v>120</v>
      </c>
      <c r="L443" s="7" t="s">
        <v>121</v>
      </c>
      <c r="M443" s="7" t="s">
        <v>122</v>
      </c>
      <c r="N443" s="7" t="s">
        <v>49</v>
      </c>
      <c r="O443" s="7">
        <v>1</v>
      </c>
      <c r="P443" s="7" t="s">
        <v>41</v>
      </c>
      <c r="Q443" s="7">
        <v>29.99</v>
      </c>
      <c r="Y443" s="7" t="s">
        <v>2384</v>
      </c>
      <c r="Z443" s="7" t="s">
        <v>1381</v>
      </c>
      <c r="AA443" s="7" t="s">
        <v>2385</v>
      </c>
      <c r="AB443" s="7" t="s">
        <v>45</v>
      </c>
      <c r="AD443" s="11"/>
      <c r="AE443" s="11"/>
      <c r="AF443" s="11"/>
      <c r="AG443" s="10">
        <f t="shared" si="6"/>
        <v>43323</v>
      </c>
    </row>
    <row r="444" s="7" customFormat="1" spans="1:33">
      <c r="A444" s="7" t="s">
        <v>2386</v>
      </c>
      <c r="B444" s="7" t="s">
        <v>2386</v>
      </c>
      <c r="C444" s="7" t="s">
        <v>2387</v>
      </c>
      <c r="D444" s="7" t="s">
        <v>2388</v>
      </c>
      <c r="E444" s="7" t="s">
        <v>49</v>
      </c>
      <c r="F444" s="7" t="s">
        <v>34</v>
      </c>
      <c r="G444" s="7" t="s">
        <v>35</v>
      </c>
      <c r="J444" s="7" t="s">
        <v>50</v>
      </c>
      <c r="K444" s="7" t="s">
        <v>611</v>
      </c>
      <c r="L444" s="7" t="s">
        <v>612</v>
      </c>
      <c r="M444" s="7" t="s">
        <v>613</v>
      </c>
      <c r="N444" s="7" t="s">
        <v>49</v>
      </c>
      <c r="O444" s="7">
        <v>1</v>
      </c>
      <c r="P444" s="7" t="s">
        <v>41</v>
      </c>
      <c r="Q444" s="7">
        <v>89.99</v>
      </c>
      <c r="Y444" s="7" t="s">
        <v>300</v>
      </c>
      <c r="Z444" s="7" t="s">
        <v>280</v>
      </c>
      <c r="AA444" s="7" t="s">
        <v>301</v>
      </c>
      <c r="AB444" s="7" t="s">
        <v>45</v>
      </c>
      <c r="AD444" s="11"/>
      <c r="AE444" s="11"/>
      <c r="AF444" s="11"/>
      <c r="AG444" s="10">
        <f t="shared" si="6"/>
        <v>43323</v>
      </c>
    </row>
    <row r="445" s="7" customFormat="1" spans="1:33">
      <c r="A445" s="7" t="s">
        <v>2389</v>
      </c>
      <c r="B445" s="7" t="s">
        <v>2389</v>
      </c>
      <c r="C445" s="7" t="s">
        <v>2390</v>
      </c>
      <c r="D445" s="7" t="s">
        <v>2391</v>
      </c>
      <c r="E445" s="7" t="s">
        <v>49</v>
      </c>
      <c r="F445" s="7" t="s">
        <v>34</v>
      </c>
      <c r="G445" s="7" t="s">
        <v>35</v>
      </c>
      <c r="J445" s="7" t="s">
        <v>50</v>
      </c>
      <c r="K445" s="7" t="s">
        <v>563</v>
      </c>
      <c r="L445" s="7" t="s">
        <v>564</v>
      </c>
      <c r="M445" s="7" t="s">
        <v>565</v>
      </c>
      <c r="N445" s="7" t="s">
        <v>49</v>
      </c>
      <c r="O445" s="7">
        <v>1</v>
      </c>
      <c r="P445" s="7" t="s">
        <v>41</v>
      </c>
      <c r="Q445" s="7">
        <v>12.99</v>
      </c>
      <c r="Y445" s="7" t="s">
        <v>2392</v>
      </c>
      <c r="Z445" s="7" t="s">
        <v>178</v>
      </c>
      <c r="AA445" s="7">
        <v>95428</v>
      </c>
      <c r="AB445" s="7" t="s">
        <v>45</v>
      </c>
      <c r="AD445" s="11"/>
      <c r="AE445" s="11"/>
      <c r="AF445" s="11"/>
      <c r="AG445" s="10">
        <f t="shared" si="6"/>
        <v>43323</v>
      </c>
    </row>
    <row r="446" s="7" customFormat="1" spans="1:33">
      <c r="A446" s="7" t="s">
        <v>2393</v>
      </c>
      <c r="B446" s="7" t="s">
        <v>2393</v>
      </c>
      <c r="C446" s="7" t="s">
        <v>2394</v>
      </c>
      <c r="D446" s="7" t="s">
        <v>2395</v>
      </c>
      <c r="E446" s="7" t="s">
        <v>49</v>
      </c>
      <c r="F446" s="7" t="s">
        <v>34</v>
      </c>
      <c r="G446" s="7" t="s">
        <v>35</v>
      </c>
      <c r="J446" s="7" t="s">
        <v>50</v>
      </c>
      <c r="K446" s="7" t="s">
        <v>595</v>
      </c>
      <c r="L446" s="7" t="s">
        <v>596</v>
      </c>
      <c r="M446" s="7" t="s">
        <v>597</v>
      </c>
      <c r="N446" s="7" t="s">
        <v>49</v>
      </c>
      <c r="O446" s="7">
        <v>1</v>
      </c>
      <c r="P446" s="7" t="s">
        <v>41</v>
      </c>
      <c r="Q446" s="7">
        <v>21.99</v>
      </c>
      <c r="W446" s="7">
        <v>21.77</v>
      </c>
      <c r="Y446" s="7" t="s">
        <v>2396</v>
      </c>
      <c r="Z446" s="7" t="s">
        <v>2397</v>
      </c>
      <c r="AA446" s="7" t="s">
        <v>2398</v>
      </c>
      <c r="AB446" s="7" t="s">
        <v>45</v>
      </c>
      <c r="AC446" s="7" t="s">
        <v>66</v>
      </c>
      <c r="AD446" s="11"/>
      <c r="AE446" s="11"/>
      <c r="AF446" s="11"/>
      <c r="AG446" s="10">
        <f t="shared" si="6"/>
        <v>43323</v>
      </c>
    </row>
    <row r="447" s="7" customFormat="1" spans="1:33">
      <c r="A447" s="7" t="s">
        <v>2399</v>
      </c>
      <c r="B447" s="7" t="s">
        <v>2399</v>
      </c>
      <c r="C447" s="7" t="s">
        <v>2400</v>
      </c>
      <c r="D447" s="7" t="s">
        <v>2401</v>
      </c>
      <c r="E447" s="7" t="s">
        <v>49</v>
      </c>
      <c r="F447" s="7" t="s">
        <v>34</v>
      </c>
      <c r="G447" s="7" t="s">
        <v>35</v>
      </c>
      <c r="J447" s="7" t="s">
        <v>36</v>
      </c>
      <c r="K447" s="7" t="s">
        <v>208</v>
      </c>
      <c r="L447" s="7" t="s">
        <v>209</v>
      </c>
      <c r="M447" s="7" t="s">
        <v>210</v>
      </c>
      <c r="N447" s="7" t="s">
        <v>49</v>
      </c>
      <c r="O447" s="7">
        <v>1</v>
      </c>
      <c r="P447" s="7" t="s">
        <v>41</v>
      </c>
      <c r="Q447" s="7">
        <v>89.99</v>
      </c>
      <c r="S447" s="7">
        <v>7.24</v>
      </c>
      <c r="X447" s="7">
        <v>7.24</v>
      </c>
      <c r="Y447" s="7" t="s">
        <v>2402</v>
      </c>
      <c r="Z447" s="7" t="s">
        <v>178</v>
      </c>
      <c r="AA447" s="7" t="s">
        <v>2403</v>
      </c>
      <c r="AB447" s="7" t="s">
        <v>45</v>
      </c>
      <c r="AC447" s="7" t="s">
        <v>549</v>
      </c>
      <c r="AD447" s="11"/>
      <c r="AE447" s="11"/>
      <c r="AF447" s="11"/>
      <c r="AG447" s="10">
        <f t="shared" si="6"/>
        <v>43323</v>
      </c>
    </row>
    <row r="448" s="7" customFormat="1" spans="1:33">
      <c r="A448" s="7" t="s">
        <v>2404</v>
      </c>
      <c r="B448" s="7" t="s">
        <v>2404</v>
      </c>
      <c r="C448" s="7" t="s">
        <v>2405</v>
      </c>
      <c r="D448" s="7" t="s">
        <v>2406</v>
      </c>
      <c r="E448" s="7" t="s">
        <v>49</v>
      </c>
      <c r="F448" s="7" t="s">
        <v>34</v>
      </c>
      <c r="G448" s="7" t="s">
        <v>35</v>
      </c>
      <c r="J448" s="7" t="s">
        <v>50</v>
      </c>
      <c r="K448" s="7" t="s">
        <v>2188</v>
      </c>
      <c r="L448" s="7" t="s">
        <v>2189</v>
      </c>
      <c r="M448" s="7" t="s">
        <v>2190</v>
      </c>
      <c r="N448" s="7" t="s">
        <v>49</v>
      </c>
      <c r="O448" s="7">
        <v>1</v>
      </c>
      <c r="P448" s="7" t="s">
        <v>41</v>
      </c>
      <c r="Q448" s="7">
        <v>23.99</v>
      </c>
      <c r="Y448" s="7" t="s">
        <v>2407</v>
      </c>
      <c r="Z448" s="7" t="s">
        <v>2408</v>
      </c>
      <c r="AA448" s="7" t="s">
        <v>2409</v>
      </c>
      <c r="AB448" s="7" t="s">
        <v>45</v>
      </c>
      <c r="AD448" s="11"/>
      <c r="AE448" s="11"/>
      <c r="AF448" s="11"/>
      <c r="AG448" s="10">
        <f t="shared" si="6"/>
        <v>43323</v>
      </c>
    </row>
    <row r="449" s="7" customFormat="1" spans="1:33">
      <c r="A449" s="7" t="s">
        <v>2410</v>
      </c>
      <c r="B449" s="7" t="s">
        <v>2410</v>
      </c>
      <c r="C449" s="7" t="s">
        <v>2411</v>
      </c>
      <c r="D449" s="7" t="s">
        <v>2412</v>
      </c>
      <c r="E449" s="7" t="s">
        <v>49</v>
      </c>
      <c r="F449" s="7" t="s">
        <v>34</v>
      </c>
      <c r="G449" s="7" t="s">
        <v>35</v>
      </c>
      <c r="J449" s="7" t="s">
        <v>36</v>
      </c>
      <c r="K449" s="7" t="s">
        <v>2413</v>
      </c>
      <c r="L449" s="7" t="s">
        <v>143</v>
      </c>
      <c r="M449" s="7" t="s">
        <v>144</v>
      </c>
      <c r="N449" s="7" t="s">
        <v>49</v>
      </c>
      <c r="O449" s="7">
        <v>1</v>
      </c>
      <c r="P449" s="7" t="s">
        <v>41</v>
      </c>
      <c r="Q449" s="7">
        <v>79.99</v>
      </c>
      <c r="S449" s="7">
        <v>5.94</v>
      </c>
      <c r="X449" s="7">
        <v>5.94</v>
      </c>
      <c r="Y449" s="7" t="s">
        <v>2181</v>
      </c>
      <c r="Z449" s="7" t="s">
        <v>2182</v>
      </c>
      <c r="AA449" s="7">
        <v>33172</v>
      </c>
      <c r="AB449" s="7" t="s">
        <v>45</v>
      </c>
      <c r="AC449" s="7" t="s">
        <v>549</v>
      </c>
      <c r="AD449" s="11"/>
      <c r="AE449" s="11"/>
      <c r="AF449" s="11"/>
      <c r="AG449" s="10">
        <f t="shared" si="6"/>
        <v>43323</v>
      </c>
    </row>
    <row r="450" s="7" customFormat="1" spans="1:33">
      <c r="A450" s="7" t="s">
        <v>2414</v>
      </c>
      <c r="B450" s="7" t="s">
        <v>2414</v>
      </c>
      <c r="C450" s="7" t="s">
        <v>2415</v>
      </c>
      <c r="D450" s="7" t="s">
        <v>2416</v>
      </c>
      <c r="E450" s="7" t="s">
        <v>49</v>
      </c>
      <c r="F450" s="7" t="s">
        <v>34</v>
      </c>
      <c r="G450" s="7" t="s">
        <v>35</v>
      </c>
      <c r="J450" s="7" t="s">
        <v>50</v>
      </c>
      <c r="K450" s="7" t="s">
        <v>611</v>
      </c>
      <c r="L450" s="7" t="s">
        <v>612</v>
      </c>
      <c r="M450" s="7" t="s">
        <v>613</v>
      </c>
      <c r="N450" s="7" t="s">
        <v>49</v>
      </c>
      <c r="O450" s="7">
        <v>1</v>
      </c>
      <c r="P450" s="7" t="s">
        <v>41</v>
      </c>
      <c r="Q450" s="7">
        <v>89.99</v>
      </c>
      <c r="Y450" s="7" t="s">
        <v>2417</v>
      </c>
      <c r="Z450" s="7" t="s">
        <v>43</v>
      </c>
      <c r="AA450" s="7">
        <v>8757</v>
      </c>
      <c r="AB450" s="7" t="s">
        <v>45</v>
      </c>
      <c r="AD450" s="11"/>
      <c r="AE450" s="11"/>
      <c r="AF450" s="11"/>
      <c r="AG450" s="10">
        <f t="shared" ref="AG450:AG513" si="7">DATEVALUE(LEFT(C450,10))</f>
        <v>43323</v>
      </c>
    </row>
    <row r="451" s="7" customFormat="1" spans="1:33">
      <c r="A451" s="7" t="s">
        <v>2418</v>
      </c>
      <c r="B451" s="7" t="s">
        <v>2418</v>
      </c>
      <c r="C451" s="7" t="s">
        <v>2419</v>
      </c>
      <c r="D451" s="7" t="s">
        <v>2420</v>
      </c>
      <c r="E451" s="7" t="s">
        <v>49</v>
      </c>
      <c r="F451" s="7" t="s">
        <v>34</v>
      </c>
      <c r="G451" s="7" t="s">
        <v>35</v>
      </c>
      <c r="J451" s="7" t="s">
        <v>36</v>
      </c>
      <c r="K451" s="7" t="s">
        <v>700</v>
      </c>
      <c r="L451" s="7" t="s">
        <v>701</v>
      </c>
      <c r="M451" s="7" t="s">
        <v>702</v>
      </c>
      <c r="N451" s="7" t="s">
        <v>49</v>
      </c>
      <c r="O451" s="7">
        <v>1</v>
      </c>
      <c r="P451" s="7" t="s">
        <v>41</v>
      </c>
      <c r="Q451" s="7">
        <v>108.99</v>
      </c>
      <c r="S451" s="7">
        <v>8.64</v>
      </c>
      <c r="Y451" s="7" t="s">
        <v>2421</v>
      </c>
      <c r="Z451" s="7" t="s">
        <v>346</v>
      </c>
      <c r="AA451" s="7" t="s">
        <v>2422</v>
      </c>
      <c r="AB451" s="7" t="s">
        <v>45</v>
      </c>
      <c r="AD451" s="11"/>
      <c r="AE451" s="11"/>
      <c r="AF451" s="11"/>
      <c r="AG451" s="10">
        <f t="shared" si="7"/>
        <v>43323</v>
      </c>
    </row>
    <row r="452" s="7" customFormat="1" spans="1:33">
      <c r="A452" s="7" t="s">
        <v>2423</v>
      </c>
      <c r="B452" s="7" t="s">
        <v>2423</v>
      </c>
      <c r="C452" s="7" t="s">
        <v>2424</v>
      </c>
      <c r="D452" s="7" t="s">
        <v>2425</v>
      </c>
      <c r="E452" s="7" t="s">
        <v>49</v>
      </c>
      <c r="F452" s="7" t="s">
        <v>34</v>
      </c>
      <c r="G452" s="7" t="s">
        <v>35</v>
      </c>
      <c r="J452" s="7" t="s">
        <v>50</v>
      </c>
      <c r="K452" s="7" t="s">
        <v>766</v>
      </c>
      <c r="L452" s="7" t="s">
        <v>767</v>
      </c>
      <c r="M452" s="7" t="s">
        <v>768</v>
      </c>
      <c r="N452" s="7" t="s">
        <v>49</v>
      </c>
      <c r="O452" s="7">
        <v>1</v>
      </c>
      <c r="P452" s="7" t="s">
        <v>41</v>
      </c>
      <c r="Q452" s="7">
        <v>32.99</v>
      </c>
      <c r="Y452" s="7" t="s">
        <v>2426</v>
      </c>
      <c r="Z452" s="7" t="s">
        <v>437</v>
      </c>
      <c r="AA452" s="7" t="s">
        <v>2427</v>
      </c>
      <c r="AB452" s="7" t="s">
        <v>45</v>
      </c>
      <c r="AD452" s="11"/>
      <c r="AE452" s="11"/>
      <c r="AF452" s="11"/>
      <c r="AG452" s="10">
        <f t="shared" si="7"/>
        <v>43323</v>
      </c>
    </row>
    <row r="453" s="7" customFormat="1" spans="1:33">
      <c r="A453" s="7" t="s">
        <v>2428</v>
      </c>
      <c r="B453" s="7" t="s">
        <v>2428</v>
      </c>
      <c r="C453" s="7" t="s">
        <v>2429</v>
      </c>
      <c r="D453" s="7" t="s">
        <v>2430</v>
      </c>
      <c r="E453" s="7" t="s">
        <v>49</v>
      </c>
      <c r="F453" s="7" t="s">
        <v>34</v>
      </c>
      <c r="G453" s="7" t="s">
        <v>35</v>
      </c>
      <c r="J453" s="7" t="s">
        <v>50</v>
      </c>
      <c r="K453" s="7" t="s">
        <v>595</v>
      </c>
      <c r="L453" s="7" t="s">
        <v>596</v>
      </c>
      <c r="M453" s="7" t="s">
        <v>597</v>
      </c>
      <c r="N453" s="7" t="s">
        <v>49</v>
      </c>
      <c r="O453" s="7">
        <v>1</v>
      </c>
      <c r="P453" s="7" t="s">
        <v>41</v>
      </c>
      <c r="Q453" s="7">
        <v>21.99</v>
      </c>
      <c r="Y453" s="7" t="s">
        <v>947</v>
      </c>
      <c r="Z453" s="7" t="s">
        <v>64</v>
      </c>
      <c r="AA453" s="7" t="s">
        <v>2431</v>
      </c>
      <c r="AB453" s="7" t="s">
        <v>45</v>
      </c>
      <c r="AD453" s="11"/>
      <c r="AE453" s="11"/>
      <c r="AF453" s="11"/>
      <c r="AG453" s="10">
        <f t="shared" si="7"/>
        <v>43323</v>
      </c>
    </row>
    <row r="454" s="7" customFormat="1" spans="1:33">
      <c r="A454" s="7" t="s">
        <v>2432</v>
      </c>
      <c r="B454" s="7" t="s">
        <v>2432</v>
      </c>
      <c r="C454" s="7" t="s">
        <v>2433</v>
      </c>
      <c r="D454" s="7" t="s">
        <v>2434</v>
      </c>
      <c r="E454" s="7" t="s">
        <v>49</v>
      </c>
      <c r="F454" s="7" t="s">
        <v>34</v>
      </c>
      <c r="G454" s="7" t="s">
        <v>35</v>
      </c>
      <c r="J454" s="7" t="s">
        <v>50</v>
      </c>
      <c r="K454" s="7" t="s">
        <v>828</v>
      </c>
      <c r="L454" s="7" t="s">
        <v>829</v>
      </c>
      <c r="M454" s="7" t="s">
        <v>830</v>
      </c>
      <c r="N454" s="7" t="s">
        <v>49</v>
      </c>
      <c r="O454" s="7">
        <v>1</v>
      </c>
      <c r="P454" s="7" t="s">
        <v>41</v>
      </c>
      <c r="Q454" s="7">
        <v>59.99</v>
      </c>
      <c r="Y454" s="7" t="s">
        <v>2435</v>
      </c>
      <c r="Z454" s="7" t="s">
        <v>137</v>
      </c>
      <c r="AA454" s="7" t="s">
        <v>2436</v>
      </c>
      <c r="AB454" s="7" t="s">
        <v>45</v>
      </c>
      <c r="AD454" s="11"/>
      <c r="AE454" s="11"/>
      <c r="AF454" s="11"/>
      <c r="AG454" s="10">
        <f t="shared" si="7"/>
        <v>43323</v>
      </c>
    </row>
    <row r="455" s="7" customFormat="1" spans="1:33">
      <c r="A455" s="7" t="s">
        <v>2437</v>
      </c>
      <c r="B455" s="7" t="s">
        <v>2437</v>
      </c>
      <c r="C455" s="7" t="s">
        <v>2438</v>
      </c>
      <c r="D455" s="7" t="s">
        <v>2439</v>
      </c>
      <c r="E455" s="7" t="s">
        <v>49</v>
      </c>
      <c r="F455" s="7" t="s">
        <v>34</v>
      </c>
      <c r="G455" s="7" t="s">
        <v>35</v>
      </c>
      <c r="J455" s="7" t="s">
        <v>50</v>
      </c>
      <c r="K455" s="7" t="s">
        <v>2440</v>
      </c>
      <c r="L455" s="7" t="s">
        <v>38</v>
      </c>
      <c r="M455" s="7" t="s">
        <v>39</v>
      </c>
      <c r="N455" s="7" t="s">
        <v>49</v>
      </c>
      <c r="O455" s="7">
        <v>1</v>
      </c>
      <c r="P455" s="7" t="s">
        <v>41</v>
      </c>
      <c r="Q455" s="7">
        <v>89.99</v>
      </c>
      <c r="R455" s="7">
        <v>5.4</v>
      </c>
      <c r="Y455" s="7" t="s">
        <v>2441</v>
      </c>
      <c r="Z455" s="7" t="s">
        <v>124</v>
      </c>
      <c r="AA455" s="7" t="s">
        <v>2442</v>
      </c>
      <c r="AB455" s="7" t="s">
        <v>45</v>
      </c>
      <c r="AD455" s="11"/>
      <c r="AE455" s="11"/>
      <c r="AF455" s="11"/>
      <c r="AG455" s="10">
        <f t="shared" si="7"/>
        <v>43323</v>
      </c>
    </row>
    <row r="456" s="7" customFormat="1" spans="1:33">
      <c r="A456" s="7" t="s">
        <v>2443</v>
      </c>
      <c r="B456" s="7" t="s">
        <v>2443</v>
      </c>
      <c r="C456" s="7" t="s">
        <v>2444</v>
      </c>
      <c r="D456" s="7" t="s">
        <v>2445</v>
      </c>
      <c r="E456" s="7" t="s">
        <v>49</v>
      </c>
      <c r="F456" s="7" t="s">
        <v>34</v>
      </c>
      <c r="G456" s="7" t="s">
        <v>35</v>
      </c>
      <c r="J456" s="7" t="s">
        <v>36</v>
      </c>
      <c r="K456" s="7" t="s">
        <v>766</v>
      </c>
      <c r="L456" s="7" t="s">
        <v>767</v>
      </c>
      <c r="M456" s="7" t="s">
        <v>768</v>
      </c>
      <c r="N456" s="7" t="s">
        <v>49</v>
      </c>
      <c r="O456" s="7">
        <v>1</v>
      </c>
      <c r="P456" s="7" t="s">
        <v>41</v>
      </c>
      <c r="Q456" s="7">
        <v>32.99</v>
      </c>
      <c r="S456" s="7">
        <v>5.71</v>
      </c>
      <c r="X456" s="7">
        <v>5.71</v>
      </c>
      <c r="Y456" s="7" t="s">
        <v>1431</v>
      </c>
      <c r="Z456" s="7" t="s">
        <v>260</v>
      </c>
      <c r="AA456" s="7" t="s">
        <v>2446</v>
      </c>
      <c r="AB456" s="7" t="s">
        <v>45</v>
      </c>
      <c r="AC456" s="7" t="s">
        <v>549</v>
      </c>
      <c r="AD456" s="11"/>
      <c r="AE456" s="11"/>
      <c r="AF456" s="11"/>
      <c r="AG456" s="10">
        <f t="shared" si="7"/>
        <v>43323</v>
      </c>
    </row>
    <row r="457" s="7" customFormat="1" spans="1:33">
      <c r="A457" s="7" t="s">
        <v>2447</v>
      </c>
      <c r="B457" s="7" t="s">
        <v>2447</v>
      </c>
      <c r="C457" s="7" t="s">
        <v>2448</v>
      </c>
      <c r="D457" s="7" t="s">
        <v>2449</v>
      </c>
      <c r="E457" s="7" t="s">
        <v>49</v>
      </c>
      <c r="F457" s="7" t="s">
        <v>34</v>
      </c>
      <c r="G457" s="7" t="s">
        <v>35</v>
      </c>
      <c r="J457" s="7" t="s">
        <v>50</v>
      </c>
      <c r="K457" s="7" t="s">
        <v>692</v>
      </c>
      <c r="L457" s="7" t="s">
        <v>693</v>
      </c>
      <c r="M457" s="7" t="s">
        <v>694</v>
      </c>
      <c r="N457" s="7" t="s">
        <v>49</v>
      </c>
      <c r="O457" s="7">
        <v>1</v>
      </c>
      <c r="P457" s="7" t="s">
        <v>41</v>
      </c>
      <c r="Q457" s="7">
        <v>79.99</v>
      </c>
      <c r="Y457" s="7" t="s">
        <v>2450</v>
      </c>
      <c r="Z457" s="7" t="s">
        <v>331</v>
      </c>
      <c r="AA457" s="7">
        <v>21122</v>
      </c>
      <c r="AB457" s="7" t="s">
        <v>45</v>
      </c>
      <c r="AD457" s="11"/>
      <c r="AE457" s="11"/>
      <c r="AF457" s="11"/>
      <c r="AG457" s="10">
        <f t="shared" si="7"/>
        <v>43323</v>
      </c>
    </row>
    <row r="458" s="7" customFormat="1" spans="1:33">
      <c r="A458" s="7" t="s">
        <v>2451</v>
      </c>
      <c r="B458" s="7" t="s">
        <v>2451</v>
      </c>
      <c r="C458" s="7" t="s">
        <v>2452</v>
      </c>
      <c r="D458" s="7" t="s">
        <v>2453</v>
      </c>
      <c r="E458" s="7" t="s">
        <v>49</v>
      </c>
      <c r="F458" s="7" t="s">
        <v>34</v>
      </c>
      <c r="G458" s="7" t="s">
        <v>35</v>
      </c>
      <c r="J458" s="7" t="s">
        <v>36</v>
      </c>
      <c r="K458" s="7" t="s">
        <v>2454</v>
      </c>
      <c r="L458" s="7" t="s">
        <v>2455</v>
      </c>
      <c r="M458" s="7" t="s">
        <v>2456</v>
      </c>
      <c r="N458" s="7" t="s">
        <v>49</v>
      </c>
      <c r="O458" s="7">
        <v>1</v>
      </c>
      <c r="P458" s="7" t="s">
        <v>41</v>
      </c>
      <c r="Q458" s="7">
        <v>79.99</v>
      </c>
      <c r="S458" s="7">
        <v>2.69</v>
      </c>
      <c r="Y458" s="7" t="s">
        <v>2457</v>
      </c>
      <c r="Z458" s="7" t="s">
        <v>872</v>
      </c>
      <c r="AA458" s="7" t="s">
        <v>2458</v>
      </c>
      <c r="AB458" s="7" t="s">
        <v>45</v>
      </c>
      <c r="AD458" s="11"/>
      <c r="AE458" s="11"/>
      <c r="AF458" s="11"/>
      <c r="AG458" s="10">
        <f t="shared" si="7"/>
        <v>43323</v>
      </c>
    </row>
    <row r="459" s="7" customFormat="1" spans="1:33">
      <c r="A459" s="7" t="s">
        <v>2451</v>
      </c>
      <c r="B459" s="7" t="s">
        <v>2451</v>
      </c>
      <c r="C459" s="7" t="s">
        <v>2452</v>
      </c>
      <c r="D459" s="7" t="s">
        <v>2453</v>
      </c>
      <c r="E459" s="7" t="s">
        <v>49</v>
      </c>
      <c r="F459" s="7" t="s">
        <v>34</v>
      </c>
      <c r="G459" s="7" t="s">
        <v>35</v>
      </c>
      <c r="J459" s="7" t="s">
        <v>36</v>
      </c>
      <c r="K459" s="7" t="s">
        <v>1152</v>
      </c>
      <c r="L459" s="7" t="s">
        <v>1153</v>
      </c>
      <c r="M459" s="7" t="s">
        <v>1154</v>
      </c>
      <c r="N459" s="7" t="s">
        <v>49</v>
      </c>
      <c r="O459" s="7">
        <v>1</v>
      </c>
      <c r="P459" s="7" t="s">
        <v>41</v>
      </c>
      <c r="Q459" s="7">
        <v>79.99</v>
      </c>
      <c r="S459" s="7">
        <v>2.68</v>
      </c>
      <c r="Y459" s="7" t="s">
        <v>2457</v>
      </c>
      <c r="Z459" s="7" t="s">
        <v>872</v>
      </c>
      <c r="AA459" s="7" t="s">
        <v>2458</v>
      </c>
      <c r="AB459" s="7" t="s">
        <v>45</v>
      </c>
      <c r="AD459" s="11"/>
      <c r="AE459" s="11"/>
      <c r="AF459" s="11"/>
      <c r="AG459" s="10">
        <f t="shared" si="7"/>
        <v>43323</v>
      </c>
    </row>
    <row r="460" s="7" customFormat="1" spans="1:33">
      <c r="A460" s="7" t="s">
        <v>2459</v>
      </c>
      <c r="B460" s="7" t="s">
        <v>2459</v>
      </c>
      <c r="C460" s="7" t="s">
        <v>2460</v>
      </c>
      <c r="D460" s="7" t="s">
        <v>2461</v>
      </c>
      <c r="E460" s="7" t="s">
        <v>49</v>
      </c>
      <c r="F460" s="7" t="s">
        <v>34</v>
      </c>
      <c r="G460" s="7" t="s">
        <v>35</v>
      </c>
      <c r="J460" s="7" t="s">
        <v>50</v>
      </c>
      <c r="K460" s="7" t="s">
        <v>2279</v>
      </c>
      <c r="L460" s="7" t="s">
        <v>277</v>
      </c>
      <c r="M460" s="7" t="s">
        <v>278</v>
      </c>
      <c r="N460" s="7" t="s">
        <v>49</v>
      </c>
      <c r="O460" s="7">
        <v>1</v>
      </c>
      <c r="P460" s="7" t="s">
        <v>41</v>
      </c>
      <c r="Q460" s="7">
        <v>91.99</v>
      </c>
      <c r="Y460" s="7" t="s">
        <v>2462</v>
      </c>
      <c r="Z460" s="7" t="s">
        <v>43</v>
      </c>
      <c r="AA460" s="7" t="s">
        <v>2463</v>
      </c>
      <c r="AB460" s="7" t="s">
        <v>45</v>
      </c>
      <c r="AD460" s="8"/>
      <c r="AE460" s="8"/>
      <c r="AF460" s="8"/>
      <c r="AG460" s="10">
        <f t="shared" si="7"/>
        <v>43323</v>
      </c>
    </row>
    <row r="461" s="7" customFormat="1" spans="1:33">
      <c r="A461" s="7" t="s">
        <v>2464</v>
      </c>
      <c r="B461" s="7" t="s">
        <v>2464</v>
      </c>
      <c r="C461" s="7" t="s">
        <v>2465</v>
      </c>
      <c r="D461" s="7" t="s">
        <v>2466</v>
      </c>
      <c r="E461" s="7" t="s">
        <v>33</v>
      </c>
      <c r="F461" s="7" t="s">
        <v>34</v>
      </c>
      <c r="G461" s="7" t="s">
        <v>35</v>
      </c>
      <c r="J461" s="7" t="s">
        <v>36</v>
      </c>
      <c r="K461" s="7" t="s">
        <v>828</v>
      </c>
      <c r="L461" s="7" t="s">
        <v>829</v>
      </c>
      <c r="M461" s="7" t="s">
        <v>830</v>
      </c>
      <c r="N461" s="7" t="s">
        <v>33</v>
      </c>
      <c r="O461" s="7">
        <v>0</v>
      </c>
      <c r="Y461" s="7" t="s">
        <v>1634</v>
      </c>
      <c r="Z461" s="7" t="s">
        <v>346</v>
      </c>
      <c r="AA461" s="7" t="s">
        <v>2467</v>
      </c>
      <c r="AB461" s="7" t="s">
        <v>45</v>
      </c>
      <c r="AD461" s="8"/>
      <c r="AE461" s="8"/>
      <c r="AF461" s="8"/>
      <c r="AG461" s="10">
        <f t="shared" si="7"/>
        <v>43323</v>
      </c>
    </row>
    <row r="462" s="7" customFormat="1" spans="1:33">
      <c r="A462" s="7" t="s">
        <v>2468</v>
      </c>
      <c r="B462" s="7" t="s">
        <v>2468</v>
      </c>
      <c r="C462" s="7" t="s">
        <v>2469</v>
      </c>
      <c r="D462" s="7" t="s">
        <v>2470</v>
      </c>
      <c r="E462" s="7" t="s">
        <v>49</v>
      </c>
      <c r="F462" s="7" t="s">
        <v>34</v>
      </c>
      <c r="G462" s="7" t="s">
        <v>35</v>
      </c>
      <c r="J462" s="7" t="s">
        <v>36</v>
      </c>
      <c r="K462" s="7" t="s">
        <v>2279</v>
      </c>
      <c r="L462" s="7" t="s">
        <v>277</v>
      </c>
      <c r="M462" s="7" t="s">
        <v>278</v>
      </c>
      <c r="N462" s="7" t="s">
        <v>49</v>
      </c>
      <c r="O462" s="7">
        <v>1</v>
      </c>
      <c r="P462" s="7" t="s">
        <v>41</v>
      </c>
      <c r="Q462" s="7">
        <v>91.99</v>
      </c>
      <c r="S462" s="7">
        <v>8.07</v>
      </c>
      <c r="Y462" s="7" t="s">
        <v>2471</v>
      </c>
      <c r="Z462" s="7" t="s">
        <v>361</v>
      </c>
      <c r="AA462" s="7" t="s">
        <v>2472</v>
      </c>
      <c r="AB462" s="7" t="s">
        <v>45</v>
      </c>
      <c r="AD462" s="11"/>
      <c r="AE462" s="11"/>
      <c r="AF462" s="11"/>
      <c r="AG462" s="10">
        <f t="shared" si="7"/>
        <v>43323</v>
      </c>
    </row>
    <row r="463" s="7" customFormat="1" spans="1:33">
      <c r="A463" s="7" t="s">
        <v>2473</v>
      </c>
      <c r="B463" s="7" t="s">
        <v>2473</v>
      </c>
      <c r="C463" s="7" t="s">
        <v>2474</v>
      </c>
      <c r="D463" s="7" t="s">
        <v>2475</v>
      </c>
      <c r="E463" s="7" t="s">
        <v>49</v>
      </c>
      <c r="F463" s="7" t="s">
        <v>34</v>
      </c>
      <c r="G463" s="7" t="s">
        <v>35</v>
      </c>
      <c r="J463" s="7" t="s">
        <v>36</v>
      </c>
      <c r="K463" s="7" t="s">
        <v>70</v>
      </c>
      <c r="L463" s="7" t="s">
        <v>71</v>
      </c>
      <c r="M463" s="7" t="s">
        <v>72</v>
      </c>
      <c r="N463" s="7" t="s">
        <v>49</v>
      </c>
      <c r="O463" s="7">
        <v>1</v>
      </c>
      <c r="P463" s="7" t="s">
        <v>41</v>
      </c>
      <c r="Q463" s="7">
        <v>96.99</v>
      </c>
      <c r="S463" s="7">
        <v>2.76</v>
      </c>
      <c r="X463" s="7">
        <v>2.76</v>
      </c>
      <c r="Y463" s="7" t="s">
        <v>2181</v>
      </c>
      <c r="Z463" s="7" t="s">
        <v>2182</v>
      </c>
      <c r="AA463" s="7">
        <v>33122</v>
      </c>
      <c r="AB463" s="7" t="s">
        <v>45</v>
      </c>
      <c r="AC463" s="7" t="s">
        <v>549</v>
      </c>
      <c r="AD463" s="11"/>
      <c r="AE463" s="11"/>
      <c r="AF463" s="11"/>
      <c r="AG463" s="10">
        <f t="shared" si="7"/>
        <v>43323</v>
      </c>
    </row>
    <row r="464" s="7" customFormat="1" spans="1:33">
      <c r="A464" s="7" t="s">
        <v>2476</v>
      </c>
      <c r="B464" s="7" t="s">
        <v>2476</v>
      </c>
      <c r="C464" s="7" t="s">
        <v>2477</v>
      </c>
      <c r="D464" s="7" t="s">
        <v>2478</v>
      </c>
      <c r="E464" s="7" t="s">
        <v>49</v>
      </c>
      <c r="F464" s="7" t="s">
        <v>34</v>
      </c>
      <c r="G464" s="7" t="s">
        <v>35</v>
      </c>
      <c r="J464" s="7" t="s">
        <v>151</v>
      </c>
      <c r="K464" s="7" t="s">
        <v>2279</v>
      </c>
      <c r="L464" s="7" t="s">
        <v>277</v>
      </c>
      <c r="M464" s="7" t="s">
        <v>278</v>
      </c>
      <c r="N464" s="7" t="s">
        <v>49</v>
      </c>
      <c r="O464" s="7">
        <v>1</v>
      </c>
      <c r="P464" s="7" t="s">
        <v>41</v>
      </c>
      <c r="Q464" s="7">
        <v>91.99</v>
      </c>
      <c r="S464" s="7">
        <v>6.99</v>
      </c>
      <c r="X464" s="7">
        <v>6.99</v>
      </c>
      <c r="Y464" s="7" t="s">
        <v>2479</v>
      </c>
      <c r="Z464" s="7" t="s">
        <v>280</v>
      </c>
      <c r="AA464" s="7" t="s">
        <v>2480</v>
      </c>
      <c r="AB464" s="7" t="s">
        <v>45</v>
      </c>
      <c r="AD464" s="11"/>
      <c r="AE464" s="11"/>
      <c r="AF464" s="11"/>
      <c r="AG464" s="10">
        <f t="shared" si="7"/>
        <v>43323</v>
      </c>
    </row>
    <row r="465" s="7" customFormat="1" spans="1:33">
      <c r="A465" s="7" t="s">
        <v>2481</v>
      </c>
      <c r="B465" s="7" t="s">
        <v>2481</v>
      </c>
      <c r="C465" s="7" t="s">
        <v>2482</v>
      </c>
      <c r="D465" s="7" t="s">
        <v>2483</v>
      </c>
      <c r="E465" s="7" t="s">
        <v>49</v>
      </c>
      <c r="F465" s="7" t="s">
        <v>34</v>
      </c>
      <c r="G465" s="7" t="s">
        <v>35</v>
      </c>
      <c r="J465" s="7" t="s">
        <v>50</v>
      </c>
      <c r="K465" s="7" t="s">
        <v>485</v>
      </c>
      <c r="L465" s="7" t="s">
        <v>486</v>
      </c>
      <c r="M465" s="7" t="s">
        <v>487</v>
      </c>
      <c r="N465" s="7" t="s">
        <v>49</v>
      </c>
      <c r="O465" s="7">
        <v>1</v>
      </c>
      <c r="P465" s="7" t="s">
        <v>41</v>
      </c>
      <c r="Q465" s="7">
        <v>69.99</v>
      </c>
      <c r="Y465" s="7" t="s">
        <v>2484</v>
      </c>
      <c r="Z465" s="7" t="s">
        <v>361</v>
      </c>
      <c r="AA465" s="7" t="s">
        <v>2485</v>
      </c>
      <c r="AB465" s="7" t="s">
        <v>45</v>
      </c>
      <c r="AD465" s="11"/>
      <c r="AE465" s="11"/>
      <c r="AF465" s="11"/>
      <c r="AG465" s="10">
        <f t="shared" si="7"/>
        <v>43324</v>
      </c>
    </row>
    <row r="466" s="7" customFormat="1" spans="1:33">
      <c r="A466" s="7" t="s">
        <v>2486</v>
      </c>
      <c r="B466" s="7" t="s">
        <v>2486</v>
      </c>
      <c r="C466" s="7" t="s">
        <v>2487</v>
      </c>
      <c r="D466" s="7" t="s">
        <v>2488</v>
      </c>
      <c r="E466" s="7" t="s">
        <v>49</v>
      </c>
      <c r="F466" s="7" t="s">
        <v>34</v>
      </c>
      <c r="G466" s="7" t="s">
        <v>35</v>
      </c>
      <c r="J466" s="7" t="s">
        <v>50</v>
      </c>
      <c r="K466" s="7" t="s">
        <v>2489</v>
      </c>
      <c r="L466" s="7" t="s">
        <v>2490</v>
      </c>
      <c r="M466" s="7" t="s">
        <v>2491</v>
      </c>
      <c r="N466" s="7" t="s">
        <v>49</v>
      </c>
      <c r="O466" s="7">
        <v>1</v>
      </c>
      <c r="P466" s="7" t="s">
        <v>41</v>
      </c>
      <c r="Q466" s="7">
        <v>59.99</v>
      </c>
      <c r="Y466" s="7" t="s">
        <v>2492</v>
      </c>
      <c r="Z466" s="7" t="s">
        <v>178</v>
      </c>
      <c r="AA466" s="7" t="s">
        <v>2493</v>
      </c>
      <c r="AB466" s="7" t="s">
        <v>45</v>
      </c>
      <c r="AD466" s="11"/>
      <c r="AE466" s="11"/>
      <c r="AF466" s="11"/>
      <c r="AG466" s="10">
        <f t="shared" si="7"/>
        <v>43324</v>
      </c>
    </row>
    <row r="467" s="7" customFormat="1" spans="1:33">
      <c r="A467" s="7" t="s">
        <v>2494</v>
      </c>
      <c r="B467" s="7" t="s">
        <v>2494</v>
      </c>
      <c r="C467" s="7" t="s">
        <v>2495</v>
      </c>
      <c r="D467" s="7" t="s">
        <v>2496</v>
      </c>
      <c r="E467" s="7" t="s">
        <v>49</v>
      </c>
      <c r="F467" s="7" t="s">
        <v>34</v>
      </c>
      <c r="G467" s="7" t="s">
        <v>35</v>
      </c>
      <c r="J467" s="7" t="s">
        <v>36</v>
      </c>
      <c r="K467" s="7" t="s">
        <v>70</v>
      </c>
      <c r="L467" s="7" t="s">
        <v>71</v>
      </c>
      <c r="M467" s="7" t="s">
        <v>72</v>
      </c>
      <c r="N467" s="7" t="s">
        <v>49</v>
      </c>
      <c r="O467" s="7">
        <v>1</v>
      </c>
      <c r="P467" s="7" t="s">
        <v>41</v>
      </c>
      <c r="Q467" s="7">
        <v>96.99</v>
      </c>
      <c r="S467" s="7">
        <v>7.14</v>
      </c>
      <c r="X467" s="7">
        <v>7.14</v>
      </c>
      <c r="Y467" s="7" t="s">
        <v>2497</v>
      </c>
      <c r="Z467" s="7" t="s">
        <v>670</v>
      </c>
      <c r="AA467" s="7">
        <v>70301</v>
      </c>
      <c r="AB467" s="7" t="s">
        <v>45</v>
      </c>
      <c r="AC467" s="7" t="s">
        <v>549</v>
      </c>
      <c r="AD467" s="11"/>
      <c r="AE467" s="11"/>
      <c r="AF467" s="11"/>
      <c r="AG467" s="10">
        <f t="shared" si="7"/>
        <v>43324</v>
      </c>
    </row>
    <row r="468" s="7" customFormat="1" spans="1:33">
      <c r="A468" s="7" t="s">
        <v>2498</v>
      </c>
      <c r="B468" s="7" t="s">
        <v>2498</v>
      </c>
      <c r="C468" s="7" t="s">
        <v>2499</v>
      </c>
      <c r="D468" s="7" t="s">
        <v>2500</v>
      </c>
      <c r="E468" s="7" t="s">
        <v>49</v>
      </c>
      <c r="F468" s="7" t="s">
        <v>34</v>
      </c>
      <c r="G468" s="7" t="s">
        <v>35</v>
      </c>
      <c r="J468" s="7" t="s">
        <v>50</v>
      </c>
      <c r="K468" s="7" t="s">
        <v>208</v>
      </c>
      <c r="L468" s="7" t="s">
        <v>209</v>
      </c>
      <c r="M468" s="7" t="s">
        <v>210</v>
      </c>
      <c r="N468" s="7" t="s">
        <v>49</v>
      </c>
      <c r="O468" s="7">
        <v>1</v>
      </c>
      <c r="P468" s="7" t="s">
        <v>41</v>
      </c>
      <c r="Q468" s="7">
        <v>89.99</v>
      </c>
      <c r="Y468" s="7" t="s">
        <v>2501</v>
      </c>
      <c r="Z468" s="7" t="s">
        <v>2502</v>
      </c>
      <c r="AA468" s="7">
        <v>77091</v>
      </c>
      <c r="AB468" s="7" t="s">
        <v>45</v>
      </c>
      <c r="AD468" s="11"/>
      <c r="AE468" s="11"/>
      <c r="AF468" s="11"/>
      <c r="AG468" s="10">
        <f t="shared" si="7"/>
        <v>43324</v>
      </c>
    </row>
    <row r="469" s="7" customFormat="1" spans="1:33">
      <c r="A469" s="7" t="s">
        <v>2503</v>
      </c>
      <c r="B469" s="7" t="s">
        <v>2503</v>
      </c>
      <c r="C469" s="7" t="s">
        <v>2504</v>
      </c>
      <c r="D469" s="7" t="s">
        <v>2505</v>
      </c>
      <c r="E469" s="7" t="s">
        <v>33</v>
      </c>
      <c r="F469" s="7" t="s">
        <v>34</v>
      </c>
      <c r="G469" s="7" t="s">
        <v>35</v>
      </c>
      <c r="J469" s="7" t="s">
        <v>36</v>
      </c>
      <c r="K469" s="7" t="s">
        <v>70</v>
      </c>
      <c r="L469" s="7" t="s">
        <v>71</v>
      </c>
      <c r="M469" s="7" t="s">
        <v>72</v>
      </c>
      <c r="N469" s="7" t="s">
        <v>33</v>
      </c>
      <c r="O469" s="7">
        <v>0</v>
      </c>
      <c r="Y469" s="7" t="s">
        <v>2506</v>
      </c>
      <c r="Z469" s="7" t="s">
        <v>64</v>
      </c>
      <c r="AA469" s="7" t="s">
        <v>2507</v>
      </c>
      <c r="AB469" s="7" t="s">
        <v>45</v>
      </c>
      <c r="AD469" s="11"/>
      <c r="AE469" s="11"/>
      <c r="AF469" s="11"/>
      <c r="AG469" s="10">
        <f t="shared" si="7"/>
        <v>43324</v>
      </c>
    </row>
    <row r="470" s="7" customFormat="1" spans="1:33">
      <c r="A470" s="7" t="s">
        <v>2508</v>
      </c>
      <c r="B470" s="7" t="s">
        <v>2508</v>
      </c>
      <c r="C470" s="7" t="s">
        <v>2509</v>
      </c>
      <c r="D470" s="7" t="s">
        <v>2510</v>
      </c>
      <c r="E470" s="7" t="s">
        <v>49</v>
      </c>
      <c r="F470" s="7" t="s">
        <v>34</v>
      </c>
      <c r="G470" s="7" t="s">
        <v>35</v>
      </c>
      <c r="J470" s="7" t="s">
        <v>50</v>
      </c>
      <c r="K470" s="7" t="s">
        <v>60</v>
      </c>
      <c r="L470" s="7" t="s">
        <v>61</v>
      </c>
      <c r="M470" s="7" t="s">
        <v>62</v>
      </c>
      <c r="N470" s="7" t="s">
        <v>49</v>
      </c>
      <c r="O470" s="7">
        <v>1</v>
      </c>
      <c r="P470" s="7" t="s">
        <v>41</v>
      </c>
      <c r="Q470" s="7">
        <v>21.99</v>
      </c>
      <c r="Y470" s="7" t="s">
        <v>2511</v>
      </c>
      <c r="Z470" s="7" t="s">
        <v>346</v>
      </c>
      <c r="AA470" s="7" t="s">
        <v>2512</v>
      </c>
      <c r="AB470" s="7" t="s">
        <v>45</v>
      </c>
      <c r="AD470" s="11"/>
      <c r="AE470" s="11"/>
      <c r="AF470" s="11"/>
      <c r="AG470" s="10">
        <f t="shared" si="7"/>
        <v>43324</v>
      </c>
    </row>
    <row r="471" s="7" customFormat="1" spans="1:33">
      <c r="A471" s="7" t="s">
        <v>2513</v>
      </c>
      <c r="B471" s="7" t="s">
        <v>2513</v>
      </c>
      <c r="C471" s="7" t="s">
        <v>2514</v>
      </c>
      <c r="D471" s="7" t="s">
        <v>2515</v>
      </c>
      <c r="E471" s="7" t="s">
        <v>49</v>
      </c>
      <c r="F471" s="7" t="s">
        <v>34</v>
      </c>
      <c r="G471" s="7" t="s">
        <v>35</v>
      </c>
      <c r="J471" s="7" t="s">
        <v>50</v>
      </c>
      <c r="K471" s="7" t="s">
        <v>485</v>
      </c>
      <c r="L471" s="7" t="s">
        <v>486</v>
      </c>
      <c r="M471" s="7" t="s">
        <v>487</v>
      </c>
      <c r="N471" s="7" t="s">
        <v>49</v>
      </c>
      <c r="O471" s="7">
        <v>1</v>
      </c>
      <c r="P471" s="7" t="s">
        <v>41</v>
      </c>
      <c r="Q471" s="7">
        <v>69.99</v>
      </c>
      <c r="Y471" s="7" t="s">
        <v>2516</v>
      </c>
      <c r="Z471" s="7" t="s">
        <v>266</v>
      </c>
      <c r="AA471" s="7" t="s">
        <v>2517</v>
      </c>
      <c r="AB471" s="7" t="s">
        <v>45</v>
      </c>
      <c r="AD471" s="11"/>
      <c r="AE471" s="11"/>
      <c r="AF471" s="11"/>
      <c r="AG471" s="10">
        <f t="shared" si="7"/>
        <v>43324</v>
      </c>
    </row>
    <row r="472" s="7" customFormat="1" spans="1:33">
      <c r="A472" s="7" t="s">
        <v>2518</v>
      </c>
      <c r="B472" s="7" t="s">
        <v>2518</v>
      </c>
      <c r="C472" s="7" t="s">
        <v>2519</v>
      </c>
      <c r="D472" s="7" t="s">
        <v>2520</v>
      </c>
      <c r="E472" s="7" t="s">
        <v>49</v>
      </c>
      <c r="F472" s="7" t="s">
        <v>34</v>
      </c>
      <c r="G472" s="7" t="s">
        <v>35</v>
      </c>
      <c r="J472" s="7" t="s">
        <v>50</v>
      </c>
      <c r="K472" s="7" t="s">
        <v>208</v>
      </c>
      <c r="L472" s="7" t="s">
        <v>209</v>
      </c>
      <c r="M472" s="7" t="s">
        <v>210</v>
      </c>
      <c r="N472" s="7" t="s">
        <v>49</v>
      </c>
      <c r="O472" s="7">
        <v>1</v>
      </c>
      <c r="P472" s="7" t="s">
        <v>41</v>
      </c>
      <c r="Q472" s="7">
        <v>89.99</v>
      </c>
      <c r="S472" s="7">
        <v>13.96</v>
      </c>
      <c r="Y472" s="7" t="s">
        <v>2521</v>
      </c>
      <c r="Z472" s="7" t="s">
        <v>2522</v>
      </c>
      <c r="AA472" s="7" t="s">
        <v>2523</v>
      </c>
      <c r="AB472" s="7" t="s">
        <v>45</v>
      </c>
      <c r="AD472" s="11"/>
      <c r="AE472" s="11"/>
      <c r="AF472" s="11"/>
      <c r="AG472" s="10">
        <f t="shared" si="7"/>
        <v>43324</v>
      </c>
    </row>
    <row r="473" s="7" customFormat="1" spans="1:33">
      <c r="A473" s="7" t="s">
        <v>2524</v>
      </c>
      <c r="B473" s="7" t="s">
        <v>2524</v>
      </c>
      <c r="C473" s="7" t="s">
        <v>2525</v>
      </c>
      <c r="D473" s="7" t="s">
        <v>2526</v>
      </c>
      <c r="E473" s="7" t="s">
        <v>49</v>
      </c>
      <c r="F473" s="7" t="s">
        <v>34</v>
      </c>
      <c r="G473" s="7" t="s">
        <v>35</v>
      </c>
      <c r="J473" s="7" t="s">
        <v>50</v>
      </c>
      <c r="K473" s="7" t="s">
        <v>603</v>
      </c>
      <c r="L473" s="7" t="s">
        <v>604</v>
      </c>
      <c r="M473" s="7" t="s">
        <v>605</v>
      </c>
      <c r="N473" s="7" t="s">
        <v>49</v>
      </c>
      <c r="O473" s="7">
        <v>1</v>
      </c>
      <c r="P473" s="7" t="s">
        <v>41</v>
      </c>
      <c r="Q473" s="7">
        <v>99.99</v>
      </c>
      <c r="Y473" s="7" t="s">
        <v>2527</v>
      </c>
      <c r="Z473" s="7" t="s">
        <v>109</v>
      </c>
      <c r="AA473" s="7" t="s">
        <v>2528</v>
      </c>
      <c r="AB473" s="7" t="s">
        <v>45</v>
      </c>
      <c r="AD473" s="11"/>
      <c r="AE473" s="11"/>
      <c r="AF473" s="11"/>
      <c r="AG473" s="10">
        <f t="shared" si="7"/>
        <v>43324</v>
      </c>
    </row>
    <row r="474" s="7" customFormat="1" spans="1:33">
      <c r="A474" s="7" t="s">
        <v>2529</v>
      </c>
      <c r="B474" s="7" t="s">
        <v>2529</v>
      </c>
      <c r="C474" s="7" t="s">
        <v>2530</v>
      </c>
      <c r="D474" s="7" t="s">
        <v>2531</v>
      </c>
      <c r="E474" s="7" t="s">
        <v>49</v>
      </c>
      <c r="F474" s="7" t="s">
        <v>34</v>
      </c>
      <c r="G474" s="7" t="s">
        <v>35</v>
      </c>
      <c r="J474" s="7" t="s">
        <v>36</v>
      </c>
      <c r="K474" s="7" t="s">
        <v>1686</v>
      </c>
      <c r="L474" s="7" t="s">
        <v>1687</v>
      </c>
      <c r="M474" s="7" t="s">
        <v>1688</v>
      </c>
      <c r="N474" s="7" t="s">
        <v>49</v>
      </c>
      <c r="O474" s="7">
        <v>1</v>
      </c>
      <c r="P474" s="7" t="s">
        <v>41</v>
      </c>
      <c r="Q474" s="7">
        <v>108.99</v>
      </c>
      <c r="S474" s="7">
        <v>6.18</v>
      </c>
      <c r="X474" s="7">
        <v>6.18</v>
      </c>
      <c r="Y474" s="7" t="s">
        <v>2532</v>
      </c>
      <c r="Z474" s="7" t="s">
        <v>2533</v>
      </c>
      <c r="AA474" s="7" t="s">
        <v>2534</v>
      </c>
      <c r="AB474" s="7" t="s">
        <v>45</v>
      </c>
      <c r="AC474" s="7" t="s">
        <v>549</v>
      </c>
      <c r="AD474" s="11"/>
      <c r="AE474" s="11"/>
      <c r="AF474" s="11"/>
      <c r="AG474" s="10">
        <f t="shared" si="7"/>
        <v>43324</v>
      </c>
    </row>
    <row r="475" s="7" customFormat="1" spans="1:33">
      <c r="A475" s="7" t="s">
        <v>2535</v>
      </c>
      <c r="B475" s="7" t="s">
        <v>2535</v>
      </c>
      <c r="C475" s="7" t="s">
        <v>2536</v>
      </c>
      <c r="D475" s="7" t="s">
        <v>2537</v>
      </c>
      <c r="E475" s="7" t="s">
        <v>49</v>
      </c>
      <c r="F475" s="7" t="s">
        <v>34</v>
      </c>
      <c r="G475" s="7" t="s">
        <v>35</v>
      </c>
      <c r="J475" s="7" t="s">
        <v>50</v>
      </c>
      <c r="K475" s="7" t="s">
        <v>632</v>
      </c>
      <c r="L475" s="7" t="s">
        <v>633</v>
      </c>
      <c r="M475" s="7" t="s">
        <v>634</v>
      </c>
      <c r="N475" s="7" t="s">
        <v>49</v>
      </c>
      <c r="O475" s="7">
        <v>1</v>
      </c>
      <c r="P475" s="7" t="s">
        <v>41</v>
      </c>
      <c r="Q475" s="7">
        <v>85.99</v>
      </c>
      <c r="Y475" s="7" t="s">
        <v>2538</v>
      </c>
      <c r="Z475" s="7" t="s">
        <v>2522</v>
      </c>
      <c r="AA475" s="7" t="s">
        <v>2539</v>
      </c>
      <c r="AB475" s="7" t="s">
        <v>45</v>
      </c>
      <c r="AD475" s="11"/>
      <c r="AE475" s="11"/>
      <c r="AF475" s="11"/>
      <c r="AG475" s="10">
        <f t="shared" si="7"/>
        <v>43324</v>
      </c>
    </row>
    <row r="476" s="7" customFormat="1" spans="1:33">
      <c r="A476" s="7" t="s">
        <v>2540</v>
      </c>
      <c r="B476" s="7" t="s">
        <v>2540</v>
      </c>
      <c r="C476" s="7" t="s">
        <v>2541</v>
      </c>
      <c r="D476" s="7" t="s">
        <v>2542</v>
      </c>
      <c r="E476" s="7" t="s">
        <v>49</v>
      </c>
      <c r="F476" s="7" t="s">
        <v>34</v>
      </c>
      <c r="G476" s="7" t="s">
        <v>35</v>
      </c>
      <c r="J476" s="7" t="s">
        <v>50</v>
      </c>
      <c r="K476" s="7" t="s">
        <v>60</v>
      </c>
      <c r="L476" s="7" t="s">
        <v>61</v>
      </c>
      <c r="M476" s="7" t="s">
        <v>62</v>
      </c>
      <c r="N476" s="7" t="s">
        <v>49</v>
      </c>
      <c r="O476" s="7">
        <v>1</v>
      </c>
      <c r="P476" s="7" t="s">
        <v>41</v>
      </c>
      <c r="Q476" s="7">
        <v>21.99</v>
      </c>
      <c r="Y476" s="7" t="s">
        <v>2543</v>
      </c>
      <c r="Z476" s="7" t="s">
        <v>1007</v>
      </c>
      <c r="AA476" s="7">
        <v>38637</v>
      </c>
      <c r="AB476" s="7" t="s">
        <v>45</v>
      </c>
      <c r="AD476" s="11"/>
      <c r="AE476" s="11"/>
      <c r="AF476" s="11"/>
      <c r="AG476" s="10">
        <f t="shared" si="7"/>
        <v>43324</v>
      </c>
    </row>
    <row r="477" s="7" customFormat="1" spans="1:33">
      <c r="A477" s="7" t="s">
        <v>2544</v>
      </c>
      <c r="B477" s="7" t="s">
        <v>2544</v>
      </c>
      <c r="C477" s="7" t="s">
        <v>2545</v>
      </c>
      <c r="D477" s="7" t="s">
        <v>2546</v>
      </c>
      <c r="E477" s="7" t="s">
        <v>49</v>
      </c>
      <c r="F477" s="7" t="s">
        <v>34</v>
      </c>
      <c r="G477" s="7" t="s">
        <v>35</v>
      </c>
      <c r="J477" s="7" t="s">
        <v>326</v>
      </c>
      <c r="K477" s="7" t="s">
        <v>2440</v>
      </c>
      <c r="L477" s="7" t="s">
        <v>38</v>
      </c>
      <c r="M477" s="7" t="s">
        <v>39</v>
      </c>
      <c r="N477" s="7" t="s">
        <v>49</v>
      </c>
      <c r="O477" s="7">
        <v>1</v>
      </c>
      <c r="P477" s="7" t="s">
        <v>41</v>
      </c>
      <c r="Q477" s="7">
        <v>89.99</v>
      </c>
      <c r="S477" s="7">
        <v>7.99</v>
      </c>
      <c r="Y477" s="7" t="s">
        <v>2547</v>
      </c>
      <c r="Z477" s="7" t="s">
        <v>221</v>
      </c>
      <c r="AA477" s="7" t="s">
        <v>2548</v>
      </c>
      <c r="AB477" s="7" t="s">
        <v>45</v>
      </c>
      <c r="AD477" s="11"/>
      <c r="AE477" s="11"/>
      <c r="AF477" s="11"/>
      <c r="AG477" s="10">
        <f t="shared" si="7"/>
        <v>43324</v>
      </c>
    </row>
    <row r="478" s="7" customFormat="1" spans="1:33">
      <c r="A478" s="7" t="s">
        <v>2549</v>
      </c>
      <c r="B478" s="7" t="s">
        <v>2549</v>
      </c>
      <c r="C478" s="7" t="s">
        <v>2550</v>
      </c>
      <c r="D478" s="7" t="s">
        <v>2551</v>
      </c>
      <c r="E478" s="7" t="s">
        <v>49</v>
      </c>
      <c r="F478" s="7" t="s">
        <v>34</v>
      </c>
      <c r="G478" s="7" t="s">
        <v>35</v>
      </c>
      <c r="J478" s="7" t="s">
        <v>326</v>
      </c>
      <c r="K478" s="7" t="s">
        <v>1205</v>
      </c>
      <c r="L478" s="7" t="s">
        <v>1206</v>
      </c>
      <c r="M478" s="7" t="s">
        <v>1207</v>
      </c>
      <c r="N478" s="7" t="s">
        <v>49</v>
      </c>
      <c r="O478" s="7">
        <v>1</v>
      </c>
      <c r="P478" s="7" t="s">
        <v>41</v>
      </c>
      <c r="Q478" s="7">
        <v>89.99</v>
      </c>
      <c r="R478" s="7">
        <v>5.4</v>
      </c>
      <c r="S478" s="7">
        <v>7.99</v>
      </c>
      <c r="T478" s="7">
        <v>0.48</v>
      </c>
      <c r="U478" s="7">
        <v>3.99</v>
      </c>
      <c r="V478" s="7">
        <v>0.24</v>
      </c>
      <c r="Y478" s="7" t="s">
        <v>2552</v>
      </c>
      <c r="Z478" s="7" t="s">
        <v>124</v>
      </c>
      <c r="AA478" s="7" t="s">
        <v>2553</v>
      </c>
      <c r="AB478" s="7" t="s">
        <v>45</v>
      </c>
      <c r="AD478" s="11"/>
      <c r="AE478" s="11"/>
      <c r="AF478" s="11"/>
      <c r="AG478" s="10">
        <f t="shared" si="7"/>
        <v>43324</v>
      </c>
    </row>
    <row r="479" s="7" customFormat="1" spans="1:33">
      <c r="A479" s="7" t="s">
        <v>2554</v>
      </c>
      <c r="B479" s="7" t="s">
        <v>2554</v>
      </c>
      <c r="C479" s="7" t="s">
        <v>2555</v>
      </c>
      <c r="D479" s="7" t="s">
        <v>2556</v>
      </c>
      <c r="E479" s="7" t="s">
        <v>49</v>
      </c>
      <c r="F479" s="7" t="s">
        <v>34</v>
      </c>
      <c r="G479" s="7" t="s">
        <v>35</v>
      </c>
      <c r="J479" s="7" t="s">
        <v>50</v>
      </c>
      <c r="K479" s="7" t="s">
        <v>632</v>
      </c>
      <c r="L479" s="7" t="s">
        <v>633</v>
      </c>
      <c r="M479" s="7" t="s">
        <v>634</v>
      </c>
      <c r="N479" s="7" t="s">
        <v>49</v>
      </c>
      <c r="O479" s="7">
        <v>1</v>
      </c>
      <c r="P479" s="7" t="s">
        <v>41</v>
      </c>
      <c r="Q479" s="7">
        <v>85.99</v>
      </c>
      <c r="Y479" s="7" t="s">
        <v>2557</v>
      </c>
      <c r="Z479" s="7" t="s">
        <v>2558</v>
      </c>
      <c r="AA479" s="7" t="s">
        <v>2559</v>
      </c>
      <c r="AB479" s="7" t="s">
        <v>45</v>
      </c>
      <c r="AD479" s="11"/>
      <c r="AE479" s="11"/>
      <c r="AF479" s="11"/>
      <c r="AG479" s="10">
        <f t="shared" si="7"/>
        <v>43324</v>
      </c>
    </row>
    <row r="480" s="7" customFormat="1" spans="1:33">
      <c r="A480" s="7" t="s">
        <v>2560</v>
      </c>
      <c r="B480" s="7" t="s">
        <v>2560</v>
      </c>
      <c r="C480" s="7" t="s">
        <v>2561</v>
      </c>
      <c r="D480" s="7" t="s">
        <v>2562</v>
      </c>
      <c r="E480" s="7" t="s">
        <v>49</v>
      </c>
      <c r="F480" s="7" t="s">
        <v>34</v>
      </c>
      <c r="G480" s="7" t="s">
        <v>35</v>
      </c>
      <c r="J480" s="7" t="s">
        <v>50</v>
      </c>
      <c r="K480" s="7" t="s">
        <v>2563</v>
      </c>
      <c r="L480" s="7" t="s">
        <v>170</v>
      </c>
      <c r="M480" s="7" t="s">
        <v>171</v>
      </c>
      <c r="N480" s="7" t="s">
        <v>49</v>
      </c>
      <c r="O480" s="7">
        <v>1</v>
      </c>
      <c r="P480" s="7" t="s">
        <v>41</v>
      </c>
      <c r="Q480" s="7">
        <v>89.99</v>
      </c>
      <c r="Y480" s="7" t="s">
        <v>2564</v>
      </c>
      <c r="Z480" s="7" t="s">
        <v>1246</v>
      </c>
      <c r="AA480" s="7" t="s">
        <v>2565</v>
      </c>
      <c r="AB480" s="7" t="s">
        <v>45</v>
      </c>
      <c r="AD480" s="11"/>
      <c r="AE480" s="11"/>
      <c r="AF480" s="11"/>
      <c r="AG480" s="10">
        <f t="shared" si="7"/>
        <v>43324</v>
      </c>
    </row>
    <row r="481" s="7" customFormat="1" spans="1:33">
      <c r="A481" s="7" t="s">
        <v>2566</v>
      </c>
      <c r="B481" s="7" t="s">
        <v>2566</v>
      </c>
      <c r="C481" s="7" t="s">
        <v>2567</v>
      </c>
      <c r="D481" s="7" t="s">
        <v>2568</v>
      </c>
      <c r="E481" s="7" t="s">
        <v>49</v>
      </c>
      <c r="F481" s="7" t="s">
        <v>34</v>
      </c>
      <c r="G481" s="7" t="s">
        <v>35</v>
      </c>
      <c r="J481" s="7" t="s">
        <v>36</v>
      </c>
      <c r="K481" s="7" t="s">
        <v>632</v>
      </c>
      <c r="L481" s="7" t="s">
        <v>633</v>
      </c>
      <c r="M481" s="7" t="s">
        <v>634</v>
      </c>
      <c r="N481" s="7" t="s">
        <v>49</v>
      </c>
      <c r="O481" s="7">
        <v>1</v>
      </c>
      <c r="P481" s="7" t="s">
        <v>41</v>
      </c>
      <c r="Q481" s="7">
        <v>85.99</v>
      </c>
      <c r="S481" s="7">
        <v>2.36</v>
      </c>
      <c r="X481" s="7">
        <v>2.36</v>
      </c>
      <c r="Y481" s="7" t="s">
        <v>1573</v>
      </c>
      <c r="Z481" s="7" t="s">
        <v>1381</v>
      </c>
      <c r="AA481" s="7" t="s">
        <v>2569</v>
      </c>
      <c r="AB481" s="7" t="s">
        <v>45</v>
      </c>
      <c r="AC481" s="7" t="s">
        <v>549</v>
      </c>
      <c r="AD481" s="11"/>
      <c r="AE481" s="11"/>
      <c r="AF481" s="11"/>
      <c r="AG481" s="10">
        <f t="shared" si="7"/>
        <v>43324</v>
      </c>
    </row>
    <row r="482" s="7" customFormat="1" spans="1:33">
      <c r="A482" s="7" t="s">
        <v>2570</v>
      </c>
      <c r="B482" s="7" t="s">
        <v>2570</v>
      </c>
      <c r="C482" s="7" t="s">
        <v>2571</v>
      </c>
      <c r="D482" s="7" t="s">
        <v>2572</v>
      </c>
      <c r="E482" s="7" t="s">
        <v>33</v>
      </c>
      <c r="F482" s="7" t="s">
        <v>34</v>
      </c>
      <c r="G482" s="7" t="s">
        <v>35</v>
      </c>
      <c r="J482" s="7" t="s">
        <v>50</v>
      </c>
      <c r="K482" s="7" t="s">
        <v>766</v>
      </c>
      <c r="L482" s="7" t="s">
        <v>767</v>
      </c>
      <c r="M482" s="7" t="s">
        <v>768</v>
      </c>
      <c r="N482" s="7" t="s">
        <v>33</v>
      </c>
      <c r="O482" s="7">
        <v>0</v>
      </c>
      <c r="Y482" s="7" t="s">
        <v>2573</v>
      </c>
      <c r="Z482" s="7" t="s">
        <v>413</v>
      </c>
      <c r="AA482" s="7" t="s">
        <v>2574</v>
      </c>
      <c r="AB482" s="7" t="s">
        <v>45</v>
      </c>
      <c r="AD482" s="11"/>
      <c r="AE482" s="11"/>
      <c r="AF482" s="11"/>
      <c r="AG482" s="10">
        <f t="shared" si="7"/>
        <v>43324</v>
      </c>
    </row>
    <row r="483" s="7" customFormat="1" spans="1:33">
      <c r="A483" s="7" t="s">
        <v>2575</v>
      </c>
      <c r="B483" s="7" t="s">
        <v>2575</v>
      </c>
      <c r="C483" s="7" t="s">
        <v>2576</v>
      </c>
      <c r="D483" s="7" t="s">
        <v>2577</v>
      </c>
      <c r="E483" s="7" t="s">
        <v>33</v>
      </c>
      <c r="F483" s="7" t="s">
        <v>34</v>
      </c>
      <c r="G483" s="7" t="s">
        <v>35</v>
      </c>
      <c r="J483" s="7" t="s">
        <v>50</v>
      </c>
      <c r="K483" s="7" t="s">
        <v>766</v>
      </c>
      <c r="L483" s="7" t="s">
        <v>767</v>
      </c>
      <c r="M483" s="7" t="s">
        <v>768</v>
      </c>
      <c r="N483" s="7" t="s">
        <v>33</v>
      </c>
      <c r="O483" s="7">
        <v>0</v>
      </c>
      <c r="Y483" s="7" t="s">
        <v>2578</v>
      </c>
      <c r="Z483" s="7" t="s">
        <v>413</v>
      </c>
      <c r="AA483" s="7" t="s">
        <v>2579</v>
      </c>
      <c r="AB483" s="7" t="s">
        <v>45</v>
      </c>
      <c r="AD483" s="11"/>
      <c r="AE483" s="11"/>
      <c r="AF483" s="11"/>
      <c r="AG483" s="10">
        <f t="shared" si="7"/>
        <v>43324</v>
      </c>
    </row>
    <row r="484" s="7" customFormat="1" spans="1:33">
      <c r="A484" s="7" t="s">
        <v>2580</v>
      </c>
      <c r="B484" s="7" t="s">
        <v>2580</v>
      </c>
      <c r="C484" s="7" t="s">
        <v>2581</v>
      </c>
      <c r="D484" s="7" t="s">
        <v>2582</v>
      </c>
      <c r="E484" s="7" t="s">
        <v>49</v>
      </c>
      <c r="F484" s="7" t="s">
        <v>34</v>
      </c>
      <c r="G484" s="7" t="s">
        <v>35</v>
      </c>
      <c r="J484" s="7" t="s">
        <v>50</v>
      </c>
      <c r="K484" s="7" t="s">
        <v>611</v>
      </c>
      <c r="L484" s="7" t="s">
        <v>612</v>
      </c>
      <c r="M484" s="7" t="s">
        <v>613</v>
      </c>
      <c r="N484" s="7" t="s">
        <v>49</v>
      </c>
      <c r="O484" s="7">
        <v>1</v>
      </c>
      <c r="P484" s="7" t="s">
        <v>41</v>
      </c>
      <c r="Q484" s="7">
        <v>89.99</v>
      </c>
      <c r="Y484" s="7" t="s">
        <v>2583</v>
      </c>
      <c r="Z484" s="7" t="s">
        <v>646</v>
      </c>
      <c r="AA484" s="7" t="s">
        <v>2584</v>
      </c>
      <c r="AB484" s="7" t="s">
        <v>45</v>
      </c>
      <c r="AD484" s="11"/>
      <c r="AE484" s="11"/>
      <c r="AF484" s="11"/>
      <c r="AG484" s="10">
        <f t="shared" si="7"/>
        <v>43324</v>
      </c>
    </row>
    <row r="485" s="7" customFormat="1" spans="1:33">
      <c r="A485" s="7" t="s">
        <v>2585</v>
      </c>
      <c r="B485" s="7" t="s">
        <v>2585</v>
      </c>
      <c r="C485" s="7" t="s">
        <v>2586</v>
      </c>
      <c r="D485" s="7" t="s">
        <v>2587</v>
      </c>
      <c r="E485" s="7" t="s">
        <v>49</v>
      </c>
      <c r="F485" s="7" t="s">
        <v>34</v>
      </c>
      <c r="G485" s="7" t="s">
        <v>35</v>
      </c>
      <c r="J485" s="7" t="s">
        <v>36</v>
      </c>
      <c r="K485" s="7" t="s">
        <v>863</v>
      </c>
      <c r="L485" s="7" t="s">
        <v>864</v>
      </c>
      <c r="M485" s="7" t="s">
        <v>865</v>
      </c>
      <c r="N485" s="7" t="s">
        <v>49</v>
      </c>
      <c r="O485" s="7">
        <v>1</v>
      </c>
      <c r="P485" s="7" t="s">
        <v>41</v>
      </c>
      <c r="Q485" s="7">
        <v>34.99</v>
      </c>
      <c r="S485" s="7">
        <v>10.74</v>
      </c>
      <c r="Y485" s="7" t="s">
        <v>2588</v>
      </c>
      <c r="Z485" s="7" t="s">
        <v>2589</v>
      </c>
      <c r="AA485" s="7">
        <v>921</v>
      </c>
      <c r="AB485" s="7" t="s">
        <v>1947</v>
      </c>
      <c r="AD485" s="11"/>
      <c r="AE485" s="11"/>
      <c r="AF485" s="11"/>
      <c r="AG485" s="10">
        <f t="shared" si="7"/>
        <v>43324</v>
      </c>
    </row>
    <row r="486" s="7" customFormat="1" spans="1:33">
      <c r="A486" s="7" t="s">
        <v>2590</v>
      </c>
      <c r="B486" s="7" t="s">
        <v>2590</v>
      </c>
      <c r="C486" s="7" t="s">
        <v>2591</v>
      </c>
      <c r="D486" s="7" t="s">
        <v>2592</v>
      </c>
      <c r="E486" s="7" t="s">
        <v>33</v>
      </c>
      <c r="F486" s="7" t="s">
        <v>34</v>
      </c>
      <c r="G486" s="7" t="s">
        <v>35</v>
      </c>
      <c r="J486" s="7" t="s">
        <v>50</v>
      </c>
      <c r="K486" s="7" t="s">
        <v>60</v>
      </c>
      <c r="L486" s="7" t="s">
        <v>61</v>
      </c>
      <c r="M486" s="7" t="s">
        <v>62</v>
      </c>
      <c r="N486" s="7" t="s">
        <v>33</v>
      </c>
      <c r="O486" s="7">
        <v>0</v>
      </c>
      <c r="Y486" s="7" t="s">
        <v>2593</v>
      </c>
      <c r="Z486" s="7" t="s">
        <v>2408</v>
      </c>
      <c r="AA486" s="7" t="s">
        <v>2594</v>
      </c>
      <c r="AB486" s="7" t="s">
        <v>45</v>
      </c>
      <c r="AD486" s="11"/>
      <c r="AE486" s="11"/>
      <c r="AF486" s="11"/>
      <c r="AG486" s="10">
        <f t="shared" si="7"/>
        <v>43324</v>
      </c>
    </row>
    <row r="487" s="7" customFormat="1" spans="1:33">
      <c r="A487" s="7" t="s">
        <v>2595</v>
      </c>
      <c r="B487" s="7" t="s">
        <v>2595</v>
      </c>
      <c r="C487" s="7" t="s">
        <v>2596</v>
      </c>
      <c r="D487" s="7" t="s">
        <v>2597</v>
      </c>
      <c r="E487" s="7" t="s">
        <v>49</v>
      </c>
      <c r="F487" s="7" t="s">
        <v>34</v>
      </c>
      <c r="G487" s="7" t="s">
        <v>35</v>
      </c>
      <c r="J487" s="7" t="s">
        <v>50</v>
      </c>
      <c r="K487" s="7" t="s">
        <v>2290</v>
      </c>
      <c r="L487" s="7" t="s">
        <v>442</v>
      </c>
      <c r="M487" s="7" t="s">
        <v>443</v>
      </c>
      <c r="N487" s="7" t="s">
        <v>49</v>
      </c>
      <c r="O487" s="7">
        <v>1</v>
      </c>
      <c r="P487" s="7" t="s">
        <v>41</v>
      </c>
      <c r="Q487" s="7">
        <v>88.99</v>
      </c>
      <c r="Y487" s="7" t="s">
        <v>2598</v>
      </c>
      <c r="Z487" s="7" t="s">
        <v>266</v>
      </c>
      <c r="AA487" s="7" t="s">
        <v>2599</v>
      </c>
      <c r="AB487" s="7" t="s">
        <v>45</v>
      </c>
      <c r="AD487" s="11"/>
      <c r="AE487" s="11"/>
      <c r="AF487" s="11"/>
      <c r="AG487" s="10">
        <f t="shared" si="7"/>
        <v>43324</v>
      </c>
    </row>
    <row r="488" s="7" customFormat="1" spans="1:33">
      <c r="A488" s="7" t="s">
        <v>2600</v>
      </c>
      <c r="B488" s="7">
        <v>1742607252006</v>
      </c>
      <c r="C488" s="7" t="s">
        <v>2601</v>
      </c>
      <c r="D488" s="7" t="s">
        <v>2602</v>
      </c>
      <c r="E488" s="7" t="s">
        <v>49</v>
      </c>
      <c r="F488" s="7" t="s">
        <v>34</v>
      </c>
      <c r="G488" s="7" t="s">
        <v>719</v>
      </c>
      <c r="J488" s="7" t="s">
        <v>36</v>
      </c>
      <c r="K488" s="7" t="s">
        <v>2603</v>
      </c>
      <c r="L488" s="7" t="s">
        <v>1161</v>
      </c>
      <c r="M488" s="7" t="s">
        <v>1162</v>
      </c>
      <c r="N488" s="7" t="s">
        <v>49</v>
      </c>
      <c r="O488" s="7">
        <v>1</v>
      </c>
      <c r="Y488" s="7" t="s">
        <v>2604</v>
      </c>
      <c r="Z488" s="7" t="s">
        <v>1381</v>
      </c>
      <c r="AA488" s="7" t="s">
        <v>2605</v>
      </c>
      <c r="AB488" s="7" t="s">
        <v>45</v>
      </c>
      <c r="AD488" s="8"/>
      <c r="AE488" s="8"/>
      <c r="AF488" s="8"/>
      <c r="AG488" s="10">
        <f t="shared" si="7"/>
        <v>43325</v>
      </c>
    </row>
    <row r="489" s="7" customFormat="1" spans="1:33">
      <c r="A489" s="7" t="s">
        <v>2606</v>
      </c>
      <c r="B489" s="7" t="s">
        <v>2606</v>
      </c>
      <c r="C489" s="7" t="s">
        <v>2607</v>
      </c>
      <c r="D489" s="7" t="s">
        <v>2608</v>
      </c>
      <c r="E489" s="7" t="s">
        <v>49</v>
      </c>
      <c r="F489" s="7" t="s">
        <v>34</v>
      </c>
      <c r="G489" s="7" t="s">
        <v>35</v>
      </c>
      <c r="J489" s="7" t="s">
        <v>50</v>
      </c>
      <c r="K489" s="7" t="s">
        <v>571</v>
      </c>
      <c r="L489" s="7" t="s">
        <v>572</v>
      </c>
      <c r="M489" s="7" t="s">
        <v>573</v>
      </c>
      <c r="N489" s="7" t="s">
        <v>49</v>
      </c>
      <c r="O489" s="7">
        <v>1</v>
      </c>
      <c r="P489" s="7" t="s">
        <v>41</v>
      </c>
      <c r="Q489" s="7">
        <v>21.99</v>
      </c>
      <c r="R489" s="7">
        <v>0.01</v>
      </c>
      <c r="W489" s="7">
        <v>21.77</v>
      </c>
      <c r="Y489" s="7" t="s">
        <v>2609</v>
      </c>
      <c r="Z489" s="7" t="s">
        <v>124</v>
      </c>
      <c r="AA489" s="7" t="s">
        <v>2610</v>
      </c>
      <c r="AB489" s="7" t="s">
        <v>45</v>
      </c>
      <c r="AC489" s="7" t="s">
        <v>66</v>
      </c>
      <c r="AD489" s="11"/>
      <c r="AE489" s="11"/>
      <c r="AF489" s="11"/>
      <c r="AG489" s="10">
        <f t="shared" si="7"/>
        <v>43325</v>
      </c>
    </row>
    <row r="490" s="7" customFormat="1" spans="1:33">
      <c r="A490" s="7" t="s">
        <v>2611</v>
      </c>
      <c r="B490" s="7" t="s">
        <v>2611</v>
      </c>
      <c r="C490" s="7" t="s">
        <v>2612</v>
      </c>
      <c r="D490" s="7" t="s">
        <v>2613</v>
      </c>
      <c r="E490" s="7" t="s">
        <v>33</v>
      </c>
      <c r="F490" s="7" t="s">
        <v>34</v>
      </c>
      <c r="G490" s="7" t="s">
        <v>35</v>
      </c>
      <c r="J490" s="7" t="s">
        <v>151</v>
      </c>
      <c r="K490" s="7" t="s">
        <v>656</v>
      </c>
      <c r="L490" s="7" t="s">
        <v>657</v>
      </c>
      <c r="M490" s="7" t="s">
        <v>658</v>
      </c>
      <c r="N490" s="7" t="s">
        <v>33</v>
      </c>
      <c r="O490" s="7">
        <v>0</v>
      </c>
      <c r="Y490" s="7" t="s">
        <v>2614</v>
      </c>
      <c r="Z490" s="7" t="s">
        <v>280</v>
      </c>
      <c r="AA490" s="7">
        <v>85032</v>
      </c>
      <c r="AB490" s="7" t="s">
        <v>45</v>
      </c>
      <c r="AD490" s="8"/>
      <c r="AE490" s="8"/>
      <c r="AF490" s="8"/>
      <c r="AG490" s="10">
        <f t="shared" si="7"/>
        <v>43325</v>
      </c>
    </row>
    <row r="491" s="7" customFormat="1" spans="1:33">
      <c r="A491" s="7" t="s">
        <v>2615</v>
      </c>
      <c r="B491" s="7" t="s">
        <v>2615</v>
      </c>
      <c r="C491" s="7" t="s">
        <v>2616</v>
      </c>
      <c r="D491" s="7" t="s">
        <v>2617</v>
      </c>
      <c r="E491" s="7" t="s">
        <v>49</v>
      </c>
      <c r="F491" s="7" t="s">
        <v>34</v>
      </c>
      <c r="G491" s="7" t="s">
        <v>35</v>
      </c>
      <c r="J491" s="7" t="s">
        <v>50</v>
      </c>
      <c r="K491" s="7" t="s">
        <v>248</v>
      </c>
      <c r="L491" s="7" t="s">
        <v>249</v>
      </c>
      <c r="M491" s="7" t="s">
        <v>250</v>
      </c>
      <c r="N491" s="7" t="s">
        <v>49</v>
      </c>
      <c r="O491" s="7">
        <v>1</v>
      </c>
      <c r="P491" s="7" t="s">
        <v>41</v>
      </c>
      <c r="Q491" s="7">
        <v>84.99</v>
      </c>
      <c r="Y491" s="7" t="s">
        <v>2618</v>
      </c>
      <c r="Z491" s="7" t="s">
        <v>1914</v>
      </c>
      <c r="AA491" s="7">
        <v>43147</v>
      </c>
      <c r="AB491" s="7" t="s">
        <v>45</v>
      </c>
      <c r="AD491" s="11"/>
      <c r="AE491" s="11"/>
      <c r="AF491" s="11"/>
      <c r="AG491" s="10">
        <f t="shared" si="7"/>
        <v>43325</v>
      </c>
    </row>
    <row r="492" s="7" customFormat="1" spans="1:33">
      <c r="A492" s="7" t="s">
        <v>2619</v>
      </c>
      <c r="B492" s="7" t="s">
        <v>2619</v>
      </c>
      <c r="C492" s="7" t="s">
        <v>2620</v>
      </c>
      <c r="D492" s="7" t="s">
        <v>2621</v>
      </c>
      <c r="E492" s="7" t="s">
        <v>49</v>
      </c>
      <c r="F492" s="7" t="s">
        <v>34</v>
      </c>
      <c r="G492" s="7" t="s">
        <v>35</v>
      </c>
      <c r="J492" s="7" t="s">
        <v>36</v>
      </c>
      <c r="K492" s="7" t="s">
        <v>2316</v>
      </c>
      <c r="L492" s="7" t="s">
        <v>495</v>
      </c>
      <c r="M492" s="7" t="s">
        <v>496</v>
      </c>
      <c r="N492" s="7" t="s">
        <v>49</v>
      </c>
      <c r="O492" s="7">
        <v>1</v>
      </c>
      <c r="P492" s="7" t="s">
        <v>41</v>
      </c>
      <c r="Q492" s="7">
        <v>99.99</v>
      </c>
      <c r="S492" s="7">
        <v>8.62</v>
      </c>
      <c r="Y492" s="7" t="s">
        <v>2622</v>
      </c>
      <c r="Z492" s="7" t="s">
        <v>115</v>
      </c>
      <c r="AA492" s="7" t="s">
        <v>2623</v>
      </c>
      <c r="AB492" s="7" t="s">
        <v>45</v>
      </c>
      <c r="AD492" s="11"/>
      <c r="AE492" s="11"/>
      <c r="AF492" s="11"/>
      <c r="AG492" s="10">
        <f t="shared" si="7"/>
        <v>43325</v>
      </c>
    </row>
    <row r="493" s="7" customFormat="1" spans="1:33">
      <c r="A493" s="7" t="s">
        <v>2624</v>
      </c>
      <c r="B493" s="7" t="s">
        <v>2624</v>
      </c>
      <c r="C493" s="7" t="s">
        <v>2625</v>
      </c>
      <c r="D493" s="7" t="s">
        <v>2626</v>
      </c>
      <c r="E493" s="7" t="s">
        <v>49</v>
      </c>
      <c r="F493" s="7" t="s">
        <v>34</v>
      </c>
      <c r="G493" s="7" t="s">
        <v>35</v>
      </c>
      <c r="J493" s="7" t="s">
        <v>50</v>
      </c>
      <c r="K493" s="7" t="s">
        <v>656</v>
      </c>
      <c r="L493" s="7" t="s">
        <v>657</v>
      </c>
      <c r="M493" s="7" t="s">
        <v>658</v>
      </c>
      <c r="N493" s="7" t="s">
        <v>49</v>
      </c>
      <c r="O493" s="7">
        <v>1</v>
      </c>
      <c r="P493" s="7" t="s">
        <v>41</v>
      </c>
      <c r="Q493" s="7">
        <v>106.99</v>
      </c>
      <c r="Y493" s="7" t="s">
        <v>2627</v>
      </c>
      <c r="Z493" s="7" t="s">
        <v>346</v>
      </c>
      <c r="AA493" s="7" t="s">
        <v>2628</v>
      </c>
      <c r="AB493" s="7" t="s">
        <v>45</v>
      </c>
      <c r="AD493" s="11"/>
      <c r="AE493" s="11"/>
      <c r="AF493" s="11"/>
      <c r="AG493" s="10">
        <f t="shared" si="7"/>
        <v>43325</v>
      </c>
    </row>
    <row r="494" s="7" customFormat="1" spans="1:33">
      <c r="A494" s="7" t="s">
        <v>2629</v>
      </c>
      <c r="B494" s="7" t="s">
        <v>2629</v>
      </c>
      <c r="C494" s="7" t="s">
        <v>2630</v>
      </c>
      <c r="D494" s="7" t="s">
        <v>2631</v>
      </c>
      <c r="E494" s="7" t="s">
        <v>49</v>
      </c>
      <c r="F494" s="7" t="s">
        <v>34</v>
      </c>
      <c r="G494" s="7" t="s">
        <v>35</v>
      </c>
      <c r="J494" s="7" t="s">
        <v>50</v>
      </c>
      <c r="K494" s="7" t="s">
        <v>595</v>
      </c>
      <c r="L494" s="7" t="s">
        <v>596</v>
      </c>
      <c r="M494" s="7" t="s">
        <v>597</v>
      </c>
      <c r="N494" s="7" t="s">
        <v>49</v>
      </c>
      <c r="O494" s="7">
        <v>1</v>
      </c>
      <c r="P494" s="7" t="s">
        <v>41</v>
      </c>
      <c r="Q494" s="7">
        <v>21.99</v>
      </c>
      <c r="Y494" s="7" t="s">
        <v>2632</v>
      </c>
      <c r="Z494" s="7" t="s">
        <v>55</v>
      </c>
      <c r="AA494" s="7" t="s">
        <v>2633</v>
      </c>
      <c r="AB494" s="7" t="s">
        <v>45</v>
      </c>
      <c r="AD494" s="11"/>
      <c r="AE494" s="11"/>
      <c r="AF494" s="11"/>
      <c r="AG494" s="10">
        <f t="shared" si="7"/>
        <v>43325</v>
      </c>
    </row>
    <row r="495" s="7" customFormat="1" spans="1:33">
      <c r="A495" s="7" t="s">
        <v>2634</v>
      </c>
      <c r="B495" s="7" t="s">
        <v>2634</v>
      </c>
      <c r="C495" s="7" t="s">
        <v>2635</v>
      </c>
      <c r="D495" s="7" t="s">
        <v>2636</v>
      </c>
      <c r="E495" s="7" t="s">
        <v>49</v>
      </c>
      <c r="F495" s="7" t="s">
        <v>34</v>
      </c>
      <c r="G495" s="7" t="s">
        <v>35</v>
      </c>
      <c r="J495" s="7" t="s">
        <v>36</v>
      </c>
      <c r="K495" s="7" t="s">
        <v>611</v>
      </c>
      <c r="L495" s="7" t="s">
        <v>612</v>
      </c>
      <c r="M495" s="7" t="s">
        <v>613</v>
      </c>
      <c r="N495" s="7" t="s">
        <v>49</v>
      </c>
      <c r="O495" s="7">
        <v>1</v>
      </c>
      <c r="P495" s="7" t="s">
        <v>41</v>
      </c>
      <c r="Q495" s="7">
        <v>89.99</v>
      </c>
      <c r="S495" s="7">
        <v>6.73</v>
      </c>
      <c r="X495" s="7">
        <v>6.73</v>
      </c>
      <c r="Y495" s="7" t="s">
        <v>2637</v>
      </c>
      <c r="Z495" s="7" t="s">
        <v>83</v>
      </c>
      <c r="AA495" s="7">
        <v>1420</v>
      </c>
      <c r="AB495" s="7" t="s">
        <v>45</v>
      </c>
      <c r="AC495" s="7" t="s">
        <v>549</v>
      </c>
      <c r="AD495" s="11"/>
      <c r="AE495" s="11"/>
      <c r="AF495" s="11"/>
      <c r="AG495" s="10">
        <f t="shared" si="7"/>
        <v>43325</v>
      </c>
    </row>
    <row r="496" s="7" customFormat="1" spans="1:33">
      <c r="A496" s="7" t="s">
        <v>2638</v>
      </c>
      <c r="B496" s="7" t="s">
        <v>2638</v>
      </c>
      <c r="C496" s="7" t="s">
        <v>2639</v>
      </c>
      <c r="D496" s="7" t="s">
        <v>2640</v>
      </c>
      <c r="E496" s="7" t="s">
        <v>49</v>
      </c>
      <c r="F496" s="7" t="s">
        <v>34</v>
      </c>
      <c r="G496" s="7" t="s">
        <v>35</v>
      </c>
      <c r="J496" s="7" t="s">
        <v>50</v>
      </c>
      <c r="K496" s="7" t="s">
        <v>70</v>
      </c>
      <c r="L496" s="7" t="s">
        <v>71</v>
      </c>
      <c r="M496" s="7" t="s">
        <v>72</v>
      </c>
      <c r="N496" s="7" t="s">
        <v>49</v>
      </c>
      <c r="O496" s="7">
        <v>1</v>
      </c>
      <c r="P496" s="7" t="s">
        <v>41</v>
      </c>
      <c r="Q496" s="7">
        <v>96.99</v>
      </c>
      <c r="Y496" s="7" t="s">
        <v>1254</v>
      </c>
      <c r="Z496" s="7" t="s">
        <v>413</v>
      </c>
      <c r="AA496" s="7" t="s">
        <v>2641</v>
      </c>
      <c r="AB496" s="7" t="s">
        <v>45</v>
      </c>
      <c r="AD496" s="11"/>
      <c r="AE496" s="11"/>
      <c r="AF496" s="11"/>
      <c r="AG496" s="10">
        <f t="shared" si="7"/>
        <v>43325</v>
      </c>
    </row>
    <row r="497" s="7" customFormat="1" spans="1:33">
      <c r="A497" s="7" t="s">
        <v>2642</v>
      </c>
      <c r="B497" s="7" t="s">
        <v>2642</v>
      </c>
      <c r="C497" s="7" t="s">
        <v>2643</v>
      </c>
      <c r="D497" s="7" t="s">
        <v>2644</v>
      </c>
      <c r="E497" s="7" t="s">
        <v>49</v>
      </c>
      <c r="F497" s="7" t="s">
        <v>34</v>
      </c>
      <c r="G497" s="7" t="s">
        <v>35</v>
      </c>
      <c r="J497" s="7" t="s">
        <v>50</v>
      </c>
      <c r="K497" s="7" t="s">
        <v>603</v>
      </c>
      <c r="L497" s="7" t="s">
        <v>604</v>
      </c>
      <c r="M497" s="7" t="s">
        <v>605</v>
      </c>
      <c r="N497" s="7" t="s">
        <v>49</v>
      </c>
      <c r="O497" s="7">
        <v>1</v>
      </c>
      <c r="P497" s="7" t="s">
        <v>41</v>
      </c>
      <c r="Q497" s="7">
        <v>99.99</v>
      </c>
      <c r="Y497" s="7" t="s">
        <v>2645</v>
      </c>
      <c r="Z497" s="7" t="s">
        <v>178</v>
      </c>
      <c r="AA497" s="7" t="s">
        <v>2646</v>
      </c>
      <c r="AB497" s="7" t="s">
        <v>45</v>
      </c>
      <c r="AD497" s="11"/>
      <c r="AE497" s="11"/>
      <c r="AF497" s="11"/>
      <c r="AG497" s="10">
        <f t="shared" si="7"/>
        <v>43325</v>
      </c>
    </row>
    <row r="498" s="7" customFormat="1" spans="1:33">
      <c r="A498" s="7" t="s">
        <v>2647</v>
      </c>
      <c r="B498" s="7" t="s">
        <v>2647</v>
      </c>
      <c r="C498" s="7" t="s">
        <v>2648</v>
      </c>
      <c r="D498" s="7" t="s">
        <v>2649</v>
      </c>
      <c r="E498" s="7" t="s">
        <v>49</v>
      </c>
      <c r="F498" s="7" t="s">
        <v>34</v>
      </c>
      <c r="G498" s="7" t="s">
        <v>35</v>
      </c>
      <c r="J498" s="7" t="s">
        <v>36</v>
      </c>
      <c r="K498" s="7" t="s">
        <v>2650</v>
      </c>
      <c r="L498" s="7" t="s">
        <v>277</v>
      </c>
      <c r="M498" s="7" t="s">
        <v>278</v>
      </c>
      <c r="N498" s="7" t="s">
        <v>49</v>
      </c>
      <c r="O498" s="7">
        <v>1</v>
      </c>
      <c r="P498" s="7" t="s">
        <v>41</v>
      </c>
      <c r="Q498" s="7">
        <v>91.99</v>
      </c>
      <c r="S498" s="7">
        <v>8.07</v>
      </c>
      <c r="Y498" s="7" t="s">
        <v>2651</v>
      </c>
      <c r="Z498" s="7" t="s">
        <v>109</v>
      </c>
      <c r="AA498" s="7" t="s">
        <v>2652</v>
      </c>
      <c r="AB498" s="7" t="s">
        <v>45</v>
      </c>
      <c r="AD498" s="11"/>
      <c r="AE498" s="11"/>
      <c r="AF498" s="11"/>
      <c r="AG498" s="10">
        <f t="shared" si="7"/>
        <v>43325</v>
      </c>
    </row>
    <row r="499" s="7" customFormat="1" spans="1:33">
      <c r="A499" s="7" t="s">
        <v>2653</v>
      </c>
      <c r="B499" s="7" t="s">
        <v>2653</v>
      </c>
      <c r="C499" s="7" t="s">
        <v>2654</v>
      </c>
      <c r="D499" s="7" t="s">
        <v>2655</v>
      </c>
      <c r="E499" s="7" t="s">
        <v>49</v>
      </c>
      <c r="F499" s="7" t="s">
        <v>34</v>
      </c>
      <c r="G499" s="7" t="s">
        <v>35</v>
      </c>
      <c r="J499" s="7" t="s">
        <v>151</v>
      </c>
      <c r="K499" s="7" t="s">
        <v>2440</v>
      </c>
      <c r="L499" s="7" t="s">
        <v>38</v>
      </c>
      <c r="M499" s="7" t="s">
        <v>39</v>
      </c>
      <c r="N499" s="7" t="s">
        <v>49</v>
      </c>
      <c r="O499" s="7">
        <v>1</v>
      </c>
      <c r="P499" s="7" t="s">
        <v>41</v>
      </c>
      <c r="Q499" s="7">
        <v>89.99</v>
      </c>
      <c r="S499" s="7">
        <v>7.99</v>
      </c>
      <c r="X499" s="7">
        <v>7.99</v>
      </c>
      <c r="Y499" s="7" t="s">
        <v>2656</v>
      </c>
      <c r="Z499" s="7" t="s">
        <v>43</v>
      </c>
      <c r="AA499" s="7" t="s">
        <v>2657</v>
      </c>
      <c r="AB499" s="7" t="s">
        <v>45</v>
      </c>
      <c r="AD499" s="11"/>
      <c r="AE499" s="11"/>
      <c r="AF499" s="11"/>
      <c r="AG499" s="10">
        <f t="shared" si="7"/>
        <v>43325</v>
      </c>
    </row>
    <row r="500" s="7" customFormat="1" spans="1:33">
      <c r="A500" s="7" t="s">
        <v>2658</v>
      </c>
      <c r="B500" s="7" t="s">
        <v>2658</v>
      </c>
      <c r="C500" s="7" t="s">
        <v>2659</v>
      </c>
      <c r="D500" s="7" t="s">
        <v>2660</v>
      </c>
      <c r="E500" s="7" t="s">
        <v>49</v>
      </c>
      <c r="F500" s="7" t="s">
        <v>34</v>
      </c>
      <c r="G500" s="7" t="s">
        <v>35</v>
      </c>
      <c r="J500" s="7" t="s">
        <v>50</v>
      </c>
      <c r="K500" s="7" t="s">
        <v>2440</v>
      </c>
      <c r="L500" s="7" t="s">
        <v>38</v>
      </c>
      <c r="M500" s="7" t="s">
        <v>39</v>
      </c>
      <c r="N500" s="7" t="s">
        <v>49</v>
      </c>
      <c r="O500" s="7">
        <v>1</v>
      </c>
      <c r="P500" s="7" t="s">
        <v>41</v>
      </c>
      <c r="Q500" s="7">
        <v>89.99</v>
      </c>
      <c r="Y500" s="7" t="s">
        <v>2661</v>
      </c>
      <c r="Z500" s="7" t="s">
        <v>2533</v>
      </c>
      <c r="AA500" s="7" t="s">
        <v>2662</v>
      </c>
      <c r="AB500" s="7" t="s">
        <v>45</v>
      </c>
      <c r="AD500" s="11"/>
      <c r="AE500" s="11"/>
      <c r="AF500" s="11"/>
      <c r="AG500" s="10">
        <f t="shared" si="7"/>
        <v>43325</v>
      </c>
    </row>
    <row r="501" s="7" customFormat="1" spans="1:33">
      <c r="A501" s="7" t="s">
        <v>2663</v>
      </c>
      <c r="B501" s="7" t="s">
        <v>2663</v>
      </c>
      <c r="C501" s="7" t="s">
        <v>2664</v>
      </c>
      <c r="D501" s="7" t="s">
        <v>2665</v>
      </c>
      <c r="E501" s="7" t="s">
        <v>49</v>
      </c>
      <c r="F501" s="7" t="s">
        <v>34</v>
      </c>
      <c r="G501" s="7" t="s">
        <v>35</v>
      </c>
      <c r="J501" s="7" t="s">
        <v>50</v>
      </c>
      <c r="K501" s="7" t="s">
        <v>2316</v>
      </c>
      <c r="L501" s="7" t="s">
        <v>495</v>
      </c>
      <c r="M501" s="7" t="s">
        <v>496</v>
      </c>
      <c r="N501" s="7" t="s">
        <v>49</v>
      </c>
      <c r="O501" s="7">
        <v>1</v>
      </c>
      <c r="P501" s="7" t="s">
        <v>41</v>
      </c>
      <c r="Q501" s="7">
        <v>99.99</v>
      </c>
      <c r="U501" s="7">
        <v>4.99</v>
      </c>
      <c r="Y501" s="7" t="s">
        <v>1966</v>
      </c>
      <c r="Z501" s="7" t="s">
        <v>178</v>
      </c>
      <c r="AA501" s="7" t="s">
        <v>1967</v>
      </c>
      <c r="AB501" s="7" t="s">
        <v>45</v>
      </c>
      <c r="AD501" s="11"/>
      <c r="AE501" s="11"/>
      <c r="AF501" s="11"/>
      <c r="AG501" s="10">
        <f t="shared" si="7"/>
        <v>43325</v>
      </c>
    </row>
    <row r="502" s="7" customFormat="1" spans="1:33">
      <c r="A502" s="7" t="s">
        <v>2666</v>
      </c>
      <c r="B502" s="7" t="s">
        <v>2666</v>
      </c>
      <c r="C502" s="7" t="s">
        <v>2667</v>
      </c>
      <c r="D502" s="7" t="s">
        <v>2668</v>
      </c>
      <c r="E502" s="7" t="s">
        <v>49</v>
      </c>
      <c r="F502" s="7" t="s">
        <v>34</v>
      </c>
      <c r="G502" s="7" t="s">
        <v>35</v>
      </c>
      <c r="J502" s="7" t="s">
        <v>50</v>
      </c>
      <c r="K502" s="7" t="s">
        <v>2669</v>
      </c>
      <c r="L502" s="7" t="s">
        <v>2670</v>
      </c>
      <c r="M502" s="7" t="s">
        <v>2671</v>
      </c>
      <c r="N502" s="7" t="s">
        <v>49</v>
      </c>
      <c r="O502" s="7">
        <v>1</v>
      </c>
      <c r="P502" s="7" t="s">
        <v>41</v>
      </c>
      <c r="Q502" s="7">
        <v>89.99</v>
      </c>
      <c r="Y502" s="7" t="s">
        <v>2672</v>
      </c>
      <c r="Z502" s="7" t="s">
        <v>361</v>
      </c>
      <c r="AA502" s="7">
        <v>56283</v>
      </c>
      <c r="AB502" s="7" t="s">
        <v>45</v>
      </c>
      <c r="AD502" s="11"/>
      <c r="AE502" s="11"/>
      <c r="AF502" s="11"/>
      <c r="AG502" s="10">
        <f t="shared" si="7"/>
        <v>43325</v>
      </c>
    </row>
    <row r="503" s="7" customFormat="1" spans="1:33">
      <c r="A503" s="7" t="s">
        <v>2673</v>
      </c>
      <c r="B503" s="7" t="s">
        <v>2673</v>
      </c>
      <c r="C503" s="7" t="s">
        <v>2674</v>
      </c>
      <c r="D503" s="7" t="s">
        <v>2675</v>
      </c>
      <c r="E503" s="7" t="s">
        <v>49</v>
      </c>
      <c r="F503" s="7" t="s">
        <v>34</v>
      </c>
      <c r="G503" s="7" t="s">
        <v>35</v>
      </c>
      <c r="J503" s="7" t="s">
        <v>50</v>
      </c>
      <c r="K503" s="7" t="s">
        <v>2363</v>
      </c>
      <c r="L503" s="7" t="s">
        <v>89</v>
      </c>
      <c r="M503" s="7" t="s">
        <v>90</v>
      </c>
      <c r="N503" s="7" t="s">
        <v>49</v>
      </c>
      <c r="O503" s="7">
        <v>1</v>
      </c>
      <c r="P503" s="7" t="s">
        <v>41</v>
      </c>
      <c r="Q503" s="7">
        <v>89.99</v>
      </c>
      <c r="Y503" s="7" t="s">
        <v>2676</v>
      </c>
      <c r="Z503" s="7" t="s">
        <v>1893</v>
      </c>
      <c r="AA503" s="7" t="s">
        <v>2677</v>
      </c>
      <c r="AB503" s="7" t="s">
        <v>45</v>
      </c>
      <c r="AD503" s="11"/>
      <c r="AE503" s="11"/>
      <c r="AF503" s="11"/>
      <c r="AG503" s="10">
        <f t="shared" si="7"/>
        <v>43325</v>
      </c>
    </row>
    <row r="504" s="7" customFormat="1" spans="1:33">
      <c r="A504" s="7" t="s">
        <v>2678</v>
      </c>
      <c r="B504" s="7" t="s">
        <v>2678</v>
      </c>
      <c r="C504" s="7" t="s">
        <v>2679</v>
      </c>
      <c r="D504" s="7" t="s">
        <v>2680</v>
      </c>
      <c r="E504" s="7" t="s">
        <v>49</v>
      </c>
      <c r="F504" s="7" t="s">
        <v>34</v>
      </c>
      <c r="G504" s="7" t="s">
        <v>35</v>
      </c>
      <c r="J504" s="7" t="s">
        <v>36</v>
      </c>
      <c r="K504" s="7" t="s">
        <v>70</v>
      </c>
      <c r="L504" s="7" t="s">
        <v>71</v>
      </c>
      <c r="M504" s="7" t="s">
        <v>72</v>
      </c>
      <c r="N504" s="7" t="s">
        <v>49</v>
      </c>
      <c r="O504" s="7">
        <v>1</v>
      </c>
      <c r="P504" s="7" t="s">
        <v>41</v>
      </c>
      <c r="Q504" s="7">
        <v>96.99</v>
      </c>
      <c r="S504" s="7">
        <v>7.14</v>
      </c>
      <c r="X504" s="7">
        <v>7.14</v>
      </c>
      <c r="Y504" s="7" t="s">
        <v>2681</v>
      </c>
      <c r="Z504" s="7" t="s">
        <v>43</v>
      </c>
      <c r="AA504" s="7" t="s">
        <v>2682</v>
      </c>
      <c r="AB504" s="7" t="s">
        <v>45</v>
      </c>
      <c r="AC504" s="7" t="s">
        <v>549</v>
      </c>
      <c r="AD504" s="11"/>
      <c r="AE504" s="11"/>
      <c r="AF504" s="11"/>
      <c r="AG504" s="10">
        <f t="shared" si="7"/>
        <v>43325</v>
      </c>
    </row>
    <row r="505" s="7" customFormat="1" spans="1:33">
      <c r="A505" s="7" t="s">
        <v>2683</v>
      </c>
      <c r="B505" s="7" t="s">
        <v>2683</v>
      </c>
      <c r="C505" s="7" t="s">
        <v>2684</v>
      </c>
      <c r="D505" s="7" t="s">
        <v>2685</v>
      </c>
      <c r="E505" s="7" t="s">
        <v>49</v>
      </c>
      <c r="F505" s="7" t="s">
        <v>34</v>
      </c>
      <c r="G505" s="7" t="s">
        <v>35</v>
      </c>
      <c r="J505" s="7" t="s">
        <v>50</v>
      </c>
      <c r="K505" s="7" t="s">
        <v>2669</v>
      </c>
      <c r="L505" s="7" t="s">
        <v>2670</v>
      </c>
      <c r="M505" s="7" t="s">
        <v>2671</v>
      </c>
      <c r="N505" s="7" t="s">
        <v>49</v>
      </c>
      <c r="O505" s="7">
        <v>1</v>
      </c>
      <c r="P505" s="7" t="s">
        <v>41</v>
      </c>
      <c r="Q505" s="7">
        <v>89.99</v>
      </c>
      <c r="Y505" s="7" t="s">
        <v>459</v>
      </c>
      <c r="Z505" s="7" t="s">
        <v>346</v>
      </c>
      <c r="AA505" s="7" t="s">
        <v>2686</v>
      </c>
      <c r="AB505" s="7" t="s">
        <v>45</v>
      </c>
      <c r="AD505" s="11"/>
      <c r="AE505" s="11"/>
      <c r="AF505" s="11"/>
      <c r="AG505" s="10">
        <f t="shared" si="7"/>
        <v>43325</v>
      </c>
    </row>
    <row r="506" s="7" customFormat="1" spans="1:33">
      <c r="A506" s="7" t="s">
        <v>2687</v>
      </c>
      <c r="B506" s="7" t="s">
        <v>2687</v>
      </c>
      <c r="C506" s="7" t="s">
        <v>2688</v>
      </c>
      <c r="D506" s="7" t="s">
        <v>2689</v>
      </c>
      <c r="E506" s="7" t="s">
        <v>49</v>
      </c>
      <c r="F506" s="7" t="s">
        <v>34</v>
      </c>
      <c r="G506" s="7" t="s">
        <v>35</v>
      </c>
      <c r="J506" s="7" t="s">
        <v>50</v>
      </c>
      <c r="K506" s="7" t="s">
        <v>217</v>
      </c>
      <c r="L506" s="7" t="s">
        <v>218</v>
      </c>
      <c r="M506" s="7" t="s">
        <v>219</v>
      </c>
      <c r="N506" s="7" t="s">
        <v>49</v>
      </c>
      <c r="O506" s="7">
        <v>1</v>
      </c>
      <c r="P506" s="7" t="s">
        <v>41</v>
      </c>
      <c r="Q506" s="7">
        <v>29.99</v>
      </c>
      <c r="Y506" s="7" t="s">
        <v>2690</v>
      </c>
      <c r="Z506" s="7" t="s">
        <v>230</v>
      </c>
      <c r="AA506" s="7" t="s">
        <v>2691</v>
      </c>
      <c r="AB506" s="7" t="s">
        <v>45</v>
      </c>
      <c r="AD506" s="11"/>
      <c r="AE506" s="11"/>
      <c r="AF506" s="11"/>
      <c r="AG506" s="10">
        <f t="shared" si="7"/>
        <v>43325</v>
      </c>
    </row>
    <row r="507" s="7" customFormat="1" spans="1:33">
      <c r="A507" s="7" t="s">
        <v>2692</v>
      </c>
      <c r="B507" s="7" t="s">
        <v>2692</v>
      </c>
      <c r="C507" s="7" t="s">
        <v>2693</v>
      </c>
      <c r="D507" s="7" t="s">
        <v>2694</v>
      </c>
      <c r="E507" s="7" t="s">
        <v>49</v>
      </c>
      <c r="F507" s="7" t="s">
        <v>34</v>
      </c>
      <c r="G507" s="7" t="s">
        <v>35</v>
      </c>
      <c r="J507" s="7" t="s">
        <v>50</v>
      </c>
      <c r="K507" s="7" t="s">
        <v>1686</v>
      </c>
      <c r="L507" s="7" t="s">
        <v>1687</v>
      </c>
      <c r="M507" s="7" t="s">
        <v>1688</v>
      </c>
      <c r="N507" s="7" t="s">
        <v>49</v>
      </c>
      <c r="O507" s="7">
        <v>1</v>
      </c>
      <c r="P507" s="7" t="s">
        <v>41</v>
      </c>
      <c r="Q507" s="7">
        <v>108.99</v>
      </c>
      <c r="Y507" s="7" t="s">
        <v>2695</v>
      </c>
      <c r="Z507" s="7" t="s">
        <v>230</v>
      </c>
      <c r="AA507" s="7" t="s">
        <v>2696</v>
      </c>
      <c r="AB507" s="7" t="s">
        <v>45</v>
      </c>
      <c r="AD507" s="11"/>
      <c r="AE507" s="11"/>
      <c r="AF507" s="11"/>
      <c r="AG507" s="10">
        <f t="shared" si="7"/>
        <v>43325</v>
      </c>
    </row>
    <row r="508" s="7" customFormat="1" spans="1:33">
      <c r="A508" s="7" t="s">
        <v>2697</v>
      </c>
      <c r="B508" s="7" t="s">
        <v>2697</v>
      </c>
      <c r="C508" s="7" t="s">
        <v>2698</v>
      </c>
      <c r="D508" s="7" t="s">
        <v>2699</v>
      </c>
      <c r="E508" s="7" t="s">
        <v>49</v>
      </c>
      <c r="F508" s="7" t="s">
        <v>34</v>
      </c>
      <c r="G508" s="7" t="s">
        <v>35</v>
      </c>
      <c r="J508" s="7" t="s">
        <v>50</v>
      </c>
      <c r="K508" s="7" t="s">
        <v>208</v>
      </c>
      <c r="L508" s="7" t="s">
        <v>209</v>
      </c>
      <c r="M508" s="7" t="s">
        <v>210</v>
      </c>
      <c r="N508" s="7" t="s">
        <v>49</v>
      </c>
      <c r="O508" s="7">
        <v>1</v>
      </c>
      <c r="P508" s="7" t="s">
        <v>41</v>
      </c>
      <c r="Q508" s="7">
        <v>89.99</v>
      </c>
      <c r="S508" s="7">
        <v>13.96</v>
      </c>
      <c r="Y508" s="7" t="s">
        <v>2700</v>
      </c>
      <c r="Z508" s="7" t="s">
        <v>178</v>
      </c>
      <c r="AA508" s="7" t="s">
        <v>2701</v>
      </c>
      <c r="AB508" s="7" t="s">
        <v>45</v>
      </c>
      <c r="AD508" s="8"/>
      <c r="AE508" s="8"/>
      <c r="AF508" s="8"/>
      <c r="AG508" s="10">
        <f t="shared" si="7"/>
        <v>43325</v>
      </c>
    </row>
    <row r="509" s="7" customFormat="1" spans="1:33">
      <c r="A509" s="7" t="s">
        <v>2702</v>
      </c>
      <c r="B509" s="7" t="s">
        <v>2702</v>
      </c>
      <c r="C509" s="7" t="s">
        <v>2703</v>
      </c>
      <c r="D509" s="7" t="s">
        <v>2704</v>
      </c>
      <c r="E509" s="7" t="s">
        <v>49</v>
      </c>
      <c r="F509" s="7" t="s">
        <v>34</v>
      </c>
      <c r="G509" s="7" t="s">
        <v>35</v>
      </c>
      <c r="J509" s="7" t="s">
        <v>36</v>
      </c>
      <c r="K509" s="7" t="s">
        <v>2413</v>
      </c>
      <c r="L509" s="7" t="s">
        <v>143</v>
      </c>
      <c r="M509" s="7" t="s">
        <v>144</v>
      </c>
      <c r="N509" s="7" t="s">
        <v>49</v>
      </c>
      <c r="O509" s="7">
        <v>2</v>
      </c>
      <c r="P509" s="7" t="s">
        <v>41</v>
      </c>
      <c r="Q509" s="7">
        <v>159.98</v>
      </c>
      <c r="S509" s="7">
        <v>4.9</v>
      </c>
      <c r="Y509" s="7" t="s">
        <v>265</v>
      </c>
      <c r="Z509" s="7" t="s">
        <v>266</v>
      </c>
      <c r="AA509" s="7" t="s">
        <v>2705</v>
      </c>
      <c r="AB509" s="7" t="s">
        <v>45</v>
      </c>
      <c r="AD509" s="11"/>
      <c r="AE509" s="11"/>
      <c r="AF509" s="11"/>
      <c r="AG509" s="10">
        <f t="shared" si="7"/>
        <v>43325</v>
      </c>
    </row>
    <row r="510" s="7" customFormat="1" spans="1:33">
      <c r="A510" s="7" t="s">
        <v>2706</v>
      </c>
      <c r="B510" s="7" t="s">
        <v>2706</v>
      </c>
      <c r="C510" s="7" t="s">
        <v>2707</v>
      </c>
      <c r="D510" s="7" t="s">
        <v>2708</v>
      </c>
      <c r="E510" s="7" t="s">
        <v>49</v>
      </c>
      <c r="F510" s="7" t="s">
        <v>34</v>
      </c>
      <c r="G510" s="7" t="s">
        <v>35</v>
      </c>
      <c r="J510" s="7" t="s">
        <v>151</v>
      </c>
      <c r="K510" s="7" t="s">
        <v>611</v>
      </c>
      <c r="L510" s="7" t="s">
        <v>612</v>
      </c>
      <c r="M510" s="7" t="s">
        <v>613</v>
      </c>
      <c r="N510" s="7" t="s">
        <v>49</v>
      </c>
      <c r="O510" s="7">
        <v>1</v>
      </c>
      <c r="P510" s="7" t="s">
        <v>41</v>
      </c>
      <c r="Q510" s="7">
        <v>89.99</v>
      </c>
      <c r="Y510" s="7" t="s">
        <v>2709</v>
      </c>
      <c r="Z510" s="7" t="s">
        <v>346</v>
      </c>
      <c r="AA510" s="7" t="s">
        <v>2710</v>
      </c>
      <c r="AB510" s="7" t="s">
        <v>45</v>
      </c>
      <c r="AD510" s="11"/>
      <c r="AE510" s="11"/>
      <c r="AF510" s="11"/>
      <c r="AG510" s="10">
        <f t="shared" si="7"/>
        <v>43325</v>
      </c>
    </row>
    <row r="511" s="7" customFormat="1" spans="1:33">
      <c r="A511" s="7" t="s">
        <v>2711</v>
      </c>
      <c r="B511" s="7" t="s">
        <v>2711</v>
      </c>
      <c r="C511" s="7" t="s">
        <v>2712</v>
      </c>
      <c r="D511" s="7" t="s">
        <v>2713</v>
      </c>
      <c r="E511" s="7" t="s">
        <v>49</v>
      </c>
      <c r="F511" s="7" t="s">
        <v>34</v>
      </c>
      <c r="G511" s="7" t="s">
        <v>35</v>
      </c>
      <c r="J511" s="7" t="s">
        <v>50</v>
      </c>
      <c r="K511" s="7" t="s">
        <v>1686</v>
      </c>
      <c r="L511" s="7" t="s">
        <v>1687</v>
      </c>
      <c r="M511" s="7" t="s">
        <v>1688</v>
      </c>
      <c r="N511" s="7" t="s">
        <v>49</v>
      </c>
      <c r="O511" s="7">
        <v>1</v>
      </c>
      <c r="P511" s="7" t="s">
        <v>41</v>
      </c>
      <c r="Q511" s="7">
        <v>108.99</v>
      </c>
      <c r="Y511" s="7" t="s">
        <v>2511</v>
      </c>
      <c r="Z511" s="7" t="s">
        <v>346</v>
      </c>
      <c r="AA511" s="7">
        <v>11373</v>
      </c>
      <c r="AB511" s="7" t="s">
        <v>45</v>
      </c>
      <c r="AD511" s="11"/>
      <c r="AE511" s="11"/>
      <c r="AF511" s="11"/>
      <c r="AG511" s="10">
        <f t="shared" si="7"/>
        <v>43325</v>
      </c>
    </row>
    <row r="512" s="7" customFormat="1" spans="1:33">
      <c r="A512" s="7" t="s">
        <v>2714</v>
      </c>
      <c r="B512" s="7" t="s">
        <v>2714</v>
      </c>
      <c r="C512" s="7" t="s">
        <v>2715</v>
      </c>
      <c r="D512" s="7" t="s">
        <v>2716</v>
      </c>
      <c r="E512" s="7" t="s">
        <v>49</v>
      </c>
      <c r="F512" s="7" t="s">
        <v>34</v>
      </c>
      <c r="G512" s="7" t="s">
        <v>35</v>
      </c>
      <c r="J512" s="7" t="s">
        <v>50</v>
      </c>
      <c r="K512" s="7" t="s">
        <v>208</v>
      </c>
      <c r="L512" s="7" t="s">
        <v>209</v>
      </c>
      <c r="M512" s="7" t="s">
        <v>210</v>
      </c>
      <c r="N512" s="7" t="s">
        <v>49</v>
      </c>
      <c r="O512" s="7">
        <v>1</v>
      </c>
      <c r="P512" s="7" t="s">
        <v>41</v>
      </c>
      <c r="Q512" s="7">
        <v>89.99</v>
      </c>
      <c r="Y512" s="7" t="s">
        <v>2717</v>
      </c>
      <c r="Z512" s="7" t="s">
        <v>382</v>
      </c>
      <c r="AA512" s="7" t="s">
        <v>2718</v>
      </c>
      <c r="AB512" s="7" t="s">
        <v>45</v>
      </c>
      <c r="AD512" s="11"/>
      <c r="AE512" s="11"/>
      <c r="AF512" s="11"/>
      <c r="AG512" s="10">
        <f t="shared" si="7"/>
        <v>43325</v>
      </c>
    </row>
    <row r="513" s="7" customFormat="1" spans="1:33">
      <c r="A513" s="7" t="s">
        <v>2719</v>
      </c>
      <c r="B513" s="7">
        <v>180814717</v>
      </c>
      <c r="C513" s="7" t="s">
        <v>2720</v>
      </c>
      <c r="D513" s="7" t="s">
        <v>2721</v>
      </c>
      <c r="E513" s="7" t="s">
        <v>49</v>
      </c>
      <c r="F513" s="7" t="s">
        <v>34</v>
      </c>
      <c r="G513" s="7" t="s">
        <v>719</v>
      </c>
      <c r="J513" s="7" t="s">
        <v>36</v>
      </c>
      <c r="K513" s="7" t="s">
        <v>863</v>
      </c>
      <c r="L513" s="7" t="s">
        <v>864</v>
      </c>
      <c r="M513" s="7" t="s">
        <v>865</v>
      </c>
      <c r="N513" s="7" t="s">
        <v>40</v>
      </c>
      <c r="O513" s="7">
        <v>1</v>
      </c>
      <c r="Y513" s="7" t="s">
        <v>2722</v>
      </c>
      <c r="Z513" s="7" t="s">
        <v>646</v>
      </c>
      <c r="AA513" s="7">
        <v>70808</v>
      </c>
      <c r="AB513" s="7" t="s">
        <v>45</v>
      </c>
      <c r="AD513" s="11"/>
      <c r="AE513" s="11"/>
      <c r="AF513" s="11"/>
      <c r="AG513" s="10">
        <f t="shared" si="7"/>
        <v>43326</v>
      </c>
    </row>
    <row r="514" s="7" customFormat="1" spans="1:33">
      <c r="A514" s="7" t="s">
        <v>2723</v>
      </c>
      <c r="B514" s="7">
        <v>180814701</v>
      </c>
      <c r="C514" s="7" t="s">
        <v>2724</v>
      </c>
      <c r="D514" s="7" t="s">
        <v>2725</v>
      </c>
      <c r="E514" s="7" t="s">
        <v>49</v>
      </c>
      <c r="F514" s="7" t="s">
        <v>34</v>
      </c>
      <c r="G514" s="7" t="s">
        <v>719</v>
      </c>
      <c r="J514" s="7" t="s">
        <v>36</v>
      </c>
      <c r="K514" s="7" t="s">
        <v>2726</v>
      </c>
      <c r="L514" s="7" t="s">
        <v>1402</v>
      </c>
      <c r="M514" s="7" t="s">
        <v>1403</v>
      </c>
      <c r="N514" s="7" t="s">
        <v>40</v>
      </c>
      <c r="O514" s="7">
        <v>1</v>
      </c>
      <c r="Y514" s="7" t="s">
        <v>2722</v>
      </c>
      <c r="Z514" s="7" t="s">
        <v>646</v>
      </c>
      <c r="AA514" s="7">
        <v>70808</v>
      </c>
      <c r="AB514" s="7" t="s">
        <v>45</v>
      </c>
      <c r="AD514" s="11"/>
      <c r="AE514" s="11"/>
      <c r="AF514" s="11"/>
      <c r="AG514" s="10">
        <f t="shared" ref="AG514:AG577" si="8">DATEVALUE(LEFT(C514,10))</f>
        <v>43326</v>
      </c>
    </row>
    <row r="515" s="7" customFormat="1" spans="1:33">
      <c r="A515" s="7" t="s">
        <v>2727</v>
      </c>
      <c r="B515" s="7" t="s">
        <v>2728</v>
      </c>
      <c r="C515" s="7" t="s">
        <v>2729</v>
      </c>
      <c r="D515" s="7" t="s">
        <v>2730</v>
      </c>
      <c r="E515" s="7" t="s">
        <v>2731</v>
      </c>
      <c r="F515" s="7" t="s">
        <v>34</v>
      </c>
      <c r="G515" s="7" t="s">
        <v>719</v>
      </c>
      <c r="J515" s="7" t="s">
        <v>36</v>
      </c>
      <c r="K515" s="7" t="s">
        <v>2732</v>
      </c>
      <c r="L515" s="7" t="s">
        <v>1061</v>
      </c>
      <c r="M515" s="7" t="s">
        <v>1062</v>
      </c>
      <c r="N515" s="7" t="s">
        <v>40</v>
      </c>
      <c r="O515" s="7">
        <v>1</v>
      </c>
      <c r="Y515" s="7" t="s">
        <v>2722</v>
      </c>
      <c r="Z515" s="7" t="s">
        <v>646</v>
      </c>
      <c r="AA515" s="7">
        <v>70808</v>
      </c>
      <c r="AB515" s="7" t="s">
        <v>45</v>
      </c>
      <c r="AD515" s="11"/>
      <c r="AE515" s="11"/>
      <c r="AF515" s="11"/>
      <c r="AG515" s="10">
        <f t="shared" si="8"/>
        <v>43326</v>
      </c>
    </row>
    <row r="516" s="7" customFormat="1" spans="1:33">
      <c r="A516" s="7" t="s">
        <v>2733</v>
      </c>
      <c r="B516" s="7" t="s">
        <v>2734</v>
      </c>
      <c r="C516" s="7" t="s">
        <v>2735</v>
      </c>
      <c r="D516" s="7" t="s">
        <v>2736</v>
      </c>
      <c r="E516" s="7" t="s">
        <v>49</v>
      </c>
      <c r="F516" s="7" t="s">
        <v>34</v>
      </c>
      <c r="G516" s="7" t="s">
        <v>719</v>
      </c>
      <c r="J516" s="7" t="s">
        <v>36</v>
      </c>
      <c r="K516" s="7" t="s">
        <v>1686</v>
      </c>
      <c r="L516" s="7" t="s">
        <v>1687</v>
      </c>
      <c r="M516" s="7" t="s">
        <v>1688</v>
      </c>
      <c r="N516" s="7" t="s">
        <v>40</v>
      </c>
      <c r="O516" s="7">
        <v>1</v>
      </c>
      <c r="Y516" s="7" t="s">
        <v>2722</v>
      </c>
      <c r="Z516" s="7" t="s">
        <v>646</v>
      </c>
      <c r="AA516" s="7">
        <v>70808</v>
      </c>
      <c r="AB516" s="7" t="s">
        <v>45</v>
      </c>
      <c r="AD516" s="11"/>
      <c r="AE516" s="11"/>
      <c r="AF516" s="11"/>
      <c r="AG516" s="10">
        <f t="shared" si="8"/>
        <v>43326</v>
      </c>
    </row>
    <row r="517" s="7" customFormat="1" spans="1:33">
      <c r="A517" s="7" t="s">
        <v>2737</v>
      </c>
      <c r="B517" s="7" t="s">
        <v>2738</v>
      </c>
      <c r="C517" s="7" t="s">
        <v>2739</v>
      </c>
      <c r="D517" s="7" t="s">
        <v>2740</v>
      </c>
      <c r="E517" s="7" t="s">
        <v>49</v>
      </c>
      <c r="F517" s="7" t="s">
        <v>34</v>
      </c>
      <c r="G517" s="7" t="s">
        <v>719</v>
      </c>
      <c r="J517" s="7" t="s">
        <v>36</v>
      </c>
      <c r="K517" s="7" t="s">
        <v>603</v>
      </c>
      <c r="L517" s="7" t="s">
        <v>604</v>
      </c>
      <c r="M517" s="7" t="s">
        <v>605</v>
      </c>
      <c r="N517" s="7" t="s">
        <v>40</v>
      </c>
      <c r="O517" s="7">
        <v>1</v>
      </c>
      <c r="Y517" s="7" t="s">
        <v>2722</v>
      </c>
      <c r="Z517" s="7" t="s">
        <v>646</v>
      </c>
      <c r="AA517" s="7">
        <v>70808</v>
      </c>
      <c r="AB517" s="7" t="s">
        <v>45</v>
      </c>
      <c r="AD517" s="11"/>
      <c r="AE517" s="11"/>
      <c r="AF517" s="11"/>
      <c r="AG517" s="10">
        <f t="shared" si="8"/>
        <v>43326</v>
      </c>
    </row>
    <row r="518" s="7" customFormat="1" spans="1:33">
      <c r="A518" s="7" t="s">
        <v>2741</v>
      </c>
      <c r="B518" s="7" t="s">
        <v>2742</v>
      </c>
      <c r="C518" s="7" t="s">
        <v>2743</v>
      </c>
      <c r="D518" s="7" t="s">
        <v>2744</v>
      </c>
      <c r="E518" s="7" t="s">
        <v>2731</v>
      </c>
      <c r="F518" s="7" t="s">
        <v>34</v>
      </c>
      <c r="G518" s="7" t="s">
        <v>719</v>
      </c>
      <c r="J518" s="7" t="s">
        <v>36</v>
      </c>
      <c r="K518" s="7" t="s">
        <v>386</v>
      </c>
      <c r="L518" s="7" t="s">
        <v>387</v>
      </c>
      <c r="M518" s="7" t="s">
        <v>388</v>
      </c>
      <c r="N518" s="7" t="s">
        <v>40</v>
      </c>
      <c r="O518" s="7">
        <v>1</v>
      </c>
      <c r="Y518" s="7" t="s">
        <v>2722</v>
      </c>
      <c r="Z518" s="7" t="s">
        <v>646</v>
      </c>
      <c r="AA518" s="7">
        <v>70808</v>
      </c>
      <c r="AB518" s="7" t="s">
        <v>45</v>
      </c>
      <c r="AD518" s="11"/>
      <c r="AE518" s="11"/>
      <c r="AF518" s="11"/>
      <c r="AG518" s="10">
        <f t="shared" si="8"/>
        <v>43326</v>
      </c>
    </row>
    <row r="519" s="7" customFormat="1" spans="1:33">
      <c r="A519" s="7" t="s">
        <v>2745</v>
      </c>
      <c r="B519" s="7" t="s">
        <v>2746</v>
      </c>
      <c r="C519" s="7" t="s">
        <v>2747</v>
      </c>
      <c r="D519" s="7" t="s">
        <v>2748</v>
      </c>
      <c r="E519" s="7" t="s">
        <v>49</v>
      </c>
      <c r="F519" s="7" t="s">
        <v>34</v>
      </c>
      <c r="G519" s="7" t="s">
        <v>719</v>
      </c>
      <c r="J519" s="7" t="s">
        <v>36</v>
      </c>
      <c r="K519" s="7" t="s">
        <v>2363</v>
      </c>
      <c r="L519" s="7" t="s">
        <v>89</v>
      </c>
      <c r="M519" s="7" t="s">
        <v>90</v>
      </c>
      <c r="N519" s="7" t="s">
        <v>40</v>
      </c>
      <c r="O519" s="7">
        <v>1</v>
      </c>
      <c r="Y519" s="7" t="s">
        <v>2722</v>
      </c>
      <c r="Z519" s="7" t="s">
        <v>646</v>
      </c>
      <c r="AA519" s="7">
        <v>70808</v>
      </c>
      <c r="AB519" s="7" t="s">
        <v>45</v>
      </c>
      <c r="AD519" s="11"/>
      <c r="AE519" s="11"/>
      <c r="AF519" s="11"/>
      <c r="AG519" s="10">
        <f t="shared" si="8"/>
        <v>43326</v>
      </c>
    </row>
    <row r="520" s="7" customFormat="1" spans="1:33">
      <c r="A520" s="7" t="s">
        <v>2749</v>
      </c>
      <c r="B520" s="7" t="s">
        <v>2750</v>
      </c>
      <c r="C520" s="7" t="s">
        <v>2751</v>
      </c>
      <c r="D520" s="7" t="s">
        <v>2752</v>
      </c>
      <c r="E520" s="7" t="s">
        <v>49</v>
      </c>
      <c r="F520" s="7" t="s">
        <v>34</v>
      </c>
      <c r="G520" s="7" t="s">
        <v>719</v>
      </c>
      <c r="J520" s="7" t="s">
        <v>36</v>
      </c>
      <c r="K520" s="7" t="s">
        <v>2006</v>
      </c>
      <c r="L520" s="7" t="s">
        <v>2007</v>
      </c>
      <c r="M520" s="7" t="s">
        <v>2008</v>
      </c>
      <c r="N520" s="7" t="s">
        <v>40</v>
      </c>
      <c r="O520" s="7">
        <v>1</v>
      </c>
      <c r="Y520" s="7" t="s">
        <v>2722</v>
      </c>
      <c r="Z520" s="7" t="s">
        <v>646</v>
      </c>
      <c r="AA520" s="7">
        <v>70808</v>
      </c>
      <c r="AB520" s="7" t="s">
        <v>45</v>
      </c>
      <c r="AD520" s="11"/>
      <c r="AE520" s="11"/>
      <c r="AF520" s="11"/>
      <c r="AG520" s="10">
        <f t="shared" si="8"/>
        <v>43326</v>
      </c>
    </row>
    <row r="521" s="7" customFormat="1" spans="1:33">
      <c r="A521" s="7" t="s">
        <v>2753</v>
      </c>
      <c r="B521" s="7" t="s">
        <v>2754</v>
      </c>
      <c r="C521" s="7" t="s">
        <v>2755</v>
      </c>
      <c r="D521" s="7" t="s">
        <v>2756</v>
      </c>
      <c r="E521" s="7" t="s">
        <v>49</v>
      </c>
      <c r="F521" s="7" t="s">
        <v>34</v>
      </c>
      <c r="G521" s="7" t="s">
        <v>719</v>
      </c>
      <c r="J521" s="7" t="s">
        <v>36</v>
      </c>
      <c r="K521" s="7" t="s">
        <v>2757</v>
      </c>
      <c r="L521" s="7" t="s">
        <v>2758</v>
      </c>
      <c r="M521" s="7" t="s">
        <v>2759</v>
      </c>
      <c r="N521" s="7" t="s">
        <v>40</v>
      </c>
      <c r="O521" s="7">
        <v>1</v>
      </c>
      <c r="Y521" s="7" t="s">
        <v>2722</v>
      </c>
      <c r="Z521" s="7" t="s">
        <v>646</v>
      </c>
      <c r="AA521" s="7">
        <v>70808</v>
      </c>
      <c r="AB521" s="7" t="s">
        <v>45</v>
      </c>
      <c r="AD521" s="11"/>
      <c r="AE521" s="11"/>
      <c r="AF521" s="11"/>
      <c r="AG521" s="10">
        <f t="shared" si="8"/>
        <v>43326</v>
      </c>
    </row>
    <row r="522" s="7" customFormat="1" spans="1:33">
      <c r="A522" s="7" t="s">
        <v>2760</v>
      </c>
      <c r="B522" s="7" t="s">
        <v>2761</v>
      </c>
      <c r="C522" s="7" t="s">
        <v>2762</v>
      </c>
      <c r="D522" s="7" t="s">
        <v>2763</v>
      </c>
      <c r="E522" s="7" t="s">
        <v>2731</v>
      </c>
      <c r="F522" s="7" t="s">
        <v>34</v>
      </c>
      <c r="G522" s="7" t="s">
        <v>719</v>
      </c>
      <c r="J522" s="7" t="s">
        <v>36</v>
      </c>
      <c r="K522" s="7" t="s">
        <v>2764</v>
      </c>
      <c r="L522" s="7" t="s">
        <v>2765</v>
      </c>
      <c r="M522" s="7" t="s">
        <v>2766</v>
      </c>
      <c r="N522" s="7" t="s">
        <v>40</v>
      </c>
      <c r="O522" s="7">
        <v>2</v>
      </c>
      <c r="Y522" s="7" t="s">
        <v>2722</v>
      </c>
      <c r="Z522" s="7" t="s">
        <v>646</v>
      </c>
      <c r="AA522" s="7">
        <v>70808</v>
      </c>
      <c r="AB522" s="7" t="s">
        <v>45</v>
      </c>
      <c r="AD522" s="11"/>
      <c r="AE522" s="11"/>
      <c r="AF522" s="11"/>
      <c r="AG522" s="10">
        <f t="shared" si="8"/>
        <v>43326</v>
      </c>
    </row>
    <row r="523" s="7" customFormat="1" spans="1:33">
      <c r="A523" s="7" t="s">
        <v>2767</v>
      </c>
      <c r="B523" s="7" t="s">
        <v>2768</v>
      </c>
      <c r="C523" s="7" t="s">
        <v>2769</v>
      </c>
      <c r="D523" s="7" t="s">
        <v>2770</v>
      </c>
      <c r="E523" s="7" t="s">
        <v>2731</v>
      </c>
      <c r="F523" s="7" t="s">
        <v>34</v>
      </c>
      <c r="G523" s="7" t="s">
        <v>719</v>
      </c>
      <c r="J523" s="7" t="s">
        <v>36</v>
      </c>
      <c r="K523" s="7" t="s">
        <v>152</v>
      </c>
      <c r="L523" s="7" t="s">
        <v>153</v>
      </c>
      <c r="M523" s="7" t="s">
        <v>154</v>
      </c>
      <c r="N523" s="7" t="s">
        <v>40</v>
      </c>
      <c r="O523" s="7">
        <v>3</v>
      </c>
      <c r="Y523" s="7" t="s">
        <v>2722</v>
      </c>
      <c r="Z523" s="7" t="s">
        <v>646</v>
      </c>
      <c r="AA523" s="7">
        <v>70808</v>
      </c>
      <c r="AB523" s="7" t="s">
        <v>45</v>
      </c>
      <c r="AD523" s="11"/>
      <c r="AE523" s="11"/>
      <c r="AF523" s="11"/>
      <c r="AG523" s="10">
        <f t="shared" si="8"/>
        <v>43326</v>
      </c>
    </row>
    <row r="524" s="7" customFormat="1" spans="1:33">
      <c r="A524" s="7" t="s">
        <v>2771</v>
      </c>
      <c r="B524" s="7" t="s">
        <v>2772</v>
      </c>
      <c r="C524" s="7" t="s">
        <v>2773</v>
      </c>
      <c r="D524" s="7" t="s">
        <v>2774</v>
      </c>
      <c r="E524" s="7" t="s">
        <v>49</v>
      </c>
      <c r="F524" s="7" t="s">
        <v>34</v>
      </c>
      <c r="G524" s="7" t="s">
        <v>719</v>
      </c>
      <c r="J524" s="7" t="s">
        <v>36</v>
      </c>
      <c r="K524" s="7" t="s">
        <v>611</v>
      </c>
      <c r="L524" s="7" t="s">
        <v>612</v>
      </c>
      <c r="M524" s="7" t="s">
        <v>613</v>
      </c>
      <c r="N524" s="7" t="s">
        <v>40</v>
      </c>
      <c r="O524" s="7">
        <v>2</v>
      </c>
      <c r="Y524" s="7" t="s">
        <v>2722</v>
      </c>
      <c r="Z524" s="7" t="s">
        <v>646</v>
      </c>
      <c r="AA524" s="7">
        <v>70808</v>
      </c>
      <c r="AB524" s="7" t="s">
        <v>45</v>
      </c>
      <c r="AD524" s="8"/>
      <c r="AE524" s="8"/>
      <c r="AF524" s="8"/>
      <c r="AG524" s="10">
        <f t="shared" si="8"/>
        <v>43326</v>
      </c>
    </row>
    <row r="525" s="7" customFormat="1" spans="1:33">
      <c r="A525" s="7" t="s">
        <v>2775</v>
      </c>
      <c r="B525" s="7" t="s">
        <v>2776</v>
      </c>
      <c r="C525" s="7" t="s">
        <v>2777</v>
      </c>
      <c r="D525" s="7" t="s">
        <v>2778</v>
      </c>
      <c r="E525" s="7" t="s">
        <v>2731</v>
      </c>
      <c r="F525" s="7" t="s">
        <v>34</v>
      </c>
      <c r="G525" s="7" t="s">
        <v>719</v>
      </c>
      <c r="J525" s="7" t="s">
        <v>36</v>
      </c>
      <c r="K525" s="7" t="s">
        <v>2248</v>
      </c>
      <c r="L525" s="7" t="s">
        <v>746</v>
      </c>
      <c r="M525" s="7" t="s">
        <v>747</v>
      </c>
      <c r="N525" s="7" t="s">
        <v>40</v>
      </c>
      <c r="O525" s="7">
        <v>2</v>
      </c>
      <c r="Y525" s="7" t="s">
        <v>2722</v>
      </c>
      <c r="Z525" s="7" t="s">
        <v>646</v>
      </c>
      <c r="AA525" s="7">
        <v>70808</v>
      </c>
      <c r="AB525" s="7" t="s">
        <v>45</v>
      </c>
      <c r="AD525" s="8"/>
      <c r="AE525" s="8"/>
      <c r="AF525" s="8"/>
      <c r="AG525" s="10">
        <f t="shared" si="8"/>
        <v>43326</v>
      </c>
    </row>
    <row r="526" s="7" customFormat="1" spans="1:33">
      <c r="A526" s="7" t="s">
        <v>2779</v>
      </c>
      <c r="B526" s="7" t="s">
        <v>2780</v>
      </c>
      <c r="C526" s="7" t="s">
        <v>2781</v>
      </c>
      <c r="D526" s="7" t="s">
        <v>2782</v>
      </c>
      <c r="E526" s="7" t="s">
        <v>49</v>
      </c>
      <c r="F526" s="7" t="s">
        <v>34</v>
      </c>
      <c r="G526" s="7" t="s">
        <v>719</v>
      </c>
      <c r="J526" s="7" t="s">
        <v>36</v>
      </c>
      <c r="K526" s="7" t="s">
        <v>70</v>
      </c>
      <c r="L526" s="7" t="s">
        <v>71</v>
      </c>
      <c r="M526" s="7" t="s">
        <v>72</v>
      </c>
      <c r="N526" s="7" t="s">
        <v>40</v>
      </c>
      <c r="O526" s="7">
        <v>3</v>
      </c>
      <c r="Y526" s="7" t="s">
        <v>2722</v>
      </c>
      <c r="Z526" s="7" t="s">
        <v>646</v>
      </c>
      <c r="AA526" s="7">
        <v>70808</v>
      </c>
      <c r="AB526" s="7" t="s">
        <v>45</v>
      </c>
      <c r="AD526" s="11"/>
      <c r="AE526" s="11"/>
      <c r="AF526" s="11"/>
      <c r="AG526" s="10">
        <f t="shared" si="8"/>
        <v>43326</v>
      </c>
    </row>
    <row r="527" s="7" customFormat="1" spans="1:33">
      <c r="A527" s="7" t="s">
        <v>2783</v>
      </c>
      <c r="B527" s="7" t="s">
        <v>2784</v>
      </c>
      <c r="C527" s="7" t="s">
        <v>2785</v>
      </c>
      <c r="D527" s="7" t="s">
        <v>2786</v>
      </c>
      <c r="E527" s="7" t="s">
        <v>2731</v>
      </c>
      <c r="F527" s="7" t="s">
        <v>34</v>
      </c>
      <c r="G527" s="7" t="s">
        <v>719</v>
      </c>
      <c r="J527" s="7" t="s">
        <v>36</v>
      </c>
      <c r="K527" s="7" t="s">
        <v>2787</v>
      </c>
      <c r="L527" s="7" t="s">
        <v>209</v>
      </c>
      <c r="M527" s="7" t="s">
        <v>210</v>
      </c>
      <c r="N527" s="7" t="s">
        <v>40</v>
      </c>
      <c r="O527" s="7">
        <v>5</v>
      </c>
      <c r="Y527" s="7" t="s">
        <v>2722</v>
      </c>
      <c r="Z527" s="7" t="s">
        <v>646</v>
      </c>
      <c r="AA527" s="7">
        <v>70808</v>
      </c>
      <c r="AB527" s="7" t="s">
        <v>45</v>
      </c>
      <c r="AD527" s="11"/>
      <c r="AE527" s="11"/>
      <c r="AF527" s="11"/>
      <c r="AG527" s="10">
        <f t="shared" si="8"/>
        <v>43326</v>
      </c>
    </row>
    <row r="528" s="7" customFormat="1" spans="1:33">
      <c r="A528" s="7" t="s">
        <v>2788</v>
      </c>
      <c r="B528" s="7" t="s">
        <v>2789</v>
      </c>
      <c r="C528" s="7" t="s">
        <v>2790</v>
      </c>
      <c r="D528" s="7" t="s">
        <v>2791</v>
      </c>
      <c r="E528" s="7" t="s">
        <v>2731</v>
      </c>
      <c r="F528" s="7" t="s">
        <v>34</v>
      </c>
      <c r="G528" s="7" t="s">
        <v>719</v>
      </c>
      <c r="J528" s="7" t="s">
        <v>36</v>
      </c>
      <c r="K528" s="7" t="s">
        <v>2440</v>
      </c>
      <c r="L528" s="7" t="s">
        <v>38</v>
      </c>
      <c r="M528" s="7" t="s">
        <v>39</v>
      </c>
      <c r="N528" s="7" t="s">
        <v>40</v>
      </c>
      <c r="O528" s="7">
        <v>4</v>
      </c>
      <c r="Y528" s="7" t="s">
        <v>2722</v>
      </c>
      <c r="Z528" s="7" t="s">
        <v>646</v>
      </c>
      <c r="AA528" s="7">
        <v>70808</v>
      </c>
      <c r="AB528" s="7" t="s">
        <v>45</v>
      </c>
      <c r="AD528" s="11"/>
      <c r="AE528" s="11"/>
      <c r="AF528" s="11"/>
      <c r="AG528" s="10">
        <f t="shared" si="8"/>
        <v>43326</v>
      </c>
    </row>
    <row r="529" s="7" customFormat="1" spans="1:33">
      <c r="A529" s="7" t="s">
        <v>2792</v>
      </c>
      <c r="B529" s="7" t="s">
        <v>2793</v>
      </c>
      <c r="C529" s="7" t="s">
        <v>2794</v>
      </c>
      <c r="D529" s="7" t="s">
        <v>2795</v>
      </c>
      <c r="E529" s="7" t="s">
        <v>49</v>
      </c>
      <c r="F529" s="7" t="s">
        <v>34</v>
      </c>
      <c r="G529" s="7" t="s">
        <v>719</v>
      </c>
      <c r="J529" s="7" t="s">
        <v>36</v>
      </c>
      <c r="K529" s="7" t="s">
        <v>2413</v>
      </c>
      <c r="L529" s="7" t="s">
        <v>143</v>
      </c>
      <c r="M529" s="7" t="s">
        <v>144</v>
      </c>
      <c r="N529" s="7" t="s">
        <v>40</v>
      </c>
      <c r="O529" s="7">
        <v>1</v>
      </c>
      <c r="Y529" s="7" t="s">
        <v>2722</v>
      </c>
      <c r="Z529" s="7" t="s">
        <v>646</v>
      </c>
      <c r="AA529" s="7">
        <v>70808</v>
      </c>
      <c r="AB529" s="7" t="s">
        <v>45</v>
      </c>
      <c r="AD529" s="11"/>
      <c r="AE529" s="11"/>
      <c r="AF529" s="11"/>
      <c r="AG529" s="10">
        <f t="shared" si="8"/>
        <v>43326</v>
      </c>
    </row>
    <row r="530" s="7" customFormat="1" spans="1:33">
      <c r="A530" s="7" t="s">
        <v>2796</v>
      </c>
      <c r="B530" s="7" t="s">
        <v>2797</v>
      </c>
      <c r="C530" s="7" t="s">
        <v>2798</v>
      </c>
      <c r="D530" s="7" t="s">
        <v>2799</v>
      </c>
      <c r="E530" s="7" t="s">
        <v>49</v>
      </c>
      <c r="F530" s="7" t="s">
        <v>34</v>
      </c>
      <c r="G530" s="7" t="s">
        <v>719</v>
      </c>
      <c r="J530" s="7" t="s">
        <v>36</v>
      </c>
      <c r="K530" s="7" t="s">
        <v>2290</v>
      </c>
      <c r="L530" s="7" t="s">
        <v>442</v>
      </c>
      <c r="M530" s="7" t="s">
        <v>443</v>
      </c>
      <c r="N530" s="7" t="s">
        <v>40</v>
      </c>
      <c r="O530" s="7">
        <v>1</v>
      </c>
      <c r="Y530" s="7" t="s">
        <v>2722</v>
      </c>
      <c r="Z530" s="7" t="s">
        <v>646</v>
      </c>
      <c r="AA530" s="7">
        <v>70808</v>
      </c>
      <c r="AB530" s="7" t="s">
        <v>45</v>
      </c>
      <c r="AD530" s="11"/>
      <c r="AE530" s="11"/>
      <c r="AF530" s="11"/>
      <c r="AG530" s="10">
        <f t="shared" si="8"/>
        <v>43326</v>
      </c>
    </row>
    <row r="531" s="7" customFormat="1" spans="1:33">
      <c r="A531" s="7" t="s">
        <v>2800</v>
      </c>
      <c r="B531" s="7" t="s">
        <v>2801</v>
      </c>
      <c r="C531" s="7" t="s">
        <v>2802</v>
      </c>
      <c r="D531" s="7" t="s">
        <v>2803</v>
      </c>
      <c r="E531" s="7" t="s">
        <v>2731</v>
      </c>
      <c r="F531" s="7" t="s">
        <v>34</v>
      </c>
      <c r="G531" s="7" t="s">
        <v>719</v>
      </c>
      <c r="J531" s="7" t="s">
        <v>36</v>
      </c>
      <c r="K531" s="7" t="s">
        <v>766</v>
      </c>
      <c r="L531" s="7" t="s">
        <v>767</v>
      </c>
      <c r="M531" s="7" t="s">
        <v>768</v>
      </c>
      <c r="N531" s="7" t="s">
        <v>40</v>
      </c>
      <c r="O531" s="7">
        <v>1</v>
      </c>
      <c r="Y531" s="7" t="s">
        <v>2722</v>
      </c>
      <c r="Z531" s="7" t="s">
        <v>646</v>
      </c>
      <c r="AA531" s="7">
        <v>70808</v>
      </c>
      <c r="AB531" s="7" t="s">
        <v>45</v>
      </c>
      <c r="AD531" s="11"/>
      <c r="AE531" s="11"/>
      <c r="AF531" s="11"/>
      <c r="AG531" s="10">
        <f t="shared" si="8"/>
        <v>43326</v>
      </c>
    </row>
    <row r="532" s="7" customFormat="1" spans="1:33">
      <c r="A532" s="7" t="s">
        <v>2804</v>
      </c>
      <c r="B532" s="7" t="s">
        <v>2805</v>
      </c>
      <c r="C532" s="7" t="s">
        <v>2806</v>
      </c>
      <c r="D532" s="7" t="s">
        <v>2807</v>
      </c>
      <c r="E532" s="7" t="s">
        <v>49</v>
      </c>
      <c r="F532" s="7" t="s">
        <v>34</v>
      </c>
      <c r="G532" s="7" t="s">
        <v>719</v>
      </c>
      <c r="J532" s="7" t="s">
        <v>36</v>
      </c>
      <c r="K532" s="7" t="s">
        <v>2603</v>
      </c>
      <c r="L532" s="7" t="s">
        <v>1161</v>
      </c>
      <c r="M532" s="7" t="s">
        <v>1162</v>
      </c>
      <c r="N532" s="7" t="s">
        <v>40</v>
      </c>
      <c r="O532" s="7">
        <v>1</v>
      </c>
      <c r="Y532" s="7" t="s">
        <v>2722</v>
      </c>
      <c r="Z532" s="7" t="s">
        <v>646</v>
      </c>
      <c r="AA532" s="7">
        <v>70808</v>
      </c>
      <c r="AB532" s="7" t="s">
        <v>45</v>
      </c>
      <c r="AD532" s="11"/>
      <c r="AE532" s="11"/>
      <c r="AF532" s="11"/>
      <c r="AG532" s="10">
        <f t="shared" si="8"/>
        <v>43326</v>
      </c>
    </row>
    <row r="533" s="7" customFormat="1" spans="1:33">
      <c r="A533" s="7" t="s">
        <v>2808</v>
      </c>
      <c r="B533" s="7" t="s">
        <v>2809</v>
      </c>
      <c r="C533" s="7" t="s">
        <v>2810</v>
      </c>
      <c r="D533" s="7" t="s">
        <v>2811</v>
      </c>
      <c r="E533" s="7" t="s">
        <v>49</v>
      </c>
      <c r="F533" s="7" t="s">
        <v>34</v>
      </c>
      <c r="G533" s="7" t="s">
        <v>719</v>
      </c>
      <c r="J533" s="7" t="s">
        <v>36</v>
      </c>
      <c r="K533" s="7" t="s">
        <v>477</v>
      </c>
      <c r="L533" s="7" t="s">
        <v>478</v>
      </c>
      <c r="M533" s="7" t="s">
        <v>479</v>
      </c>
      <c r="N533" s="7" t="s">
        <v>40</v>
      </c>
      <c r="O533" s="7">
        <v>1</v>
      </c>
      <c r="Y533" s="7" t="s">
        <v>2722</v>
      </c>
      <c r="Z533" s="7" t="s">
        <v>646</v>
      </c>
      <c r="AA533" s="7">
        <v>70808</v>
      </c>
      <c r="AB533" s="7" t="s">
        <v>45</v>
      </c>
      <c r="AD533" s="8"/>
      <c r="AE533" s="8"/>
      <c r="AF533" s="8"/>
      <c r="AG533" s="10">
        <f t="shared" si="8"/>
        <v>43326</v>
      </c>
    </row>
    <row r="534" s="7" customFormat="1" spans="1:33">
      <c r="A534" s="7" t="s">
        <v>2812</v>
      </c>
      <c r="B534" s="7" t="s">
        <v>2813</v>
      </c>
      <c r="C534" s="7" t="s">
        <v>2814</v>
      </c>
      <c r="D534" s="7" t="s">
        <v>2815</v>
      </c>
      <c r="E534" s="7" t="s">
        <v>2731</v>
      </c>
      <c r="F534" s="7" t="s">
        <v>34</v>
      </c>
      <c r="G534" s="7" t="s">
        <v>719</v>
      </c>
      <c r="J534" s="7" t="s">
        <v>36</v>
      </c>
      <c r="K534" s="7" t="s">
        <v>2279</v>
      </c>
      <c r="L534" s="7" t="s">
        <v>277</v>
      </c>
      <c r="M534" s="7" t="s">
        <v>278</v>
      </c>
      <c r="N534" s="7" t="s">
        <v>40</v>
      </c>
      <c r="O534" s="7">
        <v>6</v>
      </c>
      <c r="Y534" s="7" t="s">
        <v>2722</v>
      </c>
      <c r="Z534" s="7" t="s">
        <v>646</v>
      </c>
      <c r="AA534" s="7">
        <v>70808</v>
      </c>
      <c r="AB534" s="7" t="s">
        <v>45</v>
      </c>
      <c r="AD534" s="11"/>
      <c r="AE534" s="11"/>
      <c r="AF534" s="11"/>
      <c r="AG534" s="10">
        <f t="shared" si="8"/>
        <v>43326</v>
      </c>
    </row>
    <row r="535" s="7" customFormat="1" spans="1:33">
      <c r="A535" s="7" t="s">
        <v>2816</v>
      </c>
      <c r="B535" s="7" t="s">
        <v>2817</v>
      </c>
      <c r="C535" s="7" t="s">
        <v>2818</v>
      </c>
      <c r="D535" s="7" t="s">
        <v>2819</v>
      </c>
      <c r="E535" s="7" t="s">
        <v>49</v>
      </c>
      <c r="F535" s="7" t="s">
        <v>34</v>
      </c>
      <c r="G535" s="7" t="s">
        <v>719</v>
      </c>
      <c r="J535" s="7" t="s">
        <v>36</v>
      </c>
      <c r="K535" s="7" t="s">
        <v>2820</v>
      </c>
      <c r="L535" s="7" t="s">
        <v>2821</v>
      </c>
      <c r="M535" s="7" t="s">
        <v>2822</v>
      </c>
      <c r="N535" s="7" t="s">
        <v>40</v>
      </c>
      <c r="O535" s="7">
        <v>5</v>
      </c>
      <c r="Y535" s="7" t="s">
        <v>2722</v>
      </c>
      <c r="Z535" s="7" t="s">
        <v>646</v>
      </c>
      <c r="AA535" s="7">
        <v>70808</v>
      </c>
      <c r="AB535" s="7" t="s">
        <v>45</v>
      </c>
      <c r="AD535" s="11"/>
      <c r="AE535" s="11"/>
      <c r="AF535" s="11"/>
      <c r="AG535" s="10">
        <f t="shared" si="8"/>
        <v>43326</v>
      </c>
    </row>
    <row r="536" s="7" customFormat="1" spans="1:33">
      <c r="A536" s="7" t="s">
        <v>2823</v>
      </c>
      <c r="B536" s="7" t="s">
        <v>2824</v>
      </c>
      <c r="C536" s="7" t="s">
        <v>2825</v>
      </c>
      <c r="D536" s="7" t="s">
        <v>2826</v>
      </c>
      <c r="E536" s="7" t="s">
        <v>49</v>
      </c>
      <c r="F536" s="7" t="s">
        <v>34</v>
      </c>
      <c r="G536" s="7" t="s">
        <v>719</v>
      </c>
      <c r="J536" s="7" t="s">
        <v>36</v>
      </c>
      <c r="K536" s="7" t="s">
        <v>1436</v>
      </c>
      <c r="L536" s="7" t="s">
        <v>2827</v>
      </c>
      <c r="M536" s="7" t="s">
        <v>1438</v>
      </c>
      <c r="N536" s="7" t="s">
        <v>40</v>
      </c>
      <c r="O536" s="7">
        <v>15</v>
      </c>
      <c r="Y536" s="7" t="s">
        <v>2722</v>
      </c>
      <c r="Z536" s="7" t="s">
        <v>646</v>
      </c>
      <c r="AA536" s="7">
        <v>70808</v>
      </c>
      <c r="AB536" s="7" t="s">
        <v>45</v>
      </c>
      <c r="AD536" s="11"/>
      <c r="AE536" s="11"/>
      <c r="AF536" s="11"/>
      <c r="AG536" s="10">
        <f t="shared" si="8"/>
        <v>43326</v>
      </c>
    </row>
    <row r="537" s="7" customFormat="1" spans="1:33">
      <c r="A537" s="7" t="s">
        <v>2828</v>
      </c>
      <c r="B537" s="7" t="s">
        <v>2829</v>
      </c>
      <c r="C537" s="7" t="s">
        <v>2830</v>
      </c>
      <c r="D537" s="7" t="s">
        <v>2831</v>
      </c>
      <c r="E537" s="7" t="s">
        <v>49</v>
      </c>
      <c r="F537" s="7" t="s">
        <v>34</v>
      </c>
      <c r="G537" s="7" t="s">
        <v>719</v>
      </c>
      <c r="J537" s="7" t="s">
        <v>36</v>
      </c>
      <c r="K537" s="7" t="s">
        <v>519</v>
      </c>
      <c r="L537" s="7" t="s">
        <v>520</v>
      </c>
      <c r="M537" s="7" t="s">
        <v>521</v>
      </c>
      <c r="N537" s="7" t="s">
        <v>40</v>
      </c>
      <c r="O537" s="7">
        <v>5</v>
      </c>
      <c r="Y537" s="7" t="s">
        <v>2722</v>
      </c>
      <c r="Z537" s="7" t="s">
        <v>646</v>
      </c>
      <c r="AA537" s="7">
        <v>70808</v>
      </c>
      <c r="AB537" s="7" t="s">
        <v>45</v>
      </c>
      <c r="AD537" s="11"/>
      <c r="AE537" s="11"/>
      <c r="AF537" s="11"/>
      <c r="AG537" s="10">
        <f t="shared" si="8"/>
        <v>43326</v>
      </c>
    </row>
    <row r="538" s="7" customFormat="1" spans="1:33">
      <c r="A538" s="7" t="s">
        <v>2832</v>
      </c>
      <c r="B538" s="7" t="s">
        <v>2833</v>
      </c>
      <c r="C538" s="7" t="s">
        <v>2834</v>
      </c>
      <c r="D538" s="7" t="s">
        <v>2835</v>
      </c>
      <c r="E538" s="7" t="s">
        <v>49</v>
      </c>
      <c r="F538" s="7" t="s">
        <v>34</v>
      </c>
      <c r="G538" s="7" t="s">
        <v>719</v>
      </c>
      <c r="J538" s="7" t="s">
        <v>36</v>
      </c>
      <c r="K538" s="7" t="s">
        <v>2836</v>
      </c>
      <c r="L538" s="7" t="s">
        <v>2837</v>
      </c>
      <c r="M538" s="7" t="s">
        <v>2838</v>
      </c>
      <c r="N538" s="7" t="s">
        <v>40</v>
      </c>
      <c r="O538" s="7">
        <v>12</v>
      </c>
      <c r="Y538" s="7" t="s">
        <v>2722</v>
      </c>
      <c r="Z538" s="7" t="s">
        <v>646</v>
      </c>
      <c r="AA538" s="7">
        <v>70808</v>
      </c>
      <c r="AB538" s="7" t="s">
        <v>45</v>
      </c>
      <c r="AD538" s="8"/>
      <c r="AE538" s="8"/>
      <c r="AF538" s="8"/>
      <c r="AG538" s="10">
        <f t="shared" si="8"/>
        <v>43326</v>
      </c>
    </row>
    <row r="539" s="7" customFormat="1" spans="1:33">
      <c r="A539" s="7" t="s">
        <v>2839</v>
      </c>
      <c r="B539" s="7" t="s">
        <v>2840</v>
      </c>
      <c r="C539" s="7" t="s">
        <v>2841</v>
      </c>
      <c r="D539" s="7" t="s">
        <v>2842</v>
      </c>
      <c r="E539" s="7" t="s">
        <v>49</v>
      </c>
      <c r="F539" s="7" t="s">
        <v>34</v>
      </c>
      <c r="G539" s="7" t="s">
        <v>719</v>
      </c>
      <c r="J539" s="7" t="s">
        <v>36</v>
      </c>
      <c r="K539" s="7" t="s">
        <v>2843</v>
      </c>
      <c r="L539" s="7" t="s">
        <v>2844</v>
      </c>
      <c r="M539" s="7" t="s">
        <v>2845</v>
      </c>
      <c r="N539" s="7" t="s">
        <v>40</v>
      </c>
      <c r="O539" s="7">
        <v>9</v>
      </c>
      <c r="Y539" s="7" t="s">
        <v>2722</v>
      </c>
      <c r="Z539" s="7" t="s">
        <v>646</v>
      </c>
      <c r="AA539" s="7">
        <v>70808</v>
      </c>
      <c r="AB539" s="7" t="s">
        <v>45</v>
      </c>
      <c r="AD539" s="8"/>
      <c r="AE539" s="8"/>
      <c r="AF539" s="8"/>
      <c r="AG539" s="10">
        <f t="shared" si="8"/>
        <v>43326</v>
      </c>
    </row>
    <row r="540" s="7" customFormat="1" spans="1:33">
      <c r="A540" s="7" t="s">
        <v>2846</v>
      </c>
      <c r="B540" s="7" t="s">
        <v>2847</v>
      </c>
      <c r="C540" s="7" t="s">
        <v>2848</v>
      </c>
      <c r="D540" s="7" t="s">
        <v>2849</v>
      </c>
      <c r="E540" s="7" t="s">
        <v>49</v>
      </c>
      <c r="F540" s="7" t="s">
        <v>34</v>
      </c>
      <c r="G540" s="7" t="s">
        <v>719</v>
      </c>
      <c r="J540" s="7" t="s">
        <v>36</v>
      </c>
      <c r="K540" s="7" t="s">
        <v>2850</v>
      </c>
      <c r="L540" s="7" t="s">
        <v>2851</v>
      </c>
      <c r="M540" s="7" t="s">
        <v>2852</v>
      </c>
      <c r="N540" s="7" t="s">
        <v>40</v>
      </c>
      <c r="O540" s="7">
        <v>10</v>
      </c>
      <c r="Y540" s="7" t="s">
        <v>2722</v>
      </c>
      <c r="Z540" s="7" t="s">
        <v>646</v>
      </c>
      <c r="AA540" s="7">
        <v>70808</v>
      </c>
      <c r="AB540" s="7" t="s">
        <v>45</v>
      </c>
      <c r="AD540" s="8"/>
      <c r="AE540" s="8"/>
      <c r="AF540" s="8"/>
      <c r="AG540" s="10">
        <f t="shared" si="8"/>
        <v>43326</v>
      </c>
    </row>
    <row r="541" s="7" customFormat="1" spans="1:33">
      <c r="A541" s="7" t="s">
        <v>2853</v>
      </c>
      <c r="B541" s="7" t="s">
        <v>2854</v>
      </c>
      <c r="C541" s="7" t="s">
        <v>2855</v>
      </c>
      <c r="D541" s="7" t="s">
        <v>2856</v>
      </c>
      <c r="E541" s="7" t="s">
        <v>49</v>
      </c>
      <c r="F541" s="7" t="s">
        <v>34</v>
      </c>
      <c r="G541" s="7" t="s">
        <v>719</v>
      </c>
      <c r="J541" s="7" t="s">
        <v>36</v>
      </c>
      <c r="K541" s="7" t="s">
        <v>2857</v>
      </c>
      <c r="L541" s="7" t="s">
        <v>2858</v>
      </c>
      <c r="M541" s="7" t="s">
        <v>2859</v>
      </c>
      <c r="N541" s="7" t="s">
        <v>40</v>
      </c>
      <c r="O541" s="7">
        <v>13</v>
      </c>
      <c r="Y541" s="7" t="s">
        <v>2722</v>
      </c>
      <c r="Z541" s="7" t="s">
        <v>646</v>
      </c>
      <c r="AA541" s="7">
        <v>70808</v>
      </c>
      <c r="AB541" s="7" t="s">
        <v>45</v>
      </c>
      <c r="AD541" s="8"/>
      <c r="AE541" s="8"/>
      <c r="AF541" s="8"/>
      <c r="AG541" s="10">
        <f t="shared" si="8"/>
        <v>43326</v>
      </c>
    </row>
    <row r="542" s="7" customFormat="1" spans="1:33">
      <c r="A542" s="7" t="s">
        <v>2860</v>
      </c>
      <c r="B542" s="7" t="s">
        <v>2861</v>
      </c>
      <c r="C542" s="7" t="s">
        <v>2862</v>
      </c>
      <c r="D542" s="7" t="s">
        <v>2863</v>
      </c>
      <c r="E542" s="7" t="s">
        <v>49</v>
      </c>
      <c r="F542" s="7" t="s">
        <v>34</v>
      </c>
      <c r="G542" s="7" t="s">
        <v>719</v>
      </c>
      <c r="J542" s="7" t="s">
        <v>36</v>
      </c>
      <c r="K542" s="7" t="s">
        <v>2864</v>
      </c>
      <c r="L542" s="7" t="s">
        <v>2865</v>
      </c>
      <c r="M542" s="7" t="s">
        <v>2866</v>
      </c>
      <c r="N542" s="7" t="s">
        <v>40</v>
      </c>
      <c r="O542" s="7">
        <v>12</v>
      </c>
      <c r="Y542" s="7" t="s">
        <v>2722</v>
      </c>
      <c r="Z542" s="7" t="s">
        <v>646</v>
      </c>
      <c r="AA542" s="7">
        <v>70808</v>
      </c>
      <c r="AB542" s="7" t="s">
        <v>45</v>
      </c>
      <c r="AD542" s="8"/>
      <c r="AE542" s="8"/>
      <c r="AF542" s="8"/>
      <c r="AG542" s="10">
        <f t="shared" si="8"/>
        <v>43326</v>
      </c>
    </row>
    <row r="543" s="7" customFormat="1" spans="1:33">
      <c r="A543" s="7" t="s">
        <v>2867</v>
      </c>
      <c r="B543" s="7" t="s">
        <v>2868</v>
      </c>
      <c r="C543" s="7" t="s">
        <v>2869</v>
      </c>
      <c r="D543" s="7" t="s">
        <v>2870</v>
      </c>
      <c r="E543" s="7" t="s">
        <v>49</v>
      </c>
      <c r="F543" s="7" t="s">
        <v>34</v>
      </c>
      <c r="G543" s="7" t="s">
        <v>719</v>
      </c>
      <c r="J543" s="7" t="s">
        <v>36</v>
      </c>
      <c r="K543" s="7" t="s">
        <v>2871</v>
      </c>
      <c r="L543" s="7" t="s">
        <v>2872</v>
      </c>
      <c r="M543" s="7" t="s">
        <v>2873</v>
      </c>
      <c r="N543" s="7" t="s">
        <v>40</v>
      </c>
      <c r="O543" s="7">
        <v>11</v>
      </c>
      <c r="Y543" s="7" t="s">
        <v>2722</v>
      </c>
      <c r="Z543" s="7" t="s">
        <v>646</v>
      </c>
      <c r="AA543" s="7">
        <v>70808</v>
      </c>
      <c r="AB543" s="7" t="s">
        <v>45</v>
      </c>
      <c r="AD543" s="8"/>
      <c r="AE543" s="8"/>
      <c r="AF543" s="8"/>
      <c r="AG543" s="10">
        <f t="shared" si="8"/>
        <v>43326</v>
      </c>
    </row>
    <row r="544" s="7" customFormat="1" spans="1:33">
      <c r="A544" s="7" t="s">
        <v>2874</v>
      </c>
      <c r="B544" s="7" t="s">
        <v>2875</v>
      </c>
      <c r="C544" s="7" t="s">
        <v>2876</v>
      </c>
      <c r="D544" s="7" t="s">
        <v>2877</v>
      </c>
      <c r="E544" s="7" t="s">
        <v>49</v>
      </c>
      <c r="F544" s="7" t="s">
        <v>34</v>
      </c>
      <c r="G544" s="7" t="s">
        <v>719</v>
      </c>
      <c r="J544" s="7" t="s">
        <v>36</v>
      </c>
      <c r="K544" s="7" t="s">
        <v>2726</v>
      </c>
      <c r="L544" s="7" t="s">
        <v>1402</v>
      </c>
      <c r="M544" s="7" t="s">
        <v>1403</v>
      </c>
      <c r="N544" s="7" t="s">
        <v>40</v>
      </c>
      <c r="O544" s="7">
        <v>20</v>
      </c>
      <c r="Y544" s="7" t="s">
        <v>2722</v>
      </c>
      <c r="Z544" s="7" t="s">
        <v>646</v>
      </c>
      <c r="AA544" s="7">
        <v>70808</v>
      </c>
      <c r="AB544" s="7" t="s">
        <v>45</v>
      </c>
      <c r="AD544" s="8"/>
      <c r="AE544" s="8"/>
      <c r="AF544" s="8"/>
      <c r="AG544" s="10">
        <f t="shared" si="8"/>
        <v>43326</v>
      </c>
    </row>
    <row r="545" s="7" customFormat="1" spans="1:33">
      <c r="A545" s="7" t="s">
        <v>2878</v>
      </c>
      <c r="B545" s="7" t="s">
        <v>2879</v>
      </c>
      <c r="C545" s="7" t="s">
        <v>2880</v>
      </c>
      <c r="D545" s="7" t="s">
        <v>2881</v>
      </c>
      <c r="E545" s="7" t="s">
        <v>49</v>
      </c>
      <c r="F545" s="7" t="s">
        <v>34</v>
      </c>
      <c r="G545" s="7" t="s">
        <v>719</v>
      </c>
      <c r="J545" s="7" t="s">
        <v>36</v>
      </c>
      <c r="K545" s="7" t="s">
        <v>2882</v>
      </c>
      <c r="L545" s="7" t="s">
        <v>2883</v>
      </c>
      <c r="M545" s="7" t="s">
        <v>2884</v>
      </c>
      <c r="N545" s="7" t="s">
        <v>40</v>
      </c>
      <c r="O545" s="7">
        <v>33</v>
      </c>
      <c r="Y545" s="7" t="s">
        <v>2722</v>
      </c>
      <c r="Z545" s="7" t="s">
        <v>646</v>
      </c>
      <c r="AA545" s="7">
        <v>70808</v>
      </c>
      <c r="AB545" s="7" t="s">
        <v>45</v>
      </c>
      <c r="AD545" s="8"/>
      <c r="AE545" s="8"/>
      <c r="AF545" s="8"/>
      <c r="AG545" s="10">
        <f t="shared" si="8"/>
        <v>43326</v>
      </c>
    </row>
    <row r="546" s="7" customFormat="1" spans="1:33">
      <c r="A546" s="7" t="s">
        <v>2885</v>
      </c>
      <c r="B546" s="7" t="s">
        <v>2886</v>
      </c>
      <c r="C546" s="7" t="s">
        <v>2887</v>
      </c>
      <c r="D546" s="7" t="s">
        <v>2888</v>
      </c>
      <c r="E546" s="7" t="s">
        <v>49</v>
      </c>
      <c r="F546" s="7" t="s">
        <v>34</v>
      </c>
      <c r="G546" s="7" t="s">
        <v>719</v>
      </c>
      <c r="J546" s="7" t="s">
        <v>36</v>
      </c>
      <c r="K546" s="7" t="s">
        <v>571</v>
      </c>
      <c r="L546" s="7" t="s">
        <v>572</v>
      </c>
      <c r="M546" s="7" t="s">
        <v>573</v>
      </c>
      <c r="N546" s="7" t="s">
        <v>49</v>
      </c>
      <c r="O546" s="7">
        <v>1</v>
      </c>
      <c r="Y546" s="7" t="s">
        <v>2889</v>
      </c>
      <c r="Z546" s="7" t="s">
        <v>178</v>
      </c>
      <c r="AA546" s="7">
        <v>91016</v>
      </c>
      <c r="AB546" s="7" t="s">
        <v>45</v>
      </c>
      <c r="AD546" s="8"/>
      <c r="AE546" s="8"/>
      <c r="AF546" s="8"/>
      <c r="AG546" s="10">
        <f t="shared" si="8"/>
        <v>43326</v>
      </c>
    </row>
    <row r="547" s="7" customFormat="1" spans="1:33">
      <c r="A547" s="7" t="s">
        <v>2890</v>
      </c>
      <c r="B547" s="7" t="s">
        <v>2890</v>
      </c>
      <c r="C547" s="7" t="s">
        <v>2891</v>
      </c>
      <c r="D547" s="7" t="s">
        <v>2892</v>
      </c>
      <c r="E547" s="7" t="s">
        <v>49</v>
      </c>
      <c r="F547" s="7" t="s">
        <v>34</v>
      </c>
      <c r="G547" s="7" t="s">
        <v>35</v>
      </c>
      <c r="J547" s="7" t="s">
        <v>50</v>
      </c>
      <c r="K547" s="7" t="s">
        <v>563</v>
      </c>
      <c r="L547" s="7" t="s">
        <v>564</v>
      </c>
      <c r="M547" s="7" t="s">
        <v>565</v>
      </c>
      <c r="N547" s="7" t="s">
        <v>49</v>
      </c>
      <c r="O547" s="7">
        <v>1</v>
      </c>
      <c r="P547" s="7" t="s">
        <v>41</v>
      </c>
      <c r="Q547" s="7">
        <v>12.99</v>
      </c>
      <c r="Y547" s="7" t="s">
        <v>1689</v>
      </c>
      <c r="Z547" s="7" t="s">
        <v>109</v>
      </c>
      <c r="AA547" s="7" t="s">
        <v>2893</v>
      </c>
      <c r="AB547" s="7" t="s">
        <v>45</v>
      </c>
      <c r="AD547" s="11"/>
      <c r="AE547" s="11"/>
      <c r="AF547" s="11"/>
      <c r="AG547" s="10">
        <f t="shared" si="8"/>
        <v>43326</v>
      </c>
    </row>
    <row r="548" s="7" customFormat="1" spans="1:33">
      <c r="A548" s="7" t="s">
        <v>2894</v>
      </c>
      <c r="B548" s="7" t="s">
        <v>2894</v>
      </c>
      <c r="C548" s="7" t="s">
        <v>2895</v>
      </c>
      <c r="D548" s="7" t="s">
        <v>2896</v>
      </c>
      <c r="E548" s="7" t="s">
        <v>49</v>
      </c>
      <c r="F548" s="7" t="s">
        <v>34</v>
      </c>
      <c r="G548" s="7" t="s">
        <v>35</v>
      </c>
      <c r="J548" s="7" t="s">
        <v>50</v>
      </c>
      <c r="K548" s="7" t="s">
        <v>152</v>
      </c>
      <c r="L548" s="7" t="s">
        <v>153</v>
      </c>
      <c r="M548" s="7" t="s">
        <v>154</v>
      </c>
      <c r="N548" s="7" t="s">
        <v>49</v>
      </c>
      <c r="O548" s="7">
        <v>1</v>
      </c>
      <c r="P548" s="7" t="s">
        <v>41</v>
      </c>
      <c r="Q548" s="7">
        <v>79.99</v>
      </c>
      <c r="Y548" s="7" t="s">
        <v>897</v>
      </c>
      <c r="Z548" s="7" t="s">
        <v>266</v>
      </c>
      <c r="AA548" s="7" t="s">
        <v>2897</v>
      </c>
      <c r="AB548" s="7" t="s">
        <v>45</v>
      </c>
      <c r="AD548" s="11"/>
      <c r="AE548" s="11"/>
      <c r="AF548" s="11"/>
      <c r="AG548" s="10">
        <f t="shared" si="8"/>
        <v>43326</v>
      </c>
    </row>
    <row r="549" s="7" customFormat="1" spans="1:33">
      <c r="A549" s="7" t="s">
        <v>2898</v>
      </c>
      <c r="B549" s="7" t="s">
        <v>2898</v>
      </c>
      <c r="C549" s="7" t="s">
        <v>2899</v>
      </c>
      <c r="D549" s="7" t="s">
        <v>2900</v>
      </c>
      <c r="E549" s="7" t="s">
        <v>49</v>
      </c>
      <c r="F549" s="7" t="s">
        <v>34</v>
      </c>
      <c r="G549" s="7" t="s">
        <v>35</v>
      </c>
      <c r="J549" s="7" t="s">
        <v>50</v>
      </c>
      <c r="K549" s="7" t="s">
        <v>828</v>
      </c>
      <c r="L549" s="7" t="s">
        <v>829</v>
      </c>
      <c r="M549" s="7" t="s">
        <v>830</v>
      </c>
      <c r="N549" s="7" t="s">
        <v>49</v>
      </c>
      <c r="O549" s="7">
        <v>1</v>
      </c>
      <c r="P549" s="7" t="s">
        <v>41</v>
      </c>
      <c r="Q549" s="7">
        <v>59.99</v>
      </c>
      <c r="Y549" s="7" t="s">
        <v>2901</v>
      </c>
      <c r="Z549" s="7" t="s">
        <v>2902</v>
      </c>
      <c r="AA549" s="7" t="s">
        <v>2903</v>
      </c>
      <c r="AB549" s="7" t="s">
        <v>45</v>
      </c>
      <c r="AD549" s="11"/>
      <c r="AE549" s="11"/>
      <c r="AF549" s="11"/>
      <c r="AG549" s="10">
        <f t="shared" si="8"/>
        <v>43326</v>
      </c>
    </row>
    <row r="550" s="7" customFormat="1" spans="1:33">
      <c r="A550" s="7" t="s">
        <v>2904</v>
      </c>
      <c r="B550" s="7" t="s">
        <v>2904</v>
      </c>
      <c r="C550" s="7" t="s">
        <v>2905</v>
      </c>
      <c r="D550" s="7" t="s">
        <v>2906</v>
      </c>
      <c r="E550" s="7" t="s">
        <v>33</v>
      </c>
      <c r="F550" s="7" t="s">
        <v>34</v>
      </c>
      <c r="G550" s="7" t="s">
        <v>35</v>
      </c>
      <c r="J550" s="7" t="s">
        <v>36</v>
      </c>
      <c r="K550" s="7" t="s">
        <v>79</v>
      </c>
      <c r="L550" s="7" t="s">
        <v>80</v>
      </c>
      <c r="M550" s="7" t="s">
        <v>81</v>
      </c>
      <c r="N550" s="7" t="s">
        <v>40</v>
      </c>
      <c r="O550" s="7">
        <v>1</v>
      </c>
      <c r="P550" s="7" t="s">
        <v>41</v>
      </c>
      <c r="Q550" s="7">
        <v>21.99</v>
      </c>
      <c r="Y550" s="7" t="s">
        <v>2907</v>
      </c>
      <c r="Z550" s="7" t="s">
        <v>92</v>
      </c>
      <c r="AA550" s="7" t="s">
        <v>2908</v>
      </c>
      <c r="AB550" s="7" t="s">
        <v>45</v>
      </c>
      <c r="AD550" s="11"/>
      <c r="AE550" s="11"/>
      <c r="AF550" s="11"/>
      <c r="AG550" s="10">
        <f t="shared" si="8"/>
        <v>43326</v>
      </c>
    </row>
    <row r="551" s="7" customFormat="1" spans="1:33">
      <c r="A551" s="7" t="s">
        <v>2909</v>
      </c>
      <c r="B551" s="7" t="s">
        <v>2909</v>
      </c>
      <c r="C551" s="7" t="s">
        <v>2910</v>
      </c>
      <c r="D551" s="7" t="s">
        <v>2911</v>
      </c>
      <c r="E551" s="7" t="s">
        <v>49</v>
      </c>
      <c r="F551" s="7" t="s">
        <v>34</v>
      </c>
      <c r="G551" s="7" t="s">
        <v>35</v>
      </c>
      <c r="J551" s="7" t="s">
        <v>36</v>
      </c>
      <c r="K551" s="7" t="s">
        <v>456</v>
      </c>
      <c r="L551" s="7" t="s">
        <v>457</v>
      </c>
      <c r="M551" s="7" t="s">
        <v>458</v>
      </c>
      <c r="N551" s="7" t="s">
        <v>49</v>
      </c>
      <c r="O551" s="7">
        <v>1</v>
      </c>
      <c r="P551" s="7" t="s">
        <v>41</v>
      </c>
      <c r="Q551" s="7">
        <v>85.99</v>
      </c>
      <c r="Y551" s="7" t="s">
        <v>2912</v>
      </c>
      <c r="Z551" s="7" t="s">
        <v>2913</v>
      </c>
      <c r="AA551" s="7" t="s">
        <v>2914</v>
      </c>
      <c r="AB551" s="7" t="s">
        <v>45</v>
      </c>
      <c r="AD551" s="11"/>
      <c r="AE551" s="11"/>
      <c r="AF551" s="11"/>
      <c r="AG551" s="10">
        <f t="shared" si="8"/>
        <v>43326</v>
      </c>
    </row>
    <row r="552" s="7" customFormat="1" spans="1:33">
      <c r="A552" s="7" t="s">
        <v>2915</v>
      </c>
      <c r="B552" s="7" t="s">
        <v>2915</v>
      </c>
      <c r="C552" s="7" t="s">
        <v>2916</v>
      </c>
      <c r="D552" s="7" t="s">
        <v>2917</v>
      </c>
      <c r="E552" s="7" t="s">
        <v>49</v>
      </c>
      <c r="F552" s="7" t="s">
        <v>34</v>
      </c>
      <c r="G552" s="7" t="s">
        <v>35</v>
      </c>
      <c r="J552" s="7" t="s">
        <v>50</v>
      </c>
      <c r="K552" s="7" t="s">
        <v>477</v>
      </c>
      <c r="L552" s="7" t="s">
        <v>478</v>
      </c>
      <c r="M552" s="7" t="s">
        <v>479</v>
      </c>
      <c r="N552" s="7" t="s">
        <v>49</v>
      </c>
      <c r="O552" s="7">
        <v>1</v>
      </c>
      <c r="P552" s="7" t="s">
        <v>41</v>
      </c>
      <c r="Q552" s="7">
        <v>89.99</v>
      </c>
      <c r="Y552" s="7" t="s">
        <v>2918</v>
      </c>
      <c r="Z552" s="7" t="s">
        <v>178</v>
      </c>
      <c r="AA552" s="7" t="s">
        <v>2919</v>
      </c>
      <c r="AB552" s="7" t="s">
        <v>45</v>
      </c>
      <c r="AD552" s="11"/>
      <c r="AE552" s="11"/>
      <c r="AF552" s="11"/>
      <c r="AG552" s="10">
        <f t="shared" si="8"/>
        <v>43326</v>
      </c>
    </row>
    <row r="553" s="7" customFormat="1" spans="1:33">
      <c r="A553" s="7" t="s">
        <v>2920</v>
      </c>
      <c r="B553" s="7" t="s">
        <v>2920</v>
      </c>
      <c r="C553" s="7" t="s">
        <v>2921</v>
      </c>
      <c r="D553" s="7" t="s">
        <v>2922</v>
      </c>
      <c r="E553" s="7" t="s">
        <v>49</v>
      </c>
      <c r="F553" s="7" t="s">
        <v>34</v>
      </c>
      <c r="G553" s="7" t="s">
        <v>35</v>
      </c>
      <c r="J553" s="7" t="s">
        <v>50</v>
      </c>
      <c r="K553" s="7" t="s">
        <v>2732</v>
      </c>
      <c r="L553" s="7" t="s">
        <v>1061</v>
      </c>
      <c r="M553" s="7" t="s">
        <v>1062</v>
      </c>
      <c r="N553" s="7" t="s">
        <v>49</v>
      </c>
      <c r="O553" s="7">
        <v>1</v>
      </c>
      <c r="P553" s="7" t="s">
        <v>41</v>
      </c>
      <c r="Q553" s="7">
        <v>89.99</v>
      </c>
      <c r="R553" s="7">
        <v>4.39</v>
      </c>
      <c r="Y553" s="7" t="s">
        <v>2923</v>
      </c>
      <c r="Z553" s="7" t="s">
        <v>818</v>
      </c>
      <c r="AA553" s="7" t="s">
        <v>2924</v>
      </c>
      <c r="AB553" s="7" t="s">
        <v>45</v>
      </c>
      <c r="AD553" s="11"/>
      <c r="AE553" s="11"/>
      <c r="AF553" s="11"/>
      <c r="AG553" s="10">
        <f t="shared" si="8"/>
        <v>43326</v>
      </c>
    </row>
    <row r="554" s="7" customFormat="1" spans="1:33">
      <c r="A554" s="7" t="s">
        <v>2925</v>
      </c>
      <c r="B554" s="7" t="s">
        <v>2925</v>
      </c>
      <c r="C554" s="7" t="s">
        <v>2926</v>
      </c>
      <c r="D554" s="7" t="s">
        <v>2927</v>
      </c>
      <c r="E554" s="7" t="s">
        <v>49</v>
      </c>
      <c r="F554" s="7" t="s">
        <v>34</v>
      </c>
      <c r="G554" s="7" t="s">
        <v>35</v>
      </c>
      <c r="J554" s="7" t="s">
        <v>50</v>
      </c>
      <c r="K554" s="7" t="s">
        <v>2928</v>
      </c>
      <c r="L554" s="7" t="s">
        <v>2929</v>
      </c>
      <c r="M554" s="7" t="s">
        <v>2930</v>
      </c>
      <c r="N554" s="7" t="s">
        <v>49</v>
      </c>
      <c r="O554" s="7">
        <v>1</v>
      </c>
      <c r="P554" s="7" t="s">
        <v>41</v>
      </c>
      <c r="Q554" s="7">
        <v>99.99</v>
      </c>
      <c r="S554" s="7">
        <v>13.76</v>
      </c>
      <c r="Y554" s="7" t="s">
        <v>2931</v>
      </c>
      <c r="Z554" s="7" t="s">
        <v>178</v>
      </c>
      <c r="AA554" s="7" t="s">
        <v>2932</v>
      </c>
      <c r="AB554" s="7" t="s">
        <v>45</v>
      </c>
      <c r="AD554" s="11"/>
      <c r="AE554" s="11"/>
      <c r="AF554" s="11"/>
      <c r="AG554" s="10">
        <f t="shared" si="8"/>
        <v>43326</v>
      </c>
    </row>
    <row r="555" s="7" customFormat="1" spans="1:33">
      <c r="A555" s="7" t="s">
        <v>2933</v>
      </c>
      <c r="B555" s="7" t="s">
        <v>2933</v>
      </c>
      <c r="C555" s="7" t="s">
        <v>2934</v>
      </c>
      <c r="D555" s="7" t="s">
        <v>2935</v>
      </c>
      <c r="E555" s="7" t="s">
        <v>33</v>
      </c>
      <c r="F555" s="7" t="s">
        <v>34</v>
      </c>
      <c r="G555" s="7" t="s">
        <v>35</v>
      </c>
      <c r="J555" s="7" t="s">
        <v>36</v>
      </c>
      <c r="K555" s="7" t="s">
        <v>2006</v>
      </c>
      <c r="L555" s="7" t="s">
        <v>2007</v>
      </c>
      <c r="M555" s="7" t="s">
        <v>2008</v>
      </c>
      <c r="N555" s="7" t="s">
        <v>33</v>
      </c>
      <c r="O555" s="7">
        <v>0</v>
      </c>
      <c r="Y555" s="7" t="s">
        <v>2931</v>
      </c>
      <c r="Z555" s="7" t="s">
        <v>178</v>
      </c>
      <c r="AA555" s="7" t="s">
        <v>2932</v>
      </c>
      <c r="AB555" s="7" t="s">
        <v>45</v>
      </c>
      <c r="AD555" s="11"/>
      <c r="AE555" s="11"/>
      <c r="AF555" s="11"/>
      <c r="AG555" s="10">
        <f t="shared" si="8"/>
        <v>43326</v>
      </c>
    </row>
    <row r="556" s="7" customFormat="1" spans="1:33">
      <c r="A556" s="7" t="s">
        <v>2936</v>
      </c>
      <c r="B556" s="7" t="s">
        <v>2936</v>
      </c>
      <c r="C556" s="7" t="s">
        <v>2937</v>
      </c>
      <c r="D556" s="7" t="s">
        <v>2938</v>
      </c>
      <c r="E556" s="7" t="s">
        <v>49</v>
      </c>
      <c r="F556" s="7" t="s">
        <v>34</v>
      </c>
      <c r="G556" s="7" t="s">
        <v>35</v>
      </c>
      <c r="J556" s="7" t="s">
        <v>50</v>
      </c>
      <c r="K556" s="7" t="s">
        <v>611</v>
      </c>
      <c r="L556" s="7" t="s">
        <v>612</v>
      </c>
      <c r="M556" s="7" t="s">
        <v>613</v>
      </c>
      <c r="N556" s="7" t="s">
        <v>49</v>
      </c>
      <c r="O556" s="7">
        <v>1</v>
      </c>
      <c r="P556" s="7" t="s">
        <v>41</v>
      </c>
      <c r="Q556" s="7">
        <v>89.99</v>
      </c>
      <c r="Y556" s="7" t="s">
        <v>947</v>
      </c>
      <c r="Z556" s="7" t="s">
        <v>64</v>
      </c>
      <c r="AA556" s="7" t="s">
        <v>2939</v>
      </c>
      <c r="AB556" s="7" t="s">
        <v>45</v>
      </c>
      <c r="AD556" s="11"/>
      <c r="AE556" s="11"/>
      <c r="AF556" s="11"/>
      <c r="AG556" s="10">
        <f t="shared" si="8"/>
        <v>43326</v>
      </c>
    </row>
    <row r="557" s="7" customFormat="1" spans="1:33">
      <c r="A557" s="7" t="s">
        <v>2940</v>
      </c>
      <c r="B557" s="7" t="s">
        <v>2940</v>
      </c>
      <c r="C557" s="7" t="s">
        <v>2941</v>
      </c>
      <c r="D557" s="7" t="s">
        <v>2942</v>
      </c>
      <c r="E557" s="7" t="s">
        <v>49</v>
      </c>
      <c r="F557" s="7" t="s">
        <v>34</v>
      </c>
      <c r="G557" s="7" t="s">
        <v>35</v>
      </c>
      <c r="J557" s="7" t="s">
        <v>50</v>
      </c>
      <c r="K557" s="7" t="s">
        <v>2489</v>
      </c>
      <c r="L557" s="7" t="s">
        <v>2490</v>
      </c>
      <c r="M557" s="7" t="s">
        <v>2491</v>
      </c>
      <c r="N557" s="7" t="s">
        <v>49</v>
      </c>
      <c r="O557" s="7">
        <v>1</v>
      </c>
      <c r="P557" s="7" t="s">
        <v>41</v>
      </c>
      <c r="Q557" s="7">
        <v>59.99</v>
      </c>
      <c r="Y557" s="7" t="s">
        <v>2943</v>
      </c>
      <c r="Z557" s="7" t="s">
        <v>230</v>
      </c>
      <c r="AA557" s="7" t="s">
        <v>2944</v>
      </c>
      <c r="AB557" s="7" t="s">
        <v>45</v>
      </c>
      <c r="AD557" s="11"/>
      <c r="AE557" s="11"/>
      <c r="AF557" s="11"/>
      <c r="AG557" s="10">
        <f t="shared" si="8"/>
        <v>43326</v>
      </c>
    </row>
    <row r="558" s="7" customFormat="1" spans="1:33">
      <c r="A558" s="7" t="s">
        <v>2945</v>
      </c>
      <c r="B558" s="7" t="s">
        <v>2945</v>
      </c>
      <c r="C558" s="7" t="s">
        <v>2946</v>
      </c>
      <c r="D558" s="7" t="s">
        <v>2947</v>
      </c>
      <c r="E558" s="7" t="s">
        <v>49</v>
      </c>
      <c r="F558" s="7" t="s">
        <v>34</v>
      </c>
      <c r="G558" s="7" t="s">
        <v>35</v>
      </c>
      <c r="J558" s="7" t="s">
        <v>36</v>
      </c>
      <c r="K558" s="7" t="s">
        <v>2327</v>
      </c>
      <c r="L558" s="7" t="s">
        <v>2328</v>
      </c>
      <c r="M558" s="7" t="s">
        <v>2329</v>
      </c>
      <c r="N558" s="7" t="s">
        <v>49</v>
      </c>
      <c r="O558" s="7">
        <v>1</v>
      </c>
      <c r="P558" s="7" t="s">
        <v>41</v>
      </c>
      <c r="Q558" s="7">
        <v>108.99</v>
      </c>
      <c r="S558" s="7">
        <v>4.47</v>
      </c>
      <c r="X558" s="7">
        <v>4.47</v>
      </c>
      <c r="Y558" s="7" t="s">
        <v>748</v>
      </c>
      <c r="Z558" s="7" t="s">
        <v>64</v>
      </c>
      <c r="AA558" s="7" t="s">
        <v>2948</v>
      </c>
      <c r="AB558" s="7" t="s">
        <v>45</v>
      </c>
      <c r="AC558" s="7" t="s">
        <v>549</v>
      </c>
      <c r="AD558" s="11"/>
      <c r="AE558" s="11"/>
      <c r="AF558" s="11"/>
      <c r="AG558" s="10">
        <f t="shared" si="8"/>
        <v>43326</v>
      </c>
    </row>
    <row r="559" s="7" customFormat="1" spans="1:33">
      <c r="A559" s="7" t="s">
        <v>2949</v>
      </c>
      <c r="B559" s="7" t="s">
        <v>2949</v>
      </c>
      <c r="C559" s="7" t="s">
        <v>2950</v>
      </c>
      <c r="D559" s="7" t="s">
        <v>2951</v>
      </c>
      <c r="E559" s="7" t="s">
        <v>49</v>
      </c>
      <c r="F559" s="7" t="s">
        <v>34</v>
      </c>
      <c r="G559" s="7" t="s">
        <v>35</v>
      </c>
      <c r="J559" s="7" t="s">
        <v>50</v>
      </c>
      <c r="K559" s="7" t="s">
        <v>79</v>
      </c>
      <c r="L559" s="7" t="s">
        <v>80</v>
      </c>
      <c r="M559" s="7" t="s">
        <v>81</v>
      </c>
      <c r="N559" s="7" t="s">
        <v>49</v>
      </c>
      <c r="O559" s="7">
        <v>1</v>
      </c>
      <c r="P559" s="7" t="s">
        <v>41</v>
      </c>
      <c r="Q559" s="7">
        <v>21.99</v>
      </c>
      <c r="W559" s="7">
        <v>21.77</v>
      </c>
      <c r="Y559" s="7" t="s">
        <v>2078</v>
      </c>
      <c r="Z559" s="7" t="s">
        <v>413</v>
      </c>
      <c r="AA559" s="7" t="s">
        <v>2079</v>
      </c>
      <c r="AB559" s="7" t="s">
        <v>45</v>
      </c>
      <c r="AC559" s="7" t="s">
        <v>66</v>
      </c>
      <c r="AD559" s="11"/>
      <c r="AE559" s="11"/>
      <c r="AF559" s="11"/>
      <c r="AG559" s="10">
        <f t="shared" si="8"/>
        <v>43326</v>
      </c>
    </row>
    <row r="560" s="7" customFormat="1" spans="1:33">
      <c r="A560" s="7" t="s">
        <v>2952</v>
      </c>
      <c r="B560" s="7" t="s">
        <v>2952</v>
      </c>
      <c r="C560" s="7" t="s">
        <v>2953</v>
      </c>
      <c r="D560" s="7" t="s">
        <v>2954</v>
      </c>
      <c r="E560" s="7" t="s">
        <v>33</v>
      </c>
      <c r="F560" s="7" t="s">
        <v>34</v>
      </c>
      <c r="G560" s="7" t="s">
        <v>35</v>
      </c>
      <c r="J560" s="7" t="s">
        <v>50</v>
      </c>
      <c r="K560" s="7" t="s">
        <v>60</v>
      </c>
      <c r="L560" s="7" t="s">
        <v>61</v>
      </c>
      <c r="M560" s="7" t="s">
        <v>62</v>
      </c>
      <c r="N560" s="7" t="s">
        <v>33</v>
      </c>
      <c r="O560" s="7">
        <v>0</v>
      </c>
      <c r="Y560" s="7" t="s">
        <v>2955</v>
      </c>
      <c r="Z560" s="7" t="s">
        <v>2956</v>
      </c>
      <c r="AA560" s="7">
        <v>7060</v>
      </c>
      <c r="AB560" s="7" t="s">
        <v>45</v>
      </c>
      <c r="AD560" s="11"/>
      <c r="AE560" s="11"/>
      <c r="AF560" s="11"/>
      <c r="AG560" s="10">
        <f t="shared" si="8"/>
        <v>43326</v>
      </c>
    </row>
    <row r="561" s="7" customFormat="1" spans="1:33">
      <c r="A561" s="7" t="s">
        <v>2957</v>
      </c>
      <c r="B561" s="7" t="s">
        <v>2957</v>
      </c>
      <c r="C561" s="7" t="s">
        <v>2958</v>
      </c>
      <c r="D561" s="7" t="s">
        <v>2959</v>
      </c>
      <c r="E561" s="7" t="s">
        <v>49</v>
      </c>
      <c r="F561" s="7" t="s">
        <v>34</v>
      </c>
      <c r="G561" s="7" t="s">
        <v>35</v>
      </c>
      <c r="J561" s="7" t="s">
        <v>50</v>
      </c>
      <c r="K561" s="7" t="s">
        <v>1377</v>
      </c>
      <c r="L561" s="7" t="s">
        <v>1378</v>
      </c>
      <c r="M561" s="7" t="s">
        <v>1379</v>
      </c>
      <c r="N561" s="7" t="s">
        <v>49</v>
      </c>
      <c r="O561" s="7">
        <v>1</v>
      </c>
      <c r="P561" s="7" t="s">
        <v>41</v>
      </c>
      <c r="Q561" s="7">
        <v>85.99</v>
      </c>
      <c r="Y561" s="7" t="s">
        <v>2960</v>
      </c>
      <c r="Z561" s="7" t="s">
        <v>757</v>
      </c>
      <c r="AA561" s="7" t="s">
        <v>2961</v>
      </c>
      <c r="AB561" s="7" t="s">
        <v>45</v>
      </c>
      <c r="AD561" s="11"/>
      <c r="AE561" s="11"/>
      <c r="AF561" s="11"/>
      <c r="AG561" s="10">
        <f t="shared" si="8"/>
        <v>43326</v>
      </c>
    </row>
    <row r="562" s="7" customFormat="1" spans="1:33">
      <c r="A562" s="7" t="s">
        <v>2962</v>
      </c>
      <c r="B562" s="7" t="s">
        <v>2962</v>
      </c>
      <c r="C562" s="7" t="s">
        <v>2963</v>
      </c>
      <c r="D562" s="7" t="s">
        <v>2964</v>
      </c>
      <c r="E562" s="7" t="s">
        <v>49</v>
      </c>
      <c r="F562" s="7" t="s">
        <v>34</v>
      </c>
      <c r="G562" s="7" t="s">
        <v>35</v>
      </c>
      <c r="J562" s="7" t="s">
        <v>50</v>
      </c>
      <c r="K562" s="7" t="s">
        <v>2965</v>
      </c>
      <c r="L562" s="7" t="s">
        <v>2966</v>
      </c>
      <c r="M562" s="7" t="s">
        <v>2967</v>
      </c>
      <c r="N562" s="7" t="s">
        <v>49</v>
      </c>
      <c r="O562" s="7">
        <v>1</v>
      </c>
      <c r="P562" s="7" t="s">
        <v>41</v>
      </c>
      <c r="Q562" s="7">
        <v>89.6</v>
      </c>
      <c r="Y562" s="7" t="s">
        <v>2968</v>
      </c>
      <c r="Z562" s="7" t="s">
        <v>64</v>
      </c>
      <c r="AA562" s="7">
        <v>75070</v>
      </c>
      <c r="AB562" s="7" t="s">
        <v>45</v>
      </c>
      <c r="AD562" s="11"/>
      <c r="AE562" s="11"/>
      <c r="AF562" s="11"/>
      <c r="AG562" s="10">
        <f t="shared" si="8"/>
        <v>43326</v>
      </c>
    </row>
    <row r="563" s="7" customFormat="1" spans="1:33">
      <c r="A563" s="7" t="s">
        <v>2969</v>
      </c>
      <c r="B563" s="7" t="s">
        <v>2969</v>
      </c>
      <c r="C563" s="7" t="s">
        <v>2970</v>
      </c>
      <c r="D563" s="7" t="s">
        <v>2971</v>
      </c>
      <c r="E563" s="7" t="s">
        <v>49</v>
      </c>
      <c r="F563" s="7" t="s">
        <v>34</v>
      </c>
      <c r="G563" s="7" t="s">
        <v>35</v>
      </c>
      <c r="J563" s="7" t="s">
        <v>50</v>
      </c>
      <c r="K563" s="7" t="s">
        <v>208</v>
      </c>
      <c r="L563" s="7" t="s">
        <v>209</v>
      </c>
      <c r="M563" s="7" t="s">
        <v>210</v>
      </c>
      <c r="N563" s="7" t="s">
        <v>49</v>
      </c>
      <c r="O563" s="7">
        <v>1</v>
      </c>
      <c r="P563" s="7" t="s">
        <v>41</v>
      </c>
      <c r="Q563" s="7">
        <v>89.99</v>
      </c>
      <c r="Y563" s="7" t="s">
        <v>2972</v>
      </c>
      <c r="Z563" s="7" t="s">
        <v>2973</v>
      </c>
      <c r="AA563" s="7">
        <v>64505</v>
      </c>
      <c r="AB563" s="7" t="s">
        <v>45</v>
      </c>
      <c r="AD563" s="11"/>
      <c r="AE563" s="11"/>
      <c r="AF563" s="11"/>
      <c r="AG563" s="10">
        <f t="shared" si="8"/>
        <v>43326</v>
      </c>
    </row>
    <row r="564" s="7" customFormat="1" spans="1:33">
      <c r="A564" s="7" t="s">
        <v>2974</v>
      </c>
      <c r="B564" s="7" t="s">
        <v>2974</v>
      </c>
      <c r="C564" s="7" t="s">
        <v>2975</v>
      </c>
      <c r="D564" s="7" t="s">
        <v>2976</v>
      </c>
      <c r="E564" s="7" t="s">
        <v>49</v>
      </c>
      <c r="F564" s="7" t="s">
        <v>34</v>
      </c>
      <c r="G564" s="7" t="s">
        <v>35</v>
      </c>
      <c r="J564" s="7" t="s">
        <v>50</v>
      </c>
      <c r="K564" s="7" t="s">
        <v>1270</v>
      </c>
      <c r="L564" s="7" t="s">
        <v>1271</v>
      </c>
      <c r="M564" s="7" t="s">
        <v>1272</v>
      </c>
      <c r="N564" s="7" t="s">
        <v>49</v>
      </c>
      <c r="O564" s="7">
        <v>1</v>
      </c>
      <c r="P564" s="7" t="s">
        <v>41</v>
      </c>
      <c r="Q564" s="7">
        <v>23.99</v>
      </c>
      <c r="R564" s="7">
        <v>1.44</v>
      </c>
      <c r="Y564" s="7" t="s">
        <v>2977</v>
      </c>
      <c r="Z564" s="7" t="s">
        <v>124</v>
      </c>
      <c r="AA564" s="7" t="s">
        <v>2978</v>
      </c>
      <c r="AB564" s="7" t="s">
        <v>45</v>
      </c>
      <c r="AD564" s="11"/>
      <c r="AE564" s="11"/>
      <c r="AF564" s="11"/>
      <c r="AG564" s="10">
        <f t="shared" si="8"/>
        <v>43326</v>
      </c>
    </row>
    <row r="565" s="7" customFormat="1" spans="1:33">
      <c r="A565" s="7" t="s">
        <v>2979</v>
      </c>
      <c r="B565" s="7" t="s">
        <v>2979</v>
      </c>
      <c r="C565" s="7" t="s">
        <v>2980</v>
      </c>
      <c r="D565" s="7" t="s">
        <v>2981</v>
      </c>
      <c r="E565" s="7" t="s">
        <v>49</v>
      </c>
      <c r="F565" s="7" t="s">
        <v>34</v>
      </c>
      <c r="G565" s="7" t="s">
        <v>35</v>
      </c>
      <c r="J565" s="7" t="s">
        <v>50</v>
      </c>
      <c r="K565" s="7" t="s">
        <v>2650</v>
      </c>
      <c r="L565" s="7" t="s">
        <v>277</v>
      </c>
      <c r="M565" s="7" t="s">
        <v>278</v>
      </c>
      <c r="N565" s="7" t="s">
        <v>49</v>
      </c>
      <c r="O565" s="7">
        <v>1</v>
      </c>
      <c r="P565" s="7" t="s">
        <v>41</v>
      </c>
      <c r="Q565" s="7">
        <v>91.99</v>
      </c>
      <c r="Y565" s="7" t="s">
        <v>1506</v>
      </c>
      <c r="Z565" s="7" t="s">
        <v>64</v>
      </c>
      <c r="AA565" s="7" t="s">
        <v>2982</v>
      </c>
      <c r="AB565" s="7" t="s">
        <v>45</v>
      </c>
      <c r="AD565" s="11"/>
      <c r="AE565" s="11"/>
      <c r="AF565" s="11"/>
      <c r="AG565" s="10">
        <f t="shared" si="8"/>
        <v>43326</v>
      </c>
    </row>
    <row r="566" s="7" customFormat="1" spans="1:33">
      <c r="A566" s="7" t="s">
        <v>2983</v>
      </c>
      <c r="B566" s="7" t="s">
        <v>2983</v>
      </c>
      <c r="C566" s="7" t="s">
        <v>2984</v>
      </c>
      <c r="D566" s="7" t="s">
        <v>2985</v>
      </c>
      <c r="E566" s="7" t="s">
        <v>49</v>
      </c>
      <c r="F566" s="7" t="s">
        <v>34</v>
      </c>
      <c r="G566" s="7" t="s">
        <v>35</v>
      </c>
      <c r="J566" s="7" t="s">
        <v>36</v>
      </c>
      <c r="K566" s="7" t="s">
        <v>2986</v>
      </c>
      <c r="L566" s="7" t="s">
        <v>2987</v>
      </c>
      <c r="M566" s="7" t="s">
        <v>2988</v>
      </c>
      <c r="N566" s="7" t="s">
        <v>49</v>
      </c>
      <c r="O566" s="7">
        <v>1</v>
      </c>
      <c r="P566" s="7" t="s">
        <v>41</v>
      </c>
      <c r="Q566" s="7">
        <v>109.99</v>
      </c>
      <c r="S566" s="7">
        <v>6.83</v>
      </c>
      <c r="X566" s="7">
        <v>6.83</v>
      </c>
      <c r="Y566" s="7" t="s">
        <v>2989</v>
      </c>
      <c r="Z566" s="7" t="s">
        <v>184</v>
      </c>
      <c r="AA566" s="7" t="s">
        <v>2990</v>
      </c>
      <c r="AB566" s="7" t="s">
        <v>45</v>
      </c>
      <c r="AC566" s="7" t="s">
        <v>549</v>
      </c>
      <c r="AD566" s="11"/>
      <c r="AE566" s="11"/>
      <c r="AF566" s="11"/>
      <c r="AG566" s="10">
        <f t="shared" si="8"/>
        <v>43326</v>
      </c>
    </row>
    <row r="567" s="7" customFormat="1" spans="1:33">
      <c r="A567" s="7" t="s">
        <v>2991</v>
      </c>
      <c r="B567" s="7" t="s">
        <v>2991</v>
      </c>
      <c r="C567" s="7" t="s">
        <v>2992</v>
      </c>
      <c r="D567" s="7" t="s">
        <v>2993</v>
      </c>
      <c r="E567" s="7" t="s">
        <v>49</v>
      </c>
      <c r="F567" s="7" t="s">
        <v>34</v>
      </c>
      <c r="G567" s="7" t="s">
        <v>35</v>
      </c>
      <c r="J567" s="7" t="s">
        <v>50</v>
      </c>
      <c r="K567" s="7" t="s">
        <v>2440</v>
      </c>
      <c r="L567" s="7" t="s">
        <v>38</v>
      </c>
      <c r="M567" s="7" t="s">
        <v>39</v>
      </c>
      <c r="N567" s="7" t="s">
        <v>49</v>
      </c>
      <c r="O567" s="7">
        <v>1</v>
      </c>
      <c r="P567" s="7" t="s">
        <v>41</v>
      </c>
      <c r="Q567" s="7">
        <v>89.99</v>
      </c>
      <c r="Y567" s="7" t="s">
        <v>2994</v>
      </c>
      <c r="Z567" s="7" t="s">
        <v>2995</v>
      </c>
      <c r="AA567" s="7">
        <v>58047</v>
      </c>
      <c r="AB567" s="7" t="s">
        <v>45</v>
      </c>
      <c r="AD567" s="11"/>
      <c r="AE567" s="11"/>
      <c r="AF567" s="11"/>
      <c r="AG567" s="10">
        <f t="shared" si="8"/>
        <v>43326</v>
      </c>
    </row>
    <row r="568" s="7" customFormat="1" spans="1:33">
      <c r="A568" s="7" t="s">
        <v>2996</v>
      </c>
      <c r="B568" s="7" t="s">
        <v>2996</v>
      </c>
      <c r="C568" s="7" t="s">
        <v>2997</v>
      </c>
      <c r="D568" s="7" t="s">
        <v>2998</v>
      </c>
      <c r="E568" s="7" t="s">
        <v>49</v>
      </c>
      <c r="F568" s="7" t="s">
        <v>34</v>
      </c>
      <c r="G568" s="7" t="s">
        <v>35</v>
      </c>
      <c r="J568" s="7" t="s">
        <v>50</v>
      </c>
      <c r="K568" s="7" t="s">
        <v>2440</v>
      </c>
      <c r="L568" s="7" t="s">
        <v>38</v>
      </c>
      <c r="M568" s="7" t="s">
        <v>39</v>
      </c>
      <c r="N568" s="7" t="s">
        <v>49</v>
      </c>
      <c r="O568" s="7">
        <v>1</v>
      </c>
      <c r="P568" s="7" t="s">
        <v>41</v>
      </c>
      <c r="Q568" s="7">
        <v>89.99</v>
      </c>
      <c r="Y568" s="7" t="s">
        <v>2999</v>
      </c>
      <c r="Z568" s="7" t="s">
        <v>346</v>
      </c>
      <c r="AA568" s="7" t="s">
        <v>3000</v>
      </c>
      <c r="AB568" s="7" t="s">
        <v>45</v>
      </c>
      <c r="AD568" s="11"/>
      <c r="AE568" s="11"/>
      <c r="AF568" s="11"/>
      <c r="AG568" s="10">
        <f t="shared" si="8"/>
        <v>43326</v>
      </c>
    </row>
    <row r="569" s="7" customFormat="1" spans="1:33">
      <c r="A569" s="7" t="s">
        <v>3001</v>
      </c>
      <c r="B569" s="7" t="s">
        <v>3001</v>
      </c>
      <c r="C569" s="7" t="s">
        <v>3002</v>
      </c>
      <c r="D569" s="7" t="s">
        <v>3003</v>
      </c>
      <c r="E569" s="7" t="s">
        <v>49</v>
      </c>
      <c r="F569" s="7" t="s">
        <v>34</v>
      </c>
      <c r="G569" s="7" t="s">
        <v>35</v>
      </c>
      <c r="J569" s="7" t="s">
        <v>36</v>
      </c>
      <c r="K569" s="7" t="s">
        <v>1298</v>
      </c>
      <c r="L569" s="7" t="s">
        <v>1299</v>
      </c>
      <c r="M569" s="7" t="s">
        <v>1300</v>
      </c>
      <c r="N569" s="7" t="s">
        <v>49</v>
      </c>
      <c r="O569" s="7">
        <v>1</v>
      </c>
      <c r="P569" s="7" t="s">
        <v>41</v>
      </c>
      <c r="Q569" s="7">
        <v>79.99</v>
      </c>
      <c r="S569" s="7">
        <v>2.27</v>
      </c>
      <c r="X569" s="7">
        <v>2.27</v>
      </c>
      <c r="Y569" s="7" t="s">
        <v>3004</v>
      </c>
      <c r="Z569" s="7" t="s">
        <v>331</v>
      </c>
      <c r="AA569" s="7" t="s">
        <v>3005</v>
      </c>
      <c r="AB569" s="7" t="s">
        <v>45</v>
      </c>
      <c r="AC569" s="7" t="s">
        <v>549</v>
      </c>
      <c r="AD569" s="11"/>
      <c r="AE569" s="11"/>
      <c r="AF569" s="11"/>
      <c r="AG569" s="10">
        <f t="shared" si="8"/>
        <v>43326</v>
      </c>
    </row>
    <row r="570" s="7" customFormat="1" spans="1:33">
      <c r="A570" s="7" t="s">
        <v>3006</v>
      </c>
      <c r="B570" s="7" t="s">
        <v>3006</v>
      </c>
      <c r="C570" s="7" t="s">
        <v>3007</v>
      </c>
      <c r="D570" s="7" t="s">
        <v>3008</v>
      </c>
      <c r="E570" s="7" t="s">
        <v>49</v>
      </c>
      <c r="F570" s="7" t="s">
        <v>34</v>
      </c>
      <c r="G570" s="7" t="s">
        <v>35</v>
      </c>
      <c r="J570" s="7" t="s">
        <v>50</v>
      </c>
      <c r="K570" s="7" t="s">
        <v>2440</v>
      </c>
      <c r="L570" s="7" t="s">
        <v>38</v>
      </c>
      <c r="M570" s="7" t="s">
        <v>39</v>
      </c>
      <c r="N570" s="7" t="s">
        <v>49</v>
      </c>
      <c r="O570" s="7">
        <v>1</v>
      </c>
      <c r="P570" s="7" t="s">
        <v>41</v>
      </c>
      <c r="Q570" s="7">
        <v>89.99</v>
      </c>
      <c r="Y570" s="7" t="s">
        <v>3009</v>
      </c>
      <c r="Z570" s="7" t="s">
        <v>3010</v>
      </c>
      <c r="AA570" s="7">
        <v>48237</v>
      </c>
      <c r="AB570" s="7" t="s">
        <v>45</v>
      </c>
      <c r="AD570" s="11"/>
      <c r="AE570" s="11"/>
      <c r="AF570" s="11"/>
      <c r="AG570" s="10">
        <f t="shared" si="8"/>
        <v>43326</v>
      </c>
    </row>
    <row r="571" s="7" customFormat="1" spans="1:33">
      <c r="A571" s="7" t="s">
        <v>3011</v>
      </c>
      <c r="B571" s="7" t="s">
        <v>3011</v>
      </c>
      <c r="C571" s="7" t="s">
        <v>3012</v>
      </c>
      <c r="D571" s="7" t="s">
        <v>3013</v>
      </c>
      <c r="E571" s="7" t="s">
        <v>49</v>
      </c>
      <c r="F571" s="7" t="s">
        <v>34</v>
      </c>
      <c r="G571" s="7" t="s">
        <v>35</v>
      </c>
      <c r="J571" s="7" t="s">
        <v>36</v>
      </c>
      <c r="K571" s="7" t="s">
        <v>2248</v>
      </c>
      <c r="L571" s="7" t="s">
        <v>746</v>
      </c>
      <c r="M571" s="7" t="s">
        <v>747</v>
      </c>
      <c r="N571" s="7" t="s">
        <v>49</v>
      </c>
      <c r="O571" s="7">
        <v>1</v>
      </c>
      <c r="P571" s="7" t="s">
        <v>41</v>
      </c>
      <c r="Q571" s="7">
        <v>89.99</v>
      </c>
      <c r="S571" s="7">
        <v>6.73</v>
      </c>
      <c r="X571" s="7">
        <v>6.73</v>
      </c>
      <c r="Y571" s="7" t="s">
        <v>3014</v>
      </c>
      <c r="Z571" s="7" t="s">
        <v>164</v>
      </c>
      <c r="AA571" s="7" t="s">
        <v>3015</v>
      </c>
      <c r="AB571" s="7" t="s">
        <v>45</v>
      </c>
      <c r="AC571" s="7" t="s">
        <v>549</v>
      </c>
      <c r="AD571" s="11"/>
      <c r="AE571" s="11"/>
      <c r="AF571" s="11"/>
      <c r="AG571" s="10">
        <f t="shared" si="8"/>
        <v>43326</v>
      </c>
    </row>
    <row r="572" s="7" customFormat="1" spans="1:33">
      <c r="A572" s="7" t="s">
        <v>3016</v>
      </c>
      <c r="B572" s="7" t="s">
        <v>3016</v>
      </c>
      <c r="C572" s="7" t="s">
        <v>3017</v>
      </c>
      <c r="D572" s="7" t="s">
        <v>3018</v>
      </c>
      <c r="E572" s="7" t="s">
        <v>49</v>
      </c>
      <c r="F572" s="7" t="s">
        <v>34</v>
      </c>
      <c r="G572" s="7" t="s">
        <v>35</v>
      </c>
      <c r="J572" s="7" t="s">
        <v>36</v>
      </c>
      <c r="K572" s="7" t="s">
        <v>189</v>
      </c>
      <c r="L572" s="7" t="s">
        <v>190</v>
      </c>
      <c r="M572" s="7" t="s">
        <v>191</v>
      </c>
      <c r="N572" s="7" t="s">
        <v>49</v>
      </c>
      <c r="O572" s="7">
        <v>1</v>
      </c>
      <c r="P572" s="7" t="s">
        <v>41</v>
      </c>
      <c r="Q572" s="7">
        <v>79.99</v>
      </c>
      <c r="S572" s="7">
        <v>7.96</v>
      </c>
      <c r="Y572" s="7" t="s">
        <v>553</v>
      </c>
      <c r="Z572" s="7" t="s">
        <v>178</v>
      </c>
      <c r="AA572" s="7" t="s">
        <v>3019</v>
      </c>
      <c r="AB572" s="7" t="s">
        <v>45</v>
      </c>
      <c r="AD572" s="11"/>
      <c r="AE572" s="11"/>
      <c r="AF572" s="11"/>
      <c r="AG572" s="10">
        <f t="shared" si="8"/>
        <v>43326</v>
      </c>
    </row>
    <row r="573" s="7" customFormat="1" spans="1:33">
      <c r="A573" s="7" t="s">
        <v>3020</v>
      </c>
      <c r="B573" s="7" t="s">
        <v>3020</v>
      </c>
      <c r="C573" s="7" t="s">
        <v>3021</v>
      </c>
      <c r="D573" s="7" t="s">
        <v>3022</v>
      </c>
      <c r="E573" s="7" t="s">
        <v>49</v>
      </c>
      <c r="F573" s="7" t="s">
        <v>34</v>
      </c>
      <c r="G573" s="7" t="s">
        <v>35</v>
      </c>
      <c r="J573" s="7" t="s">
        <v>151</v>
      </c>
      <c r="K573" s="7" t="s">
        <v>2563</v>
      </c>
      <c r="L573" s="7" t="s">
        <v>170</v>
      </c>
      <c r="M573" s="7" t="s">
        <v>171</v>
      </c>
      <c r="N573" s="7" t="s">
        <v>49</v>
      </c>
      <c r="O573" s="7">
        <v>1</v>
      </c>
      <c r="P573" s="7" t="s">
        <v>41</v>
      </c>
      <c r="Q573" s="7">
        <v>89.99</v>
      </c>
      <c r="S573" s="7">
        <v>5.99</v>
      </c>
      <c r="X573" s="7">
        <v>5.99</v>
      </c>
      <c r="Y573" s="7" t="s">
        <v>3023</v>
      </c>
      <c r="Z573" s="7" t="s">
        <v>178</v>
      </c>
      <c r="AA573" s="7" t="s">
        <v>3024</v>
      </c>
      <c r="AB573" s="7" t="s">
        <v>45</v>
      </c>
      <c r="AD573" s="11"/>
      <c r="AE573" s="11"/>
      <c r="AF573" s="11"/>
      <c r="AG573" s="10">
        <f t="shared" si="8"/>
        <v>43326</v>
      </c>
    </row>
    <row r="574" s="7" customFormat="1" spans="1:33">
      <c r="A574" s="7" t="s">
        <v>3025</v>
      </c>
      <c r="B574" s="7" t="s">
        <v>3025</v>
      </c>
      <c r="C574" s="7" t="s">
        <v>3026</v>
      </c>
      <c r="D574" s="7" t="s">
        <v>3027</v>
      </c>
      <c r="E574" s="7" t="s">
        <v>33</v>
      </c>
      <c r="F574" s="7" t="s">
        <v>34</v>
      </c>
      <c r="G574" s="7" t="s">
        <v>35</v>
      </c>
      <c r="J574" s="7" t="s">
        <v>50</v>
      </c>
      <c r="K574" s="7" t="s">
        <v>60</v>
      </c>
      <c r="L574" s="7" t="s">
        <v>61</v>
      </c>
      <c r="M574" s="7" t="s">
        <v>62</v>
      </c>
      <c r="N574" s="7" t="s">
        <v>33</v>
      </c>
      <c r="O574" s="7">
        <v>0</v>
      </c>
      <c r="Y574" s="7" t="s">
        <v>2614</v>
      </c>
      <c r="Z574" s="7" t="s">
        <v>280</v>
      </c>
      <c r="AA574" s="7">
        <v>85041</v>
      </c>
      <c r="AB574" s="7" t="s">
        <v>45</v>
      </c>
      <c r="AD574" s="11"/>
      <c r="AE574" s="11"/>
      <c r="AF574" s="11"/>
      <c r="AG574" s="10">
        <f t="shared" si="8"/>
        <v>43326</v>
      </c>
    </row>
    <row r="575" s="7" customFormat="1" spans="1:33">
      <c r="A575" s="7" t="s">
        <v>3028</v>
      </c>
      <c r="B575" s="7" t="s">
        <v>3028</v>
      </c>
      <c r="C575" s="7" t="s">
        <v>3029</v>
      </c>
      <c r="D575" s="7" t="s">
        <v>3030</v>
      </c>
      <c r="E575" s="7" t="s">
        <v>49</v>
      </c>
      <c r="F575" s="7" t="s">
        <v>34</v>
      </c>
      <c r="G575" s="7" t="s">
        <v>35</v>
      </c>
      <c r="J575" s="7" t="s">
        <v>50</v>
      </c>
      <c r="K575" s="7" t="s">
        <v>2413</v>
      </c>
      <c r="L575" s="7" t="s">
        <v>143</v>
      </c>
      <c r="M575" s="7" t="s">
        <v>144</v>
      </c>
      <c r="N575" s="7" t="s">
        <v>49</v>
      </c>
      <c r="O575" s="7">
        <v>1</v>
      </c>
      <c r="P575" s="7" t="s">
        <v>41</v>
      </c>
      <c r="Q575" s="7">
        <v>79.99</v>
      </c>
      <c r="Y575" s="7" t="s">
        <v>897</v>
      </c>
      <c r="Z575" s="7" t="s">
        <v>266</v>
      </c>
      <c r="AA575" s="7" t="s">
        <v>3031</v>
      </c>
      <c r="AB575" s="7" t="s">
        <v>45</v>
      </c>
      <c r="AD575" s="11"/>
      <c r="AE575" s="11"/>
      <c r="AF575" s="11"/>
      <c r="AG575" s="10">
        <f t="shared" si="8"/>
        <v>43326</v>
      </c>
    </row>
    <row r="576" s="7" customFormat="1" spans="1:33">
      <c r="A576" s="7" t="s">
        <v>3032</v>
      </c>
      <c r="B576" s="7" t="s">
        <v>3032</v>
      </c>
      <c r="C576" s="7" t="s">
        <v>3033</v>
      </c>
      <c r="D576" s="7" t="s">
        <v>3034</v>
      </c>
      <c r="E576" s="7" t="s">
        <v>49</v>
      </c>
      <c r="F576" s="7" t="s">
        <v>34</v>
      </c>
      <c r="G576" s="7" t="s">
        <v>35</v>
      </c>
      <c r="J576" s="7" t="s">
        <v>50</v>
      </c>
      <c r="K576" s="7" t="s">
        <v>656</v>
      </c>
      <c r="L576" s="7" t="s">
        <v>657</v>
      </c>
      <c r="M576" s="7" t="s">
        <v>658</v>
      </c>
      <c r="N576" s="7" t="s">
        <v>49</v>
      </c>
      <c r="O576" s="7">
        <v>1</v>
      </c>
      <c r="P576" s="7" t="s">
        <v>41</v>
      </c>
      <c r="Q576" s="7">
        <v>106.99</v>
      </c>
      <c r="Y576" s="7" t="s">
        <v>3035</v>
      </c>
      <c r="Z576" s="7" t="s">
        <v>346</v>
      </c>
      <c r="AA576" s="7" t="s">
        <v>3036</v>
      </c>
      <c r="AB576" s="7" t="s">
        <v>45</v>
      </c>
      <c r="AD576" s="11"/>
      <c r="AE576" s="11"/>
      <c r="AF576" s="11"/>
      <c r="AG576" s="10">
        <f t="shared" si="8"/>
        <v>43326</v>
      </c>
    </row>
    <row r="577" s="7" customFormat="1" spans="1:33">
      <c r="A577" s="7" t="s">
        <v>3037</v>
      </c>
      <c r="B577" s="7" t="s">
        <v>3037</v>
      </c>
      <c r="C577" s="7" t="s">
        <v>3038</v>
      </c>
      <c r="D577" s="7" t="s">
        <v>3039</v>
      </c>
      <c r="E577" s="7" t="s">
        <v>49</v>
      </c>
      <c r="F577" s="7" t="s">
        <v>34</v>
      </c>
      <c r="G577" s="7" t="s">
        <v>35</v>
      </c>
      <c r="J577" s="7" t="s">
        <v>50</v>
      </c>
      <c r="K577" s="7" t="s">
        <v>1686</v>
      </c>
      <c r="L577" s="7" t="s">
        <v>1687</v>
      </c>
      <c r="M577" s="7" t="s">
        <v>1688</v>
      </c>
      <c r="N577" s="7" t="s">
        <v>49</v>
      </c>
      <c r="O577" s="7">
        <v>1</v>
      </c>
      <c r="P577" s="7" t="s">
        <v>41</v>
      </c>
      <c r="Q577" s="7">
        <v>108.99</v>
      </c>
      <c r="Y577" s="7" t="s">
        <v>3040</v>
      </c>
      <c r="Z577" s="7" t="s">
        <v>1246</v>
      </c>
      <c r="AA577" s="7">
        <v>3036</v>
      </c>
      <c r="AB577" s="7" t="s">
        <v>45</v>
      </c>
      <c r="AD577" s="11"/>
      <c r="AE577" s="11"/>
      <c r="AF577" s="11"/>
      <c r="AG577" s="10">
        <f t="shared" si="8"/>
        <v>43326</v>
      </c>
    </row>
    <row r="578" s="7" customFormat="1" spans="1:33">
      <c r="A578" s="7" t="s">
        <v>3041</v>
      </c>
      <c r="B578" s="7" t="s">
        <v>3041</v>
      </c>
      <c r="C578" s="7" t="s">
        <v>3042</v>
      </c>
      <c r="D578" s="7" t="s">
        <v>3043</v>
      </c>
      <c r="E578" s="7" t="s">
        <v>49</v>
      </c>
      <c r="F578" s="7" t="s">
        <v>34</v>
      </c>
      <c r="G578" s="7" t="s">
        <v>35</v>
      </c>
      <c r="J578" s="7" t="s">
        <v>36</v>
      </c>
      <c r="K578" s="7" t="s">
        <v>3044</v>
      </c>
      <c r="L578" s="7" t="s">
        <v>3045</v>
      </c>
      <c r="M578" s="7" t="s">
        <v>3046</v>
      </c>
      <c r="N578" s="7" t="s">
        <v>49</v>
      </c>
      <c r="O578" s="7">
        <v>1</v>
      </c>
      <c r="P578" s="7" t="s">
        <v>41</v>
      </c>
      <c r="Q578" s="7">
        <v>118.99</v>
      </c>
      <c r="R578" s="7">
        <v>10.83</v>
      </c>
      <c r="S578" s="7">
        <v>8.07</v>
      </c>
      <c r="T578" s="7">
        <v>0.73</v>
      </c>
      <c r="Y578" s="7" t="s">
        <v>3047</v>
      </c>
      <c r="Z578" s="7" t="s">
        <v>146</v>
      </c>
      <c r="AA578" s="7" t="s">
        <v>3048</v>
      </c>
      <c r="AB578" s="7" t="s">
        <v>45</v>
      </c>
      <c r="AD578" s="8"/>
      <c r="AE578" s="8"/>
      <c r="AF578" s="8"/>
      <c r="AG578" s="10">
        <f t="shared" ref="AG578:AG641" si="9">DATEVALUE(LEFT(C578,10))</f>
        <v>43327</v>
      </c>
    </row>
    <row r="579" s="7" customFormat="1" spans="1:33">
      <c r="A579" s="7" t="s">
        <v>3049</v>
      </c>
      <c r="B579" s="7" t="s">
        <v>3049</v>
      </c>
      <c r="C579" s="7" t="s">
        <v>3050</v>
      </c>
      <c r="D579" s="7" t="s">
        <v>3051</v>
      </c>
      <c r="E579" s="7" t="s">
        <v>49</v>
      </c>
      <c r="F579" s="7" t="s">
        <v>34</v>
      </c>
      <c r="G579" s="7" t="s">
        <v>35</v>
      </c>
      <c r="J579" s="7" t="s">
        <v>50</v>
      </c>
      <c r="K579" s="7" t="s">
        <v>2440</v>
      </c>
      <c r="L579" s="7" t="s">
        <v>38</v>
      </c>
      <c r="M579" s="7" t="s">
        <v>39</v>
      </c>
      <c r="N579" s="7" t="s">
        <v>49</v>
      </c>
      <c r="O579" s="7">
        <v>1</v>
      </c>
      <c r="P579" s="7" t="s">
        <v>41</v>
      </c>
      <c r="Q579" s="7">
        <v>89.99</v>
      </c>
      <c r="R579" s="7">
        <v>9</v>
      </c>
      <c r="Y579" s="7" t="s">
        <v>3052</v>
      </c>
      <c r="Z579" s="7" t="s">
        <v>3053</v>
      </c>
      <c r="AA579" s="7">
        <v>98047</v>
      </c>
      <c r="AB579" s="7" t="s">
        <v>45</v>
      </c>
      <c r="AD579" s="11"/>
      <c r="AE579" s="11"/>
      <c r="AF579" s="11"/>
      <c r="AG579" s="10">
        <f t="shared" si="9"/>
        <v>43327</v>
      </c>
    </row>
    <row r="580" s="7" customFormat="1" spans="1:33">
      <c r="A580" s="7" t="s">
        <v>3054</v>
      </c>
      <c r="B580" s="7" t="s">
        <v>3054</v>
      </c>
      <c r="C580" s="7" t="s">
        <v>3055</v>
      </c>
      <c r="D580" s="7" t="s">
        <v>3056</v>
      </c>
      <c r="E580" s="7" t="s">
        <v>49</v>
      </c>
      <c r="F580" s="7" t="s">
        <v>34</v>
      </c>
      <c r="G580" s="7" t="s">
        <v>35</v>
      </c>
      <c r="J580" s="7" t="s">
        <v>36</v>
      </c>
      <c r="K580" s="7" t="s">
        <v>766</v>
      </c>
      <c r="L580" s="7" t="s">
        <v>767</v>
      </c>
      <c r="M580" s="7" t="s">
        <v>768</v>
      </c>
      <c r="N580" s="7" t="s">
        <v>49</v>
      </c>
      <c r="O580" s="7">
        <v>1</v>
      </c>
      <c r="P580" s="7" t="s">
        <v>41</v>
      </c>
      <c r="Q580" s="7">
        <v>32.99</v>
      </c>
      <c r="S580" s="7">
        <v>7.4</v>
      </c>
      <c r="Y580" s="7" t="s">
        <v>114</v>
      </c>
      <c r="Z580" s="7" t="s">
        <v>43</v>
      </c>
      <c r="AA580" s="7" t="s">
        <v>3057</v>
      </c>
      <c r="AB580" s="7" t="s">
        <v>45</v>
      </c>
      <c r="AD580" s="8"/>
      <c r="AE580" s="8"/>
      <c r="AF580" s="8"/>
      <c r="AG580" s="10">
        <f t="shared" si="9"/>
        <v>43327</v>
      </c>
    </row>
    <row r="581" s="7" customFormat="1" spans="1:33">
      <c r="A581" s="7" t="s">
        <v>3058</v>
      </c>
      <c r="B581" s="7" t="s">
        <v>3058</v>
      </c>
      <c r="C581" s="7" t="s">
        <v>3059</v>
      </c>
      <c r="D581" s="7" t="s">
        <v>3060</v>
      </c>
      <c r="E581" s="7" t="s">
        <v>49</v>
      </c>
      <c r="F581" s="7" t="s">
        <v>34</v>
      </c>
      <c r="G581" s="7" t="s">
        <v>35</v>
      </c>
      <c r="J581" s="7" t="s">
        <v>326</v>
      </c>
      <c r="K581" s="7" t="s">
        <v>226</v>
      </c>
      <c r="L581" s="7" t="s">
        <v>227</v>
      </c>
      <c r="M581" s="7" t="s">
        <v>228</v>
      </c>
      <c r="N581" s="7" t="s">
        <v>49</v>
      </c>
      <c r="O581" s="7">
        <v>1</v>
      </c>
      <c r="P581" s="7" t="s">
        <v>41</v>
      </c>
      <c r="Q581" s="7">
        <v>85.99</v>
      </c>
      <c r="S581" s="7">
        <v>23.46</v>
      </c>
      <c r="Y581" s="7" t="s">
        <v>1227</v>
      </c>
      <c r="Z581" s="7" t="s">
        <v>164</v>
      </c>
      <c r="AA581" s="7" t="s">
        <v>3061</v>
      </c>
      <c r="AB581" s="7" t="s">
        <v>45</v>
      </c>
      <c r="AD581" s="11"/>
      <c r="AE581" s="11"/>
      <c r="AF581" s="11"/>
      <c r="AG581" s="10">
        <f t="shared" si="9"/>
        <v>43327</v>
      </c>
    </row>
    <row r="582" s="7" customFormat="1" spans="1:33">
      <c r="A582" s="7" t="s">
        <v>3062</v>
      </c>
      <c r="B582" s="7" t="s">
        <v>3062</v>
      </c>
      <c r="C582" s="7" t="s">
        <v>3063</v>
      </c>
      <c r="D582" s="7" t="s">
        <v>3064</v>
      </c>
      <c r="E582" s="7" t="s">
        <v>49</v>
      </c>
      <c r="F582" s="7" t="s">
        <v>34</v>
      </c>
      <c r="G582" s="7" t="s">
        <v>35</v>
      </c>
      <c r="J582" s="7" t="s">
        <v>50</v>
      </c>
      <c r="K582" s="7" t="s">
        <v>120</v>
      </c>
      <c r="L582" s="7" t="s">
        <v>121</v>
      </c>
      <c r="M582" s="7" t="s">
        <v>122</v>
      </c>
      <c r="N582" s="7" t="s">
        <v>49</v>
      </c>
      <c r="O582" s="7">
        <v>1</v>
      </c>
      <c r="P582" s="7" t="s">
        <v>41</v>
      </c>
      <c r="Q582" s="7">
        <v>29.99</v>
      </c>
      <c r="Y582" s="7" t="s">
        <v>1634</v>
      </c>
      <c r="Z582" s="7" t="s">
        <v>346</v>
      </c>
      <c r="AA582" s="7">
        <v>10453</v>
      </c>
      <c r="AB582" s="7" t="s">
        <v>45</v>
      </c>
      <c r="AD582" s="11"/>
      <c r="AE582" s="11"/>
      <c r="AF582" s="11"/>
      <c r="AG582" s="10">
        <f t="shared" si="9"/>
        <v>43327</v>
      </c>
    </row>
    <row r="583" s="7" customFormat="1" spans="1:33">
      <c r="A583" s="7" t="s">
        <v>3065</v>
      </c>
      <c r="B583" s="7" t="s">
        <v>3065</v>
      </c>
      <c r="C583" s="7" t="s">
        <v>3066</v>
      </c>
      <c r="D583" s="7" t="s">
        <v>3067</v>
      </c>
      <c r="E583" s="7" t="s">
        <v>49</v>
      </c>
      <c r="F583" s="7" t="s">
        <v>34</v>
      </c>
      <c r="G583" s="7" t="s">
        <v>35</v>
      </c>
      <c r="J583" s="7" t="s">
        <v>50</v>
      </c>
      <c r="K583" s="7" t="s">
        <v>656</v>
      </c>
      <c r="L583" s="7" t="s">
        <v>657</v>
      </c>
      <c r="M583" s="7" t="s">
        <v>658</v>
      </c>
      <c r="N583" s="7" t="s">
        <v>49</v>
      </c>
      <c r="O583" s="7">
        <v>1</v>
      </c>
      <c r="P583" s="7" t="s">
        <v>41</v>
      </c>
      <c r="Q583" s="7">
        <v>106.99</v>
      </c>
      <c r="Y583" s="7" t="s">
        <v>336</v>
      </c>
      <c r="Z583" s="7" t="s">
        <v>266</v>
      </c>
      <c r="AA583" s="7" t="s">
        <v>3068</v>
      </c>
      <c r="AB583" s="7" t="s">
        <v>45</v>
      </c>
      <c r="AD583" s="11"/>
      <c r="AE583" s="11"/>
      <c r="AF583" s="11"/>
      <c r="AG583" s="10">
        <f t="shared" si="9"/>
        <v>43327</v>
      </c>
    </row>
    <row r="584" s="7" customFormat="1" spans="1:33">
      <c r="A584" s="7" t="s">
        <v>3069</v>
      </c>
      <c r="B584" s="7" t="s">
        <v>3069</v>
      </c>
      <c r="C584" s="7" t="s">
        <v>3070</v>
      </c>
      <c r="D584" s="7" t="s">
        <v>3071</v>
      </c>
      <c r="E584" s="7" t="s">
        <v>33</v>
      </c>
      <c r="F584" s="7" t="s">
        <v>34</v>
      </c>
      <c r="G584" s="7" t="s">
        <v>35</v>
      </c>
      <c r="J584" s="7" t="s">
        <v>50</v>
      </c>
      <c r="K584" s="7" t="s">
        <v>2440</v>
      </c>
      <c r="L584" s="7" t="s">
        <v>38</v>
      </c>
      <c r="M584" s="7" t="s">
        <v>39</v>
      </c>
      <c r="N584" s="7" t="s">
        <v>33</v>
      </c>
      <c r="O584" s="7">
        <v>0</v>
      </c>
      <c r="Y584" s="7" t="s">
        <v>3072</v>
      </c>
      <c r="Z584" s="7" t="s">
        <v>346</v>
      </c>
      <c r="AA584" s="7" t="s">
        <v>3073</v>
      </c>
      <c r="AB584" s="7" t="s">
        <v>45</v>
      </c>
      <c r="AD584" s="11"/>
      <c r="AE584" s="11"/>
      <c r="AF584" s="11"/>
      <c r="AG584" s="10">
        <f t="shared" si="9"/>
        <v>43327</v>
      </c>
    </row>
    <row r="585" s="7" customFormat="1" spans="1:33">
      <c r="A585" s="7" t="s">
        <v>3074</v>
      </c>
      <c r="B585" s="7" t="s">
        <v>3074</v>
      </c>
      <c r="C585" s="7" t="s">
        <v>3075</v>
      </c>
      <c r="D585" s="7" t="s">
        <v>3076</v>
      </c>
      <c r="E585" s="7" t="s">
        <v>49</v>
      </c>
      <c r="F585" s="7" t="s">
        <v>34</v>
      </c>
      <c r="G585" s="7" t="s">
        <v>35</v>
      </c>
      <c r="J585" s="7" t="s">
        <v>36</v>
      </c>
      <c r="K585" s="7" t="s">
        <v>2603</v>
      </c>
      <c r="L585" s="7" t="s">
        <v>1161</v>
      </c>
      <c r="M585" s="7" t="s">
        <v>1162</v>
      </c>
      <c r="N585" s="7" t="s">
        <v>49</v>
      </c>
      <c r="O585" s="7">
        <v>1</v>
      </c>
      <c r="P585" s="7" t="s">
        <v>41</v>
      </c>
      <c r="Q585" s="7">
        <v>89.99</v>
      </c>
      <c r="Y585" s="7" t="s">
        <v>3077</v>
      </c>
      <c r="Z585" s="7" t="s">
        <v>184</v>
      </c>
      <c r="AA585" s="7" t="s">
        <v>3078</v>
      </c>
      <c r="AB585" s="7" t="s">
        <v>45</v>
      </c>
      <c r="AD585" s="11"/>
      <c r="AE585" s="11"/>
      <c r="AF585" s="11"/>
      <c r="AG585" s="10">
        <f t="shared" si="9"/>
        <v>43327</v>
      </c>
    </row>
    <row r="586" s="7" customFormat="1" spans="1:33">
      <c r="A586" s="7" t="s">
        <v>3079</v>
      </c>
      <c r="B586" s="7" t="s">
        <v>3079</v>
      </c>
      <c r="C586" s="7" t="s">
        <v>3080</v>
      </c>
      <c r="D586" s="7" t="s">
        <v>3081</v>
      </c>
      <c r="E586" s="7" t="s">
        <v>49</v>
      </c>
      <c r="F586" s="7" t="s">
        <v>34</v>
      </c>
      <c r="G586" s="7" t="s">
        <v>35</v>
      </c>
      <c r="J586" s="7" t="s">
        <v>36</v>
      </c>
      <c r="K586" s="7" t="s">
        <v>423</v>
      </c>
      <c r="L586" s="7" t="s">
        <v>424</v>
      </c>
      <c r="M586" s="7" t="s">
        <v>425</v>
      </c>
      <c r="N586" s="7" t="s">
        <v>49</v>
      </c>
      <c r="O586" s="7">
        <v>1</v>
      </c>
      <c r="P586" s="7" t="s">
        <v>41</v>
      </c>
      <c r="Q586" s="7">
        <v>26.99</v>
      </c>
      <c r="S586" s="7">
        <v>5.81</v>
      </c>
      <c r="Y586" s="7" t="s">
        <v>3082</v>
      </c>
      <c r="Z586" s="7" t="s">
        <v>382</v>
      </c>
      <c r="AA586" s="7" t="s">
        <v>3083</v>
      </c>
      <c r="AB586" s="7" t="s">
        <v>45</v>
      </c>
      <c r="AD586" s="11"/>
      <c r="AE586" s="11"/>
      <c r="AF586" s="11"/>
      <c r="AG586" s="10">
        <f t="shared" si="9"/>
        <v>43327</v>
      </c>
    </row>
    <row r="587" s="7" customFormat="1" spans="1:33">
      <c r="A587" s="7" t="s">
        <v>3084</v>
      </c>
      <c r="B587" s="7" t="s">
        <v>3084</v>
      </c>
      <c r="C587" s="7" t="s">
        <v>3085</v>
      </c>
      <c r="D587" s="7" t="s">
        <v>3086</v>
      </c>
      <c r="E587" s="7" t="s">
        <v>49</v>
      </c>
      <c r="F587" s="7" t="s">
        <v>34</v>
      </c>
      <c r="G587" s="7" t="s">
        <v>35</v>
      </c>
      <c r="J587" s="7" t="s">
        <v>50</v>
      </c>
      <c r="K587" s="7" t="s">
        <v>152</v>
      </c>
      <c r="L587" s="7" t="s">
        <v>153</v>
      </c>
      <c r="M587" s="7" t="s">
        <v>154</v>
      </c>
      <c r="N587" s="7" t="s">
        <v>49</v>
      </c>
      <c r="O587" s="7">
        <v>1</v>
      </c>
      <c r="P587" s="7" t="s">
        <v>41</v>
      </c>
      <c r="Q587" s="7">
        <v>79.99</v>
      </c>
      <c r="Y587" s="7" t="s">
        <v>3087</v>
      </c>
      <c r="Z587" s="7" t="s">
        <v>83</v>
      </c>
      <c r="AA587" s="7" t="s">
        <v>3088</v>
      </c>
      <c r="AB587" s="7" t="s">
        <v>45</v>
      </c>
      <c r="AD587" s="11"/>
      <c r="AE587" s="11"/>
      <c r="AF587" s="11"/>
      <c r="AG587" s="10">
        <f t="shared" si="9"/>
        <v>43327</v>
      </c>
    </row>
    <row r="588" s="7" customFormat="1" spans="1:33">
      <c r="A588" s="7" t="s">
        <v>3089</v>
      </c>
      <c r="B588" s="7" t="s">
        <v>3089</v>
      </c>
      <c r="C588" s="7" t="s">
        <v>3090</v>
      </c>
      <c r="D588" s="7" t="s">
        <v>3091</v>
      </c>
      <c r="E588" s="7" t="s">
        <v>49</v>
      </c>
      <c r="F588" s="7" t="s">
        <v>34</v>
      </c>
      <c r="G588" s="7" t="s">
        <v>35</v>
      </c>
      <c r="J588" s="7" t="s">
        <v>50</v>
      </c>
      <c r="K588" s="7" t="s">
        <v>208</v>
      </c>
      <c r="L588" s="7" t="s">
        <v>209</v>
      </c>
      <c r="M588" s="7" t="s">
        <v>210</v>
      </c>
      <c r="N588" s="7" t="s">
        <v>49</v>
      </c>
      <c r="O588" s="7">
        <v>1</v>
      </c>
      <c r="P588" s="7" t="s">
        <v>41</v>
      </c>
      <c r="Q588" s="7">
        <v>89.99</v>
      </c>
      <c r="Y588" s="7" t="s">
        <v>3092</v>
      </c>
      <c r="Z588" s="7" t="s">
        <v>714</v>
      </c>
      <c r="AA588" s="7" t="s">
        <v>3093</v>
      </c>
      <c r="AB588" s="7" t="s">
        <v>45</v>
      </c>
      <c r="AD588" s="11"/>
      <c r="AE588" s="11"/>
      <c r="AF588" s="11"/>
      <c r="AG588" s="10">
        <f t="shared" si="9"/>
        <v>43327</v>
      </c>
    </row>
    <row r="589" s="7" customFormat="1" spans="1:33">
      <c r="A589" s="7" t="s">
        <v>3094</v>
      </c>
      <c r="B589" s="7" t="s">
        <v>3094</v>
      </c>
      <c r="C589" s="7" t="s">
        <v>3095</v>
      </c>
      <c r="D589" s="7" t="s">
        <v>3096</v>
      </c>
      <c r="E589" s="7" t="s">
        <v>49</v>
      </c>
      <c r="F589" s="7" t="s">
        <v>34</v>
      </c>
      <c r="G589" s="7" t="s">
        <v>35</v>
      </c>
      <c r="J589" s="7" t="s">
        <v>50</v>
      </c>
      <c r="K589" s="7" t="s">
        <v>2006</v>
      </c>
      <c r="L589" s="7" t="s">
        <v>2007</v>
      </c>
      <c r="M589" s="7" t="s">
        <v>2008</v>
      </c>
      <c r="N589" s="7" t="s">
        <v>49</v>
      </c>
      <c r="O589" s="7">
        <v>1</v>
      </c>
      <c r="P589" s="7" t="s">
        <v>41</v>
      </c>
      <c r="Q589" s="7">
        <v>89.6</v>
      </c>
      <c r="R589" s="7">
        <v>7.17</v>
      </c>
      <c r="Y589" s="7" t="s">
        <v>3097</v>
      </c>
      <c r="Z589" s="7" t="s">
        <v>818</v>
      </c>
      <c r="AA589" s="7" t="s">
        <v>3098</v>
      </c>
      <c r="AB589" s="7" t="s">
        <v>45</v>
      </c>
      <c r="AD589" s="11"/>
      <c r="AE589" s="11"/>
      <c r="AF589" s="11"/>
      <c r="AG589" s="10">
        <f t="shared" si="9"/>
        <v>43327</v>
      </c>
    </row>
    <row r="590" s="7" customFormat="1" spans="1:33">
      <c r="A590" s="7" t="s">
        <v>3099</v>
      </c>
      <c r="B590" s="7" t="s">
        <v>3099</v>
      </c>
      <c r="C590" s="7" t="s">
        <v>3100</v>
      </c>
      <c r="D590" s="7" t="s">
        <v>3101</v>
      </c>
      <c r="E590" s="7" t="s">
        <v>49</v>
      </c>
      <c r="F590" s="7" t="s">
        <v>34</v>
      </c>
      <c r="G590" s="7" t="s">
        <v>35</v>
      </c>
      <c r="J590" s="7" t="s">
        <v>36</v>
      </c>
      <c r="K590" s="7" t="s">
        <v>611</v>
      </c>
      <c r="L590" s="7" t="s">
        <v>612</v>
      </c>
      <c r="M590" s="7" t="s">
        <v>613</v>
      </c>
      <c r="N590" s="7" t="s">
        <v>49</v>
      </c>
      <c r="O590" s="7">
        <v>1</v>
      </c>
      <c r="P590" s="7" t="s">
        <v>41</v>
      </c>
      <c r="Q590" s="7">
        <v>89.99</v>
      </c>
      <c r="S590" s="7">
        <v>6.73</v>
      </c>
      <c r="X590" s="7">
        <v>6.73</v>
      </c>
      <c r="Y590" s="7" t="s">
        <v>3102</v>
      </c>
      <c r="Z590" s="7" t="s">
        <v>230</v>
      </c>
      <c r="AA590" s="7" t="s">
        <v>3103</v>
      </c>
      <c r="AB590" s="7" t="s">
        <v>45</v>
      </c>
      <c r="AC590" s="7" t="s">
        <v>549</v>
      </c>
      <c r="AD590" s="11"/>
      <c r="AE590" s="11"/>
      <c r="AF590" s="11"/>
      <c r="AG590" s="10">
        <f t="shared" si="9"/>
        <v>43327</v>
      </c>
    </row>
    <row r="591" s="7" customFormat="1" spans="1:33">
      <c r="A591" s="7" t="s">
        <v>3104</v>
      </c>
      <c r="B591" s="7" t="s">
        <v>3104</v>
      </c>
      <c r="C591" s="7" t="s">
        <v>3105</v>
      </c>
      <c r="D591" s="7" t="s">
        <v>3106</v>
      </c>
      <c r="E591" s="7" t="s">
        <v>49</v>
      </c>
      <c r="F591" s="7" t="s">
        <v>34</v>
      </c>
      <c r="G591" s="7" t="s">
        <v>35</v>
      </c>
      <c r="J591" s="7" t="s">
        <v>50</v>
      </c>
      <c r="K591" s="7" t="s">
        <v>2316</v>
      </c>
      <c r="L591" s="7" t="s">
        <v>495</v>
      </c>
      <c r="M591" s="7" t="s">
        <v>496</v>
      </c>
      <c r="N591" s="7" t="s">
        <v>49</v>
      </c>
      <c r="O591" s="7">
        <v>1</v>
      </c>
      <c r="P591" s="7" t="s">
        <v>41</v>
      </c>
      <c r="Q591" s="7">
        <v>99.99</v>
      </c>
      <c r="Y591" s="7" t="s">
        <v>3107</v>
      </c>
      <c r="Z591" s="7" t="s">
        <v>266</v>
      </c>
      <c r="AA591" s="7" t="s">
        <v>3108</v>
      </c>
      <c r="AB591" s="7" t="s">
        <v>45</v>
      </c>
      <c r="AD591" s="11"/>
      <c r="AE591" s="11"/>
      <c r="AF591" s="11"/>
      <c r="AG591" s="10">
        <f t="shared" si="9"/>
        <v>43327</v>
      </c>
    </row>
    <row r="592" s="7" customFormat="1" spans="1:33">
      <c r="A592" s="7" t="s">
        <v>3109</v>
      </c>
      <c r="B592" s="7" t="s">
        <v>3109</v>
      </c>
      <c r="C592" s="7" t="s">
        <v>3110</v>
      </c>
      <c r="D592" s="7" t="s">
        <v>3111</v>
      </c>
      <c r="E592" s="7" t="s">
        <v>49</v>
      </c>
      <c r="F592" s="7" t="s">
        <v>34</v>
      </c>
      <c r="G592" s="7" t="s">
        <v>35</v>
      </c>
      <c r="J592" s="7" t="s">
        <v>50</v>
      </c>
      <c r="K592" s="7" t="s">
        <v>70</v>
      </c>
      <c r="L592" s="7" t="s">
        <v>71</v>
      </c>
      <c r="M592" s="7" t="s">
        <v>72</v>
      </c>
      <c r="N592" s="7" t="s">
        <v>49</v>
      </c>
      <c r="O592" s="7">
        <v>1</v>
      </c>
      <c r="P592" s="7" t="s">
        <v>41</v>
      </c>
      <c r="Q592" s="7">
        <v>96.99</v>
      </c>
      <c r="Y592" s="7" t="s">
        <v>3112</v>
      </c>
      <c r="Z592" s="7" t="s">
        <v>178</v>
      </c>
      <c r="AA592" s="7">
        <v>95677</v>
      </c>
      <c r="AB592" s="7" t="s">
        <v>45</v>
      </c>
      <c r="AD592" s="11"/>
      <c r="AE592" s="11"/>
      <c r="AF592" s="11"/>
      <c r="AG592" s="10">
        <f t="shared" si="9"/>
        <v>43327</v>
      </c>
    </row>
    <row r="593" s="7" customFormat="1" spans="1:33">
      <c r="A593" s="7" t="s">
        <v>3113</v>
      </c>
      <c r="B593" s="7" t="s">
        <v>3113</v>
      </c>
      <c r="C593" s="7" t="s">
        <v>3114</v>
      </c>
      <c r="D593" s="7" t="s">
        <v>3115</v>
      </c>
      <c r="E593" s="7" t="s">
        <v>49</v>
      </c>
      <c r="F593" s="7" t="s">
        <v>34</v>
      </c>
      <c r="G593" s="7" t="s">
        <v>35</v>
      </c>
      <c r="J593" s="7" t="s">
        <v>50</v>
      </c>
      <c r="K593" s="7" t="s">
        <v>1298</v>
      </c>
      <c r="L593" s="7" t="s">
        <v>1299</v>
      </c>
      <c r="M593" s="7" t="s">
        <v>1300</v>
      </c>
      <c r="N593" s="7" t="s">
        <v>49</v>
      </c>
      <c r="O593" s="7">
        <v>1</v>
      </c>
      <c r="P593" s="7" t="s">
        <v>41</v>
      </c>
      <c r="Q593" s="7">
        <v>79.99</v>
      </c>
      <c r="Y593" s="7" t="s">
        <v>3116</v>
      </c>
      <c r="Z593" s="7" t="s">
        <v>98</v>
      </c>
      <c r="AA593" s="7" t="s">
        <v>3117</v>
      </c>
      <c r="AB593" s="7" t="s">
        <v>45</v>
      </c>
      <c r="AD593" s="11"/>
      <c r="AE593" s="11"/>
      <c r="AF593" s="11"/>
      <c r="AG593" s="10">
        <f t="shared" si="9"/>
        <v>43327</v>
      </c>
    </row>
    <row r="594" s="7" customFormat="1" spans="1:33">
      <c r="A594" s="7" t="s">
        <v>3118</v>
      </c>
      <c r="B594" s="7" t="s">
        <v>3118</v>
      </c>
      <c r="C594" s="7" t="s">
        <v>3119</v>
      </c>
      <c r="D594" s="7" t="s">
        <v>3120</v>
      </c>
      <c r="E594" s="7" t="s">
        <v>49</v>
      </c>
      <c r="F594" s="7" t="s">
        <v>34</v>
      </c>
      <c r="G594" s="7" t="s">
        <v>35</v>
      </c>
      <c r="J594" s="7" t="s">
        <v>50</v>
      </c>
      <c r="K594" s="7" t="s">
        <v>2440</v>
      </c>
      <c r="L594" s="7" t="s">
        <v>38</v>
      </c>
      <c r="M594" s="7" t="s">
        <v>39</v>
      </c>
      <c r="N594" s="7" t="s">
        <v>49</v>
      </c>
      <c r="O594" s="7">
        <v>1</v>
      </c>
      <c r="P594" s="7" t="s">
        <v>41</v>
      </c>
      <c r="Q594" s="7">
        <v>89.99</v>
      </c>
      <c r="Y594" s="7" t="s">
        <v>3121</v>
      </c>
      <c r="Z594" s="7" t="s">
        <v>1780</v>
      </c>
      <c r="AA594" s="7" t="s">
        <v>3122</v>
      </c>
      <c r="AB594" s="7" t="s">
        <v>45</v>
      </c>
      <c r="AD594" s="11"/>
      <c r="AE594" s="11"/>
      <c r="AF594" s="11"/>
      <c r="AG594" s="10">
        <f t="shared" si="9"/>
        <v>43327</v>
      </c>
    </row>
    <row r="595" s="7" customFormat="1" spans="1:33">
      <c r="A595" s="7" t="s">
        <v>3123</v>
      </c>
      <c r="B595" s="7" t="s">
        <v>3123</v>
      </c>
      <c r="C595" s="7" t="s">
        <v>3124</v>
      </c>
      <c r="D595" s="7" t="s">
        <v>3125</v>
      </c>
      <c r="E595" s="7" t="s">
        <v>49</v>
      </c>
      <c r="F595" s="7" t="s">
        <v>34</v>
      </c>
      <c r="G595" s="7" t="s">
        <v>35</v>
      </c>
      <c r="J595" s="7" t="s">
        <v>50</v>
      </c>
      <c r="K595" s="7" t="s">
        <v>208</v>
      </c>
      <c r="L595" s="7" t="s">
        <v>209</v>
      </c>
      <c r="M595" s="7" t="s">
        <v>210</v>
      </c>
      <c r="N595" s="7" t="s">
        <v>49</v>
      </c>
      <c r="O595" s="7">
        <v>1</v>
      </c>
      <c r="P595" s="7" t="s">
        <v>41</v>
      </c>
      <c r="Q595" s="7">
        <v>89.99</v>
      </c>
      <c r="Y595" s="7" t="s">
        <v>3126</v>
      </c>
      <c r="Z595" s="7" t="s">
        <v>646</v>
      </c>
      <c r="AA595" s="7" t="s">
        <v>3127</v>
      </c>
      <c r="AB595" s="7" t="s">
        <v>45</v>
      </c>
      <c r="AD595" s="11"/>
      <c r="AE595" s="11"/>
      <c r="AF595" s="11"/>
      <c r="AG595" s="10">
        <f t="shared" si="9"/>
        <v>43327</v>
      </c>
    </row>
    <row r="596" s="7" customFormat="1" spans="1:33">
      <c r="A596" s="7" t="s">
        <v>3128</v>
      </c>
      <c r="B596" s="7" t="s">
        <v>3128</v>
      </c>
      <c r="C596" s="7" t="s">
        <v>3129</v>
      </c>
      <c r="D596" s="7" t="s">
        <v>3130</v>
      </c>
      <c r="E596" s="7" t="s">
        <v>49</v>
      </c>
      <c r="F596" s="7" t="s">
        <v>34</v>
      </c>
      <c r="G596" s="7" t="s">
        <v>35</v>
      </c>
      <c r="J596" s="7" t="s">
        <v>36</v>
      </c>
      <c r="K596" s="7" t="s">
        <v>674</v>
      </c>
      <c r="L596" s="7" t="s">
        <v>675</v>
      </c>
      <c r="M596" s="7" t="s">
        <v>676</v>
      </c>
      <c r="N596" s="7" t="s">
        <v>49</v>
      </c>
      <c r="O596" s="7">
        <v>1</v>
      </c>
      <c r="P596" s="7" t="s">
        <v>41</v>
      </c>
      <c r="Q596" s="7">
        <v>79.99</v>
      </c>
      <c r="S596" s="7">
        <v>3.99</v>
      </c>
      <c r="X596" s="7">
        <v>3.99</v>
      </c>
      <c r="Y596" s="7" t="s">
        <v>3131</v>
      </c>
      <c r="Z596" s="7" t="s">
        <v>115</v>
      </c>
      <c r="AA596" s="7">
        <v>53012</v>
      </c>
      <c r="AB596" s="7" t="s">
        <v>45</v>
      </c>
      <c r="AC596" s="7" t="s">
        <v>549</v>
      </c>
      <c r="AD596" s="11"/>
      <c r="AE596" s="11"/>
      <c r="AF596" s="11"/>
      <c r="AG596" s="10">
        <f t="shared" si="9"/>
        <v>43327</v>
      </c>
    </row>
    <row r="597" s="7" customFormat="1" spans="1:33">
      <c r="A597" s="7" t="s">
        <v>3132</v>
      </c>
      <c r="B597" s="7" t="s">
        <v>3132</v>
      </c>
      <c r="C597" s="7" t="s">
        <v>3133</v>
      </c>
      <c r="D597" s="7" t="s">
        <v>3134</v>
      </c>
      <c r="E597" s="7" t="s">
        <v>49</v>
      </c>
      <c r="F597" s="7" t="s">
        <v>34</v>
      </c>
      <c r="G597" s="7" t="s">
        <v>35</v>
      </c>
      <c r="J597" s="7" t="s">
        <v>50</v>
      </c>
      <c r="K597" s="7" t="s">
        <v>1686</v>
      </c>
      <c r="L597" s="7" t="s">
        <v>1687</v>
      </c>
      <c r="M597" s="7" t="s">
        <v>1688</v>
      </c>
      <c r="N597" s="7" t="s">
        <v>49</v>
      </c>
      <c r="O597" s="7">
        <v>1</v>
      </c>
      <c r="P597" s="7" t="s">
        <v>41</v>
      </c>
      <c r="Q597" s="7">
        <v>108.99</v>
      </c>
      <c r="Y597" s="7" t="s">
        <v>3135</v>
      </c>
      <c r="Z597" s="7" t="s">
        <v>260</v>
      </c>
      <c r="AA597" s="7" t="s">
        <v>3136</v>
      </c>
      <c r="AB597" s="7" t="s">
        <v>45</v>
      </c>
      <c r="AD597" s="11"/>
      <c r="AE597" s="11"/>
      <c r="AF597" s="11"/>
      <c r="AG597" s="10">
        <f t="shared" si="9"/>
        <v>43327</v>
      </c>
    </row>
    <row r="598" s="7" customFormat="1" spans="1:33">
      <c r="A598" s="7" t="s">
        <v>3137</v>
      </c>
      <c r="B598" s="7" t="s">
        <v>3137</v>
      </c>
      <c r="C598" s="7" t="s">
        <v>3138</v>
      </c>
      <c r="D598" s="7" t="s">
        <v>3139</v>
      </c>
      <c r="E598" s="7" t="s">
        <v>49</v>
      </c>
      <c r="F598" s="7" t="s">
        <v>34</v>
      </c>
      <c r="G598" s="7" t="s">
        <v>35</v>
      </c>
      <c r="J598" s="7" t="s">
        <v>50</v>
      </c>
      <c r="K598" s="7" t="s">
        <v>2363</v>
      </c>
      <c r="L598" s="7" t="s">
        <v>89</v>
      </c>
      <c r="M598" s="7" t="s">
        <v>90</v>
      </c>
      <c r="N598" s="7" t="s">
        <v>49</v>
      </c>
      <c r="O598" s="7">
        <v>1</v>
      </c>
      <c r="P598" s="7" t="s">
        <v>41</v>
      </c>
      <c r="Q598" s="7">
        <v>89.99</v>
      </c>
      <c r="Y598" s="7" t="s">
        <v>3140</v>
      </c>
      <c r="Z598" s="7" t="s">
        <v>3141</v>
      </c>
      <c r="AA598" s="7">
        <v>52003</v>
      </c>
      <c r="AB598" s="7" t="s">
        <v>45</v>
      </c>
      <c r="AD598" s="11"/>
      <c r="AE598" s="11"/>
      <c r="AF598" s="11"/>
      <c r="AG598" s="10">
        <f t="shared" si="9"/>
        <v>43327</v>
      </c>
    </row>
    <row r="599" s="7" customFormat="1" spans="1:33">
      <c r="A599" s="7" t="s">
        <v>3142</v>
      </c>
      <c r="B599" s="7" t="s">
        <v>3142</v>
      </c>
      <c r="C599" s="7" t="s">
        <v>3143</v>
      </c>
      <c r="D599" s="7" t="s">
        <v>3144</v>
      </c>
      <c r="E599" s="7" t="s">
        <v>49</v>
      </c>
      <c r="F599" s="7" t="s">
        <v>34</v>
      </c>
      <c r="G599" s="7" t="s">
        <v>35</v>
      </c>
      <c r="J599" s="7" t="s">
        <v>50</v>
      </c>
      <c r="K599" s="7" t="s">
        <v>2603</v>
      </c>
      <c r="L599" s="7" t="s">
        <v>1161</v>
      </c>
      <c r="M599" s="7" t="s">
        <v>1162</v>
      </c>
      <c r="N599" s="7" t="s">
        <v>49</v>
      </c>
      <c r="O599" s="7">
        <v>1</v>
      </c>
      <c r="P599" s="7" t="s">
        <v>41</v>
      </c>
      <c r="Q599" s="7">
        <v>89.99</v>
      </c>
      <c r="Y599" s="7" t="s">
        <v>3145</v>
      </c>
      <c r="Z599" s="7" t="s">
        <v>98</v>
      </c>
      <c r="AA599" s="7" t="s">
        <v>3146</v>
      </c>
      <c r="AB599" s="7" t="s">
        <v>45</v>
      </c>
      <c r="AD599" s="11"/>
      <c r="AE599" s="11"/>
      <c r="AF599" s="11"/>
      <c r="AG599" s="10">
        <f t="shared" si="9"/>
        <v>43327</v>
      </c>
    </row>
    <row r="600" s="7" customFormat="1" spans="1:33">
      <c r="A600" s="7" t="s">
        <v>3147</v>
      </c>
      <c r="B600" s="7" t="s">
        <v>3147</v>
      </c>
      <c r="C600" s="7" t="s">
        <v>3148</v>
      </c>
      <c r="D600" s="7" t="s">
        <v>3149</v>
      </c>
      <c r="E600" s="7" t="s">
        <v>49</v>
      </c>
      <c r="F600" s="7" t="s">
        <v>34</v>
      </c>
      <c r="G600" s="7" t="s">
        <v>35</v>
      </c>
      <c r="J600" s="7" t="s">
        <v>36</v>
      </c>
      <c r="K600" s="7" t="s">
        <v>70</v>
      </c>
      <c r="L600" s="7" t="s">
        <v>71</v>
      </c>
      <c r="M600" s="7" t="s">
        <v>72</v>
      </c>
      <c r="N600" s="7" t="s">
        <v>49</v>
      </c>
      <c r="O600" s="7">
        <v>1</v>
      </c>
      <c r="P600" s="7" t="s">
        <v>41</v>
      </c>
      <c r="Q600" s="7">
        <v>96.99</v>
      </c>
      <c r="S600" s="7">
        <v>3.42</v>
      </c>
      <c r="Y600" s="7" t="s">
        <v>3150</v>
      </c>
      <c r="Z600" s="7" t="s">
        <v>1095</v>
      </c>
      <c r="AA600" s="7">
        <v>95415</v>
      </c>
      <c r="AB600" s="7" t="s">
        <v>45</v>
      </c>
      <c r="AD600" s="11"/>
      <c r="AE600" s="11"/>
      <c r="AF600" s="11"/>
      <c r="AG600" s="10">
        <f t="shared" si="9"/>
        <v>43327</v>
      </c>
    </row>
    <row r="601" s="7" customFormat="1" spans="1:33">
      <c r="A601" s="7" t="s">
        <v>3151</v>
      </c>
      <c r="B601" s="7" t="s">
        <v>3151</v>
      </c>
      <c r="C601" s="7" t="s">
        <v>3152</v>
      </c>
      <c r="D601" s="7" t="s">
        <v>3153</v>
      </c>
      <c r="E601" s="7" t="s">
        <v>49</v>
      </c>
      <c r="F601" s="7" t="s">
        <v>34</v>
      </c>
      <c r="G601" s="7" t="s">
        <v>35</v>
      </c>
      <c r="J601" s="7" t="s">
        <v>50</v>
      </c>
      <c r="K601" s="7" t="s">
        <v>60</v>
      </c>
      <c r="L601" s="7" t="s">
        <v>61</v>
      </c>
      <c r="M601" s="7" t="s">
        <v>62</v>
      </c>
      <c r="N601" s="7" t="s">
        <v>49</v>
      </c>
      <c r="O601" s="7">
        <v>1</v>
      </c>
      <c r="P601" s="7" t="s">
        <v>41</v>
      </c>
      <c r="Q601" s="7">
        <v>21.99</v>
      </c>
      <c r="Y601" s="7" t="s">
        <v>459</v>
      </c>
      <c r="Z601" s="7" t="s">
        <v>346</v>
      </c>
      <c r="AA601" s="7" t="s">
        <v>3154</v>
      </c>
      <c r="AB601" s="7" t="s">
        <v>45</v>
      </c>
      <c r="AD601" s="11"/>
      <c r="AE601" s="11"/>
      <c r="AF601" s="11"/>
      <c r="AG601" s="10">
        <f t="shared" si="9"/>
        <v>43327</v>
      </c>
    </row>
    <row r="602" s="7" customFormat="1" spans="1:33">
      <c r="A602" s="7" t="s">
        <v>3155</v>
      </c>
      <c r="B602" s="7" t="s">
        <v>3155</v>
      </c>
      <c r="C602" s="7" t="s">
        <v>3156</v>
      </c>
      <c r="D602" s="7" t="s">
        <v>3157</v>
      </c>
      <c r="E602" s="7" t="s">
        <v>49</v>
      </c>
      <c r="F602" s="7" t="s">
        <v>34</v>
      </c>
      <c r="G602" s="7" t="s">
        <v>35</v>
      </c>
      <c r="J602" s="7" t="s">
        <v>50</v>
      </c>
      <c r="K602" s="7" t="s">
        <v>2563</v>
      </c>
      <c r="L602" s="7" t="s">
        <v>170</v>
      </c>
      <c r="M602" s="7" t="s">
        <v>171</v>
      </c>
      <c r="N602" s="7" t="s">
        <v>49</v>
      </c>
      <c r="O602" s="7">
        <v>1</v>
      </c>
      <c r="P602" s="7" t="s">
        <v>41</v>
      </c>
      <c r="Q602" s="7">
        <v>89.99</v>
      </c>
      <c r="R602" s="7">
        <v>5.4</v>
      </c>
      <c r="Y602" s="7" t="s">
        <v>3158</v>
      </c>
      <c r="Z602" s="7" t="s">
        <v>3159</v>
      </c>
      <c r="AA602" s="7" t="s">
        <v>3160</v>
      </c>
      <c r="AB602" s="7" t="s">
        <v>45</v>
      </c>
      <c r="AD602" s="11"/>
      <c r="AE602" s="11"/>
      <c r="AF602" s="11"/>
      <c r="AG602" s="10">
        <f t="shared" si="9"/>
        <v>43327</v>
      </c>
    </row>
    <row r="603" s="7" customFormat="1" spans="1:33">
      <c r="A603" s="7" t="s">
        <v>3161</v>
      </c>
      <c r="B603" s="7" t="s">
        <v>3161</v>
      </c>
      <c r="C603" s="7" t="s">
        <v>3162</v>
      </c>
      <c r="D603" s="7" t="s">
        <v>3163</v>
      </c>
      <c r="E603" s="7" t="s">
        <v>49</v>
      </c>
      <c r="F603" s="7" t="s">
        <v>34</v>
      </c>
      <c r="G603" s="7" t="s">
        <v>35</v>
      </c>
      <c r="J603" s="7" t="s">
        <v>326</v>
      </c>
      <c r="K603" s="7" t="s">
        <v>289</v>
      </c>
      <c r="L603" s="7" t="s">
        <v>290</v>
      </c>
      <c r="M603" s="7" t="s">
        <v>291</v>
      </c>
      <c r="N603" s="7" t="s">
        <v>49</v>
      </c>
      <c r="O603" s="7">
        <v>1</v>
      </c>
      <c r="P603" s="7" t="s">
        <v>41</v>
      </c>
      <c r="Q603" s="7">
        <v>89.99</v>
      </c>
      <c r="S603" s="7">
        <v>7.99</v>
      </c>
      <c r="Y603" s="7" t="s">
        <v>3164</v>
      </c>
      <c r="Z603" s="7" t="s">
        <v>221</v>
      </c>
      <c r="AA603" s="7">
        <v>60134</v>
      </c>
      <c r="AB603" s="7" t="s">
        <v>45</v>
      </c>
      <c r="AD603" s="11"/>
      <c r="AE603" s="11"/>
      <c r="AF603" s="11"/>
      <c r="AG603" s="10">
        <f t="shared" si="9"/>
        <v>43327</v>
      </c>
    </row>
    <row r="604" s="7" customFormat="1" spans="1:33">
      <c r="A604" s="7" t="s">
        <v>3165</v>
      </c>
      <c r="B604" s="7" t="s">
        <v>3165</v>
      </c>
      <c r="C604" s="7" t="s">
        <v>3166</v>
      </c>
      <c r="D604" s="7" t="s">
        <v>3167</v>
      </c>
      <c r="E604" s="7" t="s">
        <v>49</v>
      </c>
      <c r="F604" s="7" t="s">
        <v>34</v>
      </c>
      <c r="G604" s="7" t="s">
        <v>35</v>
      </c>
      <c r="J604" s="7" t="s">
        <v>50</v>
      </c>
      <c r="K604" s="7" t="s">
        <v>120</v>
      </c>
      <c r="L604" s="7" t="s">
        <v>121</v>
      </c>
      <c r="M604" s="7" t="s">
        <v>122</v>
      </c>
      <c r="N604" s="7" t="s">
        <v>49</v>
      </c>
      <c r="O604" s="7">
        <v>1</v>
      </c>
      <c r="P604" s="7" t="s">
        <v>41</v>
      </c>
      <c r="Q604" s="7">
        <v>29.99</v>
      </c>
      <c r="Y604" s="7" t="s">
        <v>3168</v>
      </c>
      <c r="Z604" s="7" t="s">
        <v>382</v>
      </c>
      <c r="AA604" s="7" t="s">
        <v>3169</v>
      </c>
      <c r="AB604" s="7" t="s">
        <v>45</v>
      </c>
      <c r="AD604" s="11"/>
      <c r="AE604" s="11"/>
      <c r="AF604" s="11"/>
      <c r="AG604" s="10">
        <f t="shared" si="9"/>
        <v>43327</v>
      </c>
    </row>
    <row r="605" s="7" customFormat="1" spans="1:33">
      <c r="A605" s="7" t="s">
        <v>3170</v>
      </c>
      <c r="B605" s="7" t="s">
        <v>3170</v>
      </c>
      <c r="C605" s="7" t="s">
        <v>3171</v>
      </c>
      <c r="D605" s="7" t="s">
        <v>3172</v>
      </c>
      <c r="E605" s="7" t="s">
        <v>49</v>
      </c>
      <c r="F605" s="7" t="s">
        <v>34</v>
      </c>
      <c r="G605" s="7" t="s">
        <v>35</v>
      </c>
      <c r="J605" s="7" t="s">
        <v>50</v>
      </c>
      <c r="K605" s="7" t="s">
        <v>477</v>
      </c>
      <c r="L605" s="7" t="s">
        <v>478</v>
      </c>
      <c r="M605" s="7" t="s">
        <v>479</v>
      </c>
      <c r="N605" s="7" t="s">
        <v>49</v>
      </c>
      <c r="O605" s="7">
        <v>1</v>
      </c>
      <c r="P605" s="7" t="s">
        <v>41</v>
      </c>
      <c r="Q605" s="7">
        <v>89.99</v>
      </c>
      <c r="Y605" s="7" t="s">
        <v>1711</v>
      </c>
      <c r="Z605" s="7" t="s">
        <v>64</v>
      </c>
      <c r="AA605" s="7" t="s">
        <v>3173</v>
      </c>
      <c r="AB605" s="7" t="s">
        <v>45</v>
      </c>
      <c r="AD605" s="11"/>
      <c r="AE605" s="11"/>
      <c r="AF605" s="11"/>
      <c r="AG605" s="10">
        <f t="shared" si="9"/>
        <v>43328</v>
      </c>
    </row>
    <row r="606" s="7" customFormat="1" spans="1:33">
      <c r="A606" s="7" t="s">
        <v>3174</v>
      </c>
      <c r="B606" s="7" t="s">
        <v>3174</v>
      </c>
      <c r="C606" s="7" t="s">
        <v>3175</v>
      </c>
      <c r="D606" s="7" t="s">
        <v>3176</v>
      </c>
      <c r="E606" s="7" t="s">
        <v>49</v>
      </c>
      <c r="F606" s="7" t="s">
        <v>34</v>
      </c>
      <c r="G606" s="7" t="s">
        <v>35</v>
      </c>
      <c r="J606" s="7" t="s">
        <v>50</v>
      </c>
      <c r="K606" s="7" t="s">
        <v>409</v>
      </c>
      <c r="L606" s="7" t="s">
        <v>410</v>
      </c>
      <c r="M606" s="7" t="s">
        <v>411</v>
      </c>
      <c r="N606" s="7" t="s">
        <v>49</v>
      </c>
      <c r="O606" s="7">
        <v>1</v>
      </c>
      <c r="P606" s="7" t="s">
        <v>41</v>
      </c>
      <c r="Q606" s="7">
        <v>99.99</v>
      </c>
      <c r="Y606" s="7" t="s">
        <v>3177</v>
      </c>
      <c r="Z606" s="7" t="s">
        <v>3178</v>
      </c>
      <c r="AA606" s="7" t="s">
        <v>3179</v>
      </c>
      <c r="AB606" s="7" t="s">
        <v>45</v>
      </c>
      <c r="AD606" s="11"/>
      <c r="AE606" s="11"/>
      <c r="AF606" s="11"/>
      <c r="AG606" s="10">
        <f t="shared" si="9"/>
        <v>43328</v>
      </c>
    </row>
    <row r="607" s="7" customFormat="1" spans="1:33">
      <c r="A607" s="7" t="s">
        <v>3180</v>
      </c>
      <c r="B607" s="7" t="s">
        <v>3180</v>
      </c>
      <c r="C607" s="7" t="s">
        <v>3181</v>
      </c>
      <c r="D607" s="7" t="s">
        <v>3182</v>
      </c>
      <c r="E607" s="7" t="s">
        <v>49</v>
      </c>
      <c r="F607" s="7" t="s">
        <v>34</v>
      </c>
      <c r="G607" s="7" t="s">
        <v>35</v>
      </c>
      <c r="J607" s="7" t="s">
        <v>50</v>
      </c>
      <c r="K607" s="7" t="s">
        <v>2563</v>
      </c>
      <c r="L607" s="7" t="s">
        <v>170</v>
      </c>
      <c r="M607" s="7" t="s">
        <v>171</v>
      </c>
      <c r="N607" s="7" t="s">
        <v>49</v>
      </c>
      <c r="O607" s="7">
        <v>1</v>
      </c>
      <c r="P607" s="7" t="s">
        <v>41</v>
      </c>
      <c r="Q607" s="7">
        <v>89.99</v>
      </c>
      <c r="Y607" s="7" t="s">
        <v>3183</v>
      </c>
      <c r="Z607" s="7" t="s">
        <v>178</v>
      </c>
      <c r="AA607" s="7">
        <v>91384</v>
      </c>
      <c r="AB607" s="7" t="s">
        <v>45</v>
      </c>
      <c r="AD607" s="11"/>
      <c r="AE607" s="11"/>
      <c r="AF607" s="11"/>
      <c r="AG607" s="10">
        <f t="shared" si="9"/>
        <v>43328</v>
      </c>
    </row>
    <row r="608" s="7" customFormat="1" spans="1:33">
      <c r="A608" s="7" t="s">
        <v>3180</v>
      </c>
      <c r="B608" s="7" t="s">
        <v>3180</v>
      </c>
      <c r="C608" s="7" t="s">
        <v>3181</v>
      </c>
      <c r="D608" s="7" t="s">
        <v>3182</v>
      </c>
      <c r="E608" s="7" t="s">
        <v>49</v>
      </c>
      <c r="F608" s="7" t="s">
        <v>34</v>
      </c>
      <c r="G608" s="7" t="s">
        <v>35</v>
      </c>
      <c r="J608" s="7" t="s">
        <v>50</v>
      </c>
      <c r="K608" s="7" t="s">
        <v>3184</v>
      </c>
      <c r="L608" s="7" t="s">
        <v>3185</v>
      </c>
      <c r="M608" s="7" t="s">
        <v>3186</v>
      </c>
      <c r="N608" s="7" t="s">
        <v>49</v>
      </c>
      <c r="O608" s="7">
        <v>2</v>
      </c>
      <c r="P608" s="7" t="s">
        <v>41</v>
      </c>
      <c r="Q608" s="7">
        <v>119.98</v>
      </c>
      <c r="Y608" s="7" t="s">
        <v>3183</v>
      </c>
      <c r="Z608" s="7" t="s">
        <v>178</v>
      </c>
      <c r="AA608" s="7">
        <v>91384</v>
      </c>
      <c r="AB608" s="7" t="s">
        <v>45</v>
      </c>
      <c r="AD608" s="11"/>
      <c r="AE608" s="11"/>
      <c r="AF608" s="11"/>
      <c r="AG608" s="10">
        <f t="shared" si="9"/>
        <v>43328</v>
      </c>
    </row>
    <row r="609" s="7" customFormat="1" spans="1:33">
      <c r="A609" s="7" t="s">
        <v>3187</v>
      </c>
      <c r="B609" s="7" t="s">
        <v>3187</v>
      </c>
      <c r="C609" s="7" t="s">
        <v>3188</v>
      </c>
      <c r="D609" s="7" t="s">
        <v>3189</v>
      </c>
      <c r="E609" s="7" t="s">
        <v>49</v>
      </c>
      <c r="F609" s="7" t="s">
        <v>34</v>
      </c>
      <c r="G609" s="7" t="s">
        <v>35</v>
      </c>
      <c r="J609" s="7" t="s">
        <v>50</v>
      </c>
      <c r="K609" s="7" t="s">
        <v>1270</v>
      </c>
      <c r="L609" s="7" t="s">
        <v>1271</v>
      </c>
      <c r="M609" s="7" t="s">
        <v>1272</v>
      </c>
      <c r="N609" s="7" t="s">
        <v>49</v>
      </c>
      <c r="O609" s="7">
        <v>1</v>
      </c>
      <c r="P609" s="7" t="s">
        <v>41</v>
      </c>
      <c r="Q609" s="7">
        <v>23.99</v>
      </c>
      <c r="Y609" s="7" t="s">
        <v>3190</v>
      </c>
      <c r="Z609" s="7" t="s">
        <v>266</v>
      </c>
      <c r="AA609" s="7">
        <v>33030</v>
      </c>
      <c r="AB609" s="7" t="s">
        <v>45</v>
      </c>
      <c r="AD609" s="11"/>
      <c r="AE609" s="11"/>
      <c r="AF609" s="11"/>
      <c r="AG609" s="10">
        <f t="shared" si="9"/>
        <v>43328</v>
      </c>
    </row>
    <row r="610" s="7" customFormat="1" spans="1:33">
      <c r="A610" s="7" t="s">
        <v>3191</v>
      </c>
      <c r="B610" s="7" t="s">
        <v>3191</v>
      </c>
      <c r="C610" s="7" t="s">
        <v>3192</v>
      </c>
      <c r="D610" s="7" t="s">
        <v>3193</v>
      </c>
      <c r="E610" s="7" t="s">
        <v>49</v>
      </c>
      <c r="F610" s="7" t="s">
        <v>34</v>
      </c>
      <c r="G610" s="7" t="s">
        <v>35</v>
      </c>
      <c r="J610" s="7" t="s">
        <v>151</v>
      </c>
      <c r="K610" s="7" t="s">
        <v>611</v>
      </c>
      <c r="L610" s="7" t="s">
        <v>612</v>
      </c>
      <c r="M610" s="7" t="s">
        <v>613</v>
      </c>
      <c r="N610" s="7" t="s">
        <v>49</v>
      </c>
      <c r="O610" s="7">
        <v>1</v>
      </c>
      <c r="P610" s="7" t="s">
        <v>41</v>
      </c>
      <c r="Q610" s="7">
        <v>89.99</v>
      </c>
      <c r="S610" s="7">
        <v>5.99</v>
      </c>
      <c r="X610" s="7">
        <v>5.99</v>
      </c>
      <c r="Y610" s="7" t="s">
        <v>2269</v>
      </c>
      <c r="Z610" s="7" t="s">
        <v>382</v>
      </c>
      <c r="AA610" s="7" t="s">
        <v>3194</v>
      </c>
      <c r="AB610" s="7" t="s">
        <v>45</v>
      </c>
      <c r="AD610" s="11"/>
      <c r="AE610" s="11"/>
      <c r="AF610" s="11"/>
      <c r="AG610" s="10">
        <f t="shared" si="9"/>
        <v>43328</v>
      </c>
    </row>
    <row r="611" s="7" customFormat="1" spans="1:33">
      <c r="A611" s="7" t="s">
        <v>3195</v>
      </c>
      <c r="B611" s="7" t="s">
        <v>3195</v>
      </c>
      <c r="C611" s="7" t="s">
        <v>3196</v>
      </c>
      <c r="D611" s="7" t="s">
        <v>3197</v>
      </c>
      <c r="E611" s="7" t="s">
        <v>49</v>
      </c>
      <c r="F611" s="7" t="s">
        <v>34</v>
      </c>
      <c r="G611" s="7" t="s">
        <v>35</v>
      </c>
      <c r="J611" s="7" t="s">
        <v>36</v>
      </c>
      <c r="K611" s="7" t="s">
        <v>60</v>
      </c>
      <c r="L611" s="7" t="s">
        <v>61</v>
      </c>
      <c r="M611" s="7" t="s">
        <v>62</v>
      </c>
      <c r="N611" s="7" t="s">
        <v>49</v>
      </c>
      <c r="O611" s="7">
        <v>1</v>
      </c>
      <c r="P611" s="7" t="s">
        <v>41</v>
      </c>
      <c r="Q611" s="7">
        <v>21.99</v>
      </c>
      <c r="W611" s="7">
        <v>21.77</v>
      </c>
      <c r="Y611" s="7" t="s">
        <v>3164</v>
      </c>
      <c r="Z611" s="7" t="s">
        <v>221</v>
      </c>
      <c r="AA611" s="7">
        <v>60134</v>
      </c>
      <c r="AB611" s="7" t="s">
        <v>45</v>
      </c>
      <c r="AC611" s="7" t="s">
        <v>66</v>
      </c>
      <c r="AD611" s="11"/>
      <c r="AE611" s="11"/>
      <c r="AF611" s="11"/>
      <c r="AG611" s="10">
        <f t="shared" si="9"/>
        <v>43328</v>
      </c>
    </row>
    <row r="612" s="7" customFormat="1" spans="1:33">
      <c r="A612" s="7" t="s">
        <v>3198</v>
      </c>
      <c r="B612" s="7" t="s">
        <v>3198</v>
      </c>
      <c r="C612" s="7" t="s">
        <v>3199</v>
      </c>
      <c r="D612" s="7" t="s">
        <v>3200</v>
      </c>
      <c r="E612" s="7" t="s">
        <v>49</v>
      </c>
      <c r="F612" s="7" t="s">
        <v>34</v>
      </c>
      <c r="G612" s="7" t="s">
        <v>35</v>
      </c>
      <c r="J612" s="7" t="s">
        <v>50</v>
      </c>
      <c r="K612" s="7" t="s">
        <v>235</v>
      </c>
      <c r="L612" s="7" t="s">
        <v>236</v>
      </c>
      <c r="M612" s="7" t="s">
        <v>237</v>
      </c>
      <c r="N612" s="7" t="s">
        <v>49</v>
      </c>
      <c r="O612" s="7">
        <v>1</v>
      </c>
      <c r="P612" s="7" t="s">
        <v>41</v>
      </c>
      <c r="Q612" s="7">
        <v>99.99</v>
      </c>
      <c r="Y612" s="7" t="s">
        <v>459</v>
      </c>
      <c r="Z612" s="7" t="s">
        <v>346</v>
      </c>
      <c r="AA612" s="7" t="s">
        <v>3201</v>
      </c>
      <c r="AB612" s="7" t="s">
        <v>45</v>
      </c>
      <c r="AD612" s="11"/>
      <c r="AE612" s="11"/>
      <c r="AF612" s="11"/>
      <c r="AG612" s="10">
        <f t="shared" si="9"/>
        <v>43328</v>
      </c>
    </row>
    <row r="613" s="7" customFormat="1" spans="1:33">
      <c r="A613" s="7" t="s">
        <v>3202</v>
      </c>
      <c r="B613" s="7" t="s">
        <v>3202</v>
      </c>
      <c r="C613" s="7" t="s">
        <v>3203</v>
      </c>
      <c r="D613" s="7" t="s">
        <v>3204</v>
      </c>
      <c r="E613" s="7" t="s">
        <v>49</v>
      </c>
      <c r="F613" s="7" t="s">
        <v>34</v>
      </c>
      <c r="G613" s="7" t="s">
        <v>35</v>
      </c>
      <c r="J613" s="7" t="s">
        <v>50</v>
      </c>
      <c r="K613" s="7" t="s">
        <v>289</v>
      </c>
      <c r="L613" s="7" t="s">
        <v>290</v>
      </c>
      <c r="M613" s="7" t="s">
        <v>291</v>
      </c>
      <c r="N613" s="7" t="s">
        <v>49</v>
      </c>
      <c r="O613" s="7">
        <v>1</v>
      </c>
      <c r="P613" s="7" t="s">
        <v>41</v>
      </c>
      <c r="Q613" s="7">
        <v>89.99</v>
      </c>
      <c r="Y613" s="7" t="s">
        <v>3205</v>
      </c>
      <c r="Z613" s="7" t="s">
        <v>2408</v>
      </c>
      <c r="AA613" s="7" t="s">
        <v>3206</v>
      </c>
      <c r="AB613" s="7" t="s">
        <v>45</v>
      </c>
      <c r="AD613" s="11"/>
      <c r="AE613" s="11"/>
      <c r="AF613" s="11"/>
      <c r="AG613" s="10">
        <f t="shared" si="9"/>
        <v>43328</v>
      </c>
    </row>
    <row r="614" s="7" customFormat="1" spans="1:33">
      <c r="A614" s="7" t="s">
        <v>3207</v>
      </c>
      <c r="B614" s="7" t="s">
        <v>3207</v>
      </c>
      <c r="C614" s="7" t="s">
        <v>3208</v>
      </c>
      <c r="D614" s="7" t="s">
        <v>3209</v>
      </c>
      <c r="E614" s="7" t="s">
        <v>49</v>
      </c>
      <c r="F614" s="7" t="s">
        <v>34</v>
      </c>
      <c r="G614" s="7" t="s">
        <v>35</v>
      </c>
      <c r="J614" s="7" t="s">
        <v>50</v>
      </c>
      <c r="K614" s="7" t="s">
        <v>2413</v>
      </c>
      <c r="L614" s="7" t="s">
        <v>143</v>
      </c>
      <c r="M614" s="7" t="s">
        <v>144</v>
      </c>
      <c r="N614" s="7" t="s">
        <v>49</v>
      </c>
      <c r="O614" s="7">
        <v>1</v>
      </c>
      <c r="P614" s="7" t="s">
        <v>41</v>
      </c>
      <c r="Q614" s="7">
        <v>79.99</v>
      </c>
      <c r="Y614" s="7" t="s">
        <v>172</v>
      </c>
      <c r="Z614" s="7" t="s">
        <v>98</v>
      </c>
      <c r="AA614" s="7" t="s">
        <v>3210</v>
      </c>
      <c r="AB614" s="7" t="s">
        <v>45</v>
      </c>
      <c r="AD614" s="11"/>
      <c r="AE614" s="11"/>
      <c r="AF614" s="11"/>
      <c r="AG614" s="10">
        <f t="shared" si="9"/>
        <v>43328</v>
      </c>
    </row>
    <row r="615" s="7" customFormat="1" spans="1:33">
      <c r="A615" s="7" t="s">
        <v>3211</v>
      </c>
      <c r="B615" s="7" t="s">
        <v>3211</v>
      </c>
      <c r="C615" s="7" t="s">
        <v>3212</v>
      </c>
      <c r="D615" s="7" t="s">
        <v>3213</v>
      </c>
      <c r="E615" s="7" t="s">
        <v>49</v>
      </c>
      <c r="F615" s="7" t="s">
        <v>34</v>
      </c>
      <c r="G615" s="7" t="s">
        <v>35</v>
      </c>
      <c r="J615" s="7" t="s">
        <v>36</v>
      </c>
      <c r="K615" s="7" t="s">
        <v>1205</v>
      </c>
      <c r="L615" s="7" t="s">
        <v>1206</v>
      </c>
      <c r="M615" s="7" t="s">
        <v>1207</v>
      </c>
      <c r="N615" s="7" t="s">
        <v>49</v>
      </c>
      <c r="O615" s="7">
        <v>1</v>
      </c>
      <c r="P615" s="7" t="s">
        <v>41</v>
      </c>
      <c r="Q615" s="7">
        <v>89.99</v>
      </c>
      <c r="U615" s="7">
        <v>3.99</v>
      </c>
      <c r="Y615" s="7" t="s">
        <v>3214</v>
      </c>
      <c r="Z615" s="7" t="s">
        <v>43</v>
      </c>
      <c r="AA615" s="7" t="s">
        <v>3215</v>
      </c>
      <c r="AB615" s="7" t="s">
        <v>45</v>
      </c>
      <c r="AD615" s="11"/>
      <c r="AE615" s="11"/>
      <c r="AF615" s="11"/>
      <c r="AG615" s="10">
        <f t="shared" si="9"/>
        <v>43328</v>
      </c>
    </row>
    <row r="616" s="7" customFormat="1" spans="1:33">
      <c r="A616" s="7" t="s">
        <v>3216</v>
      </c>
      <c r="B616" s="7" t="s">
        <v>3216</v>
      </c>
      <c r="C616" s="7" t="s">
        <v>3217</v>
      </c>
      <c r="D616" s="7" t="s">
        <v>3218</v>
      </c>
      <c r="E616" s="7" t="s">
        <v>49</v>
      </c>
      <c r="F616" s="7" t="s">
        <v>34</v>
      </c>
      <c r="G616" s="7" t="s">
        <v>35</v>
      </c>
      <c r="J616" s="7" t="s">
        <v>50</v>
      </c>
      <c r="K616" s="7" t="s">
        <v>2248</v>
      </c>
      <c r="L616" s="7" t="s">
        <v>746</v>
      </c>
      <c r="M616" s="7" t="s">
        <v>747</v>
      </c>
      <c r="N616" s="7" t="s">
        <v>49</v>
      </c>
      <c r="O616" s="7">
        <v>1</v>
      </c>
      <c r="P616" s="7" t="s">
        <v>41</v>
      </c>
      <c r="Q616" s="7">
        <v>89.99</v>
      </c>
      <c r="Y616" s="7" t="s">
        <v>2506</v>
      </c>
      <c r="Z616" s="7" t="s">
        <v>64</v>
      </c>
      <c r="AA616" s="7" t="s">
        <v>3219</v>
      </c>
      <c r="AB616" s="7" t="s">
        <v>45</v>
      </c>
      <c r="AD616" s="11"/>
      <c r="AE616" s="11"/>
      <c r="AF616" s="11"/>
      <c r="AG616" s="10">
        <f t="shared" si="9"/>
        <v>43328</v>
      </c>
    </row>
    <row r="617" s="7" customFormat="1" spans="1:33">
      <c r="A617" s="7" t="s">
        <v>3220</v>
      </c>
      <c r="B617" s="7" t="s">
        <v>3220</v>
      </c>
      <c r="C617" s="7" t="s">
        <v>3221</v>
      </c>
      <c r="D617" s="7" t="s">
        <v>3222</v>
      </c>
      <c r="E617" s="7" t="s">
        <v>49</v>
      </c>
      <c r="F617" s="7" t="s">
        <v>34</v>
      </c>
      <c r="G617" s="7" t="s">
        <v>35</v>
      </c>
      <c r="J617" s="7" t="s">
        <v>50</v>
      </c>
      <c r="K617" s="7" t="s">
        <v>603</v>
      </c>
      <c r="L617" s="7" t="s">
        <v>604</v>
      </c>
      <c r="M617" s="7" t="s">
        <v>605</v>
      </c>
      <c r="N617" s="7" t="s">
        <v>49</v>
      </c>
      <c r="O617" s="7">
        <v>1</v>
      </c>
      <c r="P617" s="7" t="s">
        <v>41</v>
      </c>
      <c r="Q617" s="7">
        <v>99.99</v>
      </c>
      <c r="Y617" s="7" t="s">
        <v>371</v>
      </c>
      <c r="Z617" s="7" t="s">
        <v>2558</v>
      </c>
      <c r="AA617" s="7" t="s">
        <v>3223</v>
      </c>
      <c r="AB617" s="7" t="s">
        <v>45</v>
      </c>
      <c r="AD617" s="11"/>
      <c r="AE617" s="11"/>
      <c r="AF617" s="11"/>
      <c r="AG617" s="10">
        <f t="shared" si="9"/>
        <v>43328</v>
      </c>
    </row>
    <row r="618" s="7" customFormat="1" spans="1:33">
      <c r="A618" s="7" t="s">
        <v>3224</v>
      </c>
      <c r="B618" s="7" t="s">
        <v>3224</v>
      </c>
      <c r="C618" s="7" t="s">
        <v>3225</v>
      </c>
      <c r="D618" s="7" t="s">
        <v>3226</v>
      </c>
      <c r="E618" s="7" t="s">
        <v>33</v>
      </c>
      <c r="F618" s="7" t="s">
        <v>34</v>
      </c>
      <c r="G618" s="7" t="s">
        <v>35</v>
      </c>
      <c r="J618" s="7" t="s">
        <v>50</v>
      </c>
      <c r="K618" s="7" t="s">
        <v>3227</v>
      </c>
      <c r="L618" s="7" t="s">
        <v>3228</v>
      </c>
      <c r="M618" s="7" t="s">
        <v>3229</v>
      </c>
      <c r="N618" s="7" t="s">
        <v>33</v>
      </c>
      <c r="O618" s="7">
        <v>0</v>
      </c>
      <c r="Y618" s="7" t="s">
        <v>3230</v>
      </c>
      <c r="Z618" s="7" t="s">
        <v>178</v>
      </c>
      <c r="AA618" s="7" t="s">
        <v>3231</v>
      </c>
      <c r="AB618" s="7" t="s">
        <v>45</v>
      </c>
      <c r="AD618" s="8"/>
      <c r="AE618" s="8"/>
      <c r="AF618" s="8"/>
      <c r="AG618" s="10">
        <f t="shared" si="9"/>
        <v>43328</v>
      </c>
    </row>
    <row r="619" s="7" customFormat="1" spans="1:33">
      <c r="A619" s="7" t="s">
        <v>3232</v>
      </c>
      <c r="B619" s="7" t="s">
        <v>3232</v>
      </c>
      <c r="C619" s="7" t="s">
        <v>3233</v>
      </c>
      <c r="D619" s="7" t="s">
        <v>3234</v>
      </c>
      <c r="E619" s="7" t="s">
        <v>49</v>
      </c>
      <c r="F619" s="7" t="s">
        <v>34</v>
      </c>
      <c r="G619" s="7" t="s">
        <v>35</v>
      </c>
      <c r="J619" s="7" t="s">
        <v>50</v>
      </c>
      <c r="K619" s="7" t="s">
        <v>2188</v>
      </c>
      <c r="L619" s="7" t="s">
        <v>2189</v>
      </c>
      <c r="M619" s="7" t="s">
        <v>2190</v>
      </c>
      <c r="N619" s="7" t="s">
        <v>49</v>
      </c>
      <c r="O619" s="7">
        <v>1</v>
      </c>
      <c r="P619" s="7" t="s">
        <v>41</v>
      </c>
      <c r="Q619" s="7">
        <v>23.99</v>
      </c>
      <c r="Y619" s="7" t="s">
        <v>3235</v>
      </c>
      <c r="Z619" s="7" t="s">
        <v>184</v>
      </c>
      <c r="AA619" s="7" t="s">
        <v>3236</v>
      </c>
      <c r="AB619" s="7" t="s">
        <v>45</v>
      </c>
      <c r="AD619" s="11"/>
      <c r="AE619" s="11"/>
      <c r="AF619" s="11"/>
      <c r="AG619" s="10">
        <f t="shared" si="9"/>
        <v>43328</v>
      </c>
    </row>
    <row r="620" s="7" customFormat="1" spans="1:33">
      <c r="A620" s="7" t="s">
        <v>3237</v>
      </c>
      <c r="B620" s="7" t="s">
        <v>3237</v>
      </c>
      <c r="C620" s="7" t="s">
        <v>3238</v>
      </c>
      <c r="D620" s="7" t="s">
        <v>3239</v>
      </c>
      <c r="E620" s="7" t="s">
        <v>49</v>
      </c>
      <c r="F620" s="7" t="s">
        <v>34</v>
      </c>
      <c r="G620" s="7" t="s">
        <v>35</v>
      </c>
      <c r="J620" s="7" t="s">
        <v>50</v>
      </c>
      <c r="K620" s="7" t="s">
        <v>2489</v>
      </c>
      <c r="L620" s="7" t="s">
        <v>2490</v>
      </c>
      <c r="M620" s="7" t="s">
        <v>2491</v>
      </c>
      <c r="N620" s="7" t="s">
        <v>49</v>
      </c>
      <c r="O620" s="7">
        <v>1</v>
      </c>
      <c r="P620" s="7" t="s">
        <v>41</v>
      </c>
      <c r="Q620" s="7">
        <v>59.99</v>
      </c>
      <c r="R620" s="7">
        <v>3.6</v>
      </c>
      <c r="Y620" s="7" t="s">
        <v>3240</v>
      </c>
      <c r="Z620" s="7" t="s">
        <v>124</v>
      </c>
      <c r="AA620" s="7" t="s">
        <v>3241</v>
      </c>
      <c r="AB620" s="7" t="s">
        <v>45</v>
      </c>
      <c r="AD620" s="11"/>
      <c r="AE620" s="11"/>
      <c r="AF620" s="11"/>
      <c r="AG620" s="10">
        <f t="shared" si="9"/>
        <v>43328</v>
      </c>
    </row>
    <row r="621" s="7" customFormat="1" spans="1:33">
      <c r="A621" s="7" t="s">
        <v>3242</v>
      </c>
      <c r="B621" s="7" t="s">
        <v>3242</v>
      </c>
      <c r="C621" s="7" t="s">
        <v>3243</v>
      </c>
      <c r="D621" s="7" t="s">
        <v>3244</v>
      </c>
      <c r="E621" s="7" t="s">
        <v>49</v>
      </c>
      <c r="F621" s="7" t="s">
        <v>34</v>
      </c>
      <c r="G621" s="7" t="s">
        <v>35</v>
      </c>
      <c r="J621" s="7" t="s">
        <v>36</v>
      </c>
      <c r="K621" s="7" t="s">
        <v>595</v>
      </c>
      <c r="L621" s="7" t="s">
        <v>596</v>
      </c>
      <c r="M621" s="7" t="s">
        <v>597</v>
      </c>
      <c r="N621" s="7" t="s">
        <v>49</v>
      </c>
      <c r="O621" s="7">
        <v>1</v>
      </c>
      <c r="P621" s="7" t="s">
        <v>41</v>
      </c>
      <c r="Q621" s="7">
        <v>21.99</v>
      </c>
      <c r="S621" s="7">
        <v>0.37</v>
      </c>
      <c r="Y621" s="7" t="s">
        <v>3245</v>
      </c>
      <c r="Z621" s="7" t="s">
        <v>92</v>
      </c>
      <c r="AA621" s="7" t="s">
        <v>3246</v>
      </c>
      <c r="AB621" s="7" t="s">
        <v>45</v>
      </c>
      <c r="AD621" s="11"/>
      <c r="AE621" s="11"/>
      <c r="AF621" s="11"/>
      <c r="AG621" s="10">
        <f t="shared" si="9"/>
        <v>43328</v>
      </c>
    </row>
    <row r="622" s="7" customFormat="1" spans="1:33">
      <c r="A622" s="7" t="s">
        <v>3247</v>
      </c>
      <c r="B622" s="7" t="s">
        <v>3247</v>
      </c>
      <c r="C622" s="7" t="s">
        <v>3248</v>
      </c>
      <c r="D622" s="7" t="s">
        <v>3249</v>
      </c>
      <c r="E622" s="7" t="s">
        <v>49</v>
      </c>
      <c r="F622" s="7" t="s">
        <v>34</v>
      </c>
      <c r="G622" s="7" t="s">
        <v>35</v>
      </c>
      <c r="J622" s="7" t="s">
        <v>151</v>
      </c>
      <c r="K622" s="7" t="s">
        <v>3250</v>
      </c>
      <c r="L622" s="7" t="s">
        <v>3251</v>
      </c>
      <c r="M622" s="7" t="s">
        <v>3252</v>
      </c>
      <c r="N622" s="7" t="s">
        <v>49</v>
      </c>
      <c r="O622" s="7">
        <v>1</v>
      </c>
      <c r="P622" s="7" t="s">
        <v>41</v>
      </c>
      <c r="Q622" s="7">
        <v>69.99</v>
      </c>
      <c r="S622" s="7">
        <v>10.99</v>
      </c>
      <c r="Y622" s="7" t="s">
        <v>3253</v>
      </c>
      <c r="Z622" s="7" t="s">
        <v>331</v>
      </c>
      <c r="AA622" s="7" t="s">
        <v>3254</v>
      </c>
      <c r="AB622" s="7" t="s">
        <v>45</v>
      </c>
      <c r="AD622" s="11"/>
      <c r="AE622" s="11"/>
      <c r="AF622" s="11"/>
      <c r="AG622" s="10">
        <f t="shared" si="9"/>
        <v>43328</v>
      </c>
    </row>
    <row r="623" s="7" customFormat="1" spans="1:33">
      <c r="A623" s="7" t="s">
        <v>3255</v>
      </c>
      <c r="B623" s="7" t="s">
        <v>3255</v>
      </c>
      <c r="C623" s="7" t="s">
        <v>3256</v>
      </c>
      <c r="D623" s="7" t="s">
        <v>3257</v>
      </c>
      <c r="E623" s="7" t="s">
        <v>33</v>
      </c>
      <c r="F623" s="7" t="s">
        <v>34</v>
      </c>
      <c r="G623" s="7" t="s">
        <v>35</v>
      </c>
      <c r="J623" s="7" t="s">
        <v>50</v>
      </c>
      <c r="K623" s="7" t="s">
        <v>2413</v>
      </c>
      <c r="L623" s="7" t="s">
        <v>143</v>
      </c>
      <c r="M623" s="7" t="s">
        <v>144</v>
      </c>
      <c r="N623" s="7" t="s">
        <v>33</v>
      </c>
      <c r="O623" s="7">
        <v>0</v>
      </c>
      <c r="Y623" s="7" t="s">
        <v>3258</v>
      </c>
      <c r="Z623" s="7" t="s">
        <v>43</v>
      </c>
      <c r="AA623" s="7" t="s">
        <v>3259</v>
      </c>
      <c r="AB623" s="7" t="s">
        <v>45</v>
      </c>
      <c r="AD623" s="11"/>
      <c r="AE623" s="11"/>
      <c r="AF623" s="11"/>
      <c r="AG623" s="10">
        <f t="shared" si="9"/>
        <v>43328</v>
      </c>
    </row>
    <row r="624" s="7" customFormat="1" spans="1:33">
      <c r="A624" s="7" t="s">
        <v>3260</v>
      </c>
      <c r="B624" s="7" t="s">
        <v>3260</v>
      </c>
      <c r="C624" s="7" t="s">
        <v>3261</v>
      </c>
      <c r="D624" s="7" t="s">
        <v>3262</v>
      </c>
      <c r="E624" s="7" t="s">
        <v>49</v>
      </c>
      <c r="F624" s="7" t="s">
        <v>34</v>
      </c>
      <c r="G624" s="7" t="s">
        <v>35</v>
      </c>
      <c r="J624" s="7" t="s">
        <v>50</v>
      </c>
      <c r="K624" s="7" t="s">
        <v>2363</v>
      </c>
      <c r="L624" s="7" t="s">
        <v>89</v>
      </c>
      <c r="M624" s="7" t="s">
        <v>90</v>
      </c>
      <c r="N624" s="7" t="s">
        <v>49</v>
      </c>
      <c r="O624" s="7">
        <v>1</v>
      </c>
      <c r="P624" s="7" t="s">
        <v>41</v>
      </c>
      <c r="Q624" s="7">
        <v>89.99</v>
      </c>
      <c r="Y624" s="7" t="s">
        <v>3263</v>
      </c>
      <c r="Z624" s="7" t="s">
        <v>714</v>
      </c>
      <c r="AA624" s="7" t="s">
        <v>3264</v>
      </c>
      <c r="AB624" s="7" t="s">
        <v>45</v>
      </c>
      <c r="AD624" s="11"/>
      <c r="AE624" s="11"/>
      <c r="AF624" s="11"/>
      <c r="AG624" s="10">
        <f t="shared" si="9"/>
        <v>43328</v>
      </c>
    </row>
    <row r="625" s="7" customFormat="1" spans="1:33">
      <c r="A625" s="7" t="s">
        <v>3265</v>
      </c>
      <c r="B625" s="7" t="s">
        <v>3265</v>
      </c>
      <c r="C625" s="7" t="s">
        <v>3266</v>
      </c>
      <c r="D625" s="7" t="s">
        <v>3267</v>
      </c>
      <c r="E625" s="7" t="s">
        <v>49</v>
      </c>
      <c r="F625" s="7" t="s">
        <v>34</v>
      </c>
      <c r="G625" s="7" t="s">
        <v>35</v>
      </c>
      <c r="J625" s="7" t="s">
        <v>326</v>
      </c>
      <c r="K625" s="7" t="s">
        <v>208</v>
      </c>
      <c r="L625" s="7" t="s">
        <v>209</v>
      </c>
      <c r="M625" s="7" t="s">
        <v>210</v>
      </c>
      <c r="N625" s="7" t="s">
        <v>49</v>
      </c>
      <c r="O625" s="7">
        <v>1</v>
      </c>
      <c r="P625" s="7" t="s">
        <v>41</v>
      </c>
      <c r="Q625" s="7">
        <v>89.99</v>
      </c>
      <c r="Y625" s="7" t="s">
        <v>2501</v>
      </c>
      <c r="Z625" s="7" t="s">
        <v>2502</v>
      </c>
      <c r="AA625" s="7">
        <v>77091</v>
      </c>
      <c r="AB625" s="7" t="s">
        <v>45</v>
      </c>
      <c r="AD625" s="11"/>
      <c r="AE625" s="11"/>
      <c r="AF625" s="11"/>
      <c r="AG625" s="10">
        <f t="shared" si="9"/>
        <v>43328</v>
      </c>
    </row>
    <row r="626" s="7" customFormat="1" spans="1:33">
      <c r="A626" s="7" t="s">
        <v>3268</v>
      </c>
      <c r="B626" s="7" t="s">
        <v>3268</v>
      </c>
      <c r="C626" s="7" t="s">
        <v>3269</v>
      </c>
      <c r="D626" s="7" t="s">
        <v>3270</v>
      </c>
      <c r="E626" s="7" t="s">
        <v>33</v>
      </c>
      <c r="F626" s="7" t="s">
        <v>34</v>
      </c>
      <c r="G626" s="7" t="s">
        <v>35</v>
      </c>
      <c r="J626" s="7" t="s">
        <v>36</v>
      </c>
      <c r="K626" s="7" t="s">
        <v>2650</v>
      </c>
      <c r="L626" s="7" t="s">
        <v>277</v>
      </c>
      <c r="M626" s="7" t="s">
        <v>278</v>
      </c>
      <c r="N626" s="7" t="s">
        <v>33</v>
      </c>
      <c r="O626" s="7">
        <v>0</v>
      </c>
      <c r="Y626" s="7" t="s">
        <v>3271</v>
      </c>
      <c r="Z626" s="7" t="s">
        <v>124</v>
      </c>
      <c r="AA626" s="7" t="s">
        <v>3272</v>
      </c>
      <c r="AB626" s="7" t="s">
        <v>45</v>
      </c>
      <c r="AD626" s="11"/>
      <c r="AE626" s="11"/>
      <c r="AF626" s="11"/>
      <c r="AG626" s="10">
        <f t="shared" si="9"/>
        <v>43328</v>
      </c>
    </row>
    <row r="627" s="7" customFormat="1" spans="1:33">
      <c r="A627" s="7" t="s">
        <v>3273</v>
      </c>
      <c r="B627" s="7" t="s">
        <v>3273</v>
      </c>
      <c r="C627" s="7" t="s">
        <v>3274</v>
      </c>
      <c r="D627" s="7" t="s">
        <v>3275</v>
      </c>
      <c r="E627" s="7" t="s">
        <v>49</v>
      </c>
      <c r="F627" s="7" t="s">
        <v>34</v>
      </c>
      <c r="G627" s="7" t="s">
        <v>35</v>
      </c>
      <c r="J627" s="7" t="s">
        <v>50</v>
      </c>
      <c r="K627" s="7" t="s">
        <v>2650</v>
      </c>
      <c r="L627" s="7" t="s">
        <v>277</v>
      </c>
      <c r="M627" s="7" t="s">
        <v>278</v>
      </c>
      <c r="N627" s="7" t="s">
        <v>49</v>
      </c>
      <c r="O627" s="7">
        <v>1</v>
      </c>
      <c r="P627" s="7" t="s">
        <v>41</v>
      </c>
      <c r="Q627" s="7">
        <v>91.99</v>
      </c>
      <c r="Y627" s="7" t="s">
        <v>3276</v>
      </c>
      <c r="Z627" s="7" t="s">
        <v>346</v>
      </c>
      <c r="AA627" s="7" t="s">
        <v>3277</v>
      </c>
      <c r="AB627" s="7" t="s">
        <v>45</v>
      </c>
      <c r="AD627" s="11"/>
      <c r="AE627" s="11"/>
      <c r="AF627" s="11"/>
      <c r="AG627" s="10">
        <f t="shared" si="9"/>
        <v>43328</v>
      </c>
    </row>
    <row r="628" s="7" customFormat="1" spans="1:33">
      <c r="A628" s="7" t="s">
        <v>3278</v>
      </c>
      <c r="B628" s="7" t="s">
        <v>3278</v>
      </c>
      <c r="C628" s="7" t="s">
        <v>3279</v>
      </c>
      <c r="D628" s="7" t="s">
        <v>3280</v>
      </c>
      <c r="E628" s="7" t="s">
        <v>49</v>
      </c>
      <c r="F628" s="7" t="s">
        <v>34</v>
      </c>
      <c r="G628" s="7" t="s">
        <v>35</v>
      </c>
      <c r="J628" s="7" t="s">
        <v>36</v>
      </c>
      <c r="K628" s="7" t="s">
        <v>2732</v>
      </c>
      <c r="L628" s="7" t="s">
        <v>1061</v>
      </c>
      <c r="M628" s="7" t="s">
        <v>1062</v>
      </c>
      <c r="N628" s="7" t="s">
        <v>49</v>
      </c>
      <c r="O628" s="7">
        <v>1</v>
      </c>
      <c r="P628" s="7" t="s">
        <v>41</v>
      </c>
      <c r="Q628" s="7">
        <v>89.99</v>
      </c>
      <c r="S628" s="7">
        <v>11.84</v>
      </c>
      <c r="Y628" s="7" t="s">
        <v>3281</v>
      </c>
      <c r="Z628" s="7" t="s">
        <v>2589</v>
      </c>
      <c r="AA628" s="7">
        <v>926</v>
      </c>
      <c r="AB628" s="7" t="s">
        <v>1947</v>
      </c>
      <c r="AD628" s="11"/>
      <c r="AE628" s="11"/>
      <c r="AF628" s="11"/>
      <c r="AG628" s="10">
        <f t="shared" si="9"/>
        <v>43328</v>
      </c>
    </row>
    <row r="629" s="7" customFormat="1" spans="1:33">
      <c r="A629" s="7" t="s">
        <v>3282</v>
      </c>
      <c r="B629" s="7" t="s">
        <v>3282</v>
      </c>
      <c r="C629" s="7" t="s">
        <v>3283</v>
      </c>
      <c r="D629" s="7" t="s">
        <v>3284</v>
      </c>
      <c r="E629" s="7" t="s">
        <v>49</v>
      </c>
      <c r="F629" s="7" t="s">
        <v>34</v>
      </c>
      <c r="G629" s="7" t="s">
        <v>35</v>
      </c>
      <c r="J629" s="7" t="s">
        <v>50</v>
      </c>
      <c r="K629" s="7" t="s">
        <v>656</v>
      </c>
      <c r="L629" s="7" t="s">
        <v>657</v>
      </c>
      <c r="M629" s="7" t="s">
        <v>658</v>
      </c>
      <c r="N629" s="7" t="s">
        <v>49</v>
      </c>
      <c r="O629" s="7">
        <v>1</v>
      </c>
      <c r="P629" s="7" t="s">
        <v>41</v>
      </c>
      <c r="Q629" s="7">
        <v>106.99</v>
      </c>
      <c r="Y629" s="7" t="s">
        <v>3285</v>
      </c>
      <c r="Z629" s="7" t="s">
        <v>459</v>
      </c>
      <c r="AA629" s="7" t="s">
        <v>3286</v>
      </c>
      <c r="AB629" s="7" t="s">
        <v>45</v>
      </c>
      <c r="AD629" s="8"/>
      <c r="AE629" s="8"/>
      <c r="AF629" s="8"/>
      <c r="AG629" s="10">
        <f t="shared" si="9"/>
        <v>43328</v>
      </c>
    </row>
    <row r="630" s="7" customFormat="1" spans="1:33">
      <c r="A630" s="7" t="s">
        <v>3287</v>
      </c>
      <c r="B630" s="7" t="s">
        <v>3287</v>
      </c>
      <c r="C630" s="7" t="s">
        <v>3288</v>
      </c>
      <c r="D630" s="7" t="s">
        <v>3289</v>
      </c>
      <c r="E630" s="7" t="s">
        <v>49</v>
      </c>
      <c r="F630" s="7" t="s">
        <v>34</v>
      </c>
      <c r="G630" s="7" t="s">
        <v>35</v>
      </c>
      <c r="J630" s="7" t="s">
        <v>50</v>
      </c>
      <c r="K630" s="7" t="s">
        <v>256</v>
      </c>
      <c r="L630" s="7" t="s">
        <v>257</v>
      </c>
      <c r="M630" s="7" t="s">
        <v>258</v>
      </c>
      <c r="N630" s="7" t="s">
        <v>49</v>
      </c>
      <c r="O630" s="7">
        <v>1</v>
      </c>
      <c r="P630" s="7" t="s">
        <v>41</v>
      </c>
      <c r="Q630" s="7">
        <v>21.99</v>
      </c>
      <c r="Y630" s="7" t="s">
        <v>998</v>
      </c>
      <c r="Z630" s="7" t="s">
        <v>178</v>
      </c>
      <c r="AA630" s="7" t="s">
        <v>3290</v>
      </c>
      <c r="AB630" s="7" t="s">
        <v>45</v>
      </c>
      <c r="AD630" s="11"/>
      <c r="AE630" s="11"/>
      <c r="AF630" s="11"/>
      <c r="AG630" s="10">
        <f t="shared" si="9"/>
        <v>43328</v>
      </c>
    </row>
    <row r="631" s="7" customFormat="1" spans="1:33">
      <c r="A631" s="7" t="s">
        <v>3291</v>
      </c>
      <c r="B631" s="7" t="s">
        <v>3291</v>
      </c>
      <c r="C631" s="7" t="s">
        <v>3292</v>
      </c>
      <c r="D631" s="7" t="s">
        <v>3293</v>
      </c>
      <c r="E631" s="7" t="s">
        <v>49</v>
      </c>
      <c r="F631" s="7" t="s">
        <v>34</v>
      </c>
      <c r="G631" s="7" t="s">
        <v>35</v>
      </c>
      <c r="J631" s="7" t="s">
        <v>50</v>
      </c>
      <c r="K631" s="7" t="s">
        <v>3294</v>
      </c>
      <c r="L631" s="7" t="s">
        <v>1004</v>
      </c>
      <c r="M631" s="7" t="s">
        <v>1005</v>
      </c>
      <c r="N631" s="7" t="s">
        <v>49</v>
      </c>
      <c r="O631" s="7">
        <v>1</v>
      </c>
      <c r="P631" s="7" t="s">
        <v>41</v>
      </c>
      <c r="Q631" s="7">
        <v>89.99</v>
      </c>
      <c r="Y631" s="7" t="s">
        <v>300</v>
      </c>
      <c r="Z631" s="7" t="s">
        <v>280</v>
      </c>
      <c r="AA631" s="7" t="s">
        <v>301</v>
      </c>
      <c r="AB631" s="7" t="s">
        <v>45</v>
      </c>
      <c r="AD631" s="11"/>
      <c r="AE631" s="11"/>
      <c r="AF631" s="11"/>
      <c r="AG631" s="10">
        <f t="shared" si="9"/>
        <v>43328</v>
      </c>
    </row>
    <row r="632" s="7" customFormat="1" spans="1:33">
      <c r="A632" s="7" t="s">
        <v>3295</v>
      </c>
      <c r="B632" s="7" t="s">
        <v>3295</v>
      </c>
      <c r="C632" s="7" t="s">
        <v>3296</v>
      </c>
      <c r="D632" s="7" t="s">
        <v>3297</v>
      </c>
      <c r="E632" s="7" t="s">
        <v>33</v>
      </c>
      <c r="F632" s="7" t="s">
        <v>34</v>
      </c>
      <c r="G632" s="7" t="s">
        <v>35</v>
      </c>
      <c r="J632" s="7" t="s">
        <v>50</v>
      </c>
      <c r="K632" s="7" t="s">
        <v>2440</v>
      </c>
      <c r="L632" s="7" t="s">
        <v>38</v>
      </c>
      <c r="M632" s="7" t="s">
        <v>39</v>
      </c>
      <c r="N632" s="7" t="s">
        <v>33</v>
      </c>
      <c r="O632" s="7">
        <v>0</v>
      </c>
      <c r="Y632" s="7" t="s">
        <v>2999</v>
      </c>
      <c r="Z632" s="7" t="s">
        <v>346</v>
      </c>
      <c r="AA632" s="7" t="s">
        <v>3298</v>
      </c>
      <c r="AB632" s="7" t="s">
        <v>45</v>
      </c>
      <c r="AD632" s="11"/>
      <c r="AE632" s="11"/>
      <c r="AF632" s="11"/>
      <c r="AG632" s="10">
        <f t="shared" si="9"/>
        <v>43328</v>
      </c>
    </row>
    <row r="633" s="7" customFormat="1" spans="1:33">
      <c r="A633" s="7" t="s">
        <v>3299</v>
      </c>
      <c r="B633" s="7" t="s">
        <v>3299</v>
      </c>
      <c r="C633" s="7" t="s">
        <v>3300</v>
      </c>
      <c r="D633" s="7" t="s">
        <v>3301</v>
      </c>
      <c r="E633" s="7" t="s">
        <v>49</v>
      </c>
      <c r="F633" s="7" t="s">
        <v>34</v>
      </c>
      <c r="G633" s="7" t="s">
        <v>35</v>
      </c>
      <c r="J633" s="7" t="s">
        <v>36</v>
      </c>
      <c r="K633" s="7" t="s">
        <v>70</v>
      </c>
      <c r="L633" s="7" t="s">
        <v>71</v>
      </c>
      <c r="M633" s="7" t="s">
        <v>72</v>
      </c>
      <c r="N633" s="7" t="s">
        <v>49</v>
      </c>
      <c r="O633" s="7">
        <v>1</v>
      </c>
      <c r="P633" s="7" t="s">
        <v>41</v>
      </c>
      <c r="Q633" s="7">
        <v>96.99</v>
      </c>
      <c r="S633" s="7">
        <v>7.14</v>
      </c>
      <c r="X633" s="7">
        <v>7.14</v>
      </c>
      <c r="Y633" s="7" t="s">
        <v>3302</v>
      </c>
      <c r="Z633" s="7" t="s">
        <v>83</v>
      </c>
      <c r="AA633" s="7" t="s">
        <v>3303</v>
      </c>
      <c r="AB633" s="7" t="s">
        <v>45</v>
      </c>
      <c r="AC633" s="7" t="s">
        <v>549</v>
      </c>
      <c r="AD633" s="11"/>
      <c r="AE633" s="11"/>
      <c r="AF633" s="11"/>
      <c r="AG633" s="10">
        <f t="shared" si="9"/>
        <v>43328</v>
      </c>
    </row>
    <row r="634" s="7" customFormat="1" spans="1:33">
      <c r="A634" s="7" t="s">
        <v>3304</v>
      </c>
      <c r="B634" s="7" t="s">
        <v>3304</v>
      </c>
      <c r="C634" s="7" t="s">
        <v>3305</v>
      </c>
      <c r="D634" s="7" t="s">
        <v>3306</v>
      </c>
      <c r="E634" s="7" t="s">
        <v>33</v>
      </c>
      <c r="F634" s="7" t="s">
        <v>34</v>
      </c>
      <c r="G634" s="7" t="s">
        <v>35</v>
      </c>
      <c r="J634" s="7" t="s">
        <v>50</v>
      </c>
      <c r="K634" s="7" t="s">
        <v>2440</v>
      </c>
      <c r="L634" s="7" t="s">
        <v>38</v>
      </c>
      <c r="M634" s="7" t="s">
        <v>39</v>
      </c>
      <c r="N634" s="7" t="s">
        <v>40</v>
      </c>
      <c r="O634" s="7">
        <v>1</v>
      </c>
      <c r="P634" s="7" t="s">
        <v>41</v>
      </c>
      <c r="Q634" s="7">
        <v>89.99</v>
      </c>
      <c r="Y634" s="7" t="s">
        <v>3307</v>
      </c>
      <c r="Z634" s="7" t="s">
        <v>3308</v>
      </c>
      <c r="AA634" s="7">
        <v>42303</v>
      </c>
      <c r="AB634" s="7" t="s">
        <v>45</v>
      </c>
      <c r="AD634" s="11"/>
      <c r="AE634" s="11"/>
      <c r="AF634" s="11"/>
      <c r="AG634" s="10">
        <f t="shared" si="9"/>
        <v>43328</v>
      </c>
    </row>
    <row r="635" s="7" customFormat="1" spans="1:33">
      <c r="A635" s="7" t="s">
        <v>3309</v>
      </c>
      <c r="B635" s="7" t="s">
        <v>3309</v>
      </c>
      <c r="C635" s="7" t="s">
        <v>3310</v>
      </c>
      <c r="D635" s="7" t="s">
        <v>3311</v>
      </c>
      <c r="E635" s="7" t="s">
        <v>49</v>
      </c>
      <c r="F635" s="7" t="s">
        <v>34</v>
      </c>
      <c r="G635" s="7" t="s">
        <v>35</v>
      </c>
      <c r="J635" s="7" t="s">
        <v>326</v>
      </c>
      <c r="K635" s="7" t="s">
        <v>2732</v>
      </c>
      <c r="L635" s="7" t="s">
        <v>1061</v>
      </c>
      <c r="M635" s="7" t="s">
        <v>1062</v>
      </c>
      <c r="N635" s="7" t="s">
        <v>49</v>
      </c>
      <c r="O635" s="7">
        <v>1</v>
      </c>
      <c r="P635" s="7" t="s">
        <v>41</v>
      </c>
      <c r="Q635" s="7">
        <v>89.99</v>
      </c>
      <c r="S635" s="7">
        <v>7.99</v>
      </c>
      <c r="Y635" s="7" t="s">
        <v>3245</v>
      </c>
      <c r="Z635" s="7" t="s">
        <v>1381</v>
      </c>
      <c r="AA635" s="7">
        <v>30673</v>
      </c>
      <c r="AB635" s="7" t="s">
        <v>45</v>
      </c>
      <c r="AD635" s="11"/>
      <c r="AE635" s="11"/>
      <c r="AF635" s="11"/>
      <c r="AG635" s="10">
        <f t="shared" si="9"/>
        <v>43328</v>
      </c>
    </row>
    <row r="636" s="7" customFormat="1" spans="1:33">
      <c r="A636" s="7" t="s">
        <v>3312</v>
      </c>
      <c r="B636" s="7" t="s">
        <v>3312</v>
      </c>
      <c r="C636" s="7" t="s">
        <v>3313</v>
      </c>
      <c r="D636" s="7" t="s">
        <v>3314</v>
      </c>
      <c r="E636" s="7" t="s">
        <v>49</v>
      </c>
      <c r="F636" s="7" t="s">
        <v>34</v>
      </c>
      <c r="G636" s="7" t="s">
        <v>35</v>
      </c>
      <c r="J636" s="7" t="s">
        <v>50</v>
      </c>
      <c r="K636" s="7" t="s">
        <v>197</v>
      </c>
      <c r="L636" s="7" t="s">
        <v>977</v>
      </c>
      <c r="M636" s="7" t="s">
        <v>199</v>
      </c>
      <c r="N636" s="7" t="s">
        <v>49</v>
      </c>
      <c r="O636" s="7">
        <v>1</v>
      </c>
      <c r="P636" s="7" t="s">
        <v>41</v>
      </c>
      <c r="Q636" s="7">
        <v>21.99</v>
      </c>
      <c r="Y636" s="7" t="s">
        <v>3315</v>
      </c>
      <c r="Z636" s="7" t="s">
        <v>3315</v>
      </c>
      <c r="AA636" s="7">
        <v>10019</v>
      </c>
      <c r="AB636" s="7" t="s">
        <v>45</v>
      </c>
      <c r="AD636" s="11"/>
      <c r="AE636" s="11"/>
      <c r="AF636" s="11"/>
      <c r="AG636" s="10">
        <f t="shared" si="9"/>
        <v>43328</v>
      </c>
    </row>
    <row r="637" s="7" customFormat="1" spans="1:33">
      <c r="A637" s="7" t="s">
        <v>3316</v>
      </c>
      <c r="B637" s="7" t="s">
        <v>3316</v>
      </c>
      <c r="C637" s="7" t="s">
        <v>3317</v>
      </c>
      <c r="D637" s="7" t="s">
        <v>3318</v>
      </c>
      <c r="E637" s="7" t="s">
        <v>49</v>
      </c>
      <c r="F637" s="7" t="s">
        <v>34</v>
      </c>
      <c r="G637" s="7" t="s">
        <v>35</v>
      </c>
      <c r="J637" s="7" t="s">
        <v>50</v>
      </c>
      <c r="K637" s="7" t="s">
        <v>226</v>
      </c>
      <c r="L637" s="7" t="s">
        <v>227</v>
      </c>
      <c r="M637" s="7" t="s">
        <v>228</v>
      </c>
      <c r="N637" s="7" t="s">
        <v>49</v>
      </c>
      <c r="O637" s="7">
        <v>1</v>
      </c>
      <c r="P637" s="7" t="s">
        <v>41</v>
      </c>
      <c r="Q637" s="7">
        <v>85.99</v>
      </c>
      <c r="Y637" s="7" t="s">
        <v>3319</v>
      </c>
      <c r="Z637" s="7" t="s">
        <v>3320</v>
      </c>
      <c r="AA637" s="7">
        <v>84737</v>
      </c>
      <c r="AB637" s="7" t="s">
        <v>45</v>
      </c>
      <c r="AD637" s="11"/>
      <c r="AE637" s="11"/>
      <c r="AF637" s="11"/>
      <c r="AG637" s="10">
        <f t="shared" si="9"/>
        <v>43328</v>
      </c>
    </row>
    <row r="638" s="7" customFormat="1" spans="1:33">
      <c r="A638" s="7" t="s">
        <v>3321</v>
      </c>
      <c r="B638" s="7" t="s">
        <v>3321</v>
      </c>
      <c r="C638" s="7" t="s">
        <v>3322</v>
      </c>
      <c r="D638" s="7" t="s">
        <v>3323</v>
      </c>
      <c r="E638" s="7" t="s">
        <v>33</v>
      </c>
      <c r="F638" s="7" t="s">
        <v>34</v>
      </c>
      <c r="G638" s="7" t="s">
        <v>35</v>
      </c>
      <c r="J638" s="7" t="s">
        <v>50</v>
      </c>
      <c r="K638" s="7" t="s">
        <v>902</v>
      </c>
      <c r="L638" s="7" t="s">
        <v>903</v>
      </c>
      <c r="M638" s="7" t="s">
        <v>904</v>
      </c>
      <c r="N638" s="7" t="s">
        <v>40</v>
      </c>
      <c r="O638" s="7">
        <v>1</v>
      </c>
      <c r="P638" s="7" t="s">
        <v>41</v>
      </c>
      <c r="Q638" s="7">
        <v>95.99</v>
      </c>
      <c r="Y638" s="7" t="s">
        <v>3324</v>
      </c>
      <c r="Z638" s="7" t="s">
        <v>92</v>
      </c>
      <c r="AA638" s="7" t="s">
        <v>3325</v>
      </c>
      <c r="AB638" s="7" t="s">
        <v>45</v>
      </c>
      <c r="AD638" s="11"/>
      <c r="AE638" s="11"/>
      <c r="AF638" s="11"/>
      <c r="AG638" s="10">
        <f t="shared" si="9"/>
        <v>43328</v>
      </c>
    </row>
    <row r="639" s="7" customFormat="1" spans="1:33">
      <c r="A639" s="7" t="s">
        <v>3326</v>
      </c>
      <c r="B639" s="7" t="s">
        <v>3326</v>
      </c>
      <c r="C639" s="7" t="s">
        <v>3327</v>
      </c>
      <c r="D639" s="7" t="s">
        <v>3328</v>
      </c>
      <c r="E639" s="7" t="s">
        <v>49</v>
      </c>
      <c r="F639" s="7" t="s">
        <v>34</v>
      </c>
      <c r="G639" s="7" t="s">
        <v>35</v>
      </c>
      <c r="J639" s="7" t="s">
        <v>36</v>
      </c>
      <c r="K639" s="7" t="s">
        <v>1424</v>
      </c>
      <c r="L639" s="7" t="s">
        <v>1425</v>
      </c>
      <c r="M639" s="7" t="s">
        <v>1426</v>
      </c>
      <c r="N639" s="7" t="s">
        <v>49</v>
      </c>
      <c r="O639" s="7">
        <v>1</v>
      </c>
      <c r="P639" s="7" t="s">
        <v>41</v>
      </c>
      <c r="Q639" s="7">
        <v>99.99</v>
      </c>
      <c r="R639" s="7">
        <v>6</v>
      </c>
      <c r="S639" s="7">
        <v>10.36</v>
      </c>
      <c r="X639" s="7">
        <v>10.36</v>
      </c>
      <c r="Y639" s="7" t="s">
        <v>3329</v>
      </c>
      <c r="Z639" s="7" t="s">
        <v>124</v>
      </c>
      <c r="AA639" s="7" t="s">
        <v>3330</v>
      </c>
      <c r="AB639" s="7" t="s">
        <v>45</v>
      </c>
      <c r="AC639" s="7" t="s">
        <v>549</v>
      </c>
      <c r="AD639" s="11"/>
      <c r="AE639" s="11"/>
      <c r="AF639" s="11"/>
      <c r="AG639" s="10">
        <f t="shared" si="9"/>
        <v>43328</v>
      </c>
    </row>
    <row r="640" s="7" customFormat="1" spans="1:33">
      <c r="A640" s="7" t="s">
        <v>3331</v>
      </c>
      <c r="B640" s="7">
        <v>1745002906006</v>
      </c>
      <c r="C640" s="7" t="s">
        <v>3332</v>
      </c>
      <c r="D640" s="7" t="s">
        <v>3333</v>
      </c>
      <c r="E640" s="7" t="s">
        <v>49</v>
      </c>
      <c r="F640" s="7" t="s">
        <v>34</v>
      </c>
      <c r="G640" s="7" t="s">
        <v>719</v>
      </c>
      <c r="J640" s="7" t="s">
        <v>36</v>
      </c>
      <c r="K640" s="7" t="s">
        <v>1686</v>
      </c>
      <c r="L640" s="7" t="s">
        <v>1687</v>
      </c>
      <c r="M640" s="7" t="s">
        <v>1688</v>
      </c>
      <c r="N640" s="7" t="s">
        <v>49</v>
      </c>
      <c r="O640" s="7">
        <v>1</v>
      </c>
      <c r="Y640" s="7" t="s">
        <v>3334</v>
      </c>
      <c r="Z640" s="7" t="s">
        <v>266</v>
      </c>
      <c r="AA640" s="7" t="s">
        <v>3335</v>
      </c>
      <c r="AB640" s="7" t="s">
        <v>45</v>
      </c>
      <c r="AD640" s="8"/>
      <c r="AE640" s="8"/>
      <c r="AF640" s="8"/>
      <c r="AG640" s="10">
        <f t="shared" si="9"/>
        <v>43329</v>
      </c>
    </row>
    <row r="641" s="7" customFormat="1" spans="1:33">
      <c r="A641" s="7" t="s">
        <v>3336</v>
      </c>
      <c r="B641" s="7" t="s">
        <v>3336</v>
      </c>
      <c r="C641" s="7" t="s">
        <v>3337</v>
      </c>
      <c r="D641" s="7" t="s">
        <v>3338</v>
      </c>
      <c r="E641" s="7" t="s">
        <v>49</v>
      </c>
      <c r="F641" s="7" t="s">
        <v>34</v>
      </c>
      <c r="G641" s="7" t="s">
        <v>35</v>
      </c>
      <c r="J641" s="7" t="s">
        <v>50</v>
      </c>
      <c r="K641" s="7" t="s">
        <v>160</v>
      </c>
      <c r="L641" s="7" t="s">
        <v>161</v>
      </c>
      <c r="M641" s="7" t="s">
        <v>162</v>
      </c>
      <c r="N641" s="7" t="s">
        <v>49</v>
      </c>
      <c r="O641" s="7">
        <v>1</v>
      </c>
      <c r="P641" s="7" t="s">
        <v>41</v>
      </c>
      <c r="Q641" s="7">
        <v>89.99</v>
      </c>
      <c r="Y641" s="7" t="s">
        <v>3339</v>
      </c>
      <c r="Z641" s="7" t="s">
        <v>109</v>
      </c>
      <c r="AA641" s="7" t="s">
        <v>3340</v>
      </c>
      <c r="AB641" s="7" t="s">
        <v>45</v>
      </c>
      <c r="AD641" s="11"/>
      <c r="AE641" s="11"/>
      <c r="AF641" s="11"/>
      <c r="AG641" s="10">
        <f t="shared" si="9"/>
        <v>43329</v>
      </c>
    </row>
    <row r="642" s="7" customFormat="1" spans="1:33">
      <c r="A642" s="7" t="s">
        <v>3341</v>
      </c>
      <c r="B642" s="7" t="s">
        <v>3341</v>
      </c>
      <c r="C642" s="7" t="s">
        <v>3342</v>
      </c>
      <c r="D642" s="7" t="s">
        <v>3343</v>
      </c>
      <c r="E642" s="7" t="s">
        <v>49</v>
      </c>
      <c r="F642" s="7" t="s">
        <v>34</v>
      </c>
      <c r="G642" s="7" t="s">
        <v>35</v>
      </c>
      <c r="J642" s="7" t="s">
        <v>50</v>
      </c>
      <c r="K642" s="7" t="s">
        <v>595</v>
      </c>
      <c r="L642" s="7" t="s">
        <v>3344</v>
      </c>
      <c r="M642" s="7" t="s">
        <v>3345</v>
      </c>
      <c r="N642" s="7" t="s">
        <v>49</v>
      </c>
      <c r="O642" s="7">
        <v>1</v>
      </c>
      <c r="P642" s="7" t="s">
        <v>41</v>
      </c>
      <c r="Q642" s="7">
        <v>21.99</v>
      </c>
      <c r="W642" s="7">
        <v>21.77</v>
      </c>
      <c r="Y642" s="7" t="s">
        <v>3346</v>
      </c>
      <c r="Z642" s="7" t="s">
        <v>1381</v>
      </c>
      <c r="AA642" s="7" t="s">
        <v>2605</v>
      </c>
      <c r="AB642" s="7" t="s">
        <v>45</v>
      </c>
      <c r="AC642" s="7" t="s">
        <v>66</v>
      </c>
      <c r="AD642" s="11"/>
      <c r="AE642" s="11"/>
      <c r="AF642" s="11"/>
      <c r="AG642" s="10">
        <f t="shared" ref="AG642:AG705" si="10">DATEVALUE(LEFT(C642,10))</f>
        <v>43329</v>
      </c>
    </row>
    <row r="643" s="7" customFormat="1" spans="1:33">
      <c r="A643" s="7" t="s">
        <v>3347</v>
      </c>
      <c r="B643" s="7" t="s">
        <v>3347</v>
      </c>
      <c r="C643" s="7" t="s">
        <v>3348</v>
      </c>
      <c r="D643" s="7" t="s">
        <v>3349</v>
      </c>
      <c r="E643" s="7" t="s">
        <v>49</v>
      </c>
      <c r="F643" s="7" t="s">
        <v>34</v>
      </c>
      <c r="G643" s="7" t="s">
        <v>35</v>
      </c>
      <c r="J643" s="7" t="s">
        <v>50</v>
      </c>
      <c r="K643" s="7" t="s">
        <v>60</v>
      </c>
      <c r="L643" s="7" t="s">
        <v>61</v>
      </c>
      <c r="M643" s="7" t="s">
        <v>62</v>
      </c>
      <c r="N643" s="7" t="s">
        <v>49</v>
      </c>
      <c r="O643" s="7">
        <v>1</v>
      </c>
      <c r="P643" s="7" t="s">
        <v>41</v>
      </c>
      <c r="Q643" s="7">
        <v>21.99</v>
      </c>
      <c r="W643" s="7">
        <v>21.77</v>
      </c>
      <c r="Y643" s="7" t="s">
        <v>3350</v>
      </c>
      <c r="Z643" s="7" t="s">
        <v>178</v>
      </c>
      <c r="AA643" s="7" t="s">
        <v>3351</v>
      </c>
      <c r="AB643" s="7" t="s">
        <v>45</v>
      </c>
      <c r="AC643" s="7" t="s">
        <v>66</v>
      </c>
      <c r="AD643" s="11"/>
      <c r="AE643" s="11"/>
      <c r="AF643" s="11"/>
      <c r="AG643" s="10">
        <f t="shared" si="10"/>
        <v>43329</v>
      </c>
    </row>
    <row r="644" s="7" customFormat="1" spans="1:33">
      <c r="A644" s="7" t="s">
        <v>3352</v>
      </c>
      <c r="B644" s="7" t="s">
        <v>3352</v>
      </c>
      <c r="C644" s="7" t="s">
        <v>3353</v>
      </c>
      <c r="D644" s="7" t="s">
        <v>3354</v>
      </c>
      <c r="E644" s="7" t="s">
        <v>49</v>
      </c>
      <c r="F644" s="7" t="s">
        <v>34</v>
      </c>
      <c r="G644" s="7" t="s">
        <v>35</v>
      </c>
      <c r="J644" s="7" t="s">
        <v>50</v>
      </c>
      <c r="K644" s="7" t="s">
        <v>2363</v>
      </c>
      <c r="L644" s="7" t="s">
        <v>89</v>
      </c>
      <c r="M644" s="7" t="s">
        <v>90</v>
      </c>
      <c r="N644" s="7" t="s">
        <v>49</v>
      </c>
      <c r="O644" s="7">
        <v>1</v>
      </c>
      <c r="P644" s="7" t="s">
        <v>41</v>
      </c>
      <c r="Q644" s="7">
        <v>89.99</v>
      </c>
      <c r="Y644" s="7" t="s">
        <v>3355</v>
      </c>
      <c r="Z644" s="7" t="s">
        <v>164</v>
      </c>
      <c r="AA644" s="7" t="s">
        <v>3356</v>
      </c>
      <c r="AB644" s="7" t="s">
        <v>45</v>
      </c>
      <c r="AD644" s="8"/>
      <c r="AE644" s="8"/>
      <c r="AF644" s="8"/>
      <c r="AG644" s="10">
        <f t="shared" si="10"/>
        <v>43329</v>
      </c>
    </row>
    <row r="645" s="7" customFormat="1" spans="1:33">
      <c r="A645" s="7" t="s">
        <v>3357</v>
      </c>
      <c r="B645" s="7" t="s">
        <v>3357</v>
      </c>
      <c r="C645" s="7" t="s">
        <v>3358</v>
      </c>
      <c r="D645" s="7" t="s">
        <v>3359</v>
      </c>
      <c r="E645" s="7" t="s">
        <v>49</v>
      </c>
      <c r="F645" s="7" t="s">
        <v>34</v>
      </c>
      <c r="G645" s="7" t="s">
        <v>35</v>
      </c>
      <c r="J645" s="7" t="s">
        <v>50</v>
      </c>
      <c r="K645" s="7" t="s">
        <v>3250</v>
      </c>
      <c r="L645" s="7" t="s">
        <v>3251</v>
      </c>
      <c r="M645" s="7" t="s">
        <v>3252</v>
      </c>
      <c r="N645" s="7" t="s">
        <v>49</v>
      </c>
      <c r="O645" s="7">
        <v>1</v>
      </c>
      <c r="P645" s="7" t="s">
        <v>41</v>
      </c>
      <c r="Q645" s="7">
        <v>69.99</v>
      </c>
      <c r="Y645" s="7" t="s">
        <v>3360</v>
      </c>
      <c r="Z645" s="7" t="s">
        <v>346</v>
      </c>
      <c r="AA645" s="7" t="s">
        <v>3361</v>
      </c>
      <c r="AB645" s="7" t="s">
        <v>45</v>
      </c>
      <c r="AD645" s="11"/>
      <c r="AE645" s="11"/>
      <c r="AF645" s="11"/>
      <c r="AG645" s="10">
        <f t="shared" si="10"/>
        <v>43329</v>
      </c>
    </row>
    <row r="646" s="7" customFormat="1" spans="1:33">
      <c r="A646" s="7" t="s">
        <v>3362</v>
      </c>
      <c r="B646" s="7" t="s">
        <v>3362</v>
      </c>
      <c r="C646" s="7" t="s">
        <v>3363</v>
      </c>
      <c r="D646" s="7" t="s">
        <v>3364</v>
      </c>
      <c r="E646" s="7" t="s">
        <v>33</v>
      </c>
      <c r="F646" s="7" t="s">
        <v>34</v>
      </c>
      <c r="G646" s="7" t="s">
        <v>35</v>
      </c>
      <c r="J646" s="7" t="s">
        <v>50</v>
      </c>
      <c r="K646" s="7" t="s">
        <v>2363</v>
      </c>
      <c r="L646" s="7" t="s">
        <v>89</v>
      </c>
      <c r="M646" s="7" t="s">
        <v>90</v>
      </c>
      <c r="N646" s="7" t="s">
        <v>40</v>
      </c>
      <c r="O646" s="7">
        <v>1</v>
      </c>
      <c r="P646" s="7" t="s">
        <v>41</v>
      </c>
      <c r="Q646" s="7">
        <v>89.99</v>
      </c>
      <c r="Y646" s="7" t="s">
        <v>3365</v>
      </c>
      <c r="Z646" s="7" t="s">
        <v>346</v>
      </c>
      <c r="AA646" s="7" t="s">
        <v>3366</v>
      </c>
      <c r="AB646" s="7" t="s">
        <v>45</v>
      </c>
      <c r="AD646" s="11"/>
      <c r="AE646" s="11"/>
      <c r="AF646" s="11"/>
      <c r="AG646" s="10">
        <f t="shared" si="10"/>
        <v>43329</v>
      </c>
    </row>
    <row r="647" s="7" customFormat="1" spans="1:33">
      <c r="A647" s="7" t="s">
        <v>3367</v>
      </c>
      <c r="B647" s="7" t="s">
        <v>3367</v>
      </c>
      <c r="C647" s="7" t="s">
        <v>3368</v>
      </c>
      <c r="D647" s="7" t="s">
        <v>3369</v>
      </c>
      <c r="E647" s="7" t="s">
        <v>49</v>
      </c>
      <c r="F647" s="7" t="s">
        <v>34</v>
      </c>
      <c r="G647" s="7" t="s">
        <v>35</v>
      </c>
      <c r="J647" s="7" t="s">
        <v>36</v>
      </c>
      <c r="K647" s="7" t="s">
        <v>2440</v>
      </c>
      <c r="L647" s="7" t="s">
        <v>38</v>
      </c>
      <c r="M647" s="7" t="s">
        <v>39</v>
      </c>
      <c r="N647" s="7" t="s">
        <v>49</v>
      </c>
      <c r="O647" s="7">
        <v>1</v>
      </c>
      <c r="P647" s="7" t="s">
        <v>41</v>
      </c>
      <c r="Q647" s="7">
        <v>89.99</v>
      </c>
      <c r="S647" s="7">
        <v>4.73</v>
      </c>
      <c r="X647" s="7">
        <v>4.73</v>
      </c>
      <c r="Y647" s="7" t="s">
        <v>3370</v>
      </c>
      <c r="Z647" s="7" t="s">
        <v>109</v>
      </c>
      <c r="AA647" s="7">
        <v>44142</v>
      </c>
      <c r="AB647" s="7" t="s">
        <v>45</v>
      </c>
      <c r="AC647" s="7" t="s">
        <v>549</v>
      </c>
      <c r="AD647" s="11"/>
      <c r="AE647" s="11"/>
      <c r="AF647" s="11"/>
      <c r="AG647" s="10">
        <f t="shared" si="10"/>
        <v>43329</v>
      </c>
    </row>
    <row r="648" s="7" customFormat="1" spans="1:33">
      <c r="A648" s="7" t="s">
        <v>3371</v>
      </c>
      <c r="B648" s="7" t="s">
        <v>3371</v>
      </c>
      <c r="C648" s="7" t="s">
        <v>3372</v>
      </c>
      <c r="D648" s="7" t="s">
        <v>3373</v>
      </c>
      <c r="E648" s="7" t="s">
        <v>49</v>
      </c>
      <c r="F648" s="7" t="s">
        <v>34</v>
      </c>
      <c r="G648" s="7" t="s">
        <v>35</v>
      </c>
      <c r="J648" s="7" t="s">
        <v>50</v>
      </c>
      <c r="K648" s="7" t="s">
        <v>160</v>
      </c>
      <c r="L648" s="7" t="s">
        <v>161</v>
      </c>
      <c r="M648" s="7" t="s">
        <v>162</v>
      </c>
      <c r="N648" s="7" t="s">
        <v>49</v>
      </c>
      <c r="O648" s="7">
        <v>1</v>
      </c>
      <c r="P648" s="7" t="s">
        <v>41</v>
      </c>
      <c r="Q648" s="7">
        <v>89.99</v>
      </c>
      <c r="Y648" s="7" t="s">
        <v>812</v>
      </c>
      <c r="Z648" s="7" t="s">
        <v>260</v>
      </c>
      <c r="AA648" s="7" t="s">
        <v>3374</v>
      </c>
      <c r="AB648" s="7" t="s">
        <v>45</v>
      </c>
      <c r="AD648" s="11"/>
      <c r="AE648" s="11"/>
      <c r="AF648" s="11"/>
      <c r="AG648" s="10">
        <f t="shared" si="10"/>
        <v>43329</v>
      </c>
    </row>
    <row r="649" s="7" customFormat="1" spans="1:33">
      <c r="A649" s="7" t="s">
        <v>3375</v>
      </c>
      <c r="B649" s="7" t="s">
        <v>3375</v>
      </c>
      <c r="C649" s="7" t="s">
        <v>3376</v>
      </c>
      <c r="D649" s="7" t="s">
        <v>3377</v>
      </c>
      <c r="E649" s="7" t="s">
        <v>49</v>
      </c>
      <c r="F649" s="7" t="s">
        <v>34</v>
      </c>
      <c r="G649" s="7" t="s">
        <v>35</v>
      </c>
      <c r="J649" s="7" t="s">
        <v>50</v>
      </c>
      <c r="K649" s="7" t="s">
        <v>208</v>
      </c>
      <c r="L649" s="7" t="s">
        <v>209</v>
      </c>
      <c r="M649" s="7" t="s">
        <v>210</v>
      </c>
      <c r="N649" s="7" t="s">
        <v>49</v>
      </c>
      <c r="O649" s="7">
        <v>1</v>
      </c>
      <c r="P649" s="7" t="s">
        <v>41</v>
      </c>
      <c r="Q649" s="7">
        <v>89.99</v>
      </c>
      <c r="R649" s="7">
        <v>5.4</v>
      </c>
      <c r="Y649" s="7" t="s">
        <v>2232</v>
      </c>
      <c r="Z649" s="7" t="s">
        <v>124</v>
      </c>
      <c r="AA649" s="7" t="s">
        <v>3378</v>
      </c>
      <c r="AB649" s="7" t="s">
        <v>45</v>
      </c>
      <c r="AD649" s="11"/>
      <c r="AE649" s="11"/>
      <c r="AF649" s="11"/>
      <c r="AG649" s="10">
        <f t="shared" si="10"/>
        <v>43329</v>
      </c>
    </row>
    <row r="650" s="7" customFormat="1" spans="1:33">
      <c r="A650" s="7" t="s">
        <v>3379</v>
      </c>
      <c r="B650" s="7" t="s">
        <v>3379</v>
      </c>
      <c r="C650" s="7" t="s">
        <v>3380</v>
      </c>
      <c r="D650" s="7" t="s">
        <v>3381</v>
      </c>
      <c r="E650" s="7" t="s">
        <v>49</v>
      </c>
      <c r="F650" s="7" t="s">
        <v>34</v>
      </c>
      <c r="G650" s="7" t="s">
        <v>35</v>
      </c>
      <c r="J650" s="7" t="s">
        <v>36</v>
      </c>
      <c r="K650" s="7" t="s">
        <v>448</v>
      </c>
      <c r="L650" s="7" t="s">
        <v>449</v>
      </c>
      <c r="M650" s="7" t="s">
        <v>450</v>
      </c>
      <c r="N650" s="7" t="s">
        <v>49</v>
      </c>
      <c r="O650" s="7">
        <v>1</v>
      </c>
      <c r="P650" s="7" t="s">
        <v>41</v>
      </c>
      <c r="Q650" s="7">
        <v>32.99</v>
      </c>
      <c r="S650" s="7">
        <v>2.98</v>
      </c>
      <c r="X650" s="7">
        <v>2.98</v>
      </c>
      <c r="Y650" s="7" t="s">
        <v>3382</v>
      </c>
      <c r="Z650" s="7" t="s">
        <v>109</v>
      </c>
      <c r="AA650" s="7" t="s">
        <v>3383</v>
      </c>
      <c r="AB650" s="7" t="s">
        <v>45</v>
      </c>
      <c r="AC650" s="7" t="s">
        <v>549</v>
      </c>
      <c r="AD650" s="11"/>
      <c r="AE650" s="11"/>
      <c r="AF650" s="11"/>
      <c r="AG650" s="10">
        <f t="shared" si="10"/>
        <v>43329</v>
      </c>
    </row>
    <row r="651" s="7" customFormat="1" spans="1:33">
      <c r="A651" s="7" t="s">
        <v>3384</v>
      </c>
      <c r="B651" s="7" t="s">
        <v>3384</v>
      </c>
      <c r="C651" s="7" t="s">
        <v>3385</v>
      </c>
      <c r="D651" s="7" t="s">
        <v>3386</v>
      </c>
      <c r="E651" s="7" t="s">
        <v>49</v>
      </c>
      <c r="F651" s="7" t="s">
        <v>34</v>
      </c>
      <c r="G651" s="7" t="s">
        <v>35</v>
      </c>
      <c r="J651" s="7" t="s">
        <v>36</v>
      </c>
      <c r="K651" s="7" t="s">
        <v>2248</v>
      </c>
      <c r="L651" s="7" t="s">
        <v>746</v>
      </c>
      <c r="M651" s="7" t="s">
        <v>747</v>
      </c>
      <c r="N651" s="7" t="s">
        <v>49</v>
      </c>
      <c r="O651" s="7">
        <v>1</v>
      </c>
      <c r="P651" s="7" t="s">
        <v>41</v>
      </c>
      <c r="Q651" s="7">
        <v>89.99</v>
      </c>
      <c r="S651" s="7">
        <v>8.37</v>
      </c>
      <c r="Y651" s="7" t="s">
        <v>3387</v>
      </c>
      <c r="Z651" s="7" t="s">
        <v>83</v>
      </c>
      <c r="AA651" s="7" t="s">
        <v>3388</v>
      </c>
      <c r="AB651" s="7" t="s">
        <v>45</v>
      </c>
      <c r="AD651" s="11"/>
      <c r="AE651" s="11"/>
      <c r="AF651" s="11"/>
      <c r="AG651" s="10">
        <f t="shared" si="10"/>
        <v>43329</v>
      </c>
    </row>
    <row r="652" s="7" customFormat="1" spans="1:33">
      <c r="A652" s="7" t="s">
        <v>3389</v>
      </c>
      <c r="B652" s="7" t="s">
        <v>3389</v>
      </c>
      <c r="C652" s="7" t="s">
        <v>3390</v>
      </c>
      <c r="D652" s="7" t="s">
        <v>3391</v>
      </c>
      <c r="E652" s="7" t="s">
        <v>49</v>
      </c>
      <c r="F652" s="7" t="s">
        <v>34</v>
      </c>
      <c r="G652" s="7" t="s">
        <v>35</v>
      </c>
      <c r="J652" s="7" t="s">
        <v>50</v>
      </c>
      <c r="K652" s="7" t="s">
        <v>1270</v>
      </c>
      <c r="L652" s="7" t="s">
        <v>1271</v>
      </c>
      <c r="M652" s="7" t="s">
        <v>1272</v>
      </c>
      <c r="N652" s="7" t="s">
        <v>49</v>
      </c>
      <c r="O652" s="7">
        <v>1</v>
      </c>
      <c r="P652" s="7" t="s">
        <v>41</v>
      </c>
      <c r="Q652" s="7">
        <v>23.99</v>
      </c>
      <c r="Y652" s="7" t="s">
        <v>3392</v>
      </c>
      <c r="Z652" s="7" t="s">
        <v>64</v>
      </c>
      <c r="AA652" s="7">
        <v>77536</v>
      </c>
      <c r="AB652" s="7" t="s">
        <v>45</v>
      </c>
      <c r="AD652" s="11"/>
      <c r="AE652" s="11"/>
      <c r="AF652" s="11"/>
      <c r="AG652" s="10">
        <f t="shared" si="10"/>
        <v>43329</v>
      </c>
    </row>
    <row r="653" s="7" customFormat="1" spans="1:33">
      <c r="A653" s="7" t="s">
        <v>3393</v>
      </c>
      <c r="B653" s="7" t="s">
        <v>3393</v>
      </c>
      <c r="C653" s="7" t="s">
        <v>3394</v>
      </c>
      <c r="D653" s="7" t="s">
        <v>3395</v>
      </c>
      <c r="E653" s="7" t="s">
        <v>33</v>
      </c>
      <c r="F653" s="7" t="s">
        <v>34</v>
      </c>
      <c r="G653" s="7" t="s">
        <v>35</v>
      </c>
      <c r="J653" s="7" t="s">
        <v>36</v>
      </c>
      <c r="K653" s="7" t="s">
        <v>327</v>
      </c>
      <c r="L653" s="7" t="s">
        <v>328</v>
      </c>
      <c r="M653" s="7" t="s">
        <v>329</v>
      </c>
      <c r="N653" s="7" t="s">
        <v>40</v>
      </c>
      <c r="O653" s="7">
        <v>2</v>
      </c>
      <c r="P653" s="7" t="s">
        <v>41</v>
      </c>
      <c r="Q653" s="7">
        <v>179.98</v>
      </c>
      <c r="Y653" s="7" t="s">
        <v>3396</v>
      </c>
      <c r="Z653" s="7" t="s">
        <v>2182</v>
      </c>
      <c r="AA653" s="7">
        <v>32218</v>
      </c>
      <c r="AB653" s="7" t="s">
        <v>45</v>
      </c>
      <c r="AD653" s="11"/>
      <c r="AE653" s="11"/>
      <c r="AF653" s="11"/>
      <c r="AG653" s="10">
        <f t="shared" si="10"/>
        <v>43329</v>
      </c>
    </row>
    <row r="654" s="7" customFormat="1" spans="1:33">
      <c r="A654" s="7" t="s">
        <v>3397</v>
      </c>
      <c r="B654" s="7" t="s">
        <v>3397</v>
      </c>
      <c r="C654" s="7" t="s">
        <v>3398</v>
      </c>
      <c r="D654" s="7" t="s">
        <v>3399</v>
      </c>
      <c r="E654" s="7" t="s">
        <v>49</v>
      </c>
      <c r="F654" s="7" t="s">
        <v>34</v>
      </c>
      <c r="G654" s="7" t="s">
        <v>35</v>
      </c>
      <c r="J654" s="7" t="s">
        <v>50</v>
      </c>
      <c r="K654" s="7" t="s">
        <v>208</v>
      </c>
      <c r="L654" s="7" t="s">
        <v>209</v>
      </c>
      <c r="M654" s="7" t="s">
        <v>210</v>
      </c>
      <c r="N654" s="7" t="s">
        <v>49</v>
      </c>
      <c r="O654" s="7">
        <v>1</v>
      </c>
      <c r="P654" s="7" t="s">
        <v>41</v>
      </c>
      <c r="Q654" s="7">
        <v>89.99</v>
      </c>
      <c r="Y654" s="7" t="s">
        <v>3400</v>
      </c>
      <c r="Z654" s="7" t="s">
        <v>3401</v>
      </c>
      <c r="AA654" s="7">
        <v>21801</v>
      </c>
      <c r="AB654" s="7" t="s">
        <v>45</v>
      </c>
      <c r="AD654" s="11"/>
      <c r="AE654" s="11"/>
      <c r="AF654" s="11"/>
      <c r="AG654" s="10">
        <f t="shared" si="10"/>
        <v>43329</v>
      </c>
    </row>
    <row r="655" s="7" customFormat="1" spans="1:33">
      <c r="A655" s="7" t="s">
        <v>3402</v>
      </c>
      <c r="B655" s="7" t="s">
        <v>3402</v>
      </c>
      <c r="C655" s="7" t="s">
        <v>3403</v>
      </c>
      <c r="D655" s="7" t="s">
        <v>3404</v>
      </c>
      <c r="E655" s="7" t="s">
        <v>49</v>
      </c>
      <c r="F655" s="7" t="s">
        <v>34</v>
      </c>
      <c r="G655" s="7" t="s">
        <v>35</v>
      </c>
      <c r="J655" s="7" t="s">
        <v>50</v>
      </c>
      <c r="K655" s="7" t="s">
        <v>2650</v>
      </c>
      <c r="L655" s="7" t="s">
        <v>277</v>
      </c>
      <c r="M655" s="7" t="s">
        <v>278</v>
      </c>
      <c r="N655" s="7" t="s">
        <v>49</v>
      </c>
      <c r="O655" s="7">
        <v>1</v>
      </c>
      <c r="P655" s="7" t="s">
        <v>41</v>
      </c>
      <c r="Q655" s="7">
        <v>91.99</v>
      </c>
      <c r="Y655" s="7" t="s">
        <v>3405</v>
      </c>
      <c r="Z655" s="7" t="s">
        <v>260</v>
      </c>
      <c r="AA655" s="7">
        <v>38125</v>
      </c>
      <c r="AB655" s="7" t="s">
        <v>45</v>
      </c>
      <c r="AD655" s="11"/>
      <c r="AE655" s="11"/>
      <c r="AF655" s="11"/>
      <c r="AG655" s="10">
        <f t="shared" si="10"/>
        <v>43329</v>
      </c>
    </row>
    <row r="656" s="7" customFormat="1" spans="1:33">
      <c r="A656" s="7" t="s">
        <v>3406</v>
      </c>
      <c r="B656" s="7" t="s">
        <v>3406</v>
      </c>
      <c r="C656" s="7" t="s">
        <v>3407</v>
      </c>
      <c r="D656" s="7" t="s">
        <v>3408</v>
      </c>
      <c r="E656" s="7" t="s">
        <v>49</v>
      </c>
      <c r="F656" s="7" t="s">
        <v>34</v>
      </c>
      <c r="G656" s="7" t="s">
        <v>35</v>
      </c>
      <c r="J656" s="7" t="s">
        <v>50</v>
      </c>
      <c r="K656" s="7" t="s">
        <v>753</v>
      </c>
      <c r="L656" s="7" t="s">
        <v>754</v>
      </c>
      <c r="M656" s="7" t="s">
        <v>755</v>
      </c>
      <c r="N656" s="7" t="s">
        <v>49</v>
      </c>
      <c r="O656" s="7">
        <v>1</v>
      </c>
      <c r="P656" s="7" t="s">
        <v>41</v>
      </c>
      <c r="Q656" s="7">
        <v>89.6</v>
      </c>
      <c r="Y656" s="7" t="s">
        <v>3409</v>
      </c>
      <c r="Z656" s="7" t="s">
        <v>280</v>
      </c>
      <c r="AA656" s="7" t="s">
        <v>3410</v>
      </c>
      <c r="AB656" s="7" t="s">
        <v>45</v>
      </c>
      <c r="AD656" s="11"/>
      <c r="AE656" s="11"/>
      <c r="AF656" s="11"/>
      <c r="AG656" s="10">
        <f t="shared" si="10"/>
        <v>43329</v>
      </c>
    </row>
    <row r="657" s="7" customFormat="1" spans="1:33">
      <c r="A657" s="7" t="s">
        <v>3411</v>
      </c>
      <c r="B657" s="7" t="s">
        <v>3411</v>
      </c>
      <c r="C657" s="7" t="s">
        <v>3412</v>
      </c>
      <c r="D657" s="7" t="s">
        <v>3413</v>
      </c>
      <c r="E657" s="7" t="s">
        <v>49</v>
      </c>
      <c r="F657" s="7" t="s">
        <v>34</v>
      </c>
      <c r="G657" s="7" t="s">
        <v>35</v>
      </c>
      <c r="J657" s="7" t="s">
        <v>50</v>
      </c>
      <c r="K657" s="7" t="s">
        <v>3414</v>
      </c>
      <c r="L657" s="7" t="s">
        <v>1192</v>
      </c>
      <c r="M657" s="7" t="s">
        <v>1193</v>
      </c>
      <c r="N657" s="7" t="s">
        <v>49</v>
      </c>
      <c r="O657" s="7">
        <v>1</v>
      </c>
      <c r="P657" s="7" t="s">
        <v>41</v>
      </c>
      <c r="Q657" s="7">
        <v>99.6</v>
      </c>
      <c r="Y657" s="7" t="s">
        <v>3415</v>
      </c>
      <c r="Z657" s="7" t="s">
        <v>98</v>
      </c>
      <c r="AA657" s="7" t="s">
        <v>3416</v>
      </c>
      <c r="AB657" s="7" t="s">
        <v>45</v>
      </c>
      <c r="AD657" s="11"/>
      <c r="AE657" s="11"/>
      <c r="AF657" s="11"/>
      <c r="AG657" s="10">
        <f t="shared" si="10"/>
        <v>43329</v>
      </c>
    </row>
    <row r="658" s="7" customFormat="1" spans="1:33">
      <c r="A658" s="7" t="s">
        <v>3417</v>
      </c>
      <c r="B658" s="7" t="s">
        <v>3417</v>
      </c>
      <c r="C658" s="7" t="s">
        <v>3418</v>
      </c>
      <c r="D658" s="7" t="s">
        <v>3419</v>
      </c>
      <c r="E658" s="7" t="s">
        <v>49</v>
      </c>
      <c r="F658" s="7" t="s">
        <v>34</v>
      </c>
      <c r="G658" s="7" t="s">
        <v>35</v>
      </c>
      <c r="J658" s="7" t="s">
        <v>50</v>
      </c>
      <c r="K658" s="7" t="s">
        <v>3420</v>
      </c>
      <c r="L658" s="7" t="s">
        <v>3421</v>
      </c>
      <c r="M658" s="7" t="s">
        <v>3422</v>
      </c>
      <c r="N658" s="7" t="s">
        <v>49</v>
      </c>
      <c r="O658" s="7">
        <v>1</v>
      </c>
      <c r="P658" s="7" t="s">
        <v>41</v>
      </c>
      <c r="Q658" s="7">
        <v>92.99</v>
      </c>
      <c r="Y658" s="7" t="s">
        <v>3423</v>
      </c>
      <c r="Z658" s="7" t="s">
        <v>266</v>
      </c>
      <c r="AA658" s="7" t="s">
        <v>3424</v>
      </c>
      <c r="AB658" s="7" t="s">
        <v>45</v>
      </c>
      <c r="AD658" s="11"/>
      <c r="AE658" s="11"/>
      <c r="AF658" s="11"/>
      <c r="AG658" s="10">
        <f t="shared" si="10"/>
        <v>43329</v>
      </c>
    </row>
    <row r="659" s="7" customFormat="1" spans="1:33">
      <c r="A659" s="7" t="s">
        <v>3425</v>
      </c>
      <c r="B659" s="7" t="s">
        <v>3425</v>
      </c>
      <c r="C659" s="7" t="s">
        <v>3426</v>
      </c>
      <c r="D659" s="7" t="s">
        <v>3427</v>
      </c>
      <c r="E659" s="7" t="s">
        <v>49</v>
      </c>
      <c r="F659" s="7" t="s">
        <v>34</v>
      </c>
      <c r="G659" s="7" t="s">
        <v>35</v>
      </c>
      <c r="J659" s="7" t="s">
        <v>50</v>
      </c>
      <c r="K659" s="7" t="s">
        <v>208</v>
      </c>
      <c r="L659" s="7" t="s">
        <v>209</v>
      </c>
      <c r="M659" s="7" t="s">
        <v>210</v>
      </c>
      <c r="N659" s="7" t="s">
        <v>49</v>
      </c>
      <c r="O659" s="7">
        <v>1</v>
      </c>
      <c r="P659" s="7" t="s">
        <v>41</v>
      </c>
      <c r="Q659" s="7">
        <v>89.99</v>
      </c>
      <c r="Y659" s="7" t="s">
        <v>3428</v>
      </c>
      <c r="Z659" s="7" t="s">
        <v>2502</v>
      </c>
      <c r="AA659" s="7">
        <v>77562</v>
      </c>
      <c r="AB659" s="7" t="s">
        <v>45</v>
      </c>
      <c r="AD659" s="11"/>
      <c r="AE659" s="11"/>
      <c r="AF659" s="11"/>
      <c r="AG659" s="10">
        <f t="shared" si="10"/>
        <v>43329</v>
      </c>
    </row>
    <row r="660" s="7" customFormat="1" spans="1:33">
      <c r="A660" s="7" t="s">
        <v>3429</v>
      </c>
      <c r="B660" s="7" t="s">
        <v>3429</v>
      </c>
      <c r="C660" s="7" t="s">
        <v>3430</v>
      </c>
      <c r="D660" s="7" t="s">
        <v>3431</v>
      </c>
      <c r="E660" s="7" t="s">
        <v>49</v>
      </c>
      <c r="F660" s="7" t="s">
        <v>34</v>
      </c>
      <c r="G660" s="7" t="s">
        <v>35</v>
      </c>
      <c r="J660" s="7" t="s">
        <v>50</v>
      </c>
      <c r="K660" s="7" t="s">
        <v>1298</v>
      </c>
      <c r="L660" s="7" t="s">
        <v>1299</v>
      </c>
      <c r="M660" s="7" t="s">
        <v>1300</v>
      </c>
      <c r="N660" s="7" t="s">
        <v>49</v>
      </c>
      <c r="O660" s="7">
        <v>1</v>
      </c>
      <c r="P660" s="7" t="s">
        <v>41</v>
      </c>
      <c r="Q660" s="7">
        <v>79.99</v>
      </c>
      <c r="Y660" s="7" t="s">
        <v>2999</v>
      </c>
      <c r="Z660" s="7" t="s">
        <v>346</v>
      </c>
      <c r="AA660" s="7" t="s">
        <v>3432</v>
      </c>
      <c r="AB660" s="7" t="s">
        <v>45</v>
      </c>
      <c r="AD660" s="11"/>
      <c r="AE660" s="11"/>
      <c r="AF660" s="11"/>
      <c r="AG660" s="10">
        <f t="shared" si="10"/>
        <v>43329</v>
      </c>
    </row>
    <row r="661" s="7" customFormat="1" spans="1:33">
      <c r="A661" s="7" t="s">
        <v>3433</v>
      </c>
      <c r="B661" s="7" t="s">
        <v>3433</v>
      </c>
      <c r="C661" s="7" t="s">
        <v>3434</v>
      </c>
      <c r="D661" s="7" t="s">
        <v>3435</v>
      </c>
      <c r="E661" s="7" t="s">
        <v>49</v>
      </c>
      <c r="F661" s="7" t="s">
        <v>34</v>
      </c>
      <c r="G661" s="7" t="s">
        <v>35</v>
      </c>
      <c r="J661" s="7" t="s">
        <v>50</v>
      </c>
      <c r="K661" s="7" t="s">
        <v>3436</v>
      </c>
      <c r="L661" s="7" t="s">
        <v>3437</v>
      </c>
      <c r="M661" s="7" t="s">
        <v>3438</v>
      </c>
      <c r="N661" s="7" t="s">
        <v>49</v>
      </c>
      <c r="O661" s="7">
        <v>1</v>
      </c>
      <c r="P661" s="7" t="s">
        <v>41</v>
      </c>
      <c r="Q661" s="7">
        <v>118.99</v>
      </c>
      <c r="Y661" s="7" t="s">
        <v>3439</v>
      </c>
      <c r="Z661" s="7" t="s">
        <v>714</v>
      </c>
      <c r="AA661" s="7" t="s">
        <v>3440</v>
      </c>
      <c r="AB661" s="7" t="s">
        <v>45</v>
      </c>
      <c r="AD661" s="11"/>
      <c r="AE661" s="11"/>
      <c r="AF661" s="11"/>
      <c r="AG661" s="10">
        <f t="shared" si="10"/>
        <v>43329</v>
      </c>
    </row>
    <row r="662" s="7" customFormat="1" spans="1:33">
      <c r="A662" s="7" t="s">
        <v>3441</v>
      </c>
      <c r="B662" s="7" t="s">
        <v>3441</v>
      </c>
      <c r="C662" s="7" t="s">
        <v>3442</v>
      </c>
      <c r="D662" s="7" t="s">
        <v>3443</v>
      </c>
      <c r="E662" s="7" t="s">
        <v>49</v>
      </c>
      <c r="F662" s="7" t="s">
        <v>34</v>
      </c>
      <c r="G662" s="7" t="s">
        <v>35</v>
      </c>
      <c r="J662" s="7" t="s">
        <v>151</v>
      </c>
      <c r="K662" s="7" t="s">
        <v>2650</v>
      </c>
      <c r="L662" s="7" t="s">
        <v>277</v>
      </c>
      <c r="M662" s="7" t="s">
        <v>278</v>
      </c>
      <c r="N662" s="7" t="s">
        <v>49</v>
      </c>
      <c r="O662" s="7">
        <v>1</v>
      </c>
      <c r="P662" s="7" t="s">
        <v>41</v>
      </c>
      <c r="Q662" s="7">
        <v>91.99</v>
      </c>
      <c r="R662" s="7">
        <v>5.52</v>
      </c>
      <c r="S662" s="7">
        <v>6.99</v>
      </c>
      <c r="X662" s="7">
        <v>6.99</v>
      </c>
      <c r="Y662" s="7" t="s">
        <v>3271</v>
      </c>
      <c r="Z662" s="7" t="s">
        <v>124</v>
      </c>
      <c r="AA662" s="7" t="s">
        <v>3272</v>
      </c>
      <c r="AB662" s="7" t="s">
        <v>45</v>
      </c>
      <c r="AD662" s="11"/>
      <c r="AE662" s="11"/>
      <c r="AF662" s="11"/>
      <c r="AG662" s="10">
        <f t="shared" si="10"/>
        <v>43329</v>
      </c>
    </row>
    <row r="663" s="7" customFormat="1" spans="1:33">
      <c r="A663" s="7" t="s">
        <v>3444</v>
      </c>
      <c r="B663" s="7" t="s">
        <v>3444</v>
      </c>
      <c r="C663" s="7" t="s">
        <v>3442</v>
      </c>
      <c r="D663" s="7" t="s">
        <v>3445</v>
      </c>
      <c r="E663" s="7" t="s">
        <v>49</v>
      </c>
      <c r="F663" s="7" t="s">
        <v>34</v>
      </c>
      <c r="G663" s="7" t="s">
        <v>35</v>
      </c>
      <c r="J663" s="7" t="s">
        <v>151</v>
      </c>
      <c r="K663" s="7" t="s">
        <v>208</v>
      </c>
      <c r="L663" s="7" t="s">
        <v>209</v>
      </c>
      <c r="M663" s="7" t="s">
        <v>210</v>
      </c>
      <c r="N663" s="7" t="s">
        <v>49</v>
      </c>
      <c r="O663" s="7">
        <v>1</v>
      </c>
      <c r="P663" s="7" t="s">
        <v>41</v>
      </c>
      <c r="Q663" s="7">
        <v>89.99</v>
      </c>
      <c r="R663" s="7">
        <v>5.4</v>
      </c>
      <c r="S663" s="7">
        <v>10.99</v>
      </c>
      <c r="T663" s="7">
        <v>0.66</v>
      </c>
      <c r="Y663" s="7" t="s">
        <v>3271</v>
      </c>
      <c r="Z663" s="7" t="s">
        <v>124</v>
      </c>
      <c r="AA663" s="7" t="s">
        <v>3272</v>
      </c>
      <c r="AB663" s="7" t="s">
        <v>45</v>
      </c>
      <c r="AD663" s="11"/>
      <c r="AE663" s="11"/>
      <c r="AF663" s="11"/>
      <c r="AG663" s="10">
        <f t="shared" si="10"/>
        <v>43329</v>
      </c>
    </row>
    <row r="664" s="7" customFormat="1" spans="1:33">
      <c r="A664" s="7" t="s">
        <v>3446</v>
      </c>
      <c r="B664" s="7" t="s">
        <v>3446</v>
      </c>
      <c r="C664" s="7" t="s">
        <v>3447</v>
      </c>
      <c r="D664" s="7" t="s">
        <v>3448</v>
      </c>
      <c r="E664" s="7" t="s">
        <v>49</v>
      </c>
      <c r="F664" s="7" t="s">
        <v>34</v>
      </c>
      <c r="G664" s="7" t="s">
        <v>35</v>
      </c>
      <c r="J664" s="7" t="s">
        <v>151</v>
      </c>
      <c r="K664" s="7" t="s">
        <v>3449</v>
      </c>
      <c r="L664" s="7" t="s">
        <v>3450</v>
      </c>
      <c r="M664" s="7" t="s">
        <v>3451</v>
      </c>
      <c r="N664" s="7" t="s">
        <v>49</v>
      </c>
      <c r="O664" s="7">
        <v>1</v>
      </c>
      <c r="P664" s="7" t="s">
        <v>41</v>
      </c>
      <c r="Q664" s="7">
        <v>104.99</v>
      </c>
      <c r="S664" s="7">
        <v>30.05</v>
      </c>
      <c r="Y664" s="7" t="s">
        <v>3452</v>
      </c>
      <c r="Z664" s="7" t="s">
        <v>714</v>
      </c>
      <c r="AA664" s="7" t="s">
        <v>3453</v>
      </c>
      <c r="AB664" s="7" t="s">
        <v>45</v>
      </c>
      <c r="AD664" s="11"/>
      <c r="AE664" s="11"/>
      <c r="AF664" s="11"/>
      <c r="AG664" s="10">
        <f t="shared" si="10"/>
        <v>43329</v>
      </c>
    </row>
    <row r="665" s="7" customFormat="1" spans="1:33">
      <c r="A665" s="7" t="s">
        <v>3454</v>
      </c>
      <c r="B665" s="7" t="s">
        <v>3454</v>
      </c>
      <c r="C665" s="7" t="s">
        <v>3455</v>
      </c>
      <c r="D665" s="7" t="s">
        <v>3456</v>
      </c>
      <c r="E665" s="7" t="s">
        <v>49</v>
      </c>
      <c r="F665" s="7" t="s">
        <v>34</v>
      </c>
      <c r="G665" s="7" t="s">
        <v>35</v>
      </c>
      <c r="J665" s="7" t="s">
        <v>50</v>
      </c>
      <c r="K665" s="7" t="s">
        <v>3420</v>
      </c>
      <c r="L665" s="7" t="s">
        <v>3421</v>
      </c>
      <c r="M665" s="7" t="s">
        <v>3422</v>
      </c>
      <c r="N665" s="7" t="s">
        <v>49</v>
      </c>
      <c r="O665" s="7">
        <v>1</v>
      </c>
      <c r="P665" s="7" t="s">
        <v>41</v>
      </c>
      <c r="Q665" s="7">
        <v>92.99</v>
      </c>
      <c r="Y665" s="7" t="s">
        <v>3457</v>
      </c>
      <c r="Z665" s="7" t="s">
        <v>346</v>
      </c>
      <c r="AA665" s="7" t="s">
        <v>3458</v>
      </c>
      <c r="AB665" s="7" t="s">
        <v>45</v>
      </c>
      <c r="AD665" s="11"/>
      <c r="AE665" s="11"/>
      <c r="AF665" s="11"/>
      <c r="AG665" s="10">
        <f t="shared" si="10"/>
        <v>43329</v>
      </c>
    </row>
    <row r="666" s="7" customFormat="1" spans="1:33">
      <c r="A666" s="7" t="s">
        <v>3459</v>
      </c>
      <c r="B666" s="7" t="s">
        <v>3459</v>
      </c>
      <c r="C666" s="7" t="s">
        <v>3460</v>
      </c>
      <c r="D666" s="7" t="s">
        <v>3461</v>
      </c>
      <c r="E666" s="7" t="s">
        <v>49</v>
      </c>
      <c r="F666" s="7" t="s">
        <v>34</v>
      </c>
      <c r="G666" s="7" t="s">
        <v>35</v>
      </c>
      <c r="J666" s="7" t="s">
        <v>50</v>
      </c>
      <c r="K666" s="7" t="s">
        <v>2065</v>
      </c>
      <c r="L666" s="7" t="s">
        <v>2066</v>
      </c>
      <c r="M666" s="7" t="s">
        <v>2067</v>
      </c>
      <c r="N666" s="7" t="s">
        <v>49</v>
      </c>
      <c r="O666" s="7">
        <v>1</v>
      </c>
      <c r="P666" s="7" t="s">
        <v>41</v>
      </c>
      <c r="Q666" s="7">
        <v>32.99</v>
      </c>
      <c r="Y666" s="7" t="s">
        <v>3462</v>
      </c>
      <c r="Z666" s="7" t="s">
        <v>1780</v>
      </c>
      <c r="AA666" s="7" t="s">
        <v>3463</v>
      </c>
      <c r="AB666" s="7" t="s">
        <v>45</v>
      </c>
      <c r="AD666" s="11"/>
      <c r="AE666" s="11"/>
      <c r="AF666" s="11"/>
      <c r="AG666" s="10">
        <f t="shared" si="10"/>
        <v>43329</v>
      </c>
    </row>
    <row r="667" s="7" customFormat="1" spans="1:33">
      <c r="A667" s="7" t="s">
        <v>3464</v>
      </c>
      <c r="B667" s="7" t="s">
        <v>3464</v>
      </c>
      <c r="C667" s="7" t="s">
        <v>3465</v>
      </c>
      <c r="D667" s="7" t="s">
        <v>3466</v>
      </c>
      <c r="E667" s="7" t="s">
        <v>49</v>
      </c>
      <c r="F667" s="7" t="s">
        <v>34</v>
      </c>
      <c r="G667" s="7" t="s">
        <v>35</v>
      </c>
      <c r="J667" s="7" t="s">
        <v>50</v>
      </c>
      <c r="K667" s="7" t="s">
        <v>208</v>
      </c>
      <c r="L667" s="7" t="s">
        <v>209</v>
      </c>
      <c r="M667" s="7" t="s">
        <v>210</v>
      </c>
      <c r="N667" s="7" t="s">
        <v>49</v>
      </c>
      <c r="O667" s="7">
        <v>1</v>
      </c>
      <c r="P667" s="7" t="s">
        <v>41</v>
      </c>
      <c r="Q667" s="7">
        <v>89.99</v>
      </c>
      <c r="Y667" s="7" t="s">
        <v>998</v>
      </c>
      <c r="Z667" s="7" t="s">
        <v>178</v>
      </c>
      <c r="AA667" s="7" t="s">
        <v>3467</v>
      </c>
      <c r="AB667" s="7" t="s">
        <v>45</v>
      </c>
      <c r="AD667" s="11"/>
      <c r="AE667" s="11"/>
      <c r="AF667" s="11"/>
      <c r="AG667" s="10">
        <f t="shared" si="10"/>
        <v>43329</v>
      </c>
    </row>
    <row r="668" s="7" customFormat="1" spans="1:33">
      <c r="A668" s="7" t="s">
        <v>3468</v>
      </c>
      <c r="B668" s="7" t="s">
        <v>3468</v>
      </c>
      <c r="C668" s="7" t="s">
        <v>3469</v>
      </c>
      <c r="D668" s="7" t="s">
        <v>3470</v>
      </c>
      <c r="E668" s="7" t="s">
        <v>49</v>
      </c>
      <c r="F668" s="7" t="s">
        <v>34</v>
      </c>
      <c r="G668" s="7" t="s">
        <v>35</v>
      </c>
      <c r="J668" s="7" t="s">
        <v>50</v>
      </c>
      <c r="K668" s="7" t="s">
        <v>2334</v>
      </c>
      <c r="L668" s="7" t="s">
        <v>2335</v>
      </c>
      <c r="M668" s="7" t="s">
        <v>2336</v>
      </c>
      <c r="N668" s="7" t="s">
        <v>49</v>
      </c>
      <c r="O668" s="7">
        <v>1</v>
      </c>
      <c r="P668" s="7" t="s">
        <v>41</v>
      </c>
      <c r="Q668" s="7">
        <v>89.99</v>
      </c>
      <c r="Y668" s="7" t="s">
        <v>651</v>
      </c>
      <c r="Z668" s="7" t="s">
        <v>83</v>
      </c>
      <c r="AA668" s="7" t="s">
        <v>3471</v>
      </c>
      <c r="AB668" s="7" t="s">
        <v>45</v>
      </c>
      <c r="AD668" s="11"/>
      <c r="AE668" s="11"/>
      <c r="AF668" s="11"/>
      <c r="AG668" s="10">
        <f t="shared" si="10"/>
        <v>43329</v>
      </c>
    </row>
    <row r="669" s="7" customFormat="1" spans="1:33">
      <c r="A669" s="7" t="s">
        <v>3472</v>
      </c>
      <c r="B669" s="7" t="s">
        <v>3472</v>
      </c>
      <c r="C669" s="7" t="s">
        <v>3473</v>
      </c>
      <c r="D669" s="7" t="s">
        <v>3474</v>
      </c>
      <c r="E669" s="7" t="s">
        <v>49</v>
      </c>
      <c r="F669" s="7" t="s">
        <v>34</v>
      </c>
      <c r="G669" s="7" t="s">
        <v>35</v>
      </c>
      <c r="J669" s="7" t="s">
        <v>50</v>
      </c>
      <c r="K669" s="7" t="s">
        <v>456</v>
      </c>
      <c r="L669" s="7" t="s">
        <v>457</v>
      </c>
      <c r="M669" s="7" t="s">
        <v>458</v>
      </c>
      <c r="N669" s="7" t="s">
        <v>49</v>
      </c>
      <c r="O669" s="7">
        <v>1</v>
      </c>
      <c r="P669" s="7" t="s">
        <v>41</v>
      </c>
      <c r="Q669" s="7">
        <v>85.99</v>
      </c>
      <c r="Y669" s="7" t="s">
        <v>3475</v>
      </c>
      <c r="Z669" s="7" t="s">
        <v>3315</v>
      </c>
      <c r="AA669" s="7">
        <v>11422</v>
      </c>
      <c r="AB669" s="7" t="s">
        <v>45</v>
      </c>
      <c r="AD669" s="11"/>
      <c r="AE669" s="11"/>
      <c r="AF669" s="11"/>
      <c r="AG669" s="10">
        <f t="shared" si="10"/>
        <v>43329</v>
      </c>
    </row>
    <row r="670" s="7" customFormat="1" spans="1:33">
      <c r="A670" s="7" t="s">
        <v>3476</v>
      </c>
      <c r="B670" s="7" t="s">
        <v>3476</v>
      </c>
      <c r="C670" s="7" t="s">
        <v>3477</v>
      </c>
      <c r="D670" s="7" t="s">
        <v>3478</v>
      </c>
      <c r="E670" s="7" t="s">
        <v>49</v>
      </c>
      <c r="F670" s="7" t="s">
        <v>34</v>
      </c>
      <c r="G670" s="7" t="s">
        <v>35</v>
      </c>
      <c r="J670" s="7" t="s">
        <v>50</v>
      </c>
      <c r="K670" s="7" t="s">
        <v>217</v>
      </c>
      <c r="L670" s="7" t="s">
        <v>218</v>
      </c>
      <c r="M670" s="7" t="s">
        <v>219</v>
      </c>
      <c r="N670" s="7" t="s">
        <v>49</v>
      </c>
      <c r="O670" s="7">
        <v>1</v>
      </c>
      <c r="P670" s="7" t="s">
        <v>41</v>
      </c>
      <c r="Q670" s="7">
        <v>29.99</v>
      </c>
      <c r="Y670" s="7" t="s">
        <v>3479</v>
      </c>
      <c r="Z670" s="7" t="s">
        <v>346</v>
      </c>
      <c r="AA670" s="7" t="s">
        <v>3480</v>
      </c>
      <c r="AB670" s="7" t="s">
        <v>45</v>
      </c>
      <c r="AD670" s="11"/>
      <c r="AE670" s="11"/>
      <c r="AF670" s="11"/>
      <c r="AG670" s="10">
        <f t="shared" si="10"/>
        <v>43329</v>
      </c>
    </row>
    <row r="671" s="7" customFormat="1" spans="1:33">
      <c r="A671" s="7" t="s">
        <v>3481</v>
      </c>
      <c r="B671" s="7" t="s">
        <v>3481</v>
      </c>
      <c r="C671" s="7" t="s">
        <v>3482</v>
      </c>
      <c r="D671" s="7" t="s">
        <v>3483</v>
      </c>
      <c r="E671" s="7" t="s">
        <v>49</v>
      </c>
      <c r="F671" s="7" t="s">
        <v>34</v>
      </c>
      <c r="G671" s="7" t="s">
        <v>35</v>
      </c>
      <c r="J671" s="7" t="s">
        <v>36</v>
      </c>
      <c r="K671" s="7" t="s">
        <v>456</v>
      </c>
      <c r="L671" s="7" t="s">
        <v>457</v>
      </c>
      <c r="M671" s="7" t="s">
        <v>458</v>
      </c>
      <c r="N671" s="7" t="s">
        <v>49</v>
      </c>
      <c r="O671" s="7">
        <v>1</v>
      </c>
      <c r="P671" s="7" t="s">
        <v>41</v>
      </c>
      <c r="Q671" s="7">
        <v>85.99</v>
      </c>
      <c r="S671" s="7">
        <v>7.42</v>
      </c>
      <c r="Y671" s="7" t="s">
        <v>3484</v>
      </c>
      <c r="Z671" s="7" t="s">
        <v>3485</v>
      </c>
      <c r="AA671" s="7">
        <v>33967</v>
      </c>
      <c r="AB671" s="7" t="s">
        <v>45</v>
      </c>
      <c r="AD671" s="11"/>
      <c r="AE671" s="11"/>
      <c r="AF671" s="11"/>
      <c r="AG671" s="10">
        <f t="shared" si="10"/>
        <v>43329</v>
      </c>
    </row>
    <row r="672" s="7" customFormat="1" spans="1:33">
      <c r="A672" s="7" t="s">
        <v>3486</v>
      </c>
      <c r="B672" s="7" t="s">
        <v>3486</v>
      </c>
      <c r="C672" s="7" t="s">
        <v>3487</v>
      </c>
      <c r="D672" s="7" t="s">
        <v>3488</v>
      </c>
      <c r="E672" s="7" t="s">
        <v>49</v>
      </c>
      <c r="F672" s="7" t="s">
        <v>34</v>
      </c>
      <c r="G672" s="7" t="s">
        <v>35</v>
      </c>
      <c r="J672" s="7" t="s">
        <v>326</v>
      </c>
      <c r="K672" s="7" t="s">
        <v>3489</v>
      </c>
      <c r="L672" s="7" t="s">
        <v>71</v>
      </c>
      <c r="M672" s="7" t="s">
        <v>72</v>
      </c>
      <c r="N672" s="7" t="s">
        <v>49</v>
      </c>
      <c r="O672" s="7">
        <v>1</v>
      </c>
      <c r="P672" s="7" t="s">
        <v>41</v>
      </c>
      <c r="Q672" s="7">
        <v>96.99</v>
      </c>
      <c r="S672" s="7">
        <v>11.99</v>
      </c>
      <c r="Y672" s="7" t="s">
        <v>265</v>
      </c>
      <c r="Z672" s="7" t="s">
        <v>266</v>
      </c>
      <c r="AA672" s="7" t="s">
        <v>3490</v>
      </c>
      <c r="AB672" s="7" t="s">
        <v>45</v>
      </c>
      <c r="AD672" s="8"/>
      <c r="AE672" s="8"/>
      <c r="AF672" s="8"/>
      <c r="AG672" s="10">
        <f t="shared" si="10"/>
        <v>43329</v>
      </c>
    </row>
    <row r="673" s="7" customFormat="1" spans="1:33">
      <c r="A673" s="7" t="s">
        <v>3491</v>
      </c>
      <c r="B673" s="7" t="s">
        <v>3491</v>
      </c>
      <c r="C673" s="7" t="s">
        <v>3492</v>
      </c>
      <c r="D673" s="7" t="s">
        <v>3493</v>
      </c>
      <c r="E673" s="7" t="s">
        <v>49</v>
      </c>
      <c r="F673" s="7" t="s">
        <v>34</v>
      </c>
      <c r="G673" s="7" t="s">
        <v>35</v>
      </c>
      <c r="J673" s="7" t="s">
        <v>151</v>
      </c>
      <c r="K673" s="7" t="s">
        <v>863</v>
      </c>
      <c r="L673" s="7" t="s">
        <v>864</v>
      </c>
      <c r="M673" s="7" t="s">
        <v>865</v>
      </c>
      <c r="N673" s="7" t="s">
        <v>49</v>
      </c>
      <c r="O673" s="7">
        <v>1</v>
      </c>
      <c r="P673" s="7" t="s">
        <v>41</v>
      </c>
      <c r="Q673" s="7">
        <v>34.99</v>
      </c>
      <c r="S673" s="7">
        <v>5.99</v>
      </c>
      <c r="Y673" s="7" t="s">
        <v>3494</v>
      </c>
      <c r="Z673" s="7" t="s">
        <v>266</v>
      </c>
      <c r="AA673" s="7" t="s">
        <v>3495</v>
      </c>
      <c r="AB673" s="7" t="s">
        <v>45</v>
      </c>
      <c r="AD673" s="11"/>
      <c r="AE673" s="11"/>
      <c r="AF673" s="11"/>
      <c r="AG673" s="10">
        <f t="shared" si="10"/>
        <v>43329</v>
      </c>
    </row>
    <row r="674" s="7" customFormat="1" spans="1:33">
      <c r="A674" s="7" t="s">
        <v>3496</v>
      </c>
      <c r="B674" s="7" t="s">
        <v>3496</v>
      </c>
      <c r="C674" s="7" t="s">
        <v>3497</v>
      </c>
      <c r="D674" s="7" t="s">
        <v>3498</v>
      </c>
      <c r="E674" s="7" t="s">
        <v>49</v>
      </c>
      <c r="F674" s="7" t="s">
        <v>34</v>
      </c>
      <c r="G674" s="7" t="s">
        <v>35</v>
      </c>
      <c r="J674" s="7" t="s">
        <v>36</v>
      </c>
      <c r="K674" s="7" t="s">
        <v>3489</v>
      </c>
      <c r="L674" s="7" t="s">
        <v>71</v>
      </c>
      <c r="M674" s="7" t="s">
        <v>72</v>
      </c>
      <c r="N674" s="7" t="s">
        <v>49</v>
      </c>
      <c r="O674" s="7">
        <v>1</v>
      </c>
      <c r="P674" s="7" t="s">
        <v>41</v>
      </c>
      <c r="Q674" s="7">
        <v>96.99</v>
      </c>
      <c r="S674" s="7">
        <v>8.22</v>
      </c>
      <c r="Y674" s="7" t="s">
        <v>1992</v>
      </c>
      <c r="Z674" s="7" t="s">
        <v>43</v>
      </c>
      <c r="AA674" s="7" t="s">
        <v>3499</v>
      </c>
      <c r="AB674" s="7" t="s">
        <v>45</v>
      </c>
      <c r="AD674" s="11"/>
      <c r="AE674" s="11"/>
      <c r="AF674" s="11"/>
      <c r="AG674" s="10">
        <f t="shared" si="10"/>
        <v>43329</v>
      </c>
    </row>
    <row r="675" s="7" customFormat="1" spans="1:33">
      <c r="A675" s="7" t="s">
        <v>3500</v>
      </c>
      <c r="B675" s="7" t="s">
        <v>3500</v>
      </c>
      <c r="C675" s="7" t="s">
        <v>3501</v>
      </c>
      <c r="D675" s="7" t="s">
        <v>3502</v>
      </c>
      <c r="E675" s="7" t="s">
        <v>49</v>
      </c>
      <c r="F675" s="7" t="s">
        <v>34</v>
      </c>
      <c r="G675" s="7" t="s">
        <v>35</v>
      </c>
      <c r="J675" s="7" t="s">
        <v>50</v>
      </c>
      <c r="K675" s="7" t="s">
        <v>2563</v>
      </c>
      <c r="L675" s="7" t="s">
        <v>170</v>
      </c>
      <c r="M675" s="7" t="s">
        <v>171</v>
      </c>
      <c r="N675" s="7" t="s">
        <v>49</v>
      </c>
      <c r="O675" s="7">
        <v>1</v>
      </c>
      <c r="P675" s="7" t="s">
        <v>41</v>
      </c>
      <c r="Q675" s="7">
        <v>89.99</v>
      </c>
      <c r="Y675" s="7" t="s">
        <v>2033</v>
      </c>
      <c r="Z675" s="7" t="s">
        <v>331</v>
      </c>
      <c r="AA675" s="7" t="s">
        <v>3503</v>
      </c>
      <c r="AB675" s="7" t="s">
        <v>45</v>
      </c>
      <c r="AD675" s="11"/>
      <c r="AE675" s="11"/>
      <c r="AF675" s="11"/>
      <c r="AG675" s="10">
        <f t="shared" si="10"/>
        <v>43329</v>
      </c>
    </row>
    <row r="676" s="7" customFormat="1" spans="1:33">
      <c r="A676" s="7" t="s">
        <v>3504</v>
      </c>
      <c r="B676" s="7" t="s">
        <v>3504</v>
      </c>
      <c r="C676" s="7" t="s">
        <v>3505</v>
      </c>
      <c r="D676" s="7" t="s">
        <v>3506</v>
      </c>
      <c r="E676" s="7" t="s">
        <v>49</v>
      </c>
      <c r="F676" s="7" t="s">
        <v>34</v>
      </c>
      <c r="G676" s="7" t="s">
        <v>35</v>
      </c>
      <c r="J676" s="7" t="s">
        <v>50</v>
      </c>
      <c r="K676" s="7" t="s">
        <v>456</v>
      </c>
      <c r="L676" s="7" t="s">
        <v>457</v>
      </c>
      <c r="M676" s="7" t="s">
        <v>458</v>
      </c>
      <c r="N676" s="7" t="s">
        <v>49</v>
      </c>
      <c r="O676" s="7">
        <v>1</v>
      </c>
      <c r="P676" s="7" t="s">
        <v>41</v>
      </c>
      <c r="Q676" s="7">
        <v>86.99</v>
      </c>
      <c r="Y676" s="7" t="s">
        <v>3507</v>
      </c>
      <c r="Z676" s="7" t="s">
        <v>2558</v>
      </c>
      <c r="AA676" s="7" t="s">
        <v>3508</v>
      </c>
      <c r="AB676" s="7" t="s">
        <v>45</v>
      </c>
      <c r="AD676" s="11"/>
      <c r="AE676" s="11"/>
      <c r="AF676" s="11"/>
      <c r="AG676" s="10">
        <f t="shared" si="10"/>
        <v>43330</v>
      </c>
    </row>
    <row r="677" s="7" customFormat="1" spans="1:33">
      <c r="A677" s="7" t="s">
        <v>3509</v>
      </c>
      <c r="B677" s="7" t="s">
        <v>3509</v>
      </c>
      <c r="C677" s="7" t="s">
        <v>3510</v>
      </c>
      <c r="D677" s="7" t="s">
        <v>3511</v>
      </c>
      <c r="E677" s="7" t="s">
        <v>49</v>
      </c>
      <c r="F677" s="7" t="s">
        <v>34</v>
      </c>
      <c r="G677" s="7" t="s">
        <v>35</v>
      </c>
      <c r="J677" s="7" t="s">
        <v>36</v>
      </c>
      <c r="K677" s="7" t="s">
        <v>2248</v>
      </c>
      <c r="L677" s="7" t="s">
        <v>746</v>
      </c>
      <c r="M677" s="7" t="s">
        <v>747</v>
      </c>
      <c r="N677" s="7" t="s">
        <v>49</v>
      </c>
      <c r="O677" s="7">
        <v>1</v>
      </c>
      <c r="P677" s="7" t="s">
        <v>41</v>
      </c>
      <c r="Q677" s="7">
        <v>89.99</v>
      </c>
      <c r="S677" s="7">
        <v>3.31</v>
      </c>
      <c r="X677" s="7">
        <v>3.31</v>
      </c>
      <c r="Y677" s="7" t="s">
        <v>3512</v>
      </c>
      <c r="Z677" s="7" t="s">
        <v>43</v>
      </c>
      <c r="AA677" s="7" t="s">
        <v>3513</v>
      </c>
      <c r="AB677" s="7" t="s">
        <v>45</v>
      </c>
      <c r="AC677" s="7" t="s">
        <v>549</v>
      </c>
      <c r="AD677" s="11"/>
      <c r="AE677" s="11"/>
      <c r="AF677" s="11"/>
      <c r="AG677" s="10">
        <f t="shared" si="10"/>
        <v>43330</v>
      </c>
    </row>
    <row r="678" s="7" customFormat="1" spans="1:33">
      <c r="A678" s="7" t="s">
        <v>3514</v>
      </c>
      <c r="B678" s="7" t="s">
        <v>3514</v>
      </c>
      <c r="C678" s="7" t="s">
        <v>3515</v>
      </c>
      <c r="D678" s="7" t="s">
        <v>3516</v>
      </c>
      <c r="E678" s="7" t="s">
        <v>49</v>
      </c>
      <c r="F678" s="7" t="s">
        <v>34</v>
      </c>
      <c r="G678" s="7" t="s">
        <v>35</v>
      </c>
      <c r="J678" s="7" t="s">
        <v>50</v>
      </c>
      <c r="K678" s="7" t="s">
        <v>208</v>
      </c>
      <c r="L678" s="7" t="s">
        <v>209</v>
      </c>
      <c r="M678" s="7" t="s">
        <v>210</v>
      </c>
      <c r="N678" s="7" t="s">
        <v>49</v>
      </c>
      <c r="O678" s="7">
        <v>1</v>
      </c>
      <c r="P678" s="7" t="s">
        <v>41</v>
      </c>
      <c r="Q678" s="7">
        <v>89.99</v>
      </c>
      <c r="Y678" s="7" t="s">
        <v>3517</v>
      </c>
      <c r="Z678" s="7" t="s">
        <v>1893</v>
      </c>
      <c r="AA678" s="7" t="s">
        <v>3518</v>
      </c>
      <c r="AB678" s="7" t="s">
        <v>45</v>
      </c>
      <c r="AD678" s="11"/>
      <c r="AE678" s="11"/>
      <c r="AF678" s="11"/>
      <c r="AG678" s="10">
        <f t="shared" si="10"/>
        <v>43330</v>
      </c>
    </row>
    <row r="679" s="7" customFormat="1" spans="1:33">
      <c r="A679" s="7" t="s">
        <v>3519</v>
      </c>
      <c r="B679" s="7" t="s">
        <v>3519</v>
      </c>
      <c r="C679" s="7" t="s">
        <v>3520</v>
      </c>
      <c r="D679" s="7" t="s">
        <v>3521</v>
      </c>
      <c r="E679" s="7" t="s">
        <v>49</v>
      </c>
      <c r="F679" s="7" t="s">
        <v>34</v>
      </c>
      <c r="G679" s="7" t="s">
        <v>35</v>
      </c>
      <c r="J679" s="7" t="s">
        <v>50</v>
      </c>
      <c r="K679" s="7" t="s">
        <v>3489</v>
      </c>
      <c r="L679" s="7" t="s">
        <v>71</v>
      </c>
      <c r="M679" s="7" t="s">
        <v>72</v>
      </c>
      <c r="N679" s="7" t="s">
        <v>49</v>
      </c>
      <c r="O679" s="7">
        <v>1</v>
      </c>
      <c r="P679" s="7" t="s">
        <v>41</v>
      </c>
      <c r="Q679" s="7">
        <v>96.99</v>
      </c>
      <c r="Y679" s="7" t="s">
        <v>1012</v>
      </c>
      <c r="Z679" s="7" t="s">
        <v>266</v>
      </c>
      <c r="AA679" s="7" t="s">
        <v>3522</v>
      </c>
      <c r="AB679" s="7" t="s">
        <v>45</v>
      </c>
      <c r="AD679" s="11"/>
      <c r="AE679" s="11"/>
      <c r="AF679" s="11"/>
      <c r="AG679" s="10">
        <f t="shared" si="10"/>
        <v>43330</v>
      </c>
    </row>
    <row r="680" s="7" customFormat="1" spans="1:33">
      <c r="A680" s="7" t="s">
        <v>3523</v>
      </c>
      <c r="B680" s="7" t="s">
        <v>3523</v>
      </c>
      <c r="C680" s="7" t="s">
        <v>3524</v>
      </c>
      <c r="D680" s="7" t="s">
        <v>3525</v>
      </c>
      <c r="E680" s="7" t="s">
        <v>33</v>
      </c>
      <c r="F680" s="7" t="s">
        <v>34</v>
      </c>
      <c r="G680" s="7" t="s">
        <v>35</v>
      </c>
      <c r="J680" s="7" t="s">
        <v>50</v>
      </c>
      <c r="K680" s="7" t="s">
        <v>2650</v>
      </c>
      <c r="L680" s="7" t="s">
        <v>277</v>
      </c>
      <c r="M680" s="7" t="s">
        <v>278</v>
      </c>
      <c r="N680" s="7" t="s">
        <v>33</v>
      </c>
      <c r="O680" s="7">
        <v>0</v>
      </c>
      <c r="Y680" s="7" t="s">
        <v>1012</v>
      </c>
      <c r="Z680" s="7" t="s">
        <v>266</v>
      </c>
      <c r="AA680" s="7" t="s">
        <v>3522</v>
      </c>
      <c r="AB680" s="7" t="s">
        <v>45</v>
      </c>
      <c r="AD680" s="8"/>
      <c r="AE680" s="8"/>
      <c r="AF680" s="8"/>
      <c r="AG680" s="10">
        <f t="shared" si="10"/>
        <v>43330</v>
      </c>
    </row>
    <row r="681" s="7" customFormat="1" spans="1:33">
      <c r="A681" s="7" t="s">
        <v>3526</v>
      </c>
      <c r="B681" s="7" t="s">
        <v>3526</v>
      </c>
      <c r="C681" s="7" t="s">
        <v>3527</v>
      </c>
      <c r="D681" s="7" t="s">
        <v>3528</v>
      </c>
      <c r="E681" s="7" t="s">
        <v>49</v>
      </c>
      <c r="F681" s="7" t="s">
        <v>34</v>
      </c>
      <c r="G681" s="7" t="s">
        <v>35</v>
      </c>
      <c r="J681" s="7" t="s">
        <v>50</v>
      </c>
      <c r="K681" s="7" t="s">
        <v>3529</v>
      </c>
      <c r="L681" s="7" t="s">
        <v>3530</v>
      </c>
      <c r="M681" s="7" t="s">
        <v>3531</v>
      </c>
      <c r="N681" s="7" t="s">
        <v>49</v>
      </c>
      <c r="O681" s="7">
        <v>1</v>
      </c>
      <c r="P681" s="7" t="s">
        <v>41</v>
      </c>
      <c r="Q681" s="7">
        <v>32.99</v>
      </c>
      <c r="Y681" s="7" t="s">
        <v>3532</v>
      </c>
      <c r="Z681" s="7" t="s">
        <v>64</v>
      </c>
      <c r="AA681" s="7" t="s">
        <v>3533</v>
      </c>
      <c r="AB681" s="7" t="s">
        <v>45</v>
      </c>
      <c r="AD681" s="11"/>
      <c r="AE681" s="11"/>
      <c r="AF681" s="11"/>
      <c r="AG681" s="10">
        <f t="shared" si="10"/>
        <v>43330</v>
      </c>
    </row>
    <row r="682" s="7" customFormat="1" spans="1:33">
      <c r="A682" s="7" t="s">
        <v>3534</v>
      </c>
      <c r="B682" s="7" t="s">
        <v>3534</v>
      </c>
      <c r="C682" s="7" t="s">
        <v>3535</v>
      </c>
      <c r="D682" s="7" t="s">
        <v>3536</v>
      </c>
      <c r="E682" s="7" t="s">
        <v>49</v>
      </c>
      <c r="F682" s="7" t="s">
        <v>34</v>
      </c>
      <c r="G682" s="7" t="s">
        <v>35</v>
      </c>
      <c r="J682" s="7" t="s">
        <v>50</v>
      </c>
      <c r="K682" s="7" t="s">
        <v>1205</v>
      </c>
      <c r="L682" s="7" t="s">
        <v>1206</v>
      </c>
      <c r="M682" s="7" t="s">
        <v>1207</v>
      </c>
      <c r="N682" s="7" t="s">
        <v>49</v>
      </c>
      <c r="O682" s="7">
        <v>1</v>
      </c>
      <c r="P682" s="7" t="s">
        <v>41</v>
      </c>
      <c r="Q682" s="7">
        <v>89.99</v>
      </c>
      <c r="Y682" s="7" t="s">
        <v>3537</v>
      </c>
      <c r="Z682" s="7" t="s">
        <v>92</v>
      </c>
      <c r="AA682" s="7" t="s">
        <v>3538</v>
      </c>
      <c r="AB682" s="7" t="s">
        <v>45</v>
      </c>
      <c r="AD682" s="11"/>
      <c r="AE682" s="11"/>
      <c r="AF682" s="11"/>
      <c r="AG682" s="10">
        <f t="shared" si="10"/>
        <v>43330</v>
      </c>
    </row>
    <row r="683" s="7" customFormat="1" spans="1:33">
      <c r="A683" s="7" t="s">
        <v>3539</v>
      </c>
      <c r="B683" s="7" t="s">
        <v>3539</v>
      </c>
      <c r="C683" s="7" t="s">
        <v>3540</v>
      </c>
      <c r="D683" s="7" t="s">
        <v>3541</v>
      </c>
      <c r="E683" s="7" t="s">
        <v>49</v>
      </c>
      <c r="F683" s="7" t="s">
        <v>34</v>
      </c>
      <c r="G683" s="7" t="s">
        <v>35</v>
      </c>
      <c r="J683" s="7" t="s">
        <v>50</v>
      </c>
      <c r="K683" s="7" t="s">
        <v>208</v>
      </c>
      <c r="L683" s="7" t="s">
        <v>209</v>
      </c>
      <c r="M683" s="7" t="s">
        <v>210</v>
      </c>
      <c r="N683" s="7" t="s">
        <v>49</v>
      </c>
      <c r="O683" s="7">
        <v>1</v>
      </c>
      <c r="P683" s="7" t="s">
        <v>41</v>
      </c>
      <c r="Q683" s="7">
        <v>89.99</v>
      </c>
      <c r="Y683" s="7" t="s">
        <v>3542</v>
      </c>
      <c r="Z683" s="7" t="s">
        <v>64</v>
      </c>
      <c r="AA683" s="7" t="s">
        <v>3543</v>
      </c>
      <c r="AB683" s="7" t="s">
        <v>45</v>
      </c>
      <c r="AD683" s="11"/>
      <c r="AE683" s="11"/>
      <c r="AF683" s="11"/>
      <c r="AG683" s="10">
        <f t="shared" si="10"/>
        <v>43330</v>
      </c>
    </row>
    <row r="684" s="7" customFormat="1" spans="1:33">
      <c r="A684" s="7" t="s">
        <v>3544</v>
      </c>
      <c r="B684" s="7" t="s">
        <v>3544</v>
      </c>
      <c r="C684" s="7" t="s">
        <v>3545</v>
      </c>
      <c r="D684" s="7" t="s">
        <v>3546</v>
      </c>
      <c r="E684" s="7" t="s">
        <v>49</v>
      </c>
      <c r="F684" s="7" t="s">
        <v>34</v>
      </c>
      <c r="G684" s="7" t="s">
        <v>35</v>
      </c>
      <c r="J684" s="7" t="s">
        <v>36</v>
      </c>
      <c r="K684" s="7" t="s">
        <v>456</v>
      </c>
      <c r="L684" s="7" t="s">
        <v>457</v>
      </c>
      <c r="M684" s="7" t="s">
        <v>458</v>
      </c>
      <c r="N684" s="7" t="s">
        <v>49</v>
      </c>
      <c r="O684" s="7">
        <v>1</v>
      </c>
      <c r="P684" s="7" t="s">
        <v>41</v>
      </c>
      <c r="Q684" s="7">
        <v>86.99</v>
      </c>
      <c r="S684" s="7">
        <v>4.84</v>
      </c>
      <c r="X684" s="7">
        <v>4.84</v>
      </c>
      <c r="Y684" s="7" t="s">
        <v>3547</v>
      </c>
      <c r="Z684" s="7" t="s">
        <v>64</v>
      </c>
      <c r="AA684" s="7" t="s">
        <v>3548</v>
      </c>
      <c r="AB684" s="7" t="s">
        <v>45</v>
      </c>
      <c r="AC684" s="7" t="s">
        <v>549</v>
      </c>
      <c r="AD684" s="11"/>
      <c r="AE684" s="11"/>
      <c r="AF684" s="11"/>
      <c r="AG684" s="10">
        <f t="shared" si="10"/>
        <v>43330</v>
      </c>
    </row>
    <row r="685" s="7" customFormat="1" spans="1:33">
      <c r="A685" s="7" t="s">
        <v>3549</v>
      </c>
      <c r="B685" s="7" t="s">
        <v>3549</v>
      </c>
      <c r="C685" s="7" t="s">
        <v>3550</v>
      </c>
      <c r="D685" s="7" t="s">
        <v>3551</v>
      </c>
      <c r="E685" s="7" t="s">
        <v>49</v>
      </c>
      <c r="F685" s="7" t="s">
        <v>34</v>
      </c>
      <c r="G685" s="7" t="s">
        <v>35</v>
      </c>
      <c r="J685" s="7" t="s">
        <v>50</v>
      </c>
      <c r="K685" s="7" t="s">
        <v>1270</v>
      </c>
      <c r="L685" s="7" t="s">
        <v>1271</v>
      </c>
      <c r="M685" s="7" t="s">
        <v>1272</v>
      </c>
      <c r="N685" s="7" t="s">
        <v>49</v>
      </c>
      <c r="O685" s="7">
        <v>1</v>
      </c>
      <c r="P685" s="7" t="s">
        <v>41</v>
      </c>
      <c r="Q685" s="7">
        <v>23.99</v>
      </c>
      <c r="R685" s="7">
        <v>2.42</v>
      </c>
      <c r="Y685" s="7" t="s">
        <v>3552</v>
      </c>
      <c r="Z685" s="7" t="s">
        <v>146</v>
      </c>
      <c r="AA685" s="7" t="s">
        <v>3553</v>
      </c>
      <c r="AB685" s="7" t="s">
        <v>45</v>
      </c>
      <c r="AD685" s="11"/>
      <c r="AE685" s="11"/>
      <c r="AF685" s="11"/>
      <c r="AG685" s="10">
        <f t="shared" si="10"/>
        <v>43330</v>
      </c>
    </row>
    <row r="686" s="7" customFormat="1" spans="1:33">
      <c r="A686" s="7" t="s">
        <v>3554</v>
      </c>
      <c r="B686" s="7" t="s">
        <v>3554</v>
      </c>
      <c r="C686" s="7" t="s">
        <v>3555</v>
      </c>
      <c r="D686" s="7" t="s">
        <v>3556</v>
      </c>
      <c r="E686" s="7" t="s">
        <v>49</v>
      </c>
      <c r="F686" s="7" t="s">
        <v>34</v>
      </c>
      <c r="G686" s="7" t="s">
        <v>35</v>
      </c>
      <c r="J686" s="7" t="s">
        <v>50</v>
      </c>
      <c r="K686" s="7" t="s">
        <v>464</v>
      </c>
      <c r="L686" s="7" t="s">
        <v>465</v>
      </c>
      <c r="M686" s="7" t="s">
        <v>466</v>
      </c>
      <c r="N686" s="7" t="s">
        <v>49</v>
      </c>
      <c r="O686" s="7">
        <v>1</v>
      </c>
      <c r="P686" s="7" t="s">
        <v>41</v>
      </c>
      <c r="Q686" s="7">
        <v>89.99</v>
      </c>
      <c r="Y686" s="7" t="s">
        <v>3557</v>
      </c>
      <c r="Z686" s="7" t="s">
        <v>2558</v>
      </c>
      <c r="AA686" s="7">
        <v>84096</v>
      </c>
      <c r="AB686" s="7" t="s">
        <v>45</v>
      </c>
      <c r="AD686" s="11"/>
      <c r="AE686" s="11"/>
      <c r="AF686" s="11"/>
      <c r="AG686" s="10">
        <f t="shared" si="10"/>
        <v>43330</v>
      </c>
    </row>
    <row r="687" s="7" customFormat="1" spans="1:33">
      <c r="A687" s="7" t="s">
        <v>3558</v>
      </c>
      <c r="B687" s="7" t="s">
        <v>3558</v>
      </c>
      <c r="C687" s="7" t="s">
        <v>3559</v>
      </c>
      <c r="D687" s="7" t="s">
        <v>3560</v>
      </c>
      <c r="E687" s="7" t="s">
        <v>49</v>
      </c>
      <c r="F687" s="7" t="s">
        <v>34</v>
      </c>
      <c r="G687" s="7" t="s">
        <v>35</v>
      </c>
      <c r="J687" s="7" t="s">
        <v>36</v>
      </c>
      <c r="K687" s="7" t="s">
        <v>3561</v>
      </c>
      <c r="L687" s="7" t="s">
        <v>3562</v>
      </c>
      <c r="M687" s="7" t="s">
        <v>3563</v>
      </c>
      <c r="N687" s="7" t="s">
        <v>49</v>
      </c>
      <c r="O687" s="7">
        <v>1</v>
      </c>
      <c r="P687" s="7" t="s">
        <v>41</v>
      </c>
      <c r="Q687" s="7">
        <v>79.99</v>
      </c>
      <c r="S687" s="7">
        <v>8.05</v>
      </c>
      <c r="Y687" s="7" t="s">
        <v>897</v>
      </c>
      <c r="Z687" s="7" t="s">
        <v>266</v>
      </c>
      <c r="AA687" s="7" t="s">
        <v>3564</v>
      </c>
      <c r="AB687" s="7" t="s">
        <v>45</v>
      </c>
      <c r="AD687" s="11"/>
      <c r="AE687" s="11"/>
      <c r="AF687" s="11"/>
      <c r="AG687" s="10">
        <f t="shared" si="10"/>
        <v>43330</v>
      </c>
    </row>
    <row r="688" s="7" customFormat="1" spans="1:33">
      <c r="A688" s="7" t="s">
        <v>3565</v>
      </c>
      <c r="B688" s="7" t="s">
        <v>3565</v>
      </c>
      <c r="C688" s="7" t="s">
        <v>3566</v>
      </c>
      <c r="D688" s="7" t="s">
        <v>3567</v>
      </c>
      <c r="E688" s="7" t="s">
        <v>49</v>
      </c>
      <c r="F688" s="7" t="s">
        <v>34</v>
      </c>
      <c r="G688" s="7" t="s">
        <v>35</v>
      </c>
      <c r="J688" s="7" t="s">
        <v>50</v>
      </c>
      <c r="K688" s="7" t="s">
        <v>3568</v>
      </c>
      <c r="L688" s="7" t="s">
        <v>2987</v>
      </c>
      <c r="M688" s="7" t="s">
        <v>2988</v>
      </c>
      <c r="N688" s="7" t="s">
        <v>49</v>
      </c>
      <c r="O688" s="7">
        <v>1</v>
      </c>
      <c r="P688" s="7" t="s">
        <v>41</v>
      </c>
      <c r="Q688" s="7">
        <v>109.99</v>
      </c>
      <c r="Y688" s="7" t="s">
        <v>3569</v>
      </c>
      <c r="Z688" s="7" t="s">
        <v>3570</v>
      </c>
      <c r="AA688" s="7">
        <v>29577</v>
      </c>
      <c r="AB688" s="7" t="s">
        <v>45</v>
      </c>
      <c r="AD688" s="11"/>
      <c r="AE688" s="11"/>
      <c r="AF688" s="11"/>
      <c r="AG688" s="10">
        <f t="shared" si="10"/>
        <v>43330</v>
      </c>
    </row>
    <row r="689" s="7" customFormat="1" spans="1:33">
      <c r="A689" s="7" t="s">
        <v>3571</v>
      </c>
      <c r="B689" s="7" t="s">
        <v>3571</v>
      </c>
      <c r="C689" s="7" t="s">
        <v>3572</v>
      </c>
      <c r="D689" s="7" t="s">
        <v>3573</v>
      </c>
      <c r="E689" s="7" t="s">
        <v>49</v>
      </c>
      <c r="F689" s="7" t="s">
        <v>34</v>
      </c>
      <c r="G689" s="7" t="s">
        <v>35</v>
      </c>
      <c r="J689" s="7" t="s">
        <v>50</v>
      </c>
      <c r="K689" s="7" t="s">
        <v>235</v>
      </c>
      <c r="L689" s="7" t="s">
        <v>236</v>
      </c>
      <c r="M689" s="7" t="s">
        <v>237</v>
      </c>
      <c r="N689" s="7" t="s">
        <v>49</v>
      </c>
      <c r="O689" s="7">
        <v>1</v>
      </c>
      <c r="P689" s="7" t="s">
        <v>41</v>
      </c>
      <c r="Q689" s="7">
        <v>99.99</v>
      </c>
      <c r="Y689" s="7" t="s">
        <v>3574</v>
      </c>
      <c r="Z689" s="7" t="s">
        <v>178</v>
      </c>
      <c r="AA689" s="7" t="s">
        <v>3575</v>
      </c>
      <c r="AB689" s="7" t="s">
        <v>45</v>
      </c>
      <c r="AD689" s="11"/>
      <c r="AE689" s="11"/>
      <c r="AF689" s="11"/>
      <c r="AG689" s="10">
        <f t="shared" si="10"/>
        <v>43330</v>
      </c>
    </row>
    <row r="690" s="7" customFormat="1" spans="1:33">
      <c r="A690" s="7" t="s">
        <v>3576</v>
      </c>
      <c r="B690" s="7" t="s">
        <v>3576</v>
      </c>
      <c r="C690" s="7" t="s">
        <v>3577</v>
      </c>
      <c r="D690" s="7" t="s">
        <v>3578</v>
      </c>
      <c r="E690" s="7" t="s">
        <v>49</v>
      </c>
      <c r="F690" s="7" t="s">
        <v>34</v>
      </c>
      <c r="G690" s="7" t="s">
        <v>35</v>
      </c>
      <c r="J690" s="7" t="s">
        <v>36</v>
      </c>
      <c r="K690" s="7" t="s">
        <v>563</v>
      </c>
      <c r="L690" s="7" t="s">
        <v>564</v>
      </c>
      <c r="M690" s="7" t="s">
        <v>565</v>
      </c>
      <c r="N690" s="7" t="s">
        <v>49</v>
      </c>
      <c r="O690" s="7">
        <v>1</v>
      </c>
      <c r="P690" s="7" t="s">
        <v>41</v>
      </c>
      <c r="Q690" s="7">
        <v>12.99</v>
      </c>
      <c r="Y690" s="7" t="s">
        <v>3579</v>
      </c>
      <c r="Z690" s="7" t="s">
        <v>64</v>
      </c>
      <c r="AA690" s="7" t="s">
        <v>3580</v>
      </c>
      <c r="AB690" s="7" t="s">
        <v>45</v>
      </c>
      <c r="AD690" s="11"/>
      <c r="AE690" s="11"/>
      <c r="AF690" s="11"/>
      <c r="AG690" s="10">
        <f t="shared" si="10"/>
        <v>43330</v>
      </c>
    </row>
    <row r="691" s="7" customFormat="1" spans="1:33">
      <c r="A691" s="7" t="s">
        <v>3581</v>
      </c>
      <c r="B691" s="7" t="s">
        <v>3581</v>
      </c>
      <c r="C691" s="7" t="s">
        <v>3582</v>
      </c>
      <c r="D691" s="7" t="s">
        <v>3583</v>
      </c>
      <c r="E691" s="7" t="s">
        <v>49</v>
      </c>
      <c r="F691" s="7" t="s">
        <v>34</v>
      </c>
      <c r="G691" s="7" t="s">
        <v>35</v>
      </c>
      <c r="J691" s="7" t="s">
        <v>50</v>
      </c>
      <c r="K691" s="7" t="s">
        <v>120</v>
      </c>
      <c r="L691" s="7" t="s">
        <v>121</v>
      </c>
      <c r="M691" s="7" t="s">
        <v>122</v>
      </c>
      <c r="N691" s="7" t="s">
        <v>49</v>
      </c>
      <c r="O691" s="7">
        <v>1</v>
      </c>
      <c r="P691" s="7" t="s">
        <v>41</v>
      </c>
      <c r="Q691" s="7">
        <v>29.99</v>
      </c>
      <c r="Y691" s="7" t="s">
        <v>3584</v>
      </c>
      <c r="Z691" s="7" t="s">
        <v>164</v>
      </c>
      <c r="AA691" s="7" t="s">
        <v>3585</v>
      </c>
      <c r="AB691" s="7" t="s">
        <v>45</v>
      </c>
      <c r="AD691" s="11"/>
      <c r="AE691" s="11"/>
      <c r="AF691" s="11"/>
      <c r="AG691" s="10">
        <f t="shared" si="10"/>
        <v>43330</v>
      </c>
    </row>
    <row r="692" s="7" customFormat="1" spans="1:33">
      <c r="A692" s="7" t="s">
        <v>3586</v>
      </c>
      <c r="B692" s="7" t="s">
        <v>3586</v>
      </c>
      <c r="C692" s="7" t="s">
        <v>3587</v>
      </c>
      <c r="D692" s="7" t="s">
        <v>3588</v>
      </c>
      <c r="E692" s="7" t="s">
        <v>49</v>
      </c>
      <c r="F692" s="7" t="s">
        <v>34</v>
      </c>
      <c r="G692" s="7" t="s">
        <v>35</v>
      </c>
      <c r="J692" s="7" t="s">
        <v>50</v>
      </c>
      <c r="K692" s="7" t="s">
        <v>753</v>
      </c>
      <c r="L692" s="7" t="s">
        <v>754</v>
      </c>
      <c r="M692" s="7" t="s">
        <v>755</v>
      </c>
      <c r="N692" s="7" t="s">
        <v>49</v>
      </c>
      <c r="O692" s="7">
        <v>1</v>
      </c>
      <c r="P692" s="7" t="s">
        <v>41</v>
      </c>
      <c r="Q692" s="7">
        <v>89.6</v>
      </c>
      <c r="S692" s="7">
        <v>14.11</v>
      </c>
      <c r="Y692" s="7" t="s">
        <v>3589</v>
      </c>
      <c r="Z692" s="7" t="s">
        <v>260</v>
      </c>
      <c r="AA692" s="7" t="s">
        <v>3590</v>
      </c>
      <c r="AB692" s="7" t="s">
        <v>45</v>
      </c>
      <c r="AD692" s="11"/>
      <c r="AE692" s="11"/>
      <c r="AF692" s="11"/>
      <c r="AG692" s="10">
        <f t="shared" si="10"/>
        <v>43330</v>
      </c>
    </row>
    <row r="693" s="7" customFormat="1" spans="1:33">
      <c r="A693" s="7" t="s">
        <v>3591</v>
      </c>
      <c r="B693" s="7" t="s">
        <v>3591</v>
      </c>
      <c r="C693" s="7" t="s">
        <v>3592</v>
      </c>
      <c r="D693" s="7" t="s">
        <v>3593</v>
      </c>
      <c r="E693" s="7" t="s">
        <v>49</v>
      </c>
      <c r="F693" s="7" t="s">
        <v>34</v>
      </c>
      <c r="G693" s="7" t="s">
        <v>35</v>
      </c>
      <c r="J693" s="7" t="s">
        <v>326</v>
      </c>
      <c r="K693" s="7" t="s">
        <v>753</v>
      </c>
      <c r="L693" s="7" t="s">
        <v>754</v>
      </c>
      <c r="M693" s="7" t="s">
        <v>755</v>
      </c>
      <c r="N693" s="7" t="s">
        <v>49</v>
      </c>
      <c r="O693" s="7">
        <v>1</v>
      </c>
      <c r="P693" s="7" t="s">
        <v>41</v>
      </c>
      <c r="Q693" s="7">
        <v>89.6</v>
      </c>
      <c r="S693" s="7">
        <v>7.99</v>
      </c>
      <c r="Y693" s="7" t="s">
        <v>336</v>
      </c>
      <c r="Z693" s="7" t="s">
        <v>266</v>
      </c>
      <c r="AA693" s="7" t="s">
        <v>3594</v>
      </c>
      <c r="AB693" s="7" t="s">
        <v>45</v>
      </c>
      <c r="AD693" s="11"/>
      <c r="AE693" s="11"/>
      <c r="AF693" s="11"/>
      <c r="AG693" s="10">
        <f t="shared" si="10"/>
        <v>43330</v>
      </c>
    </row>
    <row r="694" s="7" customFormat="1" spans="1:33">
      <c r="A694" s="7" t="s">
        <v>3595</v>
      </c>
      <c r="B694" s="7" t="s">
        <v>3595</v>
      </c>
      <c r="C694" s="7" t="s">
        <v>3596</v>
      </c>
      <c r="D694" s="7" t="s">
        <v>3597</v>
      </c>
      <c r="E694" s="7" t="s">
        <v>49</v>
      </c>
      <c r="F694" s="7" t="s">
        <v>34</v>
      </c>
      <c r="G694" s="7" t="s">
        <v>35</v>
      </c>
      <c r="J694" s="7" t="s">
        <v>50</v>
      </c>
      <c r="K694" s="7" t="s">
        <v>2363</v>
      </c>
      <c r="L694" s="7" t="s">
        <v>89</v>
      </c>
      <c r="M694" s="7" t="s">
        <v>90</v>
      </c>
      <c r="N694" s="7" t="s">
        <v>49</v>
      </c>
      <c r="O694" s="7">
        <v>1</v>
      </c>
      <c r="P694" s="7" t="s">
        <v>41</v>
      </c>
      <c r="Q694" s="7">
        <v>89.99</v>
      </c>
      <c r="Y694" s="7" t="s">
        <v>3598</v>
      </c>
      <c r="Z694" s="7" t="s">
        <v>346</v>
      </c>
      <c r="AA694" s="7" t="s">
        <v>3599</v>
      </c>
      <c r="AB694" s="7" t="s">
        <v>45</v>
      </c>
      <c r="AD694" s="11"/>
      <c r="AE694" s="11"/>
      <c r="AF694" s="11"/>
      <c r="AG694" s="10">
        <f t="shared" si="10"/>
        <v>43330</v>
      </c>
    </row>
    <row r="695" s="7" customFormat="1" spans="1:33">
      <c r="A695" s="7" t="s">
        <v>3600</v>
      </c>
      <c r="B695" s="7" t="s">
        <v>3600</v>
      </c>
      <c r="C695" s="7" t="s">
        <v>3601</v>
      </c>
      <c r="D695" s="7" t="s">
        <v>3602</v>
      </c>
      <c r="E695" s="7" t="s">
        <v>49</v>
      </c>
      <c r="F695" s="7" t="s">
        <v>34</v>
      </c>
      <c r="G695" s="7" t="s">
        <v>35</v>
      </c>
      <c r="J695" s="7" t="s">
        <v>36</v>
      </c>
      <c r="K695" s="7" t="s">
        <v>152</v>
      </c>
      <c r="L695" s="7" t="s">
        <v>153</v>
      </c>
      <c r="M695" s="7" t="s">
        <v>154</v>
      </c>
      <c r="N695" s="7" t="s">
        <v>49</v>
      </c>
      <c r="O695" s="7">
        <v>1</v>
      </c>
      <c r="P695" s="7" t="s">
        <v>41</v>
      </c>
      <c r="Q695" s="7">
        <v>79.99</v>
      </c>
      <c r="S695" s="7">
        <v>5.58</v>
      </c>
      <c r="X695" s="7">
        <v>5.58</v>
      </c>
      <c r="Y695" s="7" t="s">
        <v>3603</v>
      </c>
      <c r="Z695" s="7" t="s">
        <v>1007</v>
      </c>
      <c r="AA695" s="7" t="s">
        <v>3604</v>
      </c>
      <c r="AB695" s="7" t="s">
        <v>45</v>
      </c>
      <c r="AC695" s="7" t="s">
        <v>549</v>
      </c>
      <c r="AD695" s="11"/>
      <c r="AE695" s="11"/>
      <c r="AF695" s="11"/>
      <c r="AG695" s="10">
        <f t="shared" si="10"/>
        <v>43330</v>
      </c>
    </row>
    <row r="696" s="7" customFormat="1" spans="1:33">
      <c r="A696" s="7" t="s">
        <v>3605</v>
      </c>
      <c r="B696" s="7" t="s">
        <v>3605</v>
      </c>
      <c r="C696" s="7" t="s">
        <v>3606</v>
      </c>
      <c r="D696" s="7" t="s">
        <v>3607</v>
      </c>
      <c r="E696" s="7" t="s">
        <v>49</v>
      </c>
      <c r="F696" s="7" t="s">
        <v>34</v>
      </c>
      <c r="G696" s="7" t="s">
        <v>35</v>
      </c>
      <c r="J696" s="7" t="s">
        <v>50</v>
      </c>
      <c r="K696" s="7" t="s">
        <v>256</v>
      </c>
      <c r="L696" s="7" t="s">
        <v>257</v>
      </c>
      <c r="M696" s="7" t="s">
        <v>258</v>
      </c>
      <c r="N696" s="7" t="s">
        <v>49</v>
      </c>
      <c r="O696" s="7">
        <v>1</v>
      </c>
      <c r="P696" s="7" t="s">
        <v>41</v>
      </c>
      <c r="Q696" s="7">
        <v>21.99</v>
      </c>
      <c r="W696" s="7">
        <v>21.77</v>
      </c>
      <c r="Y696" s="7" t="s">
        <v>3023</v>
      </c>
      <c r="Z696" s="7" t="s">
        <v>178</v>
      </c>
      <c r="AA696" s="7" t="s">
        <v>3024</v>
      </c>
      <c r="AB696" s="7" t="s">
        <v>45</v>
      </c>
      <c r="AC696" s="7" t="s">
        <v>66</v>
      </c>
      <c r="AD696" s="11"/>
      <c r="AE696" s="11"/>
      <c r="AF696" s="11"/>
      <c r="AG696" s="10">
        <f t="shared" si="10"/>
        <v>43330</v>
      </c>
    </row>
    <row r="697" s="7" customFormat="1" spans="1:33">
      <c r="A697" s="7" t="s">
        <v>3608</v>
      </c>
      <c r="B697" s="7" t="s">
        <v>3608</v>
      </c>
      <c r="C697" s="7" t="s">
        <v>3609</v>
      </c>
      <c r="D697" s="7" t="s">
        <v>3610</v>
      </c>
      <c r="E697" s="7" t="s">
        <v>49</v>
      </c>
      <c r="F697" s="7" t="s">
        <v>34</v>
      </c>
      <c r="G697" s="7" t="s">
        <v>35</v>
      </c>
      <c r="J697" s="7" t="s">
        <v>50</v>
      </c>
      <c r="K697" s="7" t="s">
        <v>779</v>
      </c>
      <c r="L697" s="7" t="s">
        <v>780</v>
      </c>
      <c r="M697" s="7" t="s">
        <v>781</v>
      </c>
      <c r="N697" s="7" t="s">
        <v>49</v>
      </c>
      <c r="O697" s="7">
        <v>1</v>
      </c>
      <c r="P697" s="7" t="s">
        <v>41</v>
      </c>
      <c r="Q697" s="7">
        <v>21.99</v>
      </c>
      <c r="W697" s="7">
        <v>21.77</v>
      </c>
      <c r="Y697" s="7" t="s">
        <v>3611</v>
      </c>
      <c r="Z697" s="7" t="s">
        <v>43</v>
      </c>
      <c r="AA697" s="7" t="s">
        <v>3612</v>
      </c>
      <c r="AB697" s="7" t="s">
        <v>45</v>
      </c>
      <c r="AC697" s="7" t="s">
        <v>66</v>
      </c>
      <c r="AD697" s="11"/>
      <c r="AE697" s="11"/>
      <c r="AF697" s="11"/>
      <c r="AG697" s="10">
        <f t="shared" si="10"/>
        <v>43330</v>
      </c>
    </row>
    <row r="698" s="7" customFormat="1" spans="1:33">
      <c r="A698" s="7" t="s">
        <v>3613</v>
      </c>
      <c r="B698" s="7" t="s">
        <v>3613</v>
      </c>
      <c r="C698" s="7" t="s">
        <v>3614</v>
      </c>
      <c r="D698" s="7" t="s">
        <v>3615</v>
      </c>
      <c r="E698" s="7" t="s">
        <v>49</v>
      </c>
      <c r="F698" s="7" t="s">
        <v>34</v>
      </c>
      <c r="G698" s="7" t="s">
        <v>35</v>
      </c>
      <c r="J698" s="7" t="s">
        <v>50</v>
      </c>
      <c r="K698" s="7" t="s">
        <v>3489</v>
      </c>
      <c r="L698" s="7" t="s">
        <v>71</v>
      </c>
      <c r="M698" s="7" t="s">
        <v>72</v>
      </c>
      <c r="N698" s="7" t="s">
        <v>49</v>
      </c>
      <c r="O698" s="7">
        <v>1</v>
      </c>
      <c r="P698" s="7" t="s">
        <v>41</v>
      </c>
      <c r="Q698" s="7">
        <v>96.99</v>
      </c>
      <c r="Y698" s="7" t="s">
        <v>265</v>
      </c>
      <c r="Z698" s="7" t="s">
        <v>266</v>
      </c>
      <c r="AA698" s="7" t="s">
        <v>3616</v>
      </c>
      <c r="AB698" s="7" t="s">
        <v>45</v>
      </c>
      <c r="AD698" s="11"/>
      <c r="AE698" s="11"/>
      <c r="AF698" s="11"/>
      <c r="AG698" s="10">
        <f t="shared" si="10"/>
        <v>43330</v>
      </c>
    </row>
    <row r="699" s="7" customFormat="1" spans="1:33">
      <c r="A699" s="7" t="s">
        <v>3617</v>
      </c>
      <c r="B699" s="7" t="s">
        <v>3617</v>
      </c>
      <c r="C699" s="7" t="s">
        <v>3618</v>
      </c>
      <c r="D699" s="7" t="s">
        <v>3619</v>
      </c>
      <c r="E699" s="7" t="s">
        <v>49</v>
      </c>
      <c r="F699" s="7" t="s">
        <v>34</v>
      </c>
      <c r="G699" s="7" t="s">
        <v>35</v>
      </c>
      <c r="J699" s="7" t="s">
        <v>50</v>
      </c>
      <c r="K699" s="7" t="s">
        <v>120</v>
      </c>
      <c r="L699" s="7" t="s">
        <v>121</v>
      </c>
      <c r="M699" s="7" t="s">
        <v>122</v>
      </c>
      <c r="N699" s="7" t="s">
        <v>49</v>
      </c>
      <c r="O699" s="7">
        <v>1</v>
      </c>
      <c r="P699" s="7" t="s">
        <v>41</v>
      </c>
      <c r="Q699" s="7">
        <v>29.99</v>
      </c>
      <c r="Y699" s="7" t="s">
        <v>1689</v>
      </c>
      <c r="Z699" s="7" t="s">
        <v>109</v>
      </c>
      <c r="AA699" s="7" t="s">
        <v>3620</v>
      </c>
      <c r="AB699" s="7" t="s">
        <v>45</v>
      </c>
      <c r="AD699" s="11"/>
      <c r="AE699" s="11"/>
      <c r="AF699" s="11"/>
      <c r="AG699" s="10">
        <f t="shared" si="10"/>
        <v>43330</v>
      </c>
    </row>
    <row r="700" s="7" customFormat="1" spans="1:33">
      <c r="A700" s="7" t="s">
        <v>3621</v>
      </c>
      <c r="B700" s="7" t="s">
        <v>3621</v>
      </c>
      <c r="C700" s="7" t="s">
        <v>3622</v>
      </c>
      <c r="D700" s="7" t="s">
        <v>3623</v>
      </c>
      <c r="E700" s="7" t="s">
        <v>49</v>
      </c>
      <c r="F700" s="7" t="s">
        <v>34</v>
      </c>
      <c r="G700" s="7" t="s">
        <v>35</v>
      </c>
      <c r="J700" s="7" t="s">
        <v>36</v>
      </c>
      <c r="K700" s="7" t="s">
        <v>197</v>
      </c>
      <c r="L700" s="7" t="s">
        <v>977</v>
      </c>
      <c r="M700" s="7" t="s">
        <v>199</v>
      </c>
      <c r="N700" s="7" t="s">
        <v>49</v>
      </c>
      <c r="O700" s="7">
        <v>1</v>
      </c>
      <c r="P700" s="7" t="s">
        <v>41</v>
      </c>
      <c r="Q700" s="7">
        <v>21.99</v>
      </c>
      <c r="S700" s="7">
        <v>5.99</v>
      </c>
      <c r="W700" s="7">
        <v>21.77</v>
      </c>
      <c r="Y700" s="7" t="s">
        <v>3624</v>
      </c>
      <c r="Z700" s="7" t="s">
        <v>3625</v>
      </c>
      <c r="AA700" s="7">
        <v>12304</v>
      </c>
      <c r="AB700" s="7" t="s">
        <v>45</v>
      </c>
      <c r="AC700" s="7" t="s">
        <v>66</v>
      </c>
      <c r="AD700" s="11"/>
      <c r="AE700" s="11"/>
      <c r="AF700" s="11"/>
      <c r="AG700" s="10">
        <f t="shared" si="10"/>
        <v>43330</v>
      </c>
    </row>
    <row r="701" s="7" customFormat="1" spans="1:33">
      <c r="A701" s="7" t="s">
        <v>3626</v>
      </c>
      <c r="B701" s="7" t="s">
        <v>3626</v>
      </c>
      <c r="C701" s="7" t="s">
        <v>3627</v>
      </c>
      <c r="D701" s="7" t="s">
        <v>3628</v>
      </c>
      <c r="E701" s="7" t="s">
        <v>49</v>
      </c>
      <c r="F701" s="7" t="s">
        <v>34</v>
      </c>
      <c r="G701" s="7" t="s">
        <v>35</v>
      </c>
      <c r="J701" s="7" t="s">
        <v>50</v>
      </c>
      <c r="K701" s="7" t="s">
        <v>603</v>
      </c>
      <c r="L701" s="7" t="s">
        <v>604</v>
      </c>
      <c r="M701" s="7" t="s">
        <v>605</v>
      </c>
      <c r="N701" s="7" t="s">
        <v>49</v>
      </c>
      <c r="O701" s="7">
        <v>1</v>
      </c>
      <c r="P701" s="7" t="s">
        <v>41</v>
      </c>
      <c r="Q701" s="7">
        <v>99.99</v>
      </c>
      <c r="Y701" s="7" t="s">
        <v>1278</v>
      </c>
      <c r="Z701" s="7" t="s">
        <v>1095</v>
      </c>
      <c r="AA701" s="7">
        <v>91010</v>
      </c>
      <c r="AB701" s="7" t="s">
        <v>45</v>
      </c>
      <c r="AD701" s="11"/>
      <c r="AE701" s="11"/>
      <c r="AF701" s="11"/>
      <c r="AG701" s="10">
        <f t="shared" si="10"/>
        <v>43330</v>
      </c>
    </row>
    <row r="702" s="7" customFormat="1" spans="1:33">
      <c r="A702" s="7" t="s">
        <v>3629</v>
      </c>
      <c r="B702" s="7" t="s">
        <v>3629</v>
      </c>
      <c r="C702" s="7" t="s">
        <v>3630</v>
      </c>
      <c r="D702" s="7" t="s">
        <v>3631</v>
      </c>
      <c r="E702" s="7" t="s">
        <v>49</v>
      </c>
      <c r="F702" s="7" t="s">
        <v>34</v>
      </c>
      <c r="G702" s="7" t="s">
        <v>35</v>
      </c>
      <c r="J702" s="7" t="s">
        <v>50</v>
      </c>
      <c r="K702" s="7" t="s">
        <v>60</v>
      </c>
      <c r="L702" s="7" t="s">
        <v>61</v>
      </c>
      <c r="M702" s="7" t="s">
        <v>62</v>
      </c>
      <c r="N702" s="7" t="s">
        <v>49</v>
      </c>
      <c r="O702" s="7">
        <v>1</v>
      </c>
      <c r="P702" s="7" t="s">
        <v>41</v>
      </c>
      <c r="Q702" s="7">
        <v>21.99</v>
      </c>
      <c r="Y702" s="7" t="s">
        <v>313</v>
      </c>
      <c r="Z702" s="7" t="s">
        <v>178</v>
      </c>
      <c r="AA702" s="7" t="s">
        <v>3632</v>
      </c>
      <c r="AB702" s="7" t="s">
        <v>45</v>
      </c>
      <c r="AD702" s="11"/>
      <c r="AE702" s="11"/>
      <c r="AF702" s="11"/>
      <c r="AG702" s="10">
        <f t="shared" si="10"/>
        <v>43330</v>
      </c>
    </row>
    <row r="703" s="7" customFormat="1" spans="1:33">
      <c r="A703" s="7" t="s">
        <v>3633</v>
      </c>
      <c r="B703" s="7" t="s">
        <v>3633</v>
      </c>
      <c r="C703" s="7" t="s">
        <v>3634</v>
      </c>
      <c r="D703" s="7" t="s">
        <v>3635</v>
      </c>
      <c r="E703" s="7" t="s">
        <v>49</v>
      </c>
      <c r="F703" s="7" t="s">
        <v>34</v>
      </c>
      <c r="G703" s="7" t="s">
        <v>35</v>
      </c>
      <c r="J703" s="7" t="s">
        <v>50</v>
      </c>
      <c r="K703" s="7" t="s">
        <v>456</v>
      </c>
      <c r="L703" s="7" t="s">
        <v>457</v>
      </c>
      <c r="M703" s="7" t="s">
        <v>458</v>
      </c>
      <c r="N703" s="7" t="s">
        <v>49</v>
      </c>
      <c r="O703" s="7">
        <v>1</v>
      </c>
      <c r="P703" s="7" t="s">
        <v>41</v>
      </c>
      <c r="Q703" s="7">
        <v>86.99</v>
      </c>
      <c r="R703" s="7">
        <v>6.79</v>
      </c>
      <c r="Y703" s="7" t="s">
        <v>3636</v>
      </c>
      <c r="Z703" s="7" t="s">
        <v>146</v>
      </c>
      <c r="AA703" s="7" t="s">
        <v>3637</v>
      </c>
      <c r="AB703" s="7" t="s">
        <v>45</v>
      </c>
      <c r="AD703" s="11"/>
      <c r="AE703" s="11"/>
      <c r="AF703" s="11"/>
      <c r="AG703" s="10">
        <f t="shared" si="10"/>
        <v>43330</v>
      </c>
    </row>
    <row r="704" s="7" customFormat="1" spans="1:33">
      <c r="A704" s="7" t="s">
        <v>3638</v>
      </c>
      <c r="B704" s="7" t="s">
        <v>3638</v>
      </c>
      <c r="C704" s="7" t="s">
        <v>3639</v>
      </c>
      <c r="D704" s="7" t="s">
        <v>3640</v>
      </c>
      <c r="E704" s="7" t="s">
        <v>49</v>
      </c>
      <c r="F704" s="7" t="s">
        <v>34</v>
      </c>
      <c r="G704" s="7" t="s">
        <v>35</v>
      </c>
      <c r="J704" s="7" t="s">
        <v>50</v>
      </c>
      <c r="K704" s="7" t="s">
        <v>595</v>
      </c>
      <c r="L704" s="7" t="s">
        <v>596</v>
      </c>
      <c r="M704" s="7" t="s">
        <v>597</v>
      </c>
      <c r="N704" s="7" t="s">
        <v>49</v>
      </c>
      <c r="O704" s="7">
        <v>1</v>
      </c>
      <c r="P704" s="7" t="s">
        <v>41</v>
      </c>
      <c r="Q704" s="7">
        <v>21.99</v>
      </c>
      <c r="W704" s="7">
        <v>21.77</v>
      </c>
      <c r="Y704" s="7" t="s">
        <v>3641</v>
      </c>
      <c r="Z704" s="7" t="s">
        <v>115</v>
      </c>
      <c r="AA704" s="7">
        <v>53719</v>
      </c>
      <c r="AB704" s="7" t="s">
        <v>45</v>
      </c>
      <c r="AC704" s="7" t="s">
        <v>66</v>
      </c>
      <c r="AD704" s="11"/>
      <c r="AE704" s="11"/>
      <c r="AF704" s="11"/>
      <c r="AG704" s="10">
        <f t="shared" si="10"/>
        <v>43330</v>
      </c>
    </row>
    <row r="705" s="7" customFormat="1" spans="1:33">
      <c r="A705" s="7" t="s">
        <v>3642</v>
      </c>
      <c r="B705" s="7" t="s">
        <v>3642</v>
      </c>
      <c r="C705" s="7" t="s">
        <v>3643</v>
      </c>
      <c r="D705" s="7" t="s">
        <v>3644</v>
      </c>
      <c r="E705" s="7" t="s">
        <v>49</v>
      </c>
      <c r="F705" s="7" t="s">
        <v>34</v>
      </c>
      <c r="G705" s="7" t="s">
        <v>35</v>
      </c>
      <c r="J705" s="7" t="s">
        <v>50</v>
      </c>
      <c r="K705" s="7" t="s">
        <v>1424</v>
      </c>
      <c r="L705" s="7" t="s">
        <v>1425</v>
      </c>
      <c r="M705" s="7" t="s">
        <v>1426</v>
      </c>
      <c r="N705" s="7" t="s">
        <v>49</v>
      </c>
      <c r="O705" s="7">
        <v>1</v>
      </c>
      <c r="P705" s="7" t="s">
        <v>41</v>
      </c>
      <c r="Q705" s="7">
        <v>99.99</v>
      </c>
      <c r="Y705" s="7" t="s">
        <v>3645</v>
      </c>
      <c r="Z705" s="7" t="s">
        <v>911</v>
      </c>
      <c r="AA705" s="7" t="s">
        <v>3646</v>
      </c>
      <c r="AB705" s="7" t="s">
        <v>45</v>
      </c>
      <c r="AD705" s="11"/>
      <c r="AE705" s="11"/>
      <c r="AF705" s="11"/>
      <c r="AG705" s="10">
        <f t="shared" si="10"/>
        <v>43330</v>
      </c>
    </row>
    <row r="706" s="7" customFormat="1" spans="1:33">
      <c r="A706" s="7" t="s">
        <v>3647</v>
      </c>
      <c r="B706" s="7" t="s">
        <v>3647</v>
      </c>
      <c r="C706" s="7" t="s">
        <v>3648</v>
      </c>
      <c r="D706" s="7" t="s">
        <v>3649</v>
      </c>
      <c r="E706" s="7" t="s">
        <v>49</v>
      </c>
      <c r="F706" s="7" t="s">
        <v>34</v>
      </c>
      <c r="G706" s="7" t="s">
        <v>35</v>
      </c>
      <c r="J706" s="7" t="s">
        <v>50</v>
      </c>
      <c r="K706" s="7" t="s">
        <v>2413</v>
      </c>
      <c r="L706" s="7" t="s">
        <v>143</v>
      </c>
      <c r="M706" s="7" t="s">
        <v>144</v>
      </c>
      <c r="N706" s="7" t="s">
        <v>49</v>
      </c>
      <c r="O706" s="7">
        <v>1</v>
      </c>
      <c r="P706" s="7" t="s">
        <v>41</v>
      </c>
      <c r="Q706" s="7">
        <v>79.99</v>
      </c>
      <c r="Y706" s="7" t="s">
        <v>3650</v>
      </c>
      <c r="Z706" s="7" t="s">
        <v>266</v>
      </c>
      <c r="AA706" s="7" t="s">
        <v>3651</v>
      </c>
      <c r="AB706" s="7" t="s">
        <v>45</v>
      </c>
      <c r="AD706" s="11"/>
      <c r="AE706" s="11"/>
      <c r="AF706" s="11"/>
      <c r="AG706" s="10">
        <f t="shared" ref="AG706:AG769" si="11">DATEVALUE(LEFT(C706,10))</f>
        <v>43330</v>
      </c>
    </row>
    <row r="707" s="7" customFormat="1" spans="1:33">
      <c r="A707" s="7" t="s">
        <v>3647</v>
      </c>
      <c r="B707" s="7" t="s">
        <v>3647</v>
      </c>
      <c r="C707" s="7" t="s">
        <v>3648</v>
      </c>
      <c r="D707" s="7" t="s">
        <v>3649</v>
      </c>
      <c r="E707" s="7" t="s">
        <v>49</v>
      </c>
      <c r="F707" s="7" t="s">
        <v>34</v>
      </c>
      <c r="G707" s="7" t="s">
        <v>35</v>
      </c>
      <c r="J707" s="7" t="s">
        <v>50</v>
      </c>
      <c r="K707" s="7" t="s">
        <v>2413</v>
      </c>
      <c r="L707" s="7" t="s">
        <v>143</v>
      </c>
      <c r="M707" s="7" t="s">
        <v>144</v>
      </c>
      <c r="N707" s="7" t="s">
        <v>49</v>
      </c>
      <c r="O707" s="7">
        <v>1</v>
      </c>
      <c r="P707" s="7" t="s">
        <v>41</v>
      </c>
      <c r="Q707" s="7">
        <v>79.99</v>
      </c>
      <c r="Y707" s="7" t="s">
        <v>3650</v>
      </c>
      <c r="Z707" s="7" t="s">
        <v>266</v>
      </c>
      <c r="AA707" s="7" t="s">
        <v>3651</v>
      </c>
      <c r="AB707" s="7" t="s">
        <v>45</v>
      </c>
      <c r="AD707" s="11"/>
      <c r="AE707" s="11"/>
      <c r="AF707" s="11"/>
      <c r="AG707" s="10">
        <f t="shared" si="11"/>
        <v>43330</v>
      </c>
    </row>
    <row r="708" s="7" customFormat="1" spans="1:33">
      <c r="A708" s="7" t="s">
        <v>3652</v>
      </c>
      <c r="B708" s="7" t="s">
        <v>3652</v>
      </c>
      <c r="C708" s="7" t="s">
        <v>3653</v>
      </c>
      <c r="D708" s="7" t="s">
        <v>3654</v>
      </c>
      <c r="E708" s="7" t="s">
        <v>49</v>
      </c>
      <c r="F708" s="7" t="s">
        <v>34</v>
      </c>
      <c r="G708" s="7" t="s">
        <v>35</v>
      </c>
      <c r="J708" s="7" t="s">
        <v>50</v>
      </c>
      <c r="K708" s="7" t="s">
        <v>863</v>
      </c>
      <c r="L708" s="7" t="s">
        <v>864</v>
      </c>
      <c r="M708" s="7" t="s">
        <v>865</v>
      </c>
      <c r="N708" s="7" t="s">
        <v>49</v>
      </c>
      <c r="O708" s="7">
        <v>1</v>
      </c>
      <c r="P708" s="7" t="s">
        <v>41</v>
      </c>
      <c r="Q708" s="7">
        <v>34.99</v>
      </c>
      <c r="Y708" s="7" t="s">
        <v>3655</v>
      </c>
      <c r="Z708" s="7" t="s">
        <v>221</v>
      </c>
      <c r="AA708" s="7" t="s">
        <v>3656</v>
      </c>
      <c r="AB708" s="7" t="s">
        <v>45</v>
      </c>
      <c r="AD708" s="11"/>
      <c r="AE708" s="11"/>
      <c r="AF708" s="11"/>
      <c r="AG708" s="10">
        <f t="shared" si="11"/>
        <v>43331</v>
      </c>
    </row>
    <row r="709" s="7" customFormat="1" spans="1:33">
      <c r="A709" s="7" t="s">
        <v>3657</v>
      </c>
      <c r="B709" s="7" t="s">
        <v>3657</v>
      </c>
      <c r="C709" s="7" t="s">
        <v>3658</v>
      </c>
      <c r="D709" s="7" t="s">
        <v>3659</v>
      </c>
      <c r="E709" s="7" t="s">
        <v>49</v>
      </c>
      <c r="F709" s="7" t="s">
        <v>34</v>
      </c>
      <c r="G709" s="7" t="s">
        <v>35</v>
      </c>
      <c r="J709" s="7" t="s">
        <v>50</v>
      </c>
      <c r="K709" s="7" t="s">
        <v>3660</v>
      </c>
      <c r="L709" s="7" t="s">
        <v>3661</v>
      </c>
      <c r="M709" s="7" t="s">
        <v>3662</v>
      </c>
      <c r="N709" s="7" t="s">
        <v>49</v>
      </c>
      <c r="O709" s="7">
        <v>1</v>
      </c>
      <c r="P709" s="7" t="s">
        <v>41</v>
      </c>
      <c r="Q709" s="7">
        <v>99.99</v>
      </c>
      <c r="Y709" s="7" t="s">
        <v>3663</v>
      </c>
      <c r="Z709" s="7" t="s">
        <v>109</v>
      </c>
      <c r="AA709" s="7" t="s">
        <v>3664</v>
      </c>
      <c r="AB709" s="7" t="s">
        <v>45</v>
      </c>
      <c r="AD709" s="11"/>
      <c r="AE709" s="11"/>
      <c r="AF709" s="11"/>
      <c r="AG709" s="10">
        <f t="shared" si="11"/>
        <v>43331</v>
      </c>
    </row>
    <row r="710" s="7" customFormat="1" spans="1:33">
      <c r="A710" s="7" t="s">
        <v>3665</v>
      </c>
      <c r="B710" s="7" t="s">
        <v>3665</v>
      </c>
      <c r="C710" s="7" t="s">
        <v>3666</v>
      </c>
      <c r="D710" s="7" t="s">
        <v>3667</v>
      </c>
      <c r="E710" s="7" t="s">
        <v>49</v>
      </c>
      <c r="F710" s="7" t="s">
        <v>34</v>
      </c>
      <c r="G710" s="7" t="s">
        <v>35</v>
      </c>
      <c r="J710" s="7" t="s">
        <v>50</v>
      </c>
      <c r="K710" s="7" t="s">
        <v>197</v>
      </c>
      <c r="L710" s="7" t="s">
        <v>977</v>
      </c>
      <c r="M710" s="7" t="s">
        <v>199</v>
      </c>
      <c r="N710" s="7" t="s">
        <v>49</v>
      </c>
      <c r="O710" s="7">
        <v>1</v>
      </c>
      <c r="P710" s="7" t="s">
        <v>41</v>
      </c>
      <c r="Q710" s="7">
        <v>21.99</v>
      </c>
      <c r="W710" s="7">
        <v>21.77</v>
      </c>
      <c r="Y710" s="7" t="s">
        <v>2237</v>
      </c>
      <c r="Z710" s="7" t="s">
        <v>83</v>
      </c>
      <c r="AA710" s="7" t="s">
        <v>3668</v>
      </c>
      <c r="AB710" s="7" t="s">
        <v>45</v>
      </c>
      <c r="AC710" s="7" t="s">
        <v>66</v>
      </c>
      <c r="AD710" s="11"/>
      <c r="AE710" s="11"/>
      <c r="AF710" s="11"/>
      <c r="AG710" s="10">
        <f t="shared" si="11"/>
        <v>43331</v>
      </c>
    </row>
    <row r="711" s="7" customFormat="1" spans="1:33">
      <c r="A711" s="7" t="s">
        <v>3669</v>
      </c>
      <c r="B711" s="7" t="s">
        <v>3669</v>
      </c>
      <c r="C711" s="7" t="s">
        <v>3670</v>
      </c>
      <c r="D711" s="7" t="s">
        <v>3671</v>
      </c>
      <c r="E711" s="7" t="s">
        <v>49</v>
      </c>
      <c r="F711" s="7" t="s">
        <v>34</v>
      </c>
      <c r="G711" s="7" t="s">
        <v>35</v>
      </c>
      <c r="J711" s="7" t="s">
        <v>50</v>
      </c>
      <c r="K711" s="7" t="s">
        <v>256</v>
      </c>
      <c r="L711" s="7" t="s">
        <v>257</v>
      </c>
      <c r="M711" s="7" t="s">
        <v>258</v>
      </c>
      <c r="N711" s="7" t="s">
        <v>49</v>
      </c>
      <c r="O711" s="7">
        <v>1</v>
      </c>
      <c r="P711" s="7" t="s">
        <v>41</v>
      </c>
      <c r="Q711" s="7">
        <v>21.99</v>
      </c>
      <c r="W711" s="7">
        <v>21.77</v>
      </c>
      <c r="Y711" s="7" t="s">
        <v>2237</v>
      </c>
      <c r="Z711" s="7" t="s">
        <v>83</v>
      </c>
      <c r="AA711" s="7" t="s">
        <v>2261</v>
      </c>
      <c r="AB711" s="7" t="s">
        <v>45</v>
      </c>
      <c r="AC711" s="7" t="s">
        <v>66</v>
      </c>
      <c r="AD711" s="11"/>
      <c r="AE711" s="11"/>
      <c r="AF711" s="11"/>
      <c r="AG711" s="10">
        <f t="shared" si="11"/>
        <v>43331</v>
      </c>
    </row>
    <row r="712" s="7" customFormat="1" spans="1:33">
      <c r="A712" s="7" t="s">
        <v>3672</v>
      </c>
      <c r="B712" s="7" t="s">
        <v>3672</v>
      </c>
      <c r="C712" s="7" t="s">
        <v>3673</v>
      </c>
      <c r="D712" s="7" t="s">
        <v>3674</v>
      </c>
      <c r="E712" s="7" t="s">
        <v>49</v>
      </c>
      <c r="F712" s="7" t="s">
        <v>34</v>
      </c>
      <c r="G712" s="7" t="s">
        <v>35</v>
      </c>
      <c r="J712" s="7" t="s">
        <v>50</v>
      </c>
      <c r="K712" s="7" t="s">
        <v>60</v>
      </c>
      <c r="L712" s="7" t="s">
        <v>61</v>
      </c>
      <c r="M712" s="7" t="s">
        <v>62</v>
      </c>
      <c r="N712" s="7" t="s">
        <v>49</v>
      </c>
      <c r="O712" s="7">
        <v>1</v>
      </c>
      <c r="P712" s="7" t="s">
        <v>41</v>
      </c>
      <c r="Q712" s="7">
        <v>21.99</v>
      </c>
      <c r="W712" s="7">
        <v>21.77</v>
      </c>
      <c r="Y712" s="7" t="s">
        <v>444</v>
      </c>
      <c r="Z712" s="7" t="s">
        <v>382</v>
      </c>
      <c r="AA712" s="7">
        <v>46637</v>
      </c>
      <c r="AB712" s="7" t="s">
        <v>45</v>
      </c>
      <c r="AC712" s="7" t="s">
        <v>66</v>
      </c>
      <c r="AD712" s="11"/>
      <c r="AE712" s="11"/>
      <c r="AF712" s="11"/>
      <c r="AG712" s="10">
        <f t="shared" si="11"/>
        <v>43331</v>
      </c>
    </row>
    <row r="713" s="7" customFormat="1" spans="1:33">
      <c r="A713" s="7" t="s">
        <v>3675</v>
      </c>
      <c r="B713" s="7" t="s">
        <v>3675</v>
      </c>
      <c r="C713" s="7" t="s">
        <v>3676</v>
      </c>
      <c r="D713" s="7" t="s">
        <v>3677</v>
      </c>
      <c r="E713" s="7" t="s">
        <v>49</v>
      </c>
      <c r="F713" s="7" t="s">
        <v>34</v>
      </c>
      <c r="G713" s="7" t="s">
        <v>35</v>
      </c>
      <c r="J713" s="7" t="s">
        <v>50</v>
      </c>
      <c r="K713" s="7" t="s">
        <v>3449</v>
      </c>
      <c r="L713" s="7" t="s">
        <v>3450</v>
      </c>
      <c r="M713" s="7" t="s">
        <v>3451</v>
      </c>
      <c r="N713" s="7" t="s">
        <v>49</v>
      </c>
      <c r="O713" s="7">
        <v>2</v>
      </c>
      <c r="P713" s="7" t="s">
        <v>41</v>
      </c>
      <c r="Q713" s="7">
        <v>209.98</v>
      </c>
      <c r="Y713" s="7" t="s">
        <v>3589</v>
      </c>
      <c r="Z713" s="7" t="s">
        <v>184</v>
      </c>
      <c r="AA713" s="7" t="s">
        <v>3678</v>
      </c>
      <c r="AB713" s="7" t="s">
        <v>45</v>
      </c>
      <c r="AD713" s="11"/>
      <c r="AE713" s="11"/>
      <c r="AF713" s="11"/>
      <c r="AG713" s="10">
        <f t="shared" si="11"/>
        <v>43331</v>
      </c>
    </row>
    <row r="714" s="7" customFormat="1" spans="1:33">
      <c r="A714" s="7" t="s">
        <v>3679</v>
      </c>
      <c r="B714" s="7" t="s">
        <v>3679</v>
      </c>
      <c r="C714" s="7" t="s">
        <v>3680</v>
      </c>
      <c r="D714" s="7" t="s">
        <v>3681</v>
      </c>
      <c r="E714" s="7" t="s">
        <v>33</v>
      </c>
      <c r="F714" s="7" t="s">
        <v>34</v>
      </c>
      <c r="G714" s="7" t="s">
        <v>35</v>
      </c>
      <c r="J714" s="7" t="s">
        <v>36</v>
      </c>
      <c r="K714" s="7" t="s">
        <v>197</v>
      </c>
      <c r="L714" s="7" t="s">
        <v>977</v>
      </c>
      <c r="M714" s="7" t="s">
        <v>199</v>
      </c>
      <c r="N714" s="7" t="s">
        <v>40</v>
      </c>
      <c r="O714" s="7">
        <v>1</v>
      </c>
      <c r="P714" s="7" t="s">
        <v>41</v>
      </c>
      <c r="Q714" s="7">
        <v>21.99</v>
      </c>
      <c r="Y714" s="7" t="s">
        <v>156</v>
      </c>
      <c r="Z714" s="7" t="s">
        <v>346</v>
      </c>
      <c r="AA714" s="7">
        <v>11221</v>
      </c>
      <c r="AB714" s="7" t="s">
        <v>45</v>
      </c>
      <c r="AD714" s="11"/>
      <c r="AE714" s="11"/>
      <c r="AF714" s="11"/>
      <c r="AG714" s="10">
        <f t="shared" si="11"/>
        <v>43331</v>
      </c>
    </row>
    <row r="715" s="7" customFormat="1" spans="1:33">
      <c r="A715" s="7" t="s">
        <v>3682</v>
      </c>
      <c r="B715" s="7" t="s">
        <v>3682</v>
      </c>
      <c r="C715" s="7" t="s">
        <v>3683</v>
      </c>
      <c r="D715" s="7" t="s">
        <v>3684</v>
      </c>
      <c r="E715" s="7" t="s">
        <v>49</v>
      </c>
      <c r="F715" s="7" t="s">
        <v>34</v>
      </c>
      <c r="G715" s="7" t="s">
        <v>35</v>
      </c>
      <c r="J715" s="7" t="s">
        <v>50</v>
      </c>
      <c r="K715" s="7" t="s">
        <v>603</v>
      </c>
      <c r="L715" s="7" t="s">
        <v>604</v>
      </c>
      <c r="M715" s="7" t="s">
        <v>605</v>
      </c>
      <c r="N715" s="7" t="s">
        <v>49</v>
      </c>
      <c r="O715" s="7">
        <v>1</v>
      </c>
      <c r="P715" s="7" t="s">
        <v>41</v>
      </c>
      <c r="Q715" s="7">
        <v>99.99</v>
      </c>
      <c r="Y715" s="7" t="s">
        <v>3685</v>
      </c>
      <c r="Z715" s="7" t="s">
        <v>178</v>
      </c>
      <c r="AA715" s="7" t="s">
        <v>3686</v>
      </c>
      <c r="AB715" s="7" t="s">
        <v>45</v>
      </c>
      <c r="AD715" s="11"/>
      <c r="AE715" s="11"/>
      <c r="AF715" s="11"/>
      <c r="AG715" s="10">
        <f t="shared" si="11"/>
        <v>43331</v>
      </c>
    </row>
    <row r="716" s="7" customFormat="1" spans="1:33">
      <c r="A716" s="7" t="s">
        <v>3687</v>
      </c>
      <c r="B716" s="7" t="s">
        <v>3687</v>
      </c>
      <c r="C716" s="7" t="s">
        <v>3688</v>
      </c>
      <c r="D716" s="7" t="s">
        <v>3689</v>
      </c>
      <c r="E716" s="7" t="s">
        <v>49</v>
      </c>
      <c r="F716" s="7" t="s">
        <v>34</v>
      </c>
      <c r="G716" s="7" t="s">
        <v>35</v>
      </c>
      <c r="J716" s="7" t="s">
        <v>50</v>
      </c>
      <c r="K716" s="7" t="s">
        <v>3489</v>
      </c>
      <c r="L716" s="7" t="s">
        <v>71</v>
      </c>
      <c r="M716" s="7" t="s">
        <v>72</v>
      </c>
      <c r="N716" s="7" t="s">
        <v>49</v>
      </c>
      <c r="O716" s="7">
        <v>1</v>
      </c>
      <c r="P716" s="7" t="s">
        <v>41</v>
      </c>
      <c r="Q716" s="7">
        <v>96.99</v>
      </c>
      <c r="Y716" s="7" t="s">
        <v>3690</v>
      </c>
      <c r="Z716" s="7" t="s">
        <v>346</v>
      </c>
      <c r="AA716" s="7" t="s">
        <v>3691</v>
      </c>
      <c r="AB716" s="7" t="s">
        <v>45</v>
      </c>
      <c r="AD716" s="11"/>
      <c r="AE716" s="11"/>
      <c r="AF716" s="11"/>
      <c r="AG716" s="10">
        <f t="shared" si="11"/>
        <v>43331</v>
      </c>
    </row>
    <row r="717" s="7" customFormat="1" spans="1:33">
      <c r="A717" s="7" t="s">
        <v>3692</v>
      </c>
      <c r="B717" s="7" t="s">
        <v>3692</v>
      </c>
      <c r="C717" s="7" t="s">
        <v>3693</v>
      </c>
      <c r="D717" s="7" t="s">
        <v>3694</v>
      </c>
      <c r="E717" s="7" t="s">
        <v>49</v>
      </c>
      <c r="F717" s="7" t="s">
        <v>34</v>
      </c>
      <c r="G717" s="7" t="s">
        <v>35</v>
      </c>
      <c r="J717" s="7" t="s">
        <v>36</v>
      </c>
      <c r="K717" s="7" t="s">
        <v>152</v>
      </c>
      <c r="L717" s="7" t="s">
        <v>153</v>
      </c>
      <c r="M717" s="7" t="s">
        <v>154</v>
      </c>
      <c r="N717" s="7" t="s">
        <v>49</v>
      </c>
      <c r="O717" s="7">
        <v>1</v>
      </c>
      <c r="P717" s="7" t="s">
        <v>41</v>
      </c>
      <c r="Q717" s="7">
        <v>79.99</v>
      </c>
      <c r="Y717" s="7" t="s">
        <v>3695</v>
      </c>
      <c r="Z717" s="7" t="s">
        <v>98</v>
      </c>
      <c r="AA717" s="7" t="s">
        <v>3696</v>
      </c>
      <c r="AB717" s="7" t="s">
        <v>45</v>
      </c>
      <c r="AD717" s="11"/>
      <c r="AE717" s="11"/>
      <c r="AF717" s="11"/>
      <c r="AG717" s="10">
        <f t="shared" si="11"/>
        <v>43331</v>
      </c>
    </row>
    <row r="718" s="7" customFormat="1" spans="1:33">
      <c r="A718" s="7" t="s">
        <v>3697</v>
      </c>
      <c r="B718" s="7" t="s">
        <v>3697</v>
      </c>
      <c r="C718" s="7" t="s">
        <v>3698</v>
      </c>
      <c r="D718" s="7" t="s">
        <v>3699</v>
      </c>
      <c r="E718" s="7" t="s">
        <v>49</v>
      </c>
      <c r="F718" s="7" t="s">
        <v>34</v>
      </c>
      <c r="G718" s="7" t="s">
        <v>35</v>
      </c>
      <c r="J718" s="7" t="s">
        <v>50</v>
      </c>
      <c r="K718" s="7" t="s">
        <v>120</v>
      </c>
      <c r="L718" s="7" t="s">
        <v>121</v>
      </c>
      <c r="M718" s="7" t="s">
        <v>122</v>
      </c>
      <c r="N718" s="7" t="s">
        <v>49</v>
      </c>
      <c r="O718" s="7">
        <v>1</v>
      </c>
      <c r="P718" s="7" t="s">
        <v>41</v>
      </c>
      <c r="Q718" s="7">
        <v>29.99</v>
      </c>
      <c r="Y718" s="7" t="s">
        <v>3700</v>
      </c>
      <c r="Z718" s="7" t="s">
        <v>230</v>
      </c>
      <c r="AA718" s="7" t="s">
        <v>3701</v>
      </c>
      <c r="AB718" s="7" t="s">
        <v>45</v>
      </c>
      <c r="AD718" s="11"/>
      <c r="AE718" s="11"/>
      <c r="AF718" s="11"/>
      <c r="AG718" s="10">
        <f t="shared" si="11"/>
        <v>43331</v>
      </c>
    </row>
    <row r="719" s="7" customFormat="1" spans="1:33">
      <c r="A719" s="7" t="s">
        <v>3702</v>
      </c>
      <c r="B719" s="7" t="s">
        <v>3702</v>
      </c>
      <c r="C719" s="7" t="s">
        <v>3703</v>
      </c>
      <c r="D719" s="7" t="s">
        <v>3704</v>
      </c>
      <c r="E719" s="7" t="s">
        <v>49</v>
      </c>
      <c r="F719" s="7" t="s">
        <v>34</v>
      </c>
      <c r="G719" s="7" t="s">
        <v>35</v>
      </c>
      <c r="J719" s="7" t="s">
        <v>151</v>
      </c>
      <c r="K719" s="7" t="s">
        <v>327</v>
      </c>
      <c r="L719" s="7" t="s">
        <v>328</v>
      </c>
      <c r="M719" s="7" t="s">
        <v>329</v>
      </c>
      <c r="N719" s="7" t="s">
        <v>49</v>
      </c>
      <c r="O719" s="7">
        <v>1</v>
      </c>
      <c r="P719" s="7" t="s">
        <v>41</v>
      </c>
      <c r="Q719" s="7">
        <v>89.99</v>
      </c>
      <c r="S719" s="7">
        <v>8.99</v>
      </c>
      <c r="X719" s="7">
        <v>8.99</v>
      </c>
      <c r="Y719" s="7" t="s">
        <v>3705</v>
      </c>
      <c r="Z719" s="7" t="s">
        <v>221</v>
      </c>
      <c r="AA719" s="7" t="s">
        <v>3706</v>
      </c>
      <c r="AB719" s="7" t="s">
        <v>45</v>
      </c>
      <c r="AD719" s="11"/>
      <c r="AE719" s="11"/>
      <c r="AF719" s="11"/>
      <c r="AG719" s="10">
        <f t="shared" si="11"/>
        <v>43331</v>
      </c>
    </row>
    <row r="720" s="7" customFormat="1" spans="1:33">
      <c r="A720" s="7" t="s">
        <v>3707</v>
      </c>
      <c r="B720" s="7" t="s">
        <v>3707</v>
      </c>
      <c r="C720" s="7" t="s">
        <v>3708</v>
      </c>
      <c r="D720" s="7" t="s">
        <v>3709</v>
      </c>
      <c r="E720" s="7" t="s">
        <v>49</v>
      </c>
      <c r="F720" s="7" t="s">
        <v>34</v>
      </c>
      <c r="G720" s="7" t="s">
        <v>35</v>
      </c>
      <c r="J720" s="7" t="s">
        <v>50</v>
      </c>
      <c r="K720" s="7" t="s">
        <v>2413</v>
      </c>
      <c r="L720" s="7" t="s">
        <v>143</v>
      </c>
      <c r="M720" s="7" t="s">
        <v>144</v>
      </c>
      <c r="N720" s="7" t="s">
        <v>49</v>
      </c>
      <c r="O720" s="7">
        <v>1</v>
      </c>
      <c r="P720" s="7" t="s">
        <v>41</v>
      </c>
      <c r="Q720" s="7">
        <v>79.99</v>
      </c>
      <c r="Y720" s="7" t="s">
        <v>3710</v>
      </c>
      <c r="Z720" s="7" t="s">
        <v>109</v>
      </c>
      <c r="AA720" s="7" t="s">
        <v>3711</v>
      </c>
      <c r="AB720" s="7" t="s">
        <v>45</v>
      </c>
      <c r="AD720" s="11"/>
      <c r="AE720" s="11"/>
      <c r="AF720" s="11"/>
      <c r="AG720" s="10">
        <f t="shared" si="11"/>
        <v>43331</v>
      </c>
    </row>
    <row r="721" s="7" customFormat="1" spans="1:33">
      <c r="A721" s="7" t="s">
        <v>3712</v>
      </c>
      <c r="B721" s="7" t="s">
        <v>3712</v>
      </c>
      <c r="C721" s="7" t="s">
        <v>3713</v>
      </c>
      <c r="D721" s="7" t="s">
        <v>3714</v>
      </c>
      <c r="E721" s="7" t="s">
        <v>49</v>
      </c>
      <c r="F721" s="7" t="s">
        <v>34</v>
      </c>
      <c r="G721" s="7" t="s">
        <v>35</v>
      </c>
      <c r="J721" s="7" t="s">
        <v>36</v>
      </c>
      <c r="K721" s="7" t="s">
        <v>753</v>
      </c>
      <c r="L721" s="7" t="s">
        <v>754</v>
      </c>
      <c r="M721" s="7" t="s">
        <v>755</v>
      </c>
      <c r="N721" s="7" t="s">
        <v>49</v>
      </c>
      <c r="O721" s="7">
        <v>1</v>
      </c>
      <c r="P721" s="7" t="s">
        <v>41</v>
      </c>
      <c r="Q721" s="7">
        <v>89.6</v>
      </c>
      <c r="S721" s="7">
        <v>2.88</v>
      </c>
      <c r="X721" s="7">
        <v>2.88</v>
      </c>
      <c r="Y721" s="7" t="s">
        <v>265</v>
      </c>
      <c r="Z721" s="7" t="s">
        <v>266</v>
      </c>
      <c r="AA721" s="7" t="s">
        <v>3715</v>
      </c>
      <c r="AB721" s="7" t="s">
        <v>45</v>
      </c>
      <c r="AC721" s="7" t="s">
        <v>549</v>
      </c>
      <c r="AD721" s="11"/>
      <c r="AE721" s="11"/>
      <c r="AF721" s="11"/>
      <c r="AG721" s="10">
        <f t="shared" si="11"/>
        <v>43331</v>
      </c>
    </row>
    <row r="722" s="7" customFormat="1" spans="1:33">
      <c r="A722" s="7" t="s">
        <v>3716</v>
      </c>
      <c r="B722" s="7" t="s">
        <v>3716</v>
      </c>
      <c r="C722" s="7" t="s">
        <v>3717</v>
      </c>
      <c r="D722" s="7" t="s">
        <v>3718</v>
      </c>
      <c r="E722" s="7" t="s">
        <v>49</v>
      </c>
      <c r="F722" s="7" t="s">
        <v>34</v>
      </c>
      <c r="G722" s="7" t="s">
        <v>35</v>
      </c>
      <c r="J722" s="7" t="s">
        <v>36</v>
      </c>
      <c r="K722" s="7" t="s">
        <v>160</v>
      </c>
      <c r="L722" s="7" t="s">
        <v>161</v>
      </c>
      <c r="M722" s="7" t="s">
        <v>162</v>
      </c>
      <c r="N722" s="7" t="s">
        <v>49</v>
      </c>
      <c r="O722" s="7">
        <v>1</v>
      </c>
      <c r="P722" s="7" t="s">
        <v>41</v>
      </c>
      <c r="Q722" s="7">
        <v>89.99</v>
      </c>
      <c r="Y722" s="7" t="s">
        <v>3719</v>
      </c>
      <c r="Z722" s="7" t="s">
        <v>164</v>
      </c>
      <c r="AA722" s="7" t="s">
        <v>3720</v>
      </c>
      <c r="AB722" s="7" t="s">
        <v>45</v>
      </c>
      <c r="AD722" s="11"/>
      <c r="AE722" s="11"/>
      <c r="AF722" s="11"/>
      <c r="AG722" s="10">
        <f t="shared" si="11"/>
        <v>43331</v>
      </c>
    </row>
    <row r="723" s="7" customFormat="1" spans="1:33">
      <c r="A723" s="7" t="s">
        <v>3721</v>
      </c>
      <c r="B723" s="7" t="s">
        <v>3721</v>
      </c>
      <c r="C723" s="7" t="s">
        <v>3722</v>
      </c>
      <c r="D723" s="7" t="s">
        <v>3723</v>
      </c>
      <c r="E723" s="7" t="s">
        <v>49</v>
      </c>
      <c r="F723" s="7" t="s">
        <v>34</v>
      </c>
      <c r="G723" s="7" t="s">
        <v>35</v>
      </c>
      <c r="J723" s="7" t="s">
        <v>50</v>
      </c>
      <c r="K723" s="7" t="s">
        <v>197</v>
      </c>
      <c r="L723" s="7" t="s">
        <v>977</v>
      </c>
      <c r="M723" s="7" t="s">
        <v>199</v>
      </c>
      <c r="N723" s="7" t="s">
        <v>49</v>
      </c>
      <c r="O723" s="7">
        <v>1</v>
      </c>
      <c r="P723" s="7" t="s">
        <v>41</v>
      </c>
      <c r="Q723" s="7">
        <v>21.99</v>
      </c>
      <c r="Y723" s="7" t="s">
        <v>3724</v>
      </c>
      <c r="Z723" s="7" t="s">
        <v>260</v>
      </c>
      <c r="AA723" s="7" t="s">
        <v>3725</v>
      </c>
      <c r="AB723" s="7" t="s">
        <v>45</v>
      </c>
      <c r="AD723" s="11"/>
      <c r="AE723" s="11"/>
      <c r="AF723" s="11"/>
      <c r="AG723" s="10">
        <f t="shared" si="11"/>
        <v>43331</v>
      </c>
    </row>
    <row r="724" s="7" customFormat="1" spans="1:33">
      <c r="A724" s="7" t="s">
        <v>3721</v>
      </c>
      <c r="B724" s="7" t="s">
        <v>3721</v>
      </c>
      <c r="C724" s="7" t="s">
        <v>3722</v>
      </c>
      <c r="D724" s="7" t="s">
        <v>3723</v>
      </c>
      <c r="E724" s="7" t="s">
        <v>49</v>
      </c>
      <c r="F724" s="7" t="s">
        <v>34</v>
      </c>
      <c r="G724" s="7" t="s">
        <v>35</v>
      </c>
      <c r="J724" s="7" t="s">
        <v>50</v>
      </c>
      <c r="K724" s="7" t="s">
        <v>208</v>
      </c>
      <c r="L724" s="7" t="s">
        <v>209</v>
      </c>
      <c r="M724" s="7" t="s">
        <v>210</v>
      </c>
      <c r="N724" s="7" t="s">
        <v>49</v>
      </c>
      <c r="O724" s="7">
        <v>1</v>
      </c>
      <c r="P724" s="7" t="s">
        <v>41</v>
      </c>
      <c r="Q724" s="7">
        <v>89.99</v>
      </c>
      <c r="Y724" s="7" t="s">
        <v>3724</v>
      </c>
      <c r="Z724" s="7" t="s">
        <v>260</v>
      </c>
      <c r="AA724" s="7" t="s">
        <v>3725</v>
      </c>
      <c r="AB724" s="7" t="s">
        <v>45</v>
      </c>
      <c r="AD724" s="11"/>
      <c r="AE724" s="11"/>
      <c r="AF724" s="11"/>
      <c r="AG724" s="10">
        <f t="shared" si="11"/>
        <v>43331</v>
      </c>
    </row>
    <row r="725" s="7" customFormat="1" spans="1:33">
      <c r="A725" s="7" t="s">
        <v>3726</v>
      </c>
      <c r="B725" s="7" t="s">
        <v>3726</v>
      </c>
      <c r="C725" s="7" t="s">
        <v>3727</v>
      </c>
      <c r="D725" s="7" t="s">
        <v>3728</v>
      </c>
      <c r="E725" s="7" t="s">
        <v>49</v>
      </c>
      <c r="F725" s="7" t="s">
        <v>34</v>
      </c>
      <c r="G725" s="7" t="s">
        <v>35</v>
      </c>
      <c r="J725" s="7" t="s">
        <v>50</v>
      </c>
      <c r="K725" s="7" t="s">
        <v>120</v>
      </c>
      <c r="L725" s="7" t="s">
        <v>121</v>
      </c>
      <c r="M725" s="7" t="s">
        <v>122</v>
      </c>
      <c r="N725" s="7" t="s">
        <v>49</v>
      </c>
      <c r="O725" s="7">
        <v>1</v>
      </c>
      <c r="P725" s="7" t="s">
        <v>41</v>
      </c>
      <c r="Q725" s="7">
        <v>29.99</v>
      </c>
      <c r="Y725" s="7" t="s">
        <v>3729</v>
      </c>
      <c r="Z725" s="7" t="s">
        <v>872</v>
      </c>
      <c r="AA725" s="7" t="s">
        <v>3730</v>
      </c>
      <c r="AB725" s="7" t="s">
        <v>45</v>
      </c>
      <c r="AD725" s="11"/>
      <c r="AE725" s="11"/>
      <c r="AF725" s="11"/>
      <c r="AG725" s="10">
        <f t="shared" si="11"/>
        <v>43331</v>
      </c>
    </row>
    <row r="726" s="7" customFormat="1" spans="1:33">
      <c r="A726" s="7" t="s">
        <v>3731</v>
      </c>
      <c r="B726" s="7" t="s">
        <v>3731</v>
      </c>
      <c r="C726" s="7" t="s">
        <v>3732</v>
      </c>
      <c r="D726" s="7" t="s">
        <v>3733</v>
      </c>
      <c r="E726" s="7" t="s">
        <v>49</v>
      </c>
      <c r="F726" s="7" t="s">
        <v>34</v>
      </c>
      <c r="G726" s="7" t="s">
        <v>35</v>
      </c>
      <c r="J726" s="7" t="s">
        <v>50</v>
      </c>
      <c r="K726" s="7" t="s">
        <v>2440</v>
      </c>
      <c r="L726" s="7" t="s">
        <v>38</v>
      </c>
      <c r="M726" s="7" t="s">
        <v>39</v>
      </c>
      <c r="N726" s="7" t="s">
        <v>49</v>
      </c>
      <c r="O726" s="7">
        <v>1</v>
      </c>
      <c r="P726" s="7" t="s">
        <v>41</v>
      </c>
      <c r="Q726" s="7">
        <v>89.99</v>
      </c>
      <c r="Y726" s="7" t="s">
        <v>3734</v>
      </c>
      <c r="Z726" s="7" t="s">
        <v>280</v>
      </c>
      <c r="AA726" s="7" t="s">
        <v>3735</v>
      </c>
      <c r="AB726" s="7" t="s">
        <v>45</v>
      </c>
      <c r="AD726" s="11"/>
      <c r="AE726" s="11"/>
      <c r="AF726" s="11"/>
      <c r="AG726" s="10">
        <f t="shared" si="11"/>
        <v>43331</v>
      </c>
    </row>
    <row r="727" s="7" customFormat="1" spans="1:33">
      <c r="A727" s="7" t="s">
        <v>3736</v>
      </c>
      <c r="B727" s="7" t="s">
        <v>3736</v>
      </c>
      <c r="C727" s="7" t="s">
        <v>3737</v>
      </c>
      <c r="D727" s="7" t="s">
        <v>3738</v>
      </c>
      <c r="E727" s="7" t="s">
        <v>49</v>
      </c>
      <c r="F727" s="7" t="s">
        <v>34</v>
      </c>
      <c r="G727" s="7" t="s">
        <v>35</v>
      </c>
      <c r="J727" s="7" t="s">
        <v>50</v>
      </c>
      <c r="K727" s="7" t="s">
        <v>208</v>
      </c>
      <c r="L727" s="7" t="s">
        <v>209</v>
      </c>
      <c r="M727" s="7" t="s">
        <v>210</v>
      </c>
      <c r="N727" s="7" t="s">
        <v>49</v>
      </c>
      <c r="O727" s="7">
        <v>1</v>
      </c>
      <c r="P727" s="7" t="s">
        <v>41</v>
      </c>
      <c r="Q727" s="7">
        <v>89.99</v>
      </c>
      <c r="Y727" s="7" t="s">
        <v>3739</v>
      </c>
      <c r="Z727" s="7" t="s">
        <v>98</v>
      </c>
      <c r="AA727" s="7" t="s">
        <v>3740</v>
      </c>
      <c r="AB727" s="7" t="s">
        <v>45</v>
      </c>
      <c r="AD727" s="11"/>
      <c r="AE727" s="11"/>
      <c r="AF727" s="11"/>
      <c r="AG727" s="10">
        <f t="shared" si="11"/>
        <v>43331</v>
      </c>
    </row>
    <row r="728" s="7" customFormat="1" spans="1:33">
      <c r="A728" s="7" t="s">
        <v>3741</v>
      </c>
      <c r="B728" s="7" t="s">
        <v>3741</v>
      </c>
      <c r="C728" s="7" t="s">
        <v>3742</v>
      </c>
      <c r="D728" s="7" t="s">
        <v>3743</v>
      </c>
      <c r="E728" s="7" t="s">
        <v>49</v>
      </c>
      <c r="F728" s="7" t="s">
        <v>34</v>
      </c>
      <c r="G728" s="7" t="s">
        <v>35</v>
      </c>
      <c r="J728" s="7" t="s">
        <v>50</v>
      </c>
      <c r="K728" s="7" t="s">
        <v>563</v>
      </c>
      <c r="L728" s="7" t="s">
        <v>564</v>
      </c>
      <c r="M728" s="7" t="s">
        <v>565</v>
      </c>
      <c r="N728" s="7" t="s">
        <v>49</v>
      </c>
      <c r="O728" s="7">
        <v>1</v>
      </c>
      <c r="P728" s="7" t="s">
        <v>41</v>
      </c>
      <c r="Q728" s="7">
        <v>12.99</v>
      </c>
      <c r="Y728" s="7" t="s">
        <v>3744</v>
      </c>
      <c r="Z728" s="7" t="s">
        <v>3745</v>
      </c>
      <c r="AA728" s="7" t="s">
        <v>3746</v>
      </c>
      <c r="AB728" s="7" t="s">
        <v>45</v>
      </c>
      <c r="AD728" s="11"/>
      <c r="AE728" s="11"/>
      <c r="AF728" s="11"/>
      <c r="AG728" s="10">
        <f t="shared" si="11"/>
        <v>43331</v>
      </c>
    </row>
    <row r="729" s="7" customFormat="1" spans="1:33">
      <c r="A729" s="7" t="s">
        <v>3747</v>
      </c>
      <c r="B729" s="7" t="s">
        <v>3747</v>
      </c>
      <c r="C729" s="7" t="s">
        <v>3748</v>
      </c>
      <c r="D729" s="7" t="s">
        <v>3749</v>
      </c>
      <c r="E729" s="7" t="s">
        <v>49</v>
      </c>
      <c r="F729" s="7" t="s">
        <v>34</v>
      </c>
      <c r="G729" s="7" t="s">
        <v>35</v>
      </c>
      <c r="J729" s="7" t="s">
        <v>326</v>
      </c>
      <c r="K729" s="7" t="s">
        <v>2764</v>
      </c>
      <c r="L729" s="7" t="s">
        <v>2765</v>
      </c>
      <c r="M729" s="7" t="s">
        <v>2766</v>
      </c>
      <c r="N729" s="7" t="s">
        <v>49</v>
      </c>
      <c r="O729" s="7">
        <v>1</v>
      </c>
      <c r="P729" s="7" t="s">
        <v>41</v>
      </c>
      <c r="Q729" s="7">
        <v>99.99</v>
      </c>
      <c r="S729" s="7">
        <v>7.99</v>
      </c>
      <c r="Y729" s="7" t="s">
        <v>3750</v>
      </c>
      <c r="Z729" s="7" t="s">
        <v>43</v>
      </c>
      <c r="AA729" s="7" t="s">
        <v>3751</v>
      </c>
      <c r="AB729" s="7" t="s">
        <v>45</v>
      </c>
      <c r="AD729" s="11"/>
      <c r="AE729" s="11"/>
      <c r="AF729" s="11"/>
      <c r="AG729" s="10">
        <f t="shared" si="11"/>
        <v>43331</v>
      </c>
    </row>
    <row r="730" s="7" customFormat="1" spans="1:33">
      <c r="A730" s="7" t="s">
        <v>3752</v>
      </c>
      <c r="B730" s="7" t="s">
        <v>3752</v>
      </c>
      <c r="C730" s="7" t="s">
        <v>3753</v>
      </c>
      <c r="D730" s="7" t="s">
        <v>3754</v>
      </c>
      <c r="E730" s="7" t="s">
        <v>49</v>
      </c>
      <c r="F730" s="7" t="s">
        <v>34</v>
      </c>
      <c r="G730" s="7" t="s">
        <v>35</v>
      </c>
      <c r="J730" s="7" t="s">
        <v>36</v>
      </c>
      <c r="K730" s="7" t="s">
        <v>3489</v>
      </c>
      <c r="L730" s="7" t="s">
        <v>71</v>
      </c>
      <c r="M730" s="7" t="s">
        <v>72</v>
      </c>
      <c r="N730" s="7" t="s">
        <v>49</v>
      </c>
      <c r="O730" s="7">
        <v>1</v>
      </c>
      <c r="P730" s="7" t="s">
        <v>41</v>
      </c>
      <c r="Q730" s="7">
        <v>96.99</v>
      </c>
      <c r="S730" s="7">
        <v>2.86</v>
      </c>
      <c r="X730" s="7">
        <v>2.86</v>
      </c>
      <c r="Y730" s="7" t="s">
        <v>3755</v>
      </c>
      <c r="Z730" s="7" t="s">
        <v>1560</v>
      </c>
      <c r="AA730" s="7">
        <v>91504</v>
      </c>
      <c r="AB730" s="7" t="s">
        <v>45</v>
      </c>
      <c r="AC730" s="7" t="s">
        <v>549</v>
      </c>
      <c r="AD730" s="11"/>
      <c r="AE730" s="11"/>
      <c r="AF730" s="11"/>
      <c r="AG730" s="10">
        <f t="shared" si="11"/>
        <v>43331</v>
      </c>
    </row>
    <row r="731" s="7" customFormat="1" spans="1:33">
      <c r="A731" s="7" t="s">
        <v>3756</v>
      </c>
      <c r="B731" s="7" t="s">
        <v>3756</v>
      </c>
      <c r="C731" s="7" t="s">
        <v>3757</v>
      </c>
      <c r="D731" s="7" t="s">
        <v>3758</v>
      </c>
      <c r="E731" s="7" t="s">
        <v>49</v>
      </c>
      <c r="F731" s="7" t="s">
        <v>34</v>
      </c>
      <c r="G731" s="7" t="s">
        <v>35</v>
      </c>
      <c r="J731" s="7" t="s">
        <v>50</v>
      </c>
      <c r="K731" s="7" t="s">
        <v>226</v>
      </c>
      <c r="L731" s="7" t="s">
        <v>227</v>
      </c>
      <c r="M731" s="7" t="s">
        <v>228</v>
      </c>
      <c r="N731" s="7" t="s">
        <v>49</v>
      </c>
      <c r="O731" s="7">
        <v>1</v>
      </c>
      <c r="P731" s="7" t="s">
        <v>41</v>
      </c>
      <c r="Q731" s="7">
        <v>85.99</v>
      </c>
      <c r="Y731" s="7" t="s">
        <v>3759</v>
      </c>
      <c r="Z731" s="7" t="s">
        <v>64</v>
      </c>
      <c r="AA731" s="7" t="s">
        <v>3760</v>
      </c>
      <c r="AB731" s="7" t="s">
        <v>45</v>
      </c>
      <c r="AD731" s="11"/>
      <c r="AE731" s="11"/>
      <c r="AF731" s="11"/>
      <c r="AG731" s="10">
        <f t="shared" si="11"/>
        <v>43331</v>
      </c>
    </row>
    <row r="732" s="7" customFormat="1" spans="1:33">
      <c r="A732" s="7" t="s">
        <v>3761</v>
      </c>
      <c r="B732" s="7" t="s">
        <v>3761</v>
      </c>
      <c r="C732" s="7" t="s">
        <v>3762</v>
      </c>
      <c r="D732" s="7" t="s">
        <v>3763</v>
      </c>
      <c r="E732" s="7" t="s">
        <v>49</v>
      </c>
      <c r="F732" s="7" t="s">
        <v>34</v>
      </c>
      <c r="G732" s="7" t="s">
        <v>35</v>
      </c>
      <c r="J732" s="7" t="s">
        <v>50</v>
      </c>
      <c r="K732" s="7" t="s">
        <v>2650</v>
      </c>
      <c r="L732" s="7" t="s">
        <v>277</v>
      </c>
      <c r="M732" s="7" t="s">
        <v>278</v>
      </c>
      <c r="N732" s="7" t="s">
        <v>49</v>
      </c>
      <c r="O732" s="7">
        <v>1</v>
      </c>
      <c r="P732" s="7" t="s">
        <v>41</v>
      </c>
      <c r="Q732" s="7">
        <v>91.99</v>
      </c>
      <c r="Y732" s="7" t="s">
        <v>3764</v>
      </c>
      <c r="Z732" s="7" t="s">
        <v>346</v>
      </c>
      <c r="AA732" s="7" t="s">
        <v>3765</v>
      </c>
      <c r="AB732" s="7" t="s">
        <v>45</v>
      </c>
      <c r="AD732" s="11"/>
      <c r="AE732" s="11"/>
      <c r="AF732" s="11"/>
      <c r="AG732" s="10">
        <f t="shared" si="11"/>
        <v>43331</v>
      </c>
    </row>
    <row r="733" s="7" customFormat="1" spans="1:33">
      <c r="A733" s="7" t="s">
        <v>3766</v>
      </c>
      <c r="B733" s="7" t="s">
        <v>3766</v>
      </c>
      <c r="C733" s="7" t="s">
        <v>3767</v>
      </c>
      <c r="D733" s="7" t="s">
        <v>3768</v>
      </c>
      <c r="E733" s="7" t="s">
        <v>49</v>
      </c>
      <c r="F733" s="7" t="s">
        <v>34</v>
      </c>
      <c r="G733" s="7" t="s">
        <v>35</v>
      </c>
      <c r="J733" s="7" t="s">
        <v>50</v>
      </c>
      <c r="K733" s="7" t="s">
        <v>1307</v>
      </c>
      <c r="L733" s="7" t="s">
        <v>1308</v>
      </c>
      <c r="M733" s="7" t="s">
        <v>1309</v>
      </c>
      <c r="N733" s="7" t="s">
        <v>49</v>
      </c>
      <c r="O733" s="7">
        <v>1</v>
      </c>
      <c r="P733" s="7" t="s">
        <v>41</v>
      </c>
      <c r="Q733" s="7">
        <v>99.6</v>
      </c>
      <c r="Y733" s="7" t="s">
        <v>3769</v>
      </c>
      <c r="Z733" s="7" t="s">
        <v>178</v>
      </c>
      <c r="AA733" s="7" t="s">
        <v>3770</v>
      </c>
      <c r="AB733" s="7" t="s">
        <v>45</v>
      </c>
      <c r="AD733" s="11"/>
      <c r="AE733" s="11"/>
      <c r="AF733" s="11"/>
      <c r="AG733" s="10">
        <f t="shared" si="11"/>
        <v>43331</v>
      </c>
    </row>
    <row r="734" s="7" customFormat="1" spans="1:33">
      <c r="A734" s="7" t="s">
        <v>3771</v>
      </c>
      <c r="B734" s="7" t="s">
        <v>3771</v>
      </c>
      <c r="C734" s="7" t="s">
        <v>3772</v>
      </c>
      <c r="D734" s="7" t="s">
        <v>3773</v>
      </c>
      <c r="E734" s="7" t="s">
        <v>49</v>
      </c>
      <c r="F734" s="7" t="s">
        <v>34</v>
      </c>
      <c r="G734" s="7" t="s">
        <v>35</v>
      </c>
      <c r="J734" s="7" t="s">
        <v>36</v>
      </c>
      <c r="K734" s="7" t="s">
        <v>2413</v>
      </c>
      <c r="L734" s="7" t="s">
        <v>143</v>
      </c>
      <c r="M734" s="7" t="s">
        <v>144</v>
      </c>
      <c r="N734" s="7" t="s">
        <v>49</v>
      </c>
      <c r="O734" s="7">
        <v>1</v>
      </c>
      <c r="P734" s="7" t="s">
        <v>41</v>
      </c>
      <c r="Q734" s="7">
        <v>79.99</v>
      </c>
      <c r="S734" s="7">
        <v>5.94</v>
      </c>
      <c r="X734" s="7">
        <v>5.94</v>
      </c>
      <c r="Y734" s="7" t="s">
        <v>265</v>
      </c>
      <c r="Z734" s="7" t="s">
        <v>266</v>
      </c>
      <c r="AA734" s="7">
        <v>33055</v>
      </c>
      <c r="AB734" s="7" t="s">
        <v>45</v>
      </c>
      <c r="AC734" s="7" t="s">
        <v>549</v>
      </c>
      <c r="AD734" s="11"/>
      <c r="AE734" s="11"/>
      <c r="AF734" s="11"/>
      <c r="AG734" s="10">
        <f t="shared" si="11"/>
        <v>43331</v>
      </c>
    </row>
    <row r="735" s="7" customFormat="1" spans="1:33">
      <c r="A735" s="7" t="s">
        <v>3774</v>
      </c>
      <c r="B735" s="7" t="s">
        <v>3774</v>
      </c>
      <c r="C735" s="7" t="s">
        <v>3775</v>
      </c>
      <c r="D735" s="7" t="s">
        <v>3776</v>
      </c>
      <c r="E735" s="7" t="s">
        <v>33</v>
      </c>
      <c r="F735" s="7" t="s">
        <v>34</v>
      </c>
      <c r="G735" s="7" t="s">
        <v>35</v>
      </c>
      <c r="J735" s="7" t="s">
        <v>50</v>
      </c>
      <c r="K735" s="7" t="s">
        <v>2316</v>
      </c>
      <c r="L735" s="7" t="s">
        <v>495</v>
      </c>
      <c r="M735" s="7" t="s">
        <v>496</v>
      </c>
      <c r="N735" s="7" t="s">
        <v>40</v>
      </c>
      <c r="O735" s="7">
        <v>1</v>
      </c>
      <c r="P735" s="7" t="s">
        <v>41</v>
      </c>
      <c r="Q735" s="7">
        <v>99.99</v>
      </c>
      <c r="Y735" s="7" t="s">
        <v>3777</v>
      </c>
      <c r="Z735" s="7" t="s">
        <v>266</v>
      </c>
      <c r="AA735" s="7" t="s">
        <v>3778</v>
      </c>
      <c r="AB735" s="7" t="s">
        <v>45</v>
      </c>
      <c r="AD735" s="8"/>
      <c r="AE735" s="8"/>
      <c r="AF735" s="8"/>
      <c r="AG735" s="10">
        <f t="shared" si="11"/>
        <v>43332</v>
      </c>
    </row>
    <row r="736" s="7" customFormat="1" spans="1:33">
      <c r="A736" s="7" t="s">
        <v>3779</v>
      </c>
      <c r="B736" s="7" t="s">
        <v>3779</v>
      </c>
      <c r="C736" s="7" t="s">
        <v>3780</v>
      </c>
      <c r="D736" s="7" t="s">
        <v>3781</v>
      </c>
      <c r="E736" s="7" t="s">
        <v>33</v>
      </c>
      <c r="F736" s="7" t="s">
        <v>34</v>
      </c>
      <c r="G736" s="7" t="s">
        <v>35</v>
      </c>
      <c r="J736" s="7" t="s">
        <v>50</v>
      </c>
      <c r="K736" s="7" t="s">
        <v>2316</v>
      </c>
      <c r="L736" s="7" t="s">
        <v>495</v>
      </c>
      <c r="M736" s="7" t="s">
        <v>496</v>
      </c>
      <c r="N736" s="7" t="s">
        <v>40</v>
      </c>
      <c r="O736" s="7">
        <v>1</v>
      </c>
      <c r="P736" s="7" t="s">
        <v>41</v>
      </c>
      <c r="Q736" s="7">
        <v>99.99</v>
      </c>
      <c r="Y736" s="7" t="s">
        <v>3777</v>
      </c>
      <c r="Z736" s="7" t="s">
        <v>266</v>
      </c>
      <c r="AA736" s="7" t="s">
        <v>3778</v>
      </c>
      <c r="AB736" s="7" t="s">
        <v>45</v>
      </c>
      <c r="AD736" s="11"/>
      <c r="AE736" s="11"/>
      <c r="AF736" s="11"/>
      <c r="AG736" s="10">
        <f t="shared" si="11"/>
        <v>43332</v>
      </c>
    </row>
    <row r="737" s="7" customFormat="1" spans="1:33">
      <c r="A737" s="7" t="s">
        <v>3782</v>
      </c>
      <c r="B737" s="7" t="s">
        <v>3782</v>
      </c>
      <c r="C737" s="7" t="s">
        <v>3783</v>
      </c>
      <c r="D737" s="7" t="s">
        <v>3784</v>
      </c>
      <c r="E737" s="7" t="s">
        <v>49</v>
      </c>
      <c r="F737" s="7" t="s">
        <v>34</v>
      </c>
      <c r="G737" s="7" t="s">
        <v>35</v>
      </c>
      <c r="J737" s="7" t="s">
        <v>50</v>
      </c>
      <c r="K737" s="7" t="s">
        <v>2650</v>
      </c>
      <c r="L737" s="7" t="s">
        <v>277</v>
      </c>
      <c r="M737" s="7" t="s">
        <v>278</v>
      </c>
      <c r="N737" s="7" t="s">
        <v>49</v>
      </c>
      <c r="O737" s="7">
        <v>1</v>
      </c>
      <c r="P737" s="7" t="s">
        <v>41</v>
      </c>
      <c r="Q737" s="7">
        <v>91.99</v>
      </c>
      <c r="Y737" s="7" t="s">
        <v>3785</v>
      </c>
      <c r="Z737" s="7" t="s">
        <v>178</v>
      </c>
      <c r="AA737" s="7" t="s">
        <v>3786</v>
      </c>
      <c r="AB737" s="7" t="s">
        <v>45</v>
      </c>
      <c r="AD737" s="11"/>
      <c r="AE737" s="11"/>
      <c r="AF737" s="11"/>
      <c r="AG737" s="10">
        <f t="shared" si="11"/>
        <v>43332</v>
      </c>
    </row>
    <row r="738" s="7" customFormat="1" spans="1:33">
      <c r="A738" s="7" t="s">
        <v>3787</v>
      </c>
      <c r="B738" s="7" t="s">
        <v>3787</v>
      </c>
      <c r="C738" s="7" t="s">
        <v>3788</v>
      </c>
      <c r="D738" s="7" t="s">
        <v>3789</v>
      </c>
      <c r="E738" s="7" t="s">
        <v>49</v>
      </c>
      <c r="F738" s="7" t="s">
        <v>34</v>
      </c>
      <c r="G738" s="7" t="s">
        <v>35</v>
      </c>
      <c r="J738" s="7" t="s">
        <v>50</v>
      </c>
      <c r="K738" s="7" t="s">
        <v>656</v>
      </c>
      <c r="L738" s="7" t="s">
        <v>657</v>
      </c>
      <c r="M738" s="7" t="s">
        <v>658</v>
      </c>
      <c r="N738" s="7" t="s">
        <v>49</v>
      </c>
      <c r="O738" s="7">
        <v>1</v>
      </c>
      <c r="P738" s="7" t="s">
        <v>41</v>
      </c>
      <c r="Q738" s="7">
        <v>106.99</v>
      </c>
      <c r="Y738" s="7" t="s">
        <v>1649</v>
      </c>
      <c r="Z738" s="7" t="s">
        <v>43</v>
      </c>
      <c r="AA738" s="7" t="s">
        <v>1650</v>
      </c>
      <c r="AB738" s="7" t="s">
        <v>45</v>
      </c>
      <c r="AD738" s="11"/>
      <c r="AE738" s="11"/>
      <c r="AF738" s="11"/>
      <c r="AG738" s="10">
        <f t="shared" si="11"/>
        <v>43332</v>
      </c>
    </row>
    <row r="739" s="7" customFormat="1" spans="1:33">
      <c r="A739" s="7" t="s">
        <v>3790</v>
      </c>
      <c r="B739" s="7" t="s">
        <v>3790</v>
      </c>
      <c r="C739" s="7" t="s">
        <v>3791</v>
      </c>
      <c r="D739" s="7" t="s">
        <v>3792</v>
      </c>
      <c r="E739" s="7" t="s">
        <v>49</v>
      </c>
      <c r="F739" s="7" t="s">
        <v>34</v>
      </c>
      <c r="G739" s="7" t="s">
        <v>35</v>
      </c>
      <c r="J739" s="7" t="s">
        <v>50</v>
      </c>
      <c r="K739" s="7" t="s">
        <v>256</v>
      </c>
      <c r="L739" s="7" t="s">
        <v>257</v>
      </c>
      <c r="M739" s="7" t="s">
        <v>258</v>
      </c>
      <c r="N739" s="7" t="s">
        <v>49</v>
      </c>
      <c r="O739" s="7">
        <v>1</v>
      </c>
      <c r="P739" s="7" t="s">
        <v>41</v>
      </c>
      <c r="Q739" s="7">
        <v>21.99</v>
      </c>
      <c r="Y739" s="7" t="s">
        <v>3793</v>
      </c>
      <c r="Z739" s="7" t="s">
        <v>98</v>
      </c>
      <c r="AA739" s="7" t="s">
        <v>3794</v>
      </c>
      <c r="AB739" s="7" t="s">
        <v>45</v>
      </c>
      <c r="AD739" s="11"/>
      <c r="AE739" s="11"/>
      <c r="AF739" s="11"/>
      <c r="AG739" s="10">
        <f t="shared" si="11"/>
        <v>43332</v>
      </c>
    </row>
    <row r="740" s="7" customFormat="1" spans="1:33">
      <c r="A740" s="7" t="s">
        <v>3795</v>
      </c>
      <c r="B740" s="7" t="s">
        <v>3795</v>
      </c>
      <c r="C740" s="7" t="s">
        <v>3796</v>
      </c>
      <c r="D740" s="7" t="s">
        <v>3797</v>
      </c>
      <c r="E740" s="7" t="s">
        <v>49</v>
      </c>
      <c r="F740" s="7" t="s">
        <v>34</v>
      </c>
      <c r="G740" s="7" t="s">
        <v>35</v>
      </c>
      <c r="J740" s="7" t="s">
        <v>36</v>
      </c>
      <c r="K740" s="7" t="s">
        <v>60</v>
      </c>
      <c r="L740" s="7" t="s">
        <v>61</v>
      </c>
      <c r="M740" s="7" t="s">
        <v>62</v>
      </c>
      <c r="N740" s="7" t="s">
        <v>49</v>
      </c>
      <c r="O740" s="7">
        <v>1</v>
      </c>
      <c r="P740" s="7" t="s">
        <v>41</v>
      </c>
      <c r="Q740" s="7">
        <v>21.99</v>
      </c>
      <c r="S740" s="7">
        <v>5.99</v>
      </c>
      <c r="Y740" s="7" t="s">
        <v>3798</v>
      </c>
      <c r="Z740" s="7" t="s">
        <v>115</v>
      </c>
      <c r="AA740" s="7" t="s">
        <v>3799</v>
      </c>
      <c r="AB740" s="7" t="s">
        <v>45</v>
      </c>
      <c r="AD740" s="11"/>
      <c r="AE740" s="11"/>
      <c r="AF740" s="11"/>
      <c r="AG740" s="10">
        <f t="shared" si="11"/>
        <v>43332</v>
      </c>
    </row>
    <row r="741" s="7" customFormat="1" spans="1:33">
      <c r="A741" s="7" t="s">
        <v>3800</v>
      </c>
      <c r="B741" s="7" t="s">
        <v>3800</v>
      </c>
      <c r="C741" s="7" t="s">
        <v>3801</v>
      </c>
      <c r="D741" s="7" t="s">
        <v>3802</v>
      </c>
      <c r="E741" s="7" t="s">
        <v>49</v>
      </c>
      <c r="F741" s="7" t="s">
        <v>34</v>
      </c>
      <c r="G741" s="7" t="s">
        <v>35</v>
      </c>
      <c r="J741" s="7" t="s">
        <v>50</v>
      </c>
      <c r="K741" s="7" t="s">
        <v>2363</v>
      </c>
      <c r="L741" s="7" t="s">
        <v>89</v>
      </c>
      <c r="M741" s="7" t="s">
        <v>90</v>
      </c>
      <c r="N741" s="7" t="s">
        <v>49</v>
      </c>
      <c r="O741" s="7">
        <v>1</v>
      </c>
      <c r="P741" s="7" t="s">
        <v>41</v>
      </c>
      <c r="Q741" s="7">
        <v>89.99</v>
      </c>
      <c r="W741" s="7">
        <v>13.5</v>
      </c>
      <c r="Y741" s="7" t="s">
        <v>3803</v>
      </c>
      <c r="Z741" s="7" t="s">
        <v>346</v>
      </c>
      <c r="AA741" s="7" t="s">
        <v>3804</v>
      </c>
      <c r="AB741" s="7" t="s">
        <v>45</v>
      </c>
      <c r="AD741" s="11"/>
      <c r="AE741" s="11"/>
      <c r="AF741" s="11"/>
      <c r="AG741" s="10">
        <f t="shared" si="11"/>
        <v>43332</v>
      </c>
    </row>
    <row r="742" s="7" customFormat="1" spans="1:33">
      <c r="A742" s="7" t="s">
        <v>3805</v>
      </c>
      <c r="B742" s="7" t="s">
        <v>3805</v>
      </c>
      <c r="C742" s="7" t="s">
        <v>3806</v>
      </c>
      <c r="D742" s="7" t="s">
        <v>3807</v>
      </c>
      <c r="E742" s="7" t="s">
        <v>49</v>
      </c>
      <c r="F742" s="7" t="s">
        <v>34</v>
      </c>
      <c r="G742" s="7" t="s">
        <v>35</v>
      </c>
      <c r="J742" s="7" t="s">
        <v>36</v>
      </c>
      <c r="K742" s="7" t="s">
        <v>235</v>
      </c>
      <c r="L742" s="7" t="s">
        <v>236</v>
      </c>
      <c r="M742" s="7" t="s">
        <v>237</v>
      </c>
      <c r="N742" s="7" t="s">
        <v>49</v>
      </c>
      <c r="O742" s="7">
        <v>1</v>
      </c>
      <c r="P742" s="7" t="s">
        <v>41</v>
      </c>
      <c r="Q742" s="7">
        <v>99.99</v>
      </c>
      <c r="S742" s="7">
        <v>8.26</v>
      </c>
      <c r="Y742" s="7" t="s">
        <v>3324</v>
      </c>
      <c r="Z742" s="7" t="s">
        <v>92</v>
      </c>
      <c r="AA742" s="7" t="s">
        <v>3808</v>
      </c>
      <c r="AB742" s="7" t="s">
        <v>45</v>
      </c>
      <c r="AD742" s="11"/>
      <c r="AE742" s="11"/>
      <c r="AF742" s="11"/>
      <c r="AG742" s="10">
        <f t="shared" si="11"/>
        <v>43332</v>
      </c>
    </row>
    <row r="743" s="7" customFormat="1" spans="1:33">
      <c r="A743" s="7" t="s">
        <v>3809</v>
      </c>
      <c r="B743" s="7" t="s">
        <v>3809</v>
      </c>
      <c r="C743" s="7" t="s">
        <v>3810</v>
      </c>
      <c r="D743" s="7" t="s">
        <v>3811</v>
      </c>
      <c r="E743" s="7" t="s">
        <v>49</v>
      </c>
      <c r="F743" s="7" t="s">
        <v>34</v>
      </c>
      <c r="G743" s="7" t="s">
        <v>35</v>
      </c>
      <c r="J743" s="7" t="s">
        <v>50</v>
      </c>
      <c r="K743" s="7" t="s">
        <v>60</v>
      </c>
      <c r="L743" s="7" t="s">
        <v>61</v>
      </c>
      <c r="M743" s="7" t="s">
        <v>62</v>
      </c>
      <c r="N743" s="7" t="s">
        <v>49</v>
      </c>
      <c r="O743" s="7">
        <v>1</v>
      </c>
      <c r="P743" s="7" t="s">
        <v>41</v>
      </c>
      <c r="Q743" s="7">
        <v>21.99</v>
      </c>
      <c r="W743" s="7">
        <v>21.77</v>
      </c>
      <c r="Y743" s="7" t="s">
        <v>3598</v>
      </c>
      <c r="Z743" s="7" t="s">
        <v>346</v>
      </c>
      <c r="AA743" s="7" t="s">
        <v>3599</v>
      </c>
      <c r="AB743" s="7" t="s">
        <v>45</v>
      </c>
      <c r="AC743" s="7" t="s">
        <v>66</v>
      </c>
      <c r="AD743" s="11"/>
      <c r="AE743" s="11"/>
      <c r="AF743" s="11"/>
      <c r="AG743" s="10">
        <f t="shared" si="11"/>
        <v>43332</v>
      </c>
    </row>
    <row r="744" s="7" customFormat="1" spans="1:33">
      <c r="A744" s="7" t="s">
        <v>3812</v>
      </c>
      <c r="B744" s="7" t="s">
        <v>3812</v>
      </c>
      <c r="C744" s="7" t="s">
        <v>3813</v>
      </c>
      <c r="D744" s="7" t="s">
        <v>3814</v>
      </c>
      <c r="E744" s="7" t="s">
        <v>49</v>
      </c>
      <c r="F744" s="7" t="s">
        <v>34</v>
      </c>
      <c r="G744" s="7" t="s">
        <v>35</v>
      </c>
      <c r="J744" s="7" t="s">
        <v>50</v>
      </c>
      <c r="K744" s="7" t="s">
        <v>2650</v>
      </c>
      <c r="L744" s="7" t="s">
        <v>277</v>
      </c>
      <c r="M744" s="7" t="s">
        <v>278</v>
      </c>
      <c r="N744" s="7" t="s">
        <v>49</v>
      </c>
      <c r="O744" s="7">
        <v>1</v>
      </c>
      <c r="P744" s="7" t="s">
        <v>41</v>
      </c>
      <c r="Q744" s="7">
        <v>91.99</v>
      </c>
      <c r="R744" s="7">
        <v>7.82</v>
      </c>
      <c r="Y744" s="7" t="s">
        <v>3815</v>
      </c>
      <c r="Z744" s="7" t="s">
        <v>146</v>
      </c>
      <c r="AA744" s="7" t="s">
        <v>3816</v>
      </c>
      <c r="AB744" s="7" t="s">
        <v>45</v>
      </c>
      <c r="AD744" s="8"/>
      <c r="AE744" s="8"/>
      <c r="AF744" s="8"/>
      <c r="AG744" s="10">
        <f t="shared" si="11"/>
        <v>43332</v>
      </c>
    </row>
    <row r="745" s="7" customFormat="1" spans="1:33">
      <c r="A745" s="7" t="s">
        <v>3817</v>
      </c>
      <c r="B745" s="7" t="s">
        <v>3817</v>
      </c>
      <c r="C745" s="7" t="s">
        <v>3818</v>
      </c>
      <c r="D745" s="7" t="s">
        <v>3819</v>
      </c>
      <c r="E745" s="7" t="s">
        <v>49</v>
      </c>
      <c r="F745" s="7" t="s">
        <v>34</v>
      </c>
      <c r="G745" s="7" t="s">
        <v>35</v>
      </c>
      <c r="J745" s="7" t="s">
        <v>151</v>
      </c>
      <c r="K745" s="7" t="s">
        <v>2650</v>
      </c>
      <c r="L745" s="7" t="s">
        <v>277</v>
      </c>
      <c r="M745" s="7" t="s">
        <v>278</v>
      </c>
      <c r="N745" s="7" t="s">
        <v>49</v>
      </c>
      <c r="O745" s="7">
        <v>1</v>
      </c>
      <c r="P745" s="7" t="s">
        <v>41</v>
      </c>
      <c r="Q745" s="7">
        <v>91.99</v>
      </c>
      <c r="S745" s="7">
        <v>6.99</v>
      </c>
      <c r="X745" s="7">
        <v>6.99</v>
      </c>
      <c r="Y745" s="7" t="s">
        <v>3820</v>
      </c>
      <c r="Z745" s="7" t="s">
        <v>3821</v>
      </c>
      <c r="AA745" s="7">
        <v>95403</v>
      </c>
      <c r="AB745" s="7" t="s">
        <v>45</v>
      </c>
      <c r="AD745" s="11"/>
      <c r="AE745" s="11"/>
      <c r="AF745" s="11"/>
      <c r="AG745" s="10">
        <f t="shared" si="11"/>
        <v>43332</v>
      </c>
    </row>
    <row r="746" s="7" customFormat="1" spans="1:33">
      <c r="A746" s="7" t="s">
        <v>3822</v>
      </c>
      <c r="B746" s="7" t="s">
        <v>3822</v>
      </c>
      <c r="C746" s="7" t="s">
        <v>3823</v>
      </c>
      <c r="D746" s="7" t="s">
        <v>3824</v>
      </c>
      <c r="E746" s="7" t="s">
        <v>49</v>
      </c>
      <c r="F746" s="7" t="s">
        <v>34</v>
      </c>
      <c r="G746" s="7" t="s">
        <v>35</v>
      </c>
      <c r="J746" s="7" t="s">
        <v>50</v>
      </c>
      <c r="K746" s="7" t="s">
        <v>197</v>
      </c>
      <c r="L746" s="7" t="s">
        <v>977</v>
      </c>
      <c r="M746" s="7" t="s">
        <v>199</v>
      </c>
      <c r="N746" s="7" t="s">
        <v>49</v>
      </c>
      <c r="O746" s="7">
        <v>1</v>
      </c>
      <c r="P746" s="7" t="s">
        <v>41</v>
      </c>
      <c r="Q746" s="7">
        <v>21.99</v>
      </c>
      <c r="Y746" s="7" t="s">
        <v>3825</v>
      </c>
      <c r="Z746" s="7" t="s">
        <v>3826</v>
      </c>
      <c r="AA746" s="7">
        <v>52577</v>
      </c>
      <c r="AB746" s="7" t="s">
        <v>45</v>
      </c>
      <c r="AD746" s="11"/>
      <c r="AE746" s="11"/>
      <c r="AF746" s="11"/>
      <c r="AG746" s="10">
        <f t="shared" si="11"/>
        <v>43332</v>
      </c>
    </row>
    <row r="747" s="7" customFormat="1" spans="1:33">
      <c r="A747" s="7" t="s">
        <v>3827</v>
      </c>
      <c r="B747" s="7" t="s">
        <v>3827</v>
      </c>
      <c r="C747" s="7" t="s">
        <v>3828</v>
      </c>
      <c r="D747" s="7" t="s">
        <v>3829</v>
      </c>
      <c r="E747" s="7" t="s">
        <v>49</v>
      </c>
      <c r="F747" s="7" t="s">
        <v>34</v>
      </c>
      <c r="G747" s="7" t="s">
        <v>35</v>
      </c>
      <c r="J747" s="7" t="s">
        <v>36</v>
      </c>
      <c r="K747" s="7" t="s">
        <v>208</v>
      </c>
      <c r="L747" s="7" t="s">
        <v>209</v>
      </c>
      <c r="M747" s="7" t="s">
        <v>210</v>
      </c>
      <c r="N747" s="7" t="s">
        <v>49</v>
      </c>
      <c r="O747" s="7">
        <v>1</v>
      </c>
      <c r="P747" s="7" t="s">
        <v>41</v>
      </c>
      <c r="Q747" s="7">
        <v>89.99</v>
      </c>
      <c r="S747" s="7">
        <v>8.17</v>
      </c>
      <c r="Y747" s="7" t="s">
        <v>3830</v>
      </c>
      <c r="Z747" s="7" t="s">
        <v>43</v>
      </c>
      <c r="AA747" s="7" t="s">
        <v>3831</v>
      </c>
      <c r="AB747" s="7" t="s">
        <v>45</v>
      </c>
      <c r="AD747" s="11"/>
      <c r="AE747" s="11"/>
      <c r="AF747" s="11"/>
      <c r="AG747" s="10">
        <f t="shared" si="11"/>
        <v>43332</v>
      </c>
    </row>
    <row r="748" s="7" customFormat="1" spans="1:33">
      <c r="A748" s="7" t="s">
        <v>3832</v>
      </c>
      <c r="B748" s="7" t="s">
        <v>3832</v>
      </c>
      <c r="C748" s="7" t="s">
        <v>3833</v>
      </c>
      <c r="D748" s="7" t="s">
        <v>3834</v>
      </c>
      <c r="E748" s="7" t="s">
        <v>49</v>
      </c>
      <c r="F748" s="7" t="s">
        <v>34</v>
      </c>
      <c r="G748" s="7" t="s">
        <v>35</v>
      </c>
      <c r="J748" s="7" t="s">
        <v>50</v>
      </c>
      <c r="K748" s="7" t="s">
        <v>208</v>
      </c>
      <c r="L748" s="7" t="s">
        <v>209</v>
      </c>
      <c r="M748" s="7" t="s">
        <v>210</v>
      </c>
      <c r="N748" s="7" t="s">
        <v>49</v>
      </c>
      <c r="O748" s="7">
        <v>1</v>
      </c>
      <c r="P748" s="7" t="s">
        <v>41</v>
      </c>
      <c r="Q748" s="7">
        <v>89.99</v>
      </c>
      <c r="Y748" s="7" t="s">
        <v>265</v>
      </c>
      <c r="Z748" s="7" t="s">
        <v>266</v>
      </c>
      <c r="AA748" s="7" t="s">
        <v>3835</v>
      </c>
      <c r="AB748" s="7" t="s">
        <v>45</v>
      </c>
      <c r="AD748" s="11"/>
      <c r="AE748" s="11"/>
      <c r="AF748" s="11"/>
      <c r="AG748" s="10">
        <f t="shared" si="11"/>
        <v>43332</v>
      </c>
    </row>
    <row r="749" s="7" customFormat="1" spans="1:33">
      <c r="A749" s="7" t="s">
        <v>3836</v>
      </c>
      <c r="B749" s="7" t="s">
        <v>3836</v>
      </c>
      <c r="C749" s="7" t="s">
        <v>3837</v>
      </c>
      <c r="D749" s="7" t="s">
        <v>3838</v>
      </c>
      <c r="E749" s="7" t="s">
        <v>49</v>
      </c>
      <c r="F749" s="7" t="s">
        <v>34</v>
      </c>
      <c r="G749" s="7" t="s">
        <v>35</v>
      </c>
      <c r="J749" s="7" t="s">
        <v>50</v>
      </c>
      <c r="K749" s="7" t="s">
        <v>60</v>
      </c>
      <c r="L749" s="7" t="s">
        <v>61</v>
      </c>
      <c r="M749" s="7" t="s">
        <v>62</v>
      </c>
      <c r="N749" s="7" t="s">
        <v>49</v>
      </c>
      <c r="O749" s="7">
        <v>1</v>
      </c>
      <c r="P749" s="7" t="s">
        <v>41</v>
      </c>
      <c r="Q749" s="7">
        <v>21.99</v>
      </c>
      <c r="Y749" s="7" t="s">
        <v>3839</v>
      </c>
      <c r="Z749" s="7" t="s">
        <v>1302</v>
      </c>
      <c r="AA749" s="7" t="s">
        <v>3840</v>
      </c>
      <c r="AB749" s="7" t="s">
        <v>45</v>
      </c>
      <c r="AD749" s="11"/>
      <c r="AE749" s="11"/>
      <c r="AF749" s="11"/>
      <c r="AG749" s="10">
        <f t="shared" si="11"/>
        <v>43332</v>
      </c>
    </row>
    <row r="750" s="7" customFormat="1" spans="1:33">
      <c r="A750" s="7" t="s">
        <v>3841</v>
      </c>
      <c r="B750" s="7" t="s">
        <v>3841</v>
      </c>
      <c r="C750" s="7" t="s">
        <v>3842</v>
      </c>
      <c r="D750" s="7" t="s">
        <v>3843</v>
      </c>
      <c r="E750" s="7" t="s">
        <v>49</v>
      </c>
      <c r="F750" s="7" t="s">
        <v>34</v>
      </c>
      <c r="G750" s="7" t="s">
        <v>35</v>
      </c>
      <c r="J750" s="7" t="s">
        <v>50</v>
      </c>
      <c r="K750" s="7" t="s">
        <v>235</v>
      </c>
      <c r="L750" s="7" t="s">
        <v>236</v>
      </c>
      <c r="M750" s="7" t="s">
        <v>237</v>
      </c>
      <c r="N750" s="7" t="s">
        <v>49</v>
      </c>
      <c r="O750" s="7">
        <v>1</v>
      </c>
      <c r="P750" s="7" t="s">
        <v>41</v>
      </c>
      <c r="Q750" s="7">
        <v>99.99</v>
      </c>
      <c r="Y750" s="7" t="s">
        <v>1245</v>
      </c>
      <c r="Z750" s="7" t="s">
        <v>1302</v>
      </c>
      <c r="AA750" s="7" t="s">
        <v>3844</v>
      </c>
      <c r="AB750" s="7" t="s">
        <v>45</v>
      </c>
      <c r="AD750" s="11"/>
      <c r="AE750" s="11"/>
      <c r="AF750" s="11"/>
      <c r="AG750" s="10">
        <f t="shared" si="11"/>
        <v>43332</v>
      </c>
    </row>
    <row r="751" s="7" customFormat="1" spans="1:33">
      <c r="A751" s="7" t="s">
        <v>3845</v>
      </c>
      <c r="B751" s="7" t="s">
        <v>3845</v>
      </c>
      <c r="C751" s="7" t="s">
        <v>3846</v>
      </c>
      <c r="D751" s="7" t="s">
        <v>3847</v>
      </c>
      <c r="E751" s="7" t="s">
        <v>49</v>
      </c>
      <c r="F751" s="7" t="s">
        <v>34</v>
      </c>
      <c r="G751" s="7" t="s">
        <v>35</v>
      </c>
      <c r="J751" s="7" t="s">
        <v>326</v>
      </c>
      <c r="K751" s="7" t="s">
        <v>327</v>
      </c>
      <c r="L751" s="7" t="s">
        <v>328</v>
      </c>
      <c r="M751" s="7" t="s">
        <v>329</v>
      </c>
      <c r="N751" s="7" t="s">
        <v>49</v>
      </c>
      <c r="O751" s="7">
        <v>1</v>
      </c>
      <c r="P751" s="7" t="s">
        <v>41</v>
      </c>
      <c r="Q751" s="7">
        <v>89.99</v>
      </c>
      <c r="S751" s="7">
        <v>31.94</v>
      </c>
      <c r="Y751" s="7" t="s">
        <v>3848</v>
      </c>
      <c r="Z751" s="7" t="s">
        <v>266</v>
      </c>
      <c r="AA751" s="7">
        <v>32114</v>
      </c>
      <c r="AB751" s="7" t="s">
        <v>45</v>
      </c>
      <c r="AD751" s="11"/>
      <c r="AE751" s="11"/>
      <c r="AF751" s="11"/>
      <c r="AG751" s="10">
        <f t="shared" si="11"/>
        <v>43332</v>
      </c>
    </row>
    <row r="752" s="7" customFormat="1" spans="1:33">
      <c r="A752" s="7" t="s">
        <v>3849</v>
      </c>
      <c r="B752" s="7" t="s">
        <v>3849</v>
      </c>
      <c r="C752" s="7" t="s">
        <v>3850</v>
      </c>
      <c r="D752" s="7" t="s">
        <v>3851</v>
      </c>
      <c r="E752" s="7" t="s">
        <v>49</v>
      </c>
      <c r="F752" s="7" t="s">
        <v>34</v>
      </c>
      <c r="G752" s="7" t="s">
        <v>35</v>
      </c>
      <c r="J752" s="7" t="s">
        <v>50</v>
      </c>
      <c r="K752" s="7" t="s">
        <v>3489</v>
      </c>
      <c r="L752" s="7" t="s">
        <v>71</v>
      </c>
      <c r="M752" s="7" t="s">
        <v>72</v>
      </c>
      <c r="N752" s="7" t="s">
        <v>49</v>
      </c>
      <c r="O752" s="7">
        <v>1</v>
      </c>
      <c r="P752" s="7" t="s">
        <v>41</v>
      </c>
      <c r="Q752" s="7">
        <v>96.99</v>
      </c>
      <c r="Y752" s="7" t="s">
        <v>3852</v>
      </c>
      <c r="Z752" s="7" t="s">
        <v>109</v>
      </c>
      <c r="AA752" s="7" t="s">
        <v>3853</v>
      </c>
      <c r="AB752" s="7" t="s">
        <v>45</v>
      </c>
      <c r="AD752" s="11"/>
      <c r="AE752" s="11"/>
      <c r="AF752" s="11"/>
      <c r="AG752" s="10">
        <f t="shared" si="11"/>
        <v>43332</v>
      </c>
    </row>
    <row r="753" s="7" customFormat="1" spans="1:33">
      <c r="A753" s="7" t="s">
        <v>3854</v>
      </c>
      <c r="B753" s="7" t="s">
        <v>3854</v>
      </c>
      <c r="C753" s="7" t="s">
        <v>3855</v>
      </c>
      <c r="D753" s="7" t="s">
        <v>3856</v>
      </c>
      <c r="E753" s="7" t="s">
        <v>49</v>
      </c>
      <c r="F753" s="7" t="s">
        <v>34</v>
      </c>
      <c r="G753" s="7" t="s">
        <v>35</v>
      </c>
      <c r="J753" s="7" t="s">
        <v>36</v>
      </c>
      <c r="K753" s="7" t="s">
        <v>3857</v>
      </c>
      <c r="L753" s="7" t="s">
        <v>3858</v>
      </c>
      <c r="M753" s="7" t="s">
        <v>3859</v>
      </c>
      <c r="N753" s="7" t="s">
        <v>49</v>
      </c>
      <c r="O753" s="7">
        <v>1</v>
      </c>
      <c r="P753" s="7" t="s">
        <v>41</v>
      </c>
      <c r="Q753" s="7">
        <v>118.99</v>
      </c>
      <c r="S753" s="7">
        <v>6.76</v>
      </c>
      <c r="X753" s="7">
        <v>6.76</v>
      </c>
      <c r="Y753" s="7" t="s">
        <v>3462</v>
      </c>
      <c r="Z753" s="7" t="s">
        <v>1780</v>
      </c>
      <c r="AA753" s="7" t="s">
        <v>3860</v>
      </c>
      <c r="AB753" s="7" t="s">
        <v>45</v>
      </c>
      <c r="AC753" s="7" t="s">
        <v>549</v>
      </c>
      <c r="AD753" s="11"/>
      <c r="AE753" s="11"/>
      <c r="AF753" s="11"/>
      <c r="AG753" s="10">
        <f t="shared" si="11"/>
        <v>43332</v>
      </c>
    </row>
    <row r="754" s="7" customFormat="1" spans="1:33">
      <c r="A754" s="7" t="s">
        <v>3861</v>
      </c>
      <c r="B754" s="7" t="s">
        <v>3861</v>
      </c>
      <c r="C754" s="7" t="s">
        <v>3862</v>
      </c>
      <c r="D754" s="7" t="s">
        <v>3863</v>
      </c>
      <c r="E754" s="7" t="s">
        <v>49</v>
      </c>
      <c r="F754" s="7" t="s">
        <v>34</v>
      </c>
      <c r="G754" s="7" t="s">
        <v>35</v>
      </c>
      <c r="J754" s="7" t="s">
        <v>36</v>
      </c>
      <c r="K754" s="7" t="s">
        <v>656</v>
      </c>
      <c r="L754" s="7" t="s">
        <v>657</v>
      </c>
      <c r="M754" s="7" t="s">
        <v>658</v>
      </c>
      <c r="N754" s="7" t="s">
        <v>49</v>
      </c>
      <c r="O754" s="7">
        <v>1</v>
      </c>
      <c r="P754" s="7" t="s">
        <v>41</v>
      </c>
      <c r="Q754" s="7">
        <v>106.99</v>
      </c>
      <c r="S754" s="7">
        <v>7.58</v>
      </c>
      <c r="X754" s="7">
        <v>7.58</v>
      </c>
      <c r="Y754" s="7" t="s">
        <v>3864</v>
      </c>
      <c r="Z754" s="7" t="s">
        <v>43</v>
      </c>
      <c r="AA754" s="7" t="s">
        <v>3865</v>
      </c>
      <c r="AB754" s="7" t="s">
        <v>45</v>
      </c>
      <c r="AC754" s="7" t="s">
        <v>549</v>
      </c>
      <c r="AD754" s="11"/>
      <c r="AE754" s="11"/>
      <c r="AF754" s="11"/>
      <c r="AG754" s="10">
        <f t="shared" si="11"/>
        <v>43332</v>
      </c>
    </row>
    <row r="755" s="7" customFormat="1" spans="1:33">
      <c r="A755" s="7" t="s">
        <v>3866</v>
      </c>
      <c r="B755" s="7" t="s">
        <v>3866</v>
      </c>
      <c r="C755" s="7" t="s">
        <v>3867</v>
      </c>
      <c r="D755" s="7" t="s">
        <v>3868</v>
      </c>
      <c r="E755" s="7" t="s">
        <v>49</v>
      </c>
      <c r="F755" s="7" t="s">
        <v>34</v>
      </c>
      <c r="G755" s="7" t="s">
        <v>35</v>
      </c>
      <c r="J755" s="7" t="s">
        <v>36</v>
      </c>
      <c r="K755" s="7" t="s">
        <v>160</v>
      </c>
      <c r="L755" s="7" t="s">
        <v>161</v>
      </c>
      <c r="M755" s="7" t="s">
        <v>162</v>
      </c>
      <c r="N755" s="7" t="s">
        <v>49</v>
      </c>
      <c r="O755" s="7">
        <v>1</v>
      </c>
      <c r="P755" s="7" t="s">
        <v>41</v>
      </c>
      <c r="Q755" s="7">
        <v>89.99</v>
      </c>
      <c r="S755" s="7">
        <v>7.54</v>
      </c>
      <c r="X755" s="7">
        <v>7.54</v>
      </c>
      <c r="Y755" s="7" t="s">
        <v>3869</v>
      </c>
      <c r="Z755" s="7" t="s">
        <v>3870</v>
      </c>
      <c r="AA755" s="7">
        <v>70726</v>
      </c>
      <c r="AB755" s="7" t="s">
        <v>45</v>
      </c>
      <c r="AC755" s="7" t="s">
        <v>549</v>
      </c>
      <c r="AD755" s="11"/>
      <c r="AE755" s="11"/>
      <c r="AF755" s="11"/>
      <c r="AG755" s="10">
        <f t="shared" si="11"/>
        <v>43332</v>
      </c>
    </row>
    <row r="756" s="7" customFormat="1" spans="1:33">
      <c r="A756" s="7" t="s">
        <v>3871</v>
      </c>
      <c r="B756" s="7" t="s">
        <v>3871</v>
      </c>
      <c r="C756" s="7" t="s">
        <v>3872</v>
      </c>
      <c r="D756" s="7" t="s">
        <v>3873</v>
      </c>
      <c r="E756" s="7" t="s">
        <v>49</v>
      </c>
      <c r="F756" s="7" t="s">
        <v>34</v>
      </c>
      <c r="G756" s="7" t="s">
        <v>35</v>
      </c>
      <c r="J756" s="7" t="s">
        <v>50</v>
      </c>
      <c r="K756" s="7" t="s">
        <v>1424</v>
      </c>
      <c r="L756" s="7" t="s">
        <v>1425</v>
      </c>
      <c r="M756" s="7" t="s">
        <v>1426</v>
      </c>
      <c r="N756" s="7" t="s">
        <v>49</v>
      </c>
      <c r="O756" s="7">
        <v>1</v>
      </c>
      <c r="P756" s="7" t="s">
        <v>41</v>
      </c>
      <c r="Q756" s="7">
        <v>99.99</v>
      </c>
      <c r="Y756" s="7" t="s">
        <v>114</v>
      </c>
      <c r="Z756" s="7" t="s">
        <v>184</v>
      </c>
      <c r="AA756" s="7" t="s">
        <v>3874</v>
      </c>
      <c r="AB756" s="7" t="s">
        <v>45</v>
      </c>
      <c r="AD756" s="11"/>
      <c r="AE756" s="11"/>
      <c r="AF756" s="11"/>
      <c r="AG756" s="10">
        <f t="shared" si="11"/>
        <v>43332</v>
      </c>
    </row>
    <row r="757" s="7" customFormat="1" spans="1:33">
      <c r="A757" s="7" t="s">
        <v>3875</v>
      </c>
      <c r="B757" s="7" t="s">
        <v>3875</v>
      </c>
      <c r="C757" s="7" t="s">
        <v>3876</v>
      </c>
      <c r="D757" s="7" t="s">
        <v>3877</v>
      </c>
      <c r="E757" s="7" t="s">
        <v>33</v>
      </c>
      <c r="F757" s="7" t="s">
        <v>34</v>
      </c>
      <c r="G757" s="7" t="s">
        <v>35</v>
      </c>
      <c r="J757" s="7" t="s">
        <v>50</v>
      </c>
      <c r="K757" s="7" t="s">
        <v>611</v>
      </c>
      <c r="L757" s="7" t="s">
        <v>612</v>
      </c>
      <c r="M757" s="7" t="s">
        <v>613</v>
      </c>
      <c r="N757" s="7" t="s">
        <v>40</v>
      </c>
      <c r="O757" s="7">
        <v>1</v>
      </c>
      <c r="P757" s="7" t="s">
        <v>41</v>
      </c>
      <c r="Q757" s="7">
        <v>89.99</v>
      </c>
      <c r="Y757" s="7" t="s">
        <v>3878</v>
      </c>
      <c r="Z757" s="7" t="s">
        <v>98</v>
      </c>
      <c r="AA757" s="7" t="s">
        <v>3879</v>
      </c>
      <c r="AB757" s="7" t="s">
        <v>45</v>
      </c>
      <c r="AD757" s="11"/>
      <c r="AE757" s="11"/>
      <c r="AF757" s="11"/>
      <c r="AG757" s="10">
        <f t="shared" si="11"/>
        <v>43332</v>
      </c>
    </row>
    <row r="758" s="7" customFormat="1" spans="1:33">
      <c r="A758" s="7" t="s">
        <v>3880</v>
      </c>
      <c r="B758" s="7" t="s">
        <v>3880</v>
      </c>
      <c r="C758" s="7" t="s">
        <v>3881</v>
      </c>
      <c r="D758" s="7" t="s">
        <v>3882</v>
      </c>
      <c r="E758" s="7" t="s">
        <v>49</v>
      </c>
      <c r="F758" s="7" t="s">
        <v>34</v>
      </c>
      <c r="G758" s="7" t="s">
        <v>35</v>
      </c>
      <c r="J758" s="7" t="s">
        <v>326</v>
      </c>
      <c r="K758" s="7" t="s">
        <v>882</v>
      </c>
      <c r="L758" s="7" t="s">
        <v>883</v>
      </c>
      <c r="M758" s="7" t="s">
        <v>884</v>
      </c>
      <c r="N758" s="7" t="s">
        <v>49</v>
      </c>
      <c r="O758" s="7">
        <v>1</v>
      </c>
      <c r="P758" s="7" t="s">
        <v>41</v>
      </c>
      <c r="Q758" s="7">
        <v>32.99</v>
      </c>
      <c r="Y758" s="7" t="s">
        <v>686</v>
      </c>
      <c r="Z758" s="7" t="s">
        <v>346</v>
      </c>
      <c r="AA758" s="7" t="s">
        <v>3883</v>
      </c>
      <c r="AB758" s="7" t="s">
        <v>45</v>
      </c>
      <c r="AD758" s="11"/>
      <c r="AE758" s="11"/>
      <c r="AF758" s="11"/>
      <c r="AG758" s="10">
        <f t="shared" si="11"/>
        <v>43332</v>
      </c>
    </row>
    <row r="759" s="7" customFormat="1" spans="1:33">
      <c r="A759" s="7" t="s">
        <v>3884</v>
      </c>
      <c r="B759" s="7" t="s">
        <v>3884</v>
      </c>
      <c r="C759" s="7" t="s">
        <v>3885</v>
      </c>
      <c r="D759" s="7" t="s">
        <v>3886</v>
      </c>
      <c r="E759" s="7" t="s">
        <v>49</v>
      </c>
      <c r="F759" s="7" t="s">
        <v>34</v>
      </c>
      <c r="G759" s="7" t="s">
        <v>35</v>
      </c>
      <c r="J759" s="7" t="s">
        <v>50</v>
      </c>
      <c r="K759" s="7" t="s">
        <v>595</v>
      </c>
      <c r="L759" s="7" t="s">
        <v>596</v>
      </c>
      <c r="M759" s="7" t="s">
        <v>597</v>
      </c>
      <c r="N759" s="7" t="s">
        <v>49</v>
      </c>
      <c r="O759" s="7">
        <v>1</v>
      </c>
      <c r="P759" s="7" t="s">
        <v>41</v>
      </c>
      <c r="Q759" s="7">
        <v>21.99</v>
      </c>
      <c r="W759" s="7">
        <v>21.77</v>
      </c>
      <c r="Y759" s="7" t="s">
        <v>3121</v>
      </c>
      <c r="Z759" s="7" t="s">
        <v>1780</v>
      </c>
      <c r="AA759" s="7" t="s">
        <v>3122</v>
      </c>
      <c r="AB759" s="7" t="s">
        <v>45</v>
      </c>
      <c r="AC759" s="7" t="s">
        <v>66</v>
      </c>
      <c r="AD759" s="11"/>
      <c r="AE759" s="11"/>
      <c r="AF759" s="11"/>
      <c r="AG759" s="10">
        <f t="shared" si="11"/>
        <v>43332</v>
      </c>
    </row>
    <row r="760" s="7" customFormat="1" spans="1:33">
      <c r="A760" s="7" t="s">
        <v>3887</v>
      </c>
      <c r="B760" s="7" t="s">
        <v>3887</v>
      </c>
      <c r="C760" s="7" t="s">
        <v>3888</v>
      </c>
      <c r="D760" s="7" t="s">
        <v>3889</v>
      </c>
      <c r="E760" s="7" t="s">
        <v>49</v>
      </c>
      <c r="F760" s="7" t="s">
        <v>34</v>
      </c>
      <c r="G760" s="7" t="s">
        <v>35</v>
      </c>
      <c r="J760" s="7" t="s">
        <v>50</v>
      </c>
      <c r="K760" s="7" t="s">
        <v>1144</v>
      </c>
      <c r="L760" s="7" t="s">
        <v>1145</v>
      </c>
      <c r="M760" s="7" t="s">
        <v>1146</v>
      </c>
      <c r="N760" s="7" t="s">
        <v>49</v>
      </c>
      <c r="O760" s="7">
        <v>1</v>
      </c>
      <c r="P760" s="7" t="s">
        <v>41</v>
      </c>
      <c r="Q760" s="7">
        <v>23.99</v>
      </c>
      <c r="Y760" s="7" t="s">
        <v>3890</v>
      </c>
      <c r="Z760" s="7" t="s">
        <v>382</v>
      </c>
      <c r="AA760" s="7">
        <v>46567</v>
      </c>
      <c r="AB760" s="7" t="s">
        <v>45</v>
      </c>
      <c r="AD760" s="11"/>
      <c r="AE760" s="11"/>
      <c r="AF760" s="11"/>
      <c r="AG760" s="10">
        <f t="shared" si="11"/>
        <v>43332</v>
      </c>
    </row>
    <row r="761" s="7" customFormat="1" spans="1:33">
      <c r="A761" s="7" t="s">
        <v>3891</v>
      </c>
      <c r="B761" s="7" t="s">
        <v>3891</v>
      </c>
      <c r="C761" s="7" t="s">
        <v>3892</v>
      </c>
      <c r="D761" s="7" t="s">
        <v>3893</v>
      </c>
      <c r="E761" s="7" t="s">
        <v>33</v>
      </c>
      <c r="F761" s="7" t="s">
        <v>34</v>
      </c>
      <c r="G761" s="7" t="s">
        <v>35</v>
      </c>
      <c r="J761" s="7" t="s">
        <v>50</v>
      </c>
      <c r="K761" s="7" t="s">
        <v>2065</v>
      </c>
      <c r="L761" s="7" t="s">
        <v>2066</v>
      </c>
      <c r="M761" s="7" t="s">
        <v>2067</v>
      </c>
      <c r="N761" s="7" t="s">
        <v>33</v>
      </c>
      <c r="O761" s="7">
        <v>0</v>
      </c>
      <c r="Y761" s="7" t="s">
        <v>3894</v>
      </c>
      <c r="Z761" s="7" t="s">
        <v>3895</v>
      </c>
      <c r="AA761" s="7">
        <v>53968</v>
      </c>
      <c r="AB761" s="7" t="s">
        <v>45</v>
      </c>
      <c r="AD761" s="11"/>
      <c r="AE761" s="11"/>
      <c r="AF761" s="11"/>
      <c r="AG761" s="10">
        <f t="shared" si="11"/>
        <v>43332</v>
      </c>
    </row>
    <row r="762" s="7" customFormat="1" spans="1:33">
      <c r="A762" s="7" t="s">
        <v>3896</v>
      </c>
      <c r="B762" s="7" t="s">
        <v>3896</v>
      </c>
      <c r="C762" s="7" t="s">
        <v>3897</v>
      </c>
      <c r="D762" s="7" t="s">
        <v>3898</v>
      </c>
      <c r="E762" s="7" t="s">
        <v>49</v>
      </c>
      <c r="F762" s="7" t="s">
        <v>34</v>
      </c>
      <c r="G762" s="7" t="s">
        <v>35</v>
      </c>
      <c r="J762" s="7" t="s">
        <v>50</v>
      </c>
      <c r="K762" s="7" t="s">
        <v>603</v>
      </c>
      <c r="L762" s="7" t="s">
        <v>604</v>
      </c>
      <c r="M762" s="7" t="s">
        <v>605</v>
      </c>
      <c r="N762" s="7" t="s">
        <v>49</v>
      </c>
      <c r="O762" s="7">
        <v>1</v>
      </c>
      <c r="P762" s="7" t="s">
        <v>41</v>
      </c>
      <c r="Q762" s="7">
        <v>99.99</v>
      </c>
      <c r="Y762" s="7" t="s">
        <v>3899</v>
      </c>
      <c r="Z762" s="7" t="s">
        <v>178</v>
      </c>
      <c r="AA762" s="7" t="s">
        <v>3900</v>
      </c>
      <c r="AB762" s="7" t="s">
        <v>45</v>
      </c>
      <c r="AD762" s="11"/>
      <c r="AE762" s="11"/>
      <c r="AF762" s="11"/>
      <c r="AG762" s="10">
        <f t="shared" si="11"/>
        <v>43332</v>
      </c>
    </row>
    <row r="763" s="7" customFormat="1" spans="1:33">
      <c r="A763" s="7" t="s">
        <v>3901</v>
      </c>
      <c r="B763" s="7" t="s">
        <v>3901</v>
      </c>
      <c r="C763" s="7" t="s">
        <v>3902</v>
      </c>
      <c r="D763" s="7" t="s">
        <v>3903</v>
      </c>
      <c r="E763" s="7" t="s">
        <v>49</v>
      </c>
      <c r="F763" s="7" t="s">
        <v>34</v>
      </c>
      <c r="G763" s="7" t="s">
        <v>35</v>
      </c>
      <c r="J763" s="7" t="s">
        <v>50</v>
      </c>
      <c r="K763" s="7" t="s">
        <v>386</v>
      </c>
      <c r="L763" s="7" t="s">
        <v>387</v>
      </c>
      <c r="M763" s="7" t="s">
        <v>388</v>
      </c>
      <c r="N763" s="7" t="s">
        <v>49</v>
      </c>
      <c r="O763" s="7">
        <v>1</v>
      </c>
      <c r="P763" s="7" t="s">
        <v>41</v>
      </c>
      <c r="Q763" s="7">
        <v>32.99</v>
      </c>
      <c r="Y763" s="7" t="s">
        <v>3904</v>
      </c>
      <c r="Z763" s="7" t="s">
        <v>3905</v>
      </c>
      <c r="AA763" s="7">
        <v>41092</v>
      </c>
      <c r="AB763" s="7" t="s">
        <v>45</v>
      </c>
      <c r="AD763" s="11"/>
      <c r="AE763" s="11"/>
      <c r="AF763" s="11"/>
      <c r="AG763" s="10">
        <f t="shared" si="11"/>
        <v>43332</v>
      </c>
    </row>
    <row r="764" s="7" customFormat="1" spans="1:33">
      <c r="A764" s="7" t="s">
        <v>3906</v>
      </c>
      <c r="B764" s="7" t="s">
        <v>3906</v>
      </c>
      <c r="C764" s="7" t="s">
        <v>3907</v>
      </c>
      <c r="D764" s="7" t="s">
        <v>3908</v>
      </c>
      <c r="E764" s="7" t="s">
        <v>49</v>
      </c>
      <c r="F764" s="7" t="s">
        <v>34</v>
      </c>
      <c r="G764" s="7" t="s">
        <v>35</v>
      </c>
      <c r="J764" s="7" t="s">
        <v>326</v>
      </c>
      <c r="K764" s="7" t="s">
        <v>674</v>
      </c>
      <c r="L764" s="7" t="s">
        <v>675</v>
      </c>
      <c r="M764" s="7" t="s">
        <v>676</v>
      </c>
      <c r="N764" s="7" t="s">
        <v>49</v>
      </c>
      <c r="O764" s="7">
        <v>1</v>
      </c>
      <c r="P764" s="7" t="s">
        <v>41</v>
      </c>
      <c r="Q764" s="7">
        <v>79.99</v>
      </c>
      <c r="R764" s="7">
        <v>4.8</v>
      </c>
      <c r="S764" s="7">
        <v>6.99</v>
      </c>
      <c r="T764" s="7">
        <v>0.42</v>
      </c>
      <c r="Y764" s="7" t="s">
        <v>3909</v>
      </c>
      <c r="Z764" s="7" t="s">
        <v>124</v>
      </c>
      <c r="AA764" s="7">
        <v>15220</v>
      </c>
      <c r="AB764" s="7" t="s">
        <v>45</v>
      </c>
      <c r="AD764" s="11"/>
      <c r="AE764" s="11"/>
      <c r="AF764" s="11"/>
      <c r="AG764" s="10">
        <f t="shared" si="11"/>
        <v>43332</v>
      </c>
    </row>
    <row r="765" s="7" customFormat="1" spans="1:33">
      <c r="A765" s="7" t="s">
        <v>3910</v>
      </c>
      <c r="B765" s="7" t="s">
        <v>3910</v>
      </c>
      <c r="C765" s="7" t="s">
        <v>3911</v>
      </c>
      <c r="D765" s="7" t="s">
        <v>3912</v>
      </c>
      <c r="E765" s="7" t="s">
        <v>33</v>
      </c>
      <c r="F765" s="7" t="s">
        <v>34</v>
      </c>
      <c r="G765" s="7" t="s">
        <v>35</v>
      </c>
      <c r="J765" s="7" t="s">
        <v>36</v>
      </c>
      <c r="K765" s="7" t="s">
        <v>2248</v>
      </c>
      <c r="L765" s="7" t="s">
        <v>746</v>
      </c>
      <c r="M765" s="7" t="s">
        <v>747</v>
      </c>
      <c r="N765" s="7" t="s">
        <v>33</v>
      </c>
      <c r="O765" s="7">
        <v>0</v>
      </c>
      <c r="Y765" s="7" t="s">
        <v>3913</v>
      </c>
      <c r="Z765" s="7" t="s">
        <v>266</v>
      </c>
      <c r="AA765" s="7" t="s">
        <v>3914</v>
      </c>
      <c r="AB765" s="7" t="s">
        <v>45</v>
      </c>
      <c r="AD765" s="11"/>
      <c r="AE765" s="11"/>
      <c r="AF765" s="11"/>
      <c r="AG765" s="10">
        <f t="shared" si="11"/>
        <v>43332</v>
      </c>
    </row>
    <row r="766" s="7" customFormat="1" spans="1:33">
      <c r="A766" s="7" t="s">
        <v>3915</v>
      </c>
      <c r="B766" s="7" t="s">
        <v>3915</v>
      </c>
      <c r="C766" s="7" t="s">
        <v>3916</v>
      </c>
      <c r="D766" s="7" t="s">
        <v>3917</v>
      </c>
      <c r="E766" s="7" t="s">
        <v>49</v>
      </c>
      <c r="F766" s="7" t="s">
        <v>34</v>
      </c>
      <c r="G766" s="7" t="s">
        <v>35</v>
      </c>
      <c r="J766" s="7" t="s">
        <v>50</v>
      </c>
      <c r="K766" s="7" t="s">
        <v>2413</v>
      </c>
      <c r="L766" s="7" t="s">
        <v>143</v>
      </c>
      <c r="M766" s="7" t="s">
        <v>144</v>
      </c>
      <c r="N766" s="7" t="s">
        <v>49</v>
      </c>
      <c r="O766" s="7">
        <v>1</v>
      </c>
      <c r="P766" s="7" t="s">
        <v>41</v>
      </c>
      <c r="Q766" s="7">
        <v>79.99</v>
      </c>
      <c r="Y766" s="7" t="s">
        <v>3918</v>
      </c>
      <c r="Z766" s="7" t="s">
        <v>3919</v>
      </c>
      <c r="AA766" s="7">
        <v>7105</v>
      </c>
      <c r="AB766" s="7" t="s">
        <v>45</v>
      </c>
      <c r="AD766" s="11"/>
      <c r="AE766" s="11"/>
      <c r="AF766" s="11"/>
      <c r="AG766" s="10">
        <f t="shared" si="11"/>
        <v>43333</v>
      </c>
    </row>
    <row r="767" s="7" customFormat="1" spans="1:33">
      <c r="A767" s="7" t="s">
        <v>3920</v>
      </c>
      <c r="B767" s="7" t="s">
        <v>3920</v>
      </c>
      <c r="C767" s="7" t="s">
        <v>3921</v>
      </c>
      <c r="D767" s="7" t="s">
        <v>3922</v>
      </c>
      <c r="E767" s="7" t="s">
        <v>49</v>
      </c>
      <c r="F767" s="7" t="s">
        <v>34</v>
      </c>
      <c r="G767" s="7" t="s">
        <v>35</v>
      </c>
      <c r="J767" s="7" t="s">
        <v>50</v>
      </c>
      <c r="K767" s="7" t="s">
        <v>3923</v>
      </c>
      <c r="L767" s="7" t="s">
        <v>2929</v>
      </c>
      <c r="M767" s="7" t="s">
        <v>2930</v>
      </c>
      <c r="N767" s="7" t="s">
        <v>49</v>
      </c>
      <c r="O767" s="7">
        <v>1</v>
      </c>
      <c r="P767" s="7" t="s">
        <v>41</v>
      </c>
      <c r="Q767" s="7">
        <v>99.99</v>
      </c>
      <c r="Y767" s="7" t="s">
        <v>3924</v>
      </c>
      <c r="Z767" s="7" t="s">
        <v>1381</v>
      </c>
      <c r="AA767" s="7" t="s">
        <v>3925</v>
      </c>
      <c r="AB767" s="7" t="s">
        <v>45</v>
      </c>
      <c r="AD767" s="11"/>
      <c r="AE767" s="11"/>
      <c r="AF767" s="11"/>
      <c r="AG767" s="10">
        <f t="shared" si="11"/>
        <v>43333</v>
      </c>
    </row>
    <row r="768" s="7" customFormat="1" spans="1:33">
      <c r="A768" s="7" t="s">
        <v>3926</v>
      </c>
      <c r="B768" s="7" t="s">
        <v>3926</v>
      </c>
      <c r="C768" s="7" t="s">
        <v>3927</v>
      </c>
      <c r="D768" s="7" t="s">
        <v>3928</v>
      </c>
      <c r="E768" s="7" t="s">
        <v>49</v>
      </c>
      <c r="F768" s="7" t="s">
        <v>34</v>
      </c>
      <c r="G768" s="7" t="s">
        <v>35</v>
      </c>
      <c r="J768" s="7" t="s">
        <v>50</v>
      </c>
      <c r="K768" s="7" t="s">
        <v>2650</v>
      </c>
      <c r="L768" s="7" t="s">
        <v>277</v>
      </c>
      <c r="M768" s="7" t="s">
        <v>278</v>
      </c>
      <c r="N768" s="7" t="s">
        <v>49</v>
      </c>
      <c r="O768" s="7">
        <v>1</v>
      </c>
      <c r="P768" s="7" t="s">
        <v>41</v>
      </c>
      <c r="Q768" s="7">
        <v>91.99</v>
      </c>
      <c r="Y768" s="7" t="s">
        <v>265</v>
      </c>
      <c r="Z768" s="7" t="s">
        <v>266</v>
      </c>
      <c r="AA768" s="7" t="s">
        <v>3929</v>
      </c>
      <c r="AB768" s="7" t="s">
        <v>45</v>
      </c>
      <c r="AD768" s="11"/>
      <c r="AE768" s="11"/>
      <c r="AF768" s="11"/>
      <c r="AG768" s="10">
        <f t="shared" si="11"/>
        <v>43333</v>
      </c>
    </row>
    <row r="769" s="7" customFormat="1" spans="1:33">
      <c r="A769" s="7" t="s">
        <v>3930</v>
      </c>
      <c r="B769" s="7" t="s">
        <v>3930</v>
      </c>
      <c r="C769" s="7" t="s">
        <v>3931</v>
      </c>
      <c r="D769" s="7" t="s">
        <v>3932</v>
      </c>
      <c r="E769" s="7" t="s">
        <v>49</v>
      </c>
      <c r="F769" s="7" t="s">
        <v>34</v>
      </c>
      <c r="G769" s="7" t="s">
        <v>35</v>
      </c>
      <c r="J769" s="7" t="s">
        <v>50</v>
      </c>
      <c r="K769" s="7" t="s">
        <v>2413</v>
      </c>
      <c r="L769" s="7" t="s">
        <v>143</v>
      </c>
      <c r="M769" s="7" t="s">
        <v>144</v>
      </c>
      <c r="N769" s="7" t="s">
        <v>49</v>
      </c>
      <c r="O769" s="7">
        <v>1</v>
      </c>
      <c r="P769" s="7" t="s">
        <v>41</v>
      </c>
      <c r="Q769" s="7">
        <v>79.99</v>
      </c>
      <c r="Y769" s="7" t="s">
        <v>3933</v>
      </c>
      <c r="Z769" s="7" t="s">
        <v>266</v>
      </c>
      <c r="AA769" s="7" t="s">
        <v>3934</v>
      </c>
      <c r="AB769" s="7" t="s">
        <v>45</v>
      </c>
      <c r="AD769" s="11"/>
      <c r="AE769" s="11"/>
      <c r="AF769" s="11"/>
      <c r="AG769" s="10">
        <f t="shared" si="11"/>
        <v>43333</v>
      </c>
    </row>
    <row r="770" s="7" customFormat="1" spans="1:33">
      <c r="A770" s="7" t="s">
        <v>3930</v>
      </c>
      <c r="B770" s="7" t="s">
        <v>3930</v>
      </c>
      <c r="C770" s="7" t="s">
        <v>3931</v>
      </c>
      <c r="D770" s="7" t="s">
        <v>3932</v>
      </c>
      <c r="E770" s="7" t="s">
        <v>49</v>
      </c>
      <c r="F770" s="7" t="s">
        <v>34</v>
      </c>
      <c r="G770" s="7" t="s">
        <v>35</v>
      </c>
      <c r="J770" s="7" t="s">
        <v>50</v>
      </c>
      <c r="K770" s="7" t="s">
        <v>1377</v>
      </c>
      <c r="L770" s="7" t="s">
        <v>1378</v>
      </c>
      <c r="M770" s="7" t="s">
        <v>1379</v>
      </c>
      <c r="N770" s="7" t="s">
        <v>49</v>
      </c>
      <c r="O770" s="7">
        <v>1</v>
      </c>
      <c r="P770" s="7" t="s">
        <v>41</v>
      </c>
      <c r="Q770" s="7">
        <v>85.99</v>
      </c>
      <c r="Y770" s="7" t="s">
        <v>3933</v>
      </c>
      <c r="Z770" s="7" t="s">
        <v>266</v>
      </c>
      <c r="AA770" s="7" t="s">
        <v>3934</v>
      </c>
      <c r="AB770" s="7" t="s">
        <v>45</v>
      </c>
      <c r="AD770" s="11"/>
      <c r="AE770" s="11"/>
      <c r="AF770" s="11"/>
      <c r="AG770" s="10">
        <f t="shared" ref="AG770:AG833" si="12">DATEVALUE(LEFT(C770,10))</f>
        <v>43333</v>
      </c>
    </row>
    <row r="771" s="7" customFormat="1" spans="1:33">
      <c r="A771" s="7" t="s">
        <v>3935</v>
      </c>
      <c r="B771" s="7" t="s">
        <v>3935</v>
      </c>
      <c r="C771" s="7" t="s">
        <v>3936</v>
      </c>
      <c r="D771" s="7" t="s">
        <v>3937</v>
      </c>
      <c r="E771" s="7" t="s">
        <v>49</v>
      </c>
      <c r="F771" s="7" t="s">
        <v>34</v>
      </c>
      <c r="G771" s="7" t="s">
        <v>35</v>
      </c>
      <c r="J771" s="7" t="s">
        <v>50</v>
      </c>
      <c r="K771" s="7" t="s">
        <v>753</v>
      </c>
      <c r="L771" s="7" t="s">
        <v>754</v>
      </c>
      <c r="M771" s="7" t="s">
        <v>755</v>
      </c>
      <c r="N771" s="7" t="s">
        <v>49</v>
      </c>
      <c r="O771" s="7">
        <v>1</v>
      </c>
      <c r="P771" s="7" t="s">
        <v>41</v>
      </c>
      <c r="Q771" s="7">
        <v>89.6</v>
      </c>
      <c r="Y771" s="7" t="s">
        <v>3938</v>
      </c>
      <c r="Z771" s="7" t="s">
        <v>178</v>
      </c>
      <c r="AA771" s="7" t="s">
        <v>3939</v>
      </c>
      <c r="AB771" s="7" t="s">
        <v>45</v>
      </c>
      <c r="AD771" s="11"/>
      <c r="AE771" s="11"/>
      <c r="AF771" s="11"/>
      <c r="AG771" s="10">
        <f t="shared" si="12"/>
        <v>43333</v>
      </c>
    </row>
    <row r="772" s="7" customFormat="1" spans="1:33">
      <c r="A772" s="7" t="s">
        <v>3940</v>
      </c>
      <c r="B772" s="7" t="s">
        <v>3940</v>
      </c>
      <c r="C772" s="7" t="s">
        <v>3941</v>
      </c>
      <c r="D772" s="7" t="s">
        <v>3942</v>
      </c>
      <c r="E772" s="7" t="s">
        <v>33</v>
      </c>
      <c r="F772" s="7" t="s">
        <v>34</v>
      </c>
      <c r="G772" s="7" t="s">
        <v>35</v>
      </c>
      <c r="J772" s="7" t="s">
        <v>50</v>
      </c>
      <c r="K772" s="7" t="s">
        <v>197</v>
      </c>
      <c r="L772" s="7" t="s">
        <v>977</v>
      </c>
      <c r="M772" s="7" t="s">
        <v>199</v>
      </c>
      <c r="N772" s="7" t="s">
        <v>33</v>
      </c>
      <c r="O772" s="7">
        <v>0</v>
      </c>
      <c r="Y772" s="7" t="s">
        <v>163</v>
      </c>
      <c r="Z772" s="7" t="s">
        <v>64</v>
      </c>
      <c r="AA772" s="7" t="s">
        <v>3943</v>
      </c>
      <c r="AB772" s="7" t="s">
        <v>45</v>
      </c>
      <c r="AD772" s="11"/>
      <c r="AE772" s="11"/>
      <c r="AF772" s="11"/>
      <c r="AG772" s="10">
        <f t="shared" si="12"/>
        <v>43333</v>
      </c>
    </row>
    <row r="773" s="7" customFormat="1" spans="1:33">
      <c r="A773" s="7" t="s">
        <v>3944</v>
      </c>
      <c r="B773" s="7" t="s">
        <v>3944</v>
      </c>
      <c r="C773" s="7" t="s">
        <v>3945</v>
      </c>
      <c r="D773" s="7" t="s">
        <v>3946</v>
      </c>
      <c r="E773" s="7" t="s">
        <v>49</v>
      </c>
      <c r="F773" s="7" t="s">
        <v>34</v>
      </c>
      <c r="G773" s="7" t="s">
        <v>35</v>
      </c>
      <c r="J773" s="7" t="s">
        <v>50</v>
      </c>
      <c r="K773" s="7" t="s">
        <v>2248</v>
      </c>
      <c r="L773" s="7" t="s">
        <v>746</v>
      </c>
      <c r="M773" s="7" t="s">
        <v>747</v>
      </c>
      <c r="N773" s="7" t="s">
        <v>49</v>
      </c>
      <c r="O773" s="7">
        <v>1</v>
      </c>
      <c r="P773" s="7" t="s">
        <v>41</v>
      </c>
      <c r="Q773" s="7">
        <v>89.99</v>
      </c>
      <c r="Y773" s="7" t="s">
        <v>2989</v>
      </c>
      <c r="Z773" s="7" t="s">
        <v>184</v>
      </c>
      <c r="AA773" s="7" t="s">
        <v>3947</v>
      </c>
      <c r="AB773" s="7" t="s">
        <v>45</v>
      </c>
      <c r="AD773" s="8"/>
      <c r="AE773" s="8"/>
      <c r="AF773" s="8"/>
      <c r="AG773" s="10">
        <f t="shared" si="12"/>
        <v>43333</v>
      </c>
    </row>
    <row r="774" s="7" customFormat="1" spans="1:33">
      <c r="A774" s="7" t="s">
        <v>3948</v>
      </c>
      <c r="B774" s="7" t="s">
        <v>3948</v>
      </c>
      <c r="C774" s="7" t="s">
        <v>3949</v>
      </c>
      <c r="D774" s="7" t="s">
        <v>3950</v>
      </c>
      <c r="E774" s="7" t="s">
        <v>33</v>
      </c>
      <c r="F774" s="7" t="s">
        <v>34</v>
      </c>
      <c r="G774" s="7" t="s">
        <v>35</v>
      </c>
      <c r="J774" s="7" t="s">
        <v>36</v>
      </c>
      <c r="K774" s="7" t="s">
        <v>753</v>
      </c>
      <c r="L774" s="7" t="s">
        <v>754</v>
      </c>
      <c r="M774" s="7" t="s">
        <v>755</v>
      </c>
      <c r="N774" s="7" t="s">
        <v>33</v>
      </c>
      <c r="O774" s="7">
        <v>0</v>
      </c>
      <c r="Y774" s="7" t="s">
        <v>3276</v>
      </c>
      <c r="Z774" s="7" t="s">
        <v>346</v>
      </c>
      <c r="AA774" s="7" t="s">
        <v>3951</v>
      </c>
      <c r="AB774" s="7" t="s">
        <v>45</v>
      </c>
      <c r="AD774" s="11"/>
      <c r="AE774" s="11"/>
      <c r="AF774" s="11"/>
      <c r="AG774" s="10">
        <f t="shared" si="12"/>
        <v>43333</v>
      </c>
    </row>
    <row r="775" s="7" customFormat="1" spans="1:33">
      <c r="A775" s="7" t="s">
        <v>3952</v>
      </c>
      <c r="B775" s="7" t="s">
        <v>3952</v>
      </c>
      <c r="C775" s="7" t="s">
        <v>3953</v>
      </c>
      <c r="D775" s="7" t="s">
        <v>3954</v>
      </c>
      <c r="E775" s="7" t="s">
        <v>49</v>
      </c>
      <c r="F775" s="7" t="s">
        <v>34</v>
      </c>
      <c r="G775" s="7" t="s">
        <v>35</v>
      </c>
      <c r="J775" s="7" t="s">
        <v>50</v>
      </c>
      <c r="K775" s="7" t="s">
        <v>3955</v>
      </c>
      <c r="L775" s="7" t="s">
        <v>3956</v>
      </c>
      <c r="M775" s="7" t="s">
        <v>3957</v>
      </c>
      <c r="N775" s="7" t="s">
        <v>49</v>
      </c>
      <c r="O775" s="7">
        <v>1</v>
      </c>
      <c r="P775" s="7" t="s">
        <v>41</v>
      </c>
      <c r="Q775" s="7">
        <v>34.99</v>
      </c>
      <c r="Y775" s="7" t="s">
        <v>3958</v>
      </c>
      <c r="Z775" s="7" t="s">
        <v>98</v>
      </c>
      <c r="AA775" s="7" t="s">
        <v>3959</v>
      </c>
      <c r="AB775" s="7" t="s">
        <v>45</v>
      </c>
      <c r="AD775" s="11"/>
      <c r="AE775" s="11"/>
      <c r="AF775" s="11"/>
      <c r="AG775" s="10">
        <f t="shared" si="12"/>
        <v>43333</v>
      </c>
    </row>
    <row r="776" s="7" customFormat="1" spans="1:33">
      <c r="A776" s="7" t="s">
        <v>3960</v>
      </c>
      <c r="B776" s="7" t="s">
        <v>3960</v>
      </c>
      <c r="C776" s="7" t="s">
        <v>3961</v>
      </c>
      <c r="D776" s="7" t="s">
        <v>3962</v>
      </c>
      <c r="E776" s="7" t="s">
        <v>49</v>
      </c>
      <c r="F776" s="7" t="s">
        <v>34</v>
      </c>
      <c r="G776" s="7" t="s">
        <v>35</v>
      </c>
      <c r="J776" s="7" t="s">
        <v>50</v>
      </c>
      <c r="K776" s="7" t="s">
        <v>2650</v>
      </c>
      <c r="L776" s="7" t="s">
        <v>277</v>
      </c>
      <c r="M776" s="7" t="s">
        <v>278</v>
      </c>
      <c r="N776" s="7" t="s">
        <v>49</v>
      </c>
      <c r="O776" s="7">
        <v>1</v>
      </c>
      <c r="P776" s="7" t="s">
        <v>41</v>
      </c>
      <c r="Q776" s="7">
        <v>91.99</v>
      </c>
      <c r="Y776" s="7" t="s">
        <v>3963</v>
      </c>
      <c r="Z776" s="7" t="s">
        <v>178</v>
      </c>
      <c r="AA776" s="7" t="s">
        <v>3964</v>
      </c>
      <c r="AB776" s="7" t="s">
        <v>45</v>
      </c>
      <c r="AD776" s="11"/>
      <c r="AE776" s="11"/>
      <c r="AF776" s="11"/>
      <c r="AG776" s="10">
        <f t="shared" si="12"/>
        <v>43333</v>
      </c>
    </row>
    <row r="777" s="7" customFormat="1" spans="1:33">
      <c r="A777" s="7" t="s">
        <v>3965</v>
      </c>
      <c r="B777" s="7" t="s">
        <v>3965</v>
      </c>
      <c r="C777" s="7" t="s">
        <v>3966</v>
      </c>
      <c r="D777" s="7" t="s">
        <v>3967</v>
      </c>
      <c r="E777" s="7" t="s">
        <v>49</v>
      </c>
      <c r="F777" s="7" t="s">
        <v>34</v>
      </c>
      <c r="G777" s="7" t="s">
        <v>35</v>
      </c>
      <c r="J777" s="7" t="s">
        <v>50</v>
      </c>
      <c r="K777" s="7" t="s">
        <v>1099</v>
      </c>
      <c r="L777" s="7" t="s">
        <v>1100</v>
      </c>
      <c r="M777" s="7" t="s">
        <v>1101</v>
      </c>
      <c r="N777" s="7" t="s">
        <v>49</v>
      </c>
      <c r="O777" s="7">
        <v>1</v>
      </c>
      <c r="P777" s="7" t="s">
        <v>41</v>
      </c>
      <c r="Q777" s="7">
        <v>79.99</v>
      </c>
      <c r="Y777" s="7" t="s">
        <v>3968</v>
      </c>
      <c r="Z777" s="7" t="s">
        <v>137</v>
      </c>
      <c r="AA777" s="7" t="s">
        <v>3969</v>
      </c>
      <c r="AB777" s="7" t="s">
        <v>45</v>
      </c>
      <c r="AD777" s="11"/>
      <c r="AE777" s="11"/>
      <c r="AF777" s="11"/>
      <c r="AG777" s="10">
        <f t="shared" si="12"/>
        <v>43333</v>
      </c>
    </row>
    <row r="778" s="7" customFormat="1" spans="1:33">
      <c r="A778" s="7" t="s">
        <v>3970</v>
      </c>
      <c r="B778" s="7" t="s">
        <v>3970</v>
      </c>
      <c r="C778" s="7" t="s">
        <v>3971</v>
      </c>
      <c r="D778" s="7" t="s">
        <v>3972</v>
      </c>
      <c r="E778" s="7" t="s">
        <v>49</v>
      </c>
      <c r="F778" s="7" t="s">
        <v>34</v>
      </c>
      <c r="G778" s="7" t="s">
        <v>35</v>
      </c>
      <c r="J778" s="7" t="s">
        <v>50</v>
      </c>
      <c r="K778" s="7" t="s">
        <v>289</v>
      </c>
      <c r="L778" s="7" t="s">
        <v>290</v>
      </c>
      <c r="M778" s="7" t="s">
        <v>291</v>
      </c>
      <c r="N778" s="7" t="s">
        <v>49</v>
      </c>
      <c r="O778" s="7">
        <v>1</v>
      </c>
      <c r="P778" s="7" t="s">
        <v>41</v>
      </c>
      <c r="Q778" s="7">
        <v>89.99</v>
      </c>
      <c r="Y778" s="7" t="s">
        <v>3973</v>
      </c>
      <c r="Z778" s="7" t="s">
        <v>92</v>
      </c>
      <c r="AA778" s="7" t="s">
        <v>3974</v>
      </c>
      <c r="AB778" s="7" t="s">
        <v>45</v>
      </c>
      <c r="AD778" s="11"/>
      <c r="AE778" s="11"/>
      <c r="AF778" s="11"/>
      <c r="AG778" s="10">
        <f t="shared" si="12"/>
        <v>43333</v>
      </c>
    </row>
    <row r="779" s="7" customFormat="1" spans="1:33">
      <c r="A779" s="7" t="s">
        <v>3975</v>
      </c>
      <c r="B779" s="7" t="s">
        <v>3975</v>
      </c>
      <c r="C779" s="7" t="s">
        <v>3976</v>
      </c>
      <c r="D779" s="7" t="s">
        <v>3977</v>
      </c>
      <c r="E779" s="7" t="s">
        <v>49</v>
      </c>
      <c r="F779" s="7" t="s">
        <v>34</v>
      </c>
      <c r="G779" s="7" t="s">
        <v>35</v>
      </c>
      <c r="J779" s="7" t="s">
        <v>50</v>
      </c>
      <c r="K779" s="7" t="s">
        <v>60</v>
      </c>
      <c r="L779" s="7" t="s">
        <v>61</v>
      </c>
      <c r="M779" s="7" t="s">
        <v>62</v>
      </c>
      <c r="N779" s="7" t="s">
        <v>49</v>
      </c>
      <c r="O779" s="7">
        <v>1</v>
      </c>
      <c r="P779" s="7" t="s">
        <v>41</v>
      </c>
      <c r="Q779" s="7">
        <v>21.99</v>
      </c>
      <c r="Y779" s="7" t="s">
        <v>3978</v>
      </c>
      <c r="Z779" s="7" t="s">
        <v>714</v>
      </c>
      <c r="AA779" s="7" t="s">
        <v>3979</v>
      </c>
      <c r="AB779" s="7" t="s">
        <v>45</v>
      </c>
      <c r="AD779" s="11"/>
      <c r="AE779" s="11"/>
      <c r="AF779" s="11"/>
      <c r="AG779" s="10">
        <f t="shared" si="12"/>
        <v>43333</v>
      </c>
    </row>
    <row r="780" s="7" customFormat="1" spans="1:33">
      <c r="A780" s="7" t="s">
        <v>3980</v>
      </c>
      <c r="B780" s="7" t="s">
        <v>3980</v>
      </c>
      <c r="C780" s="7" t="s">
        <v>3981</v>
      </c>
      <c r="D780" s="7" t="s">
        <v>3982</v>
      </c>
      <c r="E780" s="7" t="s">
        <v>49</v>
      </c>
      <c r="F780" s="7" t="s">
        <v>34</v>
      </c>
      <c r="G780" s="7" t="s">
        <v>35</v>
      </c>
      <c r="J780" s="7" t="s">
        <v>36</v>
      </c>
      <c r="K780" s="7" t="s">
        <v>2248</v>
      </c>
      <c r="L780" s="7" t="s">
        <v>746</v>
      </c>
      <c r="M780" s="7" t="s">
        <v>747</v>
      </c>
      <c r="N780" s="7" t="s">
        <v>49</v>
      </c>
      <c r="O780" s="7">
        <v>1</v>
      </c>
      <c r="P780" s="7" t="s">
        <v>41</v>
      </c>
      <c r="Q780" s="7">
        <v>89.99</v>
      </c>
      <c r="S780" s="7">
        <v>6.73</v>
      </c>
      <c r="X780" s="7">
        <v>6.73</v>
      </c>
      <c r="Y780" s="7" t="s">
        <v>3983</v>
      </c>
      <c r="Z780" s="7" t="s">
        <v>109</v>
      </c>
      <c r="AA780" s="7" t="s">
        <v>3984</v>
      </c>
      <c r="AB780" s="7" t="s">
        <v>45</v>
      </c>
      <c r="AC780" s="7" t="s">
        <v>549</v>
      </c>
      <c r="AD780" s="11"/>
      <c r="AE780" s="11"/>
      <c r="AF780" s="11"/>
      <c r="AG780" s="10">
        <f t="shared" si="12"/>
        <v>43333</v>
      </c>
    </row>
    <row r="781" s="7" customFormat="1" spans="1:33">
      <c r="A781" s="7" t="s">
        <v>3985</v>
      </c>
      <c r="B781" s="7" t="s">
        <v>3985</v>
      </c>
      <c r="C781" s="7" t="s">
        <v>3986</v>
      </c>
      <c r="D781" s="7" t="s">
        <v>3987</v>
      </c>
      <c r="E781" s="7" t="s">
        <v>49</v>
      </c>
      <c r="F781" s="7" t="s">
        <v>34</v>
      </c>
      <c r="G781" s="7" t="s">
        <v>35</v>
      </c>
      <c r="J781" s="7" t="s">
        <v>326</v>
      </c>
      <c r="K781" s="7" t="s">
        <v>1251</v>
      </c>
      <c r="L781" s="7" t="s">
        <v>1252</v>
      </c>
      <c r="M781" s="7" t="s">
        <v>1253</v>
      </c>
      <c r="N781" s="7" t="s">
        <v>49</v>
      </c>
      <c r="O781" s="7">
        <v>1</v>
      </c>
      <c r="P781" s="7" t="s">
        <v>41</v>
      </c>
      <c r="Q781" s="7">
        <v>99.99</v>
      </c>
      <c r="S781" s="7">
        <v>7.99</v>
      </c>
      <c r="Y781" s="7" t="s">
        <v>897</v>
      </c>
      <c r="Z781" s="7" t="s">
        <v>266</v>
      </c>
      <c r="AA781" s="7" t="s">
        <v>3988</v>
      </c>
      <c r="AB781" s="7" t="s">
        <v>45</v>
      </c>
      <c r="AD781" s="11"/>
      <c r="AE781" s="11"/>
      <c r="AF781" s="11"/>
      <c r="AG781" s="10">
        <f t="shared" si="12"/>
        <v>43333</v>
      </c>
    </row>
    <row r="782" s="7" customFormat="1" spans="1:33">
      <c r="A782" s="7" t="s">
        <v>3989</v>
      </c>
      <c r="B782" s="7" t="s">
        <v>3989</v>
      </c>
      <c r="C782" s="7" t="s">
        <v>3990</v>
      </c>
      <c r="D782" s="7" t="s">
        <v>3991</v>
      </c>
      <c r="E782" s="7" t="s">
        <v>49</v>
      </c>
      <c r="F782" s="7" t="s">
        <v>34</v>
      </c>
      <c r="G782" s="7" t="s">
        <v>35</v>
      </c>
      <c r="J782" s="7" t="s">
        <v>50</v>
      </c>
      <c r="K782" s="7" t="s">
        <v>2363</v>
      </c>
      <c r="L782" s="7" t="s">
        <v>89</v>
      </c>
      <c r="M782" s="7" t="s">
        <v>90</v>
      </c>
      <c r="N782" s="7" t="s">
        <v>49</v>
      </c>
      <c r="O782" s="7">
        <v>1</v>
      </c>
      <c r="P782" s="7" t="s">
        <v>41</v>
      </c>
      <c r="Q782" s="7">
        <v>89.99</v>
      </c>
      <c r="Y782" s="7" t="s">
        <v>3992</v>
      </c>
      <c r="Z782" s="7" t="s">
        <v>413</v>
      </c>
      <c r="AA782" s="7" t="s">
        <v>3993</v>
      </c>
      <c r="AB782" s="7" t="s">
        <v>45</v>
      </c>
      <c r="AD782" s="11"/>
      <c r="AE782" s="11"/>
      <c r="AF782" s="11"/>
      <c r="AG782" s="10">
        <f t="shared" si="12"/>
        <v>43333</v>
      </c>
    </row>
    <row r="783" s="7" customFormat="1" spans="1:33">
      <c r="A783" s="7" t="s">
        <v>3994</v>
      </c>
      <c r="B783" s="7" t="s">
        <v>3994</v>
      </c>
      <c r="C783" s="7" t="s">
        <v>3995</v>
      </c>
      <c r="D783" s="7" t="s">
        <v>3996</v>
      </c>
      <c r="E783" s="7" t="s">
        <v>49</v>
      </c>
      <c r="F783" s="7" t="s">
        <v>34</v>
      </c>
      <c r="G783" s="7" t="s">
        <v>35</v>
      </c>
      <c r="J783" s="7" t="s">
        <v>151</v>
      </c>
      <c r="K783" s="7" t="s">
        <v>208</v>
      </c>
      <c r="L783" s="7" t="s">
        <v>209</v>
      </c>
      <c r="M783" s="7" t="s">
        <v>210</v>
      </c>
      <c r="N783" s="7" t="s">
        <v>49</v>
      </c>
      <c r="O783" s="7">
        <v>1</v>
      </c>
      <c r="P783" s="7" t="s">
        <v>41</v>
      </c>
      <c r="Q783" s="7">
        <v>89.99</v>
      </c>
      <c r="S783" s="7">
        <v>7.99</v>
      </c>
      <c r="X783" s="7">
        <v>7.99</v>
      </c>
      <c r="Y783" s="7" t="s">
        <v>897</v>
      </c>
      <c r="Z783" s="7" t="s">
        <v>266</v>
      </c>
      <c r="AA783" s="7" t="s">
        <v>3997</v>
      </c>
      <c r="AB783" s="7" t="s">
        <v>45</v>
      </c>
      <c r="AD783" s="11"/>
      <c r="AE783" s="11"/>
      <c r="AF783" s="11"/>
      <c r="AG783" s="10">
        <f t="shared" si="12"/>
        <v>43333</v>
      </c>
    </row>
    <row r="784" s="7" customFormat="1" spans="1:33">
      <c r="A784" s="7" t="s">
        <v>3998</v>
      </c>
      <c r="B784" s="7" t="s">
        <v>3998</v>
      </c>
      <c r="C784" s="7" t="s">
        <v>3999</v>
      </c>
      <c r="D784" s="7" t="s">
        <v>4000</v>
      </c>
      <c r="E784" s="7" t="s">
        <v>49</v>
      </c>
      <c r="F784" s="7" t="s">
        <v>34</v>
      </c>
      <c r="G784" s="7" t="s">
        <v>35</v>
      </c>
      <c r="J784" s="7" t="s">
        <v>50</v>
      </c>
      <c r="K784" s="7" t="s">
        <v>3489</v>
      </c>
      <c r="L784" s="7" t="s">
        <v>71</v>
      </c>
      <c r="M784" s="7" t="s">
        <v>72</v>
      </c>
      <c r="N784" s="7" t="s">
        <v>49</v>
      </c>
      <c r="O784" s="7">
        <v>1</v>
      </c>
      <c r="P784" s="7" t="s">
        <v>41</v>
      </c>
      <c r="Q784" s="7">
        <v>96.99</v>
      </c>
      <c r="Y784" s="7" t="s">
        <v>4001</v>
      </c>
      <c r="Z784" s="7" t="s">
        <v>83</v>
      </c>
      <c r="AA784" s="7" t="s">
        <v>4002</v>
      </c>
      <c r="AB784" s="7" t="s">
        <v>45</v>
      </c>
      <c r="AD784" s="11"/>
      <c r="AE784" s="11"/>
      <c r="AF784" s="11"/>
      <c r="AG784" s="10">
        <f t="shared" si="12"/>
        <v>43333</v>
      </c>
    </row>
    <row r="785" s="7" customFormat="1" spans="1:33">
      <c r="A785" s="7" t="s">
        <v>3998</v>
      </c>
      <c r="B785" s="7" t="s">
        <v>3998</v>
      </c>
      <c r="C785" s="7" t="s">
        <v>3999</v>
      </c>
      <c r="D785" s="7" t="s">
        <v>4000</v>
      </c>
      <c r="E785" s="7" t="s">
        <v>49</v>
      </c>
      <c r="F785" s="7" t="s">
        <v>34</v>
      </c>
      <c r="G785" s="7" t="s">
        <v>35</v>
      </c>
      <c r="J785" s="7" t="s">
        <v>50</v>
      </c>
      <c r="K785" s="7" t="s">
        <v>3227</v>
      </c>
      <c r="L785" s="7" t="s">
        <v>3228</v>
      </c>
      <c r="M785" s="7" t="s">
        <v>3229</v>
      </c>
      <c r="N785" s="7" t="s">
        <v>49</v>
      </c>
      <c r="O785" s="7">
        <v>1</v>
      </c>
      <c r="P785" s="7" t="s">
        <v>41</v>
      </c>
      <c r="Q785" s="7">
        <v>89.99</v>
      </c>
      <c r="W785" s="7">
        <v>30</v>
      </c>
      <c r="Y785" s="7" t="s">
        <v>4001</v>
      </c>
      <c r="Z785" s="7" t="s">
        <v>83</v>
      </c>
      <c r="AA785" s="7" t="s">
        <v>4002</v>
      </c>
      <c r="AB785" s="7" t="s">
        <v>45</v>
      </c>
      <c r="AC785" s="7" t="s">
        <v>4003</v>
      </c>
      <c r="AD785" s="11"/>
      <c r="AE785" s="11"/>
      <c r="AF785" s="11"/>
      <c r="AG785" s="10">
        <f t="shared" si="12"/>
        <v>43333</v>
      </c>
    </row>
    <row r="786" s="7" customFormat="1" spans="1:33">
      <c r="A786" s="7" t="s">
        <v>4004</v>
      </c>
      <c r="B786" s="7" t="s">
        <v>4004</v>
      </c>
      <c r="C786" s="7" t="s">
        <v>4005</v>
      </c>
      <c r="D786" s="7" t="s">
        <v>4006</v>
      </c>
      <c r="E786" s="7" t="s">
        <v>33</v>
      </c>
      <c r="F786" s="7" t="s">
        <v>34</v>
      </c>
      <c r="G786" s="7" t="s">
        <v>35</v>
      </c>
      <c r="J786" s="7" t="s">
        <v>50</v>
      </c>
      <c r="K786" s="7" t="s">
        <v>3449</v>
      </c>
      <c r="L786" s="7" t="s">
        <v>3450</v>
      </c>
      <c r="M786" s="7" t="s">
        <v>3451</v>
      </c>
      <c r="N786" s="7" t="s">
        <v>40</v>
      </c>
      <c r="O786" s="7">
        <v>1</v>
      </c>
      <c r="P786" s="7" t="s">
        <v>41</v>
      </c>
      <c r="Q786" s="7">
        <v>104.99</v>
      </c>
      <c r="Y786" s="7" t="s">
        <v>4007</v>
      </c>
      <c r="Z786" s="7" t="s">
        <v>98</v>
      </c>
      <c r="AA786" s="7" t="s">
        <v>4008</v>
      </c>
      <c r="AB786" s="7" t="s">
        <v>45</v>
      </c>
      <c r="AD786" s="11"/>
      <c r="AE786" s="11"/>
      <c r="AF786" s="11"/>
      <c r="AG786" s="10">
        <f t="shared" si="12"/>
        <v>43333</v>
      </c>
    </row>
    <row r="787" s="7" customFormat="1" spans="1:33">
      <c r="A787" s="7" t="s">
        <v>4009</v>
      </c>
      <c r="B787" s="7" t="s">
        <v>4009</v>
      </c>
      <c r="C787" s="7" t="s">
        <v>4010</v>
      </c>
      <c r="D787" s="7" t="s">
        <v>4011</v>
      </c>
      <c r="E787" s="7" t="s">
        <v>49</v>
      </c>
      <c r="F787" s="7" t="s">
        <v>34</v>
      </c>
      <c r="G787" s="7" t="s">
        <v>35</v>
      </c>
      <c r="J787" s="7" t="s">
        <v>326</v>
      </c>
      <c r="K787" s="7" t="s">
        <v>2440</v>
      </c>
      <c r="L787" s="7" t="s">
        <v>38</v>
      </c>
      <c r="M787" s="7" t="s">
        <v>39</v>
      </c>
      <c r="N787" s="7" t="s">
        <v>49</v>
      </c>
      <c r="O787" s="7">
        <v>1</v>
      </c>
      <c r="P787" s="7" t="s">
        <v>41</v>
      </c>
      <c r="Q787" s="7">
        <v>89.99</v>
      </c>
      <c r="S787" s="7">
        <v>18.28</v>
      </c>
      <c r="Y787" s="7" t="s">
        <v>2131</v>
      </c>
      <c r="Z787" s="7" t="s">
        <v>266</v>
      </c>
      <c r="AA787" s="7" t="s">
        <v>2132</v>
      </c>
      <c r="AB787" s="7" t="s">
        <v>45</v>
      </c>
      <c r="AD787" s="11"/>
      <c r="AE787" s="11"/>
      <c r="AF787" s="11"/>
      <c r="AG787" s="10">
        <f t="shared" si="12"/>
        <v>43333</v>
      </c>
    </row>
    <row r="788" s="7" customFormat="1" spans="1:33">
      <c r="A788" s="7" t="s">
        <v>4009</v>
      </c>
      <c r="B788" s="7" t="s">
        <v>4009</v>
      </c>
      <c r="C788" s="7" t="s">
        <v>4010</v>
      </c>
      <c r="D788" s="7" t="s">
        <v>4011</v>
      </c>
      <c r="E788" s="7" t="s">
        <v>49</v>
      </c>
      <c r="F788" s="7" t="s">
        <v>34</v>
      </c>
      <c r="G788" s="7" t="s">
        <v>35</v>
      </c>
      <c r="J788" s="7" t="s">
        <v>326</v>
      </c>
      <c r="K788" s="7" t="s">
        <v>2757</v>
      </c>
      <c r="L788" s="7" t="s">
        <v>2758</v>
      </c>
      <c r="M788" s="7" t="s">
        <v>2759</v>
      </c>
      <c r="N788" s="7" t="s">
        <v>49</v>
      </c>
      <c r="O788" s="7">
        <v>1</v>
      </c>
      <c r="P788" s="7" t="s">
        <v>41</v>
      </c>
      <c r="Q788" s="7">
        <v>99.6</v>
      </c>
      <c r="S788" s="7">
        <v>17.14</v>
      </c>
      <c r="Y788" s="7" t="s">
        <v>2131</v>
      </c>
      <c r="Z788" s="7" t="s">
        <v>266</v>
      </c>
      <c r="AA788" s="7" t="s">
        <v>2132</v>
      </c>
      <c r="AB788" s="7" t="s">
        <v>45</v>
      </c>
      <c r="AD788" s="11"/>
      <c r="AE788" s="11"/>
      <c r="AF788" s="11"/>
      <c r="AG788" s="10">
        <f t="shared" si="12"/>
        <v>43333</v>
      </c>
    </row>
    <row r="789" s="7" customFormat="1" spans="1:33">
      <c r="A789" s="7" t="s">
        <v>4012</v>
      </c>
      <c r="B789" s="7" t="s">
        <v>4012</v>
      </c>
      <c r="C789" s="7" t="s">
        <v>4013</v>
      </c>
      <c r="D789" s="7" t="s">
        <v>4014</v>
      </c>
      <c r="E789" s="7" t="s">
        <v>49</v>
      </c>
      <c r="F789" s="7" t="s">
        <v>34</v>
      </c>
      <c r="G789" s="7" t="s">
        <v>35</v>
      </c>
      <c r="J789" s="7" t="s">
        <v>50</v>
      </c>
      <c r="K789" s="7" t="s">
        <v>603</v>
      </c>
      <c r="L789" s="7" t="s">
        <v>604</v>
      </c>
      <c r="M789" s="7" t="s">
        <v>605</v>
      </c>
      <c r="N789" s="7" t="s">
        <v>49</v>
      </c>
      <c r="O789" s="7">
        <v>1</v>
      </c>
      <c r="P789" s="7" t="s">
        <v>41</v>
      </c>
      <c r="Q789" s="7">
        <v>99.99</v>
      </c>
      <c r="Y789" s="7" t="s">
        <v>4015</v>
      </c>
      <c r="Z789" s="7" t="s">
        <v>83</v>
      </c>
      <c r="AA789" s="7" t="s">
        <v>4016</v>
      </c>
      <c r="AB789" s="7" t="s">
        <v>45</v>
      </c>
      <c r="AD789" s="11"/>
      <c r="AE789" s="11"/>
      <c r="AF789" s="11"/>
      <c r="AG789" s="10">
        <f t="shared" si="12"/>
        <v>43333</v>
      </c>
    </row>
    <row r="790" s="7" customFormat="1" spans="1:33">
      <c r="A790" s="7" t="s">
        <v>4017</v>
      </c>
      <c r="B790" s="7" t="s">
        <v>4017</v>
      </c>
      <c r="C790" s="7" t="s">
        <v>4018</v>
      </c>
      <c r="D790" s="7" t="s">
        <v>4019</v>
      </c>
      <c r="E790" s="7" t="s">
        <v>49</v>
      </c>
      <c r="F790" s="7" t="s">
        <v>34</v>
      </c>
      <c r="G790" s="7" t="s">
        <v>35</v>
      </c>
      <c r="J790" s="7" t="s">
        <v>50</v>
      </c>
      <c r="K790" s="7" t="s">
        <v>60</v>
      </c>
      <c r="L790" s="7" t="s">
        <v>61</v>
      </c>
      <c r="M790" s="7" t="s">
        <v>62</v>
      </c>
      <c r="N790" s="7" t="s">
        <v>49</v>
      </c>
      <c r="O790" s="7">
        <v>1</v>
      </c>
      <c r="P790" s="7" t="s">
        <v>41</v>
      </c>
      <c r="Q790" s="7">
        <v>21.99</v>
      </c>
      <c r="Y790" s="7" t="s">
        <v>4020</v>
      </c>
      <c r="Z790" s="7" t="s">
        <v>3625</v>
      </c>
      <c r="AA790" s="7">
        <v>11357</v>
      </c>
      <c r="AB790" s="7" t="s">
        <v>45</v>
      </c>
      <c r="AD790" s="11"/>
      <c r="AE790" s="11"/>
      <c r="AF790" s="11"/>
      <c r="AG790" s="10">
        <f t="shared" si="12"/>
        <v>43333</v>
      </c>
    </row>
    <row r="791" s="7" customFormat="1" spans="1:33">
      <c r="A791" s="7" t="s">
        <v>4021</v>
      </c>
      <c r="B791" s="7" t="s">
        <v>4021</v>
      </c>
      <c r="C791" s="7" t="s">
        <v>4022</v>
      </c>
      <c r="D791" s="7" t="s">
        <v>4023</v>
      </c>
      <c r="E791" s="7" t="s">
        <v>49</v>
      </c>
      <c r="F791" s="7" t="s">
        <v>34</v>
      </c>
      <c r="G791" s="7" t="s">
        <v>35</v>
      </c>
      <c r="J791" s="7" t="s">
        <v>50</v>
      </c>
      <c r="K791" s="7" t="s">
        <v>563</v>
      </c>
      <c r="L791" s="7" t="s">
        <v>564</v>
      </c>
      <c r="M791" s="7" t="s">
        <v>565</v>
      </c>
      <c r="N791" s="7" t="s">
        <v>49</v>
      </c>
      <c r="O791" s="7">
        <v>1</v>
      </c>
      <c r="P791" s="7" t="s">
        <v>41</v>
      </c>
      <c r="Q791" s="7">
        <v>12.99</v>
      </c>
      <c r="Y791" s="7" t="s">
        <v>4024</v>
      </c>
      <c r="Z791" s="7" t="s">
        <v>55</v>
      </c>
      <c r="AA791" s="7" t="s">
        <v>4025</v>
      </c>
      <c r="AB791" s="7" t="s">
        <v>45</v>
      </c>
      <c r="AD791" s="11"/>
      <c r="AE791" s="11"/>
      <c r="AF791" s="11"/>
      <c r="AG791" s="10">
        <f t="shared" si="12"/>
        <v>43333</v>
      </c>
    </row>
    <row r="792" s="7" customFormat="1" spans="1:33">
      <c r="A792" s="7" t="s">
        <v>4026</v>
      </c>
      <c r="B792" s="7" t="s">
        <v>4026</v>
      </c>
      <c r="C792" s="7" t="s">
        <v>4027</v>
      </c>
      <c r="D792" s="7" t="s">
        <v>4028</v>
      </c>
      <c r="E792" s="7" t="s">
        <v>49</v>
      </c>
      <c r="F792" s="7" t="s">
        <v>34</v>
      </c>
      <c r="G792" s="7" t="s">
        <v>35</v>
      </c>
      <c r="J792" s="7" t="s">
        <v>50</v>
      </c>
      <c r="K792" s="7" t="s">
        <v>1436</v>
      </c>
      <c r="L792" s="7" t="s">
        <v>1437</v>
      </c>
      <c r="M792" s="7" t="s">
        <v>1438</v>
      </c>
      <c r="N792" s="7" t="s">
        <v>49</v>
      </c>
      <c r="O792" s="7">
        <v>1</v>
      </c>
      <c r="P792" s="7" t="s">
        <v>41</v>
      </c>
      <c r="Q792" s="7">
        <v>89.99</v>
      </c>
      <c r="Y792" s="7" t="s">
        <v>4029</v>
      </c>
      <c r="Z792" s="7" t="s">
        <v>361</v>
      </c>
      <c r="AA792" s="7" t="s">
        <v>4030</v>
      </c>
      <c r="AB792" s="7" t="s">
        <v>45</v>
      </c>
      <c r="AD792" s="11"/>
      <c r="AE792" s="11"/>
      <c r="AF792" s="11"/>
      <c r="AG792" s="10">
        <f t="shared" si="12"/>
        <v>43333</v>
      </c>
    </row>
    <row r="793" s="7" customFormat="1" spans="1:33">
      <c r="A793" s="7" t="s">
        <v>4031</v>
      </c>
      <c r="B793" s="7" t="s">
        <v>4031</v>
      </c>
      <c r="C793" s="7" t="s">
        <v>4032</v>
      </c>
      <c r="D793" s="7" t="s">
        <v>4033</v>
      </c>
      <c r="E793" s="7" t="s">
        <v>49</v>
      </c>
      <c r="F793" s="7" t="s">
        <v>34</v>
      </c>
      <c r="G793" s="7" t="s">
        <v>35</v>
      </c>
      <c r="J793" s="7" t="s">
        <v>50</v>
      </c>
      <c r="K793" s="7" t="s">
        <v>2413</v>
      </c>
      <c r="L793" s="7" t="s">
        <v>143</v>
      </c>
      <c r="M793" s="7" t="s">
        <v>144</v>
      </c>
      <c r="N793" s="7" t="s">
        <v>49</v>
      </c>
      <c r="O793" s="7">
        <v>1</v>
      </c>
      <c r="P793" s="7" t="s">
        <v>41</v>
      </c>
      <c r="Q793" s="7">
        <v>79.99</v>
      </c>
      <c r="Y793" s="7" t="s">
        <v>4034</v>
      </c>
      <c r="Z793" s="7" t="s">
        <v>178</v>
      </c>
      <c r="AA793" s="7" t="s">
        <v>4035</v>
      </c>
      <c r="AB793" s="7" t="s">
        <v>45</v>
      </c>
      <c r="AD793" s="11"/>
      <c r="AE793" s="11"/>
      <c r="AF793" s="11"/>
      <c r="AG793" s="10">
        <f t="shared" si="12"/>
        <v>43333</v>
      </c>
    </row>
    <row r="794" s="7" customFormat="1" spans="1:33">
      <c r="A794" s="7" t="s">
        <v>4036</v>
      </c>
      <c r="B794" s="7" t="s">
        <v>4036</v>
      </c>
      <c r="C794" s="7" t="s">
        <v>4037</v>
      </c>
      <c r="D794" s="7" t="s">
        <v>4038</v>
      </c>
      <c r="E794" s="7" t="s">
        <v>49</v>
      </c>
      <c r="F794" s="7" t="s">
        <v>34</v>
      </c>
      <c r="G794" s="7" t="s">
        <v>35</v>
      </c>
      <c r="J794" s="7" t="s">
        <v>50</v>
      </c>
      <c r="K794" s="7" t="s">
        <v>2065</v>
      </c>
      <c r="L794" s="7" t="s">
        <v>2066</v>
      </c>
      <c r="M794" s="7" t="s">
        <v>2067</v>
      </c>
      <c r="N794" s="7" t="s">
        <v>49</v>
      </c>
      <c r="O794" s="7">
        <v>1</v>
      </c>
      <c r="P794" s="7" t="s">
        <v>41</v>
      </c>
      <c r="Q794" s="7">
        <v>32.99</v>
      </c>
      <c r="Y794" s="7" t="s">
        <v>4039</v>
      </c>
      <c r="Z794" s="7" t="s">
        <v>646</v>
      </c>
      <c r="AA794" s="7" t="s">
        <v>4040</v>
      </c>
      <c r="AB794" s="7" t="s">
        <v>45</v>
      </c>
      <c r="AD794" s="11"/>
      <c r="AE794" s="11"/>
      <c r="AF794" s="11"/>
      <c r="AG794" s="10">
        <f t="shared" si="12"/>
        <v>43333</v>
      </c>
    </row>
    <row r="795" s="7" customFormat="1" spans="1:33">
      <c r="A795" s="7" t="s">
        <v>4041</v>
      </c>
      <c r="B795" s="7" t="s">
        <v>4041</v>
      </c>
      <c r="C795" s="7" t="s">
        <v>4042</v>
      </c>
      <c r="D795" s="7" t="s">
        <v>4043</v>
      </c>
      <c r="E795" s="7" t="s">
        <v>49</v>
      </c>
      <c r="F795" s="7" t="s">
        <v>34</v>
      </c>
      <c r="G795" s="7" t="s">
        <v>35</v>
      </c>
      <c r="J795" s="7" t="s">
        <v>50</v>
      </c>
      <c r="K795" s="7" t="s">
        <v>2650</v>
      </c>
      <c r="L795" s="7" t="s">
        <v>277</v>
      </c>
      <c r="M795" s="7" t="s">
        <v>278</v>
      </c>
      <c r="N795" s="7" t="s">
        <v>49</v>
      </c>
      <c r="O795" s="7">
        <v>1</v>
      </c>
      <c r="P795" s="7" t="s">
        <v>41</v>
      </c>
      <c r="Q795" s="7">
        <v>91.99</v>
      </c>
      <c r="Y795" s="7" t="s">
        <v>4044</v>
      </c>
      <c r="Z795" s="7" t="s">
        <v>178</v>
      </c>
      <c r="AA795" s="7" t="s">
        <v>4045</v>
      </c>
      <c r="AB795" s="7" t="s">
        <v>45</v>
      </c>
      <c r="AD795" s="11"/>
      <c r="AE795" s="11"/>
      <c r="AF795" s="11"/>
      <c r="AG795" s="10">
        <f t="shared" si="12"/>
        <v>43333</v>
      </c>
    </row>
    <row r="796" s="7" customFormat="1" spans="1:33">
      <c r="A796" s="7" t="s">
        <v>4046</v>
      </c>
      <c r="B796" s="7" t="s">
        <v>4046</v>
      </c>
      <c r="C796" s="7" t="s">
        <v>4047</v>
      </c>
      <c r="D796" s="7" t="s">
        <v>4048</v>
      </c>
      <c r="E796" s="7" t="s">
        <v>49</v>
      </c>
      <c r="F796" s="7" t="s">
        <v>34</v>
      </c>
      <c r="G796" s="7" t="s">
        <v>35</v>
      </c>
      <c r="J796" s="7" t="s">
        <v>151</v>
      </c>
      <c r="K796" s="7" t="s">
        <v>2650</v>
      </c>
      <c r="L796" s="7" t="s">
        <v>277</v>
      </c>
      <c r="M796" s="7" t="s">
        <v>278</v>
      </c>
      <c r="N796" s="7" t="s">
        <v>49</v>
      </c>
      <c r="O796" s="7">
        <v>1</v>
      </c>
      <c r="P796" s="7" t="s">
        <v>41</v>
      </c>
      <c r="Q796" s="7">
        <v>91.99</v>
      </c>
      <c r="R796" s="7">
        <v>4.2</v>
      </c>
      <c r="S796" s="7">
        <v>5.99</v>
      </c>
      <c r="W796" s="7">
        <v>22</v>
      </c>
      <c r="X796" s="7">
        <v>5.99</v>
      </c>
      <c r="Y796" s="7" t="s">
        <v>4049</v>
      </c>
      <c r="Z796" s="7" t="s">
        <v>124</v>
      </c>
      <c r="AA796" s="7">
        <v>19053</v>
      </c>
      <c r="AB796" s="7" t="s">
        <v>45</v>
      </c>
      <c r="AD796" s="11"/>
      <c r="AE796" s="11"/>
      <c r="AF796" s="11"/>
      <c r="AG796" s="10">
        <f t="shared" si="12"/>
        <v>43334</v>
      </c>
    </row>
    <row r="797" s="7" customFormat="1" spans="1:33">
      <c r="A797" s="7" t="s">
        <v>4050</v>
      </c>
      <c r="B797" s="7" t="s">
        <v>4050</v>
      </c>
      <c r="C797" s="7" t="s">
        <v>4051</v>
      </c>
      <c r="D797" s="7" t="s">
        <v>4052</v>
      </c>
      <c r="E797" s="7" t="s">
        <v>49</v>
      </c>
      <c r="F797" s="7" t="s">
        <v>34</v>
      </c>
      <c r="G797" s="7" t="s">
        <v>35</v>
      </c>
      <c r="J797" s="7" t="s">
        <v>50</v>
      </c>
      <c r="K797" s="7" t="s">
        <v>3489</v>
      </c>
      <c r="L797" s="7" t="s">
        <v>71</v>
      </c>
      <c r="M797" s="7" t="s">
        <v>72</v>
      </c>
      <c r="N797" s="7" t="s">
        <v>49</v>
      </c>
      <c r="O797" s="7">
        <v>1</v>
      </c>
      <c r="P797" s="7" t="s">
        <v>41</v>
      </c>
      <c r="Q797" s="7">
        <v>96.99</v>
      </c>
      <c r="Y797" s="7" t="s">
        <v>4053</v>
      </c>
      <c r="Z797" s="7" t="s">
        <v>266</v>
      </c>
      <c r="AA797" s="7" t="s">
        <v>4054</v>
      </c>
      <c r="AB797" s="7" t="s">
        <v>45</v>
      </c>
      <c r="AD797" s="11"/>
      <c r="AE797" s="11"/>
      <c r="AF797" s="11"/>
      <c r="AG797" s="10">
        <f t="shared" si="12"/>
        <v>43334</v>
      </c>
    </row>
    <row r="798" s="7" customFormat="1" spans="1:33">
      <c r="A798" s="7" t="s">
        <v>4055</v>
      </c>
      <c r="B798" s="7" t="s">
        <v>4055</v>
      </c>
      <c r="C798" s="7" t="s">
        <v>4056</v>
      </c>
      <c r="D798" s="7" t="s">
        <v>4057</v>
      </c>
      <c r="E798" s="7" t="s">
        <v>49</v>
      </c>
      <c r="F798" s="7" t="s">
        <v>34</v>
      </c>
      <c r="G798" s="7" t="s">
        <v>35</v>
      </c>
      <c r="J798" s="7" t="s">
        <v>50</v>
      </c>
      <c r="K798" s="7" t="s">
        <v>2650</v>
      </c>
      <c r="L798" s="7" t="s">
        <v>277</v>
      </c>
      <c r="M798" s="7" t="s">
        <v>278</v>
      </c>
      <c r="N798" s="7" t="s">
        <v>49</v>
      </c>
      <c r="O798" s="7">
        <v>1</v>
      </c>
      <c r="P798" s="7" t="s">
        <v>41</v>
      </c>
      <c r="Q798" s="7">
        <v>91.99</v>
      </c>
      <c r="W798" s="7">
        <v>22</v>
      </c>
      <c r="Y798" s="7" t="s">
        <v>4058</v>
      </c>
      <c r="Z798" s="7" t="s">
        <v>346</v>
      </c>
      <c r="AA798" s="7" t="s">
        <v>4059</v>
      </c>
      <c r="AB798" s="7" t="s">
        <v>45</v>
      </c>
      <c r="AD798" s="11"/>
      <c r="AE798" s="11"/>
      <c r="AF798" s="11"/>
      <c r="AG798" s="10">
        <f t="shared" si="12"/>
        <v>43334</v>
      </c>
    </row>
    <row r="799" s="7" customFormat="1" spans="1:33">
      <c r="A799" s="7" t="s">
        <v>4060</v>
      </c>
      <c r="B799" s="7" t="s">
        <v>4060</v>
      </c>
      <c r="C799" s="7" t="s">
        <v>4061</v>
      </c>
      <c r="D799" s="7" t="s">
        <v>4062</v>
      </c>
      <c r="E799" s="7" t="s">
        <v>33</v>
      </c>
      <c r="F799" s="7" t="s">
        <v>34</v>
      </c>
      <c r="G799" s="7" t="s">
        <v>35</v>
      </c>
      <c r="J799" s="7" t="s">
        <v>50</v>
      </c>
      <c r="K799" s="7" t="s">
        <v>603</v>
      </c>
      <c r="L799" s="7" t="s">
        <v>604</v>
      </c>
      <c r="M799" s="7" t="s">
        <v>605</v>
      </c>
      <c r="N799" s="7" t="s">
        <v>33</v>
      </c>
      <c r="O799" s="7">
        <v>0</v>
      </c>
      <c r="Y799" s="7" t="s">
        <v>4063</v>
      </c>
      <c r="Z799" s="7" t="s">
        <v>2902</v>
      </c>
      <c r="AA799" s="7" t="s">
        <v>4064</v>
      </c>
      <c r="AB799" s="7" t="s">
        <v>45</v>
      </c>
      <c r="AD799" s="11"/>
      <c r="AE799" s="11"/>
      <c r="AF799" s="11"/>
      <c r="AG799" s="10">
        <f t="shared" si="12"/>
        <v>43334</v>
      </c>
    </row>
    <row r="800" s="7" customFormat="1" spans="1:33">
      <c r="A800" s="7" t="s">
        <v>4065</v>
      </c>
      <c r="B800" s="7" t="s">
        <v>4065</v>
      </c>
      <c r="C800" s="7" t="s">
        <v>4066</v>
      </c>
      <c r="D800" s="7" t="s">
        <v>4067</v>
      </c>
      <c r="E800" s="7" t="s">
        <v>49</v>
      </c>
      <c r="F800" s="7" t="s">
        <v>34</v>
      </c>
      <c r="G800" s="7" t="s">
        <v>35</v>
      </c>
      <c r="J800" s="7" t="s">
        <v>50</v>
      </c>
      <c r="K800" s="7" t="s">
        <v>289</v>
      </c>
      <c r="L800" s="7" t="s">
        <v>290</v>
      </c>
      <c r="M800" s="7" t="s">
        <v>291</v>
      </c>
      <c r="N800" s="7" t="s">
        <v>49</v>
      </c>
      <c r="O800" s="7">
        <v>1</v>
      </c>
      <c r="P800" s="7" t="s">
        <v>41</v>
      </c>
      <c r="Q800" s="7">
        <v>89.99</v>
      </c>
      <c r="Y800" s="7" t="s">
        <v>4068</v>
      </c>
      <c r="Z800" s="7" t="s">
        <v>4069</v>
      </c>
      <c r="AA800" s="7">
        <v>80547</v>
      </c>
      <c r="AB800" s="7" t="s">
        <v>45</v>
      </c>
      <c r="AD800" s="11"/>
      <c r="AE800" s="11"/>
      <c r="AF800" s="11"/>
      <c r="AG800" s="10">
        <f t="shared" si="12"/>
        <v>43334</v>
      </c>
    </row>
    <row r="801" s="7" customFormat="1" spans="1:33">
      <c r="A801" s="7" t="s">
        <v>4070</v>
      </c>
      <c r="B801" s="7" t="s">
        <v>4070</v>
      </c>
      <c r="C801" s="7" t="s">
        <v>4071</v>
      </c>
      <c r="D801" s="7" t="s">
        <v>4072</v>
      </c>
      <c r="E801" s="7" t="s">
        <v>49</v>
      </c>
      <c r="F801" s="7" t="s">
        <v>34</v>
      </c>
      <c r="G801" s="7" t="s">
        <v>35</v>
      </c>
      <c r="J801" s="7" t="s">
        <v>50</v>
      </c>
      <c r="K801" s="7" t="s">
        <v>256</v>
      </c>
      <c r="L801" s="7" t="s">
        <v>257</v>
      </c>
      <c r="M801" s="7" t="s">
        <v>258</v>
      </c>
      <c r="N801" s="7" t="s">
        <v>49</v>
      </c>
      <c r="O801" s="7">
        <v>1</v>
      </c>
      <c r="P801" s="7" t="s">
        <v>41</v>
      </c>
      <c r="Q801" s="7">
        <v>21.99</v>
      </c>
      <c r="W801" s="7">
        <v>21.77</v>
      </c>
      <c r="Y801" s="7" t="s">
        <v>4073</v>
      </c>
      <c r="Z801" s="7" t="s">
        <v>4074</v>
      </c>
      <c r="AA801" s="7">
        <v>64701</v>
      </c>
      <c r="AB801" s="7" t="s">
        <v>45</v>
      </c>
      <c r="AC801" s="7" t="s">
        <v>66</v>
      </c>
      <c r="AD801" s="11"/>
      <c r="AE801" s="11"/>
      <c r="AF801" s="11"/>
      <c r="AG801" s="10">
        <f t="shared" si="12"/>
        <v>43334</v>
      </c>
    </row>
    <row r="802" s="7" customFormat="1" spans="1:33">
      <c r="A802" s="7" t="s">
        <v>4075</v>
      </c>
      <c r="B802" s="7" t="s">
        <v>4075</v>
      </c>
      <c r="C802" s="7" t="s">
        <v>4076</v>
      </c>
      <c r="D802" s="7" t="s">
        <v>4077</v>
      </c>
      <c r="E802" s="7" t="s">
        <v>49</v>
      </c>
      <c r="F802" s="7" t="s">
        <v>34</v>
      </c>
      <c r="G802" s="7" t="s">
        <v>35</v>
      </c>
      <c r="J802" s="7" t="s">
        <v>50</v>
      </c>
      <c r="K802" s="7" t="s">
        <v>3955</v>
      </c>
      <c r="L802" s="7" t="s">
        <v>3956</v>
      </c>
      <c r="M802" s="7" t="s">
        <v>3957</v>
      </c>
      <c r="N802" s="7" t="s">
        <v>49</v>
      </c>
      <c r="O802" s="7">
        <v>1</v>
      </c>
      <c r="P802" s="7" t="s">
        <v>41</v>
      </c>
      <c r="Q802" s="7">
        <v>34.99</v>
      </c>
      <c r="Y802" s="7" t="s">
        <v>4078</v>
      </c>
      <c r="Z802" s="7" t="s">
        <v>115</v>
      </c>
      <c r="AA802" s="7">
        <v>54947</v>
      </c>
      <c r="AB802" s="7" t="s">
        <v>45</v>
      </c>
      <c r="AD802" s="11"/>
      <c r="AE802" s="11"/>
      <c r="AF802" s="11"/>
      <c r="AG802" s="10">
        <f t="shared" si="12"/>
        <v>43334</v>
      </c>
    </row>
    <row r="803" s="7" customFormat="1" spans="1:33">
      <c r="A803" s="7" t="s">
        <v>4079</v>
      </c>
      <c r="B803" s="7" t="s">
        <v>4079</v>
      </c>
      <c r="C803" s="7" t="s">
        <v>4080</v>
      </c>
      <c r="D803" s="7" t="s">
        <v>4081</v>
      </c>
      <c r="E803" s="7" t="s">
        <v>33</v>
      </c>
      <c r="F803" s="7" t="s">
        <v>34</v>
      </c>
      <c r="G803" s="7" t="s">
        <v>35</v>
      </c>
      <c r="J803" s="7" t="s">
        <v>50</v>
      </c>
      <c r="K803" s="7" t="s">
        <v>197</v>
      </c>
      <c r="L803" s="7" t="s">
        <v>977</v>
      </c>
      <c r="M803" s="7" t="s">
        <v>199</v>
      </c>
      <c r="N803" s="7" t="s">
        <v>33</v>
      </c>
      <c r="O803" s="7">
        <v>0</v>
      </c>
      <c r="Y803" s="7" t="s">
        <v>1662</v>
      </c>
      <c r="Z803" s="7" t="s">
        <v>43</v>
      </c>
      <c r="AA803" s="7" t="s">
        <v>4082</v>
      </c>
      <c r="AB803" s="7" t="s">
        <v>45</v>
      </c>
      <c r="AD803" s="11"/>
      <c r="AE803" s="11"/>
      <c r="AF803" s="11"/>
      <c r="AG803" s="10">
        <f t="shared" si="12"/>
        <v>43334</v>
      </c>
    </row>
    <row r="804" s="7" customFormat="1" spans="1:33">
      <c r="A804" s="7" t="s">
        <v>4083</v>
      </c>
      <c r="B804" s="7" t="s">
        <v>4083</v>
      </c>
      <c r="C804" s="7" t="s">
        <v>4084</v>
      </c>
      <c r="D804" s="7" t="s">
        <v>4085</v>
      </c>
      <c r="E804" s="7" t="s">
        <v>49</v>
      </c>
      <c r="F804" s="7" t="s">
        <v>34</v>
      </c>
      <c r="G804" s="7" t="s">
        <v>35</v>
      </c>
      <c r="J804" s="7" t="s">
        <v>50</v>
      </c>
      <c r="K804" s="7" t="s">
        <v>1424</v>
      </c>
      <c r="L804" s="7" t="s">
        <v>1425</v>
      </c>
      <c r="M804" s="7" t="s">
        <v>1426</v>
      </c>
      <c r="N804" s="7" t="s">
        <v>49</v>
      </c>
      <c r="O804" s="7">
        <v>1</v>
      </c>
      <c r="P804" s="7" t="s">
        <v>41</v>
      </c>
      <c r="Q804" s="7">
        <v>99.99</v>
      </c>
      <c r="Y804" s="7" t="s">
        <v>265</v>
      </c>
      <c r="Z804" s="7" t="s">
        <v>266</v>
      </c>
      <c r="AA804" s="7" t="s">
        <v>4086</v>
      </c>
      <c r="AB804" s="7" t="s">
        <v>45</v>
      </c>
      <c r="AD804" s="11"/>
      <c r="AE804" s="11"/>
      <c r="AF804" s="11"/>
      <c r="AG804" s="10">
        <f t="shared" si="12"/>
        <v>43334</v>
      </c>
    </row>
    <row r="805" s="7" customFormat="1" spans="1:33">
      <c r="A805" s="7" t="s">
        <v>4087</v>
      </c>
      <c r="B805" s="7" t="s">
        <v>4087</v>
      </c>
      <c r="C805" s="7" t="s">
        <v>4088</v>
      </c>
      <c r="D805" s="7" t="s">
        <v>4089</v>
      </c>
      <c r="E805" s="7" t="s">
        <v>49</v>
      </c>
      <c r="F805" s="7" t="s">
        <v>34</v>
      </c>
      <c r="G805" s="7" t="s">
        <v>35</v>
      </c>
      <c r="J805" s="7" t="s">
        <v>50</v>
      </c>
      <c r="K805" s="7" t="s">
        <v>197</v>
      </c>
      <c r="L805" s="7" t="s">
        <v>977</v>
      </c>
      <c r="M805" s="7" t="s">
        <v>199</v>
      </c>
      <c r="N805" s="7" t="s">
        <v>49</v>
      </c>
      <c r="O805" s="7">
        <v>1</v>
      </c>
      <c r="P805" s="7" t="s">
        <v>41</v>
      </c>
      <c r="Q805" s="7">
        <v>21.99</v>
      </c>
      <c r="Y805" s="7" t="s">
        <v>3230</v>
      </c>
      <c r="Z805" s="7" t="s">
        <v>178</v>
      </c>
      <c r="AA805" s="7" t="s">
        <v>4090</v>
      </c>
      <c r="AB805" s="7" t="s">
        <v>45</v>
      </c>
      <c r="AD805" s="11"/>
      <c r="AE805" s="11"/>
      <c r="AF805" s="11"/>
      <c r="AG805" s="10">
        <f t="shared" si="12"/>
        <v>43334</v>
      </c>
    </row>
    <row r="806" s="7" customFormat="1" spans="1:33">
      <c r="A806" s="7" t="s">
        <v>4091</v>
      </c>
      <c r="B806" s="7" t="s">
        <v>4091</v>
      </c>
      <c r="C806" s="7" t="s">
        <v>4092</v>
      </c>
      <c r="D806" s="7" t="s">
        <v>4093</v>
      </c>
      <c r="E806" s="7" t="s">
        <v>49</v>
      </c>
      <c r="F806" s="7" t="s">
        <v>34</v>
      </c>
      <c r="G806" s="7" t="s">
        <v>35</v>
      </c>
      <c r="J806" s="7" t="s">
        <v>50</v>
      </c>
      <c r="K806" s="7" t="s">
        <v>779</v>
      </c>
      <c r="L806" s="7" t="s">
        <v>780</v>
      </c>
      <c r="M806" s="7" t="s">
        <v>781</v>
      </c>
      <c r="N806" s="7" t="s">
        <v>49</v>
      </c>
      <c r="O806" s="7">
        <v>1</v>
      </c>
      <c r="P806" s="7" t="s">
        <v>41</v>
      </c>
      <c r="Q806" s="7">
        <v>21.99</v>
      </c>
      <c r="Y806" s="7" t="s">
        <v>947</v>
      </c>
      <c r="Z806" s="7" t="s">
        <v>64</v>
      </c>
      <c r="AA806" s="7" t="s">
        <v>4094</v>
      </c>
      <c r="AB806" s="7" t="s">
        <v>45</v>
      </c>
      <c r="AD806" s="11"/>
      <c r="AE806" s="11"/>
      <c r="AF806" s="11"/>
      <c r="AG806" s="10">
        <f t="shared" si="12"/>
        <v>43334</v>
      </c>
    </row>
    <row r="807" s="7" customFormat="1" spans="1:33">
      <c r="A807" s="7" t="s">
        <v>4095</v>
      </c>
      <c r="B807" s="7" t="s">
        <v>4095</v>
      </c>
      <c r="C807" s="7" t="s">
        <v>4096</v>
      </c>
      <c r="D807" s="7" t="s">
        <v>4097</v>
      </c>
      <c r="E807" s="7" t="s">
        <v>49</v>
      </c>
      <c r="F807" s="7" t="s">
        <v>34</v>
      </c>
      <c r="G807" s="7" t="s">
        <v>35</v>
      </c>
      <c r="J807" s="7" t="s">
        <v>50</v>
      </c>
      <c r="K807" s="7" t="s">
        <v>2327</v>
      </c>
      <c r="L807" s="7" t="s">
        <v>2328</v>
      </c>
      <c r="M807" s="7" t="s">
        <v>2329</v>
      </c>
      <c r="N807" s="7" t="s">
        <v>49</v>
      </c>
      <c r="O807" s="7">
        <v>1</v>
      </c>
      <c r="P807" s="7" t="s">
        <v>41</v>
      </c>
      <c r="Q807" s="7">
        <v>108.99</v>
      </c>
      <c r="Y807" s="7" t="s">
        <v>4098</v>
      </c>
      <c r="Z807" s="7" t="s">
        <v>64</v>
      </c>
      <c r="AA807" s="7" t="s">
        <v>4099</v>
      </c>
      <c r="AB807" s="7" t="s">
        <v>45</v>
      </c>
      <c r="AD807" s="11"/>
      <c r="AE807" s="11"/>
      <c r="AF807" s="11"/>
      <c r="AG807" s="10">
        <f t="shared" si="12"/>
        <v>43334</v>
      </c>
    </row>
    <row r="808" s="7" customFormat="1" spans="1:33">
      <c r="A808" s="7" t="s">
        <v>4100</v>
      </c>
      <c r="B808" s="7" t="s">
        <v>4100</v>
      </c>
      <c r="C808" s="7" t="s">
        <v>4101</v>
      </c>
      <c r="D808" s="7" t="s">
        <v>4102</v>
      </c>
      <c r="E808" s="7" t="s">
        <v>49</v>
      </c>
      <c r="F808" s="7" t="s">
        <v>34</v>
      </c>
      <c r="G808" s="7" t="s">
        <v>35</v>
      </c>
      <c r="J808" s="7" t="s">
        <v>50</v>
      </c>
      <c r="K808" s="7" t="s">
        <v>2440</v>
      </c>
      <c r="L808" s="7" t="s">
        <v>38</v>
      </c>
      <c r="M808" s="7" t="s">
        <v>39</v>
      </c>
      <c r="N808" s="7" t="s">
        <v>49</v>
      </c>
      <c r="O808" s="7">
        <v>1</v>
      </c>
      <c r="P808" s="7" t="s">
        <v>41</v>
      </c>
      <c r="Q808" s="7">
        <v>89.99</v>
      </c>
      <c r="Y808" s="7" t="s">
        <v>1506</v>
      </c>
      <c r="Z808" s="7" t="s">
        <v>64</v>
      </c>
      <c r="AA808" s="7" t="s">
        <v>4103</v>
      </c>
      <c r="AB808" s="7" t="s">
        <v>45</v>
      </c>
      <c r="AD808" s="11"/>
      <c r="AE808" s="11"/>
      <c r="AF808" s="11"/>
      <c r="AG808" s="10">
        <f t="shared" si="12"/>
        <v>43334</v>
      </c>
    </row>
    <row r="809" s="7" customFormat="1" spans="1:33">
      <c r="A809" s="7" t="s">
        <v>4104</v>
      </c>
      <c r="B809" s="7" t="s">
        <v>4104</v>
      </c>
      <c r="C809" s="7" t="s">
        <v>4105</v>
      </c>
      <c r="D809" s="7" t="s">
        <v>4106</v>
      </c>
      <c r="E809" s="7" t="s">
        <v>33</v>
      </c>
      <c r="F809" s="7" t="s">
        <v>34</v>
      </c>
      <c r="G809" s="7" t="s">
        <v>35</v>
      </c>
      <c r="J809" s="7" t="s">
        <v>151</v>
      </c>
      <c r="K809" s="7" t="s">
        <v>2440</v>
      </c>
      <c r="L809" s="7" t="s">
        <v>38</v>
      </c>
      <c r="M809" s="7" t="s">
        <v>39</v>
      </c>
      <c r="N809" s="7" t="s">
        <v>33</v>
      </c>
      <c r="O809" s="7">
        <v>0</v>
      </c>
      <c r="Y809" s="7" t="s">
        <v>1506</v>
      </c>
      <c r="Z809" s="7" t="s">
        <v>64</v>
      </c>
      <c r="AA809" s="7" t="s">
        <v>4107</v>
      </c>
      <c r="AB809" s="7" t="s">
        <v>45</v>
      </c>
      <c r="AD809" s="11"/>
      <c r="AE809" s="11"/>
      <c r="AF809" s="11"/>
      <c r="AG809" s="10">
        <f t="shared" si="12"/>
        <v>43334</v>
      </c>
    </row>
    <row r="810" s="7" customFormat="1" spans="1:33">
      <c r="A810" s="7" t="s">
        <v>4108</v>
      </c>
      <c r="B810" s="7" t="s">
        <v>4108</v>
      </c>
      <c r="C810" s="7" t="s">
        <v>4109</v>
      </c>
      <c r="D810" s="7" t="s">
        <v>4110</v>
      </c>
      <c r="E810" s="7" t="s">
        <v>49</v>
      </c>
      <c r="F810" s="7" t="s">
        <v>34</v>
      </c>
      <c r="G810" s="7" t="s">
        <v>35</v>
      </c>
      <c r="J810" s="7" t="s">
        <v>50</v>
      </c>
      <c r="K810" s="7" t="s">
        <v>208</v>
      </c>
      <c r="L810" s="7" t="s">
        <v>209</v>
      </c>
      <c r="M810" s="7" t="s">
        <v>210</v>
      </c>
      <c r="N810" s="7" t="s">
        <v>49</v>
      </c>
      <c r="O810" s="7">
        <v>1</v>
      </c>
      <c r="P810" s="7" t="s">
        <v>41</v>
      </c>
      <c r="Q810" s="7">
        <v>89.99</v>
      </c>
      <c r="U810" s="7">
        <v>3.99</v>
      </c>
      <c r="Y810" s="7" t="s">
        <v>4111</v>
      </c>
      <c r="Z810" s="7" t="s">
        <v>872</v>
      </c>
      <c r="AA810" s="7" t="s">
        <v>4112</v>
      </c>
      <c r="AB810" s="7" t="s">
        <v>45</v>
      </c>
      <c r="AD810" s="11"/>
      <c r="AE810" s="11"/>
      <c r="AF810" s="11"/>
      <c r="AG810" s="10">
        <f t="shared" si="12"/>
        <v>43334</v>
      </c>
    </row>
    <row r="811" s="7" customFormat="1" spans="1:33">
      <c r="A811" s="7" t="s">
        <v>4113</v>
      </c>
      <c r="B811" s="7" t="s">
        <v>4113</v>
      </c>
      <c r="C811" s="7" t="s">
        <v>4114</v>
      </c>
      <c r="D811" s="7" t="s">
        <v>4115</v>
      </c>
      <c r="E811" s="7" t="s">
        <v>49</v>
      </c>
      <c r="F811" s="7" t="s">
        <v>34</v>
      </c>
      <c r="G811" s="7" t="s">
        <v>35</v>
      </c>
      <c r="J811" s="7" t="s">
        <v>50</v>
      </c>
      <c r="K811" s="7" t="s">
        <v>603</v>
      </c>
      <c r="L811" s="7" t="s">
        <v>604</v>
      </c>
      <c r="M811" s="7" t="s">
        <v>605</v>
      </c>
      <c r="N811" s="7" t="s">
        <v>49</v>
      </c>
      <c r="O811" s="7">
        <v>1</v>
      </c>
      <c r="P811" s="7" t="s">
        <v>41</v>
      </c>
      <c r="Q811" s="7">
        <v>99.99</v>
      </c>
      <c r="Y811" s="7" t="s">
        <v>4116</v>
      </c>
      <c r="Z811" s="7" t="s">
        <v>437</v>
      </c>
      <c r="AA811" s="7" t="s">
        <v>4117</v>
      </c>
      <c r="AB811" s="7" t="s">
        <v>45</v>
      </c>
      <c r="AD811" s="11"/>
      <c r="AE811" s="11"/>
      <c r="AF811" s="11"/>
      <c r="AG811" s="10">
        <f t="shared" si="12"/>
        <v>43334</v>
      </c>
    </row>
    <row r="812" s="7" customFormat="1" spans="1:33">
      <c r="A812" s="7" t="s">
        <v>4118</v>
      </c>
      <c r="B812" s="7" t="s">
        <v>4118</v>
      </c>
      <c r="C812" s="7" t="s">
        <v>4119</v>
      </c>
      <c r="D812" s="7" t="s">
        <v>4120</v>
      </c>
      <c r="E812" s="7" t="s">
        <v>49</v>
      </c>
      <c r="F812" s="7" t="s">
        <v>34</v>
      </c>
      <c r="G812" s="7" t="s">
        <v>35</v>
      </c>
      <c r="J812" s="7" t="s">
        <v>36</v>
      </c>
      <c r="K812" s="7" t="s">
        <v>632</v>
      </c>
      <c r="L812" s="7" t="s">
        <v>633</v>
      </c>
      <c r="M812" s="7" t="s">
        <v>634</v>
      </c>
      <c r="N812" s="7" t="s">
        <v>49</v>
      </c>
      <c r="O812" s="7">
        <v>1</v>
      </c>
      <c r="P812" s="7" t="s">
        <v>41</v>
      </c>
      <c r="Q812" s="7">
        <v>85.99</v>
      </c>
      <c r="S812" s="7">
        <v>4.27</v>
      </c>
      <c r="X812" s="7">
        <v>4.27</v>
      </c>
      <c r="Y812" s="7" t="s">
        <v>265</v>
      </c>
      <c r="Z812" s="7" t="s">
        <v>266</v>
      </c>
      <c r="AA812" s="7" t="s">
        <v>4121</v>
      </c>
      <c r="AB812" s="7" t="s">
        <v>45</v>
      </c>
      <c r="AC812" s="7" t="s">
        <v>549</v>
      </c>
      <c r="AD812" s="11"/>
      <c r="AE812" s="11"/>
      <c r="AF812" s="11"/>
      <c r="AG812" s="10">
        <f t="shared" si="12"/>
        <v>43334</v>
      </c>
    </row>
    <row r="813" s="7" customFormat="1" spans="1:33">
      <c r="A813" s="7" t="s">
        <v>4122</v>
      </c>
      <c r="B813" s="7" t="s">
        <v>4122</v>
      </c>
      <c r="C813" s="7" t="s">
        <v>4123</v>
      </c>
      <c r="D813" s="7" t="s">
        <v>4124</v>
      </c>
      <c r="E813" s="7" t="s">
        <v>33</v>
      </c>
      <c r="F813" s="7" t="s">
        <v>34</v>
      </c>
      <c r="G813" s="7" t="s">
        <v>35</v>
      </c>
      <c r="J813" s="7" t="s">
        <v>36</v>
      </c>
      <c r="K813" s="7" t="s">
        <v>611</v>
      </c>
      <c r="L813" s="7" t="s">
        <v>612</v>
      </c>
      <c r="M813" s="7" t="s">
        <v>613</v>
      </c>
      <c r="N813" s="7" t="s">
        <v>33</v>
      </c>
      <c r="O813" s="7">
        <v>0</v>
      </c>
      <c r="Y813" s="7" t="s">
        <v>4125</v>
      </c>
      <c r="Z813" s="7" t="s">
        <v>4126</v>
      </c>
      <c r="AA813" s="7" t="s">
        <v>4127</v>
      </c>
      <c r="AB813" s="7" t="s">
        <v>45</v>
      </c>
      <c r="AC813" s="7" t="s">
        <v>549</v>
      </c>
      <c r="AD813" s="11"/>
      <c r="AE813" s="11"/>
      <c r="AF813" s="11"/>
      <c r="AG813" s="10">
        <f t="shared" si="12"/>
        <v>43334</v>
      </c>
    </row>
    <row r="814" s="7" customFormat="1" spans="1:33">
      <c r="A814" s="7" t="s">
        <v>4128</v>
      </c>
      <c r="B814" s="7" t="s">
        <v>4128</v>
      </c>
      <c r="C814" s="7" t="s">
        <v>4129</v>
      </c>
      <c r="D814" s="7" t="s">
        <v>4130</v>
      </c>
      <c r="E814" s="7" t="s">
        <v>49</v>
      </c>
      <c r="F814" s="7" t="s">
        <v>34</v>
      </c>
      <c r="G814" s="7" t="s">
        <v>35</v>
      </c>
      <c r="J814" s="7" t="s">
        <v>36</v>
      </c>
      <c r="K814" s="7" t="s">
        <v>2440</v>
      </c>
      <c r="L814" s="7" t="s">
        <v>38</v>
      </c>
      <c r="M814" s="7" t="s">
        <v>39</v>
      </c>
      <c r="N814" s="7" t="s">
        <v>49</v>
      </c>
      <c r="O814" s="7">
        <v>1</v>
      </c>
      <c r="P814" s="7" t="s">
        <v>41</v>
      </c>
      <c r="Q814" s="7">
        <v>89.99</v>
      </c>
      <c r="S814" s="7">
        <v>6.5</v>
      </c>
      <c r="X814" s="7">
        <v>6.5</v>
      </c>
      <c r="Y814" s="7" t="s">
        <v>4131</v>
      </c>
      <c r="Z814" s="7" t="s">
        <v>1381</v>
      </c>
      <c r="AA814" s="7" t="s">
        <v>4132</v>
      </c>
      <c r="AB814" s="7" t="s">
        <v>45</v>
      </c>
      <c r="AC814" s="7" t="s">
        <v>549</v>
      </c>
      <c r="AD814" s="11"/>
      <c r="AE814" s="11"/>
      <c r="AF814" s="11"/>
      <c r="AG814" s="10">
        <f t="shared" si="12"/>
        <v>43334</v>
      </c>
    </row>
    <row r="815" s="7" customFormat="1" spans="1:33">
      <c r="A815" s="7" t="s">
        <v>4133</v>
      </c>
      <c r="B815" s="7" t="s">
        <v>4133</v>
      </c>
      <c r="C815" s="7" t="s">
        <v>4134</v>
      </c>
      <c r="D815" s="7" t="s">
        <v>4135</v>
      </c>
      <c r="E815" s="7" t="s">
        <v>49</v>
      </c>
      <c r="F815" s="7" t="s">
        <v>34</v>
      </c>
      <c r="G815" s="7" t="s">
        <v>35</v>
      </c>
      <c r="J815" s="7" t="s">
        <v>50</v>
      </c>
      <c r="K815" s="7" t="s">
        <v>208</v>
      </c>
      <c r="L815" s="7" t="s">
        <v>209</v>
      </c>
      <c r="M815" s="7" t="s">
        <v>210</v>
      </c>
      <c r="N815" s="7" t="s">
        <v>49</v>
      </c>
      <c r="O815" s="7">
        <v>1</v>
      </c>
      <c r="P815" s="7" t="s">
        <v>41</v>
      </c>
      <c r="Q815" s="7">
        <v>89.99</v>
      </c>
      <c r="Y815" s="7" t="s">
        <v>4136</v>
      </c>
      <c r="Z815" s="7" t="s">
        <v>346</v>
      </c>
      <c r="AA815" s="7">
        <v>11788</v>
      </c>
      <c r="AB815" s="7" t="s">
        <v>45</v>
      </c>
      <c r="AD815" s="11"/>
      <c r="AE815" s="11"/>
      <c r="AF815" s="11"/>
      <c r="AG815" s="10">
        <f t="shared" si="12"/>
        <v>43334</v>
      </c>
    </row>
    <row r="816" s="7" customFormat="1" spans="1:33">
      <c r="A816" s="7" t="s">
        <v>4137</v>
      </c>
      <c r="B816" s="7" t="s">
        <v>4137</v>
      </c>
      <c r="C816" s="7" t="s">
        <v>4138</v>
      </c>
      <c r="D816" s="7" t="s">
        <v>4139</v>
      </c>
      <c r="E816" s="7" t="s">
        <v>49</v>
      </c>
      <c r="F816" s="7" t="s">
        <v>34</v>
      </c>
      <c r="G816" s="7" t="s">
        <v>35</v>
      </c>
      <c r="J816" s="7" t="s">
        <v>50</v>
      </c>
      <c r="K816" s="7" t="s">
        <v>1503</v>
      </c>
      <c r="L816" s="7" t="s">
        <v>1504</v>
      </c>
      <c r="M816" s="7" t="s">
        <v>1505</v>
      </c>
      <c r="N816" s="7" t="s">
        <v>49</v>
      </c>
      <c r="O816" s="7">
        <v>1</v>
      </c>
      <c r="P816" s="7" t="s">
        <v>41</v>
      </c>
      <c r="Q816" s="7">
        <v>89.99</v>
      </c>
      <c r="Y816" s="7" t="s">
        <v>4140</v>
      </c>
      <c r="Z816" s="7" t="s">
        <v>230</v>
      </c>
      <c r="AA816" s="7" t="s">
        <v>4141</v>
      </c>
      <c r="AB816" s="7" t="s">
        <v>45</v>
      </c>
      <c r="AD816" s="11"/>
      <c r="AE816" s="11"/>
      <c r="AF816" s="11"/>
      <c r="AG816" s="10">
        <f t="shared" si="12"/>
        <v>43334</v>
      </c>
    </row>
    <row r="817" s="7" customFormat="1" spans="1:33">
      <c r="A817" s="7" t="s">
        <v>4142</v>
      </c>
      <c r="B817" s="7" t="s">
        <v>4142</v>
      </c>
      <c r="C817" s="7" t="s">
        <v>4143</v>
      </c>
      <c r="D817" s="7" t="s">
        <v>4144</v>
      </c>
      <c r="E817" s="7" t="s">
        <v>33</v>
      </c>
      <c r="F817" s="7" t="s">
        <v>34</v>
      </c>
      <c r="G817" s="7" t="s">
        <v>35</v>
      </c>
      <c r="J817" s="7" t="s">
        <v>36</v>
      </c>
      <c r="K817" s="7" t="s">
        <v>611</v>
      </c>
      <c r="L817" s="7" t="s">
        <v>612</v>
      </c>
      <c r="M817" s="7" t="s">
        <v>613</v>
      </c>
      <c r="N817" s="7" t="s">
        <v>40</v>
      </c>
      <c r="O817" s="7">
        <v>1</v>
      </c>
      <c r="P817" s="7" t="s">
        <v>41</v>
      </c>
      <c r="Q817" s="7">
        <v>89.99</v>
      </c>
      <c r="Y817" s="7" t="s">
        <v>4145</v>
      </c>
      <c r="Z817" s="7" t="s">
        <v>4146</v>
      </c>
      <c r="AA817" s="7">
        <v>28645</v>
      </c>
      <c r="AB817" s="7" t="s">
        <v>45</v>
      </c>
      <c r="AD817" s="11"/>
      <c r="AE817" s="11"/>
      <c r="AF817" s="11"/>
      <c r="AG817" s="10">
        <f t="shared" si="12"/>
        <v>43334</v>
      </c>
    </row>
    <row r="818" s="7" customFormat="1" spans="1:33">
      <c r="A818" s="7" t="s">
        <v>4147</v>
      </c>
      <c r="B818" s="7" t="s">
        <v>4147</v>
      </c>
      <c r="C818" s="7" t="s">
        <v>4148</v>
      </c>
      <c r="D818" s="7" t="s">
        <v>4149</v>
      </c>
      <c r="E818" s="7" t="s">
        <v>49</v>
      </c>
      <c r="F818" s="7" t="s">
        <v>34</v>
      </c>
      <c r="G818" s="7" t="s">
        <v>35</v>
      </c>
      <c r="J818" s="7" t="s">
        <v>50</v>
      </c>
      <c r="K818" s="7" t="s">
        <v>386</v>
      </c>
      <c r="L818" s="7" t="s">
        <v>387</v>
      </c>
      <c r="M818" s="7" t="s">
        <v>388</v>
      </c>
      <c r="N818" s="7" t="s">
        <v>49</v>
      </c>
      <c r="O818" s="7">
        <v>1</v>
      </c>
      <c r="P818" s="7" t="s">
        <v>41</v>
      </c>
      <c r="Q818" s="7">
        <v>32.99</v>
      </c>
      <c r="Y818" s="7" t="s">
        <v>4150</v>
      </c>
      <c r="Z818" s="7" t="s">
        <v>109</v>
      </c>
      <c r="AA818" s="7" t="s">
        <v>4151</v>
      </c>
      <c r="AB818" s="7" t="s">
        <v>45</v>
      </c>
      <c r="AD818" s="11"/>
      <c r="AE818" s="11"/>
      <c r="AF818" s="11"/>
      <c r="AG818" s="10">
        <f t="shared" si="12"/>
        <v>43334</v>
      </c>
    </row>
    <row r="819" s="7" customFormat="1" spans="1:33">
      <c r="A819" s="7" t="s">
        <v>4152</v>
      </c>
      <c r="B819" s="7" t="s">
        <v>4152</v>
      </c>
      <c r="C819" s="7" t="s">
        <v>4153</v>
      </c>
      <c r="D819" s="7" t="s">
        <v>4154</v>
      </c>
      <c r="E819" s="7" t="s">
        <v>49</v>
      </c>
      <c r="F819" s="7" t="s">
        <v>34</v>
      </c>
      <c r="G819" s="7" t="s">
        <v>35</v>
      </c>
      <c r="J819" s="7" t="s">
        <v>50</v>
      </c>
      <c r="K819" s="7" t="s">
        <v>2363</v>
      </c>
      <c r="L819" s="7" t="s">
        <v>89</v>
      </c>
      <c r="M819" s="7" t="s">
        <v>90</v>
      </c>
      <c r="N819" s="7" t="s">
        <v>49</v>
      </c>
      <c r="O819" s="7">
        <v>1</v>
      </c>
      <c r="P819" s="7" t="s">
        <v>41</v>
      </c>
      <c r="Q819" s="7">
        <v>89.99</v>
      </c>
      <c r="Y819" s="7" t="s">
        <v>4155</v>
      </c>
      <c r="Z819" s="7" t="s">
        <v>64</v>
      </c>
      <c r="AA819" s="7">
        <v>75035</v>
      </c>
      <c r="AB819" s="7" t="s">
        <v>45</v>
      </c>
      <c r="AD819" s="11"/>
      <c r="AE819" s="11"/>
      <c r="AF819" s="11"/>
      <c r="AG819" s="10">
        <f t="shared" si="12"/>
        <v>43334</v>
      </c>
    </row>
    <row r="820" s="7" customFormat="1" spans="1:33">
      <c r="A820" s="7" t="s">
        <v>4156</v>
      </c>
      <c r="B820" s="7" t="s">
        <v>4156</v>
      </c>
      <c r="C820" s="7" t="s">
        <v>4157</v>
      </c>
      <c r="D820" s="7" t="s">
        <v>4158</v>
      </c>
      <c r="E820" s="7" t="s">
        <v>33</v>
      </c>
      <c r="F820" s="7" t="s">
        <v>34</v>
      </c>
      <c r="G820" s="7" t="s">
        <v>35</v>
      </c>
      <c r="J820" s="7" t="s">
        <v>50</v>
      </c>
      <c r="K820" s="7" t="s">
        <v>386</v>
      </c>
      <c r="L820" s="7" t="s">
        <v>387</v>
      </c>
      <c r="M820" s="7" t="s">
        <v>388</v>
      </c>
      <c r="N820" s="7" t="s">
        <v>33</v>
      </c>
      <c r="O820" s="7">
        <v>0</v>
      </c>
      <c r="Y820" s="7" t="s">
        <v>4159</v>
      </c>
      <c r="Z820" s="7" t="s">
        <v>872</v>
      </c>
      <c r="AA820" s="7" t="s">
        <v>4160</v>
      </c>
      <c r="AB820" s="7" t="s">
        <v>45</v>
      </c>
      <c r="AD820" s="11"/>
      <c r="AE820" s="11"/>
      <c r="AF820" s="11"/>
      <c r="AG820" s="10">
        <f t="shared" si="12"/>
        <v>43334</v>
      </c>
    </row>
    <row r="821" s="7" customFormat="1" spans="1:33">
      <c r="A821" s="7" t="s">
        <v>4161</v>
      </c>
      <c r="B821" s="7" t="s">
        <v>4161</v>
      </c>
      <c r="C821" s="7" t="s">
        <v>4162</v>
      </c>
      <c r="D821" s="7" t="s">
        <v>4163</v>
      </c>
      <c r="E821" s="7" t="s">
        <v>49</v>
      </c>
      <c r="F821" s="7" t="s">
        <v>34</v>
      </c>
      <c r="G821" s="7" t="s">
        <v>35</v>
      </c>
      <c r="J821" s="7" t="s">
        <v>50</v>
      </c>
      <c r="K821" s="7" t="s">
        <v>2732</v>
      </c>
      <c r="L821" s="7" t="s">
        <v>1061</v>
      </c>
      <c r="M821" s="7" t="s">
        <v>1062</v>
      </c>
      <c r="N821" s="7" t="s">
        <v>49</v>
      </c>
      <c r="O821" s="7">
        <v>1</v>
      </c>
      <c r="P821" s="7" t="s">
        <v>41</v>
      </c>
      <c r="Q821" s="7">
        <v>89.99</v>
      </c>
      <c r="Y821" s="7" t="s">
        <v>1380</v>
      </c>
      <c r="Z821" s="7" t="s">
        <v>1381</v>
      </c>
      <c r="AA821" s="7" t="s">
        <v>4164</v>
      </c>
      <c r="AB821" s="7" t="s">
        <v>45</v>
      </c>
      <c r="AD821" s="11"/>
      <c r="AE821" s="11"/>
      <c r="AF821" s="11"/>
      <c r="AG821" s="10">
        <f t="shared" si="12"/>
        <v>43334</v>
      </c>
    </row>
    <row r="822" s="7" customFormat="1" spans="1:33">
      <c r="A822" s="7" t="s">
        <v>4165</v>
      </c>
      <c r="B822" s="7" t="s">
        <v>4165</v>
      </c>
      <c r="C822" s="7" t="s">
        <v>4166</v>
      </c>
      <c r="D822" s="7" t="s">
        <v>4167</v>
      </c>
      <c r="E822" s="7" t="s">
        <v>33</v>
      </c>
      <c r="F822" s="7" t="s">
        <v>34</v>
      </c>
      <c r="G822" s="7" t="s">
        <v>35</v>
      </c>
      <c r="J822" s="7" t="s">
        <v>151</v>
      </c>
      <c r="K822" s="7" t="s">
        <v>611</v>
      </c>
      <c r="L822" s="7" t="s">
        <v>612</v>
      </c>
      <c r="M822" s="7" t="s">
        <v>613</v>
      </c>
      <c r="N822" s="7" t="s">
        <v>40</v>
      </c>
      <c r="O822" s="7">
        <v>1</v>
      </c>
      <c r="P822" s="7" t="s">
        <v>41</v>
      </c>
      <c r="Q822" s="7">
        <v>89.99</v>
      </c>
      <c r="Y822" s="7" t="s">
        <v>4168</v>
      </c>
      <c r="Z822" s="7" t="s">
        <v>146</v>
      </c>
      <c r="AA822" s="7" t="s">
        <v>4169</v>
      </c>
      <c r="AB822" s="7" t="s">
        <v>45</v>
      </c>
      <c r="AD822" s="11"/>
      <c r="AE822" s="11"/>
      <c r="AF822" s="11"/>
      <c r="AG822" s="10">
        <f t="shared" si="12"/>
        <v>43334</v>
      </c>
    </row>
    <row r="823" s="7" customFormat="1" spans="1:33">
      <c r="A823" s="7" t="s">
        <v>4170</v>
      </c>
      <c r="B823" s="7" t="s">
        <v>4170</v>
      </c>
      <c r="C823" s="7" t="s">
        <v>4171</v>
      </c>
      <c r="D823" s="7" t="s">
        <v>4172</v>
      </c>
      <c r="E823" s="7" t="s">
        <v>33</v>
      </c>
      <c r="F823" s="7" t="s">
        <v>34</v>
      </c>
      <c r="G823" s="7" t="s">
        <v>35</v>
      </c>
      <c r="J823" s="7" t="s">
        <v>36</v>
      </c>
      <c r="K823" s="7" t="s">
        <v>611</v>
      </c>
      <c r="L823" s="7" t="s">
        <v>612</v>
      </c>
      <c r="M823" s="7" t="s">
        <v>613</v>
      </c>
      <c r="N823" s="7" t="s">
        <v>40</v>
      </c>
      <c r="O823" s="7">
        <v>1</v>
      </c>
      <c r="P823" s="7" t="s">
        <v>41</v>
      </c>
      <c r="Q823" s="7">
        <v>89.99</v>
      </c>
      <c r="Y823" s="7" t="s">
        <v>4168</v>
      </c>
      <c r="Z823" s="7" t="s">
        <v>146</v>
      </c>
      <c r="AA823" s="7" t="s">
        <v>4169</v>
      </c>
      <c r="AB823" s="7" t="s">
        <v>45</v>
      </c>
      <c r="AD823" s="11"/>
      <c r="AE823" s="11"/>
      <c r="AF823" s="11"/>
      <c r="AG823" s="10">
        <f t="shared" si="12"/>
        <v>43334</v>
      </c>
    </row>
    <row r="824" s="7" customFormat="1" spans="1:33">
      <c r="A824" s="7" t="s">
        <v>4173</v>
      </c>
      <c r="B824" s="7" t="s">
        <v>4173</v>
      </c>
      <c r="C824" s="7" t="s">
        <v>4174</v>
      </c>
      <c r="D824" s="7" t="s">
        <v>4175</v>
      </c>
      <c r="E824" s="7" t="s">
        <v>33</v>
      </c>
      <c r="F824" s="7" t="s">
        <v>34</v>
      </c>
      <c r="G824" s="7" t="s">
        <v>35</v>
      </c>
      <c r="J824" s="7" t="s">
        <v>36</v>
      </c>
      <c r="K824" s="7" t="s">
        <v>611</v>
      </c>
      <c r="L824" s="7" t="s">
        <v>612</v>
      </c>
      <c r="M824" s="7" t="s">
        <v>613</v>
      </c>
      <c r="N824" s="7" t="s">
        <v>40</v>
      </c>
      <c r="O824" s="7">
        <v>1</v>
      </c>
      <c r="P824" s="7" t="s">
        <v>41</v>
      </c>
      <c r="Q824" s="7">
        <v>89.99</v>
      </c>
      <c r="Y824" s="7" t="s">
        <v>4168</v>
      </c>
      <c r="Z824" s="7" t="s">
        <v>146</v>
      </c>
      <c r="AA824" s="7" t="s">
        <v>4169</v>
      </c>
      <c r="AB824" s="7" t="s">
        <v>45</v>
      </c>
      <c r="AD824" s="11"/>
      <c r="AE824" s="11"/>
      <c r="AF824" s="11"/>
      <c r="AG824" s="10">
        <f t="shared" si="12"/>
        <v>43334</v>
      </c>
    </row>
    <row r="825" s="7" customFormat="1" spans="1:33">
      <c r="A825" s="7" t="s">
        <v>4176</v>
      </c>
      <c r="B825" s="7" t="s">
        <v>4176</v>
      </c>
      <c r="C825" s="7" t="s">
        <v>4177</v>
      </c>
      <c r="D825" s="7" t="s">
        <v>4178</v>
      </c>
      <c r="E825" s="7" t="s">
        <v>49</v>
      </c>
      <c r="F825" s="7" t="s">
        <v>34</v>
      </c>
      <c r="G825" s="7" t="s">
        <v>35</v>
      </c>
      <c r="J825" s="7" t="s">
        <v>36</v>
      </c>
      <c r="K825" s="7" t="s">
        <v>4179</v>
      </c>
      <c r="L825" s="7" t="s">
        <v>4180</v>
      </c>
      <c r="M825" s="7" t="s">
        <v>4181</v>
      </c>
      <c r="N825" s="7" t="s">
        <v>49</v>
      </c>
      <c r="O825" s="7">
        <v>1</v>
      </c>
      <c r="P825" s="7" t="s">
        <v>41</v>
      </c>
      <c r="Q825" s="7">
        <v>108.99</v>
      </c>
      <c r="S825" s="7">
        <v>8.07</v>
      </c>
      <c r="X825" s="7">
        <v>8.07</v>
      </c>
      <c r="Y825" s="7" t="s">
        <v>2002</v>
      </c>
      <c r="Z825" s="7" t="s">
        <v>221</v>
      </c>
      <c r="AA825" s="7">
        <v>60544</v>
      </c>
      <c r="AB825" s="7" t="s">
        <v>45</v>
      </c>
      <c r="AC825" s="7" t="s">
        <v>549</v>
      </c>
      <c r="AD825" s="11"/>
      <c r="AE825" s="11"/>
      <c r="AF825" s="11"/>
      <c r="AG825" s="10">
        <f t="shared" si="12"/>
        <v>43334</v>
      </c>
    </row>
    <row r="826" s="7" customFormat="1" spans="1:33">
      <c r="A826" s="7" t="s">
        <v>4182</v>
      </c>
      <c r="B826" s="7" t="s">
        <v>4182</v>
      </c>
      <c r="C826" s="7" t="s">
        <v>4183</v>
      </c>
      <c r="D826" s="7" t="s">
        <v>4184</v>
      </c>
      <c r="E826" s="7" t="s">
        <v>49</v>
      </c>
      <c r="F826" s="7" t="s">
        <v>34</v>
      </c>
      <c r="G826" s="7" t="s">
        <v>35</v>
      </c>
      <c r="J826" s="7" t="s">
        <v>326</v>
      </c>
      <c r="K826" s="7" t="s">
        <v>3489</v>
      </c>
      <c r="L826" s="7" t="s">
        <v>71</v>
      </c>
      <c r="M826" s="7" t="s">
        <v>72</v>
      </c>
      <c r="N826" s="7" t="s">
        <v>49</v>
      </c>
      <c r="O826" s="7">
        <v>1</v>
      </c>
      <c r="P826" s="7" t="s">
        <v>41</v>
      </c>
      <c r="Q826" s="7">
        <v>96.99</v>
      </c>
      <c r="S826" s="7">
        <v>22.7</v>
      </c>
      <c r="Y826" s="7" t="s">
        <v>553</v>
      </c>
      <c r="Z826" s="7" t="s">
        <v>178</v>
      </c>
      <c r="AA826" s="7" t="s">
        <v>4185</v>
      </c>
      <c r="AB826" s="7" t="s">
        <v>45</v>
      </c>
      <c r="AD826" s="11"/>
      <c r="AE826" s="11"/>
      <c r="AF826" s="11"/>
      <c r="AG826" s="10">
        <f t="shared" si="12"/>
        <v>43334</v>
      </c>
    </row>
    <row r="827" s="7" customFormat="1" spans="1:33">
      <c r="A827" s="7" t="s">
        <v>4186</v>
      </c>
      <c r="B827" s="7" t="s">
        <v>4186</v>
      </c>
      <c r="C827" s="7" t="s">
        <v>4187</v>
      </c>
      <c r="D827" s="7" t="s">
        <v>4188</v>
      </c>
      <c r="E827" s="7" t="s">
        <v>49</v>
      </c>
      <c r="F827" s="7" t="s">
        <v>34</v>
      </c>
      <c r="G827" s="7" t="s">
        <v>35</v>
      </c>
      <c r="J827" s="7" t="s">
        <v>50</v>
      </c>
      <c r="K827" s="7" t="s">
        <v>197</v>
      </c>
      <c r="L827" s="7" t="s">
        <v>977</v>
      </c>
      <c r="M827" s="7" t="s">
        <v>199</v>
      </c>
      <c r="N827" s="7" t="s">
        <v>49</v>
      </c>
      <c r="O827" s="7">
        <v>1</v>
      </c>
      <c r="P827" s="7" t="s">
        <v>41</v>
      </c>
      <c r="Q827" s="7">
        <v>21.99</v>
      </c>
      <c r="W827" s="7">
        <v>21.77</v>
      </c>
      <c r="Y827" s="7" t="s">
        <v>4189</v>
      </c>
      <c r="Z827" s="7" t="s">
        <v>4190</v>
      </c>
      <c r="AA827" s="7">
        <v>84043</v>
      </c>
      <c r="AB827" s="7" t="s">
        <v>45</v>
      </c>
      <c r="AC827" s="7" t="s">
        <v>66</v>
      </c>
      <c r="AD827" s="11"/>
      <c r="AE827" s="11"/>
      <c r="AF827" s="11"/>
      <c r="AG827" s="10">
        <f t="shared" si="12"/>
        <v>43334</v>
      </c>
    </row>
    <row r="828" s="7" customFormat="1" spans="1:33">
      <c r="A828" s="7" t="s">
        <v>4191</v>
      </c>
      <c r="B828" s="7" t="s">
        <v>4191</v>
      </c>
      <c r="C828" s="7" t="s">
        <v>4192</v>
      </c>
      <c r="D828" s="7" t="s">
        <v>4193</v>
      </c>
      <c r="E828" s="7" t="s">
        <v>49</v>
      </c>
      <c r="F828" s="7" t="s">
        <v>34</v>
      </c>
      <c r="G828" s="7" t="s">
        <v>35</v>
      </c>
      <c r="J828" s="7" t="s">
        <v>326</v>
      </c>
      <c r="K828" s="7" t="s">
        <v>289</v>
      </c>
      <c r="L828" s="7" t="s">
        <v>290</v>
      </c>
      <c r="M828" s="7" t="s">
        <v>291</v>
      </c>
      <c r="N828" s="7" t="s">
        <v>49</v>
      </c>
      <c r="O828" s="7">
        <v>1</v>
      </c>
      <c r="P828" s="7" t="s">
        <v>41</v>
      </c>
      <c r="Q828" s="7">
        <v>89.99</v>
      </c>
      <c r="S828" s="7">
        <v>7.99</v>
      </c>
      <c r="Y828" s="7" t="s">
        <v>4194</v>
      </c>
      <c r="Z828" s="7" t="s">
        <v>1302</v>
      </c>
      <c r="AA828" s="7">
        <v>6795</v>
      </c>
      <c r="AB828" s="7" t="s">
        <v>45</v>
      </c>
      <c r="AD828" s="11"/>
      <c r="AE828" s="11"/>
      <c r="AF828" s="11"/>
      <c r="AG828" s="10">
        <f t="shared" si="12"/>
        <v>43334</v>
      </c>
    </row>
    <row r="829" s="7" customFormat="1" spans="1:33">
      <c r="A829" s="7" t="s">
        <v>4195</v>
      </c>
      <c r="B829" s="7" t="s">
        <v>4195</v>
      </c>
      <c r="C829" s="7" t="s">
        <v>4196</v>
      </c>
      <c r="D829" s="7" t="s">
        <v>4197</v>
      </c>
      <c r="E829" s="7" t="s">
        <v>49</v>
      </c>
      <c r="F829" s="7" t="s">
        <v>34</v>
      </c>
      <c r="G829" s="7" t="s">
        <v>35</v>
      </c>
      <c r="J829" s="7" t="s">
        <v>36</v>
      </c>
      <c r="K829" s="7" t="s">
        <v>2650</v>
      </c>
      <c r="L829" s="7" t="s">
        <v>277</v>
      </c>
      <c r="M829" s="7" t="s">
        <v>278</v>
      </c>
      <c r="N829" s="7" t="s">
        <v>49</v>
      </c>
      <c r="O829" s="7">
        <v>1</v>
      </c>
      <c r="P829" s="7" t="s">
        <v>41</v>
      </c>
      <c r="Q829" s="7">
        <v>91.99</v>
      </c>
      <c r="S829" s="7">
        <v>6.12</v>
      </c>
      <c r="X829" s="7">
        <v>6.12</v>
      </c>
      <c r="Y829" s="7" t="s">
        <v>1634</v>
      </c>
      <c r="Z829" s="7" t="s">
        <v>346</v>
      </c>
      <c r="AA829" s="7" t="s">
        <v>4198</v>
      </c>
      <c r="AB829" s="7" t="s">
        <v>45</v>
      </c>
      <c r="AC829" s="7" t="s">
        <v>549</v>
      </c>
      <c r="AD829" s="11"/>
      <c r="AE829" s="11"/>
      <c r="AF829" s="11"/>
      <c r="AG829" s="10">
        <f t="shared" si="12"/>
        <v>43334</v>
      </c>
    </row>
    <row r="830" s="7" customFormat="1" spans="1:33">
      <c r="A830" s="7" t="s">
        <v>4199</v>
      </c>
      <c r="B830" s="7" t="s">
        <v>4199</v>
      </c>
      <c r="C830" s="7" t="s">
        <v>4200</v>
      </c>
      <c r="D830" s="7" t="s">
        <v>4201</v>
      </c>
      <c r="E830" s="7" t="s">
        <v>49</v>
      </c>
      <c r="F830" s="7" t="s">
        <v>34</v>
      </c>
      <c r="G830" s="7" t="s">
        <v>35</v>
      </c>
      <c r="J830" s="7" t="s">
        <v>50</v>
      </c>
      <c r="K830" s="7" t="s">
        <v>603</v>
      </c>
      <c r="L830" s="7" t="s">
        <v>604</v>
      </c>
      <c r="M830" s="7" t="s">
        <v>605</v>
      </c>
      <c r="N830" s="7" t="s">
        <v>49</v>
      </c>
      <c r="O830" s="7">
        <v>1</v>
      </c>
      <c r="P830" s="7" t="s">
        <v>41</v>
      </c>
      <c r="Q830" s="7">
        <v>99.99</v>
      </c>
      <c r="Y830" s="7" t="s">
        <v>4202</v>
      </c>
      <c r="Z830" s="7" t="s">
        <v>64</v>
      </c>
      <c r="AA830" s="7" t="s">
        <v>4203</v>
      </c>
      <c r="AB830" s="7" t="s">
        <v>45</v>
      </c>
      <c r="AD830" s="11"/>
      <c r="AE830" s="11"/>
      <c r="AF830" s="11"/>
      <c r="AG830" s="10">
        <f t="shared" si="12"/>
        <v>43334</v>
      </c>
    </row>
    <row r="831" s="7" customFormat="1" spans="1:33">
      <c r="A831" s="7" t="s">
        <v>4204</v>
      </c>
      <c r="B831" s="7" t="s">
        <v>4204</v>
      </c>
      <c r="C831" s="7" t="s">
        <v>4205</v>
      </c>
      <c r="D831" s="7" t="s">
        <v>4206</v>
      </c>
      <c r="E831" s="7" t="s">
        <v>49</v>
      </c>
      <c r="F831" s="7" t="s">
        <v>34</v>
      </c>
      <c r="G831" s="7" t="s">
        <v>35</v>
      </c>
      <c r="J831" s="7" t="s">
        <v>50</v>
      </c>
      <c r="K831" s="7" t="s">
        <v>3489</v>
      </c>
      <c r="L831" s="7" t="s">
        <v>71</v>
      </c>
      <c r="M831" s="7" t="s">
        <v>72</v>
      </c>
      <c r="N831" s="7" t="s">
        <v>49</v>
      </c>
      <c r="O831" s="7">
        <v>1</v>
      </c>
      <c r="P831" s="7" t="s">
        <v>41</v>
      </c>
      <c r="Q831" s="7">
        <v>96.99</v>
      </c>
      <c r="Y831" s="7" t="s">
        <v>4207</v>
      </c>
      <c r="Z831" s="7" t="s">
        <v>221</v>
      </c>
      <c r="AA831" s="7" t="s">
        <v>4208</v>
      </c>
      <c r="AB831" s="7" t="s">
        <v>45</v>
      </c>
      <c r="AD831" s="11"/>
      <c r="AE831" s="11"/>
      <c r="AF831" s="11"/>
      <c r="AG831" s="10">
        <f t="shared" si="12"/>
        <v>43334</v>
      </c>
    </row>
    <row r="832" s="7" customFormat="1" spans="1:33">
      <c r="A832" s="7" t="s">
        <v>4204</v>
      </c>
      <c r="B832" s="7" t="s">
        <v>4204</v>
      </c>
      <c r="C832" s="7" t="s">
        <v>4205</v>
      </c>
      <c r="D832" s="7" t="s">
        <v>4206</v>
      </c>
      <c r="E832" s="7" t="s">
        <v>49</v>
      </c>
      <c r="F832" s="7" t="s">
        <v>34</v>
      </c>
      <c r="G832" s="7" t="s">
        <v>35</v>
      </c>
      <c r="J832" s="7" t="s">
        <v>50</v>
      </c>
      <c r="K832" s="7" t="s">
        <v>197</v>
      </c>
      <c r="L832" s="7" t="s">
        <v>977</v>
      </c>
      <c r="M832" s="7" t="s">
        <v>199</v>
      </c>
      <c r="N832" s="7" t="s">
        <v>49</v>
      </c>
      <c r="O832" s="7">
        <v>1</v>
      </c>
      <c r="P832" s="7" t="s">
        <v>41</v>
      </c>
      <c r="Q832" s="7">
        <v>21.99</v>
      </c>
      <c r="Y832" s="7" t="s">
        <v>4207</v>
      </c>
      <c r="Z832" s="7" t="s">
        <v>221</v>
      </c>
      <c r="AA832" s="7" t="s">
        <v>4208</v>
      </c>
      <c r="AB832" s="7" t="s">
        <v>45</v>
      </c>
      <c r="AD832" s="11"/>
      <c r="AE832" s="11"/>
      <c r="AF832" s="11"/>
      <c r="AG832" s="10">
        <f t="shared" si="12"/>
        <v>43334</v>
      </c>
    </row>
    <row r="833" s="7" customFormat="1" spans="1:33">
      <c r="A833" s="7" t="s">
        <v>4209</v>
      </c>
      <c r="B833" s="7" t="s">
        <v>4209</v>
      </c>
      <c r="C833" s="7" t="s">
        <v>4210</v>
      </c>
      <c r="D833" s="7" t="s">
        <v>4211</v>
      </c>
      <c r="E833" s="7" t="s">
        <v>49</v>
      </c>
      <c r="F833" s="7" t="s">
        <v>34</v>
      </c>
      <c r="G833" s="7" t="s">
        <v>35</v>
      </c>
      <c r="J833" s="7" t="s">
        <v>50</v>
      </c>
      <c r="K833" s="7" t="s">
        <v>235</v>
      </c>
      <c r="L833" s="7" t="s">
        <v>236</v>
      </c>
      <c r="M833" s="7" t="s">
        <v>237</v>
      </c>
      <c r="N833" s="7" t="s">
        <v>49</v>
      </c>
      <c r="O833" s="7">
        <v>1</v>
      </c>
      <c r="P833" s="7" t="s">
        <v>41</v>
      </c>
      <c r="Q833" s="7">
        <v>99.99</v>
      </c>
      <c r="Y833" s="7" t="s">
        <v>4212</v>
      </c>
      <c r="Z833" s="7" t="s">
        <v>266</v>
      </c>
      <c r="AA833" s="7" t="s">
        <v>4213</v>
      </c>
      <c r="AB833" s="7" t="s">
        <v>45</v>
      </c>
      <c r="AD833" s="11"/>
      <c r="AE833" s="11"/>
      <c r="AF833" s="11"/>
      <c r="AG833" s="10">
        <f t="shared" si="12"/>
        <v>43334</v>
      </c>
    </row>
    <row r="834" s="7" customFormat="1" spans="1:33">
      <c r="A834" s="7" t="s">
        <v>4214</v>
      </c>
      <c r="B834" s="7" t="s">
        <v>4214</v>
      </c>
      <c r="C834" s="7" t="s">
        <v>4215</v>
      </c>
      <c r="D834" s="7" t="s">
        <v>4216</v>
      </c>
      <c r="E834" s="7" t="s">
        <v>49</v>
      </c>
      <c r="F834" s="7" t="s">
        <v>34</v>
      </c>
      <c r="G834" s="7" t="s">
        <v>35</v>
      </c>
      <c r="J834" s="7" t="s">
        <v>50</v>
      </c>
      <c r="K834" s="7" t="s">
        <v>1099</v>
      </c>
      <c r="L834" s="7" t="s">
        <v>1100</v>
      </c>
      <c r="M834" s="7" t="s">
        <v>1101</v>
      </c>
      <c r="N834" s="7" t="s">
        <v>49</v>
      </c>
      <c r="O834" s="7">
        <v>1</v>
      </c>
      <c r="P834" s="7" t="s">
        <v>41</v>
      </c>
      <c r="Q834" s="7">
        <v>79.99</v>
      </c>
      <c r="Y834" s="7" t="s">
        <v>4217</v>
      </c>
      <c r="Z834" s="7" t="s">
        <v>1825</v>
      </c>
      <c r="AA834" s="7">
        <v>80239</v>
      </c>
      <c r="AB834" s="7" t="s">
        <v>45</v>
      </c>
      <c r="AD834" s="11"/>
      <c r="AE834" s="11"/>
      <c r="AF834" s="11"/>
      <c r="AG834" s="10">
        <f t="shared" ref="AG834:AG897" si="13">DATEVALUE(LEFT(C834,10))</f>
        <v>43334</v>
      </c>
    </row>
    <row r="835" s="7" customFormat="1" spans="1:33">
      <c r="A835" s="7" t="s">
        <v>4218</v>
      </c>
      <c r="B835" s="7" t="s">
        <v>4218</v>
      </c>
      <c r="C835" s="7" t="s">
        <v>4219</v>
      </c>
      <c r="D835" s="7" t="s">
        <v>4220</v>
      </c>
      <c r="E835" s="7" t="s">
        <v>49</v>
      </c>
      <c r="F835" s="7" t="s">
        <v>34</v>
      </c>
      <c r="G835" s="7" t="s">
        <v>35</v>
      </c>
      <c r="J835" s="7" t="s">
        <v>50</v>
      </c>
      <c r="K835" s="7" t="s">
        <v>1503</v>
      </c>
      <c r="L835" s="7" t="s">
        <v>1504</v>
      </c>
      <c r="M835" s="7" t="s">
        <v>1505</v>
      </c>
      <c r="N835" s="7" t="s">
        <v>49</v>
      </c>
      <c r="O835" s="7">
        <v>1</v>
      </c>
      <c r="P835" s="7" t="s">
        <v>41</v>
      </c>
      <c r="Q835" s="7">
        <v>89.99</v>
      </c>
      <c r="Y835" s="7" t="s">
        <v>4221</v>
      </c>
      <c r="Z835" s="7" t="s">
        <v>55</v>
      </c>
      <c r="AA835" s="7" t="s">
        <v>4222</v>
      </c>
      <c r="AB835" s="7" t="s">
        <v>45</v>
      </c>
      <c r="AD835" s="11"/>
      <c r="AE835" s="11"/>
      <c r="AF835" s="11"/>
      <c r="AG835" s="10">
        <f t="shared" si="13"/>
        <v>43334</v>
      </c>
    </row>
    <row r="836" s="7" customFormat="1" spans="1:33">
      <c r="A836" s="7" t="s">
        <v>4223</v>
      </c>
      <c r="B836" s="7" t="s">
        <v>4224</v>
      </c>
      <c r="C836" s="7" t="s">
        <v>4225</v>
      </c>
      <c r="D836" s="7" t="s">
        <v>4226</v>
      </c>
      <c r="E836" s="7" t="s">
        <v>2731</v>
      </c>
      <c r="F836" s="7" t="s">
        <v>34</v>
      </c>
      <c r="G836" s="7" t="s">
        <v>719</v>
      </c>
      <c r="J836" s="7" t="s">
        <v>36</v>
      </c>
      <c r="K836" s="7" t="s">
        <v>79</v>
      </c>
      <c r="L836" s="7" t="s">
        <v>80</v>
      </c>
      <c r="M836" s="7" t="s">
        <v>81</v>
      </c>
      <c r="N836" s="7" t="s">
        <v>40</v>
      </c>
      <c r="O836" s="7">
        <v>1</v>
      </c>
      <c r="Y836" s="7" t="s">
        <v>1511</v>
      </c>
      <c r="Z836" s="7" t="s">
        <v>346</v>
      </c>
      <c r="AA836" s="7" t="s">
        <v>1512</v>
      </c>
      <c r="AB836" s="7" t="s">
        <v>45</v>
      </c>
      <c r="AD836" s="8"/>
      <c r="AE836" s="8"/>
      <c r="AF836" s="8"/>
      <c r="AG836" s="10">
        <f t="shared" si="13"/>
        <v>43335</v>
      </c>
    </row>
    <row r="837" s="7" customFormat="1" spans="1:33">
      <c r="A837" s="7" t="s">
        <v>4227</v>
      </c>
      <c r="B837" s="7" t="s">
        <v>4227</v>
      </c>
      <c r="C837" s="7" t="s">
        <v>4228</v>
      </c>
      <c r="D837" s="7" t="s">
        <v>4229</v>
      </c>
      <c r="E837" s="7" t="s">
        <v>49</v>
      </c>
      <c r="F837" s="7" t="s">
        <v>34</v>
      </c>
      <c r="G837" s="7" t="s">
        <v>35</v>
      </c>
      <c r="J837" s="7" t="s">
        <v>50</v>
      </c>
      <c r="K837" s="7" t="s">
        <v>2650</v>
      </c>
      <c r="L837" s="7" t="s">
        <v>277</v>
      </c>
      <c r="M837" s="7" t="s">
        <v>278</v>
      </c>
      <c r="N837" s="7" t="s">
        <v>49</v>
      </c>
      <c r="O837" s="7">
        <v>1</v>
      </c>
      <c r="P837" s="7" t="s">
        <v>41</v>
      </c>
      <c r="Q837" s="7">
        <v>91.99</v>
      </c>
      <c r="Y837" s="7" t="s">
        <v>4230</v>
      </c>
      <c r="Z837" s="7" t="s">
        <v>1246</v>
      </c>
      <c r="AA837" s="7" t="s">
        <v>4231</v>
      </c>
      <c r="AB837" s="7" t="s">
        <v>45</v>
      </c>
      <c r="AD837" s="11"/>
      <c r="AE837" s="11"/>
      <c r="AF837" s="11"/>
      <c r="AG837" s="10">
        <f t="shared" si="13"/>
        <v>43335</v>
      </c>
    </row>
    <row r="838" s="7" customFormat="1" spans="1:33">
      <c r="A838" s="7" t="s">
        <v>4232</v>
      </c>
      <c r="B838" s="7" t="s">
        <v>4232</v>
      </c>
      <c r="C838" s="7" t="s">
        <v>4233</v>
      </c>
      <c r="D838" s="7" t="s">
        <v>4234</v>
      </c>
      <c r="E838" s="7" t="s">
        <v>49</v>
      </c>
      <c r="F838" s="7" t="s">
        <v>34</v>
      </c>
      <c r="G838" s="7" t="s">
        <v>35</v>
      </c>
      <c r="J838" s="7" t="s">
        <v>50</v>
      </c>
      <c r="K838" s="7" t="s">
        <v>1137</v>
      </c>
      <c r="L838" s="7" t="s">
        <v>1138</v>
      </c>
      <c r="M838" s="7" t="s">
        <v>1139</v>
      </c>
      <c r="N838" s="7" t="s">
        <v>49</v>
      </c>
      <c r="O838" s="7">
        <v>1</v>
      </c>
      <c r="P838" s="7" t="s">
        <v>41</v>
      </c>
      <c r="Q838" s="7">
        <v>32.99</v>
      </c>
      <c r="Y838" s="7" t="s">
        <v>4235</v>
      </c>
      <c r="Z838" s="7" t="s">
        <v>1381</v>
      </c>
      <c r="AA838" s="7" t="s">
        <v>4236</v>
      </c>
      <c r="AB838" s="7" t="s">
        <v>45</v>
      </c>
      <c r="AD838" s="11"/>
      <c r="AE838" s="11"/>
      <c r="AF838" s="11"/>
      <c r="AG838" s="10">
        <f t="shared" si="13"/>
        <v>43335</v>
      </c>
    </row>
    <row r="839" s="7" customFormat="1" spans="1:33">
      <c r="A839" s="7" t="s">
        <v>4237</v>
      </c>
      <c r="B839" s="7" t="s">
        <v>4237</v>
      </c>
      <c r="C839" s="7" t="s">
        <v>4238</v>
      </c>
      <c r="D839" s="7" t="s">
        <v>4239</v>
      </c>
      <c r="E839" s="7" t="s">
        <v>49</v>
      </c>
      <c r="F839" s="7" t="s">
        <v>34</v>
      </c>
      <c r="G839" s="7" t="s">
        <v>35</v>
      </c>
      <c r="J839" s="7" t="s">
        <v>50</v>
      </c>
      <c r="K839" s="7" t="s">
        <v>2316</v>
      </c>
      <c r="L839" s="7" t="s">
        <v>495</v>
      </c>
      <c r="M839" s="7" t="s">
        <v>496</v>
      </c>
      <c r="N839" s="7" t="s">
        <v>49</v>
      </c>
      <c r="O839" s="7">
        <v>1</v>
      </c>
      <c r="P839" s="7" t="s">
        <v>41</v>
      </c>
      <c r="Q839" s="7">
        <v>99.99</v>
      </c>
      <c r="Y839" s="7" t="s">
        <v>4240</v>
      </c>
      <c r="Z839" s="7" t="s">
        <v>83</v>
      </c>
      <c r="AA839" s="7" t="s">
        <v>4241</v>
      </c>
      <c r="AB839" s="7" t="s">
        <v>45</v>
      </c>
      <c r="AD839" s="11"/>
      <c r="AE839" s="11"/>
      <c r="AF839" s="11"/>
      <c r="AG839" s="10">
        <f t="shared" si="13"/>
        <v>43335</v>
      </c>
    </row>
    <row r="840" s="7" customFormat="1" spans="1:33">
      <c r="A840" s="7" t="s">
        <v>4242</v>
      </c>
      <c r="B840" s="7" t="s">
        <v>4242</v>
      </c>
      <c r="C840" s="7" t="s">
        <v>4243</v>
      </c>
      <c r="D840" s="7" t="s">
        <v>4244</v>
      </c>
      <c r="E840" s="7" t="s">
        <v>49</v>
      </c>
      <c r="F840" s="7" t="s">
        <v>34</v>
      </c>
      <c r="G840" s="7" t="s">
        <v>35</v>
      </c>
      <c r="J840" s="7" t="s">
        <v>50</v>
      </c>
      <c r="K840" s="7" t="s">
        <v>2413</v>
      </c>
      <c r="L840" s="7" t="s">
        <v>143</v>
      </c>
      <c r="M840" s="7" t="s">
        <v>144</v>
      </c>
      <c r="N840" s="7" t="s">
        <v>49</v>
      </c>
      <c r="O840" s="7">
        <v>1</v>
      </c>
      <c r="P840" s="7" t="s">
        <v>41</v>
      </c>
      <c r="Q840" s="7">
        <v>79.99</v>
      </c>
      <c r="Y840" s="7" t="s">
        <v>459</v>
      </c>
      <c r="Z840" s="7" t="s">
        <v>346</v>
      </c>
      <c r="AA840" s="7" t="s">
        <v>4245</v>
      </c>
      <c r="AB840" s="7" t="s">
        <v>45</v>
      </c>
      <c r="AD840" s="11"/>
      <c r="AE840" s="11"/>
      <c r="AF840" s="11"/>
      <c r="AG840" s="10">
        <f t="shared" si="13"/>
        <v>43335</v>
      </c>
    </row>
    <row r="841" s="7" customFormat="1" spans="1:33">
      <c r="A841" s="7" t="s">
        <v>4246</v>
      </c>
      <c r="B841" s="7" t="s">
        <v>4246</v>
      </c>
      <c r="C841" s="7" t="s">
        <v>4247</v>
      </c>
      <c r="D841" s="7" t="s">
        <v>4248</v>
      </c>
      <c r="E841" s="7" t="s">
        <v>49</v>
      </c>
      <c r="F841" s="7" t="s">
        <v>34</v>
      </c>
      <c r="G841" s="7" t="s">
        <v>35</v>
      </c>
      <c r="J841" s="7" t="s">
        <v>50</v>
      </c>
      <c r="K841" s="7" t="s">
        <v>60</v>
      </c>
      <c r="L841" s="7" t="s">
        <v>61</v>
      </c>
      <c r="M841" s="7" t="s">
        <v>62</v>
      </c>
      <c r="N841" s="7" t="s">
        <v>49</v>
      </c>
      <c r="O841" s="7">
        <v>1</v>
      </c>
      <c r="P841" s="7" t="s">
        <v>41</v>
      </c>
      <c r="Q841" s="7">
        <v>21.99</v>
      </c>
      <c r="Y841" s="7" t="s">
        <v>4249</v>
      </c>
      <c r="Z841" s="7" t="s">
        <v>260</v>
      </c>
      <c r="AA841" s="7" t="s">
        <v>4250</v>
      </c>
      <c r="AB841" s="7" t="s">
        <v>45</v>
      </c>
      <c r="AD841" s="11"/>
      <c r="AE841" s="11"/>
      <c r="AF841" s="11"/>
      <c r="AG841" s="10">
        <f t="shared" si="13"/>
        <v>43335</v>
      </c>
    </row>
    <row r="842" s="7" customFormat="1" spans="1:33">
      <c r="A842" s="7" t="s">
        <v>4251</v>
      </c>
      <c r="B842" s="7" t="s">
        <v>4251</v>
      </c>
      <c r="C842" s="7" t="s">
        <v>4252</v>
      </c>
      <c r="D842" s="7" t="s">
        <v>4253</v>
      </c>
      <c r="E842" s="7" t="s">
        <v>49</v>
      </c>
      <c r="F842" s="7" t="s">
        <v>34</v>
      </c>
      <c r="G842" s="7" t="s">
        <v>35</v>
      </c>
      <c r="J842" s="7" t="s">
        <v>36</v>
      </c>
      <c r="K842" s="7" t="s">
        <v>1686</v>
      </c>
      <c r="L842" s="7" t="s">
        <v>1687</v>
      </c>
      <c r="M842" s="7" t="s">
        <v>1688</v>
      </c>
      <c r="N842" s="7" t="s">
        <v>49</v>
      </c>
      <c r="O842" s="7">
        <v>1</v>
      </c>
      <c r="P842" s="7" t="s">
        <v>41</v>
      </c>
      <c r="Q842" s="7">
        <v>108.99</v>
      </c>
      <c r="S842" s="7">
        <v>8.1</v>
      </c>
      <c r="X842" s="7">
        <v>8.1</v>
      </c>
      <c r="Y842" s="7" t="s">
        <v>4254</v>
      </c>
      <c r="Z842" s="7" t="s">
        <v>346</v>
      </c>
      <c r="AA842" s="7" t="s">
        <v>4255</v>
      </c>
      <c r="AB842" s="7" t="s">
        <v>45</v>
      </c>
      <c r="AC842" s="7" t="s">
        <v>549</v>
      </c>
      <c r="AD842" s="11"/>
      <c r="AE842" s="11"/>
      <c r="AF842" s="11"/>
      <c r="AG842" s="10">
        <f t="shared" si="13"/>
        <v>43335</v>
      </c>
    </row>
    <row r="843" s="7" customFormat="1" spans="1:33">
      <c r="A843" s="7" t="s">
        <v>4256</v>
      </c>
      <c r="B843" s="7" t="s">
        <v>4256</v>
      </c>
      <c r="C843" s="7" t="s">
        <v>4257</v>
      </c>
      <c r="D843" s="7" t="s">
        <v>4258</v>
      </c>
      <c r="E843" s="7" t="s">
        <v>49</v>
      </c>
      <c r="F843" s="7" t="s">
        <v>34</v>
      </c>
      <c r="G843" s="7" t="s">
        <v>35</v>
      </c>
      <c r="J843" s="7" t="s">
        <v>50</v>
      </c>
      <c r="K843" s="7" t="s">
        <v>2650</v>
      </c>
      <c r="L843" s="7" t="s">
        <v>277</v>
      </c>
      <c r="M843" s="7" t="s">
        <v>278</v>
      </c>
      <c r="N843" s="7" t="s">
        <v>49</v>
      </c>
      <c r="O843" s="7">
        <v>1</v>
      </c>
      <c r="P843" s="7" t="s">
        <v>41</v>
      </c>
      <c r="Q843" s="7">
        <v>91.99</v>
      </c>
      <c r="Y843" s="7" t="s">
        <v>1212</v>
      </c>
      <c r="Z843" s="7" t="s">
        <v>178</v>
      </c>
      <c r="AA843" s="7" t="s">
        <v>4259</v>
      </c>
      <c r="AB843" s="7" t="s">
        <v>45</v>
      </c>
      <c r="AD843" s="11"/>
      <c r="AE843" s="11"/>
      <c r="AF843" s="11"/>
      <c r="AG843" s="10">
        <f t="shared" si="13"/>
        <v>43335</v>
      </c>
    </row>
    <row r="844" s="7" customFormat="1" spans="1:33">
      <c r="A844" s="7" t="s">
        <v>4260</v>
      </c>
      <c r="B844" s="7" t="s">
        <v>4260</v>
      </c>
      <c r="C844" s="7" t="s">
        <v>4261</v>
      </c>
      <c r="D844" s="7" t="s">
        <v>4262</v>
      </c>
      <c r="E844" s="7" t="s">
        <v>49</v>
      </c>
      <c r="F844" s="7" t="s">
        <v>34</v>
      </c>
      <c r="G844" s="7" t="s">
        <v>35</v>
      </c>
      <c r="J844" s="7" t="s">
        <v>36</v>
      </c>
      <c r="K844" s="7" t="s">
        <v>289</v>
      </c>
      <c r="L844" s="7" t="s">
        <v>290</v>
      </c>
      <c r="M844" s="7" t="s">
        <v>291</v>
      </c>
      <c r="N844" s="7" t="s">
        <v>49</v>
      </c>
      <c r="O844" s="7">
        <v>1</v>
      </c>
      <c r="P844" s="7" t="s">
        <v>41</v>
      </c>
      <c r="Q844" s="7">
        <v>89.99</v>
      </c>
      <c r="S844" s="7">
        <v>7.24</v>
      </c>
      <c r="X844" s="7">
        <v>7.24</v>
      </c>
      <c r="Y844" s="7" t="s">
        <v>4263</v>
      </c>
      <c r="Z844" s="7" t="s">
        <v>346</v>
      </c>
      <c r="AA844" s="7">
        <v>13205</v>
      </c>
      <c r="AB844" s="7" t="s">
        <v>45</v>
      </c>
      <c r="AC844" s="7" t="s">
        <v>549</v>
      </c>
      <c r="AD844" s="11"/>
      <c r="AE844" s="11"/>
      <c r="AF844" s="11"/>
      <c r="AG844" s="10">
        <f t="shared" si="13"/>
        <v>43335</v>
      </c>
    </row>
    <row r="845" s="7" customFormat="1" spans="1:33">
      <c r="A845" s="7" t="s">
        <v>4264</v>
      </c>
      <c r="B845" s="7" t="s">
        <v>4264</v>
      </c>
      <c r="C845" s="7" t="s">
        <v>4265</v>
      </c>
      <c r="D845" s="7" t="s">
        <v>4266</v>
      </c>
      <c r="E845" s="7" t="s">
        <v>49</v>
      </c>
      <c r="F845" s="7" t="s">
        <v>34</v>
      </c>
      <c r="G845" s="7" t="s">
        <v>35</v>
      </c>
      <c r="J845" s="7" t="s">
        <v>50</v>
      </c>
      <c r="K845" s="7" t="s">
        <v>2757</v>
      </c>
      <c r="L845" s="7" t="s">
        <v>2758</v>
      </c>
      <c r="M845" s="7" t="s">
        <v>2759</v>
      </c>
      <c r="N845" s="7" t="s">
        <v>49</v>
      </c>
      <c r="O845" s="7">
        <v>1</v>
      </c>
      <c r="P845" s="7" t="s">
        <v>41</v>
      </c>
      <c r="Q845" s="7">
        <v>99.6</v>
      </c>
      <c r="W845" s="7">
        <v>10</v>
      </c>
      <c r="Y845" s="7" t="s">
        <v>4267</v>
      </c>
      <c r="Z845" s="7" t="s">
        <v>55</v>
      </c>
      <c r="AA845" s="7" t="s">
        <v>4268</v>
      </c>
      <c r="AB845" s="7" t="s">
        <v>45</v>
      </c>
      <c r="AC845" s="7" t="s">
        <v>4269</v>
      </c>
      <c r="AD845" s="11"/>
      <c r="AE845" s="11"/>
      <c r="AF845" s="11"/>
      <c r="AG845" s="10">
        <f t="shared" si="13"/>
        <v>43335</v>
      </c>
    </row>
    <row r="846" s="7" customFormat="1" spans="1:33">
      <c r="A846" s="7" t="s">
        <v>4270</v>
      </c>
      <c r="B846" s="7" t="s">
        <v>4270</v>
      </c>
      <c r="C846" s="7" t="s">
        <v>4271</v>
      </c>
      <c r="D846" s="7" t="s">
        <v>4272</v>
      </c>
      <c r="E846" s="7" t="s">
        <v>33</v>
      </c>
      <c r="F846" s="7" t="s">
        <v>34</v>
      </c>
      <c r="G846" s="7" t="s">
        <v>35</v>
      </c>
      <c r="J846" s="7" t="s">
        <v>326</v>
      </c>
      <c r="K846" s="7" t="s">
        <v>208</v>
      </c>
      <c r="L846" s="7" t="s">
        <v>209</v>
      </c>
      <c r="M846" s="7" t="s">
        <v>210</v>
      </c>
      <c r="N846" s="7" t="s">
        <v>33</v>
      </c>
      <c r="O846" s="7">
        <v>0</v>
      </c>
      <c r="Y846" s="7" t="s">
        <v>4273</v>
      </c>
      <c r="Z846" s="7" t="s">
        <v>872</v>
      </c>
      <c r="AA846" s="7" t="s">
        <v>4274</v>
      </c>
      <c r="AB846" s="7" t="s">
        <v>45</v>
      </c>
      <c r="AD846" s="11"/>
      <c r="AE846" s="11"/>
      <c r="AF846" s="11"/>
      <c r="AG846" s="10">
        <f t="shared" si="13"/>
        <v>43335</v>
      </c>
    </row>
    <row r="847" s="7" customFormat="1" spans="1:33">
      <c r="A847" s="7" t="s">
        <v>4275</v>
      </c>
      <c r="B847" s="7" t="s">
        <v>4275</v>
      </c>
      <c r="C847" s="7" t="s">
        <v>4276</v>
      </c>
      <c r="D847" s="7" t="s">
        <v>4277</v>
      </c>
      <c r="E847" s="7" t="s">
        <v>4278</v>
      </c>
      <c r="F847" s="7" t="s">
        <v>34</v>
      </c>
      <c r="G847" s="7" t="s">
        <v>35</v>
      </c>
      <c r="J847" s="7" t="s">
        <v>36</v>
      </c>
      <c r="K847" s="7" t="s">
        <v>2454</v>
      </c>
      <c r="L847" s="7" t="s">
        <v>2455</v>
      </c>
      <c r="M847" s="7" t="s">
        <v>2456</v>
      </c>
      <c r="N847" s="7" t="s">
        <v>40</v>
      </c>
      <c r="O847" s="7">
        <v>1</v>
      </c>
      <c r="P847" s="7" t="s">
        <v>41</v>
      </c>
      <c r="Q847" s="7">
        <v>79.99</v>
      </c>
      <c r="Y847" s="7" t="s">
        <v>4279</v>
      </c>
      <c r="Z847" s="7" t="s">
        <v>43</v>
      </c>
      <c r="AA847" s="7" t="s">
        <v>4280</v>
      </c>
      <c r="AB847" s="7" t="s">
        <v>45</v>
      </c>
      <c r="AC847" s="7" t="s">
        <v>549</v>
      </c>
      <c r="AD847" s="11"/>
      <c r="AE847" s="11"/>
      <c r="AF847" s="11"/>
      <c r="AG847" s="10">
        <f t="shared" si="13"/>
        <v>43335</v>
      </c>
    </row>
    <row r="848" s="7" customFormat="1" spans="1:33">
      <c r="A848" s="7" t="s">
        <v>4281</v>
      </c>
      <c r="B848" s="7" t="s">
        <v>4281</v>
      </c>
      <c r="C848" s="7" t="s">
        <v>4282</v>
      </c>
      <c r="D848" s="7" t="s">
        <v>4283</v>
      </c>
      <c r="E848" s="7" t="s">
        <v>49</v>
      </c>
      <c r="F848" s="7" t="s">
        <v>34</v>
      </c>
      <c r="G848" s="7" t="s">
        <v>35</v>
      </c>
      <c r="J848" s="7" t="s">
        <v>50</v>
      </c>
      <c r="K848" s="7" t="s">
        <v>3250</v>
      </c>
      <c r="L848" s="7" t="s">
        <v>3251</v>
      </c>
      <c r="M848" s="7" t="s">
        <v>3252</v>
      </c>
      <c r="N848" s="7" t="s">
        <v>49</v>
      </c>
      <c r="O848" s="7">
        <v>1</v>
      </c>
      <c r="P848" s="7" t="s">
        <v>41</v>
      </c>
      <c r="Q848" s="7">
        <v>69.99</v>
      </c>
      <c r="Y848" s="7" t="s">
        <v>4284</v>
      </c>
      <c r="Z848" s="7" t="s">
        <v>4285</v>
      </c>
      <c r="AA848" s="7" t="s">
        <v>4286</v>
      </c>
      <c r="AB848" s="7" t="s">
        <v>45</v>
      </c>
      <c r="AD848" s="11"/>
      <c r="AE848" s="11"/>
      <c r="AF848" s="11"/>
      <c r="AG848" s="10">
        <f t="shared" si="13"/>
        <v>43335</v>
      </c>
    </row>
    <row r="849" s="7" customFormat="1" spans="1:33">
      <c r="A849" s="7" t="s">
        <v>4287</v>
      </c>
      <c r="B849" s="7" t="s">
        <v>4287</v>
      </c>
      <c r="C849" s="7" t="s">
        <v>4288</v>
      </c>
      <c r="D849" s="7" t="s">
        <v>4289</v>
      </c>
      <c r="E849" s="7" t="s">
        <v>49</v>
      </c>
      <c r="F849" s="7" t="s">
        <v>34</v>
      </c>
      <c r="G849" s="7" t="s">
        <v>35</v>
      </c>
      <c r="J849" s="7" t="s">
        <v>50</v>
      </c>
      <c r="K849" s="7" t="s">
        <v>1686</v>
      </c>
      <c r="L849" s="7" t="s">
        <v>1687</v>
      </c>
      <c r="M849" s="7" t="s">
        <v>1688</v>
      </c>
      <c r="N849" s="7" t="s">
        <v>49</v>
      </c>
      <c r="O849" s="7">
        <v>1</v>
      </c>
      <c r="P849" s="7" t="s">
        <v>41</v>
      </c>
      <c r="Q849" s="7">
        <v>108.99</v>
      </c>
      <c r="Y849" s="7" t="s">
        <v>4290</v>
      </c>
      <c r="Z849" s="7" t="s">
        <v>266</v>
      </c>
      <c r="AA849" s="7" t="s">
        <v>4291</v>
      </c>
      <c r="AB849" s="7" t="s">
        <v>45</v>
      </c>
      <c r="AD849" s="11"/>
      <c r="AE849" s="11"/>
      <c r="AF849" s="11"/>
      <c r="AG849" s="10">
        <f t="shared" si="13"/>
        <v>43335</v>
      </c>
    </row>
    <row r="850" s="7" customFormat="1" spans="1:33">
      <c r="A850" s="7" t="s">
        <v>4287</v>
      </c>
      <c r="B850" s="7" t="s">
        <v>4287</v>
      </c>
      <c r="C850" s="7" t="s">
        <v>4288</v>
      </c>
      <c r="D850" s="7" t="s">
        <v>4289</v>
      </c>
      <c r="E850" s="7" t="s">
        <v>49</v>
      </c>
      <c r="F850" s="7" t="s">
        <v>34</v>
      </c>
      <c r="G850" s="7" t="s">
        <v>35</v>
      </c>
      <c r="J850" s="7" t="s">
        <v>50</v>
      </c>
      <c r="K850" s="7" t="s">
        <v>2327</v>
      </c>
      <c r="L850" s="7" t="s">
        <v>2328</v>
      </c>
      <c r="M850" s="7" t="s">
        <v>2329</v>
      </c>
      <c r="N850" s="7" t="s">
        <v>49</v>
      </c>
      <c r="O850" s="7">
        <v>1</v>
      </c>
      <c r="P850" s="7" t="s">
        <v>41</v>
      </c>
      <c r="Q850" s="7">
        <v>108.99</v>
      </c>
      <c r="Y850" s="7" t="s">
        <v>4290</v>
      </c>
      <c r="Z850" s="7" t="s">
        <v>266</v>
      </c>
      <c r="AA850" s="7" t="s">
        <v>4291</v>
      </c>
      <c r="AB850" s="7" t="s">
        <v>45</v>
      </c>
      <c r="AD850" s="11"/>
      <c r="AE850" s="11"/>
      <c r="AF850" s="11"/>
      <c r="AG850" s="10">
        <f t="shared" si="13"/>
        <v>43335</v>
      </c>
    </row>
    <row r="851" s="7" customFormat="1" spans="1:33">
      <c r="A851" s="7" t="s">
        <v>4292</v>
      </c>
      <c r="B851" s="7" t="s">
        <v>4292</v>
      </c>
      <c r="C851" s="7" t="s">
        <v>4293</v>
      </c>
      <c r="D851" s="7" t="s">
        <v>4294</v>
      </c>
      <c r="E851" s="7" t="s">
        <v>49</v>
      </c>
      <c r="F851" s="7" t="s">
        <v>34</v>
      </c>
      <c r="G851" s="7" t="s">
        <v>35</v>
      </c>
      <c r="J851" s="7" t="s">
        <v>151</v>
      </c>
      <c r="K851" s="7" t="s">
        <v>160</v>
      </c>
      <c r="L851" s="7" t="s">
        <v>161</v>
      </c>
      <c r="M851" s="7" t="s">
        <v>162</v>
      </c>
      <c r="N851" s="7" t="s">
        <v>49</v>
      </c>
      <c r="O851" s="7">
        <v>1</v>
      </c>
      <c r="P851" s="7" t="s">
        <v>41</v>
      </c>
      <c r="Q851" s="7">
        <v>89.99</v>
      </c>
      <c r="S851" s="7">
        <v>1.99</v>
      </c>
      <c r="X851" s="7">
        <v>1.99</v>
      </c>
      <c r="Y851" s="7" t="s">
        <v>2033</v>
      </c>
      <c r="Z851" s="7" t="s">
        <v>331</v>
      </c>
      <c r="AA851" s="7" t="s">
        <v>4295</v>
      </c>
      <c r="AB851" s="7" t="s">
        <v>45</v>
      </c>
      <c r="AD851" s="11"/>
      <c r="AE851" s="11"/>
      <c r="AF851" s="11"/>
      <c r="AG851" s="10">
        <f t="shared" si="13"/>
        <v>43335</v>
      </c>
    </row>
    <row r="852" s="7" customFormat="1" spans="1:33">
      <c r="A852" s="7" t="s">
        <v>4296</v>
      </c>
      <c r="B852" s="7" t="s">
        <v>4296</v>
      </c>
      <c r="C852" s="7" t="s">
        <v>4297</v>
      </c>
      <c r="D852" s="7" t="s">
        <v>4298</v>
      </c>
      <c r="E852" s="7" t="s">
        <v>49</v>
      </c>
      <c r="F852" s="7" t="s">
        <v>34</v>
      </c>
      <c r="G852" s="7" t="s">
        <v>35</v>
      </c>
      <c r="J852" s="7" t="s">
        <v>36</v>
      </c>
      <c r="K852" s="7" t="s">
        <v>753</v>
      </c>
      <c r="L852" s="7" t="s">
        <v>754</v>
      </c>
      <c r="M852" s="7" t="s">
        <v>755</v>
      </c>
      <c r="N852" s="7" t="s">
        <v>49</v>
      </c>
      <c r="O852" s="7">
        <v>1</v>
      </c>
      <c r="P852" s="7" t="s">
        <v>41</v>
      </c>
      <c r="Q852" s="7">
        <v>89.6</v>
      </c>
      <c r="S852" s="7">
        <v>8.34</v>
      </c>
      <c r="Y852" s="7" t="s">
        <v>4299</v>
      </c>
      <c r="Z852" s="7" t="s">
        <v>115</v>
      </c>
      <c r="AA852" s="7" t="s">
        <v>4300</v>
      </c>
      <c r="AB852" s="7" t="s">
        <v>45</v>
      </c>
      <c r="AD852" s="11"/>
      <c r="AE852" s="11"/>
      <c r="AF852" s="11"/>
      <c r="AG852" s="10">
        <f t="shared" si="13"/>
        <v>43335</v>
      </c>
    </row>
    <row r="853" s="7" customFormat="1" spans="1:33">
      <c r="A853" s="7" t="s">
        <v>4301</v>
      </c>
      <c r="B853" s="7" t="s">
        <v>4301</v>
      </c>
      <c r="C853" s="7" t="s">
        <v>4302</v>
      </c>
      <c r="D853" s="7" t="s">
        <v>4303</v>
      </c>
      <c r="E853" s="7" t="s">
        <v>49</v>
      </c>
      <c r="F853" s="7" t="s">
        <v>34</v>
      </c>
      <c r="G853" s="7" t="s">
        <v>35</v>
      </c>
      <c r="J853" s="7" t="s">
        <v>326</v>
      </c>
      <c r="K853" s="7" t="s">
        <v>208</v>
      </c>
      <c r="L853" s="7" t="s">
        <v>209</v>
      </c>
      <c r="M853" s="7" t="s">
        <v>210</v>
      </c>
      <c r="N853" s="7" t="s">
        <v>49</v>
      </c>
      <c r="O853" s="7">
        <v>1</v>
      </c>
      <c r="P853" s="7" t="s">
        <v>41</v>
      </c>
      <c r="Q853" s="7">
        <v>89.99</v>
      </c>
      <c r="S853" s="7">
        <v>7.99</v>
      </c>
      <c r="Y853" s="7" t="s">
        <v>4304</v>
      </c>
      <c r="Z853" s="7" t="s">
        <v>489</v>
      </c>
      <c r="AA853" s="7" t="s">
        <v>4305</v>
      </c>
      <c r="AB853" s="7" t="s">
        <v>45</v>
      </c>
      <c r="AD853" s="11"/>
      <c r="AE853" s="11"/>
      <c r="AF853" s="11"/>
      <c r="AG853" s="10">
        <f t="shared" si="13"/>
        <v>43335</v>
      </c>
    </row>
    <row r="854" s="7" customFormat="1" spans="1:33">
      <c r="A854" s="7" t="s">
        <v>4306</v>
      </c>
      <c r="B854" s="7" t="s">
        <v>4306</v>
      </c>
      <c r="C854" s="7" t="s">
        <v>4307</v>
      </c>
      <c r="D854" s="7" t="s">
        <v>4308</v>
      </c>
      <c r="E854" s="7" t="s">
        <v>49</v>
      </c>
      <c r="F854" s="7" t="s">
        <v>34</v>
      </c>
      <c r="G854" s="7" t="s">
        <v>35</v>
      </c>
      <c r="J854" s="7" t="s">
        <v>50</v>
      </c>
      <c r="K854" s="7" t="s">
        <v>611</v>
      </c>
      <c r="L854" s="7" t="s">
        <v>612</v>
      </c>
      <c r="M854" s="7" t="s">
        <v>613</v>
      </c>
      <c r="N854" s="7" t="s">
        <v>49</v>
      </c>
      <c r="O854" s="7">
        <v>1</v>
      </c>
      <c r="P854" s="7" t="s">
        <v>41</v>
      </c>
      <c r="Q854" s="7">
        <v>89.99</v>
      </c>
      <c r="Y854" s="7" t="s">
        <v>300</v>
      </c>
      <c r="Z854" s="7" t="s">
        <v>280</v>
      </c>
      <c r="AA854" s="7" t="s">
        <v>301</v>
      </c>
      <c r="AB854" s="7" t="s">
        <v>45</v>
      </c>
      <c r="AD854" s="11"/>
      <c r="AE854" s="11"/>
      <c r="AF854" s="11"/>
      <c r="AG854" s="10">
        <f t="shared" si="13"/>
        <v>43335</v>
      </c>
    </row>
    <row r="855" s="7" customFormat="1" spans="1:33">
      <c r="A855" s="7" t="s">
        <v>4309</v>
      </c>
      <c r="B855" s="7" t="s">
        <v>4309</v>
      </c>
      <c r="C855" s="7" t="s">
        <v>4310</v>
      </c>
      <c r="D855" s="7" t="s">
        <v>4311</v>
      </c>
      <c r="E855" s="7" t="s">
        <v>4278</v>
      </c>
      <c r="F855" s="7" t="s">
        <v>34</v>
      </c>
      <c r="G855" s="7" t="s">
        <v>35</v>
      </c>
      <c r="J855" s="7" t="s">
        <v>36</v>
      </c>
      <c r="K855" s="7" t="s">
        <v>152</v>
      </c>
      <c r="L855" s="7" t="s">
        <v>153</v>
      </c>
      <c r="M855" s="7" t="s">
        <v>154</v>
      </c>
      <c r="N855" s="7" t="s">
        <v>40</v>
      </c>
      <c r="O855" s="7">
        <v>1</v>
      </c>
      <c r="P855" s="7" t="s">
        <v>41</v>
      </c>
      <c r="Q855" s="7">
        <v>79.99</v>
      </c>
      <c r="Y855" s="7" t="s">
        <v>459</v>
      </c>
      <c r="Z855" s="7" t="s">
        <v>346</v>
      </c>
      <c r="AA855" s="7" t="s">
        <v>4312</v>
      </c>
      <c r="AB855" s="7" t="s">
        <v>45</v>
      </c>
      <c r="AD855" s="11"/>
      <c r="AE855" s="11"/>
      <c r="AF855" s="11"/>
      <c r="AG855" s="10">
        <f t="shared" si="13"/>
        <v>43335</v>
      </c>
    </row>
    <row r="856" s="7" customFormat="1" spans="1:33">
      <c r="A856" s="7" t="s">
        <v>4313</v>
      </c>
      <c r="B856" s="7" t="s">
        <v>4313</v>
      </c>
      <c r="C856" s="7" t="s">
        <v>4314</v>
      </c>
      <c r="D856" s="7" t="s">
        <v>4315</v>
      </c>
      <c r="E856" s="7" t="s">
        <v>49</v>
      </c>
      <c r="F856" s="7" t="s">
        <v>34</v>
      </c>
      <c r="G856" s="7" t="s">
        <v>35</v>
      </c>
      <c r="J856" s="7" t="s">
        <v>50</v>
      </c>
      <c r="K856" s="7" t="s">
        <v>3449</v>
      </c>
      <c r="L856" s="7" t="s">
        <v>3450</v>
      </c>
      <c r="M856" s="7" t="s">
        <v>3451</v>
      </c>
      <c r="N856" s="7" t="s">
        <v>49</v>
      </c>
      <c r="O856" s="7">
        <v>1</v>
      </c>
      <c r="P856" s="7" t="s">
        <v>41</v>
      </c>
      <c r="Q856" s="7">
        <v>104.99</v>
      </c>
      <c r="Y856" s="7" t="s">
        <v>4316</v>
      </c>
      <c r="Z856" s="7" t="s">
        <v>92</v>
      </c>
      <c r="AA856" s="7" t="s">
        <v>4317</v>
      </c>
      <c r="AB856" s="7" t="s">
        <v>45</v>
      </c>
      <c r="AD856" s="11"/>
      <c r="AE856" s="11"/>
      <c r="AF856" s="11"/>
      <c r="AG856" s="10">
        <f t="shared" si="13"/>
        <v>43335</v>
      </c>
    </row>
    <row r="857" s="7" customFormat="1" spans="1:33">
      <c r="A857" s="7" t="s">
        <v>4318</v>
      </c>
      <c r="B857" s="7" t="s">
        <v>4318</v>
      </c>
      <c r="C857" s="7" t="s">
        <v>4319</v>
      </c>
      <c r="D857" s="7" t="s">
        <v>4320</v>
      </c>
      <c r="E857" s="7" t="s">
        <v>49</v>
      </c>
      <c r="F857" s="7" t="s">
        <v>34</v>
      </c>
      <c r="G857" s="7" t="s">
        <v>35</v>
      </c>
      <c r="J857" s="7" t="s">
        <v>50</v>
      </c>
      <c r="K857" s="7" t="s">
        <v>3660</v>
      </c>
      <c r="L857" s="7" t="s">
        <v>3661</v>
      </c>
      <c r="M857" s="7" t="s">
        <v>3662</v>
      </c>
      <c r="N857" s="7" t="s">
        <v>49</v>
      </c>
      <c r="O857" s="7">
        <v>1</v>
      </c>
      <c r="P857" s="7" t="s">
        <v>41</v>
      </c>
      <c r="Q857" s="7">
        <v>99.99</v>
      </c>
      <c r="Y857" s="7" t="s">
        <v>4321</v>
      </c>
      <c r="Z857" s="7" t="s">
        <v>4322</v>
      </c>
      <c r="AA857" s="7">
        <v>27501</v>
      </c>
      <c r="AB857" s="7" t="s">
        <v>45</v>
      </c>
      <c r="AD857" s="8"/>
      <c r="AE857" s="8"/>
      <c r="AF857" s="8"/>
      <c r="AG857" s="10">
        <f t="shared" si="13"/>
        <v>43335</v>
      </c>
    </row>
    <row r="858" s="7" customFormat="1" spans="1:33">
      <c r="A858" s="7" t="s">
        <v>4323</v>
      </c>
      <c r="B858" s="7" t="s">
        <v>4323</v>
      </c>
      <c r="C858" s="7" t="s">
        <v>4324</v>
      </c>
      <c r="D858" s="7" t="s">
        <v>4325</v>
      </c>
      <c r="E858" s="7" t="s">
        <v>33</v>
      </c>
      <c r="F858" s="7" t="s">
        <v>34</v>
      </c>
      <c r="G858" s="7" t="s">
        <v>35</v>
      </c>
      <c r="J858" s="7" t="s">
        <v>36</v>
      </c>
      <c r="K858" s="7" t="s">
        <v>4326</v>
      </c>
      <c r="L858" s="7" t="s">
        <v>71</v>
      </c>
      <c r="M858" s="7" t="s">
        <v>72</v>
      </c>
      <c r="N858" s="7" t="s">
        <v>40</v>
      </c>
      <c r="O858" s="7">
        <v>1</v>
      </c>
      <c r="P858" s="7" t="s">
        <v>41</v>
      </c>
      <c r="Q858" s="7">
        <v>96.99</v>
      </c>
      <c r="Y858" s="7" t="s">
        <v>265</v>
      </c>
      <c r="Z858" s="7" t="s">
        <v>266</v>
      </c>
      <c r="AA858" s="7" t="s">
        <v>4327</v>
      </c>
      <c r="AB858" s="7" t="s">
        <v>45</v>
      </c>
      <c r="AD858" s="11"/>
      <c r="AE858" s="11"/>
      <c r="AF858" s="11"/>
      <c r="AG858" s="10">
        <f t="shared" si="13"/>
        <v>43335</v>
      </c>
    </row>
    <row r="859" s="7" customFormat="1" spans="1:33">
      <c r="A859" s="7" t="s">
        <v>4328</v>
      </c>
      <c r="B859" s="7" t="s">
        <v>4328</v>
      </c>
      <c r="C859" s="7" t="s">
        <v>4329</v>
      </c>
      <c r="D859" s="7" t="s">
        <v>4330</v>
      </c>
      <c r="E859" s="7" t="s">
        <v>49</v>
      </c>
      <c r="F859" s="7" t="s">
        <v>34</v>
      </c>
      <c r="G859" s="7" t="s">
        <v>35</v>
      </c>
      <c r="J859" s="7" t="s">
        <v>50</v>
      </c>
      <c r="K859" s="7" t="s">
        <v>208</v>
      </c>
      <c r="L859" s="7" t="s">
        <v>209</v>
      </c>
      <c r="M859" s="7" t="s">
        <v>210</v>
      </c>
      <c r="N859" s="7" t="s">
        <v>49</v>
      </c>
      <c r="O859" s="7">
        <v>1</v>
      </c>
      <c r="P859" s="7" t="s">
        <v>41</v>
      </c>
      <c r="Q859" s="7">
        <v>89.99</v>
      </c>
      <c r="Y859" s="7" t="s">
        <v>4331</v>
      </c>
      <c r="Z859" s="7" t="s">
        <v>3485</v>
      </c>
      <c r="AA859" s="7">
        <v>33166</v>
      </c>
      <c r="AB859" s="7" t="s">
        <v>45</v>
      </c>
      <c r="AD859" s="11"/>
      <c r="AE859" s="11"/>
      <c r="AF859" s="11"/>
      <c r="AG859" s="10">
        <f t="shared" si="13"/>
        <v>43335</v>
      </c>
    </row>
    <row r="860" s="7" customFormat="1" spans="1:33">
      <c r="A860" s="7" t="s">
        <v>4332</v>
      </c>
      <c r="B860" s="7" t="s">
        <v>4332</v>
      </c>
      <c r="C860" s="7" t="s">
        <v>4333</v>
      </c>
      <c r="D860" s="7" t="s">
        <v>4334</v>
      </c>
      <c r="E860" s="7" t="s">
        <v>49</v>
      </c>
      <c r="F860" s="7" t="s">
        <v>34</v>
      </c>
      <c r="G860" s="7" t="s">
        <v>35</v>
      </c>
      <c r="J860" s="7" t="s">
        <v>50</v>
      </c>
      <c r="K860" s="7" t="s">
        <v>3489</v>
      </c>
      <c r="L860" s="7" t="s">
        <v>71</v>
      </c>
      <c r="M860" s="7" t="s">
        <v>72</v>
      </c>
      <c r="N860" s="7" t="s">
        <v>49</v>
      </c>
      <c r="O860" s="7">
        <v>1</v>
      </c>
      <c r="P860" s="7" t="s">
        <v>41</v>
      </c>
      <c r="Q860" s="7">
        <v>96.99</v>
      </c>
      <c r="Y860" s="7" t="s">
        <v>4335</v>
      </c>
      <c r="Z860" s="7" t="s">
        <v>178</v>
      </c>
      <c r="AA860" s="7" t="s">
        <v>4336</v>
      </c>
      <c r="AB860" s="7" t="s">
        <v>45</v>
      </c>
      <c r="AD860" s="11"/>
      <c r="AE860" s="11"/>
      <c r="AF860" s="11"/>
      <c r="AG860" s="10">
        <f t="shared" si="13"/>
        <v>43335</v>
      </c>
    </row>
    <row r="861" s="7" customFormat="1" spans="1:33">
      <c r="A861" s="7" t="s">
        <v>4337</v>
      </c>
      <c r="B861" s="7" t="s">
        <v>4337</v>
      </c>
      <c r="C861" s="7" t="s">
        <v>4338</v>
      </c>
      <c r="D861" s="7" t="s">
        <v>4339</v>
      </c>
      <c r="E861" s="7" t="s">
        <v>49</v>
      </c>
      <c r="F861" s="7" t="s">
        <v>34</v>
      </c>
      <c r="G861" s="7" t="s">
        <v>35</v>
      </c>
      <c r="J861" s="7" t="s">
        <v>151</v>
      </c>
      <c r="K861" s="7" t="s">
        <v>2650</v>
      </c>
      <c r="L861" s="7" t="s">
        <v>277</v>
      </c>
      <c r="M861" s="7" t="s">
        <v>278</v>
      </c>
      <c r="N861" s="7" t="s">
        <v>49</v>
      </c>
      <c r="O861" s="7">
        <v>1</v>
      </c>
      <c r="P861" s="7" t="s">
        <v>41</v>
      </c>
      <c r="Q861" s="7">
        <v>91.99</v>
      </c>
      <c r="S861" s="7">
        <v>6.99</v>
      </c>
      <c r="W861" s="7">
        <v>22</v>
      </c>
      <c r="X861" s="7">
        <v>6.99</v>
      </c>
      <c r="Y861" s="7" t="s">
        <v>4340</v>
      </c>
      <c r="Z861" s="7" t="s">
        <v>346</v>
      </c>
      <c r="AA861" s="7" t="s">
        <v>4341</v>
      </c>
      <c r="AB861" s="7" t="s">
        <v>45</v>
      </c>
      <c r="AD861" s="11"/>
      <c r="AE861" s="11"/>
      <c r="AF861" s="11"/>
      <c r="AG861" s="10">
        <f t="shared" si="13"/>
        <v>43335</v>
      </c>
    </row>
    <row r="862" s="7" customFormat="1" spans="1:33">
      <c r="A862" s="7" t="s">
        <v>4342</v>
      </c>
      <c r="B862" s="7" t="s">
        <v>4342</v>
      </c>
      <c r="C862" s="7" t="s">
        <v>4343</v>
      </c>
      <c r="D862" s="7" t="s">
        <v>4344</v>
      </c>
      <c r="E862" s="7" t="s">
        <v>33</v>
      </c>
      <c r="F862" s="7" t="s">
        <v>34</v>
      </c>
      <c r="G862" s="7" t="s">
        <v>35</v>
      </c>
      <c r="J862" s="7" t="s">
        <v>36</v>
      </c>
      <c r="K862" s="7" t="s">
        <v>2650</v>
      </c>
      <c r="L862" s="7" t="s">
        <v>277</v>
      </c>
      <c r="M862" s="7" t="s">
        <v>278</v>
      </c>
      <c r="N862" s="7" t="s">
        <v>33</v>
      </c>
      <c r="O862" s="7">
        <v>0</v>
      </c>
      <c r="Y862" s="7" t="s">
        <v>265</v>
      </c>
      <c r="Z862" s="7" t="s">
        <v>337</v>
      </c>
      <c r="AA862" s="7" t="s">
        <v>4345</v>
      </c>
      <c r="AB862" s="7" t="s">
        <v>45</v>
      </c>
      <c r="AC862" s="7" t="s">
        <v>549</v>
      </c>
      <c r="AD862" s="11"/>
      <c r="AE862" s="11"/>
      <c r="AF862" s="11"/>
      <c r="AG862" s="10">
        <f t="shared" si="13"/>
        <v>43335</v>
      </c>
    </row>
    <row r="863" s="7" customFormat="1" spans="1:33">
      <c r="A863" s="7" t="s">
        <v>4346</v>
      </c>
      <c r="B863" s="7" t="s">
        <v>4346</v>
      </c>
      <c r="C863" s="7" t="s">
        <v>4347</v>
      </c>
      <c r="D863" s="7" t="s">
        <v>4348</v>
      </c>
      <c r="E863" s="7" t="s">
        <v>49</v>
      </c>
      <c r="F863" s="7" t="s">
        <v>34</v>
      </c>
      <c r="G863" s="7" t="s">
        <v>35</v>
      </c>
      <c r="J863" s="7" t="s">
        <v>151</v>
      </c>
      <c r="K863" s="7" t="s">
        <v>2650</v>
      </c>
      <c r="L863" s="7" t="s">
        <v>277</v>
      </c>
      <c r="M863" s="7" t="s">
        <v>278</v>
      </c>
      <c r="N863" s="7" t="s">
        <v>49</v>
      </c>
      <c r="O863" s="7">
        <v>1</v>
      </c>
      <c r="P863" s="7" t="s">
        <v>41</v>
      </c>
      <c r="Q863" s="7">
        <v>91.99</v>
      </c>
      <c r="S863" s="7">
        <v>5.99</v>
      </c>
      <c r="W863" s="7">
        <v>22</v>
      </c>
      <c r="X863" s="7">
        <v>5.99</v>
      </c>
      <c r="Y863" s="7" t="s">
        <v>1740</v>
      </c>
      <c r="Z863" s="7" t="s">
        <v>164</v>
      </c>
      <c r="AA863" s="7" t="s">
        <v>4349</v>
      </c>
      <c r="AB863" s="7" t="s">
        <v>45</v>
      </c>
      <c r="AD863" s="11"/>
      <c r="AE863" s="11"/>
      <c r="AF863" s="11"/>
      <c r="AG863" s="10">
        <f t="shared" si="13"/>
        <v>43335</v>
      </c>
    </row>
    <row r="864" s="7" customFormat="1" spans="1:33">
      <c r="A864" s="7" t="s">
        <v>4350</v>
      </c>
      <c r="B864" s="7" t="s">
        <v>4350</v>
      </c>
      <c r="C864" s="7" t="s">
        <v>4351</v>
      </c>
      <c r="D864" s="7" t="s">
        <v>4352</v>
      </c>
      <c r="E864" s="7" t="s">
        <v>49</v>
      </c>
      <c r="F864" s="7" t="s">
        <v>34</v>
      </c>
      <c r="G864" s="7" t="s">
        <v>35</v>
      </c>
      <c r="J864" s="7" t="s">
        <v>36</v>
      </c>
      <c r="K864" s="7" t="s">
        <v>208</v>
      </c>
      <c r="L864" s="7" t="s">
        <v>209</v>
      </c>
      <c r="M864" s="7" t="s">
        <v>210</v>
      </c>
      <c r="N864" s="7" t="s">
        <v>49</v>
      </c>
      <c r="O864" s="7">
        <v>1</v>
      </c>
      <c r="P864" s="7" t="s">
        <v>41</v>
      </c>
      <c r="Q864" s="7">
        <v>89.99</v>
      </c>
      <c r="S864" s="7">
        <v>7.24</v>
      </c>
      <c r="X864" s="7">
        <v>7.24</v>
      </c>
      <c r="Y864" s="7" t="s">
        <v>897</v>
      </c>
      <c r="Z864" s="7" t="s">
        <v>266</v>
      </c>
      <c r="AA864" s="7" t="s">
        <v>4353</v>
      </c>
      <c r="AB864" s="7" t="s">
        <v>45</v>
      </c>
      <c r="AC864" s="7" t="s">
        <v>549</v>
      </c>
      <c r="AD864" s="11"/>
      <c r="AE864" s="11"/>
      <c r="AF864" s="11"/>
      <c r="AG864" s="10">
        <f t="shared" si="13"/>
        <v>43335</v>
      </c>
    </row>
    <row r="865" s="7" customFormat="1" spans="1:33">
      <c r="A865" s="7" t="s">
        <v>4354</v>
      </c>
      <c r="B865" s="7" t="s">
        <v>4354</v>
      </c>
      <c r="C865" s="7" t="s">
        <v>4355</v>
      </c>
      <c r="D865" s="7" t="s">
        <v>4356</v>
      </c>
      <c r="E865" s="7" t="s">
        <v>33</v>
      </c>
      <c r="F865" s="7" t="s">
        <v>34</v>
      </c>
      <c r="G865" s="7" t="s">
        <v>35</v>
      </c>
      <c r="J865" s="7" t="s">
        <v>50</v>
      </c>
      <c r="K865" s="7" t="s">
        <v>2650</v>
      </c>
      <c r="L865" s="7" t="s">
        <v>277</v>
      </c>
      <c r="M865" s="7" t="s">
        <v>278</v>
      </c>
      <c r="N865" s="7" t="s">
        <v>33</v>
      </c>
      <c r="O865" s="7">
        <v>0</v>
      </c>
      <c r="Y865" s="7" t="s">
        <v>4357</v>
      </c>
      <c r="Z865" s="7" t="s">
        <v>2533</v>
      </c>
      <c r="AA865" s="7" t="s">
        <v>4358</v>
      </c>
      <c r="AB865" s="7" t="s">
        <v>45</v>
      </c>
      <c r="AD865" s="11"/>
      <c r="AE865" s="11"/>
      <c r="AF865" s="11"/>
      <c r="AG865" s="10">
        <f t="shared" si="13"/>
        <v>43335</v>
      </c>
    </row>
    <row r="866" s="7" customFormat="1" spans="1:33">
      <c r="A866" s="7" t="s">
        <v>4359</v>
      </c>
      <c r="B866" s="7" t="s">
        <v>4359</v>
      </c>
      <c r="C866" s="7" t="s">
        <v>4360</v>
      </c>
      <c r="D866" s="7" t="s">
        <v>4361</v>
      </c>
      <c r="E866" s="7" t="s">
        <v>49</v>
      </c>
      <c r="F866" s="7" t="s">
        <v>34</v>
      </c>
      <c r="G866" s="7" t="s">
        <v>35</v>
      </c>
      <c r="J866" s="7" t="s">
        <v>50</v>
      </c>
      <c r="K866" s="7" t="s">
        <v>2650</v>
      </c>
      <c r="L866" s="7" t="s">
        <v>277</v>
      </c>
      <c r="M866" s="7" t="s">
        <v>278</v>
      </c>
      <c r="N866" s="7" t="s">
        <v>49</v>
      </c>
      <c r="O866" s="7">
        <v>1</v>
      </c>
      <c r="P866" s="7" t="s">
        <v>41</v>
      </c>
      <c r="Q866" s="7">
        <v>91.99</v>
      </c>
      <c r="W866" s="7">
        <v>22</v>
      </c>
      <c r="Y866" s="7" t="s">
        <v>1227</v>
      </c>
      <c r="Z866" s="7" t="s">
        <v>64</v>
      </c>
      <c r="AA866" s="7" t="s">
        <v>4362</v>
      </c>
      <c r="AB866" s="7" t="s">
        <v>45</v>
      </c>
      <c r="AD866" s="11"/>
      <c r="AE866" s="11"/>
      <c r="AF866" s="11"/>
      <c r="AG866" s="10">
        <f t="shared" si="13"/>
        <v>43335</v>
      </c>
    </row>
    <row r="867" s="7" customFormat="1" spans="1:33">
      <c r="A867" s="7" t="s">
        <v>4363</v>
      </c>
      <c r="B867" s="7" t="s">
        <v>4363</v>
      </c>
      <c r="C867" s="7" t="s">
        <v>4364</v>
      </c>
      <c r="D867" s="7" t="s">
        <v>4365</v>
      </c>
      <c r="E867" s="7" t="s">
        <v>49</v>
      </c>
      <c r="F867" s="7" t="s">
        <v>34</v>
      </c>
      <c r="G867" s="7" t="s">
        <v>35</v>
      </c>
      <c r="J867" s="7" t="s">
        <v>50</v>
      </c>
      <c r="K867" s="7" t="s">
        <v>2650</v>
      </c>
      <c r="L867" s="7" t="s">
        <v>277</v>
      </c>
      <c r="M867" s="7" t="s">
        <v>278</v>
      </c>
      <c r="N867" s="7" t="s">
        <v>49</v>
      </c>
      <c r="O867" s="7">
        <v>1</v>
      </c>
      <c r="P867" s="7" t="s">
        <v>41</v>
      </c>
      <c r="Q867" s="7">
        <v>91.99</v>
      </c>
      <c r="W867" s="7">
        <v>22</v>
      </c>
      <c r="Y867" s="7" t="s">
        <v>4366</v>
      </c>
      <c r="Z867" s="7" t="s">
        <v>2558</v>
      </c>
      <c r="AA867" s="7" t="s">
        <v>4367</v>
      </c>
      <c r="AB867" s="7" t="s">
        <v>45</v>
      </c>
      <c r="AD867" s="11"/>
      <c r="AE867" s="11"/>
      <c r="AF867" s="11"/>
      <c r="AG867" s="10">
        <f t="shared" si="13"/>
        <v>43335</v>
      </c>
    </row>
    <row r="868" s="7" customFormat="1" spans="1:33">
      <c r="A868" s="7" t="s">
        <v>4368</v>
      </c>
      <c r="B868" s="7" t="s">
        <v>4368</v>
      </c>
      <c r="C868" s="7" t="s">
        <v>4369</v>
      </c>
      <c r="D868" s="7" t="s">
        <v>4370</v>
      </c>
      <c r="E868" s="7" t="s">
        <v>49</v>
      </c>
      <c r="F868" s="7" t="s">
        <v>34</v>
      </c>
      <c r="G868" s="7" t="s">
        <v>35</v>
      </c>
      <c r="J868" s="7" t="s">
        <v>50</v>
      </c>
      <c r="K868" s="7" t="s">
        <v>217</v>
      </c>
      <c r="L868" s="7" t="s">
        <v>218</v>
      </c>
      <c r="M868" s="7" t="s">
        <v>219</v>
      </c>
      <c r="N868" s="7" t="s">
        <v>49</v>
      </c>
      <c r="O868" s="7">
        <v>1</v>
      </c>
      <c r="P868" s="7" t="s">
        <v>41</v>
      </c>
      <c r="Q868" s="7">
        <v>29.99</v>
      </c>
      <c r="Y868" s="7" t="s">
        <v>4371</v>
      </c>
      <c r="Z868" s="7" t="s">
        <v>260</v>
      </c>
      <c r="AA868" s="7" t="s">
        <v>4372</v>
      </c>
      <c r="AB868" s="7" t="s">
        <v>45</v>
      </c>
      <c r="AD868" s="11"/>
      <c r="AE868" s="11"/>
      <c r="AF868" s="11"/>
      <c r="AG868" s="10">
        <f t="shared" si="13"/>
        <v>43335</v>
      </c>
    </row>
    <row r="869" s="7" customFormat="1" spans="1:33">
      <c r="A869" s="7" t="s">
        <v>4373</v>
      </c>
      <c r="B869" s="7" t="s">
        <v>4373</v>
      </c>
      <c r="C869" s="7" t="s">
        <v>4374</v>
      </c>
      <c r="D869" s="7" t="s">
        <v>4375</v>
      </c>
      <c r="E869" s="7" t="s">
        <v>49</v>
      </c>
      <c r="F869" s="7" t="s">
        <v>34</v>
      </c>
      <c r="G869" s="7" t="s">
        <v>35</v>
      </c>
      <c r="J869" s="7" t="s">
        <v>50</v>
      </c>
      <c r="K869" s="7" t="s">
        <v>4376</v>
      </c>
      <c r="L869" s="7" t="s">
        <v>4377</v>
      </c>
      <c r="M869" s="7" t="s">
        <v>4378</v>
      </c>
      <c r="N869" s="7" t="s">
        <v>49</v>
      </c>
      <c r="O869" s="7">
        <v>1</v>
      </c>
      <c r="P869" s="7" t="s">
        <v>41</v>
      </c>
      <c r="Q869" s="7">
        <v>26.99</v>
      </c>
      <c r="Y869" s="7" t="s">
        <v>459</v>
      </c>
      <c r="Z869" s="7" t="s">
        <v>346</v>
      </c>
      <c r="AA869" s="7" t="s">
        <v>4379</v>
      </c>
      <c r="AB869" s="7" t="s">
        <v>45</v>
      </c>
      <c r="AD869" s="11"/>
      <c r="AE869" s="11"/>
      <c r="AF869" s="11"/>
      <c r="AG869" s="10">
        <f t="shared" si="13"/>
        <v>43336</v>
      </c>
    </row>
    <row r="870" s="7" customFormat="1" spans="1:33">
      <c r="A870" s="7" t="s">
        <v>4380</v>
      </c>
      <c r="B870" s="7" t="s">
        <v>4380</v>
      </c>
      <c r="C870" s="7" t="s">
        <v>4381</v>
      </c>
      <c r="D870" s="7" t="s">
        <v>4382</v>
      </c>
      <c r="E870" s="7" t="s">
        <v>33</v>
      </c>
      <c r="F870" s="7" t="s">
        <v>34</v>
      </c>
      <c r="G870" s="7" t="s">
        <v>35</v>
      </c>
      <c r="J870" s="7" t="s">
        <v>50</v>
      </c>
      <c r="K870" s="7" t="s">
        <v>152</v>
      </c>
      <c r="L870" s="7" t="s">
        <v>153</v>
      </c>
      <c r="M870" s="7" t="s">
        <v>154</v>
      </c>
      <c r="N870" s="7" t="s">
        <v>33</v>
      </c>
      <c r="O870" s="7">
        <v>0</v>
      </c>
      <c r="Y870" s="7" t="s">
        <v>4383</v>
      </c>
      <c r="Z870" s="7" t="s">
        <v>266</v>
      </c>
      <c r="AA870" s="7" t="s">
        <v>4384</v>
      </c>
      <c r="AB870" s="7" t="s">
        <v>45</v>
      </c>
      <c r="AD870" s="11"/>
      <c r="AE870" s="11"/>
      <c r="AF870" s="11"/>
      <c r="AG870" s="10">
        <f t="shared" si="13"/>
        <v>43336</v>
      </c>
    </row>
    <row r="871" s="7" customFormat="1" spans="1:33">
      <c r="A871" s="7" t="s">
        <v>4385</v>
      </c>
      <c r="B871" s="7" t="s">
        <v>4385</v>
      </c>
      <c r="C871" s="7" t="s">
        <v>4386</v>
      </c>
      <c r="D871" s="7" t="s">
        <v>4387</v>
      </c>
      <c r="E871" s="7" t="s">
        <v>49</v>
      </c>
      <c r="F871" s="7" t="s">
        <v>34</v>
      </c>
      <c r="G871" s="7" t="s">
        <v>35</v>
      </c>
      <c r="J871" s="7" t="s">
        <v>50</v>
      </c>
      <c r="K871" s="7" t="s">
        <v>1686</v>
      </c>
      <c r="L871" s="7" t="s">
        <v>1687</v>
      </c>
      <c r="M871" s="7" t="s">
        <v>1688</v>
      </c>
      <c r="N871" s="7" t="s">
        <v>49</v>
      </c>
      <c r="O871" s="7">
        <v>1</v>
      </c>
      <c r="P871" s="7" t="s">
        <v>41</v>
      </c>
      <c r="Q871" s="7">
        <v>108.99</v>
      </c>
      <c r="Y871" s="7" t="s">
        <v>4240</v>
      </c>
      <c r="Z871" s="7" t="s">
        <v>83</v>
      </c>
      <c r="AA871" s="7" t="s">
        <v>4388</v>
      </c>
      <c r="AB871" s="7" t="s">
        <v>45</v>
      </c>
      <c r="AD871" s="11"/>
      <c r="AE871" s="11"/>
      <c r="AF871" s="11"/>
      <c r="AG871" s="10">
        <f t="shared" si="13"/>
        <v>43336</v>
      </c>
    </row>
    <row r="872" s="7" customFormat="1" spans="1:33">
      <c r="A872" s="7" t="s">
        <v>4389</v>
      </c>
      <c r="B872" s="7" t="s">
        <v>4389</v>
      </c>
      <c r="C872" s="7" t="s">
        <v>4390</v>
      </c>
      <c r="D872" s="7" t="s">
        <v>4391</v>
      </c>
      <c r="E872" s="7" t="s">
        <v>49</v>
      </c>
      <c r="F872" s="7" t="s">
        <v>34</v>
      </c>
      <c r="G872" s="7" t="s">
        <v>35</v>
      </c>
      <c r="J872" s="7" t="s">
        <v>50</v>
      </c>
      <c r="K872" s="7" t="s">
        <v>256</v>
      </c>
      <c r="L872" s="7" t="s">
        <v>257</v>
      </c>
      <c r="M872" s="7" t="s">
        <v>258</v>
      </c>
      <c r="N872" s="7" t="s">
        <v>49</v>
      </c>
      <c r="O872" s="7">
        <v>1</v>
      </c>
      <c r="P872" s="7" t="s">
        <v>41</v>
      </c>
      <c r="Q872" s="7">
        <v>21.99</v>
      </c>
      <c r="Y872" s="7" t="s">
        <v>3793</v>
      </c>
      <c r="Z872" s="7" t="s">
        <v>98</v>
      </c>
      <c r="AA872" s="7" t="s">
        <v>3794</v>
      </c>
      <c r="AB872" s="7" t="s">
        <v>45</v>
      </c>
      <c r="AD872" s="11"/>
      <c r="AE872" s="11"/>
      <c r="AF872" s="11"/>
      <c r="AG872" s="10">
        <f t="shared" si="13"/>
        <v>43336</v>
      </c>
    </row>
    <row r="873" s="7" customFormat="1" spans="1:33">
      <c r="A873" s="7" t="s">
        <v>4392</v>
      </c>
      <c r="B873" s="7" t="s">
        <v>4392</v>
      </c>
      <c r="C873" s="7" t="s">
        <v>4393</v>
      </c>
      <c r="D873" s="7" t="s">
        <v>4394</v>
      </c>
      <c r="E873" s="7" t="s">
        <v>33</v>
      </c>
      <c r="F873" s="7" t="s">
        <v>34</v>
      </c>
      <c r="G873" s="7" t="s">
        <v>35</v>
      </c>
      <c r="J873" s="7" t="s">
        <v>36</v>
      </c>
      <c r="K873" s="7" t="s">
        <v>226</v>
      </c>
      <c r="L873" s="7" t="s">
        <v>227</v>
      </c>
      <c r="M873" s="7" t="s">
        <v>228</v>
      </c>
      <c r="N873" s="7" t="s">
        <v>33</v>
      </c>
      <c r="O873" s="7">
        <v>0</v>
      </c>
      <c r="Y873" s="7" t="s">
        <v>1639</v>
      </c>
      <c r="Z873" s="7" t="s">
        <v>109</v>
      </c>
      <c r="AA873" s="7" t="s">
        <v>4395</v>
      </c>
      <c r="AB873" s="7" t="s">
        <v>45</v>
      </c>
      <c r="AD873" s="11"/>
      <c r="AE873" s="11"/>
      <c r="AF873" s="11"/>
      <c r="AG873" s="10">
        <f t="shared" si="13"/>
        <v>43336</v>
      </c>
    </row>
    <row r="874" s="7" customFormat="1" spans="1:33">
      <c r="A874" s="7" t="s">
        <v>4396</v>
      </c>
      <c r="B874" s="7" t="s">
        <v>4396</v>
      </c>
      <c r="C874" s="7" t="s">
        <v>4397</v>
      </c>
      <c r="D874" s="7" t="s">
        <v>4398</v>
      </c>
      <c r="E874" s="7" t="s">
        <v>49</v>
      </c>
      <c r="F874" s="7" t="s">
        <v>34</v>
      </c>
      <c r="G874" s="7" t="s">
        <v>35</v>
      </c>
      <c r="J874" s="7" t="s">
        <v>50</v>
      </c>
      <c r="K874" s="7" t="s">
        <v>1270</v>
      </c>
      <c r="L874" s="7" t="s">
        <v>1271</v>
      </c>
      <c r="M874" s="7" t="s">
        <v>1272</v>
      </c>
      <c r="N874" s="7" t="s">
        <v>49</v>
      </c>
      <c r="O874" s="7">
        <v>1</v>
      </c>
      <c r="P874" s="7" t="s">
        <v>41</v>
      </c>
      <c r="Q874" s="7">
        <v>23.99</v>
      </c>
      <c r="Y874" s="7" t="s">
        <v>4399</v>
      </c>
      <c r="Z874" s="7" t="s">
        <v>164</v>
      </c>
      <c r="AA874" s="7" t="s">
        <v>4400</v>
      </c>
      <c r="AB874" s="7" t="s">
        <v>45</v>
      </c>
      <c r="AD874" s="11"/>
      <c r="AE874" s="11"/>
      <c r="AF874" s="11"/>
      <c r="AG874" s="10">
        <f t="shared" si="13"/>
        <v>43336</v>
      </c>
    </row>
    <row r="875" s="7" customFormat="1" spans="1:33">
      <c r="A875" s="7" t="s">
        <v>4401</v>
      </c>
      <c r="B875" s="7" t="s">
        <v>4401</v>
      </c>
      <c r="C875" s="7" t="s">
        <v>4402</v>
      </c>
      <c r="D875" s="7" t="s">
        <v>4403</v>
      </c>
      <c r="E875" s="7" t="s">
        <v>49</v>
      </c>
      <c r="F875" s="7" t="s">
        <v>34</v>
      </c>
      <c r="G875" s="7" t="s">
        <v>35</v>
      </c>
      <c r="J875" s="7" t="s">
        <v>50</v>
      </c>
      <c r="K875" s="7" t="s">
        <v>60</v>
      </c>
      <c r="L875" s="7" t="s">
        <v>61</v>
      </c>
      <c r="M875" s="7" t="s">
        <v>62</v>
      </c>
      <c r="N875" s="7" t="s">
        <v>49</v>
      </c>
      <c r="O875" s="7">
        <v>1</v>
      </c>
      <c r="P875" s="7" t="s">
        <v>41</v>
      </c>
      <c r="Q875" s="7">
        <v>21.99</v>
      </c>
      <c r="W875" s="7">
        <v>21.77</v>
      </c>
      <c r="Y875" s="7" t="s">
        <v>1227</v>
      </c>
      <c r="Z875" s="7" t="s">
        <v>64</v>
      </c>
      <c r="AA875" s="7" t="s">
        <v>4362</v>
      </c>
      <c r="AB875" s="7" t="s">
        <v>45</v>
      </c>
      <c r="AC875" s="7" t="s">
        <v>66</v>
      </c>
      <c r="AD875" s="11"/>
      <c r="AE875" s="11"/>
      <c r="AF875" s="11"/>
      <c r="AG875" s="10">
        <f t="shared" si="13"/>
        <v>43336</v>
      </c>
    </row>
    <row r="876" s="7" customFormat="1" spans="1:33">
      <c r="A876" s="7" t="s">
        <v>4404</v>
      </c>
      <c r="B876" s="7" t="s">
        <v>4404</v>
      </c>
      <c r="C876" s="7" t="s">
        <v>4405</v>
      </c>
      <c r="D876" s="7" t="s">
        <v>4406</v>
      </c>
      <c r="E876" s="7" t="s">
        <v>49</v>
      </c>
      <c r="F876" s="7" t="s">
        <v>34</v>
      </c>
      <c r="G876" s="7" t="s">
        <v>35</v>
      </c>
      <c r="J876" s="7" t="s">
        <v>50</v>
      </c>
      <c r="K876" s="7" t="s">
        <v>1686</v>
      </c>
      <c r="L876" s="7" t="s">
        <v>1687</v>
      </c>
      <c r="M876" s="7" t="s">
        <v>1688</v>
      </c>
      <c r="N876" s="7" t="s">
        <v>49</v>
      </c>
      <c r="O876" s="7">
        <v>1</v>
      </c>
      <c r="P876" s="7" t="s">
        <v>41</v>
      </c>
      <c r="Q876" s="7">
        <v>108.99</v>
      </c>
      <c r="Y876" s="7" t="s">
        <v>4407</v>
      </c>
      <c r="Z876" s="7" t="s">
        <v>109</v>
      </c>
      <c r="AA876" s="7" t="s">
        <v>4408</v>
      </c>
      <c r="AB876" s="7" t="s">
        <v>45</v>
      </c>
      <c r="AD876" s="11"/>
      <c r="AE876" s="11"/>
      <c r="AF876" s="11"/>
      <c r="AG876" s="10">
        <f t="shared" si="13"/>
        <v>43336</v>
      </c>
    </row>
    <row r="877" s="7" customFormat="1" spans="1:33">
      <c r="A877" s="7" t="s">
        <v>4409</v>
      </c>
      <c r="B877" s="7" t="s">
        <v>4409</v>
      </c>
      <c r="C877" s="7" t="s">
        <v>4410</v>
      </c>
      <c r="D877" s="7" t="s">
        <v>4411</v>
      </c>
      <c r="E877" s="7" t="s">
        <v>49</v>
      </c>
      <c r="F877" s="7" t="s">
        <v>34</v>
      </c>
      <c r="G877" s="7" t="s">
        <v>35</v>
      </c>
      <c r="J877" s="7" t="s">
        <v>50</v>
      </c>
      <c r="K877" s="7" t="s">
        <v>4326</v>
      </c>
      <c r="L877" s="7" t="s">
        <v>71</v>
      </c>
      <c r="M877" s="7" t="s">
        <v>72</v>
      </c>
      <c r="N877" s="7" t="s">
        <v>49</v>
      </c>
      <c r="O877" s="7">
        <v>1</v>
      </c>
      <c r="P877" s="7" t="s">
        <v>41</v>
      </c>
      <c r="Q877" s="7">
        <v>96.99</v>
      </c>
      <c r="Y877" s="7" t="s">
        <v>1858</v>
      </c>
      <c r="Z877" s="7" t="s">
        <v>280</v>
      </c>
      <c r="AA877" s="7" t="s">
        <v>4412</v>
      </c>
      <c r="AB877" s="7" t="s">
        <v>45</v>
      </c>
      <c r="AD877" s="11"/>
      <c r="AE877" s="11"/>
      <c r="AF877" s="11"/>
      <c r="AG877" s="10">
        <f t="shared" si="13"/>
        <v>43336</v>
      </c>
    </row>
    <row r="878" s="7" customFormat="1" spans="1:33">
      <c r="A878" s="7" t="s">
        <v>4413</v>
      </c>
      <c r="B878" s="7" t="s">
        <v>4413</v>
      </c>
      <c r="C878" s="7" t="s">
        <v>4414</v>
      </c>
      <c r="D878" s="7" t="s">
        <v>4415</v>
      </c>
      <c r="E878" s="7" t="s">
        <v>49</v>
      </c>
      <c r="F878" s="7" t="s">
        <v>34</v>
      </c>
      <c r="G878" s="7" t="s">
        <v>35</v>
      </c>
      <c r="J878" s="7" t="s">
        <v>326</v>
      </c>
      <c r="K878" s="7" t="s">
        <v>603</v>
      </c>
      <c r="L878" s="7" t="s">
        <v>604</v>
      </c>
      <c r="M878" s="7" t="s">
        <v>605</v>
      </c>
      <c r="N878" s="7" t="s">
        <v>49</v>
      </c>
      <c r="O878" s="7">
        <v>1</v>
      </c>
      <c r="P878" s="7" t="s">
        <v>41</v>
      </c>
      <c r="Q878" s="7">
        <v>99.99</v>
      </c>
      <c r="S878" s="7">
        <v>7.99</v>
      </c>
      <c r="Y878" s="7" t="s">
        <v>802</v>
      </c>
      <c r="Z878" s="7" t="s">
        <v>266</v>
      </c>
      <c r="AA878" s="7" t="s">
        <v>4416</v>
      </c>
      <c r="AB878" s="7" t="s">
        <v>45</v>
      </c>
      <c r="AD878" s="11"/>
      <c r="AE878" s="11"/>
      <c r="AF878" s="11"/>
      <c r="AG878" s="10">
        <f t="shared" si="13"/>
        <v>43336</v>
      </c>
    </row>
    <row r="879" s="7" customFormat="1" spans="1:33">
      <c r="A879" s="7" t="s">
        <v>4417</v>
      </c>
      <c r="B879" s="7" t="s">
        <v>4417</v>
      </c>
      <c r="C879" s="7" t="s">
        <v>4418</v>
      </c>
      <c r="D879" s="7" t="s">
        <v>4419</v>
      </c>
      <c r="E879" s="7" t="s">
        <v>49</v>
      </c>
      <c r="F879" s="7" t="s">
        <v>34</v>
      </c>
      <c r="G879" s="7" t="s">
        <v>35</v>
      </c>
      <c r="J879" s="7" t="s">
        <v>50</v>
      </c>
      <c r="K879" s="7" t="s">
        <v>2413</v>
      </c>
      <c r="L879" s="7" t="s">
        <v>143</v>
      </c>
      <c r="M879" s="7" t="s">
        <v>144</v>
      </c>
      <c r="N879" s="7" t="s">
        <v>49</v>
      </c>
      <c r="O879" s="7">
        <v>1</v>
      </c>
      <c r="P879" s="7" t="s">
        <v>41</v>
      </c>
      <c r="Q879" s="7">
        <v>79.99</v>
      </c>
      <c r="Y879" s="7" t="s">
        <v>4420</v>
      </c>
      <c r="Z879" s="7" t="s">
        <v>714</v>
      </c>
      <c r="AA879" s="7" t="s">
        <v>4421</v>
      </c>
      <c r="AB879" s="7" t="s">
        <v>45</v>
      </c>
      <c r="AD879" s="11"/>
      <c r="AE879" s="11"/>
      <c r="AF879" s="11"/>
      <c r="AG879" s="10">
        <f t="shared" si="13"/>
        <v>43336</v>
      </c>
    </row>
    <row r="880" s="7" customFormat="1" spans="1:33">
      <c r="A880" s="7" t="s">
        <v>4422</v>
      </c>
      <c r="B880" s="7" t="s">
        <v>4422</v>
      </c>
      <c r="C880" s="7" t="s">
        <v>4423</v>
      </c>
      <c r="D880" s="7" t="s">
        <v>4424</v>
      </c>
      <c r="E880" s="7" t="s">
        <v>49</v>
      </c>
      <c r="F880" s="7" t="s">
        <v>34</v>
      </c>
      <c r="G880" s="7" t="s">
        <v>35</v>
      </c>
      <c r="J880" s="7" t="s">
        <v>50</v>
      </c>
      <c r="K880" s="7" t="s">
        <v>386</v>
      </c>
      <c r="L880" s="7" t="s">
        <v>387</v>
      </c>
      <c r="M880" s="7" t="s">
        <v>388</v>
      </c>
      <c r="N880" s="7" t="s">
        <v>49</v>
      </c>
      <c r="O880" s="7">
        <v>1</v>
      </c>
      <c r="P880" s="7" t="s">
        <v>41</v>
      </c>
      <c r="Q880" s="7">
        <v>32.99</v>
      </c>
      <c r="Y880" s="7" t="s">
        <v>431</v>
      </c>
      <c r="Z880" s="7" t="s">
        <v>115</v>
      </c>
      <c r="AA880" s="7" t="s">
        <v>4425</v>
      </c>
      <c r="AB880" s="7" t="s">
        <v>45</v>
      </c>
      <c r="AD880" s="11"/>
      <c r="AE880" s="11"/>
      <c r="AF880" s="11"/>
      <c r="AG880" s="10">
        <f t="shared" si="13"/>
        <v>43336</v>
      </c>
    </row>
    <row r="881" s="7" customFormat="1" spans="1:33">
      <c r="A881" s="7" t="s">
        <v>4426</v>
      </c>
      <c r="B881" s="7" t="s">
        <v>4426</v>
      </c>
      <c r="C881" s="7" t="s">
        <v>4427</v>
      </c>
      <c r="D881" s="7" t="s">
        <v>4428</v>
      </c>
      <c r="E881" s="7" t="s">
        <v>4278</v>
      </c>
      <c r="F881" s="7" t="s">
        <v>34</v>
      </c>
      <c r="G881" s="7" t="s">
        <v>35</v>
      </c>
      <c r="J881" s="7" t="s">
        <v>36</v>
      </c>
      <c r="K881" s="7" t="s">
        <v>208</v>
      </c>
      <c r="L881" s="7" t="s">
        <v>209</v>
      </c>
      <c r="M881" s="7" t="s">
        <v>210</v>
      </c>
      <c r="N881" s="7" t="s">
        <v>40</v>
      </c>
      <c r="O881" s="7">
        <v>1</v>
      </c>
      <c r="P881" s="7" t="s">
        <v>41</v>
      </c>
      <c r="Q881" s="7">
        <v>89.99</v>
      </c>
      <c r="Y881" s="7" t="s">
        <v>4429</v>
      </c>
      <c r="Z881" s="7" t="s">
        <v>1246</v>
      </c>
      <c r="AA881" s="7" t="s">
        <v>4430</v>
      </c>
      <c r="AB881" s="7" t="s">
        <v>45</v>
      </c>
      <c r="AD881" s="11"/>
      <c r="AE881" s="11"/>
      <c r="AF881" s="11"/>
      <c r="AG881" s="10">
        <f t="shared" si="13"/>
        <v>43336</v>
      </c>
    </row>
    <row r="882" s="7" customFormat="1" spans="1:33">
      <c r="A882" s="7" t="s">
        <v>4431</v>
      </c>
      <c r="B882" s="7" t="s">
        <v>4431</v>
      </c>
      <c r="C882" s="7" t="s">
        <v>4432</v>
      </c>
      <c r="D882" s="7" t="s">
        <v>4433</v>
      </c>
      <c r="E882" s="7" t="s">
        <v>49</v>
      </c>
      <c r="F882" s="7" t="s">
        <v>34</v>
      </c>
      <c r="G882" s="7" t="s">
        <v>35</v>
      </c>
      <c r="J882" s="7" t="s">
        <v>50</v>
      </c>
      <c r="K882" s="7" t="s">
        <v>4326</v>
      </c>
      <c r="L882" s="7" t="s">
        <v>71</v>
      </c>
      <c r="M882" s="7" t="s">
        <v>72</v>
      </c>
      <c r="N882" s="7" t="s">
        <v>49</v>
      </c>
      <c r="O882" s="7">
        <v>1</v>
      </c>
      <c r="P882" s="7" t="s">
        <v>41</v>
      </c>
      <c r="Q882" s="7">
        <v>96.99</v>
      </c>
      <c r="Y882" s="7" t="s">
        <v>897</v>
      </c>
      <c r="Z882" s="7" t="s">
        <v>266</v>
      </c>
      <c r="AA882" s="7" t="s">
        <v>4434</v>
      </c>
      <c r="AB882" s="7" t="s">
        <v>45</v>
      </c>
      <c r="AD882" s="11"/>
      <c r="AE882" s="11"/>
      <c r="AF882" s="11"/>
      <c r="AG882" s="10">
        <f t="shared" si="13"/>
        <v>43336</v>
      </c>
    </row>
    <row r="883" s="7" customFormat="1" spans="1:33">
      <c r="A883" s="7" t="s">
        <v>4435</v>
      </c>
      <c r="B883" s="7" t="s">
        <v>4435</v>
      </c>
      <c r="C883" s="7" t="s">
        <v>4436</v>
      </c>
      <c r="D883" s="7" t="s">
        <v>4437</v>
      </c>
      <c r="E883" s="7" t="s">
        <v>49</v>
      </c>
      <c r="F883" s="7" t="s">
        <v>34</v>
      </c>
      <c r="G883" s="7" t="s">
        <v>35</v>
      </c>
      <c r="J883" s="7" t="s">
        <v>50</v>
      </c>
      <c r="K883" s="7" t="s">
        <v>60</v>
      </c>
      <c r="L883" s="7" t="s">
        <v>61</v>
      </c>
      <c r="M883" s="7" t="s">
        <v>62</v>
      </c>
      <c r="N883" s="7" t="s">
        <v>49</v>
      </c>
      <c r="O883" s="7">
        <v>1</v>
      </c>
      <c r="P883" s="7" t="s">
        <v>41</v>
      </c>
      <c r="Q883" s="7">
        <v>21.99</v>
      </c>
      <c r="Y883" s="7" t="s">
        <v>265</v>
      </c>
      <c r="Z883" s="7" t="s">
        <v>266</v>
      </c>
      <c r="AA883" s="7" t="s">
        <v>4438</v>
      </c>
      <c r="AB883" s="7" t="s">
        <v>45</v>
      </c>
      <c r="AD883" s="11"/>
      <c r="AE883" s="11"/>
      <c r="AF883" s="11"/>
      <c r="AG883" s="10">
        <f t="shared" si="13"/>
        <v>43336</v>
      </c>
    </row>
    <row r="884" s="7" customFormat="1" spans="1:33">
      <c r="A884" s="7" t="s">
        <v>4439</v>
      </c>
      <c r="B884" s="7" t="s">
        <v>4439</v>
      </c>
      <c r="C884" s="7" t="s">
        <v>4440</v>
      </c>
      <c r="D884" s="7" t="s">
        <v>4441</v>
      </c>
      <c r="E884" s="7" t="s">
        <v>49</v>
      </c>
      <c r="F884" s="7" t="s">
        <v>34</v>
      </c>
      <c r="G884" s="7" t="s">
        <v>35</v>
      </c>
      <c r="J884" s="7" t="s">
        <v>50</v>
      </c>
      <c r="K884" s="7" t="s">
        <v>2363</v>
      </c>
      <c r="L884" s="7" t="s">
        <v>89</v>
      </c>
      <c r="M884" s="7" t="s">
        <v>90</v>
      </c>
      <c r="N884" s="7" t="s">
        <v>49</v>
      </c>
      <c r="O884" s="7">
        <v>1</v>
      </c>
      <c r="P884" s="7" t="s">
        <v>41</v>
      </c>
      <c r="Q884" s="7">
        <v>89.99</v>
      </c>
      <c r="Y884" s="7" t="s">
        <v>4442</v>
      </c>
      <c r="Z884" s="7" t="s">
        <v>2100</v>
      </c>
      <c r="AA884" s="7">
        <v>33324</v>
      </c>
      <c r="AB884" s="7" t="s">
        <v>45</v>
      </c>
      <c r="AD884" s="11"/>
      <c r="AE884" s="11"/>
      <c r="AF884" s="11"/>
      <c r="AG884" s="10">
        <f t="shared" si="13"/>
        <v>43336</v>
      </c>
    </row>
    <row r="885" s="7" customFormat="1" spans="1:33">
      <c r="A885" s="7" t="s">
        <v>4443</v>
      </c>
      <c r="B885" s="7" t="s">
        <v>4443</v>
      </c>
      <c r="C885" s="7" t="s">
        <v>4444</v>
      </c>
      <c r="D885" s="7" t="s">
        <v>4445</v>
      </c>
      <c r="E885" s="7" t="s">
        <v>33</v>
      </c>
      <c r="F885" s="7" t="s">
        <v>34</v>
      </c>
      <c r="G885" s="7" t="s">
        <v>35</v>
      </c>
      <c r="J885" s="7" t="s">
        <v>50</v>
      </c>
      <c r="K885" s="7" t="s">
        <v>2363</v>
      </c>
      <c r="L885" s="7" t="s">
        <v>89</v>
      </c>
      <c r="M885" s="7" t="s">
        <v>90</v>
      </c>
      <c r="N885" s="7" t="s">
        <v>33</v>
      </c>
      <c r="O885" s="7">
        <v>0</v>
      </c>
      <c r="Y885" s="7" t="s">
        <v>4446</v>
      </c>
      <c r="Z885" s="7" t="s">
        <v>1283</v>
      </c>
      <c r="AA885" s="7" t="s">
        <v>4447</v>
      </c>
      <c r="AB885" s="7" t="s">
        <v>45</v>
      </c>
      <c r="AD885" s="11"/>
      <c r="AE885" s="11"/>
      <c r="AF885" s="11"/>
      <c r="AG885" s="10">
        <f t="shared" si="13"/>
        <v>43336</v>
      </c>
    </row>
    <row r="886" s="7" customFormat="1" spans="1:33">
      <c r="A886" s="7" t="s">
        <v>4448</v>
      </c>
      <c r="B886" s="7" t="s">
        <v>4448</v>
      </c>
      <c r="C886" s="7" t="s">
        <v>4449</v>
      </c>
      <c r="D886" s="7" t="s">
        <v>4450</v>
      </c>
      <c r="E886" s="7" t="s">
        <v>49</v>
      </c>
      <c r="F886" s="7" t="s">
        <v>34</v>
      </c>
      <c r="G886" s="7" t="s">
        <v>35</v>
      </c>
      <c r="J886" s="7" t="s">
        <v>50</v>
      </c>
      <c r="K886" s="7" t="s">
        <v>208</v>
      </c>
      <c r="L886" s="7" t="s">
        <v>209</v>
      </c>
      <c r="M886" s="7" t="s">
        <v>210</v>
      </c>
      <c r="N886" s="7" t="s">
        <v>49</v>
      </c>
      <c r="O886" s="7">
        <v>1</v>
      </c>
      <c r="P886" s="7" t="s">
        <v>41</v>
      </c>
      <c r="Q886" s="7">
        <v>89.99</v>
      </c>
      <c r="Y886" s="7" t="s">
        <v>4451</v>
      </c>
      <c r="Z886" s="7" t="s">
        <v>3919</v>
      </c>
      <c r="AA886" s="7">
        <v>8201</v>
      </c>
      <c r="AB886" s="7" t="s">
        <v>45</v>
      </c>
      <c r="AD886" s="11"/>
      <c r="AE886" s="11"/>
      <c r="AF886" s="11"/>
      <c r="AG886" s="10">
        <f t="shared" si="13"/>
        <v>43336</v>
      </c>
    </row>
    <row r="887" s="7" customFormat="1" spans="1:33">
      <c r="A887" s="7" t="s">
        <v>4452</v>
      </c>
      <c r="B887" s="7" t="s">
        <v>4452</v>
      </c>
      <c r="C887" s="7" t="s">
        <v>4453</v>
      </c>
      <c r="D887" s="7" t="s">
        <v>4454</v>
      </c>
      <c r="E887" s="7" t="s">
        <v>4278</v>
      </c>
      <c r="F887" s="7" t="s">
        <v>34</v>
      </c>
      <c r="G887" s="7" t="s">
        <v>35</v>
      </c>
      <c r="J887" s="7" t="s">
        <v>151</v>
      </c>
      <c r="K887" s="7" t="s">
        <v>611</v>
      </c>
      <c r="L887" s="7" t="s">
        <v>612</v>
      </c>
      <c r="M887" s="7" t="s">
        <v>613</v>
      </c>
      <c r="N887" s="7" t="s">
        <v>40</v>
      </c>
      <c r="O887" s="7">
        <v>1</v>
      </c>
      <c r="P887" s="7" t="s">
        <v>41</v>
      </c>
      <c r="Q887" s="7">
        <v>89.99</v>
      </c>
      <c r="Y887" s="7" t="s">
        <v>897</v>
      </c>
      <c r="Z887" s="7" t="s">
        <v>266</v>
      </c>
      <c r="AA887" s="7" t="s">
        <v>4455</v>
      </c>
      <c r="AB887" s="7" t="s">
        <v>45</v>
      </c>
      <c r="AD887" s="11"/>
      <c r="AE887" s="11"/>
      <c r="AF887" s="11"/>
      <c r="AG887" s="10">
        <f t="shared" si="13"/>
        <v>43336</v>
      </c>
    </row>
    <row r="888" s="7" customFormat="1" spans="1:33">
      <c r="A888" s="7" t="s">
        <v>4456</v>
      </c>
      <c r="B888" s="7" t="s">
        <v>4456</v>
      </c>
      <c r="C888" s="7" t="s">
        <v>4457</v>
      </c>
      <c r="D888" s="7" t="s">
        <v>4458</v>
      </c>
      <c r="E888" s="7" t="s">
        <v>49</v>
      </c>
      <c r="F888" s="7" t="s">
        <v>34</v>
      </c>
      <c r="G888" s="7" t="s">
        <v>35</v>
      </c>
      <c r="J888" s="7" t="s">
        <v>50</v>
      </c>
      <c r="K888" s="7" t="s">
        <v>129</v>
      </c>
      <c r="L888" s="7" t="s">
        <v>130</v>
      </c>
      <c r="M888" s="7" t="s">
        <v>131</v>
      </c>
      <c r="N888" s="7" t="s">
        <v>49</v>
      </c>
      <c r="O888" s="7">
        <v>1</v>
      </c>
      <c r="P888" s="7" t="s">
        <v>41</v>
      </c>
      <c r="Q888" s="7">
        <v>79.99</v>
      </c>
      <c r="Y888" s="7" t="s">
        <v>4459</v>
      </c>
      <c r="Z888" s="7" t="s">
        <v>83</v>
      </c>
      <c r="AA888" s="7" t="s">
        <v>4460</v>
      </c>
      <c r="AB888" s="7" t="s">
        <v>45</v>
      </c>
      <c r="AD888" s="11"/>
      <c r="AE888" s="11"/>
      <c r="AF888" s="11"/>
      <c r="AG888" s="10">
        <f t="shared" si="13"/>
        <v>43336</v>
      </c>
    </row>
    <row r="889" s="7" customFormat="1" spans="1:33">
      <c r="A889" s="7" t="s">
        <v>4461</v>
      </c>
      <c r="B889" s="7" t="s">
        <v>4461</v>
      </c>
      <c r="C889" s="7" t="s">
        <v>4462</v>
      </c>
      <c r="D889" s="7" t="s">
        <v>4463</v>
      </c>
      <c r="E889" s="7" t="s">
        <v>49</v>
      </c>
      <c r="F889" s="7" t="s">
        <v>34</v>
      </c>
      <c r="G889" s="7" t="s">
        <v>35</v>
      </c>
      <c r="J889" s="7" t="s">
        <v>50</v>
      </c>
      <c r="K889" s="7" t="s">
        <v>2413</v>
      </c>
      <c r="L889" s="7" t="s">
        <v>143</v>
      </c>
      <c r="M889" s="7" t="s">
        <v>144</v>
      </c>
      <c r="N889" s="7" t="s">
        <v>49</v>
      </c>
      <c r="O889" s="7">
        <v>1</v>
      </c>
      <c r="P889" s="7" t="s">
        <v>41</v>
      </c>
      <c r="Q889" s="7">
        <v>79.99</v>
      </c>
      <c r="Y889" s="7" t="s">
        <v>4464</v>
      </c>
      <c r="Z889" s="7" t="s">
        <v>164</v>
      </c>
      <c r="AA889" s="7">
        <v>22572</v>
      </c>
      <c r="AB889" s="7" t="s">
        <v>45</v>
      </c>
      <c r="AD889" s="11"/>
      <c r="AE889" s="11"/>
      <c r="AF889" s="11"/>
      <c r="AG889" s="10">
        <f t="shared" si="13"/>
        <v>43336</v>
      </c>
    </row>
    <row r="890" s="7" customFormat="1" spans="1:33">
      <c r="A890" s="7" t="s">
        <v>4465</v>
      </c>
      <c r="B890" s="7" t="s">
        <v>4465</v>
      </c>
      <c r="C890" s="7" t="s">
        <v>4466</v>
      </c>
      <c r="D890" s="7" t="s">
        <v>4467</v>
      </c>
      <c r="E890" s="7" t="s">
        <v>33</v>
      </c>
      <c r="F890" s="7" t="s">
        <v>34</v>
      </c>
      <c r="G890" s="7" t="s">
        <v>35</v>
      </c>
      <c r="J890" s="7" t="s">
        <v>50</v>
      </c>
      <c r="K890" s="7" t="s">
        <v>656</v>
      </c>
      <c r="L890" s="7" t="s">
        <v>657</v>
      </c>
      <c r="M890" s="7" t="s">
        <v>658</v>
      </c>
      <c r="N890" s="7" t="s">
        <v>33</v>
      </c>
      <c r="O890" s="7">
        <v>0</v>
      </c>
      <c r="Y890" s="7" t="s">
        <v>4468</v>
      </c>
      <c r="Z890" s="7" t="s">
        <v>757</v>
      </c>
      <c r="AA890" s="7">
        <v>83401</v>
      </c>
      <c r="AB890" s="7" t="s">
        <v>45</v>
      </c>
      <c r="AD890" s="11"/>
      <c r="AE890" s="11"/>
      <c r="AF890" s="11"/>
      <c r="AG890" s="10">
        <f t="shared" si="13"/>
        <v>43336</v>
      </c>
    </row>
    <row r="891" s="7" customFormat="1" spans="1:33">
      <c r="A891" s="7" t="s">
        <v>4469</v>
      </c>
      <c r="B891" s="7" t="s">
        <v>4469</v>
      </c>
      <c r="C891" s="7" t="s">
        <v>4470</v>
      </c>
      <c r="D891" s="7" t="s">
        <v>4471</v>
      </c>
      <c r="E891" s="7" t="s">
        <v>4278</v>
      </c>
      <c r="F891" s="7" t="s">
        <v>34</v>
      </c>
      <c r="G891" s="7" t="s">
        <v>35</v>
      </c>
      <c r="J891" s="7" t="s">
        <v>36</v>
      </c>
      <c r="K891" s="7" t="s">
        <v>2248</v>
      </c>
      <c r="L891" s="7" t="s">
        <v>746</v>
      </c>
      <c r="M891" s="7" t="s">
        <v>747</v>
      </c>
      <c r="N891" s="7" t="s">
        <v>40</v>
      </c>
      <c r="O891" s="7">
        <v>1</v>
      </c>
      <c r="P891" s="7" t="s">
        <v>41</v>
      </c>
      <c r="Q891" s="7">
        <v>89.99</v>
      </c>
      <c r="S891" s="7">
        <v>4.73</v>
      </c>
      <c r="X891" s="7">
        <v>4.73</v>
      </c>
      <c r="Y891" s="7" t="s">
        <v>4472</v>
      </c>
      <c r="Z891" s="7" t="s">
        <v>714</v>
      </c>
      <c r="AA891" s="7" t="s">
        <v>4473</v>
      </c>
      <c r="AB891" s="7" t="s">
        <v>45</v>
      </c>
      <c r="AC891" s="7" t="s">
        <v>549</v>
      </c>
      <c r="AD891" s="11"/>
      <c r="AE891" s="11"/>
      <c r="AF891" s="11"/>
      <c r="AG891" s="10">
        <f t="shared" si="13"/>
        <v>43336</v>
      </c>
    </row>
    <row r="892" s="7" customFormat="1" spans="1:33">
      <c r="A892" s="7" t="s">
        <v>4469</v>
      </c>
      <c r="B892" s="7" t="s">
        <v>4469</v>
      </c>
      <c r="C892" s="7" t="s">
        <v>4470</v>
      </c>
      <c r="D892" s="7" t="s">
        <v>4471</v>
      </c>
      <c r="E892" s="7" t="s">
        <v>4278</v>
      </c>
      <c r="F892" s="7" t="s">
        <v>34</v>
      </c>
      <c r="G892" s="7" t="s">
        <v>35</v>
      </c>
      <c r="J892" s="7" t="s">
        <v>36</v>
      </c>
      <c r="K892" s="7" t="s">
        <v>4326</v>
      </c>
      <c r="L892" s="7" t="s">
        <v>71</v>
      </c>
      <c r="M892" s="7" t="s">
        <v>72</v>
      </c>
      <c r="N892" s="7" t="s">
        <v>49</v>
      </c>
      <c r="O892" s="7">
        <v>1</v>
      </c>
      <c r="P892" s="7" t="s">
        <v>41</v>
      </c>
      <c r="Q892" s="7">
        <v>96.99</v>
      </c>
      <c r="S892" s="7">
        <v>4.44</v>
      </c>
      <c r="X892" s="7">
        <v>4.44</v>
      </c>
      <c r="Y892" s="7" t="s">
        <v>4472</v>
      </c>
      <c r="Z892" s="7" t="s">
        <v>714</v>
      </c>
      <c r="AA892" s="7" t="s">
        <v>4473</v>
      </c>
      <c r="AB892" s="7" t="s">
        <v>45</v>
      </c>
      <c r="AC892" s="7" t="s">
        <v>549</v>
      </c>
      <c r="AD892" s="11"/>
      <c r="AE892" s="11"/>
      <c r="AF892" s="11"/>
      <c r="AG892" s="10">
        <f t="shared" si="13"/>
        <v>43336</v>
      </c>
    </row>
    <row r="893" s="7" customFormat="1" spans="1:33">
      <c r="A893" s="7" t="s">
        <v>4474</v>
      </c>
      <c r="B893" s="7" t="s">
        <v>4474</v>
      </c>
      <c r="C893" s="7" t="s">
        <v>4475</v>
      </c>
      <c r="D893" s="7" t="s">
        <v>4476</v>
      </c>
      <c r="E893" s="7" t="s">
        <v>49</v>
      </c>
      <c r="F893" s="7" t="s">
        <v>34</v>
      </c>
      <c r="G893" s="7" t="s">
        <v>35</v>
      </c>
      <c r="J893" s="7" t="s">
        <v>50</v>
      </c>
      <c r="K893" s="7" t="s">
        <v>2603</v>
      </c>
      <c r="L893" s="7" t="s">
        <v>1161</v>
      </c>
      <c r="M893" s="7" t="s">
        <v>1162</v>
      </c>
      <c r="N893" s="7" t="s">
        <v>49</v>
      </c>
      <c r="O893" s="7">
        <v>1</v>
      </c>
      <c r="P893" s="7" t="s">
        <v>41</v>
      </c>
      <c r="Q893" s="7">
        <v>89.99</v>
      </c>
      <c r="Y893" s="7" t="s">
        <v>4477</v>
      </c>
      <c r="Z893" s="7" t="s">
        <v>1914</v>
      </c>
      <c r="AA893" s="7">
        <v>45697</v>
      </c>
      <c r="AB893" s="7" t="s">
        <v>45</v>
      </c>
      <c r="AD893" s="11"/>
      <c r="AE893" s="11"/>
      <c r="AF893" s="11"/>
      <c r="AG893" s="10">
        <f t="shared" si="13"/>
        <v>43336</v>
      </c>
    </row>
    <row r="894" s="7" customFormat="1" spans="1:33">
      <c r="A894" s="7" t="s">
        <v>4478</v>
      </c>
      <c r="B894" s="7" t="s">
        <v>4478</v>
      </c>
      <c r="C894" s="7" t="s">
        <v>4479</v>
      </c>
      <c r="D894" s="7" t="s">
        <v>4480</v>
      </c>
      <c r="E894" s="7" t="s">
        <v>49</v>
      </c>
      <c r="F894" s="7" t="s">
        <v>34</v>
      </c>
      <c r="G894" s="7" t="s">
        <v>35</v>
      </c>
      <c r="J894" s="7" t="s">
        <v>50</v>
      </c>
      <c r="K894" s="7" t="s">
        <v>2279</v>
      </c>
      <c r="L894" s="7" t="s">
        <v>277</v>
      </c>
      <c r="M894" s="7" t="s">
        <v>278</v>
      </c>
      <c r="N894" s="7" t="s">
        <v>49</v>
      </c>
      <c r="O894" s="7">
        <v>1</v>
      </c>
      <c r="P894" s="7" t="s">
        <v>41</v>
      </c>
      <c r="Q894" s="7">
        <v>91.99</v>
      </c>
      <c r="Y894" s="7" t="s">
        <v>418</v>
      </c>
      <c r="Z894" s="7" t="s">
        <v>43</v>
      </c>
      <c r="AA894" s="7" t="s">
        <v>4481</v>
      </c>
      <c r="AB894" s="7" t="s">
        <v>45</v>
      </c>
      <c r="AD894" s="11"/>
      <c r="AE894" s="11"/>
      <c r="AF894" s="11"/>
      <c r="AG894" s="10">
        <f t="shared" si="13"/>
        <v>43336</v>
      </c>
    </row>
    <row r="895" s="7" customFormat="1" spans="1:33">
      <c r="A895" s="7" t="s">
        <v>4482</v>
      </c>
      <c r="B895" s="7" t="s">
        <v>4482</v>
      </c>
      <c r="C895" s="7" t="s">
        <v>4483</v>
      </c>
      <c r="D895" s="7" t="s">
        <v>4484</v>
      </c>
      <c r="E895" s="7" t="s">
        <v>49</v>
      </c>
      <c r="F895" s="7" t="s">
        <v>34</v>
      </c>
      <c r="G895" s="7" t="s">
        <v>35</v>
      </c>
      <c r="J895" s="7" t="s">
        <v>50</v>
      </c>
      <c r="K895" s="7" t="s">
        <v>189</v>
      </c>
      <c r="L895" s="7" t="s">
        <v>190</v>
      </c>
      <c r="M895" s="7" t="s">
        <v>191</v>
      </c>
      <c r="N895" s="7" t="s">
        <v>49</v>
      </c>
      <c r="O895" s="7">
        <v>1</v>
      </c>
      <c r="P895" s="7" t="s">
        <v>41</v>
      </c>
      <c r="Q895" s="7">
        <v>79.99</v>
      </c>
      <c r="Y895" s="7" t="s">
        <v>4485</v>
      </c>
      <c r="Z895" s="7" t="s">
        <v>714</v>
      </c>
      <c r="AA895" s="7" t="s">
        <v>4486</v>
      </c>
      <c r="AB895" s="7" t="s">
        <v>45</v>
      </c>
      <c r="AD895" s="11"/>
      <c r="AE895" s="11"/>
      <c r="AF895" s="11"/>
      <c r="AG895" s="10">
        <f t="shared" si="13"/>
        <v>43336</v>
      </c>
    </row>
    <row r="896" s="7" customFormat="1" spans="1:33">
      <c r="A896" s="7" t="s">
        <v>4487</v>
      </c>
      <c r="B896" s="7" t="s">
        <v>4487</v>
      </c>
      <c r="C896" s="7" t="s">
        <v>4488</v>
      </c>
      <c r="D896" s="7" t="s">
        <v>4489</v>
      </c>
      <c r="E896" s="7" t="s">
        <v>4278</v>
      </c>
      <c r="F896" s="7" t="s">
        <v>34</v>
      </c>
      <c r="G896" s="7" t="s">
        <v>35</v>
      </c>
      <c r="J896" s="7" t="s">
        <v>36</v>
      </c>
      <c r="K896" s="7" t="s">
        <v>208</v>
      </c>
      <c r="L896" s="7" t="s">
        <v>209</v>
      </c>
      <c r="M896" s="7" t="s">
        <v>210</v>
      </c>
      <c r="N896" s="7" t="s">
        <v>40</v>
      </c>
      <c r="O896" s="7">
        <v>1</v>
      </c>
      <c r="P896" s="7" t="s">
        <v>41</v>
      </c>
      <c r="Q896" s="7">
        <v>89.99</v>
      </c>
      <c r="Y896" s="7" t="s">
        <v>4490</v>
      </c>
      <c r="Z896" s="7" t="s">
        <v>459</v>
      </c>
      <c r="AA896" s="7" t="s">
        <v>4491</v>
      </c>
      <c r="AB896" s="7" t="s">
        <v>45</v>
      </c>
      <c r="AC896" s="7" t="s">
        <v>549</v>
      </c>
      <c r="AD896" s="11"/>
      <c r="AE896" s="11"/>
      <c r="AF896" s="11"/>
      <c r="AG896" s="10">
        <f t="shared" si="13"/>
        <v>43336</v>
      </c>
    </row>
    <row r="897" s="7" customFormat="1" spans="1:33">
      <c r="A897" s="7" t="s">
        <v>4492</v>
      </c>
      <c r="B897" s="7" t="s">
        <v>4492</v>
      </c>
      <c r="C897" s="7" t="s">
        <v>4493</v>
      </c>
      <c r="D897" s="7" t="s">
        <v>4494</v>
      </c>
      <c r="E897" s="7" t="s">
        <v>49</v>
      </c>
      <c r="F897" s="7" t="s">
        <v>34</v>
      </c>
      <c r="G897" s="7" t="s">
        <v>35</v>
      </c>
      <c r="J897" s="7" t="s">
        <v>50</v>
      </c>
      <c r="K897" s="7" t="s">
        <v>208</v>
      </c>
      <c r="L897" s="7" t="s">
        <v>209</v>
      </c>
      <c r="M897" s="7" t="s">
        <v>210</v>
      </c>
      <c r="N897" s="7" t="s">
        <v>49</v>
      </c>
      <c r="O897" s="7">
        <v>1</v>
      </c>
      <c r="P897" s="7" t="s">
        <v>41</v>
      </c>
      <c r="Q897" s="7">
        <v>89.99</v>
      </c>
      <c r="S897" s="7">
        <v>13.96</v>
      </c>
      <c r="Y897" s="7" t="s">
        <v>897</v>
      </c>
      <c r="Z897" s="7" t="s">
        <v>266</v>
      </c>
      <c r="AA897" s="7" t="s">
        <v>4495</v>
      </c>
      <c r="AB897" s="7" t="s">
        <v>45</v>
      </c>
      <c r="AD897" s="11"/>
      <c r="AE897" s="11"/>
      <c r="AF897" s="11"/>
      <c r="AG897" s="10">
        <f t="shared" si="13"/>
        <v>43336</v>
      </c>
    </row>
    <row r="898" s="7" customFormat="1" spans="1:33">
      <c r="A898" s="7" t="s">
        <v>4496</v>
      </c>
      <c r="B898" s="7" t="s">
        <v>4496</v>
      </c>
      <c r="C898" s="7" t="s">
        <v>4497</v>
      </c>
      <c r="D898" s="7" t="s">
        <v>4498</v>
      </c>
      <c r="E898" s="7" t="s">
        <v>49</v>
      </c>
      <c r="F898" s="7" t="s">
        <v>34</v>
      </c>
      <c r="G898" s="7" t="s">
        <v>35</v>
      </c>
      <c r="J898" s="7" t="s">
        <v>50</v>
      </c>
      <c r="K898" s="7" t="s">
        <v>603</v>
      </c>
      <c r="L898" s="7" t="s">
        <v>604</v>
      </c>
      <c r="M898" s="7" t="s">
        <v>605</v>
      </c>
      <c r="N898" s="7" t="s">
        <v>49</v>
      </c>
      <c r="O898" s="7">
        <v>1</v>
      </c>
      <c r="P898" s="7" t="s">
        <v>41</v>
      </c>
      <c r="Q898" s="7">
        <v>99.99</v>
      </c>
      <c r="R898" s="7">
        <v>6</v>
      </c>
      <c r="Y898" s="7" t="s">
        <v>4499</v>
      </c>
      <c r="Z898" s="7" t="s">
        <v>124</v>
      </c>
      <c r="AA898" s="7" t="s">
        <v>4500</v>
      </c>
      <c r="AB898" s="7" t="s">
        <v>45</v>
      </c>
      <c r="AD898" s="8"/>
      <c r="AE898" s="8"/>
      <c r="AF898" s="8"/>
      <c r="AG898" s="10">
        <f t="shared" ref="AG898:AG961" si="14">DATEVALUE(LEFT(C898,10))</f>
        <v>43336</v>
      </c>
    </row>
    <row r="899" s="7" customFormat="1" spans="1:33">
      <c r="A899" s="7" t="s">
        <v>4501</v>
      </c>
      <c r="B899" s="7" t="s">
        <v>4501</v>
      </c>
      <c r="C899" s="7" t="s">
        <v>4502</v>
      </c>
      <c r="D899" s="7" t="s">
        <v>4503</v>
      </c>
      <c r="E899" s="7" t="s">
        <v>33</v>
      </c>
      <c r="F899" s="7" t="s">
        <v>34</v>
      </c>
      <c r="G899" s="7" t="s">
        <v>35</v>
      </c>
      <c r="J899" s="7" t="s">
        <v>50</v>
      </c>
      <c r="K899" s="7" t="s">
        <v>882</v>
      </c>
      <c r="L899" s="7" t="s">
        <v>883</v>
      </c>
      <c r="M899" s="7" t="s">
        <v>884</v>
      </c>
      <c r="N899" s="7" t="s">
        <v>33</v>
      </c>
      <c r="O899" s="7">
        <v>0</v>
      </c>
      <c r="Y899" s="7" t="s">
        <v>2364</v>
      </c>
      <c r="Z899" s="7" t="s">
        <v>43</v>
      </c>
      <c r="AA899" s="7" t="s">
        <v>4504</v>
      </c>
      <c r="AB899" s="7" t="s">
        <v>45</v>
      </c>
      <c r="AD899" s="11"/>
      <c r="AE899" s="11"/>
      <c r="AF899" s="11"/>
      <c r="AG899" s="10">
        <f t="shared" si="14"/>
        <v>43336</v>
      </c>
    </row>
    <row r="900" s="7" customFormat="1" spans="1:33">
      <c r="A900" s="7" t="s">
        <v>4505</v>
      </c>
      <c r="B900" s="7" t="s">
        <v>4505</v>
      </c>
      <c r="C900" s="7" t="s">
        <v>4506</v>
      </c>
      <c r="D900" s="7" t="s">
        <v>4507</v>
      </c>
      <c r="E900" s="7" t="s">
        <v>33</v>
      </c>
      <c r="F900" s="7" t="s">
        <v>34</v>
      </c>
      <c r="G900" s="7" t="s">
        <v>35</v>
      </c>
      <c r="J900" s="7" t="s">
        <v>50</v>
      </c>
      <c r="K900" s="7" t="s">
        <v>2327</v>
      </c>
      <c r="L900" s="7" t="s">
        <v>2328</v>
      </c>
      <c r="M900" s="7" t="s">
        <v>2329</v>
      </c>
      <c r="N900" s="7" t="s">
        <v>33</v>
      </c>
      <c r="O900" s="7">
        <v>0</v>
      </c>
      <c r="Y900" s="7" t="s">
        <v>2364</v>
      </c>
      <c r="Z900" s="7" t="s">
        <v>43</v>
      </c>
      <c r="AA900" s="7" t="s">
        <v>4504</v>
      </c>
      <c r="AB900" s="7" t="s">
        <v>45</v>
      </c>
      <c r="AD900" s="11"/>
      <c r="AE900" s="11"/>
      <c r="AF900" s="11"/>
      <c r="AG900" s="10">
        <f t="shared" si="14"/>
        <v>43336</v>
      </c>
    </row>
    <row r="901" s="7" customFormat="1" spans="1:33">
      <c r="A901" s="7" t="s">
        <v>4508</v>
      </c>
      <c r="B901" s="7" t="s">
        <v>4508</v>
      </c>
      <c r="C901" s="7" t="s">
        <v>4509</v>
      </c>
      <c r="D901" s="7" t="s">
        <v>4510</v>
      </c>
      <c r="E901" s="7" t="s">
        <v>33</v>
      </c>
      <c r="F901" s="7" t="s">
        <v>34</v>
      </c>
      <c r="G901" s="7" t="s">
        <v>35</v>
      </c>
      <c r="J901" s="7" t="s">
        <v>50</v>
      </c>
      <c r="K901" s="7" t="s">
        <v>1270</v>
      </c>
      <c r="L901" s="7" t="s">
        <v>1271</v>
      </c>
      <c r="M901" s="7" t="s">
        <v>1272</v>
      </c>
      <c r="N901" s="7" t="s">
        <v>33</v>
      </c>
      <c r="O901" s="7">
        <v>0</v>
      </c>
      <c r="Y901" s="7" t="s">
        <v>2364</v>
      </c>
      <c r="Z901" s="7" t="s">
        <v>43</v>
      </c>
      <c r="AA901" s="7" t="s">
        <v>4504</v>
      </c>
      <c r="AB901" s="7" t="s">
        <v>45</v>
      </c>
      <c r="AD901" s="11"/>
      <c r="AE901" s="11"/>
      <c r="AF901" s="11"/>
      <c r="AG901" s="10">
        <f t="shared" si="14"/>
        <v>43336</v>
      </c>
    </row>
    <row r="902" s="7" customFormat="1" spans="1:33">
      <c r="A902" s="7" t="s">
        <v>4511</v>
      </c>
      <c r="B902" s="7" t="s">
        <v>4511</v>
      </c>
      <c r="C902" s="7" t="s">
        <v>4512</v>
      </c>
      <c r="D902" s="7" t="s">
        <v>4513</v>
      </c>
      <c r="E902" s="7" t="s">
        <v>33</v>
      </c>
      <c r="F902" s="7" t="s">
        <v>34</v>
      </c>
      <c r="G902" s="7" t="s">
        <v>35</v>
      </c>
      <c r="J902" s="7" t="s">
        <v>50</v>
      </c>
      <c r="K902" s="7" t="s">
        <v>2327</v>
      </c>
      <c r="L902" s="7" t="s">
        <v>2328</v>
      </c>
      <c r="M902" s="7" t="s">
        <v>2329</v>
      </c>
      <c r="N902" s="7" t="s">
        <v>33</v>
      </c>
      <c r="O902" s="7">
        <v>0</v>
      </c>
      <c r="Y902" s="7" t="s">
        <v>2364</v>
      </c>
      <c r="Z902" s="7" t="s">
        <v>43</v>
      </c>
      <c r="AA902" s="7" t="s">
        <v>4504</v>
      </c>
      <c r="AB902" s="7" t="s">
        <v>45</v>
      </c>
      <c r="AD902" s="11"/>
      <c r="AE902" s="11"/>
      <c r="AF902" s="11"/>
      <c r="AG902" s="10">
        <f t="shared" si="14"/>
        <v>43336</v>
      </c>
    </row>
    <row r="903" s="7" customFormat="1" spans="1:33">
      <c r="A903" s="7" t="s">
        <v>4514</v>
      </c>
      <c r="B903" s="7" t="s">
        <v>4514</v>
      </c>
      <c r="C903" s="7" t="s">
        <v>4515</v>
      </c>
      <c r="D903" s="7" t="s">
        <v>4516</v>
      </c>
      <c r="E903" s="7" t="s">
        <v>33</v>
      </c>
      <c r="F903" s="7" t="s">
        <v>34</v>
      </c>
      <c r="G903" s="7" t="s">
        <v>35</v>
      </c>
      <c r="J903" s="7" t="s">
        <v>50</v>
      </c>
      <c r="K903" s="7" t="s">
        <v>2327</v>
      </c>
      <c r="L903" s="7" t="s">
        <v>2328</v>
      </c>
      <c r="M903" s="7" t="s">
        <v>2329</v>
      </c>
      <c r="N903" s="7" t="s">
        <v>33</v>
      </c>
      <c r="O903" s="7">
        <v>0</v>
      </c>
      <c r="Y903" s="7" t="s">
        <v>2364</v>
      </c>
      <c r="Z903" s="7" t="s">
        <v>43</v>
      </c>
      <c r="AA903" s="7" t="s">
        <v>4504</v>
      </c>
      <c r="AB903" s="7" t="s">
        <v>45</v>
      </c>
      <c r="AD903" s="11"/>
      <c r="AE903" s="11"/>
      <c r="AF903" s="11"/>
      <c r="AG903" s="10">
        <f t="shared" si="14"/>
        <v>43336</v>
      </c>
    </row>
    <row r="904" s="7" customFormat="1" spans="1:33">
      <c r="A904" s="7" t="s">
        <v>4517</v>
      </c>
      <c r="B904" s="7" t="s">
        <v>4517</v>
      </c>
      <c r="C904" s="7" t="s">
        <v>4518</v>
      </c>
      <c r="D904" s="7" t="s">
        <v>4519</v>
      </c>
      <c r="E904" s="7" t="s">
        <v>49</v>
      </c>
      <c r="F904" s="7" t="s">
        <v>34</v>
      </c>
      <c r="G904" s="7" t="s">
        <v>35</v>
      </c>
      <c r="J904" s="7" t="s">
        <v>50</v>
      </c>
      <c r="K904" s="7" t="s">
        <v>2413</v>
      </c>
      <c r="L904" s="7" t="s">
        <v>143</v>
      </c>
      <c r="M904" s="7" t="s">
        <v>144</v>
      </c>
      <c r="N904" s="7" t="s">
        <v>49</v>
      </c>
      <c r="O904" s="7">
        <v>1</v>
      </c>
      <c r="P904" s="7" t="s">
        <v>41</v>
      </c>
      <c r="Q904" s="7">
        <v>79.99</v>
      </c>
      <c r="Y904" s="7" t="s">
        <v>1012</v>
      </c>
      <c r="Z904" s="7" t="s">
        <v>266</v>
      </c>
      <c r="AA904" s="7" t="s">
        <v>4520</v>
      </c>
      <c r="AB904" s="7" t="s">
        <v>45</v>
      </c>
      <c r="AD904" s="11"/>
      <c r="AE904" s="11"/>
      <c r="AF904" s="11"/>
      <c r="AG904" s="10">
        <f t="shared" si="14"/>
        <v>43336</v>
      </c>
    </row>
    <row r="905" s="7" customFormat="1" spans="1:33">
      <c r="A905" s="7" t="s">
        <v>4521</v>
      </c>
      <c r="B905" s="7" t="s">
        <v>4521</v>
      </c>
      <c r="C905" s="7" t="s">
        <v>4522</v>
      </c>
      <c r="D905" s="7" t="s">
        <v>4523</v>
      </c>
      <c r="E905" s="7" t="s">
        <v>49</v>
      </c>
      <c r="F905" s="7" t="s">
        <v>34</v>
      </c>
      <c r="G905" s="7" t="s">
        <v>35</v>
      </c>
      <c r="J905" s="7" t="s">
        <v>50</v>
      </c>
      <c r="K905" s="7" t="s">
        <v>4524</v>
      </c>
      <c r="L905" s="7" t="s">
        <v>4525</v>
      </c>
      <c r="M905" s="7" t="s">
        <v>4526</v>
      </c>
      <c r="N905" s="7" t="s">
        <v>49</v>
      </c>
      <c r="O905" s="7">
        <v>1</v>
      </c>
      <c r="P905" s="7" t="s">
        <v>41</v>
      </c>
      <c r="Q905" s="7">
        <v>99.9</v>
      </c>
      <c r="Y905" s="7" t="s">
        <v>459</v>
      </c>
      <c r="Z905" s="7" t="s">
        <v>346</v>
      </c>
      <c r="AA905" s="7" t="s">
        <v>4527</v>
      </c>
      <c r="AB905" s="7" t="s">
        <v>45</v>
      </c>
      <c r="AD905" s="11"/>
      <c r="AE905" s="11"/>
      <c r="AF905" s="11"/>
      <c r="AG905" s="10">
        <f t="shared" si="14"/>
        <v>43336</v>
      </c>
    </row>
    <row r="906" s="7" customFormat="1" spans="1:33">
      <c r="A906" s="7" t="s">
        <v>4528</v>
      </c>
      <c r="B906" s="7" t="s">
        <v>4528</v>
      </c>
      <c r="C906" s="7" t="s">
        <v>4529</v>
      </c>
      <c r="D906" s="7" t="s">
        <v>4530</v>
      </c>
      <c r="E906" s="7" t="s">
        <v>49</v>
      </c>
      <c r="F906" s="7" t="s">
        <v>34</v>
      </c>
      <c r="G906" s="7" t="s">
        <v>35</v>
      </c>
      <c r="J906" s="7" t="s">
        <v>50</v>
      </c>
      <c r="K906" s="7" t="s">
        <v>3420</v>
      </c>
      <c r="L906" s="7" t="s">
        <v>3421</v>
      </c>
      <c r="M906" s="7" t="s">
        <v>3422</v>
      </c>
      <c r="N906" s="7" t="s">
        <v>49</v>
      </c>
      <c r="O906" s="7">
        <v>1</v>
      </c>
      <c r="P906" s="7" t="s">
        <v>41</v>
      </c>
      <c r="Q906" s="7">
        <v>92.99</v>
      </c>
      <c r="Y906" s="7" t="s">
        <v>4531</v>
      </c>
      <c r="Z906" s="7" t="s">
        <v>714</v>
      </c>
      <c r="AA906" s="7" t="s">
        <v>4532</v>
      </c>
      <c r="AB906" s="7" t="s">
        <v>45</v>
      </c>
      <c r="AD906" s="11"/>
      <c r="AE906" s="11"/>
      <c r="AF906" s="11"/>
      <c r="AG906" s="10">
        <f t="shared" si="14"/>
        <v>43336</v>
      </c>
    </row>
    <row r="907" s="7" customFormat="1" spans="1:33">
      <c r="A907" s="7" t="s">
        <v>4533</v>
      </c>
      <c r="B907" s="7" t="s">
        <v>4533</v>
      </c>
      <c r="C907" s="7" t="s">
        <v>4534</v>
      </c>
      <c r="D907" s="7" t="s">
        <v>4535</v>
      </c>
      <c r="E907" s="7" t="s">
        <v>49</v>
      </c>
      <c r="F907" s="7" t="s">
        <v>34</v>
      </c>
      <c r="G907" s="7" t="s">
        <v>35</v>
      </c>
      <c r="J907" s="7" t="s">
        <v>326</v>
      </c>
      <c r="K907" s="7" t="s">
        <v>208</v>
      </c>
      <c r="L907" s="7" t="s">
        <v>209</v>
      </c>
      <c r="M907" s="7" t="s">
        <v>210</v>
      </c>
      <c r="N907" s="7" t="s">
        <v>49</v>
      </c>
      <c r="O907" s="7">
        <v>1</v>
      </c>
      <c r="P907" s="7" t="s">
        <v>41</v>
      </c>
      <c r="Q907" s="7">
        <v>89.99</v>
      </c>
      <c r="S907" s="7">
        <v>7.99</v>
      </c>
      <c r="Y907" s="7" t="s">
        <v>3793</v>
      </c>
      <c r="Z907" s="7" t="s">
        <v>98</v>
      </c>
      <c r="AA907" s="7" t="s">
        <v>3794</v>
      </c>
      <c r="AB907" s="7" t="s">
        <v>45</v>
      </c>
      <c r="AD907" s="11"/>
      <c r="AE907" s="11"/>
      <c r="AF907" s="11"/>
      <c r="AG907" s="10">
        <f t="shared" si="14"/>
        <v>43336</v>
      </c>
    </row>
    <row r="908" s="7" customFormat="1" spans="1:33">
      <c r="A908" s="7" t="s">
        <v>4536</v>
      </c>
      <c r="B908" s="7" t="s">
        <v>4536</v>
      </c>
      <c r="C908" s="7" t="s">
        <v>4537</v>
      </c>
      <c r="D908" s="7" t="s">
        <v>4538</v>
      </c>
      <c r="E908" s="7" t="s">
        <v>49</v>
      </c>
      <c r="F908" s="7" t="s">
        <v>34</v>
      </c>
      <c r="G908" s="7" t="s">
        <v>35</v>
      </c>
      <c r="J908" s="7" t="s">
        <v>50</v>
      </c>
      <c r="K908" s="7" t="s">
        <v>60</v>
      </c>
      <c r="L908" s="7" t="s">
        <v>61</v>
      </c>
      <c r="M908" s="7" t="s">
        <v>62</v>
      </c>
      <c r="N908" s="7" t="s">
        <v>49</v>
      </c>
      <c r="O908" s="7">
        <v>1</v>
      </c>
      <c r="P908" s="7" t="s">
        <v>41</v>
      </c>
      <c r="Q908" s="7">
        <v>21.99</v>
      </c>
      <c r="W908" s="7">
        <v>21.77</v>
      </c>
      <c r="Y908" s="7" t="s">
        <v>993</v>
      </c>
      <c r="Z908" s="7" t="s">
        <v>43</v>
      </c>
      <c r="AA908" s="7" t="s">
        <v>994</v>
      </c>
      <c r="AB908" s="7" t="s">
        <v>45</v>
      </c>
      <c r="AC908" s="7" t="s">
        <v>66</v>
      </c>
      <c r="AD908" s="11"/>
      <c r="AE908" s="11"/>
      <c r="AF908" s="11"/>
      <c r="AG908" s="10">
        <f t="shared" si="14"/>
        <v>43337</v>
      </c>
    </row>
    <row r="909" s="7" customFormat="1" spans="1:33">
      <c r="A909" s="7" t="s">
        <v>4539</v>
      </c>
      <c r="B909" s="7" t="s">
        <v>4539</v>
      </c>
      <c r="C909" s="7" t="s">
        <v>4540</v>
      </c>
      <c r="D909" s="7" t="s">
        <v>4541</v>
      </c>
      <c r="E909" s="7" t="s">
        <v>49</v>
      </c>
      <c r="F909" s="7" t="s">
        <v>34</v>
      </c>
      <c r="G909" s="7" t="s">
        <v>35</v>
      </c>
      <c r="J909" s="7" t="s">
        <v>50</v>
      </c>
      <c r="K909" s="7" t="s">
        <v>2603</v>
      </c>
      <c r="L909" s="7" t="s">
        <v>1161</v>
      </c>
      <c r="M909" s="7" t="s">
        <v>1162</v>
      </c>
      <c r="N909" s="7" t="s">
        <v>49</v>
      </c>
      <c r="O909" s="7">
        <v>1</v>
      </c>
      <c r="P909" s="7" t="s">
        <v>41</v>
      </c>
      <c r="Q909" s="7">
        <v>89.99</v>
      </c>
      <c r="R909" s="7">
        <v>8.37</v>
      </c>
      <c r="Y909" s="7" t="s">
        <v>4542</v>
      </c>
      <c r="Z909" s="7" t="s">
        <v>146</v>
      </c>
      <c r="AA909" s="7" t="s">
        <v>4543</v>
      </c>
      <c r="AB909" s="7" t="s">
        <v>45</v>
      </c>
      <c r="AD909" s="11"/>
      <c r="AE909" s="11"/>
      <c r="AF909" s="11"/>
      <c r="AG909" s="10">
        <f t="shared" si="14"/>
        <v>43337</v>
      </c>
    </row>
    <row r="910" s="7" customFormat="1" spans="1:33">
      <c r="A910" s="7" t="s">
        <v>4544</v>
      </c>
      <c r="B910" s="7" t="s">
        <v>4544</v>
      </c>
      <c r="C910" s="7" t="s">
        <v>4545</v>
      </c>
      <c r="D910" s="7" t="s">
        <v>4546</v>
      </c>
      <c r="E910" s="7" t="s">
        <v>49</v>
      </c>
      <c r="F910" s="7" t="s">
        <v>34</v>
      </c>
      <c r="G910" s="7" t="s">
        <v>35</v>
      </c>
      <c r="J910" s="7" t="s">
        <v>50</v>
      </c>
      <c r="K910" s="7" t="s">
        <v>160</v>
      </c>
      <c r="L910" s="7" t="s">
        <v>161</v>
      </c>
      <c r="M910" s="7" t="s">
        <v>162</v>
      </c>
      <c r="N910" s="7" t="s">
        <v>49</v>
      </c>
      <c r="O910" s="7">
        <v>1</v>
      </c>
      <c r="P910" s="7" t="s">
        <v>41</v>
      </c>
      <c r="Q910" s="7">
        <v>89.99</v>
      </c>
      <c r="R910" s="7">
        <v>5.4</v>
      </c>
      <c r="Y910" s="7" t="s">
        <v>4547</v>
      </c>
      <c r="Z910" s="7" t="s">
        <v>124</v>
      </c>
      <c r="AA910" s="7" t="s">
        <v>4548</v>
      </c>
      <c r="AB910" s="7" t="s">
        <v>45</v>
      </c>
      <c r="AD910" s="11"/>
      <c r="AE910" s="11"/>
      <c r="AF910" s="11"/>
      <c r="AG910" s="10">
        <f t="shared" si="14"/>
        <v>43337</v>
      </c>
    </row>
    <row r="911" s="7" customFormat="1" spans="1:33">
      <c r="A911" s="7" t="s">
        <v>4549</v>
      </c>
      <c r="B911" s="7" t="s">
        <v>4549</v>
      </c>
      <c r="C911" s="7" t="s">
        <v>4550</v>
      </c>
      <c r="D911" s="7" t="s">
        <v>4551</v>
      </c>
      <c r="E911" s="7" t="s">
        <v>49</v>
      </c>
      <c r="F911" s="7" t="s">
        <v>34</v>
      </c>
      <c r="G911" s="7" t="s">
        <v>35</v>
      </c>
      <c r="J911" s="7" t="s">
        <v>50</v>
      </c>
      <c r="K911" s="7" t="s">
        <v>632</v>
      </c>
      <c r="L911" s="7" t="s">
        <v>633</v>
      </c>
      <c r="M911" s="7" t="s">
        <v>634</v>
      </c>
      <c r="N911" s="7" t="s">
        <v>49</v>
      </c>
      <c r="O911" s="7">
        <v>1</v>
      </c>
      <c r="P911" s="7" t="s">
        <v>41</v>
      </c>
      <c r="Q911" s="7">
        <v>85.99</v>
      </c>
      <c r="Y911" s="7" t="s">
        <v>4552</v>
      </c>
      <c r="Z911" s="7" t="s">
        <v>43</v>
      </c>
      <c r="AA911" s="7">
        <v>8330</v>
      </c>
      <c r="AB911" s="7" t="s">
        <v>45</v>
      </c>
      <c r="AD911" s="11"/>
      <c r="AE911" s="11"/>
      <c r="AF911" s="11"/>
      <c r="AG911" s="10">
        <f t="shared" si="14"/>
        <v>43337</v>
      </c>
    </row>
    <row r="912" s="7" customFormat="1" spans="1:33">
      <c r="A912" s="7" t="s">
        <v>4553</v>
      </c>
      <c r="B912" s="7" t="s">
        <v>4553</v>
      </c>
      <c r="C912" s="7" t="s">
        <v>4554</v>
      </c>
      <c r="D912" s="7" t="s">
        <v>4555</v>
      </c>
      <c r="E912" s="7" t="s">
        <v>49</v>
      </c>
      <c r="F912" s="7" t="s">
        <v>34</v>
      </c>
      <c r="G912" s="7" t="s">
        <v>35</v>
      </c>
      <c r="J912" s="7" t="s">
        <v>50</v>
      </c>
      <c r="K912" s="7" t="s">
        <v>603</v>
      </c>
      <c r="L912" s="7" t="s">
        <v>604</v>
      </c>
      <c r="M912" s="7" t="s">
        <v>605</v>
      </c>
      <c r="N912" s="7" t="s">
        <v>49</v>
      </c>
      <c r="O912" s="7">
        <v>1</v>
      </c>
      <c r="P912" s="7" t="s">
        <v>41</v>
      </c>
      <c r="Q912" s="7">
        <v>99.99</v>
      </c>
      <c r="U912" s="7">
        <v>4.99</v>
      </c>
      <c r="Y912" s="7" t="s">
        <v>4556</v>
      </c>
      <c r="Z912" s="7" t="s">
        <v>178</v>
      </c>
      <c r="AA912" s="7" t="s">
        <v>4557</v>
      </c>
      <c r="AB912" s="7" t="s">
        <v>45</v>
      </c>
      <c r="AD912" s="11"/>
      <c r="AE912" s="11"/>
      <c r="AF912" s="11"/>
      <c r="AG912" s="10">
        <f t="shared" si="14"/>
        <v>43337</v>
      </c>
    </row>
    <row r="913" s="7" customFormat="1" spans="1:33">
      <c r="A913" s="7" t="s">
        <v>4558</v>
      </c>
      <c r="B913" s="7" t="s">
        <v>4558</v>
      </c>
      <c r="C913" s="7" t="s">
        <v>4559</v>
      </c>
      <c r="D913" s="7" t="s">
        <v>4560</v>
      </c>
      <c r="E913" s="7" t="s">
        <v>49</v>
      </c>
      <c r="F913" s="7" t="s">
        <v>34</v>
      </c>
      <c r="G913" s="7" t="s">
        <v>35</v>
      </c>
      <c r="J913" s="7" t="s">
        <v>50</v>
      </c>
      <c r="K913" s="7" t="s">
        <v>611</v>
      </c>
      <c r="L913" s="7" t="s">
        <v>612</v>
      </c>
      <c r="M913" s="7" t="s">
        <v>613</v>
      </c>
      <c r="N913" s="7" t="s">
        <v>49</v>
      </c>
      <c r="O913" s="7">
        <v>1</v>
      </c>
      <c r="P913" s="7" t="s">
        <v>41</v>
      </c>
      <c r="Q913" s="7">
        <v>89.99</v>
      </c>
      <c r="Y913" s="7" t="s">
        <v>300</v>
      </c>
      <c r="Z913" s="7" t="s">
        <v>280</v>
      </c>
      <c r="AA913" s="7" t="s">
        <v>301</v>
      </c>
      <c r="AB913" s="7" t="s">
        <v>45</v>
      </c>
      <c r="AD913" s="11"/>
      <c r="AE913" s="11"/>
      <c r="AF913" s="11"/>
      <c r="AG913" s="10">
        <f t="shared" si="14"/>
        <v>43337</v>
      </c>
    </row>
    <row r="914" s="7" customFormat="1" spans="1:33">
      <c r="A914" s="7" t="s">
        <v>4561</v>
      </c>
      <c r="B914" s="7" t="s">
        <v>4561</v>
      </c>
      <c r="C914" s="7" t="s">
        <v>4562</v>
      </c>
      <c r="D914" s="7" t="s">
        <v>4563</v>
      </c>
      <c r="E914" s="7" t="s">
        <v>49</v>
      </c>
      <c r="F914" s="7" t="s">
        <v>34</v>
      </c>
      <c r="G914" s="7" t="s">
        <v>35</v>
      </c>
      <c r="J914" s="7" t="s">
        <v>50</v>
      </c>
      <c r="K914" s="7" t="s">
        <v>2440</v>
      </c>
      <c r="L914" s="7" t="s">
        <v>38</v>
      </c>
      <c r="M914" s="7" t="s">
        <v>39</v>
      </c>
      <c r="N914" s="7" t="s">
        <v>49</v>
      </c>
      <c r="O914" s="7">
        <v>1</v>
      </c>
      <c r="P914" s="7" t="s">
        <v>41</v>
      </c>
      <c r="Q914" s="7">
        <v>89.99</v>
      </c>
      <c r="S914" s="7">
        <v>13.91</v>
      </c>
      <c r="Y914" s="7" t="s">
        <v>4564</v>
      </c>
      <c r="Z914" s="7" t="s">
        <v>361</v>
      </c>
      <c r="AA914" s="7" t="s">
        <v>4565</v>
      </c>
      <c r="AB914" s="7" t="s">
        <v>45</v>
      </c>
      <c r="AD914" s="11"/>
      <c r="AE914" s="11"/>
      <c r="AF914" s="11"/>
      <c r="AG914" s="10">
        <f t="shared" si="14"/>
        <v>43337</v>
      </c>
    </row>
    <row r="915" s="7" customFormat="1" spans="1:33">
      <c r="A915" s="7" t="s">
        <v>4566</v>
      </c>
      <c r="B915" s="7" t="s">
        <v>4566</v>
      </c>
      <c r="C915" s="7" t="s">
        <v>4567</v>
      </c>
      <c r="D915" s="7" t="s">
        <v>4568</v>
      </c>
      <c r="E915" s="7" t="s">
        <v>49</v>
      </c>
      <c r="F915" s="7" t="s">
        <v>34</v>
      </c>
      <c r="G915" s="7" t="s">
        <v>35</v>
      </c>
      <c r="J915" s="7" t="s">
        <v>50</v>
      </c>
      <c r="K915" s="7" t="s">
        <v>456</v>
      </c>
      <c r="L915" s="7" t="s">
        <v>457</v>
      </c>
      <c r="M915" s="7" t="s">
        <v>458</v>
      </c>
      <c r="N915" s="7" t="s">
        <v>49</v>
      </c>
      <c r="O915" s="7">
        <v>1</v>
      </c>
      <c r="P915" s="7" t="s">
        <v>41</v>
      </c>
      <c r="Q915" s="7">
        <v>87.99</v>
      </c>
      <c r="Y915" s="7" t="s">
        <v>4569</v>
      </c>
      <c r="Z915" s="7" t="s">
        <v>64</v>
      </c>
      <c r="AA915" s="7">
        <v>75951</v>
      </c>
      <c r="AB915" s="7" t="s">
        <v>45</v>
      </c>
      <c r="AD915" s="11"/>
      <c r="AE915" s="11"/>
      <c r="AF915" s="11"/>
      <c r="AG915" s="10">
        <f t="shared" si="14"/>
        <v>43337</v>
      </c>
    </row>
    <row r="916" s="7" customFormat="1" spans="1:33">
      <c r="A916" s="7" t="s">
        <v>4570</v>
      </c>
      <c r="B916" s="7" t="s">
        <v>4570</v>
      </c>
      <c r="C916" s="7" t="s">
        <v>4571</v>
      </c>
      <c r="D916" s="7" t="s">
        <v>4572</v>
      </c>
      <c r="E916" s="7" t="s">
        <v>49</v>
      </c>
      <c r="F916" s="7" t="s">
        <v>34</v>
      </c>
      <c r="G916" s="7" t="s">
        <v>35</v>
      </c>
      <c r="J916" s="7" t="s">
        <v>50</v>
      </c>
      <c r="K916" s="7" t="s">
        <v>2290</v>
      </c>
      <c r="L916" s="7" t="s">
        <v>442</v>
      </c>
      <c r="M916" s="7" t="s">
        <v>443</v>
      </c>
      <c r="N916" s="7" t="s">
        <v>49</v>
      </c>
      <c r="O916" s="7">
        <v>1</v>
      </c>
      <c r="P916" s="7" t="s">
        <v>41</v>
      </c>
      <c r="Q916" s="7">
        <v>88.99</v>
      </c>
      <c r="Y916" s="7" t="s">
        <v>2999</v>
      </c>
      <c r="Z916" s="7" t="s">
        <v>346</v>
      </c>
      <c r="AA916" s="7" t="s">
        <v>4573</v>
      </c>
      <c r="AB916" s="7" t="s">
        <v>45</v>
      </c>
      <c r="AD916" s="8"/>
      <c r="AE916" s="8"/>
      <c r="AF916" s="8"/>
      <c r="AG916" s="10">
        <f t="shared" si="14"/>
        <v>43337</v>
      </c>
    </row>
    <row r="917" s="7" customFormat="1" spans="1:33">
      <c r="A917" s="7" t="s">
        <v>4574</v>
      </c>
      <c r="B917" s="7" t="s">
        <v>4574</v>
      </c>
      <c r="C917" s="7" t="s">
        <v>4575</v>
      </c>
      <c r="D917" s="7" t="s">
        <v>4576</v>
      </c>
      <c r="E917" s="7" t="s">
        <v>49</v>
      </c>
      <c r="F917" s="7" t="s">
        <v>34</v>
      </c>
      <c r="G917" s="7" t="s">
        <v>35</v>
      </c>
      <c r="J917" s="7" t="s">
        <v>50</v>
      </c>
      <c r="K917" s="7" t="s">
        <v>611</v>
      </c>
      <c r="L917" s="7" t="s">
        <v>612</v>
      </c>
      <c r="M917" s="7" t="s">
        <v>613</v>
      </c>
      <c r="N917" s="7" t="s">
        <v>49</v>
      </c>
      <c r="O917" s="7">
        <v>1</v>
      </c>
      <c r="P917" s="7" t="s">
        <v>41</v>
      </c>
      <c r="Q917" s="7">
        <v>89.99</v>
      </c>
      <c r="S917" s="7">
        <v>8.95</v>
      </c>
      <c r="Y917" s="7" t="s">
        <v>897</v>
      </c>
      <c r="Z917" s="7" t="s">
        <v>266</v>
      </c>
      <c r="AA917" s="7" t="s">
        <v>4455</v>
      </c>
      <c r="AB917" s="7" t="s">
        <v>45</v>
      </c>
      <c r="AD917" s="8"/>
      <c r="AE917" s="8"/>
      <c r="AF917" s="8"/>
      <c r="AG917" s="10">
        <f t="shared" si="14"/>
        <v>43337</v>
      </c>
    </row>
    <row r="918" s="7" customFormat="1" spans="1:33">
      <c r="A918" s="7" t="s">
        <v>4577</v>
      </c>
      <c r="B918" s="7" t="s">
        <v>4577</v>
      </c>
      <c r="C918" s="7" t="s">
        <v>4578</v>
      </c>
      <c r="D918" s="7" t="s">
        <v>4579</v>
      </c>
      <c r="E918" s="7" t="s">
        <v>49</v>
      </c>
      <c r="F918" s="7" t="s">
        <v>34</v>
      </c>
      <c r="G918" s="7" t="s">
        <v>35</v>
      </c>
      <c r="J918" s="7" t="s">
        <v>50</v>
      </c>
      <c r="K918" s="7" t="s">
        <v>3857</v>
      </c>
      <c r="L918" s="7" t="s">
        <v>3858</v>
      </c>
      <c r="M918" s="7" t="s">
        <v>3859</v>
      </c>
      <c r="N918" s="7" t="s">
        <v>49</v>
      </c>
      <c r="O918" s="7">
        <v>1</v>
      </c>
      <c r="P918" s="7" t="s">
        <v>41</v>
      </c>
      <c r="Q918" s="7">
        <v>118.99</v>
      </c>
      <c r="Y918" s="7" t="s">
        <v>4580</v>
      </c>
      <c r="Z918" s="7" t="s">
        <v>3010</v>
      </c>
      <c r="AA918" s="7">
        <v>49057</v>
      </c>
      <c r="AB918" s="7" t="s">
        <v>45</v>
      </c>
      <c r="AD918" s="11"/>
      <c r="AE918" s="11"/>
      <c r="AF918" s="11"/>
      <c r="AG918" s="10">
        <f t="shared" si="14"/>
        <v>43337</v>
      </c>
    </row>
    <row r="919" s="7" customFormat="1" spans="1:33">
      <c r="A919" s="7" t="s">
        <v>4581</v>
      </c>
      <c r="B919" s="7" t="s">
        <v>4581</v>
      </c>
      <c r="C919" s="7" t="s">
        <v>4582</v>
      </c>
      <c r="D919" s="7" t="s">
        <v>4583</v>
      </c>
      <c r="E919" s="7" t="s">
        <v>49</v>
      </c>
      <c r="F919" s="7" t="s">
        <v>34</v>
      </c>
      <c r="G919" s="7" t="s">
        <v>35</v>
      </c>
      <c r="J919" s="7" t="s">
        <v>50</v>
      </c>
      <c r="K919" s="7" t="s">
        <v>2413</v>
      </c>
      <c r="L919" s="7" t="s">
        <v>143</v>
      </c>
      <c r="M919" s="7" t="s">
        <v>144</v>
      </c>
      <c r="N919" s="7" t="s">
        <v>49</v>
      </c>
      <c r="O919" s="7">
        <v>1</v>
      </c>
      <c r="P919" s="7" t="s">
        <v>41</v>
      </c>
      <c r="Q919" s="7">
        <v>79.99</v>
      </c>
      <c r="Y919" s="7" t="s">
        <v>3574</v>
      </c>
      <c r="Z919" s="7" t="s">
        <v>43</v>
      </c>
      <c r="AA919" s="7" t="s">
        <v>4584</v>
      </c>
      <c r="AB919" s="7" t="s">
        <v>45</v>
      </c>
      <c r="AD919" s="11"/>
      <c r="AE919" s="11"/>
      <c r="AF919" s="11"/>
      <c r="AG919" s="10">
        <f t="shared" si="14"/>
        <v>43337</v>
      </c>
    </row>
    <row r="920" s="7" customFormat="1" spans="1:33">
      <c r="A920" s="7" t="s">
        <v>4585</v>
      </c>
      <c r="B920" s="7" t="s">
        <v>4585</v>
      </c>
      <c r="C920" s="7" t="s">
        <v>4586</v>
      </c>
      <c r="D920" s="7" t="s">
        <v>4587</v>
      </c>
      <c r="E920" s="7" t="s">
        <v>49</v>
      </c>
      <c r="F920" s="7" t="s">
        <v>34</v>
      </c>
      <c r="G920" s="7" t="s">
        <v>35</v>
      </c>
      <c r="J920" s="7" t="s">
        <v>326</v>
      </c>
      <c r="K920" s="7" t="s">
        <v>4326</v>
      </c>
      <c r="L920" s="7" t="s">
        <v>71</v>
      </c>
      <c r="M920" s="7" t="s">
        <v>72</v>
      </c>
      <c r="N920" s="7" t="s">
        <v>49</v>
      </c>
      <c r="O920" s="7">
        <v>1</v>
      </c>
      <c r="P920" s="7" t="s">
        <v>41</v>
      </c>
      <c r="Q920" s="7">
        <v>96.99</v>
      </c>
      <c r="S920" s="7">
        <v>7.99</v>
      </c>
      <c r="Y920" s="7" t="s">
        <v>4588</v>
      </c>
      <c r="Z920" s="7" t="s">
        <v>4589</v>
      </c>
      <c r="AA920" s="7">
        <v>11931</v>
      </c>
      <c r="AB920" s="7" t="s">
        <v>45</v>
      </c>
      <c r="AD920" s="11"/>
      <c r="AE920" s="11"/>
      <c r="AF920" s="11"/>
      <c r="AG920" s="10">
        <f t="shared" si="14"/>
        <v>43337</v>
      </c>
    </row>
    <row r="921" s="7" customFormat="1" spans="1:33">
      <c r="A921" s="7" t="s">
        <v>4590</v>
      </c>
      <c r="B921" s="7" t="s">
        <v>4590</v>
      </c>
      <c r="C921" s="7" t="s">
        <v>4591</v>
      </c>
      <c r="D921" s="7" t="s">
        <v>4592</v>
      </c>
      <c r="E921" s="7" t="s">
        <v>49</v>
      </c>
      <c r="F921" s="7" t="s">
        <v>34</v>
      </c>
      <c r="G921" s="7" t="s">
        <v>35</v>
      </c>
      <c r="J921" s="7" t="s">
        <v>36</v>
      </c>
      <c r="K921" s="7" t="s">
        <v>2757</v>
      </c>
      <c r="L921" s="7" t="s">
        <v>2758</v>
      </c>
      <c r="M921" s="7" t="s">
        <v>2759</v>
      </c>
      <c r="N921" s="7" t="s">
        <v>49</v>
      </c>
      <c r="O921" s="7">
        <v>1</v>
      </c>
      <c r="P921" s="7" t="s">
        <v>41</v>
      </c>
      <c r="Q921" s="7">
        <v>99.6</v>
      </c>
      <c r="S921" s="7">
        <v>5.62</v>
      </c>
      <c r="X921" s="7">
        <v>5.62</v>
      </c>
      <c r="Y921" s="7" t="s">
        <v>4593</v>
      </c>
      <c r="Z921" s="7" t="s">
        <v>2522</v>
      </c>
      <c r="AA921" s="7" t="s">
        <v>4594</v>
      </c>
      <c r="AB921" s="7" t="s">
        <v>45</v>
      </c>
      <c r="AC921" s="7" t="s">
        <v>549</v>
      </c>
      <c r="AD921" s="11"/>
      <c r="AE921" s="11"/>
      <c r="AF921" s="11"/>
      <c r="AG921" s="10">
        <f t="shared" si="14"/>
        <v>43337</v>
      </c>
    </row>
    <row r="922" s="7" customFormat="1" spans="1:33">
      <c r="A922" s="7" t="s">
        <v>4595</v>
      </c>
      <c r="B922" s="7" t="s">
        <v>4595</v>
      </c>
      <c r="C922" s="7" t="s">
        <v>4596</v>
      </c>
      <c r="D922" s="7" t="s">
        <v>4597</v>
      </c>
      <c r="E922" s="7" t="s">
        <v>49</v>
      </c>
      <c r="F922" s="7" t="s">
        <v>34</v>
      </c>
      <c r="G922" s="7" t="s">
        <v>35</v>
      </c>
      <c r="J922" s="7" t="s">
        <v>50</v>
      </c>
      <c r="K922" s="7" t="s">
        <v>2363</v>
      </c>
      <c r="L922" s="7" t="s">
        <v>89</v>
      </c>
      <c r="M922" s="7" t="s">
        <v>90</v>
      </c>
      <c r="N922" s="7" t="s">
        <v>49</v>
      </c>
      <c r="O922" s="7">
        <v>1</v>
      </c>
      <c r="P922" s="7" t="s">
        <v>41</v>
      </c>
      <c r="Q922" s="7">
        <v>89.99</v>
      </c>
      <c r="Y922" s="7" t="s">
        <v>4598</v>
      </c>
      <c r="Z922" s="7" t="s">
        <v>266</v>
      </c>
      <c r="AA922" s="7" t="s">
        <v>4599</v>
      </c>
      <c r="AB922" s="7" t="s">
        <v>45</v>
      </c>
      <c r="AD922" s="11"/>
      <c r="AE922" s="11"/>
      <c r="AF922" s="11"/>
      <c r="AG922" s="10">
        <f t="shared" si="14"/>
        <v>43337</v>
      </c>
    </row>
    <row r="923" s="7" customFormat="1" spans="1:33">
      <c r="A923" s="7" t="s">
        <v>4600</v>
      </c>
      <c r="B923" s="7" t="s">
        <v>4600</v>
      </c>
      <c r="C923" s="7" t="s">
        <v>4601</v>
      </c>
      <c r="D923" s="7" t="s">
        <v>4602</v>
      </c>
      <c r="E923" s="7" t="s">
        <v>4278</v>
      </c>
      <c r="F923" s="7" t="s">
        <v>34</v>
      </c>
      <c r="G923" s="7" t="s">
        <v>35</v>
      </c>
      <c r="J923" s="7" t="s">
        <v>36</v>
      </c>
      <c r="K923" s="7" t="s">
        <v>2440</v>
      </c>
      <c r="L923" s="7" t="s">
        <v>38</v>
      </c>
      <c r="M923" s="7" t="s">
        <v>39</v>
      </c>
      <c r="N923" s="7" t="s">
        <v>40</v>
      </c>
      <c r="O923" s="7">
        <v>1</v>
      </c>
      <c r="P923" s="7" t="s">
        <v>41</v>
      </c>
      <c r="Q923" s="7">
        <v>89.99</v>
      </c>
      <c r="Y923" s="7" t="s">
        <v>4603</v>
      </c>
      <c r="Z923" s="7" t="s">
        <v>221</v>
      </c>
      <c r="AA923" s="7" t="s">
        <v>4604</v>
      </c>
      <c r="AB923" s="7" t="s">
        <v>45</v>
      </c>
      <c r="AD923" s="11"/>
      <c r="AE923" s="11"/>
      <c r="AF923" s="11"/>
      <c r="AG923" s="10">
        <f t="shared" si="14"/>
        <v>43337</v>
      </c>
    </row>
    <row r="924" s="7" customFormat="1" spans="1:33">
      <c r="A924" s="7" t="s">
        <v>4605</v>
      </c>
      <c r="B924" s="7" t="s">
        <v>4605</v>
      </c>
      <c r="C924" s="7" t="s">
        <v>4606</v>
      </c>
      <c r="D924" s="7" t="s">
        <v>4607</v>
      </c>
      <c r="E924" s="7" t="s">
        <v>49</v>
      </c>
      <c r="F924" s="7" t="s">
        <v>34</v>
      </c>
      <c r="G924" s="7" t="s">
        <v>35</v>
      </c>
      <c r="J924" s="7" t="s">
        <v>50</v>
      </c>
      <c r="K924" s="7" t="s">
        <v>2732</v>
      </c>
      <c r="L924" s="7" t="s">
        <v>1061</v>
      </c>
      <c r="M924" s="7" t="s">
        <v>1062</v>
      </c>
      <c r="N924" s="7" t="s">
        <v>49</v>
      </c>
      <c r="O924" s="7">
        <v>1</v>
      </c>
      <c r="P924" s="7" t="s">
        <v>41</v>
      </c>
      <c r="Q924" s="7">
        <v>89.99</v>
      </c>
      <c r="Y924" s="7" t="s">
        <v>4608</v>
      </c>
      <c r="Z924" s="7" t="s">
        <v>346</v>
      </c>
      <c r="AA924" s="7" t="s">
        <v>4609</v>
      </c>
      <c r="AB924" s="7" t="s">
        <v>45</v>
      </c>
      <c r="AD924" s="11"/>
      <c r="AE924" s="11"/>
      <c r="AF924" s="11"/>
      <c r="AG924" s="10">
        <f t="shared" si="14"/>
        <v>43337</v>
      </c>
    </row>
    <row r="925" s="7" customFormat="1" spans="1:33">
      <c r="A925" s="7" t="s">
        <v>4610</v>
      </c>
      <c r="B925" s="7" t="s">
        <v>4610</v>
      </c>
      <c r="C925" s="7" t="s">
        <v>4611</v>
      </c>
      <c r="D925" s="7" t="s">
        <v>4612</v>
      </c>
      <c r="E925" s="7" t="s">
        <v>49</v>
      </c>
      <c r="F925" s="7" t="s">
        <v>34</v>
      </c>
      <c r="G925" s="7" t="s">
        <v>35</v>
      </c>
      <c r="J925" s="7" t="s">
        <v>50</v>
      </c>
      <c r="K925" s="7" t="s">
        <v>700</v>
      </c>
      <c r="L925" s="7" t="s">
        <v>701</v>
      </c>
      <c r="M925" s="7" t="s">
        <v>702</v>
      </c>
      <c r="N925" s="7" t="s">
        <v>49</v>
      </c>
      <c r="O925" s="7">
        <v>1</v>
      </c>
      <c r="P925" s="7" t="s">
        <v>41</v>
      </c>
      <c r="Q925" s="7">
        <v>108.99</v>
      </c>
      <c r="Y925" s="7" t="s">
        <v>4613</v>
      </c>
      <c r="Z925" s="7" t="s">
        <v>43</v>
      </c>
      <c r="AA925" s="7" t="s">
        <v>4614</v>
      </c>
      <c r="AB925" s="7" t="s">
        <v>45</v>
      </c>
      <c r="AD925" s="11"/>
      <c r="AE925" s="11"/>
      <c r="AF925" s="11"/>
      <c r="AG925" s="10">
        <f t="shared" si="14"/>
        <v>43337</v>
      </c>
    </row>
    <row r="926" s="7" customFormat="1" spans="1:33">
      <c r="A926" s="7" t="s">
        <v>4615</v>
      </c>
      <c r="B926" s="7" t="s">
        <v>4615</v>
      </c>
      <c r="C926" s="7" t="s">
        <v>4616</v>
      </c>
      <c r="D926" s="7" t="s">
        <v>4617</v>
      </c>
      <c r="E926" s="7" t="s">
        <v>33</v>
      </c>
      <c r="F926" s="7" t="s">
        <v>34</v>
      </c>
      <c r="G926" s="7" t="s">
        <v>35</v>
      </c>
      <c r="J926" s="7" t="s">
        <v>36</v>
      </c>
      <c r="K926" s="7" t="s">
        <v>208</v>
      </c>
      <c r="L926" s="7" t="s">
        <v>209</v>
      </c>
      <c r="M926" s="7" t="s">
        <v>210</v>
      </c>
      <c r="N926" s="7" t="s">
        <v>33</v>
      </c>
      <c r="O926" s="7">
        <v>0</v>
      </c>
      <c r="Y926" s="7" t="s">
        <v>467</v>
      </c>
      <c r="Z926" s="7" t="s">
        <v>43</v>
      </c>
      <c r="AA926" s="7" t="s">
        <v>4618</v>
      </c>
      <c r="AB926" s="7" t="s">
        <v>45</v>
      </c>
      <c r="AD926" s="11"/>
      <c r="AE926" s="11"/>
      <c r="AF926" s="11"/>
      <c r="AG926" s="10">
        <f t="shared" si="14"/>
        <v>43337</v>
      </c>
    </row>
    <row r="927" s="7" customFormat="1" spans="1:33">
      <c r="A927" s="7" t="s">
        <v>4619</v>
      </c>
      <c r="B927" s="7" t="s">
        <v>4619</v>
      </c>
      <c r="C927" s="7" t="s">
        <v>4620</v>
      </c>
      <c r="D927" s="7" t="s">
        <v>4621</v>
      </c>
      <c r="E927" s="7" t="s">
        <v>49</v>
      </c>
      <c r="F927" s="7" t="s">
        <v>34</v>
      </c>
      <c r="G927" s="7" t="s">
        <v>35</v>
      </c>
      <c r="J927" s="7" t="s">
        <v>50</v>
      </c>
      <c r="K927" s="7" t="s">
        <v>60</v>
      </c>
      <c r="L927" s="7" t="s">
        <v>61</v>
      </c>
      <c r="M927" s="7" t="s">
        <v>62</v>
      </c>
      <c r="N927" s="7" t="s">
        <v>49</v>
      </c>
      <c r="O927" s="7">
        <v>1</v>
      </c>
      <c r="P927" s="7" t="s">
        <v>41</v>
      </c>
      <c r="Q927" s="7">
        <v>21.99</v>
      </c>
      <c r="Y927" s="7" t="s">
        <v>4254</v>
      </c>
      <c r="Z927" s="7" t="s">
        <v>2408</v>
      </c>
      <c r="AA927" s="7" t="s">
        <v>4622</v>
      </c>
      <c r="AB927" s="7" t="s">
        <v>45</v>
      </c>
      <c r="AD927" s="11"/>
      <c r="AE927" s="11"/>
      <c r="AF927" s="11"/>
      <c r="AG927" s="10">
        <f t="shared" si="14"/>
        <v>43337</v>
      </c>
    </row>
    <row r="928" s="7" customFormat="1" spans="1:33">
      <c r="A928" s="7" t="s">
        <v>4623</v>
      </c>
      <c r="B928" s="7" t="s">
        <v>4623</v>
      </c>
      <c r="C928" s="7" t="s">
        <v>4624</v>
      </c>
      <c r="D928" s="7" t="s">
        <v>4625</v>
      </c>
      <c r="E928" s="7" t="s">
        <v>49</v>
      </c>
      <c r="F928" s="7" t="s">
        <v>34</v>
      </c>
      <c r="G928" s="7" t="s">
        <v>35</v>
      </c>
      <c r="J928" s="7" t="s">
        <v>50</v>
      </c>
      <c r="K928" s="7" t="s">
        <v>248</v>
      </c>
      <c r="L928" s="7" t="s">
        <v>249</v>
      </c>
      <c r="M928" s="7" t="s">
        <v>250</v>
      </c>
      <c r="N928" s="7" t="s">
        <v>49</v>
      </c>
      <c r="O928" s="7">
        <v>1</v>
      </c>
      <c r="P928" s="7" t="s">
        <v>41</v>
      </c>
      <c r="Q928" s="7">
        <v>84.99</v>
      </c>
      <c r="Y928" s="7" t="s">
        <v>4626</v>
      </c>
      <c r="Z928" s="7" t="s">
        <v>2995</v>
      </c>
      <c r="AA928" s="7" t="s">
        <v>4627</v>
      </c>
      <c r="AB928" s="7" t="s">
        <v>45</v>
      </c>
      <c r="AD928" s="11"/>
      <c r="AE928" s="11"/>
      <c r="AF928" s="11"/>
      <c r="AG928" s="10">
        <f t="shared" si="14"/>
        <v>43337</v>
      </c>
    </row>
    <row r="929" s="7" customFormat="1" spans="1:33">
      <c r="A929" s="7" t="s">
        <v>4628</v>
      </c>
      <c r="B929" s="7" t="s">
        <v>4628</v>
      </c>
      <c r="C929" s="7" t="s">
        <v>4629</v>
      </c>
      <c r="D929" s="7" t="s">
        <v>4630</v>
      </c>
      <c r="E929" s="7" t="s">
        <v>49</v>
      </c>
      <c r="F929" s="7" t="s">
        <v>34</v>
      </c>
      <c r="G929" s="7" t="s">
        <v>35</v>
      </c>
      <c r="J929" s="7" t="s">
        <v>50</v>
      </c>
      <c r="K929" s="7" t="s">
        <v>4326</v>
      </c>
      <c r="L929" s="7" t="s">
        <v>71</v>
      </c>
      <c r="M929" s="7" t="s">
        <v>72</v>
      </c>
      <c r="N929" s="7" t="s">
        <v>49</v>
      </c>
      <c r="O929" s="7">
        <v>1</v>
      </c>
      <c r="P929" s="7" t="s">
        <v>41</v>
      </c>
      <c r="Q929" s="7">
        <v>96.99</v>
      </c>
      <c r="Y929" s="7" t="s">
        <v>4631</v>
      </c>
      <c r="Z929" s="7" t="s">
        <v>2285</v>
      </c>
      <c r="AA929" s="7" t="s">
        <v>4632</v>
      </c>
      <c r="AB929" s="7" t="s">
        <v>45</v>
      </c>
      <c r="AD929" s="11"/>
      <c r="AE929" s="11"/>
      <c r="AF929" s="11"/>
      <c r="AG929" s="10">
        <f t="shared" si="14"/>
        <v>43337</v>
      </c>
    </row>
    <row r="930" s="7" customFormat="1" spans="1:33">
      <c r="A930" s="7" t="s">
        <v>4633</v>
      </c>
      <c r="B930" s="7" t="s">
        <v>4633</v>
      </c>
      <c r="C930" s="7" t="s">
        <v>4634</v>
      </c>
      <c r="D930" s="7" t="s">
        <v>4635</v>
      </c>
      <c r="E930" s="7" t="s">
        <v>49</v>
      </c>
      <c r="F930" s="7" t="s">
        <v>34</v>
      </c>
      <c r="G930" s="7" t="s">
        <v>35</v>
      </c>
      <c r="J930" s="7" t="s">
        <v>50</v>
      </c>
      <c r="K930" s="7" t="s">
        <v>4636</v>
      </c>
      <c r="L930" s="7" t="s">
        <v>4637</v>
      </c>
      <c r="M930" s="7" t="s">
        <v>4638</v>
      </c>
      <c r="N930" s="7" t="s">
        <v>49</v>
      </c>
      <c r="O930" s="7">
        <v>1</v>
      </c>
      <c r="P930" s="7" t="s">
        <v>41</v>
      </c>
      <c r="Q930" s="7">
        <v>32.99</v>
      </c>
      <c r="Y930" s="7" t="s">
        <v>4639</v>
      </c>
      <c r="Z930" s="7" t="s">
        <v>346</v>
      </c>
      <c r="AA930" s="7" t="s">
        <v>4640</v>
      </c>
      <c r="AB930" s="7" t="s">
        <v>45</v>
      </c>
      <c r="AD930" s="11"/>
      <c r="AE930" s="11"/>
      <c r="AF930" s="11"/>
      <c r="AG930" s="10">
        <f t="shared" si="14"/>
        <v>43337</v>
      </c>
    </row>
    <row r="931" s="7" customFormat="1" spans="1:33">
      <c r="A931" s="7" t="s">
        <v>4641</v>
      </c>
      <c r="B931" s="7" t="s">
        <v>4641</v>
      </c>
      <c r="C931" s="7" t="s">
        <v>4642</v>
      </c>
      <c r="D931" s="7" t="s">
        <v>4643</v>
      </c>
      <c r="E931" s="7" t="s">
        <v>49</v>
      </c>
      <c r="F931" s="7" t="s">
        <v>34</v>
      </c>
      <c r="G931" s="7" t="s">
        <v>35</v>
      </c>
      <c r="J931" s="7" t="s">
        <v>50</v>
      </c>
      <c r="K931" s="7" t="s">
        <v>60</v>
      </c>
      <c r="L931" s="7" t="s">
        <v>61</v>
      </c>
      <c r="M931" s="7" t="s">
        <v>62</v>
      </c>
      <c r="N931" s="7" t="s">
        <v>49</v>
      </c>
      <c r="O931" s="7">
        <v>1</v>
      </c>
      <c r="P931" s="7" t="s">
        <v>41</v>
      </c>
      <c r="Q931" s="7">
        <v>21.99</v>
      </c>
      <c r="W931" s="7">
        <v>21.77</v>
      </c>
      <c r="Y931" s="7" t="s">
        <v>3439</v>
      </c>
      <c r="Z931" s="7" t="s">
        <v>714</v>
      </c>
      <c r="AA931" s="7" t="s">
        <v>4644</v>
      </c>
      <c r="AB931" s="7" t="s">
        <v>45</v>
      </c>
      <c r="AC931" s="7" t="s">
        <v>66</v>
      </c>
      <c r="AD931" s="11"/>
      <c r="AE931" s="11"/>
      <c r="AF931" s="11"/>
      <c r="AG931" s="10">
        <f t="shared" si="14"/>
        <v>43338</v>
      </c>
    </row>
    <row r="932" s="7" customFormat="1" spans="1:33">
      <c r="A932" s="7" t="s">
        <v>4645</v>
      </c>
      <c r="B932" s="7" t="s">
        <v>4645</v>
      </c>
      <c r="C932" s="7" t="s">
        <v>4646</v>
      </c>
      <c r="D932" s="7" t="s">
        <v>4647</v>
      </c>
      <c r="E932" s="7" t="s">
        <v>4278</v>
      </c>
      <c r="F932" s="7" t="s">
        <v>34</v>
      </c>
      <c r="G932" s="7" t="s">
        <v>35</v>
      </c>
      <c r="J932" s="7" t="s">
        <v>36</v>
      </c>
      <c r="K932" s="7" t="s">
        <v>3955</v>
      </c>
      <c r="L932" s="7" t="s">
        <v>3956</v>
      </c>
      <c r="M932" s="7" t="s">
        <v>3957</v>
      </c>
      <c r="N932" s="7" t="s">
        <v>40</v>
      </c>
      <c r="O932" s="7">
        <v>1</v>
      </c>
      <c r="P932" s="7" t="s">
        <v>41</v>
      </c>
      <c r="Q932" s="7">
        <v>34.99</v>
      </c>
      <c r="Y932" s="7" t="s">
        <v>4648</v>
      </c>
      <c r="Z932" s="7" t="s">
        <v>3745</v>
      </c>
      <c r="AA932" s="7" t="s">
        <v>4649</v>
      </c>
      <c r="AB932" s="7" t="s">
        <v>45</v>
      </c>
      <c r="AC932" s="7" t="s">
        <v>549</v>
      </c>
      <c r="AD932" s="11"/>
      <c r="AE932" s="11"/>
      <c r="AF932" s="11"/>
      <c r="AG932" s="10">
        <f t="shared" si="14"/>
        <v>43338</v>
      </c>
    </row>
    <row r="933" s="7" customFormat="1" spans="1:33">
      <c r="A933" s="7" t="s">
        <v>4650</v>
      </c>
      <c r="B933" s="7" t="s">
        <v>4650</v>
      </c>
      <c r="C933" s="7" t="s">
        <v>4651</v>
      </c>
      <c r="D933" s="7" t="s">
        <v>4652</v>
      </c>
      <c r="E933" s="7" t="s">
        <v>49</v>
      </c>
      <c r="F933" s="7" t="s">
        <v>34</v>
      </c>
      <c r="G933" s="7" t="s">
        <v>35</v>
      </c>
      <c r="J933" s="7" t="s">
        <v>50</v>
      </c>
      <c r="K933" s="7" t="s">
        <v>256</v>
      </c>
      <c r="L933" s="7" t="s">
        <v>257</v>
      </c>
      <c r="M933" s="7" t="s">
        <v>258</v>
      </c>
      <c r="N933" s="7" t="s">
        <v>49</v>
      </c>
      <c r="O933" s="7">
        <v>1</v>
      </c>
      <c r="P933" s="7" t="s">
        <v>41</v>
      </c>
      <c r="Q933" s="7">
        <v>21.99</v>
      </c>
      <c r="Y933" s="7" t="s">
        <v>4653</v>
      </c>
      <c r="Z933" s="7" t="s">
        <v>83</v>
      </c>
      <c r="AA933" s="7">
        <v>1453</v>
      </c>
      <c r="AB933" s="7" t="s">
        <v>45</v>
      </c>
      <c r="AD933" s="11"/>
      <c r="AE933" s="11"/>
      <c r="AF933" s="11"/>
      <c r="AG933" s="10">
        <f t="shared" si="14"/>
        <v>43338</v>
      </c>
    </row>
    <row r="934" s="7" customFormat="1" spans="1:33">
      <c r="A934" s="7" t="s">
        <v>4650</v>
      </c>
      <c r="B934" s="7" t="s">
        <v>4650</v>
      </c>
      <c r="C934" s="7" t="s">
        <v>4651</v>
      </c>
      <c r="D934" s="7" t="s">
        <v>4652</v>
      </c>
      <c r="E934" s="7" t="s">
        <v>49</v>
      </c>
      <c r="F934" s="7" t="s">
        <v>34</v>
      </c>
      <c r="G934" s="7" t="s">
        <v>35</v>
      </c>
      <c r="J934" s="7" t="s">
        <v>50</v>
      </c>
      <c r="K934" s="7" t="s">
        <v>1144</v>
      </c>
      <c r="L934" s="7" t="s">
        <v>1145</v>
      </c>
      <c r="M934" s="7" t="s">
        <v>1146</v>
      </c>
      <c r="N934" s="7" t="s">
        <v>49</v>
      </c>
      <c r="O934" s="7">
        <v>1</v>
      </c>
      <c r="P934" s="7" t="s">
        <v>41</v>
      </c>
      <c r="Q934" s="7">
        <v>23.99</v>
      </c>
      <c r="Y934" s="7" t="s">
        <v>4653</v>
      </c>
      <c r="Z934" s="7" t="s">
        <v>83</v>
      </c>
      <c r="AA934" s="7">
        <v>1453</v>
      </c>
      <c r="AB934" s="7" t="s">
        <v>45</v>
      </c>
      <c r="AD934" s="11"/>
      <c r="AE934" s="11"/>
      <c r="AF934" s="11"/>
      <c r="AG934" s="10">
        <f t="shared" si="14"/>
        <v>43338</v>
      </c>
    </row>
    <row r="935" s="7" customFormat="1" spans="1:33">
      <c r="A935" s="7" t="s">
        <v>4654</v>
      </c>
      <c r="B935" s="7" t="s">
        <v>4654</v>
      </c>
      <c r="C935" s="7" t="s">
        <v>4655</v>
      </c>
      <c r="D935" s="7" t="s">
        <v>4656</v>
      </c>
      <c r="E935" s="7" t="s">
        <v>49</v>
      </c>
      <c r="F935" s="7" t="s">
        <v>34</v>
      </c>
      <c r="G935" s="7" t="s">
        <v>35</v>
      </c>
      <c r="J935" s="7" t="s">
        <v>36</v>
      </c>
      <c r="K935" s="7" t="s">
        <v>2363</v>
      </c>
      <c r="L935" s="7" t="s">
        <v>89</v>
      </c>
      <c r="M935" s="7" t="s">
        <v>90</v>
      </c>
      <c r="N935" s="7" t="s">
        <v>49</v>
      </c>
      <c r="O935" s="7">
        <v>1</v>
      </c>
      <c r="P935" s="7" t="s">
        <v>41</v>
      </c>
      <c r="Q935" s="7">
        <v>89.99</v>
      </c>
      <c r="S935" s="7">
        <v>8.45</v>
      </c>
      <c r="Y935" s="7" t="s">
        <v>2538</v>
      </c>
      <c r="Z935" s="7" t="s">
        <v>2522</v>
      </c>
      <c r="AA935" s="7" t="s">
        <v>4657</v>
      </c>
      <c r="AB935" s="7" t="s">
        <v>45</v>
      </c>
      <c r="AD935" s="11"/>
      <c r="AE935" s="11"/>
      <c r="AF935" s="11"/>
      <c r="AG935" s="10">
        <f t="shared" si="14"/>
        <v>43338</v>
      </c>
    </row>
    <row r="936" s="7" customFormat="1" spans="1:33">
      <c r="A936" s="7" t="s">
        <v>4658</v>
      </c>
      <c r="B936" s="7" t="s">
        <v>4658</v>
      </c>
      <c r="C936" s="7" t="s">
        <v>4659</v>
      </c>
      <c r="D936" s="7" t="s">
        <v>4660</v>
      </c>
      <c r="E936" s="7" t="s">
        <v>49</v>
      </c>
      <c r="F936" s="7" t="s">
        <v>34</v>
      </c>
      <c r="G936" s="7" t="s">
        <v>35</v>
      </c>
      <c r="J936" s="7" t="s">
        <v>36</v>
      </c>
      <c r="K936" s="7" t="s">
        <v>2363</v>
      </c>
      <c r="L936" s="7" t="s">
        <v>89</v>
      </c>
      <c r="M936" s="7" t="s">
        <v>90</v>
      </c>
      <c r="N936" s="7" t="s">
        <v>49</v>
      </c>
      <c r="O936" s="7">
        <v>1</v>
      </c>
      <c r="P936" s="7" t="s">
        <v>41</v>
      </c>
      <c r="Q936" s="7">
        <v>89.99</v>
      </c>
      <c r="R936" s="7">
        <v>5.4</v>
      </c>
      <c r="S936" s="7">
        <v>3.88</v>
      </c>
      <c r="X936" s="7">
        <v>3.88</v>
      </c>
      <c r="Y936" s="7" t="s">
        <v>831</v>
      </c>
      <c r="Z936" s="7" t="s">
        <v>124</v>
      </c>
      <c r="AA936" s="7" t="s">
        <v>4661</v>
      </c>
      <c r="AB936" s="7" t="s">
        <v>45</v>
      </c>
      <c r="AC936" s="7" t="s">
        <v>549</v>
      </c>
      <c r="AD936" s="11"/>
      <c r="AE936" s="11"/>
      <c r="AF936" s="11"/>
      <c r="AG936" s="10">
        <f t="shared" si="14"/>
        <v>43338</v>
      </c>
    </row>
    <row r="937" s="7" customFormat="1" spans="1:33">
      <c r="A937" s="7" t="s">
        <v>4662</v>
      </c>
      <c r="B937" s="7" t="s">
        <v>4662</v>
      </c>
      <c r="C937" s="7" t="s">
        <v>4663</v>
      </c>
      <c r="D937" s="7" t="s">
        <v>4664</v>
      </c>
      <c r="E937" s="7" t="s">
        <v>49</v>
      </c>
      <c r="F937" s="7" t="s">
        <v>34</v>
      </c>
      <c r="G937" s="7" t="s">
        <v>35</v>
      </c>
      <c r="J937" s="7" t="s">
        <v>50</v>
      </c>
      <c r="K937" s="7" t="s">
        <v>595</v>
      </c>
      <c r="L937" s="7" t="s">
        <v>596</v>
      </c>
      <c r="M937" s="7" t="s">
        <v>597</v>
      </c>
      <c r="N937" s="7" t="s">
        <v>49</v>
      </c>
      <c r="O937" s="7">
        <v>1</v>
      </c>
      <c r="P937" s="7" t="s">
        <v>41</v>
      </c>
      <c r="Q937" s="7">
        <v>21.99</v>
      </c>
      <c r="W937" s="7">
        <v>21.77</v>
      </c>
      <c r="Y937" s="7" t="s">
        <v>1506</v>
      </c>
      <c r="Z937" s="7" t="s">
        <v>64</v>
      </c>
      <c r="AA937" s="7" t="s">
        <v>4103</v>
      </c>
      <c r="AB937" s="7" t="s">
        <v>45</v>
      </c>
      <c r="AC937" s="7" t="s">
        <v>66</v>
      </c>
      <c r="AD937" s="8"/>
      <c r="AE937" s="8"/>
      <c r="AF937" s="8"/>
      <c r="AG937" s="10">
        <f t="shared" si="14"/>
        <v>43338</v>
      </c>
    </row>
    <row r="938" s="7" customFormat="1" spans="1:33">
      <c r="A938" s="7" t="s">
        <v>4665</v>
      </c>
      <c r="B938" s="7" t="s">
        <v>4665</v>
      </c>
      <c r="C938" s="7" t="s">
        <v>4666</v>
      </c>
      <c r="D938" s="7" t="s">
        <v>4667</v>
      </c>
      <c r="E938" s="7" t="s">
        <v>33</v>
      </c>
      <c r="F938" s="7" t="s">
        <v>34</v>
      </c>
      <c r="G938" s="7" t="s">
        <v>35</v>
      </c>
      <c r="J938" s="7" t="s">
        <v>36</v>
      </c>
      <c r="K938" s="7" t="s">
        <v>571</v>
      </c>
      <c r="L938" s="7" t="s">
        <v>572</v>
      </c>
      <c r="M938" s="7" t="s">
        <v>573</v>
      </c>
      <c r="N938" s="7" t="s">
        <v>40</v>
      </c>
      <c r="O938" s="7">
        <v>2</v>
      </c>
      <c r="P938" s="7" t="s">
        <v>41</v>
      </c>
      <c r="Q938" s="7">
        <v>43.98</v>
      </c>
      <c r="Y938" s="7" t="s">
        <v>4668</v>
      </c>
      <c r="Z938" s="7" t="s">
        <v>43</v>
      </c>
      <c r="AA938" s="7" t="s">
        <v>4669</v>
      </c>
      <c r="AB938" s="7" t="s">
        <v>45</v>
      </c>
      <c r="AD938" s="11"/>
      <c r="AE938" s="11"/>
      <c r="AF938" s="11"/>
      <c r="AG938" s="10">
        <f t="shared" si="14"/>
        <v>43338</v>
      </c>
    </row>
    <row r="939" s="7" customFormat="1" spans="1:33">
      <c r="A939" s="7" t="s">
        <v>4670</v>
      </c>
      <c r="B939" s="7" t="s">
        <v>4670</v>
      </c>
      <c r="C939" s="7" t="s">
        <v>4671</v>
      </c>
      <c r="D939" s="7" t="s">
        <v>4672</v>
      </c>
      <c r="E939" s="7" t="s">
        <v>49</v>
      </c>
      <c r="F939" s="7" t="s">
        <v>34</v>
      </c>
      <c r="G939" s="7" t="s">
        <v>35</v>
      </c>
      <c r="J939" s="7" t="s">
        <v>50</v>
      </c>
      <c r="K939" s="7" t="s">
        <v>2413</v>
      </c>
      <c r="L939" s="7" t="s">
        <v>143</v>
      </c>
      <c r="M939" s="7" t="s">
        <v>144</v>
      </c>
      <c r="N939" s="7" t="s">
        <v>49</v>
      </c>
      <c r="O939" s="7">
        <v>1</v>
      </c>
      <c r="P939" s="7" t="s">
        <v>41</v>
      </c>
      <c r="Q939" s="7">
        <v>79.99</v>
      </c>
      <c r="Y939" s="7" t="s">
        <v>4673</v>
      </c>
      <c r="Z939" s="7" t="s">
        <v>2973</v>
      </c>
      <c r="AA939" s="7">
        <v>65065</v>
      </c>
      <c r="AB939" s="7" t="s">
        <v>45</v>
      </c>
      <c r="AD939" s="11"/>
      <c r="AE939" s="11"/>
      <c r="AF939" s="11"/>
      <c r="AG939" s="10">
        <f t="shared" si="14"/>
        <v>43338</v>
      </c>
    </row>
    <row r="940" s="7" customFormat="1" spans="1:33">
      <c r="A940" s="7" t="s">
        <v>4674</v>
      </c>
      <c r="B940" s="7" t="s">
        <v>4674</v>
      </c>
      <c r="C940" s="7" t="s">
        <v>4675</v>
      </c>
      <c r="D940" s="7" t="s">
        <v>4676</v>
      </c>
      <c r="E940" s="7" t="s">
        <v>49</v>
      </c>
      <c r="F940" s="7" t="s">
        <v>34</v>
      </c>
      <c r="G940" s="7" t="s">
        <v>35</v>
      </c>
      <c r="J940" s="7" t="s">
        <v>50</v>
      </c>
      <c r="K940" s="7" t="s">
        <v>208</v>
      </c>
      <c r="L940" s="7" t="s">
        <v>209</v>
      </c>
      <c r="M940" s="7" t="s">
        <v>210</v>
      </c>
      <c r="N940" s="7" t="s">
        <v>49</v>
      </c>
      <c r="O940" s="7">
        <v>1</v>
      </c>
      <c r="P940" s="7" t="s">
        <v>41</v>
      </c>
      <c r="Q940" s="7">
        <v>89.99</v>
      </c>
      <c r="Y940" s="7" t="s">
        <v>1775</v>
      </c>
      <c r="Z940" s="7" t="s">
        <v>221</v>
      </c>
      <c r="AA940" s="7" t="s">
        <v>4677</v>
      </c>
      <c r="AB940" s="7" t="s">
        <v>45</v>
      </c>
      <c r="AD940" s="11"/>
      <c r="AE940" s="11"/>
      <c r="AF940" s="11"/>
      <c r="AG940" s="10">
        <f t="shared" si="14"/>
        <v>43338</v>
      </c>
    </row>
    <row r="941" s="7" customFormat="1" spans="1:33">
      <c r="A941" s="7" t="s">
        <v>4678</v>
      </c>
      <c r="B941" s="7" t="s">
        <v>4678</v>
      </c>
      <c r="C941" s="7" t="s">
        <v>4679</v>
      </c>
      <c r="D941" s="7" t="s">
        <v>4680</v>
      </c>
      <c r="E941" s="7" t="s">
        <v>49</v>
      </c>
      <c r="F941" s="7" t="s">
        <v>34</v>
      </c>
      <c r="G941" s="7" t="s">
        <v>35</v>
      </c>
      <c r="J941" s="7" t="s">
        <v>50</v>
      </c>
      <c r="K941" s="7" t="s">
        <v>4681</v>
      </c>
      <c r="L941" s="7" t="s">
        <v>4682</v>
      </c>
      <c r="M941" s="7" t="s">
        <v>4683</v>
      </c>
      <c r="N941" s="7" t="s">
        <v>49</v>
      </c>
      <c r="O941" s="7">
        <v>1</v>
      </c>
      <c r="P941" s="7" t="s">
        <v>41</v>
      </c>
      <c r="Q941" s="7">
        <v>89.99</v>
      </c>
      <c r="Y941" s="7" t="s">
        <v>4684</v>
      </c>
      <c r="Z941" s="7" t="s">
        <v>115</v>
      </c>
      <c r="AA941" s="7">
        <v>53149</v>
      </c>
      <c r="AB941" s="7" t="s">
        <v>45</v>
      </c>
      <c r="AD941" s="11"/>
      <c r="AE941" s="11"/>
      <c r="AF941" s="11"/>
      <c r="AG941" s="10">
        <f t="shared" si="14"/>
        <v>43338</v>
      </c>
    </row>
    <row r="942" s="7" customFormat="1" spans="1:33">
      <c r="A942" s="7" t="s">
        <v>4685</v>
      </c>
      <c r="B942" s="7" t="s">
        <v>4685</v>
      </c>
      <c r="C942" s="7" t="s">
        <v>4686</v>
      </c>
      <c r="D942" s="7" t="s">
        <v>4687</v>
      </c>
      <c r="E942" s="7" t="s">
        <v>4278</v>
      </c>
      <c r="F942" s="7" t="s">
        <v>34</v>
      </c>
      <c r="G942" s="7" t="s">
        <v>35</v>
      </c>
      <c r="J942" s="7" t="s">
        <v>36</v>
      </c>
      <c r="K942" s="7" t="s">
        <v>197</v>
      </c>
      <c r="L942" s="7" t="s">
        <v>977</v>
      </c>
      <c r="M942" s="7" t="s">
        <v>199</v>
      </c>
      <c r="N942" s="7" t="s">
        <v>40</v>
      </c>
      <c r="O942" s="7">
        <v>1</v>
      </c>
      <c r="P942" s="7" t="s">
        <v>41</v>
      </c>
      <c r="Q942" s="7">
        <v>21.99</v>
      </c>
      <c r="Y942" s="7" t="s">
        <v>1431</v>
      </c>
      <c r="Z942" s="7" t="s">
        <v>260</v>
      </c>
      <c r="AA942" s="7" t="s">
        <v>4688</v>
      </c>
      <c r="AB942" s="7" t="s">
        <v>45</v>
      </c>
      <c r="AD942" s="11"/>
      <c r="AE942" s="11"/>
      <c r="AF942" s="11"/>
      <c r="AG942" s="10">
        <f t="shared" si="14"/>
        <v>43338</v>
      </c>
    </row>
    <row r="943" s="7" customFormat="1" spans="1:33">
      <c r="A943" s="7" t="s">
        <v>4689</v>
      </c>
      <c r="B943" s="7" t="s">
        <v>4689</v>
      </c>
      <c r="C943" s="7" t="s">
        <v>4690</v>
      </c>
      <c r="D943" s="7" t="s">
        <v>4691</v>
      </c>
      <c r="E943" s="7" t="s">
        <v>49</v>
      </c>
      <c r="F943" s="7" t="s">
        <v>34</v>
      </c>
      <c r="G943" s="7" t="s">
        <v>35</v>
      </c>
      <c r="J943" s="7" t="s">
        <v>50</v>
      </c>
      <c r="K943" s="7" t="s">
        <v>160</v>
      </c>
      <c r="L943" s="7" t="s">
        <v>161</v>
      </c>
      <c r="M943" s="7" t="s">
        <v>162</v>
      </c>
      <c r="N943" s="7" t="s">
        <v>49</v>
      </c>
      <c r="O943" s="7">
        <v>1</v>
      </c>
      <c r="P943" s="7" t="s">
        <v>41</v>
      </c>
      <c r="Q943" s="7">
        <v>89.99</v>
      </c>
      <c r="R943" s="7">
        <v>5.4</v>
      </c>
      <c r="Y943" s="7" t="s">
        <v>4692</v>
      </c>
      <c r="Z943" s="7" t="s">
        <v>124</v>
      </c>
      <c r="AA943" s="7" t="s">
        <v>4693</v>
      </c>
      <c r="AB943" s="7" t="s">
        <v>45</v>
      </c>
      <c r="AD943" s="11"/>
      <c r="AE943" s="11"/>
      <c r="AF943" s="11"/>
      <c r="AG943" s="10">
        <f t="shared" si="14"/>
        <v>43338</v>
      </c>
    </row>
    <row r="944" s="7" customFormat="1" spans="1:33">
      <c r="A944" s="7" t="s">
        <v>4694</v>
      </c>
      <c r="B944" s="7" t="s">
        <v>4694</v>
      </c>
      <c r="C944" s="7" t="s">
        <v>4695</v>
      </c>
      <c r="D944" s="7" t="s">
        <v>4696</v>
      </c>
      <c r="E944" s="7" t="s">
        <v>49</v>
      </c>
      <c r="F944" s="7" t="s">
        <v>34</v>
      </c>
      <c r="G944" s="7" t="s">
        <v>35</v>
      </c>
      <c r="J944" s="7" t="s">
        <v>50</v>
      </c>
      <c r="K944" s="7" t="s">
        <v>79</v>
      </c>
      <c r="L944" s="7" t="s">
        <v>80</v>
      </c>
      <c r="M944" s="7" t="s">
        <v>81</v>
      </c>
      <c r="N944" s="7" t="s">
        <v>49</v>
      </c>
      <c r="O944" s="7">
        <v>1</v>
      </c>
      <c r="P944" s="7" t="s">
        <v>41</v>
      </c>
      <c r="Q944" s="7">
        <v>21.99</v>
      </c>
      <c r="Y944" s="7" t="s">
        <v>4697</v>
      </c>
      <c r="Z944" s="7" t="s">
        <v>872</v>
      </c>
      <c r="AA944" s="7" t="s">
        <v>4698</v>
      </c>
      <c r="AB944" s="7" t="s">
        <v>45</v>
      </c>
      <c r="AD944" s="11"/>
      <c r="AE944" s="11"/>
      <c r="AF944" s="11"/>
      <c r="AG944" s="10">
        <f t="shared" si="14"/>
        <v>43338</v>
      </c>
    </row>
    <row r="945" s="7" customFormat="1" spans="1:33">
      <c r="A945" s="7" t="s">
        <v>4699</v>
      </c>
      <c r="B945" s="7" t="s">
        <v>4699</v>
      </c>
      <c r="C945" s="7" t="s">
        <v>4700</v>
      </c>
      <c r="D945" s="7" t="s">
        <v>4701</v>
      </c>
      <c r="E945" s="7" t="s">
        <v>49</v>
      </c>
      <c r="F945" s="7" t="s">
        <v>34</v>
      </c>
      <c r="G945" s="7" t="s">
        <v>35</v>
      </c>
      <c r="J945" s="7" t="s">
        <v>50</v>
      </c>
      <c r="K945" s="7" t="s">
        <v>674</v>
      </c>
      <c r="L945" s="7" t="s">
        <v>675</v>
      </c>
      <c r="M945" s="7" t="s">
        <v>676</v>
      </c>
      <c r="N945" s="7" t="s">
        <v>49</v>
      </c>
      <c r="O945" s="7">
        <v>1</v>
      </c>
      <c r="P945" s="7" t="s">
        <v>41</v>
      </c>
      <c r="Q945" s="7">
        <v>69.99</v>
      </c>
      <c r="Y945" s="7" t="s">
        <v>4702</v>
      </c>
      <c r="Z945" s="7" t="s">
        <v>64</v>
      </c>
      <c r="AA945" s="7">
        <v>78738</v>
      </c>
      <c r="AB945" s="7" t="s">
        <v>45</v>
      </c>
      <c r="AD945" s="11"/>
      <c r="AE945" s="11"/>
      <c r="AF945" s="11"/>
      <c r="AG945" s="10">
        <f t="shared" si="14"/>
        <v>43338</v>
      </c>
    </row>
    <row r="946" s="7" customFormat="1" spans="1:33">
      <c r="A946" s="7" t="s">
        <v>4703</v>
      </c>
      <c r="B946" s="7" t="s">
        <v>4703</v>
      </c>
      <c r="C946" s="7" t="s">
        <v>4704</v>
      </c>
      <c r="D946" s="7" t="s">
        <v>4705</v>
      </c>
      <c r="E946" s="7" t="s">
        <v>49</v>
      </c>
      <c r="F946" s="7" t="s">
        <v>34</v>
      </c>
      <c r="G946" s="7" t="s">
        <v>35</v>
      </c>
      <c r="J946" s="7" t="s">
        <v>326</v>
      </c>
      <c r="K946" s="7" t="s">
        <v>256</v>
      </c>
      <c r="L946" s="7" t="s">
        <v>257</v>
      </c>
      <c r="M946" s="7" t="s">
        <v>258</v>
      </c>
      <c r="N946" s="7" t="s">
        <v>49</v>
      </c>
      <c r="O946" s="7">
        <v>1</v>
      </c>
      <c r="P946" s="7" t="s">
        <v>41</v>
      </c>
      <c r="Q946" s="7">
        <v>21.99</v>
      </c>
      <c r="S946" s="7">
        <v>5.33</v>
      </c>
      <c r="Y946" s="7" t="s">
        <v>459</v>
      </c>
      <c r="Z946" s="7" t="s">
        <v>346</v>
      </c>
      <c r="AA946" s="7" t="s">
        <v>4706</v>
      </c>
      <c r="AB946" s="7" t="s">
        <v>45</v>
      </c>
      <c r="AD946" s="11"/>
      <c r="AE946" s="11"/>
      <c r="AF946" s="11"/>
      <c r="AG946" s="10">
        <f t="shared" si="14"/>
        <v>43338</v>
      </c>
    </row>
    <row r="947" s="7" customFormat="1" spans="1:33">
      <c r="A947" s="7" t="s">
        <v>4707</v>
      </c>
      <c r="B947" s="7" t="s">
        <v>4707</v>
      </c>
      <c r="C947" s="7" t="s">
        <v>4708</v>
      </c>
      <c r="D947" s="7" t="s">
        <v>4709</v>
      </c>
      <c r="E947" s="7" t="s">
        <v>49</v>
      </c>
      <c r="F947" s="7" t="s">
        <v>34</v>
      </c>
      <c r="G947" s="7" t="s">
        <v>35</v>
      </c>
      <c r="J947" s="7" t="s">
        <v>50</v>
      </c>
      <c r="K947" s="7" t="s">
        <v>603</v>
      </c>
      <c r="L947" s="7" t="s">
        <v>604</v>
      </c>
      <c r="M947" s="7" t="s">
        <v>605</v>
      </c>
      <c r="N947" s="7" t="s">
        <v>49</v>
      </c>
      <c r="O947" s="7">
        <v>1</v>
      </c>
      <c r="P947" s="7" t="s">
        <v>41</v>
      </c>
      <c r="Q947" s="7">
        <v>99.99</v>
      </c>
      <c r="Y947" s="7" t="s">
        <v>300</v>
      </c>
      <c r="Z947" s="7" t="s">
        <v>280</v>
      </c>
      <c r="AA947" s="7" t="s">
        <v>301</v>
      </c>
      <c r="AB947" s="7" t="s">
        <v>45</v>
      </c>
      <c r="AD947" s="11"/>
      <c r="AE947" s="11"/>
      <c r="AF947" s="11"/>
      <c r="AG947" s="10">
        <f t="shared" si="14"/>
        <v>43338</v>
      </c>
    </row>
    <row r="948" s="7" customFormat="1" spans="1:33">
      <c r="A948" s="7" t="s">
        <v>4710</v>
      </c>
      <c r="B948" s="7" t="s">
        <v>4710</v>
      </c>
      <c r="C948" s="7" t="s">
        <v>4711</v>
      </c>
      <c r="D948" s="7" t="s">
        <v>4712</v>
      </c>
      <c r="E948" s="7" t="s">
        <v>49</v>
      </c>
      <c r="F948" s="7" t="s">
        <v>34</v>
      </c>
      <c r="G948" s="7" t="s">
        <v>35</v>
      </c>
      <c r="J948" s="7" t="s">
        <v>50</v>
      </c>
      <c r="K948" s="7" t="s">
        <v>674</v>
      </c>
      <c r="L948" s="7" t="s">
        <v>675</v>
      </c>
      <c r="M948" s="7" t="s">
        <v>676</v>
      </c>
      <c r="N948" s="7" t="s">
        <v>49</v>
      </c>
      <c r="O948" s="7">
        <v>1</v>
      </c>
      <c r="P948" s="7" t="s">
        <v>41</v>
      </c>
      <c r="Q948" s="7">
        <v>69.99</v>
      </c>
      <c r="Y948" s="7" t="s">
        <v>4713</v>
      </c>
      <c r="Z948" s="7" t="s">
        <v>115</v>
      </c>
      <c r="AA948" s="7">
        <v>53189</v>
      </c>
      <c r="AB948" s="7" t="s">
        <v>45</v>
      </c>
      <c r="AD948" s="11"/>
      <c r="AE948" s="11"/>
      <c r="AF948" s="11"/>
      <c r="AG948" s="10">
        <f t="shared" si="14"/>
        <v>43338</v>
      </c>
    </row>
    <row r="949" s="7" customFormat="1" spans="1:33">
      <c r="A949" s="7" t="s">
        <v>4714</v>
      </c>
      <c r="B949" s="7" t="s">
        <v>4714</v>
      </c>
      <c r="C949" s="7" t="s">
        <v>4715</v>
      </c>
      <c r="D949" s="7" t="s">
        <v>4716</v>
      </c>
      <c r="E949" s="7" t="s">
        <v>49</v>
      </c>
      <c r="F949" s="7" t="s">
        <v>34</v>
      </c>
      <c r="G949" s="7" t="s">
        <v>35</v>
      </c>
      <c r="J949" s="7" t="s">
        <v>50</v>
      </c>
      <c r="K949" s="7" t="s">
        <v>60</v>
      </c>
      <c r="L949" s="7" t="s">
        <v>61</v>
      </c>
      <c r="M949" s="7" t="s">
        <v>62</v>
      </c>
      <c r="N949" s="7" t="s">
        <v>49</v>
      </c>
      <c r="O949" s="7">
        <v>1</v>
      </c>
      <c r="P949" s="7" t="s">
        <v>41</v>
      </c>
      <c r="Q949" s="7">
        <v>21.99</v>
      </c>
      <c r="Y949" s="7" t="s">
        <v>4717</v>
      </c>
      <c r="Z949" s="7" t="s">
        <v>1255</v>
      </c>
      <c r="AA949" s="7" t="s">
        <v>4718</v>
      </c>
      <c r="AB949" s="7" t="s">
        <v>45</v>
      </c>
      <c r="AD949" s="11"/>
      <c r="AE949" s="11"/>
      <c r="AF949" s="11"/>
      <c r="AG949" s="10">
        <f t="shared" si="14"/>
        <v>43338</v>
      </c>
    </row>
    <row r="950" s="7" customFormat="1" spans="1:33">
      <c r="A950" s="7" t="s">
        <v>4719</v>
      </c>
      <c r="B950" s="7" t="s">
        <v>4719</v>
      </c>
      <c r="C950" s="7" t="s">
        <v>4720</v>
      </c>
      <c r="D950" s="7" t="s">
        <v>4721</v>
      </c>
      <c r="E950" s="7" t="s">
        <v>49</v>
      </c>
      <c r="F950" s="7" t="s">
        <v>34</v>
      </c>
      <c r="G950" s="7" t="s">
        <v>35</v>
      </c>
      <c r="J950" s="7" t="s">
        <v>50</v>
      </c>
      <c r="K950" s="7" t="s">
        <v>2413</v>
      </c>
      <c r="L950" s="7" t="s">
        <v>143</v>
      </c>
      <c r="M950" s="7" t="s">
        <v>144</v>
      </c>
      <c r="N950" s="7" t="s">
        <v>49</v>
      </c>
      <c r="O950" s="7">
        <v>1</v>
      </c>
      <c r="P950" s="7" t="s">
        <v>41</v>
      </c>
      <c r="Q950" s="7">
        <v>79.99</v>
      </c>
      <c r="Y950" s="7" t="s">
        <v>4722</v>
      </c>
      <c r="Z950" s="7" t="s">
        <v>971</v>
      </c>
      <c r="AA950" s="7">
        <v>7764</v>
      </c>
      <c r="AB950" s="7" t="s">
        <v>45</v>
      </c>
      <c r="AD950" s="11"/>
      <c r="AE950" s="11"/>
      <c r="AF950" s="11"/>
      <c r="AG950" s="10">
        <f t="shared" si="14"/>
        <v>43338</v>
      </c>
    </row>
    <row r="951" s="7" customFormat="1" spans="1:33">
      <c r="A951" s="7" t="s">
        <v>4723</v>
      </c>
      <c r="B951" s="7" t="s">
        <v>4723</v>
      </c>
      <c r="C951" s="7" t="s">
        <v>4724</v>
      </c>
      <c r="D951" s="7" t="s">
        <v>4725</v>
      </c>
      <c r="E951" s="7" t="s">
        <v>4278</v>
      </c>
      <c r="F951" s="7" t="s">
        <v>34</v>
      </c>
      <c r="G951" s="7" t="s">
        <v>35</v>
      </c>
      <c r="J951" s="7" t="s">
        <v>36</v>
      </c>
      <c r="K951" s="7" t="s">
        <v>2603</v>
      </c>
      <c r="L951" s="7" t="s">
        <v>1161</v>
      </c>
      <c r="M951" s="7" t="s">
        <v>1162</v>
      </c>
      <c r="N951" s="7" t="s">
        <v>40</v>
      </c>
      <c r="O951" s="7">
        <v>1</v>
      </c>
      <c r="P951" s="7" t="s">
        <v>41</v>
      </c>
      <c r="Q951" s="7">
        <v>89.99</v>
      </c>
      <c r="Y951" s="7" t="s">
        <v>4726</v>
      </c>
      <c r="Z951" s="7" t="s">
        <v>230</v>
      </c>
      <c r="AA951" s="7" t="s">
        <v>4727</v>
      </c>
      <c r="AB951" s="7" t="s">
        <v>45</v>
      </c>
      <c r="AD951" s="11"/>
      <c r="AE951" s="11"/>
      <c r="AF951" s="11"/>
      <c r="AG951" s="10">
        <f t="shared" si="14"/>
        <v>43338</v>
      </c>
    </row>
    <row r="952" s="7" customFormat="1" spans="1:33">
      <c r="A952" s="7" t="s">
        <v>4728</v>
      </c>
      <c r="B952" s="7" t="s">
        <v>4728</v>
      </c>
      <c r="C952" s="7" t="s">
        <v>4729</v>
      </c>
      <c r="D952" s="7" t="s">
        <v>4730</v>
      </c>
      <c r="E952" s="7" t="s">
        <v>49</v>
      </c>
      <c r="F952" s="7" t="s">
        <v>34</v>
      </c>
      <c r="G952" s="7" t="s">
        <v>35</v>
      </c>
      <c r="J952" s="7" t="s">
        <v>50</v>
      </c>
      <c r="K952" s="7" t="s">
        <v>2732</v>
      </c>
      <c r="L952" s="7" t="s">
        <v>1061</v>
      </c>
      <c r="M952" s="7" t="s">
        <v>1062</v>
      </c>
      <c r="N952" s="7" t="s">
        <v>49</v>
      </c>
      <c r="O952" s="7">
        <v>1</v>
      </c>
      <c r="P952" s="7" t="s">
        <v>41</v>
      </c>
      <c r="Q952" s="7">
        <v>89.99</v>
      </c>
      <c r="Y952" s="7" t="s">
        <v>4731</v>
      </c>
      <c r="Z952" s="7" t="s">
        <v>178</v>
      </c>
      <c r="AA952" s="7" t="s">
        <v>4732</v>
      </c>
      <c r="AB952" s="7" t="s">
        <v>45</v>
      </c>
      <c r="AD952" s="11"/>
      <c r="AE952" s="11"/>
      <c r="AF952" s="11"/>
      <c r="AG952" s="10">
        <f t="shared" si="14"/>
        <v>43338</v>
      </c>
    </row>
    <row r="953" s="7" customFormat="1" spans="1:33">
      <c r="A953" s="7" t="s">
        <v>4733</v>
      </c>
      <c r="B953" s="7" t="s">
        <v>4733</v>
      </c>
      <c r="C953" s="7" t="s">
        <v>4734</v>
      </c>
      <c r="D953" s="7" t="s">
        <v>4735</v>
      </c>
      <c r="E953" s="7" t="s">
        <v>4278</v>
      </c>
      <c r="F953" s="7" t="s">
        <v>34</v>
      </c>
      <c r="G953" s="7" t="s">
        <v>35</v>
      </c>
      <c r="J953" s="7" t="s">
        <v>36</v>
      </c>
      <c r="K953" s="7" t="s">
        <v>386</v>
      </c>
      <c r="L953" s="7" t="s">
        <v>387</v>
      </c>
      <c r="M953" s="7" t="s">
        <v>388</v>
      </c>
      <c r="N953" s="7" t="s">
        <v>40</v>
      </c>
      <c r="O953" s="7">
        <v>1</v>
      </c>
      <c r="P953" s="7" t="s">
        <v>41</v>
      </c>
      <c r="Q953" s="7">
        <v>32.99</v>
      </c>
      <c r="Y953" s="7" t="s">
        <v>802</v>
      </c>
      <c r="Z953" s="7" t="s">
        <v>266</v>
      </c>
      <c r="AA953" s="7" t="s">
        <v>4736</v>
      </c>
      <c r="AB953" s="7" t="s">
        <v>45</v>
      </c>
      <c r="AD953" s="11"/>
      <c r="AE953" s="11"/>
      <c r="AF953" s="11"/>
      <c r="AG953" s="10">
        <f t="shared" si="14"/>
        <v>43338</v>
      </c>
    </row>
    <row r="954" s="7" customFormat="1" spans="1:33">
      <c r="A954" s="7" t="s">
        <v>4737</v>
      </c>
      <c r="B954" s="7" t="s">
        <v>4737</v>
      </c>
      <c r="C954" s="7" t="s">
        <v>4738</v>
      </c>
      <c r="D954" s="7" t="s">
        <v>4739</v>
      </c>
      <c r="E954" s="7" t="s">
        <v>49</v>
      </c>
      <c r="F954" s="7" t="s">
        <v>34</v>
      </c>
      <c r="G954" s="7" t="s">
        <v>35</v>
      </c>
      <c r="J954" s="7" t="s">
        <v>50</v>
      </c>
      <c r="K954" s="7" t="s">
        <v>2334</v>
      </c>
      <c r="L954" s="7" t="s">
        <v>2335</v>
      </c>
      <c r="M954" s="7" t="s">
        <v>2336</v>
      </c>
      <c r="N954" s="7" t="s">
        <v>49</v>
      </c>
      <c r="O954" s="7">
        <v>1</v>
      </c>
      <c r="P954" s="7" t="s">
        <v>41</v>
      </c>
      <c r="Q954" s="7">
        <v>89.99</v>
      </c>
      <c r="R954" s="7">
        <v>5.4</v>
      </c>
      <c r="Y954" s="7" t="s">
        <v>4740</v>
      </c>
      <c r="Z954" s="7" t="s">
        <v>124</v>
      </c>
      <c r="AA954" s="7" t="s">
        <v>4741</v>
      </c>
      <c r="AB954" s="7" t="s">
        <v>45</v>
      </c>
      <c r="AD954" s="11"/>
      <c r="AE954" s="11"/>
      <c r="AF954" s="11"/>
      <c r="AG954" s="10">
        <f t="shared" si="14"/>
        <v>43338</v>
      </c>
    </row>
    <row r="955" s="7" customFormat="1" spans="1:33">
      <c r="A955" s="7" t="s">
        <v>4742</v>
      </c>
      <c r="B955" s="7" t="s">
        <v>4742</v>
      </c>
      <c r="C955" s="7" t="s">
        <v>4743</v>
      </c>
      <c r="D955" s="7" t="s">
        <v>4744</v>
      </c>
      <c r="E955" s="7" t="s">
        <v>49</v>
      </c>
      <c r="F955" s="7" t="s">
        <v>34</v>
      </c>
      <c r="G955" s="7" t="s">
        <v>35</v>
      </c>
      <c r="J955" s="7" t="s">
        <v>50</v>
      </c>
      <c r="K955" s="7" t="s">
        <v>779</v>
      </c>
      <c r="L955" s="7" t="s">
        <v>780</v>
      </c>
      <c r="M955" s="7" t="s">
        <v>781</v>
      </c>
      <c r="N955" s="7" t="s">
        <v>49</v>
      </c>
      <c r="O955" s="7">
        <v>1</v>
      </c>
      <c r="P955" s="7" t="s">
        <v>41</v>
      </c>
      <c r="Q955" s="7">
        <v>21.99</v>
      </c>
      <c r="W955" s="7">
        <v>21.76</v>
      </c>
      <c r="Y955" s="7" t="s">
        <v>2269</v>
      </c>
      <c r="Z955" s="7" t="s">
        <v>489</v>
      </c>
      <c r="AA955" s="7" t="s">
        <v>4745</v>
      </c>
      <c r="AB955" s="7" t="s">
        <v>45</v>
      </c>
      <c r="AC955" s="7" t="s">
        <v>66</v>
      </c>
      <c r="AD955" s="11"/>
      <c r="AE955" s="11"/>
      <c r="AF955" s="11"/>
      <c r="AG955" s="10">
        <f t="shared" si="14"/>
        <v>43338</v>
      </c>
    </row>
    <row r="956" s="7" customFormat="1" spans="1:33">
      <c r="A956" s="7" t="s">
        <v>4742</v>
      </c>
      <c r="B956" s="7" t="s">
        <v>4742</v>
      </c>
      <c r="C956" s="7" t="s">
        <v>4743</v>
      </c>
      <c r="D956" s="7" t="s">
        <v>4744</v>
      </c>
      <c r="E956" s="7" t="s">
        <v>49</v>
      </c>
      <c r="F956" s="7" t="s">
        <v>34</v>
      </c>
      <c r="G956" s="7" t="s">
        <v>35</v>
      </c>
      <c r="J956" s="7" t="s">
        <v>50</v>
      </c>
      <c r="K956" s="7" t="s">
        <v>197</v>
      </c>
      <c r="L956" s="7" t="s">
        <v>977</v>
      </c>
      <c r="M956" s="7" t="s">
        <v>199</v>
      </c>
      <c r="N956" s="7" t="s">
        <v>49</v>
      </c>
      <c r="O956" s="7">
        <v>1</v>
      </c>
      <c r="P956" s="7" t="s">
        <v>41</v>
      </c>
      <c r="Q956" s="7">
        <v>21.99</v>
      </c>
      <c r="W956" s="7">
        <v>21.77</v>
      </c>
      <c r="Y956" s="7" t="s">
        <v>2269</v>
      </c>
      <c r="Z956" s="7" t="s">
        <v>489</v>
      </c>
      <c r="AA956" s="7" t="s">
        <v>4745</v>
      </c>
      <c r="AB956" s="7" t="s">
        <v>45</v>
      </c>
      <c r="AC956" s="7" t="s">
        <v>66</v>
      </c>
      <c r="AD956" s="11"/>
      <c r="AE956" s="11"/>
      <c r="AF956" s="11"/>
      <c r="AG956" s="10">
        <f t="shared" si="14"/>
        <v>43338</v>
      </c>
    </row>
    <row r="957" s="7" customFormat="1" spans="1:33">
      <c r="A957" s="7" t="s">
        <v>4742</v>
      </c>
      <c r="B957" s="7" t="s">
        <v>4742</v>
      </c>
      <c r="C957" s="7" t="s">
        <v>4743</v>
      </c>
      <c r="D957" s="7" t="s">
        <v>4744</v>
      </c>
      <c r="E957" s="7" t="s">
        <v>49</v>
      </c>
      <c r="F957" s="7" t="s">
        <v>34</v>
      </c>
      <c r="G957" s="7" t="s">
        <v>35</v>
      </c>
      <c r="J957" s="7" t="s">
        <v>50</v>
      </c>
      <c r="K957" s="7" t="s">
        <v>256</v>
      </c>
      <c r="L957" s="7" t="s">
        <v>257</v>
      </c>
      <c r="M957" s="7" t="s">
        <v>258</v>
      </c>
      <c r="N957" s="7" t="s">
        <v>49</v>
      </c>
      <c r="O957" s="7">
        <v>1</v>
      </c>
      <c r="P957" s="7" t="s">
        <v>41</v>
      </c>
      <c r="Q957" s="7">
        <v>21.99</v>
      </c>
      <c r="W957" s="7">
        <v>21.78</v>
      </c>
      <c r="Y957" s="7" t="s">
        <v>2269</v>
      </c>
      <c r="Z957" s="7" t="s">
        <v>489</v>
      </c>
      <c r="AA957" s="7" t="s">
        <v>4745</v>
      </c>
      <c r="AB957" s="7" t="s">
        <v>45</v>
      </c>
      <c r="AC957" s="7" t="s">
        <v>66</v>
      </c>
      <c r="AD957" s="11"/>
      <c r="AE957" s="11"/>
      <c r="AF957" s="11"/>
      <c r="AG957" s="10">
        <f t="shared" si="14"/>
        <v>43338</v>
      </c>
    </row>
    <row r="958" s="7" customFormat="1" spans="1:33">
      <c r="A958" s="7" t="s">
        <v>4742</v>
      </c>
      <c r="B958" s="7" t="s">
        <v>4742</v>
      </c>
      <c r="C958" s="7" t="s">
        <v>4743</v>
      </c>
      <c r="D958" s="7" t="s">
        <v>4744</v>
      </c>
      <c r="E958" s="7" t="s">
        <v>49</v>
      </c>
      <c r="F958" s="7" t="s">
        <v>34</v>
      </c>
      <c r="G958" s="7" t="s">
        <v>35</v>
      </c>
      <c r="J958" s="7" t="s">
        <v>50</v>
      </c>
      <c r="K958" s="7" t="s">
        <v>571</v>
      </c>
      <c r="L958" s="7" t="s">
        <v>572</v>
      </c>
      <c r="M958" s="7" t="s">
        <v>573</v>
      </c>
      <c r="N958" s="7" t="s">
        <v>49</v>
      </c>
      <c r="O958" s="7">
        <v>1</v>
      </c>
      <c r="P958" s="7" t="s">
        <v>41</v>
      </c>
      <c r="Q958" s="7">
        <v>21.99</v>
      </c>
      <c r="W958" s="7">
        <v>21.77</v>
      </c>
      <c r="Y958" s="7" t="s">
        <v>2269</v>
      </c>
      <c r="Z958" s="7" t="s">
        <v>489</v>
      </c>
      <c r="AA958" s="7" t="s">
        <v>4745</v>
      </c>
      <c r="AB958" s="7" t="s">
        <v>45</v>
      </c>
      <c r="AC958" s="7" t="s">
        <v>66</v>
      </c>
      <c r="AD958" s="11"/>
      <c r="AE958" s="11"/>
      <c r="AF958" s="11"/>
      <c r="AG958" s="10">
        <f t="shared" si="14"/>
        <v>43338</v>
      </c>
    </row>
    <row r="959" s="7" customFormat="1" spans="1:33">
      <c r="A959" s="7" t="s">
        <v>4746</v>
      </c>
      <c r="B959" s="7" t="s">
        <v>4746</v>
      </c>
      <c r="C959" s="7" t="s">
        <v>4747</v>
      </c>
      <c r="D959" s="7" t="s">
        <v>4748</v>
      </c>
      <c r="E959" s="7" t="s">
        <v>49</v>
      </c>
      <c r="F959" s="7" t="s">
        <v>34</v>
      </c>
      <c r="G959" s="7" t="s">
        <v>35</v>
      </c>
      <c r="J959" s="7" t="s">
        <v>50</v>
      </c>
      <c r="K959" s="7" t="s">
        <v>2363</v>
      </c>
      <c r="L959" s="7" t="s">
        <v>89</v>
      </c>
      <c r="M959" s="7" t="s">
        <v>90</v>
      </c>
      <c r="N959" s="7" t="s">
        <v>49</v>
      </c>
      <c r="O959" s="7">
        <v>1</v>
      </c>
      <c r="P959" s="7" t="s">
        <v>41</v>
      </c>
      <c r="Q959" s="7">
        <v>89.99</v>
      </c>
      <c r="Y959" s="7" t="s">
        <v>1903</v>
      </c>
      <c r="Z959" s="7" t="s">
        <v>266</v>
      </c>
      <c r="AA959" s="7" t="s">
        <v>4749</v>
      </c>
      <c r="AB959" s="7" t="s">
        <v>45</v>
      </c>
      <c r="AD959" s="11"/>
      <c r="AE959" s="11"/>
      <c r="AF959" s="11"/>
      <c r="AG959" s="10">
        <f t="shared" si="14"/>
        <v>43338</v>
      </c>
    </row>
    <row r="960" s="7" customFormat="1" spans="1:33">
      <c r="A960" s="7" t="s">
        <v>4750</v>
      </c>
      <c r="B960" s="7" t="s">
        <v>4750</v>
      </c>
      <c r="C960" s="7" t="s">
        <v>4751</v>
      </c>
      <c r="D960" s="7" t="s">
        <v>4752</v>
      </c>
      <c r="E960" s="7" t="s">
        <v>49</v>
      </c>
      <c r="F960" s="7" t="s">
        <v>34</v>
      </c>
      <c r="G960" s="7" t="s">
        <v>35</v>
      </c>
      <c r="J960" s="7" t="s">
        <v>50</v>
      </c>
      <c r="K960" s="7" t="s">
        <v>208</v>
      </c>
      <c r="L960" s="7" t="s">
        <v>209</v>
      </c>
      <c r="M960" s="7" t="s">
        <v>210</v>
      </c>
      <c r="N960" s="7" t="s">
        <v>49</v>
      </c>
      <c r="O960" s="7">
        <v>1</v>
      </c>
      <c r="P960" s="7" t="s">
        <v>41</v>
      </c>
      <c r="Q960" s="7">
        <v>89.99</v>
      </c>
      <c r="R960" s="7">
        <v>7.35</v>
      </c>
      <c r="Y960" s="7" t="s">
        <v>4753</v>
      </c>
      <c r="Z960" s="7" t="s">
        <v>818</v>
      </c>
      <c r="AA960" s="7" t="s">
        <v>4754</v>
      </c>
      <c r="AB960" s="7" t="s">
        <v>45</v>
      </c>
      <c r="AD960" s="11"/>
      <c r="AE960" s="11"/>
      <c r="AF960" s="11"/>
      <c r="AG960" s="10">
        <f t="shared" si="14"/>
        <v>43338</v>
      </c>
    </row>
    <row r="961" s="7" customFormat="1" spans="1:33">
      <c r="A961" s="7" t="s">
        <v>4755</v>
      </c>
      <c r="B961" s="7" t="s">
        <v>4755</v>
      </c>
      <c r="C961" s="7" t="s">
        <v>4756</v>
      </c>
      <c r="D961" s="7" t="s">
        <v>4757</v>
      </c>
      <c r="E961" s="7" t="s">
        <v>49</v>
      </c>
      <c r="F961" s="7" t="s">
        <v>34</v>
      </c>
      <c r="G961" s="7" t="s">
        <v>35</v>
      </c>
      <c r="J961" s="7" t="s">
        <v>50</v>
      </c>
      <c r="K961" s="7" t="s">
        <v>60</v>
      </c>
      <c r="L961" s="7" t="s">
        <v>61</v>
      </c>
      <c r="M961" s="7" t="s">
        <v>62</v>
      </c>
      <c r="N961" s="7" t="s">
        <v>49</v>
      </c>
      <c r="O961" s="7">
        <v>1</v>
      </c>
      <c r="P961" s="7" t="s">
        <v>41</v>
      </c>
      <c r="Q961" s="7">
        <v>21.99</v>
      </c>
      <c r="W961" s="7">
        <v>21.77</v>
      </c>
      <c r="Y961" s="7" t="s">
        <v>3938</v>
      </c>
      <c r="Z961" s="7" t="s">
        <v>178</v>
      </c>
      <c r="AA961" s="7" t="s">
        <v>4758</v>
      </c>
      <c r="AB961" s="7" t="s">
        <v>45</v>
      </c>
      <c r="AC961" s="7" t="s">
        <v>66</v>
      </c>
      <c r="AD961" s="11"/>
      <c r="AE961" s="11"/>
      <c r="AF961" s="11"/>
      <c r="AG961" s="10">
        <f t="shared" si="14"/>
        <v>43338</v>
      </c>
    </row>
    <row r="962" s="7" customFormat="1" spans="30:33">
      <c r="AD962" s="8"/>
      <c r="AE962" s="8"/>
      <c r="AF962" s="8"/>
      <c r="AG962" s="10"/>
    </row>
    <row r="963" s="7" customFormat="1" spans="30:33">
      <c r="AD963" s="8"/>
      <c r="AE963" s="8"/>
      <c r="AF963" s="8"/>
      <c r="AG963" s="10"/>
    </row>
    <row r="964" s="7" customFormat="1" spans="30:33">
      <c r="AD964" s="8"/>
      <c r="AE964" s="8"/>
      <c r="AF964" s="8"/>
      <c r="AG964" s="10"/>
    </row>
    <row r="965" s="7" customFormat="1" spans="30:33">
      <c r="AD965" s="8"/>
      <c r="AE965" s="8"/>
      <c r="AF965" s="8"/>
      <c r="AG965" s="10"/>
    </row>
    <row r="966" s="7" customFormat="1" spans="30:33">
      <c r="AD966" s="8"/>
      <c r="AE966" s="8"/>
      <c r="AF966" s="8"/>
      <c r="AG966" s="10"/>
    </row>
    <row r="967" s="7" customFormat="1" spans="30:33">
      <c r="AD967" s="8"/>
      <c r="AE967" s="8"/>
      <c r="AF967" s="8"/>
      <c r="AG967" s="10"/>
    </row>
    <row r="968" s="7" customFormat="1" spans="30:33">
      <c r="AD968" s="8"/>
      <c r="AE968" s="8"/>
      <c r="AF968" s="8"/>
      <c r="AG968" s="10"/>
    </row>
    <row r="969" s="7" customFormat="1" spans="30:33">
      <c r="AD969" s="8"/>
      <c r="AE969" s="8"/>
      <c r="AF969" s="8"/>
      <c r="AG969" s="10"/>
    </row>
    <row r="970" s="7" customFormat="1" spans="30:33">
      <c r="AD970" s="8"/>
      <c r="AE970" s="8"/>
      <c r="AF970" s="8"/>
      <c r="AG970" s="10"/>
    </row>
    <row r="971" s="7" customFormat="1" spans="30:33">
      <c r="AD971" s="8"/>
      <c r="AE971" s="8"/>
      <c r="AF971" s="8"/>
      <c r="AG971" s="10"/>
    </row>
    <row r="972" s="7" customFormat="1" spans="30:33">
      <c r="AD972" s="8"/>
      <c r="AE972" s="8"/>
      <c r="AF972" s="8"/>
      <c r="AG972" s="10"/>
    </row>
    <row r="973" s="7" customFormat="1" spans="30:33">
      <c r="AD973" s="8"/>
      <c r="AE973" s="8"/>
      <c r="AF973" s="8"/>
      <c r="AG973" s="10"/>
    </row>
    <row r="974" s="7" customFormat="1" spans="30:33">
      <c r="AD974" s="8"/>
      <c r="AE974" s="8"/>
      <c r="AF974" s="8"/>
      <c r="AG974" s="10"/>
    </row>
    <row r="975" s="7" customFormat="1" spans="30:33">
      <c r="AD975" s="8"/>
      <c r="AE975" s="8"/>
      <c r="AF975" s="8"/>
      <c r="AG975" s="10"/>
    </row>
    <row r="976" s="7" customFormat="1" spans="30:33">
      <c r="AD976" s="8"/>
      <c r="AE976" s="8"/>
      <c r="AF976" s="8"/>
      <c r="AG976" s="10"/>
    </row>
    <row r="977" s="7" customFormat="1" spans="30:33">
      <c r="AD977" s="8"/>
      <c r="AE977" s="8"/>
      <c r="AF977" s="8"/>
      <c r="AG977" s="10"/>
    </row>
    <row r="978" s="7" customFormat="1" spans="30:33">
      <c r="AD978" s="8"/>
      <c r="AE978" s="8"/>
      <c r="AF978" s="8"/>
      <c r="AG978" s="10"/>
    </row>
    <row r="979" s="7" customFormat="1" spans="30:33">
      <c r="AD979" s="8"/>
      <c r="AE979" s="8"/>
      <c r="AF979" s="8"/>
      <c r="AG979" s="10"/>
    </row>
    <row r="980" s="7" customFormat="1" spans="30:33">
      <c r="AD980" s="8"/>
      <c r="AE980" s="8"/>
      <c r="AF980" s="8"/>
      <c r="AG980" s="10"/>
    </row>
    <row r="981" s="7" customFormat="1" spans="30:33">
      <c r="AD981" s="11"/>
      <c r="AE981" s="11"/>
      <c r="AF981" s="11"/>
      <c r="AG981" s="10"/>
    </row>
    <row r="982" s="7" customFormat="1" spans="30:33">
      <c r="AD982" s="11"/>
      <c r="AE982" s="11"/>
      <c r="AF982" s="11"/>
      <c r="AG982" s="10"/>
    </row>
    <row r="983" s="7" customFormat="1" spans="30:33">
      <c r="AD983" s="11"/>
      <c r="AE983" s="11"/>
      <c r="AF983" s="11"/>
      <c r="AG983" s="10"/>
    </row>
    <row r="984" s="7" customFormat="1" spans="30:33">
      <c r="AD984" s="11"/>
      <c r="AE984" s="11"/>
      <c r="AF984" s="11"/>
      <c r="AG984" s="10"/>
    </row>
    <row r="985" s="7" customFormat="1" spans="30:33">
      <c r="AD985" s="11"/>
      <c r="AE985" s="11"/>
      <c r="AF985" s="11"/>
      <c r="AG985" s="10"/>
    </row>
    <row r="986" s="7" customFormat="1" spans="30:33">
      <c r="AD986" s="11"/>
      <c r="AE986" s="11"/>
      <c r="AF986" s="11"/>
      <c r="AG986" s="10"/>
    </row>
    <row r="987" s="7" customFormat="1" spans="30:33">
      <c r="AD987" s="11"/>
      <c r="AE987" s="11"/>
      <c r="AF987" s="11"/>
      <c r="AG987" s="10"/>
    </row>
    <row r="988" s="7" customFormat="1" spans="30:33">
      <c r="AD988" s="11"/>
      <c r="AE988" s="11"/>
      <c r="AF988" s="11"/>
      <c r="AG988" s="10"/>
    </row>
    <row r="989" s="7" customFormat="1" spans="30:33">
      <c r="AD989" s="8"/>
      <c r="AE989" s="8"/>
      <c r="AF989" s="8"/>
      <c r="AG989" s="10"/>
    </row>
    <row r="990" s="7" customFormat="1" spans="30:33">
      <c r="AD990" s="8"/>
      <c r="AE990" s="8"/>
      <c r="AF990" s="8"/>
      <c r="AG990" s="10"/>
    </row>
    <row r="991" s="7" customFormat="1" spans="30:33">
      <c r="AD991" s="8"/>
      <c r="AE991" s="8"/>
      <c r="AF991" s="8"/>
      <c r="AG991" s="10"/>
    </row>
    <row r="992" s="7" customFormat="1" spans="30:33">
      <c r="AD992" s="11"/>
      <c r="AE992" s="11"/>
      <c r="AF992" s="11"/>
      <c r="AG992" s="10"/>
    </row>
    <row r="993" s="7" customFormat="1" spans="30:33">
      <c r="AD993" s="11"/>
      <c r="AE993" s="11"/>
      <c r="AF993" s="11"/>
      <c r="AG993" s="10"/>
    </row>
    <row r="994" s="7" customFormat="1" spans="30:33">
      <c r="AD994" s="11"/>
      <c r="AE994" s="11"/>
      <c r="AF994" s="11"/>
      <c r="AG994" s="10"/>
    </row>
    <row r="995" s="7" customFormat="1" spans="30:33">
      <c r="AD995" s="11"/>
      <c r="AE995" s="11"/>
      <c r="AF995" s="11"/>
      <c r="AG995" s="10"/>
    </row>
    <row r="996" s="7" customFormat="1" spans="30:33">
      <c r="AD996" s="11"/>
      <c r="AE996" s="11"/>
      <c r="AF996" s="11"/>
      <c r="AG996" s="10"/>
    </row>
    <row r="997" s="7" customFormat="1" spans="30:33">
      <c r="AD997" s="11"/>
      <c r="AE997" s="11"/>
      <c r="AF997" s="11"/>
      <c r="AG997" s="10"/>
    </row>
    <row r="998" s="7" customFormat="1" spans="30:33">
      <c r="AD998" s="11"/>
      <c r="AE998" s="11"/>
      <c r="AF998" s="11"/>
      <c r="AG998" s="10"/>
    </row>
    <row r="999" s="7" customFormat="1" spans="30:33">
      <c r="AD999" s="11"/>
      <c r="AE999" s="11"/>
      <c r="AF999" s="11"/>
      <c r="AG999" s="10"/>
    </row>
    <row r="1000" s="7" customFormat="1" spans="30:33">
      <c r="AD1000" s="11"/>
      <c r="AE1000" s="11"/>
      <c r="AF1000" s="11"/>
      <c r="AG1000" s="10"/>
    </row>
    <row r="1001" s="7" customFormat="1" spans="30:33">
      <c r="AD1001" s="11"/>
      <c r="AE1001" s="11"/>
      <c r="AF1001" s="11"/>
      <c r="AG1001" s="10"/>
    </row>
    <row r="1002" s="7" customFormat="1" spans="30:33">
      <c r="AD1002" s="11"/>
      <c r="AE1002" s="11"/>
      <c r="AF1002" s="11"/>
      <c r="AG1002" s="10"/>
    </row>
    <row r="1003" s="7" customFormat="1" spans="30:33">
      <c r="AD1003" s="11"/>
      <c r="AE1003" s="11"/>
      <c r="AF1003" s="11"/>
      <c r="AG1003" s="10"/>
    </row>
    <row r="1004" s="7" customFormat="1" spans="30:33">
      <c r="AD1004" s="11"/>
      <c r="AE1004" s="11"/>
      <c r="AF1004" s="11"/>
      <c r="AG1004" s="10"/>
    </row>
    <row r="1005" s="7" customFormat="1" spans="30:33">
      <c r="AD1005" s="11"/>
      <c r="AE1005" s="11"/>
      <c r="AF1005" s="11"/>
      <c r="AG1005" s="10"/>
    </row>
    <row r="1006" s="7" customFormat="1" spans="30:33">
      <c r="AD1006" s="11"/>
      <c r="AE1006" s="11"/>
      <c r="AF1006" s="11"/>
      <c r="AG1006" s="10"/>
    </row>
    <row r="1007" s="7" customFormat="1" spans="30:33">
      <c r="AD1007" s="11"/>
      <c r="AE1007" s="11"/>
      <c r="AF1007" s="11"/>
      <c r="AG1007" s="10"/>
    </row>
    <row r="1008" s="7" customFormat="1" spans="30:33">
      <c r="AD1008" s="8"/>
      <c r="AE1008" s="8"/>
      <c r="AF1008" s="8"/>
      <c r="AG1008" s="10"/>
    </row>
    <row r="1009" s="7" customFormat="1" spans="30:33">
      <c r="AD1009" s="8"/>
      <c r="AE1009" s="8"/>
      <c r="AF1009" s="8"/>
      <c r="AG1009" s="10"/>
    </row>
    <row r="1010" s="7" customFormat="1" spans="30:33">
      <c r="AD1010" s="11"/>
      <c r="AE1010" s="11"/>
      <c r="AF1010" s="11"/>
      <c r="AG1010" s="10"/>
    </row>
    <row r="1011" s="7" customFormat="1" spans="30:33">
      <c r="AD1011" s="11"/>
      <c r="AE1011" s="11"/>
      <c r="AF1011" s="11"/>
      <c r="AG1011" s="10"/>
    </row>
    <row r="1012" s="7" customFormat="1" spans="30:33">
      <c r="AD1012" s="11"/>
      <c r="AE1012" s="11"/>
      <c r="AF1012" s="11"/>
      <c r="AG1012" s="10"/>
    </row>
    <row r="1013" s="7" customFormat="1" spans="30:33">
      <c r="AD1013" s="11"/>
      <c r="AE1013" s="11"/>
      <c r="AF1013" s="11"/>
      <c r="AG1013" s="10"/>
    </row>
    <row r="1014" s="7" customFormat="1" spans="30:33">
      <c r="AD1014" s="11"/>
      <c r="AE1014" s="11"/>
      <c r="AF1014" s="11"/>
      <c r="AG1014" s="10"/>
    </row>
    <row r="1015" s="7" customFormat="1" spans="30:33">
      <c r="AD1015" s="8"/>
      <c r="AE1015" s="8"/>
      <c r="AF1015" s="8"/>
      <c r="AG1015" s="10"/>
    </row>
    <row r="1016" s="7" customFormat="1" spans="30:33">
      <c r="AD1016" s="8"/>
      <c r="AE1016" s="8"/>
      <c r="AF1016" s="8"/>
      <c r="AG1016" s="10"/>
    </row>
    <row r="1017" s="7" customFormat="1" spans="30:33">
      <c r="AD1017" s="11"/>
      <c r="AE1017" s="11"/>
      <c r="AF1017" s="11"/>
      <c r="AG1017" s="10"/>
    </row>
    <row r="1018" s="7" customFormat="1" spans="30:33">
      <c r="AD1018" s="11"/>
      <c r="AE1018" s="11"/>
      <c r="AF1018" s="11"/>
      <c r="AG1018" s="10"/>
    </row>
    <row r="1019" s="7" customFormat="1" spans="30:33">
      <c r="AD1019" s="11"/>
      <c r="AE1019" s="11"/>
      <c r="AF1019" s="11"/>
      <c r="AG1019" s="10"/>
    </row>
    <row r="1020" s="7" customFormat="1" spans="30:33">
      <c r="AD1020" s="11"/>
      <c r="AE1020" s="11"/>
      <c r="AF1020" s="11"/>
      <c r="AG1020" s="10"/>
    </row>
    <row r="1021" s="7" customFormat="1" spans="30:33">
      <c r="AD1021" s="11"/>
      <c r="AE1021" s="11"/>
      <c r="AF1021" s="11"/>
      <c r="AG1021" s="10"/>
    </row>
    <row r="1022" s="7" customFormat="1" spans="30:33">
      <c r="AD1022" s="11"/>
      <c r="AE1022" s="11"/>
      <c r="AF1022" s="11"/>
      <c r="AG1022" s="10"/>
    </row>
    <row r="1023" s="7" customFormat="1" spans="30:33">
      <c r="AD1023" s="8"/>
      <c r="AE1023" s="8"/>
      <c r="AF1023" s="8"/>
      <c r="AG1023" s="10"/>
    </row>
    <row r="1024" s="7" customFormat="1" spans="30:33">
      <c r="AD1024" s="8"/>
      <c r="AE1024" s="8"/>
      <c r="AF1024" s="8"/>
      <c r="AG1024" s="10"/>
    </row>
    <row r="1025" s="7" customFormat="1" spans="30:33">
      <c r="AD1025" s="8"/>
      <c r="AE1025" s="8"/>
      <c r="AF1025" s="8"/>
      <c r="AG1025" s="10"/>
    </row>
    <row r="1026" s="7" customFormat="1" spans="30:33">
      <c r="AD1026" s="8"/>
      <c r="AE1026" s="8"/>
      <c r="AF1026" s="8"/>
      <c r="AG1026" s="10"/>
    </row>
    <row r="1027" s="7" customFormat="1" spans="30:33">
      <c r="AD1027" s="8"/>
      <c r="AE1027" s="8"/>
      <c r="AF1027" s="8"/>
      <c r="AG1027" s="10"/>
    </row>
    <row r="1028" s="7" customFormat="1" spans="30:33">
      <c r="AD1028" s="8"/>
      <c r="AE1028" s="8"/>
      <c r="AF1028" s="8"/>
      <c r="AG1028" s="10"/>
    </row>
    <row r="1029" s="7" customFormat="1" spans="30:33">
      <c r="AD1029" s="8"/>
      <c r="AE1029" s="8"/>
      <c r="AF1029" s="8"/>
      <c r="AG1029" s="10"/>
    </row>
    <row r="1030" s="7" customFormat="1" spans="30:33">
      <c r="AD1030" s="8"/>
      <c r="AE1030" s="8"/>
      <c r="AF1030" s="8"/>
      <c r="AG1030" s="10"/>
    </row>
    <row r="1031" s="7" customFormat="1" spans="30:33">
      <c r="AD1031" s="8"/>
      <c r="AE1031" s="8"/>
      <c r="AF1031" s="8"/>
      <c r="AG1031" s="10"/>
    </row>
    <row r="1032" s="7" customFormat="1" spans="30:33">
      <c r="AD1032" s="8"/>
      <c r="AE1032" s="8"/>
      <c r="AF1032" s="8"/>
      <c r="AG1032" s="10"/>
    </row>
    <row r="1033" s="7" customFormat="1" spans="30:33">
      <c r="AD1033" s="8"/>
      <c r="AE1033" s="8"/>
      <c r="AF1033" s="8"/>
      <c r="AG1033" s="10"/>
    </row>
    <row r="1034" s="7" customFormat="1" spans="30:33">
      <c r="AD1034" s="8"/>
      <c r="AE1034" s="8"/>
      <c r="AF1034" s="8"/>
      <c r="AG1034" s="10"/>
    </row>
    <row r="1035" s="7" customFormat="1" spans="30:33">
      <c r="AD1035" s="8"/>
      <c r="AE1035" s="8"/>
      <c r="AF1035" s="8"/>
      <c r="AG1035" s="10"/>
    </row>
    <row r="1036" s="7" customFormat="1" spans="30:33">
      <c r="AD1036" s="8"/>
      <c r="AE1036" s="8"/>
      <c r="AF1036" s="8"/>
      <c r="AG1036" s="10"/>
    </row>
    <row r="1037" s="7" customFormat="1" spans="30:33">
      <c r="AD1037" s="8"/>
      <c r="AE1037" s="8"/>
      <c r="AF1037" s="8"/>
      <c r="AG1037" s="10"/>
    </row>
    <row r="1038" s="7" customFormat="1" spans="30:33">
      <c r="AD1038" s="8"/>
      <c r="AE1038" s="8"/>
      <c r="AF1038" s="8"/>
      <c r="AG1038" s="10"/>
    </row>
    <row r="1039" s="7" customFormat="1" spans="30:33">
      <c r="AD1039" s="8"/>
      <c r="AE1039" s="8"/>
      <c r="AF1039" s="8"/>
      <c r="AG1039" s="10"/>
    </row>
    <row r="1040" s="7" customFormat="1" spans="30:33">
      <c r="AD1040" s="8"/>
      <c r="AE1040" s="8"/>
      <c r="AF1040" s="8"/>
      <c r="AG1040" s="10"/>
    </row>
    <row r="1041" s="7" customFormat="1" spans="30:33">
      <c r="AD1041" s="8"/>
      <c r="AE1041" s="8"/>
      <c r="AF1041" s="8"/>
      <c r="AG1041" s="10"/>
    </row>
    <row r="1042" s="7" customFormat="1" spans="30:33">
      <c r="AD1042" s="8"/>
      <c r="AE1042" s="8"/>
      <c r="AF1042" s="8"/>
      <c r="AG1042" s="10"/>
    </row>
    <row r="1043" s="7" customFormat="1" spans="30:33">
      <c r="AD1043" s="8"/>
      <c r="AE1043" s="8"/>
      <c r="AF1043" s="8"/>
      <c r="AG1043" s="10"/>
    </row>
    <row r="1044" s="7" customFormat="1" spans="30:33">
      <c r="AD1044" s="8"/>
      <c r="AE1044" s="8"/>
      <c r="AF1044" s="8"/>
      <c r="AG1044" s="10"/>
    </row>
    <row r="1045" s="7" customFormat="1" spans="30:33">
      <c r="AD1045" s="8"/>
      <c r="AE1045" s="8"/>
      <c r="AF1045" s="8"/>
      <c r="AG1045" s="10"/>
    </row>
    <row r="1046" s="7" customFormat="1" spans="30:33">
      <c r="AD1046" s="8"/>
      <c r="AE1046" s="8"/>
      <c r="AF1046" s="8"/>
      <c r="AG1046" s="10"/>
    </row>
    <row r="1047" s="7" customFormat="1" spans="30:33">
      <c r="AD1047" s="8"/>
      <c r="AE1047" s="8"/>
      <c r="AF1047" s="8"/>
      <c r="AG1047" s="10"/>
    </row>
    <row r="1048" s="7" customFormat="1" spans="30:33">
      <c r="AD1048" s="8"/>
      <c r="AE1048" s="8"/>
      <c r="AF1048" s="8"/>
      <c r="AG1048" s="10"/>
    </row>
    <row r="1049" s="7" customFormat="1" spans="30:33">
      <c r="AD1049" s="8"/>
      <c r="AE1049" s="8"/>
      <c r="AF1049" s="8"/>
      <c r="AG1049" s="10"/>
    </row>
    <row r="1050" s="7" customFormat="1" spans="30:33">
      <c r="AD1050" s="8"/>
      <c r="AE1050" s="8"/>
      <c r="AF1050" s="8"/>
      <c r="AG1050" s="10"/>
    </row>
    <row r="1051" s="7" customFormat="1" spans="30:33">
      <c r="AD1051" s="8"/>
      <c r="AE1051" s="8"/>
      <c r="AF1051" s="8"/>
      <c r="AG1051" s="10"/>
    </row>
    <row r="1052" s="7" customFormat="1" spans="30:33">
      <c r="AD1052" s="8"/>
      <c r="AE1052" s="8"/>
      <c r="AF1052" s="8"/>
      <c r="AG1052" s="10"/>
    </row>
    <row r="1053" s="7" customFormat="1" spans="30:33">
      <c r="AD1053" s="11"/>
      <c r="AE1053" s="11"/>
      <c r="AF1053" s="11"/>
      <c r="AG1053" s="10"/>
    </row>
    <row r="1054" s="7" customFormat="1" spans="30:33">
      <c r="AD1054" s="11"/>
      <c r="AE1054" s="11"/>
      <c r="AF1054" s="11"/>
      <c r="AG1054" s="10"/>
    </row>
    <row r="1055" s="7" customFormat="1" spans="30:33">
      <c r="AD1055" s="11"/>
      <c r="AE1055" s="11"/>
      <c r="AF1055" s="11"/>
      <c r="AG1055" s="10"/>
    </row>
    <row r="1056" s="7" customFormat="1" spans="30:33">
      <c r="AD1056" s="11"/>
      <c r="AE1056" s="11"/>
      <c r="AF1056" s="11"/>
      <c r="AG1056" s="10"/>
    </row>
    <row r="1057" s="7" customFormat="1" spans="30:33">
      <c r="AD1057" s="8"/>
      <c r="AE1057" s="8"/>
      <c r="AF1057" s="8"/>
      <c r="AG1057" s="10"/>
    </row>
    <row r="1058" s="7" customFormat="1" spans="30:33">
      <c r="AD1058" s="8"/>
      <c r="AE1058" s="8"/>
      <c r="AF1058" s="8"/>
      <c r="AG1058" s="10"/>
    </row>
    <row r="1059" s="7" customFormat="1" spans="30:33">
      <c r="AD1059" s="8"/>
      <c r="AE1059" s="8"/>
      <c r="AF1059" s="8"/>
      <c r="AG1059" s="10"/>
    </row>
    <row r="1060" s="7" customFormat="1" spans="30:33">
      <c r="AD1060" s="8"/>
      <c r="AE1060" s="8"/>
      <c r="AF1060" s="8"/>
      <c r="AG1060" s="10"/>
    </row>
    <row r="1061" s="7" customFormat="1" spans="30:33">
      <c r="AD1061" s="8"/>
      <c r="AE1061" s="8"/>
      <c r="AF1061" s="8"/>
      <c r="AG1061" s="10"/>
    </row>
    <row r="1062" s="7" customFormat="1" spans="30:33">
      <c r="AD1062" s="8"/>
      <c r="AE1062" s="8"/>
      <c r="AF1062" s="8"/>
      <c r="AG1062" s="10"/>
    </row>
    <row r="1063" s="7" customFormat="1" spans="30:33">
      <c r="AD1063" s="8"/>
      <c r="AE1063" s="8"/>
      <c r="AF1063" s="8"/>
      <c r="AG1063" s="10"/>
    </row>
    <row r="1064" s="7" customFormat="1" spans="30:33">
      <c r="AD1064" s="8"/>
      <c r="AE1064" s="8"/>
      <c r="AF1064" s="8"/>
      <c r="AG1064" s="10"/>
    </row>
    <row r="1065" s="7" customFormat="1" spans="30:33">
      <c r="AD1065" s="8"/>
      <c r="AE1065" s="8"/>
      <c r="AF1065" s="8"/>
      <c r="AG1065" s="10"/>
    </row>
    <row r="1066" s="7" customFormat="1" spans="30:33">
      <c r="AD1066" s="8"/>
      <c r="AE1066" s="8"/>
      <c r="AF1066" s="8"/>
      <c r="AG1066" s="10"/>
    </row>
    <row r="1067" s="7" customFormat="1" spans="30:33">
      <c r="AD1067" s="11"/>
      <c r="AE1067" s="11"/>
      <c r="AF1067" s="11"/>
      <c r="AG1067" s="10"/>
    </row>
    <row r="1068" s="7" customFormat="1" spans="30:33">
      <c r="AD1068" s="11"/>
      <c r="AE1068" s="11"/>
      <c r="AF1068" s="11"/>
      <c r="AG1068" s="10"/>
    </row>
    <row r="1069" s="7" customFormat="1" spans="30:33">
      <c r="AD1069" s="11"/>
      <c r="AE1069" s="11"/>
      <c r="AF1069" s="11"/>
      <c r="AG1069" s="10"/>
    </row>
    <row r="1070" s="7" customFormat="1" spans="30:33">
      <c r="AD1070" s="11"/>
      <c r="AE1070" s="11"/>
      <c r="AF1070" s="11"/>
      <c r="AG1070" s="10"/>
    </row>
    <row r="1071" s="7" customFormat="1" spans="30:33">
      <c r="AD1071" s="11"/>
      <c r="AE1071" s="11"/>
      <c r="AF1071" s="11"/>
      <c r="AG1071" s="10"/>
    </row>
    <row r="1072" s="7" customFormat="1" spans="30:33">
      <c r="AD1072" s="8"/>
      <c r="AE1072" s="8"/>
      <c r="AF1072" s="8"/>
      <c r="AG1072" s="10"/>
    </row>
    <row r="1073" s="7" customFormat="1" spans="30:33">
      <c r="AD1073" s="8"/>
      <c r="AE1073" s="8"/>
      <c r="AF1073" s="8"/>
      <c r="AG1073" s="10"/>
    </row>
    <row r="1074" s="7" customFormat="1" spans="30:33">
      <c r="AD1074" s="8"/>
      <c r="AE1074" s="8"/>
      <c r="AF1074" s="8"/>
      <c r="AG1074" s="10"/>
    </row>
    <row r="1075" s="7" customFormat="1" spans="30:33">
      <c r="AD1075" s="8"/>
      <c r="AE1075" s="8"/>
      <c r="AF1075" s="8"/>
      <c r="AG1075" s="10"/>
    </row>
    <row r="1076" s="7" customFormat="1" spans="30:33">
      <c r="AD1076" s="8"/>
      <c r="AE1076" s="8"/>
      <c r="AF1076" s="8"/>
      <c r="AG1076" s="10"/>
    </row>
    <row r="1077" s="7" customFormat="1" spans="30:33">
      <c r="AD1077" s="8"/>
      <c r="AE1077" s="8"/>
      <c r="AF1077" s="8"/>
      <c r="AG1077" s="10"/>
    </row>
    <row r="1078" s="7" customFormat="1" spans="30:33">
      <c r="AD1078" s="8"/>
      <c r="AE1078" s="8"/>
      <c r="AF1078" s="8"/>
      <c r="AG1078" s="10"/>
    </row>
    <row r="1079" s="7" customFormat="1" spans="30:33">
      <c r="AD1079" s="8"/>
      <c r="AE1079" s="8"/>
      <c r="AF1079" s="8"/>
      <c r="AG1079" s="10"/>
    </row>
    <row r="1080" s="7" customFormat="1" spans="30:33">
      <c r="AD1080" s="8"/>
      <c r="AE1080" s="8"/>
      <c r="AF1080" s="8"/>
      <c r="AG1080" s="10"/>
    </row>
    <row r="1081" s="7" customFormat="1" spans="30:33">
      <c r="AD1081" s="8"/>
      <c r="AE1081" s="8"/>
      <c r="AF1081" s="8"/>
      <c r="AG1081" s="10"/>
    </row>
    <row r="1082" s="7" customFormat="1" spans="30:33">
      <c r="AD1082" s="8"/>
      <c r="AE1082" s="8"/>
      <c r="AF1082" s="8"/>
      <c r="AG1082" s="10"/>
    </row>
    <row r="1083" s="7" customFormat="1" spans="30:33">
      <c r="AD1083" s="8"/>
      <c r="AE1083" s="8"/>
      <c r="AF1083" s="8"/>
      <c r="AG1083" s="10"/>
    </row>
    <row r="1084" s="7" customFormat="1" spans="30:33">
      <c r="AD1084" s="8"/>
      <c r="AE1084" s="8"/>
      <c r="AF1084" s="8"/>
      <c r="AG1084" s="10"/>
    </row>
    <row r="1085" s="7" customFormat="1" spans="30:33">
      <c r="AD1085" s="8"/>
      <c r="AE1085" s="8"/>
      <c r="AF1085" s="8"/>
      <c r="AG1085" s="10"/>
    </row>
    <row r="1086" s="7" customFormat="1" spans="30:33">
      <c r="AD1086" s="8"/>
      <c r="AE1086" s="8"/>
      <c r="AF1086" s="8"/>
      <c r="AG1086" s="10"/>
    </row>
    <row r="1087" s="7" customFormat="1" spans="30:33">
      <c r="AD1087" s="8"/>
      <c r="AE1087" s="8"/>
      <c r="AF1087" s="8"/>
      <c r="AG1087" s="10"/>
    </row>
    <row r="1088" s="7" customFormat="1" spans="30:33">
      <c r="AD1088" s="8"/>
      <c r="AE1088" s="8"/>
      <c r="AF1088" s="8"/>
      <c r="AG1088" s="10"/>
    </row>
    <row r="1089" s="7" customFormat="1" spans="30:33">
      <c r="AD1089" s="11"/>
      <c r="AE1089" s="11"/>
      <c r="AF1089" s="11"/>
      <c r="AG1089" s="10"/>
    </row>
    <row r="1090" s="7" customFormat="1" spans="30:33">
      <c r="AD1090" s="11"/>
      <c r="AE1090" s="11"/>
      <c r="AF1090" s="11"/>
      <c r="AG1090" s="10"/>
    </row>
    <row r="1091" s="7" customFormat="1" spans="30:33">
      <c r="AD1091" s="11"/>
      <c r="AE1091" s="11"/>
      <c r="AF1091" s="11"/>
      <c r="AG1091" s="10"/>
    </row>
    <row r="1092" s="7" customFormat="1" spans="30:33">
      <c r="AD1092" s="11"/>
      <c r="AE1092" s="11"/>
      <c r="AF1092" s="11"/>
      <c r="AG1092" s="10"/>
    </row>
    <row r="1093" s="7" customFormat="1" spans="30:33">
      <c r="AD1093" s="11"/>
      <c r="AE1093" s="11"/>
      <c r="AF1093" s="11"/>
      <c r="AG1093" s="10"/>
    </row>
    <row r="1094" s="7" customFormat="1" spans="30:33">
      <c r="AD1094" s="11"/>
      <c r="AE1094" s="11"/>
      <c r="AF1094" s="11"/>
      <c r="AG1094" s="10"/>
    </row>
    <row r="1095" s="7" customFormat="1" spans="30:33">
      <c r="AD1095" s="11"/>
      <c r="AE1095" s="11"/>
      <c r="AF1095" s="11"/>
      <c r="AG1095" s="10"/>
    </row>
    <row r="1096" s="7" customFormat="1" spans="30:33">
      <c r="AD1096" s="11"/>
      <c r="AE1096" s="11"/>
      <c r="AF1096" s="11"/>
      <c r="AG1096" s="10"/>
    </row>
    <row r="1097" s="7" customFormat="1" spans="30:33">
      <c r="AD1097" s="11"/>
      <c r="AE1097" s="11"/>
      <c r="AF1097" s="11"/>
      <c r="AG1097" s="10"/>
    </row>
    <row r="1098" s="7" customFormat="1" spans="30:33">
      <c r="AD1098" s="11"/>
      <c r="AE1098" s="11"/>
      <c r="AF1098" s="11"/>
      <c r="AG1098" s="10"/>
    </row>
    <row r="1099" s="7" customFormat="1" spans="30:33">
      <c r="AD1099" s="11"/>
      <c r="AE1099" s="11"/>
      <c r="AF1099" s="11"/>
      <c r="AG1099" s="10"/>
    </row>
    <row r="1100" s="7" customFormat="1" spans="30:33">
      <c r="AD1100" s="11"/>
      <c r="AE1100" s="11"/>
      <c r="AF1100" s="11"/>
      <c r="AG1100" s="10"/>
    </row>
    <row r="1101" s="7" customFormat="1" spans="30:33">
      <c r="AD1101" s="11"/>
      <c r="AE1101" s="11"/>
      <c r="AF1101" s="11"/>
      <c r="AG1101" s="10"/>
    </row>
    <row r="1102" s="7" customFormat="1" spans="30:33">
      <c r="AD1102" s="11"/>
      <c r="AE1102" s="11"/>
      <c r="AF1102" s="11"/>
      <c r="AG1102" s="10"/>
    </row>
    <row r="1103" s="7" customFormat="1" spans="30:33">
      <c r="AD1103" s="11"/>
      <c r="AE1103" s="11"/>
      <c r="AF1103" s="11"/>
      <c r="AG1103" s="10"/>
    </row>
    <row r="1104" s="7" customFormat="1" spans="30:33">
      <c r="AD1104" s="11"/>
      <c r="AE1104" s="11"/>
      <c r="AF1104" s="11"/>
      <c r="AG1104" s="10"/>
    </row>
    <row r="1105" s="7" customFormat="1" spans="30:33">
      <c r="AD1105" s="11"/>
      <c r="AE1105" s="11"/>
      <c r="AF1105" s="11"/>
      <c r="AG1105" s="10"/>
    </row>
    <row r="1106" s="7" customFormat="1" spans="30:33">
      <c r="AD1106" s="11"/>
      <c r="AE1106" s="11"/>
      <c r="AF1106" s="11"/>
      <c r="AG1106" s="10"/>
    </row>
    <row r="1107" s="7" customFormat="1" spans="30:33">
      <c r="AD1107" s="8"/>
      <c r="AE1107" s="8"/>
      <c r="AF1107" s="8"/>
      <c r="AG1107" s="10"/>
    </row>
    <row r="1108" s="7" customFormat="1" spans="30:33">
      <c r="AD1108" s="8"/>
      <c r="AE1108" s="8"/>
      <c r="AF1108" s="8"/>
      <c r="AG1108" s="10"/>
    </row>
    <row r="1109" s="7" customFormat="1" spans="30:33">
      <c r="AD1109" s="8"/>
      <c r="AE1109" s="8"/>
      <c r="AF1109" s="8"/>
      <c r="AG1109" s="10"/>
    </row>
    <row r="1110" s="7" customFormat="1" spans="30:33">
      <c r="AD1110" s="8"/>
      <c r="AE1110" s="8"/>
      <c r="AF1110" s="8"/>
      <c r="AG1110" s="10"/>
    </row>
    <row r="1111" s="7" customFormat="1" spans="30:33">
      <c r="AD1111" s="8"/>
      <c r="AE1111" s="8"/>
      <c r="AF1111" s="8"/>
      <c r="AG1111" s="10"/>
    </row>
    <row r="1112" s="7" customFormat="1" spans="30:33">
      <c r="AD1112" s="8"/>
      <c r="AE1112" s="8"/>
      <c r="AF1112" s="8"/>
      <c r="AG1112" s="10"/>
    </row>
    <row r="1113" s="7" customFormat="1" spans="30:33">
      <c r="AD1113" s="8"/>
      <c r="AE1113" s="8"/>
      <c r="AF1113" s="8"/>
      <c r="AG1113" s="10"/>
    </row>
    <row r="1114" s="7" customFormat="1" spans="30:33">
      <c r="AD1114" s="8"/>
      <c r="AE1114" s="8"/>
      <c r="AF1114" s="8"/>
      <c r="AG1114" s="10"/>
    </row>
    <row r="1115" s="7" customFormat="1" spans="30:33">
      <c r="AD1115" s="8"/>
      <c r="AE1115" s="8"/>
      <c r="AF1115" s="8"/>
      <c r="AG1115" s="10"/>
    </row>
    <row r="1116" s="7" customFormat="1" spans="30:33">
      <c r="AD1116" s="8"/>
      <c r="AE1116" s="8"/>
      <c r="AF1116" s="8"/>
      <c r="AG1116" s="10"/>
    </row>
    <row r="1117" s="7" customFormat="1" spans="30:33">
      <c r="AD1117" s="8"/>
      <c r="AE1117" s="8"/>
      <c r="AF1117" s="8"/>
      <c r="AG1117" s="10"/>
    </row>
    <row r="1118" s="7" customFormat="1" spans="30:33">
      <c r="AD1118" s="8"/>
      <c r="AE1118" s="8"/>
      <c r="AF1118" s="8"/>
      <c r="AG1118" s="10"/>
    </row>
    <row r="1119" s="7" customFormat="1" spans="30:33">
      <c r="AD1119" s="8"/>
      <c r="AE1119" s="8"/>
      <c r="AF1119" s="8"/>
      <c r="AG1119" s="10"/>
    </row>
    <row r="1120" s="7" customFormat="1" spans="30:33">
      <c r="AD1120" s="8"/>
      <c r="AE1120" s="8"/>
      <c r="AF1120" s="8"/>
      <c r="AG1120" s="10"/>
    </row>
    <row r="1121" s="7" customFormat="1" spans="30:33">
      <c r="AD1121" s="8"/>
      <c r="AE1121" s="8"/>
      <c r="AF1121" s="8"/>
      <c r="AG1121" s="10"/>
    </row>
    <row r="1122" s="7" customFormat="1" spans="30:33">
      <c r="AD1122" s="8"/>
      <c r="AE1122" s="8"/>
      <c r="AF1122" s="8"/>
      <c r="AG1122" s="10"/>
    </row>
    <row r="1123" s="7" customFormat="1" spans="30:33">
      <c r="AD1123" s="8"/>
      <c r="AE1123" s="8"/>
      <c r="AF1123" s="8"/>
      <c r="AG1123" s="10"/>
    </row>
    <row r="1124" s="7" customFormat="1" spans="30:33">
      <c r="AD1124" s="8"/>
      <c r="AE1124" s="8"/>
      <c r="AF1124" s="8"/>
      <c r="AG1124" s="10"/>
    </row>
    <row r="1125" s="7" customFormat="1" spans="30:33">
      <c r="AD1125" s="8"/>
      <c r="AE1125" s="8"/>
      <c r="AF1125" s="8"/>
      <c r="AG1125" s="10"/>
    </row>
    <row r="1126" s="7" customFormat="1" spans="30:33">
      <c r="AD1126" s="8"/>
      <c r="AE1126" s="8"/>
      <c r="AF1126" s="8"/>
      <c r="AG1126" s="10"/>
    </row>
    <row r="1127" s="7" customFormat="1" spans="30:33">
      <c r="AD1127" s="8"/>
      <c r="AE1127" s="8"/>
      <c r="AF1127" s="8"/>
      <c r="AG1127" s="10"/>
    </row>
    <row r="1128" s="7" customFormat="1" spans="30:33">
      <c r="AD1128" s="8"/>
      <c r="AE1128" s="8"/>
      <c r="AF1128" s="8"/>
      <c r="AG1128" s="10"/>
    </row>
    <row r="1129" s="7" customFormat="1" spans="30:33">
      <c r="AD1129" s="8"/>
      <c r="AE1129" s="8"/>
      <c r="AF1129" s="8"/>
      <c r="AG1129" s="10"/>
    </row>
    <row r="1130" s="7" customFormat="1" spans="30:33">
      <c r="AD1130" s="8"/>
      <c r="AE1130" s="8"/>
      <c r="AF1130" s="8"/>
      <c r="AG1130" s="10"/>
    </row>
    <row r="1131" s="7" customFormat="1" spans="30:33">
      <c r="AD1131" s="8"/>
      <c r="AE1131" s="8"/>
      <c r="AF1131" s="8"/>
      <c r="AG1131" s="10"/>
    </row>
    <row r="1132" s="7" customFormat="1" spans="30:33">
      <c r="AD1132" s="8"/>
      <c r="AE1132" s="8"/>
      <c r="AF1132" s="8"/>
      <c r="AG1132" s="10"/>
    </row>
    <row r="1133" s="7" customFormat="1" spans="30:33">
      <c r="AD1133" s="8"/>
      <c r="AE1133" s="8"/>
      <c r="AF1133" s="8"/>
      <c r="AG1133" s="10"/>
    </row>
    <row r="1134" s="7" customFormat="1" spans="30:33">
      <c r="AD1134" s="8"/>
      <c r="AE1134" s="8"/>
      <c r="AF1134" s="8"/>
      <c r="AG1134" s="10"/>
    </row>
    <row r="1135" s="7" customFormat="1" spans="30:33">
      <c r="AD1135" s="8"/>
      <c r="AE1135" s="8"/>
      <c r="AF1135" s="8"/>
      <c r="AG1135" s="10"/>
    </row>
    <row r="1136" s="7" customFormat="1" spans="30:33">
      <c r="AD1136" s="8"/>
      <c r="AE1136" s="8"/>
      <c r="AF1136" s="8"/>
      <c r="AG1136" s="10"/>
    </row>
    <row r="1137" s="7" customFormat="1" spans="30:33">
      <c r="AD1137" s="8"/>
      <c r="AE1137" s="8"/>
      <c r="AF1137" s="8"/>
      <c r="AG1137" s="10"/>
    </row>
    <row r="1138" s="7" customFormat="1" spans="30:33">
      <c r="AD1138" s="8"/>
      <c r="AE1138" s="8"/>
      <c r="AF1138" s="8"/>
      <c r="AG1138" s="10"/>
    </row>
    <row r="1139" s="7" customFormat="1" spans="30:33">
      <c r="AD1139" s="8"/>
      <c r="AE1139" s="8"/>
      <c r="AF1139" s="8"/>
      <c r="AG1139" s="10"/>
    </row>
    <row r="1140" s="7" customFormat="1" spans="30:33">
      <c r="AD1140" s="8"/>
      <c r="AE1140" s="8"/>
      <c r="AF1140" s="8"/>
      <c r="AG1140" s="10"/>
    </row>
    <row r="1141" s="7" customFormat="1" spans="30:33">
      <c r="AD1141" s="8"/>
      <c r="AE1141" s="8"/>
      <c r="AF1141" s="8"/>
      <c r="AG1141" s="10"/>
    </row>
    <row r="1142" s="7" customFormat="1" spans="30:33">
      <c r="AD1142" s="8"/>
      <c r="AE1142" s="8"/>
      <c r="AF1142" s="8"/>
      <c r="AG1142" s="10"/>
    </row>
    <row r="1143" s="7" customFormat="1" spans="30:33">
      <c r="AD1143" s="8"/>
      <c r="AE1143" s="8"/>
      <c r="AF1143" s="8"/>
      <c r="AG1143" s="10"/>
    </row>
    <row r="1144" s="7" customFormat="1" spans="30:33">
      <c r="AD1144" s="8"/>
      <c r="AE1144" s="8"/>
      <c r="AF1144" s="8"/>
      <c r="AG1144" s="10"/>
    </row>
    <row r="1145" s="7" customFormat="1" spans="30:33">
      <c r="AD1145" s="8"/>
      <c r="AE1145" s="8"/>
      <c r="AF1145" s="8"/>
      <c r="AG1145" s="10"/>
    </row>
    <row r="1146" s="7" customFormat="1" spans="30:33">
      <c r="AD1146" s="8"/>
      <c r="AE1146" s="8"/>
      <c r="AF1146" s="8"/>
      <c r="AG1146" s="10"/>
    </row>
    <row r="1147" s="7" customFormat="1" spans="30:33">
      <c r="AD1147" s="8"/>
      <c r="AE1147" s="8"/>
      <c r="AF1147" s="8"/>
      <c r="AG1147" s="10"/>
    </row>
    <row r="1148" s="7" customFormat="1" spans="30:33">
      <c r="AD1148" s="8"/>
      <c r="AE1148" s="8"/>
      <c r="AF1148" s="8"/>
      <c r="AG1148" s="10"/>
    </row>
    <row r="1149" s="7" customFormat="1" spans="30:33">
      <c r="AD1149" s="8"/>
      <c r="AE1149" s="8"/>
      <c r="AF1149" s="8"/>
      <c r="AG1149" s="10"/>
    </row>
    <row r="1150" s="7" customFormat="1" spans="30:33">
      <c r="AD1150" s="8"/>
      <c r="AE1150" s="8"/>
      <c r="AF1150" s="8"/>
      <c r="AG1150" s="10"/>
    </row>
    <row r="1151" s="7" customFormat="1" spans="30:33">
      <c r="AD1151" s="8"/>
      <c r="AE1151" s="8"/>
      <c r="AF1151" s="8"/>
      <c r="AG1151" s="10"/>
    </row>
    <row r="1152" s="7" customFormat="1" spans="30:33">
      <c r="AD1152" s="8"/>
      <c r="AE1152" s="8"/>
      <c r="AF1152" s="8"/>
      <c r="AG1152" s="10"/>
    </row>
    <row r="1153" s="7" customFormat="1" spans="30:33">
      <c r="AD1153" s="8"/>
      <c r="AE1153" s="8"/>
      <c r="AF1153" s="8"/>
      <c r="AG1153" s="10"/>
    </row>
    <row r="1154" s="7" customFormat="1" spans="30:33">
      <c r="AD1154" s="8"/>
      <c r="AE1154" s="8"/>
      <c r="AF1154" s="8"/>
      <c r="AG1154" s="10"/>
    </row>
    <row r="1155" s="7" customFormat="1" spans="30:33">
      <c r="AD1155" s="8"/>
      <c r="AE1155" s="8"/>
      <c r="AF1155" s="8"/>
      <c r="AG1155" s="10"/>
    </row>
    <row r="1156" s="7" customFormat="1" spans="30:33">
      <c r="AD1156" s="8"/>
      <c r="AE1156" s="8"/>
      <c r="AF1156" s="8"/>
      <c r="AG1156" s="10"/>
    </row>
    <row r="1157" s="7" customFormat="1" spans="30:33">
      <c r="AD1157" s="8"/>
      <c r="AE1157" s="8"/>
      <c r="AF1157" s="8"/>
      <c r="AG1157" s="10"/>
    </row>
    <row r="1158" s="7" customFormat="1" spans="30:33">
      <c r="AD1158" s="8"/>
      <c r="AE1158" s="8"/>
      <c r="AF1158" s="8"/>
      <c r="AG1158" s="10"/>
    </row>
    <row r="1159" s="7" customFormat="1" spans="30:33">
      <c r="AD1159" s="8"/>
      <c r="AE1159" s="8"/>
      <c r="AF1159" s="8"/>
      <c r="AG1159" s="10"/>
    </row>
    <row r="1160" s="7" customFormat="1" spans="30:33">
      <c r="AD1160" s="8"/>
      <c r="AE1160" s="8"/>
      <c r="AF1160" s="8"/>
      <c r="AG1160" s="10"/>
    </row>
    <row r="1161" s="7" customFormat="1" spans="30:33">
      <c r="AD1161" s="8"/>
      <c r="AE1161" s="8"/>
      <c r="AF1161" s="8"/>
      <c r="AG1161" s="10"/>
    </row>
    <row r="1162" s="7" customFormat="1" spans="30:33">
      <c r="AD1162" s="8"/>
      <c r="AE1162" s="8"/>
      <c r="AF1162" s="8"/>
      <c r="AG1162" s="10"/>
    </row>
    <row r="1163" s="7" customFormat="1" spans="30:33">
      <c r="AD1163" s="8"/>
      <c r="AE1163" s="8"/>
      <c r="AF1163" s="8"/>
      <c r="AG1163" s="10"/>
    </row>
    <row r="1164" s="7" customFormat="1" spans="30:33">
      <c r="AD1164" s="8"/>
      <c r="AE1164" s="8"/>
      <c r="AF1164" s="8"/>
      <c r="AG1164" s="10"/>
    </row>
    <row r="1165" s="7" customFormat="1" spans="30:33">
      <c r="AD1165" s="8"/>
      <c r="AE1165" s="8"/>
      <c r="AF1165" s="8"/>
      <c r="AG1165" s="10"/>
    </row>
    <row r="1166" s="7" customFormat="1" spans="30:33">
      <c r="AD1166" s="8"/>
      <c r="AE1166" s="8"/>
      <c r="AF1166" s="8"/>
      <c r="AG1166" s="10"/>
    </row>
    <row r="1167" s="7" customFormat="1" spans="30:33">
      <c r="AD1167" s="8"/>
      <c r="AE1167" s="8"/>
      <c r="AF1167" s="8"/>
      <c r="AG1167" s="10"/>
    </row>
    <row r="1168" s="7" customFormat="1" spans="30:33">
      <c r="AD1168" s="8"/>
      <c r="AE1168" s="8"/>
      <c r="AF1168" s="8"/>
      <c r="AG1168" s="10"/>
    </row>
    <row r="1169" s="7" customFormat="1" spans="30:33">
      <c r="AD1169" s="8"/>
      <c r="AE1169" s="8"/>
      <c r="AF1169" s="8"/>
      <c r="AG1169" s="10"/>
    </row>
    <row r="1170" s="7" customFormat="1" spans="30:33">
      <c r="AD1170" s="8"/>
      <c r="AE1170" s="8"/>
      <c r="AF1170" s="8"/>
      <c r="AG1170" s="10"/>
    </row>
    <row r="1171" s="7" customFormat="1" spans="30:33">
      <c r="AD1171" s="8"/>
      <c r="AE1171" s="8"/>
      <c r="AF1171" s="8"/>
      <c r="AG1171" s="10"/>
    </row>
    <row r="1172" s="7" customFormat="1" spans="30:33">
      <c r="AD1172" s="8"/>
      <c r="AE1172" s="8"/>
      <c r="AF1172" s="8"/>
      <c r="AG1172" s="10"/>
    </row>
    <row r="1173" s="7" customFormat="1" spans="30:33">
      <c r="AD1173" s="8"/>
      <c r="AE1173" s="8"/>
      <c r="AF1173" s="8"/>
      <c r="AG1173" s="10"/>
    </row>
    <row r="1174" s="7" customFormat="1" spans="30:33">
      <c r="AD1174" s="8"/>
      <c r="AE1174" s="8"/>
      <c r="AF1174" s="8"/>
      <c r="AG1174" s="10"/>
    </row>
    <row r="1175" s="7" customFormat="1" spans="30:33">
      <c r="AD1175" s="8"/>
      <c r="AE1175" s="8"/>
      <c r="AF1175" s="8"/>
      <c r="AG1175" s="10"/>
    </row>
    <row r="1176" s="7" customFormat="1" spans="30:33">
      <c r="AD1176" s="8"/>
      <c r="AE1176" s="8"/>
      <c r="AF1176" s="8"/>
      <c r="AG1176" s="10"/>
    </row>
    <row r="1177" s="7" customFormat="1" spans="30:33">
      <c r="AD1177" s="8"/>
      <c r="AE1177" s="8"/>
      <c r="AF1177" s="8"/>
      <c r="AG1177" s="10"/>
    </row>
    <row r="1178" s="7" customFormat="1" spans="30:33">
      <c r="AD1178" s="8"/>
      <c r="AE1178" s="8"/>
      <c r="AF1178" s="8"/>
      <c r="AG1178" s="10"/>
    </row>
    <row r="1179" s="7" customFormat="1" spans="30:33">
      <c r="AD1179" s="8"/>
      <c r="AE1179" s="8"/>
      <c r="AF1179" s="8"/>
      <c r="AG1179" s="10"/>
    </row>
    <row r="1180" s="7" customFormat="1" spans="30:33">
      <c r="AD1180" s="8"/>
      <c r="AE1180" s="8"/>
      <c r="AF1180" s="8"/>
      <c r="AG1180" s="10"/>
    </row>
    <row r="1181" s="7" customFormat="1" spans="30:33">
      <c r="AD1181" s="8"/>
      <c r="AE1181" s="8"/>
      <c r="AF1181" s="8"/>
      <c r="AG1181" s="10"/>
    </row>
    <row r="1182" s="7" customFormat="1" spans="30:33">
      <c r="AD1182" s="8"/>
      <c r="AE1182" s="8"/>
      <c r="AF1182" s="8"/>
      <c r="AG1182" s="10"/>
    </row>
    <row r="1183" s="7" customFormat="1" spans="30:33">
      <c r="AD1183" s="8"/>
      <c r="AE1183" s="8"/>
      <c r="AF1183" s="8"/>
      <c r="AG1183" s="10"/>
    </row>
    <row r="1184" s="7" customFormat="1" spans="30:33">
      <c r="AD1184" s="8"/>
      <c r="AE1184" s="8"/>
      <c r="AF1184" s="8"/>
      <c r="AG1184" s="10"/>
    </row>
    <row r="1185" s="7" customFormat="1" spans="30:33">
      <c r="AD1185" s="8"/>
      <c r="AE1185" s="8"/>
      <c r="AF1185" s="8"/>
      <c r="AG1185" s="10"/>
    </row>
    <row r="1186" s="7" customFormat="1" spans="30:33">
      <c r="AD1186" s="8"/>
      <c r="AE1186" s="8"/>
      <c r="AF1186" s="8"/>
      <c r="AG1186" s="10"/>
    </row>
    <row r="1187" s="7" customFormat="1" spans="30:33">
      <c r="AD1187" s="8"/>
      <c r="AE1187" s="8"/>
      <c r="AF1187" s="8"/>
      <c r="AG1187" s="10"/>
    </row>
    <row r="1188" s="7" customFormat="1" spans="30:33">
      <c r="AD1188" s="8"/>
      <c r="AE1188" s="8"/>
      <c r="AF1188" s="8"/>
      <c r="AG1188" s="10"/>
    </row>
    <row r="1189" s="7" customFormat="1" spans="30:33">
      <c r="AD1189" s="8"/>
      <c r="AE1189" s="8"/>
      <c r="AF1189" s="8"/>
      <c r="AG1189" s="10"/>
    </row>
    <row r="1190" s="7" customFormat="1" spans="30:33">
      <c r="AD1190" s="8"/>
      <c r="AE1190" s="8"/>
      <c r="AF1190" s="8"/>
      <c r="AG1190" s="10"/>
    </row>
    <row r="1191" s="7" customFormat="1" spans="30:33">
      <c r="AD1191" s="8"/>
      <c r="AE1191" s="8"/>
      <c r="AF1191" s="8"/>
      <c r="AG1191" s="10"/>
    </row>
    <row r="1192" s="7" customFormat="1" spans="30:33">
      <c r="AD1192" s="8"/>
      <c r="AE1192" s="8"/>
      <c r="AF1192" s="8"/>
      <c r="AG1192" s="10"/>
    </row>
    <row r="1193" s="7" customFormat="1" spans="30:33">
      <c r="AD1193" s="8"/>
      <c r="AE1193" s="8"/>
      <c r="AF1193" s="8"/>
      <c r="AG1193" s="10"/>
    </row>
    <row r="1194" s="7" customFormat="1" spans="30:33">
      <c r="AD1194" s="8"/>
      <c r="AE1194" s="8"/>
      <c r="AF1194" s="8"/>
      <c r="AG1194" s="10"/>
    </row>
    <row r="1195" s="7" customFormat="1" spans="30:33">
      <c r="AD1195" s="8"/>
      <c r="AE1195" s="8"/>
      <c r="AF1195" s="8"/>
      <c r="AG1195" s="10"/>
    </row>
    <row r="1196" s="7" customFormat="1" spans="30:33">
      <c r="AD1196" s="8"/>
      <c r="AE1196" s="8"/>
      <c r="AF1196" s="8"/>
      <c r="AG1196" s="10"/>
    </row>
    <row r="1197" s="7" customFormat="1" spans="30:33">
      <c r="AD1197" s="8"/>
      <c r="AE1197" s="8"/>
      <c r="AF1197" s="8"/>
      <c r="AG1197" s="10"/>
    </row>
    <row r="1198" s="7" customFormat="1" spans="30:33">
      <c r="AD1198" s="8"/>
      <c r="AE1198" s="8"/>
      <c r="AF1198" s="8"/>
      <c r="AG1198" s="10"/>
    </row>
    <row r="1199" s="7" customFormat="1" spans="30:33">
      <c r="AD1199" s="8"/>
      <c r="AE1199" s="8"/>
      <c r="AF1199" s="8"/>
      <c r="AG1199" s="10"/>
    </row>
    <row r="1200" s="7" customFormat="1" spans="30:33">
      <c r="AD1200" s="8"/>
      <c r="AE1200" s="8"/>
      <c r="AF1200" s="8"/>
      <c r="AG1200" s="10"/>
    </row>
    <row r="1201" s="7" customFormat="1" spans="1:33">
      <c r="A1201" s="8"/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10"/>
    </row>
    <row r="1202" s="7" customFormat="1" spans="1:33">
      <c r="A1202" s="8"/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10"/>
    </row>
    <row r="1203" s="7" customFormat="1" spans="1:33">
      <c r="A1203" s="8"/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10"/>
    </row>
    <row r="1204" s="7" customFormat="1" spans="1:33">
      <c r="A1204" s="8"/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10"/>
    </row>
    <row r="1205" s="7" customFormat="1" spans="1:33">
      <c r="A1205" s="8"/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10"/>
    </row>
    <row r="1206" s="7" customFormat="1" spans="1:33">
      <c r="A1206" s="8"/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10"/>
    </row>
    <row r="1207" s="7" customFormat="1" spans="1:33">
      <c r="A1207" s="8"/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10"/>
    </row>
    <row r="1208" s="7" customFormat="1" spans="1:33">
      <c r="A1208" s="8"/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10"/>
    </row>
    <row r="1209" s="7" customFormat="1" spans="1:33">
      <c r="A1209" s="8"/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10"/>
    </row>
    <row r="1210" s="7" customFormat="1" spans="1:33">
      <c r="A1210" s="8"/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10"/>
    </row>
    <row r="1211" s="7" customFormat="1" spans="1:33">
      <c r="A1211" s="8"/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10"/>
    </row>
    <row r="1212" s="7" customFormat="1" spans="1:33">
      <c r="A1212" s="8"/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10"/>
    </row>
    <row r="1213" s="7" customFormat="1" spans="1:33">
      <c r="A1213" s="8"/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10"/>
    </row>
    <row r="1214" s="7" customFormat="1" spans="1:33">
      <c r="A1214" s="8"/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10"/>
    </row>
    <row r="1215" s="7" customFormat="1" spans="1:33">
      <c r="A1215" s="8"/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10"/>
    </row>
    <row r="1216" s="7" customFormat="1" spans="1:33">
      <c r="A1216" s="8"/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10"/>
    </row>
    <row r="1217" s="7" customFormat="1" spans="1:33">
      <c r="A1217" s="8"/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10"/>
    </row>
    <row r="1218" s="7" customFormat="1" spans="1:33">
      <c r="A1218" s="8"/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10"/>
    </row>
    <row r="1219" s="7" customFormat="1" spans="1:33">
      <c r="A1219" s="8"/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10"/>
    </row>
    <row r="1220" s="7" customFormat="1" spans="1:33">
      <c r="A1220" s="8"/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10"/>
    </row>
    <row r="1221" s="7" customFormat="1" spans="1:33">
      <c r="A1221" s="8"/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10"/>
    </row>
    <row r="1222" s="7" customFormat="1" spans="1:33">
      <c r="A1222" s="8"/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10"/>
    </row>
    <row r="1223" s="7" customFormat="1" spans="1:33">
      <c r="A1223" s="8"/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10"/>
    </row>
    <row r="1224" s="7" customFormat="1" spans="1:33">
      <c r="A1224" s="8"/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10"/>
    </row>
    <row r="1225" s="7" customFormat="1" spans="1:33">
      <c r="A1225" s="8"/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10"/>
    </row>
    <row r="1226" s="7" customFormat="1" spans="1:33">
      <c r="A1226" s="8"/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10"/>
    </row>
    <row r="1227" s="7" customFormat="1" spans="1:33">
      <c r="A1227" s="8"/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10"/>
    </row>
    <row r="1228" s="7" customFormat="1" spans="1:33">
      <c r="A1228" s="8"/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10"/>
    </row>
    <row r="1229" s="7" customFormat="1" spans="1:33">
      <c r="A1229" s="8"/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10"/>
    </row>
    <row r="1230" s="7" customFormat="1" spans="1:33">
      <c r="A1230" s="8"/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10"/>
    </row>
    <row r="1231" s="7" customFormat="1" spans="1:33">
      <c r="A1231" s="8"/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10"/>
    </row>
    <row r="1232" s="7" customFormat="1" spans="1:33">
      <c r="A1232" s="8"/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10"/>
    </row>
    <row r="1233" s="7" customFormat="1" spans="1:33">
      <c r="A1233" s="8"/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10"/>
    </row>
    <row r="1234" s="7" customFormat="1" spans="1:33">
      <c r="A1234" s="8"/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10"/>
    </row>
    <row r="1235" s="7" customFormat="1" spans="33:33">
      <c r="AG1235" s="9"/>
    </row>
    <row r="1236" s="7" customFormat="1" spans="33:33">
      <c r="AG1236" s="9"/>
    </row>
    <row r="1237" s="7" customFormat="1" spans="33:33">
      <c r="AG1237" s="9"/>
    </row>
    <row r="1238" s="7" customFormat="1" spans="33:33">
      <c r="AG1238" s="9"/>
    </row>
    <row r="1239" s="7" customFormat="1" spans="33:33">
      <c r="AG1239" s="9"/>
    </row>
    <row r="1240" s="7" customFormat="1" spans="33:33">
      <c r="AG1240" s="9"/>
    </row>
    <row r="1241" s="7" customFormat="1" spans="33:33">
      <c r="AG1241" s="9"/>
    </row>
    <row r="1242" s="7" customFormat="1" spans="33:33">
      <c r="AG1242" s="9"/>
    </row>
    <row r="1243" s="7" customFormat="1" spans="33:33">
      <c r="AG1243" s="9"/>
    </row>
    <row r="1244" s="7" customFormat="1" spans="33:33">
      <c r="AG1244" s="9"/>
    </row>
    <row r="1245" s="7" customFormat="1" spans="33:33">
      <c r="AG1245" s="9"/>
    </row>
    <row r="1246" s="7" customFormat="1" spans="33:33">
      <c r="AG1246" s="9"/>
    </row>
    <row r="1247" s="7" customFormat="1" spans="33:33">
      <c r="AG1247" s="9"/>
    </row>
    <row r="1248" s="7" customFormat="1" spans="33:33">
      <c r="AG1248" s="9"/>
    </row>
    <row r="1249" s="7" customFormat="1" spans="33:33">
      <c r="AG1249" s="9"/>
    </row>
    <row r="1250" s="7" customFormat="1" spans="33:33">
      <c r="AG1250" s="9"/>
    </row>
    <row r="1251" s="7" customFormat="1" spans="33:33">
      <c r="AG1251" s="9"/>
    </row>
    <row r="1252" s="7" customFormat="1" spans="33:33">
      <c r="AG1252" s="9"/>
    </row>
    <row r="1253" s="7" customFormat="1" spans="33:33">
      <c r="AG1253" s="9"/>
    </row>
    <row r="1254" s="7" customFormat="1" spans="33:33">
      <c r="AG1254" s="9"/>
    </row>
    <row r="1255" s="7" customFormat="1" spans="33:33">
      <c r="AG1255" s="9"/>
    </row>
    <row r="1256" s="7" customFormat="1" spans="33:33">
      <c r="AG1256" s="9"/>
    </row>
    <row r="1257" s="7" customFormat="1" spans="33:33">
      <c r="AG1257" s="9"/>
    </row>
    <row r="1258" s="7" customFormat="1" spans="33:33">
      <c r="AG1258" s="9"/>
    </row>
    <row r="1259" s="7" customFormat="1" spans="33:33">
      <c r="AG1259" s="9"/>
    </row>
    <row r="1260" s="7" customFormat="1" spans="33:33">
      <c r="AG1260" s="9"/>
    </row>
    <row r="1261" s="7" customFormat="1" spans="33:33">
      <c r="AG1261" s="9"/>
    </row>
    <row r="1262" s="7" customFormat="1" spans="33:33">
      <c r="AG1262" s="9"/>
    </row>
    <row r="1263" s="7" customFormat="1" spans="33:33">
      <c r="AG1263" s="9"/>
    </row>
    <row r="1264" s="7" customFormat="1" spans="33:33">
      <c r="AG1264" s="9"/>
    </row>
    <row r="1265" s="7" customFormat="1" spans="33:33">
      <c r="AG1265" s="9"/>
    </row>
    <row r="1266" s="7" customFormat="1" spans="33:33">
      <c r="AG1266" s="9"/>
    </row>
    <row r="1267" s="7" customFormat="1" spans="33:33">
      <c r="AG1267" s="9"/>
    </row>
    <row r="1268" s="7" customFormat="1" spans="33:33">
      <c r="AG1268" s="9"/>
    </row>
    <row r="1269" s="7" customFormat="1" spans="33:33">
      <c r="AG1269" s="9"/>
    </row>
    <row r="1270" s="7" customFormat="1" spans="33:33">
      <c r="AG1270" s="9"/>
    </row>
    <row r="1271" s="7" customFormat="1" spans="33:33">
      <c r="AG1271" s="9"/>
    </row>
    <row r="1272" s="7" customFormat="1" spans="33:33">
      <c r="AG1272" s="9"/>
    </row>
    <row r="1273" s="7" customFormat="1" spans="33:33">
      <c r="AG1273" s="9"/>
    </row>
    <row r="1274" s="7" customFormat="1" spans="33:33">
      <c r="AG1274" s="9"/>
    </row>
    <row r="1275" s="7" customFormat="1" spans="33:33">
      <c r="AG1275" s="9"/>
    </row>
    <row r="1276" s="7" customFormat="1" spans="33:33">
      <c r="AG1276" s="9"/>
    </row>
    <row r="1277" s="7" customFormat="1" spans="33:33">
      <c r="AG1277" s="9"/>
    </row>
    <row r="1278" s="7" customFormat="1" spans="33:33">
      <c r="AG1278" s="9"/>
    </row>
    <row r="1279" s="7" customFormat="1" spans="33:33">
      <c r="AG1279" s="9"/>
    </row>
    <row r="1280" s="7" customFormat="1" spans="33:33">
      <c r="AG1280" s="9"/>
    </row>
    <row r="1281" s="7" customFormat="1" spans="33:33">
      <c r="AG1281" s="9"/>
    </row>
    <row r="1282" s="7" customFormat="1" spans="33:33">
      <c r="AG1282" s="9"/>
    </row>
    <row r="1283" s="7" customFormat="1" spans="33:33">
      <c r="AG1283" s="9"/>
    </row>
    <row r="1284" s="7" customFormat="1" spans="33:33">
      <c r="AG1284" s="9"/>
    </row>
    <row r="1285" s="7" customFormat="1" spans="33:33">
      <c r="AG1285" s="9"/>
    </row>
    <row r="1286" s="7" customFormat="1" spans="33:33">
      <c r="AG1286" s="9"/>
    </row>
    <row r="1287" s="7" customFormat="1" spans="33:33">
      <c r="AG1287" s="9"/>
    </row>
    <row r="1288" s="7" customFormat="1" spans="33:33">
      <c r="AG1288" s="9"/>
    </row>
    <row r="1289" s="7" customFormat="1" spans="33:33">
      <c r="AG1289" s="9"/>
    </row>
    <row r="1290" s="7" customFormat="1" spans="33:33">
      <c r="AG1290" s="9"/>
    </row>
    <row r="1291" s="7" customFormat="1" spans="33:33">
      <c r="AG1291" s="9"/>
    </row>
    <row r="1292" s="7" customFormat="1" spans="33:33">
      <c r="AG1292" s="9"/>
    </row>
    <row r="1293" s="7" customFormat="1" spans="33:33">
      <c r="AG1293" s="9"/>
    </row>
    <row r="1294" s="7" customFormat="1" spans="33:33">
      <c r="AG1294" s="9"/>
    </row>
    <row r="1295" s="7" customFormat="1" spans="33:33">
      <c r="AG1295" s="9"/>
    </row>
    <row r="1296" s="7" customFormat="1" spans="33:33">
      <c r="AG1296" s="9"/>
    </row>
    <row r="1297" s="7" customFormat="1" spans="33:33">
      <c r="AG1297" s="9"/>
    </row>
    <row r="1298" s="7" customFormat="1" spans="33:33">
      <c r="AG1298" s="9"/>
    </row>
    <row r="1299" s="7" customFormat="1" spans="33:33">
      <c r="AG1299" s="9"/>
    </row>
    <row r="1300" s="7" customFormat="1" spans="33:33">
      <c r="AG1300" s="9"/>
    </row>
    <row r="1301" s="7" customFormat="1" spans="33:33">
      <c r="AG1301" s="9"/>
    </row>
    <row r="1302" s="7" customFormat="1" spans="33:33">
      <c r="AG1302" s="9"/>
    </row>
    <row r="1303" s="7" customFormat="1" spans="33:33">
      <c r="AG1303" s="9"/>
    </row>
    <row r="1304" s="7" customFormat="1" spans="33:33">
      <c r="AG1304" s="9"/>
    </row>
    <row r="1305" s="7" customFormat="1" spans="33:33">
      <c r="AG1305" s="9"/>
    </row>
    <row r="1306" s="7" customFormat="1" spans="33:33">
      <c r="AG1306" s="9"/>
    </row>
    <row r="1307" s="7" customFormat="1" spans="33:33">
      <c r="AG1307" s="9"/>
    </row>
    <row r="1308" s="7" customFormat="1" spans="33:33">
      <c r="AG1308" s="9"/>
    </row>
    <row r="1309" s="7" customFormat="1" spans="33:33">
      <c r="AG1309" s="9"/>
    </row>
    <row r="1310" s="7" customFormat="1" spans="33:33">
      <c r="AG1310" s="9"/>
    </row>
    <row r="1311" s="7" customFormat="1" spans="33:33">
      <c r="AG1311" s="9"/>
    </row>
    <row r="1312" s="7" customFormat="1" spans="33:33">
      <c r="AG1312" s="9"/>
    </row>
    <row r="1313" s="7" customFormat="1" spans="33:33">
      <c r="AG1313" s="9"/>
    </row>
    <row r="1314" s="7" customFormat="1" spans="33:33">
      <c r="AG1314" s="9"/>
    </row>
    <row r="1315" s="7" customFormat="1" spans="33:33">
      <c r="AG1315" s="9"/>
    </row>
    <row r="1316" s="7" customFormat="1" spans="33:33">
      <c r="AG1316" s="9"/>
    </row>
    <row r="1317" s="7" customFormat="1" spans="33:33">
      <c r="AG1317" s="9"/>
    </row>
    <row r="1318" s="7" customFormat="1" spans="33:33">
      <c r="AG1318" s="9"/>
    </row>
    <row r="1319" s="7" customFormat="1" spans="33:33">
      <c r="AG1319" s="9"/>
    </row>
    <row r="1320" s="7" customFormat="1" spans="33:33">
      <c r="AG1320" s="9"/>
    </row>
    <row r="1321" s="7" customFormat="1" spans="33:33">
      <c r="AG1321" s="9"/>
    </row>
    <row r="1322" s="7" customFormat="1" spans="33:33">
      <c r="AG1322" s="9"/>
    </row>
    <row r="1323" s="7" customFormat="1" spans="33:33">
      <c r="AG1323" s="9"/>
    </row>
    <row r="1324" s="7" customFormat="1" spans="33:33">
      <c r="AG1324" s="9"/>
    </row>
    <row r="1325" s="7" customFormat="1" spans="33:33">
      <c r="AG1325" s="9"/>
    </row>
    <row r="1326" s="7" customFormat="1" spans="33:33">
      <c r="AG1326" s="9"/>
    </row>
    <row r="1327" s="7" customFormat="1" spans="33:33">
      <c r="AG1327" s="9"/>
    </row>
    <row r="1328" s="7" customFormat="1" spans="33:33">
      <c r="AG1328" s="9"/>
    </row>
    <row r="1329" s="7" customFormat="1" spans="33:33">
      <c r="AG1329" s="9"/>
    </row>
    <row r="1330" s="7" customFormat="1" spans="33:33">
      <c r="AG1330" s="9"/>
    </row>
    <row r="1331" s="7" customFormat="1" spans="33:33">
      <c r="AG1331" s="9"/>
    </row>
    <row r="1332" s="7" customFormat="1" spans="33:33">
      <c r="AG1332" s="9"/>
    </row>
    <row r="1333" s="7" customFormat="1" spans="33:33">
      <c r="AG1333" s="9"/>
    </row>
    <row r="1334" s="7" customFormat="1" spans="33:33">
      <c r="AG1334" s="9"/>
    </row>
    <row r="1335" s="7" customFormat="1" spans="33:33">
      <c r="AG1335" s="9"/>
    </row>
    <row r="1336" s="7" customFormat="1" spans="33:33">
      <c r="AG1336" s="9"/>
    </row>
    <row r="1337" s="7" customFormat="1" spans="33:33">
      <c r="AG1337" s="9"/>
    </row>
    <row r="1338" s="7" customFormat="1" spans="33:33">
      <c r="AG1338" s="9"/>
    </row>
    <row r="1339" s="7" customFormat="1" spans="33:33">
      <c r="AG1339" s="9"/>
    </row>
    <row r="1340" s="7" customFormat="1" spans="33:33">
      <c r="AG1340" s="9"/>
    </row>
    <row r="1341" s="7" customFormat="1" spans="33:33">
      <c r="AG1341" s="9"/>
    </row>
    <row r="1342" s="7" customFormat="1" spans="33:33">
      <c r="AG1342" s="9"/>
    </row>
    <row r="1343" s="7" customFormat="1" spans="33:33">
      <c r="AG1343" s="9"/>
    </row>
    <row r="1344" s="7" customFormat="1" spans="33:33">
      <c r="AG1344" s="9"/>
    </row>
    <row r="1345" s="7" customFormat="1" spans="33:33">
      <c r="AG1345" s="9"/>
    </row>
    <row r="1346" s="7" customFormat="1" spans="33:33">
      <c r="AG1346" s="9"/>
    </row>
    <row r="1347" s="7" customFormat="1" spans="33:33">
      <c r="AG1347" s="9"/>
    </row>
    <row r="1348" s="7" customFormat="1" spans="33:33">
      <c r="AG1348" s="9"/>
    </row>
    <row r="1349" s="7" customFormat="1" spans="33:33">
      <c r="AG1349" s="9"/>
    </row>
    <row r="1350" s="7" customFormat="1" spans="33:33">
      <c r="AG1350" s="9"/>
    </row>
    <row r="1351" s="7" customFormat="1" spans="33:33">
      <c r="AG1351" s="9"/>
    </row>
    <row r="1352" s="7" customFormat="1" spans="33:33">
      <c r="AG1352" s="9"/>
    </row>
    <row r="1353" s="7" customFormat="1" spans="33:33">
      <c r="AG1353" s="9"/>
    </row>
    <row r="1354" s="7" customFormat="1" spans="33:33">
      <c r="AG1354" s="9"/>
    </row>
    <row r="1355" s="7" customFormat="1" spans="33:33">
      <c r="AG1355" s="9"/>
    </row>
    <row r="1356" s="7" customFormat="1" spans="33:33">
      <c r="AG1356" s="9"/>
    </row>
    <row r="1357" s="7" customFormat="1" spans="33:33">
      <c r="AG1357" s="9"/>
    </row>
    <row r="1358" s="7" customFormat="1" spans="33:33">
      <c r="AG1358" s="9"/>
    </row>
    <row r="1359" s="7" customFormat="1" spans="33:33">
      <c r="AG1359" s="9"/>
    </row>
    <row r="1360" s="7" customFormat="1" spans="33:33">
      <c r="AG1360" s="9"/>
    </row>
    <row r="1361" s="7" customFormat="1" spans="33:33">
      <c r="AG1361" s="9"/>
    </row>
    <row r="1362" s="7" customFormat="1" spans="33:33">
      <c r="AG1362" s="9"/>
    </row>
    <row r="1363" s="7" customFormat="1" spans="33:33">
      <c r="AG1363" s="9"/>
    </row>
    <row r="1364" s="7" customFormat="1" spans="33:33">
      <c r="AG1364" s="9"/>
    </row>
    <row r="1365" s="7" customFormat="1" spans="33:33">
      <c r="AG1365" s="9"/>
    </row>
    <row r="1366" s="7" customFormat="1" spans="33:33">
      <c r="AG1366" s="9"/>
    </row>
    <row r="1367" s="7" customFormat="1" spans="33:33">
      <c r="AG1367" s="9"/>
    </row>
    <row r="1368" s="7" customFormat="1" spans="33:33">
      <c r="AG1368" s="9"/>
    </row>
    <row r="1369" s="7" customFormat="1" spans="33:33">
      <c r="AG1369" s="9"/>
    </row>
    <row r="1370" s="7" customFormat="1" spans="33:33">
      <c r="AG1370" s="9"/>
    </row>
    <row r="1371" s="7" customFormat="1" spans="33:33">
      <c r="AG1371" s="9"/>
    </row>
    <row r="1372" s="7" customFormat="1" spans="33:33">
      <c r="AG1372" s="9"/>
    </row>
    <row r="1373" s="7" customFormat="1" spans="33:33">
      <c r="AG1373" s="9"/>
    </row>
    <row r="1374" s="7" customFormat="1" spans="33:33">
      <c r="AG1374" s="9"/>
    </row>
    <row r="1375" s="7" customFormat="1" spans="33:33">
      <c r="AG1375" s="9"/>
    </row>
    <row r="1376" s="7" customFormat="1" spans="33:33">
      <c r="AG1376" s="9"/>
    </row>
    <row r="1377" s="7" customFormat="1" spans="33:33">
      <c r="AG1377" s="9"/>
    </row>
    <row r="1378" s="7" customFormat="1" spans="33:33">
      <c r="AG1378" s="9"/>
    </row>
    <row r="1379" s="7" customFormat="1" spans="33:33">
      <c r="AG1379" s="9"/>
    </row>
    <row r="1380" s="7" customFormat="1" spans="33:33">
      <c r="AG1380" s="9"/>
    </row>
    <row r="1381" s="7" customFormat="1" spans="33:33">
      <c r="AG1381" s="9"/>
    </row>
    <row r="1382" s="7" customFormat="1" spans="33:33">
      <c r="AG1382" s="9"/>
    </row>
    <row r="1383" s="7" customFormat="1" spans="33:33">
      <c r="AG1383" s="9"/>
    </row>
    <row r="1384" s="7" customFormat="1" spans="33:33">
      <c r="AG1384" s="9"/>
    </row>
    <row r="1385" s="7" customFormat="1" spans="33:33">
      <c r="AG1385" s="9"/>
    </row>
    <row r="1386" s="7" customFormat="1" spans="33:33">
      <c r="AG1386" s="9"/>
    </row>
    <row r="1387" s="7" customFormat="1" spans="33:33">
      <c r="AG1387" s="9"/>
    </row>
    <row r="1388" s="7" customFormat="1" spans="33:33">
      <c r="AG1388" s="9"/>
    </row>
    <row r="1389" s="7" customFormat="1" spans="33:33">
      <c r="AG1389" s="9"/>
    </row>
    <row r="1390" s="7" customFormat="1" spans="33:33">
      <c r="AG1390" s="9"/>
    </row>
    <row r="1391" s="7" customFormat="1" spans="33:33">
      <c r="AG1391" s="9"/>
    </row>
    <row r="1392" s="7" customFormat="1" spans="33:33">
      <c r="AG1392" s="9"/>
    </row>
    <row r="1393" s="7" customFormat="1" spans="33:33">
      <c r="AG1393" s="9"/>
    </row>
    <row r="1394" s="7" customFormat="1" spans="33:33">
      <c r="AG1394" s="9"/>
    </row>
    <row r="1395" s="7" customFormat="1" spans="33:33">
      <c r="AG1395" s="9"/>
    </row>
    <row r="1396" s="7" customFormat="1" spans="33:33">
      <c r="AG1396" s="9"/>
    </row>
    <row r="1397" s="7" customFormat="1" spans="33:33">
      <c r="AG1397" s="9"/>
    </row>
    <row r="1398" s="7" customFormat="1" spans="33:33">
      <c r="AG1398" s="9"/>
    </row>
    <row r="1399" s="7" customFormat="1" spans="33:33">
      <c r="AG1399" s="9"/>
    </row>
    <row r="1400" s="7" customFormat="1" spans="33:33">
      <c r="AG1400" s="9"/>
    </row>
    <row r="1401" s="7" customFormat="1" spans="33:33">
      <c r="AG1401" s="9"/>
    </row>
    <row r="1402" s="7" customFormat="1" spans="33:33">
      <c r="AG1402" s="9"/>
    </row>
    <row r="1403" s="7" customFormat="1" spans="33:33">
      <c r="AG1403" s="9"/>
    </row>
    <row r="1404" s="7" customFormat="1" spans="33:33">
      <c r="AG1404" s="9"/>
    </row>
    <row r="1405" s="7" customFormat="1" spans="33:33">
      <c r="AG1405" s="9"/>
    </row>
    <row r="1406" s="7" customFormat="1" spans="33:33">
      <c r="AG1406" s="9"/>
    </row>
    <row r="1407" s="7" customFormat="1" spans="33:33">
      <c r="AG1407" s="9"/>
    </row>
    <row r="1408" s="7" customFormat="1" spans="33:33">
      <c r="AG1408" s="9"/>
    </row>
    <row r="1409" s="7" customFormat="1" spans="33:33">
      <c r="AG1409" s="9"/>
    </row>
    <row r="1410" s="7" customFormat="1" spans="33:33">
      <c r="AG1410" s="9"/>
    </row>
    <row r="1411" s="7" customFormat="1" spans="33:33">
      <c r="AG1411" s="9"/>
    </row>
    <row r="1412" s="7" customFormat="1" spans="33:33">
      <c r="AG1412" s="9"/>
    </row>
    <row r="1413" s="7" customFormat="1" spans="33:33">
      <c r="AG1413" s="9"/>
    </row>
    <row r="1414" s="7" customFormat="1" spans="33:33">
      <c r="AG1414" s="9"/>
    </row>
    <row r="1415" s="7" customFormat="1" spans="33:33">
      <c r="AG1415" s="9"/>
    </row>
    <row r="1416" s="7" customFormat="1" spans="33:33">
      <c r="AG1416" s="9"/>
    </row>
    <row r="1417" s="7" customFormat="1" spans="33:33">
      <c r="AG1417" s="9"/>
    </row>
    <row r="1418" s="7" customFormat="1" spans="33:33">
      <c r="AG1418" s="9"/>
    </row>
    <row r="1419" s="7" customFormat="1" spans="33:33">
      <c r="AG1419" s="9"/>
    </row>
    <row r="1420" s="7" customFormat="1" spans="33:33">
      <c r="AG1420" s="9"/>
    </row>
    <row r="1421" s="7" customFormat="1" spans="33:33">
      <c r="AG1421" s="9"/>
    </row>
    <row r="1422" s="7" customFormat="1" spans="33:33">
      <c r="AG1422" s="9"/>
    </row>
    <row r="1423" s="7" customFormat="1" spans="33:33">
      <c r="AG1423" s="9"/>
    </row>
    <row r="1424" s="7" customFormat="1" spans="33:33">
      <c r="AG1424" s="9"/>
    </row>
    <row r="1425" s="7" customFormat="1" spans="33:33">
      <c r="AG1425" s="9"/>
    </row>
    <row r="1426" s="7" customFormat="1" spans="33:33">
      <c r="AG1426" s="9"/>
    </row>
    <row r="1427" s="7" customFormat="1" spans="33:33">
      <c r="AG1427" s="9"/>
    </row>
    <row r="1428" s="7" customFormat="1" spans="33:33">
      <c r="AG1428" s="9"/>
    </row>
    <row r="1429" s="7" customFormat="1" spans="33:33">
      <c r="AG1429" s="9"/>
    </row>
    <row r="1430" s="7" customFormat="1" spans="33:33">
      <c r="AG1430" s="9"/>
    </row>
    <row r="1431" s="7" customFormat="1" spans="33:33">
      <c r="AG1431" s="9"/>
    </row>
    <row r="1432" s="7" customFormat="1" spans="33:33">
      <c r="AG1432" s="9"/>
    </row>
    <row r="1433" s="7" customFormat="1" spans="33:33">
      <c r="AG1433" s="9"/>
    </row>
    <row r="1434" s="7" customFormat="1" spans="33:33">
      <c r="AG1434" s="9"/>
    </row>
    <row r="1435" s="7" customFormat="1" spans="33:33">
      <c r="AG1435" s="9"/>
    </row>
    <row r="1436" s="7" customFormat="1" spans="33:33">
      <c r="AG1436" s="9"/>
    </row>
    <row r="1437" s="7" customFormat="1" spans="33:33">
      <c r="AG1437" s="9"/>
    </row>
    <row r="1438" s="7" customFormat="1" spans="33:33">
      <c r="AG1438" s="9"/>
    </row>
    <row r="1439" s="7" customFormat="1" spans="33:33">
      <c r="AG1439" s="9"/>
    </row>
    <row r="1440" s="7" customFormat="1" spans="33:33">
      <c r="AG1440" s="9"/>
    </row>
    <row r="1441" s="7" customFormat="1" spans="33:33">
      <c r="AG1441" s="9"/>
    </row>
    <row r="1442" s="7" customFormat="1" spans="33:33">
      <c r="AG1442" s="9"/>
    </row>
    <row r="1443" s="7" customFormat="1" spans="33:33">
      <c r="AG1443" s="9"/>
    </row>
    <row r="1444" s="7" customFormat="1" spans="33:33">
      <c r="AG1444" s="9"/>
    </row>
    <row r="1445" s="7" customFormat="1" spans="33:33">
      <c r="AG1445" s="9"/>
    </row>
    <row r="1446" s="7" customFormat="1" spans="33:33">
      <c r="AG1446" s="9"/>
    </row>
    <row r="1447" s="7" customFormat="1" spans="33:33">
      <c r="AG1447" s="9"/>
    </row>
    <row r="1448" s="7" customFormat="1" spans="33:33">
      <c r="AG1448" s="9"/>
    </row>
    <row r="1449" s="7" customFormat="1" spans="33:33">
      <c r="AG1449" s="9"/>
    </row>
    <row r="1450" s="7" customFormat="1" spans="33:33">
      <c r="AG1450" s="9"/>
    </row>
    <row r="1451" s="7" customFormat="1" spans="33:33">
      <c r="AG1451" s="9"/>
    </row>
    <row r="1452" s="7" customFormat="1" spans="33:33">
      <c r="AG1452" s="9"/>
    </row>
    <row r="1453" s="7" customFormat="1" spans="33:33">
      <c r="AG1453" s="9"/>
    </row>
    <row r="1454" s="7" customFormat="1" spans="33:33">
      <c r="AG1454" s="9"/>
    </row>
    <row r="1455" s="7" customFormat="1" spans="33:33">
      <c r="AG1455" s="9"/>
    </row>
    <row r="1456" s="7" customFormat="1" spans="33:33">
      <c r="AG1456" s="9"/>
    </row>
    <row r="1457" s="7" customFormat="1" spans="33:33">
      <c r="AG1457" s="9"/>
    </row>
    <row r="1458" s="7" customFormat="1" spans="33:33">
      <c r="AG1458" s="9"/>
    </row>
    <row r="1459" s="7" customFormat="1" spans="33:33">
      <c r="AG1459" s="9"/>
    </row>
    <row r="1460" s="7" customFormat="1" spans="33:33">
      <c r="AG1460" s="9"/>
    </row>
    <row r="1461" s="7" customFormat="1" spans="33:33">
      <c r="AG1461" s="9"/>
    </row>
    <row r="1462" s="7" customFormat="1" spans="33:33">
      <c r="AG1462" s="9"/>
    </row>
    <row r="1463" s="7" customFormat="1" spans="33:33">
      <c r="AG1463" s="9"/>
    </row>
    <row r="1464" s="7" customFormat="1" spans="33:33">
      <c r="AG1464" s="9"/>
    </row>
    <row r="1465" s="7" customFormat="1" spans="33:33">
      <c r="AG1465" s="9"/>
    </row>
    <row r="1466" s="7" customFormat="1" spans="33:33">
      <c r="AG1466" s="9"/>
    </row>
    <row r="1467" s="7" customFormat="1" spans="33:33">
      <c r="AG1467" s="9"/>
    </row>
    <row r="1468" s="7" customFormat="1" spans="33:33">
      <c r="AG1468" s="9"/>
    </row>
    <row r="1469" s="7" customFormat="1" spans="33:33">
      <c r="AG1469" s="9"/>
    </row>
    <row r="1470" s="7" customFormat="1" spans="33:33">
      <c r="AG1470" s="9"/>
    </row>
    <row r="1471" s="7" customFormat="1" spans="33:33">
      <c r="AG1471" s="9"/>
    </row>
    <row r="1472" s="7" customFormat="1" spans="33:33">
      <c r="AG1472" s="9"/>
    </row>
    <row r="1473" s="7" customFormat="1" spans="33:33">
      <c r="AG1473" s="9"/>
    </row>
    <row r="1474" s="7" customFormat="1" spans="33:33">
      <c r="AG1474" s="9"/>
    </row>
    <row r="1475" s="7" customFormat="1" spans="33:33">
      <c r="AG1475" s="9"/>
    </row>
    <row r="1476" s="7" customFormat="1" spans="33:33">
      <c r="AG1476" s="9"/>
    </row>
    <row r="1477" s="7" customFormat="1" spans="33:33">
      <c r="AG1477" s="9"/>
    </row>
    <row r="1478" s="7" customFormat="1" spans="33:33">
      <c r="AG1478" s="9"/>
    </row>
    <row r="1479" s="7" customFormat="1" spans="33:33">
      <c r="AG1479" s="9"/>
    </row>
    <row r="1480" s="7" customFormat="1" spans="33:33">
      <c r="AG1480" s="9"/>
    </row>
    <row r="1481" s="7" customFormat="1" spans="33:33">
      <c r="AG1481" s="9"/>
    </row>
    <row r="1482" s="7" customFormat="1" spans="33:33">
      <c r="AG1482" s="9"/>
    </row>
    <row r="1483" s="7" customFormat="1" spans="33:33">
      <c r="AG1483" s="9"/>
    </row>
    <row r="1484" s="7" customFormat="1" spans="33:33">
      <c r="AG1484" s="9"/>
    </row>
    <row r="1485" s="7" customFormat="1" spans="33:33">
      <c r="AG1485" s="9"/>
    </row>
    <row r="1486" s="7" customFormat="1" spans="33:33">
      <c r="AG1486" s="9"/>
    </row>
    <row r="1487" s="7" customFormat="1" spans="33:33">
      <c r="AG1487" s="9"/>
    </row>
    <row r="1488" s="7" customFormat="1" spans="33:33">
      <c r="AG1488" s="9"/>
    </row>
    <row r="1489" s="7" customFormat="1" spans="33:33">
      <c r="AG1489" s="9"/>
    </row>
    <row r="1490" s="7" customFormat="1" spans="33:33">
      <c r="AG1490" s="9"/>
    </row>
    <row r="1491" s="7" customFormat="1" spans="33:33">
      <c r="AG1491" s="9"/>
    </row>
    <row r="1492" s="7" customFormat="1" spans="33:33">
      <c r="AG1492" s="9"/>
    </row>
    <row r="1493" s="7" customFormat="1" spans="33:33">
      <c r="AG1493" s="9"/>
    </row>
    <row r="1494" s="7" customFormat="1" spans="33:33">
      <c r="AG1494" s="9"/>
    </row>
    <row r="1495" s="7" customFormat="1" spans="33:33">
      <c r="AG1495" s="9"/>
    </row>
    <row r="1496" s="7" customFormat="1" spans="33:33">
      <c r="AG1496" s="9"/>
    </row>
    <row r="1497" s="7" customFormat="1" spans="33:33">
      <c r="AG1497" s="9"/>
    </row>
    <row r="1498" s="7" customFormat="1" spans="33:33">
      <c r="AG1498" s="9"/>
    </row>
    <row r="1499" s="7" customFormat="1" spans="33:33">
      <c r="AG1499" s="9"/>
    </row>
    <row r="1500" s="7" customFormat="1" spans="33:33">
      <c r="AG1500" s="9"/>
    </row>
    <row r="1501" s="7" customFormat="1" spans="33:33">
      <c r="AG1501" s="9"/>
    </row>
    <row r="1502" s="7" customFormat="1" spans="33:33">
      <c r="AG1502" s="9"/>
    </row>
    <row r="1503" s="7" customFormat="1" spans="33:33">
      <c r="AG1503" s="9"/>
    </row>
    <row r="1504" s="7" customFormat="1" spans="33:33">
      <c r="AG1504" s="9"/>
    </row>
    <row r="1505" s="7" customFormat="1" spans="33:33">
      <c r="AG1505" s="9"/>
    </row>
    <row r="1506" s="7" customFormat="1" spans="33:33">
      <c r="AG1506" s="9"/>
    </row>
    <row r="1507" s="7" customFormat="1" spans="33:33">
      <c r="AG1507" s="9"/>
    </row>
    <row r="1508" s="7" customFormat="1" spans="33:33">
      <c r="AG1508" s="9"/>
    </row>
    <row r="1509" s="7" customFormat="1" spans="33:33">
      <c r="AG1509" s="9"/>
    </row>
    <row r="1510" s="7" customFormat="1" spans="33:33">
      <c r="AG1510" s="9"/>
    </row>
    <row r="1511" s="7" customFormat="1" spans="33:33">
      <c r="AG1511" s="9"/>
    </row>
    <row r="1512" s="7" customFormat="1" spans="33:33">
      <c r="AG1512" s="9"/>
    </row>
    <row r="1513" s="7" customFormat="1" spans="33:33">
      <c r="AG1513" s="9"/>
    </row>
    <row r="1514" s="7" customFormat="1" spans="33:33">
      <c r="AG1514" s="9"/>
    </row>
    <row r="1515" s="7" customFormat="1" spans="33:33">
      <c r="AG1515" s="9"/>
    </row>
    <row r="1516" s="7" customFormat="1" spans="33:33">
      <c r="AG1516" s="9"/>
    </row>
    <row r="1517" s="7" customFormat="1" spans="33:33">
      <c r="AG1517" s="9"/>
    </row>
    <row r="1518" s="7" customFormat="1" spans="33:33">
      <c r="AG1518" s="9"/>
    </row>
    <row r="1519" s="7" customFormat="1" spans="33:33">
      <c r="AG1519" s="9"/>
    </row>
    <row r="1520" s="7" customFormat="1" spans="33:33">
      <c r="AG1520" s="9"/>
    </row>
    <row r="1521" s="7" customFormat="1" spans="33:33">
      <c r="AG1521" s="9"/>
    </row>
    <row r="1522" s="7" customFormat="1" spans="33:33">
      <c r="AG1522" s="9"/>
    </row>
    <row r="1523" s="7" customFormat="1" spans="33:33">
      <c r="AG1523" s="9"/>
    </row>
    <row r="1524" s="7" customFormat="1" spans="33:33">
      <c r="AG1524" s="9"/>
    </row>
    <row r="1525" s="7" customFormat="1" spans="33:33">
      <c r="AG1525" s="9"/>
    </row>
    <row r="1526" s="7" customFormat="1" spans="33:33">
      <c r="AG1526" s="9"/>
    </row>
    <row r="1527" s="7" customFormat="1" spans="33:33">
      <c r="AG1527" s="9"/>
    </row>
    <row r="1528" s="7" customFormat="1" spans="33:33">
      <c r="AG1528" s="9"/>
    </row>
    <row r="1529" s="7" customFormat="1" spans="33:33">
      <c r="AG1529" s="9"/>
    </row>
    <row r="1530" s="7" customFormat="1" spans="33:33">
      <c r="AG1530" s="9"/>
    </row>
    <row r="1531" s="7" customFormat="1" spans="33:33">
      <c r="AG1531" s="9"/>
    </row>
    <row r="1532" s="7" customFormat="1" spans="33:33">
      <c r="AG1532" s="9"/>
    </row>
    <row r="1533" s="7" customFormat="1" spans="33:33">
      <c r="AG1533" s="9"/>
    </row>
    <row r="1534" s="7" customFormat="1" spans="33:33">
      <c r="AG1534" s="9"/>
    </row>
    <row r="1535" s="7" customFormat="1" spans="33:33">
      <c r="AG1535" s="9"/>
    </row>
    <row r="1536" s="7" customFormat="1" spans="33:33">
      <c r="AG1536" s="9"/>
    </row>
    <row r="1537" s="7" customFormat="1" spans="33:33">
      <c r="AG1537" s="9"/>
    </row>
    <row r="1538" s="7" customFormat="1" spans="33:33">
      <c r="AG1538" s="9"/>
    </row>
    <row r="1539" s="7" customFormat="1" spans="33:33">
      <c r="AG1539" s="9"/>
    </row>
    <row r="1540" s="7" customFormat="1" spans="33:33">
      <c r="AG1540" s="9"/>
    </row>
    <row r="1541" s="7" customFormat="1" spans="33:33">
      <c r="AG1541" s="9"/>
    </row>
    <row r="1542" s="7" customFormat="1" spans="33:33">
      <c r="AG1542" s="9"/>
    </row>
    <row r="1543" s="7" customFormat="1" spans="33:33">
      <c r="AG1543" s="9"/>
    </row>
    <row r="1544" s="7" customFormat="1" spans="33:33">
      <c r="AG1544" s="9"/>
    </row>
    <row r="1545" s="7" customFormat="1" spans="33:33">
      <c r="AG1545" s="9"/>
    </row>
    <row r="1546" s="7" customFormat="1" spans="33:33">
      <c r="AG1546" s="9"/>
    </row>
    <row r="1547" s="7" customFormat="1" spans="33:33">
      <c r="AG1547" s="9"/>
    </row>
    <row r="1548" s="7" customFormat="1" spans="33:33">
      <c r="AG1548" s="9"/>
    </row>
    <row r="1549" s="7" customFormat="1" spans="33:33">
      <c r="AG1549" s="9"/>
    </row>
    <row r="1550" s="7" customFormat="1" spans="33:33">
      <c r="AG1550" s="9"/>
    </row>
    <row r="1551" s="7" customFormat="1" spans="33:33">
      <c r="AG1551" s="9"/>
    </row>
    <row r="1552" s="7" customFormat="1" spans="33:33">
      <c r="AG1552" s="9"/>
    </row>
    <row r="1553" s="7" customFormat="1" spans="33:33">
      <c r="AG1553" s="9"/>
    </row>
    <row r="1554" s="7" customFormat="1" spans="33:33">
      <c r="AG1554" s="9"/>
    </row>
    <row r="1555" s="7" customFormat="1" spans="33:33">
      <c r="AG1555" s="9"/>
    </row>
    <row r="1556" s="7" customFormat="1" spans="33:33">
      <c r="AG1556" s="9"/>
    </row>
    <row r="1557" s="7" customFormat="1" spans="33:33">
      <c r="AG1557" s="9"/>
    </row>
    <row r="1558" s="7" customFormat="1" spans="33:33">
      <c r="AG1558" s="9"/>
    </row>
    <row r="1559" s="7" customFormat="1" spans="33:33">
      <c r="AG1559" s="9"/>
    </row>
    <row r="1560" s="7" customFormat="1" spans="33:33">
      <c r="AG1560" s="9"/>
    </row>
    <row r="1561" s="7" customFormat="1" spans="33:33">
      <c r="AG1561" s="9"/>
    </row>
    <row r="1562" s="7" customFormat="1" spans="33:33">
      <c r="AG1562" s="9"/>
    </row>
    <row r="1563" s="7" customFormat="1" spans="33:33">
      <c r="AG1563" s="9"/>
    </row>
    <row r="1564" s="7" customFormat="1" spans="33:33">
      <c r="AG1564" s="9"/>
    </row>
    <row r="1565" s="7" customFormat="1" spans="33:33">
      <c r="AG1565" s="9"/>
    </row>
    <row r="1566" s="7" customFormat="1" spans="33:33">
      <c r="AG1566" s="9"/>
    </row>
    <row r="1567" s="7" customFormat="1" spans="33:33">
      <c r="AG1567" s="9"/>
    </row>
    <row r="1568" s="7" customFormat="1" spans="33:33">
      <c r="AG1568" s="9"/>
    </row>
    <row r="1569" s="7" customFormat="1" spans="33:33">
      <c r="AG1569" s="9"/>
    </row>
    <row r="1570" s="7" customFormat="1" spans="33:33">
      <c r="AG1570" s="9"/>
    </row>
    <row r="1571" s="7" customFormat="1" spans="33:33">
      <c r="AG1571" s="9"/>
    </row>
    <row r="1572" s="7" customFormat="1" spans="33:33">
      <c r="AG1572" s="9"/>
    </row>
    <row r="1573" s="7" customFormat="1" spans="33:33">
      <c r="AG1573" s="9"/>
    </row>
    <row r="1574" s="7" customFormat="1" spans="33:33">
      <c r="AG1574" s="9"/>
    </row>
    <row r="1575" s="7" customFormat="1" spans="33:33">
      <c r="AG1575" s="9"/>
    </row>
    <row r="1576" s="7" customFormat="1" spans="33:33">
      <c r="AG1576" s="9"/>
    </row>
    <row r="1577" s="7" customFormat="1" spans="33:33">
      <c r="AG1577" s="9"/>
    </row>
    <row r="1578" s="7" customFormat="1" spans="33:33">
      <c r="AG1578" s="9"/>
    </row>
    <row r="1579" s="7" customFormat="1" spans="33:33">
      <c r="AG1579" s="9"/>
    </row>
    <row r="1580" s="7" customFormat="1" spans="33:33">
      <c r="AG1580" s="9"/>
    </row>
    <row r="1581" s="7" customFormat="1" spans="33:33">
      <c r="AG1581" s="9"/>
    </row>
    <row r="1582" s="7" customFormat="1" spans="33:33">
      <c r="AG1582" s="9"/>
    </row>
    <row r="1583" s="7" customFormat="1" spans="33:33">
      <c r="AG1583" s="9"/>
    </row>
    <row r="1584" s="7" customFormat="1" spans="33:33">
      <c r="AG1584" s="9"/>
    </row>
    <row r="1585" s="7" customFormat="1" spans="33:33">
      <c r="AG1585" s="9"/>
    </row>
    <row r="1586" s="7" customFormat="1" spans="33:33">
      <c r="AG1586" s="9"/>
    </row>
    <row r="1587" s="7" customFormat="1" spans="33:33">
      <c r="AG1587" s="9"/>
    </row>
    <row r="1588" s="7" customFormat="1" spans="33:33">
      <c r="AG1588" s="9"/>
    </row>
    <row r="1589" s="7" customFormat="1" spans="33:33">
      <c r="AG1589" s="9"/>
    </row>
    <row r="1590" s="7" customFormat="1" spans="33:33">
      <c r="AG1590" s="9"/>
    </row>
    <row r="1591" s="7" customFormat="1" spans="33:33">
      <c r="AG1591" s="9"/>
    </row>
    <row r="1592" s="7" customFormat="1" spans="33:33">
      <c r="AG1592" s="9"/>
    </row>
    <row r="1593" s="7" customFormat="1" spans="33:33">
      <c r="AG1593" s="9"/>
    </row>
    <row r="1594" s="7" customFormat="1" spans="33:33">
      <c r="AG1594" s="9"/>
    </row>
    <row r="1595" s="7" customFormat="1" spans="33:33">
      <c r="AG1595" s="9"/>
    </row>
    <row r="1596" s="7" customFormat="1" spans="33:33">
      <c r="AG1596" s="9"/>
    </row>
    <row r="1597" s="7" customFormat="1" spans="33:33">
      <c r="AG1597" s="9"/>
    </row>
    <row r="1598" s="7" customFormat="1" spans="33:33">
      <c r="AG1598" s="9"/>
    </row>
    <row r="1599" s="7" customFormat="1" spans="33:33">
      <c r="AG1599" s="9"/>
    </row>
    <row r="1600" s="7" customFormat="1" spans="33:33">
      <c r="AG1600" s="9"/>
    </row>
    <row r="1601" s="7" customFormat="1" spans="33:33">
      <c r="AG1601" s="9"/>
    </row>
    <row r="1602" s="7" customFormat="1" spans="33:33">
      <c r="AG1602" s="9"/>
    </row>
    <row r="1603" s="7" customFormat="1" spans="33:33">
      <c r="AG1603" s="9"/>
    </row>
    <row r="1604" s="7" customFormat="1" spans="33:33">
      <c r="AG1604" s="9"/>
    </row>
    <row r="1605" s="7" customFormat="1" spans="33:33">
      <c r="AG1605" s="9"/>
    </row>
    <row r="1606" s="7" customFormat="1" spans="33:33">
      <c r="AG1606" s="9"/>
    </row>
    <row r="1607" s="7" customFormat="1" spans="33:33">
      <c r="AG1607" s="9"/>
    </row>
    <row r="1608" s="7" customFormat="1" spans="33:33">
      <c r="AG1608" s="9"/>
    </row>
    <row r="1609" s="7" customFormat="1" spans="33:33">
      <c r="AG1609" s="9"/>
    </row>
    <row r="1610" s="7" customFormat="1" spans="33:33">
      <c r="AG1610" s="9"/>
    </row>
    <row r="1611" s="7" customFormat="1" spans="33:33">
      <c r="AG1611" s="9"/>
    </row>
    <row r="1612" s="7" customFormat="1" spans="33:33">
      <c r="AG1612" s="9"/>
    </row>
    <row r="1613" s="7" customFormat="1" spans="33:33">
      <c r="AG1613" s="9"/>
    </row>
    <row r="1614" s="7" customFormat="1" spans="33:33">
      <c r="AG1614" s="9"/>
    </row>
    <row r="1615" s="7" customFormat="1" spans="33:33">
      <c r="AG1615" s="9"/>
    </row>
    <row r="1616" s="7" customFormat="1" spans="33:33">
      <c r="AG1616" s="9"/>
    </row>
    <row r="1617" s="7" customFormat="1" spans="33:33">
      <c r="AG1617" s="9"/>
    </row>
    <row r="1618" s="7" customFormat="1" spans="33:33">
      <c r="AG1618" s="9"/>
    </row>
    <row r="1619" s="7" customFormat="1" spans="33:33">
      <c r="AG1619" s="9"/>
    </row>
    <row r="1620" s="7" customFormat="1" spans="33:33">
      <c r="AG1620" s="9"/>
    </row>
    <row r="1621" s="7" customFormat="1" spans="33:33">
      <c r="AG1621" s="9"/>
    </row>
    <row r="1622" s="7" customFormat="1" spans="33:33">
      <c r="AG1622" s="9"/>
    </row>
    <row r="1623" s="7" customFormat="1" spans="33:33">
      <c r="AG1623" s="9"/>
    </row>
    <row r="1624" s="7" customFormat="1" spans="33:33">
      <c r="AG1624" s="9"/>
    </row>
    <row r="1625" s="7" customFormat="1" spans="33:33">
      <c r="AG1625" s="9"/>
    </row>
    <row r="1626" s="7" customFormat="1" spans="33:33">
      <c r="AG1626" s="9"/>
    </row>
    <row r="1627" s="7" customFormat="1" spans="33:33">
      <c r="AG1627" s="9"/>
    </row>
    <row r="1628" s="7" customFormat="1" spans="33:33">
      <c r="AG1628" s="9"/>
    </row>
    <row r="1629" s="7" customFormat="1" spans="33:33">
      <c r="AG1629" s="9"/>
    </row>
    <row r="1630" s="7" customFormat="1" spans="33:33">
      <c r="AG1630" s="9"/>
    </row>
    <row r="1631" s="7" customFormat="1" spans="33:33">
      <c r="AG1631" s="9"/>
    </row>
    <row r="1632" s="7" customFormat="1" spans="33:33">
      <c r="AG1632" s="9"/>
    </row>
    <row r="1633" s="7" customFormat="1" spans="33:33">
      <c r="AG1633" s="9"/>
    </row>
    <row r="1634" s="7" customFormat="1" spans="33:33">
      <c r="AG1634" s="9"/>
    </row>
    <row r="1635" s="7" customFormat="1" spans="33:33">
      <c r="AG1635" s="9"/>
    </row>
    <row r="1636" s="7" customFormat="1" spans="33:33">
      <c r="AG1636" s="9"/>
    </row>
    <row r="1637" s="7" customFormat="1" spans="33:33">
      <c r="AG1637" s="9"/>
    </row>
    <row r="1638" s="7" customFormat="1" spans="33:33">
      <c r="AG1638" s="9"/>
    </row>
    <row r="1639" s="7" customFormat="1" spans="33:33">
      <c r="AG1639" s="9"/>
    </row>
    <row r="1640" s="7" customFormat="1" spans="33:33">
      <c r="AG1640" s="9"/>
    </row>
    <row r="1641" s="7" customFormat="1" spans="33:33">
      <c r="AG1641" s="9"/>
    </row>
    <row r="1642" s="7" customFormat="1" spans="33:33">
      <c r="AG1642" s="9"/>
    </row>
    <row r="1643" s="7" customFormat="1" spans="33:33">
      <c r="AG1643" s="9"/>
    </row>
    <row r="1644" s="7" customFormat="1" spans="33:33">
      <c r="AG1644" s="9"/>
    </row>
    <row r="1645" s="7" customFormat="1" spans="33:33">
      <c r="AG1645" s="9"/>
    </row>
    <row r="1646" s="7" customFormat="1" spans="33:33">
      <c r="AG1646" s="9"/>
    </row>
    <row r="1647" s="7" customFormat="1" spans="33:33">
      <c r="AG1647" s="9"/>
    </row>
    <row r="1648" s="7" customFormat="1" spans="33:33">
      <c r="AG1648" s="9"/>
    </row>
    <row r="1649" s="7" customFormat="1" spans="33:33">
      <c r="AG1649" s="9"/>
    </row>
    <row r="1650" s="7" customFormat="1" spans="33:33">
      <c r="AG1650" s="9"/>
    </row>
    <row r="1651" s="7" customFormat="1" spans="33:33">
      <c r="AG1651" s="9"/>
    </row>
    <row r="1652" s="7" customFormat="1" spans="33:33">
      <c r="AG1652" s="9"/>
    </row>
    <row r="1653" s="7" customFormat="1" spans="33:33">
      <c r="AG1653" s="9"/>
    </row>
    <row r="1654" s="7" customFormat="1" spans="33:33">
      <c r="AG1654" s="9"/>
    </row>
    <row r="1655" s="7" customFormat="1" spans="33:33">
      <c r="AG1655" s="9"/>
    </row>
    <row r="1656" s="7" customFormat="1" spans="33:33">
      <c r="AG1656" s="9"/>
    </row>
    <row r="1657" s="7" customFormat="1" spans="33:33">
      <c r="AG1657" s="9"/>
    </row>
    <row r="1658" s="7" customFormat="1" spans="33:33">
      <c r="AG1658" s="9"/>
    </row>
    <row r="1659" s="7" customFormat="1" spans="33:33">
      <c r="AG1659" s="9"/>
    </row>
    <row r="1660" s="7" customFormat="1" spans="33:33">
      <c r="AG1660" s="9"/>
    </row>
    <row r="1661" s="7" customFormat="1" spans="33:33">
      <c r="AG1661" s="9"/>
    </row>
    <row r="1662" s="7" customFormat="1" spans="33:33">
      <c r="AG1662" s="9"/>
    </row>
    <row r="1663" s="7" customFormat="1" spans="33:33">
      <c r="AG1663" s="9"/>
    </row>
    <row r="1664" s="7" customFormat="1" spans="33:33">
      <c r="AG1664" s="9"/>
    </row>
    <row r="1665" s="7" customFormat="1" spans="33:33">
      <c r="AG1665" s="9"/>
    </row>
    <row r="1666" s="7" customFormat="1" spans="33:33">
      <c r="AG1666" s="9"/>
    </row>
    <row r="1667" s="7" customFormat="1" spans="33:33">
      <c r="AG1667" s="9"/>
    </row>
    <row r="1668" s="7" customFormat="1" spans="33:33">
      <c r="AG1668" s="9"/>
    </row>
    <row r="1669" s="7" customFormat="1" spans="33:33">
      <c r="AG1669" s="9"/>
    </row>
    <row r="1670" s="7" customFormat="1" spans="33:33">
      <c r="AG1670" s="9"/>
    </row>
    <row r="1671" s="7" customFormat="1" spans="33:33">
      <c r="AG1671" s="9"/>
    </row>
    <row r="1672" s="7" customFormat="1" spans="33:33">
      <c r="AG1672" s="9"/>
    </row>
    <row r="1673" s="7" customFormat="1" spans="33:33">
      <c r="AG1673" s="9"/>
    </row>
    <row r="1674" s="7" customFormat="1" spans="33:33">
      <c r="AG1674" s="9"/>
    </row>
    <row r="1675" s="7" customFormat="1" spans="33:33">
      <c r="AG1675" s="9"/>
    </row>
    <row r="1676" s="7" customFormat="1" spans="33:33">
      <c r="AG1676" s="9"/>
    </row>
    <row r="1677" s="7" customFormat="1" spans="33:33">
      <c r="AG1677" s="9"/>
    </row>
    <row r="1678" s="7" customFormat="1" spans="33:33">
      <c r="AG1678" s="9"/>
    </row>
    <row r="1679" s="7" customFormat="1" spans="33:33">
      <c r="AG1679" s="9"/>
    </row>
    <row r="1680" s="7" customFormat="1" spans="33:33">
      <c r="AG1680" s="9"/>
    </row>
    <row r="1681" s="7" customFormat="1" spans="33:33">
      <c r="AG1681" s="9"/>
    </row>
    <row r="1682" s="7" customFormat="1" spans="33:33">
      <c r="AG1682" s="9"/>
    </row>
    <row r="1683" s="7" customFormat="1" spans="33:33">
      <c r="AG1683" s="9"/>
    </row>
    <row r="1684" s="7" customFormat="1" spans="33:33">
      <c r="AG1684" s="9"/>
    </row>
    <row r="1685" s="7" customFormat="1" spans="33:33">
      <c r="AG1685" s="9"/>
    </row>
    <row r="1686" s="7" customFormat="1" spans="33:33">
      <c r="AG1686" s="9"/>
    </row>
    <row r="1687" s="7" customFormat="1" spans="33:33">
      <c r="AG1687" s="9"/>
    </row>
    <row r="1688" s="7" customFormat="1" spans="33:33">
      <c r="AG1688" s="9"/>
    </row>
    <row r="1689" s="7" customFormat="1" spans="33:33">
      <c r="AG1689" s="9"/>
    </row>
    <row r="1690" s="7" customFormat="1" spans="33:33">
      <c r="AG1690" s="9"/>
    </row>
    <row r="1691" s="7" customFormat="1" spans="33:33">
      <c r="AG1691" s="9"/>
    </row>
    <row r="1692" s="7" customFormat="1" spans="33:33">
      <c r="AG1692" s="9"/>
    </row>
    <row r="1693" s="7" customFormat="1" spans="33:33">
      <c r="AG1693" s="9"/>
    </row>
    <row r="1694" s="7" customFormat="1" spans="33:33">
      <c r="AG1694" s="9"/>
    </row>
    <row r="1695" s="7" customFormat="1" spans="33:33">
      <c r="AG1695" s="9"/>
    </row>
    <row r="1696" s="7" customFormat="1" spans="33:33">
      <c r="AG1696" s="9"/>
    </row>
    <row r="1697" s="7" customFormat="1" spans="33:33">
      <c r="AG1697" s="9"/>
    </row>
    <row r="1698" s="7" customFormat="1" spans="33:33">
      <c r="AG1698" s="9"/>
    </row>
    <row r="1699" s="7" customFormat="1" spans="33:33">
      <c r="AG1699" s="9"/>
    </row>
    <row r="1700" s="7" customFormat="1" spans="33:33">
      <c r="AG1700" s="9"/>
    </row>
    <row r="1701" s="7" customFormat="1" spans="33:33">
      <c r="AG1701" s="9"/>
    </row>
    <row r="1702" s="7" customFormat="1" spans="33:33">
      <c r="AG1702" s="9"/>
    </row>
    <row r="1703" s="7" customFormat="1" spans="33:33">
      <c r="AG1703" s="9"/>
    </row>
    <row r="1704" s="7" customFormat="1" spans="33:33">
      <c r="AG1704" s="9"/>
    </row>
    <row r="1705" s="7" customFormat="1" spans="33:33">
      <c r="AG1705" s="9"/>
    </row>
    <row r="1706" s="7" customFormat="1" spans="33:33">
      <c r="AG1706" s="9"/>
    </row>
    <row r="1707" s="7" customFormat="1" spans="33:33">
      <c r="AG1707" s="9"/>
    </row>
    <row r="1708" s="7" customFormat="1" spans="33:33">
      <c r="AG1708" s="9"/>
    </row>
    <row r="1709" s="7" customFormat="1" spans="33:33">
      <c r="AG1709" s="9"/>
    </row>
    <row r="1710" s="7" customFormat="1" spans="33:33">
      <c r="AG1710" s="9"/>
    </row>
    <row r="1711" s="7" customFormat="1" spans="33:33">
      <c r="AG1711" s="9"/>
    </row>
    <row r="1712" s="7" customFormat="1" spans="33:33">
      <c r="AG1712" s="9"/>
    </row>
    <row r="1713" s="7" customFormat="1" spans="33:33">
      <c r="AG1713" s="9"/>
    </row>
    <row r="1714" s="7" customFormat="1" spans="33:33">
      <c r="AG1714" s="9"/>
    </row>
    <row r="1715" s="7" customFormat="1" spans="33:33">
      <c r="AG1715" s="9"/>
    </row>
    <row r="1716" s="7" customFormat="1" spans="33:33">
      <c r="AG1716" s="9"/>
    </row>
    <row r="1717" s="7" customFormat="1" spans="33:33">
      <c r="AG1717" s="9"/>
    </row>
    <row r="1718" s="7" customFormat="1" spans="33:33">
      <c r="AG1718" s="9"/>
    </row>
    <row r="1719" s="7" customFormat="1" spans="33:33">
      <c r="AG1719" s="9"/>
    </row>
    <row r="1720" s="7" customFormat="1" spans="33:33">
      <c r="AG1720" s="9"/>
    </row>
    <row r="1721" s="7" customFormat="1" spans="33:33">
      <c r="AG1721" s="9"/>
    </row>
    <row r="1722" s="7" customFormat="1" spans="33:33">
      <c r="AG1722" s="9"/>
    </row>
    <row r="1723" s="7" customFormat="1" spans="33:33">
      <c r="AG1723" s="9"/>
    </row>
    <row r="1724" s="7" customFormat="1" spans="33:33">
      <c r="AG1724" s="9"/>
    </row>
    <row r="1725" s="7" customFormat="1" spans="33:33">
      <c r="AG1725" s="9"/>
    </row>
    <row r="1726" s="7" customFormat="1" spans="33:33">
      <c r="AG1726" s="9"/>
    </row>
    <row r="1727" s="7" customFormat="1" spans="33:33">
      <c r="AG1727" s="9"/>
    </row>
    <row r="1728" s="7" customFormat="1" spans="33:33">
      <c r="AG1728" s="9"/>
    </row>
    <row r="1729" s="7" customFormat="1" spans="33:33">
      <c r="AG1729" s="9"/>
    </row>
    <row r="1730" s="7" customFormat="1" spans="33:33">
      <c r="AG1730" s="9"/>
    </row>
    <row r="1731" s="7" customFormat="1" spans="33:33">
      <c r="AG1731" s="9"/>
    </row>
    <row r="1732" s="7" customFormat="1" spans="33:33">
      <c r="AG1732" s="9"/>
    </row>
    <row r="1733" s="7" customFormat="1" spans="33:33">
      <c r="AG1733" s="9"/>
    </row>
    <row r="1734" s="7" customFormat="1" spans="33:33">
      <c r="AG1734" s="9"/>
    </row>
    <row r="1735" s="7" customFormat="1" spans="33:33">
      <c r="AG1735" s="9"/>
    </row>
    <row r="1736" s="7" customFormat="1" spans="33:33">
      <c r="AG1736" s="9"/>
    </row>
    <row r="1737" s="7" customFormat="1" spans="33:33">
      <c r="AG1737" s="9"/>
    </row>
    <row r="1738" s="7" customFormat="1" spans="33:33">
      <c r="AG1738" s="9"/>
    </row>
    <row r="1739" s="7" customFormat="1" spans="33:33">
      <c r="AG1739" s="9"/>
    </row>
    <row r="1740" s="7" customFormat="1" spans="33:33">
      <c r="AG1740" s="9"/>
    </row>
    <row r="1741" s="7" customFormat="1" spans="33:33">
      <c r="AG1741" s="9"/>
    </row>
    <row r="1742" s="7" customFormat="1" spans="33:33">
      <c r="AG1742" s="9"/>
    </row>
    <row r="1743" s="7" customFormat="1" spans="33:33">
      <c r="AG1743" s="9"/>
    </row>
    <row r="1744" s="7" customFormat="1" spans="33:33">
      <c r="AG1744" s="9"/>
    </row>
    <row r="1745" s="7" customFormat="1" spans="33:33">
      <c r="AG1745" s="9"/>
    </row>
    <row r="1746" s="7" customFormat="1" spans="33:33">
      <c r="AG1746" s="9"/>
    </row>
    <row r="1747" s="7" customFormat="1" spans="33:33">
      <c r="AG1747" s="9"/>
    </row>
    <row r="1748" s="7" customFormat="1" spans="33:33">
      <c r="AG1748" s="9"/>
    </row>
    <row r="1749" s="7" customFormat="1" spans="33:33">
      <c r="AG1749" s="9"/>
    </row>
    <row r="1750" s="7" customFormat="1" spans="33:33">
      <c r="AG1750" s="9"/>
    </row>
    <row r="1751" s="7" customFormat="1" spans="33:33">
      <c r="AG1751" s="9"/>
    </row>
    <row r="1752" s="7" customFormat="1" spans="33:33">
      <c r="AG1752" s="9"/>
    </row>
    <row r="1753" s="7" customFormat="1" spans="33:33">
      <c r="AG1753" s="9"/>
    </row>
    <row r="1754" s="7" customFormat="1" spans="33:33">
      <c r="AG1754" s="9"/>
    </row>
    <row r="1755" s="7" customFormat="1" spans="33:33">
      <c r="AG1755" s="9"/>
    </row>
    <row r="1756" s="7" customFormat="1" spans="33:33">
      <c r="AG1756" s="9"/>
    </row>
    <row r="1757" s="7" customFormat="1" spans="33:33">
      <c r="AG1757" s="9"/>
    </row>
    <row r="1758" s="7" customFormat="1" spans="33:33">
      <c r="AG1758" s="9"/>
    </row>
    <row r="1759" s="7" customFormat="1" spans="33:33">
      <c r="AG1759" s="9"/>
    </row>
    <row r="1760" s="7" customFormat="1" spans="33:33">
      <c r="AG1760" s="9"/>
    </row>
    <row r="1761" s="7" customFormat="1" spans="33:33">
      <c r="AG1761" s="9"/>
    </row>
    <row r="1762" s="7" customFormat="1" spans="33:33">
      <c r="AG1762" s="9"/>
    </row>
    <row r="1763" s="7" customFormat="1" spans="33:33">
      <c r="AG1763" s="9"/>
    </row>
    <row r="1764" s="7" customFormat="1" spans="33:33">
      <c r="AG1764" s="9"/>
    </row>
    <row r="1765" s="7" customFormat="1" spans="33:33">
      <c r="AG1765" s="9"/>
    </row>
    <row r="1766" s="7" customFormat="1" spans="33:33">
      <c r="AG1766" s="9"/>
    </row>
    <row r="1767" s="7" customFormat="1" spans="33:33">
      <c r="AG1767" s="9"/>
    </row>
    <row r="1768" s="7" customFormat="1" spans="33:33">
      <c r="AG1768" s="9"/>
    </row>
    <row r="1769" s="7" customFormat="1" spans="33:33">
      <c r="AG1769" s="9"/>
    </row>
    <row r="1770" s="7" customFormat="1" spans="33:33">
      <c r="AG1770" s="9"/>
    </row>
    <row r="1771" s="7" customFormat="1" spans="33:33">
      <c r="AG1771" s="9"/>
    </row>
    <row r="1772" s="7" customFormat="1" spans="33:33">
      <c r="AG1772" s="9"/>
    </row>
    <row r="1773" s="7" customFormat="1" spans="33:33">
      <c r="AG1773" s="9"/>
    </row>
    <row r="1774" s="7" customFormat="1" spans="33:33">
      <c r="AG1774" s="9"/>
    </row>
    <row r="1775" s="7" customFormat="1" spans="33:33">
      <c r="AG1775" s="9"/>
    </row>
    <row r="1776" s="7" customFormat="1" spans="33:33">
      <c r="AG1776" s="9"/>
    </row>
    <row r="1777" s="7" customFormat="1" spans="33:33">
      <c r="AG1777" s="9"/>
    </row>
    <row r="1778" s="7" customFormat="1" spans="33:33">
      <c r="AG1778" s="9"/>
    </row>
    <row r="1779" s="7" customFormat="1" spans="33:33">
      <c r="AG1779" s="9"/>
    </row>
    <row r="1780" s="7" customFormat="1" spans="33:33">
      <c r="AG1780" s="9"/>
    </row>
    <row r="1781" s="7" customFormat="1" spans="33:33">
      <c r="AG1781" s="9"/>
    </row>
    <row r="1782" s="7" customFormat="1" spans="33:33">
      <c r="AG1782" s="9"/>
    </row>
    <row r="1783" s="7" customFormat="1" spans="33:33">
      <c r="AG1783" s="9"/>
    </row>
    <row r="1784" s="7" customFormat="1" spans="33:33">
      <c r="AG1784" s="9"/>
    </row>
    <row r="1785" s="7" customFormat="1" spans="33:33">
      <c r="AG1785" s="9"/>
    </row>
    <row r="1786" s="7" customFormat="1" spans="33:33">
      <c r="AG1786" s="9"/>
    </row>
    <row r="1787" s="7" customFormat="1" spans="33:33">
      <c r="AG1787" s="9"/>
    </row>
    <row r="1788" s="7" customFormat="1" spans="33:33">
      <c r="AG1788" s="9"/>
    </row>
    <row r="1789" s="7" customFormat="1" spans="33:33">
      <c r="AG1789" s="9"/>
    </row>
    <row r="1790" s="7" customFormat="1" spans="33:33">
      <c r="AG1790" s="9"/>
    </row>
    <row r="1791" s="7" customFormat="1" spans="33:33">
      <c r="AG1791" s="9"/>
    </row>
    <row r="1792" s="7" customFormat="1" spans="33:33">
      <c r="AG1792" s="9"/>
    </row>
    <row r="1793" s="7" customFormat="1" spans="33:33">
      <c r="AG1793" s="9"/>
    </row>
    <row r="1794" s="7" customFormat="1" spans="33:33">
      <c r="AG1794" s="9"/>
    </row>
    <row r="1795" s="7" customFormat="1" spans="33:33">
      <c r="AG1795" s="9"/>
    </row>
    <row r="1796" s="7" customFormat="1" spans="33:33">
      <c r="AG1796" s="9"/>
    </row>
    <row r="1797" s="7" customFormat="1" spans="33:33">
      <c r="AG1797" s="9"/>
    </row>
    <row r="1798" s="7" customFormat="1" spans="33:33">
      <c r="AG1798" s="9"/>
    </row>
    <row r="1799" s="7" customFormat="1" spans="33:33">
      <c r="AG1799" s="9"/>
    </row>
    <row r="1800" s="7" customFormat="1" spans="33:33">
      <c r="AG1800" s="9"/>
    </row>
    <row r="1801" s="7" customFormat="1" spans="33:33">
      <c r="AG1801" s="9"/>
    </row>
    <row r="1802" s="7" customFormat="1" spans="33:33">
      <c r="AG1802" s="9"/>
    </row>
    <row r="1803" s="7" customFormat="1" spans="33:33">
      <c r="AG1803" s="9"/>
    </row>
    <row r="1804" s="7" customFormat="1" spans="33:33">
      <c r="AG1804" s="9"/>
    </row>
    <row r="1805" s="7" customFormat="1" spans="33:33">
      <c r="AG1805" s="9"/>
    </row>
    <row r="1806" s="7" customFormat="1" spans="33:33">
      <c r="AG1806" s="9"/>
    </row>
    <row r="1807" s="7" customFormat="1" spans="33:33">
      <c r="AG1807" s="9"/>
    </row>
    <row r="1808" s="7" customFormat="1" spans="33:33">
      <c r="AG1808" s="9"/>
    </row>
    <row r="1809" s="7" customFormat="1" spans="33:33">
      <c r="AG1809" s="9"/>
    </row>
    <row r="1810" s="7" customFormat="1" spans="33:33">
      <c r="AG1810" s="9"/>
    </row>
    <row r="1811" s="7" customFormat="1" spans="33:33">
      <c r="AG1811" s="9"/>
    </row>
    <row r="1812" s="7" customFormat="1" spans="33:33">
      <c r="AG1812" s="9"/>
    </row>
    <row r="1813" s="7" customFormat="1" spans="33:33">
      <c r="AG1813" s="9"/>
    </row>
    <row r="1814" s="7" customFormat="1" spans="33:33">
      <c r="AG1814" s="9"/>
    </row>
    <row r="1815" s="7" customFormat="1" spans="33:33">
      <c r="AG1815" s="9"/>
    </row>
    <row r="1816" s="7" customFormat="1" spans="33:33">
      <c r="AG1816" s="9"/>
    </row>
    <row r="1817" s="7" customFormat="1" spans="33:33">
      <c r="AG1817" s="9"/>
    </row>
    <row r="1818" s="7" customFormat="1" spans="33:33">
      <c r="AG1818" s="9"/>
    </row>
    <row r="1819" s="7" customFormat="1" spans="33:33">
      <c r="AG1819" s="9"/>
    </row>
    <row r="1820" s="7" customFormat="1" spans="33:33">
      <c r="AG1820" s="9"/>
    </row>
    <row r="1821" s="7" customFormat="1" spans="33:33">
      <c r="AG1821" s="9"/>
    </row>
    <row r="1822" s="7" customFormat="1" spans="33:33">
      <c r="AG1822" s="9"/>
    </row>
    <row r="1823" s="7" customFormat="1" spans="33:33">
      <c r="AG1823" s="9"/>
    </row>
    <row r="1824" s="7" customFormat="1" spans="33:33">
      <c r="AG1824" s="9"/>
    </row>
    <row r="1825" s="7" customFormat="1" spans="33:33">
      <c r="AG1825" s="9"/>
    </row>
    <row r="1826" s="7" customFormat="1" spans="33:33">
      <c r="AG1826" s="9"/>
    </row>
    <row r="1827" s="7" customFormat="1" spans="33:33">
      <c r="AG1827" s="9"/>
    </row>
    <row r="1828" s="7" customFormat="1" spans="33:33">
      <c r="AG1828" s="9"/>
    </row>
    <row r="1829" s="7" customFormat="1" spans="33:33">
      <c r="AG1829" s="9"/>
    </row>
    <row r="1830" s="7" customFormat="1" spans="33:33">
      <c r="AG1830" s="9"/>
    </row>
    <row r="1831" s="7" customFormat="1" spans="33:33">
      <c r="AG1831" s="9"/>
    </row>
    <row r="1832" s="7" customFormat="1" spans="33:33">
      <c r="AG1832" s="9"/>
    </row>
    <row r="1833" s="7" customFormat="1" spans="33:33">
      <c r="AG1833" s="9"/>
    </row>
    <row r="1834" s="7" customFormat="1" spans="33:33">
      <c r="AG1834" s="9"/>
    </row>
    <row r="1835" s="7" customFormat="1" spans="33:33">
      <c r="AG1835" s="9"/>
    </row>
    <row r="1836" s="7" customFormat="1" spans="33:33">
      <c r="AG1836" s="9"/>
    </row>
    <row r="1837" s="7" customFormat="1" spans="33:33">
      <c r="AG1837" s="9"/>
    </row>
    <row r="1838" s="7" customFormat="1" spans="33:33">
      <c r="AG1838" s="9"/>
    </row>
    <row r="1839" s="7" customFormat="1" spans="33:33">
      <c r="AG1839" s="9"/>
    </row>
    <row r="1840" s="7" customFormat="1" spans="33:33">
      <c r="AG1840" s="9"/>
    </row>
    <row r="1841" s="7" customFormat="1" spans="33:33">
      <c r="AG1841" s="9"/>
    </row>
    <row r="1842" s="7" customFormat="1" spans="33:33">
      <c r="AG1842" s="9"/>
    </row>
    <row r="1843" s="7" customFormat="1" spans="33:33">
      <c r="AG1843" s="9"/>
    </row>
    <row r="1844" s="7" customFormat="1" spans="33:33">
      <c r="AG1844" s="9"/>
    </row>
    <row r="1845" s="7" customFormat="1" spans="33:33">
      <c r="AG1845" s="9"/>
    </row>
    <row r="1846" s="7" customFormat="1" spans="33:33">
      <c r="AG1846" s="9"/>
    </row>
    <row r="1847" s="7" customFormat="1" spans="33:33">
      <c r="AG1847" s="9"/>
    </row>
    <row r="1848" s="7" customFormat="1" spans="33:33">
      <c r="AG1848" s="9"/>
    </row>
    <row r="1849" s="7" customFormat="1" spans="33:33">
      <c r="AG1849" s="9"/>
    </row>
    <row r="1850" s="7" customFormat="1" spans="33:33">
      <c r="AG1850" s="9"/>
    </row>
    <row r="1851" s="7" customFormat="1" spans="33:33">
      <c r="AG1851" s="9"/>
    </row>
    <row r="1852" s="7" customFormat="1" spans="33:33">
      <c r="AG1852" s="9"/>
    </row>
    <row r="1853" s="7" customFormat="1" spans="33:33">
      <c r="AG1853" s="9"/>
    </row>
    <row r="1854" s="7" customFormat="1" spans="33:33">
      <c r="AG1854" s="9"/>
    </row>
    <row r="1855" s="7" customFormat="1" spans="33:33">
      <c r="AG1855" s="9"/>
    </row>
    <row r="1856" s="7" customFormat="1" spans="33:33">
      <c r="AG1856" s="9"/>
    </row>
    <row r="1857" s="7" customFormat="1" spans="33:33">
      <c r="AG1857" s="9"/>
    </row>
    <row r="1858" s="7" customFormat="1" spans="33:33">
      <c r="AG1858" s="9"/>
    </row>
    <row r="1859" s="7" customFormat="1" spans="33:33">
      <c r="AG1859" s="9"/>
    </row>
    <row r="1860" s="7" customFormat="1" spans="33:33">
      <c r="AG1860" s="9"/>
    </row>
    <row r="1861" s="7" customFormat="1" spans="33:33">
      <c r="AG1861" s="9"/>
    </row>
    <row r="1862" s="7" customFormat="1" spans="33:33">
      <c r="AG1862" s="9"/>
    </row>
    <row r="1863" s="7" customFormat="1" spans="33:33">
      <c r="AG1863" s="9"/>
    </row>
    <row r="1864" s="7" customFormat="1" spans="33:33">
      <c r="AG1864" s="9"/>
    </row>
    <row r="1865" s="7" customFormat="1" spans="33:33">
      <c r="AG1865" s="9"/>
    </row>
    <row r="1866" s="7" customFormat="1" spans="33:33">
      <c r="AG1866" s="9"/>
    </row>
    <row r="1867" s="7" customFormat="1" spans="33:33">
      <c r="AG1867" s="9"/>
    </row>
    <row r="1868" s="7" customFormat="1" spans="33:33">
      <c r="AG1868" s="9"/>
    </row>
    <row r="1869" s="7" customFormat="1" spans="33:33">
      <c r="AG1869" s="9"/>
    </row>
    <row r="1870" s="7" customFormat="1" spans="33:33">
      <c r="AG1870" s="9"/>
    </row>
    <row r="1871" s="7" customFormat="1" spans="33:33">
      <c r="AG1871" s="9"/>
    </row>
    <row r="1872" s="7" customFormat="1" spans="33:33">
      <c r="AG1872" s="9"/>
    </row>
    <row r="1873" s="7" customFormat="1" spans="33:33">
      <c r="AG1873" s="9"/>
    </row>
    <row r="1874" s="7" customFormat="1" spans="33:33">
      <c r="AG1874" s="9"/>
    </row>
    <row r="1875" s="7" customFormat="1" spans="33:33">
      <c r="AG1875" s="9"/>
    </row>
    <row r="1876" s="7" customFormat="1" spans="33:33">
      <c r="AG1876" s="9"/>
    </row>
    <row r="1877" s="7" customFormat="1" spans="33:33">
      <c r="AG1877" s="9"/>
    </row>
    <row r="1878" s="7" customFormat="1" spans="33:33">
      <c r="AG1878" s="9"/>
    </row>
    <row r="1879" s="7" customFormat="1" spans="33:33">
      <c r="AG1879" s="9"/>
    </row>
    <row r="1880" s="7" customFormat="1" spans="33:33">
      <c r="AG1880" s="9"/>
    </row>
    <row r="1881" s="7" customFormat="1" spans="33:33">
      <c r="AG1881" s="9"/>
    </row>
    <row r="1882" s="7" customFormat="1" spans="33:33">
      <c r="AG1882" s="9"/>
    </row>
    <row r="1883" s="7" customFormat="1" spans="33:33">
      <c r="AG1883" s="9"/>
    </row>
    <row r="1884" s="7" customFormat="1" spans="33:33">
      <c r="AG1884" s="9"/>
    </row>
    <row r="1885" s="7" customFormat="1" spans="33:33">
      <c r="AG1885" s="9"/>
    </row>
    <row r="1886" s="7" customFormat="1" spans="33:33">
      <c r="AG1886" s="9"/>
    </row>
    <row r="1887" s="7" customFormat="1" spans="33:33">
      <c r="AG1887" s="9"/>
    </row>
    <row r="1888" s="7" customFormat="1" spans="33:33">
      <c r="AG1888" s="9"/>
    </row>
    <row r="1889" s="7" customFormat="1" spans="33:33">
      <c r="AG1889" s="9"/>
    </row>
    <row r="1890" s="7" customFormat="1" spans="33:33">
      <c r="AG1890" s="9"/>
    </row>
    <row r="1891" s="7" customFormat="1" spans="33:33">
      <c r="AG1891" s="9"/>
    </row>
    <row r="1892" s="7" customFormat="1" spans="33:33">
      <c r="AG1892" s="9"/>
    </row>
    <row r="1893" s="7" customFormat="1" spans="33:33">
      <c r="AG1893" s="9"/>
    </row>
    <row r="1894" s="7" customFormat="1" spans="33:33">
      <c r="AG1894" s="9"/>
    </row>
    <row r="1895" s="7" customFormat="1" spans="33:33">
      <c r="AG1895" s="9"/>
    </row>
    <row r="1896" s="7" customFormat="1" spans="33:33">
      <c r="AG1896" s="9"/>
    </row>
    <row r="1897" s="7" customFormat="1" spans="33:33">
      <c r="AG1897" s="9"/>
    </row>
    <row r="1898" s="7" customFormat="1" spans="33:33">
      <c r="AG1898" s="9"/>
    </row>
    <row r="1899" s="7" customFormat="1" spans="33:33">
      <c r="AG1899" s="9"/>
    </row>
    <row r="1900" s="7" customFormat="1" spans="33:33">
      <c r="AG1900" s="9"/>
    </row>
    <row r="1901" s="7" customFormat="1" spans="33:33">
      <c r="AG1901" s="9"/>
    </row>
    <row r="1902" s="7" customFormat="1" spans="33:33">
      <c r="AG1902" s="9"/>
    </row>
    <row r="1903" s="7" customFormat="1" spans="33:33">
      <c r="AG1903" s="9"/>
    </row>
    <row r="1904" s="7" customFormat="1" spans="33:33">
      <c r="AG1904" s="9"/>
    </row>
    <row r="1905" s="7" customFormat="1" spans="33:33">
      <c r="AG1905" s="9"/>
    </row>
    <row r="1906" s="7" customFormat="1" spans="33:33">
      <c r="AG1906" s="9"/>
    </row>
    <row r="1907" s="7" customFormat="1" spans="33:33">
      <c r="AG1907" s="9"/>
    </row>
    <row r="1908" s="7" customFormat="1" spans="33:33">
      <c r="AG1908" s="9"/>
    </row>
    <row r="1909" s="7" customFormat="1" spans="33:33">
      <c r="AG1909" s="9"/>
    </row>
    <row r="1910" s="7" customFormat="1" spans="33:33">
      <c r="AG1910" s="9"/>
    </row>
    <row r="1911" s="7" customFormat="1" spans="33:33">
      <c r="AG1911" s="9"/>
    </row>
    <row r="1912" s="7" customFormat="1" spans="33:33">
      <c r="AG1912" s="9"/>
    </row>
    <row r="1913" s="7" customFormat="1" spans="33:33">
      <c r="AG1913" s="9"/>
    </row>
    <row r="1914" s="7" customFormat="1" spans="33:33">
      <c r="AG1914" s="9"/>
    </row>
    <row r="1915" s="7" customFormat="1" spans="33:33">
      <c r="AG1915" s="9"/>
    </row>
    <row r="1916" s="7" customFormat="1" spans="33:33">
      <c r="AG1916" s="9"/>
    </row>
    <row r="1917" s="7" customFormat="1" spans="33:33">
      <c r="AG1917" s="9"/>
    </row>
    <row r="1918" s="7" customFormat="1" spans="33:33">
      <c r="AG1918" s="9"/>
    </row>
    <row r="1919" s="7" customFormat="1" spans="33:33">
      <c r="AG1919" s="9"/>
    </row>
    <row r="1920" s="7" customFormat="1" spans="33:33">
      <c r="AG1920" s="9"/>
    </row>
    <row r="1921" s="7" customFormat="1" spans="33:33">
      <c r="AG1921" s="9"/>
    </row>
    <row r="1922" s="7" customFormat="1" spans="33:33">
      <c r="AG1922" s="9"/>
    </row>
    <row r="1923" s="7" customFormat="1" spans="33:33">
      <c r="AG1923" s="9"/>
    </row>
    <row r="1924" s="7" customFormat="1" spans="33:33">
      <c r="AG1924" s="9"/>
    </row>
    <row r="1925" s="7" customFormat="1" spans="33:33">
      <c r="AG1925" s="9"/>
    </row>
    <row r="1926" s="7" customFormat="1" spans="33:33">
      <c r="AG1926" s="9"/>
    </row>
    <row r="1927" s="7" customFormat="1" spans="33:33">
      <c r="AG1927" s="9"/>
    </row>
    <row r="1928" s="7" customFormat="1" spans="33:33">
      <c r="AG1928" s="9"/>
    </row>
    <row r="1929" s="7" customFormat="1" spans="33:33">
      <c r="AG1929" s="9"/>
    </row>
    <row r="1930" s="7" customFormat="1" spans="33:33">
      <c r="AG1930" s="9"/>
    </row>
    <row r="1931" s="7" customFormat="1" spans="33:33">
      <c r="AG1931" s="9"/>
    </row>
    <row r="1932" s="7" customFormat="1" spans="33:33">
      <c r="AG1932" s="9"/>
    </row>
    <row r="1933" s="7" customFormat="1" spans="33:33">
      <c r="AG1933" s="9"/>
    </row>
    <row r="1934" s="7" customFormat="1" spans="33:33">
      <c r="AG1934" s="9"/>
    </row>
    <row r="1935" s="7" customFormat="1" spans="33:33">
      <c r="AG1935" s="9"/>
    </row>
    <row r="1936" s="7" customFormat="1" spans="33:33">
      <c r="AG1936" s="9"/>
    </row>
    <row r="1937" s="7" customFormat="1" spans="33:33">
      <c r="AG1937" s="9"/>
    </row>
    <row r="1938" s="7" customFormat="1" spans="33:33">
      <c r="AG1938" s="9"/>
    </row>
    <row r="1939" s="7" customFormat="1" spans="33:33">
      <c r="AG1939" s="9"/>
    </row>
    <row r="1940" s="7" customFormat="1" spans="33:33">
      <c r="AG1940" s="9"/>
    </row>
    <row r="1941" s="7" customFormat="1" spans="33:33">
      <c r="AG1941" s="9"/>
    </row>
    <row r="1942" s="7" customFormat="1" spans="33:33">
      <c r="AG1942" s="9"/>
    </row>
    <row r="1943" s="7" customFormat="1" spans="33:33">
      <c r="AG1943" s="9"/>
    </row>
    <row r="1944" s="7" customFormat="1" spans="33:33">
      <c r="AG1944" s="9"/>
    </row>
    <row r="1945" s="7" customFormat="1" spans="33:33">
      <c r="AG1945" s="9"/>
    </row>
    <row r="1946" s="7" customFormat="1" spans="33:33">
      <c r="AG1946" s="9"/>
    </row>
    <row r="1947" s="7" customFormat="1" spans="33:33">
      <c r="AG1947" s="9"/>
    </row>
    <row r="1948" s="7" customFormat="1" spans="33:33">
      <c r="AG1948" s="9"/>
    </row>
    <row r="1949" s="7" customFormat="1" spans="33:33">
      <c r="AG1949" s="9"/>
    </row>
    <row r="1950" s="7" customFormat="1" spans="33:33">
      <c r="AG1950" s="9"/>
    </row>
    <row r="1951" s="7" customFormat="1" spans="33:33">
      <c r="AG1951" s="9"/>
    </row>
    <row r="1952" s="7" customFormat="1" spans="33:33">
      <c r="AG1952" s="9"/>
    </row>
    <row r="1953" s="7" customFormat="1" spans="33:33">
      <c r="AG1953" s="9"/>
    </row>
    <row r="1954" s="7" customFormat="1" spans="33:33">
      <c r="AG1954" s="9"/>
    </row>
    <row r="1955" s="7" customFormat="1" spans="33:33">
      <c r="AG1955" s="9"/>
    </row>
    <row r="1956" s="7" customFormat="1" spans="33:33">
      <c r="AG1956" s="9"/>
    </row>
    <row r="1957" s="7" customFormat="1" spans="33:33">
      <c r="AG1957" s="9"/>
    </row>
    <row r="1958" s="7" customFormat="1" spans="33:33">
      <c r="AG1958" s="9"/>
    </row>
    <row r="1959" s="7" customFormat="1" spans="33:33">
      <c r="AG1959" s="9"/>
    </row>
    <row r="1960" s="7" customFormat="1" spans="33:33">
      <c r="AG1960" s="9"/>
    </row>
    <row r="1961" s="7" customFormat="1" spans="33:33">
      <c r="AG1961" s="9"/>
    </row>
    <row r="1962" s="7" customFormat="1" spans="33:33">
      <c r="AG1962" s="9"/>
    </row>
    <row r="1963" s="7" customFormat="1" spans="33:33">
      <c r="AG1963" s="9"/>
    </row>
    <row r="1964" s="7" customFormat="1" spans="33:33">
      <c r="AG1964" s="9"/>
    </row>
    <row r="1965" s="7" customFormat="1" spans="33:33">
      <c r="AG1965" s="9"/>
    </row>
    <row r="1966" s="7" customFormat="1" spans="33:33">
      <c r="AG1966" s="9"/>
    </row>
    <row r="1967" s="7" customFormat="1" spans="33:33">
      <c r="AG1967" s="9"/>
    </row>
    <row r="1968" s="7" customFormat="1" spans="33:33">
      <c r="AG1968" s="9"/>
    </row>
    <row r="1969" s="7" customFormat="1" spans="33:33">
      <c r="AG1969" s="9"/>
    </row>
    <row r="1970" s="7" customFormat="1" spans="33:33">
      <c r="AG1970" s="9"/>
    </row>
    <row r="1971" s="7" customFormat="1" spans="33:33">
      <c r="AG1971" s="9"/>
    </row>
    <row r="1972" s="7" customFormat="1" spans="33:33">
      <c r="AG1972" s="9"/>
    </row>
    <row r="1973" s="7" customFormat="1" spans="33:33">
      <c r="AG1973" s="9"/>
    </row>
    <row r="1974" s="7" customFormat="1" spans="33:33">
      <c r="AG1974" s="9"/>
    </row>
    <row r="1975" s="7" customFormat="1" spans="33:33">
      <c r="AG1975" s="9"/>
    </row>
    <row r="1976" s="7" customFormat="1" spans="33:33">
      <c r="AG1976" s="9"/>
    </row>
    <row r="1977" s="7" customFormat="1" spans="33:33">
      <c r="AG1977" s="9"/>
    </row>
    <row r="1978" s="7" customFormat="1" spans="33:33">
      <c r="AG1978" s="9"/>
    </row>
    <row r="1979" s="7" customFormat="1" spans="33:33">
      <c r="AG1979" s="9"/>
    </row>
    <row r="1980" s="7" customFormat="1" spans="33:33">
      <c r="AG1980" s="9"/>
    </row>
    <row r="1981" s="7" customFormat="1" spans="33:33">
      <c r="AG1981" s="9"/>
    </row>
    <row r="1982" s="7" customFormat="1" spans="33:33">
      <c r="AG1982" s="9"/>
    </row>
    <row r="1983" s="7" customFormat="1" spans="33:33">
      <c r="AG1983" s="9"/>
    </row>
    <row r="1984" s="7" customFormat="1" spans="33:33">
      <c r="AG1984" s="9"/>
    </row>
    <row r="1985" s="7" customFormat="1" spans="33:33">
      <c r="AG1985" s="9"/>
    </row>
    <row r="1986" s="7" customFormat="1" spans="33:33">
      <c r="AG1986" s="9"/>
    </row>
    <row r="1987" s="7" customFormat="1" spans="33:33">
      <c r="AG1987" s="9"/>
    </row>
    <row r="1988" s="7" customFormat="1" spans="33:33">
      <c r="AG1988" s="9"/>
    </row>
    <row r="1989" s="7" customFormat="1" spans="33:33">
      <c r="AG1989" s="9"/>
    </row>
    <row r="1990" s="7" customFormat="1" spans="33:33">
      <c r="AG1990" s="9"/>
    </row>
    <row r="1991" s="7" customFormat="1" spans="33:33">
      <c r="AG1991" s="9"/>
    </row>
    <row r="1992" s="7" customFormat="1" spans="33:33">
      <c r="AG1992" s="9"/>
    </row>
    <row r="1993" s="7" customFormat="1" spans="33:33">
      <c r="AG1993" s="9"/>
    </row>
    <row r="1994" s="7" customFormat="1" spans="33:33">
      <c r="AG1994" s="9"/>
    </row>
    <row r="1995" s="7" customFormat="1" spans="33:33">
      <c r="AG1995" s="9"/>
    </row>
    <row r="1996" s="7" customFormat="1" spans="33:33">
      <c r="AG1996" s="9"/>
    </row>
    <row r="1997" s="7" customFormat="1" spans="33:33">
      <c r="AG1997" s="9"/>
    </row>
    <row r="1998" s="7" customFormat="1" spans="33:33">
      <c r="AG1998" s="9"/>
    </row>
    <row r="1999" s="7" customFormat="1" spans="33:33">
      <c r="AG1999" s="9"/>
    </row>
    <row r="2000" s="7" customFormat="1" spans="33:33">
      <c r="AG2000" s="9"/>
    </row>
    <row r="2001" s="7" customFormat="1" spans="33:33">
      <c r="AG2001" s="9"/>
    </row>
    <row r="2002" s="7" customFormat="1" spans="33:33">
      <c r="AG2002" s="9"/>
    </row>
    <row r="2003" s="7" customFormat="1" spans="33:33">
      <c r="AG2003" s="9"/>
    </row>
    <row r="2004" s="7" customFormat="1" spans="33:33">
      <c r="AG2004" s="9"/>
    </row>
    <row r="2005" s="7" customFormat="1" spans="33:33">
      <c r="AG2005" s="9"/>
    </row>
    <row r="2006" s="7" customFormat="1" spans="33:33">
      <c r="AG2006" s="9"/>
    </row>
    <row r="2007" s="7" customFormat="1" spans="33:33">
      <c r="AG2007" s="9"/>
    </row>
    <row r="2008" s="7" customFormat="1" spans="33:33">
      <c r="AG2008" s="9"/>
    </row>
    <row r="2009" s="7" customFormat="1" spans="33:33">
      <c r="AG2009" s="9"/>
    </row>
    <row r="2010" s="7" customFormat="1" spans="33:33">
      <c r="AG2010" s="9"/>
    </row>
    <row r="2011" s="7" customFormat="1" spans="33:33">
      <c r="AG2011" s="9"/>
    </row>
    <row r="2012" s="7" customFormat="1" spans="33:33">
      <c r="AG2012" s="9"/>
    </row>
    <row r="2013" s="7" customFormat="1" spans="33:33">
      <c r="AG2013" s="9"/>
    </row>
    <row r="2014" s="7" customFormat="1" spans="33:33">
      <c r="AG2014" s="9"/>
    </row>
    <row r="2015" s="7" customFormat="1" spans="33:33">
      <c r="AG2015" s="9"/>
    </row>
    <row r="2016" s="7" customFormat="1" spans="33:33">
      <c r="AG2016" s="9"/>
    </row>
    <row r="2017" s="7" customFormat="1" spans="33:33">
      <c r="AG2017" s="9"/>
    </row>
    <row r="2018" s="7" customFormat="1" spans="33:33">
      <c r="AG2018" s="9"/>
    </row>
    <row r="2019" s="7" customFormat="1" spans="33:33">
      <c r="AG2019" s="9"/>
    </row>
    <row r="2020" s="7" customFormat="1" spans="33:33">
      <c r="AG2020" s="9"/>
    </row>
    <row r="2021" s="7" customFormat="1" spans="33:33">
      <c r="AG2021" s="9"/>
    </row>
    <row r="2022" s="7" customFormat="1" spans="33:33">
      <c r="AG2022" s="9"/>
    </row>
    <row r="2023" s="7" customFormat="1" spans="33:33">
      <c r="AG2023" s="9"/>
    </row>
    <row r="2024" s="7" customFormat="1" spans="33:33">
      <c r="AG2024" s="9"/>
    </row>
    <row r="2025" s="7" customFormat="1" spans="33:33">
      <c r="AG2025" s="9"/>
    </row>
    <row r="2026" s="7" customFormat="1" spans="33:33">
      <c r="AG2026" s="9"/>
    </row>
    <row r="2027" s="7" customFormat="1" spans="33:33">
      <c r="AG2027" s="9"/>
    </row>
    <row r="2028" s="7" customFormat="1" spans="33:33">
      <c r="AG2028" s="9"/>
    </row>
    <row r="2029" s="7" customFormat="1" spans="33:33">
      <c r="AG2029" s="9"/>
    </row>
    <row r="2030" s="7" customFormat="1" spans="33:33">
      <c r="AG2030" s="9"/>
    </row>
    <row r="2031" s="7" customFormat="1" spans="33:33">
      <c r="AG2031" s="9"/>
    </row>
    <row r="2032" s="7" customFormat="1" spans="33:33">
      <c r="AG2032" s="9"/>
    </row>
    <row r="2033" s="7" customFormat="1" spans="33:33">
      <c r="AG2033" s="9"/>
    </row>
    <row r="2034" s="7" customFormat="1" spans="33:33">
      <c r="AG2034" s="9"/>
    </row>
    <row r="2035" s="7" customFormat="1" spans="33:33">
      <c r="AG2035" s="9"/>
    </row>
    <row r="2036" s="7" customFormat="1" spans="33:33">
      <c r="AG2036" s="9"/>
    </row>
    <row r="2037" s="7" customFormat="1" spans="33:33">
      <c r="AG2037" s="9"/>
    </row>
    <row r="2038" s="7" customFormat="1" spans="33:33">
      <c r="AG2038" s="9"/>
    </row>
    <row r="2039" s="7" customFormat="1" spans="33:33">
      <c r="AG2039" s="9"/>
    </row>
    <row r="2040" s="7" customFormat="1" spans="33:33">
      <c r="AG2040" s="9"/>
    </row>
    <row r="2041" s="7" customFormat="1" spans="33:33">
      <c r="AG2041" s="9"/>
    </row>
    <row r="2042" s="7" customFormat="1" spans="33:33">
      <c r="AG2042" s="9"/>
    </row>
    <row r="2043" s="7" customFormat="1" spans="33:33">
      <c r="AG2043" s="9"/>
    </row>
    <row r="2044" s="7" customFormat="1" spans="33:33">
      <c r="AG2044" s="9"/>
    </row>
    <row r="2045" s="7" customFormat="1" spans="33:33">
      <c r="AG2045" s="9"/>
    </row>
    <row r="2046" s="7" customFormat="1" spans="33:33">
      <c r="AG2046" s="9"/>
    </row>
    <row r="2047" s="7" customFormat="1" spans="33:33">
      <c r="AG2047" s="9"/>
    </row>
    <row r="2048" s="7" customFormat="1" spans="33:33">
      <c r="AG2048" s="9"/>
    </row>
    <row r="2049" s="7" customFormat="1" spans="33:33">
      <c r="AG2049" s="9"/>
    </row>
    <row r="2050" s="7" customFormat="1" spans="33:33">
      <c r="AG2050" s="9"/>
    </row>
    <row r="2051" s="7" customFormat="1" spans="33:33">
      <c r="AG2051" s="9"/>
    </row>
    <row r="2052" s="7" customFormat="1" spans="33:33">
      <c r="AG2052" s="9"/>
    </row>
    <row r="2053" s="7" customFormat="1" spans="33:33">
      <c r="AG2053" s="9"/>
    </row>
    <row r="2054" s="7" customFormat="1" spans="33:33">
      <c r="AG2054" s="9"/>
    </row>
    <row r="2055" s="7" customFormat="1" spans="33:33">
      <c r="AG2055" s="9"/>
    </row>
    <row r="2056" s="7" customFormat="1" spans="33:33">
      <c r="AG2056" s="9"/>
    </row>
    <row r="2057" s="7" customFormat="1" spans="33:33">
      <c r="AG2057" s="9"/>
    </row>
    <row r="2058" s="7" customFormat="1" spans="33:33">
      <c r="AG2058" s="9"/>
    </row>
    <row r="2059" s="7" customFormat="1" spans="33:33">
      <c r="AG2059" s="9"/>
    </row>
    <row r="2060" s="7" customFormat="1" spans="33:33">
      <c r="AG2060" s="9"/>
    </row>
    <row r="2061" s="7" customFormat="1" spans="33:33">
      <c r="AG2061" s="9"/>
    </row>
    <row r="2062" s="7" customFormat="1" spans="33:33">
      <c r="AG2062" s="9"/>
    </row>
    <row r="2063" s="7" customFormat="1" spans="33:33">
      <c r="AG2063" s="9"/>
    </row>
    <row r="2064" s="7" customFormat="1" spans="33:33">
      <c r="AG2064" s="9"/>
    </row>
    <row r="2065" s="7" customFormat="1" spans="33:33">
      <c r="AG2065" s="9"/>
    </row>
    <row r="2066" s="7" customFormat="1" spans="33:33">
      <c r="AG2066" s="9"/>
    </row>
    <row r="2067" s="7" customFormat="1" spans="33:33">
      <c r="AG2067" s="9"/>
    </row>
    <row r="2068" s="7" customFormat="1" spans="33:33">
      <c r="AG2068" s="9"/>
    </row>
    <row r="2069" s="7" customFormat="1" spans="33:33">
      <c r="AG2069" s="9"/>
    </row>
    <row r="2070" s="7" customFormat="1" spans="33:33">
      <c r="AG2070" s="9"/>
    </row>
    <row r="2071" s="7" customFormat="1" spans="33:33">
      <c r="AG2071" s="9"/>
    </row>
    <row r="2072" s="7" customFormat="1" spans="33:33">
      <c r="AG2072" s="9"/>
    </row>
    <row r="2073" s="7" customFormat="1" spans="33:33">
      <c r="AG2073" s="9"/>
    </row>
    <row r="2074" s="7" customFormat="1" spans="33:33">
      <c r="AG2074" s="9"/>
    </row>
    <row r="2075" s="7" customFormat="1" spans="33:33">
      <c r="AG2075" s="9"/>
    </row>
    <row r="2076" s="7" customFormat="1" spans="33:33">
      <c r="AG2076" s="9"/>
    </row>
    <row r="2077" s="7" customFormat="1" spans="33:33">
      <c r="AG2077" s="9"/>
    </row>
    <row r="2078" s="7" customFormat="1" spans="33:33">
      <c r="AG2078" s="9"/>
    </row>
    <row r="2079" s="7" customFormat="1" spans="33:33">
      <c r="AG2079" s="9"/>
    </row>
    <row r="2080" s="7" customFormat="1" spans="33:33">
      <c r="AG2080" s="9"/>
    </row>
    <row r="2081" s="7" customFormat="1" spans="33:33">
      <c r="AG2081" s="9"/>
    </row>
    <row r="2082" s="7" customFormat="1" spans="33:33">
      <c r="AG2082" s="9"/>
    </row>
    <row r="2083" s="7" customFormat="1" spans="33:33">
      <c r="AG2083" s="9"/>
    </row>
    <row r="2084" s="7" customFormat="1" spans="33:33">
      <c r="AG2084" s="9"/>
    </row>
    <row r="2085" s="7" customFormat="1" spans="33:33">
      <c r="AG2085" s="9"/>
    </row>
    <row r="2086" s="7" customFormat="1" spans="33:33">
      <c r="AG2086" s="9"/>
    </row>
    <row r="2087" s="7" customFormat="1" spans="33:33">
      <c r="AG2087" s="9"/>
    </row>
    <row r="2088" s="7" customFormat="1" spans="33:33">
      <c r="AG2088" s="9"/>
    </row>
    <row r="2089" s="7" customFormat="1" spans="33:33">
      <c r="AG2089" s="9"/>
    </row>
    <row r="2090" s="7" customFormat="1" spans="33:33">
      <c r="AG2090" s="9"/>
    </row>
    <row r="2091" s="7" customFormat="1" spans="33:33">
      <c r="AG2091" s="9"/>
    </row>
    <row r="2092" s="7" customFormat="1" spans="33:33">
      <c r="AG2092" s="9"/>
    </row>
    <row r="2093" s="7" customFormat="1" spans="33:33">
      <c r="AG2093" s="9"/>
    </row>
    <row r="2094" s="7" customFormat="1" spans="33:33">
      <c r="AG2094" s="9"/>
    </row>
    <row r="2095" s="7" customFormat="1" spans="33:33">
      <c r="AG2095" s="9"/>
    </row>
    <row r="2096" s="7" customFormat="1" spans="33:33">
      <c r="AG2096" s="9"/>
    </row>
    <row r="2097" s="7" customFormat="1" spans="33:33">
      <c r="AG2097" s="9"/>
    </row>
    <row r="2098" s="7" customFormat="1" spans="33:33">
      <c r="AG2098" s="9"/>
    </row>
    <row r="2099" s="7" customFormat="1" spans="33:33">
      <c r="AG2099" s="9"/>
    </row>
    <row r="2100" s="7" customFormat="1" spans="33:33">
      <c r="AG2100" s="9"/>
    </row>
    <row r="2101" s="7" customFormat="1" spans="33:33">
      <c r="AG2101" s="9"/>
    </row>
    <row r="2102" s="7" customFormat="1" spans="33:33">
      <c r="AG2102" s="9"/>
    </row>
    <row r="2103" s="7" customFormat="1" spans="33:33">
      <c r="AG2103" s="9"/>
    </row>
    <row r="2104" s="7" customFormat="1" spans="33:33">
      <c r="AG2104" s="9"/>
    </row>
    <row r="2105" s="7" customFormat="1" spans="33:33">
      <c r="AG2105" s="9"/>
    </row>
    <row r="2106" s="7" customFormat="1" spans="33:33">
      <c r="AG2106" s="9"/>
    </row>
    <row r="2107" s="7" customFormat="1" spans="33:33">
      <c r="AG2107" s="9"/>
    </row>
    <row r="2108" s="7" customFormat="1" spans="33:33">
      <c r="AG2108" s="9"/>
    </row>
    <row r="2109" s="7" customFormat="1" spans="33:33">
      <c r="AG2109" s="9"/>
    </row>
    <row r="2110" s="7" customFormat="1" spans="33:33">
      <c r="AG2110" s="9"/>
    </row>
    <row r="2111" s="7" customFormat="1" spans="33:33">
      <c r="AG2111" s="9"/>
    </row>
    <row r="2112" s="7" customFormat="1" spans="33:33">
      <c r="AG2112" s="9"/>
    </row>
    <row r="2113" s="7" customFormat="1" spans="33:33">
      <c r="AG2113" s="9"/>
    </row>
    <row r="2114" s="7" customFormat="1" spans="33:33">
      <c r="AG2114" s="9"/>
    </row>
    <row r="2115" s="7" customFormat="1" spans="33:33">
      <c r="AG2115" s="9"/>
    </row>
    <row r="2116" s="7" customFormat="1" spans="33:33">
      <c r="AG2116" s="9"/>
    </row>
    <row r="2117" s="7" customFormat="1" spans="33:33">
      <c r="AG2117" s="9"/>
    </row>
    <row r="2118" s="7" customFormat="1" spans="33:33">
      <c r="AG2118" s="9"/>
    </row>
    <row r="2119" s="7" customFormat="1" spans="33:33">
      <c r="AG2119" s="9"/>
    </row>
    <row r="2120" s="7" customFormat="1" spans="33:33">
      <c r="AG2120" s="9"/>
    </row>
    <row r="2121" s="7" customFormat="1" spans="33:33">
      <c r="AG2121" s="9"/>
    </row>
    <row r="2122" s="7" customFormat="1" spans="33:33">
      <c r="AG2122" s="9"/>
    </row>
    <row r="2123" s="7" customFormat="1" spans="33:33">
      <c r="AG2123" s="9"/>
    </row>
    <row r="2124" s="7" customFormat="1" spans="33:33">
      <c r="AG2124" s="9"/>
    </row>
    <row r="2125" s="7" customFormat="1" spans="33:33">
      <c r="AG2125" s="9"/>
    </row>
    <row r="2126" s="7" customFormat="1" spans="33:33">
      <c r="AG2126" s="9"/>
    </row>
    <row r="2127" s="7" customFormat="1" spans="33:33">
      <c r="AG2127" s="9"/>
    </row>
    <row r="2128" s="7" customFormat="1" spans="33:33">
      <c r="AG2128" s="9"/>
    </row>
    <row r="2129" s="7" customFormat="1" spans="33:33">
      <c r="AG2129" s="9"/>
    </row>
    <row r="2130" s="7" customFormat="1" spans="33:33">
      <c r="AG2130" s="9"/>
    </row>
    <row r="2131" s="7" customFormat="1" spans="33:33">
      <c r="AG2131" s="9"/>
    </row>
    <row r="2132" s="7" customFormat="1" spans="33:33">
      <c r="AG2132" s="9"/>
    </row>
    <row r="2133" s="7" customFormat="1" spans="33:33">
      <c r="AG2133" s="9"/>
    </row>
    <row r="2134" s="7" customFormat="1" spans="33:33">
      <c r="AG2134" s="9"/>
    </row>
    <row r="2135" s="7" customFormat="1" spans="33:33">
      <c r="AG2135" s="9"/>
    </row>
    <row r="2136" s="7" customFormat="1" spans="33:33">
      <c r="AG2136" s="9"/>
    </row>
    <row r="2137" s="7" customFormat="1" spans="33:33">
      <c r="AG2137" s="9"/>
    </row>
    <row r="2138" s="7" customFormat="1" spans="33:33">
      <c r="AG2138" s="9"/>
    </row>
    <row r="2139" s="7" customFormat="1" spans="33:33">
      <c r="AG2139" s="9"/>
    </row>
    <row r="2140" s="7" customFormat="1" spans="33:33">
      <c r="AG2140" s="9"/>
    </row>
    <row r="2141" s="7" customFormat="1" spans="33:33">
      <c r="AG2141" s="9"/>
    </row>
    <row r="2142" s="7" customFormat="1" spans="33:33">
      <c r="AG2142" s="9"/>
    </row>
    <row r="2143" s="7" customFormat="1" spans="33:33">
      <c r="AG2143" s="9"/>
    </row>
    <row r="2144" s="7" customFormat="1" spans="33:33">
      <c r="AG2144" s="9"/>
    </row>
    <row r="2145" s="7" customFormat="1" spans="33:33">
      <c r="AG2145" s="9"/>
    </row>
    <row r="2146" s="7" customFormat="1" spans="33:33">
      <c r="AG2146" s="9"/>
    </row>
    <row r="2147" s="7" customFormat="1" spans="33:33">
      <c r="AG2147" s="9"/>
    </row>
    <row r="2148" s="7" customFormat="1" spans="33:33">
      <c r="AG2148" s="9"/>
    </row>
    <row r="2149" s="7" customFormat="1" spans="33:33">
      <c r="AG2149" s="9"/>
    </row>
    <row r="2150" s="7" customFormat="1" spans="33:33">
      <c r="AG2150" s="9"/>
    </row>
    <row r="2151" s="7" customFormat="1" spans="33:33">
      <c r="AG2151" s="9"/>
    </row>
    <row r="2152" s="7" customFormat="1" spans="33:33">
      <c r="AG2152" s="9"/>
    </row>
    <row r="2153" s="7" customFormat="1" spans="33:33">
      <c r="AG2153" s="9"/>
    </row>
    <row r="2154" s="7" customFormat="1" spans="33:33">
      <c r="AG2154" s="9"/>
    </row>
    <row r="2155" s="7" customFormat="1" spans="33:33">
      <c r="AG2155" s="9"/>
    </row>
    <row r="2156" s="7" customFormat="1" spans="33:33">
      <c r="AG2156" s="9"/>
    </row>
    <row r="2157" s="7" customFormat="1" spans="33:33">
      <c r="AG2157" s="9"/>
    </row>
    <row r="2158" s="7" customFormat="1" spans="33:33">
      <c r="AG2158" s="9"/>
    </row>
    <row r="2159" s="7" customFormat="1" spans="33:33">
      <c r="AG2159" s="9"/>
    </row>
    <row r="2160" s="7" customFormat="1" spans="33:33">
      <c r="AG2160" s="9"/>
    </row>
    <row r="2161" s="7" customFormat="1" spans="33:33">
      <c r="AG2161" s="9"/>
    </row>
    <row r="2162" s="7" customFormat="1" spans="33:33">
      <c r="AG2162" s="9"/>
    </row>
    <row r="2163" s="7" customFormat="1" spans="33:33">
      <c r="AG2163" s="9"/>
    </row>
    <row r="2164" s="7" customFormat="1" spans="33:33">
      <c r="AG2164" s="9"/>
    </row>
    <row r="2165" s="7" customFormat="1" spans="33:33">
      <c r="AG2165" s="9"/>
    </row>
    <row r="2166" s="7" customFormat="1" spans="33:33">
      <c r="AG2166" s="9"/>
    </row>
    <row r="2167" s="7" customFormat="1" spans="33:33">
      <c r="AG2167" s="9"/>
    </row>
    <row r="2168" s="7" customFormat="1" spans="33:33">
      <c r="AG2168" s="9"/>
    </row>
    <row r="2169" s="7" customFormat="1" spans="33:33">
      <c r="AG2169" s="9"/>
    </row>
    <row r="2170" s="7" customFormat="1" spans="33:33">
      <c r="AG2170" s="9"/>
    </row>
    <row r="2171" s="7" customFormat="1" spans="33:33">
      <c r="AG2171" s="9"/>
    </row>
    <row r="2172" s="7" customFormat="1" spans="33:33">
      <c r="AG2172" s="9"/>
    </row>
    <row r="2173" s="7" customFormat="1" spans="33:33">
      <c r="AG2173" s="9"/>
    </row>
    <row r="2174" s="7" customFormat="1" spans="33:33">
      <c r="AG2174" s="9"/>
    </row>
    <row r="2175" s="7" customFormat="1" spans="33:33">
      <c r="AG2175" s="9"/>
    </row>
    <row r="2176" s="7" customFormat="1" spans="33:33">
      <c r="AG2176" s="9"/>
    </row>
    <row r="2177" s="7" customFormat="1" spans="33:33">
      <c r="AG2177" s="9"/>
    </row>
    <row r="2178" s="7" customFormat="1" spans="33:33">
      <c r="AG2178" s="9"/>
    </row>
    <row r="2179" s="7" customFormat="1" spans="33:33">
      <c r="AG2179" s="9"/>
    </row>
    <row r="2180" s="7" customFormat="1" spans="33:33">
      <c r="AG2180" s="9"/>
    </row>
    <row r="2181" s="7" customFormat="1" spans="33:33">
      <c r="AG2181" s="9"/>
    </row>
    <row r="2182" s="7" customFormat="1" spans="33:33">
      <c r="AG2182" s="9"/>
    </row>
    <row r="2183" s="7" customFormat="1" spans="33:33">
      <c r="AG2183" s="9"/>
    </row>
    <row r="2184" s="7" customFormat="1" spans="33:33">
      <c r="AG2184" s="9"/>
    </row>
    <row r="2185" s="7" customFormat="1" spans="33:33">
      <c r="AG2185" s="9"/>
    </row>
    <row r="2186" s="7" customFormat="1" spans="33:33">
      <c r="AG2186" s="9"/>
    </row>
    <row r="2187" s="7" customFormat="1" spans="33:33">
      <c r="AG2187" s="9"/>
    </row>
    <row r="2188" s="7" customFormat="1" spans="33:33">
      <c r="AG2188" s="9"/>
    </row>
    <row r="2189" s="7" customFormat="1" spans="33:33">
      <c r="AG2189" s="9"/>
    </row>
    <row r="2190" s="7" customFormat="1" spans="33:33">
      <c r="AG2190" s="9"/>
    </row>
    <row r="2191" s="7" customFormat="1" spans="33:33">
      <c r="AG2191" s="9"/>
    </row>
    <row r="2192" s="7" customFormat="1" spans="33:33">
      <c r="AG2192" s="9"/>
    </row>
    <row r="2193" s="7" customFormat="1" spans="33:33">
      <c r="AG2193" s="9"/>
    </row>
    <row r="2194" s="7" customFormat="1" spans="33:33">
      <c r="AG2194" s="9"/>
    </row>
    <row r="2195" s="7" customFormat="1" spans="33:33">
      <c r="AG2195" s="9"/>
    </row>
    <row r="2196" s="7" customFormat="1" spans="33:33">
      <c r="AG2196" s="9"/>
    </row>
    <row r="2197" s="7" customFormat="1" spans="33:33">
      <c r="AG2197" s="9"/>
    </row>
    <row r="2198" s="7" customFormat="1" spans="33:33">
      <c r="AG2198" s="9"/>
    </row>
    <row r="2199" s="7" customFormat="1" spans="33:33">
      <c r="AG2199" s="9"/>
    </row>
    <row r="2200" s="7" customFormat="1" spans="33:33">
      <c r="AG2200" s="9"/>
    </row>
    <row r="2201" s="7" customFormat="1" spans="33:33">
      <c r="AG2201" s="9"/>
    </row>
    <row r="2202" s="7" customFormat="1" spans="33:33">
      <c r="AG2202" s="9"/>
    </row>
    <row r="2203" s="7" customFormat="1" spans="33:33">
      <c r="AG2203" s="9"/>
    </row>
    <row r="2204" s="7" customFormat="1" spans="33:33">
      <c r="AG2204" s="9"/>
    </row>
    <row r="2205" s="7" customFormat="1" spans="33:33">
      <c r="AG2205" s="9"/>
    </row>
    <row r="2206" s="7" customFormat="1" spans="33:33">
      <c r="AG2206" s="9"/>
    </row>
    <row r="2207" s="7" customFormat="1" spans="33:33">
      <c r="AG2207" s="9"/>
    </row>
    <row r="2208" s="7" customFormat="1" spans="33:33">
      <c r="AG2208" s="9"/>
    </row>
    <row r="2209" s="7" customFormat="1" spans="33:33">
      <c r="AG2209" s="9"/>
    </row>
    <row r="2210" s="7" customFormat="1" spans="33:33">
      <c r="AG2210" s="9"/>
    </row>
    <row r="2211" s="7" customFormat="1" spans="33:33">
      <c r="AG2211" s="9"/>
    </row>
    <row r="2212" s="7" customFormat="1" spans="33:33">
      <c r="AG2212" s="9"/>
    </row>
    <row r="2213" s="7" customFormat="1" spans="33:33">
      <c r="AG2213" s="9"/>
    </row>
    <row r="2214" s="7" customFormat="1" spans="33:33">
      <c r="AG2214" s="9"/>
    </row>
    <row r="2215" s="7" customFormat="1" spans="33:33">
      <c r="AG2215" s="9"/>
    </row>
    <row r="2216" s="7" customFormat="1" spans="33:33">
      <c r="AG2216" s="9"/>
    </row>
    <row r="2217" s="7" customFormat="1" spans="33:33">
      <c r="AG2217" s="9"/>
    </row>
    <row r="2218" s="7" customFormat="1" spans="33:33">
      <c r="AG2218" s="9"/>
    </row>
    <row r="2219" s="7" customFormat="1" spans="33:33">
      <c r="AG2219" s="9"/>
    </row>
    <row r="2220" s="7" customFormat="1" spans="33:33">
      <c r="AG2220" s="9"/>
    </row>
    <row r="2221" s="7" customFormat="1" spans="33:33">
      <c r="AG2221" s="9"/>
    </row>
    <row r="2222" s="7" customFormat="1" spans="33:33">
      <c r="AG2222" s="9"/>
    </row>
    <row r="2223" s="7" customFormat="1" spans="33:33">
      <c r="AG2223" s="9"/>
    </row>
    <row r="2224" s="7" customFormat="1" spans="33:33">
      <c r="AG2224" s="9"/>
    </row>
    <row r="2225" s="7" customFormat="1" spans="33:33">
      <c r="AG2225" s="9"/>
    </row>
    <row r="2226" s="7" customFormat="1" spans="33:33">
      <c r="AG2226" s="9"/>
    </row>
    <row r="2227" s="7" customFormat="1" spans="33:33">
      <c r="AG2227" s="9"/>
    </row>
    <row r="2228" s="7" customFormat="1" spans="33:33">
      <c r="AG2228" s="9"/>
    </row>
    <row r="2229" s="7" customFormat="1" spans="33:33">
      <c r="AG2229" s="9"/>
    </row>
    <row r="2230" s="7" customFormat="1" spans="33:33">
      <c r="AG2230" s="9"/>
    </row>
    <row r="2231" s="7" customFormat="1" spans="33:33">
      <c r="AG2231" s="9"/>
    </row>
    <row r="2232" s="7" customFormat="1" spans="33:33">
      <c r="AG2232" s="9"/>
    </row>
    <row r="2233" s="7" customFormat="1" spans="33:33">
      <c r="AG2233" s="9"/>
    </row>
    <row r="2234" s="7" customFormat="1" spans="33:33">
      <c r="AG2234" s="9"/>
    </row>
    <row r="2235" s="7" customFormat="1" spans="33:33">
      <c r="AG2235" s="9"/>
    </row>
    <row r="2236" s="7" customFormat="1" spans="33:33">
      <c r="AG2236" s="9"/>
    </row>
    <row r="2237" s="7" customFormat="1" spans="33:33">
      <c r="AG2237" s="9"/>
    </row>
    <row r="2238" s="7" customFormat="1" spans="33:33">
      <c r="AG2238" s="9"/>
    </row>
    <row r="2239" s="7" customFormat="1" spans="33:33">
      <c r="AG2239" s="9"/>
    </row>
    <row r="2240" s="7" customFormat="1" spans="33:33">
      <c r="AG2240" s="9"/>
    </row>
    <row r="2241" s="7" customFormat="1" spans="33:33">
      <c r="AG2241" s="9"/>
    </row>
    <row r="2242" s="7" customFormat="1" spans="33:33">
      <c r="AG2242" s="9"/>
    </row>
    <row r="2243" s="7" customFormat="1" spans="33:33">
      <c r="AG2243" s="9"/>
    </row>
    <row r="2244" s="7" customFormat="1" spans="33:33">
      <c r="AG2244" s="9"/>
    </row>
    <row r="2245" s="7" customFormat="1" spans="33:33">
      <c r="AG2245" s="9"/>
    </row>
    <row r="2246" s="7" customFormat="1" spans="33:33">
      <c r="AG2246" s="9"/>
    </row>
    <row r="2247" s="7" customFormat="1" spans="33:33">
      <c r="AG2247" s="9"/>
    </row>
    <row r="2248" s="7" customFormat="1" spans="33:33">
      <c r="AG2248" s="9"/>
    </row>
    <row r="2249" s="7" customFormat="1" spans="33:33">
      <c r="AG2249" s="9"/>
    </row>
    <row r="2250" s="7" customFormat="1" spans="33:33">
      <c r="AG2250" s="9"/>
    </row>
    <row r="2251" s="7" customFormat="1" spans="33:33">
      <c r="AG2251" s="9"/>
    </row>
    <row r="2252" s="7" customFormat="1" spans="33:33">
      <c r="AG2252" s="9"/>
    </row>
    <row r="2253" s="7" customFormat="1" spans="33:33">
      <c r="AG2253" s="9"/>
    </row>
    <row r="2254" s="7" customFormat="1" spans="33:33">
      <c r="AG2254" s="9"/>
    </row>
    <row r="2255" s="7" customFormat="1" spans="33:33">
      <c r="AG2255" s="9"/>
    </row>
    <row r="2256" s="7" customFormat="1" spans="33:33">
      <c r="AG2256" s="9"/>
    </row>
    <row r="2257" s="7" customFormat="1" spans="33:33">
      <c r="AG2257" s="9"/>
    </row>
    <row r="2258" s="7" customFormat="1" spans="33:33">
      <c r="AG2258" s="9"/>
    </row>
    <row r="2259" s="7" customFormat="1" spans="33:33">
      <c r="AG2259" s="9"/>
    </row>
    <row r="2260" s="7" customFormat="1" spans="33:33">
      <c r="AG2260" s="9"/>
    </row>
    <row r="2261" s="7" customFormat="1" spans="33:33">
      <c r="AG2261" s="9"/>
    </row>
    <row r="2262" s="7" customFormat="1" spans="33:33">
      <c r="AG2262" s="9"/>
    </row>
    <row r="2263" s="7" customFormat="1" spans="33:33">
      <c r="AG2263" s="9"/>
    </row>
    <row r="2264" s="7" customFormat="1" spans="33:33">
      <c r="AG2264" s="9"/>
    </row>
    <row r="2265" s="7" customFormat="1" spans="33:33">
      <c r="AG2265" s="9"/>
    </row>
    <row r="2266" s="7" customFormat="1" spans="33:33">
      <c r="AG2266" s="9"/>
    </row>
    <row r="2267" s="7" customFormat="1" spans="33:33">
      <c r="AG2267" s="9"/>
    </row>
    <row r="2268" s="7" customFormat="1" spans="33:33">
      <c r="AG2268" s="9"/>
    </row>
    <row r="2269" s="7" customFormat="1" spans="33:33">
      <c r="AG2269" s="9"/>
    </row>
    <row r="2270" s="7" customFormat="1" spans="33:33">
      <c r="AG2270" s="9"/>
    </row>
    <row r="2271" s="7" customFormat="1" spans="33:33">
      <c r="AG2271" s="9"/>
    </row>
    <row r="2272" s="7" customFormat="1" spans="33:33">
      <c r="AG2272" s="9"/>
    </row>
    <row r="2273" s="7" customFormat="1" spans="33:33">
      <c r="AG2273" s="9"/>
    </row>
    <row r="2274" s="7" customFormat="1" spans="33:33">
      <c r="AG2274" s="9"/>
    </row>
    <row r="2275" s="7" customFormat="1" spans="33:33">
      <c r="AG2275" s="9"/>
    </row>
    <row r="2276" s="7" customFormat="1" spans="33:33">
      <c r="AG2276" s="9"/>
    </row>
    <row r="2277" s="7" customFormat="1" spans="33:33">
      <c r="AG2277" s="9"/>
    </row>
    <row r="2278" s="7" customFormat="1" spans="33:33">
      <c r="AG2278" s="9"/>
    </row>
    <row r="2279" s="7" customFormat="1" spans="33:33">
      <c r="AG2279" s="9"/>
    </row>
    <row r="2280" s="7" customFormat="1" spans="33:33">
      <c r="AG2280" s="9"/>
    </row>
    <row r="2281" s="7" customFormat="1" spans="33:33">
      <c r="AG2281" s="9"/>
    </row>
    <row r="2282" s="7" customFormat="1" spans="33:33">
      <c r="AG2282" s="9"/>
    </row>
    <row r="2283" s="7" customFormat="1" spans="33:33">
      <c r="AG2283" s="9"/>
    </row>
    <row r="2284" s="7" customFormat="1" spans="33:33">
      <c r="AG2284" s="9"/>
    </row>
    <row r="2285" s="7" customFormat="1" spans="33:33">
      <c r="AG2285" s="9"/>
    </row>
    <row r="2286" s="7" customFormat="1" spans="33:33">
      <c r="AG2286" s="9"/>
    </row>
    <row r="2287" s="7" customFormat="1" spans="33:33">
      <c r="AG2287" s="9"/>
    </row>
    <row r="2288" s="7" customFormat="1" spans="33:33">
      <c r="AG2288" s="9"/>
    </row>
    <row r="2289" s="7" customFormat="1" spans="33:33">
      <c r="AG2289" s="9"/>
    </row>
    <row r="2290" s="7" customFormat="1" spans="33:33">
      <c r="AG2290" s="9"/>
    </row>
    <row r="2291" s="7" customFormat="1" spans="33:33">
      <c r="AG2291" s="9"/>
    </row>
    <row r="2292" s="7" customFormat="1" spans="33:33">
      <c r="AG2292" s="9"/>
    </row>
    <row r="2293" s="7" customFormat="1" spans="33:33">
      <c r="AG2293" s="9"/>
    </row>
    <row r="2294" s="7" customFormat="1" spans="33:33">
      <c r="AG2294" s="9"/>
    </row>
    <row r="2295" s="7" customFormat="1" spans="33:33">
      <c r="AG2295" s="9"/>
    </row>
    <row r="2296" s="7" customFormat="1" spans="33:33">
      <c r="AG2296" s="9"/>
    </row>
    <row r="2297" s="7" customFormat="1" spans="33:33">
      <c r="AG2297" s="9"/>
    </row>
    <row r="2298" s="7" customFormat="1" spans="33:33">
      <c r="AG2298" s="9"/>
    </row>
    <row r="2299" s="7" customFormat="1" spans="33:33">
      <c r="AG2299" s="9"/>
    </row>
    <row r="2300" s="7" customFormat="1" spans="33:33">
      <c r="AG2300" s="9"/>
    </row>
    <row r="2301" s="7" customFormat="1" spans="33:33">
      <c r="AG2301" s="9"/>
    </row>
    <row r="2302" s="7" customFormat="1" spans="33:33">
      <c r="AG2302" s="9"/>
    </row>
    <row r="2303" s="7" customFormat="1" spans="33:33">
      <c r="AG2303" s="9"/>
    </row>
    <row r="2304" s="7" customFormat="1" spans="33:33">
      <c r="AG2304" s="9"/>
    </row>
    <row r="2305" s="7" customFormat="1" spans="33:33">
      <c r="AG2305" s="9"/>
    </row>
    <row r="2306" s="7" customFormat="1" spans="33:33">
      <c r="AG2306" s="9"/>
    </row>
    <row r="2307" s="7" customFormat="1" spans="33:33">
      <c r="AG2307" s="9"/>
    </row>
    <row r="2308" s="7" customFormat="1" spans="33:33">
      <c r="AG2308" s="9"/>
    </row>
    <row r="2309" s="7" customFormat="1" spans="33:33">
      <c r="AG2309" s="9"/>
    </row>
    <row r="2310" s="7" customFormat="1" spans="33:33">
      <c r="AG2310" s="9"/>
    </row>
    <row r="2311" s="7" customFormat="1" spans="33:33">
      <c r="AG2311" s="9"/>
    </row>
    <row r="2312" s="7" customFormat="1" spans="33:33">
      <c r="AG2312" s="9"/>
    </row>
    <row r="2313" s="7" customFormat="1" spans="33:33">
      <c r="AG2313" s="9"/>
    </row>
    <row r="2314" s="7" customFormat="1" spans="33:33">
      <c r="AG2314" s="9"/>
    </row>
    <row r="2315" s="7" customFormat="1" spans="33:33">
      <c r="AG2315" s="9"/>
    </row>
    <row r="2316" s="7" customFormat="1" spans="33:33">
      <c r="AG2316" s="9"/>
    </row>
    <row r="2317" s="7" customFormat="1" spans="33:33">
      <c r="AG2317" s="9"/>
    </row>
    <row r="2318" s="7" customFormat="1" spans="33:33">
      <c r="AG2318" s="9"/>
    </row>
    <row r="2319" s="7" customFormat="1" spans="33:33">
      <c r="AG2319" s="9"/>
    </row>
    <row r="2320" s="7" customFormat="1" spans="33:33">
      <c r="AG2320" s="9"/>
    </row>
    <row r="2321" s="7" customFormat="1" spans="33:33">
      <c r="AG2321" s="9"/>
    </row>
    <row r="2322" s="7" customFormat="1" spans="33:33">
      <c r="AG2322" s="9"/>
    </row>
    <row r="2323" s="7" customFormat="1" spans="33:33">
      <c r="AG2323" s="9"/>
    </row>
    <row r="2324" s="7" customFormat="1" spans="33:33">
      <c r="AG2324" s="9"/>
    </row>
    <row r="2325" s="7" customFormat="1" spans="33:33">
      <c r="AG2325" s="9"/>
    </row>
    <row r="2326" s="7" customFormat="1" spans="33:33">
      <c r="AG2326" s="9"/>
    </row>
    <row r="2327" s="7" customFormat="1" spans="33:33">
      <c r="AG2327" s="9"/>
    </row>
    <row r="2328" s="7" customFormat="1" spans="33:33">
      <c r="AG2328" s="9"/>
    </row>
    <row r="2329" s="7" customFormat="1" spans="33:33">
      <c r="AG2329" s="9"/>
    </row>
    <row r="2330" s="7" customFormat="1" spans="33:33">
      <c r="AG2330" s="9"/>
    </row>
    <row r="2331" s="7" customFormat="1" spans="33:33">
      <c r="AG2331" s="9"/>
    </row>
    <row r="2332" s="7" customFormat="1" spans="33:33">
      <c r="AG2332" s="9"/>
    </row>
    <row r="2333" s="7" customFormat="1" spans="33:33">
      <c r="AG2333" s="9"/>
    </row>
    <row r="2334" s="7" customFormat="1" spans="33:33">
      <c r="AG2334" s="9"/>
    </row>
    <row r="2335" s="7" customFormat="1" spans="33:33">
      <c r="AG2335" s="9"/>
    </row>
    <row r="2336" s="7" customFormat="1" spans="33:33">
      <c r="AG2336" s="9"/>
    </row>
    <row r="2337" s="7" customFormat="1" spans="33:33">
      <c r="AG2337" s="9"/>
    </row>
    <row r="2338" s="7" customFormat="1" spans="33:33">
      <c r="AG2338" s="9"/>
    </row>
    <row r="2339" s="7" customFormat="1" spans="33:33">
      <c r="AG2339" s="9"/>
    </row>
    <row r="2340" s="7" customFormat="1" spans="33:33">
      <c r="AG2340" s="9"/>
    </row>
    <row r="2341" s="7" customFormat="1" spans="33:33">
      <c r="AG2341" s="9"/>
    </row>
    <row r="2342" s="7" customFormat="1" spans="33:33">
      <c r="AG2342" s="9"/>
    </row>
    <row r="2343" s="7" customFormat="1" spans="33:33">
      <c r="AG2343" s="9"/>
    </row>
    <row r="2344" s="7" customFormat="1" spans="33:33">
      <c r="AG2344" s="9"/>
    </row>
    <row r="2345" s="7" customFormat="1" spans="33:33">
      <c r="AG2345" s="9"/>
    </row>
    <row r="2346" s="7" customFormat="1" spans="33:33">
      <c r="AG2346" s="9"/>
    </row>
    <row r="2347" s="7" customFormat="1" spans="33:33">
      <c r="AG2347" s="9"/>
    </row>
    <row r="2348" s="7" customFormat="1" spans="33:33">
      <c r="AG2348" s="9"/>
    </row>
    <row r="2349" s="7" customFormat="1" spans="33:33">
      <c r="AG2349" s="9"/>
    </row>
    <row r="2350" s="7" customFormat="1" spans="33:33">
      <c r="AG2350" s="9"/>
    </row>
    <row r="2351" s="7" customFormat="1" spans="33:33">
      <c r="AG2351" s="9"/>
    </row>
    <row r="2352" s="7" customFormat="1" spans="33:33">
      <c r="AG2352" s="9"/>
    </row>
    <row r="2353" s="7" customFormat="1" spans="33:33">
      <c r="AG2353" s="9"/>
    </row>
    <row r="2354" s="7" customFormat="1" spans="33:33">
      <c r="AG2354" s="9"/>
    </row>
    <row r="2355" s="7" customFormat="1" spans="33:33">
      <c r="AG2355" s="9"/>
    </row>
    <row r="2356" s="7" customFormat="1" spans="33:33">
      <c r="AG2356" s="9"/>
    </row>
    <row r="2357" s="7" customFormat="1" spans="33:33">
      <c r="AG2357" s="9"/>
    </row>
    <row r="2358" s="7" customFormat="1" spans="33:33">
      <c r="AG2358" s="9"/>
    </row>
    <row r="2359" s="7" customFormat="1" spans="33:33">
      <c r="AG2359" s="9"/>
    </row>
    <row r="2360" s="7" customFormat="1" spans="33:33">
      <c r="AG2360" s="9"/>
    </row>
    <row r="2361" s="7" customFormat="1" spans="33:33">
      <c r="AG2361" s="9"/>
    </row>
    <row r="2362" s="7" customFormat="1" spans="33:33">
      <c r="AG2362" s="9"/>
    </row>
    <row r="2363" s="7" customFormat="1" spans="33:33">
      <c r="AG2363" s="9"/>
    </row>
    <row r="2364" s="7" customFormat="1" spans="33:33">
      <c r="AG2364" s="9"/>
    </row>
    <row r="2365" s="7" customFormat="1" spans="33:33">
      <c r="AG2365" s="9"/>
    </row>
    <row r="2366" s="7" customFormat="1" spans="33:33">
      <c r="AG2366" s="9"/>
    </row>
    <row r="2367" s="7" customFormat="1" spans="33:33">
      <c r="AG2367" s="9"/>
    </row>
    <row r="2368" s="7" customFormat="1" spans="33:33">
      <c r="AG2368" s="9"/>
    </row>
    <row r="2369" s="7" customFormat="1" spans="33:33">
      <c r="AG2369" s="9"/>
    </row>
    <row r="2370" s="7" customFormat="1" spans="33:33">
      <c r="AG2370" s="9"/>
    </row>
    <row r="2371" s="7" customFormat="1" spans="33:33">
      <c r="AG2371" s="9"/>
    </row>
    <row r="2372" s="7" customFormat="1" spans="33:33">
      <c r="AG2372" s="9"/>
    </row>
    <row r="2373" s="7" customFormat="1" spans="33:33">
      <c r="AG2373" s="9"/>
    </row>
    <row r="2374" s="7" customFormat="1" spans="33:33">
      <c r="AG2374" s="9"/>
    </row>
    <row r="2375" s="7" customFormat="1" spans="33:33">
      <c r="AG2375" s="9"/>
    </row>
    <row r="2376" s="7" customFormat="1" spans="33:33">
      <c r="AG2376" s="9"/>
    </row>
    <row r="2377" s="7" customFormat="1" spans="33:33">
      <c r="AG2377" s="9"/>
    </row>
    <row r="2378" s="7" customFormat="1" spans="33:33">
      <c r="AG2378" s="9"/>
    </row>
    <row r="2379" s="7" customFormat="1" spans="33:33">
      <c r="AG2379" s="9"/>
    </row>
    <row r="2380" s="7" customFormat="1" spans="33:33">
      <c r="AG2380" s="9"/>
    </row>
    <row r="2381" s="7" customFormat="1" spans="33:33">
      <c r="AG2381" s="9"/>
    </row>
    <row r="2382" s="7" customFormat="1" spans="33:33">
      <c r="AG2382" s="9"/>
    </row>
    <row r="2383" s="7" customFormat="1" spans="33:33">
      <c r="AG2383" s="9"/>
    </row>
    <row r="2384" s="7" customFormat="1" spans="33:33">
      <c r="AG2384" s="9"/>
    </row>
    <row r="2385" s="7" customFormat="1" spans="33:33">
      <c r="AG2385" s="9"/>
    </row>
    <row r="2386" s="7" customFormat="1" spans="33:33">
      <c r="AG2386" s="9"/>
    </row>
    <row r="2387" s="7" customFormat="1" spans="33:33">
      <c r="AG2387" s="9"/>
    </row>
    <row r="2388" s="7" customFormat="1" spans="33:33">
      <c r="AG2388" s="9"/>
    </row>
    <row r="2389" s="7" customFormat="1" spans="33:33">
      <c r="AG2389" s="9"/>
    </row>
    <row r="2390" s="7" customFormat="1" spans="33:33">
      <c r="AG2390" s="9"/>
    </row>
    <row r="2391" s="7" customFormat="1" spans="33:33">
      <c r="AG2391" s="9"/>
    </row>
    <row r="2392" s="7" customFormat="1" spans="33:33">
      <c r="AG2392" s="9"/>
    </row>
    <row r="2393" s="7" customFormat="1" spans="33:33">
      <c r="AG2393" s="9"/>
    </row>
    <row r="2394" s="7" customFormat="1" spans="33:33">
      <c r="AG2394" s="9"/>
    </row>
    <row r="2395" s="7" customFormat="1" spans="33:33">
      <c r="AG2395" s="9"/>
    </row>
    <row r="2396" s="7" customFormat="1" spans="33:33">
      <c r="AG2396" s="9"/>
    </row>
    <row r="2397" s="7" customFormat="1" spans="33:33">
      <c r="AG2397" s="9"/>
    </row>
    <row r="2398" s="7" customFormat="1" spans="33:33">
      <c r="AG2398" s="9"/>
    </row>
    <row r="2399" s="7" customFormat="1" spans="33:33">
      <c r="AG2399" s="9"/>
    </row>
    <row r="2400" s="7" customFormat="1" spans="33:33">
      <c r="AG2400" s="9"/>
    </row>
    <row r="2401" s="7" customFormat="1" spans="33:33">
      <c r="AG2401" s="9"/>
    </row>
    <row r="2402" s="7" customFormat="1" spans="33:33">
      <c r="AG2402" s="9"/>
    </row>
    <row r="2403" s="7" customFormat="1" spans="33:33">
      <c r="AG2403" s="9"/>
    </row>
    <row r="2404" s="7" customFormat="1" spans="33:33">
      <c r="AG2404" s="9"/>
    </row>
    <row r="2405" s="7" customFormat="1" spans="33:33">
      <c r="AG2405" s="9"/>
    </row>
    <row r="2406" s="7" customFormat="1" spans="33:33">
      <c r="AG2406" s="9"/>
    </row>
    <row r="2407" s="7" customFormat="1" spans="33:33">
      <c r="AG2407" s="9"/>
    </row>
    <row r="2408" s="7" customFormat="1" spans="33:33">
      <c r="AG2408" s="9"/>
    </row>
    <row r="2409" s="7" customFormat="1" spans="33:33">
      <c r="AG2409" s="9"/>
    </row>
    <row r="2410" s="7" customFormat="1" spans="33:33">
      <c r="AG2410" s="9"/>
    </row>
    <row r="2411" s="7" customFormat="1" spans="33:33">
      <c r="AG2411" s="9"/>
    </row>
    <row r="2412" s="7" customFormat="1" spans="33:33">
      <c r="AG2412" s="9"/>
    </row>
    <row r="2413" s="7" customFormat="1" spans="33:33">
      <c r="AG2413" s="9"/>
    </row>
    <row r="2414" s="7" customFormat="1" spans="33:33">
      <c r="AG2414" s="9"/>
    </row>
    <row r="2415" s="7" customFormat="1" spans="33:33">
      <c r="AG2415" s="9"/>
    </row>
    <row r="2416" s="7" customFormat="1" spans="33:33">
      <c r="AG2416" s="9"/>
    </row>
    <row r="2417" s="7" customFormat="1" spans="33:33">
      <c r="AG2417" s="9"/>
    </row>
    <row r="2418" s="7" customFormat="1" spans="33:33">
      <c r="AG2418" s="9"/>
    </row>
    <row r="2419" s="7" customFormat="1" spans="33:33">
      <c r="AG2419" s="9"/>
    </row>
    <row r="2420" s="7" customFormat="1" spans="33:33">
      <c r="AG2420" s="9"/>
    </row>
    <row r="2421" s="7" customFormat="1" spans="33:33">
      <c r="AG2421" s="9"/>
    </row>
    <row r="2422" s="7" customFormat="1" spans="33:33">
      <c r="AG2422" s="9"/>
    </row>
    <row r="2423" s="7" customFormat="1" spans="33:33">
      <c r="AG2423" s="9"/>
    </row>
    <row r="2424" s="7" customFormat="1" spans="33:33">
      <c r="AG2424" s="9"/>
    </row>
    <row r="2425" s="7" customFormat="1" spans="33:33">
      <c r="AG2425" s="9"/>
    </row>
    <row r="2426" s="7" customFormat="1" spans="33:33">
      <c r="AG2426" s="9"/>
    </row>
    <row r="2427" s="7" customFormat="1" spans="33:33">
      <c r="AG2427" s="9"/>
    </row>
    <row r="2428" s="7" customFormat="1" spans="33:33">
      <c r="AG2428" s="9"/>
    </row>
    <row r="2429" s="7" customFormat="1" spans="33:33">
      <c r="AG2429" s="9"/>
    </row>
    <row r="2430" s="7" customFormat="1" spans="33:33">
      <c r="AG2430" s="9"/>
    </row>
    <row r="2431" s="7" customFormat="1" spans="33:33">
      <c r="AG2431" s="9"/>
    </row>
    <row r="2432" s="7" customFormat="1" spans="33:33">
      <c r="AG2432" s="9"/>
    </row>
    <row r="2433" s="7" customFormat="1" spans="33:33">
      <c r="AG2433" s="9"/>
    </row>
    <row r="2434" s="7" customFormat="1" spans="33:33">
      <c r="AG2434" s="9"/>
    </row>
    <row r="2435" s="7" customFormat="1" spans="33:33">
      <c r="AG2435" s="9"/>
    </row>
    <row r="2436" s="7" customFormat="1" spans="33:33">
      <c r="AG2436" s="9"/>
    </row>
    <row r="2437" s="7" customFormat="1" spans="33:33">
      <c r="AG2437" s="9"/>
    </row>
    <row r="2438" s="7" customFormat="1" spans="33:33">
      <c r="AG2438" s="9"/>
    </row>
    <row r="2439" s="7" customFormat="1" spans="33:33">
      <c r="AG2439" s="9"/>
    </row>
    <row r="2440" s="7" customFormat="1" spans="33:33">
      <c r="AG2440" s="9"/>
    </row>
    <row r="2441" s="7" customFormat="1" spans="33:33">
      <c r="AG2441" s="9"/>
    </row>
    <row r="2442" s="7" customFormat="1" spans="33:33">
      <c r="AG2442" s="9"/>
    </row>
    <row r="2443" s="7" customFormat="1" spans="33:33">
      <c r="AG2443" s="9"/>
    </row>
    <row r="2444" s="7" customFormat="1" spans="33:33">
      <c r="AG2444" s="9"/>
    </row>
    <row r="2445" s="7" customFormat="1" spans="33:33">
      <c r="AG2445" s="9"/>
    </row>
    <row r="2446" s="7" customFormat="1" spans="33:33">
      <c r="AG2446" s="9"/>
    </row>
    <row r="2447" s="7" customFormat="1" spans="33:33">
      <c r="AG2447" s="9"/>
    </row>
    <row r="2448" s="7" customFormat="1" spans="33:33">
      <c r="AG2448" s="9"/>
    </row>
    <row r="2449" s="7" customFormat="1" spans="33:33">
      <c r="AG2449" s="9"/>
    </row>
    <row r="2450" s="7" customFormat="1" spans="33:33">
      <c r="AG2450" s="9"/>
    </row>
    <row r="2451" s="7" customFormat="1" spans="33:33">
      <c r="AG2451" s="9"/>
    </row>
    <row r="2452" s="7" customFormat="1" spans="33:33">
      <c r="AG2452" s="9"/>
    </row>
    <row r="2453" s="7" customFormat="1" spans="33:33">
      <c r="AG2453" s="9"/>
    </row>
    <row r="2454" s="7" customFormat="1" spans="33:33">
      <c r="AG2454" s="9"/>
    </row>
    <row r="2455" s="7" customFormat="1" spans="33:33">
      <c r="AG2455" s="9"/>
    </row>
    <row r="2456" s="7" customFormat="1" spans="33:33">
      <c r="AG2456" s="9"/>
    </row>
    <row r="2457" s="7" customFormat="1" spans="33:33">
      <c r="AG2457" s="9"/>
    </row>
    <row r="2458" s="7" customFormat="1" spans="33:33">
      <c r="AG2458" s="9"/>
    </row>
    <row r="2459" s="7" customFormat="1" spans="33:33">
      <c r="AG2459" s="9"/>
    </row>
    <row r="2460" s="7" customFormat="1" spans="33:33">
      <c r="AG2460" s="9"/>
    </row>
    <row r="2461" s="7" customFormat="1" spans="33:33">
      <c r="AG2461" s="9"/>
    </row>
    <row r="2462" s="7" customFormat="1" spans="33:33">
      <c r="AG2462" s="9"/>
    </row>
    <row r="2463" s="7" customFormat="1" spans="33:33">
      <c r="AG2463" s="9"/>
    </row>
    <row r="2464" s="7" customFormat="1" spans="33:33">
      <c r="AG2464" s="9"/>
    </row>
    <row r="2465" s="7" customFormat="1" spans="33:33">
      <c r="AG2465" s="9"/>
    </row>
    <row r="2466" s="7" customFormat="1" spans="33:33">
      <c r="AG2466" s="9"/>
    </row>
    <row r="2467" s="7" customFormat="1" spans="33:33">
      <c r="AG2467" s="9"/>
    </row>
    <row r="2468" s="7" customFormat="1" spans="33:33">
      <c r="AG2468" s="9"/>
    </row>
    <row r="2469" s="7" customFormat="1" spans="33:33">
      <c r="AG2469" s="9"/>
    </row>
    <row r="2470" s="7" customFormat="1" spans="33:33">
      <c r="AG2470" s="9"/>
    </row>
    <row r="2471" s="7" customFormat="1" spans="33:33">
      <c r="AG2471" s="9"/>
    </row>
    <row r="2472" s="7" customFormat="1" spans="33:33">
      <c r="AG2472" s="9"/>
    </row>
    <row r="2473" s="7" customFormat="1" spans="33:33">
      <c r="AG2473" s="9"/>
    </row>
    <row r="2474" s="7" customFormat="1" spans="33:33">
      <c r="AG2474" s="9"/>
    </row>
    <row r="2475" s="7" customFormat="1" spans="33:33">
      <c r="AG2475" s="9"/>
    </row>
    <row r="2476" s="7" customFormat="1" spans="33:33">
      <c r="AG2476" s="9"/>
    </row>
    <row r="2477" s="7" customFormat="1" spans="33:33">
      <c r="AG2477" s="9"/>
    </row>
    <row r="2478" s="7" customFormat="1" spans="33:33">
      <c r="AG2478" s="9"/>
    </row>
    <row r="2479" s="7" customFormat="1" spans="33:33">
      <c r="AG2479" s="9"/>
    </row>
    <row r="2480" s="7" customFormat="1" spans="33:33">
      <c r="AG2480" s="9"/>
    </row>
    <row r="2481" s="7" customFormat="1" spans="33:33">
      <c r="AG2481" s="9"/>
    </row>
    <row r="2482" s="7" customFormat="1" spans="33:33">
      <c r="AG2482" s="9"/>
    </row>
    <row r="2483" s="7" customFormat="1" spans="33:33">
      <c r="AG2483" s="9"/>
    </row>
    <row r="2484" s="7" customFormat="1" spans="33:33">
      <c r="AG2484" s="9"/>
    </row>
    <row r="2485" s="7" customFormat="1" spans="33:33">
      <c r="AG2485" s="9"/>
    </row>
    <row r="2486" s="7" customFormat="1" spans="33:33">
      <c r="AG2486" s="9"/>
    </row>
    <row r="2487" s="7" customFormat="1" spans="33:33">
      <c r="AG2487" s="9"/>
    </row>
    <row r="2488" s="7" customFormat="1" spans="33:33">
      <c r="AG2488" s="9"/>
    </row>
    <row r="2489" s="7" customFormat="1" spans="33:33">
      <c r="AG2489" s="9"/>
    </row>
    <row r="2490" s="7" customFormat="1" spans="33:33">
      <c r="AG2490" s="9"/>
    </row>
    <row r="2491" s="7" customFormat="1" spans="33:33">
      <c r="AG2491" s="9"/>
    </row>
    <row r="2492" s="7" customFormat="1" spans="33:33">
      <c r="AG2492" s="9"/>
    </row>
    <row r="2493" s="7" customFormat="1" spans="33:33">
      <c r="AG2493" s="9"/>
    </row>
    <row r="2494" s="7" customFormat="1" spans="33:33">
      <c r="AG2494" s="9"/>
    </row>
    <row r="2495" s="7" customFormat="1" spans="33:33">
      <c r="AG2495" s="9"/>
    </row>
    <row r="2496" s="7" customFormat="1" spans="33:33">
      <c r="AG2496" s="9"/>
    </row>
    <row r="2497" s="7" customFormat="1" spans="33:33">
      <c r="AG2497" s="9"/>
    </row>
    <row r="2498" s="7" customFormat="1" spans="33:33">
      <c r="AG2498" s="9"/>
    </row>
    <row r="2499" s="7" customFormat="1" spans="33:33">
      <c r="AG2499" s="9"/>
    </row>
    <row r="2500" s="7" customFormat="1" spans="33:33">
      <c r="AG2500" s="9"/>
    </row>
    <row r="2501" s="7" customFormat="1" spans="33:33">
      <c r="AG2501" s="9"/>
    </row>
    <row r="2502" s="7" customFormat="1" spans="33:33">
      <c r="AG2502" s="9"/>
    </row>
    <row r="2503" s="7" customFormat="1" spans="33:33">
      <c r="AG2503" s="9"/>
    </row>
    <row r="2504" s="7" customFormat="1" spans="33:33">
      <c r="AG2504" s="9"/>
    </row>
    <row r="2505" s="7" customFormat="1" spans="33:33">
      <c r="AG2505" s="9"/>
    </row>
    <row r="2506" s="7" customFormat="1" spans="33:33">
      <c r="AG2506" s="9"/>
    </row>
    <row r="2507" s="7" customFormat="1" spans="33:33">
      <c r="AG2507" s="9"/>
    </row>
    <row r="2508" s="7" customFormat="1" spans="33:33">
      <c r="AG2508" s="9"/>
    </row>
    <row r="2509" s="7" customFormat="1" spans="33:33">
      <c r="AG2509" s="9"/>
    </row>
    <row r="2510" s="7" customFormat="1" spans="33:33">
      <c r="AG2510" s="9"/>
    </row>
    <row r="2511" s="7" customFormat="1" spans="33:33">
      <c r="AG2511" s="9"/>
    </row>
    <row r="2512" s="7" customFormat="1" spans="33:33">
      <c r="AG2512" s="9"/>
    </row>
    <row r="2513" s="7" customFormat="1" spans="33:33">
      <c r="AG2513" s="9"/>
    </row>
    <row r="2514" s="7" customFormat="1" spans="33:33">
      <c r="AG2514" s="9"/>
    </row>
    <row r="2515" s="7" customFormat="1" spans="33:33">
      <c r="AG2515" s="9"/>
    </row>
    <row r="2516" s="7" customFormat="1" spans="33:33">
      <c r="AG2516" s="9"/>
    </row>
    <row r="2517" s="7" customFormat="1" spans="33:33">
      <c r="AG2517" s="9"/>
    </row>
    <row r="2518" s="7" customFormat="1" spans="33:33">
      <c r="AG2518" s="9"/>
    </row>
    <row r="2519" s="7" customFormat="1" spans="33:33">
      <c r="AG2519" s="9"/>
    </row>
    <row r="2520" s="7" customFormat="1" spans="33:33">
      <c r="AG2520" s="9"/>
    </row>
    <row r="2521" s="7" customFormat="1" spans="33:33">
      <c r="AG2521" s="9"/>
    </row>
    <row r="2522" s="7" customFormat="1" spans="33:33">
      <c r="AG2522" s="9"/>
    </row>
    <row r="2523" s="7" customFormat="1" spans="33:33">
      <c r="AG2523" s="9"/>
    </row>
    <row r="2524" s="7" customFormat="1" spans="33:33">
      <c r="AG2524" s="9"/>
    </row>
    <row r="2525" s="7" customFormat="1" spans="33:33">
      <c r="AG2525" s="9"/>
    </row>
    <row r="2526" s="7" customFormat="1" spans="33:33">
      <c r="AG2526" s="9"/>
    </row>
    <row r="2527" s="7" customFormat="1" spans="33:33">
      <c r="AG2527" s="9"/>
    </row>
    <row r="2528" s="7" customFormat="1" spans="33:33">
      <c r="AG2528" s="9"/>
    </row>
    <row r="2529" s="7" customFormat="1" spans="33:33">
      <c r="AG2529" s="9"/>
    </row>
    <row r="2530" s="7" customFormat="1" spans="33:33">
      <c r="AG2530" s="9"/>
    </row>
    <row r="2531" s="7" customFormat="1" spans="33:33">
      <c r="AG2531" s="9"/>
    </row>
    <row r="2532" s="7" customFormat="1" spans="33:33">
      <c r="AG2532" s="9"/>
    </row>
    <row r="2533" s="7" customFormat="1" spans="33:33">
      <c r="AG2533" s="9"/>
    </row>
    <row r="2534" s="7" customFormat="1" spans="33:33">
      <c r="AG2534" s="9"/>
    </row>
    <row r="2535" s="7" customFormat="1" spans="33:33">
      <c r="AG2535" s="9"/>
    </row>
    <row r="2536" s="7" customFormat="1" spans="33:33">
      <c r="AG2536" s="9"/>
    </row>
    <row r="2537" s="7" customFormat="1" spans="33:33">
      <c r="AG2537" s="9"/>
    </row>
    <row r="2538" s="7" customFormat="1" spans="33:33">
      <c r="AG2538" s="9"/>
    </row>
    <row r="2539" s="7" customFormat="1" spans="33:33">
      <c r="AG2539" s="9"/>
    </row>
    <row r="2540" s="7" customFormat="1" spans="33:33">
      <c r="AG2540" s="9"/>
    </row>
    <row r="2541" s="7" customFormat="1" spans="33:33">
      <c r="AG2541" s="9"/>
    </row>
    <row r="2542" s="7" customFormat="1" spans="33:33">
      <c r="AG2542" s="9"/>
    </row>
    <row r="2543" s="7" customFormat="1" spans="33:33">
      <c r="AG2543" s="9"/>
    </row>
    <row r="2544" s="7" customFormat="1" spans="33:33">
      <c r="AG2544" s="9"/>
    </row>
    <row r="2545" s="7" customFormat="1" spans="33:33">
      <c r="AG2545" s="9"/>
    </row>
    <row r="2546" s="7" customFormat="1" spans="33:33">
      <c r="AG2546" s="9"/>
    </row>
    <row r="2547" s="7" customFormat="1" spans="33:33">
      <c r="AG2547" s="9"/>
    </row>
    <row r="2548" s="7" customFormat="1" spans="33:33">
      <c r="AG2548" s="9"/>
    </row>
    <row r="2549" s="7" customFormat="1" spans="33:33">
      <c r="AG2549" s="9"/>
    </row>
    <row r="2550" s="7" customFormat="1" spans="33:33">
      <c r="AG2550" s="9"/>
    </row>
    <row r="2551" s="7" customFormat="1" spans="33:33">
      <c r="AG2551" s="9"/>
    </row>
    <row r="2552" s="7" customFormat="1" spans="33:33">
      <c r="AG2552" s="9"/>
    </row>
    <row r="2553" s="7" customFormat="1" spans="33:33">
      <c r="AG2553" s="9"/>
    </row>
    <row r="2554" s="7" customFormat="1" spans="33:33">
      <c r="AG2554" s="9"/>
    </row>
    <row r="2555" s="7" customFormat="1" spans="33:33">
      <c r="AG2555" s="9"/>
    </row>
    <row r="2556" s="7" customFormat="1" spans="33:33">
      <c r="AG2556" s="9"/>
    </row>
    <row r="2557" s="7" customFormat="1" spans="33:33">
      <c r="AG2557" s="9"/>
    </row>
    <row r="2558" s="7" customFormat="1" spans="33:33">
      <c r="AG2558" s="9"/>
    </row>
    <row r="2559" s="7" customFormat="1" spans="33:33">
      <c r="AG2559" s="9"/>
    </row>
    <row r="2560" s="7" customFormat="1" spans="33:33">
      <c r="AG2560" s="9"/>
    </row>
    <row r="2561" s="7" customFormat="1" spans="33:33">
      <c r="AG2561" s="9"/>
    </row>
    <row r="2562" s="7" customFormat="1" spans="33:33">
      <c r="AG2562" s="9"/>
    </row>
    <row r="2563" s="7" customFormat="1" spans="33:33">
      <c r="AG2563" s="9"/>
    </row>
    <row r="2564" s="7" customFormat="1" spans="33:33">
      <c r="AG2564" s="9"/>
    </row>
    <row r="2565" s="7" customFormat="1" spans="33:33">
      <c r="AG2565" s="9"/>
    </row>
    <row r="2566" s="7" customFormat="1" spans="33:33">
      <c r="AG2566" s="9"/>
    </row>
    <row r="2567" s="7" customFormat="1" spans="33:33">
      <c r="AG2567" s="9"/>
    </row>
    <row r="2568" s="7" customFormat="1" spans="33:33">
      <c r="AG2568" s="9"/>
    </row>
    <row r="2569" s="7" customFormat="1" spans="33:33">
      <c r="AG2569" s="9"/>
    </row>
    <row r="2570" s="7" customFormat="1" spans="33:33">
      <c r="AG2570" s="9"/>
    </row>
    <row r="2571" s="7" customFormat="1" spans="33:33">
      <c r="AG2571" s="9"/>
    </row>
    <row r="2572" s="7" customFormat="1" spans="33:33">
      <c r="AG2572" s="9"/>
    </row>
    <row r="2573" s="7" customFormat="1" spans="33:33">
      <c r="AG2573" s="9"/>
    </row>
    <row r="2574" s="7" customFormat="1" spans="33:33">
      <c r="AG2574" s="9"/>
    </row>
    <row r="2575" s="7" customFormat="1" spans="33:33">
      <c r="AG2575" s="9"/>
    </row>
    <row r="2576" s="7" customFormat="1" spans="33:33">
      <c r="AG2576" s="9"/>
    </row>
    <row r="2577" s="7" customFormat="1" spans="33:33">
      <c r="AG2577" s="9"/>
    </row>
    <row r="2578" s="7" customFormat="1" spans="33:33">
      <c r="AG2578" s="9"/>
    </row>
    <row r="2579" s="7" customFormat="1" spans="33:33">
      <c r="AG2579" s="9"/>
    </row>
    <row r="2580" s="7" customFormat="1" spans="33:33">
      <c r="AG2580" s="9"/>
    </row>
    <row r="2581" s="7" customFormat="1" spans="33:33">
      <c r="AG2581" s="9"/>
    </row>
    <row r="2582" s="7" customFormat="1" spans="33:33">
      <c r="AG2582" s="9"/>
    </row>
    <row r="2583" s="7" customFormat="1" spans="33:33">
      <c r="AG2583" s="9"/>
    </row>
    <row r="2584" s="7" customFormat="1" spans="33:33">
      <c r="AG2584" s="9"/>
    </row>
    <row r="2585" s="7" customFormat="1" spans="33:33">
      <c r="AG2585" s="9"/>
    </row>
    <row r="2586" s="7" customFormat="1" spans="33:33">
      <c r="AG2586" s="9"/>
    </row>
    <row r="2587" s="7" customFormat="1" spans="33:33">
      <c r="AG2587" s="9"/>
    </row>
    <row r="2588" s="7" customFormat="1" spans="33:33">
      <c r="AG2588" s="9"/>
    </row>
    <row r="2589" s="7" customFormat="1" spans="33:33">
      <c r="AG2589" s="9"/>
    </row>
    <row r="2590" s="7" customFormat="1" spans="33:33">
      <c r="AG2590" s="9"/>
    </row>
    <row r="2591" s="7" customFormat="1" spans="33:33">
      <c r="AG2591" s="9"/>
    </row>
    <row r="2592" s="7" customFormat="1" spans="33:33">
      <c r="AG2592" s="9"/>
    </row>
    <row r="2593" s="7" customFormat="1" spans="33:33">
      <c r="AG2593" s="9"/>
    </row>
    <row r="2594" s="7" customFormat="1" spans="33:33">
      <c r="AG2594" s="9"/>
    </row>
    <row r="2595" s="7" customFormat="1" spans="33:33">
      <c r="AG2595" s="9"/>
    </row>
    <row r="2596" s="7" customFormat="1" spans="33:33">
      <c r="AG2596" s="9"/>
    </row>
    <row r="2597" s="7" customFormat="1" spans="33:33">
      <c r="AG2597" s="9"/>
    </row>
    <row r="2598" s="7" customFormat="1" spans="33:33">
      <c r="AG2598" s="9"/>
    </row>
    <row r="2599" s="7" customFormat="1" spans="33:33">
      <c r="AG2599" s="9"/>
    </row>
    <row r="2600" s="7" customFormat="1" spans="33:33">
      <c r="AG2600" s="9"/>
    </row>
    <row r="2601" s="7" customFormat="1" spans="33:33">
      <c r="AG2601" s="9"/>
    </row>
    <row r="2602" s="7" customFormat="1" spans="33:33">
      <c r="AG2602" s="9"/>
    </row>
    <row r="2603" s="7" customFormat="1" spans="33:33">
      <c r="AG2603" s="9"/>
    </row>
    <row r="2604" s="7" customFormat="1" spans="33:33">
      <c r="AG2604" s="9"/>
    </row>
    <row r="2605" s="7" customFormat="1" spans="33:33">
      <c r="AG2605" s="9"/>
    </row>
    <row r="2606" s="7" customFormat="1" spans="33:33">
      <c r="AG2606" s="9"/>
    </row>
    <row r="2607" s="7" customFormat="1" spans="33:33">
      <c r="AG2607" s="9"/>
    </row>
    <row r="2608" s="7" customFormat="1" spans="33:33">
      <c r="AG2608" s="9"/>
    </row>
    <row r="2609" s="7" customFormat="1" spans="33:33">
      <c r="AG2609" s="9"/>
    </row>
    <row r="2610" s="7" customFormat="1" spans="33:33">
      <c r="AG2610" s="9"/>
    </row>
    <row r="2611" s="7" customFormat="1" spans="33:33">
      <c r="AG2611" s="9"/>
    </row>
    <row r="2612" s="7" customFormat="1" spans="33:33">
      <c r="AG2612" s="9"/>
    </row>
    <row r="2613" s="7" customFormat="1" spans="33:33">
      <c r="AG2613" s="9"/>
    </row>
    <row r="2614" s="7" customFormat="1" spans="33:33">
      <c r="AG2614" s="9"/>
    </row>
    <row r="2615" s="7" customFormat="1" spans="33:33">
      <c r="AG2615" s="9"/>
    </row>
    <row r="2616" s="7" customFormat="1" spans="33:33">
      <c r="AG2616" s="9"/>
    </row>
    <row r="2617" s="7" customFormat="1" spans="33:33">
      <c r="AG2617" s="9"/>
    </row>
    <row r="2618" s="7" customFormat="1" spans="33:33">
      <c r="AG2618" s="9"/>
    </row>
    <row r="2619" s="7" customFormat="1" spans="33:33">
      <c r="AG2619" s="9"/>
    </row>
    <row r="2620" s="7" customFormat="1" spans="33:33">
      <c r="AG2620" s="9"/>
    </row>
    <row r="2621" s="7" customFormat="1" spans="33:33">
      <c r="AG2621" s="9"/>
    </row>
    <row r="2622" s="7" customFormat="1" spans="33:33">
      <c r="AG2622" s="9"/>
    </row>
    <row r="2623" s="7" customFormat="1" spans="33:33">
      <c r="AG2623" s="9"/>
    </row>
    <row r="2624" s="7" customFormat="1" spans="33:33">
      <c r="AG2624" s="9"/>
    </row>
    <row r="2625" s="7" customFormat="1" spans="33:33">
      <c r="AG2625" s="9"/>
    </row>
    <row r="2626" s="7" customFormat="1" spans="33:33">
      <c r="AG2626" s="9"/>
    </row>
    <row r="2627" s="7" customFormat="1" spans="33:33">
      <c r="AG2627" s="9"/>
    </row>
    <row r="2628" s="7" customFormat="1" spans="33:33">
      <c r="AG2628" s="9"/>
    </row>
    <row r="2629" s="7" customFormat="1" spans="33:33">
      <c r="AG2629" s="9"/>
    </row>
    <row r="2630" s="7" customFormat="1" spans="33:33">
      <c r="AG2630" s="9"/>
    </row>
    <row r="2631" s="7" customFormat="1" spans="33:33">
      <c r="AG2631" s="9"/>
    </row>
    <row r="2632" s="7" customFormat="1" spans="33:33">
      <c r="AG2632" s="9"/>
    </row>
    <row r="2633" s="7" customFormat="1" spans="33:33">
      <c r="AG2633" s="9"/>
    </row>
    <row r="2634" s="7" customFormat="1" spans="33:33">
      <c r="AG2634" s="9"/>
    </row>
    <row r="2635" s="7" customFormat="1" spans="33:33">
      <c r="AG2635" s="9"/>
    </row>
    <row r="2636" s="7" customFormat="1" spans="33:33">
      <c r="AG2636" s="9"/>
    </row>
    <row r="2637" s="7" customFormat="1" spans="33:33">
      <c r="AG2637" s="9"/>
    </row>
    <row r="2638" s="7" customFormat="1" spans="33:33">
      <c r="AG2638" s="9"/>
    </row>
    <row r="2639" s="7" customFormat="1" spans="33:33">
      <c r="AG2639" s="9"/>
    </row>
    <row r="2640" s="7" customFormat="1" spans="33:33">
      <c r="AG2640" s="9"/>
    </row>
    <row r="2641" s="7" customFormat="1" spans="33:33">
      <c r="AG2641" s="9"/>
    </row>
    <row r="2642" s="7" customFormat="1" spans="33:33">
      <c r="AG2642" s="9"/>
    </row>
    <row r="2643" s="7" customFormat="1" spans="33:33">
      <c r="AG2643" s="9"/>
    </row>
    <row r="2644" s="7" customFormat="1" spans="33:33">
      <c r="AG2644" s="9"/>
    </row>
    <row r="2645" s="7" customFormat="1" spans="33:33">
      <c r="AG2645" s="9"/>
    </row>
    <row r="2646" s="7" customFormat="1" spans="33:33">
      <c r="AG2646" s="9"/>
    </row>
    <row r="2647" s="7" customFormat="1" spans="33:33">
      <c r="AG2647" s="9"/>
    </row>
    <row r="2648" s="7" customFormat="1" spans="33:33">
      <c r="AG2648" s="9"/>
    </row>
    <row r="2649" s="7" customFormat="1" spans="33:33">
      <c r="AG2649" s="9"/>
    </row>
    <row r="2650" s="7" customFormat="1" spans="33:33">
      <c r="AG2650" s="9"/>
    </row>
    <row r="2651" s="7" customFormat="1" spans="33:33">
      <c r="AG2651" s="9"/>
    </row>
    <row r="2652" s="7" customFormat="1" spans="33:33">
      <c r="AG2652" s="9"/>
    </row>
    <row r="2653" s="7" customFormat="1" spans="33:33">
      <c r="AG2653" s="9"/>
    </row>
    <row r="2654" s="7" customFormat="1" spans="33:33">
      <c r="AG2654" s="9"/>
    </row>
    <row r="2655" s="7" customFormat="1" spans="33:33">
      <c r="AG2655" s="9"/>
    </row>
    <row r="2656" s="7" customFormat="1" spans="33:33">
      <c r="AG2656" s="9"/>
    </row>
    <row r="2657" s="7" customFormat="1" spans="33:33">
      <c r="AG2657" s="9"/>
    </row>
    <row r="2658" s="7" customFormat="1" spans="33:33">
      <c r="AG2658" s="9"/>
    </row>
    <row r="2659" s="7" customFormat="1" spans="33:33">
      <c r="AG2659" s="9"/>
    </row>
    <row r="2660" s="7" customFormat="1" spans="33:33">
      <c r="AG2660" s="9"/>
    </row>
    <row r="2661" s="7" customFormat="1" spans="33:33">
      <c r="AG2661" s="9"/>
    </row>
    <row r="2662" s="7" customFormat="1" spans="33:33">
      <c r="AG2662" s="9"/>
    </row>
    <row r="2663" s="7" customFormat="1" spans="33:33">
      <c r="AG2663" s="9"/>
    </row>
    <row r="2664" s="7" customFormat="1" spans="33:33">
      <c r="AG2664" s="9"/>
    </row>
    <row r="2665" s="7" customFormat="1" spans="33:33">
      <c r="AG2665" s="9"/>
    </row>
    <row r="2666" s="7" customFormat="1" spans="33:33">
      <c r="AG2666" s="9"/>
    </row>
    <row r="2667" s="7" customFormat="1" spans="33:33">
      <c r="AG2667" s="9"/>
    </row>
    <row r="2668" s="7" customFormat="1" spans="33:33">
      <c r="AG2668" s="9"/>
    </row>
    <row r="2669" s="7" customFormat="1" spans="33:33">
      <c r="AG2669" s="9"/>
    </row>
    <row r="2670" s="7" customFormat="1" spans="33:33">
      <c r="AG2670" s="9"/>
    </row>
    <row r="2671" s="7" customFormat="1" spans="33:33">
      <c r="AG2671" s="9"/>
    </row>
    <row r="2672" s="7" customFormat="1" spans="33:33">
      <c r="AG2672" s="9"/>
    </row>
    <row r="2673" s="7" customFormat="1" spans="33:33">
      <c r="AG2673" s="9"/>
    </row>
    <row r="2674" s="7" customFormat="1" spans="33:33">
      <c r="AG2674" s="9"/>
    </row>
    <row r="2675" s="7" customFormat="1" spans="33:33">
      <c r="AG2675" s="9"/>
    </row>
    <row r="2676" s="7" customFormat="1" spans="33:33">
      <c r="AG2676" s="9"/>
    </row>
    <row r="2677" s="7" customFormat="1" spans="33:33">
      <c r="AG2677" s="9"/>
    </row>
    <row r="2678" s="7" customFormat="1" spans="33:33">
      <c r="AG2678" s="9"/>
    </row>
    <row r="2679" s="7" customFormat="1" spans="33:33">
      <c r="AG2679" s="9"/>
    </row>
    <row r="2680" s="7" customFormat="1" spans="33:33">
      <c r="AG2680" s="9"/>
    </row>
    <row r="2681" s="7" customFormat="1" spans="33:33">
      <c r="AG2681" s="9"/>
    </row>
    <row r="2682" s="7" customFormat="1" spans="33:33">
      <c r="AG2682" s="9"/>
    </row>
    <row r="2683" s="7" customFormat="1" spans="33:33">
      <c r="AG2683" s="9"/>
    </row>
    <row r="2684" s="7" customFormat="1" spans="33:33">
      <c r="AG2684" s="9"/>
    </row>
    <row r="2685" s="7" customFormat="1" spans="33:33">
      <c r="AG2685" s="9"/>
    </row>
    <row r="2686" s="7" customFormat="1" spans="33:33">
      <c r="AG2686" s="9"/>
    </row>
    <row r="2687" s="7" customFormat="1" spans="33:33">
      <c r="AG2687" s="9"/>
    </row>
    <row r="2688" s="7" customFormat="1" spans="33:33">
      <c r="AG2688" s="9"/>
    </row>
    <row r="2689" s="7" customFormat="1" spans="33:33">
      <c r="AG2689" s="9"/>
    </row>
    <row r="2690" s="7" customFormat="1" spans="33:33">
      <c r="AG2690" s="9"/>
    </row>
    <row r="2691" s="7" customFormat="1" spans="33:33">
      <c r="AG2691" s="9"/>
    </row>
    <row r="2692" s="7" customFormat="1" spans="33:33">
      <c r="AG2692" s="9"/>
    </row>
    <row r="2693" s="7" customFormat="1" spans="33:33">
      <c r="AG2693" s="9"/>
    </row>
    <row r="2694" s="7" customFormat="1" spans="33:33">
      <c r="AG2694" s="9"/>
    </row>
    <row r="2695" s="7" customFormat="1" spans="33:33">
      <c r="AG2695" s="9"/>
    </row>
    <row r="2696" s="7" customFormat="1" spans="33:33">
      <c r="AG2696" s="9"/>
    </row>
    <row r="2697" s="7" customFormat="1" spans="33:33">
      <c r="AG2697" s="9"/>
    </row>
    <row r="2698" s="7" customFormat="1" spans="33:33">
      <c r="AG2698" s="9"/>
    </row>
    <row r="2699" s="7" customFormat="1" spans="33:33">
      <c r="AG2699" s="9"/>
    </row>
    <row r="2700" s="7" customFormat="1" spans="33:33">
      <c r="AG2700" s="9"/>
    </row>
    <row r="2701" s="7" customFormat="1" spans="33:33">
      <c r="AG2701" s="9"/>
    </row>
    <row r="2702" s="7" customFormat="1" spans="33:33">
      <c r="AG2702" s="9"/>
    </row>
    <row r="2703" s="7" customFormat="1" spans="33:33">
      <c r="AG2703" s="9"/>
    </row>
    <row r="2704" s="7" customFormat="1" spans="33:33">
      <c r="AG2704" s="9"/>
    </row>
    <row r="2705" s="7" customFormat="1" spans="33:33">
      <c r="AG2705" s="9"/>
    </row>
    <row r="2706" s="7" customFormat="1" spans="33:33">
      <c r="AG2706" s="9"/>
    </row>
    <row r="2707" s="7" customFormat="1" spans="33:33">
      <c r="AG2707" s="9"/>
    </row>
    <row r="2708" s="7" customFormat="1" spans="33:33">
      <c r="AG2708" s="9"/>
    </row>
    <row r="2709" s="7" customFormat="1" spans="33:33">
      <c r="AG2709" s="9"/>
    </row>
    <row r="2710" s="7" customFormat="1" spans="33:33">
      <c r="AG2710" s="9"/>
    </row>
    <row r="2711" s="7" customFormat="1" spans="33:33">
      <c r="AG2711" s="9"/>
    </row>
    <row r="2712" s="7" customFormat="1" spans="33:33">
      <c r="AG2712" s="9"/>
    </row>
    <row r="2713" s="7" customFormat="1" spans="33:33">
      <c r="AG2713" s="9"/>
    </row>
    <row r="2714" s="7" customFormat="1" spans="33:33">
      <c r="AG2714" s="9"/>
    </row>
    <row r="2715" s="7" customFormat="1" spans="33:33">
      <c r="AG2715" s="9"/>
    </row>
    <row r="2716" s="7" customFormat="1" spans="33:33">
      <c r="AG2716" s="9"/>
    </row>
    <row r="2717" s="7" customFormat="1" spans="33:33">
      <c r="AG2717" s="9"/>
    </row>
    <row r="2718" s="7" customFormat="1" spans="33:33">
      <c r="AG2718" s="9"/>
    </row>
    <row r="2719" s="7" customFormat="1" spans="33:33">
      <c r="AG2719" s="9"/>
    </row>
    <row r="2720" s="7" customFormat="1" spans="33:33">
      <c r="AG2720" s="9"/>
    </row>
    <row r="2721" s="7" customFormat="1" spans="33:33">
      <c r="AG2721" s="9"/>
    </row>
    <row r="2722" s="7" customFormat="1" spans="33:33">
      <c r="AG2722" s="9"/>
    </row>
    <row r="2723" s="7" customFormat="1" spans="33:33">
      <c r="AG2723" s="9"/>
    </row>
    <row r="2724" s="7" customFormat="1" spans="33:33">
      <c r="AG2724" s="9"/>
    </row>
    <row r="2725" s="7" customFormat="1" spans="33:33">
      <c r="AG2725" s="9"/>
    </row>
    <row r="2726" s="7" customFormat="1" spans="33:33">
      <c r="AG2726" s="9"/>
    </row>
    <row r="2727" s="7" customFormat="1" spans="33:33">
      <c r="AG2727" s="9"/>
    </row>
    <row r="2728" s="7" customFormat="1" spans="33:33">
      <c r="AG2728" s="9"/>
    </row>
    <row r="2729" s="7" customFormat="1" spans="33:33">
      <c r="AG2729" s="9"/>
    </row>
    <row r="2730" s="7" customFormat="1" spans="33:33">
      <c r="AG2730" s="9"/>
    </row>
    <row r="2731" s="7" customFormat="1" spans="33:33">
      <c r="AG2731" s="9"/>
    </row>
    <row r="2732" s="7" customFormat="1" spans="33:33">
      <c r="AG2732" s="9"/>
    </row>
    <row r="2733" s="7" customFormat="1" spans="33:33">
      <c r="AG2733" s="9"/>
    </row>
    <row r="2734" s="7" customFormat="1" spans="33:33">
      <c r="AG2734" s="9"/>
    </row>
    <row r="2735" s="7" customFormat="1" spans="33:33">
      <c r="AG2735" s="9"/>
    </row>
    <row r="2736" s="7" customFormat="1" spans="33:33">
      <c r="AG2736" s="9"/>
    </row>
    <row r="2737" s="7" customFormat="1" spans="33:33">
      <c r="AG2737" s="9"/>
    </row>
    <row r="2738" s="7" customFormat="1" spans="33:33">
      <c r="AG2738" s="9"/>
    </row>
    <row r="2739" s="7" customFormat="1" spans="33:33">
      <c r="AG2739" s="9"/>
    </row>
    <row r="2740" s="7" customFormat="1" spans="33:33">
      <c r="AG2740" s="9"/>
    </row>
    <row r="2741" s="7" customFormat="1" spans="33:33">
      <c r="AG2741" s="9"/>
    </row>
    <row r="2742" s="7" customFormat="1" spans="33:33">
      <c r="AG2742" s="9"/>
    </row>
    <row r="2743" s="7" customFormat="1" spans="33:33">
      <c r="AG2743" s="9"/>
    </row>
    <row r="2744" s="7" customFormat="1" spans="33:33">
      <c r="AG2744" s="9"/>
    </row>
    <row r="2745" s="7" customFormat="1" spans="33:33">
      <c r="AG2745" s="9"/>
    </row>
    <row r="2746" s="7" customFormat="1" spans="33:33">
      <c r="AG2746" s="9"/>
    </row>
    <row r="2747" s="7" customFormat="1" spans="33:33">
      <c r="AG2747" s="9"/>
    </row>
    <row r="2748" s="7" customFormat="1" spans="33:33">
      <c r="AG2748" s="9"/>
    </row>
    <row r="2749" s="7" customFormat="1" spans="33:33">
      <c r="AG2749" s="9"/>
    </row>
    <row r="2750" s="7" customFormat="1" spans="33:33">
      <c r="AG2750" s="9"/>
    </row>
    <row r="2751" s="7" customFormat="1" spans="33:33">
      <c r="AG2751" s="9"/>
    </row>
    <row r="2752" s="7" customFormat="1" spans="33:33">
      <c r="AG2752" s="9"/>
    </row>
    <row r="2753" s="7" customFormat="1" spans="33:33">
      <c r="AG2753" s="9"/>
    </row>
    <row r="2754" s="7" customFormat="1" spans="33:33">
      <c r="AG2754" s="9"/>
    </row>
    <row r="2755" s="7" customFormat="1" spans="33:33">
      <c r="AG2755" s="9"/>
    </row>
    <row r="2756" s="7" customFormat="1" spans="33:33">
      <c r="AG2756" s="9"/>
    </row>
    <row r="2757" s="7" customFormat="1" spans="33:33">
      <c r="AG2757" s="9"/>
    </row>
    <row r="2758" s="7" customFormat="1" spans="33:33">
      <c r="AG2758" s="9"/>
    </row>
    <row r="2759" s="7" customFormat="1" spans="33:33">
      <c r="AG2759" s="9"/>
    </row>
    <row r="2760" s="7" customFormat="1" spans="33:33">
      <c r="AG2760" s="9"/>
    </row>
    <row r="2761" s="7" customFormat="1" spans="33:33">
      <c r="AG2761" s="9"/>
    </row>
    <row r="2762" s="7" customFormat="1" spans="33:33">
      <c r="AG2762" s="9"/>
    </row>
    <row r="2763" s="7" customFormat="1" spans="33:33">
      <c r="AG2763" s="9"/>
    </row>
    <row r="2764" s="7" customFormat="1" spans="33:33">
      <c r="AG2764" s="9"/>
    </row>
    <row r="2765" s="7" customFormat="1" spans="33:33">
      <c r="AG2765" s="9"/>
    </row>
    <row r="2766" s="7" customFormat="1" spans="33:33">
      <c r="AG2766" s="9"/>
    </row>
    <row r="2767" s="7" customFormat="1" spans="33:33">
      <c r="AG2767" s="9"/>
    </row>
    <row r="2768" s="7" customFormat="1" spans="33:33">
      <c r="AG2768" s="9"/>
    </row>
    <row r="2769" s="7" customFormat="1" spans="33:33">
      <c r="AG2769" s="9"/>
    </row>
    <row r="2770" s="7" customFormat="1" spans="33:33">
      <c r="AG2770" s="9"/>
    </row>
    <row r="2771" s="7" customFormat="1" spans="33:33">
      <c r="AG2771" s="9"/>
    </row>
    <row r="2772" s="7" customFormat="1" spans="33:33">
      <c r="AG2772" s="9"/>
    </row>
    <row r="2773" s="7" customFormat="1" spans="33:33">
      <c r="AG2773" s="9"/>
    </row>
    <row r="2774" s="7" customFormat="1" spans="33:33">
      <c r="AG2774" s="9"/>
    </row>
    <row r="2775" s="7" customFormat="1" spans="33:33">
      <c r="AG2775" s="9"/>
    </row>
    <row r="2776" s="7" customFormat="1" spans="33:33">
      <c r="AG2776" s="9"/>
    </row>
    <row r="2777" s="7" customFormat="1" spans="33:33">
      <c r="AG2777" s="9"/>
    </row>
    <row r="2778" s="7" customFormat="1" spans="33:33">
      <c r="AG2778" s="9"/>
    </row>
    <row r="2779" s="7" customFormat="1" spans="33:33">
      <c r="AG2779" s="9"/>
    </row>
    <row r="2780" s="7" customFormat="1" spans="33:33">
      <c r="AG2780" s="9"/>
    </row>
    <row r="2781" s="7" customFormat="1" spans="33:33">
      <c r="AG2781" s="9"/>
    </row>
    <row r="2782" s="7" customFormat="1" spans="33:33">
      <c r="AG2782" s="9"/>
    </row>
    <row r="2783" s="7" customFormat="1" spans="33:33">
      <c r="AG2783" s="9"/>
    </row>
    <row r="2784" s="7" customFormat="1" spans="33:33">
      <c r="AG2784" s="9"/>
    </row>
    <row r="2785" s="7" customFormat="1" spans="33:33">
      <c r="AG2785" s="9"/>
    </row>
    <row r="2786" s="7" customFormat="1" spans="33:33">
      <c r="AG2786" s="9"/>
    </row>
    <row r="2787" s="7" customFormat="1" spans="33:33">
      <c r="AG2787" s="9"/>
    </row>
    <row r="2788" s="7" customFormat="1" spans="33:33">
      <c r="AG2788" s="9"/>
    </row>
    <row r="2789" s="7" customFormat="1" spans="33:33">
      <c r="AG2789" s="9"/>
    </row>
    <row r="2790" s="7" customFormat="1" spans="33:33">
      <c r="AG2790" s="9"/>
    </row>
    <row r="2791" s="7" customFormat="1" spans="33:33">
      <c r="AG2791" s="9"/>
    </row>
    <row r="2792" s="7" customFormat="1" spans="33:33">
      <c r="AG2792" s="9"/>
    </row>
    <row r="2793" s="7" customFormat="1" spans="33:33">
      <c r="AG2793" s="9"/>
    </row>
    <row r="2794" s="7" customFormat="1" spans="33:33">
      <c r="AG2794" s="9"/>
    </row>
    <row r="2795" s="7" customFormat="1" spans="33:33">
      <c r="AG2795" s="9"/>
    </row>
    <row r="2796" s="7" customFormat="1" spans="33:33">
      <c r="AG2796" s="9"/>
    </row>
    <row r="2797" s="7" customFormat="1" spans="33:33">
      <c r="AG2797" s="9"/>
    </row>
    <row r="2798" s="7" customFormat="1" spans="33:33">
      <c r="AG2798" s="9"/>
    </row>
    <row r="2799" s="7" customFormat="1" spans="33:33">
      <c r="AG2799" s="9"/>
    </row>
    <row r="2800" s="7" customFormat="1" spans="33:33">
      <c r="AG2800" s="9"/>
    </row>
    <row r="2801" s="7" customFormat="1" spans="33:33">
      <c r="AG2801" s="9"/>
    </row>
    <row r="2802" s="7" customFormat="1" spans="33:33">
      <c r="AG2802" s="9"/>
    </row>
    <row r="2803" s="7" customFormat="1" spans="33:33">
      <c r="AG2803" s="9"/>
    </row>
    <row r="2804" s="7" customFormat="1" spans="33:33">
      <c r="AG2804" s="9"/>
    </row>
    <row r="2805" s="7" customFormat="1" spans="33:33">
      <c r="AG2805" s="9"/>
    </row>
    <row r="2806" s="7" customFormat="1" spans="33:33">
      <c r="AG2806" s="9"/>
    </row>
    <row r="2807" s="7" customFormat="1" spans="33:33">
      <c r="AG2807" s="9"/>
    </row>
    <row r="2808" s="7" customFormat="1" spans="33:33">
      <c r="AG2808" s="9"/>
    </row>
    <row r="2809" s="7" customFormat="1" spans="33:33">
      <c r="AG2809" s="9"/>
    </row>
    <row r="2810" s="7" customFormat="1" spans="33:33">
      <c r="AG2810" s="9"/>
    </row>
    <row r="2811" s="7" customFormat="1" spans="33:33">
      <c r="AG2811" s="9"/>
    </row>
    <row r="2812" s="7" customFormat="1" spans="33:33">
      <c r="AG2812" s="9"/>
    </row>
    <row r="2813" s="7" customFormat="1" spans="33:33">
      <c r="AG2813" s="9"/>
    </row>
    <row r="2814" s="7" customFormat="1" spans="33:33">
      <c r="AG2814" s="9"/>
    </row>
    <row r="2815" s="7" customFormat="1" spans="33:33">
      <c r="AG2815" s="9"/>
    </row>
    <row r="2816" s="7" customFormat="1" spans="33:33">
      <c r="AG2816" s="9"/>
    </row>
    <row r="2817" s="7" customFormat="1" spans="33:33">
      <c r="AG2817" s="9"/>
    </row>
    <row r="2818" s="7" customFormat="1" spans="33:33">
      <c r="AG2818" s="9"/>
    </row>
    <row r="2819" s="7" customFormat="1" spans="33:33">
      <c r="AG2819" s="9"/>
    </row>
    <row r="2820" s="7" customFormat="1" spans="33:33">
      <c r="AG2820" s="9"/>
    </row>
    <row r="2821" s="7" customFormat="1" spans="33:33">
      <c r="AG2821" s="9"/>
    </row>
    <row r="2822" s="7" customFormat="1" spans="33:33">
      <c r="AG2822" s="9"/>
    </row>
    <row r="2823" s="7" customFormat="1" spans="33:33">
      <c r="AG2823" s="9"/>
    </row>
    <row r="2824" s="7" customFormat="1" spans="33:33">
      <c r="AG2824" s="9"/>
    </row>
    <row r="2825" s="7" customFormat="1" spans="33:33">
      <c r="AG2825" s="9"/>
    </row>
    <row r="2826" s="7" customFormat="1" spans="33:33">
      <c r="AG2826" s="9"/>
    </row>
    <row r="2827" s="7" customFormat="1" spans="33:33">
      <c r="AG2827" s="9"/>
    </row>
    <row r="2828" s="7" customFormat="1" spans="33:33">
      <c r="AG2828" s="9"/>
    </row>
    <row r="2829" s="7" customFormat="1" spans="33:33">
      <c r="AG2829" s="9"/>
    </row>
    <row r="2830" s="7" customFormat="1" spans="33:33">
      <c r="AG2830" s="9"/>
    </row>
    <row r="2831" s="7" customFormat="1" spans="33:33">
      <c r="AG2831" s="9"/>
    </row>
    <row r="2832" s="7" customFormat="1" spans="33:33">
      <c r="AG2832" s="9"/>
    </row>
    <row r="2833" s="7" customFormat="1" spans="33:33">
      <c r="AG2833" s="9"/>
    </row>
    <row r="2834" s="7" customFormat="1" spans="33:33">
      <c r="AG2834" s="9"/>
    </row>
    <row r="2835" s="7" customFormat="1" spans="33:33">
      <c r="AG2835" s="9"/>
    </row>
    <row r="2836" s="7" customFormat="1" spans="33:33">
      <c r="AG2836" s="9"/>
    </row>
    <row r="2837" s="7" customFormat="1" spans="33:33">
      <c r="AG2837" s="9"/>
    </row>
    <row r="2838" s="7" customFormat="1" spans="33:33">
      <c r="AG2838" s="9"/>
    </row>
    <row r="2839" s="7" customFormat="1" spans="33:33">
      <c r="AG2839" s="9"/>
    </row>
    <row r="2840" s="7" customFormat="1" spans="33:33">
      <c r="AG2840" s="9"/>
    </row>
    <row r="2841" s="7" customFormat="1" spans="33:33">
      <c r="AG2841" s="9"/>
    </row>
    <row r="2842" s="7" customFormat="1" spans="33:33">
      <c r="AG2842" s="9"/>
    </row>
    <row r="2843" s="7" customFormat="1" spans="33:33">
      <c r="AG2843" s="9"/>
    </row>
    <row r="2844" s="7" customFormat="1" spans="33:33">
      <c r="AG2844" s="9"/>
    </row>
    <row r="2845" s="7" customFormat="1" spans="33:33">
      <c r="AG2845" s="9"/>
    </row>
    <row r="2846" s="7" customFormat="1" spans="33:33">
      <c r="AG2846" s="9"/>
    </row>
    <row r="2847" s="7" customFormat="1" spans="33:33">
      <c r="AG2847" s="9"/>
    </row>
    <row r="2848" s="7" customFormat="1" spans="33:33">
      <c r="AG2848" s="9"/>
    </row>
    <row r="2849" s="7" customFormat="1" spans="33:33">
      <c r="AG2849" s="9"/>
    </row>
    <row r="2850" s="7" customFormat="1" spans="33:33">
      <c r="AG2850" s="9"/>
    </row>
    <row r="2851" s="7" customFormat="1" spans="33:33">
      <c r="AG2851" s="9"/>
    </row>
    <row r="2852" s="7" customFormat="1" spans="33:33">
      <c r="AG2852" s="9"/>
    </row>
    <row r="2853" s="7" customFormat="1" spans="33:33">
      <c r="AG2853" s="9"/>
    </row>
    <row r="2854" s="7" customFormat="1" spans="33:33">
      <c r="AG2854" s="9"/>
    </row>
    <row r="2855" s="7" customFormat="1" spans="33:33">
      <c r="AG2855" s="9"/>
    </row>
    <row r="2856" s="7" customFormat="1" spans="33:33">
      <c r="AG2856" s="9"/>
    </row>
    <row r="2857" s="7" customFormat="1" spans="33:33">
      <c r="AG2857" s="9"/>
    </row>
    <row r="2858" s="7" customFormat="1" spans="33:33">
      <c r="AG2858" s="9"/>
    </row>
    <row r="2859" s="7" customFormat="1" spans="33:33">
      <c r="AG2859" s="9"/>
    </row>
    <row r="2860" s="7" customFormat="1" spans="33:33">
      <c r="AG2860" s="9"/>
    </row>
    <row r="2861" s="7" customFormat="1" spans="33:33">
      <c r="AG2861" s="9"/>
    </row>
    <row r="2862" s="7" customFormat="1" spans="33:33">
      <c r="AG2862" s="9"/>
    </row>
    <row r="2863" s="7" customFormat="1" spans="33:33">
      <c r="AG2863" s="9"/>
    </row>
    <row r="2864" s="7" customFormat="1" spans="33:33">
      <c r="AG2864" s="9"/>
    </row>
    <row r="2865" s="7" customFormat="1" spans="33:33">
      <c r="AG2865" s="9"/>
    </row>
    <row r="2866" s="7" customFormat="1" spans="33:33">
      <c r="AG2866" s="9"/>
    </row>
    <row r="2867" s="7" customFormat="1" spans="33:33">
      <c r="AG2867" s="9"/>
    </row>
    <row r="2868" s="7" customFormat="1" spans="33:33">
      <c r="AG2868" s="9"/>
    </row>
    <row r="2869" s="7" customFormat="1" spans="33:33">
      <c r="AG2869" s="9"/>
    </row>
    <row r="2870" s="7" customFormat="1" spans="33:33">
      <c r="AG2870" s="9"/>
    </row>
    <row r="2871" s="7" customFormat="1" spans="33:33">
      <c r="AG2871" s="9"/>
    </row>
    <row r="2872" s="7" customFormat="1" spans="33:33">
      <c r="AG2872" s="9"/>
    </row>
    <row r="2873" s="7" customFormat="1" spans="33:33">
      <c r="AG2873" s="9"/>
    </row>
    <row r="2874" s="7" customFormat="1" spans="33:33">
      <c r="AG2874" s="9"/>
    </row>
    <row r="2875" s="7" customFormat="1" spans="33:33">
      <c r="AG2875" s="9"/>
    </row>
    <row r="2876" s="7" customFormat="1" spans="33:33">
      <c r="AG2876" s="9"/>
    </row>
    <row r="2877" s="7" customFormat="1" spans="33:33">
      <c r="AG2877" s="9"/>
    </row>
    <row r="2878" s="7" customFormat="1" spans="33:33">
      <c r="AG2878" s="9"/>
    </row>
    <row r="2879" s="7" customFormat="1" spans="33:33">
      <c r="AG2879" s="9"/>
    </row>
    <row r="2880" s="7" customFormat="1" spans="33:33">
      <c r="AG2880" s="9"/>
    </row>
    <row r="2881" s="7" customFormat="1" spans="33:33">
      <c r="AG2881" s="9"/>
    </row>
    <row r="2882" s="7" customFormat="1" spans="33:33">
      <c r="AG2882" s="9"/>
    </row>
    <row r="2883" s="7" customFormat="1" spans="33:33">
      <c r="AG2883" s="9"/>
    </row>
    <row r="2884" s="7" customFormat="1" spans="33:33">
      <c r="AG2884" s="9"/>
    </row>
    <row r="2885" s="7" customFormat="1" spans="33:33">
      <c r="AG2885" s="9"/>
    </row>
    <row r="2886" s="7" customFormat="1" spans="33:33">
      <c r="AG2886" s="9"/>
    </row>
    <row r="2887" s="7" customFormat="1" spans="33:33">
      <c r="AG2887" s="9"/>
    </row>
    <row r="2888" s="7" customFormat="1" spans="33:33">
      <c r="AG2888" s="9"/>
    </row>
    <row r="2889" s="7" customFormat="1" spans="33:33">
      <c r="AG2889" s="9"/>
    </row>
    <row r="2890" s="7" customFormat="1" spans="33:33">
      <c r="AG2890" s="9"/>
    </row>
    <row r="2891" s="7" customFormat="1" spans="33:33">
      <c r="AG2891" s="9"/>
    </row>
    <row r="2892" s="7" customFormat="1" spans="33:33">
      <c r="AG2892" s="9"/>
    </row>
    <row r="2893" s="7" customFormat="1" spans="33:33">
      <c r="AG2893" s="9"/>
    </row>
    <row r="2894" s="7" customFormat="1" spans="33:33">
      <c r="AG2894" s="9"/>
    </row>
    <row r="2895" s="7" customFormat="1" spans="33:33">
      <c r="AG2895" s="9"/>
    </row>
    <row r="2896" s="7" customFormat="1" spans="33:33">
      <c r="AG2896" s="9"/>
    </row>
    <row r="2897" s="7" customFormat="1" spans="33:33">
      <c r="AG2897" s="9"/>
    </row>
    <row r="2898" s="7" customFormat="1" spans="33:33">
      <c r="AG2898" s="9"/>
    </row>
    <row r="2899" s="7" customFormat="1" spans="33:33">
      <c r="AG2899" s="9"/>
    </row>
    <row r="2900" s="7" customFormat="1" spans="33:33">
      <c r="AG2900" s="9"/>
    </row>
    <row r="2901" s="7" customFormat="1" spans="33:33">
      <c r="AG2901" s="9"/>
    </row>
    <row r="2902" s="7" customFormat="1" spans="33:33">
      <c r="AG2902" s="9"/>
    </row>
    <row r="2903" s="7" customFormat="1" spans="33:33">
      <c r="AG2903" s="9"/>
    </row>
    <row r="2904" s="7" customFormat="1" spans="33:33">
      <c r="AG2904" s="9"/>
    </row>
    <row r="2905" s="7" customFormat="1" spans="33:33">
      <c r="AG2905" s="9"/>
    </row>
    <row r="2906" s="7" customFormat="1" spans="33:33">
      <c r="AG2906" s="9"/>
    </row>
    <row r="2907" s="7" customFormat="1" spans="33:33">
      <c r="AG2907" s="9"/>
    </row>
    <row r="2908" s="7" customFormat="1" spans="33:33">
      <c r="AG2908" s="9"/>
    </row>
    <row r="2909" s="7" customFormat="1" spans="33:33">
      <c r="AG2909" s="9"/>
    </row>
    <row r="2910" s="7" customFormat="1" spans="33:33">
      <c r="AG2910" s="9"/>
    </row>
    <row r="2911" s="7" customFormat="1" spans="33:33">
      <c r="AG2911" s="9"/>
    </row>
    <row r="2912" s="7" customFormat="1" spans="33:33">
      <c r="AG2912" s="9"/>
    </row>
    <row r="2913" s="7" customFormat="1" spans="33:33">
      <c r="AG2913" s="9"/>
    </row>
    <row r="2914" s="7" customFormat="1" spans="33:33">
      <c r="AG2914" s="9"/>
    </row>
    <row r="2915" s="7" customFormat="1" spans="33:33">
      <c r="AG2915" s="9"/>
    </row>
    <row r="2916" s="7" customFormat="1" spans="33:33">
      <c r="AG2916" s="9"/>
    </row>
    <row r="2917" s="7" customFormat="1" spans="33:33">
      <c r="AG2917" s="9"/>
    </row>
    <row r="2918" s="7" customFormat="1" spans="33:33">
      <c r="AG2918" s="9"/>
    </row>
    <row r="2919" s="7" customFormat="1" spans="33:33">
      <c r="AG2919" s="9"/>
    </row>
    <row r="2920" s="7" customFormat="1" spans="33:33">
      <c r="AG2920" s="9"/>
    </row>
    <row r="2921" s="7" customFormat="1" spans="33:33">
      <c r="AG2921" s="9"/>
    </row>
    <row r="2922" s="7" customFormat="1" spans="33:33">
      <c r="AG2922" s="9"/>
    </row>
    <row r="2923" s="7" customFormat="1" spans="33:33">
      <c r="AG2923" s="9"/>
    </row>
    <row r="2924" s="7" customFormat="1" spans="33:33">
      <c r="AG2924" s="9"/>
    </row>
    <row r="2925" s="7" customFormat="1" spans="33:33">
      <c r="AG2925" s="9"/>
    </row>
    <row r="2926" s="7" customFormat="1" spans="33:33">
      <c r="AG2926" s="9"/>
    </row>
    <row r="2927" s="7" customFormat="1" spans="33:33">
      <c r="AG2927" s="9"/>
    </row>
    <row r="2928" s="7" customFormat="1" spans="33:33">
      <c r="AG2928" s="9"/>
    </row>
    <row r="2929" s="7" customFormat="1" spans="33:33">
      <c r="AG2929" s="9"/>
    </row>
    <row r="2930" s="7" customFormat="1" spans="33:33">
      <c r="AG2930" s="9"/>
    </row>
    <row r="2931" s="7" customFormat="1" spans="33:33">
      <c r="AG2931" s="9"/>
    </row>
    <row r="2932" s="7" customFormat="1" spans="33:33">
      <c r="AG2932" s="9"/>
    </row>
    <row r="2933" s="7" customFormat="1" spans="33:33">
      <c r="AG2933" s="9"/>
    </row>
    <row r="2934" s="7" customFormat="1" spans="33:33">
      <c r="AG2934" s="9"/>
    </row>
    <row r="2935" s="7" customFormat="1" spans="33:33">
      <c r="AG2935" s="9"/>
    </row>
    <row r="2936" s="7" customFormat="1" spans="33:33">
      <c r="AG2936" s="9"/>
    </row>
    <row r="2937" s="7" customFormat="1" spans="33:33">
      <c r="AG2937" s="9"/>
    </row>
    <row r="2938" s="7" customFormat="1" spans="33:33">
      <c r="AG2938" s="9"/>
    </row>
    <row r="2939" s="7" customFormat="1" spans="33:33">
      <c r="AG2939" s="9"/>
    </row>
    <row r="2940" s="7" customFormat="1" spans="33:33">
      <c r="AG2940" s="9"/>
    </row>
    <row r="2941" s="7" customFormat="1" spans="33:33">
      <c r="AG2941" s="9"/>
    </row>
    <row r="2942" s="7" customFormat="1" spans="33:33">
      <c r="AG2942" s="9"/>
    </row>
    <row r="2943" s="7" customFormat="1" spans="33:33">
      <c r="AG2943" s="9"/>
    </row>
    <row r="2944" s="7" customFormat="1" spans="33:33">
      <c r="AG2944" s="9"/>
    </row>
    <row r="2945" s="7" customFormat="1" spans="33:33">
      <c r="AG2945" s="9"/>
    </row>
    <row r="2946" s="7" customFormat="1" spans="33:33">
      <c r="AG2946" s="9"/>
    </row>
    <row r="2947" s="7" customFormat="1" spans="33:33">
      <c r="AG2947" s="9"/>
    </row>
    <row r="2948" s="7" customFormat="1" spans="33:33">
      <c r="AG2948" s="9"/>
    </row>
    <row r="2949" s="7" customFormat="1" spans="33:33">
      <c r="AG2949" s="9"/>
    </row>
    <row r="2950" s="7" customFormat="1" spans="33:33">
      <c r="AG2950" s="9"/>
    </row>
    <row r="2951" s="7" customFormat="1" spans="33:33">
      <c r="AG2951" s="9"/>
    </row>
    <row r="2952" s="7" customFormat="1" spans="33:33">
      <c r="AG2952" s="9"/>
    </row>
    <row r="2953" s="7" customFormat="1" spans="33:33">
      <c r="AG2953" s="9"/>
    </row>
    <row r="2954" s="7" customFormat="1" spans="33:33">
      <c r="AG2954" s="9"/>
    </row>
    <row r="2955" s="7" customFormat="1" spans="33:33">
      <c r="AG2955" s="9"/>
    </row>
    <row r="2956" s="7" customFormat="1" spans="33:33">
      <c r="AG2956" s="9"/>
    </row>
    <row r="2957" s="7" customFormat="1" spans="33:33">
      <c r="AG2957" s="9"/>
    </row>
    <row r="2958" s="7" customFormat="1" spans="33:33">
      <c r="AG2958" s="9"/>
    </row>
    <row r="2959" s="7" customFormat="1" spans="33:33">
      <c r="AG2959" s="9"/>
    </row>
    <row r="2960" s="7" customFormat="1" spans="33:33">
      <c r="AG2960" s="9"/>
    </row>
    <row r="2961" s="7" customFormat="1" spans="33:33">
      <c r="AG2961" s="9"/>
    </row>
    <row r="2962" s="7" customFormat="1" spans="33:33">
      <c r="AG2962" s="9"/>
    </row>
    <row r="2963" s="7" customFormat="1" spans="33:33">
      <c r="AG2963" s="9"/>
    </row>
    <row r="2964" s="7" customFormat="1" spans="33:33">
      <c r="AG2964" s="9"/>
    </row>
    <row r="2965" s="7" customFormat="1" spans="33:33">
      <c r="AG2965" s="9"/>
    </row>
    <row r="2966" s="7" customFormat="1" spans="33:33">
      <c r="AG2966" s="9"/>
    </row>
    <row r="2967" s="7" customFormat="1" spans="33:33">
      <c r="AG2967" s="9"/>
    </row>
    <row r="2968" s="7" customFormat="1" spans="33:33">
      <c r="AG2968" s="9"/>
    </row>
    <row r="2969" s="7" customFormat="1" spans="33:33">
      <c r="AG2969" s="9"/>
    </row>
    <row r="2970" s="7" customFormat="1" spans="33:33">
      <c r="AG2970" s="9"/>
    </row>
    <row r="2971" s="7" customFormat="1" spans="33:33">
      <c r="AG2971" s="9"/>
    </row>
    <row r="2972" s="7" customFormat="1" spans="33:33">
      <c r="AG2972" s="9"/>
    </row>
    <row r="2973" s="7" customFormat="1" spans="33:33">
      <c r="AG2973" s="9"/>
    </row>
    <row r="2974" s="7" customFormat="1" spans="33:33">
      <c r="AG2974" s="9"/>
    </row>
    <row r="2975" s="7" customFormat="1" spans="33:33">
      <c r="AG2975" s="9"/>
    </row>
    <row r="2976" s="7" customFormat="1" spans="33:33">
      <c r="AG2976" s="9"/>
    </row>
    <row r="2977" s="7" customFormat="1" spans="33:33">
      <c r="AG2977" s="9"/>
    </row>
    <row r="2978" s="7" customFormat="1" spans="33:33">
      <c r="AG2978" s="9"/>
    </row>
    <row r="2979" s="7" customFormat="1" spans="33:33">
      <c r="AG2979" s="9"/>
    </row>
    <row r="2980" s="7" customFormat="1" spans="33:33">
      <c r="AG2980" s="9"/>
    </row>
    <row r="2981" s="7" customFormat="1" spans="33:33">
      <c r="AG2981" s="9"/>
    </row>
    <row r="2982" s="7" customFormat="1" spans="33:33">
      <c r="AG2982" s="9"/>
    </row>
    <row r="2983" s="7" customFormat="1" spans="33:33">
      <c r="AG2983" s="9"/>
    </row>
    <row r="2984" s="7" customFormat="1" spans="33:33">
      <c r="AG2984" s="9"/>
    </row>
    <row r="2985" s="7" customFormat="1" spans="33:33">
      <c r="AG2985" s="9"/>
    </row>
    <row r="2986" s="7" customFormat="1" spans="33:33">
      <c r="AG2986" s="9"/>
    </row>
    <row r="2987" s="7" customFormat="1" spans="33:33">
      <c r="AG2987" s="9"/>
    </row>
    <row r="2988" s="7" customFormat="1" spans="33:33">
      <c r="AG2988" s="9"/>
    </row>
    <row r="2989" s="7" customFormat="1" spans="33:33">
      <c r="AG2989" s="9"/>
    </row>
    <row r="2990" s="7" customFormat="1" spans="33:33">
      <c r="AG2990" s="9"/>
    </row>
    <row r="2991" s="7" customFormat="1" spans="33:33">
      <c r="AG2991" s="9"/>
    </row>
    <row r="2992" s="7" customFormat="1" spans="33:33">
      <c r="AG2992" s="9"/>
    </row>
    <row r="2993" s="7" customFormat="1" spans="33:33">
      <c r="AG2993" s="9"/>
    </row>
    <row r="2994" s="7" customFormat="1" spans="33:33">
      <c r="AG2994" s="9"/>
    </row>
    <row r="2995" s="7" customFormat="1" spans="33:33">
      <c r="AG2995" s="9"/>
    </row>
    <row r="2996" s="7" customFormat="1" spans="33:33">
      <c r="AG2996" s="9"/>
    </row>
    <row r="2997" s="7" customFormat="1" spans="33:33">
      <c r="AG2997" s="9"/>
    </row>
    <row r="2998" s="7" customFormat="1" spans="33:33">
      <c r="AG2998" s="9"/>
    </row>
    <row r="2999" s="7" customFormat="1" spans="33:33">
      <c r="AG2999" s="9"/>
    </row>
    <row r="3000" s="7" customFormat="1" spans="33:33">
      <c r="AG3000" s="9"/>
    </row>
    <row r="3001" s="7" customFormat="1" spans="33:33">
      <c r="AG3001" s="9"/>
    </row>
    <row r="3002" s="7" customFormat="1" spans="33:33">
      <c r="AG3002" s="9"/>
    </row>
    <row r="3003" s="7" customFormat="1" spans="33:33">
      <c r="AG3003" s="9"/>
    </row>
    <row r="3004" s="7" customFormat="1" spans="33:33">
      <c r="AG3004" s="9"/>
    </row>
    <row r="3005" s="7" customFormat="1" spans="33:33">
      <c r="AG3005" s="9"/>
    </row>
    <row r="3006" s="7" customFormat="1" spans="33:33">
      <c r="AG3006" s="9"/>
    </row>
    <row r="3007" s="7" customFormat="1" spans="33:33">
      <c r="AG3007" s="9"/>
    </row>
    <row r="3008" s="7" customFormat="1" spans="33:33">
      <c r="AG3008" s="9"/>
    </row>
    <row r="3009" s="7" customFormat="1" spans="33:33">
      <c r="AG3009" s="9"/>
    </row>
    <row r="3010" s="7" customFormat="1" spans="33:33">
      <c r="AG3010" s="9"/>
    </row>
    <row r="3011" s="7" customFormat="1" spans="33:33">
      <c r="AG3011" s="9"/>
    </row>
    <row r="3012" s="7" customFormat="1" spans="33:33">
      <c r="AG3012" s="9"/>
    </row>
    <row r="3013" s="7" customFormat="1" spans="33:33">
      <c r="AG3013" s="9"/>
    </row>
    <row r="3014" s="7" customFormat="1" spans="33:33">
      <c r="AG3014" s="9"/>
    </row>
    <row r="3015" s="7" customFormat="1" spans="33:33">
      <c r="AG3015" s="9"/>
    </row>
    <row r="3016" s="7" customFormat="1" spans="33:33">
      <c r="AG3016" s="9"/>
    </row>
    <row r="3017" s="7" customFormat="1" spans="33:33">
      <c r="AG3017" s="9"/>
    </row>
    <row r="3018" s="7" customFormat="1" spans="33:33">
      <c r="AG3018" s="9"/>
    </row>
    <row r="3019" s="7" customFormat="1" spans="33:33">
      <c r="AG3019" s="9"/>
    </row>
    <row r="3020" s="7" customFormat="1" spans="33:33">
      <c r="AG3020" s="9"/>
    </row>
    <row r="3021" s="7" customFormat="1" spans="33:33">
      <c r="AG3021" s="9"/>
    </row>
    <row r="3022" s="7" customFormat="1" spans="33:33">
      <c r="AG3022" s="9"/>
    </row>
    <row r="3023" s="7" customFormat="1" spans="33:33">
      <c r="AG3023" s="9"/>
    </row>
    <row r="3024" s="7" customFormat="1" spans="33:33">
      <c r="AG3024" s="9"/>
    </row>
    <row r="3025" s="7" customFormat="1" spans="33:33">
      <c r="AG3025" s="9"/>
    </row>
    <row r="3026" s="7" customFormat="1" spans="33:33">
      <c r="AG3026" s="9"/>
    </row>
    <row r="3027" s="7" customFormat="1" spans="33:33">
      <c r="AG3027" s="9"/>
    </row>
    <row r="3028" s="7" customFormat="1" spans="33:33">
      <c r="AG3028" s="9"/>
    </row>
    <row r="3029" s="7" customFormat="1" spans="33:33">
      <c r="AG3029" s="9"/>
    </row>
    <row r="3030" s="7" customFormat="1" spans="33:33">
      <c r="AG3030" s="9"/>
    </row>
    <row r="3031" s="7" customFormat="1" spans="33:33">
      <c r="AG3031" s="9"/>
    </row>
    <row r="3032" s="7" customFormat="1" spans="33:33">
      <c r="AG3032" s="9"/>
    </row>
    <row r="3033" s="7" customFormat="1" spans="33:33">
      <c r="AG3033" s="9"/>
    </row>
    <row r="3034" s="7" customFormat="1" spans="33:33">
      <c r="AG3034" s="9"/>
    </row>
    <row r="3035" s="7" customFormat="1" spans="33:33">
      <c r="AG3035" s="9"/>
    </row>
    <row r="3036" s="7" customFormat="1" spans="33:33">
      <c r="AG3036" s="9"/>
    </row>
    <row r="3037" s="7" customFormat="1" spans="33:33">
      <c r="AG3037" s="9"/>
    </row>
    <row r="3038" s="7" customFormat="1" spans="33:33">
      <c r="AG3038" s="9"/>
    </row>
    <row r="3039" s="7" customFormat="1" spans="33:33">
      <c r="AG3039" s="9"/>
    </row>
    <row r="3040" s="7" customFormat="1" spans="33:33">
      <c r="AG3040" s="9"/>
    </row>
    <row r="3041" s="7" customFormat="1" spans="33:33">
      <c r="AG3041" s="9"/>
    </row>
    <row r="3042" s="7" customFormat="1" spans="33:33">
      <c r="AG3042" s="9"/>
    </row>
    <row r="3043" s="7" customFormat="1" spans="33:33">
      <c r="AG3043" s="9"/>
    </row>
    <row r="3044" s="7" customFormat="1" spans="33:33">
      <c r="AG3044" s="9"/>
    </row>
    <row r="3045" s="7" customFormat="1" spans="33:33">
      <c r="AG3045" s="9"/>
    </row>
    <row r="3046" s="7" customFormat="1" spans="33:33">
      <c r="AG3046" s="9"/>
    </row>
    <row r="3047" s="7" customFormat="1" spans="33:33">
      <c r="AG3047" s="9"/>
    </row>
    <row r="3048" s="7" customFormat="1" spans="33:33">
      <c r="AG3048" s="9"/>
    </row>
    <row r="3049" s="7" customFormat="1" spans="33:33">
      <c r="AG3049" s="9"/>
    </row>
    <row r="3050" s="7" customFormat="1" spans="33:33">
      <c r="AG3050" s="9"/>
    </row>
    <row r="3051" s="7" customFormat="1" spans="33:33">
      <c r="AG3051" s="9"/>
    </row>
    <row r="3052" s="7" customFormat="1" spans="33:33">
      <c r="AG3052" s="9"/>
    </row>
    <row r="3053" s="7" customFormat="1" spans="33:33">
      <c r="AG3053" s="9"/>
    </row>
    <row r="3054" s="7" customFormat="1" spans="33:33">
      <c r="AG3054" s="9"/>
    </row>
    <row r="3055" s="7" customFormat="1" spans="33:33">
      <c r="AG3055" s="9"/>
    </row>
    <row r="3056" s="7" customFormat="1" spans="33:33">
      <c r="AG3056" s="9"/>
    </row>
    <row r="3057" s="7" customFormat="1" spans="33:33">
      <c r="AG3057" s="9"/>
    </row>
    <row r="3058" s="7" customFormat="1" spans="33:33">
      <c r="AG3058" s="9"/>
    </row>
    <row r="3059" s="7" customFormat="1" spans="33:33">
      <c r="AG3059" s="9"/>
    </row>
    <row r="3060" s="7" customFormat="1" spans="33:33">
      <c r="AG3060" s="9"/>
    </row>
    <row r="3061" s="7" customFormat="1" spans="33:33">
      <c r="AG3061" s="9"/>
    </row>
    <row r="3062" s="7" customFormat="1" spans="33:33">
      <c r="AG3062" s="9"/>
    </row>
    <row r="3063" s="7" customFormat="1" spans="33:33">
      <c r="AG3063" s="9"/>
    </row>
    <row r="3064" s="7" customFormat="1" spans="33:33">
      <c r="AG3064" s="9"/>
    </row>
    <row r="3065" s="7" customFormat="1" spans="33:33">
      <c r="AG3065" s="9"/>
    </row>
    <row r="3066" s="7" customFormat="1" spans="33:33">
      <c r="AG3066" s="9"/>
    </row>
    <row r="3067" s="7" customFormat="1" spans="33:33">
      <c r="AG3067" s="9"/>
    </row>
    <row r="3068" s="7" customFormat="1" spans="33:33">
      <c r="AG3068" s="9"/>
    </row>
    <row r="3069" s="7" customFormat="1" spans="33:33">
      <c r="AG3069" s="9"/>
    </row>
    <row r="3070" s="7" customFormat="1" spans="33:33">
      <c r="AG3070" s="9"/>
    </row>
    <row r="3071" s="7" customFormat="1" spans="33:33">
      <c r="AG3071" s="9"/>
    </row>
    <row r="3072" s="7" customFormat="1" spans="33:33">
      <c r="AG3072" s="9"/>
    </row>
    <row r="3073" s="7" customFormat="1" spans="33:33">
      <c r="AG3073" s="9"/>
    </row>
    <row r="3074" s="7" customFormat="1" spans="33:33">
      <c r="AG3074" s="9"/>
    </row>
    <row r="3075" s="7" customFormat="1" spans="33:33">
      <c r="AG3075" s="9"/>
    </row>
    <row r="3076" s="7" customFormat="1" spans="33:33">
      <c r="AG3076" s="9"/>
    </row>
    <row r="3077" s="7" customFormat="1" spans="33:33">
      <c r="AG3077" s="9"/>
    </row>
    <row r="3078" s="7" customFormat="1" spans="33:33">
      <c r="AG3078" s="9"/>
    </row>
    <row r="3079" s="7" customFormat="1" spans="33:33">
      <c r="AG3079" s="9"/>
    </row>
    <row r="3080" s="7" customFormat="1" spans="33:33">
      <c r="AG3080" s="9"/>
    </row>
    <row r="3081" s="7" customFormat="1" spans="33:33">
      <c r="AG3081" s="9"/>
    </row>
    <row r="3082" s="7" customFormat="1" spans="33:33">
      <c r="AG3082" s="9"/>
    </row>
    <row r="3083" s="7" customFormat="1" spans="33:33">
      <c r="AG3083" s="9"/>
    </row>
    <row r="3084" s="7" customFormat="1" spans="33:33">
      <c r="AG3084" s="9"/>
    </row>
    <row r="3085" s="7" customFormat="1" spans="33:33">
      <c r="AG3085" s="9"/>
    </row>
    <row r="3086" s="7" customFormat="1" spans="33:33">
      <c r="AG3086" s="9"/>
    </row>
    <row r="3087" s="7" customFormat="1" spans="33:33">
      <c r="AG3087" s="9"/>
    </row>
    <row r="3088" s="7" customFormat="1" spans="33:33">
      <c r="AG3088" s="9"/>
    </row>
    <row r="3089" s="7" customFormat="1" spans="33:33">
      <c r="AG3089" s="9"/>
    </row>
    <row r="3090" s="7" customFormat="1" spans="33:33">
      <c r="AG3090" s="9"/>
    </row>
    <row r="3091" s="7" customFormat="1" spans="33:33">
      <c r="AG3091" s="9"/>
    </row>
    <row r="3092" s="7" customFormat="1" spans="33:33">
      <c r="AG3092" s="9"/>
    </row>
    <row r="3093" s="7" customFormat="1" spans="33:33">
      <c r="AG3093" s="9"/>
    </row>
    <row r="3094" s="7" customFormat="1" spans="33:33">
      <c r="AG3094" s="9"/>
    </row>
    <row r="3095" s="7" customFormat="1" spans="33:33">
      <c r="AG3095" s="9"/>
    </row>
    <row r="3096" s="7" customFormat="1" spans="33:33">
      <c r="AG3096" s="9"/>
    </row>
    <row r="3097" s="7" customFormat="1" spans="33:33">
      <c r="AG3097" s="9"/>
    </row>
    <row r="3098" s="7" customFormat="1" spans="33:33">
      <c r="AG3098" s="9"/>
    </row>
    <row r="3099" s="7" customFormat="1" spans="33:33">
      <c r="AG3099" s="9"/>
    </row>
    <row r="3100" s="7" customFormat="1" spans="33:33">
      <c r="AG3100" s="9"/>
    </row>
    <row r="3101" s="7" customFormat="1" spans="33:33">
      <c r="AG3101" s="9"/>
    </row>
    <row r="3102" s="7" customFormat="1" spans="33:33">
      <c r="AG3102" s="9"/>
    </row>
    <row r="3103" s="7" customFormat="1" spans="33:33">
      <c r="AG3103" s="9"/>
    </row>
    <row r="3104" s="7" customFormat="1" spans="33:33">
      <c r="AG3104" s="9"/>
    </row>
    <row r="3105" s="7" customFormat="1" spans="33:33">
      <c r="AG3105" s="9"/>
    </row>
    <row r="3106" s="7" customFormat="1" spans="33:33">
      <c r="AG3106" s="9"/>
    </row>
    <row r="3107" s="7" customFormat="1" spans="33:33">
      <c r="AG3107" s="9"/>
    </row>
    <row r="3108" s="7" customFormat="1" spans="33:33">
      <c r="AG3108" s="9"/>
    </row>
    <row r="3109" s="7" customFormat="1" spans="33:33">
      <c r="AG3109" s="9"/>
    </row>
    <row r="3110" s="7" customFormat="1" spans="33:33">
      <c r="AG3110" s="9"/>
    </row>
    <row r="3111" s="7" customFormat="1" spans="33:33">
      <c r="AG3111" s="9"/>
    </row>
    <row r="3112" s="7" customFormat="1" spans="33:33">
      <c r="AG3112" s="9"/>
    </row>
    <row r="3113" s="7" customFormat="1" spans="33:33">
      <c r="AG3113" s="9"/>
    </row>
    <row r="3114" s="7" customFormat="1" spans="33:33">
      <c r="AG3114" s="9"/>
    </row>
    <row r="3115" s="7" customFormat="1" spans="33:33">
      <c r="AG3115" s="9"/>
    </row>
    <row r="3116" s="7" customFormat="1" spans="33:33">
      <c r="AG3116" s="9"/>
    </row>
    <row r="3117" s="7" customFormat="1" spans="33:33">
      <c r="AG3117" s="9"/>
    </row>
    <row r="3118" s="7" customFormat="1" spans="33:33">
      <c r="AG3118" s="9"/>
    </row>
    <row r="3119" s="7" customFormat="1" spans="33:33">
      <c r="AG3119" s="9"/>
    </row>
    <row r="3120" s="7" customFormat="1" spans="33:33">
      <c r="AG3120" s="9"/>
    </row>
    <row r="3121" s="7" customFormat="1" spans="33:33">
      <c r="AG3121" s="9"/>
    </row>
    <row r="3122" s="7" customFormat="1" spans="33:33">
      <c r="AG3122" s="9"/>
    </row>
    <row r="3123" s="7" customFormat="1" spans="33:33">
      <c r="AG3123" s="9"/>
    </row>
    <row r="3124" s="7" customFormat="1" spans="33:33">
      <c r="AG3124" s="9"/>
    </row>
    <row r="3125" s="7" customFormat="1" spans="33:33">
      <c r="AG3125" s="9"/>
    </row>
    <row r="3126" s="7" customFormat="1" spans="33:33">
      <c r="AG3126" s="9"/>
    </row>
    <row r="3127" s="7" customFormat="1" spans="33:33">
      <c r="AG3127" s="9"/>
    </row>
    <row r="3128" s="7" customFormat="1" spans="33:33">
      <c r="AG3128" s="9"/>
    </row>
    <row r="3129" s="7" customFormat="1" spans="33:33">
      <c r="AG3129" s="9"/>
    </row>
    <row r="3130" s="7" customFormat="1" spans="33:33">
      <c r="AG3130" s="9"/>
    </row>
    <row r="3131" s="7" customFormat="1" spans="33:33">
      <c r="AG3131" s="9"/>
    </row>
    <row r="3132" s="7" customFormat="1" spans="33:33">
      <c r="AG3132" s="9"/>
    </row>
    <row r="3133" s="7" customFormat="1" spans="33:33">
      <c r="AG3133" s="9"/>
    </row>
    <row r="3134" s="7" customFormat="1" spans="33:33">
      <c r="AG3134" s="9"/>
    </row>
    <row r="3135" s="7" customFormat="1" spans="33:33">
      <c r="AG3135" s="9"/>
    </row>
    <row r="3136" s="7" customFormat="1" spans="33:33">
      <c r="AG3136" s="9"/>
    </row>
    <row r="3137" s="7" customFormat="1" spans="33:33">
      <c r="AG3137" s="9"/>
    </row>
    <row r="3138" s="7" customFormat="1" spans="33:33">
      <c r="AG3138" s="9"/>
    </row>
    <row r="3139" s="7" customFormat="1" spans="33:33">
      <c r="AG3139" s="9"/>
    </row>
    <row r="3140" s="7" customFormat="1" spans="33:33">
      <c r="AG3140" s="9"/>
    </row>
    <row r="3141" s="7" customFormat="1" spans="33:33">
      <c r="AG3141" s="9"/>
    </row>
    <row r="3142" s="7" customFormat="1" spans="33:33">
      <c r="AG3142" s="9"/>
    </row>
    <row r="3143" s="7" customFormat="1" spans="33:33">
      <c r="AG3143" s="9"/>
    </row>
    <row r="3144" s="7" customFormat="1" spans="33:33">
      <c r="AG3144" s="9"/>
    </row>
    <row r="3145" s="7" customFormat="1" spans="33:33">
      <c r="AG3145" s="9"/>
    </row>
    <row r="3146" s="7" customFormat="1" spans="33:33">
      <c r="AG3146" s="9"/>
    </row>
    <row r="3147" s="7" customFormat="1" spans="33:33">
      <c r="AG3147" s="9"/>
    </row>
    <row r="3148" s="7" customFormat="1" spans="33:33">
      <c r="AG3148" s="9"/>
    </row>
    <row r="3149" s="7" customFormat="1" spans="33:33">
      <c r="AG3149" s="9"/>
    </row>
    <row r="3150" s="7" customFormat="1" spans="33:33">
      <c r="AG3150" s="9"/>
    </row>
    <row r="3151" s="7" customFormat="1" spans="33:33">
      <c r="AG3151" s="9"/>
    </row>
    <row r="3152" s="7" customFormat="1" spans="33:33">
      <c r="AG3152" s="9"/>
    </row>
    <row r="3153" s="7" customFormat="1" spans="33:33">
      <c r="AG3153" s="9"/>
    </row>
    <row r="3154" s="7" customFormat="1" spans="33:33">
      <c r="AG3154" s="9"/>
    </row>
    <row r="3155" s="7" customFormat="1" spans="33:33">
      <c r="AG3155" s="9"/>
    </row>
    <row r="3156" s="7" customFormat="1" spans="33:33">
      <c r="AG3156" s="9"/>
    </row>
    <row r="3157" s="7" customFormat="1" spans="33:33">
      <c r="AG3157" s="9"/>
    </row>
    <row r="3158" s="7" customFormat="1" spans="33:33">
      <c r="AG3158" s="9"/>
    </row>
    <row r="3159" s="7" customFormat="1" spans="33:33">
      <c r="AG3159" s="9"/>
    </row>
    <row r="3160" s="7" customFormat="1" spans="33:33">
      <c r="AG3160" s="9"/>
    </row>
    <row r="3161" s="7" customFormat="1" spans="33:33">
      <c r="AG3161" s="9"/>
    </row>
    <row r="3162" s="7" customFormat="1" spans="33:33">
      <c r="AG3162" s="9"/>
    </row>
    <row r="3163" s="7" customFormat="1" spans="33:33">
      <c r="AG3163" s="9"/>
    </row>
    <row r="3164" s="7" customFormat="1" spans="33:33">
      <c r="AG3164" s="9"/>
    </row>
    <row r="3165" s="7" customFormat="1" spans="33:33">
      <c r="AG3165" s="9"/>
    </row>
    <row r="3166" s="7" customFormat="1" spans="33:33">
      <c r="AG3166" s="9"/>
    </row>
    <row r="3167" s="7" customFormat="1" spans="33:33">
      <c r="AG3167" s="9"/>
    </row>
    <row r="3168" s="7" customFormat="1" spans="33:33">
      <c r="AG3168" s="9"/>
    </row>
    <row r="3169" s="7" customFormat="1" spans="33:33">
      <c r="AG3169" s="9"/>
    </row>
    <row r="3170" s="7" customFormat="1" spans="33:33">
      <c r="AG3170" s="9"/>
    </row>
    <row r="3171" s="7" customFormat="1" spans="33:33">
      <c r="AG3171" s="9"/>
    </row>
    <row r="3172" s="7" customFormat="1" spans="33:33">
      <c r="AG3172" s="9"/>
    </row>
    <row r="3173" s="7" customFormat="1" spans="33:33">
      <c r="AG3173" s="9"/>
    </row>
    <row r="3174" s="7" customFormat="1" spans="33:33">
      <c r="AG3174" s="9"/>
    </row>
    <row r="3175" s="7" customFormat="1" spans="33:33">
      <c r="AG3175" s="9"/>
    </row>
    <row r="3176" s="7" customFormat="1" spans="33:33">
      <c r="AG3176" s="9"/>
    </row>
    <row r="3177" s="7" customFormat="1" spans="33:33">
      <c r="AG3177" s="9"/>
    </row>
    <row r="3178" s="7" customFormat="1" spans="33:33">
      <c r="AG3178" s="9"/>
    </row>
    <row r="3179" s="7" customFormat="1" spans="33:33">
      <c r="AG3179" s="9"/>
    </row>
    <row r="3180" s="7" customFormat="1" spans="33:33">
      <c r="AG3180" s="9"/>
    </row>
    <row r="3181" s="7" customFormat="1" spans="33:33">
      <c r="AG3181" s="9"/>
    </row>
    <row r="3182" s="7" customFormat="1" spans="33:33">
      <c r="AG3182" s="9"/>
    </row>
    <row r="3183" s="7" customFormat="1" spans="33:33">
      <c r="AG3183" s="9"/>
    </row>
    <row r="3184" s="7" customFormat="1" spans="33:33">
      <c r="AG3184" s="9"/>
    </row>
    <row r="3185" s="7" customFormat="1" spans="33:33">
      <c r="AG3185" s="9"/>
    </row>
    <row r="3186" s="7" customFormat="1" spans="33:33">
      <c r="AG3186" s="9"/>
    </row>
    <row r="3187" s="7" customFormat="1" spans="33:33">
      <c r="AG3187" s="9"/>
    </row>
    <row r="3188" s="7" customFormat="1" spans="33:33">
      <c r="AG3188" s="9"/>
    </row>
    <row r="3189" s="7" customFormat="1" spans="33:33">
      <c r="AG3189" s="9"/>
    </row>
    <row r="3190" s="7" customFormat="1" spans="33:33">
      <c r="AG3190" s="9"/>
    </row>
    <row r="3191" s="7" customFormat="1" spans="33:33">
      <c r="AG3191" s="9"/>
    </row>
    <row r="3192" s="7" customFormat="1" spans="33:33">
      <c r="AG3192" s="9"/>
    </row>
    <row r="3193" s="7" customFormat="1" spans="33:33">
      <c r="AG3193" s="9"/>
    </row>
    <row r="3194" s="7" customFormat="1" spans="33:33">
      <c r="AG3194" s="9"/>
    </row>
    <row r="3195" s="7" customFormat="1" spans="33:33">
      <c r="AG3195" s="9"/>
    </row>
    <row r="3196" s="7" customFormat="1" spans="33:33">
      <c r="AG3196" s="9"/>
    </row>
    <row r="3197" s="7" customFormat="1" spans="33:33">
      <c r="AG3197" s="9"/>
    </row>
    <row r="3198" s="7" customFormat="1" spans="33:33">
      <c r="AG3198" s="9"/>
    </row>
    <row r="3199" s="7" customFormat="1" spans="33:33">
      <c r="AG3199" s="9"/>
    </row>
    <row r="3200" s="7" customFormat="1" spans="33:33">
      <c r="AG3200" s="9"/>
    </row>
    <row r="3201" s="7" customFormat="1" spans="33:33">
      <c r="AG3201" s="9"/>
    </row>
    <row r="3202" s="7" customFormat="1" spans="33:33">
      <c r="AG3202" s="9"/>
    </row>
    <row r="3203" s="7" customFormat="1" spans="33:33">
      <c r="AG3203" s="9"/>
    </row>
    <row r="3204" s="7" customFormat="1" spans="33:33">
      <c r="AG3204" s="9"/>
    </row>
    <row r="3205" s="7" customFormat="1" spans="33:33">
      <c r="AG3205" s="9"/>
    </row>
    <row r="3206" s="7" customFormat="1" spans="33:33">
      <c r="AG3206" s="9"/>
    </row>
    <row r="3207" s="7" customFormat="1" spans="33:33">
      <c r="AG3207" s="9"/>
    </row>
    <row r="3208" s="7" customFormat="1" spans="33:33">
      <c r="AG3208" s="9"/>
    </row>
    <row r="3209" s="7" customFormat="1" spans="33:33">
      <c r="AG3209" s="9"/>
    </row>
    <row r="3210" s="7" customFormat="1" spans="33:33">
      <c r="AG3210" s="9"/>
    </row>
    <row r="3211" s="7" customFormat="1" spans="33:33">
      <c r="AG3211" s="9"/>
    </row>
    <row r="3212" s="7" customFormat="1" spans="33:33">
      <c r="AG3212" s="9"/>
    </row>
    <row r="3213" s="7" customFormat="1" spans="33:33">
      <c r="AG3213" s="9"/>
    </row>
    <row r="3214" s="7" customFormat="1" spans="33:33">
      <c r="AG3214" s="9"/>
    </row>
    <row r="3215" s="7" customFormat="1" spans="33:33">
      <c r="AG3215" s="9"/>
    </row>
    <row r="3216" s="7" customFormat="1" spans="33:33">
      <c r="AG3216" s="9"/>
    </row>
    <row r="3217" s="7" customFormat="1" spans="33:33">
      <c r="AG3217" s="9"/>
    </row>
    <row r="3218" s="7" customFormat="1" spans="33:33">
      <c r="AG3218" s="9"/>
    </row>
    <row r="3219" s="7" customFormat="1" spans="33:33">
      <c r="AG3219" s="9"/>
    </row>
    <row r="3220" s="7" customFormat="1" spans="33:33">
      <c r="AG3220" s="9"/>
    </row>
    <row r="3221" s="7" customFormat="1" spans="33:33">
      <c r="AG3221" s="9"/>
    </row>
    <row r="3222" s="7" customFormat="1" spans="33:33">
      <c r="AG3222" s="9"/>
    </row>
    <row r="3223" s="7" customFormat="1" spans="33:33">
      <c r="AG3223" s="9"/>
    </row>
    <row r="3224" s="7" customFormat="1" spans="33:33">
      <c r="AG3224" s="9"/>
    </row>
    <row r="3225" s="7" customFormat="1" spans="33:33">
      <c r="AG3225" s="9"/>
    </row>
    <row r="3226" s="7" customFormat="1" spans="33:33">
      <c r="AG3226" s="9"/>
    </row>
    <row r="3227" s="7" customFormat="1" spans="33:33">
      <c r="AG3227" s="9"/>
    </row>
    <row r="3228" s="7" customFormat="1" spans="33:33">
      <c r="AG3228" s="9"/>
    </row>
    <row r="3229" s="7" customFormat="1" spans="33:33">
      <c r="AG3229" s="9"/>
    </row>
    <row r="3230" s="7" customFormat="1" spans="33:33">
      <c r="AG3230" s="9"/>
    </row>
    <row r="3231" s="7" customFormat="1" spans="33:33">
      <c r="AG3231" s="9"/>
    </row>
    <row r="3232" s="7" customFormat="1" spans="33:33">
      <c r="AG3232" s="9"/>
    </row>
    <row r="3233" s="7" customFormat="1" spans="33:33">
      <c r="AG3233" s="9"/>
    </row>
    <row r="3234" s="7" customFormat="1" spans="33:33">
      <c r="AG3234" s="9"/>
    </row>
    <row r="3235" s="7" customFormat="1" spans="33:33">
      <c r="AG3235" s="9"/>
    </row>
    <row r="3236" s="7" customFormat="1" spans="33:33">
      <c r="AG3236" s="9"/>
    </row>
    <row r="3237" s="7" customFormat="1" spans="33:33">
      <c r="AG3237" s="9"/>
    </row>
    <row r="3238" s="7" customFormat="1" spans="33:33">
      <c r="AG3238" s="9"/>
    </row>
    <row r="3239" s="7" customFormat="1" spans="33:33">
      <c r="AG3239" s="9"/>
    </row>
    <row r="3240" s="7" customFormat="1" spans="33:33">
      <c r="AG3240" s="9"/>
    </row>
    <row r="3241" s="7" customFormat="1" spans="33:33">
      <c r="AG3241" s="9"/>
    </row>
    <row r="3242" s="7" customFormat="1" spans="33:33">
      <c r="AG3242" s="9"/>
    </row>
    <row r="3243" s="7" customFormat="1" spans="33:33">
      <c r="AG3243" s="9"/>
    </row>
    <row r="3244" s="7" customFormat="1" spans="33:33">
      <c r="AG3244" s="9"/>
    </row>
    <row r="3245" s="7" customFormat="1" spans="33:33">
      <c r="AG3245" s="9"/>
    </row>
    <row r="3246" s="7" customFormat="1" spans="33:33">
      <c r="AG3246" s="9"/>
    </row>
    <row r="3247" s="7" customFormat="1" spans="33:33">
      <c r="AG3247" s="9"/>
    </row>
    <row r="3248" s="7" customFormat="1" spans="33:33">
      <c r="AG3248" s="9"/>
    </row>
    <row r="3249" s="7" customFormat="1" spans="33:33">
      <c r="AG3249" s="9"/>
    </row>
    <row r="3250" s="7" customFormat="1" spans="33:33">
      <c r="AG3250" s="9"/>
    </row>
    <row r="3251" s="7" customFormat="1" spans="33:33">
      <c r="AG3251" s="9"/>
    </row>
    <row r="3252" s="7" customFormat="1" spans="33:33">
      <c r="AG3252" s="9"/>
    </row>
    <row r="3253" s="7" customFormat="1" spans="33:33">
      <c r="AG3253" s="9"/>
    </row>
    <row r="3254" s="7" customFormat="1" spans="33:33">
      <c r="AG3254" s="9"/>
    </row>
    <row r="3255" s="7" customFormat="1" spans="33:33">
      <c r="AG3255" s="9"/>
    </row>
    <row r="3256" s="7" customFormat="1" spans="33:33">
      <c r="AG3256" s="9"/>
    </row>
    <row r="3257" s="7" customFormat="1" spans="33:33">
      <c r="AG3257" s="9"/>
    </row>
    <row r="3258" s="7" customFormat="1" spans="33:33">
      <c r="AG3258" s="9"/>
    </row>
    <row r="3259" s="7" customFormat="1" spans="33:33">
      <c r="AG3259" s="9"/>
    </row>
    <row r="3260" s="7" customFormat="1" spans="33:33">
      <c r="AG3260" s="9"/>
    </row>
    <row r="3261" s="7" customFormat="1" spans="33:33">
      <c r="AG3261" s="9"/>
    </row>
    <row r="3262" s="7" customFormat="1" spans="33:33">
      <c r="AG3262" s="9"/>
    </row>
    <row r="3263" s="7" customFormat="1" spans="33:33">
      <c r="AG3263" s="9"/>
    </row>
    <row r="3264" s="7" customFormat="1" spans="33:33">
      <c r="AG3264" s="9"/>
    </row>
    <row r="3265" s="7" customFormat="1" spans="33:33">
      <c r="AG3265" s="9"/>
    </row>
    <row r="3266" s="7" customFormat="1" spans="33:33">
      <c r="AG3266" s="9"/>
    </row>
    <row r="3267" s="7" customFormat="1" spans="33:33">
      <c r="AG3267" s="9"/>
    </row>
    <row r="3268" s="7" customFormat="1" spans="33:33">
      <c r="AG3268" s="9"/>
    </row>
    <row r="3269" s="7" customFormat="1" spans="33:33">
      <c r="AG3269" s="9"/>
    </row>
    <row r="3270" s="7" customFormat="1" spans="33:33">
      <c r="AG3270" s="9"/>
    </row>
    <row r="3271" s="7" customFormat="1" spans="33:33">
      <c r="AG3271" s="9"/>
    </row>
    <row r="3272" s="7" customFormat="1" spans="33:33">
      <c r="AG3272" s="9"/>
    </row>
    <row r="3273" s="7" customFormat="1" spans="33:33">
      <c r="AG3273" s="9"/>
    </row>
    <row r="3274" s="7" customFormat="1" spans="33:33">
      <c r="AG3274" s="9"/>
    </row>
    <row r="3275" s="7" customFormat="1" spans="33:33">
      <c r="AG3275" s="9"/>
    </row>
    <row r="3276" s="7" customFormat="1" spans="33:33">
      <c r="AG3276" s="9"/>
    </row>
    <row r="3277" s="7" customFormat="1" spans="33:33">
      <c r="AG3277" s="9"/>
    </row>
    <row r="3278" s="7" customFormat="1" spans="33:33">
      <c r="AG3278" s="9"/>
    </row>
    <row r="3279" s="7" customFormat="1" spans="33:33">
      <c r="AG3279" s="9"/>
    </row>
    <row r="3280" s="7" customFormat="1" spans="33:33">
      <c r="AG3280" s="9"/>
    </row>
    <row r="3281" s="7" customFormat="1" spans="33:33">
      <c r="AG3281" s="9"/>
    </row>
    <row r="3282" s="7" customFormat="1" spans="33:33">
      <c r="AG3282" s="9"/>
    </row>
    <row r="3283" s="7" customFormat="1" spans="33:33">
      <c r="AG3283" s="9"/>
    </row>
    <row r="3284" s="7" customFormat="1" spans="33:33">
      <c r="AG3284" s="9"/>
    </row>
    <row r="3285" s="7" customFormat="1" spans="33:33">
      <c r="AG3285" s="9"/>
    </row>
    <row r="3286" s="7" customFormat="1" spans="33:33">
      <c r="AG3286" s="9"/>
    </row>
    <row r="3287" s="7" customFormat="1" spans="33:33">
      <c r="AG3287" s="9"/>
    </row>
    <row r="3288" s="7" customFormat="1" spans="33:33">
      <c r="AG3288" s="9"/>
    </row>
    <row r="3289" s="7" customFormat="1" spans="33:33">
      <c r="AG3289" s="9"/>
    </row>
    <row r="3290" s="7" customFormat="1" spans="33:33">
      <c r="AG3290" s="9"/>
    </row>
    <row r="3291" s="7" customFormat="1" spans="33:33">
      <c r="AG3291" s="9"/>
    </row>
    <row r="3292" s="7" customFormat="1" spans="33:33">
      <c r="AG3292" s="9"/>
    </row>
    <row r="3293" s="7" customFormat="1" spans="33:33">
      <c r="AG3293" s="9"/>
    </row>
    <row r="3294" s="7" customFormat="1" spans="33:33">
      <c r="AG3294" s="9"/>
    </row>
    <row r="3295" s="7" customFormat="1" spans="33:33">
      <c r="AG3295" s="9"/>
    </row>
    <row r="3296" s="7" customFormat="1" spans="33:33">
      <c r="AG3296" s="9"/>
    </row>
    <row r="3297" s="7" customFormat="1" spans="33:33">
      <c r="AG3297" s="9"/>
    </row>
    <row r="3298" s="7" customFormat="1" spans="33:33">
      <c r="AG3298" s="9"/>
    </row>
    <row r="3299" s="7" customFormat="1" spans="33:33">
      <c r="AG3299" s="9"/>
    </row>
    <row r="3300" s="7" customFormat="1" spans="33:33">
      <c r="AG3300" s="9"/>
    </row>
    <row r="3301" s="7" customFormat="1" spans="33:33">
      <c r="AG3301" s="9"/>
    </row>
    <row r="3302" s="7" customFormat="1" spans="33:33">
      <c r="AG3302" s="9"/>
    </row>
    <row r="3303" s="7" customFormat="1" spans="33:33">
      <c r="AG3303" s="9"/>
    </row>
    <row r="3304" s="7" customFormat="1" spans="33:33">
      <c r="AG3304" s="9"/>
    </row>
    <row r="3305" s="7" customFormat="1" spans="33:33">
      <c r="AG3305" s="9"/>
    </row>
    <row r="3306" s="7" customFormat="1" spans="33:33">
      <c r="AG3306" s="9"/>
    </row>
    <row r="3307" s="7" customFormat="1" spans="33:33">
      <c r="AG3307" s="9"/>
    </row>
    <row r="3308" s="7" customFormat="1" spans="33:33">
      <c r="AG3308" s="9"/>
    </row>
    <row r="3309" s="7" customFormat="1" spans="33:33">
      <c r="AG3309" s="9"/>
    </row>
    <row r="3310" s="7" customFormat="1" spans="33:33">
      <c r="AG3310" s="9"/>
    </row>
    <row r="3311" s="7" customFormat="1" spans="33:33">
      <c r="AG3311" s="9"/>
    </row>
    <row r="3312" s="7" customFormat="1" spans="33:33">
      <c r="AG3312" s="9"/>
    </row>
    <row r="3313" s="7" customFormat="1" spans="33:33">
      <c r="AG3313" s="9"/>
    </row>
    <row r="3314" s="7" customFormat="1" spans="33:33">
      <c r="AG3314" s="9"/>
    </row>
    <row r="3315" s="7" customFormat="1" spans="33:33">
      <c r="AG3315" s="9"/>
    </row>
    <row r="3316" s="7" customFormat="1" spans="33:33">
      <c r="AG3316" s="9"/>
    </row>
    <row r="3317" s="7" customFormat="1" spans="33:33">
      <c r="AG3317" s="9"/>
    </row>
    <row r="3318" s="7" customFormat="1" spans="33:33">
      <c r="AG3318" s="9"/>
    </row>
    <row r="3319" s="7" customFormat="1" spans="33:33">
      <c r="AG3319" s="9"/>
    </row>
    <row r="3320" s="7" customFormat="1" spans="33:33">
      <c r="AG3320" s="9"/>
    </row>
    <row r="3321" s="7" customFormat="1" spans="33:33">
      <c r="AG3321" s="9"/>
    </row>
    <row r="3322" s="7" customFormat="1" spans="33:33">
      <c r="AG3322" s="9"/>
    </row>
    <row r="3323" s="7" customFormat="1" spans="33:33">
      <c r="AG3323" s="9"/>
    </row>
    <row r="3324" s="7" customFormat="1" spans="33:33">
      <c r="AG3324" s="9"/>
    </row>
    <row r="3325" s="7" customFormat="1" spans="33:33">
      <c r="AG3325" s="9"/>
    </row>
    <row r="3326" s="7" customFormat="1" spans="33:33">
      <c r="AG3326" s="9"/>
    </row>
    <row r="3327" s="7" customFormat="1" spans="33:33">
      <c r="AG3327" s="9"/>
    </row>
    <row r="3328" s="7" customFormat="1" spans="33:33">
      <c r="AG3328" s="9"/>
    </row>
    <row r="3329" s="7" customFormat="1" spans="33:33">
      <c r="AG3329" s="9"/>
    </row>
    <row r="3330" s="7" customFormat="1" spans="33:33">
      <c r="AG3330" s="9"/>
    </row>
    <row r="3331" s="7" customFormat="1" spans="33:33">
      <c r="AG3331" s="9"/>
    </row>
    <row r="3332" s="7" customFormat="1" spans="33:33">
      <c r="AG3332" s="9"/>
    </row>
    <row r="3333" s="7" customFormat="1" spans="33:33">
      <c r="AG3333" s="9"/>
    </row>
    <row r="3334" s="7" customFormat="1" spans="33:33">
      <c r="AG3334" s="9"/>
    </row>
    <row r="3335" s="7" customFormat="1" spans="33:33">
      <c r="AG3335" s="9"/>
    </row>
    <row r="3336" s="7" customFormat="1" spans="33:33">
      <c r="AG3336" s="9"/>
    </row>
    <row r="3337" s="7" customFormat="1" spans="33:33">
      <c r="AG3337" s="9"/>
    </row>
    <row r="3338" s="7" customFormat="1" spans="33:33">
      <c r="AG3338" s="9"/>
    </row>
    <row r="3339" s="7" customFormat="1" spans="33:33">
      <c r="AG3339" s="9"/>
    </row>
    <row r="3340" s="7" customFormat="1" spans="33:33">
      <c r="AG3340" s="9"/>
    </row>
    <row r="3341" s="7" customFormat="1" spans="33:33">
      <c r="AG3341" s="9"/>
    </row>
    <row r="3342" s="7" customFormat="1" spans="33:33">
      <c r="AG3342" s="9"/>
    </row>
    <row r="3343" s="7" customFormat="1" spans="33:33">
      <c r="AG3343" s="9"/>
    </row>
    <row r="3344" s="7" customFormat="1" spans="33:33">
      <c r="AG3344" s="9"/>
    </row>
    <row r="3345" s="7" customFormat="1" spans="33:33">
      <c r="AG3345" s="9"/>
    </row>
    <row r="3346" s="7" customFormat="1" spans="33:33">
      <c r="AG3346" s="9"/>
    </row>
    <row r="3347" s="7" customFormat="1" spans="33:33">
      <c r="AG3347" s="9"/>
    </row>
    <row r="3348" s="7" customFormat="1" spans="33:33">
      <c r="AG3348" s="9"/>
    </row>
    <row r="3349" s="7" customFormat="1" spans="33:33">
      <c r="AG3349" s="9"/>
    </row>
    <row r="3350" s="7" customFormat="1" spans="33:33">
      <c r="AG3350" s="9"/>
    </row>
    <row r="3351" s="7" customFormat="1" spans="33:33">
      <c r="AG3351" s="9"/>
    </row>
    <row r="3352" s="7" customFormat="1" spans="33:33">
      <c r="AG3352" s="9"/>
    </row>
    <row r="3353" s="7" customFormat="1" spans="33:33">
      <c r="AG3353" s="9"/>
    </row>
    <row r="3354" s="7" customFormat="1" spans="33:33">
      <c r="AG3354" s="9"/>
    </row>
    <row r="3355" s="7" customFormat="1" spans="33:33">
      <c r="AG3355" s="9"/>
    </row>
    <row r="3356" s="7" customFormat="1" spans="33:33">
      <c r="AG3356" s="9"/>
    </row>
    <row r="3357" s="7" customFormat="1" spans="33:33">
      <c r="AG3357" s="9"/>
    </row>
    <row r="3358" s="7" customFormat="1" spans="33:33">
      <c r="AG3358" s="9"/>
    </row>
    <row r="3359" s="7" customFormat="1" spans="33:33">
      <c r="AG3359" s="9"/>
    </row>
    <row r="3360" s="7" customFormat="1" spans="33:33">
      <c r="AG3360" s="9"/>
    </row>
    <row r="3361" s="7" customFormat="1" spans="33:33">
      <c r="AG3361" s="9"/>
    </row>
    <row r="3362" s="7" customFormat="1" spans="33:33">
      <c r="AG3362" s="9"/>
    </row>
    <row r="3363" s="7" customFormat="1" spans="33:33">
      <c r="AG3363" s="9"/>
    </row>
    <row r="3364" s="7" customFormat="1" spans="33:33">
      <c r="AG3364" s="9"/>
    </row>
    <row r="3365" s="7" customFormat="1" spans="33:33">
      <c r="AG3365" s="9"/>
    </row>
    <row r="3366" s="7" customFormat="1" spans="33:33">
      <c r="AG3366" s="9"/>
    </row>
    <row r="3367" s="7" customFormat="1" spans="33:33">
      <c r="AG3367" s="9"/>
    </row>
    <row r="3368" s="7" customFormat="1" spans="33:33">
      <c r="AG3368" s="9"/>
    </row>
    <row r="3369" s="7" customFormat="1" spans="33:33">
      <c r="AG3369" s="9"/>
    </row>
    <row r="3370" s="7" customFormat="1" spans="33:33">
      <c r="AG3370" s="9"/>
    </row>
    <row r="3371" s="7" customFormat="1" spans="33:33">
      <c r="AG3371" s="9"/>
    </row>
    <row r="3372" s="7" customFormat="1" spans="33:33">
      <c r="AG3372" s="9"/>
    </row>
    <row r="3373" s="7" customFormat="1" spans="33:33">
      <c r="AG3373" s="9"/>
    </row>
    <row r="3374" s="7" customFormat="1" spans="33:33">
      <c r="AG3374" s="9"/>
    </row>
    <row r="3375" s="7" customFormat="1" spans="33:33">
      <c r="AG3375" s="9"/>
    </row>
    <row r="3376" s="7" customFormat="1" spans="33:33">
      <c r="AG3376" s="9"/>
    </row>
    <row r="3377" s="7" customFormat="1" spans="33:33">
      <c r="AG3377" s="9"/>
    </row>
    <row r="3378" s="7" customFormat="1" spans="33:33">
      <c r="AG3378" s="9"/>
    </row>
    <row r="3379" s="7" customFormat="1" spans="33:33">
      <c r="AG3379" s="9"/>
    </row>
    <row r="3380" s="7" customFormat="1" spans="33:33">
      <c r="AG3380" s="9"/>
    </row>
    <row r="3381" s="7" customFormat="1" spans="33:33">
      <c r="AG3381" s="9"/>
    </row>
    <row r="3382" s="7" customFormat="1" spans="33:33">
      <c r="AG3382" s="9"/>
    </row>
    <row r="3383" s="7" customFormat="1" spans="33:33">
      <c r="AG3383" s="9"/>
    </row>
    <row r="3384" s="7" customFormat="1" spans="33:33">
      <c r="AG3384" s="9"/>
    </row>
    <row r="3385" s="7" customFormat="1" spans="33:33">
      <c r="AG3385" s="9"/>
    </row>
    <row r="3386" s="7" customFormat="1" spans="33:33">
      <c r="AG3386" s="9"/>
    </row>
    <row r="3387" s="7" customFormat="1" spans="33:33">
      <c r="AG3387" s="9"/>
    </row>
    <row r="3388" s="7" customFormat="1" spans="33:33">
      <c r="AG3388" s="9"/>
    </row>
    <row r="3389" s="7" customFormat="1" spans="33:33">
      <c r="AG3389" s="9"/>
    </row>
    <row r="3390" s="7" customFormat="1" spans="33:33">
      <c r="AG3390" s="9"/>
    </row>
    <row r="3391" s="7" customFormat="1" spans="33:33">
      <c r="AG3391" s="9"/>
    </row>
    <row r="3392" s="7" customFormat="1" spans="33:33">
      <c r="AG3392" s="9"/>
    </row>
    <row r="3393" s="7" customFormat="1" spans="33:33">
      <c r="AG3393" s="9"/>
    </row>
    <row r="3394" s="7" customFormat="1" spans="33:33">
      <c r="AG3394" s="9"/>
    </row>
    <row r="3395" s="7" customFormat="1" spans="33:33">
      <c r="AG3395" s="9"/>
    </row>
    <row r="3396" s="7" customFormat="1" spans="33:33">
      <c r="AG3396" s="9"/>
    </row>
    <row r="3397" s="7" customFormat="1" spans="33:33">
      <c r="AG3397" s="9"/>
    </row>
    <row r="3398" s="7" customFormat="1" spans="33:33">
      <c r="AG3398" s="9"/>
    </row>
    <row r="3399" s="7" customFormat="1" spans="33:33">
      <c r="AG3399" s="9"/>
    </row>
    <row r="3400" s="7" customFormat="1" spans="33:33">
      <c r="AG3400" s="9"/>
    </row>
    <row r="3401" s="7" customFormat="1" spans="33:33">
      <c r="AG3401" s="9"/>
    </row>
    <row r="3402" s="7" customFormat="1" spans="33:33">
      <c r="AG3402" s="9"/>
    </row>
    <row r="3403" s="7" customFormat="1" spans="33:33">
      <c r="AG3403" s="9"/>
    </row>
    <row r="3404" s="7" customFormat="1" spans="33:33">
      <c r="AG3404" s="9"/>
    </row>
    <row r="3405" s="7" customFormat="1" spans="33:33">
      <c r="AG3405" s="9"/>
    </row>
    <row r="3406" s="7" customFormat="1" spans="33:33">
      <c r="AG3406" s="9"/>
    </row>
    <row r="3407" s="7" customFormat="1" spans="33:33">
      <c r="AG3407" s="9"/>
    </row>
    <row r="3408" s="7" customFormat="1" spans="33:33">
      <c r="AG3408" s="9"/>
    </row>
    <row r="3409" s="7" customFormat="1" spans="33:33">
      <c r="AG3409" s="9"/>
    </row>
    <row r="3410" s="7" customFormat="1" spans="33:33">
      <c r="AG3410" s="9"/>
    </row>
    <row r="3411" s="7" customFormat="1" spans="33:33">
      <c r="AG3411" s="9"/>
    </row>
    <row r="3412" s="7" customFormat="1" spans="33:33">
      <c r="AG3412" s="9"/>
    </row>
    <row r="3413" s="7" customFormat="1" spans="33:33">
      <c r="AG3413" s="9"/>
    </row>
    <row r="3414" s="7" customFormat="1" spans="33:33">
      <c r="AG3414" s="9"/>
    </row>
    <row r="3415" s="7" customFormat="1" spans="33:33">
      <c r="AG3415" s="9"/>
    </row>
    <row r="3416" s="7" customFormat="1" spans="33:33">
      <c r="AG3416" s="9"/>
    </row>
    <row r="3417" s="7" customFormat="1" spans="33:33">
      <c r="AG3417" s="9"/>
    </row>
    <row r="3418" s="7" customFormat="1" spans="33:33">
      <c r="AG3418" s="9"/>
    </row>
    <row r="3419" s="7" customFormat="1" spans="33:33">
      <c r="AG3419" s="9"/>
    </row>
    <row r="4050" spans="1:29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  <c r="AA4050" s="7"/>
      <c r="AB4050" s="7"/>
      <c r="AC4050" s="7"/>
    </row>
    <row r="4051" spans="1:29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  <c r="AA4051" s="7"/>
      <c r="AB4051" s="7"/>
      <c r="AC4051" s="7"/>
    </row>
    <row r="4052" spans="1:29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  <c r="AA4052" s="7"/>
      <c r="AB4052" s="7"/>
      <c r="AC4052" s="7"/>
    </row>
    <row r="4053" spans="1:29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  <c r="AA4053" s="7"/>
      <c r="AB4053" s="7"/>
      <c r="AC4053" s="7"/>
    </row>
    <row r="4054" spans="1:29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  <c r="AA4054" s="7"/>
      <c r="AB4054" s="7"/>
      <c r="AC4054" s="7"/>
    </row>
    <row r="4055" spans="1:29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  <c r="AA4055" s="7"/>
      <c r="AB4055" s="7"/>
      <c r="AC4055" s="7"/>
    </row>
    <row r="4056" spans="1:29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  <c r="AA4056" s="7"/>
      <c r="AB4056" s="7"/>
      <c r="AC4056" s="7"/>
    </row>
    <row r="4057" spans="1:29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  <c r="AA4057" s="7"/>
      <c r="AB4057" s="7"/>
      <c r="AC4057" s="7"/>
    </row>
    <row r="4058" spans="1:29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  <c r="AA4058" s="7"/>
      <c r="AB4058" s="7"/>
      <c r="AC4058" s="7"/>
    </row>
    <row r="4059" spans="1:29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  <c r="AA4059" s="7"/>
      <c r="AB4059" s="7"/>
      <c r="AC4059" s="7"/>
    </row>
    <row r="4060" spans="1:29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  <c r="AA4060" s="7"/>
      <c r="AB4060" s="7"/>
      <c r="AC4060" s="7"/>
    </row>
    <row r="4061" spans="1:29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  <c r="AA4061" s="7"/>
      <c r="AB4061" s="7"/>
      <c r="AC4061" s="7"/>
    </row>
    <row r="4062" spans="1:29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  <c r="AA4062" s="7"/>
      <c r="AB4062" s="7"/>
      <c r="AC4062" s="7"/>
    </row>
    <row r="4063" spans="1:29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  <c r="AA4063" s="7"/>
      <c r="AB4063" s="7"/>
      <c r="AC4063" s="7"/>
    </row>
    <row r="4064" spans="1:29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  <c r="AA4064" s="7"/>
      <c r="AB4064" s="7"/>
      <c r="AC4064" s="7"/>
    </row>
    <row r="4065" spans="1:29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  <c r="AA4065" s="7"/>
      <c r="AB4065" s="7"/>
      <c r="AC4065" s="7"/>
    </row>
    <row r="4066" spans="1:29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  <c r="AA4066" s="7"/>
      <c r="AB4066" s="7"/>
      <c r="AC4066" s="7"/>
    </row>
    <row r="4067" spans="1:29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  <c r="AA4067" s="7"/>
      <c r="AB4067" s="7"/>
      <c r="AC4067" s="7"/>
    </row>
    <row r="4068" spans="1:29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  <c r="AA4068" s="7"/>
      <c r="AB4068" s="7"/>
      <c r="AC4068" s="7"/>
    </row>
    <row r="4069" spans="1:29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  <c r="AA4069" s="7"/>
      <c r="AB4069" s="7"/>
      <c r="AC4069" s="7"/>
    </row>
    <row r="4070" spans="1:29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  <c r="AA4070" s="7"/>
      <c r="AB4070" s="7"/>
      <c r="AC4070" s="7"/>
    </row>
    <row r="4071" spans="1:29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  <c r="AA4071" s="7"/>
      <c r="AB4071" s="7"/>
      <c r="AC4071" s="7"/>
    </row>
    <row r="4072" spans="1:29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  <c r="AA4072" s="7"/>
      <c r="AB4072" s="7"/>
      <c r="AC4072" s="7"/>
    </row>
    <row r="4073" spans="1:29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  <c r="AA4073" s="7"/>
      <c r="AB4073" s="7"/>
      <c r="AC4073" s="7"/>
    </row>
    <row r="4074" spans="1:29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  <c r="AA4074" s="7"/>
      <c r="AB4074" s="7"/>
      <c r="AC4074" s="7"/>
    </row>
    <row r="4075" spans="1:29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  <c r="AA4075" s="7"/>
      <c r="AB4075" s="7"/>
      <c r="AC4075" s="7"/>
    </row>
    <row r="4076" spans="1:29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  <c r="AA4076" s="7"/>
      <c r="AB4076" s="7"/>
      <c r="AC4076" s="7"/>
    </row>
    <row r="4077" spans="1:29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  <c r="AA4077" s="7"/>
      <c r="AB4077" s="7"/>
      <c r="AC4077" s="7"/>
    </row>
    <row r="4078" spans="1:29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  <c r="AA4078" s="7"/>
      <c r="AB4078" s="7"/>
      <c r="AC4078" s="7"/>
    </row>
    <row r="4079" spans="1:29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  <c r="AA4079" s="7"/>
      <c r="AB4079" s="7"/>
      <c r="AC4079" s="7"/>
    </row>
    <row r="4080" spans="1:29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  <c r="AA4080" s="7"/>
      <c r="AB4080" s="7"/>
      <c r="AC4080" s="7"/>
    </row>
    <row r="4081" spans="1:29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  <c r="AA4081" s="7"/>
      <c r="AB4081" s="7"/>
      <c r="AC4081" s="7"/>
    </row>
    <row r="4082" spans="1:29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  <c r="AA4082" s="7"/>
      <c r="AB4082" s="7"/>
      <c r="AC4082" s="7"/>
    </row>
    <row r="4083" spans="1:29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  <c r="AA4083" s="7"/>
      <c r="AB4083" s="7"/>
      <c r="AC4083" s="7"/>
    </row>
    <row r="4084" spans="1:29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  <c r="AA4084" s="7"/>
      <c r="AB4084" s="7"/>
      <c r="AC4084" s="7"/>
    </row>
    <row r="4085" spans="1:29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  <c r="AA4085" s="7"/>
      <c r="AB4085" s="7"/>
      <c r="AC4085" s="7"/>
    </row>
    <row r="4086" spans="1:29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  <c r="AA4086" s="7"/>
      <c r="AB4086" s="7"/>
      <c r="AC4086" s="7"/>
    </row>
    <row r="4087" spans="1:29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  <c r="AA4087" s="7"/>
      <c r="AB4087" s="7"/>
      <c r="AC4087" s="7"/>
    </row>
    <row r="4088" spans="1:29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  <c r="AA4088" s="7"/>
      <c r="AB4088" s="7"/>
      <c r="AC4088" s="7"/>
    </row>
    <row r="4089" spans="1:29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  <c r="AA4089" s="7"/>
      <c r="AB4089" s="7"/>
      <c r="AC4089" s="7"/>
    </row>
    <row r="4090" spans="1:29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  <c r="AA4090" s="7"/>
      <c r="AB4090" s="7"/>
      <c r="AC4090" s="7"/>
    </row>
    <row r="4091" spans="1:29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  <c r="AA4091" s="7"/>
      <c r="AB4091" s="7"/>
      <c r="AC4091" s="7"/>
    </row>
    <row r="4092" spans="1:29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  <c r="AA4092" s="7"/>
      <c r="AB4092" s="7"/>
      <c r="AC4092" s="7"/>
    </row>
    <row r="4093" spans="1:29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  <c r="AA4093" s="7"/>
      <c r="AB4093" s="7"/>
      <c r="AC4093" s="7"/>
    </row>
    <row r="4094" spans="1:29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  <c r="AA4094" s="7"/>
      <c r="AB4094" s="7"/>
      <c r="AC4094" s="7"/>
    </row>
    <row r="4095" spans="1:29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  <c r="AA4095" s="7"/>
      <c r="AB4095" s="7"/>
      <c r="AC4095" s="7"/>
    </row>
    <row r="4096" spans="1:29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  <c r="AA4096" s="7"/>
      <c r="AB4096" s="7"/>
      <c r="AC4096" s="7"/>
    </row>
    <row r="4097" spans="1:29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  <c r="AA4097" s="7"/>
      <c r="AB4097" s="7"/>
      <c r="AC4097" s="7"/>
    </row>
    <row r="4098" spans="1:29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  <c r="AA4098" s="7"/>
      <c r="AB4098" s="7"/>
      <c r="AC4098" s="7"/>
    </row>
    <row r="4099" spans="1:29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  <c r="AA4099" s="7"/>
      <c r="AB4099" s="7"/>
      <c r="AC4099" s="7"/>
    </row>
    <row r="4100" spans="1:29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  <c r="AA4100" s="7"/>
      <c r="AB4100" s="7"/>
      <c r="AC4100" s="7"/>
    </row>
    <row r="4101" spans="1:29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  <c r="AA4101" s="7"/>
      <c r="AB4101" s="7"/>
      <c r="AC4101" s="7"/>
    </row>
    <row r="4102" spans="1:29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  <c r="AA4102" s="7"/>
      <c r="AB4102" s="7"/>
      <c r="AC4102" s="7"/>
    </row>
    <row r="4103" spans="1:29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  <c r="AA4103" s="7"/>
      <c r="AB4103" s="7"/>
      <c r="AC4103" s="7"/>
    </row>
    <row r="4104" spans="1:29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  <c r="AA4104" s="7"/>
      <c r="AB4104" s="7"/>
      <c r="AC4104" s="7"/>
    </row>
    <row r="4105" spans="1:29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  <c r="AA4105" s="7"/>
      <c r="AB4105" s="7"/>
      <c r="AC4105" s="7"/>
    </row>
    <row r="4106" spans="1:29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  <c r="AA4106" s="7"/>
      <c r="AB4106" s="7"/>
      <c r="AC4106" s="7"/>
    </row>
    <row r="4107" spans="1:29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  <c r="AA4107" s="7"/>
      <c r="AB4107" s="7"/>
      <c r="AC4107" s="7"/>
    </row>
    <row r="4108" spans="1:29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  <c r="AA4108" s="7"/>
      <c r="AB4108" s="7"/>
      <c r="AC4108" s="7"/>
    </row>
    <row r="4109" spans="1:29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  <c r="AA4109" s="7"/>
      <c r="AB4109" s="7"/>
      <c r="AC4109" s="7"/>
    </row>
    <row r="4110" spans="1:29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  <c r="AA4110" s="7"/>
      <c r="AB4110" s="7"/>
      <c r="AC4110" s="7"/>
    </row>
    <row r="4111" spans="1:29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  <c r="AA4111" s="7"/>
      <c r="AB4111" s="7"/>
      <c r="AC4111" s="7"/>
    </row>
    <row r="4112" spans="1:29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  <c r="AA4112" s="7"/>
      <c r="AB4112" s="7"/>
      <c r="AC4112" s="7"/>
    </row>
    <row r="4113" spans="1:29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  <c r="AA4113" s="7"/>
      <c r="AB4113" s="7"/>
      <c r="AC4113" s="7"/>
    </row>
    <row r="4114" spans="1:29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  <c r="AA4114" s="7"/>
      <c r="AB4114" s="7"/>
      <c r="AC4114" s="7"/>
    </row>
    <row r="4115" spans="1:29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  <c r="AA4115" s="7"/>
      <c r="AB4115" s="7"/>
      <c r="AC4115" s="7"/>
    </row>
    <row r="4116" spans="1:29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  <c r="AA4116" s="7"/>
      <c r="AB4116" s="7"/>
      <c r="AC4116" s="7"/>
    </row>
    <row r="4117" spans="1:29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  <c r="AA4117" s="7"/>
      <c r="AB4117" s="7"/>
      <c r="AC4117" s="7"/>
    </row>
    <row r="4118" spans="1:29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  <c r="AA4118" s="7"/>
      <c r="AB4118" s="7"/>
      <c r="AC4118" s="7"/>
    </row>
    <row r="4119" spans="1:29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  <c r="AA4119" s="7"/>
      <c r="AB4119" s="7"/>
      <c r="AC4119" s="7"/>
    </row>
    <row r="4120" spans="1:29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  <c r="AA4120" s="7"/>
      <c r="AB4120" s="7"/>
      <c r="AC4120" s="7"/>
    </row>
    <row r="4121" spans="1:29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  <c r="AA4121" s="7"/>
      <c r="AB4121" s="7"/>
      <c r="AC4121" s="7"/>
    </row>
    <row r="4122" spans="1:29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  <c r="AA4122" s="7"/>
      <c r="AB4122" s="7"/>
      <c r="AC4122" s="7"/>
    </row>
    <row r="4123" spans="1:29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  <c r="AA4123" s="7"/>
      <c r="AB4123" s="7"/>
      <c r="AC4123" s="7"/>
    </row>
    <row r="4124" spans="1:29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  <c r="AA4124" s="7"/>
      <c r="AB4124" s="7"/>
      <c r="AC4124" s="7"/>
    </row>
    <row r="4125" spans="1:29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  <c r="AA4125" s="7"/>
      <c r="AB4125" s="7"/>
      <c r="AC4125" s="7"/>
    </row>
    <row r="4126" spans="1:29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  <c r="AA4126" s="7"/>
      <c r="AB4126" s="7"/>
      <c r="AC4126" s="7"/>
    </row>
    <row r="4127" spans="1:29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  <c r="AA4127" s="7"/>
      <c r="AB4127" s="7"/>
      <c r="AC4127" s="7"/>
    </row>
    <row r="4128" spans="1:29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  <c r="AA4128" s="7"/>
      <c r="AB4128" s="7"/>
      <c r="AC4128" s="7"/>
    </row>
    <row r="4129" spans="1:29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  <c r="AA4129" s="7"/>
      <c r="AB4129" s="7"/>
      <c r="AC4129" s="7"/>
    </row>
    <row r="4130" spans="1:29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  <c r="AA4130" s="7"/>
      <c r="AB4130" s="7"/>
      <c r="AC4130" s="7"/>
    </row>
    <row r="4131" spans="1:29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  <c r="AA4131" s="7"/>
      <c r="AB4131" s="7"/>
      <c r="AC4131" s="7"/>
    </row>
    <row r="4132" spans="1:29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  <c r="AA4132" s="7"/>
      <c r="AB4132" s="7"/>
      <c r="AC4132" s="7"/>
    </row>
    <row r="4133" spans="1:29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  <c r="AA4133" s="7"/>
      <c r="AB4133" s="7"/>
      <c r="AC4133" s="7"/>
    </row>
    <row r="4134" spans="1:29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  <c r="AA4134" s="7"/>
      <c r="AB4134" s="7"/>
      <c r="AC4134" s="7"/>
    </row>
    <row r="4135" spans="1:29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  <c r="AA4135" s="7"/>
      <c r="AB4135" s="7"/>
      <c r="AC4135" s="7"/>
    </row>
    <row r="4136" spans="1:29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  <c r="AA4136" s="7"/>
      <c r="AB4136" s="7"/>
      <c r="AC4136" s="7"/>
    </row>
    <row r="4137" spans="1:29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  <c r="AA4137" s="7"/>
      <c r="AB4137" s="7"/>
      <c r="AC4137" s="7"/>
    </row>
    <row r="4138" spans="1:29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  <c r="AA4138" s="7"/>
      <c r="AB4138" s="7"/>
      <c r="AC4138" s="7"/>
    </row>
    <row r="4139" spans="1:29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  <c r="AA4139" s="7"/>
      <c r="AB4139" s="7"/>
      <c r="AC4139" s="7"/>
    </row>
    <row r="4140" spans="1:29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  <c r="AA4140" s="7"/>
      <c r="AB4140" s="7"/>
      <c r="AC4140" s="7"/>
    </row>
    <row r="4141" spans="1:29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  <c r="AA4141" s="7"/>
      <c r="AB4141" s="7"/>
      <c r="AC4141" s="7"/>
    </row>
    <row r="4142" spans="1:29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  <c r="AA4142" s="7"/>
      <c r="AB4142" s="7"/>
      <c r="AC4142" s="7"/>
    </row>
    <row r="4143" spans="1:29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  <c r="AA4143" s="7"/>
      <c r="AB4143" s="7"/>
      <c r="AC4143" s="7"/>
    </row>
    <row r="4144" spans="1:29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  <c r="AA4144" s="7"/>
      <c r="AB4144" s="7"/>
      <c r="AC4144" s="7"/>
    </row>
    <row r="4145" spans="1:29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  <c r="AA4145" s="7"/>
      <c r="AB4145" s="7"/>
      <c r="AC4145" s="7"/>
    </row>
    <row r="4146" spans="1:29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  <c r="AA4146" s="7"/>
      <c r="AB4146" s="7"/>
      <c r="AC4146" s="7"/>
    </row>
    <row r="4147" spans="1:29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  <c r="AA4147" s="7"/>
      <c r="AB4147" s="7"/>
      <c r="AC4147" s="7"/>
    </row>
    <row r="4148" spans="1:29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  <c r="AA4148" s="7"/>
      <c r="AB4148" s="7"/>
      <c r="AC4148" s="7"/>
    </row>
    <row r="4149" spans="1:29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  <c r="AA4149" s="7"/>
      <c r="AB4149" s="7"/>
      <c r="AC4149" s="7"/>
    </row>
    <row r="4150" spans="1:29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  <c r="AA4150" s="7"/>
      <c r="AB4150" s="7"/>
      <c r="AC4150" s="7"/>
    </row>
    <row r="4151" spans="1:29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  <c r="AA4151" s="7"/>
      <c r="AB4151" s="7"/>
      <c r="AC4151" s="7"/>
    </row>
    <row r="4152" spans="1:29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  <c r="AA4152" s="7"/>
      <c r="AB4152" s="7"/>
      <c r="AC4152" s="7"/>
    </row>
    <row r="4153" spans="1:29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  <c r="AA4153" s="7"/>
      <c r="AB4153" s="7"/>
      <c r="AC4153" s="7"/>
    </row>
    <row r="4154" spans="1:29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  <c r="AA4154" s="7"/>
      <c r="AB4154" s="7"/>
      <c r="AC4154" s="7"/>
    </row>
    <row r="4155" spans="1:29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  <c r="AA4155" s="7"/>
      <c r="AB4155" s="7"/>
      <c r="AC4155" s="7"/>
    </row>
    <row r="4156" spans="1:29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  <c r="AA4156" s="7"/>
      <c r="AB4156" s="7"/>
      <c r="AC4156" s="7"/>
    </row>
    <row r="4157" spans="1:29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  <c r="AA4157" s="7"/>
      <c r="AB4157" s="7"/>
      <c r="AC4157" s="7"/>
    </row>
    <row r="4158" spans="1:29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  <c r="AA4158" s="7"/>
      <c r="AB4158" s="7"/>
      <c r="AC4158" s="7"/>
    </row>
    <row r="4159" spans="1:29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  <c r="AA4159" s="7"/>
      <c r="AB4159" s="7"/>
      <c r="AC4159" s="7"/>
    </row>
    <row r="4160" spans="1:29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  <c r="AA4160" s="7"/>
      <c r="AB4160" s="7"/>
      <c r="AC4160" s="7"/>
    </row>
    <row r="4161" spans="1:29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  <c r="AA4161" s="7"/>
      <c r="AB4161" s="7"/>
      <c r="AC4161" s="7"/>
    </row>
    <row r="4162" spans="1:29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  <c r="AA4162" s="7"/>
      <c r="AB4162" s="7"/>
      <c r="AC4162" s="7"/>
    </row>
    <row r="4163" spans="1:29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  <c r="AA4163" s="7"/>
      <c r="AB4163" s="7"/>
      <c r="AC4163" s="7"/>
    </row>
    <row r="4164" spans="1:29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  <c r="AA4164" s="7"/>
      <c r="AB4164" s="7"/>
      <c r="AC4164" s="7"/>
    </row>
    <row r="4165" spans="1:29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  <c r="AA4165" s="7"/>
      <c r="AB4165" s="7"/>
      <c r="AC4165" s="7"/>
    </row>
    <row r="4166" spans="1:29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  <c r="AA4166" s="7"/>
      <c r="AB4166" s="7"/>
      <c r="AC4166" s="7"/>
    </row>
    <row r="4167" spans="1:29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  <c r="AA4167" s="7"/>
      <c r="AB4167" s="7"/>
      <c r="AC4167" s="7"/>
    </row>
    <row r="4168" spans="1:29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  <c r="AA4168" s="7"/>
      <c r="AB4168" s="7"/>
      <c r="AC4168" s="7"/>
    </row>
    <row r="4169" spans="1:29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  <c r="AA4169" s="7"/>
      <c r="AB4169" s="7"/>
      <c r="AC4169" s="7"/>
    </row>
    <row r="4170" spans="1:29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  <c r="AA4170" s="7"/>
      <c r="AB4170" s="7"/>
      <c r="AC4170" s="7"/>
    </row>
    <row r="4171" spans="1:29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  <c r="AA4171" s="7"/>
      <c r="AB4171" s="7"/>
      <c r="AC4171" s="7"/>
    </row>
    <row r="4172" spans="1:29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  <c r="AA4172" s="7"/>
      <c r="AB4172" s="7"/>
      <c r="AC4172" s="7"/>
    </row>
    <row r="4173" spans="1:29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  <c r="AA4173" s="7"/>
      <c r="AB4173" s="7"/>
      <c r="AC4173" s="7"/>
    </row>
    <row r="4174" spans="1:29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  <c r="AA4174" s="7"/>
      <c r="AB4174" s="7"/>
      <c r="AC4174" s="7"/>
    </row>
    <row r="4175" spans="1:29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  <c r="AA4175" s="7"/>
      <c r="AB4175" s="7"/>
      <c r="AC4175" s="7"/>
    </row>
    <row r="4176" spans="1:29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  <c r="AA4176" s="7"/>
      <c r="AB4176" s="7"/>
      <c r="AC4176" s="7"/>
    </row>
    <row r="4177" spans="1:29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  <c r="AA4177" s="7"/>
      <c r="AB4177" s="7"/>
      <c r="AC4177" s="7"/>
    </row>
    <row r="4178" spans="1:29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  <c r="AA4178" s="7"/>
      <c r="AB4178" s="7"/>
      <c r="AC4178" s="7"/>
    </row>
    <row r="4179" spans="1:29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  <c r="AA4179" s="7"/>
      <c r="AB4179" s="7"/>
      <c r="AC4179" s="7"/>
    </row>
    <row r="4180" spans="1:29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  <c r="AA4180" s="7"/>
      <c r="AB4180" s="7"/>
      <c r="AC4180" s="7"/>
    </row>
    <row r="4181" spans="1:29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  <c r="AA4181" s="7"/>
      <c r="AB4181" s="7"/>
      <c r="AC4181" s="7"/>
    </row>
    <row r="4182" spans="1:29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  <c r="AA4182" s="7"/>
      <c r="AB4182" s="7"/>
      <c r="AC4182" s="7"/>
    </row>
    <row r="4183" spans="1:29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  <c r="AA4183" s="7"/>
      <c r="AB4183" s="7"/>
      <c r="AC4183" s="7"/>
    </row>
    <row r="4184" spans="1:29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  <c r="AA4184" s="7"/>
      <c r="AB4184" s="7"/>
      <c r="AC4184" s="7"/>
    </row>
    <row r="4185" spans="1:29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  <c r="AA4185" s="7"/>
      <c r="AB4185" s="7"/>
      <c r="AC4185" s="7"/>
    </row>
    <row r="4186" spans="1:29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  <c r="AA4186" s="7"/>
      <c r="AB4186" s="7"/>
      <c r="AC4186" s="7"/>
    </row>
    <row r="4187" spans="1:29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  <c r="AA4187" s="7"/>
      <c r="AB4187" s="7"/>
      <c r="AC4187" s="7"/>
    </row>
    <row r="4188" spans="1:29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  <c r="AA4188" s="7"/>
      <c r="AB4188" s="7"/>
      <c r="AC4188" s="7"/>
    </row>
    <row r="4189" spans="1:29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  <c r="AA4189" s="7"/>
      <c r="AB4189" s="7"/>
      <c r="AC4189" s="7"/>
    </row>
    <row r="4190" spans="1:29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  <c r="AA4190" s="7"/>
      <c r="AB4190" s="7"/>
      <c r="AC4190" s="7"/>
    </row>
    <row r="4191" spans="1:29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  <c r="AA4191" s="7"/>
      <c r="AB4191" s="7"/>
      <c r="AC4191" s="7"/>
    </row>
    <row r="4192" spans="1:29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  <c r="AA4192" s="7"/>
      <c r="AB4192" s="7"/>
      <c r="AC4192" s="7"/>
    </row>
    <row r="4193" spans="1:29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  <c r="AA4193" s="7"/>
      <c r="AB4193" s="7"/>
      <c r="AC4193" s="7"/>
    </row>
    <row r="4194" spans="1:29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  <c r="AA4194" s="7"/>
      <c r="AB4194" s="7"/>
      <c r="AC4194" s="7"/>
    </row>
    <row r="4195" spans="1:29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  <c r="AA4195" s="7"/>
      <c r="AB4195" s="7"/>
      <c r="AC4195" s="7"/>
    </row>
    <row r="4196" spans="1:29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  <c r="AA4196" s="7"/>
      <c r="AB4196" s="7"/>
      <c r="AC4196" s="7"/>
    </row>
    <row r="4197" spans="1:29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  <c r="AA4197" s="7"/>
      <c r="AB4197" s="7"/>
      <c r="AC4197" s="7"/>
    </row>
    <row r="4198" spans="1:29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  <c r="AA4198" s="7"/>
      <c r="AB4198" s="7"/>
      <c r="AC4198" s="7"/>
    </row>
    <row r="4199" spans="1:29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  <c r="AA4199" s="7"/>
      <c r="AB4199" s="7"/>
      <c r="AC4199" s="7"/>
    </row>
    <row r="4200" spans="1:29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  <c r="AA4200" s="7"/>
      <c r="AB4200" s="7"/>
      <c r="AC4200" s="7"/>
    </row>
    <row r="4201" spans="1:29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  <c r="AA4201" s="7"/>
      <c r="AB4201" s="7"/>
      <c r="AC4201" s="7"/>
    </row>
    <row r="4202" spans="1:29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  <c r="AA4202" s="7"/>
      <c r="AB4202" s="7"/>
      <c r="AC4202" s="7"/>
    </row>
    <row r="4203" spans="1:29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  <c r="AA4203" s="7"/>
      <c r="AB4203" s="7"/>
      <c r="AC4203" s="7"/>
    </row>
    <row r="4204" spans="1:29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  <c r="AA4204" s="7"/>
      <c r="AB4204" s="7"/>
      <c r="AC4204" s="7"/>
    </row>
    <row r="4205" spans="1:29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  <c r="AA4205" s="7"/>
      <c r="AB4205" s="7"/>
      <c r="AC4205" s="7"/>
    </row>
    <row r="4206" spans="1:29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  <c r="AA4206" s="7"/>
      <c r="AB4206" s="7"/>
      <c r="AC4206" s="7"/>
    </row>
    <row r="4207" spans="1:29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  <c r="AA4207" s="7"/>
      <c r="AB4207" s="7"/>
      <c r="AC4207" s="7"/>
    </row>
    <row r="4208" spans="1:29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  <c r="AA4208" s="7"/>
      <c r="AB4208" s="7"/>
      <c r="AC4208" s="7"/>
    </row>
    <row r="4209" spans="1:29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  <c r="AA4209" s="7"/>
      <c r="AB4209" s="7"/>
      <c r="AC4209" s="7"/>
    </row>
    <row r="4210" spans="1:29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  <c r="AA4210" s="7"/>
      <c r="AB4210" s="7"/>
      <c r="AC4210" s="7"/>
    </row>
    <row r="4211" spans="1:29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  <c r="AA4211" s="7"/>
      <c r="AB4211" s="7"/>
      <c r="AC4211" s="7"/>
    </row>
    <row r="4212" spans="1:29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  <c r="AA4212" s="7"/>
      <c r="AB4212" s="7"/>
      <c r="AC4212" s="7"/>
    </row>
    <row r="4213" spans="1:29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  <c r="AA4213" s="7"/>
      <c r="AB4213" s="7"/>
      <c r="AC4213" s="7"/>
    </row>
    <row r="4214" spans="1:29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  <c r="AA4214" s="7"/>
      <c r="AB4214" s="7"/>
      <c r="AC4214" s="7"/>
    </row>
    <row r="4215" spans="1:29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  <c r="AA4215" s="7"/>
      <c r="AB4215" s="7"/>
      <c r="AC4215" s="7"/>
    </row>
    <row r="4216" spans="1:29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  <c r="AA4216" s="7"/>
      <c r="AB4216" s="7"/>
      <c r="AC4216" s="7"/>
    </row>
    <row r="4217" spans="1:29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  <c r="AA4217" s="7"/>
      <c r="AB4217" s="7"/>
      <c r="AC4217" s="7"/>
    </row>
    <row r="4218" spans="1:29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  <c r="AA4218" s="7"/>
      <c r="AB4218" s="7"/>
      <c r="AC4218" s="7"/>
    </row>
    <row r="4219" spans="1:29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  <c r="AA4219" s="7"/>
      <c r="AB4219" s="7"/>
      <c r="AC4219" s="7"/>
    </row>
    <row r="4220" spans="1:29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  <c r="AA4220" s="7"/>
      <c r="AB4220" s="7"/>
      <c r="AC4220" s="7"/>
    </row>
    <row r="4221" spans="1:29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  <c r="AA4221" s="7"/>
      <c r="AB4221" s="7"/>
      <c r="AC4221" s="7"/>
    </row>
    <row r="4222" spans="1:29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  <c r="AA4222" s="7"/>
      <c r="AB4222" s="7"/>
      <c r="AC4222" s="7"/>
    </row>
    <row r="4223" spans="1:29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  <c r="AA4223" s="7"/>
      <c r="AB4223" s="7"/>
      <c r="AC4223" s="7"/>
    </row>
    <row r="4224" spans="1:29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  <c r="AA4224" s="7"/>
      <c r="AB4224" s="7"/>
      <c r="AC4224" s="7"/>
    </row>
    <row r="4225" spans="1:29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  <c r="AA4225" s="7"/>
      <c r="AB4225" s="7"/>
      <c r="AC4225" s="7"/>
    </row>
    <row r="4226" spans="1:29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  <c r="AA4226" s="7"/>
      <c r="AB4226" s="7"/>
      <c r="AC4226" s="7"/>
    </row>
    <row r="4227" spans="1:29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  <c r="AA4227" s="7"/>
      <c r="AB4227" s="7"/>
      <c r="AC4227" s="7"/>
    </row>
    <row r="4228" spans="1:29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  <c r="AA4228" s="7"/>
      <c r="AB4228" s="7"/>
      <c r="AC4228" s="7"/>
    </row>
    <row r="4229" spans="1:29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  <c r="AA4229" s="7"/>
      <c r="AB4229" s="7"/>
      <c r="AC4229" s="7"/>
    </row>
    <row r="4230" spans="1:29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  <c r="AA4230" s="7"/>
      <c r="AB4230" s="7"/>
      <c r="AC4230" s="7"/>
    </row>
    <row r="4231" spans="1:29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  <c r="AA4231" s="7"/>
      <c r="AB4231" s="7"/>
      <c r="AC4231" s="7"/>
    </row>
    <row r="4232" spans="1:29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  <c r="AA4232" s="7"/>
      <c r="AB4232" s="7"/>
      <c r="AC4232" s="7"/>
    </row>
    <row r="4233" spans="1:29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  <c r="AA4233" s="7"/>
      <c r="AB4233" s="7"/>
      <c r="AC4233" s="7"/>
    </row>
    <row r="4234" spans="1:29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  <c r="AA4234" s="7"/>
      <c r="AB4234" s="7"/>
      <c r="AC4234" s="7"/>
    </row>
    <row r="4235" spans="1:29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  <c r="AA4235" s="7"/>
      <c r="AB4235" s="7"/>
      <c r="AC4235" s="7"/>
    </row>
    <row r="4236" spans="1:29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  <c r="AA4236" s="7"/>
      <c r="AB4236" s="7"/>
      <c r="AC4236" s="7"/>
    </row>
    <row r="4237" spans="1:29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  <c r="AA4237" s="7"/>
      <c r="AB4237" s="7"/>
      <c r="AC4237" s="7"/>
    </row>
    <row r="4238" spans="1:29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  <c r="AA4238" s="7"/>
      <c r="AB4238" s="7"/>
      <c r="AC4238" s="7"/>
    </row>
    <row r="4239" spans="1:29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  <c r="AA4239" s="7"/>
      <c r="AB4239" s="7"/>
      <c r="AC4239" s="7"/>
    </row>
    <row r="4240" spans="1:29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  <c r="AA4240" s="7"/>
      <c r="AB4240" s="7"/>
      <c r="AC4240" s="7"/>
    </row>
    <row r="4241" spans="1:29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  <c r="AA4241" s="7"/>
      <c r="AB4241" s="7"/>
      <c r="AC4241" s="7"/>
    </row>
    <row r="4242" spans="1:29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  <c r="AA4242" s="7"/>
      <c r="AB4242" s="7"/>
      <c r="AC4242" s="7"/>
    </row>
    <row r="4243" spans="1:29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  <c r="AA4243" s="7"/>
      <c r="AB4243" s="7"/>
      <c r="AC4243" s="7"/>
    </row>
    <row r="4244" spans="1:29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  <c r="AA4244" s="7"/>
      <c r="AB4244" s="7"/>
      <c r="AC4244" s="7"/>
    </row>
    <row r="4245" spans="1:29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  <c r="AA4245" s="7"/>
      <c r="AB4245" s="7"/>
      <c r="AC4245" s="7"/>
    </row>
    <row r="4246" spans="1:29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  <c r="AA4246" s="7"/>
      <c r="AB4246" s="7"/>
      <c r="AC4246" s="7"/>
    </row>
    <row r="4247" spans="1:29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  <c r="AA4247" s="7"/>
      <c r="AB4247" s="7"/>
      <c r="AC4247" s="7"/>
    </row>
    <row r="4248" spans="1:29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  <c r="AA4248" s="7"/>
      <c r="AB4248" s="7"/>
      <c r="AC4248" s="7"/>
    </row>
    <row r="4249" spans="1:29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  <c r="AA4249" s="7"/>
      <c r="AB4249" s="7"/>
      <c r="AC4249" s="7"/>
    </row>
    <row r="4250" spans="1:29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  <c r="AA4250" s="7"/>
      <c r="AB4250" s="7"/>
      <c r="AC4250" s="7"/>
    </row>
    <row r="4251" spans="1:29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  <c r="AA4251" s="7"/>
      <c r="AB4251" s="7"/>
      <c r="AC4251" s="7"/>
    </row>
    <row r="4252" spans="1:29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  <c r="AA4252" s="7"/>
      <c r="AB4252" s="7"/>
      <c r="AC4252" s="7"/>
    </row>
    <row r="4253" spans="1:29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  <c r="AA4253" s="7"/>
      <c r="AB4253" s="7"/>
      <c r="AC4253" s="7"/>
    </row>
    <row r="4254" spans="1:29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  <c r="AA4254" s="7"/>
      <c r="AB4254" s="7"/>
      <c r="AC4254" s="7"/>
    </row>
    <row r="4255" spans="1:29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  <c r="AA4255" s="7"/>
      <c r="AB4255" s="7"/>
      <c r="AC4255" s="7"/>
    </row>
    <row r="4256" spans="1:29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  <c r="AA4256" s="7"/>
      <c r="AB4256" s="7"/>
      <c r="AC4256" s="7"/>
    </row>
    <row r="4257" spans="1:29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  <c r="AA4257" s="7"/>
      <c r="AB4257" s="7"/>
      <c r="AC4257" s="7"/>
    </row>
    <row r="4258" spans="1:29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  <c r="AA4258" s="7"/>
      <c r="AB4258" s="7"/>
      <c r="AC4258" s="7"/>
    </row>
    <row r="4259" spans="1:29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  <c r="AA4259" s="7"/>
      <c r="AB4259" s="7"/>
      <c r="AC4259" s="7"/>
    </row>
    <row r="4260" spans="1:29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  <c r="AA4260" s="7"/>
      <c r="AB4260" s="7"/>
      <c r="AC4260" s="7"/>
    </row>
    <row r="4261" spans="1:29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  <c r="AA4261" s="7"/>
      <c r="AB4261" s="7"/>
      <c r="AC4261" s="7"/>
    </row>
    <row r="4262" spans="1:29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  <c r="AA4262" s="7"/>
      <c r="AB4262" s="7"/>
      <c r="AC4262" s="7"/>
    </row>
    <row r="4263" spans="1:29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  <c r="AA4263" s="7"/>
      <c r="AB4263" s="7"/>
      <c r="AC4263" s="7"/>
    </row>
    <row r="4264" spans="1:29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  <c r="AA4264" s="7"/>
      <c r="AB4264" s="7"/>
      <c r="AC4264" s="7"/>
    </row>
    <row r="4265" spans="1:29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  <c r="AA4265" s="7"/>
      <c r="AB4265" s="7"/>
      <c r="AC4265" s="7"/>
    </row>
    <row r="4266" spans="1:29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  <c r="AA4266" s="7"/>
      <c r="AB4266" s="7"/>
      <c r="AC4266" s="7"/>
    </row>
    <row r="4267" spans="1:29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  <c r="AA4267" s="7"/>
      <c r="AB4267" s="7"/>
      <c r="AC4267" s="7"/>
    </row>
    <row r="4268" spans="1:29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  <c r="AA4268" s="7"/>
      <c r="AB4268" s="7"/>
      <c r="AC4268" s="7"/>
    </row>
    <row r="4269" spans="1:29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  <c r="AA4269" s="7"/>
      <c r="AB4269" s="7"/>
      <c r="AC4269" s="7"/>
    </row>
    <row r="4270" spans="1:29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  <c r="AA4270" s="7"/>
      <c r="AB4270" s="7"/>
      <c r="AC4270" s="7"/>
    </row>
    <row r="4271" spans="1:29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  <c r="AA4271" s="7"/>
      <c r="AB4271" s="7"/>
      <c r="AC4271" s="7"/>
    </row>
    <row r="4272" spans="1:29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  <c r="AA4272" s="7"/>
      <c r="AB4272" s="7"/>
      <c r="AC4272" s="7"/>
    </row>
    <row r="4273" spans="1:29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  <c r="AA4273" s="7"/>
      <c r="AB4273" s="7"/>
      <c r="AC4273" s="7"/>
    </row>
    <row r="4274" spans="1:29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  <c r="AA4274" s="7"/>
      <c r="AB4274" s="7"/>
      <c r="AC4274" s="7"/>
    </row>
    <row r="4275" spans="1:29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  <c r="AA4275" s="7"/>
      <c r="AB4275" s="7"/>
      <c r="AC4275" s="7"/>
    </row>
    <row r="4276" spans="1:29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  <c r="AA4276" s="7"/>
      <c r="AB4276" s="7"/>
      <c r="AC4276" s="7"/>
    </row>
    <row r="4277" spans="1:29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  <c r="AA4277" s="7"/>
      <c r="AB4277" s="7"/>
      <c r="AC4277" s="7"/>
    </row>
    <row r="4278" spans="1:29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  <c r="AA4278" s="7"/>
      <c r="AB4278" s="7"/>
      <c r="AC4278" s="7"/>
    </row>
    <row r="4279" spans="1:29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  <c r="AA4279" s="7"/>
      <c r="AB4279" s="7"/>
      <c r="AC4279" s="7"/>
    </row>
    <row r="4280" spans="1:29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  <c r="AA4280" s="7"/>
      <c r="AB4280" s="7"/>
      <c r="AC4280" s="7"/>
    </row>
    <row r="4281" spans="1:29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  <c r="AA4281" s="7"/>
      <c r="AB4281" s="7"/>
      <c r="AC4281" s="7"/>
    </row>
    <row r="4282" spans="1:29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  <c r="AA4282" s="7"/>
      <c r="AB4282" s="7"/>
      <c r="AC4282" s="7"/>
    </row>
    <row r="4283" spans="1:29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  <c r="AA4283" s="7"/>
      <c r="AB4283" s="7"/>
      <c r="AC4283" s="7"/>
    </row>
    <row r="4284" spans="1:29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  <c r="AA4284" s="7"/>
      <c r="AB4284" s="7"/>
      <c r="AC4284" s="7"/>
    </row>
    <row r="4285" spans="1:29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  <c r="AA4285" s="7"/>
      <c r="AB4285" s="7"/>
      <c r="AC4285" s="7"/>
    </row>
    <row r="4286" spans="1:29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  <c r="AA4286" s="7"/>
      <c r="AB4286" s="7"/>
      <c r="AC4286" s="7"/>
    </row>
    <row r="4287" spans="1:29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  <c r="AA4287" s="7"/>
      <c r="AB4287" s="7"/>
      <c r="AC4287" s="7"/>
    </row>
    <row r="4288" spans="1:29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  <c r="AA4288" s="7"/>
      <c r="AB4288" s="7"/>
      <c r="AC4288" s="7"/>
    </row>
    <row r="4289" spans="1:29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  <c r="AA4289" s="7"/>
      <c r="AB4289" s="7"/>
      <c r="AC4289" s="7"/>
    </row>
    <row r="4290" spans="1:29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  <c r="AA4290" s="7"/>
      <c r="AB4290" s="7"/>
      <c r="AC4290" s="7"/>
    </row>
    <row r="4291" spans="1:29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  <c r="AA4291" s="7"/>
      <c r="AB4291" s="7"/>
      <c r="AC4291" s="7"/>
    </row>
    <row r="4292" spans="1:29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  <c r="AA4292" s="7"/>
      <c r="AB4292" s="7"/>
      <c r="AC4292" s="7"/>
    </row>
    <row r="4293" spans="1:29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  <c r="AA4293" s="7"/>
      <c r="AB4293" s="7"/>
      <c r="AC4293" s="7"/>
    </row>
    <row r="4294" spans="1:29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  <c r="AA4294" s="7"/>
      <c r="AB4294" s="7"/>
      <c r="AC4294" s="7"/>
    </row>
    <row r="4295" spans="1:29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  <c r="AA4295" s="7"/>
      <c r="AB4295" s="7"/>
      <c r="AC4295" s="7"/>
    </row>
    <row r="4296" spans="1:29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  <c r="AA4296" s="7"/>
      <c r="AB4296" s="7"/>
      <c r="AC4296" s="7"/>
    </row>
    <row r="4297" spans="1:29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  <c r="AA4297" s="7"/>
      <c r="AB4297" s="7"/>
      <c r="AC4297" s="7"/>
    </row>
    <row r="4298" spans="1:29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  <c r="AA4298" s="7"/>
      <c r="AB4298" s="7"/>
      <c r="AC4298" s="7"/>
    </row>
    <row r="4299" spans="1:29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  <c r="AA4299" s="7"/>
      <c r="AB4299" s="7"/>
      <c r="AC4299" s="7"/>
    </row>
    <row r="4300" spans="1:29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  <c r="AA4300" s="7"/>
      <c r="AB4300" s="7"/>
      <c r="AC4300" s="7"/>
    </row>
    <row r="4301" spans="1:29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  <c r="AA4301" s="7"/>
      <c r="AB4301" s="7"/>
      <c r="AC4301" s="7"/>
    </row>
    <row r="4302" spans="1:29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  <c r="AA4302" s="7"/>
      <c r="AB4302" s="7"/>
      <c r="AC4302" s="7"/>
    </row>
    <row r="4303" spans="1:29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  <c r="AA4303" s="7"/>
      <c r="AB4303" s="7"/>
      <c r="AC4303" s="7"/>
    </row>
    <row r="4304" spans="1:29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  <c r="AA4304" s="7"/>
      <c r="AB4304" s="7"/>
      <c r="AC4304" s="7"/>
    </row>
    <row r="4305" spans="1:29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  <c r="AA4305" s="7"/>
      <c r="AB4305" s="7"/>
      <c r="AC4305" s="7"/>
    </row>
    <row r="4306" spans="1:29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  <c r="AA4306" s="7"/>
      <c r="AB4306" s="7"/>
      <c r="AC4306" s="7"/>
    </row>
    <row r="4307" spans="1:29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  <c r="AA4307" s="7"/>
      <c r="AB4307" s="7"/>
      <c r="AC4307" s="7"/>
    </row>
    <row r="4308" spans="1:29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  <c r="AA4308" s="7"/>
      <c r="AB4308" s="7"/>
      <c r="AC4308" s="7"/>
    </row>
    <row r="4309" spans="1:29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  <c r="AA4309" s="7"/>
      <c r="AB4309" s="7"/>
      <c r="AC4309" s="7"/>
    </row>
    <row r="4310" spans="1:29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  <c r="AA4310" s="7"/>
      <c r="AB4310" s="7"/>
      <c r="AC4310" s="7"/>
    </row>
    <row r="4311" spans="1:29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  <c r="AA4311" s="7"/>
      <c r="AB4311" s="7"/>
      <c r="AC4311" s="7"/>
    </row>
    <row r="4312" spans="1:29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  <c r="AA4312" s="7"/>
      <c r="AB4312" s="7"/>
      <c r="AC4312" s="7"/>
    </row>
    <row r="4313" spans="1:29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  <c r="AA4313" s="7"/>
      <c r="AB4313" s="7"/>
      <c r="AC4313" s="7"/>
    </row>
    <row r="4314" spans="1:29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  <c r="AA4314" s="7"/>
      <c r="AB4314" s="7"/>
      <c r="AC4314" s="7"/>
    </row>
    <row r="4315" spans="1:29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  <c r="AA4315" s="7"/>
      <c r="AB4315" s="7"/>
      <c r="AC4315" s="7"/>
    </row>
    <row r="4316" spans="1:29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  <c r="AA4316" s="7"/>
      <c r="AB4316" s="7"/>
      <c r="AC4316" s="7"/>
    </row>
    <row r="4317" spans="1:29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  <c r="AA4317" s="7"/>
      <c r="AB4317" s="7"/>
      <c r="AC4317" s="7"/>
    </row>
    <row r="4318" spans="1:29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  <c r="AA4318" s="7"/>
      <c r="AB4318" s="7"/>
      <c r="AC4318" s="7"/>
    </row>
    <row r="4319" spans="1:29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  <c r="AA4319" s="7"/>
      <c r="AB4319" s="7"/>
      <c r="AC4319" s="7"/>
    </row>
    <row r="4320" spans="1:29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  <c r="AA4320" s="7"/>
      <c r="AB4320" s="7"/>
      <c r="AC4320" s="7"/>
    </row>
    <row r="4321" spans="1:29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  <c r="AA4321" s="7"/>
      <c r="AB4321" s="7"/>
      <c r="AC4321" s="7"/>
    </row>
    <row r="4322" spans="1:29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  <c r="AA4322" s="7"/>
      <c r="AB4322" s="7"/>
      <c r="AC4322" s="7"/>
    </row>
    <row r="4323" spans="1:29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  <c r="AA4323" s="7"/>
      <c r="AB4323" s="7"/>
      <c r="AC4323" s="7"/>
    </row>
    <row r="4324" spans="1:29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  <c r="AA4324" s="7"/>
      <c r="AB4324" s="7"/>
      <c r="AC4324" s="7"/>
    </row>
    <row r="4325" spans="1:29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  <c r="AA4325" s="7"/>
      <c r="AB4325" s="7"/>
      <c r="AC4325" s="7"/>
    </row>
    <row r="4326" spans="1:29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  <c r="AA4326" s="7"/>
      <c r="AB4326" s="7"/>
      <c r="AC4326" s="7"/>
    </row>
    <row r="4327" spans="1:29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  <c r="AA4327" s="7"/>
      <c r="AB4327" s="7"/>
      <c r="AC4327" s="7"/>
    </row>
    <row r="4328" spans="1:29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  <c r="AA4328" s="7"/>
      <c r="AB4328" s="7"/>
      <c r="AC4328" s="7"/>
    </row>
    <row r="4329" spans="1:29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  <c r="AA4329" s="7"/>
      <c r="AB4329" s="7"/>
      <c r="AC4329" s="7"/>
    </row>
    <row r="4330" spans="1:29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  <c r="AA4330" s="7"/>
      <c r="AB4330" s="7"/>
      <c r="AC4330" s="7"/>
    </row>
    <row r="4331" spans="1:29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  <c r="AA4331" s="7"/>
      <c r="AB4331" s="7"/>
      <c r="AC4331" s="7"/>
    </row>
    <row r="4332" spans="1:29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  <c r="AA4332" s="7"/>
      <c r="AB4332" s="7"/>
      <c r="AC4332" s="7"/>
    </row>
    <row r="4333" spans="1:29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  <c r="AA4333" s="7"/>
      <c r="AB4333" s="7"/>
      <c r="AC4333" s="7"/>
    </row>
    <row r="4334" spans="1:29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  <c r="AA4334" s="7"/>
      <c r="AB4334" s="7"/>
      <c r="AC4334" s="7"/>
    </row>
    <row r="4335" spans="1:29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  <c r="AA4335" s="7"/>
      <c r="AB4335" s="7"/>
      <c r="AC4335" s="7"/>
    </row>
    <row r="4336" spans="1:29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  <c r="AA4336" s="7"/>
      <c r="AB4336" s="7"/>
      <c r="AC4336" s="7"/>
    </row>
    <row r="4337" spans="1:29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  <c r="AA4337" s="7"/>
      <c r="AB4337" s="7"/>
      <c r="AC4337" s="7"/>
    </row>
    <row r="4338" spans="1:29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  <c r="AA4338" s="7"/>
      <c r="AB4338" s="7"/>
      <c r="AC4338" s="7"/>
    </row>
    <row r="4339" spans="1:29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  <c r="AA4339" s="7"/>
      <c r="AB4339" s="7"/>
      <c r="AC4339" s="7"/>
    </row>
    <row r="4340" spans="1:29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  <c r="AA4340" s="7"/>
      <c r="AB4340" s="7"/>
      <c r="AC4340" s="7"/>
    </row>
    <row r="4341" spans="1:29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  <c r="AA4341" s="7"/>
      <c r="AB4341" s="7"/>
      <c r="AC4341" s="7"/>
    </row>
    <row r="4342" spans="1:29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  <c r="AA4342" s="7"/>
      <c r="AB4342" s="7"/>
      <c r="AC4342" s="7"/>
    </row>
    <row r="4343" spans="1:29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  <c r="AA4343" s="7"/>
      <c r="AB4343" s="7"/>
      <c r="AC4343" s="7"/>
    </row>
    <row r="4344" spans="1:29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  <c r="AA4344" s="7"/>
      <c r="AB4344" s="7"/>
      <c r="AC4344" s="7"/>
    </row>
    <row r="4345" spans="1:29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  <c r="AA4345" s="7"/>
      <c r="AB4345" s="7"/>
      <c r="AC4345" s="7"/>
    </row>
    <row r="4346" spans="1:29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  <c r="AA4346" s="7"/>
      <c r="AB4346" s="7"/>
      <c r="AC4346" s="7"/>
    </row>
    <row r="4347" spans="1:29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  <c r="AA4347" s="7"/>
      <c r="AB4347" s="7"/>
      <c r="AC4347" s="7"/>
    </row>
    <row r="4348" spans="1:29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  <c r="AA4348" s="7"/>
      <c r="AB4348" s="7"/>
      <c r="AC4348" s="7"/>
    </row>
    <row r="4349" spans="1:29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  <c r="AA4349" s="7"/>
      <c r="AB4349" s="7"/>
      <c r="AC4349" s="7"/>
    </row>
    <row r="4350" spans="1:29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  <c r="AA4350" s="7"/>
      <c r="AB4350" s="7"/>
      <c r="AC4350" s="7"/>
    </row>
    <row r="4351" spans="1:29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  <c r="AA4351" s="7"/>
      <c r="AB4351" s="7"/>
      <c r="AC4351" s="7"/>
    </row>
    <row r="4352" spans="1:29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  <c r="AA4352" s="7"/>
      <c r="AB4352" s="7"/>
      <c r="AC4352" s="7"/>
    </row>
    <row r="4353" spans="1:29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  <c r="AA4353" s="7"/>
      <c r="AB4353" s="7"/>
      <c r="AC4353" s="7"/>
    </row>
    <row r="4354" spans="1:29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  <c r="AA4354" s="7"/>
      <c r="AB4354" s="7"/>
      <c r="AC4354" s="7"/>
    </row>
    <row r="4355" spans="1:29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  <c r="AA4355" s="7"/>
      <c r="AB4355" s="7"/>
      <c r="AC4355" s="7"/>
    </row>
    <row r="4356" spans="1:29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  <c r="AA4356" s="7"/>
      <c r="AB4356" s="7"/>
      <c r="AC4356" s="7"/>
    </row>
    <row r="4357" spans="1:29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  <c r="AA4357" s="7"/>
      <c r="AB4357" s="7"/>
      <c r="AC4357" s="7"/>
    </row>
    <row r="4358" spans="1:29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  <c r="AA4358" s="7"/>
      <c r="AB4358" s="7"/>
      <c r="AC4358" s="7"/>
    </row>
    <row r="4359" spans="1:29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  <c r="AA4359" s="7"/>
      <c r="AB4359" s="7"/>
      <c r="AC4359" s="7"/>
    </row>
    <row r="4360" spans="1:29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  <c r="AA4360" s="7"/>
      <c r="AB4360" s="7"/>
      <c r="AC4360" s="7"/>
    </row>
    <row r="4361" spans="1:29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  <c r="AA4361" s="7"/>
      <c r="AB4361" s="7"/>
      <c r="AC4361" s="7"/>
    </row>
    <row r="4362" spans="1:29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  <c r="AA4362" s="7"/>
      <c r="AB4362" s="7"/>
      <c r="AC4362" s="7"/>
    </row>
    <row r="4363" spans="1:29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  <c r="AA4363" s="7"/>
      <c r="AB4363" s="7"/>
      <c r="AC4363" s="7"/>
    </row>
    <row r="4364" spans="1:29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  <c r="AA4364" s="7"/>
      <c r="AB4364" s="7"/>
      <c r="AC4364" s="7"/>
    </row>
    <row r="4365" spans="1:29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  <c r="AA4365" s="7"/>
      <c r="AB4365" s="7"/>
      <c r="AC4365" s="7"/>
    </row>
    <row r="4366" spans="1:29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  <c r="AA4366" s="7"/>
      <c r="AB4366" s="7"/>
      <c r="AC4366" s="7"/>
    </row>
    <row r="4367" spans="1:29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  <c r="AA4367" s="7"/>
      <c r="AB4367" s="7"/>
      <c r="AC4367" s="7"/>
    </row>
    <row r="4368" spans="1:29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  <c r="AA4368" s="7"/>
      <c r="AB4368" s="7"/>
      <c r="AC4368" s="7"/>
    </row>
    <row r="4369" spans="1:29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  <c r="AA4369" s="7"/>
      <c r="AB4369" s="7"/>
      <c r="AC4369" s="7"/>
    </row>
    <row r="4370" spans="1:29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  <c r="AA4370" s="7"/>
      <c r="AB4370" s="7"/>
      <c r="AC4370" s="7"/>
    </row>
    <row r="4371" spans="1:29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  <c r="AA4371" s="7"/>
      <c r="AB4371" s="7"/>
      <c r="AC4371" s="7"/>
    </row>
    <row r="4372" spans="1:29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  <c r="AA4372" s="7"/>
      <c r="AB4372" s="7"/>
      <c r="AC4372" s="7"/>
    </row>
    <row r="4373" spans="1:29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  <c r="AA4373" s="7"/>
      <c r="AB4373" s="7"/>
      <c r="AC4373" s="7"/>
    </row>
    <row r="4374" spans="1:29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  <c r="AA4374" s="7"/>
      <c r="AB4374" s="7"/>
      <c r="AC4374" s="7"/>
    </row>
    <row r="4375" spans="1:29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  <c r="AA4375" s="7"/>
      <c r="AB4375" s="7"/>
      <c r="AC4375" s="7"/>
    </row>
    <row r="4376" spans="1:29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  <c r="AA4376" s="7"/>
      <c r="AB4376" s="7"/>
      <c r="AC4376" s="7"/>
    </row>
    <row r="4377" spans="1:29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  <c r="AA4377" s="7"/>
      <c r="AB4377" s="7"/>
      <c r="AC4377" s="7"/>
    </row>
    <row r="4378" spans="1:29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  <c r="AA4378" s="7"/>
      <c r="AB4378" s="7"/>
      <c r="AC4378" s="7"/>
    </row>
    <row r="4379" spans="1:29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  <c r="AA4379" s="7"/>
      <c r="AB4379" s="7"/>
      <c r="AC4379" s="7"/>
    </row>
    <row r="4380" spans="1:29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  <c r="AA4380" s="7"/>
      <c r="AB4380" s="7"/>
      <c r="AC4380" s="7"/>
    </row>
    <row r="4381" spans="1:29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  <c r="AA4381" s="7"/>
      <c r="AB4381" s="7"/>
      <c r="AC4381" s="7"/>
    </row>
    <row r="4382" spans="1:29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  <c r="AA4382" s="7"/>
      <c r="AB4382" s="7"/>
      <c r="AC4382" s="7"/>
    </row>
    <row r="4383" spans="1:29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  <c r="AA4383" s="7"/>
      <c r="AB4383" s="7"/>
      <c r="AC4383" s="7"/>
    </row>
    <row r="4384" spans="1:29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  <c r="AA4384" s="7"/>
      <c r="AB4384" s="7"/>
      <c r="AC4384" s="7"/>
    </row>
    <row r="4385" spans="1:29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  <c r="AA4385" s="7"/>
      <c r="AB4385" s="7"/>
      <c r="AC4385" s="7"/>
    </row>
    <row r="4386" spans="1:29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  <c r="AA4386" s="7"/>
      <c r="AB4386" s="7"/>
      <c r="AC4386" s="7"/>
    </row>
    <row r="4387" spans="1:29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  <c r="AA4387" s="7"/>
      <c r="AB4387" s="7"/>
      <c r="AC4387" s="7"/>
    </row>
    <row r="4388" spans="1:29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  <c r="AA4388" s="7"/>
      <c r="AB4388" s="7"/>
      <c r="AC4388" s="7"/>
    </row>
    <row r="4389" spans="1:29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  <c r="AA4389" s="7"/>
      <c r="AB4389" s="7"/>
      <c r="AC4389" s="7"/>
    </row>
    <row r="4390" spans="1:29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  <c r="AA4390" s="7"/>
      <c r="AB4390" s="7"/>
      <c r="AC4390" s="7"/>
    </row>
    <row r="4391" spans="1:29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  <c r="AA4391" s="7"/>
      <c r="AB4391" s="7"/>
      <c r="AC4391" s="7"/>
    </row>
    <row r="4392" spans="1:29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  <c r="AA4392" s="7"/>
      <c r="AB4392" s="7"/>
      <c r="AC4392" s="7"/>
    </row>
    <row r="4393" spans="1:29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  <c r="AA4393" s="7"/>
      <c r="AB4393" s="7"/>
      <c r="AC4393" s="7"/>
    </row>
    <row r="4394" spans="1:29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  <c r="AA4394" s="7"/>
      <c r="AB4394" s="7"/>
      <c r="AC4394" s="7"/>
    </row>
    <row r="4395" spans="1:29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  <c r="AA4395" s="7"/>
      <c r="AB4395" s="7"/>
      <c r="AC4395" s="7"/>
    </row>
    <row r="4396" spans="1:29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  <c r="AA4396" s="7"/>
      <c r="AB4396" s="7"/>
      <c r="AC4396" s="7"/>
    </row>
    <row r="4397" spans="1:29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  <c r="AA4397" s="7"/>
      <c r="AB4397" s="7"/>
      <c r="AC4397" s="7"/>
    </row>
    <row r="4398" spans="1:29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  <c r="AA4398" s="7"/>
      <c r="AB4398" s="7"/>
      <c r="AC4398" s="7"/>
    </row>
    <row r="4399" spans="1:29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  <c r="AA4399" s="7"/>
      <c r="AB4399" s="7"/>
      <c r="AC4399" s="7"/>
    </row>
    <row r="4400" spans="1:29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  <c r="AA4400" s="7"/>
      <c r="AB4400" s="7"/>
      <c r="AC4400" s="7"/>
    </row>
    <row r="4401" spans="1:29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  <c r="AA4401" s="7"/>
      <c r="AB4401" s="7"/>
      <c r="AC4401" s="7"/>
    </row>
    <row r="4402" spans="1:29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  <c r="AA4402" s="7"/>
      <c r="AB4402" s="7"/>
      <c r="AC4402" s="7"/>
    </row>
    <row r="4403" spans="1:29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  <c r="AA4403" s="7"/>
      <c r="AB4403" s="7"/>
      <c r="AC4403" s="7"/>
    </row>
    <row r="4404" spans="1:29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  <c r="AA4404" s="7"/>
      <c r="AB4404" s="7"/>
      <c r="AC4404" s="7"/>
    </row>
    <row r="4405" spans="1:29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  <c r="AA4405" s="7"/>
      <c r="AB4405" s="7"/>
      <c r="AC4405" s="7"/>
    </row>
    <row r="4406" spans="1:29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  <c r="AA4406" s="7"/>
      <c r="AB4406" s="7"/>
      <c r="AC4406" s="7"/>
    </row>
    <row r="4407" spans="1:29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  <c r="AA4407" s="7"/>
      <c r="AB4407" s="7"/>
      <c r="AC4407" s="7"/>
    </row>
    <row r="4408" spans="1:29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  <c r="AA4408" s="7"/>
      <c r="AB4408" s="7"/>
      <c r="AC4408" s="7"/>
    </row>
    <row r="4409" spans="1:29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  <c r="AA4409" s="7"/>
      <c r="AB4409" s="7"/>
      <c r="AC4409" s="7"/>
    </row>
    <row r="4410" spans="1:29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  <c r="AA4410" s="7"/>
      <c r="AB4410" s="7"/>
      <c r="AC4410" s="7"/>
    </row>
    <row r="4411" spans="1:29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  <c r="AA4411" s="7"/>
      <c r="AB4411" s="7"/>
      <c r="AC4411" s="7"/>
    </row>
    <row r="4412" spans="1:29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  <c r="AA4412" s="7"/>
      <c r="AB4412" s="7"/>
      <c r="AC4412" s="7"/>
    </row>
    <row r="4413" spans="1:29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  <c r="AA4413" s="7"/>
      <c r="AB4413" s="7"/>
      <c r="AC4413" s="7"/>
    </row>
    <row r="4414" spans="1:29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  <c r="AA4414" s="7"/>
      <c r="AB4414" s="7"/>
      <c r="AC4414" s="7"/>
    </row>
    <row r="4415" spans="1:29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  <c r="AA4415" s="7"/>
      <c r="AB4415" s="7"/>
      <c r="AC4415" s="7"/>
    </row>
    <row r="4416" spans="1:29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  <c r="AA4416" s="7"/>
      <c r="AB4416" s="7"/>
      <c r="AC4416" s="7"/>
    </row>
    <row r="4417" spans="1:29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  <c r="AA4417" s="7"/>
      <c r="AB4417" s="7"/>
      <c r="AC4417" s="7"/>
    </row>
    <row r="4418" spans="1:29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  <c r="AA4418" s="7"/>
      <c r="AB4418" s="7"/>
      <c r="AC4418" s="7"/>
    </row>
    <row r="4419" spans="1:29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  <c r="AA4419" s="7"/>
      <c r="AB4419" s="7"/>
      <c r="AC4419" s="7"/>
    </row>
    <row r="4420" spans="1:29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  <c r="AA4420" s="7"/>
      <c r="AB4420" s="7"/>
      <c r="AC4420" s="7"/>
    </row>
    <row r="4421" spans="1:29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  <c r="AA4421" s="7"/>
      <c r="AB4421" s="7"/>
      <c r="AC4421" s="7"/>
    </row>
    <row r="4422" spans="1:29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  <c r="AA4422" s="7"/>
      <c r="AB4422" s="7"/>
      <c r="AC4422" s="7"/>
    </row>
    <row r="4423" spans="1:29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  <c r="AA4423" s="7"/>
      <c r="AB4423" s="7"/>
      <c r="AC4423" s="7"/>
    </row>
    <row r="4424" spans="1:29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  <c r="AA4424" s="7"/>
      <c r="AB4424" s="7"/>
      <c r="AC4424" s="7"/>
    </row>
    <row r="4425" spans="1:29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  <c r="AA4425" s="7"/>
      <c r="AB4425" s="7"/>
      <c r="AC4425" s="7"/>
    </row>
    <row r="4426" spans="1:29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  <c r="AA4426" s="7"/>
      <c r="AB4426" s="7"/>
      <c r="AC4426" s="7"/>
    </row>
    <row r="4427" spans="1:29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  <c r="AA4427" s="7"/>
      <c r="AB4427" s="7"/>
      <c r="AC4427" s="7"/>
    </row>
    <row r="4428" spans="1:29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  <c r="AA4428" s="7"/>
      <c r="AB4428" s="7"/>
      <c r="AC4428" s="7"/>
    </row>
    <row r="4429" spans="1:29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  <c r="AA4429" s="7"/>
      <c r="AB4429" s="7"/>
      <c r="AC4429" s="7"/>
    </row>
    <row r="4430" spans="1:29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  <c r="AA4430" s="7"/>
      <c r="AB4430" s="7"/>
      <c r="AC4430" s="7"/>
    </row>
    <row r="4431" spans="1:29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  <c r="AA4431" s="7"/>
      <c r="AB4431" s="7"/>
      <c r="AC4431" s="7"/>
    </row>
    <row r="4432" spans="1:29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  <c r="AA4432" s="7"/>
      <c r="AB4432" s="7"/>
      <c r="AC4432" s="7"/>
    </row>
    <row r="4433" spans="1:29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  <c r="AA4433" s="7"/>
      <c r="AB4433" s="7"/>
      <c r="AC4433" s="7"/>
    </row>
    <row r="4434" spans="1:29">
      <c r="A4434" s="7"/>
      <c r="B4434" s="7"/>
      <c r="C4434" s="7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  <c r="AA4434" s="7"/>
      <c r="AB4434" s="7"/>
      <c r="AC4434" s="7"/>
    </row>
    <row r="4435" spans="1:29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  <c r="AA4435" s="7"/>
      <c r="AB4435" s="7"/>
      <c r="AC4435" s="7"/>
    </row>
    <row r="4436" spans="1:29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  <c r="AA4436" s="7"/>
      <c r="AB4436" s="7"/>
      <c r="AC4436" s="7"/>
    </row>
    <row r="4437" spans="1:29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  <c r="AA4437" s="7"/>
      <c r="AB4437" s="7"/>
      <c r="AC4437" s="7"/>
    </row>
    <row r="4438" spans="1:29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  <c r="AA4438" s="7"/>
      <c r="AB4438" s="7"/>
      <c r="AC4438" s="7"/>
    </row>
    <row r="4439" spans="1:29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  <c r="AA4439" s="7"/>
      <c r="AB4439" s="7"/>
      <c r="AC4439" s="7"/>
    </row>
    <row r="4440" spans="1:29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  <c r="AA4440" s="7"/>
      <c r="AB4440" s="7"/>
      <c r="AC4440" s="7"/>
    </row>
    <row r="4441" spans="1:29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  <c r="AA4441" s="7"/>
      <c r="AB4441" s="7"/>
      <c r="AC4441" s="7"/>
    </row>
    <row r="4442" spans="1:29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  <c r="AA4442" s="7"/>
      <c r="AB4442" s="7"/>
      <c r="AC4442" s="7"/>
    </row>
    <row r="4443" spans="1:29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  <c r="AA4443" s="7"/>
      <c r="AB4443" s="7"/>
      <c r="AC4443" s="7"/>
    </row>
    <row r="4444" spans="1:29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  <c r="AA4444" s="7"/>
      <c r="AB4444" s="7"/>
      <c r="AC4444" s="7"/>
    </row>
    <row r="4445" spans="1:29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  <c r="AA4445" s="7"/>
      <c r="AB4445" s="7"/>
      <c r="AC4445" s="7"/>
    </row>
    <row r="4446" spans="1:29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  <c r="AA4446" s="7"/>
      <c r="AB4446" s="7"/>
      <c r="AC4446" s="7"/>
    </row>
    <row r="4447" spans="1:29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  <c r="AA4447" s="7"/>
      <c r="AB4447" s="7"/>
      <c r="AC4447" s="7"/>
    </row>
    <row r="4448" spans="1:29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  <c r="AA4448" s="7"/>
      <c r="AB4448" s="7"/>
      <c r="AC4448" s="7"/>
    </row>
    <row r="4449" spans="1:29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  <c r="AA4449" s="7"/>
      <c r="AB4449" s="7"/>
      <c r="AC4449" s="7"/>
    </row>
    <row r="4450" spans="1:29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  <c r="AA4450" s="7"/>
      <c r="AB4450" s="7"/>
      <c r="AC4450" s="7"/>
    </row>
    <row r="4451" spans="1:29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  <c r="AA4451" s="7"/>
      <c r="AB4451" s="7"/>
      <c r="AC4451" s="7"/>
    </row>
    <row r="4452" spans="1:29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  <c r="AA4452" s="7"/>
      <c r="AB4452" s="7"/>
      <c r="AC4452" s="7"/>
    </row>
    <row r="4453" spans="1:29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  <c r="AA4453" s="7"/>
      <c r="AB4453" s="7"/>
      <c r="AC4453" s="7"/>
    </row>
    <row r="4454" spans="1:29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  <c r="AA4454" s="7"/>
      <c r="AB4454" s="7"/>
      <c r="AC4454" s="7"/>
    </row>
    <row r="4455" spans="1:29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  <c r="AA4455" s="7"/>
      <c r="AB4455" s="7"/>
      <c r="AC4455" s="7"/>
    </row>
    <row r="4456" spans="1:29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  <c r="AA4456" s="7"/>
      <c r="AB4456" s="7"/>
      <c r="AC4456" s="7"/>
    </row>
    <row r="4457" spans="1:29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  <c r="AA4457" s="7"/>
      <c r="AB4457" s="7"/>
      <c r="AC4457" s="7"/>
    </row>
    <row r="4458" spans="1:29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  <c r="AA4458" s="7"/>
      <c r="AB4458" s="7"/>
      <c r="AC4458" s="7"/>
    </row>
    <row r="4459" spans="1:29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  <c r="AA4459" s="7"/>
      <c r="AB4459" s="7"/>
      <c r="AC4459" s="7"/>
    </row>
    <row r="4460" spans="1:29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  <c r="AA4460" s="7"/>
      <c r="AB4460" s="7"/>
      <c r="AC4460" s="7"/>
    </row>
    <row r="4461" spans="1:29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  <c r="AA4461" s="7"/>
      <c r="AB4461" s="7"/>
      <c r="AC4461" s="7"/>
    </row>
    <row r="4462" spans="1:29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  <c r="AA4462" s="7"/>
      <c r="AB4462" s="7"/>
      <c r="AC4462" s="7"/>
    </row>
    <row r="4463" spans="1:29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  <c r="AA4463" s="7"/>
      <c r="AB4463" s="7"/>
      <c r="AC4463" s="7"/>
    </row>
    <row r="4464" spans="1:29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  <c r="AA4464" s="7"/>
      <c r="AB4464" s="7"/>
      <c r="AC4464" s="7"/>
    </row>
    <row r="4465" spans="1:29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  <c r="AA4465" s="7"/>
      <c r="AB4465" s="7"/>
      <c r="AC4465" s="7"/>
    </row>
    <row r="4466" spans="1:29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  <c r="AA4466" s="7"/>
      <c r="AB4466" s="7"/>
      <c r="AC4466" s="7"/>
    </row>
    <row r="4467" spans="1:29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  <c r="AA4467" s="7"/>
      <c r="AB4467" s="7"/>
      <c r="AC4467" s="7"/>
    </row>
    <row r="4468" spans="1:29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  <c r="AA4468" s="7"/>
      <c r="AB4468" s="7"/>
      <c r="AC4468" s="7"/>
    </row>
    <row r="4469" spans="1:29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  <c r="AA4469" s="7"/>
      <c r="AB4469" s="7"/>
      <c r="AC4469" s="7"/>
    </row>
    <row r="4470" spans="1:29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  <c r="AA4470" s="7"/>
      <c r="AB4470" s="7"/>
      <c r="AC4470" s="7"/>
    </row>
    <row r="4471" spans="1:29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  <c r="AA4471" s="7"/>
      <c r="AB4471" s="7"/>
      <c r="AC4471" s="7"/>
    </row>
    <row r="4472" spans="1:29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  <c r="AA4472" s="7"/>
      <c r="AB4472" s="7"/>
      <c r="AC4472" s="7"/>
    </row>
    <row r="4473" spans="1:29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  <c r="AA4473" s="7"/>
      <c r="AB4473" s="7"/>
      <c r="AC4473" s="7"/>
    </row>
    <row r="4474" spans="1:29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  <c r="AA4474" s="7"/>
      <c r="AB4474" s="7"/>
      <c r="AC4474" s="7"/>
    </row>
    <row r="4475" spans="1:29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  <c r="AA4475" s="7"/>
      <c r="AB4475" s="7"/>
      <c r="AC4475" s="7"/>
    </row>
    <row r="4476" spans="1:29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  <c r="AA4476" s="7"/>
      <c r="AB4476" s="7"/>
      <c r="AC4476" s="7"/>
    </row>
    <row r="4477" spans="1:29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  <c r="AA4477" s="7"/>
      <c r="AB4477" s="7"/>
      <c r="AC4477" s="7"/>
    </row>
    <row r="4478" spans="1:29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  <c r="AA4478" s="7"/>
      <c r="AB4478" s="7"/>
      <c r="AC4478" s="7"/>
    </row>
    <row r="4479" spans="1:29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  <c r="AA4479" s="7"/>
      <c r="AB4479" s="7"/>
      <c r="AC4479" s="7"/>
    </row>
    <row r="4480" spans="1:29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  <c r="AA4480" s="7"/>
      <c r="AB4480" s="7"/>
      <c r="AC4480" s="7"/>
    </row>
    <row r="4481" spans="1:29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  <c r="AA4481" s="7"/>
      <c r="AB4481" s="7"/>
      <c r="AC4481" s="7"/>
    </row>
    <row r="4482" spans="1:29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  <c r="AA4482" s="7"/>
      <c r="AB4482" s="7"/>
      <c r="AC4482" s="7"/>
    </row>
    <row r="4483" spans="1:29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  <c r="AA4483" s="7"/>
      <c r="AB4483" s="7"/>
      <c r="AC4483" s="7"/>
    </row>
    <row r="4484" spans="1:29">
      <c r="A4484" s="7"/>
      <c r="B4484" s="7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  <c r="AA4484" s="7"/>
      <c r="AB4484" s="7"/>
      <c r="AC4484" s="7"/>
    </row>
    <row r="4485" spans="1:29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  <c r="AA4485" s="7"/>
      <c r="AB4485" s="7"/>
      <c r="AC4485" s="7"/>
    </row>
    <row r="4486" spans="1:29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  <c r="AA4486" s="7"/>
      <c r="AB4486" s="7"/>
      <c r="AC4486" s="7"/>
    </row>
    <row r="4487" spans="1:29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  <c r="AA4487" s="7"/>
      <c r="AB4487" s="7"/>
      <c r="AC4487" s="7"/>
    </row>
    <row r="4488" spans="1:29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  <c r="AA4488" s="7"/>
      <c r="AB4488" s="7"/>
      <c r="AC4488" s="7"/>
    </row>
    <row r="4489" spans="1:29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  <c r="AA4489" s="7"/>
      <c r="AB4489" s="7"/>
      <c r="AC4489" s="7"/>
    </row>
    <row r="4490" spans="1:29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  <c r="AA4490" s="7"/>
      <c r="AB4490" s="7"/>
      <c r="AC4490" s="7"/>
    </row>
    <row r="4491" spans="1:29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  <c r="AA4491" s="7"/>
      <c r="AB4491" s="7"/>
      <c r="AC4491" s="7"/>
    </row>
    <row r="4492" spans="1:29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  <c r="AA4492" s="7"/>
      <c r="AB4492" s="7"/>
      <c r="AC4492" s="7"/>
    </row>
    <row r="4493" spans="1:29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  <c r="AA4493" s="7"/>
      <c r="AB4493" s="7"/>
      <c r="AC4493" s="7"/>
    </row>
    <row r="4494" spans="1:29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  <c r="AA4494" s="7"/>
      <c r="AB4494" s="7"/>
      <c r="AC4494" s="7"/>
    </row>
    <row r="4495" spans="1:29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  <c r="AA4495" s="7"/>
      <c r="AB4495" s="7"/>
      <c r="AC4495" s="7"/>
    </row>
    <row r="4496" spans="1:29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  <c r="AA4496" s="7"/>
      <c r="AB4496" s="7"/>
      <c r="AC4496" s="7"/>
    </row>
    <row r="4497" spans="1:29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  <c r="AA4497" s="7"/>
      <c r="AB4497" s="7"/>
      <c r="AC4497" s="7"/>
    </row>
    <row r="4498" spans="1:29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  <c r="AA4498" s="7"/>
      <c r="AB4498" s="7"/>
      <c r="AC4498" s="7"/>
    </row>
    <row r="4499" spans="1:29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  <c r="AA4499" s="7"/>
      <c r="AB4499" s="7"/>
      <c r="AC4499" s="7"/>
    </row>
    <row r="4500" spans="1:29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  <c r="AA4500" s="7"/>
      <c r="AB4500" s="7"/>
      <c r="AC4500" s="7"/>
    </row>
    <row r="4501" spans="1:29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  <c r="AA4501" s="7"/>
      <c r="AB4501" s="7"/>
      <c r="AC4501" s="7"/>
    </row>
    <row r="4502" spans="1:29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  <c r="AA4502" s="7"/>
      <c r="AB4502" s="7"/>
      <c r="AC4502" s="7"/>
    </row>
    <row r="4503" spans="1:29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  <c r="AA4503" s="7"/>
      <c r="AB4503" s="7"/>
      <c r="AC4503" s="7"/>
    </row>
    <row r="4504" spans="1:29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  <c r="AA4504" s="7"/>
      <c r="AB4504" s="7"/>
      <c r="AC4504" s="7"/>
    </row>
    <row r="4505" spans="1:29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  <c r="AA4505" s="7"/>
      <c r="AB4505" s="7"/>
      <c r="AC4505" s="7"/>
    </row>
    <row r="4506" spans="1:29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  <c r="AA4506" s="7"/>
      <c r="AB4506" s="7"/>
      <c r="AC4506" s="7"/>
    </row>
    <row r="4507" spans="1:29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  <c r="AA4507" s="7"/>
      <c r="AB4507" s="7"/>
      <c r="AC4507" s="7"/>
    </row>
    <row r="4508" spans="1:29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  <c r="AA4508" s="7"/>
      <c r="AB4508" s="7"/>
      <c r="AC4508" s="7"/>
    </row>
    <row r="4509" spans="1:29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  <c r="AA4509" s="7"/>
      <c r="AB4509" s="7"/>
      <c r="AC4509" s="7"/>
    </row>
    <row r="4510" spans="1:29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  <c r="AA4510" s="7"/>
      <c r="AB4510" s="7"/>
      <c r="AC4510" s="7"/>
    </row>
    <row r="4511" spans="1:29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  <c r="AA4511" s="7"/>
      <c r="AB4511" s="7"/>
      <c r="AC4511" s="7"/>
    </row>
    <row r="4512" spans="1:29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  <c r="AA4512" s="7"/>
      <c r="AB4512" s="7"/>
      <c r="AC4512" s="7"/>
    </row>
    <row r="4513" spans="1:29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  <c r="AA4513" s="7"/>
      <c r="AB4513" s="7"/>
      <c r="AC4513" s="7"/>
    </row>
    <row r="4514" spans="1:29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  <c r="AA4514" s="7"/>
      <c r="AB4514" s="7"/>
      <c r="AC4514" s="7"/>
    </row>
    <row r="4515" spans="1:29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  <c r="AA4515" s="7"/>
      <c r="AB4515" s="7"/>
      <c r="AC4515" s="7"/>
    </row>
    <row r="4516" spans="1:29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  <c r="AA4516" s="7"/>
      <c r="AB4516" s="7"/>
      <c r="AC4516" s="7"/>
    </row>
    <row r="4517" spans="1:29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  <c r="AA4517" s="7"/>
      <c r="AB4517" s="7"/>
      <c r="AC4517" s="7"/>
    </row>
    <row r="4518" spans="1:29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  <c r="AA4518" s="7"/>
      <c r="AB4518" s="7"/>
      <c r="AC4518" s="7"/>
    </row>
    <row r="4519" spans="1:29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  <c r="AA4519" s="7"/>
      <c r="AB4519" s="7"/>
      <c r="AC4519" s="7"/>
    </row>
    <row r="4520" spans="1:29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  <c r="AA4520" s="7"/>
      <c r="AB4520" s="7"/>
      <c r="AC4520" s="7"/>
    </row>
    <row r="4521" spans="1:29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  <c r="AA4521" s="7"/>
      <c r="AB4521" s="7"/>
      <c r="AC4521" s="7"/>
    </row>
    <row r="4522" spans="1:29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  <c r="AA4522" s="7"/>
      <c r="AB4522" s="7"/>
      <c r="AC4522" s="7"/>
    </row>
    <row r="4523" spans="1:29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  <c r="AA4523" s="7"/>
      <c r="AB4523" s="7"/>
      <c r="AC4523" s="7"/>
    </row>
    <row r="4524" spans="1:29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  <c r="AA4524" s="7"/>
      <c r="AB4524" s="7"/>
      <c r="AC4524" s="7"/>
    </row>
    <row r="4525" spans="1:29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  <c r="AA4525" s="7"/>
      <c r="AB4525" s="7"/>
      <c r="AC4525" s="7"/>
    </row>
    <row r="4526" spans="1:29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  <c r="AA4526" s="7"/>
      <c r="AB4526" s="7"/>
      <c r="AC4526" s="7"/>
    </row>
    <row r="4527" spans="1:29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  <c r="AA4527" s="7"/>
      <c r="AB4527" s="7"/>
      <c r="AC4527" s="7"/>
    </row>
    <row r="4528" spans="1:29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  <c r="AA4528" s="7"/>
      <c r="AB4528" s="7"/>
      <c r="AC4528" s="7"/>
    </row>
    <row r="4529" spans="1:29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  <c r="AA4529" s="7"/>
      <c r="AB4529" s="7"/>
      <c r="AC4529" s="7"/>
    </row>
    <row r="4530" spans="1:29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  <c r="AA4530" s="7"/>
      <c r="AB4530" s="7"/>
      <c r="AC4530" s="7"/>
    </row>
    <row r="4531" spans="1:29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  <c r="AA4531" s="7"/>
      <c r="AB4531" s="7"/>
      <c r="AC4531" s="7"/>
    </row>
    <row r="4532" spans="1:29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  <c r="AA4532" s="7"/>
      <c r="AB4532" s="7"/>
      <c r="AC4532" s="7"/>
    </row>
    <row r="4533" spans="1:29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  <c r="AA4533" s="7"/>
      <c r="AB4533" s="7"/>
      <c r="AC4533" s="7"/>
    </row>
    <row r="4534" spans="1:29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  <c r="AA4534" s="7"/>
      <c r="AB4534" s="7"/>
      <c r="AC4534" s="7"/>
    </row>
    <row r="4535" spans="1:29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  <c r="AA4535" s="7"/>
      <c r="AB4535" s="7"/>
      <c r="AC4535" s="7"/>
    </row>
    <row r="4536" spans="1:29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  <c r="AA4536" s="7"/>
      <c r="AB4536" s="7"/>
      <c r="AC4536" s="7"/>
    </row>
    <row r="4537" spans="1:29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  <c r="AA4537" s="7"/>
      <c r="AB4537" s="7"/>
      <c r="AC4537" s="7"/>
    </row>
    <row r="4538" spans="1:29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  <c r="AA4538" s="7"/>
      <c r="AB4538" s="7"/>
      <c r="AC4538" s="7"/>
    </row>
    <row r="4539" spans="1:29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  <c r="AA4539" s="7"/>
      <c r="AB4539" s="7"/>
      <c r="AC4539" s="7"/>
    </row>
    <row r="4540" spans="1:29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  <c r="AA4540" s="7"/>
      <c r="AB4540" s="7"/>
      <c r="AC4540" s="7"/>
    </row>
    <row r="4541" spans="1:29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  <c r="AA4541" s="7"/>
      <c r="AB4541" s="7"/>
      <c r="AC4541" s="7"/>
    </row>
    <row r="4542" spans="1:29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  <c r="AA4542" s="7"/>
      <c r="AB4542" s="7"/>
      <c r="AC4542" s="7"/>
    </row>
    <row r="4543" spans="1:29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  <c r="AA4543" s="7"/>
      <c r="AB4543" s="7"/>
      <c r="AC4543" s="7"/>
    </row>
    <row r="4544" spans="1:29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  <c r="AA4544" s="7"/>
      <c r="AB4544" s="7"/>
      <c r="AC4544" s="7"/>
    </row>
    <row r="4545" spans="1:29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  <c r="AA4545" s="7"/>
      <c r="AB4545" s="7"/>
      <c r="AC4545" s="7"/>
    </row>
    <row r="4546" spans="1:29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  <c r="AA4546" s="7"/>
      <c r="AB4546" s="7"/>
      <c r="AC4546" s="7"/>
    </row>
    <row r="4547" spans="1:29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  <c r="AA4547" s="7"/>
      <c r="AB4547" s="7"/>
      <c r="AC4547" s="7"/>
    </row>
    <row r="4548" spans="1:29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  <c r="AA4548" s="7"/>
      <c r="AB4548" s="7"/>
      <c r="AC4548" s="7"/>
    </row>
    <row r="4549" spans="1:29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  <c r="AA4549" s="7"/>
      <c r="AB4549" s="7"/>
      <c r="AC4549" s="7"/>
    </row>
    <row r="4550" spans="1:29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  <c r="AA4550" s="7"/>
      <c r="AB4550" s="7"/>
      <c r="AC4550" s="7"/>
    </row>
    <row r="4551" spans="1:29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  <c r="AA4551" s="7"/>
      <c r="AB4551" s="7"/>
      <c r="AC4551" s="7"/>
    </row>
    <row r="4552" spans="1:29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  <c r="AA4552" s="7"/>
      <c r="AB4552" s="7"/>
      <c r="AC4552" s="7"/>
    </row>
    <row r="4553" spans="1:29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  <c r="AA4553" s="7"/>
      <c r="AB4553" s="7"/>
      <c r="AC4553" s="7"/>
    </row>
    <row r="4554" spans="1:29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  <c r="AA4554" s="7"/>
      <c r="AB4554" s="7"/>
      <c r="AC4554" s="7"/>
    </row>
    <row r="4555" spans="1:29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  <c r="AA4555" s="7"/>
      <c r="AB4555" s="7"/>
      <c r="AC4555" s="7"/>
    </row>
    <row r="4556" spans="1:29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  <c r="AA4556" s="7"/>
      <c r="AB4556" s="7"/>
      <c r="AC4556" s="7"/>
    </row>
    <row r="4557" spans="1:29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  <c r="AA4557" s="7"/>
      <c r="AB4557" s="7"/>
      <c r="AC4557" s="7"/>
    </row>
    <row r="4558" spans="1:29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  <c r="AA4558" s="7"/>
      <c r="AB4558" s="7"/>
      <c r="AC4558" s="7"/>
    </row>
    <row r="4559" spans="1:29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  <c r="AA4559" s="7"/>
      <c r="AB4559" s="7"/>
      <c r="AC4559" s="7"/>
    </row>
    <row r="4560" spans="1:29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  <c r="AA4560" s="7"/>
      <c r="AB4560" s="7"/>
      <c r="AC4560" s="7"/>
    </row>
    <row r="4561" spans="1:29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  <c r="AA4561" s="7"/>
      <c r="AB4561" s="7"/>
      <c r="AC4561" s="7"/>
    </row>
    <row r="4562" spans="1:29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  <c r="AA4562" s="7"/>
      <c r="AB4562" s="7"/>
      <c r="AC4562" s="7"/>
    </row>
    <row r="4563" spans="1:29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  <c r="AA4563" s="7"/>
      <c r="AB4563" s="7"/>
      <c r="AC4563" s="7"/>
    </row>
    <row r="4564" spans="1:29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  <c r="AA4564" s="7"/>
      <c r="AB4564" s="7"/>
      <c r="AC4564" s="7"/>
    </row>
    <row r="4565" spans="1:29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  <c r="AA4565" s="7"/>
      <c r="AB4565" s="7"/>
      <c r="AC4565" s="7"/>
    </row>
    <row r="4566" spans="1:29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  <c r="AA4566" s="7"/>
      <c r="AB4566" s="7"/>
      <c r="AC4566" s="7"/>
    </row>
    <row r="4567" spans="1:29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  <c r="AA4567" s="7"/>
      <c r="AB4567" s="7"/>
      <c r="AC4567" s="7"/>
    </row>
    <row r="4568" spans="1:29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  <c r="AA4568" s="7"/>
      <c r="AB4568" s="7"/>
      <c r="AC4568" s="7"/>
    </row>
    <row r="4569" spans="1:29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  <c r="AA4569" s="7"/>
      <c r="AB4569" s="7"/>
      <c r="AC4569" s="7"/>
    </row>
    <row r="4570" spans="1:29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  <c r="AA4570" s="7"/>
      <c r="AB4570" s="7"/>
      <c r="AC4570" s="7"/>
    </row>
    <row r="4571" spans="1:29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  <c r="AA4571" s="7"/>
      <c r="AB4571" s="7"/>
      <c r="AC4571" s="7"/>
    </row>
    <row r="4572" spans="1:29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  <c r="AA4572" s="7"/>
      <c r="AB4572" s="7"/>
      <c r="AC4572" s="7"/>
    </row>
    <row r="4573" spans="1:29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  <c r="AA4573" s="7"/>
      <c r="AB4573" s="7"/>
      <c r="AC4573" s="7"/>
    </row>
    <row r="4574" spans="1:29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  <c r="AA4574" s="7"/>
      <c r="AB4574" s="7"/>
      <c r="AC4574" s="7"/>
    </row>
    <row r="4575" spans="1:29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  <c r="AA4575" s="7"/>
      <c r="AB4575" s="7"/>
      <c r="AC4575" s="7"/>
    </row>
    <row r="4576" spans="1:29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  <c r="AA4576" s="7"/>
      <c r="AB4576" s="7"/>
      <c r="AC4576" s="7"/>
    </row>
    <row r="4577" spans="1:29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  <c r="AA4577" s="7"/>
      <c r="AB4577" s="7"/>
      <c r="AC4577" s="7"/>
    </row>
    <row r="4578" spans="1:29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  <c r="AA4578" s="7"/>
      <c r="AB4578" s="7"/>
      <c r="AC4578" s="7"/>
    </row>
    <row r="4579" spans="1:29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  <c r="AA4579" s="7"/>
      <c r="AB4579" s="7"/>
      <c r="AC4579" s="7"/>
    </row>
    <row r="4580" spans="1:29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  <c r="AA4580" s="7"/>
      <c r="AB4580" s="7"/>
      <c r="AC4580" s="7"/>
    </row>
    <row r="4581" spans="1:29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  <c r="AA4581" s="7"/>
      <c r="AB4581" s="7"/>
      <c r="AC4581" s="7"/>
    </row>
    <row r="4582" spans="1:29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  <c r="AA4582" s="7"/>
      <c r="AB4582" s="7"/>
      <c r="AC4582" s="7"/>
    </row>
    <row r="4583" spans="1:29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  <c r="AA4583" s="7"/>
      <c r="AB4583" s="7"/>
      <c r="AC4583" s="7"/>
    </row>
    <row r="4584" spans="1:29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  <c r="AA4584" s="7"/>
      <c r="AB4584" s="7"/>
      <c r="AC4584" s="7"/>
    </row>
    <row r="4585" spans="1:29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  <c r="AA4585" s="7"/>
      <c r="AB4585" s="7"/>
      <c r="AC4585" s="7"/>
    </row>
    <row r="4586" spans="1:29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  <c r="AA4586" s="7"/>
      <c r="AB4586" s="7"/>
      <c r="AC4586" s="7"/>
    </row>
    <row r="4587" spans="1:29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  <c r="AA4587" s="7"/>
      <c r="AB4587" s="7"/>
      <c r="AC4587" s="7"/>
    </row>
    <row r="4588" spans="1:29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  <c r="AA4588" s="7"/>
      <c r="AB4588" s="7"/>
      <c r="AC4588" s="7"/>
    </row>
    <row r="4589" spans="1:29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  <c r="AA4589" s="7"/>
      <c r="AB4589" s="7"/>
      <c r="AC4589" s="7"/>
    </row>
    <row r="4590" spans="1:29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  <c r="AA4590" s="7"/>
      <c r="AB4590" s="7"/>
      <c r="AC4590" s="7"/>
    </row>
    <row r="4591" spans="1:29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  <c r="AA4591" s="7"/>
      <c r="AB4591" s="7"/>
      <c r="AC4591" s="7"/>
    </row>
    <row r="4592" spans="1:29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  <c r="AA4592" s="7"/>
      <c r="AB4592" s="7"/>
      <c r="AC4592" s="7"/>
    </row>
    <row r="4593" spans="1:29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  <c r="AA4593" s="7"/>
      <c r="AB4593" s="7"/>
      <c r="AC4593" s="7"/>
    </row>
    <row r="4594" spans="1:29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  <c r="AA4594" s="7"/>
      <c r="AB4594" s="7"/>
      <c r="AC4594" s="7"/>
    </row>
    <row r="4595" spans="1:29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  <c r="AA4595" s="7"/>
      <c r="AB4595" s="7"/>
      <c r="AC4595" s="7"/>
    </row>
    <row r="4596" spans="1:29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  <c r="AA4596" s="7"/>
      <c r="AB4596" s="7"/>
      <c r="AC4596" s="7"/>
    </row>
    <row r="4597" spans="1:29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  <c r="AA4597" s="7"/>
      <c r="AB4597" s="7"/>
      <c r="AC4597" s="7"/>
    </row>
    <row r="4598" spans="1:29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  <c r="AA4598" s="7"/>
      <c r="AB4598" s="7"/>
      <c r="AC4598" s="7"/>
    </row>
    <row r="4599" spans="1:29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  <c r="AA4599" s="7"/>
      <c r="AB4599" s="7"/>
      <c r="AC4599" s="7"/>
    </row>
    <row r="4600" spans="1:29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  <c r="AA4600" s="7"/>
      <c r="AB4600" s="7"/>
      <c r="AC4600" s="7"/>
    </row>
    <row r="4601" spans="1:29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  <c r="AA4601" s="7"/>
      <c r="AB4601" s="7"/>
      <c r="AC4601" s="7"/>
    </row>
    <row r="4602" spans="1:29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  <c r="AA4602" s="7"/>
      <c r="AB4602" s="7"/>
      <c r="AC4602" s="7"/>
    </row>
    <row r="4603" spans="1:29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  <c r="AA4603" s="7"/>
      <c r="AB4603" s="7"/>
      <c r="AC4603" s="7"/>
    </row>
    <row r="4604" spans="1:29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  <c r="AA4604" s="7"/>
      <c r="AB4604" s="7"/>
      <c r="AC4604" s="7"/>
    </row>
    <row r="4605" spans="1:29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  <c r="AA4605" s="7"/>
      <c r="AB4605" s="7"/>
      <c r="AC4605" s="7"/>
    </row>
    <row r="4606" spans="1:29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  <c r="AA4606" s="7"/>
      <c r="AB4606" s="7"/>
      <c r="AC4606" s="7"/>
    </row>
    <row r="4607" spans="1:29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  <c r="AA4607" s="7"/>
      <c r="AB4607" s="7"/>
      <c r="AC4607" s="7"/>
    </row>
    <row r="4608" spans="1:29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  <c r="AA4608" s="7"/>
      <c r="AB4608" s="7"/>
      <c r="AC4608" s="7"/>
    </row>
    <row r="4609" spans="1:29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  <c r="AA4609" s="7"/>
      <c r="AB4609" s="7"/>
      <c r="AC4609" s="7"/>
    </row>
    <row r="4610" spans="1:29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  <c r="AA4610" s="7"/>
      <c r="AB4610" s="7"/>
      <c r="AC4610" s="7"/>
    </row>
    <row r="4611" spans="1:29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  <c r="AA4611" s="7"/>
      <c r="AB4611" s="7"/>
      <c r="AC4611" s="7"/>
    </row>
    <row r="4612" spans="1:29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  <c r="AA4612" s="7"/>
      <c r="AB4612" s="7"/>
      <c r="AC4612" s="7"/>
    </row>
    <row r="4613" spans="1:29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  <c r="AA4613" s="7"/>
      <c r="AB4613" s="7"/>
      <c r="AC4613" s="7"/>
    </row>
    <row r="4614" spans="1:29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  <c r="AA4614" s="7"/>
      <c r="AB4614" s="7"/>
      <c r="AC4614" s="7"/>
    </row>
    <row r="4615" spans="1:29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  <c r="AA4615" s="7"/>
      <c r="AB4615" s="7"/>
      <c r="AC4615" s="7"/>
    </row>
    <row r="4616" spans="1:29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  <c r="AA4616" s="7"/>
      <c r="AB4616" s="7"/>
      <c r="AC4616" s="7"/>
    </row>
    <row r="4617" spans="1:29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  <c r="AA4617" s="7"/>
      <c r="AB4617" s="7"/>
      <c r="AC4617" s="7"/>
    </row>
    <row r="4618" spans="1:29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  <c r="AA4618" s="7"/>
      <c r="AB4618" s="7"/>
      <c r="AC4618" s="7"/>
    </row>
    <row r="4619" spans="1:29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  <c r="AA4619" s="7"/>
      <c r="AB4619" s="7"/>
      <c r="AC4619" s="7"/>
    </row>
    <row r="4620" spans="1:29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  <c r="AA4620" s="7"/>
      <c r="AB4620" s="7"/>
      <c r="AC4620" s="7"/>
    </row>
    <row r="4621" spans="1:29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  <c r="AA4621" s="7"/>
      <c r="AB4621" s="7"/>
      <c r="AC4621" s="7"/>
    </row>
    <row r="4622" spans="1:29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  <c r="AA4622" s="7"/>
      <c r="AB4622" s="7"/>
      <c r="AC4622" s="7"/>
    </row>
    <row r="4623" spans="1:29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  <c r="AA4623" s="7"/>
      <c r="AB4623" s="7"/>
      <c r="AC4623" s="7"/>
    </row>
    <row r="4624" spans="1:29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  <c r="AA4624" s="7"/>
      <c r="AB4624" s="7"/>
      <c r="AC4624" s="7"/>
    </row>
    <row r="4625" spans="1:29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  <c r="AA4625" s="7"/>
      <c r="AB4625" s="7"/>
      <c r="AC4625" s="7"/>
    </row>
    <row r="4626" spans="1:29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  <c r="AA4626" s="7"/>
      <c r="AB4626" s="7"/>
      <c r="AC4626" s="7"/>
    </row>
    <row r="4627" spans="1:29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  <c r="AA4627" s="7"/>
      <c r="AB4627" s="7"/>
      <c r="AC4627" s="7"/>
    </row>
    <row r="4628" spans="1:29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  <c r="AA4628" s="7"/>
      <c r="AB4628" s="7"/>
      <c r="AC4628" s="7"/>
    </row>
    <row r="4629" spans="1:29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  <c r="AA4629" s="7"/>
      <c r="AB4629" s="7"/>
      <c r="AC4629" s="7"/>
    </row>
    <row r="4630" spans="1:29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  <c r="AA4630" s="7"/>
      <c r="AB4630" s="7"/>
      <c r="AC4630" s="7"/>
    </row>
    <row r="4631" spans="1:29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  <c r="AA4631" s="7"/>
      <c r="AB4631" s="7"/>
      <c r="AC4631" s="7"/>
    </row>
    <row r="4632" spans="1:29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  <c r="AA4632" s="7"/>
      <c r="AB4632" s="7"/>
      <c r="AC4632" s="7"/>
    </row>
    <row r="4633" spans="1:29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  <c r="AA4633" s="7"/>
      <c r="AB4633" s="7"/>
      <c r="AC4633" s="7"/>
    </row>
    <row r="4634" spans="1:29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  <c r="AA4634" s="7"/>
      <c r="AB4634" s="7"/>
      <c r="AC4634" s="7"/>
    </row>
    <row r="4635" spans="1:29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  <c r="AA4635" s="7"/>
      <c r="AB4635" s="7"/>
      <c r="AC4635" s="7"/>
    </row>
    <row r="4636" spans="1:29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  <c r="AA4636" s="7"/>
      <c r="AB4636" s="7"/>
      <c r="AC4636" s="7"/>
    </row>
    <row r="4637" spans="1:29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  <c r="AA4637" s="7"/>
      <c r="AB4637" s="7"/>
      <c r="AC4637" s="7"/>
    </row>
    <row r="4638" spans="1:29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  <c r="AA4638" s="7"/>
      <c r="AB4638" s="7"/>
      <c r="AC4638" s="7"/>
    </row>
    <row r="4639" spans="1:29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  <c r="AA4639" s="7"/>
      <c r="AB4639" s="7"/>
      <c r="AC4639" s="7"/>
    </row>
    <row r="4640" spans="1:29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  <c r="AA4640" s="7"/>
      <c r="AB4640" s="7"/>
      <c r="AC4640" s="7"/>
    </row>
    <row r="4641" spans="1:29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  <c r="AA4641" s="7"/>
      <c r="AB4641" s="7"/>
      <c r="AC4641" s="7"/>
    </row>
    <row r="4642" spans="1:29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  <c r="AA4642" s="7"/>
      <c r="AB4642" s="7"/>
      <c r="AC4642" s="7"/>
    </row>
    <row r="4643" spans="1:29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  <c r="AA4643" s="7"/>
      <c r="AB4643" s="7"/>
      <c r="AC4643" s="7"/>
    </row>
    <row r="4644" spans="1:29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  <c r="AA4644" s="7"/>
      <c r="AB4644" s="7"/>
      <c r="AC4644" s="7"/>
    </row>
    <row r="4645" spans="1:29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  <c r="AA4645" s="7"/>
      <c r="AB4645" s="7"/>
      <c r="AC4645" s="7"/>
    </row>
    <row r="4646" spans="1:29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  <c r="AA4646" s="7"/>
      <c r="AB4646" s="7"/>
      <c r="AC4646" s="7"/>
    </row>
    <row r="4647" spans="1:29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  <c r="AA4647" s="7"/>
      <c r="AB4647" s="7"/>
      <c r="AC4647" s="7"/>
    </row>
    <row r="4648" spans="1:29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  <c r="AA4648" s="7"/>
      <c r="AB4648" s="7"/>
      <c r="AC4648" s="7"/>
    </row>
    <row r="4649" spans="1:29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  <c r="AA4649" s="7"/>
      <c r="AB4649" s="7"/>
      <c r="AC4649" s="7"/>
    </row>
    <row r="4650" spans="1:29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  <c r="AA4650" s="7"/>
      <c r="AB4650" s="7"/>
      <c r="AC4650" s="7"/>
    </row>
    <row r="4651" spans="1:29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  <c r="AA4651" s="7"/>
      <c r="AB4651" s="7"/>
      <c r="AC4651" s="7"/>
    </row>
    <row r="4652" spans="1:29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  <c r="AA4652" s="7"/>
      <c r="AB4652" s="7"/>
      <c r="AC4652" s="7"/>
    </row>
    <row r="4653" spans="1:29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  <c r="AA4653" s="7"/>
      <c r="AB4653" s="7"/>
      <c r="AC4653" s="7"/>
    </row>
    <row r="4654" spans="1:29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  <c r="AA4654" s="7"/>
      <c r="AB4654" s="7"/>
      <c r="AC4654" s="7"/>
    </row>
    <row r="4655" spans="1:29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  <c r="AA4655" s="7"/>
      <c r="AB4655" s="7"/>
      <c r="AC4655" s="7"/>
    </row>
    <row r="4656" spans="1:29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  <c r="AA4656" s="7"/>
      <c r="AB4656" s="7"/>
      <c r="AC4656" s="7"/>
    </row>
    <row r="4657" spans="1:29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  <c r="AA4657" s="7"/>
      <c r="AB4657" s="7"/>
      <c r="AC4657" s="7"/>
    </row>
    <row r="4658" spans="1:29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  <c r="AA4658" s="7"/>
      <c r="AB4658" s="7"/>
      <c r="AC4658" s="7"/>
    </row>
    <row r="4659" spans="1:29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  <c r="AA4659" s="7"/>
      <c r="AB4659" s="7"/>
      <c r="AC4659" s="7"/>
    </row>
    <row r="4660" spans="1:29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  <c r="AA4660" s="7"/>
      <c r="AB4660" s="7"/>
      <c r="AC4660" s="7"/>
    </row>
    <row r="4661" spans="1:29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  <c r="AA4661" s="7"/>
      <c r="AB4661" s="7"/>
      <c r="AC4661" s="7"/>
    </row>
    <row r="4662" spans="1:29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  <c r="AA4662" s="7"/>
      <c r="AB4662" s="7"/>
      <c r="AC4662" s="7"/>
    </row>
    <row r="4663" spans="1:29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  <c r="AA4663" s="7"/>
      <c r="AB4663" s="7"/>
      <c r="AC4663" s="7"/>
    </row>
    <row r="4664" spans="1:29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  <c r="AA4664" s="7"/>
      <c r="AB4664" s="7"/>
      <c r="AC4664" s="7"/>
    </row>
    <row r="4665" spans="1:29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  <c r="AA4665" s="7"/>
      <c r="AB4665" s="7"/>
      <c r="AC4665" s="7"/>
    </row>
    <row r="4666" spans="1:29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  <c r="AA4666" s="7"/>
      <c r="AB4666" s="7"/>
      <c r="AC4666" s="7"/>
    </row>
    <row r="4667" spans="1:29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  <c r="AA4667" s="7"/>
      <c r="AB4667" s="7"/>
      <c r="AC4667" s="7"/>
    </row>
    <row r="4668" spans="1:29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  <c r="AA4668" s="7"/>
      <c r="AB4668" s="7"/>
      <c r="AC4668" s="7"/>
    </row>
    <row r="4669" spans="1:29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  <c r="AA4669" s="7"/>
      <c r="AB4669" s="7"/>
      <c r="AC4669" s="7"/>
    </row>
    <row r="4670" spans="1:29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  <c r="AA4670" s="7"/>
      <c r="AB4670" s="7"/>
      <c r="AC4670" s="7"/>
    </row>
    <row r="4671" spans="1:29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  <c r="AA4671" s="7"/>
      <c r="AB4671" s="7"/>
      <c r="AC4671" s="7"/>
    </row>
    <row r="4672" spans="1:29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  <c r="AA4672" s="7"/>
      <c r="AB4672" s="7"/>
      <c r="AC4672" s="7"/>
    </row>
    <row r="4673" spans="1:29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  <c r="AA4673" s="7"/>
      <c r="AB4673" s="7"/>
      <c r="AC4673" s="7"/>
    </row>
    <row r="4674" spans="1:29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  <c r="AA4674" s="7"/>
      <c r="AB4674" s="7"/>
      <c r="AC4674" s="7"/>
    </row>
    <row r="4675" spans="1:29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  <c r="AA4675" s="7"/>
      <c r="AB4675" s="7"/>
      <c r="AC4675" s="7"/>
    </row>
    <row r="4676" spans="1:29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  <c r="AA4676" s="7"/>
      <c r="AB4676" s="7"/>
      <c r="AC4676" s="7"/>
    </row>
    <row r="4677" spans="1:29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  <c r="AA4677" s="7"/>
      <c r="AB4677" s="7"/>
      <c r="AC4677" s="7"/>
    </row>
    <row r="4678" spans="1:29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  <c r="AA4678" s="7"/>
      <c r="AB4678" s="7"/>
      <c r="AC4678" s="7"/>
    </row>
    <row r="4679" spans="1:29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  <c r="AA4679" s="7"/>
      <c r="AB4679" s="7"/>
      <c r="AC4679" s="7"/>
    </row>
    <row r="4680" spans="1:29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  <c r="AA4680" s="7"/>
      <c r="AB4680" s="7"/>
      <c r="AC4680" s="7"/>
    </row>
    <row r="4681" spans="1:29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  <c r="AA4681" s="7"/>
      <c r="AB4681" s="7"/>
      <c r="AC4681" s="7"/>
    </row>
    <row r="4682" spans="1:29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  <c r="AA4682" s="7"/>
      <c r="AB4682" s="7"/>
      <c r="AC4682" s="7"/>
    </row>
    <row r="4683" spans="1:29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  <c r="AA4683" s="7"/>
      <c r="AB4683" s="7"/>
      <c r="AC4683" s="7"/>
    </row>
    <row r="4684" spans="1:29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  <c r="AA4684" s="7"/>
      <c r="AB4684" s="7"/>
      <c r="AC4684" s="7"/>
    </row>
    <row r="4685" spans="1:29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  <c r="AA4685" s="7"/>
      <c r="AB4685" s="7"/>
      <c r="AC4685" s="7"/>
    </row>
    <row r="4686" spans="1:29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  <c r="AA4686" s="7"/>
      <c r="AB4686" s="7"/>
      <c r="AC4686" s="7"/>
    </row>
    <row r="4687" spans="1:29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  <c r="AA4687" s="7"/>
      <c r="AB4687" s="7"/>
      <c r="AC4687" s="7"/>
    </row>
    <row r="4688" spans="1:29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  <c r="AA4688" s="7"/>
      <c r="AB4688" s="7"/>
      <c r="AC4688" s="7"/>
    </row>
    <row r="4689" spans="1:29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  <c r="AA4689" s="7"/>
      <c r="AB4689" s="7"/>
      <c r="AC4689" s="7"/>
    </row>
    <row r="4690" spans="1:29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  <c r="AA4690" s="7"/>
      <c r="AB4690" s="7"/>
      <c r="AC4690" s="7"/>
    </row>
    <row r="4691" spans="1:29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  <c r="AA4691" s="7"/>
      <c r="AB4691" s="7"/>
      <c r="AC4691" s="7"/>
    </row>
    <row r="4692" spans="1:29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  <c r="AA4692" s="7"/>
      <c r="AB4692" s="7"/>
      <c r="AC4692" s="7"/>
    </row>
    <row r="4693" spans="1:29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  <c r="AA4693" s="7"/>
      <c r="AB4693" s="7"/>
      <c r="AC4693" s="7"/>
    </row>
    <row r="4694" spans="1:29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  <c r="AA4694" s="7"/>
      <c r="AB4694" s="7"/>
      <c r="AC4694" s="7"/>
    </row>
    <row r="4695" spans="1:29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  <c r="AA4695" s="7"/>
      <c r="AB4695" s="7"/>
      <c r="AC4695" s="7"/>
    </row>
    <row r="4696" spans="1:29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  <c r="AA4696" s="7"/>
      <c r="AB4696" s="7"/>
      <c r="AC4696" s="7"/>
    </row>
    <row r="4697" spans="1:29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  <c r="AA4697" s="7"/>
      <c r="AB4697" s="7"/>
      <c r="AC4697" s="7"/>
    </row>
    <row r="4698" spans="1:29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  <c r="AA4698" s="7"/>
      <c r="AB4698" s="7"/>
      <c r="AC4698" s="7"/>
    </row>
    <row r="4699" spans="1:29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  <c r="AA4699" s="7"/>
      <c r="AB4699" s="7"/>
      <c r="AC4699" s="7"/>
    </row>
    <row r="4700" spans="1:29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  <c r="AA4700" s="7"/>
      <c r="AB4700" s="7"/>
      <c r="AC4700" s="7"/>
    </row>
    <row r="4701" spans="1:29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  <c r="AA4701" s="7"/>
      <c r="AB4701" s="7"/>
      <c r="AC4701" s="7"/>
    </row>
    <row r="4702" spans="1:29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  <c r="AA4702" s="7"/>
      <c r="AB4702" s="7"/>
      <c r="AC4702" s="7"/>
    </row>
    <row r="4703" spans="1:29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  <c r="AA4703" s="7"/>
      <c r="AB4703" s="7"/>
      <c r="AC4703" s="7"/>
    </row>
    <row r="4704" spans="1:29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  <c r="AA4704" s="7"/>
      <c r="AB4704" s="7"/>
      <c r="AC4704" s="7"/>
    </row>
    <row r="4705" spans="1:29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  <c r="AA4705" s="7"/>
      <c r="AB4705" s="7"/>
      <c r="AC4705" s="7"/>
    </row>
    <row r="4706" spans="1:29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  <c r="AA4706" s="7"/>
      <c r="AB4706" s="7"/>
      <c r="AC4706" s="7"/>
    </row>
    <row r="4707" spans="1:29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  <c r="AA4707" s="7"/>
      <c r="AB4707" s="7"/>
      <c r="AC4707" s="7"/>
    </row>
    <row r="4708" spans="1:29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  <c r="AA4708" s="7"/>
      <c r="AB4708" s="7"/>
      <c r="AC4708" s="7"/>
    </row>
    <row r="4709" spans="1:29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  <c r="AA4709" s="7"/>
      <c r="AB4709" s="7"/>
      <c r="AC4709" s="7"/>
    </row>
    <row r="4710" spans="1:29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  <c r="AA4710" s="7"/>
      <c r="AB4710" s="7"/>
      <c r="AC4710" s="7"/>
    </row>
    <row r="4711" spans="1:29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  <c r="AA4711" s="7"/>
      <c r="AB4711" s="7"/>
      <c r="AC4711" s="7"/>
    </row>
    <row r="4712" spans="1:29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  <c r="AA4712" s="7"/>
      <c r="AB4712" s="7"/>
      <c r="AC4712" s="7"/>
    </row>
    <row r="4713" spans="1:29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  <c r="AA4713" s="7"/>
      <c r="AB4713" s="7"/>
      <c r="AC4713" s="7"/>
    </row>
    <row r="4714" spans="1:29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  <c r="AA4714" s="7"/>
      <c r="AB4714" s="7"/>
      <c r="AC4714" s="7"/>
    </row>
    <row r="4715" spans="1:29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  <c r="AA4715" s="7"/>
      <c r="AB4715" s="7"/>
      <c r="AC4715" s="7"/>
    </row>
    <row r="4716" spans="1:29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  <c r="AA4716" s="7"/>
      <c r="AB4716" s="7"/>
      <c r="AC4716" s="7"/>
    </row>
    <row r="4717" spans="1:29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  <c r="AA4717" s="7"/>
      <c r="AB4717" s="7"/>
      <c r="AC4717" s="7"/>
    </row>
    <row r="4718" spans="1:29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  <c r="AA4718" s="7"/>
      <c r="AB4718" s="7"/>
      <c r="AC4718" s="7"/>
    </row>
    <row r="4719" spans="1:29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  <c r="AA4719" s="7"/>
      <c r="AB4719" s="7"/>
      <c r="AC4719" s="7"/>
    </row>
    <row r="4720" spans="1:29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  <c r="AA4720" s="7"/>
      <c r="AB4720" s="7"/>
      <c r="AC4720" s="7"/>
    </row>
    <row r="4721" spans="1:29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  <c r="AA4721" s="7"/>
      <c r="AB4721" s="7"/>
      <c r="AC4721" s="7"/>
    </row>
    <row r="4722" spans="1:29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  <c r="AA4722" s="7"/>
      <c r="AB4722" s="7"/>
      <c r="AC4722" s="7"/>
    </row>
    <row r="4723" spans="1:29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  <c r="AA4723" s="7"/>
      <c r="AB4723" s="7"/>
      <c r="AC4723" s="7"/>
    </row>
    <row r="4724" spans="1:29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  <c r="AA4724" s="7"/>
      <c r="AB4724" s="7"/>
      <c r="AC4724" s="7"/>
    </row>
    <row r="4725" spans="1:29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  <c r="AA4725" s="7"/>
      <c r="AB4725" s="7"/>
      <c r="AC4725" s="7"/>
    </row>
    <row r="4726" spans="1:29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  <c r="AA4726" s="7"/>
      <c r="AB4726" s="7"/>
      <c r="AC4726" s="7"/>
    </row>
    <row r="4727" spans="1:29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  <c r="AA4727" s="7"/>
      <c r="AB4727" s="7"/>
      <c r="AC4727" s="7"/>
    </row>
    <row r="4728" spans="1:29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  <c r="AA4728" s="7"/>
      <c r="AB4728" s="7"/>
      <c r="AC4728" s="7"/>
    </row>
    <row r="4729" spans="1:29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  <c r="AA4729" s="7"/>
      <c r="AB4729" s="7"/>
      <c r="AC4729" s="7"/>
    </row>
    <row r="4730" spans="1:29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  <c r="AA4730" s="7"/>
      <c r="AB4730" s="7"/>
      <c r="AC4730" s="7"/>
    </row>
    <row r="4731" spans="1:29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  <c r="AA4731" s="7"/>
      <c r="AB4731" s="7"/>
      <c r="AC4731" s="7"/>
    </row>
    <row r="4732" spans="1:29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  <c r="AA4732" s="7"/>
      <c r="AB4732" s="7"/>
      <c r="AC4732" s="7"/>
    </row>
    <row r="4733" spans="1:29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  <c r="AA4733" s="7"/>
      <c r="AB4733" s="7"/>
      <c r="AC4733" s="7"/>
    </row>
    <row r="4734" spans="1:29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  <c r="AA4734" s="7"/>
      <c r="AB4734" s="7"/>
      <c r="AC4734" s="7"/>
    </row>
    <row r="4735" spans="1:29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  <c r="AA4735" s="7"/>
      <c r="AB4735" s="7"/>
      <c r="AC4735" s="7"/>
    </row>
    <row r="4736" spans="1:29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  <c r="AA4736" s="7"/>
      <c r="AB4736" s="7"/>
      <c r="AC4736" s="7"/>
    </row>
    <row r="4737" spans="1:29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  <c r="AA4737" s="7"/>
      <c r="AB4737" s="7"/>
      <c r="AC4737" s="7"/>
    </row>
    <row r="4738" spans="1:29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  <c r="AA4738" s="7"/>
      <c r="AB4738" s="7"/>
      <c r="AC4738" s="7"/>
    </row>
    <row r="4739" spans="1:29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  <c r="AA4739" s="7"/>
      <c r="AB4739" s="7"/>
      <c r="AC4739" s="7"/>
    </row>
    <row r="4740" spans="1:29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  <c r="AA4740" s="7"/>
      <c r="AB4740" s="7"/>
      <c r="AC4740" s="7"/>
    </row>
    <row r="4741" spans="1:29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  <c r="AA4741" s="7"/>
      <c r="AB4741" s="7"/>
      <c r="AC4741" s="7"/>
    </row>
    <row r="4742" spans="1:29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  <c r="AA4742" s="7"/>
      <c r="AB4742" s="7"/>
      <c r="AC4742" s="7"/>
    </row>
    <row r="4743" spans="1:29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  <c r="AA4743" s="7"/>
      <c r="AB4743" s="7"/>
      <c r="AC4743" s="7"/>
    </row>
    <row r="4744" spans="1:29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  <c r="AA4744" s="7"/>
      <c r="AB4744" s="7"/>
      <c r="AC4744" s="7"/>
    </row>
    <row r="4745" spans="1:29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  <c r="AA4745" s="7"/>
      <c r="AB4745" s="7"/>
      <c r="AC4745" s="7"/>
    </row>
    <row r="4746" spans="1:29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  <c r="AA4746" s="7"/>
      <c r="AB4746" s="7"/>
      <c r="AC4746" s="7"/>
    </row>
    <row r="4747" spans="1:29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  <c r="AA4747" s="7"/>
      <c r="AB4747" s="7"/>
      <c r="AC4747" s="7"/>
    </row>
    <row r="4748" spans="1:29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  <c r="AA4748" s="7"/>
      <c r="AB4748" s="7"/>
      <c r="AC4748" s="7"/>
    </row>
    <row r="4749" spans="1:29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  <c r="AA4749" s="7"/>
      <c r="AB4749" s="7"/>
      <c r="AC4749" s="7"/>
    </row>
    <row r="4750" spans="1:29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  <c r="AA4750" s="7"/>
      <c r="AB4750" s="7"/>
      <c r="AC4750" s="7"/>
    </row>
    <row r="4751" spans="1:29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  <c r="AA4751" s="7"/>
      <c r="AB4751" s="7"/>
      <c r="AC4751" s="7"/>
    </row>
    <row r="4752" spans="1:29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  <c r="AA4752" s="7"/>
      <c r="AB4752" s="7"/>
      <c r="AC4752" s="7"/>
    </row>
    <row r="4753" spans="1:29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  <c r="AA4753" s="7"/>
      <c r="AB4753" s="7"/>
      <c r="AC4753" s="7"/>
    </row>
    <row r="4754" spans="1:29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  <c r="AA4754" s="7"/>
      <c r="AB4754" s="7"/>
      <c r="AC4754" s="7"/>
    </row>
    <row r="4755" spans="1:29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  <c r="AA4755" s="7"/>
      <c r="AB4755" s="7"/>
      <c r="AC4755" s="7"/>
    </row>
    <row r="4756" spans="1:29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  <c r="AA4756" s="7"/>
      <c r="AB4756" s="7"/>
      <c r="AC4756" s="7"/>
    </row>
    <row r="4757" spans="1:29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  <c r="AA4757" s="7"/>
      <c r="AB4757" s="7"/>
      <c r="AC4757" s="7"/>
    </row>
    <row r="4758" spans="1:29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  <c r="AA4758" s="7"/>
      <c r="AB4758" s="7"/>
      <c r="AC4758" s="7"/>
    </row>
    <row r="4759" spans="1:29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  <c r="AA4759" s="7"/>
      <c r="AB4759" s="7"/>
      <c r="AC4759" s="7"/>
    </row>
    <row r="4760" spans="1:29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  <c r="AA4760" s="7"/>
      <c r="AB4760" s="7"/>
      <c r="AC4760" s="7"/>
    </row>
    <row r="4761" spans="1:29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  <c r="AA4761" s="7"/>
      <c r="AB4761" s="7"/>
      <c r="AC4761" s="7"/>
    </row>
    <row r="4762" spans="1:29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  <c r="AA4762" s="7"/>
      <c r="AB4762" s="7"/>
      <c r="AC4762" s="7"/>
    </row>
    <row r="4763" spans="1:29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  <c r="AA4763" s="7"/>
      <c r="AB4763" s="7"/>
      <c r="AC4763" s="7"/>
    </row>
    <row r="4764" spans="1:29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  <c r="AA4764" s="7"/>
      <c r="AB4764" s="7"/>
      <c r="AC4764" s="7"/>
    </row>
    <row r="4765" spans="1:29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  <c r="AA4765" s="7"/>
      <c r="AB4765" s="7"/>
      <c r="AC4765" s="7"/>
    </row>
    <row r="4766" spans="1:29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  <c r="AA4766" s="7"/>
      <c r="AB4766" s="7"/>
      <c r="AC4766" s="7"/>
    </row>
    <row r="4767" spans="1:29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  <c r="AA4767" s="7"/>
      <c r="AB4767" s="7"/>
      <c r="AC4767" s="7"/>
    </row>
    <row r="4768" spans="1:29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  <c r="AA4768" s="7"/>
      <c r="AB4768" s="7"/>
      <c r="AC4768" s="7"/>
    </row>
    <row r="4769" spans="1:29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  <c r="AA4769" s="7"/>
      <c r="AB4769" s="7"/>
      <c r="AC4769" s="7"/>
    </row>
    <row r="4770" spans="1:29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  <c r="AA4770" s="7"/>
      <c r="AB4770" s="7"/>
      <c r="AC4770" s="7"/>
    </row>
    <row r="4771" spans="1:29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  <c r="AA4771" s="7"/>
      <c r="AB4771" s="7"/>
      <c r="AC4771" s="7"/>
    </row>
    <row r="4772" spans="1:29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  <c r="AA4772" s="7"/>
      <c r="AB4772" s="7"/>
      <c r="AC4772" s="7"/>
    </row>
    <row r="4773" spans="1:29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  <c r="AA4773" s="7"/>
      <c r="AB4773" s="7"/>
      <c r="AC4773" s="7"/>
    </row>
    <row r="4774" spans="1:29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  <c r="AA4774" s="7"/>
      <c r="AB4774" s="7"/>
      <c r="AC4774" s="7"/>
    </row>
    <row r="4775" spans="1:29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  <c r="AA4775" s="7"/>
      <c r="AB4775" s="7"/>
      <c r="AC4775" s="7"/>
    </row>
    <row r="4776" spans="1:29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  <c r="AA4776" s="7"/>
      <c r="AB4776" s="7"/>
      <c r="AC4776" s="7"/>
    </row>
    <row r="4777" spans="1:29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  <c r="AA4777" s="7"/>
      <c r="AB4777" s="7"/>
      <c r="AC4777" s="7"/>
    </row>
    <row r="4778" spans="1:29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  <c r="AA4778" s="7"/>
      <c r="AB4778" s="7"/>
      <c r="AC4778" s="7"/>
    </row>
    <row r="4779" spans="1:29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  <c r="AA4779" s="7"/>
      <c r="AB4779" s="7"/>
      <c r="AC4779" s="7"/>
    </row>
    <row r="4780" spans="1:29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  <c r="AA4780" s="7"/>
      <c r="AB4780" s="7"/>
      <c r="AC4780" s="7"/>
    </row>
    <row r="4781" spans="1:29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  <c r="AA4781" s="7"/>
      <c r="AB4781" s="7"/>
      <c r="AC4781" s="7"/>
    </row>
    <row r="4782" spans="1:29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  <c r="AA4782" s="7"/>
      <c r="AB4782" s="7"/>
      <c r="AC4782" s="7"/>
    </row>
    <row r="4783" spans="1:29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  <c r="AA4783" s="7"/>
      <c r="AB4783" s="7"/>
      <c r="AC4783" s="7"/>
    </row>
    <row r="4784" spans="1:29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  <c r="AA4784" s="7"/>
      <c r="AB4784" s="7"/>
      <c r="AC4784" s="7"/>
    </row>
    <row r="4785" spans="1:29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  <c r="AA4785" s="7"/>
      <c r="AB4785" s="7"/>
      <c r="AC4785" s="7"/>
    </row>
    <row r="4786" spans="1:29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  <c r="AA4786" s="7"/>
      <c r="AB4786" s="7"/>
      <c r="AC4786" s="7"/>
    </row>
    <row r="4787" spans="1:29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  <c r="AA4787" s="7"/>
      <c r="AB4787" s="7"/>
      <c r="AC4787" s="7"/>
    </row>
    <row r="4788" spans="1:29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  <c r="AA4788" s="7"/>
      <c r="AB4788" s="7"/>
      <c r="AC4788" s="7"/>
    </row>
    <row r="4789" spans="1:29">
      <c r="A4789" s="7"/>
      <c r="B4789" s="7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  <c r="AA4789" s="7"/>
      <c r="AB4789" s="7"/>
      <c r="AC4789" s="7"/>
    </row>
    <row r="4790" spans="1:29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  <c r="AA4790" s="7"/>
      <c r="AB4790" s="7"/>
      <c r="AC4790" s="7"/>
    </row>
    <row r="4791" spans="1:29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  <c r="AA4791" s="7"/>
      <c r="AB4791" s="7"/>
      <c r="AC4791" s="7"/>
    </row>
    <row r="4792" spans="1:29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  <c r="AA4792" s="7"/>
      <c r="AB4792" s="7"/>
      <c r="AC4792" s="7"/>
    </row>
    <row r="4793" spans="1:29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  <c r="AA4793" s="7"/>
      <c r="AB4793" s="7"/>
      <c r="AC4793" s="7"/>
    </row>
    <row r="4794" spans="1:29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  <c r="AA4794" s="7"/>
      <c r="AB4794" s="7"/>
      <c r="AC4794" s="7"/>
    </row>
    <row r="4795" spans="1:29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  <c r="AA4795" s="7"/>
      <c r="AB4795" s="7"/>
      <c r="AC4795" s="7"/>
    </row>
    <row r="4796" spans="1:29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  <c r="AA4796" s="7"/>
      <c r="AB4796" s="7"/>
      <c r="AC4796" s="7"/>
    </row>
    <row r="4797" spans="1:29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  <c r="AA4797" s="7"/>
      <c r="AB4797" s="7"/>
      <c r="AC4797" s="7"/>
    </row>
    <row r="4798" spans="1:29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  <c r="AA4798" s="7"/>
      <c r="AB4798" s="7"/>
      <c r="AC4798" s="7"/>
    </row>
    <row r="4799" spans="1:29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  <c r="AA4799" s="7"/>
      <c r="AB4799" s="7"/>
      <c r="AC4799" s="7"/>
    </row>
    <row r="4800" spans="1:29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  <c r="AA4800" s="7"/>
      <c r="AB4800" s="7"/>
      <c r="AC4800" s="7"/>
    </row>
    <row r="4801" spans="1:29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  <c r="AA4801" s="7"/>
      <c r="AB4801" s="7"/>
      <c r="AC4801" s="7"/>
    </row>
    <row r="4802" spans="1:29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  <c r="AA4802" s="7"/>
      <c r="AB4802" s="7"/>
      <c r="AC4802" s="7"/>
    </row>
    <row r="4803" spans="1:29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  <c r="AA4803" s="7"/>
      <c r="AB4803" s="7"/>
      <c r="AC4803" s="7"/>
    </row>
    <row r="4804" spans="1:29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  <c r="AA4804" s="7"/>
      <c r="AB4804" s="7"/>
      <c r="AC4804" s="7"/>
    </row>
    <row r="4805" spans="1:29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  <c r="AA4805" s="7"/>
      <c r="AB4805" s="7"/>
      <c r="AC4805" s="7"/>
    </row>
    <row r="4806" spans="1:29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  <c r="AA4806" s="7"/>
      <c r="AB4806" s="7"/>
      <c r="AC4806" s="7"/>
    </row>
    <row r="4807" spans="1:29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  <c r="AA4807" s="7"/>
      <c r="AB4807" s="7"/>
      <c r="AC4807" s="7"/>
    </row>
    <row r="4808" spans="1:29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  <c r="AA4808" s="7"/>
      <c r="AB4808" s="7"/>
      <c r="AC4808" s="7"/>
    </row>
    <row r="4809" spans="1:29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  <c r="AA4809" s="7"/>
      <c r="AB4809" s="7"/>
      <c r="AC4809" s="7"/>
    </row>
    <row r="4810" spans="1:29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  <c r="AA4810" s="7"/>
      <c r="AB4810" s="7"/>
      <c r="AC4810" s="7"/>
    </row>
    <row r="4811" spans="1:29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  <c r="AA4811" s="7"/>
      <c r="AB4811" s="7"/>
      <c r="AC4811" s="7"/>
    </row>
    <row r="4812" spans="1:29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  <c r="AA4812" s="7"/>
      <c r="AB4812" s="7"/>
      <c r="AC4812" s="7"/>
    </row>
    <row r="4813" spans="1:29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  <c r="AA4813" s="7"/>
      <c r="AB4813" s="7"/>
      <c r="AC4813" s="7"/>
    </row>
    <row r="4814" spans="1:29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  <c r="AA4814" s="7"/>
      <c r="AB4814" s="7"/>
      <c r="AC4814" s="7"/>
    </row>
    <row r="4815" spans="1:29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  <c r="AA4815" s="7"/>
      <c r="AB4815" s="7"/>
      <c r="AC4815" s="7"/>
    </row>
    <row r="4816" spans="1:29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  <c r="AA4816" s="7"/>
      <c r="AB4816" s="7"/>
      <c r="AC4816" s="7"/>
    </row>
    <row r="4817" spans="1:29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  <c r="AA4817" s="7"/>
      <c r="AB4817" s="7"/>
      <c r="AC4817" s="7"/>
    </row>
    <row r="4818" spans="1:29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  <c r="AA4818" s="7"/>
      <c r="AB4818" s="7"/>
      <c r="AC4818" s="7"/>
    </row>
    <row r="4819" spans="1:29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  <c r="AA4819" s="7"/>
      <c r="AB4819" s="7"/>
      <c r="AC4819" s="7"/>
    </row>
    <row r="4820" spans="1:29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  <c r="AA4820" s="7"/>
      <c r="AB4820" s="7"/>
      <c r="AC4820" s="7"/>
    </row>
    <row r="4821" spans="1:29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  <c r="AA4821" s="7"/>
      <c r="AB4821" s="7"/>
      <c r="AC4821" s="7"/>
    </row>
    <row r="4822" spans="1:29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  <c r="AA4822" s="7"/>
      <c r="AB4822" s="7"/>
      <c r="AC4822" s="7"/>
    </row>
    <row r="4823" spans="1:29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  <c r="AA4823" s="7"/>
      <c r="AB4823" s="7"/>
      <c r="AC4823" s="7"/>
    </row>
    <row r="4824" spans="1:29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  <c r="AA4824" s="7"/>
      <c r="AB4824" s="7"/>
      <c r="AC4824" s="7"/>
    </row>
    <row r="4825" spans="1:29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  <c r="AA4825" s="7"/>
      <c r="AB4825" s="7"/>
      <c r="AC4825" s="7"/>
    </row>
    <row r="4826" spans="1:29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  <c r="AA4826" s="7"/>
      <c r="AB4826" s="7"/>
      <c r="AC4826" s="7"/>
    </row>
    <row r="4827" spans="1:29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  <c r="AA4827" s="7"/>
      <c r="AB4827" s="7"/>
      <c r="AC4827" s="7"/>
    </row>
    <row r="4828" spans="1:29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  <c r="AA4828" s="7"/>
      <c r="AB4828" s="7"/>
      <c r="AC4828" s="7"/>
    </row>
    <row r="4829" spans="1:29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  <c r="AA4829" s="7"/>
      <c r="AB4829" s="7"/>
      <c r="AC4829" s="7"/>
    </row>
    <row r="4830" spans="1:29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  <c r="AA4830" s="7"/>
      <c r="AB4830" s="7"/>
      <c r="AC4830" s="7"/>
    </row>
    <row r="4831" spans="1:29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  <c r="AA4831" s="7"/>
      <c r="AB4831" s="7"/>
      <c r="AC4831" s="7"/>
    </row>
    <row r="4832" spans="1:29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  <c r="AA4832" s="7"/>
      <c r="AB4832" s="7"/>
      <c r="AC4832" s="7"/>
    </row>
    <row r="4833" spans="1:29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  <c r="AA4833" s="7"/>
      <c r="AB4833" s="7"/>
      <c r="AC4833" s="7"/>
    </row>
    <row r="4834" spans="1:29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  <c r="AA4834" s="7"/>
      <c r="AB4834" s="7"/>
      <c r="AC4834" s="7"/>
    </row>
    <row r="4835" spans="1:29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  <c r="AA4835" s="7"/>
      <c r="AB4835" s="7"/>
      <c r="AC4835" s="7"/>
    </row>
    <row r="4836" spans="1:29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  <c r="AA4836" s="7"/>
      <c r="AB4836" s="7"/>
      <c r="AC4836" s="7"/>
    </row>
    <row r="4837" spans="1:29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  <c r="AA4837" s="7"/>
      <c r="AB4837" s="7"/>
      <c r="AC4837" s="7"/>
    </row>
    <row r="4838" spans="1:29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  <c r="AA4838" s="7"/>
      <c r="AB4838" s="7"/>
      <c r="AC4838" s="7"/>
    </row>
    <row r="4839" spans="1:29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  <c r="AA4839" s="7"/>
      <c r="AB4839" s="7"/>
      <c r="AC4839" s="7"/>
    </row>
    <row r="4840" spans="1:29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  <c r="AA4840" s="7"/>
      <c r="AB4840" s="7"/>
      <c r="AC4840" s="7"/>
    </row>
    <row r="4841" spans="1:29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  <c r="AA4841" s="7"/>
      <c r="AB4841" s="7"/>
      <c r="AC4841" s="7"/>
    </row>
    <row r="4842" spans="1:29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  <c r="AA4842" s="7"/>
      <c r="AB4842" s="7"/>
      <c r="AC4842" s="7"/>
    </row>
    <row r="4843" spans="1:29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  <c r="AA4843" s="7"/>
      <c r="AB4843" s="7"/>
      <c r="AC4843" s="7"/>
    </row>
    <row r="4844" spans="1:29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  <c r="AA4844" s="7"/>
      <c r="AB4844" s="7"/>
      <c r="AC4844" s="7"/>
    </row>
    <row r="4845" spans="1:29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  <c r="AA4845" s="7"/>
      <c r="AB4845" s="7"/>
      <c r="AC4845" s="7"/>
    </row>
    <row r="4846" spans="1:29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  <c r="AA4846" s="7"/>
      <c r="AB4846" s="7"/>
      <c r="AC4846" s="7"/>
    </row>
    <row r="4847" spans="1:29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  <c r="AA4847" s="7"/>
      <c r="AB4847" s="7"/>
      <c r="AC4847" s="7"/>
    </row>
    <row r="4848" spans="1:29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  <c r="AA4848" s="7"/>
      <c r="AB4848" s="7"/>
      <c r="AC4848" s="7"/>
    </row>
    <row r="4849" spans="1:29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  <c r="AA4849" s="7"/>
      <c r="AB4849" s="7"/>
      <c r="AC4849" s="7"/>
    </row>
    <row r="4850" spans="1:29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  <c r="AA4850" s="7"/>
      <c r="AB4850" s="7"/>
      <c r="AC4850" s="7"/>
    </row>
    <row r="4851" spans="1:29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  <c r="AA4851" s="7"/>
      <c r="AB4851" s="7"/>
      <c r="AC4851" s="7"/>
    </row>
    <row r="4852" spans="1:29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  <c r="AA4852" s="7"/>
      <c r="AB4852" s="7"/>
      <c r="AC4852" s="7"/>
    </row>
    <row r="4853" spans="1:29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  <c r="AA4853" s="7"/>
      <c r="AB4853" s="7"/>
      <c r="AC4853" s="7"/>
    </row>
    <row r="4854" spans="1:29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  <c r="AA4854" s="7"/>
      <c r="AB4854" s="7"/>
      <c r="AC4854" s="7"/>
    </row>
    <row r="4855" spans="1:29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  <c r="AA4855" s="7"/>
      <c r="AB4855" s="7"/>
      <c r="AC4855" s="7"/>
    </row>
    <row r="4856" spans="1:29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  <c r="AA4856" s="7"/>
      <c r="AB4856" s="7"/>
      <c r="AC4856" s="7"/>
    </row>
    <row r="4857" spans="1:29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  <c r="AA4857" s="7"/>
      <c r="AB4857" s="7"/>
      <c r="AC4857" s="7"/>
    </row>
    <row r="4858" spans="1:29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  <c r="AA4858" s="7"/>
      <c r="AB4858" s="7"/>
      <c r="AC4858" s="7"/>
    </row>
    <row r="4859" spans="1:29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  <c r="AA4859" s="7"/>
      <c r="AB4859" s="7"/>
      <c r="AC4859" s="7"/>
    </row>
    <row r="4860" spans="1:29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  <c r="AA4860" s="7"/>
      <c r="AB4860" s="7"/>
      <c r="AC4860" s="7"/>
    </row>
    <row r="4861" spans="1:29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  <c r="AA4861" s="7"/>
      <c r="AB4861" s="7"/>
      <c r="AC4861" s="7"/>
    </row>
    <row r="4862" spans="1:29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  <c r="AA4862" s="7"/>
      <c r="AB4862" s="7"/>
      <c r="AC4862" s="7"/>
    </row>
    <row r="4863" spans="1:29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  <c r="AA4863" s="7"/>
      <c r="AB4863" s="7"/>
      <c r="AC4863" s="7"/>
    </row>
    <row r="4864" spans="1:29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  <c r="AA4864" s="7"/>
      <c r="AB4864" s="7"/>
      <c r="AC4864" s="7"/>
    </row>
    <row r="4865" spans="1:29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  <c r="AA4865" s="7"/>
      <c r="AB4865" s="7"/>
      <c r="AC4865" s="7"/>
    </row>
    <row r="4866" spans="1:29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  <c r="AA4866" s="7"/>
      <c r="AB4866" s="7"/>
      <c r="AC4866" s="7"/>
    </row>
    <row r="4867" spans="1:29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  <c r="AA4867" s="7"/>
      <c r="AB4867" s="7"/>
      <c r="AC4867" s="7"/>
    </row>
    <row r="4868" spans="1:29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  <c r="AA4868" s="7"/>
      <c r="AB4868" s="7"/>
      <c r="AC4868" s="7"/>
    </row>
    <row r="4869" spans="1:29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  <c r="AA4869" s="7"/>
      <c r="AB4869" s="7"/>
      <c r="AC4869" s="7"/>
    </row>
    <row r="4870" spans="1:29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  <c r="AA4870" s="7"/>
      <c r="AB4870" s="7"/>
      <c r="AC4870" s="7"/>
    </row>
    <row r="4871" spans="1:29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  <c r="AA4871" s="7"/>
      <c r="AB4871" s="7"/>
      <c r="AC4871" s="7"/>
    </row>
    <row r="4872" spans="1:29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  <c r="AA4872" s="7"/>
      <c r="AB4872" s="7"/>
      <c r="AC4872" s="7"/>
    </row>
    <row r="4873" spans="1:29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  <c r="AA4873" s="7"/>
      <c r="AB4873" s="7"/>
      <c r="AC4873" s="7"/>
    </row>
    <row r="4874" spans="1:29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  <c r="AA4874" s="7"/>
      <c r="AB4874" s="7"/>
      <c r="AC4874" s="7"/>
    </row>
    <row r="4875" spans="1:29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  <c r="AA4875" s="7"/>
      <c r="AB4875" s="7"/>
      <c r="AC4875" s="7"/>
    </row>
    <row r="4876" spans="1:29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  <c r="AA4876" s="7"/>
      <c r="AB4876" s="7"/>
      <c r="AC4876" s="7"/>
    </row>
    <row r="4877" spans="1:29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  <c r="AA4877" s="7"/>
      <c r="AB4877" s="7"/>
      <c r="AC4877" s="7"/>
    </row>
    <row r="4878" spans="1:29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  <c r="AA4878" s="7"/>
      <c r="AB4878" s="7"/>
      <c r="AC4878" s="7"/>
    </row>
    <row r="4879" spans="1:29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  <c r="AA4879" s="7"/>
      <c r="AB4879" s="7"/>
      <c r="AC4879" s="7"/>
    </row>
    <row r="4880" spans="1:29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  <c r="AA4880" s="7"/>
      <c r="AB4880" s="7"/>
      <c r="AC4880" s="7"/>
    </row>
    <row r="4881" spans="1:29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  <c r="AA4881" s="7"/>
      <c r="AB4881" s="7"/>
      <c r="AC4881" s="7"/>
    </row>
    <row r="4882" spans="1:29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  <c r="AA4882" s="7"/>
      <c r="AB4882" s="7"/>
      <c r="AC4882" s="7"/>
    </row>
    <row r="4883" spans="1:29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  <c r="AA4883" s="7"/>
      <c r="AB4883" s="7"/>
      <c r="AC4883" s="7"/>
    </row>
    <row r="4884" spans="1:29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  <c r="AA4884" s="7"/>
      <c r="AB4884" s="7"/>
      <c r="AC4884" s="7"/>
    </row>
    <row r="4885" spans="1:29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  <c r="AA4885" s="7"/>
      <c r="AB4885" s="7"/>
      <c r="AC4885" s="7"/>
    </row>
    <row r="4886" spans="1:29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  <c r="AA4886" s="7"/>
      <c r="AB4886" s="7"/>
      <c r="AC4886" s="7"/>
    </row>
    <row r="4887" spans="1:29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  <c r="AA4887" s="7"/>
      <c r="AB4887" s="7"/>
      <c r="AC4887" s="7"/>
    </row>
    <row r="4888" spans="1:29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  <c r="AA4888" s="7"/>
      <c r="AB4888" s="7"/>
      <c r="AC4888" s="7"/>
    </row>
    <row r="4889" spans="1:29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  <c r="AA4889" s="7"/>
      <c r="AB4889" s="7"/>
      <c r="AC4889" s="7"/>
    </row>
    <row r="4890" spans="1:29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  <c r="AA4890" s="7"/>
      <c r="AB4890" s="7"/>
      <c r="AC4890" s="7"/>
    </row>
    <row r="4891" spans="1:29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  <c r="AA4891" s="7"/>
      <c r="AB4891" s="7"/>
      <c r="AC4891" s="7"/>
    </row>
    <row r="4892" spans="1:29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  <c r="AA4892" s="7"/>
      <c r="AB4892" s="7"/>
      <c r="AC4892" s="7"/>
    </row>
    <row r="4893" spans="1:29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  <c r="AA4893" s="7"/>
      <c r="AB4893" s="7"/>
      <c r="AC4893" s="7"/>
    </row>
    <row r="4894" spans="1:29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  <c r="AA4894" s="7"/>
      <c r="AB4894" s="7"/>
      <c r="AC4894" s="7"/>
    </row>
    <row r="4895" spans="1:29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  <c r="AA4895" s="7"/>
      <c r="AB4895" s="7"/>
      <c r="AC4895" s="7"/>
    </row>
    <row r="4896" spans="1:29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  <c r="AA4896" s="7"/>
      <c r="AB4896" s="7"/>
      <c r="AC4896" s="7"/>
    </row>
    <row r="4897" spans="1:29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  <c r="AA4897" s="7"/>
      <c r="AB4897" s="7"/>
      <c r="AC4897" s="7"/>
    </row>
    <row r="4898" spans="1:29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  <c r="AA4898" s="7"/>
      <c r="AB4898" s="7"/>
      <c r="AC4898" s="7"/>
    </row>
    <row r="4899" spans="1:29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  <c r="AA4899" s="7"/>
      <c r="AB4899" s="7"/>
      <c r="AC4899" s="7"/>
    </row>
    <row r="4900" spans="1:29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  <c r="AA4900" s="7"/>
      <c r="AB4900" s="7"/>
      <c r="AC4900" s="7"/>
    </row>
    <row r="4901" spans="1:29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  <c r="AA4901" s="7"/>
      <c r="AB4901" s="7"/>
      <c r="AC4901" s="7"/>
    </row>
    <row r="4902" spans="1:29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  <c r="AA4902" s="7"/>
      <c r="AB4902" s="7"/>
      <c r="AC4902" s="7"/>
    </row>
    <row r="4903" spans="1:29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  <c r="AA4903" s="7"/>
      <c r="AB4903" s="7"/>
      <c r="AC4903" s="7"/>
    </row>
    <row r="4904" spans="1:29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  <c r="AA4904" s="7"/>
      <c r="AB4904" s="7"/>
      <c r="AC4904" s="7"/>
    </row>
    <row r="4905" spans="1:29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  <c r="AA4905" s="7"/>
      <c r="AB4905" s="7"/>
      <c r="AC4905" s="7"/>
    </row>
    <row r="4906" spans="1:29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  <c r="AA4906" s="7"/>
      <c r="AB4906" s="7"/>
      <c r="AC4906" s="7"/>
    </row>
    <row r="4907" spans="1:29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  <c r="AA4907" s="7"/>
      <c r="AB4907" s="7"/>
      <c r="AC4907" s="7"/>
    </row>
    <row r="4908" spans="1:29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  <c r="AA4908" s="7"/>
      <c r="AB4908" s="7"/>
      <c r="AC4908" s="7"/>
    </row>
    <row r="4909" spans="1:29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  <c r="AA4909" s="7"/>
      <c r="AB4909" s="7"/>
      <c r="AC4909" s="7"/>
    </row>
    <row r="4910" spans="1:29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  <c r="AA4910" s="7"/>
      <c r="AB4910" s="7"/>
      <c r="AC4910" s="7"/>
    </row>
    <row r="4911" spans="1:29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  <c r="AA4911" s="7"/>
      <c r="AB4911" s="7"/>
      <c r="AC4911" s="7"/>
    </row>
    <row r="4912" spans="1:29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  <c r="AA4912" s="7"/>
      <c r="AB4912" s="7"/>
      <c r="AC4912" s="7"/>
    </row>
    <row r="4913" spans="1:29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  <c r="AA4913" s="7"/>
      <c r="AB4913" s="7"/>
      <c r="AC4913" s="7"/>
    </row>
    <row r="4914" spans="1:29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  <c r="AA4914" s="7"/>
      <c r="AB4914" s="7"/>
      <c r="AC4914" s="7"/>
    </row>
    <row r="4915" spans="1:29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  <c r="AA4915" s="7"/>
      <c r="AB4915" s="7"/>
      <c r="AC4915" s="7"/>
    </row>
    <row r="4916" spans="1:29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  <c r="AA4916" s="7"/>
      <c r="AB4916" s="7"/>
      <c r="AC4916" s="7"/>
    </row>
    <row r="4917" spans="1:29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  <c r="AA4917" s="7"/>
      <c r="AB4917" s="7"/>
      <c r="AC4917" s="7"/>
    </row>
    <row r="4918" spans="1:29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  <c r="AA4918" s="7"/>
      <c r="AB4918" s="7"/>
      <c r="AC4918" s="7"/>
    </row>
    <row r="4919" spans="1:29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  <c r="AA4919" s="7"/>
      <c r="AB4919" s="7"/>
      <c r="AC4919" s="7"/>
    </row>
    <row r="4920" spans="1:29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  <c r="AA4920" s="7"/>
      <c r="AB4920" s="7"/>
      <c r="AC4920" s="7"/>
    </row>
    <row r="4921" spans="1:29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  <c r="AA4921" s="7"/>
      <c r="AB4921" s="7"/>
      <c r="AC4921" s="7"/>
    </row>
    <row r="4922" spans="1:29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  <c r="AA4922" s="7"/>
      <c r="AB4922" s="7"/>
      <c r="AC4922" s="7"/>
    </row>
    <row r="4923" spans="1:29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  <c r="AA4923" s="7"/>
      <c r="AB4923" s="7"/>
      <c r="AC4923" s="7"/>
    </row>
    <row r="4924" spans="1:29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  <c r="AA4924" s="7"/>
      <c r="AB4924" s="7"/>
      <c r="AC4924" s="7"/>
    </row>
    <row r="4925" spans="1:29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  <c r="AA4925" s="7"/>
      <c r="AB4925" s="7"/>
      <c r="AC4925" s="7"/>
    </row>
    <row r="4926" spans="1:29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  <c r="AA4926" s="7"/>
      <c r="AB4926" s="7"/>
      <c r="AC4926" s="7"/>
    </row>
    <row r="4927" spans="1:29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  <c r="AA4927" s="7"/>
      <c r="AB4927" s="7"/>
      <c r="AC4927" s="7"/>
    </row>
    <row r="4928" spans="1:29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  <c r="AA4928" s="7"/>
      <c r="AB4928" s="7"/>
      <c r="AC4928" s="7"/>
    </row>
    <row r="4929" spans="1:29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  <c r="AA4929" s="7"/>
      <c r="AB4929" s="7"/>
      <c r="AC4929" s="7"/>
    </row>
    <row r="4930" spans="1:29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  <c r="AA4930" s="7"/>
      <c r="AB4930" s="7"/>
      <c r="AC4930" s="7"/>
    </row>
    <row r="4931" spans="1:29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  <c r="AA4931" s="7"/>
      <c r="AB4931" s="7"/>
      <c r="AC4931" s="7"/>
    </row>
    <row r="4932" spans="1:29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  <c r="AA4932" s="7"/>
      <c r="AB4932" s="7"/>
      <c r="AC4932" s="7"/>
    </row>
    <row r="4933" spans="1:29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  <c r="AA4933" s="7"/>
      <c r="AB4933" s="7"/>
      <c r="AC4933" s="7"/>
    </row>
    <row r="4934" spans="1:29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  <c r="AA4934" s="7"/>
      <c r="AB4934" s="7"/>
      <c r="AC4934" s="7"/>
    </row>
    <row r="4935" spans="1:29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  <c r="AA4935" s="7"/>
      <c r="AB4935" s="7"/>
      <c r="AC4935" s="7"/>
    </row>
    <row r="4936" spans="1:29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  <c r="AA4936" s="7"/>
      <c r="AB4936" s="7"/>
      <c r="AC4936" s="7"/>
    </row>
    <row r="4937" spans="1:29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  <c r="AA4937" s="7"/>
      <c r="AB4937" s="7"/>
      <c r="AC4937" s="7"/>
    </row>
    <row r="4938" spans="1:29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  <c r="AA4938" s="7"/>
      <c r="AB4938" s="7"/>
      <c r="AC4938" s="7"/>
    </row>
    <row r="4939" spans="1:29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  <c r="AA4939" s="7"/>
      <c r="AB4939" s="7"/>
      <c r="AC4939" s="7"/>
    </row>
    <row r="4940" spans="1:29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  <c r="AA4940" s="7"/>
      <c r="AB4940" s="7"/>
      <c r="AC4940" s="7"/>
    </row>
    <row r="4941" spans="1:29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  <c r="AA4941" s="7"/>
      <c r="AB4941" s="7"/>
      <c r="AC4941" s="7"/>
    </row>
    <row r="4942" spans="1:29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  <c r="AA4942" s="7"/>
      <c r="AB4942" s="7"/>
      <c r="AC4942" s="7"/>
    </row>
    <row r="4943" spans="1:29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  <c r="AA4943" s="7"/>
      <c r="AB4943" s="7"/>
      <c r="AC4943" s="7"/>
    </row>
    <row r="4944" spans="1:29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  <c r="AA4944" s="7"/>
      <c r="AB4944" s="7"/>
      <c r="AC4944" s="7"/>
    </row>
    <row r="4945" spans="1:29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  <c r="AA4945" s="7"/>
      <c r="AB4945" s="7"/>
      <c r="AC4945" s="7"/>
    </row>
    <row r="4946" spans="1:29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  <c r="AA4946" s="7"/>
      <c r="AB4946" s="7"/>
      <c r="AC4946" s="7"/>
    </row>
    <row r="4947" spans="1:29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  <c r="AA4947" s="7"/>
      <c r="AB4947" s="7"/>
      <c r="AC4947" s="7"/>
    </row>
    <row r="4948" spans="1:29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  <c r="AA4948" s="7"/>
      <c r="AB4948" s="7"/>
      <c r="AC4948" s="7"/>
    </row>
    <row r="4949" spans="1:29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  <c r="AA4949" s="7"/>
      <c r="AB4949" s="7"/>
      <c r="AC4949" s="7"/>
    </row>
    <row r="4950" spans="1:29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  <c r="AA4950" s="7"/>
      <c r="AB4950" s="7"/>
      <c r="AC4950" s="7"/>
    </row>
    <row r="4951" spans="1:29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  <c r="AA4951" s="7"/>
      <c r="AB4951" s="7"/>
      <c r="AC4951" s="7"/>
    </row>
    <row r="4952" spans="1:29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  <c r="AA4952" s="7"/>
      <c r="AB4952" s="7"/>
      <c r="AC4952" s="7"/>
    </row>
    <row r="4953" spans="1:29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  <c r="AA4953" s="7"/>
      <c r="AB4953" s="7"/>
      <c r="AC4953" s="7"/>
    </row>
    <row r="4954" spans="1:29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  <c r="AA4954" s="7"/>
      <c r="AB4954" s="7"/>
      <c r="AC4954" s="7"/>
    </row>
    <row r="4955" spans="1:29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  <c r="AA4955" s="7"/>
      <c r="AB4955" s="7"/>
      <c r="AC4955" s="7"/>
    </row>
    <row r="4956" spans="1:29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  <c r="AA4956" s="7"/>
      <c r="AB4956" s="7"/>
      <c r="AC4956" s="7"/>
    </row>
    <row r="4957" spans="1:29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  <c r="AA4957" s="7"/>
      <c r="AB4957" s="7"/>
      <c r="AC4957" s="7"/>
    </row>
    <row r="4958" spans="1:29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  <c r="AA4958" s="7"/>
      <c r="AB4958" s="7"/>
      <c r="AC4958" s="7"/>
    </row>
    <row r="4959" spans="1:29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  <c r="AA4959" s="7"/>
      <c r="AB4959" s="7"/>
      <c r="AC4959" s="7"/>
    </row>
    <row r="4960" spans="1:29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  <c r="AA4960" s="7"/>
      <c r="AB4960" s="7"/>
      <c r="AC4960" s="7"/>
    </row>
    <row r="4961" spans="1:29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  <c r="AA4961" s="7"/>
      <c r="AB4961" s="7"/>
      <c r="AC4961" s="7"/>
    </row>
    <row r="4962" spans="1:29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  <c r="AA4962" s="7"/>
      <c r="AB4962" s="7"/>
      <c r="AC4962" s="7"/>
    </row>
    <row r="4963" spans="1:29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  <c r="AA4963" s="7"/>
      <c r="AB4963" s="7"/>
      <c r="AC4963" s="7"/>
    </row>
    <row r="4964" spans="1:29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  <c r="AA4964" s="7"/>
      <c r="AB4964" s="7"/>
      <c r="AC4964" s="7"/>
    </row>
    <row r="4965" spans="1:29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  <c r="AA4965" s="7"/>
      <c r="AB4965" s="7"/>
      <c r="AC4965" s="7"/>
    </row>
    <row r="4966" spans="1:29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  <c r="AA4966" s="7"/>
      <c r="AB4966" s="7"/>
      <c r="AC4966" s="7"/>
    </row>
    <row r="4967" spans="1:29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  <c r="AA4967" s="7"/>
      <c r="AB4967" s="7"/>
      <c r="AC4967" s="7"/>
    </row>
    <row r="4968" spans="1:29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  <c r="AA4968" s="7"/>
      <c r="AB4968" s="7"/>
      <c r="AC4968" s="7"/>
    </row>
    <row r="4969" spans="1:29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  <c r="AA4969" s="7"/>
      <c r="AB4969" s="7"/>
      <c r="AC4969" s="7"/>
    </row>
    <row r="4970" spans="1:29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  <c r="AA4970" s="7"/>
      <c r="AB4970" s="7"/>
      <c r="AC4970" s="7"/>
    </row>
    <row r="4971" spans="1:29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  <c r="AA4971" s="7"/>
      <c r="AB4971" s="7"/>
      <c r="AC4971" s="7"/>
    </row>
    <row r="4972" spans="1:29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  <c r="AA4972" s="7"/>
      <c r="AB4972" s="7"/>
      <c r="AC4972" s="7"/>
    </row>
    <row r="4973" spans="1:29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  <c r="AA4973" s="7"/>
      <c r="AB4973" s="7"/>
      <c r="AC4973" s="7"/>
    </row>
    <row r="4974" spans="1:29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  <c r="AA4974" s="7"/>
      <c r="AB4974" s="7"/>
      <c r="AC4974" s="7"/>
    </row>
    <row r="4975" spans="1:29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  <c r="AA4975" s="7"/>
      <c r="AB4975" s="7"/>
      <c r="AC4975" s="7"/>
    </row>
    <row r="4976" spans="1:29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  <c r="AA4976" s="7"/>
      <c r="AB4976" s="7"/>
      <c r="AC4976" s="7"/>
    </row>
    <row r="4977" spans="1:29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  <c r="AA4977" s="7"/>
      <c r="AB4977" s="7"/>
      <c r="AC4977" s="7"/>
    </row>
    <row r="4978" spans="1:29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  <c r="AA4978" s="7"/>
      <c r="AB4978" s="7"/>
      <c r="AC4978" s="7"/>
    </row>
    <row r="4979" spans="1:29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  <c r="AA4979" s="7"/>
      <c r="AB4979" s="7"/>
      <c r="AC4979" s="7"/>
    </row>
    <row r="4980" spans="1:29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  <c r="AA4980" s="7"/>
      <c r="AB4980" s="7"/>
      <c r="AC4980" s="7"/>
    </row>
    <row r="4981" spans="1:29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  <c r="AA4981" s="7"/>
      <c r="AB4981" s="7"/>
      <c r="AC4981" s="7"/>
    </row>
    <row r="4982" spans="1:29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  <c r="AA4982" s="7"/>
      <c r="AB4982" s="7"/>
      <c r="AC4982" s="7"/>
    </row>
    <row r="4983" spans="1:29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  <c r="AA4983" s="7"/>
      <c r="AB4983" s="7"/>
      <c r="AC4983" s="7"/>
    </row>
    <row r="4984" spans="1:29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  <c r="AA4984" s="7"/>
      <c r="AB4984" s="7"/>
      <c r="AC4984" s="7"/>
    </row>
    <row r="4985" spans="1:29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  <c r="AA4985" s="7"/>
      <c r="AB4985" s="7"/>
      <c r="AC4985" s="7"/>
    </row>
    <row r="4986" spans="1:29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  <c r="AA4986" s="7"/>
      <c r="AB4986" s="7"/>
      <c r="AC4986" s="7"/>
    </row>
    <row r="4987" spans="1:29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  <c r="AA4987" s="7"/>
      <c r="AB4987" s="7"/>
      <c r="AC4987" s="7"/>
    </row>
    <row r="4988" spans="1:29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  <c r="AA4988" s="7"/>
      <c r="AB4988" s="7"/>
      <c r="AC4988" s="7"/>
    </row>
    <row r="4989" spans="1:29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  <c r="AA4989" s="7"/>
      <c r="AB4989" s="7"/>
      <c r="AC4989" s="7"/>
    </row>
    <row r="4990" spans="1:29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  <c r="AA4990" s="7"/>
      <c r="AB4990" s="7"/>
      <c r="AC4990" s="7"/>
    </row>
    <row r="4991" spans="1:29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  <c r="AA4991" s="7"/>
      <c r="AB4991" s="7"/>
      <c r="AC4991" s="7"/>
    </row>
    <row r="4992" spans="1:29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  <c r="AA4992" s="7"/>
      <c r="AB4992" s="7"/>
      <c r="AC4992" s="7"/>
    </row>
    <row r="4993" spans="1:29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  <c r="AA4993" s="7"/>
      <c r="AB4993" s="7"/>
      <c r="AC4993" s="7"/>
    </row>
    <row r="4994" spans="1:29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  <c r="AA4994" s="7"/>
      <c r="AB4994" s="7"/>
      <c r="AC4994" s="7"/>
    </row>
    <row r="4995" spans="1:29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  <c r="AA4995" s="7"/>
      <c r="AB4995" s="7"/>
      <c r="AC4995" s="7"/>
    </row>
    <row r="4996" spans="1:29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  <c r="AA4996" s="7"/>
      <c r="AB4996" s="7"/>
      <c r="AC4996" s="7"/>
    </row>
    <row r="4997" spans="1:29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  <c r="AA4997" s="7"/>
      <c r="AB4997" s="7"/>
      <c r="AC4997" s="7"/>
    </row>
    <row r="4998" spans="1:29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  <c r="AA4998" s="7"/>
      <c r="AB4998" s="7"/>
      <c r="AC4998" s="7"/>
    </row>
    <row r="4999" spans="1:29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  <c r="AA4999" s="7"/>
      <c r="AB4999" s="7"/>
      <c r="AC4999" s="7"/>
    </row>
    <row r="5000" spans="1:29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  <c r="AA5000" s="7"/>
      <c r="AB5000" s="7"/>
      <c r="AC5000" s="7"/>
    </row>
    <row r="5001" spans="1:29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  <c r="AA5001" s="7"/>
      <c r="AB5001" s="7"/>
      <c r="AC5001" s="7"/>
    </row>
    <row r="5002" spans="1:29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  <c r="AA5002" s="7"/>
      <c r="AB5002" s="7"/>
      <c r="AC5002" s="7"/>
    </row>
    <row r="5003" spans="1:29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  <c r="AA5003" s="7"/>
      <c r="AB5003" s="7"/>
      <c r="AC5003" s="7"/>
    </row>
    <row r="5004" spans="1:29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  <c r="AA5004" s="7"/>
      <c r="AB5004" s="7"/>
      <c r="AC5004" s="7"/>
    </row>
    <row r="5005" spans="1:29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  <c r="AA5005" s="7"/>
      <c r="AB5005" s="7"/>
      <c r="AC5005" s="7"/>
    </row>
    <row r="5006" spans="1:29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  <c r="AA5006" s="7"/>
      <c r="AB5006" s="7"/>
      <c r="AC5006" s="7"/>
    </row>
    <row r="5007" spans="1:29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  <c r="AA5007" s="7"/>
      <c r="AB5007" s="7"/>
      <c r="AC5007" s="7"/>
    </row>
    <row r="5008" spans="1:29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  <c r="AA5008" s="7"/>
      <c r="AB5008" s="7"/>
      <c r="AC5008" s="7"/>
    </row>
    <row r="5009" spans="1:29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  <c r="AA5009" s="7"/>
      <c r="AB5009" s="7"/>
      <c r="AC5009" s="7"/>
    </row>
    <row r="5010" spans="1:29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  <c r="AA5010" s="7"/>
      <c r="AB5010" s="7"/>
      <c r="AC5010" s="7"/>
    </row>
    <row r="5011" spans="1:29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  <c r="AA5011" s="7"/>
      <c r="AB5011" s="7"/>
      <c r="AC5011" s="7"/>
    </row>
    <row r="5012" spans="1:29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  <c r="AA5012" s="7"/>
      <c r="AB5012" s="7"/>
      <c r="AC5012" s="7"/>
    </row>
    <row r="5013" spans="1:29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  <c r="AA5013" s="7"/>
      <c r="AB5013" s="7"/>
      <c r="AC5013" s="7"/>
    </row>
    <row r="5014" spans="1:29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  <c r="AA5014" s="7"/>
      <c r="AB5014" s="7"/>
      <c r="AC5014" s="7"/>
    </row>
    <row r="5015" spans="1:29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  <c r="AA5015" s="7"/>
      <c r="AB5015" s="7"/>
      <c r="AC5015" s="7"/>
    </row>
    <row r="5016" spans="1:29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  <c r="AA5016" s="7"/>
      <c r="AB5016" s="7"/>
      <c r="AC5016" s="7"/>
    </row>
    <row r="5017" spans="1:29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  <c r="AA5017" s="7"/>
      <c r="AB5017" s="7"/>
      <c r="AC5017" s="7"/>
    </row>
    <row r="5018" spans="1:29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  <c r="AA5018" s="7"/>
      <c r="AB5018" s="7"/>
      <c r="AC5018" s="7"/>
    </row>
    <row r="5019" spans="1:29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  <c r="AA5019" s="7"/>
      <c r="AB5019" s="7"/>
      <c r="AC5019" s="7"/>
    </row>
    <row r="5020" spans="1:29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  <c r="AA5020" s="7"/>
      <c r="AB5020" s="7"/>
      <c r="AC5020" s="7"/>
    </row>
    <row r="5021" spans="1:29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  <c r="AA5021" s="7"/>
      <c r="AB5021" s="7"/>
      <c r="AC5021" s="7"/>
    </row>
    <row r="5022" spans="1:29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  <c r="AA5022" s="7"/>
      <c r="AB5022" s="7"/>
      <c r="AC5022" s="7"/>
    </row>
    <row r="5023" spans="1:29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  <c r="AA5023" s="7"/>
      <c r="AB5023" s="7"/>
      <c r="AC5023" s="7"/>
    </row>
    <row r="5024" spans="1:29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  <c r="AA5024" s="7"/>
      <c r="AB5024" s="7"/>
      <c r="AC5024" s="7"/>
    </row>
    <row r="5025" spans="1:29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  <c r="AA5025" s="7"/>
      <c r="AB5025" s="7"/>
      <c r="AC5025" s="7"/>
    </row>
    <row r="5026" spans="1:29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  <c r="AA5026" s="7"/>
      <c r="AB5026" s="7"/>
      <c r="AC5026" s="7"/>
    </row>
    <row r="5027" spans="1:29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  <c r="AA5027" s="7"/>
      <c r="AB5027" s="7"/>
      <c r="AC5027" s="7"/>
    </row>
    <row r="5028" spans="1:29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  <c r="AA5028" s="7"/>
      <c r="AB5028" s="7"/>
      <c r="AC5028" s="7"/>
    </row>
    <row r="5029" spans="1:29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  <c r="AA5029" s="7"/>
      <c r="AB5029" s="7"/>
      <c r="AC5029" s="7"/>
    </row>
    <row r="5030" spans="1:29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  <c r="AA5030" s="7"/>
      <c r="AB5030" s="7"/>
      <c r="AC5030" s="7"/>
    </row>
    <row r="5031" spans="1:29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  <c r="AA5031" s="7"/>
      <c r="AB5031" s="7"/>
      <c r="AC5031" s="7"/>
    </row>
    <row r="5032" spans="1:29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  <c r="AA5032" s="7"/>
      <c r="AB5032" s="7"/>
      <c r="AC5032" s="7"/>
    </row>
    <row r="5033" spans="1:29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  <c r="AA5033" s="7"/>
      <c r="AB5033" s="7"/>
      <c r="AC5033" s="7"/>
    </row>
    <row r="5034" spans="1:29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  <c r="AA5034" s="7"/>
      <c r="AB5034" s="7"/>
      <c r="AC5034" s="7"/>
    </row>
    <row r="5035" spans="1:29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  <c r="AA5035" s="7"/>
      <c r="AB5035" s="7"/>
      <c r="AC5035" s="7"/>
    </row>
    <row r="5036" spans="1:29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  <c r="AA5036" s="7"/>
      <c r="AB5036" s="7"/>
      <c r="AC5036" s="7"/>
    </row>
    <row r="5037" spans="1:29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  <c r="AA5037" s="7"/>
      <c r="AB5037" s="7"/>
      <c r="AC5037" s="7"/>
    </row>
    <row r="5038" spans="1:29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  <c r="AA5038" s="7"/>
      <c r="AB5038" s="7"/>
      <c r="AC5038" s="7"/>
    </row>
    <row r="5039" spans="1:29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  <c r="AA5039" s="7"/>
      <c r="AB5039" s="7"/>
      <c r="AC5039" s="7"/>
    </row>
    <row r="5040" spans="1:29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  <c r="AA5040" s="7"/>
      <c r="AB5040" s="7"/>
      <c r="AC5040" s="7"/>
    </row>
    <row r="5041" spans="1:29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  <c r="AA5041" s="7"/>
      <c r="AB5041" s="7"/>
      <c r="AC5041" s="7"/>
    </row>
    <row r="5042" spans="1:29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  <c r="AA5042" s="7"/>
      <c r="AB5042" s="7"/>
      <c r="AC5042" s="7"/>
    </row>
    <row r="5043" spans="1:29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  <c r="AA5043" s="7"/>
      <c r="AB5043" s="7"/>
      <c r="AC5043" s="7"/>
    </row>
    <row r="5044" spans="1:29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  <c r="AA5044" s="7"/>
      <c r="AB5044" s="7"/>
      <c r="AC5044" s="7"/>
    </row>
    <row r="5045" spans="1:29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  <c r="AA5045" s="7"/>
      <c r="AB5045" s="7"/>
      <c r="AC5045" s="7"/>
    </row>
    <row r="5046" spans="1:29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  <c r="AA5046" s="7"/>
      <c r="AB5046" s="7"/>
      <c r="AC5046" s="7"/>
    </row>
    <row r="5047" spans="1:29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  <c r="AA5047" s="7"/>
      <c r="AB5047" s="7"/>
      <c r="AC5047" s="7"/>
    </row>
    <row r="5048" spans="1:29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  <c r="AA5048" s="7"/>
      <c r="AB5048" s="7"/>
      <c r="AC5048" s="7"/>
    </row>
    <row r="5049" spans="1:29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  <c r="AA5049" s="7"/>
      <c r="AB5049" s="7"/>
      <c r="AC5049" s="7"/>
    </row>
    <row r="5050" spans="1:29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  <c r="AA5050" s="7"/>
      <c r="AB5050" s="7"/>
      <c r="AC5050" s="7"/>
    </row>
    <row r="5051" spans="1:29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  <c r="AA5051" s="7"/>
      <c r="AB5051" s="7"/>
      <c r="AC5051" s="7"/>
    </row>
    <row r="5052" spans="1:29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  <c r="AA5052" s="7"/>
      <c r="AB5052" s="7"/>
      <c r="AC5052" s="7"/>
    </row>
    <row r="5053" spans="1:29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  <c r="AA5053" s="7"/>
      <c r="AB5053" s="7"/>
      <c r="AC5053" s="7"/>
    </row>
    <row r="5054" spans="1:29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  <c r="AA5054" s="7"/>
      <c r="AB5054" s="7"/>
      <c r="AC5054" s="7"/>
    </row>
    <row r="5055" spans="1:29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  <c r="AA5055" s="7"/>
      <c r="AB5055" s="7"/>
      <c r="AC5055" s="7"/>
    </row>
    <row r="5056" spans="1:29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  <c r="AA5056" s="7"/>
      <c r="AB5056" s="7"/>
      <c r="AC5056" s="7"/>
    </row>
    <row r="5057" spans="1:29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  <c r="AA5057" s="7"/>
      <c r="AB5057" s="7"/>
      <c r="AC5057" s="7"/>
    </row>
    <row r="5058" spans="1:29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  <c r="AA5058" s="7"/>
      <c r="AB5058" s="7"/>
      <c r="AC5058" s="7"/>
    </row>
    <row r="5059" spans="1:29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  <c r="AA5059" s="7"/>
      <c r="AB5059" s="7"/>
      <c r="AC5059" s="7"/>
    </row>
    <row r="5060" spans="1:29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  <c r="AA5060" s="7"/>
      <c r="AB5060" s="7"/>
      <c r="AC5060" s="7"/>
    </row>
    <row r="5061" spans="1:29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  <c r="AA5061" s="7"/>
      <c r="AB5061" s="7"/>
      <c r="AC5061" s="7"/>
    </row>
    <row r="5062" spans="1:29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  <c r="AA5062" s="7"/>
      <c r="AB5062" s="7"/>
      <c r="AC5062" s="7"/>
    </row>
    <row r="5063" spans="1:29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  <c r="AA5063" s="7"/>
      <c r="AB5063" s="7"/>
      <c r="AC5063" s="7"/>
    </row>
    <row r="5064" spans="1:29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  <c r="AA5064" s="7"/>
      <c r="AB5064" s="7"/>
      <c r="AC5064" s="7"/>
    </row>
    <row r="5065" spans="1:29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  <c r="AA5065" s="7"/>
      <c r="AB5065" s="7"/>
      <c r="AC5065" s="7"/>
    </row>
    <row r="5066" spans="1:29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  <c r="AA5066" s="7"/>
      <c r="AB5066" s="7"/>
      <c r="AC5066" s="7"/>
    </row>
    <row r="5067" spans="1:29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  <c r="AA5067" s="7"/>
      <c r="AB5067" s="7"/>
      <c r="AC5067" s="7"/>
    </row>
    <row r="5068" spans="1:29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  <c r="AA5068" s="7"/>
      <c r="AB5068" s="7"/>
      <c r="AC5068" s="7"/>
    </row>
    <row r="5069" spans="1:29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  <c r="AA5069" s="7"/>
      <c r="AB5069" s="7"/>
      <c r="AC5069" s="7"/>
    </row>
    <row r="5070" spans="1:29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  <c r="AA5070" s="7"/>
      <c r="AB5070" s="7"/>
      <c r="AC5070" s="7"/>
    </row>
    <row r="5071" spans="1:29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  <c r="AA5071" s="7"/>
      <c r="AB5071" s="7"/>
      <c r="AC5071" s="7"/>
    </row>
    <row r="5072" spans="1:29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  <c r="AA5072" s="7"/>
      <c r="AB5072" s="7"/>
      <c r="AC5072" s="7"/>
    </row>
    <row r="5073" spans="1:29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  <c r="AA5073" s="7"/>
      <c r="AB5073" s="7"/>
      <c r="AC5073" s="7"/>
    </row>
    <row r="5074" spans="1:29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  <c r="AA5074" s="7"/>
      <c r="AB5074" s="7"/>
      <c r="AC5074" s="7"/>
    </row>
    <row r="5075" spans="1:29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  <c r="AA5075" s="7"/>
      <c r="AB5075" s="7"/>
      <c r="AC5075" s="7"/>
    </row>
    <row r="5076" spans="1:29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  <c r="AA5076" s="7"/>
      <c r="AB5076" s="7"/>
      <c r="AC5076" s="7"/>
    </row>
    <row r="5077" spans="1:29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  <c r="AA5077" s="7"/>
      <c r="AB5077" s="7"/>
      <c r="AC5077" s="7"/>
    </row>
    <row r="5078" spans="1:29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  <c r="AA5078" s="7"/>
      <c r="AB5078" s="7"/>
      <c r="AC5078" s="7"/>
    </row>
    <row r="5079" spans="1:29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  <c r="AA5079" s="7"/>
      <c r="AB5079" s="7"/>
      <c r="AC5079" s="7"/>
    </row>
    <row r="5080" spans="1:29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  <c r="AA5080" s="7"/>
      <c r="AB5080" s="7"/>
      <c r="AC5080" s="7"/>
    </row>
    <row r="5081" spans="1:29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  <c r="AA5081" s="7"/>
      <c r="AB5081" s="7"/>
      <c r="AC5081" s="7"/>
    </row>
    <row r="5082" spans="1:29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  <c r="AA5082" s="7"/>
      <c r="AB5082" s="7"/>
      <c r="AC5082" s="7"/>
    </row>
    <row r="5083" spans="1:29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  <c r="AA5083" s="7"/>
      <c r="AB5083" s="7"/>
      <c r="AC5083" s="7"/>
    </row>
    <row r="5084" spans="1:29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  <c r="AA5084" s="7"/>
      <c r="AB5084" s="7"/>
      <c r="AC5084" s="7"/>
    </row>
    <row r="5085" spans="1:29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  <c r="AA5085" s="7"/>
      <c r="AB5085" s="7"/>
      <c r="AC5085" s="7"/>
    </row>
    <row r="5086" spans="1:29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  <c r="AA5086" s="7"/>
      <c r="AB5086" s="7"/>
      <c r="AC5086" s="7"/>
    </row>
    <row r="5087" spans="1:29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  <c r="AA5087" s="7"/>
      <c r="AB5087" s="7"/>
      <c r="AC5087" s="7"/>
    </row>
    <row r="5088" spans="1:29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  <c r="AA5088" s="7"/>
      <c r="AB5088" s="7"/>
      <c r="AC5088" s="7"/>
    </row>
    <row r="5089" spans="1:29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  <c r="AA5089" s="7"/>
      <c r="AB5089" s="7"/>
      <c r="AC5089" s="7"/>
    </row>
    <row r="5090" spans="1:29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  <c r="AA5090" s="7"/>
      <c r="AB5090" s="7"/>
      <c r="AC5090" s="7"/>
    </row>
    <row r="5091" spans="1:29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  <c r="AA5091" s="7"/>
      <c r="AB5091" s="7"/>
      <c r="AC5091" s="7"/>
    </row>
    <row r="5092" spans="1:29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  <c r="AA5092" s="7"/>
      <c r="AB5092" s="7"/>
      <c r="AC5092" s="7"/>
    </row>
    <row r="5093" spans="1:29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  <c r="AA5093" s="7"/>
      <c r="AB5093" s="7"/>
      <c r="AC5093" s="7"/>
    </row>
    <row r="5094" spans="1:29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  <c r="AA5094" s="7"/>
      <c r="AB5094" s="7"/>
      <c r="AC5094" s="7"/>
    </row>
    <row r="5095" spans="1:29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  <c r="AA5095" s="7"/>
      <c r="AB5095" s="7"/>
      <c r="AC5095" s="7"/>
    </row>
    <row r="5096" spans="1:29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  <c r="AA5096" s="7"/>
      <c r="AB5096" s="7"/>
      <c r="AC5096" s="7"/>
    </row>
    <row r="5097" spans="1:29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  <c r="AA5097" s="7"/>
      <c r="AB5097" s="7"/>
      <c r="AC5097" s="7"/>
    </row>
    <row r="5098" spans="1:29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  <c r="AA5098" s="7"/>
      <c r="AB5098" s="7"/>
      <c r="AC5098" s="7"/>
    </row>
    <row r="5099" spans="1:29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  <c r="AA5099" s="7"/>
      <c r="AB5099" s="7"/>
      <c r="AC5099" s="7"/>
    </row>
    <row r="5100" spans="1:29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  <c r="AA5100" s="7"/>
      <c r="AB5100" s="7"/>
      <c r="AC5100" s="7"/>
    </row>
    <row r="5101" spans="1:29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  <c r="AA5101" s="7"/>
      <c r="AB5101" s="7"/>
      <c r="AC5101" s="7"/>
    </row>
    <row r="5102" spans="1:29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  <c r="AA5102" s="7"/>
      <c r="AB5102" s="7"/>
      <c r="AC5102" s="7"/>
    </row>
    <row r="5103" spans="1:29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  <c r="AA5103" s="7"/>
      <c r="AB5103" s="7"/>
      <c r="AC5103" s="7"/>
    </row>
    <row r="5104" spans="1:29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  <c r="AA5104" s="7"/>
      <c r="AB5104" s="7"/>
      <c r="AC5104" s="7"/>
    </row>
    <row r="5105" spans="1:29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  <c r="AA5105" s="7"/>
      <c r="AB5105" s="7"/>
      <c r="AC5105" s="7"/>
    </row>
    <row r="5106" spans="1:29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  <c r="AA5106" s="7"/>
      <c r="AB5106" s="7"/>
      <c r="AC5106" s="7"/>
    </row>
    <row r="5107" spans="1:29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  <c r="AA5107" s="7"/>
      <c r="AB5107" s="7"/>
      <c r="AC5107" s="7"/>
    </row>
    <row r="5108" spans="1:29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  <c r="AA5108" s="7"/>
      <c r="AB5108" s="7"/>
      <c r="AC5108" s="7"/>
    </row>
    <row r="5109" spans="1:29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  <c r="AA5109" s="7"/>
      <c r="AB5109" s="7"/>
      <c r="AC5109" s="7"/>
    </row>
    <row r="5110" spans="1:29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  <c r="AA5110" s="7"/>
      <c r="AB5110" s="7"/>
      <c r="AC5110" s="7"/>
    </row>
    <row r="5111" spans="1:29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  <c r="AA5111" s="7"/>
      <c r="AB5111" s="7"/>
      <c r="AC5111" s="7"/>
    </row>
    <row r="5112" spans="1:29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  <c r="AA5112" s="7"/>
      <c r="AB5112" s="7"/>
      <c r="AC5112" s="7"/>
    </row>
    <row r="5113" spans="1:29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  <c r="AA5113" s="7"/>
      <c r="AB5113" s="7"/>
      <c r="AC5113" s="7"/>
    </row>
    <row r="5114" spans="1:29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  <c r="AA5114" s="7"/>
      <c r="AB5114" s="7"/>
      <c r="AC5114" s="7"/>
    </row>
    <row r="5115" spans="1:29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  <c r="AA5115" s="7"/>
      <c r="AB5115" s="7"/>
      <c r="AC5115" s="7"/>
    </row>
    <row r="5116" spans="1:29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  <c r="AA5116" s="7"/>
      <c r="AB5116" s="7"/>
      <c r="AC5116" s="7"/>
    </row>
    <row r="5117" spans="1:29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  <c r="AA5117" s="7"/>
      <c r="AB5117" s="7"/>
      <c r="AC5117" s="7"/>
    </row>
    <row r="5118" spans="1:29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  <c r="AA5118" s="7"/>
      <c r="AB5118" s="7"/>
      <c r="AC5118" s="7"/>
    </row>
    <row r="5119" spans="1:29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  <c r="AA5119" s="7"/>
      <c r="AB5119" s="7"/>
      <c r="AC5119" s="7"/>
    </row>
    <row r="5120" spans="1:29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  <c r="AA5120" s="7"/>
      <c r="AB5120" s="7"/>
      <c r="AC5120" s="7"/>
    </row>
    <row r="5121" spans="1:29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  <c r="AA5121" s="7"/>
      <c r="AB5121" s="7"/>
      <c r="AC5121" s="7"/>
    </row>
    <row r="5122" spans="1:29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  <c r="AA5122" s="7"/>
      <c r="AB5122" s="7"/>
      <c r="AC5122" s="7"/>
    </row>
    <row r="5123" spans="1:29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  <c r="AA5123" s="7"/>
      <c r="AB5123" s="7"/>
      <c r="AC5123" s="7"/>
    </row>
    <row r="5124" spans="1:29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  <c r="AA5124" s="7"/>
      <c r="AB5124" s="7"/>
      <c r="AC5124" s="7"/>
    </row>
    <row r="5125" spans="1:29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  <c r="AA5125" s="7"/>
      <c r="AB5125" s="7"/>
      <c r="AC5125" s="7"/>
    </row>
    <row r="5126" spans="1:29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  <c r="AA5126" s="7"/>
      <c r="AB5126" s="7"/>
      <c r="AC5126" s="7"/>
    </row>
    <row r="5127" spans="1:29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  <c r="AA5127" s="7"/>
      <c r="AB5127" s="7"/>
      <c r="AC5127" s="7"/>
    </row>
    <row r="5128" spans="1:29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  <c r="AA5128" s="7"/>
      <c r="AB5128" s="7"/>
      <c r="AC5128" s="7"/>
    </row>
    <row r="5129" spans="1:29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  <c r="AA5129" s="7"/>
      <c r="AB5129" s="7"/>
      <c r="AC5129" s="7"/>
    </row>
    <row r="5130" spans="1:29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  <c r="AA5130" s="7"/>
      <c r="AB5130" s="7"/>
      <c r="AC5130" s="7"/>
    </row>
    <row r="5131" spans="1:29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  <c r="AA5131" s="7"/>
      <c r="AB5131" s="7"/>
      <c r="AC5131" s="7"/>
    </row>
    <row r="5132" spans="1:29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  <c r="AA5132" s="7"/>
      <c r="AB5132" s="7"/>
      <c r="AC5132" s="7"/>
    </row>
    <row r="5133" spans="1:29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  <c r="AA5133" s="7"/>
      <c r="AB5133" s="7"/>
      <c r="AC5133" s="7"/>
    </row>
    <row r="5134" spans="1:29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  <c r="AA5134" s="7"/>
      <c r="AB5134" s="7"/>
      <c r="AC5134" s="7"/>
    </row>
    <row r="5135" spans="1:29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  <c r="AA5135" s="7"/>
      <c r="AB5135" s="7"/>
      <c r="AC5135" s="7"/>
    </row>
    <row r="5136" spans="1:29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  <c r="AA5136" s="7"/>
      <c r="AB5136" s="7"/>
      <c r="AC5136" s="7"/>
    </row>
    <row r="5137" spans="1:29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  <c r="AA5137" s="7"/>
      <c r="AB5137" s="7"/>
      <c r="AC5137" s="7"/>
    </row>
    <row r="5138" spans="1:29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  <c r="AA5138" s="7"/>
      <c r="AB5138" s="7"/>
      <c r="AC5138" s="7"/>
    </row>
    <row r="5139" spans="1:29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  <c r="AA5139" s="7"/>
      <c r="AB5139" s="7"/>
      <c r="AC5139" s="7"/>
    </row>
    <row r="5140" spans="1:29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  <c r="AA5140" s="7"/>
      <c r="AB5140" s="7"/>
      <c r="AC5140" s="7"/>
    </row>
    <row r="5141" spans="1:29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  <c r="AA5141" s="7"/>
      <c r="AB5141" s="7"/>
      <c r="AC5141" s="7"/>
    </row>
    <row r="5142" spans="1:29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  <c r="AA5142" s="7"/>
      <c r="AB5142" s="7"/>
      <c r="AC5142" s="7"/>
    </row>
    <row r="5143" spans="1:29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  <c r="AA5143" s="7"/>
      <c r="AB5143" s="7"/>
      <c r="AC5143" s="7"/>
    </row>
    <row r="5144" spans="1:29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  <c r="AA5144" s="7"/>
      <c r="AB5144" s="7"/>
      <c r="AC5144" s="7"/>
    </row>
    <row r="5145" spans="1:29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  <c r="AA5145" s="7"/>
      <c r="AB5145" s="7"/>
      <c r="AC5145" s="7"/>
    </row>
    <row r="5146" spans="1:29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  <c r="AA5146" s="7"/>
      <c r="AB5146" s="7"/>
      <c r="AC5146" s="7"/>
    </row>
    <row r="5147" spans="1:29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  <c r="AA5147" s="7"/>
      <c r="AB5147" s="7"/>
      <c r="AC5147" s="7"/>
    </row>
    <row r="5148" spans="1:29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  <c r="AA5148" s="7"/>
      <c r="AB5148" s="7"/>
      <c r="AC5148" s="7"/>
    </row>
    <row r="5149" spans="1:29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  <c r="AA5149" s="7"/>
      <c r="AB5149" s="7"/>
      <c r="AC5149" s="7"/>
    </row>
    <row r="5150" spans="1:29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  <c r="AA5150" s="7"/>
      <c r="AB5150" s="7"/>
      <c r="AC5150" s="7"/>
    </row>
    <row r="5151" spans="1:29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  <c r="AA5151" s="7"/>
      <c r="AB5151" s="7"/>
      <c r="AC5151" s="7"/>
    </row>
    <row r="5152" spans="1:29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  <c r="AA5152" s="7"/>
      <c r="AB5152" s="7"/>
      <c r="AC5152" s="7"/>
    </row>
    <row r="5153" spans="1:29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  <c r="AA5153" s="7"/>
      <c r="AB5153" s="7"/>
      <c r="AC5153" s="7"/>
    </row>
    <row r="5154" spans="1:29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  <c r="AA5154" s="7"/>
      <c r="AB5154" s="7"/>
      <c r="AC5154" s="7"/>
    </row>
    <row r="5155" spans="1:29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  <c r="AA5155" s="7"/>
      <c r="AB5155" s="7"/>
      <c r="AC5155" s="7"/>
    </row>
    <row r="5156" spans="1:29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  <c r="AA5156" s="7"/>
      <c r="AB5156" s="7"/>
      <c r="AC5156" s="7"/>
    </row>
    <row r="5157" spans="1:29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  <c r="AA5157" s="7"/>
      <c r="AB5157" s="7"/>
      <c r="AC5157" s="7"/>
    </row>
    <row r="5158" spans="1:29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  <c r="AA5158" s="7"/>
      <c r="AB5158" s="7"/>
      <c r="AC5158" s="7"/>
    </row>
    <row r="5159" spans="1:29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  <c r="AA5159" s="7"/>
      <c r="AB5159" s="7"/>
      <c r="AC5159" s="7"/>
    </row>
    <row r="5160" spans="1:29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  <c r="AA5160" s="7"/>
      <c r="AB5160" s="7"/>
      <c r="AC5160" s="7"/>
    </row>
    <row r="5161" spans="1:29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  <c r="AA5161" s="7"/>
      <c r="AB5161" s="7"/>
      <c r="AC5161" s="7"/>
    </row>
    <row r="5162" spans="1:29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  <c r="AA5162" s="7"/>
      <c r="AB5162" s="7"/>
      <c r="AC5162" s="7"/>
    </row>
    <row r="5163" spans="1:29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  <c r="AA5163" s="7"/>
      <c r="AB5163" s="7"/>
      <c r="AC5163" s="7"/>
    </row>
    <row r="5164" spans="1:29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  <c r="AA5164" s="7"/>
      <c r="AB5164" s="7"/>
      <c r="AC5164" s="7"/>
    </row>
    <row r="5165" spans="1:29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  <c r="AA5165" s="7"/>
      <c r="AB5165" s="7"/>
      <c r="AC5165" s="7"/>
    </row>
    <row r="5166" spans="1:29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  <c r="AA5166" s="7"/>
      <c r="AB5166" s="7"/>
      <c r="AC5166" s="7"/>
    </row>
    <row r="5167" spans="1:29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  <c r="AA5167" s="7"/>
      <c r="AB5167" s="7"/>
      <c r="AC5167" s="7"/>
    </row>
    <row r="5168" spans="1:29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  <c r="AA5168" s="7"/>
      <c r="AB5168" s="7"/>
      <c r="AC5168" s="7"/>
    </row>
    <row r="5169" spans="1:29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  <c r="AA5169" s="7"/>
      <c r="AB5169" s="7"/>
      <c r="AC5169" s="7"/>
    </row>
    <row r="5170" spans="1:29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  <c r="AA5170" s="7"/>
      <c r="AB5170" s="7"/>
      <c r="AC5170" s="7"/>
    </row>
    <row r="5171" spans="1:29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  <c r="AA5171" s="7"/>
      <c r="AB5171" s="7"/>
      <c r="AC5171" s="7"/>
    </row>
    <row r="5172" spans="1:29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  <c r="AA5172" s="7"/>
      <c r="AB5172" s="7"/>
      <c r="AC5172" s="7"/>
    </row>
    <row r="5173" spans="1:29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  <c r="AA5173" s="7"/>
      <c r="AB5173" s="7"/>
      <c r="AC5173" s="7"/>
    </row>
    <row r="5174" spans="1:29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  <c r="AA5174" s="7"/>
      <c r="AB5174" s="7"/>
      <c r="AC5174" s="7"/>
    </row>
    <row r="5175" spans="1:29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  <c r="AA5175" s="7"/>
      <c r="AB5175" s="7"/>
      <c r="AC5175" s="7"/>
    </row>
    <row r="5176" spans="1:29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  <c r="AA5176" s="7"/>
      <c r="AB5176" s="7"/>
      <c r="AC5176" s="7"/>
    </row>
    <row r="5177" spans="1:29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  <c r="AA5177" s="7"/>
      <c r="AB5177" s="7"/>
      <c r="AC5177" s="7"/>
    </row>
    <row r="5178" spans="1:29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  <c r="AA5178" s="7"/>
      <c r="AB5178" s="7"/>
      <c r="AC5178" s="7"/>
    </row>
    <row r="5179" spans="1:29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  <c r="AA5179" s="7"/>
      <c r="AB5179" s="7"/>
      <c r="AC5179" s="7"/>
    </row>
    <row r="5180" spans="1:29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  <c r="AA5180" s="7"/>
      <c r="AB5180" s="7"/>
      <c r="AC5180" s="7"/>
    </row>
    <row r="5181" spans="1:29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  <c r="AA5181" s="7"/>
      <c r="AB5181" s="7"/>
      <c r="AC5181" s="7"/>
    </row>
    <row r="5182" spans="1:29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  <c r="AA5182" s="7"/>
      <c r="AB5182" s="7"/>
      <c r="AC5182" s="7"/>
    </row>
    <row r="5183" spans="1:29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  <c r="AA5183" s="7"/>
      <c r="AB5183" s="7"/>
      <c r="AC5183" s="7"/>
    </row>
    <row r="5184" spans="1:29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  <c r="AA5184" s="7"/>
      <c r="AB5184" s="7"/>
      <c r="AC5184" s="7"/>
    </row>
    <row r="5185" spans="1:29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  <c r="AA5185" s="7"/>
      <c r="AB5185" s="7"/>
      <c r="AC5185" s="7"/>
    </row>
    <row r="5186" spans="1:29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  <c r="AA5186" s="7"/>
      <c r="AB5186" s="7"/>
      <c r="AC5186" s="7"/>
    </row>
    <row r="5187" spans="1:29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  <c r="AA5187" s="7"/>
      <c r="AB5187" s="7"/>
      <c r="AC5187" s="7"/>
    </row>
    <row r="5188" spans="1:29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  <c r="AA5188" s="7"/>
      <c r="AB5188" s="7"/>
      <c r="AC5188" s="7"/>
    </row>
    <row r="5189" spans="1:29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  <c r="AA5189" s="7"/>
      <c r="AB5189" s="7"/>
      <c r="AC5189" s="7"/>
    </row>
    <row r="5190" spans="1:29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  <c r="AA5190" s="7"/>
      <c r="AB5190" s="7"/>
      <c r="AC5190" s="7"/>
    </row>
    <row r="5191" spans="1:29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  <c r="AA5191" s="7"/>
      <c r="AB5191" s="7"/>
      <c r="AC5191" s="7"/>
    </row>
    <row r="5192" spans="1:29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  <c r="AA5192" s="7"/>
      <c r="AB5192" s="7"/>
      <c r="AC5192" s="7"/>
    </row>
    <row r="5193" spans="1:29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  <c r="AA5193" s="7"/>
      <c r="AB5193" s="7"/>
      <c r="AC5193" s="7"/>
    </row>
    <row r="5194" spans="1:29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  <c r="AA5194" s="7"/>
      <c r="AB5194" s="7"/>
      <c r="AC5194" s="7"/>
    </row>
    <row r="5195" spans="1:29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  <c r="AA5195" s="7"/>
      <c r="AB5195" s="7"/>
      <c r="AC5195" s="7"/>
    </row>
    <row r="5196" spans="1:29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  <c r="AA5196" s="7"/>
      <c r="AB5196" s="7"/>
      <c r="AC5196" s="7"/>
    </row>
    <row r="5197" spans="1:29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  <c r="AA5197" s="7"/>
      <c r="AB5197" s="7"/>
      <c r="AC5197" s="7"/>
    </row>
    <row r="5198" spans="1:29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  <c r="AA5198" s="7"/>
      <c r="AB5198" s="7"/>
      <c r="AC5198" s="7"/>
    </row>
    <row r="5199" spans="1:29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  <c r="AA5199" s="7"/>
      <c r="AB5199" s="7"/>
      <c r="AC5199" s="7"/>
    </row>
    <row r="5200" spans="1:29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  <c r="AA5200" s="7"/>
      <c r="AB5200" s="7"/>
      <c r="AC5200" s="7"/>
    </row>
    <row r="5201" spans="1:29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  <c r="AA5201" s="7"/>
      <c r="AB5201" s="7"/>
      <c r="AC5201" s="7"/>
    </row>
    <row r="5202" spans="1:29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  <c r="AA5202" s="7"/>
      <c r="AB5202" s="7"/>
      <c r="AC5202" s="7"/>
    </row>
    <row r="5203" spans="1:29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  <c r="AA5203" s="7"/>
      <c r="AB5203" s="7"/>
      <c r="AC5203" s="7"/>
    </row>
    <row r="5204" spans="1:29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  <c r="AA5204" s="7"/>
      <c r="AB5204" s="7"/>
      <c r="AC5204" s="7"/>
    </row>
    <row r="5205" spans="1:29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  <c r="AA5205" s="7"/>
      <c r="AB5205" s="7"/>
      <c r="AC5205" s="7"/>
    </row>
    <row r="5206" spans="1:29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  <c r="AA5206" s="7"/>
      <c r="AB5206" s="7"/>
      <c r="AC5206" s="7"/>
    </row>
    <row r="5207" spans="1:29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  <c r="AA5207" s="7"/>
      <c r="AB5207" s="7"/>
      <c r="AC5207" s="7"/>
    </row>
    <row r="5208" spans="1:29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  <c r="AA5208" s="7"/>
      <c r="AB5208" s="7"/>
      <c r="AC5208" s="7"/>
    </row>
    <row r="5209" spans="1:29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  <c r="AA5209" s="7"/>
      <c r="AB5209" s="7"/>
      <c r="AC5209" s="7"/>
    </row>
    <row r="5210" spans="1:29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  <c r="AA5210" s="7"/>
      <c r="AB5210" s="7"/>
      <c r="AC5210" s="7"/>
    </row>
    <row r="5211" spans="1:29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  <c r="AA5211" s="7"/>
      <c r="AB5211" s="7"/>
      <c r="AC5211" s="7"/>
    </row>
    <row r="5212" spans="1:29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  <c r="AA5212" s="7"/>
      <c r="AB5212" s="7"/>
      <c r="AC5212" s="7"/>
    </row>
    <row r="5213" spans="1:29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  <c r="AA5213" s="7"/>
      <c r="AB5213" s="7"/>
      <c r="AC5213" s="7"/>
    </row>
    <row r="5214" spans="1:29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  <c r="AA5214" s="7"/>
      <c r="AB5214" s="7"/>
      <c r="AC5214" s="7"/>
    </row>
    <row r="5215" spans="1:29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  <c r="AA5215" s="7"/>
      <c r="AB5215" s="7"/>
      <c r="AC5215" s="7"/>
    </row>
    <row r="5216" spans="1:29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  <c r="AA5216" s="7"/>
      <c r="AB5216" s="7"/>
      <c r="AC5216" s="7"/>
    </row>
    <row r="5217" spans="1:29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  <c r="AA5217" s="7"/>
      <c r="AB5217" s="7"/>
      <c r="AC5217" s="7"/>
    </row>
    <row r="5218" spans="1:29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  <c r="AA5218" s="7"/>
      <c r="AB5218" s="7"/>
      <c r="AC5218" s="7"/>
    </row>
    <row r="5219" spans="1:29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  <c r="AA5219" s="7"/>
      <c r="AB5219" s="7"/>
      <c r="AC5219" s="7"/>
    </row>
    <row r="5220" spans="1:29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  <c r="AA5220" s="7"/>
      <c r="AB5220" s="7"/>
      <c r="AC5220" s="7"/>
    </row>
    <row r="5221" spans="1:29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  <c r="AA5221" s="7"/>
      <c r="AB5221" s="7"/>
      <c r="AC5221" s="7"/>
    </row>
    <row r="5222" spans="1:29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  <c r="AA5222" s="7"/>
      <c r="AB5222" s="7"/>
      <c r="AC5222" s="7"/>
    </row>
    <row r="5223" spans="1:29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  <c r="AA5223" s="7"/>
      <c r="AB5223" s="7"/>
      <c r="AC5223" s="7"/>
    </row>
    <row r="5224" spans="1:29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  <c r="AA5224" s="7"/>
      <c r="AB5224" s="7"/>
      <c r="AC5224" s="7"/>
    </row>
    <row r="5225" spans="1:29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  <c r="AA5225" s="7"/>
      <c r="AB5225" s="7"/>
      <c r="AC5225" s="7"/>
    </row>
    <row r="5226" spans="1:33">
      <c r="A5226" s="11"/>
      <c r="B5226" s="11"/>
      <c r="C5226" s="11"/>
      <c r="D5226" s="11"/>
      <c r="E5226" s="11"/>
      <c r="F5226" s="11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11"/>
      <c r="AC5226" s="11"/>
      <c r="AD5226" s="11"/>
      <c r="AE5226" s="11"/>
      <c r="AF5226" s="11"/>
      <c r="AG5226" s="10"/>
    </row>
    <row r="5227" spans="1:33">
      <c r="A5227" s="11"/>
      <c r="B5227" s="11"/>
      <c r="C5227" s="11"/>
      <c r="D5227" s="11"/>
      <c r="E5227" s="11"/>
      <c r="F5227" s="11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11"/>
      <c r="AC5227" s="11"/>
      <c r="AD5227" s="11"/>
      <c r="AE5227" s="11"/>
      <c r="AF5227" s="11"/>
      <c r="AG5227" s="10"/>
    </row>
    <row r="5228" spans="1:33">
      <c r="A5228" s="11"/>
      <c r="B5228" s="11"/>
      <c r="C5228" s="11"/>
      <c r="D5228" s="11"/>
      <c r="E5228" s="11"/>
      <c r="F5228" s="11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11"/>
      <c r="AC5228" s="11"/>
      <c r="AD5228" s="11"/>
      <c r="AE5228" s="11"/>
      <c r="AF5228" s="11"/>
      <c r="AG5228" s="10"/>
    </row>
    <row r="5229" spans="1:33">
      <c r="A5229" s="11"/>
      <c r="B5229" s="11"/>
      <c r="C5229" s="11"/>
      <c r="D5229" s="11"/>
      <c r="E5229" s="11"/>
      <c r="F5229" s="11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11"/>
      <c r="AC5229" s="11"/>
      <c r="AD5229" s="11"/>
      <c r="AE5229" s="11"/>
      <c r="AF5229" s="11"/>
      <c r="AG5229" s="10"/>
    </row>
    <row r="5230" spans="1:33">
      <c r="A5230" s="11"/>
      <c r="B5230" s="11"/>
      <c r="C5230" s="11"/>
      <c r="D5230" s="11"/>
      <c r="E5230" s="11"/>
      <c r="F5230" s="11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11"/>
      <c r="AC5230" s="11"/>
      <c r="AD5230" s="11"/>
      <c r="AE5230" s="11"/>
      <c r="AF5230" s="11"/>
      <c r="AG5230" s="10"/>
    </row>
    <row r="5231" spans="1:33">
      <c r="A5231" s="11"/>
      <c r="B5231" s="11"/>
      <c r="C5231" s="11"/>
      <c r="D5231" s="11"/>
      <c r="E5231" s="11"/>
      <c r="F5231" s="11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11"/>
      <c r="AC5231" s="11"/>
      <c r="AD5231" s="11"/>
      <c r="AE5231" s="11"/>
      <c r="AF5231" s="11"/>
      <c r="AG5231" s="10"/>
    </row>
    <row r="5232" spans="1:33">
      <c r="A5232" s="11"/>
      <c r="B5232" s="11"/>
      <c r="C5232" s="11"/>
      <c r="D5232" s="11"/>
      <c r="E5232" s="11"/>
      <c r="F5232" s="11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11"/>
      <c r="AC5232" s="11"/>
      <c r="AD5232" s="11"/>
      <c r="AE5232" s="11"/>
      <c r="AF5232" s="11"/>
      <c r="AG5232" s="10"/>
    </row>
    <row r="5233" spans="1:33">
      <c r="A5233" s="11"/>
      <c r="B5233" s="11"/>
      <c r="C5233" s="11"/>
      <c r="D5233" s="11"/>
      <c r="E5233" s="11"/>
      <c r="F5233" s="11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11"/>
      <c r="AC5233" s="11"/>
      <c r="AD5233" s="11"/>
      <c r="AE5233" s="11"/>
      <c r="AF5233" s="11"/>
      <c r="AG5233" s="10"/>
    </row>
    <row r="5234" spans="1:33">
      <c r="A5234" s="11"/>
      <c r="B5234" s="11"/>
      <c r="C5234" s="11"/>
      <c r="D5234" s="11"/>
      <c r="E5234" s="11"/>
      <c r="F5234" s="11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11"/>
      <c r="AC5234" s="11"/>
      <c r="AD5234" s="11"/>
      <c r="AE5234" s="11"/>
      <c r="AF5234" s="11"/>
      <c r="AG5234" s="10"/>
    </row>
    <row r="5235" spans="1:33">
      <c r="A5235" s="11"/>
      <c r="B5235" s="11"/>
      <c r="C5235" s="11"/>
      <c r="D5235" s="11"/>
      <c r="E5235" s="11"/>
      <c r="F5235" s="11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11"/>
      <c r="AC5235" s="11"/>
      <c r="AD5235" s="11"/>
      <c r="AE5235" s="11"/>
      <c r="AF5235" s="11"/>
      <c r="AG5235" s="10"/>
    </row>
    <row r="5236" spans="1:33">
      <c r="A5236" s="11"/>
      <c r="B5236" s="11"/>
      <c r="C5236" s="11"/>
      <c r="D5236" s="11"/>
      <c r="E5236" s="11"/>
      <c r="F5236" s="11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11"/>
      <c r="AC5236" s="11"/>
      <c r="AD5236" s="11"/>
      <c r="AE5236" s="11"/>
      <c r="AF5236" s="11"/>
      <c r="AG5236" s="10"/>
    </row>
    <row r="5237" spans="1:33">
      <c r="A5237" s="11"/>
      <c r="B5237" s="11"/>
      <c r="C5237" s="11"/>
      <c r="D5237" s="11"/>
      <c r="E5237" s="11"/>
      <c r="F5237" s="11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11"/>
      <c r="AC5237" s="11"/>
      <c r="AD5237" s="11"/>
      <c r="AE5237" s="11"/>
      <c r="AF5237" s="11"/>
      <c r="AG5237" s="10"/>
    </row>
    <row r="5238" spans="1:33">
      <c r="A5238" s="11"/>
      <c r="B5238" s="11"/>
      <c r="C5238" s="11"/>
      <c r="D5238" s="11"/>
      <c r="E5238" s="11"/>
      <c r="F5238" s="11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11"/>
      <c r="AC5238" s="11"/>
      <c r="AD5238" s="11"/>
      <c r="AE5238" s="11"/>
      <c r="AF5238" s="11"/>
      <c r="AG5238" s="10"/>
    </row>
    <row r="5239" spans="1:33">
      <c r="A5239" s="11"/>
      <c r="B5239" s="11"/>
      <c r="C5239" s="11"/>
      <c r="D5239" s="11"/>
      <c r="E5239" s="11"/>
      <c r="F5239" s="11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11"/>
      <c r="AC5239" s="11"/>
      <c r="AD5239" s="11"/>
      <c r="AE5239" s="11"/>
      <c r="AF5239" s="11"/>
      <c r="AG5239" s="10"/>
    </row>
    <row r="5240" spans="1:33">
      <c r="A5240" s="11"/>
      <c r="B5240" s="11"/>
      <c r="C5240" s="11"/>
      <c r="D5240" s="11"/>
      <c r="E5240" s="11"/>
      <c r="F5240" s="11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11"/>
      <c r="AC5240" s="11"/>
      <c r="AD5240" s="11"/>
      <c r="AE5240" s="11"/>
      <c r="AF5240" s="11"/>
      <c r="AG5240" s="10"/>
    </row>
    <row r="5241" spans="1:33">
      <c r="A5241" s="11"/>
      <c r="B5241" s="11"/>
      <c r="C5241" s="11"/>
      <c r="D5241" s="11"/>
      <c r="E5241" s="11"/>
      <c r="F5241" s="11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11"/>
      <c r="AC5241" s="11"/>
      <c r="AD5241" s="11"/>
      <c r="AE5241" s="11"/>
      <c r="AF5241" s="11"/>
      <c r="AG5241" s="10"/>
    </row>
    <row r="5242" spans="1:33">
      <c r="A5242" s="11"/>
      <c r="B5242" s="11"/>
      <c r="C5242" s="11"/>
      <c r="D5242" s="11"/>
      <c r="E5242" s="11"/>
      <c r="F5242" s="11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11"/>
      <c r="AC5242" s="11"/>
      <c r="AD5242" s="11"/>
      <c r="AE5242" s="11"/>
      <c r="AF5242" s="11"/>
      <c r="AG5242" s="10"/>
    </row>
    <row r="5243" spans="1:33">
      <c r="A5243" s="11"/>
      <c r="B5243" s="11"/>
      <c r="C5243" s="11"/>
      <c r="D5243" s="11"/>
      <c r="E5243" s="11"/>
      <c r="F5243" s="11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11"/>
      <c r="AC5243" s="11"/>
      <c r="AD5243" s="11"/>
      <c r="AE5243" s="11"/>
      <c r="AF5243" s="11"/>
      <c r="AG5243" s="10"/>
    </row>
    <row r="5244" spans="1:33">
      <c r="A5244" s="11"/>
      <c r="B5244" s="11"/>
      <c r="C5244" s="11"/>
      <c r="D5244" s="11"/>
      <c r="E5244" s="11"/>
      <c r="F5244" s="11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11"/>
      <c r="AC5244" s="11"/>
      <c r="AD5244" s="11"/>
      <c r="AE5244" s="11"/>
      <c r="AF5244" s="11"/>
      <c r="AG5244" s="10"/>
    </row>
    <row r="5245" spans="1:33">
      <c r="A5245" s="11"/>
      <c r="B5245" s="11"/>
      <c r="C5245" s="11"/>
      <c r="D5245" s="11"/>
      <c r="E5245" s="11"/>
      <c r="F5245" s="11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11"/>
      <c r="AC5245" s="11"/>
      <c r="AD5245" s="11"/>
      <c r="AE5245" s="11"/>
      <c r="AF5245" s="11"/>
      <c r="AG5245" s="10"/>
    </row>
    <row r="5246" spans="1:33">
      <c r="A5246" s="11"/>
      <c r="B5246" s="11"/>
      <c r="C5246" s="11"/>
      <c r="D5246" s="11"/>
      <c r="E5246" s="11"/>
      <c r="F5246" s="11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11"/>
      <c r="AC5246" s="11"/>
      <c r="AD5246" s="11"/>
      <c r="AE5246" s="11"/>
      <c r="AF5246" s="11"/>
      <c r="AG5246" s="10"/>
    </row>
    <row r="5247" spans="1:33">
      <c r="A5247" s="11"/>
      <c r="B5247" s="11"/>
      <c r="C5247" s="11"/>
      <c r="D5247" s="11"/>
      <c r="E5247" s="11"/>
      <c r="F5247" s="11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11"/>
      <c r="AC5247" s="11"/>
      <c r="AD5247" s="11"/>
      <c r="AE5247" s="11"/>
      <c r="AF5247" s="11"/>
      <c r="AG5247" s="10"/>
    </row>
    <row r="5248" spans="1:33">
      <c r="A5248" s="11"/>
      <c r="B5248" s="11"/>
      <c r="C5248" s="11"/>
      <c r="D5248" s="11"/>
      <c r="E5248" s="11"/>
      <c r="F5248" s="11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11"/>
      <c r="AC5248" s="11"/>
      <c r="AD5248" s="11"/>
      <c r="AE5248" s="11"/>
      <c r="AF5248" s="11"/>
      <c r="AG5248" s="10"/>
    </row>
    <row r="5249" spans="1:33">
      <c r="A5249" s="11"/>
      <c r="B5249" s="11"/>
      <c r="C5249" s="11"/>
      <c r="D5249" s="11"/>
      <c r="E5249" s="11"/>
      <c r="F5249" s="11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11"/>
      <c r="AC5249" s="11"/>
      <c r="AD5249" s="11"/>
      <c r="AE5249" s="11"/>
      <c r="AF5249" s="11"/>
      <c r="AG5249" s="10"/>
    </row>
    <row r="5250" spans="1:33">
      <c r="A5250" s="11"/>
      <c r="B5250" s="11"/>
      <c r="C5250" s="11"/>
      <c r="D5250" s="11"/>
      <c r="E5250" s="11"/>
      <c r="F5250" s="11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11"/>
      <c r="AC5250" s="11"/>
      <c r="AD5250" s="11"/>
      <c r="AE5250" s="11"/>
      <c r="AF5250" s="11"/>
      <c r="AG5250" s="10"/>
    </row>
    <row r="5251" spans="1:33">
      <c r="A5251" s="11"/>
      <c r="B5251" s="11"/>
      <c r="C5251" s="11"/>
      <c r="D5251" s="11"/>
      <c r="E5251" s="11"/>
      <c r="F5251" s="11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11"/>
      <c r="AC5251" s="11"/>
      <c r="AD5251" s="11"/>
      <c r="AE5251" s="11"/>
      <c r="AF5251" s="11"/>
      <c r="AG5251" s="10"/>
    </row>
    <row r="5252" spans="1:33">
      <c r="A5252" s="11"/>
      <c r="B5252" s="11"/>
      <c r="C5252" s="11"/>
      <c r="D5252" s="11"/>
      <c r="E5252" s="11"/>
      <c r="F5252" s="11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11"/>
      <c r="AC5252" s="11"/>
      <c r="AD5252" s="11"/>
      <c r="AE5252" s="11"/>
      <c r="AF5252" s="11"/>
      <c r="AG5252" s="10"/>
    </row>
    <row r="5253" spans="1:33">
      <c r="A5253" s="11"/>
      <c r="B5253" s="11"/>
      <c r="C5253" s="11"/>
      <c r="D5253" s="11"/>
      <c r="E5253" s="11"/>
      <c r="F5253" s="11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11"/>
      <c r="AC5253" s="11"/>
      <c r="AD5253" s="11"/>
      <c r="AE5253" s="11"/>
      <c r="AF5253" s="11"/>
      <c r="AG5253" s="10"/>
    </row>
    <row r="5254" spans="1:33">
      <c r="A5254" s="11"/>
      <c r="B5254" s="11"/>
      <c r="C5254" s="11"/>
      <c r="D5254" s="11"/>
      <c r="E5254" s="11"/>
      <c r="F5254" s="11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11"/>
      <c r="AC5254" s="11"/>
      <c r="AD5254" s="11"/>
      <c r="AE5254" s="11"/>
      <c r="AF5254" s="11"/>
      <c r="AG5254" s="10"/>
    </row>
    <row r="5255" spans="1:33">
      <c r="A5255" s="11"/>
      <c r="B5255" s="11"/>
      <c r="C5255" s="11"/>
      <c r="D5255" s="11"/>
      <c r="E5255" s="11"/>
      <c r="F5255" s="11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11"/>
      <c r="AC5255" s="11"/>
      <c r="AD5255" s="11"/>
      <c r="AE5255" s="11"/>
      <c r="AF5255" s="11"/>
      <c r="AG5255" s="10"/>
    </row>
    <row r="5256" spans="1:33">
      <c r="A5256" s="11"/>
      <c r="B5256" s="11"/>
      <c r="C5256" s="11"/>
      <c r="D5256" s="11"/>
      <c r="E5256" s="11"/>
      <c r="F5256" s="11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11"/>
      <c r="AC5256" s="11"/>
      <c r="AD5256" s="11"/>
      <c r="AE5256" s="11"/>
      <c r="AF5256" s="11"/>
      <c r="AG5256" s="10"/>
    </row>
    <row r="5257" spans="1:33">
      <c r="A5257" s="11"/>
      <c r="B5257" s="11"/>
      <c r="C5257" s="11"/>
      <c r="D5257" s="11"/>
      <c r="E5257" s="11"/>
      <c r="F5257" s="11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11"/>
      <c r="AC5257" s="11"/>
      <c r="AD5257" s="11"/>
      <c r="AE5257" s="11"/>
      <c r="AF5257" s="11"/>
      <c r="AG5257" s="10"/>
    </row>
    <row r="5258" spans="1:33">
      <c r="A5258" s="11"/>
      <c r="B5258" s="11"/>
      <c r="C5258" s="11"/>
      <c r="D5258" s="11"/>
      <c r="E5258" s="11"/>
      <c r="F5258" s="11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11"/>
      <c r="AC5258" s="11"/>
      <c r="AD5258" s="11"/>
      <c r="AE5258" s="11"/>
      <c r="AF5258" s="11"/>
      <c r="AG5258" s="10"/>
    </row>
    <row r="5259" spans="1:33">
      <c r="A5259" s="11"/>
      <c r="B5259" s="11"/>
      <c r="C5259" s="11"/>
      <c r="D5259" s="11"/>
      <c r="E5259" s="11"/>
      <c r="F5259" s="11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11"/>
      <c r="AC5259" s="11"/>
      <c r="AD5259" s="11"/>
      <c r="AE5259" s="11"/>
      <c r="AF5259" s="11"/>
      <c r="AG5259" s="10"/>
    </row>
    <row r="5260" spans="1:33">
      <c r="A5260" s="11"/>
      <c r="B5260" s="11"/>
      <c r="C5260" s="11"/>
      <c r="D5260" s="11"/>
      <c r="E5260" s="11"/>
      <c r="F5260" s="11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11"/>
      <c r="AC5260" s="11"/>
      <c r="AD5260" s="11"/>
      <c r="AE5260" s="11"/>
      <c r="AF5260" s="11"/>
      <c r="AG5260" s="10"/>
    </row>
    <row r="5261" spans="1:33">
      <c r="A5261" s="11"/>
      <c r="B5261" s="11"/>
      <c r="C5261" s="11"/>
      <c r="D5261" s="11"/>
      <c r="E5261" s="11"/>
      <c r="F5261" s="11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11"/>
      <c r="AC5261" s="11"/>
      <c r="AD5261" s="11"/>
      <c r="AE5261" s="11"/>
      <c r="AF5261" s="11"/>
      <c r="AG5261" s="10"/>
    </row>
    <row r="5262" spans="1:33">
      <c r="A5262" s="11"/>
      <c r="B5262" s="11"/>
      <c r="C5262" s="11"/>
      <c r="D5262" s="11"/>
      <c r="E5262" s="11"/>
      <c r="F5262" s="11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11"/>
      <c r="AC5262" s="11"/>
      <c r="AD5262" s="11"/>
      <c r="AE5262" s="11"/>
      <c r="AF5262" s="11"/>
      <c r="AG5262" s="10"/>
    </row>
    <row r="5263" spans="1:33">
      <c r="A5263" s="11"/>
      <c r="B5263" s="11"/>
      <c r="C5263" s="11"/>
      <c r="D5263" s="11"/>
      <c r="E5263" s="11"/>
      <c r="F5263" s="11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11"/>
      <c r="AC5263" s="11"/>
      <c r="AD5263" s="11"/>
      <c r="AE5263" s="11"/>
      <c r="AF5263" s="11"/>
      <c r="AG5263" s="10"/>
    </row>
    <row r="5264" spans="1:33">
      <c r="A5264" s="11"/>
      <c r="B5264" s="11"/>
      <c r="C5264" s="11"/>
      <c r="D5264" s="11"/>
      <c r="E5264" s="11"/>
      <c r="F5264" s="11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11"/>
      <c r="AC5264" s="11"/>
      <c r="AD5264" s="11"/>
      <c r="AE5264" s="11"/>
      <c r="AF5264" s="11"/>
      <c r="AG5264" s="10"/>
    </row>
    <row r="5265" spans="1:33">
      <c r="A5265" s="11"/>
      <c r="B5265" s="11"/>
      <c r="C5265" s="11"/>
      <c r="D5265" s="11"/>
      <c r="E5265" s="11"/>
      <c r="F5265" s="11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11"/>
      <c r="AC5265" s="11"/>
      <c r="AD5265" s="11"/>
      <c r="AE5265" s="11"/>
      <c r="AF5265" s="11"/>
      <c r="AG5265" s="10"/>
    </row>
    <row r="5266" spans="1:33">
      <c r="A5266" s="11"/>
      <c r="B5266" s="11"/>
      <c r="C5266" s="11"/>
      <c r="D5266" s="11"/>
      <c r="E5266" s="11"/>
      <c r="F5266" s="11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11"/>
      <c r="AC5266" s="11"/>
      <c r="AD5266" s="11"/>
      <c r="AE5266" s="11"/>
      <c r="AF5266" s="11"/>
      <c r="AG5266" s="10"/>
    </row>
    <row r="5267" spans="1:33">
      <c r="A5267" s="11"/>
      <c r="B5267" s="11"/>
      <c r="C5267" s="11"/>
      <c r="D5267" s="11"/>
      <c r="E5267" s="11"/>
      <c r="F5267" s="11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11"/>
      <c r="AC5267" s="11"/>
      <c r="AD5267" s="11"/>
      <c r="AE5267" s="11"/>
      <c r="AF5267" s="11"/>
      <c r="AG5267" s="10"/>
    </row>
    <row r="5268" spans="1:33">
      <c r="A5268" s="11"/>
      <c r="B5268" s="11"/>
      <c r="C5268" s="11"/>
      <c r="D5268" s="11"/>
      <c r="E5268" s="11"/>
      <c r="F5268" s="11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11"/>
      <c r="AC5268" s="11"/>
      <c r="AD5268" s="11"/>
      <c r="AE5268" s="11"/>
      <c r="AF5268" s="11"/>
      <c r="AG5268" s="10"/>
    </row>
    <row r="5269" spans="1:33">
      <c r="A5269" s="11"/>
      <c r="B5269" s="11"/>
      <c r="C5269" s="11"/>
      <c r="D5269" s="11"/>
      <c r="E5269" s="11"/>
      <c r="F5269" s="11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11"/>
      <c r="AC5269" s="11"/>
      <c r="AD5269" s="11"/>
      <c r="AE5269" s="11"/>
      <c r="AF5269" s="11"/>
      <c r="AG5269" s="10"/>
    </row>
    <row r="5270" spans="1:33">
      <c r="A5270" s="11"/>
      <c r="B5270" s="11"/>
      <c r="C5270" s="11"/>
      <c r="D5270" s="11"/>
      <c r="E5270" s="11"/>
      <c r="F5270" s="11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11"/>
      <c r="AC5270" s="11"/>
      <c r="AD5270" s="11"/>
      <c r="AE5270" s="11"/>
      <c r="AF5270" s="11"/>
      <c r="AG5270" s="10"/>
    </row>
    <row r="5271" spans="1:33">
      <c r="A5271" s="11"/>
      <c r="B5271" s="11"/>
      <c r="C5271" s="11"/>
      <c r="D5271" s="11"/>
      <c r="E5271" s="11"/>
      <c r="F5271" s="11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11"/>
      <c r="AC5271" s="11"/>
      <c r="AD5271" s="11"/>
      <c r="AE5271" s="11"/>
      <c r="AF5271" s="11"/>
      <c r="AG5271" s="10"/>
    </row>
    <row r="5272" spans="1:33">
      <c r="A5272" s="11"/>
      <c r="B5272" s="11"/>
      <c r="C5272" s="11"/>
      <c r="D5272" s="11"/>
      <c r="E5272" s="11"/>
      <c r="F5272" s="11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11"/>
      <c r="AC5272" s="11"/>
      <c r="AD5272" s="11"/>
      <c r="AE5272" s="11"/>
      <c r="AF5272" s="11"/>
      <c r="AG5272" s="10"/>
    </row>
    <row r="5273" spans="1:33">
      <c r="A5273" s="11"/>
      <c r="B5273" s="11"/>
      <c r="C5273" s="11"/>
      <c r="D5273" s="11"/>
      <c r="E5273" s="11"/>
      <c r="F5273" s="11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11"/>
      <c r="AC5273" s="11"/>
      <c r="AD5273" s="11"/>
      <c r="AE5273" s="11"/>
      <c r="AF5273" s="11"/>
      <c r="AG5273" s="10"/>
    </row>
    <row r="5274" spans="1:33">
      <c r="A5274" s="11"/>
      <c r="B5274" s="11"/>
      <c r="C5274" s="11"/>
      <c r="D5274" s="11"/>
      <c r="E5274" s="11"/>
      <c r="F5274" s="11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11"/>
      <c r="AC5274" s="11"/>
      <c r="AD5274" s="11"/>
      <c r="AE5274" s="11"/>
      <c r="AF5274" s="11"/>
      <c r="AG5274" s="10"/>
    </row>
    <row r="5275" spans="1:33">
      <c r="A5275" s="11"/>
      <c r="B5275" s="11"/>
      <c r="C5275" s="11"/>
      <c r="D5275" s="11"/>
      <c r="E5275" s="11"/>
      <c r="F5275" s="11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11"/>
      <c r="AC5275" s="11"/>
      <c r="AD5275" s="11"/>
      <c r="AE5275" s="11"/>
      <c r="AF5275" s="11"/>
      <c r="AG5275" s="10"/>
    </row>
    <row r="5276" spans="1:33">
      <c r="A5276" s="11"/>
      <c r="B5276" s="11"/>
      <c r="C5276" s="11"/>
      <c r="D5276" s="11"/>
      <c r="E5276" s="11"/>
      <c r="F5276" s="11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11"/>
      <c r="AC5276" s="11"/>
      <c r="AD5276" s="11"/>
      <c r="AE5276" s="11"/>
      <c r="AF5276" s="11"/>
      <c r="AG5276" s="10"/>
    </row>
    <row r="5277" spans="1:33">
      <c r="A5277" s="11"/>
      <c r="B5277" s="11"/>
      <c r="C5277" s="11"/>
      <c r="D5277" s="11"/>
      <c r="E5277" s="11"/>
      <c r="F5277" s="11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11"/>
      <c r="AC5277" s="11"/>
      <c r="AD5277" s="11"/>
      <c r="AE5277" s="11"/>
      <c r="AF5277" s="11"/>
      <c r="AG5277" s="10"/>
    </row>
    <row r="5278" spans="1:33">
      <c r="A5278" s="11"/>
      <c r="B5278" s="11"/>
      <c r="C5278" s="11"/>
      <c r="D5278" s="11"/>
      <c r="E5278" s="11"/>
      <c r="F5278" s="11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11"/>
      <c r="AC5278" s="11"/>
      <c r="AD5278" s="11"/>
      <c r="AE5278" s="11"/>
      <c r="AF5278" s="11"/>
      <c r="AG5278" s="10"/>
    </row>
    <row r="5279" spans="1:33">
      <c r="A5279" s="11"/>
      <c r="B5279" s="11"/>
      <c r="C5279" s="11"/>
      <c r="D5279" s="11"/>
      <c r="E5279" s="11"/>
      <c r="F5279" s="11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11"/>
      <c r="AC5279" s="11"/>
      <c r="AD5279" s="11"/>
      <c r="AE5279" s="11"/>
      <c r="AF5279" s="11"/>
      <c r="AG5279" s="10"/>
    </row>
    <row r="5280" spans="1:33">
      <c r="A5280" s="11"/>
      <c r="B5280" s="11"/>
      <c r="C5280" s="11"/>
      <c r="D5280" s="11"/>
      <c r="E5280" s="11"/>
      <c r="F5280" s="11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11"/>
      <c r="AC5280" s="11"/>
      <c r="AD5280" s="11"/>
      <c r="AE5280" s="11"/>
      <c r="AF5280" s="11"/>
      <c r="AG5280" s="10"/>
    </row>
    <row r="5281" spans="1:33">
      <c r="A5281" s="11"/>
      <c r="B5281" s="11"/>
      <c r="C5281" s="11"/>
      <c r="D5281" s="11"/>
      <c r="E5281" s="11"/>
      <c r="F5281" s="11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11"/>
      <c r="AC5281" s="11"/>
      <c r="AD5281" s="11"/>
      <c r="AE5281" s="11"/>
      <c r="AF5281" s="11"/>
      <c r="AG5281" s="10"/>
    </row>
    <row r="5282" spans="1:33">
      <c r="A5282" s="11"/>
      <c r="B5282" s="11"/>
      <c r="C5282" s="11"/>
      <c r="D5282" s="11"/>
      <c r="E5282" s="11"/>
      <c r="F5282" s="11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11"/>
      <c r="AC5282" s="11"/>
      <c r="AD5282" s="11"/>
      <c r="AE5282" s="11"/>
      <c r="AF5282" s="11"/>
      <c r="AG5282" s="10"/>
    </row>
    <row r="5283" spans="1:33">
      <c r="A5283" s="11"/>
      <c r="B5283" s="11"/>
      <c r="C5283" s="11"/>
      <c r="D5283" s="11"/>
      <c r="E5283" s="11"/>
      <c r="F5283" s="11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11"/>
      <c r="AC5283" s="11"/>
      <c r="AD5283" s="11"/>
      <c r="AE5283" s="11"/>
      <c r="AF5283" s="11"/>
      <c r="AG5283" s="10"/>
    </row>
    <row r="5284" spans="1:33">
      <c r="A5284" s="11"/>
      <c r="B5284" s="11"/>
      <c r="C5284" s="11"/>
      <c r="D5284" s="11"/>
      <c r="E5284" s="11"/>
      <c r="F5284" s="11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11"/>
      <c r="AC5284" s="11"/>
      <c r="AD5284" s="11"/>
      <c r="AE5284" s="11"/>
      <c r="AF5284" s="11"/>
      <c r="AG5284" s="10"/>
    </row>
    <row r="5285" spans="1:33">
      <c r="A5285" s="11"/>
      <c r="B5285" s="11"/>
      <c r="C5285" s="11"/>
      <c r="D5285" s="11"/>
      <c r="E5285" s="11"/>
      <c r="F5285" s="11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11"/>
      <c r="AC5285" s="11"/>
      <c r="AD5285" s="11"/>
      <c r="AE5285" s="11"/>
      <c r="AF5285" s="11"/>
      <c r="AG5285" s="10"/>
    </row>
    <row r="5286" spans="1:33">
      <c r="A5286" s="11"/>
      <c r="B5286" s="11"/>
      <c r="C5286" s="11"/>
      <c r="D5286" s="11"/>
      <c r="E5286" s="11"/>
      <c r="F5286" s="11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11"/>
      <c r="AC5286" s="11"/>
      <c r="AD5286" s="11"/>
      <c r="AE5286" s="11"/>
      <c r="AF5286" s="11"/>
      <c r="AG5286" s="10"/>
    </row>
    <row r="5287" spans="1:33">
      <c r="A5287" s="11"/>
      <c r="B5287" s="11"/>
      <c r="C5287" s="11"/>
      <c r="D5287" s="11"/>
      <c r="E5287" s="11"/>
      <c r="F5287" s="11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11"/>
      <c r="AC5287" s="11"/>
      <c r="AD5287" s="11"/>
      <c r="AE5287" s="11"/>
      <c r="AF5287" s="11"/>
      <c r="AG5287" s="10"/>
    </row>
    <row r="5288" spans="1:33">
      <c r="A5288" s="11"/>
      <c r="B5288" s="11"/>
      <c r="C5288" s="11"/>
      <c r="D5288" s="11"/>
      <c r="E5288" s="11"/>
      <c r="F5288" s="11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11"/>
      <c r="AC5288" s="11"/>
      <c r="AD5288" s="11"/>
      <c r="AE5288" s="11"/>
      <c r="AF5288" s="11"/>
      <c r="AG5288" s="10"/>
    </row>
    <row r="5289" spans="1:33">
      <c r="A5289" s="11"/>
      <c r="B5289" s="11"/>
      <c r="C5289" s="11"/>
      <c r="D5289" s="11"/>
      <c r="E5289" s="11"/>
      <c r="F5289" s="11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11"/>
      <c r="AC5289" s="11"/>
      <c r="AD5289" s="11"/>
      <c r="AE5289" s="11"/>
      <c r="AF5289" s="11"/>
      <c r="AG5289" s="10"/>
    </row>
    <row r="5290" spans="1:33">
      <c r="A5290" s="11"/>
      <c r="B5290" s="11"/>
      <c r="C5290" s="11"/>
      <c r="D5290" s="11"/>
      <c r="E5290" s="11"/>
      <c r="F5290" s="11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11"/>
      <c r="AC5290" s="11"/>
      <c r="AD5290" s="11"/>
      <c r="AE5290" s="11"/>
      <c r="AF5290" s="11"/>
      <c r="AG5290" s="10"/>
    </row>
    <row r="5291" spans="1:33">
      <c r="A5291" s="11"/>
      <c r="B5291" s="11"/>
      <c r="C5291" s="11"/>
      <c r="D5291" s="11"/>
      <c r="E5291" s="11"/>
      <c r="F5291" s="11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11"/>
      <c r="AC5291" s="11"/>
      <c r="AD5291" s="11"/>
      <c r="AE5291" s="11"/>
      <c r="AF5291" s="11"/>
      <c r="AG5291" s="10"/>
    </row>
    <row r="5292" spans="1:33">
      <c r="A5292" s="11"/>
      <c r="B5292" s="11"/>
      <c r="C5292" s="11"/>
      <c r="D5292" s="11"/>
      <c r="E5292" s="11"/>
      <c r="F5292" s="11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11"/>
      <c r="AC5292" s="11"/>
      <c r="AD5292" s="11"/>
      <c r="AE5292" s="11"/>
      <c r="AF5292" s="11"/>
      <c r="AG5292" s="10"/>
    </row>
    <row r="5293" spans="1:33">
      <c r="A5293" s="11"/>
      <c r="B5293" s="11"/>
      <c r="C5293" s="11"/>
      <c r="D5293" s="11"/>
      <c r="E5293" s="11"/>
      <c r="F5293" s="11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11"/>
      <c r="AC5293" s="11"/>
      <c r="AD5293" s="11"/>
      <c r="AE5293" s="11"/>
      <c r="AF5293" s="11"/>
      <c r="AG5293" s="10"/>
    </row>
    <row r="5294" spans="1:33">
      <c r="A5294" s="11"/>
      <c r="B5294" s="11"/>
      <c r="C5294" s="11"/>
      <c r="D5294" s="11"/>
      <c r="E5294" s="11"/>
      <c r="F5294" s="11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11"/>
      <c r="AC5294" s="11"/>
      <c r="AD5294" s="11"/>
      <c r="AE5294" s="11"/>
      <c r="AF5294" s="11"/>
      <c r="AG5294" s="10"/>
    </row>
    <row r="5295" spans="1:33">
      <c r="A5295" s="11"/>
      <c r="B5295" s="11"/>
      <c r="C5295" s="11"/>
      <c r="D5295" s="11"/>
      <c r="E5295" s="11"/>
      <c r="F5295" s="11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11"/>
      <c r="AC5295" s="11"/>
      <c r="AD5295" s="11"/>
      <c r="AE5295" s="11"/>
      <c r="AF5295" s="11"/>
      <c r="AG5295" s="10"/>
    </row>
    <row r="5296" spans="1:33">
      <c r="A5296" s="11"/>
      <c r="B5296" s="11"/>
      <c r="C5296" s="11"/>
      <c r="D5296" s="11"/>
      <c r="E5296" s="11"/>
      <c r="F5296" s="11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11"/>
      <c r="AC5296" s="11"/>
      <c r="AD5296" s="11"/>
      <c r="AE5296" s="11"/>
      <c r="AF5296" s="11"/>
      <c r="AG5296" s="10"/>
    </row>
    <row r="5297" spans="1:33">
      <c r="A5297" s="11"/>
      <c r="B5297" s="11"/>
      <c r="C5297" s="11"/>
      <c r="D5297" s="11"/>
      <c r="E5297" s="11"/>
      <c r="F5297" s="11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11"/>
      <c r="AC5297" s="11"/>
      <c r="AD5297" s="11"/>
      <c r="AE5297" s="11"/>
      <c r="AF5297" s="11"/>
      <c r="AG5297" s="10"/>
    </row>
    <row r="5298" spans="1:33">
      <c r="A5298" s="11"/>
      <c r="B5298" s="11"/>
      <c r="C5298" s="11"/>
      <c r="D5298" s="11"/>
      <c r="E5298" s="11"/>
      <c r="F5298" s="11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11"/>
      <c r="AC5298" s="11"/>
      <c r="AD5298" s="11"/>
      <c r="AE5298" s="11"/>
      <c r="AF5298" s="11"/>
      <c r="AG5298" s="10"/>
    </row>
    <row r="5299" spans="1:33">
      <c r="A5299" s="11"/>
      <c r="B5299" s="11"/>
      <c r="C5299" s="11"/>
      <c r="D5299" s="11"/>
      <c r="E5299" s="11"/>
      <c r="F5299" s="11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11"/>
      <c r="AC5299" s="11"/>
      <c r="AD5299" s="11"/>
      <c r="AE5299" s="11"/>
      <c r="AF5299" s="11"/>
      <c r="AG5299" s="10"/>
    </row>
    <row r="5300" spans="1:33">
      <c r="A5300" s="11"/>
      <c r="B5300" s="11"/>
      <c r="C5300" s="11"/>
      <c r="D5300" s="11"/>
      <c r="E5300" s="11"/>
      <c r="F5300" s="11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11"/>
      <c r="AC5300" s="11"/>
      <c r="AD5300" s="11"/>
      <c r="AE5300" s="11"/>
      <c r="AF5300" s="11"/>
      <c r="AG5300" s="10"/>
    </row>
    <row r="5301" spans="1:33">
      <c r="A5301" s="11"/>
      <c r="B5301" s="11"/>
      <c r="C5301" s="11"/>
      <c r="D5301" s="11"/>
      <c r="E5301" s="11"/>
      <c r="F5301" s="11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11"/>
      <c r="AC5301" s="11"/>
      <c r="AD5301" s="11"/>
      <c r="AE5301" s="11"/>
      <c r="AF5301" s="11"/>
      <c r="AG5301" s="10"/>
    </row>
    <row r="5302" spans="1:33">
      <c r="A5302" s="11"/>
      <c r="B5302" s="11"/>
      <c r="C5302" s="11"/>
      <c r="D5302" s="11"/>
      <c r="E5302" s="11"/>
      <c r="F5302" s="11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11"/>
      <c r="AC5302" s="11"/>
      <c r="AD5302" s="11"/>
      <c r="AE5302" s="11"/>
      <c r="AF5302" s="11"/>
      <c r="AG5302" s="10"/>
    </row>
    <row r="5303" spans="1:33">
      <c r="A5303" s="11"/>
      <c r="B5303" s="11"/>
      <c r="C5303" s="11"/>
      <c r="D5303" s="11"/>
      <c r="E5303" s="11"/>
      <c r="F5303" s="11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11"/>
      <c r="AC5303" s="11"/>
      <c r="AD5303" s="11"/>
      <c r="AE5303" s="11"/>
      <c r="AF5303" s="11"/>
      <c r="AG5303" s="10"/>
    </row>
    <row r="5304" spans="1:33">
      <c r="A5304" s="11"/>
      <c r="B5304" s="11"/>
      <c r="C5304" s="11"/>
      <c r="D5304" s="11"/>
      <c r="E5304" s="11"/>
      <c r="F5304" s="11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11"/>
      <c r="AC5304" s="11"/>
      <c r="AD5304" s="11"/>
      <c r="AE5304" s="11"/>
      <c r="AF5304" s="11"/>
      <c r="AG5304" s="10"/>
    </row>
    <row r="5305" spans="1:33">
      <c r="A5305" s="11"/>
      <c r="B5305" s="11"/>
      <c r="C5305" s="11"/>
      <c r="D5305" s="11"/>
      <c r="E5305" s="11"/>
      <c r="F5305" s="11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11"/>
      <c r="AC5305" s="11"/>
      <c r="AD5305" s="11"/>
      <c r="AE5305" s="11"/>
      <c r="AF5305" s="11"/>
      <c r="AG5305" s="10"/>
    </row>
    <row r="5306" spans="1:33">
      <c r="A5306" s="11"/>
      <c r="B5306" s="11"/>
      <c r="C5306" s="11"/>
      <c r="D5306" s="11"/>
      <c r="E5306" s="11"/>
      <c r="F5306" s="11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11"/>
      <c r="AC5306" s="11"/>
      <c r="AD5306" s="11"/>
      <c r="AE5306" s="11"/>
      <c r="AF5306" s="11"/>
      <c r="AG5306" s="10"/>
    </row>
    <row r="5307" spans="1:33">
      <c r="A5307" s="11"/>
      <c r="B5307" s="11"/>
      <c r="C5307" s="11"/>
      <c r="D5307" s="11"/>
      <c r="E5307" s="11"/>
      <c r="F5307" s="11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11"/>
      <c r="AC5307" s="11"/>
      <c r="AD5307" s="11"/>
      <c r="AE5307" s="11"/>
      <c r="AF5307" s="11"/>
      <c r="AG5307" s="10"/>
    </row>
    <row r="5308" spans="1:33">
      <c r="A5308" s="11"/>
      <c r="B5308" s="11"/>
      <c r="C5308" s="11"/>
      <c r="D5308" s="11"/>
      <c r="E5308" s="11"/>
      <c r="F5308" s="11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11"/>
      <c r="AC5308" s="11"/>
      <c r="AD5308" s="11"/>
      <c r="AE5308" s="11"/>
      <c r="AF5308" s="11"/>
      <c r="AG5308" s="10"/>
    </row>
    <row r="5309" spans="1:33">
      <c r="A5309" s="11"/>
      <c r="B5309" s="11"/>
      <c r="C5309" s="11"/>
      <c r="D5309" s="11"/>
      <c r="E5309" s="11"/>
      <c r="F5309" s="11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11"/>
      <c r="AC5309" s="11"/>
      <c r="AD5309" s="11"/>
      <c r="AE5309" s="11"/>
      <c r="AF5309" s="11"/>
      <c r="AG5309" s="10"/>
    </row>
    <row r="5310" spans="1:33">
      <c r="A5310" s="11"/>
      <c r="B5310" s="11"/>
      <c r="C5310" s="11"/>
      <c r="D5310" s="11"/>
      <c r="E5310" s="11"/>
      <c r="F5310" s="11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11"/>
      <c r="AC5310" s="11"/>
      <c r="AD5310" s="11"/>
      <c r="AE5310" s="11"/>
      <c r="AF5310" s="11"/>
      <c r="AG5310" s="10"/>
    </row>
    <row r="5311" spans="1:33">
      <c r="A5311" s="11"/>
      <c r="B5311" s="11"/>
      <c r="C5311" s="11"/>
      <c r="D5311" s="11"/>
      <c r="E5311" s="11"/>
      <c r="F5311" s="11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11"/>
      <c r="AC5311" s="11"/>
      <c r="AD5311" s="11"/>
      <c r="AE5311" s="11"/>
      <c r="AF5311" s="11"/>
      <c r="AG5311" s="10"/>
    </row>
    <row r="5312" spans="1:33">
      <c r="A5312" s="11"/>
      <c r="B5312" s="11"/>
      <c r="C5312" s="11"/>
      <c r="D5312" s="11"/>
      <c r="E5312" s="11"/>
      <c r="F5312" s="11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11"/>
      <c r="AC5312" s="11"/>
      <c r="AD5312" s="11"/>
      <c r="AE5312" s="11"/>
      <c r="AF5312" s="11"/>
      <c r="AG5312" s="10"/>
    </row>
    <row r="5313" spans="1:33">
      <c r="A5313" s="11"/>
      <c r="B5313" s="11"/>
      <c r="C5313" s="11"/>
      <c r="D5313" s="11"/>
      <c r="E5313" s="11"/>
      <c r="F5313" s="11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11"/>
      <c r="AC5313" s="11"/>
      <c r="AD5313" s="11"/>
      <c r="AE5313" s="11"/>
      <c r="AF5313" s="11"/>
      <c r="AG5313" s="10"/>
    </row>
    <row r="5314" spans="1:33">
      <c r="A5314" s="11"/>
      <c r="B5314" s="11"/>
      <c r="C5314" s="11"/>
      <c r="D5314" s="11"/>
      <c r="E5314" s="11"/>
      <c r="F5314" s="11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11"/>
      <c r="AC5314" s="11"/>
      <c r="AD5314" s="11"/>
      <c r="AE5314" s="11"/>
      <c r="AF5314" s="11"/>
      <c r="AG5314" s="10"/>
    </row>
    <row r="5315" spans="1:33">
      <c r="A5315" s="11"/>
      <c r="B5315" s="11"/>
      <c r="C5315" s="11"/>
      <c r="D5315" s="11"/>
      <c r="E5315" s="11"/>
      <c r="F5315" s="11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11"/>
      <c r="AC5315" s="11"/>
      <c r="AD5315" s="11"/>
      <c r="AE5315" s="11"/>
      <c r="AF5315" s="11"/>
      <c r="AG5315" s="10"/>
    </row>
    <row r="5316" spans="1:33">
      <c r="A5316" s="11"/>
      <c r="B5316" s="11"/>
      <c r="C5316" s="11"/>
      <c r="D5316" s="11"/>
      <c r="E5316" s="11"/>
      <c r="F5316" s="11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11"/>
      <c r="AC5316" s="11"/>
      <c r="AD5316" s="11"/>
      <c r="AE5316" s="11"/>
      <c r="AF5316" s="11"/>
      <c r="AG5316" s="10"/>
    </row>
    <row r="5317" spans="1:33">
      <c r="A5317" s="11"/>
      <c r="B5317" s="11"/>
      <c r="C5317" s="11"/>
      <c r="D5317" s="11"/>
      <c r="E5317" s="11"/>
      <c r="F5317" s="11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11"/>
      <c r="AC5317" s="11"/>
      <c r="AD5317" s="11"/>
      <c r="AE5317" s="11"/>
      <c r="AF5317" s="11"/>
      <c r="AG5317" s="10"/>
    </row>
    <row r="5318" spans="1:33">
      <c r="A5318" s="11"/>
      <c r="B5318" s="11"/>
      <c r="C5318" s="11"/>
      <c r="D5318" s="11"/>
      <c r="E5318" s="11"/>
      <c r="F5318" s="11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11"/>
      <c r="AC5318" s="11"/>
      <c r="AD5318" s="11"/>
      <c r="AE5318" s="11"/>
      <c r="AF5318" s="11"/>
      <c r="AG5318" s="10"/>
    </row>
    <row r="5319" spans="1:33">
      <c r="A5319" s="11"/>
      <c r="B5319" s="11"/>
      <c r="C5319" s="11"/>
      <c r="D5319" s="11"/>
      <c r="E5319" s="11"/>
      <c r="F5319" s="11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11"/>
      <c r="AC5319" s="11"/>
      <c r="AD5319" s="11"/>
      <c r="AE5319" s="11"/>
      <c r="AF5319" s="11"/>
      <c r="AG5319" s="10"/>
    </row>
    <row r="5320" spans="1:33">
      <c r="A5320" s="11"/>
      <c r="B5320" s="11"/>
      <c r="C5320" s="11"/>
      <c r="D5320" s="11"/>
      <c r="E5320" s="11"/>
      <c r="F5320" s="11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11"/>
      <c r="AC5320" s="11"/>
      <c r="AD5320" s="11"/>
      <c r="AE5320" s="11"/>
      <c r="AF5320" s="11"/>
      <c r="AG5320" s="10"/>
    </row>
    <row r="5321" spans="1:33">
      <c r="A5321" s="11"/>
      <c r="B5321" s="11"/>
      <c r="C5321" s="11"/>
      <c r="D5321" s="11"/>
      <c r="E5321" s="11"/>
      <c r="F5321" s="11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11"/>
      <c r="AC5321" s="11"/>
      <c r="AD5321" s="11"/>
      <c r="AE5321" s="11"/>
      <c r="AF5321" s="11"/>
      <c r="AG5321" s="10"/>
    </row>
    <row r="5322" spans="1:33">
      <c r="A5322" s="11"/>
      <c r="B5322" s="11"/>
      <c r="C5322" s="11"/>
      <c r="D5322" s="11"/>
      <c r="E5322" s="11"/>
      <c r="F5322" s="11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11"/>
      <c r="AC5322" s="11"/>
      <c r="AD5322" s="11"/>
      <c r="AE5322" s="11"/>
      <c r="AF5322" s="11"/>
      <c r="AG5322" s="10"/>
    </row>
    <row r="5323" spans="1:33">
      <c r="A5323" s="11"/>
      <c r="B5323" s="11"/>
      <c r="C5323" s="11"/>
      <c r="D5323" s="11"/>
      <c r="E5323" s="11"/>
      <c r="F5323" s="11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11"/>
      <c r="AC5323" s="11"/>
      <c r="AD5323" s="11"/>
      <c r="AE5323" s="11"/>
      <c r="AF5323" s="11"/>
      <c r="AG5323" s="10"/>
    </row>
    <row r="5324" spans="1:33">
      <c r="A5324" s="11"/>
      <c r="B5324" s="11"/>
      <c r="C5324" s="11"/>
      <c r="D5324" s="11"/>
      <c r="E5324" s="11"/>
      <c r="F5324" s="11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11"/>
      <c r="AC5324" s="11"/>
      <c r="AD5324" s="11"/>
      <c r="AE5324" s="11"/>
      <c r="AF5324" s="11"/>
      <c r="AG5324" s="10"/>
    </row>
    <row r="5325" spans="1:33">
      <c r="A5325" s="11"/>
      <c r="B5325" s="11"/>
      <c r="C5325" s="11"/>
      <c r="D5325" s="11"/>
      <c r="E5325" s="11"/>
      <c r="F5325" s="11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11"/>
      <c r="AC5325" s="11"/>
      <c r="AD5325" s="11"/>
      <c r="AE5325" s="11"/>
      <c r="AF5325" s="11"/>
      <c r="AG5325" s="10"/>
    </row>
    <row r="5326" spans="1:33">
      <c r="A5326" s="11"/>
      <c r="B5326" s="11"/>
      <c r="C5326" s="11"/>
      <c r="D5326" s="11"/>
      <c r="E5326" s="11"/>
      <c r="F5326" s="11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11"/>
      <c r="AC5326" s="11"/>
      <c r="AD5326" s="11"/>
      <c r="AE5326" s="11"/>
      <c r="AF5326" s="11"/>
      <c r="AG5326" s="10"/>
    </row>
    <row r="5327" spans="1:33">
      <c r="A5327" s="11"/>
      <c r="B5327" s="11"/>
      <c r="C5327" s="11"/>
      <c r="D5327" s="11"/>
      <c r="E5327" s="11"/>
      <c r="F5327" s="11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11"/>
      <c r="AC5327" s="11"/>
      <c r="AD5327" s="11"/>
      <c r="AE5327" s="11"/>
      <c r="AF5327" s="11"/>
      <c r="AG5327" s="10"/>
    </row>
    <row r="5328" spans="1:33">
      <c r="A5328" s="11"/>
      <c r="B5328" s="11"/>
      <c r="C5328" s="11"/>
      <c r="D5328" s="11"/>
      <c r="E5328" s="11"/>
      <c r="F5328" s="11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11"/>
      <c r="AC5328" s="11"/>
      <c r="AD5328" s="11"/>
      <c r="AE5328" s="11"/>
      <c r="AF5328" s="11"/>
      <c r="AG5328" s="10"/>
    </row>
    <row r="5329" spans="1:33">
      <c r="A5329" s="11"/>
      <c r="B5329" s="11"/>
      <c r="C5329" s="11"/>
      <c r="D5329" s="11"/>
      <c r="E5329" s="11"/>
      <c r="F5329" s="11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11"/>
      <c r="AC5329" s="11"/>
      <c r="AD5329" s="11"/>
      <c r="AE5329" s="11"/>
      <c r="AF5329" s="11"/>
      <c r="AG5329" s="10"/>
    </row>
    <row r="5330" spans="1:33">
      <c r="A5330" s="11"/>
      <c r="B5330" s="11"/>
      <c r="C5330" s="11"/>
      <c r="D5330" s="11"/>
      <c r="E5330" s="11"/>
      <c r="F5330" s="11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11"/>
      <c r="AC5330" s="11"/>
      <c r="AD5330" s="11"/>
      <c r="AE5330" s="11"/>
      <c r="AF5330" s="11"/>
      <c r="AG5330" s="10"/>
    </row>
    <row r="5331" spans="1:33">
      <c r="A5331" s="11"/>
      <c r="B5331" s="11"/>
      <c r="C5331" s="11"/>
      <c r="D5331" s="11"/>
      <c r="E5331" s="11"/>
      <c r="F5331" s="11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11"/>
      <c r="AC5331" s="11"/>
      <c r="AD5331" s="11"/>
      <c r="AE5331" s="11"/>
      <c r="AF5331" s="11"/>
      <c r="AG5331" s="10"/>
    </row>
    <row r="5332" spans="1:33">
      <c r="A5332" s="11"/>
      <c r="B5332" s="11"/>
      <c r="C5332" s="11"/>
      <c r="D5332" s="11"/>
      <c r="E5332" s="11"/>
      <c r="F5332" s="11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11"/>
      <c r="AC5332" s="11"/>
      <c r="AD5332" s="11"/>
      <c r="AE5332" s="11"/>
      <c r="AF5332" s="11"/>
      <c r="AG5332" s="10"/>
    </row>
    <row r="5333" spans="1:33">
      <c r="A5333" s="11"/>
      <c r="B5333" s="11"/>
      <c r="C5333" s="11"/>
      <c r="D5333" s="11"/>
      <c r="E5333" s="11"/>
      <c r="F5333" s="11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11"/>
      <c r="AC5333" s="11"/>
      <c r="AD5333" s="11"/>
      <c r="AE5333" s="11"/>
      <c r="AF5333" s="11"/>
      <c r="AG5333" s="10"/>
    </row>
    <row r="5334" spans="1:33">
      <c r="A5334" s="11"/>
      <c r="B5334" s="11"/>
      <c r="C5334" s="11"/>
      <c r="D5334" s="11"/>
      <c r="E5334" s="11"/>
      <c r="F5334" s="11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11"/>
      <c r="AC5334" s="11"/>
      <c r="AD5334" s="11"/>
      <c r="AE5334" s="11"/>
      <c r="AF5334" s="11"/>
      <c r="AG5334" s="10"/>
    </row>
    <row r="5335" spans="1:33">
      <c r="A5335" s="11"/>
      <c r="B5335" s="11"/>
      <c r="C5335" s="11"/>
      <c r="D5335" s="11"/>
      <c r="E5335" s="11"/>
      <c r="F5335" s="11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11"/>
      <c r="AC5335" s="11"/>
      <c r="AD5335" s="11"/>
      <c r="AE5335" s="11"/>
      <c r="AF5335" s="11"/>
      <c r="AG5335" s="10"/>
    </row>
    <row r="5336" spans="1:33">
      <c r="A5336" s="11"/>
      <c r="B5336" s="11"/>
      <c r="C5336" s="11"/>
      <c r="D5336" s="11"/>
      <c r="E5336" s="11"/>
      <c r="F5336" s="11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11"/>
      <c r="AC5336" s="11"/>
      <c r="AD5336" s="11"/>
      <c r="AE5336" s="11"/>
      <c r="AF5336" s="11"/>
      <c r="AG5336" s="10"/>
    </row>
    <row r="5337" spans="1:33">
      <c r="A5337" s="11"/>
      <c r="B5337" s="11"/>
      <c r="C5337" s="11"/>
      <c r="D5337" s="11"/>
      <c r="E5337" s="11"/>
      <c r="F5337" s="11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11"/>
      <c r="AC5337" s="11"/>
      <c r="AD5337" s="11"/>
      <c r="AE5337" s="11"/>
      <c r="AF5337" s="11"/>
      <c r="AG5337" s="10"/>
    </row>
    <row r="5338" spans="1:33">
      <c r="A5338" s="11"/>
      <c r="B5338" s="11"/>
      <c r="C5338" s="11"/>
      <c r="D5338" s="11"/>
      <c r="E5338" s="11"/>
      <c r="F5338" s="11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11"/>
      <c r="AC5338" s="11"/>
      <c r="AD5338" s="11"/>
      <c r="AE5338" s="11"/>
      <c r="AF5338" s="11"/>
      <c r="AG5338" s="10"/>
    </row>
    <row r="5339" spans="1:33">
      <c r="A5339" s="11"/>
      <c r="B5339" s="11"/>
      <c r="C5339" s="11"/>
      <c r="D5339" s="11"/>
      <c r="E5339" s="11"/>
      <c r="F5339" s="11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11"/>
      <c r="AC5339" s="11"/>
      <c r="AD5339" s="11"/>
      <c r="AE5339" s="11"/>
      <c r="AF5339" s="11"/>
      <c r="AG5339" s="10"/>
    </row>
    <row r="5340" spans="1:33">
      <c r="A5340" s="11"/>
      <c r="B5340" s="11"/>
      <c r="C5340" s="11"/>
      <c r="D5340" s="11"/>
      <c r="E5340" s="11"/>
      <c r="F5340" s="11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11"/>
      <c r="AC5340" s="11"/>
      <c r="AD5340" s="11"/>
      <c r="AE5340" s="11"/>
      <c r="AF5340" s="11"/>
      <c r="AG5340" s="10"/>
    </row>
    <row r="5341" spans="1:33">
      <c r="A5341" s="11"/>
      <c r="B5341" s="11"/>
      <c r="C5341" s="11"/>
      <c r="D5341" s="11"/>
      <c r="E5341" s="11"/>
      <c r="F5341" s="11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11"/>
      <c r="AC5341" s="11"/>
      <c r="AD5341" s="11"/>
      <c r="AE5341" s="11"/>
      <c r="AF5341" s="11"/>
      <c r="AG5341" s="10"/>
    </row>
    <row r="5342" spans="1:33">
      <c r="A5342" s="11"/>
      <c r="B5342" s="11"/>
      <c r="C5342" s="11"/>
      <c r="D5342" s="11"/>
      <c r="E5342" s="11"/>
      <c r="F5342" s="11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11"/>
      <c r="AC5342" s="11"/>
      <c r="AD5342" s="11"/>
      <c r="AE5342" s="11"/>
      <c r="AF5342" s="11"/>
      <c r="AG5342" s="10"/>
    </row>
    <row r="5343" spans="1:33">
      <c r="A5343" s="11"/>
      <c r="B5343" s="11"/>
      <c r="C5343" s="11"/>
      <c r="D5343" s="11"/>
      <c r="E5343" s="11"/>
      <c r="F5343" s="11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11"/>
      <c r="AC5343" s="11"/>
      <c r="AD5343" s="11"/>
      <c r="AE5343" s="11"/>
      <c r="AF5343" s="11"/>
      <c r="AG5343" s="10"/>
    </row>
    <row r="5344" spans="1:33">
      <c r="A5344" s="11"/>
      <c r="B5344" s="11"/>
      <c r="C5344" s="11"/>
      <c r="D5344" s="11"/>
      <c r="E5344" s="11"/>
      <c r="F5344" s="11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11"/>
      <c r="AC5344" s="11"/>
      <c r="AD5344" s="11"/>
      <c r="AE5344" s="11"/>
      <c r="AF5344" s="11"/>
      <c r="AG5344" s="10"/>
    </row>
    <row r="5345" spans="1:33">
      <c r="A5345" s="11"/>
      <c r="B5345" s="11"/>
      <c r="C5345" s="11"/>
      <c r="D5345" s="11"/>
      <c r="E5345" s="11"/>
      <c r="F5345" s="11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11"/>
      <c r="AC5345" s="11"/>
      <c r="AD5345" s="11"/>
      <c r="AE5345" s="11"/>
      <c r="AF5345" s="11"/>
      <c r="AG5345" s="10"/>
    </row>
    <row r="5346" spans="1:33">
      <c r="A5346" s="11"/>
      <c r="B5346" s="11"/>
      <c r="C5346" s="11"/>
      <c r="D5346" s="11"/>
      <c r="E5346" s="11"/>
      <c r="F5346" s="11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11"/>
      <c r="AC5346" s="11"/>
      <c r="AD5346" s="11"/>
      <c r="AE5346" s="11"/>
      <c r="AF5346" s="11"/>
      <c r="AG5346" s="10"/>
    </row>
    <row r="5347" spans="1:33">
      <c r="A5347" s="11"/>
      <c r="B5347" s="11"/>
      <c r="C5347" s="11"/>
      <c r="D5347" s="11"/>
      <c r="E5347" s="11"/>
      <c r="F5347" s="11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11"/>
      <c r="AC5347" s="11"/>
      <c r="AD5347" s="11"/>
      <c r="AE5347" s="11"/>
      <c r="AF5347" s="11"/>
      <c r="AG5347" s="10"/>
    </row>
    <row r="5348" spans="1:33">
      <c r="A5348" s="11"/>
      <c r="B5348" s="11"/>
      <c r="C5348" s="11"/>
      <c r="D5348" s="11"/>
      <c r="E5348" s="11"/>
      <c r="F5348" s="11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11"/>
      <c r="AC5348" s="11"/>
      <c r="AD5348" s="11"/>
      <c r="AE5348" s="11"/>
      <c r="AF5348" s="11"/>
      <c r="AG5348" s="10"/>
    </row>
    <row r="5349" spans="1:33">
      <c r="A5349" s="11"/>
      <c r="B5349" s="11"/>
      <c r="C5349" s="11"/>
      <c r="D5349" s="11"/>
      <c r="E5349" s="11"/>
      <c r="F5349" s="11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11"/>
      <c r="AC5349" s="11"/>
      <c r="AD5349" s="11"/>
      <c r="AE5349" s="11"/>
      <c r="AF5349" s="11"/>
      <c r="AG5349" s="10"/>
    </row>
    <row r="5350" spans="1:33">
      <c r="A5350" s="11"/>
      <c r="B5350" s="11"/>
      <c r="C5350" s="11"/>
      <c r="D5350" s="11"/>
      <c r="E5350" s="11"/>
      <c r="F5350" s="11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11"/>
      <c r="AC5350" s="11"/>
      <c r="AD5350" s="11"/>
      <c r="AE5350" s="11"/>
      <c r="AF5350" s="11"/>
      <c r="AG5350" s="10"/>
    </row>
    <row r="5351" spans="1:33">
      <c r="A5351" s="11"/>
      <c r="B5351" s="11"/>
      <c r="C5351" s="11"/>
      <c r="D5351" s="11"/>
      <c r="E5351" s="11"/>
      <c r="F5351" s="11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11"/>
      <c r="AC5351" s="11"/>
      <c r="AD5351" s="11"/>
      <c r="AE5351" s="11"/>
      <c r="AF5351" s="11"/>
      <c r="AG5351" s="10"/>
    </row>
    <row r="5352" spans="1:33">
      <c r="A5352" s="11"/>
      <c r="B5352" s="11"/>
      <c r="C5352" s="11"/>
      <c r="D5352" s="11"/>
      <c r="E5352" s="11"/>
      <c r="F5352" s="11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11"/>
      <c r="AC5352" s="11"/>
      <c r="AD5352" s="11"/>
      <c r="AE5352" s="11"/>
      <c r="AF5352" s="11"/>
      <c r="AG5352" s="10"/>
    </row>
    <row r="5353" spans="1:33">
      <c r="A5353" s="11"/>
      <c r="B5353" s="11"/>
      <c r="C5353" s="11"/>
      <c r="D5353" s="11"/>
      <c r="E5353" s="11"/>
      <c r="F5353" s="11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11"/>
      <c r="AC5353" s="11"/>
      <c r="AD5353" s="11"/>
      <c r="AE5353" s="11"/>
      <c r="AF5353" s="11"/>
      <c r="AG5353" s="10"/>
    </row>
    <row r="5354" spans="1:33">
      <c r="A5354" s="11"/>
      <c r="B5354" s="11"/>
      <c r="C5354" s="11"/>
      <c r="D5354" s="11"/>
      <c r="E5354" s="11"/>
      <c r="F5354" s="11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11"/>
      <c r="AC5354" s="11"/>
      <c r="AD5354" s="11"/>
      <c r="AE5354" s="11"/>
      <c r="AF5354" s="11"/>
      <c r="AG5354" s="10"/>
    </row>
    <row r="5355" spans="1:33">
      <c r="A5355" s="11"/>
      <c r="B5355" s="11"/>
      <c r="C5355" s="11"/>
      <c r="D5355" s="11"/>
      <c r="E5355" s="11"/>
      <c r="F5355" s="11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11"/>
      <c r="AC5355" s="11"/>
      <c r="AD5355" s="11"/>
      <c r="AE5355" s="11"/>
      <c r="AF5355" s="11"/>
      <c r="AG5355" s="10"/>
    </row>
    <row r="5356" spans="1:33">
      <c r="A5356" s="11"/>
      <c r="B5356" s="11"/>
      <c r="C5356" s="11"/>
      <c r="D5356" s="11"/>
      <c r="E5356" s="11"/>
      <c r="F5356" s="11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11"/>
      <c r="AC5356" s="11"/>
      <c r="AD5356" s="11"/>
      <c r="AE5356" s="11"/>
      <c r="AF5356" s="11"/>
      <c r="AG5356" s="10"/>
    </row>
    <row r="5357" spans="1:33">
      <c r="A5357" s="11"/>
      <c r="B5357" s="11"/>
      <c r="C5357" s="11"/>
      <c r="D5357" s="11"/>
      <c r="E5357" s="11"/>
      <c r="F5357" s="11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11"/>
      <c r="AC5357" s="11"/>
      <c r="AD5357" s="11"/>
      <c r="AE5357" s="11"/>
      <c r="AF5357" s="11"/>
      <c r="AG5357" s="10"/>
    </row>
    <row r="5358" spans="1:33">
      <c r="A5358" s="11"/>
      <c r="B5358" s="11"/>
      <c r="C5358" s="11"/>
      <c r="D5358" s="11"/>
      <c r="E5358" s="11"/>
      <c r="F5358" s="11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11"/>
      <c r="AC5358" s="11"/>
      <c r="AD5358" s="11"/>
      <c r="AE5358" s="11"/>
      <c r="AF5358" s="11"/>
      <c r="AG5358" s="10"/>
    </row>
    <row r="5359" spans="1:33">
      <c r="A5359" s="11"/>
      <c r="B5359" s="11"/>
      <c r="C5359" s="11"/>
      <c r="D5359" s="11"/>
      <c r="E5359" s="11"/>
      <c r="F5359" s="11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11"/>
      <c r="AC5359" s="11"/>
      <c r="AD5359" s="11"/>
      <c r="AE5359" s="11"/>
      <c r="AF5359" s="11"/>
      <c r="AG5359" s="10"/>
    </row>
    <row r="5360" spans="1:33">
      <c r="A5360" s="11"/>
      <c r="B5360" s="11"/>
      <c r="C5360" s="11"/>
      <c r="D5360" s="11"/>
      <c r="E5360" s="11"/>
      <c r="F5360" s="11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11"/>
      <c r="AC5360" s="11"/>
      <c r="AD5360" s="11"/>
      <c r="AE5360" s="11"/>
      <c r="AF5360" s="11"/>
      <c r="AG5360" s="10"/>
    </row>
    <row r="5361" spans="1:33">
      <c r="A5361" s="11"/>
      <c r="B5361" s="11"/>
      <c r="C5361" s="11"/>
      <c r="D5361" s="11"/>
      <c r="E5361" s="11"/>
      <c r="F5361" s="11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11"/>
      <c r="AC5361" s="11"/>
      <c r="AD5361" s="11"/>
      <c r="AE5361" s="11"/>
      <c r="AF5361" s="11"/>
      <c r="AG5361" s="10"/>
    </row>
    <row r="5362" spans="1:33">
      <c r="A5362" s="11"/>
      <c r="B5362" s="11"/>
      <c r="C5362" s="11"/>
      <c r="D5362" s="11"/>
      <c r="E5362" s="11"/>
      <c r="F5362" s="11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11"/>
      <c r="AC5362" s="11"/>
      <c r="AD5362" s="11"/>
      <c r="AE5362" s="11"/>
      <c r="AF5362" s="11"/>
      <c r="AG5362" s="10"/>
    </row>
    <row r="5363" spans="1:33">
      <c r="A5363" s="11"/>
      <c r="B5363" s="11"/>
      <c r="C5363" s="11"/>
      <c r="D5363" s="11"/>
      <c r="E5363" s="11"/>
      <c r="F5363" s="11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11"/>
      <c r="AC5363" s="11"/>
      <c r="AD5363" s="11"/>
      <c r="AE5363" s="11"/>
      <c r="AF5363" s="11"/>
      <c r="AG5363" s="10"/>
    </row>
    <row r="5364" spans="1:33">
      <c r="A5364" s="11"/>
      <c r="B5364" s="11"/>
      <c r="C5364" s="11"/>
      <c r="D5364" s="11"/>
      <c r="E5364" s="11"/>
      <c r="F5364" s="11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11"/>
      <c r="AC5364" s="11"/>
      <c r="AD5364" s="11"/>
      <c r="AE5364" s="11"/>
      <c r="AF5364" s="11"/>
      <c r="AG5364" s="10"/>
    </row>
    <row r="5365" spans="1:33">
      <c r="A5365" s="11"/>
      <c r="B5365" s="11"/>
      <c r="C5365" s="11"/>
      <c r="D5365" s="11"/>
      <c r="E5365" s="11"/>
      <c r="F5365" s="11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11"/>
      <c r="AC5365" s="11"/>
      <c r="AD5365" s="11"/>
      <c r="AE5365" s="11"/>
      <c r="AF5365" s="11"/>
      <c r="AG5365" s="10"/>
    </row>
    <row r="5366" spans="1:33">
      <c r="A5366" s="11"/>
      <c r="B5366" s="11"/>
      <c r="C5366" s="11"/>
      <c r="D5366" s="11"/>
      <c r="E5366" s="11"/>
      <c r="F5366" s="11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11"/>
      <c r="AC5366" s="11"/>
      <c r="AD5366" s="11"/>
      <c r="AE5366" s="11"/>
      <c r="AF5366" s="11"/>
      <c r="AG5366" s="10"/>
    </row>
    <row r="5367" spans="1:33">
      <c r="A5367" s="11"/>
      <c r="B5367" s="11"/>
      <c r="C5367" s="11"/>
      <c r="D5367" s="11"/>
      <c r="E5367" s="11"/>
      <c r="F5367" s="11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11"/>
      <c r="AC5367" s="11"/>
      <c r="AD5367" s="11"/>
      <c r="AE5367" s="11"/>
      <c r="AF5367" s="11"/>
      <c r="AG5367" s="10"/>
    </row>
    <row r="5368" spans="1:33">
      <c r="A5368" s="11"/>
      <c r="B5368" s="11"/>
      <c r="C5368" s="11"/>
      <c r="D5368" s="11"/>
      <c r="E5368" s="11"/>
      <c r="F5368" s="11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11"/>
      <c r="AC5368" s="11"/>
      <c r="AD5368" s="11"/>
      <c r="AE5368" s="11"/>
      <c r="AF5368" s="11"/>
      <c r="AG5368" s="10"/>
    </row>
    <row r="5369" spans="1:33">
      <c r="A5369" s="11"/>
      <c r="B5369" s="11"/>
      <c r="C5369" s="11"/>
      <c r="D5369" s="11"/>
      <c r="E5369" s="11"/>
      <c r="F5369" s="11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11"/>
      <c r="AC5369" s="11"/>
      <c r="AD5369" s="11"/>
      <c r="AE5369" s="11"/>
      <c r="AF5369" s="11"/>
      <c r="AG5369" s="10"/>
    </row>
    <row r="5370" spans="1:33">
      <c r="A5370" s="11"/>
      <c r="B5370" s="11"/>
      <c r="C5370" s="11"/>
      <c r="D5370" s="11"/>
      <c r="E5370" s="11"/>
      <c r="F5370" s="11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11"/>
      <c r="AC5370" s="11"/>
      <c r="AD5370" s="11"/>
      <c r="AE5370" s="11"/>
      <c r="AF5370" s="11"/>
      <c r="AG5370" s="10"/>
    </row>
    <row r="5371" spans="1:33">
      <c r="A5371" s="11"/>
      <c r="B5371" s="11"/>
      <c r="C5371" s="11"/>
      <c r="D5371" s="11"/>
      <c r="E5371" s="11"/>
      <c r="F5371" s="11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11"/>
      <c r="AC5371" s="11"/>
      <c r="AD5371" s="11"/>
      <c r="AE5371" s="11"/>
      <c r="AF5371" s="11"/>
      <c r="AG5371" s="10"/>
    </row>
    <row r="5372" spans="1:33">
      <c r="A5372" s="11"/>
      <c r="B5372" s="11"/>
      <c r="C5372" s="11"/>
      <c r="D5372" s="11"/>
      <c r="E5372" s="11"/>
      <c r="F5372" s="11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11"/>
      <c r="AC5372" s="11"/>
      <c r="AD5372" s="11"/>
      <c r="AE5372" s="11"/>
      <c r="AF5372" s="11"/>
      <c r="AG5372" s="10"/>
    </row>
    <row r="5373" spans="1:33">
      <c r="A5373" s="11"/>
      <c r="B5373" s="11"/>
      <c r="C5373" s="11"/>
      <c r="D5373" s="11"/>
      <c r="E5373" s="11"/>
      <c r="F5373" s="11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11"/>
      <c r="AC5373" s="11"/>
      <c r="AD5373" s="11"/>
      <c r="AE5373" s="11"/>
      <c r="AF5373" s="11"/>
      <c r="AG5373" s="10"/>
    </row>
    <row r="5374" spans="1:33">
      <c r="A5374" s="11"/>
      <c r="B5374" s="11"/>
      <c r="C5374" s="11"/>
      <c r="D5374" s="11"/>
      <c r="E5374" s="11"/>
      <c r="F5374" s="11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11"/>
      <c r="AC5374" s="11"/>
      <c r="AD5374" s="11"/>
      <c r="AE5374" s="11"/>
      <c r="AF5374" s="11"/>
      <c r="AG5374" s="10"/>
    </row>
    <row r="5375" spans="1:33">
      <c r="A5375" s="11"/>
      <c r="B5375" s="11"/>
      <c r="C5375" s="11"/>
      <c r="D5375" s="11"/>
      <c r="E5375" s="11"/>
      <c r="F5375" s="11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11"/>
      <c r="AC5375" s="11"/>
      <c r="AD5375" s="11"/>
      <c r="AE5375" s="11"/>
      <c r="AF5375" s="11"/>
      <c r="AG5375" s="10"/>
    </row>
    <row r="5376" spans="1:33">
      <c r="A5376" s="11"/>
      <c r="B5376" s="11"/>
      <c r="C5376" s="11"/>
      <c r="D5376" s="11"/>
      <c r="E5376" s="11"/>
      <c r="F5376" s="11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11"/>
      <c r="AC5376" s="11"/>
      <c r="AD5376" s="11"/>
      <c r="AE5376" s="11"/>
      <c r="AF5376" s="11"/>
      <c r="AG5376" s="10"/>
    </row>
    <row r="5377" spans="1:33">
      <c r="A5377" s="11"/>
      <c r="B5377" s="11"/>
      <c r="C5377" s="11"/>
      <c r="D5377" s="11"/>
      <c r="E5377" s="11"/>
      <c r="F5377" s="11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11"/>
      <c r="AC5377" s="11"/>
      <c r="AD5377" s="11"/>
      <c r="AE5377" s="11"/>
      <c r="AF5377" s="11"/>
      <c r="AG5377" s="10"/>
    </row>
    <row r="5378" spans="1:33">
      <c r="A5378" s="11"/>
      <c r="B5378" s="11"/>
      <c r="C5378" s="11"/>
      <c r="D5378" s="11"/>
      <c r="E5378" s="11"/>
      <c r="F5378" s="11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11"/>
      <c r="AC5378" s="11"/>
      <c r="AD5378" s="11"/>
      <c r="AE5378" s="11"/>
      <c r="AF5378" s="11"/>
      <c r="AG5378" s="10"/>
    </row>
    <row r="5379" spans="1:33">
      <c r="A5379" s="11"/>
      <c r="B5379" s="11"/>
      <c r="C5379" s="11"/>
      <c r="D5379" s="11"/>
      <c r="E5379" s="11"/>
      <c r="F5379" s="11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11"/>
      <c r="AC5379" s="11"/>
      <c r="AD5379" s="11"/>
      <c r="AE5379" s="11"/>
      <c r="AF5379" s="11"/>
      <c r="AG5379" s="10"/>
    </row>
    <row r="5380" spans="1:33">
      <c r="A5380" s="11"/>
      <c r="B5380" s="11"/>
      <c r="C5380" s="11"/>
      <c r="D5380" s="11"/>
      <c r="E5380" s="11"/>
      <c r="F5380" s="11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11"/>
      <c r="AC5380" s="11"/>
      <c r="AD5380" s="11"/>
      <c r="AE5380" s="11"/>
      <c r="AF5380" s="11"/>
      <c r="AG5380" s="10"/>
    </row>
    <row r="5381" spans="1:33">
      <c r="A5381" s="11"/>
      <c r="B5381" s="11"/>
      <c r="C5381" s="11"/>
      <c r="D5381" s="11"/>
      <c r="E5381" s="11"/>
      <c r="F5381" s="11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11"/>
      <c r="AC5381" s="11"/>
      <c r="AD5381" s="11"/>
      <c r="AE5381" s="11"/>
      <c r="AF5381" s="11"/>
      <c r="AG5381" s="10"/>
    </row>
    <row r="5382" spans="1:33">
      <c r="A5382" s="11"/>
      <c r="B5382" s="11"/>
      <c r="C5382" s="11"/>
      <c r="D5382" s="11"/>
      <c r="E5382" s="11"/>
      <c r="F5382" s="11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11"/>
      <c r="AC5382" s="11"/>
      <c r="AD5382" s="11"/>
      <c r="AE5382" s="11"/>
      <c r="AF5382" s="11"/>
      <c r="AG5382" s="10"/>
    </row>
    <row r="5383" spans="1:33">
      <c r="A5383" s="11"/>
      <c r="B5383" s="11"/>
      <c r="C5383" s="11"/>
      <c r="D5383" s="11"/>
      <c r="E5383" s="11"/>
      <c r="F5383" s="11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11"/>
      <c r="AC5383" s="11"/>
      <c r="AD5383" s="11"/>
      <c r="AE5383" s="11"/>
      <c r="AF5383" s="11"/>
      <c r="AG5383" s="10"/>
    </row>
    <row r="5384" spans="1:33">
      <c r="A5384" s="11"/>
      <c r="B5384" s="11"/>
      <c r="C5384" s="11"/>
      <c r="D5384" s="11"/>
      <c r="E5384" s="11"/>
      <c r="F5384" s="11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11"/>
      <c r="AC5384" s="11"/>
      <c r="AD5384" s="11"/>
      <c r="AE5384" s="11"/>
      <c r="AF5384" s="11"/>
      <c r="AG5384" s="10"/>
    </row>
    <row r="5385" spans="1:33">
      <c r="A5385" s="11"/>
      <c r="B5385" s="11"/>
      <c r="C5385" s="11"/>
      <c r="D5385" s="11"/>
      <c r="E5385" s="11"/>
      <c r="F5385" s="11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11"/>
      <c r="AC5385" s="11"/>
      <c r="AD5385" s="11"/>
      <c r="AE5385" s="11"/>
      <c r="AF5385" s="11"/>
      <c r="AG5385" s="10"/>
    </row>
    <row r="5386" spans="1:33">
      <c r="A5386" s="11"/>
      <c r="B5386" s="11"/>
      <c r="C5386" s="11"/>
      <c r="D5386" s="11"/>
      <c r="E5386" s="11"/>
      <c r="F5386" s="11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11"/>
      <c r="AC5386" s="11"/>
      <c r="AD5386" s="11"/>
      <c r="AE5386" s="11"/>
      <c r="AF5386" s="11"/>
      <c r="AG5386" s="10"/>
    </row>
    <row r="5387" spans="1:33">
      <c r="A5387" s="11"/>
      <c r="B5387" s="11"/>
      <c r="C5387" s="11"/>
      <c r="D5387" s="11"/>
      <c r="E5387" s="11"/>
      <c r="F5387" s="11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11"/>
      <c r="AC5387" s="11"/>
      <c r="AD5387" s="11"/>
      <c r="AE5387" s="11"/>
      <c r="AF5387" s="11"/>
      <c r="AG5387" s="10"/>
    </row>
    <row r="5388" spans="1:33">
      <c r="A5388" s="11"/>
      <c r="B5388" s="11"/>
      <c r="C5388" s="11"/>
      <c r="D5388" s="11"/>
      <c r="E5388" s="11"/>
      <c r="F5388" s="11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11"/>
      <c r="AC5388" s="11"/>
      <c r="AD5388" s="11"/>
      <c r="AE5388" s="11"/>
      <c r="AF5388" s="11"/>
      <c r="AG5388" s="10"/>
    </row>
    <row r="5389" spans="1:33">
      <c r="A5389" s="11"/>
      <c r="B5389" s="11"/>
      <c r="C5389" s="11"/>
      <c r="D5389" s="11"/>
      <c r="E5389" s="11"/>
      <c r="F5389" s="11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11"/>
      <c r="AC5389" s="11"/>
      <c r="AD5389" s="11"/>
      <c r="AE5389" s="11"/>
      <c r="AF5389" s="11"/>
      <c r="AG5389" s="10"/>
    </row>
    <row r="5390" spans="1:33">
      <c r="A5390" s="11"/>
      <c r="B5390" s="11"/>
      <c r="C5390" s="11"/>
      <c r="D5390" s="11"/>
      <c r="E5390" s="11"/>
      <c r="F5390" s="11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11"/>
      <c r="AC5390" s="11"/>
      <c r="AD5390" s="11"/>
      <c r="AE5390" s="11"/>
      <c r="AF5390" s="11"/>
      <c r="AG5390" s="10"/>
    </row>
    <row r="5391" spans="1:33">
      <c r="A5391" s="11"/>
      <c r="B5391" s="11"/>
      <c r="C5391" s="11"/>
      <c r="D5391" s="11"/>
      <c r="E5391" s="11"/>
      <c r="F5391" s="11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11"/>
      <c r="AC5391" s="11"/>
      <c r="AD5391" s="11"/>
      <c r="AE5391" s="11"/>
      <c r="AF5391" s="11"/>
      <c r="AG5391" s="10"/>
    </row>
    <row r="5392" spans="1:33">
      <c r="A5392" s="11"/>
      <c r="B5392" s="11"/>
      <c r="C5392" s="11"/>
      <c r="D5392" s="11"/>
      <c r="E5392" s="11"/>
      <c r="F5392" s="11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11"/>
      <c r="AC5392" s="11"/>
      <c r="AD5392" s="11"/>
      <c r="AE5392" s="11"/>
      <c r="AF5392" s="11"/>
      <c r="AG5392" s="10"/>
    </row>
    <row r="5393" spans="1:33">
      <c r="A5393" s="11"/>
      <c r="B5393" s="11"/>
      <c r="C5393" s="11"/>
      <c r="D5393" s="11"/>
      <c r="E5393" s="11"/>
      <c r="F5393" s="11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11"/>
      <c r="AC5393" s="11"/>
      <c r="AD5393" s="11"/>
      <c r="AE5393" s="11"/>
      <c r="AF5393" s="11"/>
      <c r="AG5393" s="10"/>
    </row>
    <row r="5394" spans="1:33">
      <c r="A5394" s="11"/>
      <c r="B5394" s="11"/>
      <c r="C5394" s="11"/>
      <c r="D5394" s="11"/>
      <c r="E5394" s="11"/>
      <c r="F5394" s="11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11"/>
      <c r="AC5394" s="11"/>
      <c r="AD5394" s="11"/>
      <c r="AE5394" s="11"/>
      <c r="AF5394" s="11"/>
      <c r="AG5394" s="10"/>
    </row>
    <row r="5395" spans="1:33">
      <c r="A5395" s="11"/>
      <c r="B5395" s="11"/>
      <c r="C5395" s="11"/>
      <c r="D5395" s="11"/>
      <c r="E5395" s="11"/>
      <c r="F5395" s="11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11"/>
      <c r="AC5395" s="11"/>
      <c r="AD5395" s="11"/>
      <c r="AE5395" s="11"/>
      <c r="AF5395" s="11"/>
      <c r="AG5395" s="10"/>
    </row>
    <row r="5396" spans="1:33">
      <c r="A5396" s="11"/>
      <c r="B5396" s="11"/>
      <c r="C5396" s="11"/>
      <c r="D5396" s="11"/>
      <c r="E5396" s="11"/>
      <c r="F5396" s="11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11"/>
      <c r="AC5396" s="11"/>
      <c r="AD5396" s="11"/>
      <c r="AE5396" s="11"/>
      <c r="AF5396" s="11"/>
      <c r="AG5396" s="10"/>
    </row>
    <row r="5397" spans="1:33">
      <c r="A5397" s="11"/>
      <c r="B5397" s="11"/>
      <c r="C5397" s="11"/>
      <c r="D5397" s="11"/>
      <c r="E5397" s="11"/>
      <c r="F5397" s="11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11"/>
      <c r="AC5397" s="11"/>
      <c r="AD5397" s="11"/>
      <c r="AE5397" s="11"/>
      <c r="AF5397" s="11"/>
      <c r="AG5397" s="10"/>
    </row>
    <row r="5398" spans="1:33">
      <c r="A5398" s="11"/>
      <c r="B5398" s="11"/>
      <c r="C5398" s="11"/>
      <c r="D5398" s="11"/>
      <c r="E5398" s="11"/>
      <c r="F5398" s="11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11"/>
      <c r="AC5398" s="11"/>
      <c r="AD5398" s="11"/>
      <c r="AE5398" s="11"/>
      <c r="AF5398" s="11"/>
      <c r="AG5398" s="10"/>
    </row>
    <row r="5399" spans="1:33">
      <c r="A5399" s="11"/>
      <c r="B5399" s="11"/>
      <c r="C5399" s="11"/>
      <c r="D5399" s="11"/>
      <c r="E5399" s="11"/>
      <c r="F5399" s="11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11"/>
      <c r="AC5399" s="11"/>
      <c r="AD5399" s="11"/>
      <c r="AE5399" s="11"/>
      <c r="AF5399" s="11"/>
      <c r="AG5399" s="10"/>
    </row>
    <row r="5400" spans="1:33">
      <c r="A5400" s="11"/>
      <c r="B5400" s="11"/>
      <c r="C5400" s="11"/>
      <c r="D5400" s="11"/>
      <c r="E5400" s="11"/>
      <c r="F5400" s="11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11"/>
      <c r="AC5400" s="11"/>
      <c r="AD5400" s="11"/>
      <c r="AE5400" s="11"/>
      <c r="AF5400" s="11"/>
      <c r="AG5400" s="10"/>
    </row>
    <row r="5401" spans="1:33">
      <c r="A5401" s="11"/>
      <c r="B5401" s="11"/>
      <c r="C5401" s="11"/>
      <c r="D5401" s="11"/>
      <c r="E5401" s="11"/>
      <c r="F5401" s="11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11"/>
      <c r="AC5401" s="11"/>
      <c r="AD5401" s="11"/>
      <c r="AE5401" s="11"/>
      <c r="AF5401" s="11"/>
      <c r="AG5401" s="10"/>
    </row>
    <row r="5402" spans="1:33">
      <c r="A5402" s="11"/>
      <c r="B5402" s="11"/>
      <c r="C5402" s="11"/>
      <c r="D5402" s="11"/>
      <c r="E5402" s="11"/>
      <c r="F5402" s="11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11"/>
      <c r="AC5402" s="11"/>
      <c r="AD5402" s="11"/>
      <c r="AE5402" s="11"/>
      <c r="AF5402" s="11"/>
      <c r="AG5402" s="10"/>
    </row>
    <row r="5403" spans="1:33">
      <c r="A5403" s="11"/>
      <c r="B5403" s="11"/>
      <c r="C5403" s="11"/>
      <c r="D5403" s="11"/>
      <c r="E5403" s="11"/>
      <c r="F5403" s="11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11"/>
      <c r="AC5403" s="11"/>
      <c r="AD5403" s="11"/>
      <c r="AE5403" s="11"/>
      <c r="AF5403" s="11"/>
      <c r="AG5403" s="10"/>
    </row>
    <row r="5404" spans="1:33">
      <c r="A5404" s="11"/>
      <c r="B5404" s="11"/>
      <c r="C5404" s="11"/>
      <c r="D5404" s="11"/>
      <c r="E5404" s="11"/>
      <c r="F5404" s="11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11"/>
      <c r="AC5404" s="11"/>
      <c r="AD5404" s="11"/>
      <c r="AE5404" s="11"/>
      <c r="AF5404" s="11"/>
      <c r="AG5404" s="10"/>
    </row>
    <row r="5405" spans="1:33">
      <c r="A5405" s="11"/>
      <c r="B5405" s="11"/>
      <c r="C5405" s="11"/>
      <c r="D5405" s="11"/>
      <c r="E5405" s="11"/>
      <c r="F5405" s="11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11"/>
      <c r="AC5405" s="11"/>
      <c r="AD5405" s="11"/>
      <c r="AE5405" s="11"/>
      <c r="AF5405" s="11"/>
      <c r="AG5405" s="10"/>
    </row>
    <row r="5406" spans="1:33">
      <c r="A5406" s="11"/>
      <c r="B5406" s="11"/>
      <c r="C5406" s="11"/>
      <c r="D5406" s="11"/>
      <c r="E5406" s="11"/>
      <c r="F5406" s="11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11"/>
      <c r="AC5406" s="11"/>
      <c r="AD5406" s="11"/>
      <c r="AE5406" s="11"/>
      <c r="AF5406" s="11"/>
      <c r="AG5406" s="10"/>
    </row>
    <row r="5407" spans="1:33">
      <c r="A5407" s="11"/>
      <c r="B5407" s="11"/>
      <c r="C5407" s="11"/>
      <c r="D5407" s="11"/>
      <c r="E5407" s="11"/>
      <c r="F5407" s="11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11"/>
      <c r="AC5407" s="11"/>
      <c r="AD5407" s="11"/>
      <c r="AE5407" s="11"/>
      <c r="AF5407" s="11"/>
      <c r="AG5407" s="10"/>
    </row>
    <row r="5408" spans="1:33">
      <c r="A5408" s="11"/>
      <c r="B5408" s="11"/>
      <c r="C5408" s="11"/>
      <c r="D5408" s="11"/>
      <c r="E5408" s="11"/>
      <c r="F5408" s="11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11"/>
      <c r="AC5408" s="11"/>
      <c r="AD5408" s="11"/>
      <c r="AE5408" s="11"/>
      <c r="AF5408" s="11"/>
      <c r="AG5408" s="10"/>
    </row>
    <row r="5409" spans="1:33">
      <c r="A5409" s="11"/>
      <c r="B5409" s="11"/>
      <c r="C5409" s="11"/>
      <c r="D5409" s="11"/>
      <c r="E5409" s="11"/>
      <c r="F5409" s="11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11"/>
      <c r="AC5409" s="11"/>
      <c r="AD5409" s="11"/>
      <c r="AE5409" s="11"/>
      <c r="AF5409" s="11"/>
      <c r="AG5409" s="10"/>
    </row>
    <row r="5410" spans="1:33">
      <c r="A5410" s="11"/>
      <c r="B5410" s="11"/>
      <c r="C5410" s="11"/>
      <c r="D5410" s="11"/>
      <c r="E5410" s="11"/>
      <c r="F5410" s="11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11"/>
      <c r="AC5410" s="11"/>
      <c r="AD5410" s="11"/>
      <c r="AE5410" s="11"/>
      <c r="AF5410" s="11"/>
      <c r="AG5410" s="10"/>
    </row>
    <row r="5411" spans="1:33">
      <c r="A5411" s="11"/>
      <c r="B5411" s="11"/>
      <c r="C5411" s="11"/>
      <c r="D5411" s="11"/>
      <c r="E5411" s="11"/>
      <c r="F5411" s="11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11"/>
      <c r="AC5411" s="11"/>
      <c r="AD5411" s="11"/>
      <c r="AE5411" s="11"/>
      <c r="AF5411" s="11"/>
      <c r="AG5411" s="10"/>
    </row>
    <row r="5412" spans="1:33">
      <c r="A5412" s="11"/>
      <c r="B5412" s="11"/>
      <c r="C5412" s="11"/>
      <c r="D5412" s="11"/>
      <c r="E5412" s="11"/>
      <c r="F5412" s="11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11"/>
      <c r="AC5412" s="11"/>
      <c r="AD5412" s="11"/>
      <c r="AE5412" s="11"/>
      <c r="AF5412" s="11"/>
      <c r="AG5412" s="10"/>
    </row>
    <row r="5413" spans="1:33">
      <c r="A5413" s="11"/>
      <c r="B5413" s="11"/>
      <c r="C5413" s="11"/>
      <c r="D5413" s="11"/>
      <c r="E5413" s="11"/>
      <c r="F5413" s="11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11"/>
      <c r="AC5413" s="11"/>
      <c r="AD5413" s="11"/>
      <c r="AE5413" s="11"/>
      <c r="AF5413" s="11"/>
      <c r="AG5413" s="10"/>
    </row>
    <row r="5414" spans="1:33">
      <c r="A5414" s="11"/>
      <c r="B5414" s="11"/>
      <c r="C5414" s="11"/>
      <c r="D5414" s="11"/>
      <c r="E5414" s="11"/>
      <c r="F5414" s="11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11"/>
      <c r="AC5414" s="11"/>
      <c r="AD5414" s="11"/>
      <c r="AE5414" s="11"/>
      <c r="AF5414" s="11"/>
      <c r="AG5414" s="10"/>
    </row>
    <row r="5415" spans="1:33">
      <c r="A5415" s="11"/>
      <c r="B5415" s="11"/>
      <c r="C5415" s="11"/>
      <c r="D5415" s="11"/>
      <c r="E5415" s="11"/>
      <c r="F5415" s="11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11"/>
      <c r="AC5415" s="11"/>
      <c r="AD5415" s="11"/>
      <c r="AE5415" s="11"/>
      <c r="AF5415" s="11"/>
      <c r="AG5415" s="10"/>
    </row>
    <row r="5416" spans="1:33">
      <c r="A5416" s="11"/>
      <c r="B5416" s="11"/>
      <c r="C5416" s="11"/>
      <c r="D5416" s="11"/>
      <c r="E5416" s="11"/>
      <c r="F5416" s="11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11"/>
      <c r="AC5416" s="11"/>
      <c r="AD5416" s="11"/>
      <c r="AE5416" s="11"/>
      <c r="AF5416" s="11"/>
      <c r="AG5416" s="10"/>
    </row>
    <row r="5417" spans="1:33">
      <c r="A5417" s="11"/>
      <c r="B5417" s="11"/>
      <c r="C5417" s="11"/>
      <c r="D5417" s="11"/>
      <c r="E5417" s="11"/>
      <c r="F5417" s="11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11"/>
      <c r="AC5417" s="11"/>
      <c r="AD5417" s="11"/>
      <c r="AE5417" s="11"/>
      <c r="AF5417" s="11"/>
      <c r="AG5417" s="10"/>
    </row>
    <row r="5418" spans="1:33">
      <c r="A5418" s="11"/>
      <c r="B5418" s="11"/>
      <c r="C5418" s="11"/>
      <c r="D5418" s="11"/>
      <c r="E5418" s="11"/>
      <c r="F5418" s="11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11"/>
      <c r="AC5418" s="11"/>
      <c r="AD5418" s="11"/>
      <c r="AE5418" s="11"/>
      <c r="AF5418" s="11"/>
      <c r="AG5418" s="10"/>
    </row>
    <row r="5419" spans="1:33">
      <c r="A5419" s="11"/>
      <c r="B5419" s="11"/>
      <c r="C5419" s="11"/>
      <c r="D5419" s="11"/>
      <c r="E5419" s="11"/>
      <c r="F5419" s="11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11"/>
      <c r="AC5419" s="11"/>
      <c r="AD5419" s="11"/>
      <c r="AE5419" s="11"/>
      <c r="AF5419" s="11"/>
      <c r="AG5419" s="10"/>
    </row>
    <row r="5420" spans="1:33">
      <c r="A5420" s="11"/>
      <c r="B5420" s="11"/>
      <c r="C5420" s="11"/>
      <c r="D5420" s="11"/>
      <c r="E5420" s="11"/>
      <c r="F5420" s="11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11"/>
      <c r="AC5420" s="11"/>
      <c r="AD5420" s="11"/>
      <c r="AE5420" s="11"/>
      <c r="AF5420" s="11"/>
      <c r="AG5420" s="10"/>
    </row>
    <row r="5421" spans="1:33">
      <c r="A5421" s="11"/>
      <c r="B5421" s="11"/>
      <c r="C5421" s="11"/>
      <c r="D5421" s="11"/>
      <c r="E5421" s="11"/>
      <c r="F5421" s="11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11"/>
      <c r="AC5421" s="11"/>
      <c r="AD5421" s="11"/>
      <c r="AE5421" s="11"/>
      <c r="AF5421" s="11"/>
      <c r="AG5421" s="10"/>
    </row>
    <row r="5422" spans="1:33">
      <c r="A5422" s="11"/>
      <c r="B5422" s="11"/>
      <c r="C5422" s="11"/>
      <c r="D5422" s="11"/>
      <c r="E5422" s="11"/>
      <c r="F5422" s="11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11"/>
      <c r="AC5422" s="11"/>
      <c r="AD5422" s="11"/>
      <c r="AE5422" s="11"/>
      <c r="AF5422" s="11"/>
      <c r="AG5422" s="10"/>
    </row>
    <row r="5423" spans="1:33">
      <c r="A5423" s="11"/>
      <c r="B5423" s="11"/>
      <c r="C5423" s="11"/>
      <c r="D5423" s="11"/>
      <c r="E5423" s="11"/>
      <c r="F5423" s="11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11"/>
      <c r="AC5423" s="11"/>
      <c r="AD5423" s="11"/>
      <c r="AE5423" s="11"/>
      <c r="AF5423" s="11"/>
      <c r="AG5423" s="10"/>
    </row>
    <row r="5424" spans="1:33">
      <c r="A5424" s="11"/>
      <c r="B5424" s="11"/>
      <c r="C5424" s="11"/>
      <c r="D5424" s="11"/>
      <c r="E5424" s="11"/>
      <c r="F5424" s="11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11"/>
      <c r="AC5424" s="11"/>
      <c r="AD5424" s="11"/>
      <c r="AE5424" s="11"/>
      <c r="AF5424" s="11"/>
      <c r="AG5424" s="10"/>
    </row>
    <row r="5425" spans="1:33">
      <c r="A5425" s="11"/>
      <c r="B5425" s="11"/>
      <c r="C5425" s="11"/>
      <c r="D5425" s="11"/>
      <c r="E5425" s="11"/>
      <c r="F5425" s="11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11"/>
      <c r="AC5425" s="11"/>
      <c r="AD5425" s="11"/>
      <c r="AE5425" s="11"/>
      <c r="AF5425" s="11"/>
      <c r="AG5425" s="10"/>
    </row>
    <row r="5426" spans="1:33">
      <c r="A5426" s="11"/>
      <c r="B5426" s="11"/>
      <c r="C5426" s="11"/>
      <c r="D5426" s="11"/>
      <c r="E5426" s="11"/>
      <c r="F5426" s="11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11"/>
      <c r="AC5426" s="11"/>
      <c r="AD5426" s="11"/>
      <c r="AE5426" s="11"/>
      <c r="AF5426" s="11"/>
      <c r="AG5426" s="10"/>
    </row>
    <row r="5427" spans="1:33">
      <c r="A5427" s="11"/>
      <c r="B5427" s="11"/>
      <c r="C5427" s="11"/>
      <c r="D5427" s="11"/>
      <c r="E5427" s="11"/>
      <c r="F5427" s="11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11"/>
      <c r="AC5427" s="11"/>
      <c r="AD5427" s="11"/>
      <c r="AE5427" s="11"/>
      <c r="AF5427" s="11"/>
      <c r="AG5427" s="10"/>
    </row>
    <row r="5428" spans="1:33">
      <c r="A5428" s="11"/>
      <c r="B5428" s="11"/>
      <c r="C5428" s="11"/>
      <c r="D5428" s="11"/>
      <c r="E5428" s="11"/>
      <c r="F5428" s="11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11"/>
      <c r="AC5428" s="11"/>
      <c r="AD5428" s="11"/>
      <c r="AE5428" s="11"/>
      <c r="AF5428" s="11"/>
      <c r="AG5428" s="10"/>
    </row>
    <row r="5429" spans="1:33">
      <c r="A5429" s="11"/>
      <c r="B5429" s="11"/>
      <c r="C5429" s="11"/>
      <c r="D5429" s="11"/>
      <c r="E5429" s="11"/>
      <c r="F5429" s="11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11"/>
      <c r="AC5429" s="11"/>
      <c r="AD5429" s="11"/>
      <c r="AE5429" s="11"/>
      <c r="AF5429" s="11"/>
      <c r="AG5429" s="10"/>
    </row>
    <row r="5430" spans="1:33">
      <c r="A5430" s="11"/>
      <c r="B5430" s="11"/>
      <c r="C5430" s="11"/>
      <c r="D5430" s="11"/>
      <c r="E5430" s="11"/>
      <c r="F5430" s="11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11"/>
      <c r="AC5430" s="11"/>
      <c r="AD5430" s="11"/>
      <c r="AE5430" s="11"/>
      <c r="AF5430" s="11"/>
      <c r="AG5430" s="10"/>
    </row>
    <row r="5431" spans="1:33">
      <c r="A5431" s="11"/>
      <c r="B5431" s="11"/>
      <c r="C5431" s="11"/>
      <c r="D5431" s="11"/>
      <c r="E5431" s="11"/>
      <c r="F5431" s="11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11"/>
      <c r="AC5431" s="11"/>
      <c r="AD5431" s="11"/>
      <c r="AE5431" s="11"/>
      <c r="AF5431" s="11"/>
      <c r="AG5431" s="10"/>
    </row>
    <row r="5432" spans="1:33">
      <c r="A5432" s="11"/>
      <c r="B5432" s="11"/>
      <c r="C5432" s="11"/>
      <c r="D5432" s="11"/>
      <c r="E5432" s="11"/>
      <c r="F5432" s="11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11"/>
      <c r="AC5432" s="11"/>
      <c r="AD5432" s="11"/>
      <c r="AE5432" s="11"/>
      <c r="AF5432" s="11"/>
      <c r="AG5432" s="10"/>
    </row>
    <row r="5433" spans="1:33">
      <c r="A5433" s="11"/>
      <c r="B5433" s="11"/>
      <c r="C5433" s="11"/>
      <c r="D5433" s="11"/>
      <c r="E5433" s="11"/>
      <c r="F5433" s="11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11"/>
      <c r="AC5433" s="11"/>
      <c r="AD5433" s="11"/>
      <c r="AE5433" s="11"/>
      <c r="AF5433" s="11"/>
      <c r="AG5433" s="10"/>
    </row>
    <row r="5434" spans="1:33">
      <c r="A5434" s="11"/>
      <c r="B5434" s="11"/>
      <c r="C5434" s="11"/>
      <c r="D5434" s="11"/>
      <c r="E5434" s="11"/>
      <c r="F5434" s="11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11"/>
      <c r="AC5434" s="11"/>
      <c r="AD5434" s="11"/>
      <c r="AE5434" s="11"/>
      <c r="AF5434" s="11"/>
      <c r="AG5434" s="10"/>
    </row>
    <row r="5435" spans="1:33">
      <c r="A5435" s="11"/>
      <c r="B5435" s="11"/>
      <c r="C5435" s="11"/>
      <c r="D5435" s="11"/>
      <c r="E5435" s="11"/>
      <c r="F5435" s="11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11"/>
      <c r="AC5435" s="11"/>
      <c r="AD5435" s="11"/>
      <c r="AE5435" s="11"/>
      <c r="AF5435" s="11"/>
      <c r="AG5435" s="10"/>
    </row>
    <row r="5436" spans="1:33">
      <c r="A5436" s="11"/>
      <c r="B5436" s="11"/>
      <c r="C5436" s="11"/>
      <c r="D5436" s="11"/>
      <c r="E5436" s="11"/>
      <c r="F5436" s="11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11"/>
      <c r="AC5436" s="11"/>
      <c r="AD5436" s="11"/>
      <c r="AE5436" s="11"/>
      <c r="AF5436" s="11"/>
      <c r="AG5436" s="10"/>
    </row>
    <row r="5437" spans="1:33">
      <c r="A5437" s="11"/>
      <c r="B5437" s="11"/>
      <c r="C5437" s="11"/>
      <c r="D5437" s="11"/>
      <c r="E5437" s="11"/>
      <c r="F5437" s="11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11"/>
      <c r="AC5437" s="11"/>
      <c r="AD5437" s="11"/>
      <c r="AE5437" s="11"/>
      <c r="AF5437" s="11"/>
      <c r="AG5437" s="10"/>
    </row>
    <row r="5438" spans="1:33">
      <c r="A5438" s="11"/>
      <c r="B5438" s="11"/>
      <c r="C5438" s="11"/>
      <c r="D5438" s="11"/>
      <c r="E5438" s="11"/>
      <c r="F5438" s="11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11"/>
      <c r="AC5438" s="11"/>
      <c r="AD5438" s="11"/>
      <c r="AE5438" s="11"/>
      <c r="AF5438" s="11"/>
      <c r="AG5438" s="10"/>
    </row>
    <row r="5439" spans="1:33">
      <c r="A5439" s="11"/>
      <c r="B5439" s="11"/>
      <c r="C5439" s="11"/>
      <c r="D5439" s="11"/>
      <c r="E5439" s="11"/>
      <c r="F5439" s="11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11"/>
      <c r="AC5439" s="11"/>
      <c r="AD5439" s="11"/>
      <c r="AE5439" s="11"/>
      <c r="AF5439" s="11"/>
      <c r="AG5439" s="10"/>
    </row>
    <row r="5440" spans="1:33">
      <c r="A5440" s="11"/>
      <c r="B5440" s="11"/>
      <c r="C5440" s="11"/>
      <c r="D5440" s="11"/>
      <c r="E5440" s="11"/>
      <c r="F5440" s="11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11"/>
      <c r="AC5440" s="11"/>
      <c r="AD5440" s="11"/>
      <c r="AE5440" s="11"/>
      <c r="AF5440" s="11"/>
      <c r="AG5440" s="10"/>
    </row>
    <row r="5441" spans="1:33">
      <c r="A5441" s="11"/>
      <c r="B5441" s="11"/>
      <c r="C5441" s="11"/>
      <c r="D5441" s="11"/>
      <c r="E5441" s="11"/>
      <c r="F5441" s="11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11"/>
      <c r="AC5441" s="11"/>
      <c r="AD5441" s="11"/>
      <c r="AE5441" s="11"/>
      <c r="AF5441" s="11"/>
      <c r="AG5441" s="10"/>
    </row>
    <row r="5442" spans="1:33">
      <c r="A5442" s="11"/>
      <c r="B5442" s="11"/>
      <c r="C5442" s="11"/>
      <c r="D5442" s="11"/>
      <c r="E5442" s="11"/>
      <c r="F5442" s="11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11"/>
      <c r="AC5442" s="11"/>
      <c r="AD5442" s="11"/>
      <c r="AE5442" s="11"/>
      <c r="AF5442" s="11"/>
      <c r="AG5442" s="10"/>
    </row>
    <row r="5443" spans="1:33">
      <c r="A5443" s="11"/>
      <c r="B5443" s="11"/>
      <c r="C5443" s="11"/>
      <c r="D5443" s="11"/>
      <c r="E5443" s="11"/>
      <c r="F5443" s="11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11"/>
      <c r="AC5443" s="11"/>
      <c r="AD5443" s="11"/>
      <c r="AE5443" s="11"/>
      <c r="AF5443" s="11"/>
      <c r="AG5443" s="10"/>
    </row>
    <row r="5444" spans="1:33">
      <c r="A5444" s="11"/>
      <c r="B5444" s="11"/>
      <c r="C5444" s="11"/>
      <c r="D5444" s="11"/>
      <c r="E5444" s="11"/>
      <c r="F5444" s="11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11"/>
      <c r="AC5444" s="11"/>
      <c r="AD5444" s="11"/>
      <c r="AE5444" s="11"/>
      <c r="AF5444" s="11"/>
      <c r="AG5444" s="10"/>
    </row>
    <row r="5445" spans="1:33">
      <c r="A5445" s="11"/>
      <c r="B5445" s="11"/>
      <c r="C5445" s="11"/>
      <c r="D5445" s="11"/>
      <c r="E5445" s="11"/>
      <c r="F5445" s="11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11"/>
      <c r="AC5445" s="11"/>
      <c r="AD5445" s="11"/>
      <c r="AE5445" s="11"/>
      <c r="AF5445" s="11"/>
      <c r="AG5445" s="10"/>
    </row>
    <row r="5446" spans="1:33">
      <c r="A5446" s="11"/>
      <c r="B5446" s="11"/>
      <c r="C5446" s="11"/>
      <c r="D5446" s="11"/>
      <c r="E5446" s="11"/>
      <c r="F5446" s="11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11"/>
      <c r="AC5446" s="11"/>
      <c r="AD5446" s="11"/>
      <c r="AE5446" s="11"/>
      <c r="AF5446" s="11"/>
      <c r="AG5446" s="10"/>
    </row>
    <row r="5447" spans="1:33">
      <c r="A5447" s="11"/>
      <c r="B5447" s="11"/>
      <c r="C5447" s="11"/>
      <c r="D5447" s="11"/>
      <c r="E5447" s="11"/>
      <c r="F5447" s="11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11"/>
      <c r="AC5447" s="11"/>
      <c r="AD5447" s="11"/>
      <c r="AE5447" s="11"/>
      <c r="AF5447" s="11"/>
      <c r="AG5447" s="10"/>
    </row>
    <row r="5448" spans="1:33">
      <c r="A5448" s="11"/>
      <c r="B5448" s="11"/>
      <c r="C5448" s="11"/>
      <c r="D5448" s="11"/>
      <c r="E5448" s="11"/>
      <c r="F5448" s="11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11"/>
      <c r="AC5448" s="11"/>
      <c r="AD5448" s="11"/>
      <c r="AE5448" s="11"/>
      <c r="AF5448" s="11"/>
      <c r="AG5448" s="10"/>
    </row>
    <row r="5449" spans="1:33">
      <c r="A5449" s="11"/>
      <c r="B5449" s="11"/>
      <c r="C5449" s="11"/>
      <c r="D5449" s="11"/>
      <c r="E5449" s="11"/>
      <c r="F5449" s="11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11"/>
      <c r="AC5449" s="11"/>
      <c r="AD5449" s="11"/>
      <c r="AE5449" s="11"/>
      <c r="AF5449" s="11"/>
      <c r="AG5449" s="10"/>
    </row>
    <row r="5450" spans="1:33">
      <c r="A5450" s="11"/>
      <c r="B5450" s="11"/>
      <c r="C5450" s="11"/>
      <c r="D5450" s="11"/>
      <c r="E5450" s="11"/>
      <c r="F5450" s="11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11"/>
      <c r="AC5450" s="11"/>
      <c r="AD5450" s="11"/>
      <c r="AE5450" s="11"/>
      <c r="AF5450" s="11"/>
      <c r="AG5450" s="10"/>
    </row>
    <row r="5451" spans="1:33">
      <c r="A5451" s="11"/>
      <c r="B5451" s="11"/>
      <c r="C5451" s="11"/>
      <c r="D5451" s="11"/>
      <c r="E5451" s="11"/>
      <c r="F5451" s="11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11"/>
      <c r="AC5451" s="11"/>
      <c r="AD5451" s="11"/>
      <c r="AE5451" s="11"/>
      <c r="AF5451" s="11"/>
      <c r="AG5451" s="10"/>
    </row>
    <row r="5452" spans="1:33">
      <c r="A5452" s="11"/>
      <c r="B5452" s="11"/>
      <c r="C5452" s="11"/>
      <c r="D5452" s="11"/>
      <c r="E5452" s="11"/>
      <c r="F5452" s="11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11"/>
      <c r="AC5452" s="11"/>
      <c r="AD5452" s="11"/>
      <c r="AE5452" s="11"/>
      <c r="AF5452" s="11"/>
      <c r="AG5452" s="10"/>
    </row>
    <row r="5453" spans="1:33">
      <c r="A5453" s="11"/>
      <c r="B5453" s="11"/>
      <c r="C5453" s="11"/>
      <c r="D5453" s="11"/>
      <c r="E5453" s="11"/>
      <c r="F5453" s="11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11"/>
      <c r="AC5453" s="11"/>
      <c r="AD5453" s="11"/>
      <c r="AE5453" s="11"/>
      <c r="AF5453" s="11"/>
      <c r="AG5453" s="10"/>
    </row>
    <row r="5454" spans="1:33">
      <c r="A5454" s="11"/>
      <c r="B5454" s="11"/>
      <c r="C5454" s="11"/>
      <c r="D5454" s="11"/>
      <c r="E5454" s="11"/>
      <c r="F5454" s="11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11"/>
      <c r="AC5454" s="11"/>
      <c r="AD5454" s="11"/>
      <c r="AE5454" s="11"/>
      <c r="AF5454" s="11"/>
      <c r="AG5454" s="10"/>
    </row>
    <row r="5455" spans="1:33">
      <c r="A5455" s="11"/>
      <c r="B5455" s="11"/>
      <c r="C5455" s="11"/>
      <c r="D5455" s="11"/>
      <c r="E5455" s="11"/>
      <c r="F5455" s="11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11"/>
      <c r="AC5455" s="11"/>
      <c r="AD5455" s="11"/>
      <c r="AE5455" s="11"/>
      <c r="AF5455" s="11"/>
      <c r="AG5455" s="10"/>
    </row>
    <row r="5456" spans="1:33">
      <c r="A5456" s="11"/>
      <c r="B5456" s="11"/>
      <c r="C5456" s="11"/>
      <c r="D5456" s="11"/>
      <c r="E5456" s="11"/>
      <c r="F5456" s="11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11"/>
      <c r="AC5456" s="11"/>
      <c r="AD5456" s="11"/>
      <c r="AE5456" s="11"/>
      <c r="AF5456" s="11"/>
      <c r="AG5456" s="10"/>
    </row>
    <row r="5457" spans="1:33">
      <c r="A5457" s="11"/>
      <c r="B5457" s="11"/>
      <c r="C5457" s="11"/>
      <c r="D5457" s="11"/>
      <c r="E5457" s="11"/>
      <c r="F5457" s="11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11"/>
      <c r="AC5457" s="11"/>
      <c r="AD5457" s="11"/>
      <c r="AE5457" s="11"/>
      <c r="AF5457" s="11"/>
      <c r="AG5457" s="10"/>
    </row>
    <row r="5458" spans="1:33">
      <c r="A5458" s="11"/>
      <c r="B5458" s="11"/>
      <c r="C5458" s="11"/>
      <c r="D5458" s="11"/>
      <c r="E5458" s="11"/>
      <c r="F5458" s="11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11"/>
      <c r="AC5458" s="11"/>
      <c r="AD5458" s="11"/>
      <c r="AE5458" s="11"/>
      <c r="AF5458" s="11"/>
      <c r="AG5458" s="10"/>
    </row>
    <row r="5459" spans="1:33">
      <c r="A5459" s="11"/>
      <c r="B5459" s="11"/>
      <c r="C5459" s="11"/>
      <c r="D5459" s="11"/>
      <c r="E5459" s="11"/>
      <c r="F5459" s="11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11"/>
      <c r="AC5459" s="11"/>
      <c r="AD5459" s="11"/>
      <c r="AE5459" s="11"/>
      <c r="AF5459" s="11"/>
      <c r="AG5459" s="10"/>
    </row>
    <row r="5460" spans="1:33">
      <c r="A5460" s="11"/>
      <c r="B5460" s="11"/>
      <c r="C5460" s="11"/>
      <c r="D5460" s="11"/>
      <c r="E5460" s="11"/>
      <c r="F5460" s="11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11"/>
      <c r="AC5460" s="11"/>
      <c r="AD5460" s="11"/>
      <c r="AE5460" s="11"/>
      <c r="AF5460" s="11"/>
      <c r="AG5460" s="10"/>
    </row>
    <row r="5461" spans="1:33">
      <c r="A5461" s="11"/>
      <c r="B5461" s="11"/>
      <c r="C5461" s="11"/>
      <c r="D5461" s="11"/>
      <c r="E5461" s="11"/>
      <c r="F5461" s="11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11"/>
      <c r="AC5461" s="11"/>
      <c r="AD5461" s="11"/>
      <c r="AE5461" s="11"/>
      <c r="AF5461" s="11"/>
      <c r="AG5461" s="10"/>
    </row>
    <row r="5462" spans="1:33">
      <c r="A5462" s="11"/>
      <c r="B5462" s="11"/>
      <c r="C5462" s="11"/>
      <c r="D5462" s="11"/>
      <c r="E5462" s="11"/>
      <c r="F5462" s="11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11"/>
      <c r="AC5462" s="11"/>
      <c r="AD5462" s="11"/>
      <c r="AE5462" s="11"/>
      <c r="AF5462" s="11"/>
      <c r="AG5462" s="10"/>
    </row>
    <row r="5463" spans="1:33">
      <c r="A5463" s="11"/>
      <c r="B5463" s="11"/>
      <c r="C5463" s="11"/>
      <c r="D5463" s="11"/>
      <c r="E5463" s="11"/>
      <c r="F5463" s="11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11"/>
      <c r="AC5463" s="11"/>
      <c r="AD5463" s="11"/>
      <c r="AE5463" s="11"/>
      <c r="AF5463" s="11"/>
      <c r="AG5463" s="10"/>
    </row>
    <row r="5464" spans="1:33">
      <c r="A5464" s="11"/>
      <c r="B5464" s="11"/>
      <c r="C5464" s="11"/>
      <c r="D5464" s="11"/>
      <c r="E5464" s="11"/>
      <c r="F5464" s="11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11"/>
      <c r="AC5464" s="11"/>
      <c r="AD5464" s="11"/>
      <c r="AE5464" s="11"/>
      <c r="AF5464" s="11"/>
      <c r="AG5464" s="10"/>
    </row>
    <row r="5465" spans="1:33">
      <c r="A5465" s="11"/>
      <c r="B5465" s="11"/>
      <c r="C5465" s="11"/>
      <c r="D5465" s="11"/>
      <c r="E5465" s="11"/>
      <c r="F5465" s="11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11"/>
      <c r="AC5465" s="11"/>
      <c r="AD5465" s="11"/>
      <c r="AE5465" s="11"/>
      <c r="AF5465" s="11"/>
      <c r="AG5465" s="10"/>
    </row>
    <row r="5466" spans="1:33">
      <c r="A5466" s="11"/>
      <c r="B5466" s="11"/>
      <c r="C5466" s="11"/>
      <c r="D5466" s="11"/>
      <c r="E5466" s="11"/>
      <c r="F5466" s="11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11"/>
      <c r="AC5466" s="11"/>
      <c r="AD5466" s="11"/>
      <c r="AE5466" s="11"/>
      <c r="AF5466" s="11"/>
      <c r="AG5466" s="10"/>
    </row>
    <row r="5467" spans="1:33">
      <c r="A5467" s="11"/>
      <c r="B5467" s="11"/>
      <c r="C5467" s="11"/>
      <c r="D5467" s="11"/>
      <c r="E5467" s="11"/>
      <c r="F5467" s="11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11"/>
      <c r="AC5467" s="11"/>
      <c r="AD5467" s="11"/>
      <c r="AE5467" s="11"/>
      <c r="AF5467" s="11"/>
      <c r="AG5467" s="10"/>
    </row>
    <row r="5468" spans="1:33">
      <c r="A5468" s="11"/>
      <c r="B5468" s="11"/>
      <c r="C5468" s="11"/>
      <c r="D5468" s="11"/>
      <c r="E5468" s="11"/>
      <c r="F5468" s="11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11"/>
      <c r="AC5468" s="11"/>
      <c r="AD5468" s="11"/>
      <c r="AE5468" s="11"/>
      <c r="AF5468" s="11"/>
      <c r="AG5468" s="10"/>
    </row>
    <row r="5469" spans="1:33">
      <c r="A5469" s="11"/>
      <c r="B5469" s="11"/>
      <c r="C5469" s="11"/>
      <c r="D5469" s="11"/>
      <c r="E5469" s="11"/>
      <c r="F5469" s="11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11"/>
      <c r="AC5469" s="11"/>
      <c r="AD5469" s="11"/>
      <c r="AE5469" s="11"/>
      <c r="AF5469" s="11"/>
      <c r="AG5469" s="10"/>
    </row>
    <row r="5470" spans="1:33">
      <c r="A5470" s="11"/>
      <c r="B5470" s="11"/>
      <c r="C5470" s="11"/>
      <c r="D5470" s="11"/>
      <c r="E5470" s="11"/>
      <c r="F5470" s="11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11"/>
      <c r="AC5470" s="11"/>
      <c r="AD5470" s="11"/>
      <c r="AE5470" s="11"/>
      <c r="AF5470" s="11"/>
      <c r="AG5470" s="10"/>
    </row>
    <row r="5471" spans="1:33">
      <c r="A5471" s="11"/>
      <c r="B5471" s="11"/>
      <c r="C5471" s="11"/>
      <c r="D5471" s="11"/>
      <c r="E5471" s="11"/>
      <c r="F5471" s="11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11"/>
      <c r="AC5471" s="11"/>
      <c r="AD5471" s="11"/>
      <c r="AE5471" s="11"/>
      <c r="AF5471" s="11"/>
      <c r="AG5471" s="10"/>
    </row>
    <row r="5472" spans="1:33">
      <c r="A5472" s="11"/>
      <c r="B5472" s="11"/>
      <c r="C5472" s="11"/>
      <c r="D5472" s="11"/>
      <c r="E5472" s="11"/>
      <c r="F5472" s="11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11"/>
      <c r="AC5472" s="11"/>
      <c r="AD5472" s="11"/>
      <c r="AE5472" s="11"/>
      <c r="AF5472" s="11"/>
      <c r="AG5472" s="10"/>
    </row>
    <row r="5473" spans="1:33">
      <c r="A5473" s="11"/>
      <c r="B5473" s="11"/>
      <c r="C5473" s="11"/>
      <c r="D5473" s="11"/>
      <c r="E5473" s="11"/>
      <c r="F5473" s="11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11"/>
      <c r="AC5473" s="11"/>
      <c r="AD5473" s="11"/>
      <c r="AE5473" s="11"/>
      <c r="AF5473" s="11"/>
      <c r="AG5473" s="10"/>
    </row>
    <row r="5474" spans="1:33">
      <c r="A5474" s="11"/>
      <c r="B5474" s="11"/>
      <c r="C5474" s="11"/>
      <c r="D5474" s="11"/>
      <c r="E5474" s="11"/>
      <c r="F5474" s="11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11"/>
      <c r="AC5474" s="11"/>
      <c r="AD5474" s="11"/>
      <c r="AE5474" s="11"/>
      <c r="AF5474" s="11"/>
      <c r="AG5474" s="10"/>
    </row>
    <row r="5475" spans="1:33">
      <c r="A5475" s="11"/>
      <c r="B5475" s="11"/>
      <c r="C5475" s="11"/>
      <c r="D5475" s="11"/>
      <c r="E5475" s="11"/>
      <c r="F5475" s="11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11"/>
      <c r="AC5475" s="11"/>
      <c r="AD5475" s="11"/>
      <c r="AE5475" s="11"/>
      <c r="AF5475" s="11"/>
      <c r="AG5475" s="10"/>
    </row>
    <row r="5476" spans="1:33">
      <c r="A5476" s="11"/>
      <c r="B5476" s="11"/>
      <c r="C5476" s="11"/>
      <c r="D5476" s="11"/>
      <c r="E5476" s="11"/>
      <c r="F5476" s="11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11"/>
      <c r="AC5476" s="11"/>
      <c r="AD5476" s="11"/>
      <c r="AE5476" s="11"/>
      <c r="AF5476" s="11"/>
      <c r="AG5476" s="10"/>
    </row>
    <row r="5477" spans="1:33">
      <c r="A5477" s="11"/>
      <c r="B5477" s="11"/>
      <c r="C5477" s="11"/>
      <c r="D5477" s="11"/>
      <c r="E5477" s="11"/>
      <c r="F5477" s="11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11"/>
      <c r="AC5477" s="11"/>
      <c r="AD5477" s="11"/>
      <c r="AE5477" s="11"/>
      <c r="AF5477" s="11"/>
      <c r="AG5477" s="10"/>
    </row>
    <row r="5478" spans="1:33">
      <c r="A5478" s="11"/>
      <c r="B5478" s="11"/>
      <c r="C5478" s="11"/>
      <c r="D5478" s="11"/>
      <c r="E5478" s="11"/>
      <c r="F5478" s="11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11"/>
      <c r="AC5478" s="11"/>
      <c r="AD5478" s="11"/>
      <c r="AE5478" s="11"/>
      <c r="AF5478" s="11"/>
      <c r="AG5478" s="10"/>
    </row>
    <row r="5479" spans="1:33">
      <c r="A5479" s="11"/>
      <c r="B5479" s="11"/>
      <c r="C5479" s="11"/>
      <c r="D5479" s="11"/>
      <c r="E5479" s="11"/>
      <c r="F5479" s="11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11"/>
      <c r="AC5479" s="11"/>
      <c r="AD5479" s="11"/>
      <c r="AE5479" s="11"/>
      <c r="AF5479" s="11"/>
      <c r="AG5479" s="10"/>
    </row>
    <row r="5480" spans="1:33">
      <c r="A5480" s="11"/>
      <c r="B5480" s="11"/>
      <c r="C5480" s="11"/>
      <c r="D5480" s="11"/>
      <c r="E5480" s="11"/>
      <c r="F5480" s="11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11"/>
      <c r="AC5480" s="11"/>
      <c r="AD5480" s="11"/>
      <c r="AE5480" s="11"/>
      <c r="AF5480" s="11"/>
      <c r="AG5480" s="10"/>
    </row>
    <row r="5481" spans="1:33">
      <c r="A5481" s="11"/>
      <c r="B5481" s="11"/>
      <c r="C5481" s="11"/>
      <c r="D5481" s="11"/>
      <c r="E5481" s="11"/>
      <c r="F5481" s="11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11"/>
      <c r="AC5481" s="11"/>
      <c r="AD5481" s="11"/>
      <c r="AE5481" s="11"/>
      <c r="AF5481" s="11"/>
      <c r="AG5481" s="10"/>
    </row>
    <row r="5482" spans="1:33">
      <c r="A5482" s="11"/>
      <c r="B5482" s="11"/>
      <c r="C5482" s="11"/>
      <c r="D5482" s="11"/>
      <c r="E5482" s="11"/>
      <c r="F5482" s="11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11"/>
      <c r="AC5482" s="11"/>
      <c r="AD5482" s="11"/>
      <c r="AE5482" s="11"/>
      <c r="AF5482" s="11"/>
      <c r="AG5482" s="10"/>
    </row>
    <row r="5483" spans="1:33">
      <c r="A5483" s="8"/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  <c r="AA5483" s="8"/>
      <c r="AB5483" s="8"/>
      <c r="AC5483" s="8"/>
      <c r="AD5483" s="8"/>
      <c r="AE5483" s="8"/>
      <c r="AF5483" s="8"/>
      <c r="AG5483" s="10"/>
    </row>
    <row r="5484" spans="1:33">
      <c r="A5484" s="8"/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  <c r="AA5484" s="8"/>
      <c r="AB5484" s="8"/>
      <c r="AC5484" s="8"/>
      <c r="AD5484" s="8"/>
      <c r="AE5484" s="8"/>
      <c r="AF5484" s="8"/>
      <c r="AG5484" s="10"/>
    </row>
    <row r="5485" spans="1:33">
      <c r="A5485" s="8"/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  <c r="AA5485" s="8"/>
      <c r="AB5485" s="8"/>
      <c r="AC5485" s="8"/>
      <c r="AD5485" s="8"/>
      <c r="AE5485" s="8"/>
      <c r="AF5485" s="8"/>
      <c r="AG5485" s="10"/>
    </row>
    <row r="5486" spans="1:33">
      <c r="A5486" s="8"/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  <c r="AA5486" s="8"/>
      <c r="AB5486" s="8"/>
      <c r="AC5486" s="8"/>
      <c r="AD5486" s="8"/>
      <c r="AE5486" s="8"/>
      <c r="AF5486" s="8"/>
      <c r="AG5486" s="10"/>
    </row>
    <row r="5487" spans="1:33">
      <c r="A5487" s="8"/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  <c r="AA5487" s="8"/>
      <c r="AB5487" s="8"/>
      <c r="AC5487" s="8"/>
      <c r="AD5487" s="8"/>
      <c r="AE5487" s="8"/>
      <c r="AF5487" s="8"/>
      <c r="AG5487" s="10"/>
    </row>
    <row r="5488" spans="1:33">
      <c r="A5488" s="8"/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  <c r="AA5488" s="8"/>
      <c r="AB5488" s="8"/>
      <c r="AC5488" s="8"/>
      <c r="AD5488" s="8"/>
      <c r="AE5488" s="8"/>
      <c r="AF5488" s="8"/>
      <c r="AG5488" s="10"/>
    </row>
    <row r="5489" spans="1:33">
      <c r="A5489" s="8"/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  <c r="AA5489" s="8"/>
      <c r="AB5489" s="8"/>
      <c r="AC5489" s="8"/>
      <c r="AD5489" s="8"/>
      <c r="AE5489" s="8"/>
      <c r="AF5489" s="8"/>
      <c r="AG5489" s="10"/>
    </row>
    <row r="5490" spans="1:33">
      <c r="A5490" s="8"/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  <c r="AA5490" s="8"/>
      <c r="AB5490" s="8"/>
      <c r="AC5490" s="8"/>
      <c r="AD5490" s="8"/>
      <c r="AE5490" s="8"/>
      <c r="AF5490" s="8"/>
      <c r="AG5490" s="10"/>
    </row>
    <row r="5491" spans="1:33">
      <c r="A5491" s="8"/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  <c r="AA5491" s="8"/>
      <c r="AB5491" s="8"/>
      <c r="AC5491" s="8"/>
      <c r="AD5491" s="8"/>
      <c r="AE5491" s="8"/>
      <c r="AF5491" s="8"/>
      <c r="AG5491" s="10"/>
    </row>
    <row r="5492" spans="1:33">
      <c r="A5492" s="8"/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  <c r="AA5492" s="8"/>
      <c r="AB5492" s="8"/>
      <c r="AC5492" s="8"/>
      <c r="AD5492" s="8"/>
      <c r="AE5492" s="8"/>
      <c r="AF5492" s="8"/>
      <c r="AG5492" s="10"/>
    </row>
    <row r="5493" spans="1:33">
      <c r="A5493" s="8"/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  <c r="AA5493" s="8"/>
      <c r="AB5493" s="8"/>
      <c r="AC5493" s="8"/>
      <c r="AD5493" s="8"/>
      <c r="AE5493" s="8"/>
      <c r="AF5493" s="8"/>
      <c r="AG5493" s="10"/>
    </row>
    <row r="5494" spans="1:33">
      <c r="A5494" s="8"/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  <c r="AD5494" s="8"/>
      <c r="AE5494" s="8"/>
      <c r="AF5494" s="8"/>
      <c r="AG5494" s="10"/>
    </row>
    <row r="5495" spans="1:33">
      <c r="A5495" s="8"/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  <c r="AA5495" s="8"/>
      <c r="AB5495" s="8"/>
      <c r="AC5495" s="8"/>
      <c r="AD5495" s="8"/>
      <c r="AE5495" s="8"/>
      <c r="AF5495" s="8"/>
      <c r="AG5495" s="10"/>
    </row>
    <row r="5496" spans="1:33">
      <c r="A5496" s="8"/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  <c r="AA5496" s="8"/>
      <c r="AB5496" s="8"/>
      <c r="AC5496" s="8"/>
      <c r="AD5496" s="8"/>
      <c r="AE5496" s="8"/>
      <c r="AF5496" s="8"/>
      <c r="AG5496" s="10"/>
    </row>
    <row r="5497" spans="1:33">
      <c r="A5497" s="8"/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  <c r="AD5497" s="8"/>
      <c r="AE5497" s="8"/>
      <c r="AF5497" s="8"/>
      <c r="AG5497" s="10"/>
    </row>
    <row r="5498" spans="1:33">
      <c r="A5498" s="8"/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  <c r="AD5498" s="8"/>
      <c r="AE5498" s="8"/>
      <c r="AF5498" s="8"/>
      <c r="AG5498" s="10"/>
    </row>
    <row r="5499" spans="1:33">
      <c r="A5499" s="8"/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8"/>
      <c r="M5499" s="8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  <c r="AA5499" s="8"/>
      <c r="AB5499" s="8"/>
      <c r="AC5499" s="8"/>
      <c r="AD5499" s="8"/>
      <c r="AE5499" s="8"/>
      <c r="AF5499" s="8"/>
      <c r="AG5499" s="10"/>
    </row>
    <row r="5500" spans="1:33">
      <c r="A5500" s="8"/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8"/>
      <c r="M5500" s="8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  <c r="AA5500" s="8"/>
      <c r="AB5500" s="8"/>
      <c r="AC5500" s="8"/>
      <c r="AD5500" s="8"/>
      <c r="AE5500" s="8"/>
      <c r="AF5500" s="8"/>
      <c r="AG5500" s="10"/>
    </row>
    <row r="5501" spans="1:33">
      <c r="A5501" s="8"/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8"/>
      <c r="M5501" s="8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  <c r="AA5501" s="8"/>
      <c r="AB5501" s="8"/>
      <c r="AC5501" s="8"/>
      <c r="AD5501" s="8"/>
      <c r="AE5501" s="8"/>
      <c r="AF5501" s="8"/>
      <c r="AG5501" s="10"/>
    </row>
    <row r="5502" spans="1:33">
      <c r="A5502" s="8"/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8"/>
      <c r="M5502" s="8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  <c r="AA5502" s="8"/>
      <c r="AB5502" s="8"/>
      <c r="AC5502" s="8"/>
      <c r="AD5502" s="8"/>
      <c r="AE5502" s="8"/>
      <c r="AF5502" s="8"/>
      <c r="AG5502" s="10"/>
    </row>
    <row r="5503" spans="1:33">
      <c r="A5503" s="8"/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8"/>
      <c r="M5503" s="8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  <c r="AA5503" s="8"/>
      <c r="AB5503" s="8"/>
      <c r="AC5503" s="8"/>
      <c r="AD5503" s="8"/>
      <c r="AE5503" s="8"/>
      <c r="AF5503" s="8"/>
      <c r="AG5503" s="10"/>
    </row>
    <row r="5504" spans="1:33">
      <c r="A5504" s="8"/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8"/>
      <c r="M5504" s="8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  <c r="AA5504" s="8"/>
      <c r="AB5504" s="8"/>
      <c r="AC5504" s="8"/>
      <c r="AD5504" s="8"/>
      <c r="AE5504" s="8"/>
      <c r="AF5504" s="8"/>
      <c r="AG5504" s="10"/>
    </row>
    <row r="5505" spans="1:33">
      <c r="A5505" s="8"/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8"/>
      <c r="M5505" s="8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  <c r="AA5505" s="8"/>
      <c r="AB5505" s="8"/>
      <c r="AC5505" s="8"/>
      <c r="AD5505" s="8"/>
      <c r="AE5505" s="8"/>
      <c r="AF5505" s="8"/>
      <c r="AG5505" s="10"/>
    </row>
    <row r="5506" spans="1:33">
      <c r="A5506" s="8"/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8"/>
      <c r="M5506" s="8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  <c r="AA5506" s="8"/>
      <c r="AB5506" s="8"/>
      <c r="AC5506" s="8"/>
      <c r="AD5506" s="8"/>
      <c r="AE5506" s="8"/>
      <c r="AF5506" s="8"/>
      <c r="AG5506" s="10"/>
    </row>
    <row r="5507" spans="1:33">
      <c r="A5507" s="8"/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8"/>
      <c r="M5507" s="8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  <c r="AA5507" s="8"/>
      <c r="AB5507" s="8"/>
      <c r="AC5507" s="8"/>
      <c r="AD5507" s="8"/>
      <c r="AE5507" s="8"/>
      <c r="AF5507" s="8"/>
      <c r="AG5507" s="10"/>
    </row>
    <row r="5508" spans="1:33">
      <c r="A5508" s="8"/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8"/>
      <c r="M5508" s="8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  <c r="AA5508" s="8"/>
      <c r="AB5508" s="8"/>
      <c r="AC5508" s="8"/>
      <c r="AD5508" s="8"/>
      <c r="AE5508" s="8"/>
      <c r="AF5508" s="8"/>
      <c r="AG5508" s="10"/>
    </row>
    <row r="5509" spans="1:33">
      <c r="A5509" s="8"/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8"/>
      <c r="M5509" s="8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  <c r="AA5509" s="8"/>
      <c r="AB5509" s="8"/>
      <c r="AC5509" s="8"/>
      <c r="AD5509" s="8"/>
      <c r="AE5509" s="8"/>
      <c r="AF5509" s="8"/>
      <c r="AG5509" s="10"/>
    </row>
    <row r="5510" spans="1:33">
      <c r="A5510" s="8"/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8"/>
      <c r="M5510" s="8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  <c r="AA5510" s="8"/>
      <c r="AB5510" s="8"/>
      <c r="AC5510" s="8"/>
      <c r="AD5510" s="8"/>
      <c r="AE5510" s="8"/>
      <c r="AF5510" s="8"/>
      <c r="AG5510" s="10"/>
    </row>
    <row r="5511" spans="1:33">
      <c r="A5511" s="8"/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8"/>
      <c r="M5511" s="8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  <c r="AA5511" s="8"/>
      <c r="AB5511" s="8"/>
      <c r="AC5511" s="8"/>
      <c r="AD5511" s="8"/>
      <c r="AE5511" s="8"/>
      <c r="AF5511" s="8"/>
      <c r="AG5511" s="10"/>
    </row>
    <row r="5512" spans="1:33">
      <c r="A5512" s="8"/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8"/>
      <c r="M5512" s="8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  <c r="AA5512" s="8"/>
      <c r="AB5512" s="8"/>
      <c r="AC5512" s="8"/>
      <c r="AD5512" s="8"/>
      <c r="AE5512" s="8"/>
      <c r="AF5512" s="8"/>
      <c r="AG5512" s="10"/>
    </row>
    <row r="5513" spans="1:33">
      <c r="A5513" s="8"/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8"/>
      <c r="M5513" s="8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  <c r="AA5513" s="8"/>
      <c r="AB5513" s="8"/>
      <c r="AC5513" s="8"/>
      <c r="AD5513" s="8"/>
      <c r="AE5513" s="8"/>
      <c r="AF5513" s="8"/>
      <c r="AG5513" s="10"/>
    </row>
    <row r="5514" spans="1:33">
      <c r="A5514" s="11"/>
      <c r="B5514" s="11"/>
      <c r="C5514" s="11"/>
      <c r="D5514" s="11"/>
      <c r="E5514" s="11"/>
      <c r="F5514" s="11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11"/>
      <c r="AC5514" s="11"/>
      <c r="AD5514" s="11"/>
      <c r="AE5514" s="11"/>
      <c r="AF5514" s="11"/>
      <c r="AG5514" s="10"/>
    </row>
    <row r="5515" spans="1:33">
      <c r="A5515" s="11"/>
      <c r="B5515" s="11"/>
      <c r="C5515" s="11"/>
      <c r="D5515" s="11"/>
      <c r="E5515" s="11"/>
      <c r="F5515" s="11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11"/>
      <c r="AC5515" s="11"/>
      <c r="AD5515" s="11"/>
      <c r="AE5515" s="11"/>
      <c r="AF5515" s="11"/>
      <c r="AG5515" s="10"/>
    </row>
    <row r="5516" spans="1:33">
      <c r="A5516" s="11"/>
      <c r="B5516" s="11"/>
      <c r="C5516" s="11"/>
      <c r="D5516" s="11"/>
      <c r="E5516" s="11"/>
      <c r="F5516" s="11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11"/>
      <c r="AC5516" s="11"/>
      <c r="AD5516" s="11"/>
      <c r="AE5516" s="11"/>
      <c r="AF5516" s="11"/>
      <c r="AG5516" s="10"/>
    </row>
    <row r="5517" spans="1:33">
      <c r="A5517" s="11"/>
      <c r="B5517" s="11"/>
      <c r="C5517" s="11"/>
      <c r="D5517" s="11"/>
      <c r="E5517" s="11"/>
      <c r="F5517" s="11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11"/>
      <c r="AC5517" s="11"/>
      <c r="AD5517" s="11"/>
      <c r="AE5517" s="11"/>
      <c r="AF5517" s="11"/>
      <c r="AG5517" s="10"/>
    </row>
    <row r="5518" spans="1:33">
      <c r="A5518" s="11"/>
      <c r="B5518" s="11"/>
      <c r="C5518" s="11"/>
      <c r="D5518" s="11"/>
      <c r="E5518" s="11"/>
      <c r="F5518" s="11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11"/>
      <c r="AC5518" s="11"/>
      <c r="AD5518" s="11"/>
      <c r="AE5518" s="11"/>
      <c r="AF5518" s="11"/>
      <c r="AG5518" s="10"/>
    </row>
    <row r="5519" spans="1:33">
      <c r="A5519" s="11"/>
      <c r="B5519" s="11"/>
      <c r="C5519" s="11"/>
      <c r="D5519" s="11"/>
      <c r="E5519" s="11"/>
      <c r="F5519" s="11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11"/>
      <c r="AC5519" s="11"/>
      <c r="AD5519" s="11"/>
      <c r="AE5519" s="11"/>
      <c r="AF5519" s="11"/>
      <c r="AG5519" s="10"/>
    </row>
    <row r="5520" spans="1:33">
      <c r="A5520" s="11"/>
      <c r="B5520" s="11"/>
      <c r="C5520" s="11"/>
      <c r="D5520" s="11"/>
      <c r="E5520" s="11"/>
      <c r="F5520" s="11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11"/>
      <c r="AC5520" s="11"/>
      <c r="AD5520" s="11"/>
      <c r="AE5520" s="11"/>
      <c r="AF5520" s="11"/>
      <c r="AG5520" s="10"/>
    </row>
    <row r="5521" spans="1:33">
      <c r="A5521" s="11"/>
      <c r="B5521" s="11"/>
      <c r="C5521" s="11"/>
      <c r="D5521" s="11"/>
      <c r="E5521" s="11"/>
      <c r="F5521" s="11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11"/>
      <c r="AC5521" s="11"/>
      <c r="AD5521" s="11"/>
      <c r="AE5521" s="11"/>
      <c r="AF5521" s="11"/>
      <c r="AG5521" s="10"/>
    </row>
    <row r="5522" spans="1:33">
      <c r="A5522" s="11"/>
      <c r="B5522" s="11"/>
      <c r="C5522" s="11"/>
      <c r="D5522" s="11"/>
      <c r="E5522" s="11"/>
      <c r="F5522" s="11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11"/>
      <c r="AC5522" s="11"/>
      <c r="AD5522" s="11"/>
      <c r="AE5522" s="11"/>
      <c r="AF5522" s="11"/>
      <c r="AG5522" s="10"/>
    </row>
    <row r="5523" spans="1:33">
      <c r="A5523" s="11"/>
      <c r="B5523" s="11"/>
      <c r="C5523" s="11"/>
      <c r="D5523" s="11"/>
      <c r="E5523" s="11"/>
      <c r="F5523" s="11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11"/>
      <c r="AC5523" s="11"/>
      <c r="AD5523" s="11"/>
      <c r="AE5523" s="11"/>
      <c r="AF5523" s="11"/>
      <c r="AG5523" s="10"/>
    </row>
    <row r="5524" spans="1:33">
      <c r="A5524" s="11"/>
      <c r="B5524" s="11"/>
      <c r="C5524" s="11"/>
      <c r="D5524" s="11"/>
      <c r="E5524" s="11"/>
      <c r="F5524" s="11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11"/>
      <c r="AC5524" s="11"/>
      <c r="AD5524" s="11"/>
      <c r="AE5524" s="11"/>
      <c r="AF5524" s="11"/>
      <c r="AG5524" s="10"/>
    </row>
    <row r="5525" spans="1:33">
      <c r="A5525" s="11"/>
      <c r="B5525" s="11"/>
      <c r="C5525" s="11"/>
      <c r="D5525" s="11"/>
      <c r="E5525" s="11"/>
      <c r="F5525" s="11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11"/>
      <c r="AC5525" s="11"/>
      <c r="AD5525" s="11"/>
      <c r="AE5525" s="11"/>
      <c r="AF5525" s="11"/>
      <c r="AG5525" s="10"/>
    </row>
    <row r="5526" spans="1:33">
      <c r="A5526" s="11"/>
      <c r="B5526" s="11"/>
      <c r="C5526" s="11"/>
      <c r="D5526" s="11"/>
      <c r="E5526" s="11"/>
      <c r="F5526" s="11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11"/>
      <c r="AC5526" s="11"/>
      <c r="AD5526" s="11"/>
      <c r="AE5526" s="11"/>
      <c r="AF5526" s="11"/>
      <c r="AG5526" s="10"/>
    </row>
    <row r="5527" spans="1:33">
      <c r="A5527" s="11"/>
      <c r="B5527" s="11"/>
      <c r="C5527" s="11"/>
      <c r="D5527" s="11"/>
      <c r="E5527" s="11"/>
      <c r="F5527" s="11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11"/>
      <c r="AC5527" s="11"/>
      <c r="AD5527" s="11"/>
      <c r="AE5527" s="11"/>
      <c r="AF5527" s="11"/>
      <c r="AG5527" s="10"/>
    </row>
    <row r="5528" spans="1:33">
      <c r="A5528" s="8"/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8"/>
      <c r="M5528" s="8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  <c r="AA5528" s="8"/>
      <c r="AB5528" s="8"/>
      <c r="AC5528" s="8"/>
      <c r="AD5528" s="7"/>
      <c r="AE5528" s="7"/>
      <c r="AF5528" s="7"/>
      <c r="AG5528" s="10"/>
    </row>
    <row r="5529" spans="1:33">
      <c r="A5529" s="8"/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8"/>
      <c r="M5529" s="8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  <c r="AA5529" s="8"/>
      <c r="AB5529" s="8"/>
      <c r="AC5529" s="8"/>
      <c r="AD5529" s="7"/>
      <c r="AE5529" s="7"/>
      <c r="AF5529" s="7"/>
      <c r="AG5529" s="10"/>
    </row>
    <row r="5530" spans="1:33">
      <c r="A5530" s="8"/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8"/>
      <c r="M5530" s="8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  <c r="AA5530" s="8"/>
      <c r="AB5530" s="8"/>
      <c r="AC5530" s="8"/>
      <c r="AD5530" s="7"/>
      <c r="AE5530" s="7"/>
      <c r="AF5530" s="7"/>
      <c r="AG5530" s="10"/>
    </row>
    <row r="5531" spans="1:33">
      <c r="A5531" s="8"/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8"/>
      <c r="M5531" s="8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  <c r="AA5531" s="8"/>
      <c r="AB5531" s="8"/>
      <c r="AC5531" s="8"/>
      <c r="AD5531" s="7"/>
      <c r="AE5531" s="7"/>
      <c r="AF5531" s="7"/>
      <c r="AG5531" s="10"/>
    </row>
    <row r="5532" spans="1:33">
      <c r="A5532" s="8"/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8"/>
      <c r="M5532" s="8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  <c r="AA5532" s="8"/>
      <c r="AB5532" s="8"/>
      <c r="AC5532" s="8"/>
      <c r="AD5532" s="7"/>
      <c r="AE5532" s="7"/>
      <c r="AF5532" s="7"/>
      <c r="AG5532" s="10"/>
    </row>
    <row r="5533" spans="1:33">
      <c r="A5533" s="8"/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8"/>
      <c r="M5533" s="8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  <c r="AA5533" s="8"/>
      <c r="AB5533" s="8"/>
      <c r="AC5533" s="8"/>
      <c r="AD5533" s="7"/>
      <c r="AE5533" s="7"/>
      <c r="AF5533" s="7"/>
      <c r="AG5533" s="10"/>
    </row>
    <row r="5534" spans="1:33">
      <c r="A5534" s="8"/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8"/>
      <c r="M5534" s="8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  <c r="AA5534" s="8"/>
      <c r="AB5534" s="8"/>
      <c r="AC5534" s="8"/>
      <c r="AD5534" s="7"/>
      <c r="AE5534" s="7"/>
      <c r="AF5534" s="7"/>
      <c r="AG5534" s="10"/>
    </row>
    <row r="5535" spans="1:33">
      <c r="A5535" s="8"/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8"/>
      <c r="M5535" s="8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  <c r="AA5535" s="8"/>
      <c r="AB5535" s="8"/>
      <c r="AC5535" s="8"/>
      <c r="AD5535" s="7"/>
      <c r="AE5535" s="7"/>
      <c r="AF5535" s="7"/>
      <c r="AG5535" s="10"/>
    </row>
    <row r="5536" spans="1:33">
      <c r="A5536" s="8"/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8"/>
      <c r="M5536" s="8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  <c r="AA5536" s="8"/>
      <c r="AB5536" s="8"/>
      <c r="AC5536" s="8"/>
      <c r="AD5536" s="7"/>
      <c r="AE5536" s="7"/>
      <c r="AF5536" s="7"/>
      <c r="AG5536" s="10"/>
    </row>
    <row r="5537" spans="1:33">
      <c r="A5537" s="8"/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8"/>
      <c r="M5537" s="8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  <c r="AA5537" s="8"/>
      <c r="AB5537" s="8"/>
      <c r="AC5537" s="8"/>
      <c r="AD5537" s="7"/>
      <c r="AE5537" s="7"/>
      <c r="AF5537" s="7"/>
      <c r="AG5537" s="10"/>
    </row>
    <row r="5538" spans="1:33">
      <c r="A5538" s="8"/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8"/>
      <c r="M5538" s="8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  <c r="AA5538" s="8"/>
      <c r="AB5538" s="8"/>
      <c r="AC5538" s="8"/>
      <c r="AD5538" s="7"/>
      <c r="AE5538" s="7"/>
      <c r="AF5538" s="7"/>
      <c r="AG5538" s="10"/>
    </row>
    <row r="5539" spans="1:33">
      <c r="A5539" s="8"/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8"/>
      <c r="M5539" s="8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  <c r="AA5539" s="8"/>
      <c r="AB5539" s="8"/>
      <c r="AC5539" s="8"/>
      <c r="AD5539" s="7"/>
      <c r="AE5539" s="7"/>
      <c r="AF5539" s="7"/>
      <c r="AG5539" s="10"/>
    </row>
    <row r="5540" spans="1:33">
      <c r="A5540" s="8"/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8"/>
      <c r="M5540" s="8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  <c r="AA5540" s="8"/>
      <c r="AB5540" s="8"/>
      <c r="AC5540" s="8"/>
      <c r="AD5540" s="7"/>
      <c r="AE5540" s="7"/>
      <c r="AF5540" s="7"/>
      <c r="AG5540" s="10"/>
    </row>
    <row r="5541" spans="1:33">
      <c r="A5541" s="8"/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8"/>
      <c r="M5541" s="8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  <c r="AA5541" s="8"/>
      <c r="AB5541" s="8"/>
      <c r="AC5541" s="8"/>
      <c r="AD5541" s="7"/>
      <c r="AE5541" s="7"/>
      <c r="AF5541" s="7"/>
      <c r="AG5541" s="10"/>
    </row>
    <row r="5542" spans="1:33">
      <c r="A5542" s="8"/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8"/>
      <c r="M5542" s="8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  <c r="AA5542" s="8"/>
      <c r="AB5542" s="8"/>
      <c r="AC5542" s="8"/>
      <c r="AD5542" s="7"/>
      <c r="AE5542" s="7"/>
      <c r="AF5542" s="7"/>
      <c r="AG5542" s="10"/>
    </row>
    <row r="5543" spans="1:33">
      <c r="A5543" s="8"/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8"/>
      <c r="M5543" s="8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  <c r="AA5543" s="8"/>
      <c r="AB5543" s="8"/>
      <c r="AC5543" s="8"/>
      <c r="AD5543" s="7"/>
      <c r="AE5543" s="7"/>
      <c r="AF5543" s="7"/>
      <c r="AG5543" s="10"/>
    </row>
    <row r="5544" spans="1:33">
      <c r="A5544" s="8"/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8"/>
      <c r="M5544" s="8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  <c r="AA5544" s="8"/>
      <c r="AB5544" s="8"/>
      <c r="AC5544" s="8"/>
      <c r="AD5544" s="7"/>
      <c r="AE5544" s="7"/>
      <c r="AF5544" s="7"/>
      <c r="AG5544" s="10"/>
    </row>
    <row r="5545" spans="1:33">
      <c r="A5545" s="8"/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8"/>
      <c r="M5545" s="8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  <c r="AA5545" s="8"/>
      <c r="AB5545" s="8"/>
      <c r="AC5545" s="8"/>
      <c r="AD5545" s="7"/>
      <c r="AE5545" s="7"/>
      <c r="AF5545" s="7"/>
      <c r="AG5545" s="10"/>
    </row>
    <row r="5546" spans="1:33">
      <c r="A5546" s="8"/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8"/>
      <c r="M5546" s="8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  <c r="AA5546" s="8"/>
      <c r="AB5546" s="8"/>
      <c r="AC5546" s="8"/>
      <c r="AD5546" s="7"/>
      <c r="AE5546" s="7"/>
      <c r="AF5546" s="7"/>
      <c r="AG5546" s="10"/>
    </row>
    <row r="5547" spans="1:33">
      <c r="A5547" s="8"/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8"/>
      <c r="M5547" s="8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  <c r="AA5547" s="8"/>
      <c r="AB5547" s="8"/>
      <c r="AC5547" s="8"/>
      <c r="AD5547" s="7"/>
      <c r="AE5547" s="7"/>
      <c r="AF5547" s="7"/>
      <c r="AG5547" s="10"/>
    </row>
    <row r="5548" spans="1:33">
      <c r="A5548" s="8"/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8"/>
      <c r="M5548" s="8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  <c r="AA5548" s="8"/>
      <c r="AB5548" s="8"/>
      <c r="AC5548" s="8"/>
      <c r="AD5548" s="7"/>
      <c r="AE5548" s="7"/>
      <c r="AF5548" s="7"/>
      <c r="AG5548" s="10"/>
    </row>
    <row r="5549" spans="1:33">
      <c r="A5549" s="8"/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8"/>
      <c r="M5549" s="8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  <c r="AA5549" s="8"/>
      <c r="AB5549" s="8"/>
      <c r="AC5549" s="8"/>
      <c r="AD5549" s="7"/>
      <c r="AE5549" s="7"/>
      <c r="AF5549" s="7"/>
      <c r="AG5549" s="10"/>
    </row>
    <row r="5550" spans="1:33">
      <c r="A5550" s="8"/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8"/>
      <c r="M5550" s="8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  <c r="AA5550" s="8"/>
      <c r="AB5550" s="8"/>
      <c r="AC5550" s="8"/>
      <c r="AD5550" s="7"/>
      <c r="AE5550" s="7"/>
      <c r="AF5550" s="7"/>
      <c r="AG5550" s="10"/>
    </row>
    <row r="5551" spans="1:33">
      <c r="A5551" s="8"/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8"/>
      <c r="M5551" s="8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  <c r="AA5551" s="8"/>
      <c r="AB5551" s="8"/>
      <c r="AC5551" s="8"/>
      <c r="AD5551" s="7"/>
      <c r="AE5551" s="7"/>
      <c r="AF5551" s="7"/>
      <c r="AG5551" s="10"/>
    </row>
    <row r="5552" spans="1:33">
      <c r="A5552" s="8"/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8"/>
      <c r="M5552" s="8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  <c r="AA5552" s="8"/>
      <c r="AB5552" s="8"/>
      <c r="AC5552" s="8"/>
      <c r="AD5552" s="7"/>
      <c r="AE5552" s="7"/>
      <c r="AF5552" s="7"/>
      <c r="AG5552" s="10"/>
    </row>
    <row r="5553" spans="1:33">
      <c r="A5553" s="8"/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8"/>
      <c r="M5553" s="8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  <c r="AA5553" s="8"/>
      <c r="AB5553" s="8"/>
      <c r="AC5553" s="8"/>
      <c r="AD5553" s="7"/>
      <c r="AE5553" s="7"/>
      <c r="AF5553" s="7"/>
      <c r="AG5553" s="10"/>
    </row>
    <row r="5554" spans="1:33">
      <c r="A5554" s="8"/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8"/>
      <c r="M5554" s="8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  <c r="AA5554" s="8"/>
      <c r="AB5554" s="8"/>
      <c r="AC5554" s="8"/>
      <c r="AD5554" s="7"/>
      <c r="AE5554" s="7"/>
      <c r="AF5554" s="7"/>
      <c r="AG5554" s="10"/>
    </row>
    <row r="5555" spans="1:33">
      <c r="A5555" s="8"/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8"/>
      <c r="M5555" s="8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  <c r="AA5555" s="8"/>
      <c r="AB5555" s="8"/>
      <c r="AC5555" s="8"/>
      <c r="AD5555" s="7"/>
      <c r="AE5555" s="7"/>
      <c r="AF5555" s="7"/>
      <c r="AG5555" s="10"/>
    </row>
    <row r="5556" spans="1:33">
      <c r="A5556" s="8"/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8"/>
      <c r="M5556" s="8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  <c r="AA5556" s="8"/>
      <c r="AB5556" s="8"/>
      <c r="AC5556" s="8"/>
      <c r="AD5556" s="7"/>
      <c r="AE5556" s="7"/>
      <c r="AF5556" s="7"/>
      <c r="AG5556" s="10"/>
    </row>
    <row r="5557" spans="1:33">
      <c r="A5557" s="8"/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8"/>
      <c r="M5557" s="8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  <c r="AA5557" s="8"/>
      <c r="AB5557" s="8"/>
      <c r="AC5557" s="8"/>
      <c r="AD5557" s="7"/>
      <c r="AE5557" s="7"/>
      <c r="AF5557" s="7"/>
      <c r="AG5557" s="10"/>
    </row>
    <row r="5558" spans="1:33">
      <c r="A5558" s="8"/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8"/>
      <c r="M5558" s="8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  <c r="AA5558" s="8"/>
      <c r="AB5558" s="8"/>
      <c r="AC5558" s="8"/>
      <c r="AD5558" s="7"/>
      <c r="AE5558" s="7"/>
      <c r="AF5558" s="7"/>
      <c r="AG5558" s="10"/>
    </row>
    <row r="5559" spans="1:33">
      <c r="A5559" s="8"/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8"/>
      <c r="M5559" s="8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  <c r="AA5559" s="8"/>
      <c r="AB5559" s="8"/>
      <c r="AC5559" s="8"/>
      <c r="AD5559" s="7"/>
      <c r="AE5559" s="7"/>
      <c r="AF5559" s="7"/>
      <c r="AG5559" s="10"/>
    </row>
    <row r="5560" spans="1:33">
      <c r="A5560" s="8"/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8"/>
      <c r="M5560" s="8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  <c r="AA5560" s="8"/>
      <c r="AB5560" s="8"/>
      <c r="AC5560" s="8"/>
      <c r="AD5560" s="7"/>
      <c r="AE5560" s="7"/>
      <c r="AF5560" s="7"/>
      <c r="AG5560" s="10"/>
    </row>
    <row r="5561" spans="1:33">
      <c r="A5561" s="8"/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8"/>
      <c r="M5561" s="8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  <c r="AA5561" s="8"/>
      <c r="AB5561" s="8"/>
      <c r="AC5561" s="8"/>
      <c r="AD5561" s="7"/>
      <c r="AE5561" s="7"/>
      <c r="AF5561" s="7"/>
      <c r="AG5561" s="10"/>
    </row>
    <row r="5562" spans="1:33">
      <c r="A5562" s="8"/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8"/>
      <c r="M5562" s="8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  <c r="AA5562" s="8"/>
      <c r="AB5562" s="8"/>
      <c r="AC5562" s="8"/>
      <c r="AD5562" s="7"/>
      <c r="AE5562" s="7"/>
      <c r="AF5562" s="7"/>
      <c r="AG5562" s="10"/>
    </row>
    <row r="5563" spans="1:33">
      <c r="A5563" s="8"/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8"/>
      <c r="M5563" s="8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  <c r="AA5563" s="8"/>
      <c r="AB5563" s="8"/>
      <c r="AC5563" s="8"/>
      <c r="AD5563" s="7"/>
      <c r="AE5563" s="7"/>
      <c r="AF5563" s="7"/>
      <c r="AG5563" s="10"/>
    </row>
    <row r="5564" spans="1:33">
      <c r="A5564" s="8"/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8"/>
      <c r="M5564" s="8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  <c r="AA5564" s="8"/>
      <c r="AB5564" s="8"/>
      <c r="AC5564" s="8"/>
      <c r="AD5564" s="7"/>
      <c r="AE5564" s="7"/>
      <c r="AF5564" s="7"/>
      <c r="AG5564" s="10"/>
    </row>
    <row r="5565" spans="1:33">
      <c r="A5565" s="8"/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8"/>
      <c r="M5565" s="8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  <c r="AA5565" s="8"/>
      <c r="AB5565" s="8"/>
      <c r="AC5565" s="8"/>
      <c r="AD5565" s="7"/>
      <c r="AE5565" s="7"/>
      <c r="AF5565" s="7"/>
      <c r="AG5565" s="10"/>
    </row>
    <row r="5566" spans="1:33">
      <c r="A5566" s="8"/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8"/>
      <c r="M5566" s="8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  <c r="AA5566" s="8"/>
      <c r="AB5566" s="8"/>
      <c r="AC5566" s="8"/>
      <c r="AD5566" s="7"/>
      <c r="AE5566" s="7"/>
      <c r="AF5566" s="7"/>
      <c r="AG5566" s="10"/>
    </row>
    <row r="5567" spans="1:33">
      <c r="A5567" s="8"/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8"/>
      <c r="M5567" s="8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  <c r="AA5567" s="8"/>
      <c r="AB5567" s="8"/>
      <c r="AC5567" s="8"/>
      <c r="AD5567" s="7"/>
      <c r="AE5567" s="7"/>
      <c r="AF5567" s="7"/>
      <c r="AG5567" s="10"/>
    </row>
    <row r="5568" spans="1:33">
      <c r="A5568" s="8"/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8"/>
      <c r="M5568" s="8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  <c r="AA5568" s="8"/>
      <c r="AB5568" s="8"/>
      <c r="AC5568" s="8"/>
      <c r="AD5568" s="7"/>
      <c r="AE5568" s="7"/>
      <c r="AF5568" s="7"/>
      <c r="AG5568" s="10"/>
    </row>
    <row r="5569" spans="1:33">
      <c r="A5569" s="8"/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8"/>
      <c r="M5569" s="8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  <c r="AA5569" s="8"/>
      <c r="AB5569" s="8"/>
      <c r="AC5569" s="8"/>
      <c r="AD5569" s="7"/>
      <c r="AE5569" s="7"/>
      <c r="AF5569" s="7"/>
      <c r="AG5569" s="10"/>
    </row>
    <row r="5570" spans="1:33">
      <c r="A5570" s="8"/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8"/>
      <c r="M5570" s="8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  <c r="AA5570" s="8"/>
      <c r="AB5570" s="8"/>
      <c r="AC5570" s="8"/>
      <c r="AD5570" s="7"/>
      <c r="AE5570" s="7"/>
      <c r="AF5570" s="7"/>
      <c r="AG5570" s="10"/>
    </row>
    <row r="5571" spans="1:33">
      <c r="A5571" s="8"/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8"/>
      <c r="M5571" s="8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  <c r="AA5571" s="8"/>
      <c r="AB5571" s="8"/>
      <c r="AC5571" s="8"/>
      <c r="AD5571" s="7"/>
      <c r="AE5571" s="7"/>
      <c r="AF5571" s="7"/>
      <c r="AG5571" s="10"/>
    </row>
    <row r="5572" spans="1:33">
      <c r="A5572" s="8"/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8"/>
      <c r="M5572" s="8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  <c r="AA5572" s="8"/>
      <c r="AB5572" s="8"/>
      <c r="AC5572" s="8"/>
      <c r="AD5572" s="7"/>
      <c r="AE5572" s="7"/>
      <c r="AF5572" s="7"/>
      <c r="AG5572" s="10"/>
    </row>
    <row r="5573" spans="1:33">
      <c r="A5573" s="8"/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8"/>
      <c r="M5573" s="8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  <c r="AA5573" s="8"/>
      <c r="AB5573" s="8"/>
      <c r="AC5573" s="8"/>
      <c r="AD5573" s="7"/>
      <c r="AE5573" s="7"/>
      <c r="AF5573" s="7"/>
      <c r="AG5573" s="10"/>
    </row>
    <row r="5574" spans="1:33">
      <c r="A5574" s="8"/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8"/>
      <c r="M5574" s="8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  <c r="AA5574" s="8"/>
      <c r="AB5574" s="8"/>
      <c r="AC5574" s="8"/>
      <c r="AD5574" s="7"/>
      <c r="AE5574" s="7"/>
      <c r="AF5574" s="7"/>
      <c r="AG5574" s="10"/>
    </row>
    <row r="5575" spans="1:33">
      <c r="A5575" s="8"/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8"/>
      <c r="M5575" s="8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  <c r="AA5575" s="8"/>
      <c r="AB5575" s="8"/>
      <c r="AC5575" s="8"/>
      <c r="AD5575" s="7"/>
      <c r="AE5575" s="7"/>
      <c r="AF5575" s="7"/>
      <c r="AG5575" s="10"/>
    </row>
    <row r="5576" spans="1:33">
      <c r="A5576" s="8"/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8"/>
      <c r="M5576" s="8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  <c r="AA5576" s="8"/>
      <c r="AB5576" s="8"/>
      <c r="AC5576" s="8"/>
      <c r="AD5576" s="7"/>
      <c r="AE5576" s="7"/>
      <c r="AF5576" s="7"/>
      <c r="AG5576" s="10"/>
    </row>
    <row r="5577" spans="1:33">
      <c r="A5577" s="8"/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8"/>
      <c r="M5577" s="8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  <c r="AA5577" s="8"/>
      <c r="AB5577" s="8"/>
      <c r="AC5577" s="8"/>
      <c r="AD5577" s="7"/>
      <c r="AE5577" s="7"/>
      <c r="AF5577" s="7"/>
      <c r="AG5577" s="10"/>
    </row>
    <row r="5578" spans="1:33">
      <c r="A5578" s="8"/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8"/>
      <c r="M5578" s="8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  <c r="AA5578" s="8"/>
      <c r="AB5578" s="8"/>
      <c r="AC5578" s="8"/>
      <c r="AD5578" s="7"/>
      <c r="AE5578" s="7"/>
      <c r="AF5578" s="7"/>
      <c r="AG5578" s="10"/>
    </row>
    <row r="5579" spans="1:33">
      <c r="A5579" s="8"/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8"/>
      <c r="M5579" s="8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  <c r="AA5579" s="8"/>
      <c r="AB5579" s="8"/>
      <c r="AC5579" s="8"/>
      <c r="AD5579" s="7"/>
      <c r="AE5579" s="7"/>
      <c r="AF5579" s="7"/>
      <c r="AG5579" s="10"/>
    </row>
    <row r="5580" spans="1:33">
      <c r="A5580" s="8"/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8"/>
      <c r="M5580" s="8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  <c r="AA5580" s="8"/>
      <c r="AB5580" s="8"/>
      <c r="AC5580" s="8"/>
      <c r="AD5580" s="7"/>
      <c r="AE5580" s="7"/>
      <c r="AF5580" s="7"/>
      <c r="AG5580" s="10"/>
    </row>
    <row r="5581" spans="1:33">
      <c r="A5581" s="8"/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8"/>
      <c r="M5581" s="8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  <c r="AA5581" s="8"/>
      <c r="AB5581" s="8"/>
      <c r="AC5581" s="8"/>
      <c r="AD5581" s="7"/>
      <c r="AE5581" s="7"/>
      <c r="AF5581" s="7"/>
      <c r="AG5581" s="10"/>
    </row>
    <row r="5582" spans="1:33">
      <c r="A5582" s="8"/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8"/>
      <c r="M5582" s="8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  <c r="AA5582" s="8"/>
      <c r="AB5582" s="8"/>
      <c r="AC5582" s="8"/>
      <c r="AD5582" s="7"/>
      <c r="AE5582" s="7"/>
      <c r="AF5582" s="7"/>
      <c r="AG5582" s="10"/>
    </row>
    <row r="5583" spans="1:33">
      <c r="A5583" s="8"/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8"/>
      <c r="M5583" s="8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  <c r="AA5583" s="8"/>
      <c r="AB5583" s="8"/>
      <c r="AC5583" s="8"/>
      <c r="AD5583" s="7"/>
      <c r="AE5583" s="7"/>
      <c r="AF5583" s="7"/>
      <c r="AG5583" s="10"/>
    </row>
    <row r="5584" spans="1:33">
      <c r="A5584" s="8"/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8"/>
      <c r="M5584" s="8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  <c r="AA5584" s="8"/>
      <c r="AB5584" s="8"/>
      <c r="AC5584" s="8"/>
      <c r="AD5584" s="7"/>
      <c r="AE5584" s="7"/>
      <c r="AF5584" s="7"/>
      <c r="AG5584" s="10"/>
    </row>
    <row r="5585" spans="1:33">
      <c r="A5585" s="8"/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8"/>
      <c r="M5585" s="8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  <c r="AA5585" s="8"/>
      <c r="AB5585" s="8"/>
      <c r="AC5585" s="8"/>
      <c r="AD5585" s="7"/>
      <c r="AE5585" s="7"/>
      <c r="AF5585" s="7"/>
      <c r="AG5585" s="10"/>
    </row>
    <row r="5586" spans="1:33">
      <c r="A5586" s="8"/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8"/>
      <c r="M5586" s="8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  <c r="AA5586" s="8"/>
      <c r="AB5586" s="8"/>
      <c r="AC5586" s="8"/>
      <c r="AD5586" s="7"/>
      <c r="AE5586" s="7"/>
      <c r="AF5586" s="7"/>
      <c r="AG5586" s="10"/>
    </row>
    <row r="5587" spans="1:33">
      <c r="A5587" s="8"/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8"/>
      <c r="M5587" s="8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  <c r="AA5587" s="8"/>
      <c r="AB5587" s="8"/>
      <c r="AC5587" s="8"/>
      <c r="AD5587" s="7"/>
      <c r="AE5587" s="7"/>
      <c r="AF5587" s="7"/>
      <c r="AG5587" s="10"/>
    </row>
    <row r="5588" spans="1:33">
      <c r="A5588" s="8"/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8"/>
      <c r="M5588" s="8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  <c r="AA5588" s="8"/>
      <c r="AB5588" s="8"/>
      <c r="AC5588" s="8"/>
      <c r="AD5588" s="7"/>
      <c r="AE5588" s="7"/>
      <c r="AF5588" s="7"/>
      <c r="AG5588" s="10"/>
    </row>
    <row r="5589" spans="1:33">
      <c r="A5589" s="8"/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8"/>
      <c r="M5589" s="8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  <c r="AA5589" s="8"/>
      <c r="AB5589" s="8"/>
      <c r="AC5589" s="8"/>
      <c r="AD5589" s="7"/>
      <c r="AE5589" s="7"/>
      <c r="AF5589" s="7"/>
      <c r="AG5589" s="10"/>
    </row>
    <row r="5590" spans="1:33">
      <c r="A5590" s="8"/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8"/>
      <c r="M5590" s="8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  <c r="AA5590" s="8"/>
      <c r="AB5590" s="8"/>
      <c r="AC5590" s="8"/>
      <c r="AD5590" s="7"/>
      <c r="AE5590" s="7"/>
      <c r="AF5590" s="7"/>
      <c r="AG5590" s="10"/>
    </row>
    <row r="5591" spans="1:33">
      <c r="A5591" s="8"/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8"/>
      <c r="M5591" s="8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  <c r="AA5591" s="8"/>
      <c r="AB5591" s="8"/>
      <c r="AC5591" s="8"/>
      <c r="AD5591" s="7"/>
      <c r="AE5591" s="7"/>
      <c r="AF5591" s="7"/>
      <c r="AG5591" s="10"/>
    </row>
    <row r="5592" spans="1:33">
      <c r="A5592" s="8"/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8"/>
      <c r="M5592" s="8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  <c r="AA5592" s="8"/>
      <c r="AB5592" s="8"/>
      <c r="AC5592" s="8"/>
      <c r="AD5592" s="7"/>
      <c r="AE5592" s="7"/>
      <c r="AF5592" s="7"/>
      <c r="AG5592" s="10"/>
    </row>
    <row r="5593" spans="1:33">
      <c r="A5593" s="8"/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8"/>
      <c r="M5593" s="8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  <c r="AA5593" s="8"/>
      <c r="AB5593" s="8"/>
      <c r="AC5593" s="8"/>
      <c r="AD5593" s="7"/>
      <c r="AE5593" s="7"/>
      <c r="AF5593" s="7"/>
      <c r="AG5593" s="10"/>
    </row>
    <row r="5594" spans="1:33">
      <c r="A5594" s="8"/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8"/>
      <c r="M5594" s="8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  <c r="AA5594" s="8"/>
      <c r="AB5594" s="8"/>
      <c r="AC5594" s="8"/>
      <c r="AD5594" s="7"/>
      <c r="AE5594" s="7"/>
      <c r="AF5594" s="7"/>
      <c r="AG5594" s="10"/>
    </row>
    <row r="5595" spans="1:33">
      <c r="A5595" s="8"/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8"/>
      <c r="M5595" s="8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  <c r="AA5595" s="8"/>
      <c r="AB5595" s="8"/>
      <c r="AC5595" s="8"/>
      <c r="AD5595" s="7"/>
      <c r="AE5595" s="7"/>
      <c r="AF5595" s="7"/>
      <c r="AG5595" s="10"/>
    </row>
    <row r="5596" spans="1:33">
      <c r="A5596" s="8"/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8"/>
      <c r="M5596" s="8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  <c r="AA5596" s="8"/>
      <c r="AB5596" s="8"/>
      <c r="AC5596" s="8"/>
      <c r="AD5596" s="7"/>
      <c r="AE5596" s="7"/>
      <c r="AF5596" s="7"/>
      <c r="AG5596" s="10"/>
    </row>
    <row r="5597" spans="1:33">
      <c r="A5597" s="8"/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8"/>
      <c r="M5597" s="8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  <c r="AA5597" s="8"/>
      <c r="AB5597" s="8"/>
      <c r="AC5597" s="8"/>
      <c r="AD5597" s="7"/>
      <c r="AE5597" s="7"/>
      <c r="AF5597" s="7"/>
      <c r="AG5597" s="10"/>
    </row>
    <row r="5598" spans="1:33">
      <c r="A5598" s="8"/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8"/>
      <c r="M5598" s="8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  <c r="AA5598" s="8"/>
      <c r="AB5598" s="8"/>
      <c r="AC5598" s="8"/>
      <c r="AD5598" s="7"/>
      <c r="AE5598" s="7"/>
      <c r="AF5598" s="7"/>
      <c r="AG5598" s="10"/>
    </row>
    <row r="5599" spans="1:33">
      <c r="A5599" s="8"/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8"/>
      <c r="M5599" s="8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  <c r="AA5599" s="8"/>
      <c r="AB5599" s="8"/>
      <c r="AC5599" s="8"/>
      <c r="AD5599" s="7"/>
      <c r="AE5599" s="7"/>
      <c r="AF5599" s="7"/>
      <c r="AG5599" s="10"/>
    </row>
    <row r="5600" spans="1:33">
      <c r="A5600" s="8"/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8"/>
      <c r="M5600" s="8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  <c r="AA5600" s="8"/>
      <c r="AB5600" s="8"/>
      <c r="AC5600" s="8"/>
      <c r="AD5600" s="7"/>
      <c r="AE5600" s="7"/>
      <c r="AF5600" s="7"/>
      <c r="AG5600" s="10"/>
    </row>
    <row r="5601" spans="1:33">
      <c r="A5601" s="8"/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8"/>
      <c r="M5601" s="8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  <c r="AA5601" s="8"/>
      <c r="AB5601" s="8"/>
      <c r="AC5601" s="8"/>
      <c r="AD5601" s="7"/>
      <c r="AE5601" s="7"/>
      <c r="AF5601" s="7"/>
      <c r="AG5601" s="10"/>
    </row>
    <row r="5602" spans="1:33">
      <c r="A5602" s="8"/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8"/>
      <c r="M5602" s="8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  <c r="AA5602" s="8"/>
      <c r="AB5602" s="8"/>
      <c r="AC5602" s="8"/>
      <c r="AD5602" s="7"/>
      <c r="AE5602" s="7"/>
      <c r="AF5602" s="7"/>
      <c r="AG5602" s="10"/>
    </row>
    <row r="5603" spans="1:33">
      <c r="A5603" s="8"/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8"/>
      <c r="M5603" s="8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  <c r="AA5603" s="8"/>
      <c r="AB5603" s="8"/>
      <c r="AC5603" s="8"/>
      <c r="AD5603" s="7"/>
      <c r="AE5603" s="7"/>
      <c r="AF5603" s="7"/>
      <c r="AG5603" s="10"/>
    </row>
    <row r="5604" spans="1:33">
      <c r="A5604" s="8"/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8"/>
      <c r="M5604" s="8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  <c r="AA5604" s="8"/>
      <c r="AB5604" s="8"/>
      <c r="AC5604" s="8"/>
      <c r="AD5604" s="7"/>
      <c r="AE5604" s="7"/>
      <c r="AF5604" s="7"/>
      <c r="AG5604" s="10"/>
    </row>
    <row r="5605" spans="1:33">
      <c r="A5605" s="8"/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8"/>
      <c r="M5605" s="8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  <c r="AA5605" s="8"/>
      <c r="AB5605" s="8"/>
      <c r="AC5605" s="8"/>
      <c r="AD5605" s="7"/>
      <c r="AE5605" s="7"/>
      <c r="AF5605" s="7"/>
      <c r="AG5605" s="10"/>
    </row>
    <row r="5606" spans="1:33">
      <c r="A5606" s="8"/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8"/>
      <c r="M5606" s="8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  <c r="AA5606" s="8"/>
      <c r="AB5606" s="8"/>
      <c r="AC5606" s="8"/>
      <c r="AD5606" s="7"/>
      <c r="AE5606" s="7"/>
      <c r="AF5606" s="7"/>
      <c r="AG5606" s="10"/>
    </row>
    <row r="5607" spans="1:33">
      <c r="A5607" s="8"/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8"/>
      <c r="M5607" s="8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  <c r="AA5607" s="8"/>
      <c r="AB5607" s="8"/>
      <c r="AC5607" s="8"/>
      <c r="AD5607" s="7"/>
      <c r="AE5607" s="7"/>
      <c r="AF5607" s="7"/>
      <c r="AG5607" s="10"/>
    </row>
    <row r="5608" spans="1:33">
      <c r="A5608" s="8"/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8"/>
      <c r="M5608" s="8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  <c r="AA5608" s="8"/>
      <c r="AB5608" s="8"/>
      <c r="AC5608" s="8"/>
      <c r="AD5608" s="7"/>
      <c r="AE5608" s="7"/>
      <c r="AF5608" s="7"/>
      <c r="AG5608" s="10"/>
    </row>
    <row r="5609" spans="1:33">
      <c r="A5609" s="8"/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8"/>
      <c r="M5609" s="8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  <c r="AA5609" s="8"/>
      <c r="AB5609" s="8"/>
      <c r="AC5609" s="8"/>
      <c r="AD5609" s="7"/>
      <c r="AE5609" s="7"/>
      <c r="AF5609" s="7"/>
      <c r="AG5609" s="10"/>
    </row>
    <row r="5610" spans="1:33">
      <c r="A5610" s="8"/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8"/>
      <c r="M5610" s="8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  <c r="AA5610" s="8"/>
      <c r="AB5610" s="8"/>
      <c r="AC5610" s="8"/>
      <c r="AD5610" s="7"/>
      <c r="AE5610" s="7"/>
      <c r="AF5610" s="7"/>
      <c r="AG5610" s="10"/>
    </row>
    <row r="5611" spans="1:33">
      <c r="A5611" s="8"/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8"/>
      <c r="M5611" s="8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  <c r="AA5611" s="8"/>
      <c r="AB5611" s="8"/>
      <c r="AC5611" s="8"/>
      <c r="AD5611" s="7"/>
      <c r="AE5611" s="7"/>
      <c r="AF5611" s="7"/>
      <c r="AG5611" s="10"/>
    </row>
    <row r="5612" spans="1:33">
      <c r="A5612" s="8"/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8"/>
      <c r="M5612" s="8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  <c r="AA5612" s="8"/>
      <c r="AB5612" s="8"/>
      <c r="AC5612" s="8"/>
      <c r="AD5612" s="7"/>
      <c r="AE5612" s="7"/>
      <c r="AF5612" s="7"/>
      <c r="AG5612" s="10"/>
    </row>
    <row r="5613" spans="1:33">
      <c r="A5613" s="8"/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8"/>
      <c r="M5613" s="8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  <c r="AA5613" s="8"/>
      <c r="AB5613" s="8"/>
      <c r="AC5613" s="8"/>
      <c r="AD5613" s="7"/>
      <c r="AE5613" s="7"/>
      <c r="AF5613" s="7"/>
      <c r="AG5613" s="10"/>
    </row>
    <row r="5614" spans="1:33">
      <c r="A5614" s="8"/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8"/>
      <c r="M5614" s="8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  <c r="AA5614" s="8"/>
      <c r="AB5614" s="8"/>
      <c r="AC5614" s="8"/>
      <c r="AD5614" s="7"/>
      <c r="AE5614" s="7"/>
      <c r="AF5614" s="7"/>
      <c r="AG5614" s="10"/>
    </row>
    <row r="5615" spans="1:33">
      <c r="A5615" s="8"/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8"/>
      <c r="M5615" s="8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  <c r="AA5615" s="8"/>
      <c r="AB5615" s="8"/>
      <c r="AC5615" s="8"/>
      <c r="AD5615" s="7"/>
      <c r="AE5615" s="7"/>
      <c r="AF5615" s="7"/>
      <c r="AG5615" s="10"/>
    </row>
    <row r="5616" spans="1:33">
      <c r="A5616" s="8"/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8"/>
      <c r="M5616" s="8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  <c r="AA5616" s="8"/>
      <c r="AB5616" s="8"/>
      <c r="AC5616" s="8"/>
      <c r="AD5616" s="7"/>
      <c r="AE5616" s="7"/>
      <c r="AF5616" s="7"/>
      <c r="AG5616" s="10"/>
    </row>
    <row r="5617" spans="1:33">
      <c r="A5617" s="8"/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8"/>
      <c r="M5617" s="8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  <c r="AA5617" s="8"/>
      <c r="AB5617" s="8"/>
      <c r="AC5617" s="8"/>
      <c r="AD5617" s="7"/>
      <c r="AE5617" s="7"/>
      <c r="AF5617" s="7"/>
      <c r="AG5617" s="10"/>
    </row>
    <row r="5618" spans="1:33">
      <c r="A5618" s="8"/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8"/>
      <c r="M5618" s="8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  <c r="AA5618" s="8"/>
      <c r="AB5618" s="8"/>
      <c r="AC5618" s="8"/>
      <c r="AD5618" s="7"/>
      <c r="AE5618" s="7"/>
      <c r="AF5618" s="7"/>
      <c r="AG5618" s="10"/>
    </row>
    <row r="5619" spans="1:33">
      <c r="A5619" s="8"/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8"/>
      <c r="M5619" s="8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  <c r="AA5619" s="8"/>
      <c r="AB5619" s="8"/>
      <c r="AC5619" s="8"/>
      <c r="AD5619" s="7"/>
      <c r="AE5619" s="7"/>
      <c r="AF5619" s="7"/>
      <c r="AG5619" s="10"/>
    </row>
    <row r="5620" spans="1:33">
      <c r="A5620" s="8"/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8"/>
      <c r="M5620" s="8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  <c r="AA5620" s="8"/>
      <c r="AB5620" s="8"/>
      <c r="AC5620" s="8"/>
      <c r="AD5620" s="7"/>
      <c r="AE5620" s="7"/>
      <c r="AF5620" s="7"/>
      <c r="AG5620" s="10"/>
    </row>
    <row r="5621" spans="1:33">
      <c r="A5621" s="8"/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8"/>
      <c r="M5621" s="8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  <c r="AA5621" s="8"/>
      <c r="AB5621" s="8"/>
      <c r="AC5621" s="8"/>
      <c r="AD5621" s="7"/>
      <c r="AE5621" s="7"/>
      <c r="AF5621" s="7"/>
      <c r="AG5621" s="10"/>
    </row>
    <row r="5622" spans="1:33">
      <c r="A5622" s="8"/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8"/>
      <c r="M5622" s="8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  <c r="AA5622" s="8"/>
      <c r="AB5622" s="8"/>
      <c r="AC5622" s="8"/>
      <c r="AD5622" s="7"/>
      <c r="AE5622" s="7"/>
      <c r="AF5622" s="7"/>
      <c r="AG5622" s="10"/>
    </row>
    <row r="5623" spans="1:33">
      <c r="A5623" s="8"/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8"/>
      <c r="M5623" s="8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  <c r="AA5623" s="8"/>
      <c r="AB5623" s="8"/>
      <c r="AC5623" s="8"/>
      <c r="AD5623" s="7"/>
      <c r="AE5623" s="7"/>
      <c r="AF5623" s="7"/>
      <c r="AG5623" s="10"/>
    </row>
    <row r="5624" spans="1:33">
      <c r="A5624" s="8"/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8"/>
      <c r="M5624" s="8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  <c r="AA5624" s="8"/>
      <c r="AB5624" s="8"/>
      <c r="AC5624" s="8"/>
      <c r="AD5624" s="7"/>
      <c r="AE5624" s="7"/>
      <c r="AF5624" s="7"/>
      <c r="AG5624" s="10"/>
    </row>
    <row r="5625" spans="1:33">
      <c r="A5625" s="8"/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8"/>
      <c r="M5625" s="8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  <c r="AA5625" s="8"/>
      <c r="AB5625" s="8"/>
      <c r="AC5625" s="8"/>
      <c r="AD5625" s="7"/>
      <c r="AE5625" s="7"/>
      <c r="AF5625" s="7"/>
      <c r="AG5625" s="10"/>
    </row>
    <row r="5626" spans="1:33">
      <c r="A5626" s="8"/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8"/>
      <c r="M5626" s="8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  <c r="AA5626" s="8"/>
      <c r="AB5626" s="8"/>
      <c r="AC5626" s="8"/>
      <c r="AD5626" s="7"/>
      <c r="AE5626" s="7"/>
      <c r="AF5626" s="7"/>
      <c r="AG5626" s="10"/>
    </row>
    <row r="5627" spans="1:33">
      <c r="A5627" s="8"/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8"/>
      <c r="M5627" s="8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  <c r="AA5627" s="8"/>
      <c r="AB5627" s="8"/>
      <c r="AC5627" s="8"/>
      <c r="AD5627" s="7"/>
      <c r="AE5627" s="7"/>
      <c r="AF5627" s="7"/>
      <c r="AG5627" s="10"/>
    </row>
    <row r="5628" spans="1:33">
      <c r="A5628" s="8"/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8"/>
      <c r="M5628" s="8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  <c r="AA5628" s="8"/>
      <c r="AB5628" s="8"/>
      <c r="AC5628" s="8"/>
      <c r="AD5628" s="7"/>
      <c r="AE5628" s="7"/>
      <c r="AF5628" s="7"/>
      <c r="AG5628" s="10"/>
    </row>
    <row r="5629" spans="1:33">
      <c r="A5629" s="8"/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8"/>
      <c r="M5629" s="8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  <c r="AA5629" s="8"/>
      <c r="AB5629" s="8"/>
      <c r="AC5629" s="8"/>
      <c r="AD5629" s="7"/>
      <c r="AE5629" s="7"/>
      <c r="AF5629" s="7"/>
      <c r="AG5629" s="10"/>
    </row>
    <row r="5630" spans="1:33">
      <c r="A5630" s="8"/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8"/>
      <c r="M5630" s="8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  <c r="AA5630" s="8"/>
      <c r="AB5630" s="8"/>
      <c r="AC5630" s="8"/>
      <c r="AD5630" s="7"/>
      <c r="AE5630" s="7"/>
      <c r="AF5630" s="7"/>
      <c r="AG5630" s="10"/>
    </row>
    <row r="5631" spans="1:33">
      <c r="A5631" s="8"/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8"/>
      <c r="M5631" s="8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  <c r="AA5631" s="8"/>
      <c r="AB5631" s="8"/>
      <c r="AC5631" s="8"/>
      <c r="AD5631" s="7"/>
      <c r="AE5631" s="7"/>
      <c r="AF5631" s="7"/>
      <c r="AG5631" s="10"/>
    </row>
    <row r="5632" spans="1:33">
      <c r="A5632" s="8"/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8"/>
      <c r="M5632" s="8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  <c r="AA5632" s="8"/>
      <c r="AB5632" s="8"/>
      <c r="AC5632" s="8"/>
      <c r="AD5632" s="7"/>
      <c r="AE5632" s="7"/>
      <c r="AF5632" s="7"/>
      <c r="AG5632" s="10"/>
    </row>
    <row r="5633" spans="1:33">
      <c r="A5633" s="8"/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8"/>
      <c r="M5633" s="8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  <c r="AA5633" s="8"/>
      <c r="AB5633" s="8"/>
      <c r="AC5633" s="8"/>
      <c r="AD5633" s="7"/>
      <c r="AE5633" s="7"/>
      <c r="AF5633" s="7"/>
      <c r="AG5633" s="10"/>
    </row>
    <row r="5634" spans="1:33">
      <c r="A5634" s="8"/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8"/>
      <c r="M5634" s="8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  <c r="AA5634" s="8"/>
      <c r="AB5634" s="8"/>
      <c r="AC5634" s="8"/>
      <c r="AD5634" s="7"/>
      <c r="AE5634" s="7"/>
      <c r="AF5634" s="7"/>
      <c r="AG5634" s="10"/>
    </row>
    <row r="5635" spans="1:33">
      <c r="A5635" s="8"/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8"/>
      <c r="M5635" s="8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  <c r="AA5635" s="8"/>
      <c r="AB5635" s="8"/>
      <c r="AC5635" s="8"/>
      <c r="AD5635" s="7"/>
      <c r="AE5635" s="7"/>
      <c r="AF5635" s="7"/>
      <c r="AG5635" s="10"/>
    </row>
    <row r="5636" spans="1:33">
      <c r="A5636" s="8"/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8"/>
      <c r="M5636" s="8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  <c r="AA5636" s="8"/>
      <c r="AB5636" s="8"/>
      <c r="AC5636" s="8"/>
      <c r="AD5636" s="7"/>
      <c r="AE5636" s="7"/>
      <c r="AF5636" s="7"/>
      <c r="AG5636" s="10"/>
    </row>
    <row r="5637" spans="1:33">
      <c r="A5637" s="8"/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8"/>
      <c r="M5637" s="8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  <c r="AA5637" s="8"/>
      <c r="AB5637" s="8"/>
      <c r="AC5637" s="8"/>
      <c r="AD5637" s="7"/>
      <c r="AE5637" s="7"/>
      <c r="AF5637" s="7"/>
      <c r="AG5637" s="10"/>
    </row>
    <row r="5638" spans="1:33">
      <c r="A5638" s="8"/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8"/>
      <c r="M5638" s="8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  <c r="AA5638" s="8"/>
      <c r="AB5638" s="8"/>
      <c r="AC5638" s="8"/>
      <c r="AD5638" s="7"/>
      <c r="AE5638" s="7"/>
      <c r="AF5638" s="7"/>
      <c r="AG5638" s="10"/>
    </row>
    <row r="5639" spans="1:33">
      <c r="A5639" s="8"/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8"/>
      <c r="M5639" s="8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  <c r="AA5639" s="8"/>
      <c r="AB5639" s="8"/>
      <c r="AC5639" s="8"/>
      <c r="AD5639" s="7"/>
      <c r="AE5639" s="7"/>
      <c r="AF5639" s="7"/>
      <c r="AG5639" s="10"/>
    </row>
    <row r="5640" spans="1:33">
      <c r="A5640" s="8"/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8"/>
      <c r="M5640" s="8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  <c r="AA5640" s="8"/>
      <c r="AB5640" s="8"/>
      <c r="AC5640" s="8"/>
      <c r="AD5640" s="7"/>
      <c r="AE5640" s="7"/>
      <c r="AF5640" s="7"/>
      <c r="AG5640" s="10"/>
    </row>
    <row r="5641" spans="1:33">
      <c r="A5641" s="8"/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8"/>
      <c r="M5641" s="8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  <c r="AA5641" s="8"/>
      <c r="AB5641" s="8"/>
      <c r="AC5641" s="8"/>
      <c r="AD5641" s="7"/>
      <c r="AE5641" s="7"/>
      <c r="AF5641" s="7"/>
      <c r="AG5641" s="10"/>
    </row>
    <row r="5642" spans="1:33">
      <c r="A5642" s="8"/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8"/>
      <c r="M5642" s="8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  <c r="AA5642" s="8"/>
      <c r="AB5642" s="8"/>
      <c r="AC5642" s="8"/>
      <c r="AD5642" s="7"/>
      <c r="AE5642" s="7"/>
      <c r="AF5642" s="7"/>
      <c r="AG5642" s="10"/>
    </row>
    <row r="5643" spans="1:33">
      <c r="A5643" s="8"/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8"/>
      <c r="M5643" s="8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  <c r="AA5643" s="8"/>
      <c r="AB5643" s="8"/>
      <c r="AC5643" s="8"/>
      <c r="AD5643" s="7"/>
      <c r="AE5643" s="7"/>
      <c r="AF5643" s="7"/>
      <c r="AG5643" s="10"/>
    </row>
    <row r="5644" spans="1:33">
      <c r="A5644" s="8"/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8"/>
      <c r="M5644" s="8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  <c r="AA5644" s="8"/>
      <c r="AB5644" s="8"/>
      <c r="AC5644" s="8"/>
      <c r="AD5644" s="7"/>
      <c r="AE5644" s="7"/>
      <c r="AF5644" s="7"/>
      <c r="AG5644" s="10"/>
    </row>
    <row r="5645" spans="1:33">
      <c r="A5645" s="8"/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8"/>
      <c r="M5645" s="8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  <c r="AA5645" s="8"/>
      <c r="AB5645" s="8"/>
      <c r="AC5645" s="8"/>
      <c r="AD5645" s="7"/>
      <c r="AE5645" s="7"/>
      <c r="AF5645" s="7"/>
      <c r="AG5645" s="10"/>
    </row>
    <row r="5646" spans="1:33">
      <c r="A5646" s="8"/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8"/>
      <c r="M5646" s="8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  <c r="AA5646" s="8"/>
      <c r="AB5646" s="8"/>
      <c r="AC5646" s="8"/>
      <c r="AD5646" s="7"/>
      <c r="AE5646" s="7"/>
      <c r="AF5646" s="7"/>
      <c r="AG5646" s="10"/>
    </row>
    <row r="5647" spans="1:33">
      <c r="A5647" s="8"/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8"/>
      <c r="M5647" s="8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  <c r="AA5647" s="8"/>
      <c r="AB5647" s="8"/>
      <c r="AC5647" s="8"/>
      <c r="AD5647" s="7"/>
      <c r="AE5647" s="7"/>
      <c r="AF5647" s="7"/>
      <c r="AG5647" s="10"/>
    </row>
    <row r="5648" spans="1:33">
      <c r="A5648" s="8"/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8"/>
      <c r="M5648" s="8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  <c r="AA5648" s="8"/>
      <c r="AB5648" s="8"/>
      <c r="AC5648" s="8"/>
      <c r="AD5648" s="7"/>
      <c r="AE5648" s="7"/>
      <c r="AF5648" s="7"/>
      <c r="AG5648" s="10"/>
    </row>
    <row r="5649" spans="1:33">
      <c r="A5649" s="8"/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8"/>
      <c r="M5649" s="8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  <c r="AA5649" s="8"/>
      <c r="AB5649" s="8"/>
      <c r="AC5649" s="8"/>
      <c r="AD5649" s="7"/>
      <c r="AE5649" s="7"/>
      <c r="AF5649" s="7"/>
      <c r="AG5649" s="10"/>
    </row>
    <row r="5650" spans="1:33">
      <c r="A5650" s="8"/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8"/>
      <c r="M5650" s="8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  <c r="AA5650" s="8"/>
      <c r="AB5650" s="8"/>
      <c r="AC5650" s="8"/>
      <c r="AD5650" s="7"/>
      <c r="AE5650" s="7"/>
      <c r="AF5650" s="7"/>
      <c r="AG5650" s="10"/>
    </row>
    <row r="5651" spans="1:33">
      <c r="A5651" s="8"/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8"/>
      <c r="M5651" s="8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  <c r="AA5651" s="8"/>
      <c r="AB5651" s="8"/>
      <c r="AC5651" s="8"/>
      <c r="AD5651" s="7"/>
      <c r="AE5651" s="7"/>
      <c r="AF5651" s="7"/>
      <c r="AG5651" s="10"/>
    </row>
    <row r="5652" spans="1:33">
      <c r="A5652" s="8"/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8"/>
      <c r="M5652" s="8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  <c r="AA5652" s="8"/>
      <c r="AB5652" s="8"/>
      <c r="AC5652" s="8"/>
      <c r="AD5652" s="7"/>
      <c r="AE5652" s="7"/>
      <c r="AF5652" s="7"/>
      <c r="AG5652" s="10"/>
    </row>
    <row r="5653" spans="1:33">
      <c r="A5653" s="8"/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8"/>
      <c r="M5653" s="8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  <c r="AA5653" s="8"/>
      <c r="AB5653" s="8"/>
      <c r="AC5653" s="8"/>
      <c r="AD5653" s="7"/>
      <c r="AE5653" s="7"/>
      <c r="AF5653" s="7"/>
      <c r="AG5653" s="10"/>
    </row>
    <row r="5654" spans="1:33">
      <c r="A5654" s="8"/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8"/>
      <c r="M5654" s="8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  <c r="AA5654" s="8"/>
      <c r="AB5654" s="8"/>
      <c r="AC5654" s="8"/>
      <c r="AD5654" s="7"/>
      <c r="AE5654" s="7"/>
      <c r="AF5654" s="7"/>
      <c r="AG5654" s="10"/>
    </row>
    <row r="5655" spans="1:33">
      <c r="A5655" s="8"/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8"/>
      <c r="M5655" s="8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  <c r="AA5655" s="8"/>
      <c r="AB5655" s="8"/>
      <c r="AC5655" s="8"/>
      <c r="AD5655" s="7"/>
      <c r="AE5655" s="7"/>
      <c r="AF5655" s="7"/>
      <c r="AG5655" s="10"/>
    </row>
    <row r="5656" spans="1:33">
      <c r="A5656" s="8"/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8"/>
      <c r="M5656" s="8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  <c r="AA5656" s="8"/>
      <c r="AB5656" s="8"/>
      <c r="AC5656" s="8"/>
      <c r="AD5656" s="7"/>
      <c r="AE5656" s="7"/>
      <c r="AF5656" s="7"/>
      <c r="AG5656" s="10"/>
    </row>
    <row r="5657" spans="1:33">
      <c r="A5657" s="8"/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8"/>
      <c r="M5657" s="8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  <c r="AA5657" s="8"/>
      <c r="AB5657" s="8"/>
      <c r="AC5657" s="8"/>
      <c r="AD5657" s="7"/>
      <c r="AE5657" s="7"/>
      <c r="AF5657" s="7"/>
      <c r="AG5657" s="10"/>
    </row>
    <row r="5658" spans="1:33">
      <c r="A5658" s="8"/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8"/>
      <c r="M5658" s="8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  <c r="AA5658" s="8"/>
      <c r="AB5658" s="8"/>
      <c r="AC5658" s="8"/>
      <c r="AD5658" s="7"/>
      <c r="AE5658" s="7"/>
      <c r="AF5658" s="7"/>
      <c r="AG5658" s="10"/>
    </row>
    <row r="5659" spans="1:33">
      <c r="A5659" s="8"/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8"/>
      <c r="M5659" s="8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  <c r="AA5659" s="8"/>
      <c r="AB5659" s="8"/>
      <c r="AC5659" s="8"/>
      <c r="AD5659" s="7"/>
      <c r="AE5659" s="7"/>
      <c r="AF5659" s="7"/>
      <c r="AG5659" s="10"/>
    </row>
    <row r="5660" spans="1:33">
      <c r="A5660" s="8"/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8"/>
      <c r="M5660" s="8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  <c r="AA5660" s="8"/>
      <c r="AB5660" s="8"/>
      <c r="AC5660" s="8"/>
      <c r="AD5660" s="7"/>
      <c r="AE5660" s="7"/>
      <c r="AF5660" s="7"/>
      <c r="AG5660" s="10"/>
    </row>
    <row r="5661" spans="1:33">
      <c r="A5661" s="8"/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8"/>
      <c r="M5661" s="8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  <c r="AA5661" s="8"/>
      <c r="AB5661" s="8"/>
      <c r="AC5661" s="8"/>
      <c r="AD5661" s="7"/>
      <c r="AE5661" s="7"/>
      <c r="AF5661" s="7"/>
      <c r="AG5661" s="10"/>
    </row>
    <row r="5662" spans="1:33">
      <c r="A5662" s="8"/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8"/>
      <c r="M5662" s="8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  <c r="AA5662" s="8"/>
      <c r="AB5662" s="8"/>
      <c r="AC5662" s="8"/>
      <c r="AD5662" s="7"/>
      <c r="AE5662" s="7"/>
      <c r="AF5662" s="7"/>
      <c r="AG5662" s="10"/>
    </row>
    <row r="5663" spans="1:33">
      <c r="A5663" s="8"/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8"/>
      <c r="M5663" s="8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  <c r="AA5663" s="8"/>
      <c r="AB5663" s="8"/>
      <c r="AC5663" s="8"/>
      <c r="AD5663" s="7"/>
      <c r="AE5663" s="7"/>
      <c r="AF5663" s="7"/>
      <c r="AG5663" s="10"/>
    </row>
    <row r="5664" spans="1:33">
      <c r="A5664" s="8"/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8"/>
      <c r="M5664" s="8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  <c r="AA5664" s="8"/>
      <c r="AB5664" s="8"/>
      <c r="AC5664" s="8"/>
      <c r="AD5664" s="7"/>
      <c r="AE5664" s="7"/>
      <c r="AF5664" s="7"/>
      <c r="AG5664" s="10"/>
    </row>
    <row r="5665" spans="1:33">
      <c r="A5665" s="8"/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8"/>
      <c r="M5665" s="8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  <c r="AA5665" s="8"/>
      <c r="AB5665" s="8"/>
      <c r="AC5665" s="8"/>
      <c r="AD5665" s="7"/>
      <c r="AE5665" s="7"/>
      <c r="AF5665" s="7"/>
      <c r="AG5665" s="10"/>
    </row>
    <row r="5666" spans="1:33">
      <c r="A5666" s="8"/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8"/>
      <c r="M5666" s="8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  <c r="AA5666" s="8"/>
      <c r="AB5666" s="8"/>
      <c r="AC5666" s="8"/>
      <c r="AD5666" s="7"/>
      <c r="AE5666" s="7"/>
      <c r="AF5666" s="7"/>
      <c r="AG5666" s="10"/>
    </row>
    <row r="5667" spans="1:33">
      <c r="A5667" s="8"/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8"/>
      <c r="M5667" s="8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  <c r="AA5667" s="8"/>
      <c r="AB5667" s="8"/>
      <c r="AC5667" s="8"/>
      <c r="AD5667" s="7"/>
      <c r="AE5667" s="7"/>
      <c r="AF5667" s="7"/>
      <c r="AG5667" s="10"/>
    </row>
    <row r="5668" spans="1:33">
      <c r="A5668" s="8"/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8"/>
      <c r="M5668" s="8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  <c r="AA5668" s="8"/>
      <c r="AB5668" s="8"/>
      <c r="AC5668" s="8"/>
      <c r="AD5668" s="7"/>
      <c r="AE5668" s="7"/>
      <c r="AF5668" s="7"/>
      <c r="AG5668" s="10"/>
    </row>
    <row r="5669" spans="1:33">
      <c r="A5669" s="8"/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8"/>
      <c r="M5669" s="8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  <c r="AA5669" s="8"/>
      <c r="AB5669" s="8"/>
      <c r="AC5669" s="8"/>
      <c r="AD5669" s="7"/>
      <c r="AE5669" s="7"/>
      <c r="AF5669" s="7"/>
      <c r="AG5669" s="10"/>
    </row>
    <row r="5670" spans="1:33">
      <c r="A5670" s="8"/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8"/>
      <c r="M5670" s="8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  <c r="AA5670" s="8"/>
      <c r="AB5670" s="8"/>
      <c r="AC5670" s="8"/>
      <c r="AD5670" s="7"/>
      <c r="AE5670" s="7"/>
      <c r="AF5670" s="7"/>
      <c r="AG5670" s="10"/>
    </row>
    <row r="5671" spans="1:33">
      <c r="A5671" s="8"/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8"/>
      <c r="M5671" s="8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  <c r="AA5671" s="8"/>
      <c r="AB5671" s="8"/>
      <c r="AC5671" s="8"/>
      <c r="AD5671" s="7"/>
      <c r="AE5671" s="7"/>
      <c r="AF5671" s="7"/>
      <c r="AG5671" s="10"/>
    </row>
    <row r="5672" spans="1:33">
      <c r="A5672" s="8"/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8"/>
      <c r="M5672" s="8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  <c r="AA5672" s="8"/>
      <c r="AB5672" s="8"/>
      <c r="AC5672" s="8"/>
      <c r="AD5672" s="7"/>
      <c r="AE5672" s="7"/>
      <c r="AF5672" s="7"/>
      <c r="AG5672" s="10"/>
    </row>
    <row r="5673" spans="1:33">
      <c r="A5673" s="8"/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8"/>
      <c r="M5673" s="8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  <c r="AA5673" s="8"/>
      <c r="AB5673" s="8"/>
      <c r="AC5673" s="8"/>
      <c r="AD5673" s="7"/>
      <c r="AE5673" s="7"/>
      <c r="AF5673" s="7"/>
      <c r="AG5673" s="10"/>
    </row>
    <row r="5674" spans="1:33">
      <c r="A5674" s="8"/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8"/>
      <c r="M5674" s="8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  <c r="AA5674" s="8"/>
      <c r="AB5674" s="8"/>
      <c r="AC5674" s="8"/>
      <c r="AD5674" s="7"/>
      <c r="AE5674" s="7"/>
      <c r="AF5674" s="7"/>
      <c r="AG5674" s="10"/>
    </row>
    <row r="5675" spans="1:33">
      <c r="A5675" s="8"/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8"/>
      <c r="M5675" s="8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  <c r="AA5675" s="8"/>
      <c r="AB5675" s="8"/>
      <c r="AC5675" s="8"/>
      <c r="AD5675" s="7"/>
      <c r="AE5675" s="7"/>
      <c r="AF5675" s="7"/>
      <c r="AG5675" s="10"/>
    </row>
    <row r="5676" spans="1:33">
      <c r="A5676" s="8"/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8"/>
      <c r="M5676" s="8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  <c r="AA5676" s="8"/>
      <c r="AB5676" s="8"/>
      <c r="AC5676" s="8"/>
      <c r="AD5676" s="7"/>
      <c r="AE5676" s="7"/>
      <c r="AF5676" s="7"/>
      <c r="AG5676" s="10"/>
    </row>
    <row r="5677" spans="1:33">
      <c r="A5677" s="8"/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8"/>
      <c r="M5677" s="8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  <c r="AA5677" s="8"/>
      <c r="AB5677" s="8"/>
      <c r="AC5677" s="8"/>
      <c r="AD5677" s="7"/>
      <c r="AE5677" s="7"/>
      <c r="AF5677" s="7"/>
      <c r="AG5677" s="10"/>
    </row>
    <row r="5678" spans="1:33">
      <c r="A5678" s="8"/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8"/>
      <c r="M5678" s="8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  <c r="AD5678" s="7"/>
      <c r="AE5678" s="7"/>
      <c r="AF5678" s="7"/>
      <c r="AG5678" s="10"/>
    </row>
    <row r="5679" spans="1:33">
      <c r="A5679" s="8"/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8"/>
      <c r="M5679" s="8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  <c r="AA5679" s="8"/>
      <c r="AB5679" s="8"/>
      <c r="AC5679" s="8"/>
      <c r="AD5679" s="7"/>
      <c r="AE5679" s="7"/>
      <c r="AF5679" s="7"/>
      <c r="AG5679" s="10"/>
    </row>
    <row r="5680" spans="1:33">
      <c r="A5680" s="8"/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8"/>
      <c r="M5680" s="8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  <c r="AA5680" s="8"/>
      <c r="AB5680" s="8"/>
      <c r="AC5680" s="8"/>
      <c r="AD5680" s="7"/>
      <c r="AE5680" s="7"/>
      <c r="AF5680" s="7"/>
      <c r="AG5680" s="10"/>
    </row>
    <row r="5681" spans="1:33">
      <c r="A5681" s="8"/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8"/>
      <c r="M5681" s="8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  <c r="AA5681" s="8"/>
      <c r="AB5681" s="8"/>
      <c r="AC5681" s="8"/>
      <c r="AD5681" s="7"/>
      <c r="AE5681" s="7"/>
      <c r="AF5681" s="7"/>
      <c r="AG5681" s="10"/>
    </row>
    <row r="5682" spans="1:33">
      <c r="A5682" s="8"/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8"/>
      <c r="M5682" s="8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  <c r="AA5682" s="8"/>
      <c r="AB5682" s="8"/>
      <c r="AC5682" s="8"/>
      <c r="AD5682" s="7"/>
      <c r="AE5682" s="7"/>
      <c r="AF5682" s="7"/>
      <c r="AG5682" s="10"/>
    </row>
    <row r="5683" spans="1:33">
      <c r="A5683" s="8"/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8"/>
      <c r="M5683" s="8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  <c r="AA5683" s="8"/>
      <c r="AB5683" s="8"/>
      <c r="AC5683" s="8"/>
      <c r="AD5683" s="7"/>
      <c r="AE5683" s="7"/>
      <c r="AF5683" s="7"/>
      <c r="AG5683" s="10"/>
    </row>
    <row r="5684" spans="1:33">
      <c r="A5684" s="8"/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8"/>
      <c r="M5684" s="8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  <c r="AA5684" s="8"/>
      <c r="AB5684" s="8"/>
      <c r="AC5684" s="8"/>
      <c r="AD5684" s="7"/>
      <c r="AE5684" s="7"/>
      <c r="AF5684" s="7"/>
      <c r="AG5684" s="10"/>
    </row>
    <row r="5685" spans="1:33">
      <c r="A5685" s="8"/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8"/>
      <c r="M5685" s="8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  <c r="AA5685" s="8"/>
      <c r="AB5685" s="8"/>
      <c r="AC5685" s="8"/>
      <c r="AD5685" s="7"/>
      <c r="AE5685" s="7"/>
      <c r="AF5685" s="7"/>
      <c r="AG5685" s="10"/>
    </row>
    <row r="5686" spans="1:33">
      <c r="A5686" s="8"/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8"/>
      <c r="M5686" s="8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  <c r="AA5686" s="8"/>
      <c r="AB5686" s="8"/>
      <c r="AC5686" s="8"/>
      <c r="AD5686" s="7"/>
      <c r="AE5686" s="7"/>
      <c r="AF5686" s="7"/>
      <c r="AG5686" s="10"/>
    </row>
    <row r="5687" spans="1:33">
      <c r="A5687" s="8"/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8"/>
      <c r="M5687" s="8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  <c r="AA5687" s="8"/>
      <c r="AB5687" s="8"/>
      <c r="AC5687" s="8"/>
      <c r="AD5687" s="7"/>
      <c r="AE5687" s="7"/>
      <c r="AF5687" s="7"/>
      <c r="AG5687" s="10"/>
    </row>
    <row r="5688" spans="1:33">
      <c r="A5688" s="8"/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8"/>
      <c r="M5688" s="8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  <c r="AA5688" s="8"/>
      <c r="AB5688" s="8"/>
      <c r="AC5688" s="8"/>
      <c r="AD5688" s="7"/>
      <c r="AE5688" s="7"/>
      <c r="AF5688" s="7"/>
      <c r="AG5688" s="10"/>
    </row>
    <row r="5689" spans="1:33">
      <c r="A5689" s="8"/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8"/>
      <c r="M5689" s="8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  <c r="AA5689" s="8"/>
      <c r="AB5689" s="8"/>
      <c r="AC5689" s="8"/>
      <c r="AD5689" s="7"/>
      <c r="AE5689" s="7"/>
      <c r="AF5689" s="7"/>
      <c r="AG5689" s="10"/>
    </row>
    <row r="5690" spans="1:33">
      <c r="A5690" s="8"/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8"/>
      <c r="M5690" s="8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  <c r="AA5690" s="8"/>
      <c r="AB5690" s="8"/>
      <c r="AC5690" s="8"/>
      <c r="AD5690" s="7"/>
      <c r="AE5690" s="7"/>
      <c r="AF5690" s="7"/>
      <c r="AG5690" s="10"/>
    </row>
    <row r="5691" spans="1:33">
      <c r="A5691" s="8"/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8"/>
      <c r="M5691" s="8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  <c r="AA5691" s="8"/>
      <c r="AB5691" s="8"/>
      <c r="AC5691" s="8"/>
      <c r="AD5691" s="7"/>
      <c r="AE5691" s="7"/>
      <c r="AF5691" s="7"/>
      <c r="AG5691" s="10"/>
    </row>
    <row r="5692" spans="1:33">
      <c r="A5692" s="8"/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8"/>
      <c r="M5692" s="8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  <c r="AA5692" s="8"/>
      <c r="AB5692" s="8"/>
      <c r="AC5692" s="8"/>
      <c r="AD5692" s="7"/>
      <c r="AE5692" s="7"/>
      <c r="AF5692" s="7"/>
      <c r="AG5692" s="10"/>
    </row>
    <row r="5693" spans="1:33">
      <c r="A5693" s="8"/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8"/>
      <c r="M5693" s="8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  <c r="AA5693" s="8"/>
      <c r="AB5693" s="8"/>
      <c r="AC5693" s="8"/>
      <c r="AD5693" s="7"/>
      <c r="AE5693" s="7"/>
      <c r="AF5693" s="7"/>
      <c r="AG5693" s="10"/>
    </row>
    <row r="5694" spans="1:33">
      <c r="A5694" s="8"/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8"/>
      <c r="M5694" s="8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  <c r="AA5694" s="8"/>
      <c r="AB5694" s="8"/>
      <c r="AC5694" s="8"/>
      <c r="AD5694" s="7"/>
      <c r="AE5694" s="7"/>
      <c r="AF5694" s="7"/>
      <c r="AG5694" s="10"/>
    </row>
    <row r="5695" spans="1:33">
      <c r="A5695" s="8"/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8"/>
      <c r="M5695" s="8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  <c r="AA5695" s="8"/>
      <c r="AB5695" s="8"/>
      <c r="AC5695" s="8"/>
      <c r="AD5695" s="7"/>
      <c r="AE5695" s="7"/>
      <c r="AF5695" s="7"/>
      <c r="AG5695" s="10"/>
    </row>
    <row r="5696" spans="1:33">
      <c r="A5696" s="8"/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8"/>
      <c r="M5696" s="8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  <c r="AA5696" s="8"/>
      <c r="AB5696" s="8"/>
      <c r="AC5696" s="8"/>
      <c r="AD5696" s="7"/>
      <c r="AE5696" s="7"/>
      <c r="AF5696" s="7"/>
      <c r="AG5696" s="10"/>
    </row>
    <row r="5697" spans="1:33">
      <c r="A5697" s="8"/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8"/>
      <c r="M5697" s="8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  <c r="AA5697" s="8"/>
      <c r="AB5697" s="8"/>
      <c r="AC5697" s="8"/>
      <c r="AD5697" s="7"/>
      <c r="AE5697" s="7"/>
      <c r="AF5697" s="7"/>
      <c r="AG5697" s="10"/>
    </row>
    <row r="5698" spans="1:33">
      <c r="A5698" s="8"/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8"/>
      <c r="M5698" s="8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  <c r="AA5698" s="8"/>
      <c r="AB5698" s="8"/>
      <c r="AC5698" s="8"/>
      <c r="AD5698" s="7"/>
      <c r="AE5698" s="7"/>
      <c r="AF5698" s="7"/>
      <c r="AG5698" s="10"/>
    </row>
    <row r="5699" spans="1:33">
      <c r="A5699" s="8"/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8"/>
      <c r="M5699" s="8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  <c r="AA5699" s="8"/>
      <c r="AB5699" s="8"/>
      <c r="AC5699" s="8"/>
      <c r="AD5699" s="7"/>
      <c r="AE5699" s="7"/>
      <c r="AF5699" s="7"/>
      <c r="AG5699" s="10"/>
    </row>
    <row r="5700" spans="1:33">
      <c r="A5700" s="8"/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8"/>
      <c r="M5700" s="8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  <c r="AA5700" s="8"/>
      <c r="AB5700" s="8"/>
      <c r="AC5700" s="8"/>
      <c r="AD5700" s="7"/>
      <c r="AE5700" s="7"/>
      <c r="AF5700" s="7"/>
      <c r="AG5700" s="10"/>
    </row>
    <row r="5701" spans="1:33">
      <c r="A5701" s="8"/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8"/>
      <c r="M5701" s="8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  <c r="AA5701" s="8"/>
      <c r="AB5701" s="8"/>
      <c r="AC5701" s="8"/>
      <c r="AD5701" s="7"/>
      <c r="AE5701" s="7"/>
      <c r="AF5701" s="7"/>
      <c r="AG5701" s="10"/>
    </row>
    <row r="5702" spans="1:33">
      <c r="A5702" s="8"/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8"/>
      <c r="M5702" s="8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  <c r="AA5702" s="8"/>
      <c r="AB5702" s="8"/>
      <c r="AC5702" s="8"/>
      <c r="AD5702" s="7"/>
      <c r="AE5702" s="7"/>
      <c r="AF5702" s="7"/>
      <c r="AG5702" s="10"/>
    </row>
    <row r="5703" spans="1:33">
      <c r="A5703" s="8"/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8"/>
      <c r="M5703" s="8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  <c r="AA5703" s="8"/>
      <c r="AB5703" s="8"/>
      <c r="AC5703" s="8"/>
      <c r="AD5703" s="7"/>
      <c r="AE5703" s="7"/>
      <c r="AF5703" s="7"/>
      <c r="AG5703" s="10"/>
    </row>
    <row r="5704" spans="1:33">
      <c r="A5704" s="8"/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8"/>
      <c r="M5704" s="8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  <c r="AA5704" s="8"/>
      <c r="AB5704" s="8"/>
      <c r="AC5704" s="8"/>
      <c r="AD5704" s="7"/>
      <c r="AE5704" s="7"/>
      <c r="AF5704" s="7"/>
      <c r="AG5704" s="10"/>
    </row>
    <row r="5705" spans="1:33">
      <c r="A5705" s="8"/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8"/>
      <c r="M5705" s="8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  <c r="AA5705" s="8"/>
      <c r="AB5705" s="8"/>
      <c r="AC5705" s="8"/>
      <c r="AD5705" s="7"/>
      <c r="AE5705" s="7"/>
      <c r="AF5705" s="7"/>
      <c r="AG5705" s="10"/>
    </row>
    <row r="5706" spans="1:33">
      <c r="A5706" s="8"/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8"/>
      <c r="M5706" s="8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  <c r="AA5706" s="8"/>
      <c r="AB5706" s="8"/>
      <c r="AC5706" s="8"/>
      <c r="AD5706" s="7"/>
      <c r="AE5706" s="7"/>
      <c r="AF5706" s="7"/>
      <c r="AG5706" s="10"/>
    </row>
    <row r="5707" spans="1:33">
      <c r="A5707" s="8"/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8"/>
      <c r="M5707" s="8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  <c r="AA5707" s="8"/>
      <c r="AB5707" s="8"/>
      <c r="AC5707" s="8"/>
      <c r="AD5707" s="7"/>
      <c r="AE5707" s="7"/>
      <c r="AF5707" s="7"/>
      <c r="AG5707" s="10"/>
    </row>
    <row r="5708" spans="1:33">
      <c r="A5708" s="8"/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8"/>
      <c r="M5708" s="8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  <c r="AA5708" s="8"/>
      <c r="AB5708" s="8"/>
      <c r="AC5708" s="8"/>
      <c r="AD5708" s="7"/>
      <c r="AE5708" s="7"/>
      <c r="AF5708" s="7"/>
      <c r="AG5708" s="10"/>
    </row>
    <row r="5709" spans="1:33">
      <c r="A5709" s="8"/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8"/>
      <c r="M5709" s="8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  <c r="AA5709" s="8"/>
      <c r="AB5709" s="8"/>
      <c r="AC5709" s="8"/>
      <c r="AD5709" s="7"/>
      <c r="AE5709" s="7"/>
      <c r="AF5709" s="7"/>
      <c r="AG5709" s="10"/>
    </row>
    <row r="5710" spans="1:33">
      <c r="A5710" s="8"/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8"/>
      <c r="M5710" s="8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  <c r="AA5710" s="8"/>
      <c r="AB5710" s="8"/>
      <c r="AC5710" s="8"/>
      <c r="AD5710" s="7"/>
      <c r="AE5710" s="7"/>
      <c r="AF5710" s="7"/>
      <c r="AG5710" s="10"/>
    </row>
    <row r="5711" spans="1:33">
      <c r="A5711" s="8"/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8"/>
      <c r="M5711" s="8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  <c r="AA5711" s="8"/>
      <c r="AB5711" s="8"/>
      <c r="AC5711" s="8"/>
      <c r="AD5711" s="7"/>
      <c r="AE5711" s="7"/>
      <c r="AF5711" s="7"/>
      <c r="AG5711" s="10"/>
    </row>
    <row r="5712" spans="1:33">
      <c r="A5712" s="8"/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8"/>
      <c r="M5712" s="8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  <c r="AA5712" s="8"/>
      <c r="AB5712" s="8"/>
      <c r="AC5712" s="8"/>
      <c r="AD5712" s="7"/>
      <c r="AE5712" s="7"/>
      <c r="AF5712" s="7"/>
      <c r="AG5712" s="10"/>
    </row>
    <row r="5713" spans="1:33">
      <c r="A5713" s="8"/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8"/>
      <c r="M5713" s="8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  <c r="AA5713" s="8"/>
      <c r="AB5713" s="8"/>
      <c r="AC5713" s="8"/>
      <c r="AD5713" s="7"/>
      <c r="AE5713" s="7"/>
      <c r="AF5713" s="7"/>
      <c r="AG5713" s="10"/>
    </row>
    <row r="5714" spans="1:33">
      <c r="A5714" s="8"/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8"/>
      <c r="M5714" s="8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  <c r="AA5714" s="8"/>
      <c r="AB5714" s="8"/>
      <c r="AC5714" s="8"/>
      <c r="AD5714" s="7"/>
      <c r="AE5714" s="7"/>
      <c r="AF5714" s="7"/>
      <c r="AG5714" s="10"/>
    </row>
    <row r="5715" spans="1:33">
      <c r="A5715" s="8"/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8"/>
      <c r="M5715" s="8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  <c r="AA5715" s="8"/>
      <c r="AB5715" s="8"/>
      <c r="AC5715" s="8"/>
      <c r="AD5715" s="7"/>
      <c r="AE5715" s="7"/>
      <c r="AF5715" s="7"/>
      <c r="AG5715" s="10"/>
    </row>
    <row r="5716" spans="1:33">
      <c r="A5716" s="8"/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8"/>
      <c r="M5716" s="8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  <c r="AA5716" s="8"/>
      <c r="AB5716" s="8"/>
      <c r="AC5716" s="8"/>
      <c r="AD5716" s="7"/>
      <c r="AE5716" s="7"/>
      <c r="AF5716" s="7"/>
      <c r="AG5716" s="10"/>
    </row>
    <row r="5717" spans="1:33">
      <c r="A5717" s="8"/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8"/>
      <c r="M5717" s="8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  <c r="AA5717" s="8"/>
      <c r="AB5717" s="8"/>
      <c r="AC5717" s="8"/>
      <c r="AD5717" s="7"/>
      <c r="AE5717" s="7"/>
      <c r="AF5717" s="7"/>
      <c r="AG5717" s="10"/>
    </row>
    <row r="5718" spans="1:33">
      <c r="A5718" s="8"/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8"/>
      <c r="M5718" s="8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  <c r="AA5718" s="8"/>
      <c r="AB5718" s="8"/>
      <c r="AC5718" s="8"/>
      <c r="AD5718" s="7"/>
      <c r="AE5718" s="7"/>
      <c r="AF5718" s="7"/>
      <c r="AG5718" s="10"/>
    </row>
    <row r="5719" spans="1:33">
      <c r="A5719" s="8"/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8"/>
      <c r="M5719" s="8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  <c r="AA5719" s="8"/>
      <c r="AB5719" s="8"/>
      <c r="AC5719" s="8"/>
      <c r="AD5719" s="7"/>
      <c r="AE5719" s="7"/>
      <c r="AF5719" s="7"/>
      <c r="AG5719" s="10"/>
    </row>
    <row r="5720" spans="1:33">
      <c r="A5720" s="8"/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8"/>
      <c r="M5720" s="8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  <c r="AA5720" s="8"/>
      <c r="AB5720" s="8"/>
      <c r="AC5720" s="8"/>
      <c r="AD5720" s="7"/>
      <c r="AE5720" s="7"/>
      <c r="AF5720" s="7"/>
      <c r="AG5720" s="10"/>
    </row>
    <row r="5721" spans="1:33">
      <c r="A5721" s="8"/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8"/>
      <c r="M5721" s="8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  <c r="AA5721" s="8"/>
      <c r="AB5721" s="8"/>
      <c r="AC5721" s="8"/>
      <c r="AD5721" s="7"/>
      <c r="AE5721" s="7"/>
      <c r="AF5721" s="7"/>
      <c r="AG5721" s="10"/>
    </row>
    <row r="5722" spans="1:33">
      <c r="A5722" s="8"/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8"/>
      <c r="M5722" s="8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  <c r="AA5722" s="8"/>
      <c r="AB5722" s="8"/>
      <c r="AC5722" s="8"/>
      <c r="AD5722" s="7"/>
      <c r="AE5722" s="7"/>
      <c r="AF5722" s="7"/>
      <c r="AG5722" s="10"/>
    </row>
    <row r="5723" spans="1:33">
      <c r="A5723" s="8"/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8"/>
      <c r="M5723" s="8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  <c r="AA5723" s="8"/>
      <c r="AB5723" s="8"/>
      <c r="AC5723" s="8"/>
      <c r="AD5723" s="7"/>
      <c r="AE5723" s="7"/>
      <c r="AF5723" s="7"/>
      <c r="AG5723" s="10"/>
    </row>
    <row r="5724" spans="1:33">
      <c r="A5724" s="8"/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8"/>
      <c r="M5724" s="8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  <c r="AA5724" s="8"/>
      <c r="AB5724" s="8"/>
      <c r="AC5724" s="8"/>
      <c r="AD5724" s="7"/>
      <c r="AE5724" s="7"/>
      <c r="AF5724" s="7"/>
      <c r="AG5724" s="10"/>
    </row>
    <row r="5725" spans="1:33">
      <c r="A5725" s="8"/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8"/>
      <c r="M5725" s="8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  <c r="AA5725" s="8"/>
      <c r="AB5725" s="8"/>
      <c r="AC5725" s="8"/>
      <c r="AD5725" s="7"/>
      <c r="AE5725" s="7"/>
      <c r="AF5725" s="7"/>
      <c r="AG5725" s="10"/>
    </row>
    <row r="5726" spans="1:33">
      <c r="A5726" s="8"/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8"/>
      <c r="M5726" s="8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  <c r="AA5726" s="8"/>
      <c r="AB5726" s="8"/>
      <c r="AC5726" s="8"/>
      <c r="AD5726" s="7"/>
      <c r="AE5726" s="7"/>
      <c r="AF5726" s="7"/>
      <c r="AG5726" s="10"/>
    </row>
    <row r="5727" spans="1:33">
      <c r="A5727" s="8"/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8"/>
      <c r="M5727" s="8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  <c r="AA5727" s="8"/>
      <c r="AB5727" s="8"/>
      <c r="AC5727" s="8"/>
      <c r="AD5727" s="7"/>
      <c r="AE5727" s="7"/>
      <c r="AF5727" s="7"/>
      <c r="AG5727" s="10"/>
    </row>
    <row r="5728" spans="1:33">
      <c r="A5728" s="8"/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8"/>
      <c r="M5728" s="8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  <c r="AD5728" s="7"/>
      <c r="AE5728" s="7"/>
      <c r="AF5728" s="7"/>
      <c r="AG5728" s="10"/>
    </row>
    <row r="5729" spans="1:33">
      <c r="A5729" s="8"/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8"/>
      <c r="M5729" s="8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  <c r="AA5729" s="8"/>
      <c r="AB5729" s="8"/>
      <c r="AC5729" s="8"/>
      <c r="AD5729" s="7"/>
      <c r="AE5729" s="7"/>
      <c r="AF5729" s="7"/>
      <c r="AG5729" s="10"/>
    </row>
    <row r="5730" spans="1:33">
      <c r="A5730" s="8"/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8"/>
      <c r="M5730" s="8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  <c r="AA5730" s="8"/>
      <c r="AB5730" s="8"/>
      <c r="AC5730" s="8"/>
      <c r="AD5730" s="7"/>
      <c r="AE5730" s="7"/>
      <c r="AF5730" s="7"/>
      <c r="AG5730" s="10"/>
    </row>
    <row r="5731" spans="1:33">
      <c r="A5731" s="8"/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8"/>
      <c r="M5731" s="8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  <c r="AA5731" s="8"/>
      <c r="AB5731" s="8"/>
      <c r="AC5731" s="8"/>
      <c r="AD5731" s="7"/>
      <c r="AE5731" s="7"/>
      <c r="AF5731" s="7"/>
      <c r="AG5731" s="10"/>
    </row>
    <row r="5732" spans="1:33">
      <c r="A5732" s="8"/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8"/>
      <c r="M5732" s="8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  <c r="AA5732" s="8"/>
      <c r="AB5732" s="8"/>
      <c r="AC5732" s="8"/>
      <c r="AD5732" s="7"/>
      <c r="AE5732" s="7"/>
      <c r="AF5732" s="7"/>
      <c r="AG5732" s="10"/>
    </row>
    <row r="5733" spans="1:33">
      <c r="A5733" s="8"/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8"/>
      <c r="M5733" s="8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  <c r="AA5733" s="8"/>
      <c r="AB5733" s="8"/>
      <c r="AC5733" s="8"/>
      <c r="AD5733" s="7"/>
      <c r="AE5733" s="7"/>
      <c r="AF5733" s="7"/>
      <c r="AG5733" s="10"/>
    </row>
    <row r="5734" spans="1:33">
      <c r="A5734" s="8"/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8"/>
      <c r="M5734" s="8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  <c r="AA5734" s="8"/>
      <c r="AB5734" s="8"/>
      <c r="AC5734" s="8"/>
      <c r="AD5734" s="7"/>
      <c r="AE5734" s="7"/>
      <c r="AF5734" s="7"/>
      <c r="AG5734" s="10"/>
    </row>
    <row r="5735" spans="1:33">
      <c r="A5735" s="8"/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8"/>
      <c r="M5735" s="8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  <c r="AA5735" s="8"/>
      <c r="AB5735" s="8"/>
      <c r="AC5735" s="8"/>
      <c r="AD5735" s="7"/>
      <c r="AE5735" s="7"/>
      <c r="AF5735" s="7"/>
      <c r="AG5735" s="10"/>
    </row>
    <row r="5736" spans="1:33">
      <c r="A5736" s="8"/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8"/>
      <c r="M5736" s="8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  <c r="AA5736" s="8"/>
      <c r="AB5736" s="8"/>
      <c r="AC5736" s="8"/>
      <c r="AD5736" s="7"/>
      <c r="AE5736" s="7"/>
      <c r="AF5736" s="7"/>
      <c r="AG5736" s="10"/>
    </row>
    <row r="5737" spans="1:33">
      <c r="A5737" s="8"/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8"/>
      <c r="M5737" s="8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  <c r="AA5737" s="8"/>
      <c r="AB5737" s="8"/>
      <c r="AC5737" s="8"/>
      <c r="AD5737" s="7"/>
      <c r="AE5737" s="7"/>
      <c r="AF5737" s="7"/>
      <c r="AG5737" s="10"/>
    </row>
    <row r="5738" spans="1:33">
      <c r="A5738" s="8"/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8"/>
      <c r="M5738" s="8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  <c r="AA5738" s="8"/>
      <c r="AB5738" s="8"/>
      <c r="AC5738" s="8"/>
      <c r="AD5738" s="7"/>
      <c r="AE5738" s="7"/>
      <c r="AF5738" s="7"/>
      <c r="AG5738" s="10"/>
    </row>
    <row r="5739" spans="1:33">
      <c r="A5739" s="8"/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8"/>
      <c r="M5739" s="8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  <c r="AA5739" s="8"/>
      <c r="AB5739" s="8"/>
      <c r="AC5739" s="8"/>
      <c r="AD5739" s="7"/>
      <c r="AE5739" s="7"/>
      <c r="AF5739" s="7"/>
      <c r="AG5739" s="10"/>
    </row>
    <row r="5740" spans="1:33">
      <c r="A5740" s="8"/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8"/>
      <c r="M5740" s="8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  <c r="AA5740" s="8"/>
      <c r="AB5740" s="8"/>
      <c r="AC5740" s="8"/>
      <c r="AD5740" s="7"/>
      <c r="AE5740" s="7"/>
      <c r="AF5740" s="7"/>
      <c r="AG5740" s="10"/>
    </row>
    <row r="5741" spans="1:33">
      <c r="A5741" s="8"/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8"/>
      <c r="M5741" s="8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  <c r="AA5741" s="8"/>
      <c r="AB5741" s="8"/>
      <c r="AC5741" s="8"/>
      <c r="AD5741" s="7"/>
      <c r="AE5741" s="7"/>
      <c r="AF5741" s="7"/>
      <c r="AG5741" s="10"/>
    </row>
    <row r="5742" spans="1:33">
      <c r="A5742" s="8"/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8"/>
      <c r="M5742" s="8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  <c r="AA5742" s="8"/>
      <c r="AB5742" s="8"/>
      <c r="AC5742" s="8"/>
      <c r="AD5742" s="7"/>
      <c r="AE5742" s="7"/>
      <c r="AF5742" s="7"/>
      <c r="AG5742" s="10"/>
    </row>
    <row r="5743" spans="1:33">
      <c r="A5743" s="8"/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8"/>
      <c r="M5743" s="8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  <c r="AA5743" s="8"/>
      <c r="AB5743" s="8"/>
      <c r="AC5743" s="8"/>
      <c r="AD5743" s="7"/>
      <c r="AE5743" s="7"/>
      <c r="AF5743" s="7"/>
      <c r="AG5743" s="10"/>
    </row>
    <row r="5744" spans="1:33">
      <c r="A5744" s="8"/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8"/>
      <c r="M5744" s="8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  <c r="AA5744" s="8"/>
      <c r="AB5744" s="8"/>
      <c r="AC5744" s="8"/>
      <c r="AD5744" s="7"/>
      <c r="AE5744" s="7"/>
      <c r="AF5744" s="7"/>
      <c r="AG5744" s="10"/>
    </row>
    <row r="5745" spans="1:33">
      <c r="A5745" s="8"/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8"/>
      <c r="M5745" s="8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  <c r="AA5745" s="8"/>
      <c r="AB5745" s="8"/>
      <c r="AC5745" s="8"/>
      <c r="AD5745" s="7"/>
      <c r="AE5745" s="7"/>
      <c r="AF5745" s="7"/>
      <c r="AG5745" s="10"/>
    </row>
    <row r="5746" spans="1:33">
      <c r="A5746" s="8"/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8"/>
      <c r="M5746" s="8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  <c r="AA5746" s="8"/>
      <c r="AB5746" s="8"/>
      <c r="AC5746" s="8"/>
      <c r="AD5746" s="7"/>
      <c r="AE5746" s="7"/>
      <c r="AF5746" s="7"/>
      <c r="AG5746" s="10"/>
    </row>
    <row r="5747" spans="1:33">
      <c r="A5747" s="8"/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8"/>
      <c r="M5747" s="8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  <c r="AA5747" s="8"/>
      <c r="AB5747" s="8"/>
      <c r="AC5747" s="8"/>
      <c r="AD5747" s="7"/>
      <c r="AE5747" s="7"/>
      <c r="AF5747" s="7"/>
      <c r="AG5747" s="10"/>
    </row>
    <row r="5748" spans="1:33">
      <c r="A5748" s="8"/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8"/>
      <c r="M5748" s="8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  <c r="AA5748" s="8"/>
      <c r="AB5748" s="8"/>
      <c r="AC5748" s="8"/>
      <c r="AD5748" s="7"/>
      <c r="AE5748" s="7"/>
      <c r="AF5748" s="7"/>
      <c r="AG5748" s="10"/>
    </row>
    <row r="5749" spans="1:33">
      <c r="A5749" s="8"/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8"/>
      <c r="M5749" s="8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  <c r="AA5749" s="8"/>
      <c r="AB5749" s="8"/>
      <c r="AC5749" s="8"/>
      <c r="AD5749" s="7"/>
      <c r="AE5749" s="7"/>
      <c r="AF5749" s="7"/>
      <c r="AG5749" s="10"/>
    </row>
    <row r="5750" spans="1:33">
      <c r="A5750" s="8"/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8"/>
      <c r="M5750" s="8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  <c r="AA5750" s="8"/>
      <c r="AB5750" s="8"/>
      <c r="AC5750" s="8"/>
      <c r="AD5750" s="7"/>
      <c r="AE5750" s="7"/>
      <c r="AF5750" s="7"/>
      <c r="AG5750" s="10"/>
    </row>
    <row r="5751" spans="1:33">
      <c r="A5751" s="8"/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8"/>
      <c r="M5751" s="8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  <c r="AA5751" s="8"/>
      <c r="AB5751" s="8"/>
      <c r="AC5751" s="8"/>
      <c r="AD5751" s="7"/>
      <c r="AE5751" s="7"/>
      <c r="AF5751" s="7"/>
      <c r="AG5751" s="10"/>
    </row>
    <row r="5752" spans="1:33">
      <c r="A5752" s="8"/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8"/>
      <c r="M5752" s="8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  <c r="AA5752" s="8"/>
      <c r="AB5752" s="8"/>
      <c r="AC5752" s="8"/>
      <c r="AD5752" s="7"/>
      <c r="AE5752" s="7"/>
      <c r="AF5752" s="7"/>
      <c r="AG5752" s="10"/>
    </row>
    <row r="5753" spans="1:33">
      <c r="A5753" s="8"/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8"/>
      <c r="M5753" s="8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  <c r="AA5753" s="8"/>
      <c r="AB5753" s="8"/>
      <c r="AC5753" s="8"/>
      <c r="AD5753" s="7"/>
      <c r="AE5753" s="7"/>
      <c r="AF5753" s="7"/>
      <c r="AG5753" s="10"/>
    </row>
    <row r="5754" spans="1:33">
      <c r="A5754" s="8"/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8"/>
      <c r="M5754" s="8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  <c r="AA5754" s="8"/>
      <c r="AB5754" s="8"/>
      <c r="AC5754" s="8"/>
      <c r="AD5754" s="7"/>
      <c r="AE5754" s="7"/>
      <c r="AF5754" s="7"/>
      <c r="AG5754" s="10"/>
    </row>
    <row r="5755" spans="1:33">
      <c r="A5755" s="8"/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8"/>
      <c r="M5755" s="8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  <c r="AA5755" s="8"/>
      <c r="AB5755" s="8"/>
      <c r="AC5755" s="8"/>
      <c r="AD5755" s="7"/>
      <c r="AE5755" s="7"/>
      <c r="AF5755" s="7"/>
      <c r="AG5755" s="10"/>
    </row>
    <row r="5756" spans="1:33">
      <c r="A5756" s="8"/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8"/>
      <c r="M5756" s="8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  <c r="AA5756" s="8"/>
      <c r="AB5756" s="8"/>
      <c r="AC5756" s="8"/>
      <c r="AD5756" s="7"/>
      <c r="AE5756" s="7"/>
      <c r="AF5756" s="7"/>
      <c r="AG5756" s="10"/>
    </row>
    <row r="5757" spans="1:33">
      <c r="A5757" s="8"/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8"/>
      <c r="M5757" s="8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  <c r="AA5757" s="8"/>
      <c r="AB5757" s="8"/>
      <c r="AC5757" s="8"/>
      <c r="AD5757" s="7"/>
      <c r="AE5757" s="7"/>
      <c r="AF5757" s="7"/>
      <c r="AG5757" s="10"/>
    </row>
    <row r="5758" spans="1:33">
      <c r="A5758" s="8"/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8"/>
      <c r="M5758" s="8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  <c r="AA5758" s="8"/>
      <c r="AB5758" s="8"/>
      <c r="AC5758" s="8"/>
      <c r="AD5758" s="7"/>
      <c r="AE5758" s="7"/>
      <c r="AF5758" s="7"/>
      <c r="AG5758" s="10"/>
    </row>
    <row r="5759" spans="1:33">
      <c r="A5759" s="8"/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8"/>
      <c r="M5759" s="8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  <c r="AA5759" s="8"/>
      <c r="AB5759" s="8"/>
      <c r="AC5759" s="8"/>
      <c r="AD5759" s="7"/>
      <c r="AE5759" s="7"/>
      <c r="AF5759" s="7"/>
      <c r="AG5759" s="10"/>
    </row>
    <row r="5760" spans="1:33">
      <c r="A5760" s="8"/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8"/>
      <c r="M5760" s="8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  <c r="AA5760" s="8"/>
      <c r="AB5760" s="8"/>
      <c r="AC5760" s="8"/>
      <c r="AD5760" s="7"/>
      <c r="AE5760" s="7"/>
      <c r="AF5760" s="7"/>
      <c r="AG5760" s="10"/>
    </row>
    <row r="5761" spans="1:33">
      <c r="A5761" s="8"/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8"/>
      <c r="M5761" s="8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  <c r="AA5761" s="8"/>
      <c r="AB5761" s="8"/>
      <c r="AC5761" s="8"/>
      <c r="AD5761" s="7"/>
      <c r="AE5761" s="7"/>
      <c r="AF5761" s="7"/>
      <c r="AG5761" s="10"/>
    </row>
    <row r="5762" spans="1:33">
      <c r="A5762" s="8"/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8"/>
      <c r="M5762" s="8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  <c r="AA5762" s="8"/>
      <c r="AB5762" s="8"/>
      <c r="AC5762" s="8"/>
      <c r="AD5762" s="7"/>
      <c r="AE5762" s="7"/>
      <c r="AF5762" s="7"/>
      <c r="AG5762" s="10"/>
    </row>
    <row r="5763" spans="1:33">
      <c r="A5763" s="8"/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8"/>
      <c r="M5763" s="8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  <c r="AA5763" s="8"/>
      <c r="AB5763" s="8"/>
      <c r="AC5763" s="8"/>
      <c r="AD5763" s="7"/>
      <c r="AE5763" s="7"/>
      <c r="AF5763" s="7"/>
      <c r="AG5763" s="10"/>
    </row>
    <row r="5764" spans="1:33">
      <c r="A5764" s="8"/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8"/>
      <c r="M5764" s="8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  <c r="AA5764" s="8"/>
      <c r="AB5764" s="8"/>
      <c r="AC5764" s="8"/>
      <c r="AD5764" s="7"/>
      <c r="AE5764" s="7"/>
      <c r="AF5764" s="7"/>
      <c r="AG5764" s="10"/>
    </row>
    <row r="5765" spans="1:33">
      <c r="A5765" s="8"/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8"/>
      <c r="M5765" s="8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  <c r="AA5765" s="8"/>
      <c r="AB5765" s="8"/>
      <c r="AC5765" s="8"/>
      <c r="AD5765" s="7"/>
      <c r="AE5765" s="7"/>
      <c r="AF5765" s="7"/>
      <c r="AG5765" s="10"/>
    </row>
    <row r="5766" spans="1:33">
      <c r="A5766" s="8"/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8"/>
      <c r="M5766" s="8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  <c r="AA5766" s="8"/>
      <c r="AB5766" s="8"/>
      <c r="AC5766" s="8"/>
      <c r="AD5766" s="7"/>
      <c r="AE5766" s="7"/>
      <c r="AF5766" s="7"/>
      <c r="AG5766" s="10"/>
    </row>
    <row r="5767" spans="1:33">
      <c r="A5767" s="8"/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8"/>
      <c r="M5767" s="8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  <c r="AA5767" s="8"/>
      <c r="AB5767" s="8"/>
      <c r="AC5767" s="8"/>
      <c r="AD5767" s="7"/>
      <c r="AE5767" s="7"/>
      <c r="AF5767" s="7"/>
      <c r="AG5767" s="10"/>
    </row>
    <row r="5768" spans="1:33">
      <c r="A5768" s="8"/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8"/>
      <c r="M5768" s="8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  <c r="AA5768" s="8"/>
      <c r="AB5768" s="8"/>
      <c r="AC5768" s="8"/>
      <c r="AD5768" s="7"/>
      <c r="AE5768" s="7"/>
      <c r="AF5768" s="7"/>
      <c r="AG5768" s="10"/>
    </row>
    <row r="5769" spans="1:33">
      <c r="A5769" s="8"/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8"/>
      <c r="M5769" s="8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  <c r="AA5769" s="8"/>
      <c r="AB5769" s="8"/>
      <c r="AC5769" s="8"/>
      <c r="AD5769" s="7"/>
      <c r="AE5769" s="7"/>
      <c r="AF5769" s="7"/>
      <c r="AG5769" s="10"/>
    </row>
    <row r="5770" spans="1:33">
      <c r="A5770" s="8"/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8"/>
      <c r="M5770" s="8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  <c r="AA5770" s="8"/>
      <c r="AB5770" s="8"/>
      <c r="AC5770" s="8"/>
      <c r="AD5770" s="7"/>
      <c r="AE5770" s="7"/>
      <c r="AF5770" s="7"/>
      <c r="AG5770" s="10"/>
    </row>
    <row r="5771" spans="1:33">
      <c r="A5771" s="8"/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8"/>
      <c r="M5771" s="8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  <c r="AA5771" s="8"/>
      <c r="AB5771" s="8"/>
      <c r="AC5771" s="8"/>
      <c r="AD5771" s="7"/>
      <c r="AE5771" s="7"/>
      <c r="AF5771" s="7"/>
      <c r="AG5771" s="10"/>
    </row>
    <row r="5772" spans="1:33">
      <c r="A5772" s="8"/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8"/>
      <c r="M5772" s="8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  <c r="AA5772" s="8"/>
      <c r="AB5772" s="8"/>
      <c r="AC5772" s="8"/>
      <c r="AD5772" s="7"/>
      <c r="AE5772" s="7"/>
      <c r="AF5772" s="7"/>
      <c r="AG5772" s="10"/>
    </row>
    <row r="5773" spans="1:33">
      <c r="A5773" s="8"/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8"/>
      <c r="M5773" s="8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  <c r="AA5773" s="8"/>
      <c r="AB5773" s="8"/>
      <c r="AC5773" s="8"/>
      <c r="AD5773" s="7"/>
      <c r="AE5773" s="7"/>
      <c r="AF5773" s="7"/>
      <c r="AG5773" s="10"/>
    </row>
    <row r="5774" spans="1:33">
      <c r="A5774" s="8"/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8"/>
      <c r="M5774" s="8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  <c r="AA5774" s="8"/>
      <c r="AB5774" s="8"/>
      <c r="AC5774" s="8"/>
      <c r="AD5774" s="7"/>
      <c r="AE5774" s="7"/>
      <c r="AF5774" s="7"/>
      <c r="AG5774" s="10"/>
    </row>
    <row r="5775" spans="1:33">
      <c r="A5775" s="8"/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8"/>
      <c r="M5775" s="8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  <c r="AA5775" s="8"/>
      <c r="AB5775" s="8"/>
      <c r="AC5775" s="8"/>
      <c r="AD5775" s="7"/>
      <c r="AE5775" s="7"/>
      <c r="AF5775" s="7"/>
      <c r="AG5775" s="10"/>
    </row>
    <row r="5776" spans="1:33">
      <c r="A5776" s="8"/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8"/>
      <c r="M5776" s="8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  <c r="AA5776" s="8"/>
      <c r="AB5776" s="8"/>
      <c r="AC5776" s="8"/>
      <c r="AD5776" s="7"/>
      <c r="AE5776" s="7"/>
      <c r="AF5776" s="7"/>
      <c r="AG5776" s="10"/>
    </row>
    <row r="5777" spans="1:33">
      <c r="A5777" s="8"/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8"/>
      <c r="M5777" s="8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  <c r="AA5777" s="8"/>
      <c r="AB5777" s="8"/>
      <c r="AC5777" s="8"/>
      <c r="AD5777" s="7"/>
      <c r="AE5777" s="7"/>
      <c r="AF5777" s="7"/>
      <c r="AG5777" s="10"/>
    </row>
    <row r="5778" spans="1:33">
      <c r="A5778" s="8"/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8"/>
      <c r="M5778" s="8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  <c r="AA5778" s="8"/>
      <c r="AB5778" s="8"/>
      <c r="AC5778" s="8"/>
      <c r="AD5778" s="7"/>
      <c r="AE5778" s="7"/>
      <c r="AF5778" s="7"/>
      <c r="AG5778" s="10"/>
    </row>
    <row r="5779" spans="1:33">
      <c r="A5779" s="8"/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8"/>
      <c r="M5779" s="8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  <c r="AA5779" s="8"/>
      <c r="AB5779" s="8"/>
      <c r="AC5779" s="8"/>
      <c r="AD5779" s="7"/>
      <c r="AE5779" s="7"/>
      <c r="AF5779" s="7"/>
      <c r="AG5779" s="10"/>
    </row>
    <row r="5780" spans="1:33">
      <c r="A5780" s="8"/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8"/>
      <c r="M5780" s="8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  <c r="AA5780" s="8"/>
      <c r="AB5780" s="8"/>
      <c r="AC5780" s="8"/>
      <c r="AD5780" s="7"/>
      <c r="AE5780" s="7"/>
      <c r="AF5780" s="7"/>
      <c r="AG5780" s="10"/>
    </row>
    <row r="5781" spans="1:33">
      <c r="A5781" s="8"/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8"/>
      <c r="M5781" s="8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  <c r="AA5781" s="8"/>
      <c r="AB5781" s="8"/>
      <c r="AC5781" s="8"/>
      <c r="AD5781" s="7"/>
      <c r="AE5781" s="7"/>
      <c r="AF5781" s="7"/>
      <c r="AG5781" s="10"/>
    </row>
    <row r="5782" spans="1:33">
      <c r="A5782" s="8"/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8"/>
      <c r="M5782" s="8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  <c r="AA5782" s="8"/>
      <c r="AB5782" s="8"/>
      <c r="AC5782" s="8"/>
      <c r="AD5782" s="7"/>
      <c r="AE5782" s="7"/>
      <c r="AF5782" s="7"/>
      <c r="AG5782" s="10"/>
    </row>
    <row r="5783" spans="1:33">
      <c r="A5783" s="8"/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8"/>
      <c r="M5783" s="8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  <c r="AA5783" s="8"/>
      <c r="AB5783" s="8"/>
      <c r="AC5783" s="8"/>
      <c r="AD5783" s="7"/>
      <c r="AE5783" s="7"/>
      <c r="AF5783" s="7"/>
      <c r="AG5783" s="10"/>
    </row>
    <row r="5784" spans="1:33">
      <c r="A5784" s="8"/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8"/>
      <c r="M5784" s="8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  <c r="AA5784" s="8"/>
      <c r="AB5784" s="8"/>
      <c r="AC5784" s="8"/>
      <c r="AD5784" s="7"/>
      <c r="AE5784" s="7"/>
      <c r="AF5784" s="7"/>
      <c r="AG5784" s="10"/>
    </row>
    <row r="5785" spans="1:33">
      <c r="A5785" s="8"/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8"/>
      <c r="M5785" s="8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  <c r="AA5785" s="8"/>
      <c r="AB5785" s="8"/>
      <c r="AC5785" s="8"/>
      <c r="AD5785" s="7"/>
      <c r="AE5785" s="7"/>
      <c r="AF5785" s="7"/>
      <c r="AG5785" s="10"/>
    </row>
    <row r="5786" spans="1:33">
      <c r="A5786" s="8"/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8"/>
      <c r="M5786" s="8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  <c r="AA5786" s="8"/>
      <c r="AB5786" s="8"/>
      <c r="AC5786" s="8"/>
      <c r="AD5786" s="7"/>
      <c r="AE5786" s="7"/>
      <c r="AF5786" s="7"/>
      <c r="AG5786" s="10"/>
    </row>
    <row r="5787" spans="1:33">
      <c r="A5787" s="8"/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8"/>
      <c r="M5787" s="8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  <c r="AD5787" s="7"/>
      <c r="AE5787" s="7"/>
      <c r="AF5787" s="7"/>
      <c r="AG5787" s="10"/>
    </row>
    <row r="5788" spans="1:33">
      <c r="A5788" s="8"/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8"/>
      <c r="M5788" s="8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  <c r="AA5788" s="8"/>
      <c r="AB5788" s="8"/>
      <c r="AC5788" s="8"/>
      <c r="AD5788" s="7"/>
      <c r="AE5788" s="7"/>
      <c r="AF5788" s="7"/>
      <c r="AG5788" s="10"/>
    </row>
    <row r="5789" spans="1:33">
      <c r="A5789" s="8"/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8"/>
      <c r="M5789" s="8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  <c r="AA5789" s="8"/>
      <c r="AB5789" s="8"/>
      <c r="AC5789" s="8"/>
      <c r="AD5789" s="7"/>
      <c r="AE5789" s="7"/>
      <c r="AF5789" s="7"/>
      <c r="AG5789" s="10"/>
    </row>
    <row r="5790" spans="1:33">
      <c r="A5790" s="8"/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8"/>
      <c r="M5790" s="8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  <c r="AA5790" s="8"/>
      <c r="AB5790" s="8"/>
      <c r="AC5790" s="8"/>
      <c r="AD5790" s="7"/>
      <c r="AE5790" s="7"/>
      <c r="AF5790" s="7"/>
      <c r="AG5790" s="10"/>
    </row>
    <row r="5791" spans="1:33">
      <c r="A5791" s="8"/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8"/>
      <c r="M5791" s="8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  <c r="AA5791" s="8"/>
      <c r="AB5791" s="8"/>
      <c r="AC5791" s="8"/>
      <c r="AD5791" s="7"/>
      <c r="AE5791" s="7"/>
      <c r="AF5791" s="7"/>
      <c r="AG5791" s="10"/>
    </row>
    <row r="5792" spans="1:33">
      <c r="A5792" s="8"/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8"/>
      <c r="M5792" s="8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  <c r="AA5792" s="8"/>
      <c r="AB5792" s="8"/>
      <c r="AC5792" s="8"/>
      <c r="AD5792" s="7"/>
      <c r="AE5792" s="7"/>
      <c r="AF5792" s="7"/>
      <c r="AG5792" s="10"/>
    </row>
    <row r="5793" spans="1:33">
      <c r="A5793" s="8"/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8"/>
      <c r="M5793" s="8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  <c r="AA5793" s="8"/>
      <c r="AB5793" s="8"/>
      <c r="AC5793" s="8"/>
      <c r="AD5793" s="7"/>
      <c r="AE5793" s="7"/>
      <c r="AF5793" s="7"/>
      <c r="AG5793" s="10"/>
    </row>
    <row r="5794" spans="1:33">
      <c r="A5794" s="8"/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8"/>
      <c r="M5794" s="8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  <c r="AA5794" s="8"/>
      <c r="AB5794" s="8"/>
      <c r="AC5794" s="8"/>
      <c r="AD5794" s="7"/>
      <c r="AE5794" s="7"/>
      <c r="AF5794" s="7"/>
      <c r="AG5794" s="10"/>
    </row>
    <row r="5795" spans="1:33">
      <c r="A5795" s="8"/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8"/>
      <c r="M5795" s="8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  <c r="AA5795" s="8"/>
      <c r="AB5795" s="8"/>
      <c r="AC5795" s="8"/>
      <c r="AD5795" s="7"/>
      <c r="AE5795" s="7"/>
      <c r="AF5795" s="7"/>
      <c r="AG5795" s="10"/>
    </row>
    <row r="5796" spans="1:33">
      <c r="A5796" s="8"/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8"/>
      <c r="M5796" s="8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  <c r="AA5796" s="8"/>
      <c r="AB5796" s="8"/>
      <c r="AC5796" s="8"/>
      <c r="AD5796" s="7"/>
      <c r="AE5796" s="7"/>
      <c r="AF5796" s="7"/>
      <c r="AG5796" s="10"/>
    </row>
    <row r="5797" spans="1:33">
      <c r="A5797" s="8"/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8"/>
      <c r="M5797" s="8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  <c r="AA5797" s="8"/>
      <c r="AB5797" s="8"/>
      <c r="AC5797" s="8"/>
      <c r="AD5797" s="7"/>
      <c r="AE5797" s="7"/>
      <c r="AF5797" s="7"/>
      <c r="AG5797" s="10"/>
    </row>
    <row r="5798" spans="1:33">
      <c r="A5798" s="8"/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8"/>
      <c r="M5798" s="8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  <c r="AA5798" s="8"/>
      <c r="AB5798" s="8"/>
      <c r="AC5798" s="8"/>
      <c r="AD5798" s="7"/>
      <c r="AE5798" s="7"/>
      <c r="AF5798" s="7"/>
      <c r="AG5798" s="10"/>
    </row>
    <row r="5799" spans="1:33">
      <c r="A5799" s="8"/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8"/>
      <c r="M5799" s="8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  <c r="AA5799" s="8"/>
      <c r="AB5799" s="8"/>
      <c r="AC5799" s="8"/>
      <c r="AD5799" s="7"/>
      <c r="AE5799" s="7"/>
      <c r="AF5799" s="7"/>
      <c r="AG5799" s="10"/>
    </row>
    <row r="5800" spans="1:33">
      <c r="A5800" s="8"/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8"/>
      <c r="M5800" s="8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  <c r="AA5800" s="8"/>
      <c r="AB5800" s="8"/>
      <c r="AC5800" s="8"/>
      <c r="AD5800" s="7"/>
      <c r="AE5800" s="7"/>
      <c r="AF5800" s="7"/>
      <c r="AG5800" s="10"/>
    </row>
    <row r="5801" spans="1:33">
      <c r="A5801" s="8"/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8"/>
      <c r="M5801" s="8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  <c r="AA5801" s="8"/>
      <c r="AB5801" s="8"/>
      <c r="AC5801" s="8"/>
      <c r="AD5801" s="7"/>
      <c r="AE5801" s="7"/>
      <c r="AF5801" s="7"/>
      <c r="AG5801" s="10"/>
    </row>
    <row r="5802" spans="1:33">
      <c r="A5802" s="8"/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8"/>
      <c r="M5802" s="8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  <c r="AA5802" s="8"/>
      <c r="AB5802" s="8"/>
      <c r="AC5802" s="8"/>
      <c r="AD5802" s="7"/>
      <c r="AE5802" s="7"/>
      <c r="AF5802" s="7"/>
      <c r="AG5802" s="10"/>
    </row>
    <row r="5803" spans="1:33">
      <c r="A5803" s="8"/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8"/>
      <c r="M5803" s="8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  <c r="AA5803" s="8"/>
      <c r="AB5803" s="8"/>
      <c r="AC5803" s="8"/>
      <c r="AD5803" s="7"/>
      <c r="AE5803" s="7"/>
      <c r="AF5803" s="7"/>
      <c r="AG5803" s="10"/>
    </row>
    <row r="5804" spans="1:33">
      <c r="A5804" s="8"/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8"/>
      <c r="M5804" s="8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  <c r="AA5804" s="8"/>
      <c r="AB5804" s="8"/>
      <c r="AC5804" s="8"/>
      <c r="AD5804" s="7"/>
      <c r="AE5804" s="7"/>
      <c r="AF5804" s="7"/>
      <c r="AG5804" s="10"/>
    </row>
    <row r="5805" spans="1:33">
      <c r="A5805" s="8"/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8"/>
      <c r="M5805" s="8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  <c r="AA5805" s="8"/>
      <c r="AB5805" s="8"/>
      <c r="AC5805" s="8"/>
      <c r="AD5805" s="7"/>
      <c r="AE5805" s="7"/>
      <c r="AF5805" s="7"/>
      <c r="AG5805" s="10"/>
    </row>
    <row r="5806" spans="1:33">
      <c r="A5806" s="8"/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8"/>
      <c r="M5806" s="8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  <c r="AA5806" s="8"/>
      <c r="AB5806" s="8"/>
      <c r="AC5806" s="8"/>
      <c r="AD5806" s="7"/>
      <c r="AE5806" s="7"/>
      <c r="AF5806" s="7"/>
      <c r="AG5806" s="10"/>
    </row>
    <row r="5807" spans="1:33">
      <c r="A5807" s="8"/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8"/>
      <c r="M5807" s="8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  <c r="AA5807" s="8"/>
      <c r="AB5807" s="8"/>
      <c r="AC5807" s="8"/>
      <c r="AD5807" s="7"/>
      <c r="AE5807" s="7"/>
      <c r="AF5807" s="7"/>
      <c r="AG5807" s="10"/>
    </row>
    <row r="5808" spans="1:33">
      <c r="A5808" s="8"/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8"/>
      <c r="M5808" s="8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  <c r="AA5808" s="8"/>
      <c r="AB5808" s="8"/>
      <c r="AC5808" s="8"/>
      <c r="AD5808" s="7"/>
      <c r="AE5808" s="7"/>
      <c r="AF5808" s="7"/>
      <c r="AG5808" s="10"/>
    </row>
    <row r="5809" spans="1:33">
      <c r="A5809" s="8"/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8"/>
      <c r="M5809" s="8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  <c r="AA5809" s="8"/>
      <c r="AB5809" s="8"/>
      <c r="AC5809" s="8"/>
      <c r="AD5809" s="7"/>
      <c r="AE5809" s="7"/>
      <c r="AF5809" s="7"/>
      <c r="AG5809" s="10"/>
    </row>
    <row r="5810" spans="1:33">
      <c r="A5810" s="8"/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8"/>
      <c r="M5810" s="8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  <c r="AA5810" s="8"/>
      <c r="AB5810" s="8"/>
      <c r="AC5810" s="8"/>
      <c r="AD5810" s="7"/>
      <c r="AE5810" s="7"/>
      <c r="AF5810" s="7"/>
      <c r="AG5810" s="10"/>
    </row>
    <row r="5811" spans="1:33">
      <c r="A5811" s="8"/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8"/>
      <c r="M5811" s="8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  <c r="AA5811" s="8"/>
      <c r="AB5811" s="8"/>
      <c r="AC5811" s="8"/>
      <c r="AD5811" s="7"/>
      <c r="AE5811" s="7"/>
      <c r="AF5811" s="7"/>
      <c r="AG5811" s="10"/>
    </row>
    <row r="5812" spans="1:33">
      <c r="A5812" s="8"/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8"/>
      <c r="M5812" s="8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  <c r="AA5812" s="8"/>
      <c r="AB5812" s="8"/>
      <c r="AC5812" s="8"/>
      <c r="AD5812" s="7"/>
      <c r="AE5812" s="7"/>
      <c r="AF5812" s="7"/>
      <c r="AG5812" s="10"/>
    </row>
    <row r="5813" spans="1:33">
      <c r="A5813" s="8"/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8"/>
      <c r="M5813" s="8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  <c r="AA5813" s="8"/>
      <c r="AB5813" s="8"/>
      <c r="AC5813" s="8"/>
      <c r="AD5813" s="7"/>
      <c r="AE5813" s="7"/>
      <c r="AF5813" s="7"/>
      <c r="AG5813" s="10"/>
    </row>
    <row r="5814" spans="1:33">
      <c r="A5814" s="8"/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8"/>
      <c r="M5814" s="8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  <c r="AA5814" s="8"/>
      <c r="AB5814" s="8"/>
      <c r="AC5814" s="8"/>
      <c r="AD5814" s="7"/>
      <c r="AE5814" s="7"/>
      <c r="AF5814" s="7"/>
      <c r="AG5814" s="10"/>
    </row>
    <row r="5815" spans="1:33">
      <c r="A5815" s="8"/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8"/>
      <c r="M5815" s="8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  <c r="AA5815" s="8"/>
      <c r="AB5815" s="8"/>
      <c r="AC5815" s="8"/>
      <c r="AD5815" s="7"/>
      <c r="AE5815" s="7"/>
      <c r="AF5815" s="7"/>
      <c r="AG5815" s="10"/>
    </row>
    <row r="5816" spans="1:33">
      <c r="A5816" s="8"/>
      <c r="B5816" s="8"/>
      <c r="C5816" s="8"/>
      <c r="D5816" s="8"/>
      <c r="E5816" s="8"/>
      <c r="F5816" s="8"/>
      <c r="G5816" s="8"/>
      <c r="H5816" s="8"/>
      <c r="I5816" s="8"/>
      <c r="J5816" s="8"/>
      <c r="K5816" s="8"/>
      <c r="L5816" s="8"/>
      <c r="M5816" s="8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  <c r="AA5816" s="8"/>
      <c r="AB5816" s="8"/>
      <c r="AC5816" s="8"/>
      <c r="AD5816" s="7"/>
      <c r="AE5816" s="7"/>
      <c r="AF5816" s="7"/>
      <c r="AG5816" s="10"/>
    </row>
    <row r="5817" spans="1:33">
      <c r="A5817" s="8"/>
      <c r="B5817" s="8"/>
      <c r="C5817" s="8"/>
      <c r="D5817" s="8"/>
      <c r="E5817" s="8"/>
      <c r="F5817" s="8"/>
      <c r="G5817" s="8"/>
      <c r="H5817" s="8"/>
      <c r="I5817" s="8"/>
      <c r="J5817" s="8"/>
      <c r="K5817" s="8"/>
      <c r="L5817" s="8"/>
      <c r="M5817" s="8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  <c r="AA5817" s="8"/>
      <c r="AB5817" s="8"/>
      <c r="AC5817" s="8"/>
      <c r="AD5817" s="7"/>
      <c r="AE5817" s="7"/>
      <c r="AF5817" s="7"/>
      <c r="AG5817" s="10"/>
    </row>
    <row r="5818" spans="1:33">
      <c r="A5818" s="8"/>
      <c r="B5818" s="8"/>
      <c r="C5818" s="8"/>
      <c r="D5818" s="8"/>
      <c r="E5818" s="8"/>
      <c r="F5818" s="8"/>
      <c r="G5818" s="8"/>
      <c r="H5818" s="8"/>
      <c r="I5818" s="8"/>
      <c r="J5818" s="8"/>
      <c r="K5818" s="8"/>
      <c r="L5818" s="8"/>
      <c r="M5818" s="8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  <c r="AA5818" s="8"/>
      <c r="AB5818" s="8"/>
      <c r="AC5818" s="8"/>
      <c r="AD5818" s="7"/>
      <c r="AE5818" s="7"/>
      <c r="AF5818" s="7"/>
      <c r="AG5818" s="10"/>
    </row>
    <row r="5819" spans="1:33">
      <c r="A5819" s="8"/>
      <c r="B5819" s="8"/>
      <c r="C5819" s="8"/>
      <c r="D5819" s="8"/>
      <c r="E5819" s="8"/>
      <c r="F5819" s="8"/>
      <c r="G5819" s="8"/>
      <c r="H5819" s="8"/>
      <c r="I5819" s="8"/>
      <c r="J5819" s="8"/>
      <c r="K5819" s="8"/>
      <c r="L5819" s="8"/>
      <c r="M5819" s="8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  <c r="AA5819" s="8"/>
      <c r="AB5819" s="8"/>
      <c r="AC5819" s="8"/>
      <c r="AD5819" s="7"/>
      <c r="AE5819" s="7"/>
      <c r="AF5819" s="7"/>
      <c r="AG5819" s="10"/>
    </row>
    <row r="5820" spans="1:33">
      <c r="A5820" s="8"/>
      <c r="B5820" s="8"/>
      <c r="C5820" s="8"/>
      <c r="D5820" s="8"/>
      <c r="E5820" s="8"/>
      <c r="F5820" s="8"/>
      <c r="G5820" s="8"/>
      <c r="H5820" s="8"/>
      <c r="I5820" s="8"/>
      <c r="J5820" s="8"/>
      <c r="K5820" s="8"/>
      <c r="L5820" s="8"/>
      <c r="M5820" s="8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  <c r="AA5820" s="8"/>
      <c r="AB5820" s="8"/>
      <c r="AC5820" s="8"/>
      <c r="AD5820" s="7"/>
      <c r="AE5820" s="7"/>
      <c r="AF5820" s="7"/>
      <c r="AG5820" s="10"/>
    </row>
    <row r="5821" spans="1:33">
      <c r="A5821" s="8"/>
      <c r="B5821" s="8"/>
      <c r="C5821" s="8"/>
      <c r="D5821" s="8"/>
      <c r="E5821" s="8"/>
      <c r="F5821" s="8"/>
      <c r="G5821" s="8"/>
      <c r="H5821" s="8"/>
      <c r="I5821" s="8"/>
      <c r="J5821" s="8"/>
      <c r="K5821" s="8"/>
      <c r="L5821" s="8"/>
      <c r="M5821" s="8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  <c r="AD5821" s="7"/>
      <c r="AE5821" s="7"/>
      <c r="AF5821" s="7"/>
      <c r="AG5821" s="10"/>
    </row>
    <row r="5822" spans="1:33">
      <c r="A5822" s="8"/>
      <c r="B5822" s="8"/>
      <c r="C5822" s="8"/>
      <c r="D5822" s="8"/>
      <c r="E5822" s="8"/>
      <c r="F5822" s="8"/>
      <c r="G5822" s="8"/>
      <c r="H5822" s="8"/>
      <c r="I5822" s="8"/>
      <c r="J5822" s="8"/>
      <c r="K5822" s="8"/>
      <c r="L5822" s="8"/>
      <c r="M5822" s="8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  <c r="AA5822" s="8"/>
      <c r="AB5822" s="8"/>
      <c r="AC5822" s="8"/>
      <c r="AD5822" s="7"/>
      <c r="AE5822" s="7"/>
      <c r="AF5822" s="7"/>
      <c r="AG5822" s="10"/>
    </row>
    <row r="5823" spans="1:33">
      <c r="A5823" s="8"/>
      <c r="B5823" s="8"/>
      <c r="C5823" s="8"/>
      <c r="D5823" s="8"/>
      <c r="E5823" s="8"/>
      <c r="F5823" s="8"/>
      <c r="G5823" s="8"/>
      <c r="H5823" s="8"/>
      <c r="I5823" s="8"/>
      <c r="J5823" s="8"/>
      <c r="K5823" s="8"/>
      <c r="L5823" s="8"/>
      <c r="M5823" s="8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  <c r="AA5823" s="8"/>
      <c r="AB5823" s="8"/>
      <c r="AC5823" s="8"/>
      <c r="AD5823" s="7"/>
      <c r="AE5823" s="7"/>
      <c r="AF5823" s="7"/>
      <c r="AG5823" s="10"/>
    </row>
    <row r="5824" spans="1:33">
      <c r="A5824" s="8"/>
      <c r="B5824" s="8"/>
      <c r="C5824" s="8"/>
      <c r="D5824" s="8"/>
      <c r="E5824" s="8"/>
      <c r="F5824" s="8"/>
      <c r="G5824" s="8"/>
      <c r="H5824" s="8"/>
      <c r="I5824" s="8"/>
      <c r="J5824" s="8"/>
      <c r="K5824" s="8"/>
      <c r="L5824" s="8"/>
      <c r="M5824" s="8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  <c r="AA5824" s="8"/>
      <c r="AB5824" s="8"/>
      <c r="AC5824" s="8"/>
      <c r="AD5824" s="7"/>
      <c r="AE5824" s="7"/>
      <c r="AF5824" s="7"/>
      <c r="AG5824" s="10"/>
    </row>
    <row r="5825" spans="1:33">
      <c r="A5825" s="8"/>
      <c r="B5825" s="8"/>
      <c r="C5825" s="8"/>
      <c r="D5825" s="8"/>
      <c r="E5825" s="8"/>
      <c r="F5825" s="8"/>
      <c r="G5825" s="8"/>
      <c r="H5825" s="8"/>
      <c r="I5825" s="8"/>
      <c r="J5825" s="8"/>
      <c r="K5825" s="8"/>
      <c r="L5825" s="8"/>
      <c r="M5825" s="8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  <c r="AA5825" s="8"/>
      <c r="AB5825" s="8"/>
      <c r="AC5825" s="8"/>
      <c r="AD5825" s="7"/>
      <c r="AE5825" s="7"/>
      <c r="AF5825" s="7"/>
      <c r="AG5825" s="10"/>
    </row>
    <row r="5826" spans="1:33">
      <c r="A5826" s="8"/>
      <c r="B5826" s="8"/>
      <c r="C5826" s="8"/>
      <c r="D5826" s="8"/>
      <c r="E5826" s="8"/>
      <c r="F5826" s="8"/>
      <c r="G5826" s="8"/>
      <c r="H5826" s="8"/>
      <c r="I5826" s="8"/>
      <c r="J5826" s="8"/>
      <c r="K5826" s="8"/>
      <c r="L5826" s="8"/>
      <c r="M5826" s="8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  <c r="AA5826" s="8"/>
      <c r="AB5826" s="8"/>
      <c r="AC5826" s="8"/>
      <c r="AD5826" s="7"/>
      <c r="AE5826" s="7"/>
      <c r="AF5826" s="7"/>
      <c r="AG5826" s="10"/>
    </row>
    <row r="5827" spans="1:33">
      <c r="A5827" s="8"/>
      <c r="B5827" s="8"/>
      <c r="C5827" s="8"/>
      <c r="D5827" s="8"/>
      <c r="E5827" s="8"/>
      <c r="F5827" s="8"/>
      <c r="G5827" s="8"/>
      <c r="H5827" s="8"/>
      <c r="I5827" s="8"/>
      <c r="J5827" s="8"/>
      <c r="K5827" s="8"/>
      <c r="L5827" s="8"/>
      <c r="M5827" s="8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  <c r="AA5827" s="8"/>
      <c r="AB5827" s="8"/>
      <c r="AC5827" s="8"/>
      <c r="AD5827" s="7"/>
      <c r="AE5827" s="7"/>
      <c r="AF5827" s="7"/>
      <c r="AG5827" s="10"/>
    </row>
    <row r="5828" spans="1:33">
      <c r="A5828" s="8"/>
      <c r="B5828" s="8"/>
      <c r="C5828" s="8"/>
      <c r="D5828" s="8"/>
      <c r="E5828" s="8"/>
      <c r="F5828" s="8"/>
      <c r="G5828" s="8"/>
      <c r="H5828" s="8"/>
      <c r="I5828" s="8"/>
      <c r="J5828" s="8"/>
      <c r="K5828" s="8"/>
      <c r="L5828" s="8"/>
      <c r="M5828" s="8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  <c r="AA5828" s="8"/>
      <c r="AB5828" s="8"/>
      <c r="AC5828" s="8"/>
      <c r="AD5828" s="7"/>
      <c r="AE5828" s="7"/>
      <c r="AF5828" s="7"/>
      <c r="AG5828" s="10"/>
    </row>
    <row r="5829" spans="1:33">
      <c r="A5829" s="8"/>
      <c r="B5829" s="8"/>
      <c r="C5829" s="8"/>
      <c r="D5829" s="8"/>
      <c r="E5829" s="8"/>
      <c r="F5829" s="8"/>
      <c r="G5829" s="8"/>
      <c r="H5829" s="8"/>
      <c r="I5829" s="8"/>
      <c r="J5829" s="8"/>
      <c r="K5829" s="8"/>
      <c r="L5829" s="8"/>
      <c r="M5829" s="8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  <c r="AA5829" s="8"/>
      <c r="AB5829" s="8"/>
      <c r="AC5829" s="8"/>
      <c r="AD5829" s="7"/>
      <c r="AE5829" s="7"/>
      <c r="AF5829" s="7"/>
      <c r="AG5829" s="10"/>
    </row>
    <row r="5830" spans="1:33">
      <c r="A5830" s="8"/>
      <c r="B5830" s="8"/>
      <c r="C5830" s="8"/>
      <c r="D5830" s="8"/>
      <c r="E5830" s="8"/>
      <c r="F5830" s="8"/>
      <c r="G5830" s="8"/>
      <c r="H5830" s="8"/>
      <c r="I5830" s="8"/>
      <c r="J5830" s="8"/>
      <c r="K5830" s="8"/>
      <c r="L5830" s="8"/>
      <c r="M5830" s="8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  <c r="AA5830" s="8"/>
      <c r="AB5830" s="8"/>
      <c r="AC5830" s="8"/>
      <c r="AD5830" s="7"/>
      <c r="AE5830" s="7"/>
      <c r="AF5830" s="7"/>
      <c r="AG5830" s="10"/>
    </row>
    <row r="5831" spans="1:33">
      <c r="A5831" s="8"/>
      <c r="B5831" s="8"/>
      <c r="C5831" s="8"/>
      <c r="D5831" s="8"/>
      <c r="E5831" s="8"/>
      <c r="F5831" s="8"/>
      <c r="G5831" s="8"/>
      <c r="H5831" s="8"/>
      <c r="I5831" s="8"/>
      <c r="J5831" s="8"/>
      <c r="K5831" s="8"/>
      <c r="L5831" s="8"/>
      <c r="M5831" s="8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  <c r="AA5831" s="8"/>
      <c r="AB5831" s="8"/>
      <c r="AC5831" s="8"/>
      <c r="AD5831" s="7"/>
      <c r="AE5831" s="7"/>
      <c r="AF5831" s="7"/>
      <c r="AG5831" s="10"/>
    </row>
    <row r="5832" spans="1:33">
      <c r="A5832" s="8"/>
      <c r="B5832" s="8"/>
      <c r="C5832" s="8"/>
      <c r="D5832" s="8"/>
      <c r="E5832" s="8"/>
      <c r="F5832" s="8"/>
      <c r="G5832" s="8"/>
      <c r="H5832" s="8"/>
      <c r="I5832" s="8"/>
      <c r="J5832" s="8"/>
      <c r="K5832" s="8"/>
      <c r="L5832" s="8"/>
      <c r="M5832" s="8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  <c r="AA5832" s="8"/>
      <c r="AB5832" s="8"/>
      <c r="AC5832" s="8"/>
      <c r="AD5832" s="7"/>
      <c r="AE5832" s="7"/>
      <c r="AF5832" s="7"/>
      <c r="AG5832" s="10"/>
    </row>
    <row r="5833" spans="1:33">
      <c r="A5833" s="8"/>
      <c r="B5833" s="8"/>
      <c r="C5833" s="8"/>
      <c r="D5833" s="8"/>
      <c r="E5833" s="8"/>
      <c r="F5833" s="8"/>
      <c r="G5833" s="8"/>
      <c r="H5833" s="8"/>
      <c r="I5833" s="8"/>
      <c r="J5833" s="8"/>
      <c r="K5833" s="8"/>
      <c r="L5833" s="8"/>
      <c r="M5833" s="8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  <c r="AA5833" s="8"/>
      <c r="AB5833" s="8"/>
      <c r="AC5833" s="8"/>
      <c r="AD5833" s="7"/>
      <c r="AE5833" s="7"/>
      <c r="AF5833" s="7"/>
      <c r="AG5833" s="10"/>
    </row>
    <row r="5834" spans="1:33">
      <c r="A5834" s="8"/>
      <c r="B5834" s="8"/>
      <c r="C5834" s="8"/>
      <c r="D5834" s="8"/>
      <c r="E5834" s="8"/>
      <c r="F5834" s="8"/>
      <c r="G5834" s="8"/>
      <c r="H5834" s="8"/>
      <c r="I5834" s="8"/>
      <c r="J5834" s="8"/>
      <c r="K5834" s="8"/>
      <c r="L5834" s="8"/>
      <c r="M5834" s="8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  <c r="AA5834" s="8"/>
      <c r="AB5834" s="8"/>
      <c r="AC5834" s="8"/>
      <c r="AD5834" s="7"/>
      <c r="AE5834" s="7"/>
      <c r="AF5834" s="7"/>
      <c r="AG5834" s="10"/>
    </row>
    <row r="5835" spans="1:33">
      <c r="A5835" s="8"/>
      <c r="B5835" s="8"/>
      <c r="C5835" s="8"/>
      <c r="D5835" s="8"/>
      <c r="E5835" s="8"/>
      <c r="F5835" s="8"/>
      <c r="G5835" s="8"/>
      <c r="H5835" s="8"/>
      <c r="I5835" s="8"/>
      <c r="J5835" s="8"/>
      <c r="K5835" s="8"/>
      <c r="L5835" s="8"/>
      <c r="M5835" s="8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  <c r="AA5835" s="8"/>
      <c r="AB5835" s="8"/>
      <c r="AC5835" s="8"/>
      <c r="AD5835" s="7"/>
      <c r="AE5835" s="7"/>
      <c r="AF5835" s="7"/>
      <c r="AG5835" s="10"/>
    </row>
    <row r="5836" spans="1:33">
      <c r="A5836" s="8"/>
      <c r="B5836" s="8"/>
      <c r="C5836" s="8"/>
      <c r="D5836" s="8"/>
      <c r="E5836" s="8"/>
      <c r="F5836" s="8"/>
      <c r="G5836" s="8"/>
      <c r="H5836" s="8"/>
      <c r="I5836" s="8"/>
      <c r="J5836" s="8"/>
      <c r="K5836" s="8"/>
      <c r="L5836" s="8"/>
      <c r="M5836" s="8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  <c r="AA5836" s="8"/>
      <c r="AB5836" s="8"/>
      <c r="AC5836" s="8"/>
      <c r="AD5836" s="7"/>
      <c r="AE5836" s="7"/>
      <c r="AF5836" s="7"/>
      <c r="AG5836" s="10"/>
    </row>
    <row r="5837" spans="1:33">
      <c r="A5837" s="8"/>
      <c r="B5837" s="8"/>
      <c r="C5837" s="8"/>
      <c r="D5837" s="8"/>
      <c r="E5837" s="8"/>
      <c r="F5837" s="8"/>
      <c r="G5837" s="8"/>
      <c r="H5837" s="8"/>
      <c r="I5837" s="8"/>
      <c r="J5837" s="8"/>
      <c r="K5837" s="8"/>
      <c r="L5837" s="8"/>
      <c r="M5837" s="8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  <c r="AA5837" s="8"/>
      <c r="AB5837" s="8"/>
      <c r="AC5837" s="8"/>
      <c r="AD5837" s="7"/>
      <c r="AE5837" s="7"/>
      <c r="AF5837" s="7"/>
      <c r="AG5837" s="10"/>
    </row>
    <row r="5838" spans="1:33">
      <c r="A5838" s="8"/>
      <c r="B5838" s="8"/>
      <c r="C5838" s="8"/>
      <c r="D5838" s="8"/>
      <c r="E5838" s="8"/>
      <c r="F5838" s="8"/>
      <c r="G5838" s="8"/>
      <c r="H5838" s="8"/>
      <c r="I5838" s="8"/>
      <c r="J5838" s="8"/>
      <c r="K5838" s="8"/>
      <c r="L5838" s="8"/>
      <c r="M5838" s="8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  <c r="AA5838" s="8"/>
      <c r="AB5838" s="8"/>
      <c r="AC5838" s="8"/>
      <c r="AD5838" s="7"/>
      <c r="AE5838" s="7"/>
      <c r="AF5838" s="7"/>
      <c r="AG5838" s="10"/>
    </row>
    <row r="5839" spans="1:33">
      <c r="A5839" s="8"/>
      <c r="B5839" s="8"/>
      <c r="C5839" s="8"/>
      <c r="D5839" s="8"/>
      <c r="E5839" s="8"/>
      <c r="F5839" s="8"/>
      <c r="G5839" s="8"/>
      <c r="H5839" s="8"/>
      <c r="I5839" s="8"/>
      <c r="J5839" s="8"/>
      <c r="K5839" s="8"/>
      <c r="L5839" s="8"/>
      <c r="M5839" s="8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  <c r="AA5839" s="8"/>
      <c r="AB5839" s="8"/>
      <c r="AC5839" s="8"/>
      <c r="AD5839" s="7"/>
      <c r="AE5839" s="7"/>
      <c r="AF5839" s="7"/>
      <c r="AG5839" s="10"/>
    </row>
    <row r="5840" spans="1:33">
      <c r="A5840" s="8"/>
      <c r="B5840" s="8"/>
      <c r="C5840" s="8"/>
      <c r="D5840" s="8"/>
      <c r="E5840" s="8"/>
      <c r="F5840" s="8"/>
      <c r="G5840" s="8"/>
      <c r="H5840" s="8"/>
      <c r="I5840" s="8"/>
      <c r="J5840" s="8"/>
      <c r="K5840" s="8"/>
      <c r="L5840" s="8"/>
      <c r="M5840" s="8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  <c r="AA5840" s="8"/>
      <c r="AB5840" s="8"/>
      <c r="AC5840" s="8"/>
      <c r="AD5840" s="7"/>
      <c r="AE5840" s="7"/>
      <c r="AF5840" s="7"/>
      <c r="AG5840" s="10"/>
    </row>
    <row r="5841" spans="1:33">
      <c r="A5841" s="8"/>
      <c r="B5841" s="8"/>
      <c r="C5841" s="8"/>
      <c r="D5841" s="8"/>
      <c r="E5841" s="8"/>
      <c r="F5841" s="8"/>
      <c r="G5841" s="8"/>
      <c r="H5841" s="8"/>
      <c r="I5841" s="8"/>
      <c r="J5841" s="8"/>
      <c r="K5841" s="8"/>
      <c r="L5841" s="8"/>
      <c r="M5841" s="8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  <c r="AA5841" s="8"/>
      <c r="AB5841" s="8"/>
      <c r="AC5841" s="8"/>
      <c r="AD5841" s="7"/>
      <c r="AE5841" s="7"/>
      <c r="AF5841" s="7"/>
      <c r="AG5841" s="10"/>
    </row>
    <row r="5842" spans="1:33">
      <c r="A5842" s="8"/>
      <c r="B5842" s="8"/>
      <c r="C5842" s="8"/>
      <c r="D5842" s="8"/>
      <c r="E5842" s="8"/>
      <c r="F5842" s="8"/>
      <c r="G5842" s="8"/>
      <c r="H5842" s="8"/>
      <c r="I5842" s="8"/>
      <c r="J5842" s="8"/>
      <c r="K5842" s="8"/>
      <c r="L5842" s="8"/>
      <c r="M5842" s="8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  <c r="AA5842" s="8"/>
      <c r="AB5842" s="8"/>
      <c r="AC5842" s="8"/>
      <c r="AD5842" s="7"/>
      <c r="AE5842" s="7"/>
      <c r="AF5842" s="7"/>
      <c r="AG5842" s="10"/>
    </row>
    <row r="5843" spans="1:33">
      <c r="A5843" s="8"/>
      <c r="B5843" s="8"/>
      <c r="C5843" s="8"/>
      <c r="D5843" s="8"/>
      <c r="E5843" s="8"/>
      <c r="F5843" s="8"/>
      <c r="G5843" s="8"/>
      <c r="H5843" s="8"/>
      <c r="I5843" s="8"/>
      <c r="J5843" s="8"/>
      <c r="K5843" s="8"/>
      <c r="L5843" s="8"/>
      <c r="M5843" s="8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  <c r="AA5843" s="8"/>
      <c r="AB5843" s="8"/>
      <c r="AC5843" s="8"/>
      <c r="AD5843" s="7"/>
      <c r="AE5843" s="7"/>
      <c r="AF5843" s="7"/>
      <c r="AG5843" s="10"/>
    </row>
    <row r="5844" spans="1:33">
      <c r="A5844" s="8"/>
      <c r="B5844" s="8"/>
      <c r="C5844" s="8"/>
      <c r="D5844" s="8"/>
      <c r="E5844" s="8"/>
      <c r="F5844" s="8"/>
      <c r="G5844" s="8"/>
      <c r="H5844" s="8"/>
      <c r="I5844" s="8"/>
      <c r="J5844" s="8"/>
      <c r="K5844" s="8"/>
      <c r="L5844" s="8"/>
      <c r="M5844" s="8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  <c r="AA5844" s="8"/>
      <c r="AB5844" s="8"/>
      <c r="AC5844" s="8"/>
      <c r="AD5844" s="7"/>
      <c r="AE5844" s="7"/>
      <c r="AF5844" s="7"/>
      <c r="AG5844" s="10"/>
    </row>
    <row r="5845" spans="1:33">
      <c r="A5845" s="8"/>
      <c r="B5845" s="8"/>
      <c r="C5845" s="8"/>
      <c r="D5845" s="8"/>
      <c r="E5845" s="8"/>
      <c r="F5845" s="8"/>
      <c r="G5845" s="8"/>
      <c r="H5845" s="8"/>
      <c r="I5845" s="8"/>
      <c r="J5845" s="8"/>
      <c r="K5845" s="8"/>
      <c r="L5845" s="8"/>
      <c r="M5845" s="8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  <c r="AA5845" s="8"/>
      <c r="AB5845" s="8"/>
      <c r="AC5845" s="8"/>
      <c r="AD5845" s="7"/>
      <c r="AE5845" s="7"/>
      <c r="AF5845" s="7"/>
      <c r="AG5845" s="10"/>
    </row>
    <row r="5846" spans="1:33">
      <c r="A5846" s="8"/>
      <c r="B5846" s="8"/>
      <c r="C5846" s="8"/>
      <c r="D5846" s="8"/>
      <c r="E5846" s="8"/>
      <c r="F5846" s="8"/>
      <c r="G5846" s="8"/>
      <c r="H5846" s="8"/>
      <c r="I5846" s="8"/>
      <c r="J5846" s="8"/>
      <c r="K5846" s="8"/>
      <c r="L5846" s="8"/>
      <c r="M5846" s="8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  <c r="AA5846" s="8"/>
      <c r="AB5846" s="8"/>
      <c r="AC5846" s="8"/>
      <c r="AD5846" s="7"/>
      <c r="AE5846" s="7"/>
      <c r="AF5846" s="7"/>
      <c r="AG5846" s="10"/>
    </row>
    <row r="5847" spans="1:33">
      <c r="A5847" s="8"/>
      <c r="B5847" s="8"/>
      <c r="C5847" s="8"/>
      <c r="D5847" s="8"/>
      <c r="E5847" s="8"/>
      <c r="F5847" s="8"/>
      <c r="G5847" s="8"/>
      <c r="H5847" s="8"/>
      <c r="I5847" s="8"/>
      <c r="J5847" s="8"/>
      <c r="K5847" s="8"/>
      <c r="L5847" s="8"/>
      <c r="M5847" s="8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  <c r="AA5847" s="8"/>
      <c r="AB5847" s="8"/>
      <c r="AC5847" s="8"/>
      <c r="AD5847" s="7"/>
      <c r="AE5847" s="7"/>
      <c r="AF5847" s="7"/>
      <c r="AG5847" s="10"/>
    </row>
    <row r="5848" spans="1:33">
      <c r="A5848" s="8"/>
      <c r="B5848" s="8"/>
      <c r="C5848" s="8"/>
      <c r="D5848" s="8"/>
      <c r="E5848" s="8"/>
      <c r="F5848" s="8"/>
      <c r="G5848" s="8"/>
      <c r="H5848" s="8"/>
      <c r="I5848" s="8"/>
      <c r="J5848" s="8"/>
      <c r="K5848" s="8"/>
      <c r="L5848" s="8"/>
      <c r="M5848" s="8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  <c r="AA5848" s="8"/>
      <c r="AB5848" s="8"/>
      <c r="AC5848" s="8"/>
      <c r="AD5848" s="7"/>
      <c r="AE5848" s="7"/>
      <c r="AF5848" s="7"/>
      <c r="AG5848" s="10"/>
    </row>
    <row r="5849" spans="1:33">
      <c r="A5849" s="8"/>
      <c r="B5849" s="8"/>
      <c r="C5849" s="8"/>
      <c r="D5849" s="8"/>
      <c r="E5849" s="8"/>
      <c r="F5849" s="8"/>
      <c r="G5849" s="8"/>
      <c r="H5849" s="8"/>
      <c r="I5849" s="8"/>
      <c r="J5849" s="8"/>
      <c r="K5849" s="8"/>
      <c r="L5849" s="8"/>
      <c r="M5849" s="8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  <c r="AA5849" s="8"/>
      <c r="AB5849" s="8"/>
      <c r="AC5849" s="8"/>
      <c r="AD5849" s="7"/>
      <c r="AE5849" s="7"/>
      <c r="AF5849" s="7"/>
      <c r="AG5849" s="10"/>
    </row>
    <row r="5850" spans="1:33">
      <c r="A5850" s="8"/>
      <c r="B5850" s="8"/>
      <c r="C5850" s="8"/>
      <c r="D5850" s="8"/>
      <c r="E5850" s="8"/>
      <c r="F5850" s="8"/>
      <c r="G5850" s="8"/>
      <c r="H5850" s="8"/>
      <c r="I5850" s="8"/>
      <c r="J5850" s="8"/>
      <c r="K5850" s="8"/>
      <c r="L5850" s="8"/>
      <c r="M5850" s="8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  <c r="AA5850" s="8"/>
      <c r="AB5850" s="8"/>
      <c r="AC5850" s="8"/>
      <c r="AD5850" s="7"/>
      <c r="AE5850" s="7"/>
      <c r="AF5850" s="7"/>
      <c r="AG5850" s="10"/>
    </row>
    <row r="5851" spans="1:33">
      <c r="A5851" s="8"/>
      <c r="B5851" s="8"/>
      <c r="C5851" s="8"/>
      <c r="D5851" s="8"/>
      <c r="E5851" s="8"/>
      <c r="F5851" s="8"/>
      <c r="G5851" s="8"/>
      <c r="H5851" s="8"/>
      <c r="I5851" s="8"/>
      <c r="J5851" s="8"/>
      <c r="K5851" s="8"/>
      <c r="L5851" s="8"/>
      <c r="M5851" s="8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  <c r="AA5851" s="8"/>
      <c r="AB5851" s="8"/>
      <c r="AC5851" s="8"/>
      <c r="AD5851" s="7"/>
      <c r="AE5851" s="7"/>
      <c r="AF5851" s="7"/>
      <c r="AG5851" s="10"/>
    </row>
    <row r="5852" spans="1:33">
      <c r="A5852" s="8"/>
      <c r="B5852" s="8"/>
      <c r="C5852" s="8"/>
      <c r="D5852" s="8"/>
      <c r="E5852" s="8"/>
      <c r="F5852" s="8"/>
      <c r="G5852" s="8"/>
      <c r="H5852" s="8"/>
      <c r="I5852" s="8"/>
      <c r="J5852" s="8"/>
      <c r="K5852" s="8"/>
      <c r="L5852" s="8"/>
      <c r="M5852" s="8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  <c r="AA5852" s="8"/>
      <c r="AB5852" s="8"/>
      <c r="AC5852" s="8"/>
      <c r="AD5852" s="7"/>
      <c r="AE5852" s="7"/>
      <c r="AF5852" s="7"/>
      <c r="AG5852" s="10"/>
    </row>
    <row r="5853" spans="1:33">
      <c r="A5853" s="8"/>
      <c r="B5853" s="8"/>
      <c r="C5853" s="8"/>
      <c r="D5853" s="8"/>
      <c r="E5853" s="8"/>
      <c r="F5853" s="8"/>
      <c r="G5853" s="8"/>
      <c r="H5853" s="8"/>
      <c r="I5853" s="8"/>
      <c r="J5853" s="8"/>
      <c r="K5853" s="8"/>
      <c r="L5853" s="8"/>
      <c r="M5853" s="8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  <c r="AA5853" s="8"/>
      <c r="AB5853" s="8"/>
      <c r="AC5853" s="8"/>
      <c r="AD5853" s="7"/>
      <c r="AE5853" s="7"/>
      <c r="AF5853" s="7"/>
      <c r="AG5853" s="10"/>
    </row>
    <row r="5854" spans="1:33">
      <c r="A5854" s="8"/>
      <c r="B5854" s="8"/>
      <c r="C5854" s="8"/>
      <c r="D5854" s="8"/>
      <c r="E5854" s="8"/>
      <c r="F5854" s="8"/>
      <c r="G5854" s="8"/>
      <c r="H5854" s="8"/>
      <c r="I5854" s="8"/>
      <c r="J5854" s="8"/>
      <c r="K5854" s="8"/>
      <c r="L5854" s="8"/>
      <c r="M5854" s="8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  <c r="AA5854" s="8"/>
      <c r="AB5854" s="8"/>
      <c r="AC5854" s="8"/>
      <c r="AD5854" s="7"/>
      <c r="AE5854" s="7"/>
      <c r="AF5854" s="7"/>
      <c r="AG5854" s="10"/>
    </row>
    <row r="5855" spans="1:33">
      <c r="A5855" s="8"/>
      <c r="B5855" s="8"/>
      <c r="C5855" s="8"/>
      <c r="D5855" s="8"/>
      <c r="E5855" s="8"/>
      <c r="F5855" s="8"/>
      <c r="G5855" s="8"/>
      <c r="H5855" s="8"/>
      <c r="I5855" s="8"/>
      <c r="J5855" s="8"/>
      <c r="K5855" s="8"/>
      <c r="L5855" s="8"/>
      <c r="M5855" s="8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  <c r="AA5855" s="8"/>
      <c r="AB5855" s="8"/>
      <c r="AC5855" s="8"/>
      <c r="AD5855" s="7"/>
      <c r="AE5855" s="7"/>
      <c r="AF5855" s="7"/>
      <c r="AG5855" s="10"/>
    </row>
    <row r="5856" spans="1:33">
      <c r="A5856" s="8"/>
      <c r="B5856" s="8"/>
      <c r="C5856" s="8"/>
      <c r="D5856" s="8"/>
      <c r="E5856" s="8"/>
      <c r="F5856" s="8"/>
      <c r="G5856" s="8"/>
      <c r="H5856" s="8"/>
      <c r="I5856" s="8"/>
      <c r="J5856" s="8"/>
      <c r="K5856" s="8"/>
      <c r="L5856" s="8"/>
      <c r="M5856" s="8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  <c r="AA5856" s="8"/>
      <c r="AB5856" s="8"/>
      <c r="AC5856" s="8"/>
      <c r="AD5856" s="7"/>
      <c r="AE5856" s="7"/>
      <c r="AF5856" s="7"/>
      <c r="AG5856" s="10"/>
    </row>
    <row r="5857" spans="1:33">
      <c r="A5857" s="8"/>
      <c r="B5857" s="8"/>
      <c r="C5857" s="8"/>
      <c r="D5857" s="8"/>
      <c r="E5857" s="8"/>
      <c r="F5857" s="8"/>
      <c r="G5857" s="8"/>
      <c r="H5857" s="8"/>
      <c r="I5857" s="8"/>
      <c r="J5857" s="8"/>
      <c r="K5857" s="8"/>
      <c r="L5857" s="8"/>
      <c r="M5857" s="8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  <c r="AA5857" s="8"/>
      <c r="AB5857" s="8"/>
      <c r="AC5857" s="8"/>
      <c r="AD5857" s="7"/>
      <c r="AE5857" s="7"/>
      <c r="AF5857" s="7"/>
      <c r="AG5857" s="10"/>
    </row>
    <row r="5858" spans="1:33">
      <c r="A5858" s="8"/>
      <c r="B5858" s="8"/>
      <c r="C5858" s="8"/>
      <c r="D5858" s="8"/>
      <c r="E5858" s="8"/>
      <c r="F5858" s="8"/>
      <c r="G5858" s="8"/>
      <c r="H5858" s="8"/>
      <c r="I5858" s="8"/>
      <c r="J5858" s="8"/>
      <c r="K5858" s="8"/>
      <c r="L5858" s="8"/>
      <c r="M5858" s="8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  <c r="AA5858" s="8"/>
      <c r="AB5858" s="8"/>
      <c r="AC5858" s="8"/>
      <c r="AD5858" s="7"/>
      <c r="AE5858" s="7"/>
      <c r="AF5858" s="7"/>
      <c r="AG5858" s="10"/>
    </row>
    <row r="5859" spans="1:33">
      <c r="A5859" s="8"/>
      <c r="B5859" s="8"/>
      <c r="C5859" s="8"/>
      <c r="D5859" s="8"/>
      <c r="E5859" s="8"/>
      <c r="F5859" s="8"/>
      <c r="G5859" s="8"/>
      <c r="H5859" s="8"/>
      <c r="I5859" s="8"/>
      <c r="J5859" s="8"/>
      <c r="K5859" s="8"/>
      <c r="L5859" s="8"/>
      <c r="M5859" s="8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  <c r="AA5859" s="8"/>
      <c r="AB5859" s="8"/>
      <c r="AC5859" s="8"/>
      <c r="AD5859" s="7"/>
      <c r="AE5859" s="7"/>
      <c r="AF5859" s="7"/>
      <c r="AG5859" s="10"/>
    </row>
    <row r="5860" spans="1:33">
      <c r="A5860" s="8"/>
      <c r="B5860" s="8"/>
      <c r="C5860" s="8"/>
      <c r="D5860" s="8"/>
      <c r="E5860" s="8"/>
      <c r="F5860" s="8"/>
      <c r="G5860" s="8"/>
      <c r="H5860" s="8"/>
      <c r="I5860" s="8"/>
      <c r="J5860" s="8"/>
      <c r="K5860" s="8"/>
      <c r="L5860" s="8"/>
      <c r="M5860" s="8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  <c r="AA5860" s="8"/>
      <c r="AB5860" s="8"/>
      <c r="AC5860" s="8"/>
      <c r="AD5860" s="7"/>
      <c r="AE5860" s="7"/>
      <c r="AF5860" s="7"/>
      <c r="AG5860" s="10"/>
    </row>
    <row r="5861" spans="1:33">
      <c r="A5861" s="8"/>
      <c r="B5861" s="8"/>
      <c r="C5861" s="8"/>
      <c r="D5861" s="8"/>
      <c r="E5861" s="8"/>
      <c r="F5861" s="8"/>
      <c r="G5861" s="8"/>
      <c r="H5861" s="8"/>
      <c r="I5861" s="8"/>
      <c r="J5861" s="8"/>
      <c r="K5861" s="8"/>
      <c r="L5861" s="8"/>
      <c r="M5861" s="8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  <c r="AA5861" s="8"/>
      <c r="AB5861" s="8"/>
      <c r="AC5861" s="8"/>
      <c r="AD5861" s="7"/>
      <c r="AE5861" s="7"/>
      <c r="AF5861" s="7"/>
      <c r="AG5861" s="10"/>
    </row>
    <row r="5862" spans="1:33">
      <c r="A5862" s="8"/>
      <c r="B5862" s="8"/>
      <c r="C5862" s="8"/>
      <c r="D5862" s="8"/>
      <c r="E5862" s="8"/>
      <c r="F5862" s="8"/>
      <c r="G5862" s="8"/>
      <c r="H5862" s="8"/>
      <c r="I5862" s="8"/>
      <c r="J5862" s="8"/>
      <c r="K5862" s="8"/>
      <c r="L5862" s="8"/>
      <c r="M5862" s="8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  <c r="AA5862" s="8"/>
      <c r="AB5862" s="8"/>
      <c r="AC5862" s="8"/>
      <c r="AD5862" s="7"/>
      <c r="AE5862" s="7"/>
      <c r="AF5862" s="7"/>
      <c r="AG5862" s="10"/>
    </row>
    <row r="5863" spans="1:33">
      <c r="A5863" s="8"/>
      <c r="B5863" s="8"/>
      <c r="C5863" s="8"/>
      <c r="D5863" s="8"/>
      <c r="E5863" s="8"/>
      <c r="F5863" s="8"/>
      <c r="G5863" s="8"/>
      <c r="H5863" s="8"/>
      <c r="I5863" s="8"/>
      <c r="J5863" s="8"/>
      <c r="K5863" s="8"/>
      <c r="L5863" s="8"/>
      <c r="M5863" s="8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  <c r="AA5863" s="8"/>
      <c r="AB5863" s="8"/>
      <c r="AC5863" s="8"/>
      <c r="AD5863" s="7"/>
      <c r="AE5863" s="7"/>
      <c r="AF5863" s="7"/>
      <c r="AG5863" s="10"/>
    </row>
    <row r="5864" spans="1:33">
      <c r="A5864" s="8"/>
      <c r="B5864" s="8"/>
      <c r="C5864" s="8"/>
      <c r="D5864" s="8"/>
      <c r="E5864" s="8"/>
      <c r="F5864" s="8"/>
      <c r="G5864" s="8"/>
      <c r="H5864" s="8"/>
      <c r="I5864" s="8"/>
      <c r="J5864" s="8"/>
      <c r="K5864" s="8"/>
      <c r="L5864" s="8"/>
      <c r="M5864" s="8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  <c r="AA5864" s="8"/>
      <c r="AB5864" s="8"/>
      <c r="AC5864" s="8"/>
      <c r="AD5864" s="7"/>
      <c r="AE5864" s="7"/>
      <c r="AF5864" s="7"/>
      <c r="AG5864" s="10"/>
    </row>
    <row r="5865" spans="1:33">
      <c r="A5865" s="8"/>
      <c r="B5865" s="8"/>
      <c r="C5865" s="8"/>
      <c r="D5865" s="8"/>
      <c r="E5865" s="8"/>
      <c r="F5865" s="8"/>
      <c r="G5865" s="8"/>
      <c r="H5865" s="8"/>
      <c r="I5865" s="8"/>
      <c r="J5865" s="8"/>
      <c r="K5865" s="8"/>
      <c r="L5865" s="8"/>
      <c r="M5865" s="8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  <c r="AA5865" s="8"/>
      <c r="AB5865" s="8"/>
      <c r="AC5865" s="8"/>
      <c r="AD5865" s="7"/>
      <c r="AE5865" s="7"/>
      <c r="AF5865" s="7"/>
      <c r="AG5865" s="10"/>
    </row>
    <row r="5866" spans="1:33">
      <c r="A5866" s="8"/>
      <c r="B5866" s="8"/>
      <c r="C5866" s="8"/>
      <c r="D5866" s="8"/>
      <c r="E5866" s="8"/>
      <c r="F5866" s="8"/>
      <c r="G5866" s="8"/>
      <c r="H5866" s="8"/>
      <c r="I5866" s="8"/>
      <c r="J5866" s="8"/>
      <c r="K5866" s="8"/>
      <c r="L5866" s="8"/>
      <c r="M5866" s="8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  <c r="AA5866" s="8"/>
      <c r="AB5866" s="8"/>
      <c r="AC5866" s="8"/>
      <c r="AD5866" s="7"/>
      <c r="AE5866" s="7"/>
      <c r="AF5866" s="7"/>
      <c r="AG5866" s="10"/>
    </row>
    <row r="5867" spans="1:33">
      <c r="A5867" s="8"/>
      <c r="B5867" s="8"/>
      <c r="C5867" s="8"/>
      <c r="D5867" s="8"/>
      <c r="E5867" s="8"/>
      <c r="F5867" s="8"/>
      <c r="G5867" s="8"/>
      <c r="H5867" s="8"/>
      <c r="I5867" s="8"/>
      <c r="J5867" s="8"/>
      <c r="K5867" s="8"/>
      <c r="L5867" s="8"/>
      <c r="M5867" s="8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  <c r="AA5867" s="8"/>
      <c r="AB5867" s="8"/>
      <c r="AC5867" s="8"/>
      <c r="AD5867" s="7"/>
      <c r="AE5867" s="7"/>
      <c r="AF5867" s="7"/>
      <c r="AG5867" s="10"/>
    </row>
    <row r="5868" spans="1:33">
      <c r="A5868" s="8"/>
      <c r="B5868" s="8"/>
      <c r="C5868" s="8"/>
      <c r="D5868" s="8"/>
      <c r="E5868" s="8"/>
      <c r="F5868" s="8"/>
      <c r="G5868" s="8"/>
      <c r="H5868" s="8"/>
      <c r="I5868" s="8"/>
      <c r="J5868" s="8"/>
      <c r="K5868" s="8"/>
      <c r="L5868" s="8"/>
      <c r="M5868" s="8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  <c r="AA5868" s="8"/>
      <c r="AB5868" s="8"/>
      <c r="AC5868" s="8"/>
      <c r="AD5868" s="7"/>
      <c r="AE5868" s="7"/>
      <c r="AF5868" s="7"/>
      <c r="AG5868" s="10"/>
    </row>
    <row r="5869" spans="1:33">
      <c r="A5869" s="8"/>
      <c r="B5869" s="8"/>
      <c r="C5869" s="8"/>
      <c r="D5869" s="8"/>
      <c r="E5869" s="8"/>
      <c r="F5869" s="8"/>
      <c r="G5869" s="8"/>
      <c r="H5869" s="8"/>
      <c r="I5869" s="8"/>
      <c r="J5869" s="8"/>
      <c r="K5869" s="8"/>
      <c r="L5869" s="8"/>
      <c r="M5869" s="8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  <c r="AA5869" s="8"/>
      <c r="AB5869" s="8"/>
      <c r="AC5869" s="8"/>
      <c r="AD5869" s="7"/>
      <c r="AE5869" s="7"/>
      <c r="AF5869" s="7"/>
      <c r="AG5869" s="10"/>
    </row>
    <row r="5870" spans="1:33">
      <c r="A5870" s="8"/>
      <c r="B5870" s="8"/>
      <c r="C5870" s="8"/>
      <c r="D5870" s="8"/>
      <c r="E5870" s="8"/>
      <c r="F5870" s="8"/>
      <c r="G5870" s="8"/>
      <c r="H5870" s="8"/>
      <c r="I5870" s="8"/>
      <c r="J5870" s="8"/>
      <c r="K5870" s="8"/>
      <c r="L5870" s="8"/>
      <c r="M5870" s="8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  <c r="AA5870" s="8"/>
      <c r="AB5870" s="8"/>
      <c r="AC5870" s="8"/>
      <c r="AD5870" s="7"/>
      <c r="AE5870" s="7"/>
      <c r="AF5870" s="7"/>
      <c r="AG5870" s="10"/>
    </row>
    <row r="5871" spans="1:33">
      <c r="A5871" s="8"/>
      <c r="B5871" s="8"/>
      <c r="C5871" s="8"/>
      <c r="D5871" s="8"/>
      <c r="E5871" s="8"/>
      <c r="F5871" s="8"/>
      <c r="G5871" s="8"/>
      <c r="H5871" s="8"/>
      <c r="I5871" s="8"/>
      <c r="J5871" s="8"/>
      <c r="K5871" s="8"/>
      <c r="L5871" s="8"/>
      <c r="M5871" s="8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  <c r="AA5871" s="8"/>
      <c r="AB5871" s="8"/>
      <c r="AC5871" s="8"/>
      <c r="AD5871" s="7"/>
      <c r="AE5871" s="7"/>
      <c r="AF5871" s="7"/>
      <c r="AG5871" s="10"/>
    </row>
    <row r="5872" spans="1:33">
      <c r="A5872" s="8"/>
      <c r="B5872" s="8"/>
      <c r="C5872" s="8"/>
      <c r="D5872" s="8"/>
      <c r="E5872" s="8"/>
      <c r="F5872" s="8"/>
      <c r="G5872" s="8"/>
      <c r="H5872" s="8"/>
      <c r="I5872" s="8"/>
      <c r="J5872" s="8"/>
      <c r="K5872" s="8"/>
      <c r="L5872" s="8"/>
      <c r="M5872" s="8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  <c r="AA5872" s="8"/>
      <c r="AB5872" s="8"/>
      <c r="AC5872" s="8"/>
      <c r="AD5872" s="7"/>
      <c r="AE5872" s="7"/>
      <c r="AF5872" s="7"/>
      <c r="AG5872" s="10"/>
    </row>
    <row r="5873" spans="1:33">
      <c r="A5873" s="8"/>
      <c r="B5873" s="8"/>
      <c r="C5873" s="8"/>
      <c r="D5873" s="8"/>
      <c r="E5873" s="8"/>
      <c r="F5873" s="8"/>
      <c r="G5873" s="8"/>
      <c r="H5873" s="8"/>
      <c r="I5873" s="8"/>
      <c r="J5873" s="8"/>
      <c r="K5873" s="8"/>
      <c r="L5873" s="8"/>
      <c r="M5873" s="8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  <c r="AA5873" s="8"/>
      <c r="AB5873" s="8"/>
      <c r="AC5873" s="8"/>
      <c r="AD5873" s="7"/>
      <c r="AE5873" s="7"/>
      <c r="AF5873" s="7"/>
      <c r="AG5873" s="10"/>
    </row>
    <row r="5874" spans="1:33">
      <c r="A5874" s="8"/>
      <c r="B5874" s="8"/>
      <c r="C5874" s="8"/>
      <c r="D5874" s="8"/>
      <c r="E5874" s="8"/>
      <c r="F5874" s="8"/>
      <c r="G5874" s="8"/>
      <c r="H5874" s="8"/>
      <c r="I5874" s="8"/>
      <c r="J5874" s="8"/>
      <c r="K5874" s="8"/>
      <c r="L5874" s="8"/>
      <c r="M5874" s="8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  <c r="AA5874" s="8"/>
      <c r="AB5874" s="8"/>
      <c r="AC5874" s="8"/>
      <c r="AD5874" s="7"/>
      <c r="AE5874" s="7"/>
      <c r="AF5874" s="7"/>
      <c r="AG5874" s="10"/>
    </row>
    <row r="5875" spans="1:33">
      <c r="A5875" s="8"/>
      <c r="B5875" s="8"/>
      <c r="C5875" s="8"/>
      <c r="D5875" s="8"/>
      <c r="E5875" s="8"/>
      <c r="F5875" s="8"/>
      <c r="G5875" s="8"/>
      <c r="H5875" s="8"/>
      <c r="I5875" s="8"/>
      <c r="J5875" s="8"/>
      <c r="K5875" s="8"/>
      <c r="L5875" s="8"/>
      <c r="M5875" s="8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  <c r="AA5875" s="8"/>
      <c r="AB5875" s="8"/>
      <c r="AC5875" s="8"/>
      <c r="AD5875" s="7"/>
      <c r="AE5875" s="7"/>
      <c r="AF5875" s="7"/>
      <c r="AG5875" s="10"/>
    </row>
    <row r="5876" spans="1:33">
      <c r="A5876" s="8"/>
      <c r="B5876" s="8"/>
      <c r="C5876" s="8"/>
      <c r="D5876" s="8"/>
      <c r="E5876" s="8"/>
      <c r="F5876" s="8"/>
      <c r="G5876" s="8"/>
      <c r="H5876" s="8"/>
      <c r="I5876" s="8"/>
      <c r="J5876" s="8"/>
      <c r="K5876" s="8"/>
      <c r="L5876" s="8"/>
      <c r="M5876" s="8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  <c r="AA5876" s="8"/>
      <c r="AB5876" s="8"/>
      <c r="AC5876" s="8"/>
      <c r="AD5876" s="7"/>
      <c r="AE5876" s="7"/>
      <c r="AF5876" s="7"/>
      <c r="AG5876" s="10"/>
    </row>
    <row r="5877" spans="1:33">
      <c r="A5877" s="8"/>
      <c r="B5877" s="8"/>
      <c r="C5877" s="8"/>
      <c r="D5877" s="8"/>
      <c r="E5877" s="8"/>
      <c r="F5877" s="8"/>
      <c r="G5877" s="8"/>
      <c r="H5877" s="8"/>
      <c r="I5877" s="8"/>
      <c r="J5877" s="8"/>
      <c r="K5877" s="8"/>
      <c r="L5877" s="8"/>
      <c r="M5877" s="8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  <c r="AA5877" s="8"/>
      <c r="AB5877" s="8"/>
      <c r="AC5877" s="8"/>
      <c r="AD5877" s="7"/>
      <c r="AE5877" s="7"/>
      <c r="AF5877" s="7"/>
      <c r="AG5877" s="10"/>
    </row>
    <row r="5878" spans="1:33">
      <c r="A5878" s="8"/>
      <c r="B5878" s="8"/>
      <c r="C5878" s="8"/>
      <c r="D5878" s="8"/>
      <c r="E5878" s="8"/>
      <c r="F5878" s="8"/>
      <c r="G5878" s="8"/>
      <c r="H5878" s="8"/>
      <c r="I5878" s="8"/>
      <c r="J5878" s="8"/>
      <c r="K5878" s="8"/>
      <c r="L5878" s="8"/>
      <c r="M5878" s="8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  <c r="AA5878" s="8"/>
      <c r="AB5878" s="8"/>
      <c r="AC5878" s="8"/>
      <c r="AD5878" s="7"/>
      <c r="AE5878" s="7"/>
      <c r="AF5878" s="7"/>
      <c r="AG5878" s="10"/>
    </row>
    <row r="5879" spans="1:33">
      <c r="A5879" s="8"/>
      <c r="B5879" s="8"/>
      <c r="C5879" s="8"/>
      <c r="D5879" s="8"/>
      <c r="E5879" s="8"/>
      <c r="F5879" s="8"/>
      <c r="G5879" s="8"/>
      <c r="H5879" s="8"/>
      <c r="I5879" s="8"/>
      <c r="J5879" s="8"/>
      <c r="K5879" s="8"/>
      <c r="L5879" s="8"/>
      <c r="M5879" s="8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  <c r="AA5879" s="8"/>
      <c r="AB5879" s="8"/>
      <c r="AC5879" s="8"/>
      <c r="AD5879" s="7"/>
      <c r="AE5879" s="7"/>
      <c r="AF5879" s="7"/>
      <c r="AG5879" s="10"/>
    </row>
    <row r="5880" spans="1:33">
      <c r="A5880" s="8"/>
      <c r="B5880" s="8"/>
      <c r="C5880" s="8"/>
      <c r="D5880" s="8"/>
      <c r="E5880" s="8"/>
      <c r="F5880" s="8"/>
      <c r="G5880" s="8"/>
      <c r="H5880" s="8"/>
      <c r="I5880" s="8"/>
      <c r="J5880" s="8"/>
      <c r="K5880" s="8"/>
      <c r="L5880" s="8"/>
      <c r="M5880" s="8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  <c r="AA5880" s="8"/>
      <c r="AB5880" s="8"/>
      <c r="AC5880" s="8"/>
      <c r="AD5880" s="7"/>
      <c r="AE5880" s="7"/>
      <c r="AF5880" s="7"/>
      <c r="AG5880" s="10"/>
    </row>
    <row r="5881" spans="1:33">
      <c r="A5881" s="8"/>
      <c r="B5881" s="8"/>
      <c r="C5881" s="8"/>
      <c r="D5881" s="8"/>
      <c r="E5881" s="8"/>
      <c r="F5881" s="8"/>
      <c r="G5881" s="8"/>
      <c r="H5881" s="8"/>
      <c r="I5881" s="8"/>
      <c r="J5881" s="8"/>
      <c r="K5881" s="8"/>
      <c r="L5881" s="8"/>
      <c r="M5881" s="8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  <c r="AA5881" s="8"/>
      <c r="AB5881" s="8"/>
      <c r="AC5881" s="8"/>
      <c r="AD5881" s="7"/>
      <c r="AE5881" s="7"/>
      <c r="AF5881" s="7"/>
      <c r="AG5881" s="10"/>
    </row>
    <row r="5882" spans="1:33">
      <c r="A5882" s="8"/>
      <c r="B5882" s="8"/>
      <c r="C5882" s="8"/>
      <c r="D5882" s="8"/>
      <c r="E5882" s="8"/>
      <c r="F5882" s="8"/>
      <c r="G5882" s="8"/>
      <c r="H5882" s="8"/>
      <c r="I5882" s="8"/>
      <c r="J5882" s="8"/>
      <c r="K5882" s="8"/>
      <c r="L5882" s="8"/>
      <c r="M5882" s="8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  <c r="AA5882" s="8"/>
      <c r="AB5882" s="8"/>
      <c r="AC5882" s="8"/>
      <c r="AD5882" s="7"/>
      <c r="AE5882" s="7"/>
      <c r="AF5882" s="7"/>
      <c r="AG5882" s="10"/>
    </row>
    <row r="5883" spans="1:33">
      <c r="A5883" s="8"/>
      <c r="B5883" s="8"/>
      <c r="C5883" s="8"/>
      <c r="D5883" s="8"/>
      <c r="E5883" s="8"/>
      <c r="F5883" s="8"/>
      <c r="G5883" s="8"/>
      <c r="H5883" s="8"/>
      <c r="I5883" s="8"/>
      <c r="J5883" s="8"/>
      <c r="K5883" s="8"/>
      <c r="L5883" s="8"/>
      <c r="M5883" s="8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  <c r="AA5883" s="8"/>
      <c r="AB5883" s="8"/>
      <c r="AC5883" s="8"/>
      <c r="AD5883" s="7"/>
      <c r="AE5883" s="7"/>
      <c r="AF5883" s="7"/>
      <c r="AG5883" s="10"/>
    </row>
    <row r="5884" spans="1:33">
      <c r="A5884" s="8"/>
      <c r="B5884" s="8"/>
      <c r="C5884" s="8"/>
      <c r="D5884" s="8"/>
      <c r="E5884" s="8"/>
      <c r="F5884" s="8"/>
      <c r="G5884" s="8"/>
      <c r="H5884" s="8"/>
      <c r="I5884" s="8"/>
      <c r="J5884" s="8"/>
      <c r="K5884" s="8"/>
      <c r="L5884" s="8"/>
      <c r="M5884" s="8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  <c r="AA5884" s="8"/>
      <c r="AB5884" s="8"/>
      <c r="AC5884" s="8"/>
      <c r="AD5884" s="7"/>
      <c r="AE5884" s="7"/>
      <c r="AF5884" s="7"/>
      <c r="AG5884" s="10"/>
    </row>
    <row r="5885" spans="1:33">
      <c r="A5885" s="8"/>
      <c r="B5885" s="8"/>
      <c r="C5885" s="8"/>
      <c r="D5885" s="8"/>
      <c r="E5885" s="8"/>
      <c r="F5885" s="8"/>
      <c r="G5885" s="8"/>
      <c r="H5885" s="8"/>
      <c r="I5885" s="8"/>
      <c r="J5885" s="8"/>
      <c r="K5885" s="8"/>
      <c r="L5885" s="8"/>
      <c r="M5885" s="8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  <c r="AA5885" s="8"/>
      <c r="AB5885" s="8"/>
      <c r="AC5885" s="8"/>
      <c r="AD5885" s="7"/>
      <c r="AE5885" s="7"/>
      <c r="AF5885" s="7"/>
      <c r="AG5885" s="10"/>
    </row>
    <row r="5886" spans="1:33">
      <c r="A5886" s="8"/>
      <c r="B5886" s="8"/>
      <c r="C5886" s="8"/>
      <c r="D5886" s="8"/>
      <c r="E5886" s="8"/>
      <c r="F5886" s="8"/>
      <c r="G5886" s="8"/>
      <c r="H5886" s="8"/>
      <c r="I5886" s="8"/>
      <c r="J5886" s="8"/>
      <c r="K5886" s="8"/>
      <c r="L5886" s="8"/>
      <c r="M5886" s="8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  <c r="AA5886" s="8"/>
      <c r="AB5886" s="8"/>
      <c r="AC5886" s="8"/>
      <c r="AD5886" s="7"/>
      <c r="AE5886" s="7"/>
      <c r="AF5886" s="7"/>
      <c r="AG5886" s="10"/>
    </row>
    <row r="5887" spans="1:33">
      <c r="A5887" s="8"/>
      <c r="B5887" s="8"/>
      <c r="C5887" s="8"/>
      <c r="D5887" s="8"/>
      <c r="E5887" s="8"/>
      <c r="F5887" s="8"/>
      <c r="G5887" s="8"/>
      <c r="H5887" s="8"/>
      <c r="I5887" s="8"/>
      <c r="J5887" s="8"/>
      <c r="K5887" s="8"/>
      <c r="L5887" s="8"/>
      <c r="M5887" s="8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  <c r="AA5887" s="8"/>
      <c r="AB5887" s="8"/>
      <c r="AC5887" s="8"/>
      <c r="AD5887" s="7"/>
      <c r="AE5887" s="7"/>
      <c r="AF5887" s="7"/>
      <c r="AG5887" s="10"/>
    </row>
    <row r="5888" spans="1:33">
      <c r="A5888" s="8"/>
      <c r="B5888" s="8"/>
      <c r="C5888" s="8"/>
      <c r="D5888" s="8"/>
      <c r="E5888" s="8"/>
      <c r="F5888" s="8"/>
      <c r="G5888" s="8"/>
      <c r="H5888" s="8"/>
      <c r="I5888" s="8"/>
      <c r="J5888" s="8"/>
      <c r="K5888" s="8"/>
      <c r="L5888" s="8"/>
      <c r="M5888" s="8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  <c r="AA5888" s="8"/>
      <c r="AB5888" s="8"/>
      <c r="AC5888" s="8"/>
      <c r="AD5888" s="7"/>
      <c r="AE5888" s="7"/>
      <c r="AF5888" s="7"/>
      <c r="AG5888" s="10"/>
    </row>
    <row r="5889" spans="1:33">
      <c r="A5889" s="8"/>
      <c r="B5889" s="8"/>
      <c r="C5889" s="8"/>
      <c r="D5889" s="8"/>
      <c r="E5889" s="8"/>
      <c r="F5889" s="8"/>
      <c r="G5889" s="8"/>
      <c r="H5889" s="8"/>
      <c r="I5889" s="8"/>
      <c r="J5889" s="8"/>
      <c r="K5889" s="8"/>
      <c r="L5889" s="8"/>
      <c r="M5889" s="8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  <c r="AA5889" s="8"/>
      <c r="AB5889" s="8"/>
      <c r="AC5889" s="8"/>
      <c r="AD5889" s="7"/>
      <c r="AE5889" s="7"/>
      <c r="AF5889" s="7"/>
      <c r="AG5889" s="10"/>
    </row>
    <row r="5890" spans="1:33">
      <c r="A5890" s="8"/>
      <c r="B5890" s="8"/>
      <c r="C5890" s="8"/>
      <c r="D5890" s="8"/>
      <c r="E5890" s="8"/>
      <c r="F5890" s="8"/>
      <c r="G5890" s="8"/>
      <c r="H5890" s="8"/>
      <c r="I5890" s="8"/>
      <c r="J5890" s="8"/>
      <c r="K5890" s="8"/>
      <c r="L5890" s="8"/>
      <c r="M5890" s="8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  <c r="AA5890" s="8"/>
      <c r="AB5890" s="8"/>
      <c r="AC5890" s="8"/>
      <c r="AD5890" s="7"/>
      <c r="AE5890" s="7"/>
      <c r="AF5890" s="7"/>
      <c r="AG5890" s="10"/>
    </row>
    <row r="5891" spans="1:33">
      <c r="A5891" s="8"/>
      <c r="B5891" s="8"/>
      <c r="C5891" s="8"/>
      <c r="D5891" s="8"/>
      <c r="E5891" s="8"/>
      <c r="F5891" s="8"/>
      <c r="G5891" s="8"/>
      <c r="H5891" s="8"/>
      <c r="I5891" s="8"/>
      <c r="J5891" s="8"/>
      <c r="K5891" s="8"/>
      <c r="L5891" s="8"/>
      <c r="M5891" s="8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  <c r="AA5891" s="8"/>
      <c r="AB5891" s="8"/>
      <c r="AC5891" s="8"/>
      <c r="AD5891" s="7"/>
      <c r="AE5891" s="7"/>
      <c r="AF5891" s="7"/>
      <c r="AG5891" s="10"/>
    </row>
    <row r="5892" spans="1:33">
      <c r="A5892" s="8"/>
      <c r="B5892" s="8"/>
      <c r="C5892" s="8"/>
      <c r="D5892" s="8"/>
      <c r="E5892" s="8"/>
      <c r="F5892" s="8"/>
      <c r="G5892" s="8"/>
      <c r="H5892" s="8"/>
      <c r="I5892" s="8"/>
      <c r="J5892" s="8"/>
      <c r="K5892" s="8"/>
      <c r="L5892" s="8"/>
      <c r="M5892" s="8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  <c r="AA5892" s="8"/>
      <c r="AB5892" s="8"/>
      <c r="AC5892" s="8"/>
      <c r="AD5892" s="7"/>
      <c r="AE5892" s="7"/>
      <c r="AF5892" s="7"/>
      <c r="AG5892" s="10"/>
    </row>
    <row r="5893" spans="1:33">
      <c r="A5893" s="8"/>
      <c r="B5893" s="8"/>
      <c r="C5893" s="8"/>
      <c r="D5893" s="8"/>
      <c r="E5893" s="8"/>
      <c r="F5893" s="8"/>
      <c r="G5893" s="8"/>
      <c r="H5893" s="8"/>
      <c r="I5893" s="8"/>
      <c r="J5893" s="8"/>
      <c r="K5893" s="8"/>
      <c r="L5893" s="8"/>
      <c r="M5893" s="8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  <c r="AA5893" s="8"/>
      <c r="AB5893" s="8"/>
      <c r="AC5893" s="8"/>
      <c r="AD5893" s="7"/>
      <c r="AE5893" s="7"/>
      <c r="AF5893" s="7"/>
      <c r="AG5893" s="10"/>
    </row>
    <row r="5894" spans="1:33">
      <c r="A5894" s="8"/>
      <c r="B5894" s="8"/>
      <c r="C5894" s="8"/>
      <c r="D5894" s="8"/>
      <c r="E5894" s="8"/>
      <c r="F5894" s="8"/>
      <c r="G5894" s="8"/>
      <c r="H5894" s="8"/>
      <c r="I5894" s="8"/>
      <c r="J5894" s="8"/>
      <c r="K5894" s="8"/>
      <c r="L5894" s="8"/>
      <c r="M5894" s="8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  <c r="AA5894" s="8"/>
      <c r="AB5894" s="8"/>
      <c r="AC5894" s="8"/>
      <c r="AD5894" s="7"/>
      <c r="AE5894" s="7"/>
      <c r="AF5894" s="7"/>
      <c r="AG5894" s="10"/>
    </row>
    <row r="5895" spans="1:33">
      <c r="A5895" s="8"/>
      <c r="B5895" s="8"/>
      <c r="C5895" s="8"/>
      <c r="D5895" s="8"/>
      <c r="E5895" s="8"/>
      <c r="F5895" s="8"/>
      <c r="G5895" s="8"/>
      <c r="H5895" s="8"/>
      <c r="I5895" s="8"/>
      <c r="J5895" s="8"/>
      <c r="K5895" s="8"/>
      <c r="L5895" s="8"/>
      <c r="M5895" s="8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  <c r="AA5895" s="8"/>
      <c r="AB5895" s="8"/>
      <c r="AC5895" s="8"/>
      <c r="AD5895" s="7"/>
      <c r="AE5895" s="7"/>
      <c r="AF5895" s="7"/>
      <c r="AG5895" s="10"/>
    </row>
    <row r="5896" spans="1:33">
      <c r="A5896" s="8"/>
      <c r="B5896" s="8"/>
      <c r="C5896" s="8"/>
      <c r="D5896" s="8"/>
      <c r="E5896" s="8"/>
      <c r="F5896" s="8"/>
      <c r="G5896" s="8"/>
      <c r="H5896" s="8"/>
      <c r="I5896" s="8"/>
      <c r="J5896" s="8"/>
      <c r="K5896" s="8"/>
      <c r="L5896" s="8"/>
      <c r="M5896" s="8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  <c r="AA5896" s="8"/>
      <c r="AB5896" s="8"/>
      <c r="AC5896" s="8"/>
      <c r="AD5896" s="7"/>
      <c r="AE5896" s="7"/>
      <c r="AF5896" s="7"/>
      <c r="AG5896" s="10"/>
    </row>
    <row r="5897" spans="1:33">
      <c r="A5897" s="8"/>
      <c r="B5897" s="8"/>
      <c r="C5897" s="8"/>
      <c r="D5897" s="8"/>
      <c r="E5897" s="8"/>
      <c r="F5897" s="8"/>
      <c r="G5897" s="8"/>
      <c r="H5897" s="8"/>
      <c r="I5897" s="8"/>
      <c r="J5897" s="8"/>
      <c r="K5897" s="8"/>
      <c r="L5897" s="8"/>
      <c r="M5897" s="8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  <c r="AA5897" s="8"/>
      <c r="AB5897" s="8"/>
      <c r="AC5897" s="8"/>
      <c r="AD5897" s="7"/>
      <c r="AE5897" s="7"/>
      <c r="AF5897" s="7"/>
      <c r="AG5897" s="10"/>
    </row>
    <row r="5898" spans="1:33">
      <c r="A5898" s="8"/>
      <c r="B5898" s="8"/>
      <c r="C5898" s="8"/>
      <c r="D5898" s="8"/>
      <c r="E5898" s="8"/>
      <c r="F5898" s="8"/>
      <c r="G5898" s="8"/>
      <c r="H5898" s="8"/>
      <c r="I5898" s="8"/>
      <c r="J5898" s="8"/>
      <c r="K5898" s="8"/>
      <c r="L5898" s="8"/>
      <c r="M5898" s="8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  <c r="AA5898" s="8"/>
      <c r="AB5898" s="8"/>
      <c r="AC5898" s="8"/>
      <c r="AD5898" s="7"/>
      <c r="AE5898" s="7"/>
      <c r="AF5898" s="7"/>
      <c r="AG5898" s="10"/>
    </row>
    <row r="5899" spans="1:33">
      <c r="A5899" s="8"/>
      <c r="B5899" s="8"/>
      <c r="C5899" s="8"/>
      <c r="D5899" s="8"/>
      <c r="E5899" s="8"/>
      <c r="F5899" s="8"/>
      <c r="G5899" s="8"/>
      <c r="H5899" s="8"/>
      <c r="I5899" s="8"/>
      <c r="J5899" s="8"/>
      <c r="K5899" s="8"/>
      <c r="L5899" s="8"/>
      <c r="M5899" s="8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  <c r="AA5899" s="8"/>
      <c r="AB5899" s="8"/>
      <c r="AC5899" s="8"/>
      <c r="AD5899" s="7"/>
      <c r="AE5899" s="7"/>
      <c r="AF5899" s="7"/>
      <c r="AG5899" s="10"/>
    </row>
    <row r="5900" spans="1:33">
      <c r="A5900" s="8"/>
      <c r="B5900" s="8"/>
      <c r="C5900" s="8"/>
      <c r="D5900" s="8"/>
      <c r="E5900" s="8"/>
      <c r="F5900" s="8"/>
      <c r="G5900" s="8"/>
      <c r="H5900" s="8"/>
      <c r="I5900" s="8"/>
      <c r="J5900" s="8"/>
      <c r="K5900" s="8"/>
      <c r="L5900" s="8"/>
      <c r="M5900" s="8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  <c r="AA5900" s="8"/>
      <c r="AB5900" s="8"/>
      <c r="AC5900" s="8"/>
      <c r="AD5900" s="7"/>
      <c r="AE5900" s="7"/>
      <c r="AF5900" s="7"/>
      <c r="AG5900" s="10"/>
    </row>
    <row r="5901" spans="1:33">
      <c r="A5901" s="8"/>
      <c r="B5901" s="8"/>
      <c r="C5901" s="8"/>
      <c r="D5901" s="8"/>
      <c r="E5901" s="8"/>
      <c r="F5901" s="8"/>
      <c r="G5901" s="8"/>
      <c r="H5901" s="8"/>
      <c r="I5901" s="8"/>
      <c r="J5901" s="8"/>
      <c r="K5901" s="8"/>
      <c r="L5901" s="8"/>
      <c r="M5901" s="8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  <c r="AA5901" s="8"/>
      <c r="AB5901" s="8"/>
      <c r="AC5901" s="8"/>
      <c r="AD5901" s="7"/>
      <c r="AE5901" s="7"/>
      <c r="AF5901" s="7"/>
      <c r="AG5901" s="10"/>
    </row>
    <row r="5902" spans="1:33">
      <c r="A5902" s="8"/>
      <c r="B5902" s="8"/>
      <c r="C5902" s="8"/>
      <c r="D5902" s="8"/>
      <c r="E5902" s="8"/>
      <c r="F5902" s="8"/>
      <c r="G5902" s="8"/>
      <c r="H5902" s="8"/>
      <c r="I5902" s="8"/>
      <c r="J5902" s="8"/>
      <c r="K5902" s="8"/>
      <c r="L5902" s="8"/>
      <c r="M5902" s="8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  <c r="AA5902" s="8"/>
      <c r="AB5902" s="8"/>
      <c r="AC5902" s="8"/>
      <c r="AD5902" s="7"/>
      <c r="AE5902" s="7"/>
      <c r="AF5902" s="7"/>
      <c r="AG5902" s="10"/>
    </row>
    <row r="5903" spans="1:33">
      <c r="A5903" s="8"/>
      <c r="B5903" s="8"/>
      <c r="C5903" s="8"/>
      <c r="D5903" s="8"/>
      <c r="E5903" s="8"/>
      <c r="F5903" s="8"/>
      <c r="G5903" s="8"/>
      <c r="H5903" s="8"/>
      <c r="I5903" s="8"/>
      <c r="J5903" s="8"/>
      <c r="K5903" s="8"/>
      <c r="L5903" s="8"/>
      <c r="M5903" s="8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  <c r="AA5903" s="8"/>
      <c r="AB5903" s="8"/>
      <c r="AC5903" s="8"/>
      <c r="AD5903" s="7"/>
      <c r="AE5903" s="7"/>
      <c r="AF5903" s="7"/>
      <c r="AG5903" s="10"/>
    </row>
    <row r="5904" spans="1:33">
      <c r="A5904" s="8"/>
      <c r="B5904" s="8"/>
      <c r="C5904" s="8"/>
      <c r="D5904" s="8"/>
      <c r="E5904" s="8"/>
      <c r="F5904" s="8"/>
      <c r="G5904" s="8"/>
      <c r="H5904" s="8"/>
      <c r="I5904" s="8"/>
      <c r="J5904" s="8"/>
      <c r="K5904" s="8"/>
      <c r="L5904" s="8"/>
      <c r="M5904" s="8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  <c r="AA5904" s="8"/>
      <c r="AB5904" s="8"/>
      <c r="AC5904" s="8"/>
      <c r="AD5904" s="7"/>
      <c r="AE5904" s="7"/>
      <c r="AF5904" s="7"/>
      <c r="AG5904" s="10"/>
    </row>
    <row r="5905" spans="1:33">
      <c r="A5905" s="8"/>
      <c r="B5905" s="8"/>
      <c r="C5905" s="8"/>
      <c r="D5905" s="8"/>
      <c r="E5905" s="8"/>
      <c r="F5905" s="8"/>
      <c r="G5905" s="8"/>
      <c r="H5905" s="8"/>
      <c r="I5905" s="8"/>
      <c r="J5905" s="8"/>
      <c r="K5905" s="8"/>
      <c r="L5905" s="8"/>
      <c r="M5905" s="8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  <c r="AA5905" s="8"/>
      <c r="AB5905" s="8"/>
      <c r="AC5905" s="8"/>
      <c r="AD5905" s="7"/>
      <c r="AE5905" s="7"/>
      <c r="AF5905" s="7"/>
      <c r="AG5905" s="10"/>
    </row>
    <row r="5906" spans="1:33">
      <c r="A5906" s="8"/>
      <c r="B5906" s="8"/>
      <c r="C5906" s="8"/>
      <c r="D5906" s="8"/>
      <c r="E5906" s="8"/>
      <c r="F5906" s="8"/>
      <c r="G5906" s="8"/>
      <c r="H5906" s="8"/>
      <c r="I5906" s="8"/>
      <c r="J5906" s="8"/>
      <c r="K5906" s="8"/>
      <c r="L5906" s="8"/>
      <c r="M5906" s="8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  <c r="AA5906" s="8"/>
      <c r="AB5906" s="8"/>
      <c r="AC5906" s="8"/>
      <c r="AD5906" s="7"/>
      <c r="AE5906" s="7"/>
      <c r="AF5906" s="7"/>
      <c r="AG5906" s="10"/>
    </row>
    <row r="5907" spans="1:33">
      <c r="A5907" s="8"/>
      <c r="B5907" s="8"/>
      <c r="C5907" s="8"/>
      <c r="D5907" s="8"/>
      <c r="E5907" s="8"/>
      <c r="F5907" s="8"/>
      <c r="G5907" s="8"/>
      <c r="H5907" s="8"/>
      <c r="I5907" s="8"/>
      <c r="J5907" s="8"/>
      <c r="K5907" s="8"/>
      <c r="L5907" s="8"/>
      <c r="M5907" s="8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  <c r="AA5907" s="8"/>
      <c r="AB5907" s="8"/>
      <c r="AC5907" s="8"/>
      <c r="AD5907" s="7"/>
      <c r="AE5907" s="7"/>
      <c r="AF5907" s="7"/>
      <c r="AG5907" s="10"/>
    </row>
    <row r="5908" spans="1:33">
      <c r="A5908" s="8"/>
      <c r="B5908" s="8"/>
      <c r="C5908" s="8"/>
      <c r="D5908" s="8"/>
      <c r="E5908" s="8"/>
      <c r="F5908" s="8"/>
      <c r="G5908" s="8"/>
      <c r="H5908" s="8"/>
      <c r="I5908" s="8"/>
      <c r="J5908" s="8"/>
      <c r="K5908" s="8"/>
      <c r="L5908" s="8"/>
      <c r="M5908" s="8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  <c r="AA5908" s="8"/>
      <c r="AB5908" s="8"/>
      <c r="AC5908" s="8"/>
      <c r="AD5908" s="7"/>
      <c r="AE5908" s="7"/>
      <c r="AF5908" s="7"/>
      <c r="AG5908" s="10"/>
    </row>
    <row r="5909" spans="1:33">
      <c r="A5909" s="8"/>
      <c r="B5909" s="8"/>
      <c r="C5909" s="8"/>
      <c r="D5909" s="8"/>
      <c r="E5909" s="8"/>
      <c r="F5909" s="8"/>
      <c r="G5909" s="8"/>
      <c r="H5909" s="8"/>
      <c r="I5909" s="8"/>
      <c r="J5909" s="8"/>
      <c r="K5909" s="8"/>
      <c r="L5909" s="8"/>
      <c r="M5909" s="8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  <c r="AA5909" s="8"/>
      <c r="AB5909" s="8"/>
      <c r="AC5909" s="8"/>
      <c r="AD5909" s="7"/>
      <c r="AE5909" s="7"/>
      <c r="AF5909" s="7"/>
      <c r="AG5909" s="10"/>
    </row>
    <row r="5910" spans="1:33">
      <c r="A5910" s="8"/>
      <c r="B5910" s="8"/>
      <c r="C5910" s="8"/>
      <c r="D5910" s="8"/>
      <c r="E5910" s="8"/>
      <c r="F5910" s="8"/>
      <c r="G5910" s="8"/>
      <c r="H5910" s="8"/>
      <c r="I5910" s="8"/>
      <c r="J5910" s="8"/>
      <c r="K5910" s="8"/>
      <c r="L5910" s="8"/>
      <c r="M5910" s="8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  <c r="AA5910" s="8"/>
      <c r="AB5910" s="8"/>
      <c r="AC5910" s="8"/>
      <c r="AD5910" s="7"/>
      <c r="AE5910" s="7"/>
      <c r="AF5910" s="7"/>
      <c r="AG5910" s="10"/>
    </row>
    <row r="5911" spans="1:33">
      <c r="A5911" s="8"/>
      <c r="B5911" s="8"/>
      <c r="C5911" s="8"/>
      <c r="D5911" s="8"/>
      <c r="E5911" s="8"/>
      <c r="F5911" s="8"/>
      <c r="G5911" s="8"/>
      <c r="H5911" s="8"/>
      <c r="I5911" s="8"/>
      <c r="J5911" s="8"/>
      <c r="K5911" s="8"/>
      <c r="L5911" s="8"/>
      <c r="M5911" s="8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  <c r="AA5911" s="8"/>
      <c r="AB5911" s="8"/>
      <c r="AC5911" s="8"/>
      <c r="AD5911" s="7"/>
      <c r="AE5911" s="7"/>
      <c r="AF5911" s="7"/>
      <c r="AG5911" s="10"/>
    </row>
    <row r="5912" spans="1:33">
      <c r="A5912" s="8"/>
      <c r="B5912" s="8"/>
      <c r="C5912" s="8"/>
      <c r="D5912" s="8"/>
      <c r="E5912" s="8"/>
      <c r="F5912" s="8"/>
      <c r="G5912" s="8"/>
      <c r="H5912" s="8"/>
      <c r="I5912" s="8"/>
      <c r="J5912" s="8"/>
      <c r="K5912" s="8"/>
      <c r="L5912" s="8"/>
      <c r="M5912" s="8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  <c r="AA5912" s="8"/>
      <c r="AB5912" s="8"/>
      <c r="AC5912" s="8"/>
      <c r="AD5912" s="7"/>
      <c r="AE5912" s="7"/>
      <c r="AF5912" s="7"/>
      <c r="AG5912" s="10"/>
    </row>
    <row r="5913" spans="1:33">
      <c r="A5913" s="8"/>
      <c r="B5913" s="8"/>
      <c r="C5913" s="8"/>
      <c r="D5913" s="8"/>
      <c r="E5913" s="8"/>
      <c r="F5913" s="8"/>
      <c r="G5913" s="8"/>
      <c r="H5913" s="8"/>
      <c r="I5913" s="8"/>
      <c r="J5913" s="8"/>
      <c r="K5913" s="8"/>
      <c r="L5913" s="8"/>
      <c r="M5913" s="8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  <c r="AA5913" s="8"/>
      <c r="AB5913" s="8"/>
      <c r="AC5913" s="8"/>
      <c r="AD5913" s="7"/>
      <c r="AE5913" s="7"/>
      <c r="AF5913" s="7"/>
      <c r="AG5913" s="10"/>
    </row>
    <row r="5914" spans="1:33">
      <c r="A5914" s="8"/>
      <c r="B5914" s="8"/>
      <c r="C5914" s="8"/>
      <c r="D5914" s="8"/>
      <c r="E5914" s="8"/>
      <c r="F5914" s="8"/>
      <c r="G5914" s="8"/>
      <c r="H5914" s="8"/>
      <c r="I5914" s="8"/>
      <c r="J5914" s="8"/>
      <c r="K5914" s="8"/>
      <c r="L5914" s="8"/>
      <c r="M5914" s="8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  <c r="AA5914" s="8"/>
      <c r="AB5914" s="8"/>
      <c r="AC5914" s="8"/>
      <c r="AD5914" s="7"/>
      <c r="AE5914" s="7"/>
      <c r="AF5914" s="7"/>
      <c r="AG5914" s="10"/>
    </row>
    <row r="5915" spans="1:33">
      <c r="A5915" s="8"/>
      <c r="B5915" s="8"/>
      <c r="C5915" s="8"/>
      <c r="D5915" s="8"/>
      <c r="E5915" s="8"/>
      <c r="F5915" s="8"/>
      <c r="G5915" s="8"/>
      <c r="H5915" s="8"/>
      <c r="I5915" s="8"/>
      <c r="J5915" s="8"/>
      <c r="K5915" s="8"/>
      <c r="L5915" s="8"/>
      <c r="M5915" s="8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  <c r="AA5915" s="8"/>
      <c r="AB5915" s="8"/>
      <c r="AC5915" s="8"/>
      <c r="AD5915" s="7"/>
      <c r="AE5915" s="7"/>
      <c r="AF5915" s="7"/>
      <c r="AG5915" s="10"/>
    </row>
    <row r="5916" spans="1:33">
      <c r="A5916" s="8"/>
      <c r="B5916" s="8"/>
      <c r="C5916" s="8"/>
      <c r="D5916" s="8"/>
      <c r="E5916" s="8"/>
      <c r="F5916" s="8"/>
      <c r="G5916" s="8"/>
      <c r="H5916" s="8"/>
      <c r="I5916" s="8"/>
      <c r="J5916" s="8"/>
      <c r="K5916" s="8"/>
      <c r="L5916" s="8"/>
      <c r="M5916" s="8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  <c r="AA5916" s="8"/>
      <c r="AB5916" s="8"/>
      <c r="AC5916" s="8"/>
      <c r="AD5916" s="7"/>
      <c r="AE5916" s="7"/>
      <c r="AF5916" s="7"/>
      <c r="AG5916" s="10"/>
    </row>
    <row r="5917" spans="1:33">
      <c r="A5917" s="8"/>
      <c r="B5917" s="8"/>
      <c r="C5917" s="8"/>
      <c r="D5917" s="8"/>
      <c r="E5917" s="8"/>
      <c r="F5917" s="8"/>
      <c r="G5917" s="8"/>
      <c r="H5917" s="8"/>
      <c r="I5917" s="8"/>
      <c r="J5917" s="8"/>
      <c r="K5917" s="8"/>
      <c r="L5917" s="8"/>
      <c r="M5917" s="8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  <c r="AA5917" s="8"/>
      <c r="AB5917" s="8"/>
      <c r="AC5917" s="8"/>
      <c r="AD5917" s="7"/>
      <c r="AE5917" s="7"/>
      <c r="AF5917" s="7"/>
      <c r="AG5917" s="10"/>
    </row>
    <row r="5918" spans="1:33">
      <c r="A5918" s="8"/>
      <c r="B5918" s="8"/>
      <c r="C5918" s="8"/>
      <c r="D5918" s="8"/>
      <c r="E5918" s="8"/>
      <c r="F5918" s="8"/>
      <c r="G5918" s="8"/>
      <c r="H5918" s="8"/>
      <c r="I5918" s="8"/>
      <c r="J5918" s="8"/>
      <c r="K5918" s="8"/>
      <c r="L5918" s="8"/>
      <c r="M5918" s="8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  <c r="AA5918" s="8"/>
      <c r="AB5918" s="8"/>
      <c r="AC5918" s="8"/>
      <c r="AD5918" s="7"/>
      <c r="AE5918" s="7"/>
      <c r="AF5918" s="7"/>
      <c r="AG5918" s="10"/>
    </row>
    <row r="5919" spans="1:33">
      <c r="A5919" s="8"/>
      <c r="B5919" s="8"/>
      <c r="C5919" s="8"/>
      <c r="D5919" s="8"/>
      <c r="E5919" s="8"/>
      <c r="F5919" s="8"/>
      <c r="G5919" s="8"/>
      <c r="H5919" s="8"/>
      <c r="I5919" s="8"/>
      <c r="J5919" s="8"/>
      <c r="K5919" s="8"/>
      <c r="L5919" s="8"/>
      <c r="M5919" s="8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  <c r="AA5919" s="8"/>
      <c r="AB5919" s="8"/>
      <c r="AC5919" s="8"/>
      <c r="AD5919" s="7"/>
      <c r="AE5919" s="7"/>
      <c r="AF5919" s="7"/>
      <c r="AG5919" s="10"/>
    </row>
    <row r="5920" spans="1:33">
      <c r="A5920" s="8"/>
      <c r="B5920" s="8"/>
      <c r="C5920" s="8"/>
      <c r="D5920" s="8"/>
      <c r="E5920" s="8"/>
      <c r="F5920" s="8"/>
      <c r="G5920" s="8"/>
      <c r="H5920" s="8"/>
      <c r="I5920" s="8"/>
      <c r="J5920" s="8"/>
      <c r="K5920" s="8"/>
      <c r="L5920" s="8"/>
      <c r="M5920" s="8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  <c r="AA5920" s="8"/>
      <c r="AB5920" s="8"/>
      <c r="AC5920" s="8"/>
      <c r="AD5920" s="7"/>
      <c r="AE5920" s="7"/>
      <c r="AF5920" s="7"/>
      <c r="AG5920" s="10"/>
    </row>
    <row r="5921" spans="1:33">
      <c r="A5921" s="8"/>
      <c r="B5921" s="8"/>
      <c r="C5921" s="8"/>
      <c r="D5921" s="8"/>
      <c r="E5921" s="8"/>
      <c r="F5921" s="8"/>
      <c r="G5921" s="8"/>
      <c r="H5921" s="8"/>
      <c r="I5921" s="8"/>
      <c r="J5921" s="8"/>
      <c r="K5921" s="8"/>
      <c r="L5921" s="8"/>
      <c r="M5921" s="8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  <c r="AA5921" s="8"/>
      <c r="AB5921" s="8"/>
      <c r="AC5921" s="8"/>
      <c r="AD5921" s="7"/>
      <c r="AE5921" s="7"/>
      <c r="AF5921" s="7"/>
      <c r="AG5921" s="10"/>
    </row>
    <row r="5922" spans="1:33">
      <c r="A5922" s="8"/>
      <c r="B5922" s="8"/>
      <c r="C5922" s="8"/>
      <c r="D5922" s="8"/>
      <c r="E5922" s="8"/>
      <c r="F5922" s="8"/>
      <c r="G5922" s="8"/>
      <c r="H5922" s="8"/>
      <c r="I5922" s="8"/>
      <c r="J5922" s="8"/>
      <c r="K5922" s="8"/>
      <c r="L5922" s="8"/>
      <c r="M5922" s="8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  <c r="AA5922" s="8"/>
      <c r="AB5922" s="8"/>
      <c r="AC5922" s="8"/>
      <c r="AD5922" s="7"/>
      <c r="AE5922" s="7"/>
      <c r="AF5922" s="7"/>
      <c r="AG5922" s="10"/>
    </row>
    <row r="5923" spans="1:33">
      <c r="A5923" s="8"/>
      <c r="B5923" s="8"/>
      <c r="C5923" s="8"/>
      <c r="D5923" s="8"/>
      <c r="E5923" s="8"/>
      <c r="F5923" s="8"/>
      <c r="G5923" s="8"/>
      <c r="H5923" s="8"/>
      <c r="I5923" s="8"/>
      <c r="J5923" s="8"/>
      <c r="K5923" s="8"/>
      <c r="L5923" s="8"/>
      <c r="M5923" s="8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  <c r="AA5923" s="8"/>
      <c r="AB5923" s="8"/>
      <c r="AC5923" s="8"/>
      <c r="AD5923" s="7"/>
      <c r="AE5923" s="7"/>
      <c r="AF5923" s="7"/>
      <c r="AG5923" s="10"/>
    </row>
    <row r="5924" spans="1:33">
      <c r="A5924" s="8"/>
      <c r="B5924" s="8"/>
      <c r="C5924" s="8"/>
      <c r="D5924" s="8"/>
      <c r="E5924" s="8"/>
      <c r="F5924" s="8"/>
      <c r="G5924" s="8"/>
      <c r="H5924" s="8"/>
      <c r="I5924" s="8"/>
      <c r="J5924" s="8"/>
      <c r="K5924" s="8"/>
      <c r="L5924" s="8"/>
      <c r="M5924" s="8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  <c r="AA5924" s="8"/>
      <c r="AB5924" s="8"/>
      <c r="AC5924" s="8"/>
      <c r="AD5924" s="7"/>
      <c r="AE5924" s="7"/>
      <c r="AF5924" s="7"/>
      <c r="AG5924" s="10"/>
    </row>
    <row r="5925" spans="1:33">
      <c r="A5925" s="8"/>
      <c r="B5925" s="8"/>
      <c r="C5925" s="8"/>
      <c r="D5925" s="8"/>
      <c r="E5925" s="8"/>
      <c r="F5925" s="8"/>
      <c r="G5925" s="8"/>
      <c r="H5925" s="8"/>
      <c r="I5925" s="8"/>
      <c r="J5925" s="8"/>
      <c r="K5925" s="8"/>
      <c r="L5925" s="8"/>
      <c r="M5925" s="8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  <c r="AA5925" s="8"/>
      <c r="AB5925" s="8"/>
      <c r="AC5925" s="8"/>
      <c r="AD5925" s="7"/>
      <c r="AE5925" s="7"/>
      <c r="AF5925" s="7"/>
      <c r="AG5925" s="10"/>
    </row>
    <row r="5926" spans="1:33">
      <c r="A5926" s="8"/>
      <c r="B5926" s="8"/>
      <c r="C5926" s="8"/>
      <c r="D5926" s="8"/>
      <c r="E5926" s="8"/>
      <c r="F5926" s="8"/>
      <c r="G5926" s="8"/>
      <c r="H5926" s="8"/>
      <c r="I5926" s="8"/>
      <c r="J5926" s="8"/>
      <c r="K5926" s="8"/>
      <c r="L5926" s="8"/>
      <c r="M5926" s="8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  <c r="AA5926" s="8"/>
      <c r="AB5926" s="8"/>
      <c r="AC5926" s="8"/>
      <c r="AD5926" s="7"/>
      <c r="AE5926" s="7"/>
      <c r="AF5926" s="7"/>
      <c r="AG5926" s="10"/>
    </row>
    <row r="5927" spans="1:33">
      <c r="A5927" s="8"/>
      <c r="B5927" s="8"/>
      <c r="C5927" s="8"/>
      <c r="D5927" s="8"/>
      <c r="E5927" s="8"/>
      <c r="F5927" s="8"/>
      <c r="G5927" s="8"/>
      <c r="H5927" s="8"/>
      <c r="I5927" s="8"/>
      <c r="J5927" s="8"/>
      <c r="K5927" s="8"/>
      <c r="L5927" s="8"/>
      <c r="M5927" s="8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  <c r="AA5927" s="8"/>
      <c r="AB5927" s="8"/>
      <c r="AC5927" s="8"/>
      <c r="AD5927" s="7"/>
      <c r="AE5927" s="7"/>
      <c r="AF5927" s="7"/>
      <c r="AG5927" s="10"/>
    </row>
    <row r="5928" spans="1:33">
      <c r="A5928" s="8"/>
      <c r="B5928" s="8"/>
      <c r="C5928" s="8"/>
      <c r="D5928" s="8"/>
      <c r="E5928" s="8"/>
      <c r="F5928" s="8"/>
      <c r="G5928" s="8"/>
      <c r="H5928" s="8"/>
      <c r="I5928" s="8"/>
      <c r="J5928" s="8"/>
      <c r="K5928" s="8"/>
      <c r="L5928" s="8"/>
      <c r="M5928" s="8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  <c r="AA5928" s="8"/>
      <c r="AB5928" s="8"/>
      <c r="AC5928" s="8"/>
      <c r="AD5928" s="7"/>
      <c r="AE5928" s="7"/>
      <c r="AF5928" s="7"/>
      <c r="AG5928" s="10"/>
    </row>
    <row r="5929" spans="1:33">
      <c r="A5929" s="8"/>
      <c r="B5929" s="8"/>
      <c r="C5929" s="8"/>
      <c r="D5929" s="8"/>
      <c r="E5929" s="8"/>
      <c r="F5929" s="8"/>
      <c r="G5929" s="8"/>
      <c r="H5929" s="8"/>
      <c r="I5929" s="8"/>
      <c r="J5929" s="8"/>
      <c r="K5929" s="8"/>
      <c r="L5929" s="8"/>
      <c r="M5929" s="8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  <c r="AA5929" s="8"/>
      <c r="AB5929" s="8"/>
      <c r="AC5929" s="8"/>
      <c r="AD5929" s="7"/>
      <c r="AE5929" s="7"/>
      <c r="AF5929" s="7"/>
      <c r="AG5929" s="10"/>
    </row>
    <row r="5930" spans="1:33">
      <c r="A5930" s="8"/>
      <c r="B5930" s="8"/>
      <c r="C5930" s="8"/>
      <c r="D5930" s="8"/>
      <c r="E5930" s="8"/>
      <c r="F5930" s="8"/>
      <c r="G5930" s="8"/>
      <c r="H5930" s="8"/>
      <c r="I5930" s="8"/>
      <c r="J5930" s="8"/>
      <c r="K5930" s="8"/>
      <c r="L5930" s="8"/>
      <c r="M5930" s="8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  <c r="AA5930" s="8"/>
      <c r="AB5930" s="8"/>
      <c r="AC5930" s="8"/>
      <c r="AD5930" s="7"/>
      <c r="AE5930" s="7"/>
      <c r="AF5930" s="7"/>
      <c r="AG5930" s="10"/>
    </row>
    <row r="5931" spans="1:33">
      <c r="A5931" s="8"/>
      <c r="B5931" s="8"/>
      <c r="C5931" s="8"/>
      <c r="D5931" s="8"/>
      <c r="E5931" s="8"/>
      <c r="F5931" s="8"/>
      <c r="G5931" s="8"/>
      <c r="H5931" s="8"/>
      <c r="I5931" s="8"/>
      <c r="J5931" s="8"/>
      <c r="K5931" s="8"/>
      <c r="L5931" s="8"/>
      <c r="M5931" s="8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  <c r="AA5931" s="8"/>
      <c r="AB5931" s="8"/>
      <c r="AC5931" s="8"/>
      <c r="AD5931" s="7"/>
      <c r="AE5931" s="7"/>
      <c r="AF5931" s="7"/>
      <c r="AG5931" s="10"/>
    </row>
    <row r="5932" spans="1:33">
      <c r="A5932" s="8"/>
      <c r="B5932" s="8"/>
      <c r="C5932" s="8"/>
      <c r="D5932" s="8"/>
      <c r="E5932" s="8"/>
      <c r="F5932" s="8"/>
      <c r="G5932" s="8"/>
      <c r="H5932" s="8"/>
      <c r="I5932" s="8"/>
      <c r="J5932" s="8"/>
      <c r="K5932" s="8"/>
      <c r="L5932" s="8"/>
      <c r="M5932" s="8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  <c r="AA5932" s="8"/>
      <c r="AB5932" s="8"/>
      <c r="AC5932" s="8"/>
      <c r="AD5932" s="7"/>
      <c r="AE5932" s="7"/>
      <c r="AF5932" s="7"/>
      <c r="AG5932" s="10"/>
    </row>
    <row r="5933" spans="1:33">
      <c r="A5933" s="8"/>
      <c r="B5933" s="8"/>
      <c r="C5933" s="8"/>
      <c r="D5933" s="8"/>
      <c r="E5933" s="8"/>
      <c r="F5933" s="8"/>
      <c r="G5933" s="8"/>
      <c r="H5933" s="8"/>
      <c r="I5933" s="8"/>
      <c r="J5933" s="8"/>
      <c r="K5933" s="8"/>
      <c r="L5933" s="8"/>
      <c r="M5933" s="8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  <c r="AA5933" s="8"/>
      <c r="AB5933" s="8"/>
      <c r="AC5933" s="8"/>
      <c r="AD5933" s="7"/>
      <c r="AE5933" s="7"/>
      <c r="AF5933" s="7"/>
      <c r="AG5933" s="10"/>
    </row>
    <row r="5934" spans="1:33">
      <c r="A5934" s="8"/>
      <c r="B5934" s="8"/>
      <c r="C5934" s="8"/>
      <c r="D5934" s="8"/>
      <c r="E5934" s="8"/>
      <c r="F5934" s="8"/>
      <c r="G5934" s="8"/>
      <c r="H5934" s="8"/>
      <c r="I5934" s="8"/>
      <c r="J5934" s="8"/>
      <c r="K5934" s="8"/>
      <c r="L5934" s="8"/>
      <c r="M5934" s="8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  <c r="AA5934" s="8"/>
      <c r="AB5934" s="8"/>
      <c r="AC5934" s="8"/>
      <c r="AD5934" s="7"/>
      <c r="AE5934" s="7"/>
      <c r="AF5934" s="7"/>
      <c r="AG5934" s="10"/>
    </row>
    <row r="5935" spans="1:33">
      <c r="A5935" s="8"/>
      <c r="B5935" s="8"/>
      <c r="C5935" s="8"/>
      <c r="D5935" s="8"/>
      <c r="E5935" s="8"/>
      <c r="F5935" s="8"/>
      <c r="G5935" s="8"/>
      <c r="H5935" s="8"/>
      <c r="I5935" s="8"/>
      <c r="J5935" s="8"/>
      <c r="K5935" s="8"/>
      <c r="L5935" s="8"/>
      <c r="M5935" s="8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  <c r="AA5935" s="8"/>
      <c r="AB5935" s="8"/>
      <c r="AC5935" s="8"/>
      <c r="AD5935" s="7"/>
      <c r="AE5935" s="7"/>
      <c r="AF5935" s="7"/>
      <c r="AG5935" s="10"/>
    </row>
    <row r="5936" spans="1:33">
      <c r="A5936" s="8"/>
      <c r="B5936" s="8"/>
      <c r="C5936" s="8"/>
      <c r="D5936" s="8"/>
      <c r="E5936" s="8"/>
      <c r="F5936" s="8"/>
      <c r="G5936" s="8"/>
      <c r="H5936" s="8"/>
      <c r="I5936" s="8"/>
      <c r="J5936" s="8"/>
      <c r="K5936" s="8"/>
      <c r="L5936" s="8"/>
      <c r="M5936" s="8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  <c r="AA5936" s="8"/>
      <c r="AB5936" s="8"/>
      <c r="AC5936" s="8"/>
      <c r="AD5936" s="7"/>
      <c r="AE5936" s="7"/>
      <c r="AF5936" s="7"/>
      <c r="AG5936" s="10"/>
    </row>
    <row r="5937" spans="1:33">
      <c r="A5937" s="8"/>
      <c r="B5937" s="8"/>
      <c r="C5937" s="8"/>
      <c r="D5937" s="8"/>
      <c r="E5937" s="8"/>
      <c r="F5937" s="8"/>
      <c r="G5937" s="8"/>
      <c r="H5937" s="8"/>
      <c r="I5937" s="8"/>
      <c r="J5937" s="8"/>
      <c r="K5937" s="8"/>
      <c r="L5937" s="8"/>
      <c r="M5937" s="8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  <c r="AA5937" s="8"/>
      <c r="AB5937" s="8"/>
      <c r="AC5937" s="8"/>
      <c r="AD5937" s="7"/>
      <c r="AE5937" s="7"/>
      <c r="AF5937" s="7"/>
      <c r="AG5937" s="10"/>
    </row>
    <row r="5938" spans="1:33">
      <c r="A5938" s="8"/>
      <c r="B5938" s="8"/>
      <c r="C5938" s="8"/>
      <c r="D5938" s="8"/>
      <c r="E5938" s="8"/>
      <c r="F5938" s="8"/>
      <c r="G5938" s="8"/>
      <c r="H5938" s="8"/>
      <c r="I5938" s="8"/>
      <c r="J5938" s="8"/>
      <c r="K5938" s="8"/>
      <c r="L5938" s="8"/>
      <c r="M5938" s="8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  <c r="AA5938" s="8"/>
      <c r="AB5938" s="8"/>
      <c r="AC5938" s="8"/>
      <c r="AD5938" s="7"/>
      <c r="AE5938" s="7"/>
      <c r="AF5938" s="7"/>
      <c r="AG5938" s="10"/>
    </row>
    <row r="5939" spans="1:33">
      <c r="A5939" s="8"/>
      <c r="B5939" s="8"/>
      <c r="C5939" s="8"/>
      <c r="D5939" s="8"/>
      <c r="E5939" s="8"/>
      <c r="F5939" s="8"/>
      <c r="G5939" s="8"/>
      <c r="H5939" s="8"/>
      <c r="I5939" s="8"/>
      <c r="J5939" s="8"/>
      <c r="K5939" s="8"/>
      <c r="L5939" s="8"/>
      <c r="M5939" s="8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  <c r="AA5939" s="8"/>
      <c r="AB5939" s="8"/>
      <c r="AC5939" s="8"/>
      <c r="AD5939" s="7"/>
      <c r="AE5939" s="7"/>
      <c r="AF5939" s="7"/>
      <c r="AG5939" s="10"/>
    </row>
    <row r="5940" spans="1:33">
      <c r="A5940" s="8"/>
      <c r="B5940" s="8"/>
      <c r="C5940" s="8"/>
      <c r="D5940" s="8"/>
      <c r="E5940" s="8"/>
      <c r="F5940" s="8"/>
      <c r="G5940" s="8"/>
      <c r="H5940" s="8"/>
      <c r="I5940" s="8"/>
      <c r="J5940" s="8"/>
      <c r="K5940" s="8"/>
      <c r="L5940" s="8"/>
      <c r="M5940" s="8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  <c r="AA5940" s="8"/>
      <c r="AB5940" s="8"/>
      <c r="AC5940" s="8"/>
      <c r="AD5940" s="7"/>
      <c r="AE5940" s="7"/>
      <c r="AF5940" s="7"/>
      <c r="AG5940" s="10"/>
    </row>
    <row r="5941" spans="1:33">
      <c r="A5941" s="8"/>
      <c r="B5941" s="8"/>
      <c r="C5941" s="8"/>
      <c r="D5941" s="8"/>
      <c r="E5941" s="8"/>
      <c r="F5941" s="8"/>
      <c r="G5941" s="8"/>
      <c r="H5941" s="8"/>
      <c r="I5941" s="8"/>
      <c r="J5941" s="8"/>
      <c r="K5941" s="8"/>
      <c r="L5941" s="8"/>
      <c r="M5941" s="8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  <c r="AA5941" s="8"/>
      <c r="AB5941" s="8"/>
      <c r="AC5941" s="8"/>
      <c r="AD5941" s="7"/>
      <c r="AE5941" s="7"/>
      <c r="AF5941" s="7"/>
      <c r="AG5941" s="10"/>
    </row>
    <row r="5942" spans="1:33">
      <c r="A5942" s="8"/>
      <c r="B5942" s="8"/>
      <c r="C5942" s="8"/>
      <c r="D5942" s="8"/>
      <c r="E5942" s="8"/>
      <c r="F5942" s="8"/>
      <c r="G5942" s="8"/>
      <c r="H5942" s="8"/>
      <c r="I5942" s="8"/>
      <c r="J5942" s="8"/>
      <c r="K5942" s="8"/>
      <c r="L5942" s="8"/>
      <c r="M5942" s="8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  <c r="AA5942" s="8"/>
      <c r="AB5942" s="8"/>
      <c r="AC5942" s="8"/>
      <c r="AD5942" s="7"/>
      <c r="AE5942" s="7"/>
      <c r="AF5942" s="7"/>
      <c r="AG5942" s="10"/>
    </row>
    <row r="5943" spans="1:33">
      <c r="A5943" s="8"/>
      <c r="B5943" s="8"/>
      <c r="C5943" s="8"/>
      <c r="D5943" s="8"/>
      <c r="E5943" s="8"/>
      <c r="F5943" s="8"/>
      <c r="G5943" s="8"/>
      <c r="H5943" s="8"/>
      <c r="I5943" s="8"/>
      <c r="J5943" s="8"/>
      <c r="K5943" s="8"/>
      <c r="L5943" s="8"/>
      <c r="M5943" s="8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  <c r="AA5943" s="8"/>
      <c r="AB5943" s="8"/>
      <c r="AC5943" s="8"/>
      <c r="AD5943" s="7"/>
      <c r="AE5943" s="7"/>
      <c r="AF5943" s="7"/>
      <c r="AG5943" s="10"/>
    </row>
    <row r="5944" spans="1:33">
      <c r="A5944" s="8"/>
      <c r="B5944" s="8"/>
      <c r="C5944" s="8"/>
      <c r="D5944" s="8"/>
      <c r="E5944" s="8"/>
      <c r="F5944" s="8"/>
      <c r="G5944" s="8"/>
      <c r="H5944" s="8"/>
      <c r="I5944" s="8"/>
      <c r="J5944" s="8"/>
      <c r="K5944" s="8"/>
      <c r="L5944" s="8"/>
      <c r="M5944" s="8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  <c r="AA5944" s="8"/>
      <c r="AB5944" s="8"/>
      <c r="AC5944" s="8"/>
      <c r="AD5944" s="7"/>
      <c r="AE5944" s="7"/>
      <c r="AF5944" s="7"/>
      <c r="AG5944" s="10"/>
    </row>
    <row r="5945" spans="1:33">
      <c r="A5945" s="8"/>
      <c r="B5945" s="8"/>
      <c r="C5945" s="8"/>
      <c r="D5945" s="8"/>
      <c r="E5945" s="8"/>
      <c r="F5945" s="8"/>
      <c r="G5945" s="8"/>
      <c r="H5945" s="8"/>
      <c r="I5945" s="8"/>
      <c r="J5945" s="8"/>
      <c r="K5945" s="8"/>
      <c r="L5945" s="8"/>
      <c r="M5945" s="8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  <c r="AA5945" s="8"/>
      <c r="AB5945" s="8"/>
      <c r="AC5945" s="8"/>
      <c r="AD5945" s="7"/>
      <c r="AE5945" s="7"/>
      <c r="AF5945" s="7"/>
      <c r="AG5945" s="10"/>
    </row>
    <row r="5946" spans="1:33">
      <c r="A5946" s="8"/>
      <c r="B5946" s="8"/>
      <c r="C5946" s="8"/>
      <c r="D5946" s="8"/>
      <c r="E5946" s="8"/>
      <c r="F5946" s="8"/>
      <c r="G5946" s="8"/>
      <c r="H5946" s="8"/>
      <c r="I5946" s="8"/>
      <c r="J5946" s="8"/>
      <c r="K5946" s="8"/>
      <c r="L5946" s="8"/>
      <c r="M5946" s="8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  <c r="AA5946" s="8"/>
      <c r="AB5946" s="8"/>
      <c r="AC5946" s="8"/>
      <c r="AD5946" s="7"/>
      <c r="AE5946" s="7"/>
      <c r="AF5946" s="7"/>
      <c r="AG5946" s="10"/>
    </row>
    <row r="5947" spans="1:33">
      <c r="A5947" s="8"/>
      <c r="B5947" s="8"/>
      <c r="C5947" s="8"/>
      <c r="D5947" s="8"/>
      <c r="E5947" s="8"/>
      <c r="F5947" s="8"/>
      <c r="G5947" s="8"/>
      <c r="H5947" s="8"/>
      <c r="I5947" s="8"/>
      <c r="J5947" s="8"/>
      <c r="K5947" s="8"/>
      <c r="L5947" s="8"/>
      <c r="M5947" s="8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  <c r="AA5947" s="8"/>
      <c r="AB5947" s="8"/>
      <c r="AC5947" s="8"/>
      <c r="AD5947" s="7"/>
      <c r="AE5947" s="7"/>
      <c r="AF5947" s="7"/>
      <c r="AG5947" s="10"/>
    </row>
    <row r="5948" spans="1:33">
      <c r="A5948" s="8"/>
      <c r="B5948" s="8"/>
      <c r="C5948" s="8"/>
      <c r="D5948" s="8"/>
      <c r="E5948" s="8"/>
      <c r="F5948" s="8"/>
      <c r="G5948" s="8"/>
      <c r="H5948" s="8"/>
      <c r="I5948" s="8"/>
      <c r="J5948" s="8"/>
      <c r="K5948" s="8"/>
      <c r="L5948" s="8"/>
      <c r="M5948" s="8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  <c r="AA5948" s="8"/>
      <c r="AB5948" s="8"/>
      <c r="AC5948" s="8"/>
      <c r="AD5948" s="7"/>
      <c r="AE5948" s="7"/>
      <c r="AF5948" s="7"/>
      <c r="AG5948" s="10"/>
    </row>
    <row r="5949" spans="1:33">
      <c r="A5949" s="8"/>
      <c r="B5949" s="8"/>
      <c r="C5949" s="8"/>
      <c r="D5949" s="8"/>
      <c r="E5949" s="8"/>
      <c r="F5949" s="8"/>
      <c r="G5949" s="8"/>
      <c r="H5949" s="8"/>
      <c r="I5949" s="8"/>
      <c r="J5949" s="8"/>
      <c r="K5949" s="8"/>
      <c r="L5949" s="8"/>
      <c r="M5949" s="8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  <c r="AA5949" s="8"/>
      <c r="AB5949" s="8"/>
      <c r="AC5949" s="8"/>
      <c r="AD5949" s="7"/>
      <c r="AE5949" s="7"/>
      <c r="AF5949" s="7"/>
      <c r="AG5949" s="10"/>
    </row>
    <row r="5950" spans="1:33">
      <c r="A5950" s="8"/>
      <c r="B5950" s="8"/>
      <c r="C5950" s="8"/>
      <c r="D5950" s="8"/>
      <c r="E5950" s="8"/>
      <c r="F5950" s="8"/>
      <c r="G5950" s="8"/>
      <c r="H5950" s="8"/>
      <c r="I5950" s="8"/>
      <c r="J5950" s="8"/>
      <c r="K5950" s="8"/>
      <c r="L5950" s="8"/>
      <c r="M5950" s="8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  <c r="AA5950" s="8"/>
      <c r="AB5950" s="8"/>
      <c r="AC5950" s="8"/>
      <c r="AD5950" s="7"/>
      <c r="AE5950" s="7"/>
      <c r="AF5950" s="7"/>
      <c r="AG5950" s="10"/>
    </row>
    <row r="5951" spans="1:33">
      <c r="A5951" s="8"/>
      <c r="B5951" s="8"/>
      <c r="C5951" s="8"/>
      <c r="D5951" s="8"/>
      <c r="E5951" s="8"/>
      <c r="F5951" s="8"/>
      <c r="G5951" s="8"/>
      <c r="H5951" s="8"/>
      <c r="I5951" s="8"/>
      <c r="J5951" s="8"/>
      <c r="K5951" s="8"/>
      <c r="L5951" s="8"/>
      <c r="M5951" s="8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  <c r="AA5951" s="8"/>
      <c r="AB5951" s="8"/>
      <c r="AC5951" s="8"/>
      <c r="AD5951" s="7"/>
      <c r="AE5951" s="7"/>
      <c r="AF5951" s="7"/>
      <c r="AG5951" s="10"/>
    </row>
    <row r="5952" spans="1:33">
      <c r="A5952" s="8"/>
      <c r="B5952" s="8"/>
      <c r="C5952" s="8"/>
      <c r="D5952" s="8"/>
      <c r="E5952" s="8"/>
      <c r="F5952" s="8"/>
      <c r="G5952" s="8"/>
      <c r="H5952" s="8"/>
      <c r="I5952" s="8"/>
      <c r="J5952" s="8"/>
      <c r="K5952" s="8"/>
      <c r="L5952" s="8"/>
      <c r="M5952" s="8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  <c r="AA5952" s="8"/>
      <c r="AB5952" s="8"/>
      <c r="AC5952" s="8"/>
      <c r="AD5952" s="7"/>
      <c r="AE5952" s="7"/>
      <c r="AF5952" s="7"/>
      <c r="AG5952" s="10"/>
    </row>
    <row r="5953" spans="1:33">
      <c r="A5953" s="8"/>
      <c r="B5953" s="8"/>
      <c r="C5953" s="8"/>
      <c r="D5953" s="8"/>
      <c r="E5953" s="8"/>
      <c r="F5953" s="8"/>
      <c r="G5953" s="8"/>
      <c r="H5953" s="8"/>
      <c r="I5953" s="8"/>
      <c r="J5953" s="8"/>
      <c r="K5953" s="8"/>
      <c r="L5953" s="8"/>
      <c r="M5953" s="8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  <c r="AA5953" s="8"/>
      <c r="AB5953" s="8"/>
      <c r="AC5953" s="8"/>
      <c r="AD5953" s="7"/>
      <c r="AE5953" s="7"/>
      <c r="AF5953" s="7"/>
      <c r="AG5953" s="10"/>
    </row>
    <row r="5954" spans="1:33">
      <c r="A5954" s="8"/>
      <c r="B5954" s="8"/>
      <c r="C5954" s="8"/>
      <c r="D5954" s="8"/>
      <c r="E5954" s="8"/>
      <c r="F5954" s="8"/>
      <c r="G5954" s="8"/>
      <c r="H5954" s="8"/>
      <c r="I5954" s="8"/>
      <c r="J5954" s="8"/>
      <c r="K5954" s="8"/>
      <c r="L5954" s="8"/>
      <c r="M5954" s="8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  <c r="AA5954" s="8"/>
      <c r="AB5954" s="8"/>
      <c r="AC5954" s="8"/>
      <c r="AD5954" s="7"/>
      <c r="AE5954" s="7"/>
      <c r="AF5954" s="7"/>
      <c r="AG5954" s="10"/>
    </row>
    <row r="5955" spans="1:33">
      <c r="A5955" s="8"/>
      <c r="B5955" s="8"/>
      <c r="C5955" s="8"/>
      <c r="D5955" s="8"/>
      <c r="E5955" s="8"/>
      <c r="F5955" s="8"/>
      <c r="G5955" s="8"/>
      <c r="H5955" s="8"/>
      <c r="I5955" s="8"/>
      <c r="J5955" s="8"/>
      <c r="K5955" s="8"/>
      <c r="L5955" s="8"/>
      <c r="M5955" s="8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  <c r="AA5955" s="8"/>
      <c r="AB5955" s="8"/>
      <c r="AC5955" s="8"/>
      <c r="AD5955" s="7"/>
      <c r="AE5955" s="7"/>
      <c r="AF5955" s="7"/>
      <c r="AG5955" s="10"/>
    </row>
    <row r="5956" spans="1:33">
      <c r="A5956" s="8"/>
      <c r="B5956" s="8"/>
      <c r="C5956" s="8"/>
      <c r="D5956" s="8"/>
      <c r="E5956" s="8"/>
      <c r="F5956" s="8"/>
      <c r="G5956" s="8"/>
      <c r="H5956" s="8"/>
      <c r="I5956" s="8"/>
      <c r="J5956" s="8"/>
      <c r="K5956" s="8"/>
      <c r="L5956" s="8"/>
      <c r="M5956" s="8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  <c r="AA5956" s="8"/>
      <c r="AB5956" s="8"/>
      <c r="AC5956" s="8"/>
      <c r="AD5956" s="7"/>
      <c r="AE5956" s="7"/>
      <c r="AF5956" s="7"/>
      <c r="AG5956" s="10"/>
    </row>
    <row r="5957" spans="1:33">
      <c r="A5957" s="8"/>
      <c r="B5957" s="8"/>
      <c r="C5957" s="8"/>
      <c r="D5957" s="8"/>
      <c r="E5957" s="8"/>
      <c r="F5957" s="8"/>
      <c r="G5957" s="8"/>
      <c r="H5957" s="8"/>
      <c r="I5957" s="8"/>
      <c r="J5957" s="8"/>
      <c r="K5957" s="8"/>
      <c r="L5957" s="8"/>
      <c r="M5957" s="8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  <c r="AA5957" s="8"/>
      <c r="AB5957" s="8"/>
      <c r="AC5957" s="8"/>
      <c r="AD5957" s="7"/>
      <c r="AE5957" s="7"/>
      <c r="AF5957" s="7"/>
      <c r="AG5957" s="10"/>
    </row>
    <row r="5958" spans="1:33">
      <c r="A5958" s="8"/>
      <c r="B5958" s="8"/>
      <c r="C5958" s="8"/>
      <c r="D5958" s="8"/>
      <c r="E5958" s="8"/>
      <c r="F5958" s="8"/>
      <c r="G5958" s="8"/>
      <c r="H5958" s="8"/>
      <c r="I5958" s="8"/>
      <c r="J5958" s="8"/>
      <c r="K5958" s="8"/>
      <c r="L5958" s="8"/>
      <c r="M5958" s="8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  <c r="AA5958" s="8"/>
      <c r="AB5958" s="8"/>
      <c r="AC5958" s="8"/>
      <c r="AD5958" s="7"/>
      <c r="AE5958" s="7"/>
      <c r="AF5958" s="7"/>
      <c r="AG5958" s="10"/>
    </row>
    <row r="5959" spans="1:33">
      <c r="A5959" s="8"/>
      <c r="B5959" s="8"/>
      <c r="C5959" s="8"/>
      <c r="D5959" s="8"/>
      <c r="E5959" s="8"/>
      <c r="F5959" s="8"/>
      <c r="G5959" s="8"/>
      <c r="H5959" s="8"/>
      <c r="I5959" s="8"/>
      <c r="J5959" s="8"/>
      <c r="K5959" s="8"/>
      <c r="L5959" s="8"/>
      <c r="M5959" s="8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  <c r="AA5959" s="8"/>
      <c r="AB5959" s="8"/>
      <c r="AC5959" s="8"/>
      <c r="AD5959" s="7"/>
      <c r="AE5959" s="7"/>
      <c r="AF5959" s="7"/>
      <c r="AG5959" s="10"/>
    </row>
    <row r="5960" spans="1:33">
      <c r="A5960" s="8"/>
      <c r="B5960" s="8"/>
      <c r="C5960" s="8"/>
      <c r="D5960" s="8"/>
      <c r="E5960" s="8"/>
      <c r="F5960" s="8"/>
      <c r="G5960" s="8"/>
      <c r="H5960" s="8"/>
      <c r="I5960" s="8"/>
      <c r="J5960" s="8"/>
      <c r="K5960" s="8"/>
      <c r="L5960" s="8"/>
      <c r="M5960" s="8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  <c r="AA5960" s="8"/>
      <c r="AB5960" s="8"/>
      <c r="AC5960" s="8"/>
      <c r="AD5960" s="7"/>
      <c r="AE5960" s="7"/>
      <c r="AF5960" s="7"/>
      <c r="AG5960" s="10"/>
    </row>
    <row r="5961" spans="1:33">
      <c r="A5961" s="8"/>
      <c r="B5961" s="8"/>
      <c r="C5961" s="8"/>
      <c r="D5961" s="8"/>
      <c r="E5961" s="8"/>
      <c r="F5961" s="8"/>
      <c r="G5961" s="8"/>
      <c r="H5961" s="8"/>
      <c r="I5961" s="8"/>
      <c r="J5961" s="8"/>
      <c r="K5961" s="8"/>
      <c r="L5961" s="8"/>
      <c r="M5961" s="8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  <c r="AA5961" s="8"/>
      <c r="AB5961" s="8"/>
      <c r="AC5961" s="8"/>
      <c r="AD5961" s="7"/>
      <c r="AE5961" s="7"/>
      <c r="AF5961" s="7"/>
      <c r="AG5961" s="10"/>
    </row>
    <row r="5962" spans="1:33">
      <c r="A5962" s="8"/>
      <c r="B5962" s="8"/>
      <c r="C5962" s="8"/>
      <c r="D5962" s="8"/>
      <c r="E5962" s="8"/>
      <c r="F5962" s="8"/>
      <c r="G5962" s="8"/>
      <c r="H5962" s="8"/>
      <c r="I5962" s="8"/>
      <c r="J5962" s="8"/>
      <c r="K5962" s="8"/>
      <c r="L5962" s="8"/>
      <c r="M5962" s="8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  <c r="AA5962" s="8"/>
      <c r="AB5962" s="8"/>
      <c r="AC5962" s="8"/>
      <c r="AD5962" s="7"/>
      <c r="AE5962" s="7"/>
      <c r="AF5962" s="7"/>
      <c r="AG5962" s="10"/>
    </row>
    <row r="5963" spans="1:33">
      <c r="A5963" s="8"/>
      <c r="B5963" s="8"/>
      <c r="C5963" s="8"/>
      <c r="D5963" s="8"/>
      <c r="E5963" s="8"/>
      <c r="F5963" s="8"/>
      <c r="G5963" s="8"/>
      <c r="H5963" s="8"/>
      <c r="I5963" s="8"/>
      <c r="J5963" s="8"/>
      <c r="K5963" s="8"/>
      <c r="L5963" s="8"/>
      <c r="M5963" s="8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  <c r="AA5963" s="8"/>
      <c r="AB5963" s="8"/>
      <c r="AC5963" s="8"/>
      <c r="AD5963" s="7"/>
      <c r="AE5963" s="7"/>
      <c r="AF5963" s="7"/>
      <c r="AG5963" s="10"/>
    </row>
    <row r="5964" spans="1:33">
      <c r="A5964" s="8"/>
      <c r="B5964" s="8"/>
      <c r="C5964" s="8"/>
      <c r="D5964" s="8"/>
      <c r="E5964" s="8"/>
      <c r="F5964" s="8"/>
      <c r="G5964" s="8"/>
      <c r="H5964" s="8"/>
      <c r="I5964" s="8"/>
      <c r="J5964" s="8"/>
      <c r="K5964" s="8"/>
      <c r="L5964" s="8"/>
      <c r="M5964" s="8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  <c r="AA5964" s="8"/>
      <c r="AB5964" s="8"/>
      <c r="AC5964" s="8"/>
      <c r="AD5964" s="7"/>
      <c r="AE5964" s="7"/>
      <c r="AF5964" s="7"/>
      <c r="AG5964" s="10"/>
    </row>
    <row r="5965" spans="1:33">
      <c r="A5965" s="8"/>
      <c r="B5965" s="8"/>
      <c r="C5965" s="8"/>
      <c r="D5965" s="8"/>
      <c r="E5965" s="8"/>
      <c r="F5965" s="8"/>
      <c r="G5965" s="8"/>
      <c r="H5965" s="8"/>
      <c r="I5965" s="8"/>
      <c r="J5965" s="8"/>
      <c r="K5965" s="8"/>
      <c r="L5965" s="8"/>
      <c r="M5965" s="8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  <c r="AA5965" s="8"/>
      <c r="AB5965" s="8"/>
      <c r="AC5965" s="8"/>
      <c r="AD5965" s="7"/>
      <c r="AE5965" s="7"/>
      <c r="AF5965" s="7"/>
      <c r="AG5965" s="10"/>
    </row>
    <row r="5966" spans="1:33">
      <c r="A5966" s="8"/>
      <c r="B5966" s="8"/>
      <c r="C5966" s="8"/>
      <c r="D5966" s="8"/>
      <c r="E5966" s="8"/>
      <c r="F5966" s="8"/>
      <c r="G5966" s="8"/>
      <c r="H5966" s="8"/>
      <c r="I5966" s="8"/>
      <c r="J5966" s="8"/>
      <c r="K5966" s="8"/>
      <c r="L5966" s="8"/>
      <c r="M5966" s="8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  <c r="AA5966" s="8"/>
      <c r="AB5966" s="8"/>
      <c r="AC5966" s="8"/>
      <c r="AD5966" s="7"/>
      <c r="AE5966" s="7"/>
      <c r="AF5966" s="7"/>
      <c r="AG5966" s="10"/>
    </row>
    <row r="5967" spans="1:33">
      <c r="A5967" s="8"/>
      <c r="B5967" s="8"/>
      <c r="C5967" s="8"/>
      <c r="D5967" s="8"/>
      <c r="E5967" s="8"/>
      <c r="F5967" s="8"/>
      <c r="G5967" s="8"/>
      <c r="H5967" s="8"/>
      <c r="I5967" s="8"/>
      <c r="J5967" s="8"/>
      <c r="K5967" s="8"/>
      <c r="L5967" s="8"/>
      <c r="M5967" s="8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  <c r="AA5967" s="8"/>
      <c r="AB5967" s="8"/>
      <c r="AC5967" s="8"/>
      <c r="AD5967" s="7"/>
      <c r="AE5967" s="7"/>
      <c r="AF5967" s="7"/>
      <c r="AG5967" s="10"/>
    </row>
    <row r="5968" spans="1:33">
      <c r="A5968" s="8"/>
      <c r="B5968" s="8"/>
      <c r="C5968" s="8"/>
      <c r="D5968" s="8"/>
      <c r="E5968" s="8"/>
      <c r="F5968" s="8"/>
      <c r="G5968" s="8"/>
      <c r="H5968" s="8"/>
      <c r="I5968" s="8"/>
      <c r="J5968" s="8"/>
      <c r="K5968" s="8"/>
      <c r="L5968" s="8"/>
      <c r="M5968" s="8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  <c r="AA5968" s="8"/>
      <c r="AB5968" s="8"/>
      <c r="AC5968" s="8"/>
      <c r="AD5968" s="7"/>
      <c r="AE5968" s="7"/>
      <c r="AF5968" s="7"/>
      <c r="AG5968" s="10"/>
    </row>
    <row r="5969" spans="1:33">
      <c r="A5969" s="8"/>
      <c r="B5969" s="8"/>
      <c r="C5969" s="8"/>
      <c r="D5969" s="8"/>
      <c r="E5969" s="8"/>
      <c r="F5969" s="8"/>
      <c r="G5969" s="8"/>
      <c r="H5969" s="8"/>
      <c r="I5969" s="8"/>
      <c r="J5969" s="8"/>
      <c r="K5969" s="8"/>
      <c r="L5969" s="8"/>
      <c r="M5969" s="8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  <c r="AA5969" s="8"/>
      <c r="AB5969" s="8"/>
      <c r="AC5969" s="8"/>
      <c r="AD5969" s="7"/>
      <c r="AE5969" s="7"/>
      <c r="AF5969" s="7"/>
      <c r="AG5969" s="10"/>
    </row>
    <row r="5970" spans="1:33">
      <c r="A5970" s="8"/>
      <c r="B5970" s="8"/>
      <c r="C5970" s="8"/>
      <c r="D5970" s="8"/>
      <c r="E5970" s="8"/>
      <c r="F5970" s="8"/>
      <c r="G5970" s="8"/>
      <c r="H5970" s="8"/>
      <c r="I5970" s="8"/>
      <c r="J5970" s="8"/>
      <c r="K5970" s="8"/>
      <c r="L5970" s="8"/>
      <c r="M5970" s="8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  <c r="AA5970" s="8"/>
      <c r="AB5970" s="8"/>
      <c r="AC5970" s="8"/>
      <c r="AD5970" s="7"/>
      <c r="AE5970" s="7"/>
      <c r="AF5970" s="7"/>
      <c r="AG5970" s="10"/>
    </row>
    <row r="5971" spans="1:33">
      <c r="A5971" s="8"/>
      <c r="B5971" s="8"/>
      <c r="C5971" s="8"/>
      <c r="D5971" s="8"/>
      <c r="E5971" s="8"/>
      <c r="F5971" s="8"/>
      <c r="G5971" s="8"/>
      <c r="H5971" s="8"/>
      <c r="I5971" s="8"/>
      <c r="J5971" s="8"/>
      <c r="K5971" s="8"/>
      <c r="L5971" s="8"/>
      <c r="M5971" s="8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  <c r="AA5971" s="8"/>
      <c r="AB5971" s="8"/>
      <c r="AC5971" s="8"/>
      <c r="AD5971" s="7"/>
      <c r="AE5971" s="7"/>
      <c r="AF5971" s="7"/>
      <c r="AG5971" s="10"/>
    </row>
    <row r="5972" spans="1:33">
      <c r="A5972" s="8"/>
      <c r="B5972" s="8"/>
      <c r="C5972" s="8"/>
      <c r="D5972" s="8"/>
      <c r="E5972" s="8"/>
      <c r="F5972" s="8"/>
      <c r="G5972" s="8"/>
      <c r="H5972" s="8"/>
      <c r="I5972" s="8"/>
      <c r="J5972" s="8"/>
      <c r="K5972" s="8"/>
      <c r="L5972" s="8"/>
      <c r="M5972" s="8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  <c r="AA5972" s="8"/>
      <c r="AB5972" s="8"/>
      <c r="AC5972" s="8"/>
      <c r="AD5972" s="7"/>
      <c r="AE5972" s="7"/>
      <c r="AF5972" s="7"/>
      <c r="AG5972" s="10"/>
    </row>
    <row r="5973" spans="1:33">
      <c r="A5973" s="8"/>
      <c r="B5973" s="8"/>
      <c r="C5973" s="8"/>
      <c r="D5973" s="8"/>
      <c r="E5973" s="8"/>
      <c r="F5973" s="8"/>
      <c r="G5973" s="8"/>
      <c r="H5973" s="8"/>
      <c r="I5973" s="8"/>
      <c r="J5973" s="8"/>
      <c r="K5973" s="8"/>
      <c r="L5973" s="8"/>
      <c r="M5973" s="8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  <c r="AA5973" s="8"/>
      <c r="AB5973" s="8"/>
      <c r="AC5973" s="8"/>
      <c r="AD5973" s="7"/>
      <c r="AE5973" s="7"/>
      <c r="AF5973" s="7"/>
      <c r="AG5973" s="10"/>
    </row>
    <row r="5974" spans="1:33">
      <c r="A5974" s="8"/>
      <c r="B5974" s="8"/>
      <c r="C5974" s="8"/>
      <c r="D5974" s="8"/>
      <c r="E5974" s="8"/>
      <c r="F5974" s="8"/>
      <c r="G5974" s="8"/>
      <c r="H5974" s="8"/>
      <c r="I5974" s="8"/>
      <c r="J5974" s="8"/>
      <c r="K5974" s="8"/>
      <c r="L5974" s="8"/>
      <c r="M5974" s="8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  <c r="AA5974" s="8"/>
      <c r="AB5974" s="8"/>
      <c r="AC5974" s="8"/>
      <c r="AD5974" s="7"/>
      <c r="AE5974" s="7"/>
      <c r="AF5974" s="7"/>
      <c r="AG5974" s="10"/>
    </row>
    <row r="5975" spans="1:33">
      <c r="A5975" s="8"/>
      <c r="B5975" s="8"/>
      <c r="C5975" s="8"/>
      <c r="D5975" s="8"/>
      <c r="E5975" s="8"/>
      <c r="F5975" s="8"/>
      <c r="G5975" s="8"/>
      <c r="H5975" s="8"/>
      <c r="I5975" s="8"/>
      <c r="J5975" s="8"/>
      <c r="K5975" s="8"/>
      <c r="L5975" s="8"/>
      <c r="M5975" s="8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  <c r="AA5975" s="8"/>
      <c r="AB5975" s="8"/>
      <c r="AC5975" s="8"/>
      <c r="AD5975" s="7"/>
      <c r="AE5975" s="7"/>
      <c r="AF5975" s="7"/>
      <c r="AG5975" s="10"/>
    </row>
    <row r="5976" spans="1:33">
      <c r="A5976" s="8"/>
      <c r="B5976" s="8"/>
      <c r="C5976" s="8"/>
      <c r="D5976" s="8"/>
      <c r="E5976" s="8"/>
      <c r="F5976" s="8"/>
      <c r="G5976" s="8"/>
      <c r="H5976" s="8"/>
      <c r="I5976" s="8"/>
      <c r="J5976" s="8"/>
      <c r="K5976" s="8"/>
      <c r="L5976" s="8"/>
      <c r="M5976" s="8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  <c r="AA5976" s="8"/>
      <c r="AB5976" s="8"/>
      <c r="AC5976" s="8"/>
      <c r="AD5976" s="7"/>
      <c r="AE5976" s="7"/>
      <c r="AF5976" s="7"/>
      <c r="AG5976" s="10"/>
    </row>
    <row r="5977" spans="1:33">
      <c r="A5977" s="8"/>
      <c r="B5977" s="8"/>
      <c r="C5977" s="8"/>
      <c r="D5977" s="8"/>
      <c r="E5977" s="8"/>
      <c r="F5977" s="8"/>
      <c r="G5977" s="8"/>
      <c r="H5977" s="8"/>
      <c r="I5977" s="8"/>
      <c r="J5977" s="8"/>
      <c r="K5977" s="8"/>
      <c r="L5977" s="8"/>
      <c r="M5977" s="8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  <c r="AA5977" s="8"/>
      <c r="AB5977" s="8"/>
      <c r="AC5977" s="8"/>
      <c r="AD5977" s="7"/>
      <c r="AE5977" s="7"/>
      <c r="AF5977" s="7"/>
      <c r="AG5977" s="10"/>
    </row>
    <row r="5978" spans="1:33">
      <c r="A5978" s="8"/>
      <c r="B5978" s="8"/>
      <c r="C5978" s="8"/>
      <c r="D5978" s="8"/>
      <c r="E5978" s="8"/>
      <c r="F5978" s="8"/>
      <c r="G5978" s="8"/>
      <c r="H5978" s="8"/>
      <c r="I5978" s="8"/>
      <c r="J5978" s="8"/>
      <c r="K5978" s="8"/>
      <c r="L5978" s="8"/>
      <c r="M5978" s="8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  <c r="AA5978" s="8"/>
      <c r="AB5978" s="8"/>
      <c r="AC5978" s="8"/>
      <c r="AD5978" s="7"/>
      <c r="AE5978" s="7"/>
      <c r="AF5978" s="7"/>
      <c r="AG5978" s="10"/>
    </row>
    <row r="5979" spans="1:33">
      <c r="A5979" s="8"/>
      <c r="B5979" s="8"/>
      <c r="C5979" s="8"/>
      <c r="D5979" s="8"/>
      <c r="E5979" s="8"/>
      <c r="F5979" s="8"/>
      <c r="G5979" s="8"/>
      <c r="H5979" s="8"/>
      <c r="I5979" s="8"/>
      <c r="J5979" s="8"/>
      <c r="K5979" s="8"/>
      <c r="L5979" s="8"/>
      <c r="M5979" s="8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  <c r="AA5979" s="8"/>
      <c r="AB5979" s="8"/>
      <c r="AC5979" s="8"/>
      <c r="AD5979" s="7"/>
      <c r="AE5979" s="7"/>
      <c r="AF5979" s="7"/>
      <c r="AG5979" s="10"/>
    </row>
    <row r="5980" spans="1:33">
      <c r="A5980" s="8"/>
      <c r="B5980" s="8"/>
      <c r="C5980" s="8"/>
      <c r="D5980" s="8"/>
      <c r="E5980" s="8"/>
      <c r="F5980" s="8"/>
      <c r="G5980" s="8"/>
      <c r="H5980" s="8"/>
      <c r="I5980" s="8"/>
      <c r="J5980" s="8"/>
      <c r="K5980" s="8"/>
      <c r="L5980" s="8"/>
      <c r="M5980" s="8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  <c r="AA5980" s="8"/>
      <c r="AB5980" s="8"/>
      <c r="AC5980" s="8"/>
      <c r="AD5980" s="7"/>
      <c r="AE5980" s="7"/>
      <c r="AF5980" s="7"/>
      <c r="AG5980" s="10"/>
    </row>
    <row r="5981" spans="1:33">
      <c r="A5981" s="8"/>
      <c r="B5981" s="8"/>
      <c r="C5981" s="8"/>
      <c r="D5981" s="8"/>
      <c r="E5981" s="8"/>
      <c r="F5981" s="8"/>
      <c r="G5981" s="8"/>
      <c r="H5981" s="8"/>
      <c r="I5981" s="8"/>
      <c r="J5981" s="8"/>
      <c r="K5981" s="8"/>
      <c r="L5981" s="8"/>
      <c r="M5981" s="8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  <c r="AA5981" s="8"/>
      <c r="AB5981" s="8"/>
      <c r="AC5981" s="8"/>
      <c r="AD5981" s="7"/>
      <c r="AE5981" s="7"/>
      <c r="AF5981" s="7"/>
      <c r="AG5981" s="10"/>
    </row>
    <row r="5982" spans="1:33">
      <c r="A5982" s="8"/>
      <c r="B5982" s="8"/>
      <c r="C5982" s="8"/>
      <c r="D5982" s="8"/>
      <c r="E5982" s="8"/>
      <c r="F5982" s="8"/>
      <c r="G5982" s="8"/>
      <c r="H5982" s="8"/>
      <c r="I5982" s="8"/>
      <c r="J5982" s="8"/>
      <c r="K5982" s="8"/>
      <c r="L5982" s="8"/>
      <c r="M5982" s="8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  <c r="AA5982" s="8"/>
      <c r="AB5982" s="8"/>
      <c r="AC5982" s="8"/>
      <c r="AD5982" s="7"/>
      <c r="AE5982" s="7"/>
      <c r="AF5982" s="7"/>
      <c r="AG5982" s="10"/>
    </row>
    <row r="5983" spans="1:33">
      <c r="A5983" s="8"/>
      <c r="B5983" s="8"/>
      <c r="C5983" s="8"/>
      <c r="D5983" s="8"/>
      <c r="E5983" s="8"/>
      <c r="F5983" s="8"/>
      <c r="G5983" s="8"/>
      <c r="H5983" s="8"/>
      <c r="I5983" s="8"/>
      <c r="J5983" s="8"/>
      <c r="K5983" s="8"/>
      <c r="L5983" s="8"/>
      <c r="M5983" s="8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  <c r="AA5983" s="8"/>
      <c r="AB5983" s="8"/>
      <c r="AC5983" s="8"/>
      <c r="AD5983" s="7"/>
      <c r="AE5983" s="7"/>
      <c r="AF5983" s="7"/>
      <c r="AG5983" s="10"/>
    </row>
    <row r="5984" spans="1:33">
      <c r="A5984" s="8"/>
      <c r="B5984" s="8"/>
      <c r="C5984" s="8"/>
      <c r="D5984" s="8"/>
      <c r="E5984" s="8"/>
      <c r="F5984" s="8"/>
      <c r="G5984" s="8"/>
      <c r="H5984" s="8"/>
      <c r="I5984" s="8"/>
      <c r="J5984" s="8"/>
      <c r="K5984" s="8"/>
      <c r="L5984" s="8"/>
      <c r="M5984" s="8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  <c r="AA5984" s="8"/>
      <c r="AB5984" s="8"/>
      <c r="AC5984" s="8"/>
      <c r="AD5984" s="7"/>
      <c r="AE5984" s="7"/>
      <c r="AF5984" s="7"/>
      <c r="AG5984" s="10"/>
    </row>
    <row r="5985" spans="1:33">
      <c r="A5985" s="8"/>
      <c r="B5985" s="8"/>
      <c r="C5985" s="8"/>
      <c r="D5985" s="8"/>
      <c r="E5985" s="8"/>
      <c r="F5985" s="8"/>
      <c r="G5985" s="8"/>
      <c r="H5985" s="8"/>
      <c r="I5985" s="8"/>
      <c r="J5985" s="8"/>
      <c r="K5985" s="8"/>
      <c r="L5985" s="8"/>
      <c r="M5985" s="8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  <c r="AA5985" s="8"/>
      <c r="AB5985" s="8"/>
      <c r="AC5985" s="8"/>
      <c r="AD5985" s="7"/>
      <c r="AE5985" s="7"/>
      <c r="AF5985" s="7"/>
      <c r="AG5985" s="10"/>
    </row>
    <row r="5986" spans="1:33">
      <c r="A5986" s="8"/>
      <c r="B5986" s="8"/>
      <c r="C5986" s="8"/>
      <c r="D5986" s="8"/>
      <c r="E5986" s="8"/>
      <c r="F5986" s="8"/>
      <c r="G5986" s="8"/>
      <c r="H5986" s="8"/>
      <c r="I5986" s="8"/>
      <c r="J5986" s="8"/>
      <c r="K5986" s="8"/>
      <c r="L5986" s="8"/>
      <c r="M5986" s="8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  <c r="AA5986" s="8"/>
      <c r="AB5986" s="8"/>
      <c r="AC5986" s="8"/>
      <c r="AD5986" s="7"/>
      <c r="AE5986" s="7"/>
      <c r="AF5986" s="7"/>
      <c r="AG5986" s="10"/>
    </row>
    <row r="5987" spans="1:33">
      <c r="A5987" s="8"/>
      <c r="B5987" s="8"/>
      <c r="C5987" s="8"/>
      <c r="D5987" s="8"/>
      <c r="E5987" s="8"/>
      <c r="F5987" s="8"/>
      <c r="G5987" s="8"/>
      <c r="H5987" s="8"/>
      <c r="I5987" s="8"/>
      <c r="J5987" s="8"/>
      <c r="K5987" s="8"/>
      <c r="L5987" s="8"/>
      <c r="M5987" s="8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  <c r="AA5987" s="8"/>
      <c r="AB5987" s="8"/>
      <c r="AC5987" s="8"/>
      <c r="AD5987" s="7"/>
      <c r="AE5987" s="7"/>
      <c r="AF5987" s="7"/>
      <c r="AG5987" s="10"/>
    </row>
    <row r="5988" spans="1:33">
      <c r="A5988" s="8"/>
      <c r="B5988" s="8"/>
      <c r="C5988" s="8"/>
      <c r="D5988" s="8"/>
      <c r="E5988" s="8"/>
      <c r="F5988" s="8"/>
      <c r="G5988" s="8"/>
      <c r="H5988" s="8"/>
      <c r="I5988" s="8"/>
      <c r="J5988" s="8"/>
      <c r="K5988" s="8"/>
      <c r="L5988" s="8"/>
      <c r="M5988" s="8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  <c r="AA5988" s="8"/>
      <c r="AB5988" s="8"/>
      <c r="AC5988" s="8"/>
      <c r="AD5988" s="7"/>
      <c r="AE5988" s="7"/>
      <c r="AF5988" s="7"/>
      <c r="AG5988" s="10"/>
    </row>
    <row r="5989" spans="1:33">
      <c r="A5989" s="8"/>
      <c r="B5989" s="8"/>
      <c r="C5989" s="8"/>
      <c r="D5989" s="8"/>
      <c r="E5989" s="8"/>
      <c r="F5989" s="8"/>
      <c r="G5989" s="8"/>
      <c r="H5989" s="8"/>
      <c r="I5989" s="8"/>
      <c r="J5989" s="8"/>
      <c r="K5989" s="8"/>
      <c r="L5989" s="8"/>
      <c r="M5989" s="8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  <c r="AA5989" s="8"/>
      <c r="AB5989" s="8"/>
      <c r="AC5989" s="8"/>
      <c r="AD5989" s="7"/>
      <c r="AE5989" s="7"/>
      <c r="AF5989" s="7"/>
      <c r="AG5989" s="10"/>
    </row>
    <row r="5990" spans="1:33">
      <c r="A5990" s="8"/>
      <c r="B5990" s="8"/>
      <c r="C5990" s="8"/>
      <c r="D5990" s="8"/>
      <c r="E5990" s="8"/>
      <c r="F5990" s="8"/>
      <c r="G5990" s="8"/>
      <c r="H5990" s="8"/>
      <c r="I5990" s="8"/>
      <c r="J5990" s="8"/>
      <c r="K5990" s="8"/>
      <c r="L5990" s="8"/>
      <c r="M5990" s="8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  <c r="AA5990" s="8"/>
      <c r="AB5990" s="8"/>
      <c r="AC5990" s="8"/>
      <c r="AD5990" s="7"/>
      <c r="AE5990" s="7"/>
      <c r="AF5990" s="7"/>
      <c r="AG5990" s="10"/>
    </row>
    <row r="5991" spans="1:33">
      <c r="A5991" s="8"/>
      <c r="B5991" s="8"/>
      <c r="C5991" s="8"/>
      <c r="D5991" s="8"/>
      <c r="E5991" s="8"/>
      <c r="F5991" s="8"/>
      <c r="G5991" s="8"/>
      <c r="H5991" s="8"/>
      <c r="I5991" s="8"/>
      <c r="J5991" s="8"/>
      <c r="K5991" s="8"/>
      <c r="L5991" s="8"/>
      <c r="M5991" s="8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  <c r="AA5991" s="8"/>
      <c r="AB5991" s="8"/>
      <c r="AC5991" s="8"/>
      <c r="AD5991" s="7"/>
      <c r="AE5991" s="7"/>
      <c r="AF5991" s="7"/>
      <c r="AG5991" s="10"/>
    </row>
    <row r="5992" spans="1:33">
      <c r="A5992" s="8"/>
      <c r="B5992" s="8"/>
      <c r="C5992" s="8"/>
      <c r="D5992" s="8"/>
      <c r="E5992" s="8"/>
      <c r="F5992" s="8"/>
      <c r="G5992" s="8"/>
      <c r="H5992" s="8"/>
      <c r="I5992" s="8"/>
      <c r="J5992" s="8"/>
      <c r="K5992" s="8"/>
      <c r="L5992" s="8"/>
      <c r="M5992" s="8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  <c r="AA5992" s="8"/>
      <c r="AB5992" s="8"/>
      <c r="AC5992" s="8"/>
      <c r="AD5992" s="7"/>
      <c r="AE5992" s="7"/>
      <c r="AF5992" s="7"/>
      <c r="AG5992" s="10"/>
    </row>
    <row r="5993" spans="1:33">
      <c r="A5993" s="8"/>
      <c r="B5993" s="8"/>
      <c r="C5993" s="8"/>
      <c r="D5993" s="8"/>
      <c r="E5993" s="8"/>
      <c r="F5993" s="8"/>
      <c r="G5993" s="8"/>
      <c r="H5993" s="8"/>
      <c r="I5993" s="8"/>
      <c r="J5993" s="8"/>
      <c r="K5993" s="8"/>
      <c r="L5993" s="8"/>
      <c r="M5993" s="8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  <c r="AA5993" s="8"/>
      <c r="AB5993" s="8"/>
      <c r="AC5993" s="8"/>
      <c r="AD5993" s="7"/>
      <c r="AE5993" s="7"/>
      <c r="AF5993" s="7"/>
      <c r="AG5993" s="10"/>
    </row>
    <row r="5994" spans="1:33">
      <c r="A5994" s="8"/>
      <c r="B5994" s="8"/>
      <c r="C5994" s="8"/>
      <c r="D5994" s="8"/>
      <c r="E5994" s="8"/>
      <c r="F5994" s="8"/>
      <c r="G5994" s="8"/>
      <c r="H5994" s="8"/>
      <c r="I5994" s="8"/>
      <c r="J5994" s="8"/>
      <c r="K5994" s="8"/>
      <c r="L5994" s="8"/>
      <c r="M5994" s="8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  <c r="AA5994" s="8"/>
      <c r="AB5994" s="8"/>
      <c r="AC5994" s="8"/>
      <c r="AD5994" s="7"/>
      <c r="AE5994" s="7"/>
      <c r="AF5994" s="7"/>
      <c r="AG5994" s="10"/>
    </row>
    <row r="5995" spans="1:33">
      <c r="A5995" s="8"/>
      <c r="B5995" s="8"/>
      <c r="C5995" s="8"/>
      <c r="D5995" s="8"/>
      <c r="E5995" s="8"/>
      <c r="F5995" s="8"/>
      <c r="G5995" s="8"/>
      <c r="H5995" s="8"/>
      <c r="I5995" s="8"/>
      <c r="J5995" s="8"/>
      <c r="K5995" s="8"/>
      <c r="L5995" s="8"/>
      <c r="M5995" s="8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  <c r="AA5995" s="8"/>
      <c r="AB5995" s="8"/>
      <c r="AC5995" s="8"/>
      <c r="AD5995" s="7"/>
      <c r="AE5995" s="7"/>
      <c r="AF5995" s="7"/>
      <c r="AG5995" s="10"/>
    </row>
    <row r="5996" spans="1:33">
      <c r="A5996" s="8"/>
      <c r="B5996" s="8"/>
      <c r="C5996" s="8"/>
      <c r="D5996" s="8"/>
      <c r="E5996" s="8"/>
      <c r="F5996" s="8"/>
      <c r="G5996" s="8"/>
      <c r="H5996" s="8"/>
      <c r="I5996" s="8"/>
      <c r="J5996" s="8"/>
      <c r="K5996" s="8"/>
      <c r="L5996" s="8"/>
      <c r="M5996" s="8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  <c r="AA5996" s="8"/>
      <c r="AB5996" s="8"/>
      <c r="AC5996" s="8"/>
      <c r="AD5996" s="7"/>
      <c r="AE5996" s="7"/>
      <c r="AF5996" s="7"/>
      <c r="AG5996" s="10"/>
    </row>
    <row r="5997" spans="1:33">
      <c r="A5997" s="8"/>
      <c r="B5997" s="8"/>
      <c r="C5997" s="8"/>
      <c r="D5997" s="8"/>
      <c r="E5997" s="8"/>
      <c r="F5997" s="8"/>
      <c r="G5997" s="8"/>
      <c r="H5997" s="8"/>
      <c r="I5997" s="8"/>
      <c r="J5997" s="8"/>
      <c r="K5997" s="8"/>
      <c r="L5997" s="8"/>
      <c r="M5997" s="8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  <c r="AA5997" s="8"/>
      <c r="AB5997" s="8"/>
      <c r="AC5997" s="8"/>
      <c r="AD5997" s="7"/>
      <c r="AE5997" s="7"/>
      <c r="AF5997" s="7"/>
      <c r="AG5997" s="10"/>
    </row>
    <row r="5998" spans="1:33">
      <c r="A5998" s="8"/>
      <c r="B5998" s="8"/>
      <c r="C5998" s="8"/>
      <c r="D5998" s="8"/>
      <c r="E5998" s="8"/>
      <c r="F5998" s="8"/>
      <c r="G5998" s="8"/>
      <c r="H5998" s="8"/>
      <c r="I5998" s="8"/>
      <c r="J5998" s="8"/>
      <c r="K5998" s="8"/>
      <c r="L5998" s="8"/>
      <c r="M5998" s="8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  <c r="AA5998" s="8"/>
      <c r="AB5998" s="8"/>
      <c r="AC5998" s="8"/>
      <c r="AD5998" s="7"/>
      <c r="AE5998" s="7"/>
      <c r="AF5998" s="7"/>
      <c r="AG5998" s="10"/>
    </row>
    <row r="5999" spans="1:33">
      <c r="A5999" s="8"/>
      <c r="B5999" s="8"/>
      <c r="C5999" s="8"/>
      <c r="D5999" s="8"/>
      <c r="E5999" s="8"/>
      <c r="F5999" s="8"/>
      <c r="G5999" s="8"/>
      <c r="H5999" s="8"/>
      <c r="I5999" s="8"/>
      <c r="J5999" s="8"/>
      <c r="K5999" s="8"/>
      <c r="L5999" s="8"/>
      <c r="M5999" s="8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  <c r="AA5999" s="8"/>
      <c r="AB5999" s="8"/>
      <c r="AC5999" s="8"/>
      <c r="AD5999" s="7"/>
      <c r="AE5999" s="7"/>
      <c r="AF5999" s="7"/>
      <c r="AG5999" s="10"/>
    </row>
    <row r="6000" spans="1:33">
      <c r="A6000" s="8"/>
      <c r="B6000" s="8"/>
      <c r="C6000" s="8"/>
      <c r="D6000" s="8"/>
      <c r="E6000" s="8"/>
      <c r="F6000" s="8"/>
      <c r="G6000" s="8"/>
      <c r="H6000" s="8"/>
      <c r="I6000" s="8"/>
      <c r="J6000" s="8"/>
      <c r="K6000" s="8"/>
      <c r="L6000" s="8"/>
      <c r="M6000" s="8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  <c r="AA6000" s="8"/>
      <c r="AB6000" s="8"/>
      <c r="AC6000" s="8"/>
      <c r="AD6000" s="7"/>
      <c r="AE6000" s="7"/>
      <c r="AF6000" s="7"/>
      <c r="AG6000" s="10"/>
    </row>
    <row r="6001" spans="1:33">
      <c r="A6001" s="8"/>
      <c r="B6001" s="8"/>
      <c r="C6001" s="8"/>
      <c r="D6001" s="8"/>
      <c r="E6001" s="8"/>
      <c r="F6001" s="8"/>
      <c r="G6001" s="8"/>
      <c r="H6001" s="8"/>
      <c r="I6001" s="8"/>
      <c r="J6001" s="8"/>
      <c r="K6001" s="8"/>
      <c r="L6001" s="8"/>
      <c r="M6001" s="8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  <c r="AA6001" s="8"/>
      <c r="AB6001" s="8"/>
      <c r="AC6001" s="8"/>
      <c r="AD6001" s="7"/>
      <c r="AE6001" s="7"/>
      <c r="AF6001" s="7"/>
      <c r="AG6001" s="10"/>
    </row>
    <row r="6002" spans="1:33">
      <c r="A6002" s="8"/>
      <c r="B6002" s="8"/>
      <c r="C6002" s="8"/>
      <c r="D6002" s="8"/>
      <c r="E6002" s="8"/>
      <c r="F6002" s="8"/>
      <c r="G6002" s="8"/>
      <c r="H6002" s="8"/>
      <c r="I6002" s="8"/>
      <c r="J6002" s="8"/>
      <c r="K6002" s="8"/>
      <c r="L6002" s="8"/>
      <c r="M6002" s="8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  <c r="AA6002" s="8"/>
      <c r="AB6002" s="8"/>
      <c r="AC6002" s="8"/>
      <c r="AD6002" s="7"/>
      <c r="AE6002" s="7"/>
      <c r="AF6002" s="7"/>
      <c r="AG6002" s="10"/>
    </row>
    <row r="6003" spans="1:33">
      <c r="A6003" s="8"/>
      <c r="B6003" s="8"/>
      <c r="C6003" s="8"/>
      <c r="D6003" s="8"/>
      <c r="E6003" s="8"/>
      <c r="F6003" s="8"/>
      <c r="G6003" s="8"/>
      <c r="H6003" s="8"/>
      <c r="I6003" s="8"/>
      <c r="J6003" s="8"/>
      <c r="K6003" s="8"/>
      <c r="L6003" s="8"/>
      <c r="M6003" s="8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  <c r="AA6003" s="8"/>
      <c r="AB6003" s="8"/>
      <c r="AC6003" s="8"/>
      <c r="AD6003" s="7"/>
      <c r="AE6003" s="7"/>
      <c r="AF6003" s="7"/>
      <c r="AG6003" s="10"/>
    </row>
    <row r="6004" spans="1:33">
      <c r="A6004" s="8"/>
      <c r="B6004" s="8"/>
      <c r="C6004" s="8"/>
      <c r="D6004" s="8"/>
      <c r="E6004" s="8"/>
      <c r="F6004" s="8"/>
      <c r="G6004" s="8"/>
      <c r="H6004" s="8"/>
      <c r="I6004" s="8"/>
      <c r="J6004" s="8"/>
      <c r="K6004" s="8"/>
      <c r="L6004" s="8"/>
      <c r="M6004" s="8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  <c r="AA6004" s="8"/>
      <c r="AB6004" s="8"/>
      <c r="AC6004" s="8"/>
      <c r="AD6004" s="7"/>
      <c r="AE6004" s="7"/>
      <c r="AF6004" s="7"/>
      <c r="AG6004" s="10"/>
    </row>
    <row r="6005" spans="1:33">
      <c r="A6005" s="8"/>
      <c r="B6005" s="8"/>
      <c r="C6005" s="8"/>
      <c r="D6005" s="8"/>
      <c r="E6005" s="8"/>
      <c r="F6005" s="8"/>
      <c r="G6005" s="8"/>
      <c r="H6005" s="8"/>
      <c r="I6005" s="8"/>
      <c r="J6005" s="8"/>
      <c r="K6005" s="8"/>
      <c r="L6005" s="8"/>
      <c r="M6005" s="8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  <c r="AA6005" s="8"/>
      <c r="AB6005" s="8"/>
      <c r="AC6005" s="8"/>
      <c r="AD6005" s="7"/>
      <c r="AE6005" s="7"/>
      <c r="AF6005" s="7"/>
      <c r="AG6005" s="10"/>
    </row>
    <row r="6006" spans="1:33">
      <c r="A6006" s="8"/>
      <c r="B6006" s="8"/>
      <c r="C6006" s="8"/>
      <c r="D6006" s="8"/>
      <c r="E6006" s="8"/>
      <c r="F6006" s="8"/>
      <c r="G6006" s="8"/>
      <c r="H6006" s="8"/>
      <c r="I6006" s="8"/>
      <c r="J6006" s="8"/>
      <c r="K6006" s="8"/>
      <c r="L6006" s="8"/>
      <c r="M6006" s="8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  <c r="AA6006" s="8"/>
      <c r="AB6006" s="8"/>
      <c r="AC6006" s="8"/>
      <c r="AD6006" s="7"/>
      <c r="AE6006" s="7"/>
      <c r="AF6006" s="7"/>
      <c r="AG6006" s="10"/>
    </row>
    <row r="6007" spans="1:33">
      <c r="A6007" s="8"/>
      <c r="B6007" s="8"/>
      <c r="C6007" s="8"/>
      <c r="D6007" s="8"/>
      <c r="E6007" s="8"/>
      <c r="F6007" s="8"/>
      <c r="G6007" s="8"/>
      <c r="H6007" s="8"/>
      <c r="I6007" s="8"/>
      <c r="J6007" s="8"/>
      <c r="K6007" s="8"/>
      <c r="L6007" s="8"/>
      <c r="M6007" s="8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  <c r="AA6007" s="8"/>
      <c r="AB6007" s="8"/>
      <c r="AC6007" s="8"/>
      <c r="AD6007" s="7"/>
      <c r="AE6007" s="7"/>
      <c r="AF6007" s="7"/>
      <c r="AG6007" s="10"/>
    </row>
    <row r="6008" spans="1:33">
      <c r="A6008" s="8"/>
      <c r="B6008" s="8"/>
      <c r="C6008" s="8"/>
      <c r="D6008" s="8"/>
      <c r="E6008" s="8"/>
      <c r="F6008" s="8"/>
      <c r="G6008" s="8"/>
      <c r="H6008" s="8"/>
      <c r="I6008" s="8"/>
      <c r="J6008" s="8"/>
      <c r="K6008" s="8"/>
      <c r="L6008" s="8"/>
      <c r="M6008" s="8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  <c r="AA6008" s="8"/>
      <c r="AB6008" s="8"/>
      <c r="AC6008" s="8"/>
      <c r="AD6008" s="7"/>
      <c r="AE6008" s="7"/>
      <c r="AF6008" s="7"/>
      <c r="AG6008" s="10"/>
    </row>
    <row r="6009" spans="1:33">
      <c r="A6009" s="8"/>
      <c r="B6009" s="8"/>
      <c r="C6009" s="8"/>
      <c r="D6009" s="8"/>
      <c r="E6009" s="8"/>
      <c r="F6009" s="8"/>
      <c r="G6009" s="8"/>
      <c r="H6009" s="8"/>
      <c r="I6009" s="8"/>
      <c r="J6009" s="8"/>
      <c r="K6009" s="8"/>
      <c r="L6009" s="8"/>
      <c r="M6009" s="8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  <c r="AA6009" s="8"/>
      <c r="AB6009" s="8"/>
      <c r="AC6009" s="8"/>
      <c r="AD6009" s="7"/>
      <c r="AE6009" s="7"/>
      <c r="AF6009" s="7"/>
      <c r="AG6009" s="10"/>
    </row>
    <row r="6010" spans="1:33">
      <c r="A6010" s="8"/>
      <c r="B6010" s="8"/>
      <c r="C6010" s="8"/>
      <c r="D6010" s="8"/>
      <c r="E6010" s="8"/>
      <c r="F6010" s="8"/>
      <c r="G6010" s="8"/>
      <c r="H6010" s="8"/>
      <c r="I6010" s="8"/>
      <c r="J6010" s="8"/>
      <c r="K6010" s="8"/>
      <c r="L6010" s="8"/>
      <c r="M6010" s="8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  <c r="AA6010" s="8"/>
      <c r="AB6010" s="8"/>
      <c r="AC6010" s="8"/>
      <c r="AD6010" s="7"/>
      <c r="AE6010" s="7"/>
      <c r="AF6010" s="7"/>
      <c r="AG6010" s="10"/>
    </row>
    <row r="6011" spans="1:33">
      <c r="A6011" s="8"/>
      <c r="B6011" s="8"/>
      <c r="C6011" s="8"/>
      <c r="D6011" s="8"/>
      <c r="E6011" s="8"/>
      <c r="F6011" s="8"/>
      <c r="G6011" s="8"/>
      <c r="H6011" s="8"/>
      <c r="I6011" s="8"/>
      <c r="J6011" s="8"/>
      <c r="K6011" s="8"/>
      <c r="L6011" s="8"/>
      <c r="M6011" s="8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  <c r="AA6011" s="8"/>
      <c r="AB6011" s="8"/>
      <c r="AC6011" s="8"/>
      <c r="AD6011" s="7"/>
      <c r="AE6011" s="7"/>
      <c r="AF6011" s="7"/>
      <c r="AG6011" s="10"/>
    </row>
    <row r="6012" spans="1:33">
      <c r="A6012" s="8"/>
      <c r="B6012" s="8"/>
      <c r="C6012" s="8"/>
      <c r="D6012" s="8"/>
      <c r="E6012" s="8"/>
      <c r="F6012" s="8"/>
      <c r="G6012" s="8"/>
      <c r="H6012" s="8"/>
      <c r="I6012" s="8"/>
      <c r="J6012" s="8"/>
      <c r="K6012" s="8"/>
      <c r="L6012" s="8"/>
      <c r="M6012" s="8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  <c r="AA6012" s="8"/>
      <c r="AB6012" s="8"/>
      <c r="AC6012" s="8"/>
      <c r="AD6012" s="7"/>
      <c r="AE6012" s="7"/>
      <c r="AF6012" s="7"/>
      <c r="AG6012" s="10"/>
    </row>
    <row r="6013" spans="1:33">
      <c r="A6013" s="8"/>
      <c r="B6013" s="8"/>
      <c r="C6013" s="8"/>
      <c r="D6013" s="8"/>
      <c r="E6013" s="8"/>
      <c r="F6013" s="8"/>
      <c r="G6013" s="8"/>
      <c r="H6013" s="8"/>
      <c r="I6013" s="8"/>
      <c r="J6013" s="8"/>
      <c r="K6013" s="8"/>
      <c r="L6013" s="8"/>
      <c r="M6013" s="8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  <c r="AA6013" s="8"/>
      <c r="AB6013" s="8"/>
      <c r="AC6013" s="8"/>
      <c r="AD6013" s="7"/>
      <c r="AE6013" s="7"/>
      <c r="AF6013" s="7"/>
      <c r="AG6013" s="10"/>
    </row>
    <row r="6014" spans="1:33">
      <c r="A6014" s="8"/>
      <c r="B6014" s="8"/>
      <c r="C6014" s="8"/>
      <c r="D6014" s="8"/>
      <c r="E6014" s="8"/>
      <c r="F6014" s="8"/>
      <c r="G6014" s="8"/>
      <c r="H6014" s="8"/>
      <c r="I6014" s="8"/>
      <c r="J6014" s="8"/>
      <c r="K6014" s="8"/>
      <c r="L6014" s="8"/>
      <c r="M6014" s="8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  <c r="AA6014" s="8"/>
      <c r="AB6014" s="8"/>
      <c r="AC6014" s="8"/>
      <c r="AD6014" s="7"/>
      <c r="AE6014" s="7"/>
      <c r="AF6014" s="7"/>
      <c r="AG6014" s="10"/>
    </row>
    <row r="6015" spans="1:33">
      <c r="A6015" s="8"/>
      <c r="B6015" s="8"/>
      <c r="C6015" s="8"/>
      <c r="D6015" s="8"/>
      <c r="E6015" s="8"/>
      <c r="F6015" s="8"/>
      <c r="G6015" s="8"/>
      <c r="H6015" s="8"/>
      <c r="I6015" s="8"/>
      <c r="J6015" s="8"/>
      <c r="K6015" s="8"/>
      <c r="L6015" s="8"/>
      <c r="M6015" s="8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  <c r="AA6015" s="8"/>
      <c r="AB6015" s="8"/>
      <c r="AC6015" s="8"/>
      <c r="AD6015" s="7"/>
      <c r="AE6015" s="7"/>
      <c r="AF6015" s="7"/>
      <c r="AG6015" s="10"/>
    </row>
    <row r="6016" spans="1:33">
      <c r="A6016" s="8"/>
      <c r="B6016" s="8"/>
      <c r="C6016" s="8"/>
      <c r="D6016" s="8"/>
      <c r="E6016" s="8"/>
      <c r="F6016" s="8"/>
      <c r="G6016" s="8"/>
      <c r="H6016" s="8"/>
      <c r="I6016" s="8"/>
      <c r="J6016" s="8"/>
      <c r="K6016" s="8"/>
      <c r="L6016" s="8"/>
      <c r="M6016" s="8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  <c r="AA6016" s="8"/>
      <c r="AB6016" s="8"/>
      <c r="AC6016" s="8"/>
      <c r="AD6016" s="7"/>
      <c r="AE6016" s="7"/>
      <c r="AF6016" s="7"/>
      <c r="AG6016" s="10"/>
    </row>
    <row r="6017" spans="1:33">
      <c r="A6017" s="8"/>
      <c r="B6017" s="8"/>
      <c r="C6017" s="8"/>
      <c r="D6017" s="8"/>
      <c r="E6017" s="8"/>
      <c r="F6017" s="8"/>
      <c r="G6017" s="8"/>
      <c r="H6017" s="8"/>
      <c r="I6017" s="8"/>
      <c r="J6017" s="8"/>
      <c r="K6017" s="8"/>
      <c r="L6017" s="8"/>
      <c r="M6017" s="8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  <c r="AA6017" s="8"/>
      <c r="AB6017" s="8"/>
      <c r="AC6017" s="8"/>
      <c r="AD6017" s="7"/>
      <c r="AE6017" s="7"/>
      <c r="AF6017" s="7"/>
      <c r="AG6017" s="10"/>
    </row>
    <row r="6018" spans="1:33">
      <c r="A6018" s="8"/>
      <c r="B6018" s="8"/>
      <c r="C6018" s="8"/>
      <c r="D6018" s="8"/>
      <c r="E6018" s="8"/>
      <c r="F6018" s="8"/>
      <c r="G6018" s="8"/>
      <c r="H6018" s="8"/>
      <c r="I6018" s="8"/>
      <c r="J6018" s="8"/>
      <c r="K6018" s="8"/>
      <c r="L6018" s="8"/>
      <c r="M6018" s="8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  <c r="AA6018" s="8"/>
      <c r="AB6018" s="8"/>
      <c r="AC6018" s="8"/>
      <c r="AD6018" s="7"/>
      <c r="AE6018" s="7"/>
      <c r="AF6018" s="7"/>
      <c r="AG6018" s="10"/>
    </row>
    <row r="6019" spans="1:33">
      <c r="A6019" s="8"/>
      <c r="B6019" s="8"/>
      <c r="C6019" s="8"/>
      <c r="D6019" s="8"/>
      <c r="E6019" s="8"/>
      <c r="F6019" s="8"/>
      <c r="G6019" s="8"/>
      <c r="H6019" s="8"/>
      <c r="I6019" s="8"/>
      <c r="J6019" s="8"/>
      <c r="K6019" s="8"/>
      <c r="L6019" s="8"/>
      <c r="M6019" s="8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  <c r="AA6019" s="8"/>
      <c r="AB6019" s="8"/>
      <c r="AC6019" s="8"/>
      <c r="AD6019" s="7"/>
      <c r="AE6019" s="7"/>
      <c r="AF6019" s="7"/>
      <c r="AG6019" s="10"/>
    </row>
    <row r="6020" spans="1:33">
      <c r="A6020" s="8"/>
      <c r="B6020" s="8"/>
      <c r="C6020" s="8"/>
      <c r="D6020" s="8"/>
      <c r="E6020" s="8"/>
      <c r="F6020" s="8"/>
      <c r="G6020" s="8"/>
      <c r="H6020" s="8"/>
      <c r="I6020" s="8"/>
      <c r="J6020" s="8"/>
      <c r="K6020" s="8"/>
      <c r="L6020" s="8"/>
      <c r="M6020" s="8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  <c r="AA6020" s="8"/>
      <c r="AB6020" s="8"/>
      <c r="AC6020" s="8"/>
      <c r="AD6020" s="7"/>
      <c r="AE6020" s="7"/>
      <c r="AF6020" s="7"/>
      <c r="AG6020" s="10"/>
    </row>
    <row r="6021" spans="1:33">
      <c r="A6021" s="8"/>
      <c r="B6021" s="8"/>
      <c r="C6021" s="8"/>
      <c r="D6021" s="8"/>
      <c r="E6021" s="8"/>
      <c r="F6021" s="8"/>
      <c r="G6021" s="8"/>
      <c r="H6021" s="8"/>
      <c r="I6021" s="8"/>
      <c r="J6021" s="8"/>
      <c r="K6021" s="8"/>
      <c r="L6021" s="8"/>
      <c r="M6021" s="8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  <c r="AA6021" s="8"/>
      <c r="AB6021" s="8"/>
      <c r="AC6021" s="8"/>
      <c r="AD6021" s="7"/>
      <c r="AE6021" s="7"/>
      <c r="AF6021" s="7"/>
      <c r="AG6021" s="10"/>
    </row>
    <row r="6022" spans="1:33">
      <c r="A6022" s="8"/>
      <c r="B6022" s="8"/>
      <c r="C6022" s="8"/>
      <c r="D6022" s="8"/>
      <c r="E6022" s="8"/>
      <c r="F6022" s="8"/>
      <c r="G6022" s="8"/>
      <c r="H6022" s="8"/>
      <c r="I6022" s="8"/>
      <c r="J6022" s="8"/>
      <c r="K6022" s="8"/>
      <c r="L6022" s="8"/>
      <c r="M6022" s="8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  <c r="AA6022" s="8"/>
      <c r="AB6022" s="8"/>
      <c r="AC6022" s="8"/>
      <c r="AD6022" s="8"/>
      <c r="AE6022" s="8"/>
      <c r="AF6022" s="8"/>
      <c r="AG6022" s="10"/>
    </row>
    <row r="6023" spans="1:33">
      <c r="A6023" s="8"/>
      <c r="B6023" s="8"/>
      <c r="C6023" s="8"/>
      <c r="D6023" s="8"/>
      <c r="E6023" s="8"/>
      <c r="F6023" s="8"/>
      <c r="G6023" s="8"/>
      <c r="H6023" s="8"/>
      <c r="I6023" s="8"/>
      <c r="J6023" s="8"/>
      <c r="K6023" s="8"/>
      <c r="L6023" s="8"/>
      <c r="M6023" s="8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  <c r="AA6023" s="8"/>
      <c r="AB6023" s="8"/>
      <c r="AC6023" s="8"/>
      <c r="AD6023" s="8"/>
      <c r="AE6023" s="8"/>
      <c r="AF6023" s="8"/>
      <c r="AG6023" s="10"/>
    </row>
    <row r="6024" spans="1:33">
      <c r="A6024" s="8"/>
      <c r="B6024" s="8"/>
      <c r="C6024" s="8"/>
      <c r="D6024" s="8"/>
      <c r="E6024" s="8"/>
      <c r="F6024" s="8"/>
      <c r="G6024" s="8"/>
      <c r="H6024" s="8"/>
      <c r="I6024" s="8"/>
      <c r="J6024" s="8"/>
      <c r="K6024" s="8"/>
      <c r="L6024" s="8"/>
      <c r="M6024" s="8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  <c r="AA6024" s="8"/>
      <c r="AB6024" s="8"/>
      <c r="AC6024" s="8"/>
      <c r="AD6024" s="11"/>
      <c r="AE6024" s="11"/>
      <c r="AF6024" s="11"/>
      <c r="AG6024" s="10"/>
    </row>
    <row r="6025" spans="1:33">
      <c r="A6025" s="8"/>
      <c r="B6025" s="8"/>
      <c r="C6025" s="8"/>
      <c r="D6025" s="8"/>
      <c r="E6025" s="8"/>
      <c r="F6025" s="8"/>
      <c r="G6025" s="8"/>
      <c r="H6025" s="8"/>
      <c r="I6025" s="8"/>
      <c r="J6025" s="8"/>
      <c r="K6025" s="8"/>
      <c r="L6025" s="8"/>
      <c r="M6025" s="8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  <c r="AA6025" s="8"/>
      <c r="AB6025" s="8"/>
      <c r="AC6025" s="8"/>
      <c r="AD6025" s="11"/>
      <c r="AE6025" s="11"/>
      <c r="AF6025" s="11"/>
      <c r="AG6025" s="10"/>
    </row>
    <row r="6026" spans="1:33">
      <c r="A6026" s="8"/>
      <c r="B6026" s="8"/>
      <c r="C6026" s="8"/>
      <c r="D6026" s="8"/>
      <c r="E6026" s="8"/>
      <c r="F6026" s="8"/>
      <c r="G6026" s="8"/>
      <c r="H6026" s="8"/>
      <c r="I6026" s="8"/>
      <c r="J6026" s="8"/>
      <c r="K6026" s="8"/>
      <c r="L6026" s="8"/>
      <c r="M6026" s="8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  <c r="AA6026" s="8"/>
      <c r="AB6026" s="8"/>
      <c r="AC6026" s="8"/>
      <c r="AD6026" s="11"/>
      <c r="AE6026" s="11"/>
      <c r="AF6026" s="11"/>
      <c r="AG6026" s="10"/>
    </row>
    <row r="6027" spans="1:33">
      <c r="A6027" s="8"/>
      <c r="B6027" s="8"/>
      <c r="C6027" s="8"/>
      <c r="D6027" s="8"/>
      <c r="E6027" s="8"/>
      <c r="F6027" s="8"/>
      <c r="G6027" s="8"/>
      <c r="H6027" s="8"/>
      <c r="I6027" s="8"/>
      <c r="J6027" s="8"/>
      <c r="K6027" s="8"/>
      <c r="L6027" s="8"/>
      <c r="M6027" s="8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  <c r="AA6027" s="8"/>
      <c r="AB6027" s="8"/>
      <c r="AC6027" s="8"/>
      <c r="AD6027" s="11"/>
      <c r="AE6027" s="11"/>
      <c r="AF6027" s="11"/>
      <c r="AG6027" s="10"/>
    </row>
    <row r="6028" spans="1:33">
      <c r="A6028" s="8"/>
      <c r="B6028" s="8"/>
      <c r="C6028" s="8"/>
      <c r="D6028" s="8"/>
      <c r="E6028" s="8"/>
      <c r="F6028" s="8"/>
      <c r="G6028" s="8"/>
      <c r="H6028" s="8"/>
      <c r="I6028" s="8"/>
      <c r="J6028" s="8"/>
      <c r="K6028" s="8"/>
      <c r="L6028" s="8"/>
      <c r="M6028" s="8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  <c r="AA6028" s="8"/>
      <c r="AB6028" s="8"/>
      <c r="AC6028" s="8"/>
      <c r="AD6028" s="11"/>
      <c r="AE6028" s="11"/>
      <c r="AF6028" s="11"/>
      <c r="AG6028" s="10"/>
    </row>
    <row r="6029" spans="1:33">
      <c r="A6029" s="8"/>
      <c r="B6029" s="8"/>
      <c r="C6029" s="8"/>
      <c r="D6029" s="8"/>
      <c r="E6029" s="8"/>
      <c r="F6029" s="8"/>
      <c r="G6029" s="8"/>
      <c r="H6029" s="8"/>
      <c r="I6029" s="8"/>
      <c r="J6029" s="8"/>
      <c r="K6029" s="8"/>
      <c r="L6029" s="8"/>
      <c r="M6029" s="8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  <c r="AA6029" s="8"/>
      <c r="AB6029" s="8"/>
      <c r="AC6029" s="8"/>
      <c r="AD6029" s="11"/>
      <c r="AE6029" s="11"/>
      <c r="AF6029" s="11"/>
      <c r="AG6029" s="10"/>
    </row>
    <row r="6030" spans="1:33">
      <c r="A6030" s="8"/>
      <c r="B6030" s="8"/>
      <c r="C6030" s="8"/>
      <c r="D6030" s="8"/>
      <c r="E6030" s="8"/>
      <c r="F6030" s="8"/>
      <c r="G6030" s="8"/>
      <c r="H6030" s="8"/>
      <c r="I6030" s="8"/>
      <c r="J6030" s="8"/>
      <c r="K6030" s="8"/>
      <c r="L6030" s="8"/>
      <c r="M6030" s="8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  <c r="AA6030" s="8"/>
      <c r="AB6030" s="8"/>
      <c r="AC6030" s="8"/>
      <c r="AD6030" s="11"/>
      <c r="AE6030" s="11"/>
      <c r="AF6030" s="11"/>
      <c r="AG6030" s="10"/>
    </row>
    <row r="6031" spans="1:33">
      <c r="A6031" s="8"/>
      <c r="B6031" s="8"/>
      <c r="C6031" s="8"/>
      <c r="D6031" s="8"/>
      <c r="E6031" s="8"/>
      <c r="F6031" s="8"/>
      <c r="G6031" s="8"/>
      <c r="H6031" s="8"/>
      <c r="I6031" s="8"/>
      <c r="J6031" s="8"/>
      <c r="K6031" s="8"/>
      <c r="L6031" s="8"/>
      <c r="M6031" s="8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  <c r="AA6031" s="8"/>
      <c r="AB6031" s="8"/>
      <c r="AC6031" s="8"/>
      <c r="AD6031" s="11"/>
      <c r="AE6031" s="11"/>
      <c r="AF6031" s="11"/>
      <c r="AG6031" s="10"/>
    </row>
    <row r="6032" spans="1:33">
      <c r="A6032" s="8"/>
      <c r="B6032" s="8"/>
      <c r="C6032" s="8"/>
      <c r="D6032" s="8"/>
      <c r="E6032" s="8"/>
      <c r="F6032" s="8"/>
      <c r="G6032" s="8"/>
      <c r="H6032" s="8"/>
      <c r="I6032" s="8"/>
      <c r="J6032" s="8"/>
      <c r="K6032" s="8"/>
      <c r="L6032" s="8"/>
      <c r="M6032" s="8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  <c r="AA6032" s="8"/>
      <c r="AB6032" s="8"/>
      <c r="AC6032" s="8"/>
      <c r="AD6032" s="11"/>
      <c r="AE6032" s="11"/>
      <c r="AF6032" s="11"/>
      <c r="AG6032" s="10"/>
    </row>
    <row r="6033" spans="1:33">
      <c r="A6033" s="8"/>
      <c r="B6033" s="8"/>
      <c r="C6033" s="8"/>
      <c r="D6033" s="8"/>
      <c r="E6033" s="8"/>
      <c r="F6033" s="8"/>
      <c r="G6033" s="8"/>
      <c r="H6033" s="8"/>
      <c r="I6033" s="8"/>
      <c r="J6033" s="8"/>
      <c r="K6033" s="8"/>
      <c r="L6033" s="8"/>
      <c r="M6033" s="8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  <c r="AA6033" s="8"/>
      <c r="AB6033" s="8"/>
      <c r="AC6033" s="8"/>
      <c r="AD6033" s="11"/>
      <c r="AE6033" s="11"/>
      <c r="AF6033" s="11"/>
      <c r="AG6033" s="10"/>
    </row>
    <row r="6034" spans="1:33">
      <c r="A6034" s="8"/>
      <c r="B6034" s="8"/>
      <c r="C6034" s="8"/>
      <c r="D6034" s="8"/>
      <c r="E6034" s="8"/>
      <c r="F6034" s="8"/>
      <c r="G6034" s="8"/>
      <c r="H6034" s="8"/>
      <c r="I6034" s="8"/>
      <c r="J6034" s="8"/>
      <c r="K6034" s="8"/>
      <c r="L6034" s="8"/>
      <c r="M6034" s="8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  <c r="AA6034" s="8"/>
      <c r="AB6034" s="8"/>
      <c r="AC6034" s="8"/>
      <c r="AD6034" s="11"/>
      <c r="AE6034" s="11"/>
      <c r="AF6034" s="11"/>
      <c r="AG6034" s="10"/>
    </row>
    <row r="6035" spans="1:33">
      <c r="A6035" s="8"/>
      <c r="B6035" s="8"/>
      <c r="C6035" s="8"/>
      <c r="D6035" s="8"/>
      <c r="E6035" s="8"/>
      <c r="F6035" s="8"/>
      <c r="G6035" s="8"/>
      <c r="H6035" s="8"/>
      <c r="I6035" s="8"/>
      <c r="J6035" s="8"/>
      <c r="K6035" s="8"/>
      <c r="L6035" s="8"/>
      <c r="M6035" s="8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  <c r="AA6035" s="8"/>
      <c r="AB6035" s="8"/>
      <c r="AC6035" s="8"/>
      <c r="AD6035" s="11"/>
      <c r="AE6035" s="11"/>
      <c r="AF6035" s="11"/>
      <c r="AG6035" s="10"/>
    </row>
    <row r="6036" spans="1:33">
      <c r="A6036" s="8"/>
      <c r="B6036" s="8"/>
      <c r="C6036" s="8"/>
      <c r="D6036" s="8"/>
      <c r="E6036" s="8"/>
      <c r="F6036" s="8"/>
      <c r="G6036" s="8"/>
      <c r="H6036" s="8"/>
      <c r="I6036" s="8"/>
      <c r="J6036" s="8"/>
      <c r="K6036" s="8"/>
      <c r="L6036" s="8"/>
      <c r="M6036" s="8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  <c r="AA6036" s="8"/>
      <c r="AB6036" s="8"/>
      <c r="AC6036" s="8"/>
      <c r="AD6036" s="11"/>
      <c r="AE6036" s="11"/>
      <c r="AF6036" s="11"/>
      <c r="AG6036" s="10"/>
    </row>
    <row r="6037" spans="1:33">
      <c r="A6037" s="8"/>
      <c r="B6037" s="8"/>
      <c r="C6037" s="8"/>
      <c r="D6037" s="8"/>
      <c r="E6037" s="8"/>
      <c r="F6037" s="8"/>
      <c r="G6037" s="8"/>
      <c r="H6037" s="8"/>
      <c r="I6037" s="8"/>
      <c r="J6037" s="8"/>
      <c r="K6037" s="8"/>
      <c r="L6037" s="8"/>
      <c r="M6037" s="8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  <c r="AA6037" s="8"/>
      <c r="AB6037" s="8"/>
      <c r="AC6037" s="8"/>
      <c r="AD6037" s="11"/>
      <c r="AE6037" s="11"/>
      <c r="AF6037" s="11"/>
      <c r="AG6037" s="10"/>
    </row>
    <row r="6038" spans="1:33">
      <c r="A6038" s="8"/>
      <c r="B6038" s="8"/>
      <c r="C6038" s="8"/>
      <c r="D6038" s="8"/>
      <c r="E6038" s="8"/>
      <c r="F6038" s="8"/>
      <c r="G6038" s="8"/>
      <c r="H6038" s="8"/>
      <c r="I6038" s="8"/>
      <c r="J6038" s="8"/>
      <c r="K6038" s="8"/>
      <c r="L6038" s="8"/>
      <c r="M6038" s="8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  <c r="AA6038" s="8"/>
      <c r="AB6038" s="8"/>
      <c r="AC6038" s="8"/>
      <c r="AD6038" s="11"/>
      <c r="AE6038" s="11"/>
      <c r="AF6038" s="11"/>
      <c r="AG6038" s="10"/>
    </row>
    <row r="6039" spans="1:33">
      <c r="A6039" s="8"/>
      <c r="B6039" s="8"/>
      <c r="C6039" s="8"/>
      <c r="D6039" s="8"/>
      <c r="E6039" s="8"/>
      <c r="F6039" s="8"/>
      <c r="G6039" s="8"/>
      <c r="H6039" s="8"/>
      <c r="I6039" s="8"/>
      <c r="J6039" s="8"/>
      <c r="K6039" s="8"/>
      <c r="L6039" s="8"/>
      <c r="M6039" s="8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  <c r="AA6039" s="8"/>
      <c r="AB6039" s="8"/>
      <c r="AC6039" s="8"/>
      <c r="AD6039" s="11"/>
      <c r="AE6039" s="11"/>
      <c r="AF6039" s="11"/>
      <c r="AG6039" s="10"/>
    </row>
    <row r="6040" spans="1:33">
      <c r="A6040" s="8"/>
      <c r="B6040" s="8"/>
      <c r="C6040" s="8"/>
      <c r="D6040" s="8"/>
      <c r="E6040" s="8"/>
      <c r="F6040" s="8"/>
      <c r="G6040" s="8"/>
      <c r="H6040" s="8"/>
      <c r="I6040" s="8"/>
      <c r="J6040" s="8"/>
      <c r="K6040" s="8"/>
      <c r="L6040" s="8"/>
      <c r="M6040" s="8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  <c r="AA6040" s="8"/>
      <c r="AB6040" s="8"/>
      <c r="AC6040" s="8"/>
      <c r="AD6040" s="11"/>
      <c r="AE6040" s="11"/>
      <c r="AF6040" s="11"/>
      <c r="AG6040" s="10"/>
    </row>
    <row r="6041" spans="1:33">
      <c r="A6041" s="8"/>
      <c r="B6041" s="8"/>
      <c r="C6041" s="8"/>
      <c r="D6041" s="8"/>
      <c r="E6041" s="8"/>
      <c r="F6041" s="8"/>
      <c r="G6041" s="8"/>
      <c r="H6041" s="8"/>
      <c r="I6041" s="8"/>
      <c r="J6041" s="8"/>
      <c r="K6041" s="8"/>
      <c r="L6041" s="8"/>
      <c r="M6041" s="8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  <c r="AA6041" s="8"/>
      <c r="AB6041" s="8"/>
      <c r="AC6041" s="8"/>
      <c r="AD6041" s="11"/>
      <c r="AE6041" s="11"/>
      <c r="AF6041" s="11"/>
      <c r="AG6041" s="10"/>
    </row>
    <row r="6042" spans="1:33">
      <c r="A6042" s="8"/>
      <c r="B6042" s="8"/>
      <c r="C6042" s="8"/>
      <c r="D6042" s="8"/>
      <c r="E6042" s="8"/>
      <c r="F6042" s="8"/>
      <c r="G6042" s="8"/>
      <c r="H6042" s="8"/>
      <c r="I6042" s="8"/>
      <c r="J6042" s="8"/>
      <c r="K6042" s="8"/>
      <c r="L6042" s="8"/>
      <c r="M6042" s="8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  <c r="AA6042" s="8"/>
      <c r="AB6042" s="8"/>
      <c r="AC6042" s="8"/>
      <c r="AD6042" s="11"/>
      <c r="AE6042" s="11"/>
      <c r="AF6042" s="11"/>
      <c r="AG6042" s="10"/>
    </row>
    <row r="6043" spans="1:33">
      <c r="A6043" s="8"/>
      <c r="B6043" s="8"/>
      <c r="C6043" s="8"/>
      <c r="D6043" s="8"/>
      <c r="E6043" s="8"/>
      <c r="F6043" s="8"/>
      <c r="G6043" s="8"/>
      <c r="H6043" s="8"/>
      <c r="I6043" s="8"/>
      <c r="J6043" s="8"/>
      <c r="K6043" s="8"/>
      <c r="L6043" s="8"/>
      <c r="M6043" s="8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  <c r="AA6043" s="8"/>
      <c r="AB6043" s="8"/>
      <c r="AC6043" s="8"/>
      <c r="AD6043" s="11"/>
      <c r="AE6043" s="11"/>
      <c r="AF6043" s="11"/>
      <c r="AG6043" s="10"/>
    </row>
    <row r="6044" spans="1:33">
      <c r="A6044" s="8"/>
      <c r="B6044" s="8"/>
      <c r="C6044" s="8"/>
      <c r="D6044" s="8"/>
      <c r="E6044" s="8"/>
      <c r="F6044" s="8"/>
      <c r="G6044" s="8"/>
      <c r="H6044" s="8"/>
      <c r="I6044" s="8"/>
      <c r="J6044" s="8"/>
      <c r="K6044" s="8"/>
      <c r="L6044" s="8"/>
      <c r="M6044" s="8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  <c r="AA6044" s="8"/>
      <c r="AB6044" s="8"/>
      <c r="AC6044" s="8"/>
      <c r="AD6044" s="11"/>
      <c r="AE6044" s="11"/>
      <c r="AF6044" s="11"/>
      <c r="AG6044" s="10"/>
    </row>
    <row r="6045" spans="1:33">
      <c r="A6045" s="8"/>
      <c r="B6045" s="8"/>
      <c r="C6045" s="8"/>
      <c r="D6045" s="8"/>
      <c r="E6045" s="8"/>
      <c r="F6045" s="8"/>
      <c r="G6045" s="8"/>
      <c r="H6045" s="8"/>
      <c r="I6045" s="8"/>
      <c r="J6045" s="8"/>
      <c r="K6045" s="8"/>
      <c r="L6045" s="8"/>
      <c r="M6045" s="8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  <c r="AA6045" s="8"/>
      <c r="AB6045" s="8"/>
      <c r="AC6045" s="8"/>
      <c r="AD6045" s="11"/>
      <c r="AE6045" s="11"/>
      <c r="AF6045" s="11"/>
      <c r="AG6045" s="10"/>
    </row>
    <row r="6046" spans="1:33">
      <c r="A6046" s="8"/>
      <c r="B6046" s="8"/>
      <c r="C6046" s="8"/>
      <c r="D6046" s="8"/>
      <c r="E6046" s="8"/>
      <c r="F6046" s="8"/>
      <c r="G6046" s="8"/>
      <c r="H6046" s="8"/>
      <c r="I6046" s="8"/>
      <c r="J6046" s="8"/>
      <c r="K6046" s="8"/>
      <c r="L6046" s="8"/>
      <c r="M6046" s="8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  <c r="AA6046" s="8"/>
      <c r="AB6046" s="8"/>
      <c r="AC6046" s="8"/>
      <c r="AD6046" s="11"/>
      <c r="AE6046" s="11"/>
      <c r="AF6046" s="11"/>
      <c r="AG6046" s="10"/>
    </row>
    <row r="6047" spans="1:33">
      <c r="A6047" s="8"/>
      <c r="B6047" s="8"/>
      <c r="C6047" s="8"/>
      <c r="D6047" s="8"/>
      <c r="E6047" s="8"/>
      <c r="F6047" s="8"/>
      <c r="G6047" s="8"/>
      <c r="H6047" s="8"/>
      <c r="I6047" s="8"/>
      <c r="J6047" s="8"/>
      <c r="K6047" s="8"/>
      <c r="L6047" s="8"/>
      <c r="M6047" s="8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  <c r="AA6047" s="8"/>
      <c r="AB6047" s="8"/>
      <c r="AC6047" s="8"/>
      <c r="AD6047" s="11"/>
      <c r="AE6047" s="11"/>
      <c r="AF6047" s="11"/>
      <c r="AG6047" s="10"/>
    </row>
    <row r="6048" spans="1:33">
      <c r="A6048" s="8"/>
      <c r="B6048" s="8"/>
      <c r="C6048" s="8"/>
      <c r="D6048" s="8"/>
      <c r="E6048" s="8"/>
      <c r="F6048" s="8"/>
      <c r="G6048" s="8"/>
      <c r="H6048" s="8"/>
      <c r="I6048" s="8"/>
      <c r="J6048" s="8"/>
      <c r="K6048" s="8"/>
      <c r="L6048" s="8"/>
      <c r="M6048" s="8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  <c r="AA6048" s="8"/>
      <c r="AB6048" s="8"/>
      <c r="AC6048" s="8"/>
      <c r="AD6048" s="11"/>
      <c r="AE6048" s="11"/>
      <c r="AF6048" s="11"/>
      <c r="AG6048" s="10"/>
    </row>
    <row r="6049" spans="1:33">
      <c r="A6049" s="8"/>
      <c r="B6049" s="8"/>
      <c r="C6049" s="8"/>
      <c r="D6049" s="8"/>
      <c r="E6049" s="8"/>
      <c r="F6049" s="8"/>
      <c r="G6049" s="8"/>
      <c r="H6049" s="8"/>
      <c r="I6049" s="8"/>
      <c r="J6049" s="8"/>
      <c r="K6049" s="8"/>
      <c r="L6049" s="8"/>
      <c r="M6049" s="8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  <c r="AA6049" s="8"/>
      <c r="AB6049" s="8"/>
      <c r="AC6049" s="8"/>
      <c r="AD6049" s="11"/>
      <c r="AE6049" s="11"/>
      <c r="AF6049" s="11"/>
      <c r="AG6049" s="10"/>
    </row>
    <row r="6050" spans="1:33">
      <c r="A6050" s="8"/>
      <c r="B6050" s="8"/>
      <c r="C6050" s="8"/>
      <c r="D6050" s="8"/>
      <c r="E6050" s="8"/>
      <c r="F6050" s="8"/>
      <c r="G6050" s="8"/>
      <c r="H6050" s="8"/>
      <c r="I6050" s="8"/>
      <c r="J6050" s="8"/>
      <c r="K6050" s="8"/>
      <c r="L6050" s="8"/>
      <c r="M6050" s="8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  <c r="AA6050" s="8"/>
      <c r="AB6050" s="8"/>
      <c r="AC6050" s="8"/>
      <c r="AD6050" s="11"/>
      <c r="AE6050" s="11"/>
      <c r="AF6050" s="11"/>
      <c r="AG6050" s="10"/>
    </row>
    <row r="6051" spans="1:33">
      <c r="A6051" s="8"/>
      <c r="B6051" s="8"/>
      <c r="C6051" s="8"/>
      <c r="D6051" s="8"/>
      <c r="E6051" s="8"/>
      <c r="F6051" s="8"/>
      <c r="G6051" s="8"/>
      <c r="H6051" s="8"/>
      <c r="I6051" s="8"/>
      <c r="J6051" s="8"/>
      <c r="K6051" s="8"/>
      <c r="L6051" s="8"/>
      <c r="M6051" s="8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  <c r="AA6051" s="8"/>
      <c r="AB6051" s="8"/>
      <c r="AC6051" s="8"/>
      <c r="AD6051" s="11"/>
      <c r="AE6051" s="11"/>
      <c r="AF6051" s="11"/>
      <c r="AG6051" s="10"/>
    </row>
    <row r="6052" spans="1:33">
      <c r="A6052" s="8"/>
      <c r="B6052" s="8"/>
      <c r="C6052" s="8"/>
      <c r="D6052" s="8"/>
      <c r="E6052" s="8"/>
      <c r="F6052" s="8"/>
      <c r="G6052" s="8"/>
      <c r="H6052" s="8"/>
      <c r="I6052" s="8"/>
      <c r="J6052" s="8"/>
      <c r="K6052" s="8"/>
      <c r="L6052" s="8"/>
      <c r="M6052" s="8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  <c r="AA6052" s="8"/>
      <c r="AB6052" s="8"/>
      <c r="AC6052" s="8"/>
      <c r="AD6052" s="11"/>
      <c r="AE6052" s="11"/>
      <c r="AF6052" s="11"/>
      <c r="AG6052" s="10"/>
    </row>
    <row r="6053" spans="1:33">
      <c r="A6053" s="8"/>
      <c r="B6053" s="8"/>
      <c r="C6053" s="8"/>
      <c r="D6053" s="8"/>
      <c r="E6053" s="8"/>
      <c r="F6053" s="8"/>
      <c r="G6053" s="8"/>
      <c r="H6053" s="8"/>
      <c r="I6053" s="8"/>
      <c r="J6053" s="8"/>
      <c r="K6053" s="8"/>
      <c r="L6053" s="8"/>
      <c r="M6053" s="8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  <c r="AA6053" s="8"/>
      <c r="AB6053" s="8"/>
      <c r="AC6053" s="8"/>
      <c r="AD6053" s="11"/>
      <c r="AE6053" s="11"/>
      <c r="AF6053" s="11"/>
      <c r="AG6053" s="10"/>
    </row>
    <row r="6054" spans="1:33">
      <c r="A6054" s="8"/>
      <c r="B6054" s="8"/>
      <c r="C6054" s="8"/>
      <c r="D6054" s="8"/>
      <c r="E6054" s="8"/>
      <c r="F6054" s="8"/>
      <c r="G6054" s="8"/>
      <c r="H6054" s="8"/>
      <c r="I6054" s="8"/>
      <c r="J6054" s="8"/>
      <c r="K6054" s="8"/>
      <c r="L6054" s="8"/>
      <c r="M6054" s="8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  <c r="AA6054" s="8"/>
      <c r="AB6054" s="8"/>
      <c r="AC6054" s="8"/>
      <c r="AD6054" s="11"/>
      <c r="AE6054" s="11"/>
      <c r="AF6054" s="11"/>
      <c r="AG6054" s="10"/>
    </row>
    <row r="6055" spans="1:33">
      <c r="A6055" s="8"/>
      <c r="B6055" s="8"/>
      <c r="C6055" s="8"/>
      <c r="D6055" s="8"/>
      <c r="E6055" s="8"/>
      <c r="F6055" s="8"/>
      <c r="G6055" s="8"/>
      <c r="H6055" s="8"/>
      <c r="I6055" s="8"/>
      <c r="J6055" s="8"/>
      <c r="K6055" s="8"/>
      <c r="L6055" s="8"/>
      <c r="M6055" s="8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  <c r="AA6055" s="8"/>
      <c r="AB6055" s="8"/>
      <c r="AC6055" s="8"/>
      <c r="AD6055" s="11"/>
      <c r="AE6055" s="11"/>
      <c r="AF6055" s="11"/>
      <c r="AG6055" s="10"/>
    </row>
    <row r="6056" spans="1:33">
      <c r="A6056" s="8"/>
      <c r="B6056" s="8"/>
      <c r="C6056" s="8"/>
      <c r="D6056" s="8"/>
      <c r="E6056" s="8"/>
      <c r="F6056" s="8"/>
      <c r="G6056" s="8"/>
      <c r="H6056" s="8"/>
      <c r="I6056" s="8"/>
      <c r="J6056" s="8"/>
      <c r="K6056" s="8"/>
      <c r="L6056" s="8"/>
      <c r="M6056" s="8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  <c r="AA6056" s="8"/>
      <c r="AB6056" s="8"/>
      <c r="AC6056" s="8"/>
      <c r="AD6056" s="11"/>
      <c r="AE6056" s="11"/>
      <c r="AF6056" s="11"/>
      <c r="AG6056" s="10"/>
    </row>
    <row r="6057" spans="1:33">
      <c r="A6057" s="8"/>
      <c r="B6057" s="8"/>
      <c r="C6057" s="8"/>
      <c r="D6057" s="8"/>
      <c r="E6057" s="8"/>
      <c r="F6057" s="8"/>
      <c r="G6057" s="8"/>
      <c r="H6057" s="8"/>
      <c r="I6057" s="8"/>
      <c r="J6057" s="8"/>
      <c r="K6057" s="8"/>
      <c r="L6057" s="8"/>
      <c r="M6057" s="8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  <c r="AA6057" s="8"/>
      <c r="AB6057" s="8"/>
      <c r="AC6057" s="8"/>
      <c r="AD6057" s="11"/>
      <c r="AE6057" s="11"/>
      <c r="AF6057" s="11"/>
      <c r="AG6057" s="10"/>
    </row>
    <row r="6058" spans="1:33">
      <c r="A6058" s="8"/>
      <c r="B6058" s="8"/>
      <c r="C6058" s="8"/>
      <c r="D6058" s="8"/>
      <c r="E6058" s="8"/>
      <c r="F6058" s="8"/>
      <c r="G6058" s="8"/>
      <c r="H6058" s="8"/>
      <c r="I6058" s="8"/>
      <c r="J6058" s="8"/>
      <c r="K6058" s="8"/>
      <c r="L6058" s="8"/>
      <c r="M6058" s="8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  <c r="AA6058" s="8"/>
      <c r="AB6058" s="8"/>
      <c r="AC6058" s="8"/>
      <c r="AD6058" s="11"/>
      <c r="AE6058" s="11"/>
      <c r="AF6058" s="11"/>
      <c r="AG6058" s="10"/>
    </row>
    <row r="6059" spans="1:33">
      <c r="A6059" s="8"/>
      <c r="B6059" s="8"/>
      <c r="C6059" s="8"/>
      <c r="D6059" s="8"/>
      <c r="E6059" s="8"/>
      <c r="F6059" s="8"/>
      <c r="G6059" s="8"/>
      <c r="H6059" s="8"/>
      <c r="I6059" s="8"/>
      <c r="J6059" s="8"/>
      <c r="K6059" s="8"/>
      <c r="L6059" s="8"/>
      <c r="M6059" s="8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  <c r="AA6059" s="8"/>
      <c r="AB6059" s="8"/>
      <c r="AC6059" s="8"/>
      <c r="AD6059" s="11"/>
      <c r="AE6059" s="11"/>
      <c r="AF6059" s="11"/>
      <c r="AG6059" s="10"/>
    </row>
    <row r="6060" spans="1:33">
      <c r="A6060" s="8"/>
      <c r="B6060" s="8"/>
      <c r="C6060" s="8"/>
      <c r="D6060" s="8"/>
      <c r="E6060" s="8"/>
      <c r="F6060" s="8"/>
      <c r="G6060" s="8"/>
      <c r="H6060" s="8"/>
      <c r="I6060" s="8"/>
      <c r="J6060" s="8"/>
      <c r="K6060" s="8"/>
      <c r="L6060" s="8"/>
      <c r="M6060" s="8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  <c r="AA6060" s="8"/>
      <c r="AB6060" s="8"/>
      <c r="AC6060" s="8"/>
      <c r="AD6060" s="11"/>
      <c r="AE6060" s="11"/>
      <c r="AF6060" s="11"/>
      <c r="AG6060" s="10"/>
    </row>
    <row r="6061" spans="1:33">
      <c r="A6061" s="8"/>
      <c r="B6061" s="8"/>
      <c r="C6061" s="8"/>
      <c r="D6061" s="8"/>
      <c r="E6061" s="8"/>
      <c r="F6061" s="8"/>
      <c r="G6061" s="8"/>
      <c r="H6061" s="8"/>
      <c r="I6061" s="8"/>
      <c r="J6061" s="8"/>
      <c r="K6061" s="8"/>
      <c r="L6061" s="8"/>
      <c r="M6061" s="8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  <c r="AA6061" s="8"/>
      <c r="AB6061" s="8"/>
      <c r="AC6061" s="8"/>
      <c r="AD6061" s="11"/>
      <c r="AE6061" s="11"/>
      <c r="AF6061" s="11"/>
      <c r="AG6061" s="10"/>
    </row>
    <row r="6062" spans="1:33">
      <c r="A6062" s="8"/>
      <c r="B6062" s="8"/>
      <c r="C6062" s="8"/>
      <c r="D6062" s="8"/>
      <c r="E6062" s="8"/>
      <c r="F6062" s="8"/>
      <c r="G6062" s="8"/>
      <c r="H6062" s="8"/>
      <c r="I6062" s="8"/>
      <c r="J6062" s="8"/>
      <c r="K6062" s="8"/>
      <c r="L6062" s="8"/>
      <c r="M6062" s="8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  <c r="AA6062" s="8"/>
      <c r="AB6062" s="8"/>
      <c r="AC6062" s="8"/>
      <c r="AD6062" s="11"/>
      <c r="AE6062" s="11"/>
      <c r="AF6062" s="11"/>
      <c r="AG6062" s="10"/>
    </row>
    <row r="6063" spans="1:33">
      <c r="A6063" s="8"/>
      <c r="B6063" s="8"/>
      <c r="C6063" s="8"/>
      <c r="D6063" s="8"/>
      <c r="E6063" s="8"/>
      <c r="F6063" s="8"/>
      <c r="G6063" s="8"/>
      <c r="H6063" s="8"/>
      <c r="I6063" s="8"/>
      <c r="J6063" s="8"/>
      <c r="K6063" s="8"/>
      <c r="L6063" s="8"/>
      <c r="M6063" s="8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  <c r="AA6063" s="8"/>
      <c r="AB6063" s="8"/>
      <c r="AC6063" s="8"/>
      <c r="AD6063" s="11"/>
      <c r="AE6063" s="11"/>
      <c r="AF6063" s="11"/>
      <c r="AG6063" s="10"/>
    </row>
    <row r="6064" spans="1:33">
      <c r="A6064" s="8"/>
      <c r="B6064" s="8"/>
      <c r="C6064" s="8"/>
      <c r="D6064" s="8"/>
      <c r="E6064" s="8"/>
      <c r="F6064" s="8"/>
      <c r="G6064" s="8"/>
      <c r="H6064" s="8"/>
      <c r="I6064" s="8"/>
      <c r="J6064" s="8"/>
      <c r="K6064" s="8"/>
      <c r="L6064" s="8"/>
      <c r="M6064" s="8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  <c r="AA6064" s="8"/>
      <c r="AB6064" s="8"/>
      <c r="AC6064" s="8"/>
      <c r="AD6064" s="11"/>
      <c r="AE6064" s="11"/>
      <c r="AF6064" s="11"/>
      <c r="AG6064" s="10"/>
    </row>
    <row r="6065" spans="1:33">
      <c r="A6065" s="8"/>
      <c r="B6065" s="8"/>
      <c r="C6065" s="8"/>
      <c r="D6065" s="8"/>
      <c r="E6065" s="8"/>
      <c r="F6065" s="8"/>
      <c r="G6065" s="8"/>
      <c r="H6065" s="8"/>
      <c r="I6065" s="8"/>
      <c r="J6065" s="8"/>
      <c r="K6065" s="8"/>
      <c r="L6065" s="8"/>
      <c r="M6065" s="8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  <c r="AA6065" s="8"/>
      <c r="AB6065" s="8"/>
      <c r="AC6065" s="8"/>
      <c r="AD6065" s="11"/>
      <c r="AE6065" s="11"/>
      <c r="AF6065" s="11"/>
      <c r="AG6065" s="10"/>
    </row>
    <row r="6066" spans="1:33">
      <c r="A6066" s="8"/>
      <c r="B6066" s="8"/>
      <c r="C6066" s="8"/>
      <c r="D6066" s="8"/>
      <c r="E6066" s="8"/>
      <c r="F6066" s="8"/>
      <c r="G6066" s="8"/>
      <c r="H6066" s="8"/>
      <c r="I6066" s="8"/>
      <c r="J6066" s="8"/>
      <c r="K6066" s="8"/>
      <c r="L6066" s="8"/>
      <c r="M6066" s="8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  <c r="AA6066" s="8"/>
      <c r="AB6066" s="8"/>
      <c r="AC6066" s="8"/>
      <c r="AD6066" s="11"/>
      <c r="AE6066" s="11"/>
      <c r="AF6066" s="11"/>
      <c r="AG6066" s="10"/>
    </row>
    <row r="6067" spans="1:33">
      <c r="A6067" s="8"/>
      <c r="B6067" s="8"/>
      <c r="C6067" s="8"/>
      <c r="D6067" s="8"/>
      <c r="E6067" s="8"/>
      <c r="F6067" s="8"/>
      <c r="G6067" s="8"/>
      <c r="H6067" s="8"/>
      <c r="I6067" s="8"/>
      <c r="J6067" s="8"/>
      <c r="K6067" s="8"/>
      <c r="L6067" s="8"/>
      <c r="M6067" s="8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  <c r="AA6067" s="8"/>
      <c r="AB6067" s="8"/>
      <c r="AC6067" s="8"/>
      <c r="AD6067" s="11"/>
      <c r="AE6067" s="11"/>
      <c r="AF6067" s="11"/>
      <c r="AG6067" s="10"/>
    </row>
    <row r="6068" spans="1:33">
      <c r="A6068" s="8"/>
      <c r="B6068" s="8"/>
      <c r="C6068" s="8"/>
      <c r="D6068" s="8"/>
      <c r="E6068" s="8"/>
      <c r="F6068" s="8"/>
      <c r="G6068" s="8"/>
      <c r="H6068" s="8"/>
      <c r="I6068" s="8"/>
      <c r="J6068" s="8"/>
      <c r="K6068" s="8"/>
      <c r="L6068" s="8"/>
      <c r="M6068" s="8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  <c r="AA6068" s="8"/>
      <c r="AB6068" s="8"/>
      <c r="AC6068" s="8"/>
      <c r="AD6068" s="11"/>
      <c r="AE6068" s="11"/>
      <c r="AF6068" s="11"/>
      <c r="AG6068" s="10"/>
    </row>
    <row r="6069" spans="1:33">
      <c r="A6069" s="8"/>
      <c r="B6069" s="8"/>
      <c r="C6069" s="8"/>
      <c r="D6069" s="8"/>
      <c r="E6069" s="8"/>
      <c r="F6069" s="8"/>
      <c r="G6069" s="8"/>
      <c r="H6069" s="8"/>
      <c r="I6069" s="8"/>
      <c r="J6069" s="8"/>
      <c r="K6069" s="8"/>
      <c r="L6069" s="8"/>
      <c r="M6069" s="8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  <c r="AA6069" s="8"/>
      <c r="AB6069" s="8"/>
      <c r="AC6069" s="8"/>
      <c r="AD6069" s="11"/>
      <c r="AE6069" s="11"/>
      <c r="AF6069" s="11"/>
      <c r="AG6069" s="10"/>
    </row>
    <row r="6070" spans="1:33">
      <c r="A6070" s="8"/>
      <c r="B6070" s="8"/>
      <c r="C6070" s="8"/>
      <c r="D6070" s="8"/>
      <c r="E6070" s="8"/>
      <c r="F6070" s="8"/>
      <c r="G6070" s="8"/>
      <c r="H6070" s="8"/>
      <c r="I6070" s="8"/>
      <c r="J6070" s="8"/>
      <c r="K6070" s="8"/>
      <c r="L6070" s="8"/>
      <c r="M6070" s="8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  <c r="AA6070" s="8"/>
      <c r="AB6070" s="8"/>
      <c r="AC6070" s="8"/>
      <c r="AD6070" s="11"/>
      <c r="AE6070" s="11"/>
      <c r="AF6070" s="11"/>
      <c r="AG6070" s="10"/>
    </row>
    <row r="6071" spans="1:33">
      <c r="A6071" s="8"/>
      <c r="B6071" s="8"/>
      <c r="C6071" s="8"/>
      <c r="D6071" s="8"/>
      <c r="E6071" s="8"/>
      <c r="F6071" s="8"/>
      <c r="G6071" s="8"/>
      <c r="H6071" s="8"/>
      <c r="I6071" s="8"/>
      <c r="J6071" s="8"/>
      <c r="K6071" s="8"/>
      <c r="L6071" s="8"/>
      <c r="M6071" s="8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  <c r="AA6071" s="8"/>
      <c r="AB6071" s="8"/>
      <c r="AC6071" s="8"/>
      <c r="AD6071" s="11"/>
      <c r="AE6071" s="11"/>
      <c r="AF6071" s="11"/>
      <c r="AG6071" s="10"/>
    </row>
    <row r="6072" spans="1:33">
      <c r="A6072" s="8"/>
      <c r="B6072" s="8"/>
      <c r="C6072" s="8"/>
      <c r="D6072" s="8"/>
      <c r="E6072" s="8"/>
      <c r="F6072" s="8"/>
      <c r="G6072" s="8"/>
      <c r="H6072" s="8"/>
      <c r="I6072" s="8"/>
      <c r="J6072" s="8"/>
      <c r="K6072" s="8"/>
      <c r="L6072" s="8"/>
      <c r="M6072" s="8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  <c r="AA6072" s="8"/>
      <c r="AB6072" s="8"/>
      <c r="AC6072" s="8"/>
      <c r="AD6072" s="11"/>
      <c r="AE6072" s="11"/>
      <c r="AF6072" s="11"/>
      <c r="AG6072" s="10"/>
    </row>
    <row r="6073" spans="1:33">
      <c r="A6073" s="8"/>
      <c r="B6073" s="8"/>
      <c r="C6073" s="8"/>
      <c r="D6073" s="8"/>
      <c r="E6073" s="8"/>
      <c r="F6073" s="8"/>
      <c r="G6073" s="8"/>
      <c r="H6073" s="8"/>
      <c r="I6073" s="8"/>
      <c r="J6073" s="8"/>
      <c r="K6073" s="8"/>
      <c r="L6073" s="8"/>
      <c r="M6073" s="8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  <c r="AA6073" s="8"/>
      <c r="AB6073" s="8"/>
      <c r="AC6073" s="8"/>
      <c r="AD6073" s="11"/>
      <c r="AE6073" s="11"/>
      <c r="AF6073" s="11"/>
      <c r="AG6073" s="10"/>
    </row>
    <row r="6074" spans="1:33">
      <c r="A6074" s="8"/>
      <c r="B6074" s="8"/>
      <c r="C6074" s="8"/>
      <c r="D6074" s="8"/>
      <c r="E6074" s="8"/>
      <c r="F6074" s="8"/>
      <c r="G6074" s="8"/>
      <c r="H6074" s="8"/>
      <c r="I6074" s="8"/>
      <c r="J6074" s="8"/>
      <c r="K6074" s="8"/>
      <c r="L6074" s="8"/>
      <c r="M6074" s="8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  <c r="AA6074" s="8"/>
      <c r="AB6074" s="8"/>
      <c r="AC6074" s="8"/>
      <c r="AD6074" s="11"/>
      <c r="AE6074" s="11"/>
      <c r="AF6074" s="11"/>
      <c r="AG6074" s="10"/>
    </row>
    <row r="6075" spans="1:33">
      <c r="A6075" s="8"/>
      <c r="B6075" s="8"/>
      <c r="C6075" s="8"/>
      <c r="D6075" s="8"/>
      <c r="E6075" s="8"/>
      <c r="F6075" s="8"/>
      <c r="G6075" s="8"/>
      <c r="H6075" s="8"/>
      <c r="I6075" s="8"/>
      <c r="J6075" s="8"/>
      <c r="K6075" s="8"/>
      <c r="L6075" s="8"/>
      <c r="M6075" s="8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  <c r="AA6075" s="8"/>
      <c r="AB6075" s="8"/>
      <c r="AC6075" s="8"/>
      <c r="AD6075" s="11"/>
      <c r="AE6075" s="11"/>
      <c r="AF6075" s="11"/>
      <c r="AG6075" s="10"/>
    </row>
    <row r="6076" spans="1:33">
      <c r="A6076" s="8"/>
      <c r="B6076" s="8"/>
      <c r="C6076" s="8"/>
      <c r="D6076" s="8"/>
      <c r="E6076" s="8"/>
      <c r="F6076" s="8"/>
      <c r="G6076" s="8"/>
      <c r="H6076" s="8"/>
      <c r="I6076" s="8"/>
      <c r="J6076" s="8"/>
      <c r="K6076" s="8"/>
      <c r="L6076" s="8"/>
      <c r="M6076" s="8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  <c r="AA6076" s="8"/>
      <c r="AB6076" s="8"/>
      <c r="AC6076" s="8"/>
      <c r="AD6076" s="11"/>
      <c r="AE6076" s="11"/>
      <c r="AF6076" s="11"/>
      <c r="AG6076" s="10"/>
    </row>
    <row r="6077" spans="1:33">
      <c r="A6077" s="8"/>
      <c r="B6077" s="8"/>
      <c r="C6077" s="8"/>
      <c r="D6077" s="8"/>
      <c r="E6077" s="8"/>
      <c r="F6077" s="8"/>
      <c r="G6077" s="8"/>
      <c r="H6077" s="8"/>
      <c r="I6077" s="8"/>
      <c r="J6077" s="8"/>
      <c r="K6077" s="8"/>
      <c r="L6077" s="8"/>
      <c r="M6077" s="8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  <c r="AA6077" s="8"/>
      <c r="AB6077" s="8"/>
      <c r="AC6077" s="8"/>
      <c r="AD6077" s="11"/>
      <c r="AE6077" s="11"/>
      <c r="AF6077" s="11"/>
      <c r="AG6077" s="10"/>
    </row>
    <row r="6078" spans="1:33">
      <c r="A6078" s="8"/>
      <c r="B6078" s="8"/>
      <c r="C6078" s="8"/>
      <c r="D6078" s="8"/>
      <c r="E6078" s="8"/>
      <c r="F6078" s="8"/>
      <c r="G6078" s="8"/>
      <c r="H6078" s="8"/>
      <c r="I6078" s="8"/>
      <c r="J6078" s="8"/>
      <c r="K6078" s="8"/>
      <c r="L6078" s="8"/>
      <c r="M6078" s="8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  <c r="AA6078" s="8"/>
      <c r="AB6078" s="8"/>
      <c r="AC6078" s="8"/>
      <c r="AD6078" s="11"/>
      <c r="AE6078" s="11"/>
      <c r="AF6078" s="11"/>
      <c r="AG6078" s="10"/>
    </row>
    <row r="6079" spans="1:33">
      <c r="A6079" s="8"/>
      <c r="B6079" s="8"/>
      <c r="C6079" s="8"/>
      <c r="D6079" s="8"/>
      <c r="E6079" s="8"/>
      <c r="F6079" s="8"/>
      <c r="G6079" s="8"/>
      <c r="H6079" s="8"/>
      <c r="I6079" s="8"/>
      <c r="J6079" s="8"/>
      <c r="K6079" s="8"/>
      <c r="L6079" s="8"/>
      <c r="M6079" s="8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  <c r="AA6079" s="8"/>
      <c r="AB6079" s="8"/>
      <c r="AC6079" s="8"/>
      <c r="AD6079" s="11"/>
      <c r="AE6079" s="11"/>
      <c r="AF6079" s="11"/>
      <c r="AG6079" s="10"/>
    </row>
    <row r="6080" spans="1:33">
      <c r="A6080" s="8"/>
      <c r="B6080" s="8"/>
      <c r="C6080" s="8"/>
      <c r="D6080" s="8"/>
      <c r="E6080" s="8"/>
      <c r="F6080" s="8"/>
      <c r="G6080" s="8"/>
      <c r="H6080" s="8"/>
      <c r="I6080" s="8"/>
      <c r="J6080" s="8"/>
      <c r="K6080" s="8"/>
      <c r="L6080" s="8"/>
      <c r="M6080" s="8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  <c r="AA6080" s="8"/>
      <c r="AB6080" s="8"/>
      <c r="AC6080" s="8"/>
      <c r="AD6080" s="11"/>
      <c r="AE6080" s="11"/>
      <c r="AF6080" s="11"/>
      <c r="AG6080" s="10"/>
    </row>
    <row r="6081" spans="1:33">
      <c r="A6081" s="8"/>
      <c r="B6081" s="8"/>
      <c r="C6081" s="8"/>
      <c r="D6081" s="8"/>
      <c r="E6081" s="8"/>
      <c r="F6081" s="8"/>
      <c r="G6081" s="8"/>
      <c r="H6081" s="8"/>
      <c r="I6081" s="8"/>
      <c r="J6081" s="8"/>
      <c r="K6081" s="8"/>
      <c r="L6081" s="8"/>
      <c r="M6081" s="8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  <c r="AA6081" s="8"/>
      <c r="AB6081" s="8"/>
      <c r="AC6081" s="8"/>
      <c r="AD6081" s="11"/>
      <c r="AE6081" s="11"/>
      <c r="AF6081" s="11"/>
      <c r="AG6081" s="10"/>
    </row>
    <row r="6082" spans="1:33">
      <c r="A6082" s="8"/>
      <c r="B6082" s="8"/>
      <c r="C6082" s="8"/>
      <c r="D6082" s="8"/>
      <c r="E6082" s="8"/>
      <c r="F6082" s="8"/>
      <c r="G6082" s="8"/>
      <c r="H6082" s="8"/>
      <c r="I6082" s="8"/>
      <c r="J6082" s="8"/>
      <c r="K6082" s="8"/>
      <c r="L6082" s="8"/>
      <c r="M6082" s="8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  <c r="AA6082" s="8"/>
      <c r="AB6082" s="8"/>
      <c r="AC6082" s="8"/>
      <c r="AD6082" s="11"/>
      <c r="AE6082" s="11"/>
      <c r="AF6082" s="11"/>
      <c r="AG6082" s="10"/>
    </row>
    <row r="6083" spans="1:33">
      <c r="A6083" s="8"/>
      <c r="B6083" s="8"/>
      <c r="C6083" s="8"/>
      <c r="D6083" s="8"/>
      <c r="E6083" s="8"/>
      <c r="F6083" s="8"/>
      <c r="G6083" s="8"/>
      <c r="H6083" s="8"/>
      <c r="I6083" s="8"/>
      <c r="J6083" s="8"/>
      <c r="K6083" s="8"/>
      <c r="L6083" s="8"/>
      <c r="M6083" s="8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  <c r="AA6083" s="8"/>
      <c r="AB6083" s="8"/>
      <c r="AC6083" s="8"/>
      <c r="AD6083" s="11"/>
      <c r="AE6083" s="11"/>
      <c r="AF6083" s="11"/>
      <c r="AG6083" s="10"/>
    </row>
    <row r="6084" spans="1:33">
      <c r="A6084" s="8"/>
      <c r="B6084" s="8"/>
      <c r="C6084" s="8"/>
      <c r="D6084" s="8"/>
      <c r="E6084" s="8"/>
      <c r="F6084" s="8"/>
      <c r="G6084" s="8"/>
      <c r="H6084" s="8"/>
      <c r="I6084" s="8"/>
      <c r="J6084" s="8"/>
      <c r="K6084" s="8"/>
      <c r="L6084" s="8"/>
      <c r="M6084" s="8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  <c r="AA6084" s="8"/>
      <c r="AB6084" s="8"/>
      <c r="AC6084" s="8"/>
      <c r="AD6084" s="11"/>
      <c r="AE6084" s="11"/>
      <c r="AF6084" s="11"/>
      <c r="AG6084" s="10"/>
    </row>
    <row r="6085" spans="1:33">
      <c r="A6085" s="8"/>
      <c r="B6085" s="8"/>
      <c r="C6085" s="8"/>
      <c r="D6085" s="8"/>
      <c r="E6085" s="8"/>
      <c r="F6085" s="8"/>
      <c r="G6085" s="8"/>
      <c r="H6085" s="8"/>
      <c r="I6085" s="8"/>
      <c r="J6085" s="8"/>
      <c r="K6085" s="8"/>
      <c r="L6085" s="8"/>
      <c r="M6085" s="8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  <c r="AA6085" s="8"/>
      <c r="AB6085" s="8"/>
      <c r="AC6085" s="8"/>
      <c r="AD6085" s="11"/>
      <c r="AE6085" s="11"/>
      <c r="AF6085" s="11"/>
      <c r="AG6085" s="10"/>
    </row>
    <row r="6086" spans="1:33">
      <c r="A6086" s="8"/>
      <c r="B6086" s="8"/>
      <c r="C6086" s="8"/>
      <c r="D6086" s="8"/>
      <c r="E6086" s="8"/>
      <c r="F6086" s="8"/>
      <c r="G6086" s="8"/>
      <c r="H6086" s="8"/>
      <c r="I6086" s="8"/>
      <c r="J6086" s="8"/>
      <c r="K6086" s="8"/>
      <c r="L6086" s="8"/>
      <c r="M6086" s="8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  <c r="AA6086" s="8"/>
      <c r="AB6086" s="8"/>
      <c r="AC6086" s="8"/>
      <c r="AD6086" s="11"/>
      <c r="AE6086" s="11"/>
      <c r="AF6086" s="11"/>
      <c r="AG6086" s="10"/>
    </row>
    <row r="6087" spans="1:33">
      <c r="A6087" s="8"/>
      <c r="B6087" s="8"/>
      <c r="C6087" s="8"/>
      <c r="D6087" s="8"/>
      <c r="E6087" s="8"/>
      <c r="F6087" s="8"/>
      <c r="G6087" s="8"/>
      <c r="H6087" s="8"/>
      <c r="I6087" s="8"/>
      <c r="J6087" s="8"/>
      <c r="K6087" s="8"/>
      <c r="L6087" s="8"/>
      <c r="M6087" s="8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  <c r="AA6087" s="8"/>
      <c r="AB6087" s="8"/>
      <c r="AC6087" s="8"/>
      <c r="AD6087" s="11"/>
      <c r="AE6087" s="11"/>
      <c r="AF6087" s="11"/>
      <c r="AG6087" s="10"/>
    </row>
    <row r="6088" spans="1:33">
      <c r="A6088" s="8"/>
      <c r="B6088" s="8"/>
      <c r="C6088" s="8"/>
      <c r="D6088" s="8"/>
      <c r="E6088" s="8"/>
      <c r="F6088" s="8"/>
      <c r="G6088" s="8"/>
      <c r="H6088" s="8"/>
      <c r="I6088" s="8"/>
      <c r="J6088" s="8"/>
      <c r="K6088" s="8"/>
      <c r="L6088" s="8"/>
      <c r="M6088" s="8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  <c r="AA6088" s="8"/>
      <c r="AB6088" s="8"/>
      <c r="AC6088" s="8"/>
      <c r="AD6088" s="11"/>
      <c r="AE6088" s="11"/>
      <c r="AF6088" s="11"/>
      <c r="AG6088" s="10"/>
    </row>
    <row r="6089" spans="1:33">
      <c r="A6089" s="8"/>
      <c r="B6089" s="8"/>
      <c r="C6089" s="8"/>
      <c r="D6089" s="8"/>
      <c r="E6089" s="8"/>
      <c r="F6089" s="8"/>
      <c r="G6089" s="8"/>
      <c r="H6089" s="8"/>
      <c r="I6089" s="8"/>
      <c r="J6089" s="8"/>
      <c r="K6089" s="8"/>
      <c r="L6089" s="8"/>
      <c r="M6089" s="8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  <c r="AA6089" s="8"/>
      <c r="AB6089" s="8"/>
      <c r="AC6089" s="8"/>
      <c r="AD6089" s="11"/>
      <c r="AE6089" s="11"/>
      <c r="AF6089" s="11"/>
      <c r="AG6089" s="10"/>
    </row>
    <row r="6090" spans="1:33">
      <c r="A6090" s="8"/>
      <c r="B6090" s="8"/>
      <c r="C6090" s="8"/>
      <c r="D6090" s="8"/>
      <c r="E6090" s="8"/>
      <c r="F6090" s="8"/>
      <c r="G6090" s="8"/>
      <c r="H6090" s="8"/>
      <c r="I6090" s="8"/>
      <c r="J6090" s="8"/>
      <c r="K6090" s="8"/>
      <c r="L6090" s="8"/>
      <c r="M6090" s="8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  <c r="AA6090" s="8"/>
      <c r="AB6090" s="8"/>
      <c r="AC6090" s="8"/>
      <c r="AD6090" s="11"/>
      <c r="AE6090" s="11"/>
      <c r="AF6090" s="11"/>
      <c r="AG6090" s="10"/>
    </row>
    <row r="6091" spans="1:33">
      <c r="A6091" s="8"/>
      <c r="B6091" s="8"/>
      <c r="C6091" s="8"/>
      <c r="D6091" s="8"/>
      <c r="E6091" s="8"/>
      <c r="F6091" s="8"/>
      <c r="G6091" s="8"/>
      <c r="H6091" s="8"/>
      <c r="I6091" s="8"/>
      <c r="J6091" s="8"/>
      <c r="K6091" s="8"/>
      <c r="L6091" s="8"/>
      <c r="M6091" s="8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  <c r="AA6091" s="8"/>
      <c r="AB6091" s="8"/>
      <c r="AC6091" s="8"/>
      <c r="AD6091" s="11"/>
      <c r="AE6091" s="11"/>
      <c r="AF6091" s="11"/>
      <c r="AG6091" s="10"/>
    </row>
    <row r="6092" spans="1:33">
      <c r="A6092" s="8"/>
      <c r="B6092" s="8"/>
      <c r="C6092" s="8"/>
      <c r="D6092" s="8"/>
      <c r="E6092" s="8"/>
      <c r="F6092" s="8"/>
      <c r="G6092" s="8"/>
      <c r="H6092" s="8"/>
      <c r="I6092" s="8"/>
      <c r="J6092" s="8"/>
      <c r="K6092" s="8"/>
      <c r="L6092" s="8"/>
      <c r="M6092" s="8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  <c r="AA6092" s="8"/>
      <c r="AB6092" s="8"/>
      <c r="AC6092" s="8"/>
      <c r="AD6092" s="11"/>
      <c r="AE6092" s="11"/>
      <c r="AF6092" s="11"/>
      <c r="AG6092" s="10"/>
    </row>
    <row r="6093" spans="1:33">
      <c r="A6093" s="8"/>
      <c r="B6093" s="8"/>
      <c r="C6093" s="8"/>
      <c r="D6093" s="8"/>
      <c r="E6093" s="8"/>
      <c r="F6093" s="8"/>
      <c r="G6093" s="8"/>
      <c r="H6093" s="8"/>
      <c r="I6093" s="8"/>
      <c r="J6093" s="8"/>
      <c r="K6093" s="8"/>
      <c r="L6093" s="8"/>
      <c r="M6093" s="8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  <c r="AA6093" s="8"/>
      <c r="AB6093" s="8"/>
      <c r="AC6093" s="8"/>
      <c r="AD6093" s="11"/>
      <c r="AE6093" s="11"/>
      <c r="AF6093" s="11"/>
      <c r="AG6093" s="10"/>
    </row>
    <row r="6094" spans="1:33">
      <c r="A6094" s="8"/>
      <c r="B6094" s="8"/>
      <c r="C6094" s="8"/>
      <c r="D6094" s="8"/>
      <c r="E6094" s="8"/>
      <c r="F6094" s="8"/>
      <c r="G6094" s="8"/>
      <c r="H6094" s="8"/>
      <c r="I6094" s="8"/>
      <c r="J6094" s="8"/>
      <c r="K6094" s="8"/>
      <c r="L6094" s="8"/>
      <c r="M6094" s="8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  <c r="AA6094" s="8"/>
      <c r="AB6094" s="8"/>
      <c r="AC6094" s="8"/>
      <c r="AD6094" s="11"/>
      <c r="AE6094" s="11"/>
      <c r="AF6094" s="11"/>
      <c r="AG6094" s="10"/>
    </row>
    <row r="6095" spans="1:33">
      <c r="A6095" s="8"/>
      <c r="B6095" s="8"/>
      <c r="C6095" s="8"/>
      <c r="D6095" s="8"/>
      <c r="E6095" s="8"/>
      <c r="F6095" s="8"/>
      <c r="G6095" s="8"/>
      <c r="H6095" s="8"/>
      <c r="I6095" s="8"/>
      <c r="J6095" s="8"/>
      <c r="K6095" s="8"/>
      <c r="L6095" s="8"/>
      <c r="M6095" s="8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  <c r="AA6095" s="8"/>
      <c r="AB6095" s="8"/>
      <c r="AC6095" s="8"/>
      <c r="AD6095" s="11"/>
      <c r="AE6095" s="11"/>
      <c r="AF6095" s="11"/>
      <c r="AG6095" s="10"/>
    </row>
    <row r="6096" spans="1:33">
      <c r="A6096" s="8"/>
      <c r="B6096" s="8"/>
      <c r="C6096" s="8"/>
      <c r="D6096" s="8"/>
      <c r="E6096" s="8"/>
      <c r="F6096" s="8"/>
      <c r="G6096" s="8"/>
      <c r="H6096" s="8"/>
      <c r="I6096" s="8"/>
      <c r="J6096" s="8"/>
      <c r="K6096" s="8"/>
      <c r="L6096" s="8"/>
      <c r="M6096" s="8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  <c r="AA6096" s="8"/>
      <c r="AB6096" s="8"/>
      <c r="AC6096" s="8"/>
      <c r="AD6096" s="11"/>
      <c r="AE6096" s="11"/>
      <c r="AF6096" s="11"/>
      <c r="AG6096" s="10"/>
    </row>
    <row r="6097" spans="1:33">
      <c r="A6097" s="8"/>
      <c r="B6097" s="8"/>
      <c r="C6097" s="8"/>
      <c r="D6097" s="8"/>
      <c r="E6097" s="8"/>
      <c r="F6097" s="8"/>
      <c r="G6097" s="8"/>
      <c r="H6097" s="8"/>
      <c r="I6097" s="8"/>
      <c r="J6097" s="8"/>
      <c r="K6097" s="8"/>
      <c r="L6097" s="8"/>
      <c r="M6097" s="8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  <c r="AA6097" s="8"/>
      <c r="AB6097" s="8"/>
      <c r="AC6097" s="8"/>
      <c r="AD6097" s="11"/>
      <c r="AE6097" s="11"/>
      <c r="AF6097" s="11"/>
      <c r="AG6097" s="10"/>
    </row>
    <row r="6098" spans="1:33">
      <c r="A6098" s="8"/>
      <c r="B6098" s="8"/>
      <c r="C6098" s="8"/>
      <c r="D6098" s="8"/>
      <c r="E6098" s="8"/>
      <c r="F6098" s="8"/>
      <c r="G6098" s="8"/>
      <c r="H6098" s="8"/>
      <c r="I6098" s="8"/>
      <c r="J6098" s="8"/>
      <c r="K6098" s="8"/>
      <c r="L6098" s="8"/>
      <c r="M6098" s="8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  <c r="AA6098" s="8"/>
      <c r="AB6098" s="8"/>
      <c r="AC6098" s="8"/>
      <c r="AD6098" s="11"/>
      <c r="AE6098" s="11"/>
      <c r="AF6098" s="11"/>
      <c r="AG6098" s="10"/>
    </row>
    <row r="6099" spans="1:33">
      <c r="A6099" s="8"/>
      <c r="B6099" s="8"/>
      <c r="C6099" s="8"/>
      <c r="D6099" s="8"/>
      <c r="E6099" s="8"/>
      <c r="F6099" s="8"/>
      <c r="G6099" s="8"/>
      <c r="H6099" s="8"/>
      <c r="I6099" s="8"/>
      <c r="J6099" s="8"/>
      <c r="K6099" s="8"/>
      <c r="L6099" s="8"/>
      <c r="M6099" s="8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  <c r="AA6099" s="8"/>
      <c r="AB6099" s="8"/>
      <c r="AC6099" s="8"/>
      <c r="AD6099" s="11"/>
      <c r="AE6099" s="11"/>
      <c r="AF6099" s="11"/>
      <c r="AG6099" s="10"/>
    </row>
    <row r="6100" spans="1:33">
      <c r="A6100" s="8"/>
      <c r="B6100" s="8"/>
      <c r="C6100" s="8"/>
      <c r="D6100" s="8"/>
      <c r="E6100" s="8"/>
      <c r="F6100" s="8"/>
      <c r="G6100" s="8"/>
      <c r="H6100" s="8"/>
      <c r="I6100" s="8"/>
      <c r="J6100" s="8"/>
      <c r="K6100" s="8"/>
      <c r="L6100" s="8"/>
      <c r="M6100" s="8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  <c r="AA6100" s="8"/>
      <c r="AB6100" s="8"/>
      <c r="AC6100" s="8"/>
      <c r="AD6100" s="11"/>
      <c r="AE6100" s="11"/>
      <c r="AF6100" s="11"/>
      <c r="AG6100" s="10"/>
    </row>
    <row r="6101" spans="1:33">
      <c r="A6101" s="8"/>
      <c r="B6101" s="8"/>
      <c r="C6101" s="8"/>
      <c r="D6101" s="8"/>
      <c r="E6101" s="8"/>
      <c r="F6101" s="8"/>
      <c r="G6101" s="8"/>
      <c r="H6101" s="8"/>
      <c r="I6101" s="8"/>
      <c r="J6101" s="8"/>
      <c r="K6101" s="8"/>
      <c r="L6101" s="8"/>
      <c r="M6101" s="8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  <c r="AA6101" s="8"/>
      <c r="AB6101" s="8"/>
      <c r="AC6101" s="8"/>
      <c r="AD6101" s="11"/>
      <c r="AE6101" s="11"/>
      <c r="AF6101" s="11"/>
      <c r="AG6101" s="10"/>
    </row>
    <row r="6102" spans="1:33">
      <c r="A6102" s="8"/>
      <c r="B6102" s="8"/>
      <c r="C6102" s="8"/>
      <c r="D6102" s="8"/>
      <c r="E6102" s="8"/>
      <c r="F6102" s="8"/>
      <c r="G6102" s="8"/>
      <c r="H6102" s="8"/>
      <c r="I6102" s="8"/>
      <c r="J6102" s="8"/>
      <c r="K6102" s="8"/>
      <c r="L6102" s="8"/>
      <c r="M6102" s="8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  <c r="AA6102" s="8"/>
      <c r="AB6102" s="8"/>
      <c r="AC6102" s="8"/>
      <c r="AD6102" s="11"/>
      <c r="AE6102" s="11"/>
      <c r="AF6102" s="11"/>
      <c r="AG6102" s="10"/>
    </row>
    <row r="6103" spans="1:33">
      <c r="A6103" s="8"/>
      <c r="B6103" s="8"/>
      <c r="C6103" s="8"/>
      <c r="D6103" s="8"/>
      <c r="E6103" s="8"/>
      <c r="F6103" s="8"/>
      <c r="G6103" s="8"/>
      <c r="H6103" s="8"/>
      <c r="I6103" s="8"/>
      <c r="J6103" s="8"/>
      <c r="K6103" s="8"/>
      <c r="L6103" s="8"/>
      <c r="M6103" s="8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  <c r="AA6103" s="8"/>
      <c r="AB6103" s="8"/>
      <c r="AC6103" s="8"/>
      <c r="AD6103" s="11"/>
      <c r="AE6103" s="11"/>
      <c r="AF6103" s="11"/>
      <c r="AG6103" s="10"/>
    </row>
    <row r="6104" spans="1:33">
      <c r="A6104" s="8"/>
      <c r="B6104" s="8"/>
      <c r="C6104" s="8"/>
      <c r="D6104" s="8"/>
      <c r="E6104" s="8"/>
      <c r="F6104" s="8"/>
      <c r="G6104" s="8"/>
      <c r="H6104" s="8"/>
      <c r="I6104" s="8"/>
      <c r="J6104" s="8"/>
      <c r="K6104" s="8"/>
      <c r="L6104" s="8"/>
      <c r="M6104" s="8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  <c r="AA6104" s="8"/>
      <c r="AB6104" s="8"/>
      <c r="AC6104" s="8"/>
      <c r="AD6104" s="11"/>
      <c r="AE6104" s="11"/>
      <c r="AF6104" s="11"/>
      <c r="AG6104" s="10"/>
    </row>
    <row r="6105" spans="1:33">
      <c r="A6105" s="8"/>
      <c r="B6105" s="8"/>
      <c r="C6105" s="8"/>
      <c r="D6105" s="8"/>
      <c r="E6105" s="8"/>
      <c r="F6105" s="8"/>
      <c r="G6105" s="8"/>
      <c r="H6105" s="8"/>
      <c r="I6105" s="8"/>
      <c r="J6105" s="8"/>
      <c r="K6105" s="8"/>
      <c r="L6105" s="8"/>
      <c r="M6105" s="8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  <c r="AA6105" s="8"/>
      <c r="AB6105" s="8"/>
      <c r="AC6105" s="8"/>
      <c r="AD6105" s="11"/>
      <c r="AE6105" s="11"/>
      <c r="AF6105" s="11"/>
      <c r="AG6105" s="10"/>
    </row>
    <row r="6106" spans="1:33">
      <c r="A6106" s="8"/>
      <c r="B6106" s="8"/>
      <c r="C6106" s="8"/>
      <c r="D6106" s="8"/>
      <c r="E6106" s="8"/>
      <c r="F6106" s="8"/>
      <c r="G6106" s="8"/>
      <c r="H6106" s="8"/>
      <c r="I6106" s="8"/>
      <c r="J6106" s="8"/>
      <c r="K6106" s="8"/>
      <c r="L6106" s="8"/>
      <c r="M6106" s="8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  <c r="AA6106" s="8"/>
      <c r="AB6106" s="8"/>
      <c r="AC6106" s="8"/>
      <c r="AD6106" s="11"/>
      <c r="AE6106" s="11"/>
      <c r="AF6106" s="11"/>
      <c r="AG6106" s="10"/>
    </row>
    <row r="6107" spans="1:33">
      <c r="A6107" s="8"/>
      <c r="B6107" s="8"/>
      <c r="C6107" s="8"/>
      <c r="D6107" s="8"/>
      <c r="E6107" s="8"/>
      <c r="F6107" s="8"/>
      <c r="G6107" s="8"/>
      <c r="H6107" s="8"/>
      <c r="I6107" s="8"/>
      <c r="J6107" s="8"/>
      <c r="K6107" s="8"/>
      <c r="L6107" s="8"/>
      <c r="M6107" s="8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  <c r="AA6107" s="8"/>
      <c r="AB6107" s="8"/>
      <c r="AC6107" s="8"/>
      <c r="AD6107" s="11"/>
      <c r="AE6107" s="11"/>
      <c r="AF6107" s="11"/>
      <c r="AG6107" s="10"/>
    </row>
    <row r="6108" spans="1:33">
      <c r="A6108" s="8"/>
      <c r="B6108" s="8"/>
      <c r="C6108" s="8"/>
      <c r="D6108" s="8"/>
      <c r="E6108" s="8"/>
      <c r="F6108" s="8"/>
      <c r="G6108" s="8"/>
      <c r="H6108" s="8"/>
      <c r="I6108" s="8"/>
      <c r="J6108" s="8"/>
      <c r="K6108" s="8"/>
      <c r="L6108" s="8"/>
      <c r="M6108" s="8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  <c r="AA6108" s="8"/>
      <c r="AB6108" s="8"/>
      <c r="AC6108" s="8"/>
      <c r="AD6108" s="11"/>
      <c r="AE6108" s="11"/>
      <c r="AF6108" s="11"/>
      <c r="AG6108" s="10"/>
    </row>
    <row r="6109" spans="1:33">
      <c r="A6109" s="8"/>
      <c r="B6109" s="8"/>
      <c r="C6109" s="8"/>
      <c r="D6109" s="8"/>
      <c r="E6109" s="8"/>
      <c r="F6109" s="8"/>
      <c r="G6109" s="8"/>
      <c r="H6109" s="8"/>
      <c r="I6109" s="8"/>
      <c r="J6109" s="8"/>
      <c r="K6109" s="8"/>
      <c r="L6109" s="8"/>
      <c r="M6109" s="8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  <c r="AA6109" s="8"/>
      <c r="AB6109" s="8"/>
      <c r="AC6109" s="8"/>
      <c r="AD6109" s="11"/>
      <c r="AE6109" s="11"/>
      <c r="AF6109" s="11"/>
      <c r="AG6109" s="10"/>
    </row>
    <row r="6110" spans="1:33">
      <c r="A6110" s="8"/>
      <c r="B6110" s="8"/>
      <c r="C6110" s="8"/>
      <c r="D6110" s="8"/>
      <c r="E6110" s="8"/>
      <c r="F6110" s="8"/>
      <c r="G6110" s="8"/>
      <c r="H6110" s="8"/>
      <c r="I6110" s="8"/>
      <c r="J6110" s="8"/>
      <c r="K6110" s="8"/>
      <c r="L6110" s="8"/>
      <c r="M6110" s="8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  <c r="AD6110" s="11"/>
      <c r="AE6110" s="11"/>
      <c r="AF6110" s="11"/>
      <c r="AG6110" s="10"/>
    </row>
    <row r="6111" spans="1:33">
      <c r="A6111" s="8"/>
      <c r="B6111" s="8"/>
      <c r="C6111" s="8"/>
      <c r="D6111" s="8"/>
      <c r="E6111" s="8"/>
      <c r="F6111" s="8"/>
      <c r="G6111" s="8"/>
      <c r="H6111" s="8"/>
      <c r="I6111" s="8"/>
      <c r="J6111" s="8"/>
      <c r="K6111" s="8"/>
      <c r="L6111" s="8"/>
      <c r="M6111" s="8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  <c r="AA6111" s="8"/>
      <c r="AB6111" s="8"/>
      <c r="AC6111" s="8"/>
      <c r="AD6111" s="11"/>
      <c r="AE6111" s="11"/>
      <c r="AF6111" s="11"/>
      <c r="AG6111" s="10"/>
    </row>
    <row r="6112" spans="1:33">
      <c r="A6112" s="8"/>
      <c r="B6112" s="8"/>
      <c r="C6112" s="8"/>
      <c r="D6112" s="8"/>
      <c r="E6112" s="8"/>
      <c r="F6112" s="8"/>
      <c r="G6112" s="8"/>
      <c r="H6112" s="8"/>
      <c r="I6112" s="8"/>
      <c r="J6112" s="8"/>
      <c r="K6112" s="8"/>
      <c r="L6112" s="8"/>
      <c r="M6112" s="8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  <c r="AA6112" s="8"/>
      <c r="AB6112" s="8"/>
      <c r="AC6112" s="8"/>
      <c r="AD6112" s="11"/>
      <c r="AE6112" s="11"/>
      <c r="AF6112" s="11"/>
      <c r="AG6112" s="10"/>
    </row>
    <row r="6113" spans="1:33">
      <c r="A6113" s="8"/>
      <c r="B6113" s="8"/>
      <c r="C6113" s="8"/>
      <c r="D6113" s="8"/>
      <c r="E6113" s="8"/>
      <c r="F6113" s="8"/>
      <c r="G6113" s="8"/>
      <c r="H6113" s="8"/>
      <c r="I6113" s="8"/>
      <c r="J6113" s="8"/>
      <c r="K6113" s="8"/>
      <c r="L6113" s="8"/>
      <c r="M6113" s="8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  <c r="AA6113" s="8"/>
      <c r="AB6113" s="8"/>
      <c r="AC6113" s="8"/>
      <c r="AD6113" s="11"/>
      <c r="AE6113" s="11"/>
      <c r="AF6113" s="11"/>
      <c r="AG6113" s="10"/>
    </row>
    <row r="6114" spans="1:33">
      <c r="A6114" s="8"/>
      <c r="B6114" s="8"/>
      <c r="C6114" s="8"/>
      <c r="D6114" s="8"/>
      <c r="E6114" s="8"/>
      <c r="F6114" s="8"/>
      <c r="G6114" s="8"/>
      <c r="H6114" s="8"/>
      <c r="I6114" s="8"/>
      <c r="J6114" s="8"/>
      <c r="K6114" s="8"/>
      <c r="L6114" s="8"/>
      <c r="M6114" s="8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  <c r="AA6114" s="8"/>
      <c r="AB6114" s="8"/>
      <c r="AC6114" s="8"/>
      <c r="AD6114" s="11"/>
      <c r="AE6114" s="11"/>
      <c r="AF6114" s="11"/>
      <c r="AG6114" s="10"/>
    </row>
    <row r="6115" spans="1:33">
      <c r="A6115" s="8"/>
      <c r="B6115" s="8"/>
      <c r="C6115" s="8"/>
      <c r="D6115" s="8"/>
      <c r="E6115" s="8"/>
      <c r="F6115" s="8"/>
      <c r="G6115" s="8"/>
      <c r="H6115" s="8"/>
      <c r="I6115" s="8"/>
      <c r="J6115" s="8"/>
      <c r="K6115" s="8"/>
      <c r="L6115" s="8"/>
      <c r="M6115" s="8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  <c r="AA6115" s="8"/>
      <c r="AB6115" s="8"/>
      <c r="AC6115" s="8"/>
      <c r="AD6115" s="11"/>
      <c r="AE6115" s="11"/>
      <c r="AF6115" s="11"/>
      <c r="AG6115" s="10"/>
    </row>
    <row r="6116" spans="1:33">
      <c r="A6116" s="8"/>
      <c r="B6116" s="8"/>
      <c r="C6116" s="8"/>
      <c r="D6116" s="8"/>
      <c r="E6116" s="8"/>
      <c r="F6116" s="8"/>
      <c r="G6116" s="8"/>
      <c r="H6116" s="8"/>
      <c r="I6116" s="8"/>
      <c r="J6116" s="8"/>
      <c r="K6116" s="8"/>
      <c r="L6116" s="8"/>
      <c r="M6116" s="8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  <c r="AA6116" s="8"/>
      <c r="AB6116" s="8"/>
      <c r="AC6116" s="8"/>
      <c r="AD6116" s="11"/>
      <c r="AE6116" s="11"/>
      <c r="AF6116" s="11"/>
      <c r="AG6116" s="10"/>
    </row>
    <row r="6117" spans="1:33">
      <c r="A6117" s="8"/>
      <c r="B6117" s="8"/>
      <c r="C6117" s="8"/>
      <c r="D6117" s="8"/>
      <c r="E6117" s="8"/>
      <c r="F6117" s="8"/>
      <c r="G6117" s="8"/>
      <c r="H6117" s="8"/>
      <c r="I6117" s="8"/>
      <c r="J6117" s="8"/>
      <c r="K6117" s="8"/>
      <c r="L6117" s="8"/>
      <c r="M6117" s="8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  <c r="AA6117" s="8"/>
      <c r="AB6117" s="8"/>
      <c r="AC6117" s="8"/>
      <c r="AD6117" s="11"/>
      <c r="AE6117" s="11"/>
      <c r="AF6117" s="11"/>
      <c r="AG6117" s="10"/>
    </row>
    <row r="6118" spans="1:33">
      <c r="A6118" s="8"/>
      <c r="B6118" s="8"/>
      <c r="C6118" s="8"/>
      <c r="D6118" s="8"/>
      <c r="E6118" s="8"/>
      <c r="F6118" s="8"/>
      <c r="G6118" s="8"/>
      <c r="H6118" s="8"/>
      <c r="I6118" s="8"/>
      <c r="J6118" s="8"/>
      <c r="K6118" s="8"/>
      <c r="L6118" s="8"/>
      <c r="M6118" s="8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  <c r="AA6118" s="8"/>
      <c r="AB6118" s="8"/>
      <c r="AC6118" s="8"/>
      <c r="AD6118" s="11"/>
      <c r="AE6118" s="11"/>
      <c r="AF6118" s="11"/>
      <c r="AG6118" s="10"/>
    </row>
    <row r="6119" spans="1:33">
      <c r="A6119" s="8"/>
      <c r="B6119" s="8"/>
      <c r="C6119" s="8"/>
      <c r="D6119" s="8"/>
      <c r="E6119" s="8"/>
      <c r="F6119" s="8"/>
      <c r="G6119" s="8"/>
      <c r="H6119" s="8"/>
      <c r="I6119" s="8"/>
      <c r="J6119" s="8"/>
      <c r="K6119" s="8"/>
      <c r="L6119" s="8"/>
      <c r="M6119" s="8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  <c r="AA6119" s="8"/>
      <c r="AB6119" s="8"/>
      <c r="AC6119" s="8"/>
      <c r="AD6119" s="11"/>
      <c r="AE6119" s="11"/>
      <c r="AF6119" s="11"/>
      <c r="AG6119" s="10"/>
    </row>
    <row r="6120" spans="1:33">
      <c r="A6120" s="8"/>
      <c r="B6120" s="8"/>
      <c r="C6120" s="8"/>
      <c r="D6120" s="8"/>
      <c r="E6120" s="8"/>
      <c r="F6120" s="8"/>
      <c r="G6120" s="8"/>
      <c r="H6120" s="8"/>
      <c r="I6120" s="8"/>
      <c r="J6120" s="8"/>
      <c r="K6120" s="8"/>
      <c r="L6120" s="8"/>
      <c r="M6120" s="8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  <c r="AA6120" s="8"/>
      <c r="AB6120" s="8"/>
      <c r="AC6120" s="8"/>
      <c r="AD6120" s="11"/>
      <c r="AE6120" s="11"/>
      <c r="AF6120" s="11"/>
      <c r="AG6120" s="10"/>
    </row>
    <row r="6121" spans="1:33">
      <c r="A6121" s="8"/>
      <c r="B6121" s="8"/>
      <c r="C6121" s="8"/>
      <c r="D6121" s="8"/>
      <c r="E6121" s="8"/>
      <c r="F6121" s="8"/>
      <c r="G6121" s="8"/>
      <c r="H6121" s="8"/>
      <c r="I6121" s="8"/>
      <c r="J6121" s="8"/>
      <c r="K6121" s="8"/>
      <c r="L6121" s="8"/>
      <c r="M6121" s="8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  <c r="AA6121" s="8"/>
      <c r="AB6121" s="8"/>
      <c r="AC6121" s="8"/>
      <c r="AD6121" s="11"/>
      <c r="AE6121" s="11"/>
      <c r="AF6121" s="11"/>
      <c r="AG6121" s="10"/>
    </row>
    <row r="6122" spans="1:33">
      <c r="A6122" s="8"/>
      <c r="B6122" s="8"/>
      <c r="C6122" s="8"/>
      <c r="D6122" s="8"/>
      <c r="E6122" s="8"/>
      <c r="F6122" s="8"/>
      <c r="G6122" s="8"/>
      <c r="H6122" s="8"/>
      <c r="I6122" s="8"/>
      <c r="J6122" s="8"/>
      <c r="K6122" s="8"/>
      <c r="L6122" s="8"/>
      <c r="M6122" s="8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  <c r="AA6122" s="8"/>
      <c r="AB6122" s="8"/>
      <c r="AC6122" s="8"/>
      <c r="AD6122" s="11"/>
      <c r="AE6122" s="11"/>
      <c r="AF6122" s="11"/>
      <c r="AG6122" s="10"/>
    </row>
    <row r="6123" spans="1:33">
      <c r="A6123" s="8"/>
      <c r="B6123" s="8"/>
      <c r="C6123" s="8"/>
      <c r="D6123" s="8"/>
      <c r="E6123" s="8"/>
      <c r="F6123" s="8"/>
      <c r="G6123" s="8"/>
      <c r="H6123" s="8"/>
      <c r="I6123" s="8"/>
      <c r="J6123" s="8"/>
      <c r="K6123" s="8"/>
      <c r="L6123" s="8"/>
      <c r="M6123" s="8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  <c r="AA6123" s="8"/>
      <c r="AB6123" s="8"/>
      <c r="AC6123" s="8"/>
      <c r="AD6123" s="11"/>
      <c r="AE6123" s="11"/>
      <c r="AF6123" s="11"/>
      <c r="AG6123" s="10"/>
    </row>
    <row r="6124" spans="1:33">
      <c r="A6124" s="8"/>
      <c r="B6124" s="8"/>
      <c r="C6124" s="8"/>
      <c r="D6124" s="8"/>
      <c r="E6124" s="8"/>
      <c r="F6124" s="8"/>
      <c r="G6124" s="8"/>
      <c r="H6124" s="8"/>
      <c r="I6124" s="8"/>
      <c r="J6124" s="8"/>
      <c r="K6124" s="8"/>
      <c r="L6124" s="8"/>
      <c r="M6124" s="8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  <c r="AA6124" s="8"/>
      <c r="AB6124" s="8"/>
      <c r="AC6124" s="8"/>
      <c r="AD6124" s="11"/>
      <c r="AE6124" s="11"/>
      <c r="AF6124" s="11"/>
      <c r="AG6124" s="10"/>
    </row>
    <row r="6125" spans="1:33">
      <c r="A6125" s="8"/>
      <c r="B6125" s="8"/>
      <c r="C6125" s="8"/>
      <c r="D6125" s="8"/>
      <c r="E6125" s="8"/>
      <c r="F6125" s="8"/>
      <c r="G6125" s="8"/>
      <c r="H6125" s="8"/>
      <c r="I6125" s="8"/>
      <c r="J6125" s="8"/>
      <c r="K6125" s="8"/>
      <c r="L6125" s="8"/>
      <c r="M6125" s="8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  <c r="AA6125" s="8"/>
      <c r="AB6125" s="8"/>
      <c r="AC6125" s="8"/>
      <c r="AD6125" s="11"/>
      <c r="AE6125" s="11"/>
      <c r="AF6125" s="11"/>
      <c r="AG6125" s="10"/>
    </row>
    <row r="6126" spans="1:33">
      <c r="A6126" s="8"/>
      <c r="B6126" s="8"/>
      <c r="C6126" s="8"/>
      <c r="D6126" s="8"/>
      <c r="E6126" s="8"/>
      <c r="F6126" s="8"/>
      <c r="G6126" s="8"/>
      <c r="H6126" s="8"/>
      <c r="I6126" s="8"/>
      <c r="J6126" s="8"/>
      <c r="K6126" s="8"/>
      <c r="L6126" s="8"/>
      <c r="M6126" s="8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  <c r="AA6126" s="8"/>
      <c r="AB6126" s="8"/>
      <c r="AC6126" s="8"/>
      <c r="AD6126" s="11"/>
      <c r="AE6126" s="11"/>
      <c r="AF6126" s="11"/>
      <c r="AG6126" s="10"/>
    </row>
    <row r="6127" spans="1:33">
      <c r="A6127" s="8"/>
      <c r="B6127" s="8"/>
      <c r="C6127" s="8"/>
      <c r="D6127" s="8"/>
      <c r="E6127" s="8"/>
      <c r="F6127" s="8"/>
      <c r="G6127" s="8"/>
      <c r="H6127" s="8"/>
      <c r="I6127" s="8"/>
      <c r="J6127" s="8"/>
      <c r="K6127" s="8"/>
      <c r="L6127" s="8"/>
      <c r="M6127" s="8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  <c r="AA6127" s="8"/>
      <c r="AB6127" s="8"/>
      <c r="AC6127" s="8"/>
      <c r="AD6127" s="11"/>
      <c r="AE6127" s="11"/>
      <c r="AF6127" s="11"/>
      <c r="AG6127" s="10"/>
    </row>
    <row r="6128" spans="1:33">
      <c r="A6128" s="8"/>
      <c r="B6128" s="8"/>
      <c r="C6128" s="8"/>
      <c r="D6128" s="8"/>
      <c r="E6128" s="8"/>
      <c r="F6128" s="8"/>
      <c r="G6128" s="8"/>
      <c r="H6128" s="8"/>
      <c r="I6128" s="8"/>
      <c r="J6128" s="8"/>
      <c r="K6128" s="8"/>
      <c r="L6128" s="8"/>
      <c r="M6128" s="8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  <c r="AA6128" s="8"/>
      <c r="AB6128" s="8"/>
      <c r="AC6128" s="8"/>
      <c r="AD6128" s="11"/>
      <c r="AE6128" s="11"/>
      <c r="AF6128" s="11"/>
      <c r="AG6128" s="10"/>
    </row>
    <row r="6129" spans="1:33">
      <c r="A6129" s="8"/>
      <c r="B6129" s="8"/>
      <c r="C6129" s="8"/>
      <c r="D6129" s="8"/>
      <c r="E6129" s="8"/>
      <c r="F6129" s="8"/>
      <c r="G6129" s="8"/>
      <c r="H6129" s="8"/>
      <c r="I6129" s="8"/>
      <c r="J6129" s="8"/>
      <c r="K6129" s="8"/>
      <c r="L6129" s="8"/>
      <c r="M6129" s="8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  <c r="AA6129" s="8"/>
      <c r="AB6129" s="8"/>
      <c r="AC6129" s="8"/>
      <c r="AD6129" s="11"/>
      <c r="AE6129" s="11"/>
      <c r="AF6129" s="11"/>
      <c r="AG6129" s="10"/>
    </row>
    <row r="6130" spans="1:33">
      <c r="A6130" s="8"/>
      <c r="B6130" s="8"/>
      <c r="C6130" s="8"/>
      <c r="D6130" s="8"/>
      <c r="E6130" s="8"/>
      <c r="F6130" s="8"/>
      <c r="G6130" s="8"/>
      <c r="H6130" s="8"/>
      <c r="I6130" s="8"/>
      <c r="J6130" s="8"/>
      <c r="K6130" s="8"/>
      <c r="L6130" s="8"/>
      <c r="M6130" s="8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  <c r="AA6130" s="8"/>
      <c r="AB6130" s="8"/>
      <c r="AC6130" s="8"/>
      <c r="AD6130" s="11"/>
      <c r="AE6130" s="11"/>
      <c r="AF6130" s="11"/>
      <c r="AG6130" s="10"/>
    </row>
    <row r="6131" spans="1:33">
      <c r="A6131" s="8"/>
      <c r="B6131" s="8"/>
      <c r="C6131" s="8"/>
      <c r="D6131" s="8"/>
      <c r="E6131" s="8"/>
      <c r="F6131" s="8"/>
      <c r="G6131" s="8"/>
      <c r="H6131" s="8"/>
      <c r="I6131" s="8"/>
      <c r="J6131" s="8"/>
      <c r="K6131" s="8"/>
      <c r="L6131" s="8"/>
      <c r="M6131" s="8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  <c r="AA6131" s="8"/>
      <c r="AB6131" s="8"/>
      <c r="AC6131" s="8"/>
      <c r="AD6131" s="11"/>
      <c r="AE6131" s="11"/>
      <c r="AF6131" s="11"/>
      <c r="AG6131" s="10"/>
    </row>
    <row r="6132" spans="1:33">
      <c r="A6132" s="8"/>
      <c r="B6132" s="8"/>
      <c r="C6132" s="8"/>
      <c r="D6132" s="8"/>
      <c r="E6132" s="8"/>
      <c r="F6132" s="8"/>
      <c r="G6132" s="8"/>
      <c r="H6132" s="8"/>
      <c r="I6132" s="8"/>
      <c r="J6132" s="8"/>
      <c r="K6132" s="8"/>
      <c r="L6132" s="8"/>
      <c r="M6132" s="8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  <c r="AA6132" s="8"/>
      <c r="AB6132" s="8"/>
      <c r="AC6132" s="8"/>
      <c r="AD6132" s="11"/>
      <c r="AE6132" s="11"/>
      <c r="AF6132" s="11"/>
      <c r="AG6132" s="10"/>
    </row>
    <row r="6133" spans="1:33">
      <c r="A6133" s="8"/>
      <c r="B6133" s="8"/>
      <c r="C6133" s="8"/>
      <c r="D6133" s="8"/>
      <c r="E6133" s="8"/>
      <c r="F6133" s="8"/>
      <c r="G6133" s="8"/>
      <c r="H6133" s="8"/>
      <c r="I6133" s="8"/>
      <c r="J6133" s="8"/>
      <c r="K6133" s="8"/>
      <c r="L6133" s="8"/>
      <c r="M6133" s="8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  <c r="AA6133" s="8"/>
      <c r="AB6133" s="8"/>
      <c r="AC6133" s="8"/>
      <c r="AD6133" s="11"/>
      <c r="AE6133" s="11"/>
      <c r="AF6133" s="11"/>
      <c r="AG6133" s="10"/>
    </row>
    <row r="6134" spans="1:33">
      <c r="A6134" s="8"/>
      <c r="B6134" s="8"/>
      <c r="C6134" s="8"/>
      <c r="D6134" s="8"/>
      <c r="E6134" s="8"/>
      <c r="F6134" s="8"/>
      <c r="G6134" s="8"/>
      <c r="H6134" s="8"/>
      <c r="I6134" s="8"/>
      <c r="J6134" s="8"/>
      <c r="K6134" s="8"/>
      <c r="L6134" s="8"/>
      <c r="M6134" s="8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  <c r="AA6134" s="8"/>
      <c r="AB6134" s="8"/>
      <c r="AC6134" s="8"/>
      <c r="AD6134" s="11"/>
      <c r="AE6134" s="11"/>
      <c r="AF6134" s="11"/>
      <c r="AG6134" s="10"/>
    </row>
    <row r="6135" spans="1:33">
      <c r="A6135" s="8"/>
      <c r="B6135" s="8"/>
      <c r="C6135" s="8"/>
      <c r="D6135" s="8"/>
      <c r="E6135" s="8"/>
      <c r="F6135" s="8"/>
      <c r="G6135" s="8"/>
      <c r="H6135" s="8"/>
      <c r="I6135" s="8"/>
      <c r="J6135" s="8"/>
      <c r="K6135" s="8"/>
      <c r="L6135" s="8"/>
      <c r="M6135" s="8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  <c r="AA6135" s="8"/>
      <c r="AB6135" s="8"/>
      <c r="AC6135" s="8"/>
      <c r="AD6135" s="11"/>
      <c r="AE6135" s="11"/>
      <c r="AF6135" s="11"/>
      <c r="AG6135" s="10"/>
    </row>
    <row r="6136" spans="1:33">
      <c r="A6136" s="8"/>
      <c r="B6136" s="8"/>
      <c r="C6136" s="8"/>
      <c r="D6136" s="8"/>
      <c r="E6136" s="8"/>
      <c r="F6136" s="8"/>
      <c r="G6136" s="8"/>
      <c r="H6136" s="8"/>
      <c r="I6136" s="8"/>
      <c r="J6136" s="8"/>
      <c r="K6136" s="8"/>
      <c r="L6136" s="8"/>
      <c r="M6136" s="8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  <c r="AA6136" s="8"/>
      <c r="AB6136" s="8"/>
      <c r="AC6136" s="8"/>
      <c r="AD6136" s="11"/>
      <c r="AE6136" s="11"/>
      <c r="AF6136" s="11"/>
      <c r="AG6136" s="10"/>
    </row>
    <row r="6137" spans="1:33">
      <c r="A6137" s="8"/>
      <c r="B6137" s="8"/>
      <c r="C6137" s="8"/>
      <c r="D6137" s="8"/>
      <c r="E6137" s="8"/>
      <c r="F6137" s="8"/>
      <c r="G6137" s="8"/>
      <c r="H6137" s="8"/>
      <c r="I6137" s="8"/>
      <c r="J6137" s="8"/>
      <c r="K6137" s="8"/>
      <c r="L6137" s="8"/>
      <c r="M6137" s="8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  <c r="AA6137" s="8"/>
      <c r="AB6137" s="8"/>
      <c r="AC6137" s="8"/>
      <c r="AD6137" s="11"/>
      <c r="AE6137" s="11"/>
      <c r="AF6137" s="11"/>
      <c r="AG6137" s="10"/>
    </row>
    <row r="6138" spans="1:33">
      <c r="A6138" s="8"/>
      <c r="B6138" s="8"/>
      <c r="C6138" s="8"/>
      <c r="D6138" s="8"/>
      <c r="E6138" s="8"/>
      <c r="F6138" s="8"/>
      <c r="G6138" s="8"/>
      <c r="H6138" s="8"/>
      <c r="I6138" s="8"/>
      <c r="J6138" s="8"/>
      <c r="K6138" s="8"/>
      <c r="L6138" s="8"/>
      <c r="M6138" s="8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  <c r="AA6138" s="8"/>
      <c r="AB6138" s="8"/>
      <c r="AC6138" s="8"/>
      <c r="AD6138" s="11"/>
      <c r="AE6138" s="11"/>
      <c r="AF6138" s="11"/>
      <c r="AG6138" s="10"/>
    </row>
    <row r="6139" spans="1:33">
      <c r="A6139" s="8"/>
      <c r="B6139" s="8"/>
      <c r="C6139" s="8"/>
      <c r="D6139" s="8"/>
      <c r="E6139" s="8"/>
      <c r="F6139" s="8"/>
      <c r="G6139" s="8"/>
      <c r="H6139" s="8"/>
      <c r="I6139" s="8"/>
      <c r="J6139" s="8"/>
      <c r="K6139" s="8"/>
      <c r="L6139" s="8"/>
      <c r="M6139" s="8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  <c r="AA6139" s="8"/>
      <c r="AB6139" s="8"/>
      <c r="AC6139" s="8"/>
      <c r="AD6139" s="11"/>
      <c r="AE6139" s="11"/>
      <c r="AF6139" s="11"/>
      <c r="AG6139" s="10"/>
    </row>
    <row r="6140" spans="1:33">
      <c r="A6140" s="8"/>
      <c r="B6140" s="8"/>
      <c r="C6140" s="8"/>
      <c r="D6140" s="8"/>
      <c r="E6140" s="8"/>
      <c r="F6140" s="8"/>
      <c r="G6140" s="8"/>
      <c r="H6140" s="8"/>
      <c r="I6140" s="8"/>
      <c r="J6140" s="8"/>
      <c r="K6140" s="8"/>
      <c r="L6140" s="8"/>
      <c r="M6140" s="8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  <c r="AA6140" s="8"/>
      <c r="AB6140" s="8"/>
      <c r="AC6140" s="8"/>
      <c r="AD6140" s="11"/>
      <c r="AE6140" s="11"/>
      <c r="AF6140" s="11"/>
      <c r="AG6140" s="10"/>
    </row>
    <row r="6141" spans="1:33">
      <c r="A6141" s="8"/>
      <c r="B6141" s="8"/>
      <c r="C6141" s="8"/>
      <c r="D6141" s="8"/>
      <c r="E6141" s="8"/>
      <c r="F6141" s="8"/>
      <c r="G6141" s="8"/>
      <c r="H6141" s="8"/>
      <c r="I6141" s="8"/>
      <c r="J6141" s="8"/>
      <c r="K6141" s="8"/>
      <c r="L6141" s="8"/>
      <c r="M6141" s="8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  <c r="AA6141" s="8"/>
      <c r="AB6141" s="8"/>
      <c r="AC6141" s="8"/>
      <c r="AD6141" s="11"/>
      <c r="AE6141" s="11"/>
      <c r="AF6141" s="11"/>
      <c r="AG6141" s="10"/>
    </row>
    <row r="6142" spans="1:33">
      <c r="A6142" s="8"/>
      <c r="B6142" s="8"/>
      <c r="C6142" s="8"/>
      <c r="D6142" s="8"/>
      <c r="E6142" s="8"/>
      <c r="F6142" s="8"/>
      <c r="G6142" s="8"/>
      <c r="H6142" s="8"/>
      <c r="I6142" s="8"/>
      <c r="J6142" s="8"/>
      <c r="K6142" s="8"/>
      <c r="L6142" s="8"/>
      <c r="M6142" s="8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  <c r="AA6142" s="8"/>
      <c r="AB6142" s="8"/>
      <c r="AC6142" s="8"/>
      <c r="AD6142" s="11"/>
      <c r="AE6142" s="11"/>
      <c r="AF6142" s="11"/>
      <c r="AG6142" s="10"/>
    </row>
    <row r="6143" spans="1:33">
      <c r="A6143" s="8"/>
      <c r="B6143" s="8"/>
      <c r="C6143" s="8"/>
      <c r="D6143" s="8"/>
      <c r="E6143" s="8"/>
      <c r="F6143" s="8"/>
      <c r="G6143" s="8"/>
      <c r="H6143" s="8"/>
      <c r="I6143" s="8"/>
      <c r="J6143" s="8"/>
      <c r="K6143" s="8"/>
      <c r="L6143" s="8"/>
      <c r="M6143" s="8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  <c r="AA6143" s="8"/>
      <c r="AB6143" s="8"/>
      <c r="AC6143" s="8"/>
      <c r="AD6143" s="11"/>
      <c r="AE6143" s="11"/>
      <c r="AF6143" s="11"/>
      <c r="AG6143" s="10"/>
    </row>
    <row r="6144" spans="1:33">
      <c r="A6144" s="8"/>
      <c r="B6144" s="8"/>
      <c r="C6144" s="8"/>
      <c r="D6144" s="8"/>
      <c r="E6144" s="8"/>
      <c r="F6144" s="8"/>
      <c r="G6144" s="8"/>
      <c r="H6144" s="8"/>
      <c r="I6144" s="8"/>
      <c r="J6144" s="8"/>
      <c r="K6144" s="8"/>
      <c r="L6144" s="8"/>
      <c r="M6144" s="8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  <c r="AA6144" s="8"/>
      <c r="AB6144" s="8"/>
      <c r="AC6144" s="8"/>
      <c r="AD6144" s="11"/>
      <c r="AE6144" s="11"/>
      <c r="AF6144" s="11"/>
      <c r="AG6144" s="10"/>
    </row>
    <row r="6145" spans="1:33">
      <c r="A6145" s="8"/>
      <c r="B6145" s="8"/>
      <c r="C6145" s="8"/>
      <c r="D6145" s="8"/>
      <c r="E6145" s="8"/>
      <c r="F6145" s="8"/>
      <c r="G6145" s="8"/>
      <c r="H6145" s="8"/>
      <c r="I6145" s="8"/>
      <c r="J6145" s="8"/>
      <c r="K6145" s="8"/>
      <c r="L6145" s="8"/>
      <c r="M6145" s="8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  <c r="AA6145" s="8"/>
      <c r="AB6145" s="8"/>
      <c r="AC6145" s="8"/>
      <c r="AD6145" s="11"/>
      <c r="AE6145" s="11"/>
      <c r="AF6145" s="11"/>
      <c r="AG6145" s="10"/>
    </row>
    <row r="6146" spans="1:33">
      <c r="A6146" s="8"/>
      <c r="B6146" s="8"/>
      <c r="C6146" s="8"/>
      <c r="D6146" s="8"/>
      <c r="E6146" s="8"/>
      <c r="F6146" s="8"/>
      <c r="G6146" s="8"/>
      <c r="H6146" s="8"/>
      <c r="I6146" s="8"/>
      <c r="J6146" s="8"/>
      <c r="K6146" s="8"/>
      <c r="L6146" s="8"/>
      <c r="M6146" s="8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  <c r="AA6146" s="8"/>
      <c r="AB6146" s="8"/>
      <c r="AC6146" s="8"/>
      <c r="AD6146" s="11"/>
      <c r="AE6146" s="11"/>
      <c r="AF6146" s="11"/>
      <c r="AG6146" s="10"/>
    </row>
    <row r="6147" spans="1:33">
      <c r="A6147" s="8"/>
      <c r="B6147" s="8"/>
      <c r="C6147" s="8"/>
      <c r="D6147" s="8"/>
      <c r="E6147" s="8"/>
      <c r="F6147" s="8"/>
      <c r="G6147" s="8"/>
      <c r="H6147" s="8"/>
      <c r="I6147" s="8"/>
      <c r="J6147" s="8"/>
      <c r="K6147" s="8"/>
      <c r="L6147" s="8"/>
      <c r="M6147" s="8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  <c r="AA6147" s="8"/>
      <c r="AB6147" s="8"/>
      <c r="AC6147" s="8"/>
      <c r="AD6147" s="11"/>
      <c r="AE6147" s="11"/>
      <c r="AF6147" s="11"/>
      <c r="AG6147" s="10"/>
    </row>
    <row r="6148" spans="1:33">
      <c r="A6148" s="8"/>
      <c r="B6148" s="8"/>
      <c r="C6148" s="8"/>
      <c r="D6148" s="8"/>
      <c r="E6148" s="8"/>
      <c r="F6148" s="8"/>
      <c r="G6148" s="8"/>
      <c r="H6148" s="8"/>
      <c r="I6148" s="8"/>
      <c r="J6148" s="8"/>
      <c r="K6148" s="8"/>
      <c r="L6148" s="8"/>
      <c r="M6148" s="8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  <c r="AA6148" s="8"/>
      <c r="AB6148" s="8"/>
      <c r="AC6148" s="8"/>
      <c r="AD6148" s="11"/>
      <c r="AE6148" s="11"/>
      <c r="AF6148" s="11"/>
      <c r="AG6148" s="10"/>
    </row>
    <row r="6149" spans="1:33">
      <c r="A6149" s="8"/>
      <c r="B6149" s="8"/>
      <c r="C6149" s="8"/>
      <c r="D6149" s="8"/>
      <c r="E6149" s="8"/>
      <c r="F6149" s="8"/>
      <c r="G6149" s="8"/>
      <c r="H6149" s="8"/>
      <c r="I6149" s="8"/>
      <c r="J6149" s="8"/>
      <c r="K6149" s="8"/>
      <c r="L6149" s="8"/>
      <c r="M6149" s="8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  <c r="AA6149" s="8"/>
      <c r="AB6149" s="8"/>
      <c r="AC6149" s="8"/>
      <c r="AD6149" s="11"/>
      <c r="AE6149" s="11"/>
      <c r="AF6149" s="11"/>
      <c r="AG6149" s="10"/>
    </row>
    <row r="6150" spans="1:33">
      <c r="A6150" s="8"/>
      <c r="B6150" s="8"/>
      <c r="C6150" s="8"/>
      <c r="D6150" s="8"/>
      <c r="E6150" s="8"/>
      <c r="F6150" s="8"/>
      <c r="G6150" s="8"/>
      <c r="H6150" s="8"/>
      <c r="I6150" s="8"/>
      <c r="J6150" s="8"/>
      <c r="K6150" s="8"/>
      <c r="L6150" s="8"/>
      <c r="M6150" s="8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  <c r="AA6150" s="8"/>
      <c r="AB6150" s="8"/>
      <c r="AC6150" s="8"/>
      <c r="AD6150" s="11"/>
      <c r="AE6150" s="11"/>
      <c r="AF6150" s="11"/>
      <c r="AG6150" s="10"/>
    </row>
    <row r="6151" spans="1:33">
      <c r="A6151" s="8"/>
      <c r="B6151" s="8"/>
      <c r="C6151" s="8"/>
      <c r="D6151" s="8"/>
      <c r="E6151" s="8"/>
      <c r="F6151" s="8"/>
      <c r="G6151" s="8"/>
      <c r="H6151" s="8"/>
      <c r="I6151" s="8"/>
      <c r="J6151" s="8"/>
      <c r="K6151" s="8"/>
      <c r="L6151" s="8"/>
      <c r="M6151" s="8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  <c r="AA6151" s="8"/>
      <c r="AB6151" s="8"/>
      <c r="AC6151" s="8"/>
      <c r="AD6151" s="11"/>
      <c r="AE6151" s="11"/>
      <c r="AF6151" s="11"/>
      <c r="AG6151" s="10"/>
    </row>
    <row r="6152" spans="1:33">
      <c r="A6152" s="8"/>
      <c r="B6152" s="8"/>
      <c r="C6152" s="8"/>
      <c r="D6152" s="8"/>
      <c r="E6152" s="8"/>
      <c r="F6152" s="8"/>
      <c r="G6152" s="8"/>
      <c r="H6152" s="8"/>
      <c r="I6152" s="8"/>
      <c r="J6152" s="8"/>
      <c r="K6152" s="8"/>
      <c r="L6152" s="8"/>
      <c r="M6152" s="8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  <c r="AA6152" s="8"/>
      <c r="AB6152" s="8"/>
      <c r="AC6152" s="8"/>
      <c r="AD6152" s="11"/>
      <c r="AE6152" s="11"/>
      <c r="AF6152" s="11"/>
      <c r="AG6152" s="10"/>
    </row>
    <row r="6153" spans="1:33">
      <c r="A6153" s="8"/>
      <c r="B6153" s="8"/>
      <c r="C6153" s="8"/>
      <c r="D6153" s="8"/>
      <c r="E6153" s="8"/>
      <c r="F6153" s="8"/>
      <c r="G6153" s="8"/>
      <c r="H6153" s="8"/>
      <c r="I6153" s="8"/>
      <c r="J6153" s="8"/>
      <c r="K6153" s="8"/>
      <c r="L6153" s="8"/>
      <c r="M6153" s="8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  <c r="AA6153" s="8"/>
      <c r="AB6153" s="8"/>
      <c r="AC6153" s="8"/>
      <c r="AD6153" s="11"/>
      <c r="AE6153" s="11"/>
      <c r="AF6153" s="11"/>
      <c r="AG6153" s="10"/>
    </row>
    <row r="6154" spans="1:33">
      <c r="A6154" s="8"/>
      <c r="B6154" s="8"/>
      <c r="C6154" s="8"/>
      <c r="D6154" s="8"/>
      <c r="E6154" s="8"/>
      <c r="F6154" s="8"/>
      <c r="G6154" s="8"/>
      <c r="H6154" s="8"/>
      <c r="I6154" s="8"/>
      <c r="J6154" s="8"/>
      <c r="K6154" s="8"/>
      <c r="L6154" s="8"/>
      <c r="M6154" s="8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  <c r="AA6154" s="8"/>
      <c r="AB6154" s="8"/>
      <c r="AC6154" s="8"/>
      <c r="AD6154" s="11"/>
      <c r="AE6154" s="11"/>
      <c r="AF6154" s="11"/>
      <c r="AG6154" s="10"/>
    </row>
    <row r="6155" spans="1:33">
      <c r="A6155" s="8"/>
      <c r="B6155" s="8"/>
      <c r="C6155" s="8"/>
      <c r="D6155" s="8"/>
      <c r="E6155" s="8"/>
      <c r="F6155" s="8"/>
      <c r="G6155" s="8"/>
      <c r="H6155" s="8"/>
      <c r="I6155" s="8"/>
      <c r="J6155" s="8"/>
      <c r="K6155" s="8"/>
      <c r="L6155" s="8"/>
      <c r="M6155" s="8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  <c r="AA6155" s="8"/>
      <c r="AB6155" s="8"/>
      <c r="AC6155" s="8"/>
      <c r="AD6155" s="11"/>
      <c r="AE6155" s="11"/>
      <c r="AF6155" s="11"/>
      <c r="AG6155" s="10"/>
    </row>
    <row r="6156" spans="1:33">
      <c r="A6156" s="8"/>
      <c r="B6156" s="8"/>
      <c r="C6156" s="8"/>
      <c r="D6156" s="8"/>
      <c r="E6156" s="8"/>
      <c r="F6156" s="8"/>
      <c r="G6156" s="8"/>
      <c r="H6156" s="8"/>
      <c r="I6156" s="8"/>
      <c r="J6156" s="8"/>
      <c r="K6156" s="8"/>
      <c r="L6156" s="8"/>
      <c r="M6156" s="8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  <c r="AA6156" s="8"/>
      <c r="AB6156" s="8"/>
      <c r="AC6156" s="8"/>
      <c r="AD6156" s="11"/>
      <c r="AE6156" s="11"/>
      <c r="AF6156" s="11"/>
      <c r="AG6156" s="10"/>
    </row>
    <row r="6157" spans="1:33">
      <c r="A6157" s="8"/>
      <c r="B6157" s="8"/>
      <c r="C6157" s="8"/>
      <c r="D6157" s="8"/>
      <c r="E6157" s="8"/>
      <c r="F6157" s="8"/>
      <c r="G6157" s="8"/>
      <c r="H6157" s="8"/>
      <c r="I6157" s="8"/>
      <c r="J6157" s="8"/>
      <c r="K6157" s="8"/>
      <c r="L6157" s="8"/>
      <c r="M6157" s="8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  <c r="AA6157" s="8"/>
      <c r="AB6157" s="8"/>
      <c r="AC6157" s="8"/>
      <c r="AD6157" s="11"/>
      <c r="AE6157" s="11"/>
      <c r="AF6157" s="11"/>
      <c r="AG6157" s="10"/>
    </row>
    <row r="6158" spans="1:33">
      <c r="A6158" s="8"/>
      <c r="B6158" s="8"/>
      <c r="C6158" s="8"/>
      <c r="D6158" s="8"/>
      <c r="E6158" s="8"/>
      <c r="F6158" s="8"/>
      <c r="G6158" s="8"/>
      <c r="H6158" s="8"/>
      <c r="I6158" s="8"/>
      <c r="J6158" s="8"/>
      <c r="K6158" s="8"/>
      <c r="L6158" s="8"/>
      <c r="M6158" s="8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  <c r="AA6158" s="8"/>
      <c r="AB6158" s="8"/>
      <c r="AC6158" s="8"/>
      <c r="AD6158" s="11"/>
      <c r="AE6158" s="11"/>
      <c r="AF6158" s="11"/>
      <c r="AG6158" s="10"/>
    </row>
    <row r="6159" spans="1:33">
      <c r="A6159" s="8"/>
      <c r="B6159" s="8"/>
      <c r="C6159" s="8"/>
      <c r="D6159" s="8"/>
      <c r="E6159" s="8"/>
      <c r="F6159" s="8"/>
      <c r="G6159" s="8"/>
      <c r="H6159" s="8"/>
      <c r="I6159" s="8"/>
      <c r="J6159" s="8"/>
      <c r="K6159" s="8"/>
      <c r="L6159" s="8"/>
      <c r="M6159" s="8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  <c r="AA6159" s="8"/>
      <c r="AB6159" s="8"/>
      <c r="AC6159" s="8"/>
      <c r="AD6159" s="11"/>
      <c r="AE6159" s="11"/>
      <c r="AF6159" s="11"/>
      <c r="AG6159" s="10"/>
    </row>
    <row r="6160" spans="1:33">
      <c r="A6160" s="8"/>
      <c r="B6160" s="8"/>
      <c r="C6160" s="8"/>
      <c r="D6160" s="8"/>
      <c r="E6160" s="8"/>
      <c r="F6160" s="8"/>
      <c r="G6160" s="8"/>
      <c r="H6160" s="8"/>
      <c r="I6160" s="8"/>
      <c r="J6160" s="8"/>
      <c r="K6160" s="8"/>
      <c r="L6160" s="8"/>
      <c r="M6160" s="8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  <c r="AA6160" s="8"/>
      <c r="AB6160" s="8"/>
      <c r="AC6160" s="8"/>
      <c r="AD6160" s="11"/>
      <c r="AE6160" s="11"/>
      <c r="AF6160" s="11"/>
      <c r="AG6160" s="10"/>
    </row>
    <row r="6161" spans="1:33">
      <c r="A6161" s="8"/>
      <c r="B6161" s="8"/>
      <c r="C6161" s="8"/>
      <c r="D6161" s="8"/>
      <c r="E6161" s="8"/>
      <c r="F6161" s="8"/>
      <c r="G6161" s="8"/>
      <c r="H6161" s="8"/>
      <c r="I6161" s="8"/>
      <c r="J6161" s="8"/>
      <c r="K6161" s="8"/>
      <c r="L6161" s="8"/>
      <c r="M6161" s="8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  <c r="AA6161" s="8"/>
      <c r="AB6161" s="8"/>
      <c r="AC6161" s="8"/>
      <c r="AD6161" s="11"/>
      <c r="AE6161" s="11"/>
      <c r="AF6161" s="11"/>
      <c r="AG6161" s="10"/>
    </row>
    <row r="6162" spans="1:33">
      <c r="A6162" s="8"/>
      <c r="B6162" s="8"/>
      <c r="C6162" s="8"/>
      <c r="D6162" s="8"/>
      <c r="E6162" s="8"/>
      <c r="F6162" s="8"/>
      <c r="G6162" s="8"/>
      <c r="H6162" s="8"/>
      <c r="I6162" s="8"/>
      <c r="J6162" s="8"/>
      <c r="K6162" s="8"/>
      <c r="L6162" s="8"/>
      <c r="M6162" s="8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  <c r="AA6162" s="8"/>
      <c r="AB6162" s="8"/>
      <c r="AC6162" s="8"/>
      <c r="AD6162" s="11"/>
      <c r="AE6162" s="11"/>
      <c r="AF6162" s="11"/>
      <c r="AG6162" s="10"/>
    </row>
    <row r="6163" spans="1:33">
      <c r="A6163" s="8"/>
      <c r="B6163" s="8"/>
      <c r="C6163" s="8"/>
      <c r="D6163" s="8"/>
      <c r="E6163" s="8"/>
      <c r="F6163" s="8"/>
      <c r="G6163" s="8"/>
      <c r="H6163" s="8"/>
      <c r="I6163" s="8"/>
      <c r="J6163" s="8"/>
      <c r="K6163" s="8"/>
      <c r="L6163" s="8"/>
      <c r="M6163" s="8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  <c r="AA6163" s="8"/>
      <c r="AB6163" s="8"/>
      <c r="AC6163" s="8"/>
      <c r="AD6163" s="11"/>
      <c r="AE6163" s="11"/>
      <c r="AF6163" s="11"/>
      <c r="AG6163" s="10"/>
    </row>
    <row r="6164" spans="1:33">
      <c r="A6164" s="8"/>
      <c r="B6164" s="8"/>
      <c r="C6164" s="8"/>
      <c r="D6164" s="8"/>
      <c r="E6164" s="8"/>
      <c r="F6164" s="8"/>
      <c r="G6164" s="8"/>
      <c r="H6164" s="8"/>
      <c r="I6164" s="8"/>
      <c r="J6164" s="8"/>
      <c r="K6164" s="8"/>
      <c r="L6164" s="8"/>
      <c r="M6164" s="8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  <c r="AA6164" s="8"/>
      <c r="AB6164" s="8"/>
      <c r="AC6164" s="8"/>
      <c r="AD6164" s="11"/>
      <c r="AE6164" s="11"/>
      <c r="AF6164" s="11"/>
      <c r="AG6164" s="10"/>
    </row>
    <row r="6165" spans="1:33">
      <c r="A6165" s="8"/>
      <c r="B6165" s="8"/>
      <c r="C6165" s="8"/>
      <c r="D6165" s="8"/>
      <c r="E6165" s="8"/>
      <c r="F6165" s="8"/>
      <c r="G6165" s="8"/>
      <c r="H6165" s="8"/>
      <c r="I6165" s="8"/>
      <c r="J6165" s="8"/>
      <c r="K6165" s="8"/>
      <c r="L6165" s="8"/>
      <c r="M6165" s="8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  <c r="AA6165" s="8"/>
      <c r="AB6165" s="8"/>
      <c r="AC6165" s="8"/>
      <c r="AD6165" s="11"/>
      <c r="AE6165" s="11"/>
      <c r="AF6165" s="11"/>
      <c r="AG6165" s="10"/>
    </row>
    <row r="6166" spans="1:33">
      <c r="A6166" s="8"/>
      <c r="B6166" s="8"/>
      <c r="C6166" s="8"/>
      <c r="D6166" s="8"/>
      <c r="E6166" s="8"/>
      <c r="F6166" s="8"/>
      <c r="G6166" s="8"/>
      <c r="H6166" s="8"/>
      <c r="I6166" s="8"/>
      <c r="J6166" s="8"/>
      <c r="K6166" s="8"/>
      <c r="L6166" s="8"/>
      <c r="M6166" s="8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  <c r="AA6166" s="8"/>
      <c r="AB6166" s="8"/>
      <c r="AC6166" s="8"/>
      <c r="AD6166" s="11"/>
      <c r="AE6166" s="11"/>
      <c r="AF6166" s="11"/>
      <c r="AG6166" s="10"/>
    </row>
    <row r="6167" spans="1:33">
      <c r="A6167" s="8"/>
      <c r="B6167" s="8"/>
      <c r="C6167" s="8"/>
      <c r="D6167" s="8"/>
      <c r="E6167" s="8"/>
      <c r="F6167" s="8"/>
      <c r="G6167" s="8"/>
      <c r="H6167" s="8"/>
      <c r="I6167" s="8"/>
      <c r="J6167" s="8"/>
      <c r="K6167" s="8"/>
      <c r="L6167" s="8"/>
      <c r="M6167" s="8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  <c r="AA6167" s="8"/>
      <c r="AB6167" s="8"/>
      <c r="AC6167" s="8"/>
      <c r="AD6167" s="11"/>
      <c r="AE6167" s="11"/>
      <c r="AF6167" s="11"/>
      <c r="AG6167" s="10"/>
    </row>
    <row r="6168" spans="1:33">
      <c r="A6168" s="8"/>
      <c r="B6168" s="8"/>
      <c r="C6168" s="8"/>
      <c r="D6168" s="8"/>
      <c r="E6168" s="8"/>
      <c r="F6168" s="8"/>
      <c r="G6168" s="8"/>
      <c r="H6168" s="8"/>
      <c r="I6168" s="8"/>
      <c r="J6168" s="8"/>
      <c r="K6168" s="8"/>
      <c r="L6168" s="8"/>
      <c r="M6168" s="8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  <c r="AA6168" s="8"/>
      <c r="AB6168" s="8"/>
      <c r="AC6168" s="8"/>
      <c r="AD6168" s="11"/>
      <c r="AE6168" s="11"/>
      <c r="AF6168" s="11"/>
      <c r="AG6168" s="10"/>
    </row>
    <row r="6169" spans="1:33">
      <c r="A6169" s="8"/>
      <c r="B6169" s="8"/>
      <c r="C6169" s="8"/>
      <c r="D6169" s="8"/>
      <c r="E6169" s="8"/>
      <c r="F6169" s="8"/>
      <c r="G6169" s="8"/>
      <c r="H6169" s="8"/>
      <c r="I6169" s="8"/>
      <c r="J6169" s="8"/>
      <c r="K6169" s="8"/>
      <c r="L6169" s="8"/>
      <c r="M6169" s="8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  <c r="AA6169" s="8"/>
      <c r="AB6169" s="8"/>
      <c r="AC6169" s="8"/>
      <c r="AD6169" s="11"/>
      <c r="AE6169" s="11"/>
      <c r="AF6169" s="11"/>
      <c r="AG6169" s="10"/>
    </row>
    <row r="6170" spans="1:33">
      <c r="A6170" s="8"/>
      <c r="B6170" s="8"/>
      <c r="C6170" s="8"/>
      <c r="D6170" s="8"/>
      <c r="E6170" s="8"/>
      <c r="F6170" s="8"/>
      <c r="G6170" s="8"/>
      <c r="H6170" s="8"/>
      <c r="I6170" s="8"/>
      <c r="J6170" s="8"/>
      <c r="K6170" s="8"/>
      <c r="L6170" s="8"/>
      <c r="M6170" s="8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  <c r="AA6170" s="8"/>
      <c r="AB6170" s="8"/>
      <c r="AC6170" s="8"/>
      <c r="AD6170" s="11"/>
      <c r="AE6170" s="11"/>
      <c r="AF6170" s="11"/>
      <c r="AG6170" s="10"/>
    </row>
    <row r="6171" spans="1:33">
      <c r="A6171" s="8"/>
      <c r="B6171" s="8"/>
      <c r="C6171" s="8"/>
      <c r="D6171" s="8"/>
      <c r="E6171" s="8"/>
      <c r="F6171" s="8"/>
      <c r="G6171" s="8"/>
      <c r="H6171" s="8"/>
      <c r="I6171" s="8"/>
      <c r="J6171" s="8"/>
      <c r="K6171" s="8"/>
      <c r="L6171" s="8"/>
      <c r="M6171" s="8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  <c r="AA6171" s="8"/>
      <c r="AB6171" s="8"/>
      <c r="AC6171" s="8"/>
      <c r="AD6171" s="11"/>
      <c r="AE6171" s="11"/>
      <c r="AF6171" s="11"/>
      <c r="AG6171" s="10"/>
    </row>
    <row r="6172" spans="1:33">
      <c r="A6172" s="8"/>
      <c r="B6172" s="8"/>
      <c r="C6172" s="8"/>
      <c r="D6172" s="8"/>
      <c r="E6172" s="8"/>
      <c r="F6172" s="8"/>
      <c r="G6172" s="8"/>
      <c r="H6172" s="8"/>
      <c r="I6172" s="8"/>
      <c r="J6172" s="8"/>
      <c r="K6172" s="8"/>
      <c r="L6172" s="8"/>
      <c r="M6172" s="8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  <c r="AA6172" s="8"/>
      <c r="AB6172" s="8"/>
      <c r="AC6172" s="8"/>
      <c r="AD6172" s="11"/>
      <c r="AE6172" s="11"/>
      <c r="AF6172" s="11"/>
      <c r="AG6172" s="10"/>
    </row>
    <row r="6173" spans="1:33">
      <c r="A6173" s="8"/>
      <c r="B6173" s="8"/>
      <c r="C6173" s="8"/>
      <c r="D6173" s="8"/>
      <c r="E6173" s="8"/>
      <c r="F6173" s="8"/>
      <c r="G6173" s="8"/>
      <c r="H6173" s="8"/>
      <c r="I6173" s="8"/>
      <c r="J6173" s="8"/>
      <c r="K6173" s="8"/>
      <c r="L6173" s="8"/>
      <c r="M6173" s="8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  <c r="AA6173" s="8"/>
      <c r="AB6173" s="8"/>
      <c r="AC6173" s="8"/>
      <c r="AD6173" s="11"/>
      <c r="AE6173" s="11"/>
      <c r="AF6173" s="11"/>
      <c r="AG6173" s="10"/>
    </row>
    <row r="6174" spans="1:33">
      <c r="A6174" s="8"/>
      <c r="B6174" s="8"/>
      <c r="C6174" s="8"/>
      <c r="D6174" s="8"/>
      <c r="E6174" s="8"/>
      <c r="F6174" s="8"/>
      <c r="G6174" s="8"/>
      <c r="H6174" s="8"/>
      <c r="I6174" s="8"/>
      <c r="J6174" s="8"/>
      <c r="K6174" s="8"/>
      <c r="L6174" s="8"/>
      <c r="M6174" s="8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  <c r="AA6174" s="8"/>
      <c r="AB6174" s="8"/>
      <c r="AC6174" s="8"/>
      <c r="AD6174" s="11"/>
      <c r="AE6174" s="11"/>
      <c r="AF6174" s="11"/>
      <c r="AG6174" s="10"/>
    </row>
    <row r="6175" spans="1:33">
      <c r="A6175" s="8"/>
      <c r="B6175" s="8"/>
      <c r="C6175" s="8"/>
      <c r="D6175" s="8"/>
      <c r="E6175" s="8"/>
      <c r="F6175" s="8"/>
      <c r="G6175" s="8"/>
      <c r="H6175" s="8"/>
      <c r="I6175" s="8"/>
      <c r="J6175" s="8"/>
      <c r="K6175" s="8"/>
      <c r="L6175" s="8"/>
      <c r="M6175" s="8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  <c r="AA6175" s="8"/>
      <c r="AB6175" s="8"/>
      <c r="AC6175" s="8"/>
      <c r="AD6175" s="11"/>
      <c r="AE6175" s="11"/>
      <c r="AF6175" s="11"/>
      <c r="AG6175" s="10"/>
    </row>
    <row r="6176" spans="1:33">
      <c r="A6176" s="8"/>
      <c r="B6176" s="8"/>
      <c r="C6176" s="8"/>
      <c r="D6176" s="8"/>
      <c r="E6176" s="8"/>
      <c r="F6176" s="8"/>
      <c r="G6176" s="8"/>
      <c r="H6176" s="8"/>
      <c r="I6176" s="8"/>
      <c r="J6176" s="8"/>
      <c r="K6176" s="8"/>
      <c r="L6176" s="8"/>
      <c r="M6176" s="8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  <c r="AA6176" s="8"/>
      <c r="AB6176" s="8"/>
      <c r="AC6176" s="8"/>
      <c r="AD6176" s="11"/>
      <c r="AE6176" s="11"/>
      <c r="AF6176" s="11"/>
      <c r="AG6176" s="10"/>
    </row>
    <row r="6177" spans="1:33">
      <c r="A6177" s="8"/>
      <c r="B6177" s="8"/>
      <c r="C6177" s="8"/>
      <c r="D6177" s="8"/>
      <c r="E6177" s="8"/>
      <c r="F6177" s="8"/>
      <c r="G6177" s="8"/>
      <c r="H6177" s="8"/>
      <c r="I6177" s="8"/>
      <c r="J6177" s="8"/>
      <c r="K6177" s="8"/>
      <c r="L6177" s="8"/>
      <c r="M6177" s="8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  <c r="AA6177" s="8"/>
      <c r="AB6177" s="8"/>
      <c r="AC6177" s="8"/>
      <c r="AD6177" s="11"/>
      <c r="AE6177" s="11"/>
      <c r="AF6177" s="11"/>
      <c r="AG6177" s="10"/>
    </row>
    <row r="6178" spans="1:33">
      <c r="A6178" s="8"/>
      <c r="B6178" s="8"/>
      <c r="C6178" s="8"/>
      <c r="D6178" s="8"/>
      <c r="E6178" s="8"/>
      <c r="F6178" s="8"/>
      <c r="G6178" s="8"/>
      <c r="H6178" s="8"/>
      <c r="I6178" s="8"/>
      <c r="J6178" s="8"/>
      <c r="K6178" s="8"/>
      <c r="L6178" s="8"/>
      <c r="M6178" s="8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  <c r="AA6178" s="8"/>
      <c r="AB6178" s="8"/>
      <c r="AC6178" s="8"/>
      <c r="AD6178" s="11"/>
      <c r="AE6178" s="11"/>
      <c r="AF6178" s="11"/>
      <c r="AG6178" s="10"/>
    </row>
    <row r="6179" spans="1:33">
      <c r="A6179" s="8"/>
      <c r="B6179" s="8"/>
      <c r="C6179" s="8"/>
      <c r="D6179" s="8"/>
      <c r="E6179" s="8"/>
      <c r="F6179" s="8"/>
      <c r="G6179" s="8"/>
      <c r="H6179" s="8"/>
      <c r="I6179" s="8"/>
      <c r="J6179" s="8"/>
      <c r="K6179" s="8"/>
      <c r="L6179" s="8"/>
      <c r="M6179" s="8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  <c r="AA6179" s="8"/>
      <c r="AB6179" s="8"/>
      <c r="AC6179" s="8"/>
      <c r="AD6179" s="11"/>
      <c r="AE6179" s="11"/>
      <c r="AF6179" s="11"/>
      <c r="AG6179" s="10"/>
    </row>
    <row r="6180" spans="1:33">
      <c r="A6180" s="8"/>
      <c r="B6180" s="8"/>
      <c r="C6180" s="8"/>
      <c r="D6180" s="8"/>
      <c r="E6180" s="8"/>
      <c r="F6180" s="8"/>
      <c r="G6180" s="8"/>
      <c r="H6180" s="8"/>
      <c r="I6180" s="8"/>
      <c r="J6180" s="8"/>
      <c r="K6180" s="8"/>
      <c r="L6180" s="8"/>
      <c r="M6180" s="8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  <c r="AA6180" s="8"/>
      <c r="AB6180" s="8"/>
      <c r="AC6180" s="8"/>
      <c r="AD6180" s="11"/>
      <c r="AE6180" s="11"/>
      <c r="AF6180" s="11"/>
      <c r="AG6180" s="10"/>
    </row>
    <row r="6181" spans="1:33">
      <c r="A6181" s="8"/>
      <c r="B6181" s="8"/>
      <c r="C6181" s="8"/>
      <c r="D6181" s="8"/>
      <c r="E6181" s="8"/>
      <c r="F6181" s="8"/>
      <c r="G6181" s="8"/>
      <c r="H6181" s="8"/>
      <c r="I6181" s="8"/>
      <c r="J6181" s="8"/>
      <c r="K6181" s="8"/>
      <c r="L6181" s="8"/>
      <c r="M6181" s="8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  <c r="AA6181" s="8"/>
      <c r="AB6181" s="8"/>
      <c r="AC6181" s="8"/>
      <c r="AD6181" s="11"/>
      <c r="AE6181" s="11"/>
      <c r="AF6181" s="11"/>
      <c r="AG6181" s="10"/>
    </row>
    <row r="6182" spans="1:33">
      <c r="A6182" s="8"/>
      <c r="B6182" s="8"/>
      <c r="C6182" s="8"/>
      <c r="D6182" s="8"/>
      <c r="E6182" s="8"/>
      <c r="F6182" s="8"/>
      <c r="G6182" s="8"/>
      <c r="H6182" s="8"/>
      <c r="I6182" s="8"/>
      <c r="J6182" s="8"/>
      <c r="K6182" s="8"/>
      <c r="L6182" s="8"/>
      <c r="M6182" s="8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  <c r="AA6182" s="8"/>
      <c r="AB6182" s="8"/>
      <c r="AC6182" s="8"/>
      <c r="AD6182" s="11"/>
      <c r="AE6182" s="11"/>
      <c r="AF6182" s="11"/>
      <c r="AG6182" s="10"/>
    </row>
    <row r="6183" spans="1:33">
      <c r="A6183" s="8"/>
      <c r="B6183" s="8"/>
      <c r="C6183" s="8"/>
      <c r="D6183" s="8"/>
      <c r="E6183" s="8"/>
      <c r="F6183" s="8"/>
      <c r="G6183" s="8"/>
      <c r="H6183" s="8"/>
      <c r="I6183" s="8"/>
      <c r="J6183" s="8"/>
      <c r="K6183" s="8"/>
      <c r="L6183" s="8"/>
      <c r="M6183" s="8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  <c r="AA6183" s="8"/>
      <c r="AB6183" s="8"/>
      <c r="AC6183" s="8"/>
      <c r="AD6183" s="11"/>
      <c r="AE6183" s="11"/>
      <c r="AF6183" s="11"/>
      <c r="AG6183" s="10"/>
    </row>
    <row r="6184" spans="1:33">
      <c r="A6184" s="8"/>
      <c r="B6184" s="8"/>
      <c r="C6184" s="8"/>
      <c r="D6184" s="8"/>
      <c r="E6184" s="8"/>
      <c r="F6184" s="8"/>
      <c r="G6184" s="8"/>
      <c r="H6184" s="8"/>
      <c r="I6184" s="8"/>
      <c r="J6184" s="8"/>
      <c r="K6184" s="8"/>
      <c r="L6184" s="8"/>
      <c r="M6184" s="8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  <c r="AA6184" s="8"/>
      <c r="AB6184" s="8"/>
      <c r="AC6184" s="8"/>
      <c r="AD6184" s="11"/>
      <c r="AE6184" s="11"/>
      <c r="AF6184" s="11"/>
      <c r="AG6184" s="10"/>
    </row>
    <row r="6185" spans="1:33">
      <c r="A6185" s="8"/>
      <c r="B6185" s="8"/>
      <c r="C6185" s="8"/>
      <c r="D6185" s="8"/>
      <c r="E6185" s="8"/>
      <c r="F6185" s="8"/>
      <c r="G6185" s="8"/>
      <c r="H6185" s="8"/>
      <c r="I6185" s="8"/>
      <c r="J6185" s="8"/>
      <c r="K6185" s="8"/>
      <c r="L6185" s="8"/>
      <c r="M6185" s="8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  <c r="AA6185" s="8"/>
      <c r="AB6185" s="8"/>
      <c r="AC6185" s="8"/>
      <c r="AD6185" s="11"/>
      <c r="AE6185" s="11"/>
      <c r="AF6185" s="11"/>
      <c r="AG6185" s="10"/>
    </row>
    <row r="6186" spans="1:33">
      <c r="A6186" s="8"/>
      <c r="B6186" s="8"/>
      <c r="C6186" s="8"/>
      <c r="D6186" s="8"/>
      <c r="E6186" s="8"/>
      <c r="F6186" s="8"/>
      <c r="G6186" s="8"/>
      <c r="H6186" s="8"/>
      <c r="I6186" s="8"/>
      <c r="J6186" s="8"/>
      <c r="K6186" s="8"/>
      <c r="L6186" s="8"/>
      <c r="M6186" s="8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  <c r="AA6186" s="8"/>
      <c r="AB6186" s="8"/>
      <c r="AC6186" s="8"/>
      <c r="AD6186" s="11"/>
      <c r="AE6186" s="11"/>
      <c r="AF6186" s="11"/>
      <c r="AG6186" s="10"/>
    </row>
    <row r="6187" spans="1:33">
      <c r="A6187" s="8"/>
      <c r="B6187" s="8"/>
      <c r="C6187" s="8"/>
      <c r="D6187" s="8"/>
      <c r="E6187" s="8"/>
      <c r="F6187" s="8"/>
      <c r="G6187" s="8"/>
      <c r="H6187" s="8"/>
      <c r="I6187" s="8"/>
      <c r="J6187" s="8"/>
      <c r="K6187" s="8"/>
      <c r="L6187" s="8"/>
      <c r="M6187" s="8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  <c r="AA6187" s="8"/>
      <c r="AB6187" s="8"/>
      <c r="AC6187" s="8"/>
      <c r="AD6187" s="11"/>
      <c r="AE6187" s="11"/>
      <c r="AF6187" s="11"/>
      <c r="AG6187" s="10"/>
    </row>
    <row r="6188" spans="1:33">
      <c r="A6188" s="8"/>
      <c r="B6188" s="8"/>
      <c r="C6188" s="8"/>
      <c r="D6188" s="8"/>
      <c r="E6188" s="8"/>
      <c r="F6188" s="8"/>
      <c r="G6188" s="8"/>
      <c r="H6188" s="8"/>
      <c r="I6188" s="8"/>
      <c r="J6188" s="8"/>
      <c r="K6188" s="8"/>
      <c r="L6188" s="8"/>
      <c r="M6188" s="8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  <c r="AA6188" s="8"/>
      <c r="AB6188" s="8"/>
      <c r="AC6188" s="8"/>
      <c r="AD6188" s="11"/>
      <c r="AE6188" s="11"/>
      <c r="AF6188" s="11"/>
      <c r="AG6188" s="10"/>
    </row>
    <row r="6189" spans="1:33">
      <c r="A6189" s="8"/>
      <c r="B6189" s="8"/>
      <c r="C6189" s="8"/>
      <c r="D6189" s="8"/>
      <c r="E6189" s="8"/>
      <c r="F6189" s="8"/>
      <c r="G6189" s="8"/>
      <c r="H6189" s="8"/>
      <c r="I6189" s="8"/>
      <c r="J6189" s="8"/>
      <c r="K6189" s="8"/>
      <c r="L6189" s="8"/>
      <c r="M6189" s="8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  <c r="AA6189" s="8"/>
      <c r="AB6189" s="8"/>
      <c r="AC6189" s="8"/>
      <c r="AD6189" s="11"/>
      <c r="AE6189" s="11"/>
      <c r="AF6189" s="11"/>
      <c r="AG6189" s="10"/>
    </row>
    <row r="6190" spans="1:33">
      <c r="A6190" s="8"/>
      <c r="B6190" s="8"/>
      <c r="C6190" s="8"/>
      <c r="D6190" s="8"/>
      <c r="E6190" s="8"/>
      <c r="F6190" s="8"/>
      <c r="G6190" s="8"/>
      <c r="H6190" s="8"/>
      <c r="I6190" s="8"/>
      <c r="J6190" s="8"/>
      <c r="K6190" s="8"/>
      <c r="L6190" s="8"/>
      <c r="M6190" s="8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  <c r="AA6190" s="8"/>
      <c r="AB6190" s="8"/>
      <c r="AC6190" s="8"/>
      <c r="AD6190" s="11"/>
      <c r="AE6190" s="11"/>
      <c r="AF6190" s="11"/>
      <c r="AG6190" s="10"/>
    </row>
    <row r="6191" spans="1:33">
      <c r="A6191" s="8"/>
      <c r="B6191" s="8"/>
      <c r="C6191" s="8"/>
      <c r="D6191" s="8"/>
      <c r="E6191" s="8"/>
      <c r="F6191" s="8"/>
      <c r="G6191" s="8"/>
      <c r="H6191" s="8"/>
      <c r="I6191" s="8"/>
      <c r="J6191" s="8"/>
      <c r="K6191" s="8"/>
      <c r="L6191" s="8"/>
      <c r="M6191" s="8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  <c r="AA6191" s="8"/>
      <c r="AB6191" s="8"/>
      <c r="AC6191" s="8"/>
      <c r="AD6191" s="11"/>
      <c r="AE6191" s="11"/>
      <c r="AF6191" s="11"/>
      <c r="AG6191" s="10"/>
    </row>
    <row r="6192" spans="1:33">
      <c r="A6192" s="8"/>
      <c r="B6192" s="8"/>
      <c r="C6192" s="8"/>
      <c r="D6192" s="8"/>
      <c r="E6192" s="8"/>
      <c r="F6192" s="8"/>
      <c r="G6192" s="8"/>
      <c r="H6192" s="8"/>
      <c r="I6192" s="8"/>
      <c r="J6192" s="8"/>
      <c r="K6192" s="8"/>
      <c r="L6192" s="8"/>
      <c r="M6192" s="8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  <c r="AA6192" s="8"/>
      <c r="AB6192" s="8"/>
      <c r="AC6192" s="8"/>
      <c r="AD6192" s="11"/>
      <c r="AE6192" s="11"/>
      <c r="AF6192" s="11"/>
      <c r="AG6192" s="10"/>
    </row>
    <row r="6193" spans="1:33">
      <c r="A6193" s="8"/>
      <c r="B6193" s="8"/>
      <c r="C6193" s="8"/>
      <c r="D6193" s="8"/>
      <c r="E6193" s="8"/>
      <c r="F6193" s="8"/>
      <c r="G6193" s="8"/>
      <c r="H6193" s="8"/>
      <c r="I6193" s="8"/>
      <c r="J6193" s="8"/>
      <c r="K6193" s="8"/>
      <c r="L6193" s="8"/>
      <c r="M6193" s="8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  <c r="AA6193" s="8"/>
      <c r="AB6193" s="8"/>
      <c r="AC6193" s="8"/>
      <c r="AD6193" s="11"/>
      <c r="AE6193" s="11"/>
      <c r="AF6193" s="11"/>
      <c r="AG6193" s="10"/>
    </row>
    <row r="6194" spans="1:33">
      <c r="A6194" s="8"/>
      <c r="B6194" s="8"/>
      <c r="C6194" s="8"/>
      <c r="D6194" s="8"/>
      <c r="E6194" s="8"/>
      <c r="F6194" s="8"/>
      <c r="G6194" s="8"/>
      <c r="H6194" s="8"/>
      <c r="I6194" s="8"/>
      <c r="J6194" s="8"/>
      <c r="K6194" s="8"/>
      <c r="L6194" s="8"/>
      <c r="M6194" s="8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  <c r="AA6194" s="8"/>
      <c r="AB6194" s="8"/>
      <c r="AC6194" s="8"/>
      <c r="AD6194" s="11"/>
      <c r="AE6194" s="11"/>
      <c r="AF6194" s="11"/>
      <c r="AG6194" s="10"/>
    </row>
    <row r="6195" spans="1:33">
      <c r="A6195" s="8"/>
      <c r="B6195" s="8"/>
      <c r="C6195" s="8"/>
      <c r="D6195" s="8"/>
      <c r="E6195" s="8"/>
      <c r="F6195" s="8"/>
      <c r="G6195" s="8"/>
      <c r="H6195" s="8"/>
      <c r="I6195" s="8"/>
      <c r="J6195" s="8"/>
      <c r="K6195" s="8"/>
      <c r="L6195" s="8"/>
      <c r="M6195" s="8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  <c r="AA6195" s="8"/>
      <c r="AB6195" s="8"/>
      <c r="AC6195" s="8"/>
      <c r="AD6195" s="11"/>
      <c r="AE6195" s="11"/>
      <c r="AF6195" s="11"/>
      <c r="AG6195" s="10"/>
    </row>
    <row r="6196" spans="1:33">
      <c r="A6196" s="8"/>
      <c r="B6196" s="8"/>
      <c r="C6196" s="8"/>
      <c r="D6196" s="8"/>
      <c r="E6196" s="8"/>
      <c r="F6196" s="8"/>
      <c r="G6196" s="8"/>
      <c r="H6196" s="8"/>
      <c r="I6196" s="8"/>
      <c r="J6196" s="8"/>
      <c r="K6196" s="8"/>
      <c r="L6196" s="8"/>
      <c r="M6196" s="8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  <c r="AA6196" s="8"/>
      <c r="AB6196" s="8"/>
      <c r="AC6196" s="8"/>
      <c r="AD6196" s="11"/>
      <c r="AE6196" s="11"/>
      <c r="AF6196" s="11"/>
      <c r="AG6196" s="10"/>
    </row>
    <row r="6197" spans="1:33">
      <c r="A6197" s="8"/>
      <c r="B6197" s="8"/>
      <c r="C6197" s="8"/>
      <c r="D6197" s="8"/>
      <c r="E6197" s="8"/>
      <c r="F6197" s="8"/>
      <c r="G6197" s="8"/>
      <c r="H6197" s="8"/>
      <c r="I6197" s="8"/>
      <c r="J6197" s="8"/>
      <c r="K6197" s="8"/>
      <c r="L6197" s="8"/>
      <c r="M6197" s="8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  <c r="AA6197" s="8"/>
      <c r="AB6197" s="8"/>
      <c r="AC6197" s="8"/>
      <c r="AD6197" s="11"/>
      <c r="AE6197" s="11"/>
      <c r="AF6197" s="11"/>
      <c r="AG6197" s="10"/>
    </row>
    <row r="6198" spans="1:33">
      <c r="A6198" s="8"/>
      <c r="B6198" s="8"/>
      <c r="C6198" s="8"/>
      <c r="D6198" s="8"/>
      <c r="E6198" s="8"/>
      <c r="F6198" s="8"/>
      <c r="G6198" s="8"/>
      <c r="H6198" s="8"/>
      <c r="I6198" s="8"/>
      <c r="J6198" s="8"/>
      <c r="K6198" s="8"/>
      <c r="L6198" s="8"/>
      <c r="M6198" s="8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  <c r="AA6198" s="8"/>
      <c r="AB6198" s="8"/>
      <c r="AC6198" s="8"/>
      <c r="AD6198" s="11"/>
      <c r="AE6198" s="11"/>
      <c r="AF6198" s="11"/>
      <c r="AG6198" s="10"/>
    </row>
    <row r="6199" spans="1:33">
      <c r="A6199" s="8"/>
      <c r="B6199" s="8"/>
      <c r="C6199" s="8"/>
      <c r="D6199" s="8"/>
      <c r="E6199" s="8"/>
      <c r="F6199" s="8"/>
      <c r="G6199" s="8"/>
      <c r="H6199" s="8"/>
      <c r="I6199" s="8"/>
      <c r="J6199" s="8"/>
      <c r="K6199" s="8"/>
      <c r="L6199" s="8"/>
      <c r="M6199" s="8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  <c r="AA6199" s="8"/>
      <c r="AB6199" s="8"/>
      <c r="AC6199" s="8"/>
      <c r="AD6199" s="11"/>
      <c r="AE6199" s="11"/>
      <c r="AF6199" s="11"/>
      <c r="AG6199" s="10"/>
    </row>
    <row r="6200" spans="1:33">
      <c r="A6200" s="8"/>
      <c r="B6200" s="8"/>
      <c r="C6200" s="8"/>
      <c r="D6200" s="8"/>
      <c r="E6200" s="8"/>
      <c r="F6200" s="8"/>
      <c r="G6200" s="8"/>
      <c r="H6200" s="8"/>
      <c r="I6200" s="8"/>
      <c r="J6200" s="8"/>
      <c r="K6200" s="8"/>
      <c r="L6200" s="8"/>
      <c r="M6200" s="8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  <c r="AA6200" s="8"/>
      <c r="AB6200" s="8"/>
      <c r="AC6200" s="8"/>
      <c r="AD6200" s="11"/>
      <c r="AE6200" s="11"/>
      <c r="AF6200" s="11"/>
      <c r="AG6200" s="10"/>
    </row>
    <row r="6201" spans="1:33">
      <c r="A6201" s="8"/>
      <c r="B6201" s="8"/>
      <c r="C6201" s="8"/>
      <c r="D6201" s="8"/>
      <c r="E6201" s="8"/>
      <c r="F6201" s="8"/>
      <c r="G6201" s="8"/>
      <c r="H6201" s="8"/>
      <c r="I6201" s="8"/>
      <c r="J6201" s="8"/>
      <c r="K6201" s="8"/>
      <c r="L6201" s="8"/>
      <c r="M6201" s="8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  <c r="AA6201" s="8"/>
      <c r="AB6201" s="8"/>
      <c r="AC6201" s="8"/>
      <c r="AD6201" s="11"/>
      <c r="AE6201" s="11"/>
      <c r="AF6201" s="11"/>
      <c r="AG6201" s="10"/>
    </row>
    <row r="6202" spans="1:33">
      <c r="A6202" s="8"/>
      <c r="B6202" s="8"/>
      <c r="C6202" s="8"/>
      <c r="D6202" s="8"/>
      <c r="E6202" s="8"/>
      <c r="F6202" s="8"/>
      <c r="G6202" s="8"/>
      <c r="H6202" s="8"/>
      <c r="I6202" s="8"/>
      <c r="J6202" s="8"/>
      <c r="K6202" s="8"/>
      <c r="L6202" s="8"/>
      <c r="M6202" s="8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  <c r="AA6202" s="8"/>
      <c r="AB6202" s="8"/>
      <c r="AC6202" s="8"/>
      <c r="AD6202" s="11"/>
      <c r="AE6202" s="11"/>
      <c r="AF6202" s="11"/>
      <c r="AG6202" s="10"/>
    </row>
    <row r="6203" spans="1:33">
      <c r="A6203" s="8"/>
      <c r="B6203" s="8"/>
      <c r="C6203" s="8"/>
      <c r="D6203" s="8"/>
      <c r="E6203" s="8"/>
      <c r="F6203" s="8"/>
      <c r="G6203" s="8"/>
      <c r="H6203" s="8"/>
      <c r="I6203" s="8"/>
      <c r="J6203" s="8"/>
      <c r="K6203" s="8"/>
      <c r="L6203" s="8"/>
      <c r="M6203" s="8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  <c r="AA6203" s="8"/>
      <c r="AB6203" s="8"/>
      <c r="AC6203" s="8"/>
      <c r="AD6203" s="11"/>
      <c r="AE6203" s="11"/>
      <c r="AF6203" s="11"/>
      <c r="AG6203" s="10"/>
    </row>
    <row r="6204" spans="1:33">
      <c r="A6204" s="8"/>
      <c r="B6204" s="8"/>
      <c r="C6204" s="8"/>
      <c r="D6204" s="8"/>
      <c r="E6204" s="8"/>
      <c r="F6204" s="8"/>
      <c r="G6204" s="8"/>
      <c r="H6204" s="8"/>
      <c r="I6204" s="8"/>
      <c r="J6204" s="8"/>
      <c r="K6204" s="8"/>
      <c r="L6204" s="8"/>
      <c r="M6204" s="8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  <c r="AA6204" s="8"/>
      <c r="AB6204" s="8"/>
      <c r="AC6204" s="8"/>
      <c r="AD6204" s="11"/>
      <c r="AE6204" s="11"/>
      <c r="AF6204" s="11"/>
      <c r="AG6204" s="10"/>
    </row>
    <row r="6205" spans="1:33">
      <c r="A6205" s="8"/>
      <c r="B6205" s="8"/>
      <c r="C6205" s="8"/>
      <c r="D6205" s="8"/>
      <c r="E6205" s="8"/>
      <c r="F6205" s="8"/>
      <c r="G6205" s="8"/>
      <c r="H6205" s="8"/>
      <c r="I6205" s="8"/>
      <c r="J6205" s="8"/>
      <c r="K6205" s="8"/>
      <c r="L6205" s="8"/>
      <c r="M6205" s="8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  <c r="AA6205" s="8"/>
      <c r="AB6205" s="8"/>
      <c r="AC6205" s="8"/>
      <c r="AD6205" s="11"/>
      <c r="AE6205" s="11"/>
      <c r="AF6205" s="11"/>
      <c r="AG6205" s="10"/>
    </row>
    <row r="6206" spans="1:33">
      <c r="A6206" s="8"/>
      <c r="B6206" s="8"/>
      <c r="C6206" s="8"/>
      <c r="D6206" s="8"/>
      <c r="E6206" s="8"/>
      <c r="F6206" s="8"/>
      <c r="G6206" s="8"/>
      <c r="H6206" s="8"/>
      <c r="I6206" s="8"/>
      <c r="J6206" s="8"/>
      <c r="K6206" s="8"/>
      <c r="L6206" s="8"/>
      <c r="M6206" s="8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  <c r="AA6206" s="8"/>
      <c r="AB6206" s="8"/>
      <c r="AC6206" s="8"/>
      <c r="AD6206" s="11"/>
      <c r="AE6206" s="11"/>
      <c r="AF6206" s="11"/>
      <c r="AG6206" s="10"/>
    </row>
    <row r="6207" spans="1:33">
      <c r="A6207" s="8"/>
      <c r="B6207" s="8"/>
      <c r="C6207" s="8"/>
      <c r="D6207" s="8"/>
      <c r="E6207" s="8"/>
      <c r="F6207" s="8"/>
      <c r="G6207" s="8"/>
      <c r="H6207" s="8"/>
      <c r="I6207" s="8"/>
      <c r="J6207" s="8"/>
      <c r="K6207" s="8"/>
      <c r="L6207" s="8"/>
      <c r="M6207" s="8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  <c r="AA6207" s="8"/>
      <c r="AB6207" s="8"/>
      <c r="AC6207" s="8"/>
      <c r="AD6207" s="11"/>
      <c r="AE6207" s="11"/>
      <c r="AF6207" s="11"/>
      <c r="AG6207" s="10"/>
    </row>
    <row r="6208" spans="1:33">
      <c r="A6208" s="8"/>
      <c r="B6208" s="8"/>
      <c r="C6208" s="8"/>
      <c r="D6208" s="8"/>
      <c r="E6208" s="8"/>
      <c r="F6208" s="8"/>
      <c r="G6208" s="8"/>
      <c r="H6208" s="8"/>
      <c r="I6208" s="8"/>
      <c r="J6208" s="8"/>
      <c r="K6208" s="8"/>
      <c r="L6208" s="8"/>
      <c r="M6208" s="8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  <c r="AA6208" s="8"/>
      <c r="AB6208" s="8"/>
      <c r="AC6208" s="8"/>
      <c r="AD6208" s="11"/>
      <c r="AE6208" s="11"/>
      <c r="AF6208" s="11"/>
      <c r="AG6208" s="10"/>
    </row>
    <row r="6209" spans="1:33">
      <c r="A6209" s="8"/>
      <c r="B6209" s="8"/>
      <c r="C6209" s="8"/>
      <c r="D6209" s="8"/>
      <c r="E6209" s="8"/>
      <c r="F6209" s="8"/>
      <c r="G6209" s="8"/>
      <c r="H6209" s="8"/>
      <c r="I6209" s="8"/>
      <c r="J6209" s="8"/>
      <c r="K6209" s="8"/>
      <c r="L6209" s="8"/>
      <c r="M6209" s="8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  <c r="AA6209" s="8"/>
      <c r="AB6209" s="8"/>
      <c r="AC6209" s="8"/>
      <c r="AD6209" s="11"/>
      <c r="AE6209" s="11"/>
      <c r="AF6209" s="11"/>
      <c r="AG6209" s="10"/>
    </row>
    <row r="6210" spans="1:33">
      <c r="A6210" s="8"/>
      <c r="B6210" s="8"/>
      <c r="C6210" s="8"/>
      <c r="D6210" s="8"/>
      <c r="E6210" s="8"/>
      <c r="F6210" s="8"/>
      <c r="G6210" s="8"/>
      <c r="H6210" s="8"/>
      <c r="I6210" s="8"/>
      <c r="J6210" s="8"/>
      <c r="K6210" s="8"/>
      <c r="L6210" s="8"/>
      <c r="M6210" s="8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  <c r="AA6210" s="8"/>
      <c r="AB6210" s="8"/>
      <c r="AC6210" s="8"/>
      <c r="AD6210" s="11"/>
      <c r="AE6210" s="11"/>
      <c r="AF6210" s="11"/>
      <c r="AG6210" s="10"/>
    </row>
    <row r="6211" spans="1:33">
      <c r="A6211" s="8"/>
      <c r="B6211" s="8"/>
      <c r="C6211" s="8"/>
      <c r="D6211" s="8"/>
      <c r="E6211" s="8"/>
      <c r="F6211" s="8"/>
      <c r="G6211" s="8"/>
      <c r="H6211" s="8"/>
      <c r="I6211" s="8"/>
      <c r="J6211" s="8"/>
      <c r="K6211" s="8"/>
      <c r="L6211" s="8"/>
      <c r="M6211" s="8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  <c r="AA6211" s="8"/>
      <c r="AB6211" s="8"/>
      <c r="AC6211" s="8"/>
      <c r="AD6211" s="11"/>
      <c r="AE6211" s="11"/>
      <c r="AF6211" s="11"/>
      <c r="AG6211" s="10"/>
    </row>
    <row r="6212" spans="1:33">
      <c r="A6212" s="8"/>
      <c r="B6212" s="8"/>
      <c r="C6212" s="8"/>
      <c r="D6212" s="8"/>
      <c r="E6212" s="8"/>
      <c r="F6212" s="8"/>
      <c r="G6212" s="8"/>
      <c r="H6212" s="8"/>
      <c r="I6212" s="8"/>
      <c r="J6212" s="8"/>
      <c r="K6212" s="8"/>
      <c r="L6212" s="8"/>
      <c r="M6212" s="8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  <c r="AA6212" s="8"/>
      <c r="AB6212" s="8"/>
      <c r="AC6212" s="8"/>
      <c r="AD6212" s="11"/>
      <c r="AE6212" s="11"/>
      <c r="AF6212" s="11"/>
      <c r="AG6212" s="10"/>
    </row>
    <row r="6213" spans="1:33">
      <c r="A6213" s="8"/>
      <c r="B6213" s="8"/>
      <c r="C6213" s="8"/>
      <c r="D6213" s="8"/>
      <c r="E6213" s="8"/>
      <c r="F6213" s="8"/>
      <c r="G6213" s="8"/>
      <c r="H6213" s="8"/>
      <c r="I6213" s="8"/>
      <c r="J6213" s="8"/>
      <c r="K6213" s="8"/>
      <c r="L6213" s="8"/>
      <c r="M6213" s="8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  <c r="AA6213" s="8"/>
      <c r="AB6213" s="8"/>
      <c r="AC6213" s="8"/>
      <c r="AD6213" s="11"/>
      <c r="AE6213" s="11"/>
      <c r="AF6213" s="11"/>
      <c r="AG6213" s="10"/>
    </row>
    <row r="6214" spans="1:33">
      <c r="A6214" s="8"/>
      <c r="B6214" s="8"/>
      <c r="C6214" s="8"/>
      <c r="D6214" s="8"/>
      <c r="E6214" s="8"/>
      <c r="F6214" s="8"/>
      <c r="G6214" s="8"/>
      <c r="H6214" s="8"/>
      <c r="I6214" s="8"/>
      <c r="J6214" s="8"/>
      <c r="K6214" s="8"/>
      <c r="L6214" s="8"/>
      <c r="M6214" s="8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  <c r="AA6214" s="8"/>
      <c r="AB6214" s="8"/>
      <c r="AC6214" s="8"/>
      <c r="AD6214" s="11"/>
      <c r="AE6214" s="11"/>
      <c r="AF6214" s="11"/>
      <c r="AG6214" s="10"/>
    </row>
    <row r="6215" spans="1:33">
      <c r="A6215" s="8"/>
      <c r="B6215" s="8"/>
      <c r="C6215" s="8"/>
      <c r="D6215" s="8"/>
      <c r="E6215" s="8"/>
      <c r="F6215" s="8"/>
      <c r="G6215" s="8"/>
      <c r="H6215" s="8"/>
      <c r="I6215" s="8"/>
      <c r="J6215" s="8"/>
      <c r="K6215" s="8"/>
      <c r="L6215" s="8"/>
      <c r="M6215" s="8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  <c r="AA6215" s="8"/>
      <c r="AB6215" s="8"/>
      <c r="AC6215" s="8"/>
      <c r="AD6215" s="11"/>
      <c r="AE6215" s="11"/>
      <c r="AF6215" s="11"/>
      <c r="AG6215" s="10"/>
    </row>
    <row r="6216" spans="1:33">
      <c r="A6216" s="8"/>
      <c r="B6216" s="8"/>
      <c r="C6216" s="8"/>
      <c r="D6216" s="8"/>
      <c r="E6216" s="8"/>
      <c r="F6216" s="8"/>
      <c r="G6216" s="8"/>
      <c r="H6216" s="8"/>
      <c r="I6216" s="8"/>
      <c r="J6216" s="8"/>
      <c r="K6216" s="8"/>
      <c r="L6216" s="8"/>
      <c r="M6216" s="8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  <c r="AA6216" s="8"/>
      <c r="AB6216" s="8"/>
      <c r="AC6216" s="8"/>
      <c r="AD6216" s="11"/>
      <c r="AE6216" s="11"/>
      <c r="AF6216" s="11"/>
      <c r="AG6216" s="10"/>
    </row>
    <row r="6217" spans="1:33">
      <c r="A6217" s="8"/>
      <c r="B6217" s="8"/>
      <c r="C6217" s="8"/>
      <c r="D6217" s="8"/>
      <c r="E6217" s="8"/>
      <c r="F6217" s="8"/>
      <c r="G6217" s="8"/>
      <c r="H6217" s="8"/>
      <c r="I6217" s="8"/>
      <c r="J6217" s="8"/>
      <c r="K6217" s="8"/>
      <c r="L6217" s="8"/>
      <c r="M6217" s="8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  <c r="AA6217" s="8"/>
      <c r="AB6217" s="8"/>
      <c r="AC6217" s="8"/>
      <c r="AD6217" s="11"/>
      <c r="AE6217" s="11"/>
      <c r="AF6217" s="11"/>
      <c r="AG6217" s="10"/>
    </row>
    <row r="6218" spans="1:33">
      <c r="A6218" s="8"/>
      <c r="B6218" s="8"/>
      <c r="C6218" s="8"/>
      <c r="D6218" s="8"/>
      <c r="E6218" s="8"/>
      <c r="F6218" s="8"/>
      <c r="G6218" s="8"/>
      <c r="H6218" s="8"/>
      <c r="I6218" s="8"/>
      <c r="J6218" s="8"/>
      <c r="K6218" s="8"/>
      <c r="L6218" s="8"/>
      <c r="M6218" s="8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  <c r="AA6218" s="8"/>
      <c r="AB6218" s="8"/>
      <c r="AC6218" s="8"/>
      <c r="AD6218" s="11"/>
      <c r="AE6218" s="11"/>
      <c r="AF6218" s="11"/>
      <c r="AG6218" s="10"/>
    </row>
    <row r="6219" spans="1:33">
      <c r="A6219" s="8"/>
      <c r="B6219" s="8"/>
      <c r="C6219" s="8"/>
      <c r="D6219" s="8"/>
      <c r="E6219" s="8"/>
      <c r="F6219" s="8"/>
      <c r="G6219" s="8"/>
      <c r="H6219" s="8"/>
      <c r="I6219" s="8"/>
      <c r="J6219" s="8"/>
      <c r="K6219" s="8"/>
      <c r="L6219" s="8"/>
      <c r="M6219" s="8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  <c r="AA6219" s="8"/>
      <c r="AB6219" s="8"/>
      <c r="AC6219" s="8"/>
      <c r="AD6219" s="11"/>
      <c r="AE6219" s="11"/>
      <c r="AF6219" s="11"/>
      <c r="AG6219" s="10"/>
    </row>
    <row r="6220" spans="1:33">
      <c r="A6220" s="8"/>
      <c r="B6220" s="8"/>
      <c r="C6220" s="8"/>
      <c r="D6220" s="8"/>
      <c r="E6220" s="8"/>
      <c r="F6220" s="8"/>
      <c r="G6220" s="8"/>
      <c r="H6220" s="8"/>
      <c r="I6220" s="8"/>
      <c r="J6220" s="8"/>
      <c r="K6220" s="8"/>
      <c r="L6220" s="8"/>
      <c r="M6220" s="8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  <c r="AA6220" s="8"/>
      <c r="AB6220" s="8"/>
      <c r="AC6220" s="8"/>
      <c r="AD6220" s="11"/>
      <c r="AE6220" s="11"/>
      <c r="AF6220" s="11"/>
      <c r="AG6220" s="10"/>
    </row>
    <row r="6221" spans="1:33">
      <c r="A6221" s="8"/>
      <c r="B6221" s="8"/>
      <c r="C6221" s="8"/>
      <c r="D6221" s="8"/>
      <c r="E6221" s="8"/>
      <c r="F6221" s="8"/>
      <c r="G6221" s="8"/>
      <c r="H6221" s="8"/>
      <c r="I6221" s="8"/>
      <c r="J6221" s="8"/>
      <c r="K6221" s="8"/>
      <c r="L6221" s="8"/>
      <c r="M6221" s="8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  <c r="AA6221" s="8"/>
      <c r="AB6221" s="8"/>
      <c r="AC6221" s="8"/>
      <c r="AD6221" s="11"/>
      <c r="AE6221" s="11"/>
      <c r="AF6221" s="11"/>
      <c r="AG6221" s="10"/>
    </row>
    <row r="6222" spans="1:33">
      <c r="A6222" s="8"/>
      <c r="B6222" s="8"/>
      <c r="C6222" s="8"/>
      <c r="D6222" s="8"/>
      <c r="E6222" s="8"/>
      <c r="F6222" s="8"/>
      <c r="G6222" s="8"/>
      <c r="H6222" s="8"/>
      <c r="I6222" s="8"/>
      <c r="J6222" s="8"/>
      <c r="K6222" s="8"/>
      <c r="L6222" s="8"/>
      <c r="M6222" s="8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  <c r="AA6222" s="8"/>
      <c r="AB6222" s="8"/>
      <c r="AC6222" s="8"/>
      <c r="AD6222" s="11"/>
      <c r="AE6222" s="11"/>
      <c r="AF6222" s="11"/>
      <c r="AG6222" s="10"/>
    </row>
    <row r="6223" spans="1:33">
      <c r="A6223" s="8"/>
      <c r="B6223" s="8"/>
      <c r="C6223" s="8"/>
      <c r="D6223" s="8"/>
      <c r="E6223" s="8"/>
      <c r="F6223" s="8"/>
      <c r="G6223" s="8"/>
      <c r="H6223" s="8"/>
      <c r="I6223" s="8"/>
      <c r="J6223" s="8"/>
      <c r="K6223" s="8"/>
      <c r="L6223" s="8"/>
      <c r="M6223" s="8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  <c r="AA6223" s="8"/>
      <c r="AB6223" s="8"/>
      <c r="AC6223" s="8"/>
      <c r="AD6223" s="11"/>
      <c r="AE6223" s="11"/>
      <c r="AF6223" s="11"/>
      <c r="AG6223" s="10"/>
    </row>
    <row r="6224" spans="1:33">
      <c r="A6224" s="8"/>
      <c r="B6224" s="8"/>
      <c r="C6224" s="8"/>
      <c r="D6224" s="8"/>
      <c r="E6224" s="8"/>
      <c r="F6224" s="8"/>
      <c r="G6224" s="8"/>
      <c r="H6224" s="8"/>
      <c r="I6224" s="8"/>
      <c r="J6224" s="8"/>
      <c r="K6224" s="8"/>
      <c r="L6224" s="8"/>
      <c r="M6224" s="8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  <c r="AA6224" s="8"/>
      <c r="AB6224" s="8"/>
      <c r="AC6224" s="8"/>
      <c r="AD6224" s="11"/>
      <c r="AE6224" s="11"/>
      <c r="AF6224" s="11"/>
      <c r="AG6224" s="10"/>
    </row>
    <row r="6225" spans="1:33">
      <c r="A6225" s="8"/>
      <c r="B6225" s="8"/>
      <c r="C6225" s="8"/>
      <c r="D6225" s="8"/>
      <c r="E6225" s="8"/>
      <c r="F6225" s="8"/>
      <c r="G6225" s="8"/>
      <c r="H6225" s="8"/>
      <c r="I6225" s="8"/>
      <c r="J6225" s="8"/>
      <c r="K6225" s="8"/>
      <c r="L6225" s="8"/>
      <c r="M6225" s="8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  <c r="AA6225" s="8"/>
      <c r="AB6225" s="8"/>
      <c r="AC6225" s="8"/>
      <c r="AD6225" s="11"/>
      <c r="AE6225" s="11"/>
      <c r="AF6225" s="11"/>
      <c r="AG6225" s="10"/>
    </row>
    <row r="6226" spans="1:33">
      <c r="A6226" s="8"/>
      <c r="B6226" s="8"/>
      <c r="C6226" s="8"/>
      <c r="D6226" s="8"/>
      <c r="E6226" s="8"/>
      <c r="F6226" s="8"/>
      <c r="G6226" s="8"/>
      <c r="H6226" s="8"/>
      <c r="I6226" s="8"/>
      <c r="J6226" s="8"/>
      <c r="K6226" s="8"/>
      <c r="L6226" s="8"/>
      <c r="M6226" s="8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  <c r="AA6226" s="8"/>
      <c r="AB6226" s="8"/>
      <c r="AC6226" s="8"/>
      <c r="AD6226" s="11"/>
      <c r="AE6226" s="11"/>
      <c r="AF6226" s="11"/>
      <c r="AG6226" s="10"/>
    </row>
    <row r="6227" spans="1:33">
      <c r="A6227" s="8"/>
      <c r="B6227" s="8"/>
      <c r="C6227" s="8"/>
      <c r="D6227" s="8"/>
      <c r="E6227" s="8"/>
      <c r="F6227" s="8"/>
      <c r="G6227" s="8"/>
      <c r="H6227" s="8"/>
      <c r="I6227" s="8"/>
      <c r="J6227" s="8"/>
      <c r="K6227" s="8"/>
      <c r="L6227" s="8"/>
      <c r="M6227" s="8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  <c r="AA6227" s="8"/>
      <c r="AB6227" s="8"/>
      <c r="AC6227" s="8"/>
      <c r="AD6227" s="11"/>
      <c r="AE6227" s="11"/>
      <c r="AF6227" s="11"/>
      <c r="AG6227" s="10"/>
    </row>
    <row r="6228" spans="1:33">
      <c r="A6228" s="8"/>
      <c r="B6228" s="8"/>
      <c r="C6228" s="8"/>
      <c r="D6228" s="8"/>
      <c r="E6228" s="8"/>
      <c r="F6228" s="8"/>
      <c r="G6228" s="8"/>
      <c r="H6228" s="8"/>
      <c r="I6228" s="8"/>
      <c r="J6228" s="8"/>
      <c r="K6228" s="8"/>
      <c r="L6228" s="8"/>
      <c r="M6228" s="8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  <c r="AA6228" s="8"/>
      <c r="AB6228" s="8"/>
      <c r="AC6228" s="8"/>
      <c r="AD6228" s="11"/>
      <c r="AE6228" s="11"/>
      <c r="AF6228" s="11"/>
      <c r="AG6228" s="10"/>
    </row>
    <row r="6229" spans="1:33">
      <c r="A6229" s="8"/>
      <c r="B6229" s="8"/>
      <c r="C6229" s="8"/>
      <c r="D6229" s="8"/>
      <c r="E6229" s="8"/>
      <c r="F6229" s="8"/>
      <c r="G6229" s="8"/>
      <c r="H6229" s="8"/>
      <c r="I6229" s="8"/>
      <c r="J6229" s="8"/>
      <c r="K6229" s="8"/>
      <c r="L6229" s="8"/>
      <c r="M6229" s="8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  <c r="AA6229" s="8"/>
      <c r="AB6229" s="8"/>
      <c r="AC6229" s="8"/>
      <c r="AD6229" s="11"/>
      <c r="AE6229" s="11"/>
      <c r="AF6229" s="11"/>
      <c r="AG6229" s="10"/>
    </row>
    <row r="6230" spans="1:33">
      <c r="A6230" s="8"/>
      <c r="B6230" s="8"/>
      <c r="C6230" s="8"/>
      <c r="D6230" s="8"/>
      <c r="E6230" s="8"/>
      <c r="F6230" s="8"/>
      <c r="G6230" s="8"/>
      <c r="H6230" s="8"/>
      <c r="I6230" s="8"/>
      <c r="J6230" s="8"/>
      <c r="K6230" s="8"/>
      <c r="L6230" s="8"/>
      <c r="M6230" s="8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  <c r="AA6230" s="8"/>
      <c r="AB6230" s="8"/>
      <c r="AC6230" s="8"/>
      <c r="AD6230" s="11"/>
      <c r="AE6230" s="11"/>
      <c r="AF6230" s="11"/>
      <c r="AG6230" s="10"/>
    </row>
    <row r="6231" spans="1:33">
      <c r="A6231" s="8"/>
      <c r="B6231" s="8"/>
      <c r="C6231" s="8"/>
      <c r="D6231" s="8"/>
      <c r="E6231" s="8"/>
      <c r="F6231" s="8"/>
      <c r="G6231" s="8"/>
      <c r="H6231" s="8"/>
      <c r="I6231" s="8"/>
      <c r="J6231" s="8"/>
      <c r="K6231" s="8"/>
      <c r="L6231" s="8"/>
      <c r="M6231" s="8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  <c r="AA6231" s="8"/>
      <c r="AB6231" s="8"/>
      <c r="AC6231" s="8"/>
      <c r="AD6231" s="11"/>
      <c r="AE6231" s="11"/>
      <c r="AF6231" s="11"/>
      <c r="AG6231" s="10"/>
    </row>
    <row r="6232" spans="1:33">
      <c r="A6232" s="8"/>
      <c r="B6232" s="8"/>
      <c r="C6232" s="8"/>
      <c r="D6232" s="8"/>
      <c r="E6232" s="8"/>
      <c r="F6232" s="8"/>
      <c r="G6232" s="8"/>
      <c r="H6232" s="8"/>
      <c r="I6232" s="8"/>
      <c r="J6232" s="8"/>
      <c r="K6232" s="8"/>
      <c r="L6232" s="8"/>
      <c r="M6232" s="8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  <c r="AA6232" s="8"/>
      <c r="AB6232" s="8"/>
      <c r="AC6232" s="8"/>
      <c r="AD6232" s="11"/>
      <c r="AE6232" s="11"/>
      <c r="AF6232" s="11"/>
      <c r="AG6232" s="10"/>
    </row>
    <row r="6233" spans="1:33">
      <c r="A6233" s="8"/>
      <c r="B6233" s="8"/>
      <c r="C6233" s="8"/>
      <c r="D6233" s="8"/>
      <c r="E6233" s="8"/>
      <c r="F6233" s="8"/>
      <c r="G6233" s="8"/>
      <c r="H6233" s="8"/>
      <c r="I6233" s="8"/>
      <c r="J6233" s="8"/>
      <c r="K6233" s="8"/>
      <c r="L6233" s="8"/>
      <c r="M6233" s="8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  <c r="AA6233" s="8"/>
      <c r="AB6233" s="8"/>
      <c r="AC6233" s="8"/>
      <c r="AD6233" s="11"/>
      <c r="AE6233" s="11"/>
      <c r="AF6233" s="11"/>
      <c r="AG6233" s="10"/>
    </row>
    <row r="6234" spans="1:33">
      <c r="A6234" s="8"/>
      <c r="B6234" s="8"/>
      <c r="C6234" s="8"/>
      <c r="D6234" s="8"/>
      <c r="E6234" s="8"/>
      <c r="F6234" s="8"/>
      <c r="G6234" s="8"/>
      <c r="H6234" s="8"/>
      <c r="I6234" s="8"/>
      <c r="J6234" s="8"/>
      <c r="K6234" s="8"/>
      <c r="L6234" s="8"/>
      <c r="M6234" s="8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  <c r="AA6234" s="8"/>
      <c r="AB6234" s="8"/>
      <c r="AC6234" s="8"/>
      <c r="AD6234" s="11"/>
      <c r="AE6234" s="11"/>
      <c r="AF6234" s="11"/>
      <c r="AG6234" s="10"/>
    </row>
    <row r="6235" spans="1:33">
      <c r="A6235" s="8"/>
      <c r="B6235" s="8"/>
      <c r="C6235" s="8"/>
      <c r="D6235" s="8"/>
      <c r="E6235" s="8"/>
      <c r="F6235" s="8"/>
      <c r="G6235" s="8"/>
      <c r="H6235" s="8"/>
      <c r="I6235" s="8"/>
      <c r="J6235" s="8"/>
      <c r="K6235" s="8"/>
      <c r="L6235" s="8"/>
      <c r="M6235" s="8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  <c r="AA6235" s="8"/>
      <c r="AB6235" s="8"/>
      <c r="AC6235" s="8"/>
      <c r="AD6235" s="11"/>
      <c r="AE6235" s="11"/>
      <c r="AF6235" s="11"/>
      <c r="AG6235" s="10"/>
    </row>
    <row r="6236" spans="1:33">
      <c r="A6236" s="8"/>
      <c r="B6236" s="8"/>
      <c r="C6236" s="8"/>
      <c r="D6236" s="8"/>
      <c r="E6236" s="8"/>
      <c r="F6236" s="8"/>
      <c r="G6236" s="8"/>
      <c r="H6236" s="8"/>
      <c r="I6236" s="8"/>
      <c r="J6236" s="8"/>
      <c r="K6236" s="8"/>
      <c r="L6236" s="8"/>
      <c r="M6236" s="8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  <c r="AA6236" s="8"/>
      <c r="AB6236" s="8"/>
      <c r="AC6236" s="8"/>
      <c r="AD6236" s="11"/>
      <c r="AE6236" s="11"/>
      <c r="AF6236" s="11"/>
      <c r="AG6236" s="10"/>
    </row>
    <row r="6237" spans="1:33">
      <c r="A6237" s="8"/>
      <c r="B6237" s="8"/>
      <c r="C6237" s="8"/>
      <c r="D6237" s="8"/>
      <c r="E6237" s="8"/>
      <c r="F6237" s="8"/>
      <c r="G6237" s="8"/>
      <c r="H6237" s="8"/>
      <c r="I6237" s="8"/>
      <c r="J6237" s="8"/>
      <c r="K6237" s="8"/>
      <c r="L6237" s="8"/>
      <c r="M6237" s="8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  <c r="AA6237" s="8"/>
      <c r="AB6237" s="8"/>
      <c r="AC6237" s="8"/>
      <c r="AD6237" s="11"/>
      <c r="AE6237" s="11"/>
      <c r="AF6237" s="11"/>
      <c r="AG6237" s="10"/>
    </row>
    <row r="6238" spans="1:33">
      <c r="A6238" s="8"/>
      <c r="B6238" s="8"/>
      <c r="C6238" s="8"/>
      <c r="D6238" s="8"/>
      <c r="E6238" s="8"/>
      <c r="F6238" s="8"/>
      <c r="G6238" s="8"/>
      <c r="H6238" s="8"/>
      <c r="I6238" s="8"/>
      <c r="J6238" s="8"/>
      <c r="K6238" s="8"/>
      <c r="L6238" s="8"/>
      <c r="M6238" s="8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  <c r="AA6238" s="8"/>
      <c r="AB6238" s="8"/>
      <c r="AC6238" s="8"/>
      <c r="AD6238" s="11"/>
      <c r="AE6238" s="11"/>
      <c r="AF6238" s="11"/>
      <c r="AG6238" s="10"/>
    </row>
    <row r="6239" spans="1:33">
      <c r="A6239" s="8"/>
      <c r="B6239" s="8"/>
      <c r="C6239" s="8"/>
      <c r="D6239" s="8"/>
      <c r="E6239" s="8"/>
      <c r="F6239" s="8"/>
      <c r="G6239" s="8"/>
      <c r="H6239" s="8"/>
      <c r="I6239" s="8"/>
      <c r="J6239" s="8"/>
      <c r="K6239" s="8"/>
      <c r="L6239" s="8"/>
      <c r="M6239" s="8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  <c r="AA6239" s="8"/>
      <c r="AB6239" s="8"/>
      <c r="AC6239" s="8"/>
      <c r="AD6239" s="11"/>
      <c r="AE6239" s="11"/>
      <c r="AF6239" s="11"/>
      <c r="AG6239" s="10"/>
    </row>
    <row r="6240" spans="1:33">
      <c r="A6240" s="8"/>
      <c r="B6240" s="8"/>
      <c r="C6240" s="8"/>
      <c r="D6240" s="8"/>
      <c r="E6240" s="8"/>
      <c r="F6240" s="8"/>
      <c r="G6240" s="8"/>
      <c r="H6240" s="8"/>
      <c r="I6240" s="8"/>
      <c r="J6240" s="8"/>
      <c r="K6240" s="8"/>
      <c r="L6240" s="8"/>
      <c r="M6240" s="8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  <c r="AA6240" s="8"/>
      <c r="AB6240" s="8"/>
      <c r="AC6240" s="8"/>
      <c r="AD6240" s="11"/>
      <c r="AE6240" s="11"/>
      <c r="AF6240" s="11"/>
      <c r="AG6240" s="10"/>
    </row>
    <row r="6241" spans="1:33">
      <c r="A6241" s="8"/>
      <c r="B6241" s="8"/>
      <c r="C6241" s="8"/>
      <c r="D6241" s="8"/>
      <c r="E6241" s="8"/>
      <c r="F6241" s="8"/>
      <c r="G6241" s="8"/>
      <c r="H6241" s="8"/>
      <c r="I6241" s="8"/>
      <c r="J6241" s="8"/>
      <c r="K6241" s="8"/>
      <c r="L6241" s="8"/>
      <c r="M6241" s="8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  <c r="AA6241" s="8"/>
      <c r="AB6241" s="8"/>
      <c r="AC6241" s="8"/>
      <c r="AD6241" s="11"/>
      <c r="AE6241" s="11"/>
      <c r="AF6241" s="11"/>
      <c r="AG6241" s="10"/>
    </row>
    <row r="6242" spans="1:33">
      <c r="A6242" s="8"/>
      <c r="B6242" s="8"/>
      <c r="C6242" s="8"/>
      <c r="D6242" s="8"/>
      <c r="E6242" s="8"/>
      <c r="F6242" s="8"/>
      <c r="G6242" s="8"/>
      <c r="H6242" s="8"/>
      <c r="I6242" s="8"/>
      <c r="J6242" s="8"/>
      <c r="K6242" s="8"/>
      <c r="L6242" s="8"/>
      <c r="M6242" s="8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  <c r="AA6242" s="8"/>
      <c r="AB6242" s="8"/>
      <c r="AC6242" s="8"/>
      <c r="AD6242" s="11"/>
      <c r="AE6242" s="11"/>
      <c r="AF6242" s="11"/>
      <c r="AG6242" s="10"/>
    </row>
    <row r="6243" spans="1:33">
      <c r="A6243" s="8"/>
      <c r="B6243" s="8"/>
      <c r="C6243" s="8"/>
      <c r="D6243" s="8"/>
      <c r="E6243" s="8"/>
      <c r="F6243" s="8"/>
      <c r="G6243" s="8"/>
      <c r="H6243" s="8"/>
      <c r="I6243" s="8"/>
      <c r="J6243" s="8"/>
      <c r="K6243" s="8"/>
      <c r="L6243" s="8"/>
      <c r="M6243" s="8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  <c r="AA6243" s="8"/>
      <c r="AB6243" s="8"/>
      <c r="AC6243" s="8"/>
      <c r="AD6243" s="11"/>
      <c r="AE6243" s="11"/>
      <c r="AF6243" s="11"/>
      <c r="AG6243" s="10"/>
    </row>
    <row r="6244" spans="1:33">
      <c r="A6244" s="8"/>
      <c r="B6244" s="8"/>
      <c r="C6244" s="8"/>
      <c r="D6244" s="8"/>
      <c r="E6244" s="8"/>
      <c r="F6244" s="8"/>
      <c r="G6244" s="8"/>
      <c r="H6244" s="8"/>
      <c r="I6244" s="8"/>
      <c r="J6244" s="8"/>
      <c r="K6244" s="8"/>
      <c r="L6244" s="8"/>
      <c r="M6244" s="8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  <c r="AA6244" s="8"/>
      <c r="AB6244" s="8"/>
      <c r="AC6244" s="8"/>
      <c r="AD6244" s="11"/>
      <c r="AE6244" s="11"/>
      <c r="AF6244" s="11"/>
      <c r="AG6244" s="10"/>
    </row>
    <row r="6245" spans="1:33">
      <c r="A6245" s="8"/>
      <c r="B6245" s="8"/>
      <c r="C6245" s="8"/>
      <c r="D6245" s="8"/>
      <c r="E6245" s="8"/>
      <c r="F6245" s="8"/>
      <c r="G6245" s="8"/>
      <c r="H6245" s="8"/>
      <c r="I6245" s="8"/>
      <c r="J6245" s="8"/>
      <c r="K6245" s="8"/>
      <c r="L6245" s="8"/>
      <c r="M6245" s="8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  <c r="AA6245" s="8"/>
      <c r="AB6245" s="8"/>
      <c r="AC6245" s="8"/>
      <c r="AD6245" s="11"/>
      <c r="AE6245" s="11"/>
      <c r="AF6245" s="11"/>
      <c r="AG6245" s="10"/>
    </row>
    <row r="6246" spans="1:33">
      <c r="A6246" s="8"/>
      <c r="B6246" s="8"/>
      <c r="C6246" s="8"/>
      <c r="D6246" s="8"/>
      <c r="E6246" s="8"/>
      <c r="F6246" s="8"/>
      <c r="G6246" s="8"/>
      <c r="H6246" s="8"/>
      <c r="I6246" s="8"/>
      <c r="J6246" s="8"/>
      <c r="K6246" s="8"/>
      <c r="L6246" s="8"/>
      <c r="M6246" s="8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  <c r="AA6246" s="8"/>
      <c r="AB6246" s="8"/>
      <c r="AC6246" s="8"/>
      <c r="AD6246" s="11"/>
      <c r="AE6246" s="11"/>
      <c r="AF6246" s="11"/>
      <c r="AG6246" s="10"/>
    </row>
    <row r="6247" spans="1:33">
      <c r="A6247" s="8"/>
      <c r="B6247" s="8"/>
      <c r="C6247" s="8"/>
      <c r="D6247" s="8"/>
      <c r="E6247" s="8"/>
      <c r="F6247" s="8"/>
      <c r="G6247" s="8"/>
      <c r="H6247" s="8"/>
      <c r="I6247" s="8"/>
      <c r="J6247" s="8"/>
      <c r="K6247" s="8"/>
      <c r="L6247" s="8"/>
      <c r="M6247" s="8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  <c r="AA6247" s="8"/>
      <c r="AB6247" s="8"/>
      <c r="AC6247" s="8"/>
      <c r="AD6247" s="11"/>
      <c r="AE6247" s="11"/>
      <c r="AF6247" s="11"/>
      <c r="AG6247" s="10"/>
    </row>
    <row r="6248" spans="1:33">
      <c r="A6248" s="8"/>
      <c r="B6248" s="8"/>
      <c r="C6248" s="8"/>
      <c r="D6248" s="8"/>
      <c r="E6248" s="8"/>
      <c r="F6248" s="8"/>
      <c r="G6248" s="8"/>
      <c r="H6248" s="8"/>
      <c r="I6248" s="8"/>
      <c r="J6248" s="8"/>
      <c r="K6248" s="8"/>
      <c r="L6248" s="8"/>
      <c r="M6248" s="8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  <c r="AA6248" s="8"/>
      <c r="AB6248" s="8"/>
      <c r="AC6248" s="8"/>
      <c r="AD6248" s="11"/>
      <c r="AE6248" s="11"/>
      <c r="AF6248" s="11"/>
      <c r="AG6248" s="10"/>
    </row>
    <row r="6249" spans="1:33">
      <c r="A6249" s="8"/>
      <c r="B6249" s="8"/>
      <c r="C6249" s="8"/>
      <c r="D6249" s="8"/>
      <c r="E6249" s="8"/>
      <c r="F6249" s="8"/>
      <c r="G6249" s="8"/>
      <c r="H6249" s="8"/>
      <c r="I6249" s="8"/>
      <c r="J6249" s="8"/>
      <c r="K6249" s="8"/>
      <c r="L6249" s="8"/>
      <c r="M6249" s="8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  <c r="AA6249" s="8"/>
      <c r="AB6249" s="8"/>
      <c r="AC6249" s="8"/>
      <c r="AD6249" s="11"/>
      <c r="AE6249" s="11"/>
      <c r="AF6249" s="11"/>
      <c r="AG6249" s="10"/>
    </row>
    <row r="6250" spans="1:33">
      <c r="A6250" s="8"/>
      <c r="B6250" s="8"/>
      <c r="C6250" s="8"/>
      <c r="D6250" s="8"/>
      <c r="E6250" s="8"/>
      <c r="F6250" s="8"/>
      <c r="G6250" s="8"/>
      <c r="H6250" s="8"/>
      <c r="I6250" s="8"/>
      <c r="J6250" s="8"/>
      <c r="K6250" s="8"/>
      <c r="L6250" s="8"/>
      <c r="M6250" s="8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  <c r="AA6250" s="8"/>
      <c r="AB6250" s="8"/>
      <c r="AC6250" s="8"/>
      <c r="AD6250" s="11"/>
      <c r="AE6250" s="11"/>
      <c r="AF6250" s="11"/>
      <c r="AG6250" s="10"/>
    </row>
    <row r="6251" spans="1:33">
      <c r="A6251" s="8"/>
      <c r="B6251" s="8"/>
      <c r="C6251" s="8"/>
      <c r="D6251" s="8"/>
      <c r="E6251" s="8"/>
      <c r="F6251" s="8"/>
      <c r="G6251" s="8"/>
      <c r="H6251" s="8"/>
      <c r="I6251" s="8"/>
      <c r="J6251" s="8"/>
      <c r="K6251" s="8"/>
      <c r="L6251" s="8"/>
      <c r="M6251" s="8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  <c r="AA6251" s="8"/>
      <c r="AB6251" s="8"/>
      <c r="AC6251" s="8"/>
      <c r="AD6251" s="11"/>
      <c r="AE6251" s="11"/>
      <c r="AF6251" s="11"/>
      <c r="AG6251" s="10"/>
    </row>
    <row r="6252" spans="1:33">
      <c r="A6252" s="8"/>
      <c r="B6252" s="8"/>
      <c r="C6252" s="8"/>
      <c r="D6252" s="8"/>
      <c r="E6252" s="8"/>
      <c r="F6252" s="8"/>
      <c r="G6252" s="8"/>
      <c r="H6252" s="8"/>
      <c r="I6252" s="8"/>
      <c r="J6252" s="8"/>
      <c r="K6252" s="8"/>
      <c r="L6252" s="8"/>
      <c r="M6252" s="8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  <c r="AA6252" s="8"/>
      <c r="AB6252" s="8"/>
      <c r="AC6252" s="8"/>
      <c r="AD6252" s="11"/>
      <c r="AE6252" s="11"/>
      <c r="AF6252" s="11"/>
      <c r="AG6252" s="10"/>
    </row>
    <row r="6253" spans="1:33">
      <c r="A6253" s="8"/>
      <c r="B6253" s="8"/>
      <c r="C6253" s="8"/>
      <c r="D6253" s="8"/>
      <c r="E6253" s="8"/>
      <c r="F6253" s="8"/>
      <c r="G6253" s="8"/>
      <c r="H6253" s="8"/>
      <c r="I6253" s="8"/>
      <c r="J6253" s="8"/>
      <c r="K6253" s="8"/>
      <c r="L6253" s="8"/>
      <c r="M6253" s="8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  <c r="AA6253" s="8"/>
      <c r="AB6253" s="8"/>
      <c r="AC6253" s="8"/>
      <c r="AD6253" s="11"/>
      <c r="AE6253" s="11"/>
      <c r="AF6253" s="11"/>
      <c r="AG6253" s="10"/>
    </row>
    <row r="6254" spans="1:33">
      <c r="A6254" s="8"/>
      <c r="B6254" s="8"/>
      <c r="C6254" s="8"/>
      <c r="D6254" s="8"/>
      <c r="E6254" s="8"/>
      <c r="F6254" s="8"/>
      <c r="G6254" s="8"/>
      <c r="H6254" s="8"/>
      <c r="I6254" s="8"/>
      <c r="J6254" s="8"/>
      <c r="K6254" s="8"/>
      <c r="L6254" s="8"/>
      <c r="M6254" s="8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  <c r="AA6254" s="8"/>
      <c r="AB6254" s="8"/>
      <c r="AC6254" s="8"/>
      <c r="AD6254" s="11"/>
      <c r="AE6254" s="11"/>
      <c r="AF6254" s="11"/>
      <c r="AG6254" s="10"/>
    </row>
    <row r="6255" spans="1:33">
      <c r="A6255" s="8"/>
      <c r="B6255" s="8"/>
      <c r="C6255" s="8"/>
      <c r="D6255" s="8"/>
      <c r="E6255" s="8"/>
      <c r="F6255" s="8"/>
      <c r="G6255" s="8"/>
      <c r="H6255" s="8"/>
      <c r="I6255" s="8"/>
      <c r="J6255" s="8"/>
      <c r="K6255" s="8"/>
      <c r="L6255" s="8"/>
      <c r="M6255" s="8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  <c r="AA6255" s="8"/>
      <c r="AB6255" s="8"/>
      <c r="AC6255" s="8"/>
      <c r="AD6255" s="11"/>
      <c r="AE6255" s="11"/>
      <c r="AF6255" s="11"/>
      <c r="AG6255" s="10"/>
    </row>
    <row r="6256" spans="1:33">
      <c r="A6256" s="8"/>
      <c r="B6256" s="8"/>
      <c r="C6256" s="8"/>
      <c r="D6256" s="8"/>
      <c r="E6256" s="8"/>
      <c r="F6256" s="8"/>
      <c r="G6256" s="8"/>
      <c r="H6256" s="8"/>
      <c r="I6256" s="8"/>
      <c r="J6256" s="8"/>
      <c r="K6256" s="8"/>
      <c r="L6256" s="8"/>
      <c r="M6256" s="8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  <c r="AA6256" s="8"/>
      <c r="AB6256" s="8"/>
      <c r="AC6256" s="8"/>
      <c r="AD6256" s="11"/>
      <c r="AE6256" s="11"/>
      <c r="AF6256" s="11"/>
      <c r="AG6256" s="10"/>
    </row>
    <row r="6257" spans="1:33">
      <c r="A6257" s="8"/>
      <c r="B6257" s="8"/>
      <c r="C6257" s="8"/>
      <c r="D6257" s="8"/>
      <c r="E6257" s="8"/>
      <c r="F6257" s="8"/>
      <c r="G6257" s="8"/>
      <c r="H6257" s="8"/>
      <c r="I6257" s="8"/>
      <c r="J6257" s="8"/>
      <c r="K6257" s="8"/>
      <c r="L6257" s="8"/>
      <c r="M6257" s="8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  <c r="AA6257" s="8"/>
      <c r="AB6257" s="8"/>
      <c r="AC6257" s="8"/>
      <c r="AD6257" s="11"/>
      <c r="AE6257" s="11"/>
      <c r="AF6257" s="11"/>
      <c r="AG6257" s="10"/>
    </row>
    <row r="6258" spans="1:33">
      <c r="A6258" s="8"/>
      <c r="B6258" s="8"/>
      <c r="C6258" s="8"/>
      <c r="D6258" s="8"/>
      <c r="E6258" s="8"/>
      <c r="F6258" s="8"/>
      <c r="G6258" s="8"/>
      <c r="H6258" s="8"/>
      <c r="I6258" s="8"/>
      <c r="J6258" s="8"/>
      <c r="K6258" s="8"/>
      <c r="L6258" s="8"/>
      <c r="M6258" s="8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  <c r="AA6258" s="8"/>
      <c r="AB6258" s="8"/>
      <c r="AC6258" s="8"/>
      <c r="AD6258" s="11"/>
      <c r="AE6258" s="11"/>
      <c r="AF6258" s="11"/>
      <c r="AG6258" s="10"/>
    </row>
    <row r="6259" spans="1:33">
      <c r="A6259" s="8"/>
      <c r="B6259" s="8"/>
      <c r="C6259" s="8"/>
      <c r="D6259" s="8"/>
      <c r="E6259" s="8"/>
      <c r="F6259" s="8"/>
      <c r="G6259" s="8"/>
      <c r="H6259" s="8"/>
      <c r="I6259" s="8"/>
      <c r="J6259" s="8"/>
      <c r="K6259" s="8"/>
      <c r="L6259" s="8"/>
      <c r="M6259" s="8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  <c r="AA6259" s="8"/>
      <c r="AB6259" s="8"/>
      <c r="AC6259" s="8"/>
      <c r="AD6259" s="11"/>
      <c r="AE6259" s="11"/>
      <c r="AF6259" s="11"/>
      <c r="AG6259" s="10"/>
    </row>
    <row r="6260" spans="1:33">
      <c r="A6260" s="8"/>
      <c r="B6260" s="8"/>
      <c r="C6260" s="8"/>
      <c r="D6260" s="8"/>
      <c r="E6260" s="8"/>
      <c r="F6260" s="8"/>
      <c r="G6260" s="8"/>
      <c r="H6260" s="8"/>
      <c r="I6260" s="8"/>
      <c r="J6260" s="8"/>
      <c r="K6260" s="8"/>
      <c r="L6260" s="8"/>
      <c r="M6260" s="8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  <c r="AA6260" s="8"/>
      <c r="AB6260" s="8"/>
      <c r="AC6260" s="8"/>
      <c r="AD6260" s="11"/>
      <c r="AE6260" s="11"/>
      <c r="AF6260" s="11"/>
      <c r="AG6260" s="10"/>
    </row>
    <row r="6261" spans="1:33">
      <c r="A6261" s="8"/>
      <c r="B6261" s="8"/>
      <c r="C6261" s="8"/>
      <c r="D6261" s="8"/>
      <c r="E6261" s="8"/>
      <c r="F6261" s="8"/>
      <c r="G6261" s="8"/>
      <c r="H6261" s="8"/>
      <c r="I6261" s="8"/>
      <c r="J6261" s="8"/>
      <c r="K6261" s="8"/>
      <c r="L6261" s="8"/>
      <c r="M6261" s="8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  <c r="AA6261" s="8"/>
      <c r="AB6261" s="8"/>
      <c r="AC6261" s="8"/>
      <c r="AD6261" s="11"/>
      <c r="AE6261" s="11"/>
      <c r="AF6261" s="11"/>
      <c r="AG6261" s="10"/>
    </row>
    <row r="6262" spans="1:33">
      <c r="A6262" s="8"/>
      <c r="B6262" s="8"/>
      <c r="C6262" s="8"/>
      <c r="D6262" s="8"/>
      <c r="E6262" s="8"/>
      <c r="F6262" s="8"/>
      <c r="G6262" s="8"/>
      <c r="H6262" s="8"/>
      <c r="I6262" s="8"/>
      <c r="J6262" s="8"/>
      <c r="K6262" s="8"/>
      <c r="L6262" s="8"/>
      <c r="M6262" s="8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  <c r="AA6262" s="8"/>
      <c r="AB6262" s="8"/>
      <c r="AC6262" s="8"/>
      <c r="AD6262" s="11"/>
      <c r="AE6262" s="11"/>
      <c r="AF6262" s="11"/>
      <c r="AG6262" s="10"/>
    </row>
    <row r="6263" spans="1:33">
      <c r="A6263" s="8"/>
      <c r="B6263" s="8"/>
      <c r="C6263" s="8"/>
      <c r="D6263" s="8"/>
      <c r="E6263" s="8"/>
      <c r="F6263" s="8"/>
      <c r="G6263" s="8"/>
      <c r="H6263" s="8"/>
      <c r="I6263" s="8"/>
      <c r="J6263" s="8"/>
      <c r="K6263" s="8"/>
      <c r="L6263" s="8"/>
      <c r="M6263" s="8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  <c r="AA6263" s="8"/>
      <c r="AB6263" s="8"/>
      <c r="AC6263" s="8"/>
      <c r="AD6263" s="11"/>
      <c r="AE6263" s="11"/>
      <c r="AF6263" s="11"/>
      <c r="AG6263" s="10"/>
    </row>
    <row r="6264" spans="1:33">
      <c r="A6264" s="8"/>
      <c r="B6264" s="8"/>
      <c r="C6264" s="8"/>
      <c r="D6264" s="8"/>
      <c r="E6264" s="8"/>
      <c r="F6264" s="8"/>
      <c r="G6264" s="8"/>
      <c r="H6264" s="8"/>
      <c r="I6264" s="8"/>
      <c r="J6264" s="8"/>
      <c r="K6264" s="8"/>
      <c r="L6264" s="8"/>
      <c r="M6264" s="8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  <c r="AA6264" s="8"/>
      <c r="AB6264" s="8"/>
      <c r="AC6264" s="8"/>
      <c r="AD6264" s="11"/>
      <c r="AE6264" s="11"/>
      <c r="AF6264" s="11"/>
      <c r="AG6264" s="10"/>
    </row>
    <row r="6265" spans="1:33">
      <c r="A6265" s="8"/>
      <c r="B6265" s="8"/>
      <c r="C6265" s="8"/>
      <c r="D6265" s="8"/>
      <c r="E6265" s="8"/>
      <c r="F6265" s="8"/>
      <c r="G6265" s="8"/>
      <c r="H6265" s="8"/>
      <c r="I6265" s="8"/>
      <c r="J6265" s="8"/>
      <c r="K6265" s="8"/>
      <c r="L6265" s="8"/>
      <c r="M6265" s="8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  <c r="AA6265" s="8"/>
      <c r="AB6265" s="8"/>
      <c r="AC6265" s="8"/>
      <c r="AD6265" s="11"/>
      <c r="AE6265" s="11"/>
      <c r="AF6265" s="11"/>
      <c r="AG6265" s="10"/>
    </row>
    <row r="6266" spans="1:33">
      <c r="A6266" s="8"/>
      <c r="B6266" s="8"/>
      <c r="C6266" s="8"/>
      <c r="D6266" s="8"/>
      <c r="E6266" s="8"/>
      <c r="F6266" s="8"/>
      <c r="G6266" s="8"/>
      <c r="H6266" s="8"/>
      <c r="I6266" s="8"/>
      <c r="J6266" s="8"/>
      <c r="K6266" s="8"/>
      <c r="L6266" s="8"/>
      <c r="M6266" s="8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  <c r="AA6266" s="8"/>
      <c r="AB6266" s="8"/>
      <c r="AC6266" s="8"/>
      <c r="AD6266" s="11"/>
      <c r="AE6266" s="11"/>
      <c r="AF6266" s="11"/>
      <c r="AG6266" s="10"/>
    </row>
    <row r="6267" spans="1:33">
      <c r="A6267" s="8"/>
      <c r="B6267" s="8"/>
      <c r="C6267" s="8"/>
      <c r="D6267" s="8"/>
      <c r="E6267" s="8"/>
      <c r="F6267" s="8"/>
      <c r="G6267" s="8"/>
      <c r="H6267" s="8"/>
      <c r="I6267" s="8"/>
      <c r="J6267" s="8"/>
      <c r="K6267" s="8"/>
      <c r="L6267" s="8"/>
      <c r="M6267" s="8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  <c r="AA6267" s="8"/>
      <c r="AB6267" s="8"/>
      <c r="AC6267" s="8"/>
      <c r="AD6267" s="11"/>
      <c r="AE6267" s="11"/>
      <c r="AF6267" s="11"/>
      <c r="AG6267" s="10"/>
    </row>
    <row r="6268" spans="1:33">
      <c r="A6268" s="8"/>
      <c r="B6268" s="8"/>
      <c r="C6268" s="8"/>
      <c r="D6268" s="8"/>
      <c r="E6268" s="8"/>
      <c r="F6268" s="8"/>
      <c r="G6268" s="8"/>
      <c r="H6268" s="8"/>
      <c r="I6268" s="8"/>
      <c r="J6268" s="8"/>
      <c r="K6268" s="8"/>
      <c r="L6268" s="8"/>
      <c r="M6268" s="8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  <c r="AA6268" s="8"/>
      <c r="AB6268" s="8"/>
      <c r="AC6268" s="8"/>
      <c r="AD6268" s="11"/>
      <c r="AE6268" s="11"/>
      <c r="AF6268" s="11"/>
      <c r="AG6268" s="10"/>
    </row>
    <row r="6269" spans="1:33">
      <c r="A6269" s="8"/>
      <c r="B6269" s="8"/>
      <c r="C6269" s="8"/>
      <c r="D6269" s="8"/>
      <c r="E6269" s="8"/>
      <c r="F6269" s="8"/>
      <c r="G6269" s="8"/>
      <c r="H6269" s="8"/>
      <c r="I6269" s="8"/>
      <c r="J6269" s="8"/>
      <c r="K6269" s="8"/>
      <c r="L6269" s="8"/>
      <c r="M6269" s="8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  <c r="AA6269" s="8"/>
      <c r="AB6269" s="8"/>
      <c r="AC6269" s="8"/>
      <c r="AD6269" s="11"/>
      <c r="AE6269" s="11"/>
      <c r="AF6269" s="11"/>
      <c r="AG6269" s="10"/>
    </row>
    <row r="6270" spans="1:33">
      <c r="A6270" s="8"/>
      <c r="B6270" s="8"/>
      <c r="C6270" s="8"/>
      <c r="D6270" s="8"/>
      <c r="E6270" s="8"/>
      <c r="F6270" s="8"/>
      <c r="G6270" s="8"/>
      <c r="H6270" s="8"/>
      <c r="I6270" s="8"/>
      <c r="J6270" s="8"/>
      <c r="K6270" s="8"/>
      <c r="L6270" s="8"/>
      <c r="M6270" s="8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  <c r="AA6270" s="8"/>
      <c r="AB6270" s="8"/>
      <c r="AC6270" s="8"/>
      <c r="AD6270" s="11"/>
      <c r="AE6270" s="11"/>
      <c r="AF6270" s="11"/>
      <c r="AG6270" s="10"/>
    </row>
    <row r="6271" spans="1:33">
      <c r="A6271" s="8"/>
      <c r="B6271" s="8"/>
      <c r="C6271" s="8"/>
      <c r="D6271" s="8"/>
      <c r="E6271" s="8"/>
      <c r="F6271" s="8"/>
      <c r="G6271" s="8"/>
      <c r="H6271" s="8"/>
      <c r="I6271" s="8"/>
      <c r="J6271" s="8"/>
      <c r="K6271" s="8"/>
      <c r="L6271" s="8"/>
      <c r="M6271" s="8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  <c r="AA6271" s="8"/>
      <c r="AB6271" s="8"/>
      <c r="AC6271" s="8"/>
      <c r="AD6271" s="11"/>
      <c r="AE6271" s="11"/>
      <c r="AF6271" s="11"/>
      <c r="AG6271" s="10"/>
    </row>
    <row r="6272" spans="1:33">
      <c r="A6272" s="8"/>
      <c r="B6272" s="8"/>
      <c r="C6272" s="8"/>
      <c r="D6272" s="8"/>
      <c r="E6272" s="8"/>
      <c r="F6272" s="8"/>
      <c r="G6272" s="8"/>
      <c r="H6272" s="8"/>
      <c r="I6272" s="8"/>
      <c r="J6272" s="8"/>
      <c r="K6272" s="8"/>
      <c r="L6272" s="8"/>
      <c r="M6272" s="8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  <c r="AA6272" s="8"/>
      <c r="AB6272" s="8"/>
      <c r="AC6272" s="8"/>
      <c r="AD6272" s="11"/>
      <c r="AE6272" s="11"/>
      <c r="AF6272" s="11"/>
      <c r="AG6272" s="10"/>
    </row>
    <row r="6273" spans="1:33">
      <c r="A6273" s="8"/>
      <c r="B6273" s="8"/>
      <c r="C6273" s="8"/>
      <c r="D6273" s="8"/>
      <c r="E6273" s="8"/>
      <c r="F6273" s="8"/>
      <c r="G6273" s="8"/>
      <c r="H6273" s="8"/>
      <c r="I6273" s="8"/>
      <c r="J6273" s="8"/>
      <c r="K6273" s="8"/>
      <c r="L6273" s="8"/>
      <c r="M6273" s="8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  <c r="AA6273" s="8"/>
      <c r="AB6273" s="8"/>
      <c r="AC6273" s="8"/>
      <c r="AD6273" s="11"/>
      <c r="AE6273" s="11"/>
      <c r="AF6273" s="11"/>
      <c r="AG6273" s="10"/>
    </row>
    <row r="6274" spans="1:33">
      <c r="A6274" s="8"/>
      <c r="B6274" s="8"/>
      <c r="C6274" s="8"/>
      <c r="D6274" s="8"/>
      <c r="E6274" s="8"/>
      <c r="F6274" s="8"/>
      <c r="G6274" s="8"/>
      <c r="H6274" s="8"/>
      <c r="I6274" s="8"/>
      <c r="J6274" s="8"/>
      <c r="K6274" s="8"/>
      <c r="L6274" s="8"/>
      <c r="M6274" s="8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  <c r="AA6274" s="8"/>
      <c r="AB6274" s="8"/>
      <c r="AC6274" s="8"/>
      <c r="AD6274" s="11"/>
      <c r="AE6274" s="11"/>
      <c r="AF6274" s="11"/>
      <c r="AG6274" s="10"/>
    </row>
    <row r="6275" spans="1:33">
      <c r="A6275" s="8"/>
      <c r="B6275" s="8"/>
      <c r="C6275" s="8"/>
      <c r="D6275" s="8"/>
      <c r="E6275" s="8"/>
      <c r="F6275" s="8"/>
      <c r="G6275" s="8"/>
      <c r="H6275" s="8"/>
      <c r="I6275" s="8"/>
      <c r="J6275" s="8"/>
      <c r="K6275" s="8"/>
      <c r="L6275" s="8"/>
      <c r="M6275" s="8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  <c r="AA6275" s="8"/>
      <c r="AB6275" s="8"/>
      <c r="AC6275" s="8"/>
      <c r="AD6275" s="11"/>
      <c r="AE6275" s="11"/>
      <c r="AF6275" s="11"/>
      <c r="AG6275" s="10"/>
    </row>
    <row r="6276" spans="1:33">
      <c r="A6276" s="8"/>
      <c r="B6276" s="8"/>
      <c r="C6276" s="8"/>
      <c r="D6276" s="8"/>
      <c r="E6276" s="8"/>
      <c r="F6276" s="8"/>
      <c r="G6276" s="8"/>
      <c r="H6276" s="8"/>
      <c r="I6276" s="8"/>
      <c r="J6276" s="8"/>
      <c r="K6276" s="8"/>
      <c r="L6276" s="8"/>
      <c r="M6276" s="8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  <c r="AA6276" s="8"/>
      <c r="AB6276" s="8"/>
      <c r="AC6276" s="8"/>
      <c r="AD6276" s="11"/>
      <c r="AE6276" s="11"/>
      <c r="AF6276" s="11"/>
      <c r="AG6276" s="10"/>
    </row>
    <row r="6277" spans="1:33">
      <c r="A6277" s="8"/>
      <c r="B6277" s="8"/>
      <c r="C6277" s="8"/>
      <c r="D6277" s="8"/>
      <c r="E6277" s="8"/>
      <c r="F6277" s="8"/>
      <c r="G6277" s="8"/>
      <c r="H6277" s="8"/>
      <c r="I6277" s="8"/>
      <c r="J6277" s="8"/>
      <c r="K6277" s="8"/>
      <c r="L6277" s="8"/>
      <c r="M6277" s="8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  <c r="AA6277" s="8"/>
      <c r="AB6277" s="8"/>
      <c r="AC6277" s="8"/>
      <c r="AD6277" s="11"/>
      <c r="AE6277" s="11"/>
      <c r="AF6277" s="11"/>
      <c r="AG6277" s="10"/>
    </row>
    <row r="6278" spans="1:33">
      <c r="A6278" s="8"/>
      <c r="B6278" s="8"/>
      <c r="C6278" s="8"/>
      <c r="D6278" s="8"/>
      <c r="E6278" s="8"/>
      <c r="F6278" s="8"/>
      <c r="G6278" s="8"/>
      <c r="H6278" s="8"/>
      <c r="I6278" s="8"/>
      <c r="J6278" s="8"/>
      <c r="K6278" s="8"/>
      <c r="L6278" s="8"/>
      <c r="M6278" s="8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  <c r="AA6278" s="8"/>
      <c r="AB6278" s="8"/>
      <c r="AC6278" s="8"/>
      <c r="AD6278" s="11"/>
      <c r="AE6278" s="11"/>
      <c r="AF6278" s="11"/>
      <c r="AG6278" s="10"/>
    </row>
    <row r="6279" spans="1:33">
      <c r="A6279" s="8"/>
      <c r="B6279" s="8"/>
      <c r="C6279" s="8"/>
      <c r="D6279" s="8"/>
      <c r="E6279" s="8"/>
      <c r="F6279" s="8"/>
      <c r="G6279" s="8"/>
      <c r="H6279" s="8"/>
      <c r="I6279" s="8"/>
      <c r="J6279" s="8"/>
      <c r="K6279" s="8"/>
      <c r="L6279" s="8"/>
      <c r="M6279" s="8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  <c r="AA6279" s="8"/>
      <c r="AB6279" s="8"/>
      <c r="AC6279" s="8"/>
      <c r="AD6279" s="11"/>
      <c r="AE6279" s="11"/>
      <c r="AF6279" s="11"/>
      <c r="AG6279" s="10"/>
    </row>
    <row r="6280" spans="1:33">
      <c r="A6280" s="8"/>
      <c r="B6280" s="8"/>
      <c r="C6280" s="8"/>
      <c r="D6280" s="8"/>
      <c r="E6280" s="8"/>
      <c r="F6280" s="8"/>
      <c r="G6280" s="8"/>
      <c r="H6280" s="8"/>
      <c r="I6280" s="8"/>
      <c r="J6280" s="8"/>
      <c r="K6280" s="8"/>
      <c r="L6280" s="8"/>
      <c r="M6280" s="8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  <c r="AA6280" s="8"/>
      <c r="AB6280" s="8"/>
      <c r="AC6280" s="8"/>
      <c r="AD6280" s="11"/>
      <c r="AE6280" s="11"/>
      <c r="AF6280" s="11"/>
      <c r="AG6280" s="10"/>
    </row>
    <row r="6281" spans="1:33">
      <c r="A6281" s="8"/>
      <c r="B6281" s="8"/>
      <c r="C6281" s="8"/>
      <c r="D6281" s="8"/>
      <c r="E6281" s="8"/>
      <c r="F6281" s="8"/>
      <c r="G6281" s="8"/>
      <c r="H6281" s="8"/>
      <c r="I6281" s="8"/>
      <c r="J6281" s="8"/>
      <c r="K6281" s="8"/>
      <c r="L6281" s="8"/>
      <c r="M6281" s="8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  <c r="AA6281" s="8"/>
      <c r="AB6281" s="8"/>
      <c r="AC6281" s="8"/>
      <c r="AD6281" s="11"/>
      <c r="AE6281" s="11"/>
      <c r="AF6281" s="11"/>
      <c r="AG6281" s="10"/>
    </row>
    <row r="6282" spans="1:33">
      <c r="A6282" s="8"/>
      <c r="B6282" s="8"/>
      <c r="C6282" s="8"/>
      <c r="D6282" s="8"/>
      <c r="E6282" s="8"/>
      <c r="F6282" s="8"/>
      <c r="G6282" s="8"/>
      <c r="H6282" s="8"/>
      <c r="I6282" s="8"/>
      <c r="J6282" s="8"/>
      <c r="K6282" s="8"/>
      <c r="L6282" s="8"/>
      <c r="M6282" s="8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  <c r="AA6282" s="8"/>
      <c r="AB6282" s="8"/>
      <c r="AC6282" s="8"/>
      <c r="AD6282" s="11"/>
      <c r="AE6282" s="11"/>
      <c r="AF6282" s="11"/>
      <c r="AG6282" s="10"/>
    </row>
    <row r="6283" spans="1:33">
      <c r="A6283" s="8"/>
      <c r="B6283" s="8"/>
      <c r="C6283" s="8"/>
      <c r="D6283" s="8"/>
      <c r="E6283" s="8"/>
      <c r="F6283" s="8"/>
      <c r="G6283" s="8"/>
      <c r="H6283" s="8"/>
      <c r="I6283" s="8"/>
      <c r="J6283" s="8"/>
      <c r="K6283" s="8"/>
      <c r="L6283" s="8"/>
      <c r="M6283" s="8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  <c r="AA6283" s="8"/>
      <c r="AB6283" s="8"/>
      <c r="AC6283" s="8"/>
      <c r="AD6283" s="11"/>
      <c r="AE6283" s="11"/>
      <c r="AF6283" s="11"/>
      <c r="AG6283" s="10"/>
    </row>
    <row r="6284" spans="1:33">
      <c r="A6284" s="8"/>
      <c r="B6284" s="8"/>
      <c r="C6284" s="8"/>
      <c r="D6284" s="8"/>
      <c r="E6284" s="8"/>
      <c r="F6284" s="8"/>
      <c r="G6284" s="8"/>
      <c r="H6284" s="8"/>
      <c r="I6284" s="8"/>
      <c r="J6284" s="8"/>
      <c r="K6284" s="8"/>
      <c r="L6284" s="8"/>
      <c r="M6284" s="8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  <c r="AA6284" s="8"/>
      <c r="AB6284" s="8"/>
      <c r="AC6284" s="8"/>
      <c r="AD6284" s="11"/>
      <c r="AE6284" s="11"/>
      <c r="AF6284" s="11"/>
      <c r="AG6284" s="10"/>
    </row>
    <row r="6285" spans="1:33">
      <c r="A6285" s="8"/>
      <c r="B6285" s="8"/>
      <c r="C6285" s="8"/>
      <c r="D6285" s="8"/>
      <c r="E6285" s="8"/>
      <c r="F6285" s="8"/>
      <c r="G6285" s="8"/>
      <c r="H6285" s="8"/>
      <c r="I6285" s="8"/>
      <c r="J6285" s="8"/>
      <c r="K6285" s="8"/>
      <c r="L6285" s="8"/>
      <c r="M6285" s="8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  <c r="AA6285" s="8"/>
      <c r="AB6285" s="8"/>
      <c r="AC6285" s="8"/>
      <c r="AD6285" s="11"/>
      <c r="AE6285" s="11"/>
      <c r="AF6285" s="11"/>
      <c r="AG6285" s="10"/>
    </row>
    <row r="6286" spans="1:33">
      <c r="A6286" s="8"/>
      <c r="B6286" s="8"/>
      <c r="C6286" s="8"/>
      <c r="D6286" s="8"/>
      <c r="E6286" s="8"/>
      <c r="F6286" s="8"/>
      <c r="G6286" s="8"/>
      <c r="H6286" s="8"/>
      <c r="I6286" s="8"/>
      <c r="J6286" s="8"/>
      <c r="K6286" s="8"/>
      <c r="L6286" s="8"/>
      <c r="M6286" s="8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  <c r="AA6286" s="8"/>
      <c r="AB6286" s="8"/>
      <c r="AC6286" s="8"/>
      <c r="AD6286" s="11"/>
      <c r="AE6286" s="11"/>
      <c r="AF6286" s="11"/>
      <c r="AG6286" s="10"/>
    </row>
    <row r="6287" spans="1:33">
      <c r="A6287" s="8"/>
      <c r="B6287" s="8"/>
      <c r="C6287" s="8"/>
      <c r="D6287" s="8"/>
      <c r="E6287" s="8"/>
      <c r="F6287" s="8"/>
      <c r="G6287" s="8"/>
      <c r="H6287" s="8"/>
      <c r="I6287" s="8"/>
      <c r="J6287" s="8"/>
      <c r="K6287" s="8"/>
      <c r="L6287" s="8"/>
      <c r="M6287" s="8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  <c r="AA6287" s="8"/>
      <c r="AB6287" s="8"/>
      <c r="AC6287" s="8"/>
      <c r="AD6287" s="11"/>
      <c r="AE6287" s="11"/>
      <c r="AF6287" s="11"/>
      <c r="AG6287" s="10"/>
    </row>
    <row r="6288" spans="1:33">
      <c r="A6288" s="8"/>
      <c r="B6288" s="8"/>
      <c r="C6288" s="8"/>
      <c r="D6288" s="8"/>
      <c r="E6288" s="8"/>
      <c r="F6288" s="8"/>
      <c r="G6288" s="8"/>
      <c r="H6288" s="8"/>
      <c r="I6288" s="8"/>
      <c r="J6288" s="8"/>
      <c r="K6288" s="8"/>
      <c r="L6288" s="8"/>
      <c r="M6288" s="8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  <c r="AA6288" s="8"/>
      <c r="AB6288" s="8"/>
      <c r="AC6288" s="8"/>
      <c r="AD6288" s="11"/>
      <c r="AE6288" s="11"/>
      <c r="AF6288" s="11"/>
      <c r="AG6288" s="10"/>
    </row>
    <row r="6289" spans="1:33">
      <c r="A6289" s="8"/>
      <c r="B6289" s="8"/>
      <c r="C6289" s="8"/>
      <c r="D6289" s="8"/>
      <c r="E6289" s="8"/>
      <c r="F6289" s="8"/>
      <c r="G6289" s="8"/>
      <c r="H6289" s="8"/>
      <c r="I6289" s="8"/>
      <c r="J6289" s="8"/>
      <c r="K6289" s="8"/>
      <c r="L6289" s="8"/>
      <c r="M6289" s="8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  <c r="AA6289" s="8"/>
      <c r="AB6289" s="8"/>
      <c r="AC6289" s="8"/>
      <c r="AD6289" s="11"/>
      <c r="AE6289" s="11"/>
      <c r="AF6289" s="11"/>
      <c r="AG6289" s="10"/>
    </row>
    <row r="6290" spans="1:33">
      <c r="A6290" s="8"/>
      <c r="B6290" s="8"/>
      <c r="C6290" s="8"/>
      <c r="D6290" s="8"/>
      <c r="E6290" s="8"/>
      <c r="F6290" s="8"/>
      <c r="G6290" s="8"/>
      <c r="H6290" s="8"/>
      <c r="I6290" s="8"/>
      <c r="J6290" s="8"/>
      <c r="K6290" s="8"/>
      <c r="L6290" s="8"/>
      <c r="M6290" s="8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  <c r="AA6290" s="8"/>
      <c r="AB6290" s="8"/>
      <c r="AC6290" s="8"/>
      <c r="AD6290" s="11"/>
      <c r="AE6290" s="11"/>
      <c r="AF6290" s="11"/>
      <c r="AG6290" s="10"/>
    </row>
    <row r="6291" spans="1:33">
      <c r="A6291" s="8"/>
      <c r="B6291" s="8"/>
      <c r="C6291" s="8"/>
      <c r="D6291" s="8"/>
      <c r="E6291" s="8"/>
      <c r="F6291" s="8"/>
      <c r="G6291" s="8"/>
      <c r="H6291" s="8"/>
      <c r="I6291" s="8"/>
      <c r="J6291" s="8"/>
      <c r="K6291" s="8"/>
      <c r="L6291" s="8"/>
      <c r="M6291" s="8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  <c r="AA6291" s="8"/>
      <c r="AB6291" s="8"/>
      <c r="AC6291" s="8"/>
      <c r="AD6291" s="11"/>
      <c r="AE6291" s="11"/>
      <c r="AF6291" s="11"/>
      <c r="AG6291" s="10"/>
    </row>
    <row r="6292" spans="1:33">
      <c r="A6292" s="8"/>
      <c r="B6292" s="8"/>
      <c r="C6292" s="8"/>
      <c r="D6292" s="8"/>
      <c r="E6292" s="8"/>
      <c r="F6292" s="8"/>
      <c r="G6292" s="8"/>
      <c r="H6292" s="8"/>
      <c r="I6292" s="8"/>
      <c r="J6292" s="8"/>
      <c r="K6292" s="8"/>
      <c r="L6292" s="8"/>
      <c r="M6292" s="8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  <c r="AA6292" s="8"/>
      <c r="AB6292" s="8"/>
      <c r="AC6292" s="8"/>
      <c r="AD6292" s="11"/>
      <c r="AE6292" s="11"/>
      <c r="AF6292" s="11"/>
      <c r="AG6292" s="10"/>
    </row>
    <row r="6293" spans="1:33">
      <c r="A6293" s="8"/>
      <c r="B6293" s="8"/>
      <c r="C6293" s="8"/>
      <c r="D6293" s="8"/>
      <c r="E6293" s="8"/>
      <c r="F6293" s="8"/>
      <c r="G6293" s="8"/>
      <c r="H6293" s="8"/>
      <c r="I6293" s="8"/>
      <c r="J6293" s="8"/>
      <c r="K6293" s="8"/>
      <c r="L6293" s="8"/>
      <c r="M6293" s="8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  <c r="AA6293" s="8"/>
      <c r="AB6293" s="8"/>
      <c r="AC6293" s="8"/>
      <c r="AD6293" s="11"/>
      <c r="AE6293" s="11"/>
      <c r="AF6293" s="11"/>
      <c r="AG6293" s="10"/>
    </row>
    <row r="6294" spans="1:33">
      <c r="A6294" s="8"/>
      <c r="B6294" s="8"/>
      <c r="C6294" s="8"/>
      <c r="D6294" s="8"/>
      <c r="E6294" s="8"/>
      <c r="F6294" s="8"/>
      <c r="G6294" s="8"/>
      <c r="H6294" s="8"/>
      <c r="I6294" s="8"/>
      <c r="J6294" s="8"/>
      <c r="K6294" s="8"/>
      <c r="L6294" s="8"/>
      <c r="M6294" s="8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  <c r="AA6294" s="8"/>
      <c r="AB6294" s="8"/>
      <c r="AC6294" s="8"/>
      <c r="AD6294" s="11"/>
      <c r="AE6294" s="11"/>
      <c r="AF6294" s="11"/>
      <c r="AG6294" s="10"/>
    </row>
    <row r="6295" spans="1:33">
      <c r="A6295" s="8"/>
      <c r="B6295" s="8"/>
      <c r="C6295" s="8"/>
      <c r="D6295" s="8"/>
      <c r="E6295" s="8"/>
      <c r="F6295" s="8"/>
      <c r="G6295" s="8"/>
      <c r="H6295" s="8"/>
      <c r="I6295" s="8"/>
      <c r="J6295" s="8"/>
      <c r="K6295" s="8"/>
      <c r="L6295" s="8"/>
      <c r="M6295" s="8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  <c r="AA6295" s="8"/>
      <c r="AB6295" s="8"/>
      <c r="AC6295" s="8"/>
      <c r="AD6295" s="11"/>
      <c r="AE6295" s="11"/>
      <c r="AF6295" s="11"/>
      <c r="AG6295" s="10"/>
    </row>
    <row r="6296" spans="1:33">
      <c r="A6296" s="8"/>
      <c r="B6296" s="8"/>
      <c r="C6296" s="8"/>
      <c r="D6296" s="8"/>
      <c r="E6296" s="8"/>
      <c r="F6296" s="8"/>
      <c r="G6296" s="8"/>
      <c r="H6296" s="8"/>
      <c r="I6296" s="8"/>
      <c r="J6296" s="8"/>
      <c r="K6296" s="8"/>
      <c r="L6296" s="8"/>
      <c r="M6296" s="8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  <c r="AA6296" s="8"/>
      <c r="AB6296" s="8"/>
      <c r="AC6296" s="8"/>
      <c r="AD6296" s="11"/>
      <c r="AE6296" s="11"/>
      <c r="AF6296" s="11"/>
      <c r="AG6296" s="10"/>
    </row>
    <row r="6297" spans="1:33">
      <c r="A6297" s="8"/>
      <c r="B6297" s="8"/>
      <c r="C6297" s="8"/>
      <c r="D6297" s="8"/>
      <c r="E6297" s="8"/>
      <c r="F6297" s="8"/>
      <c r="G6297" s="8"/>
      <c r="H6297" s="8"/>
      <c r="I6297" s="8"/>
      <c r="J6297" s="8"/>
      <c r="K6297" s="8"/>
      <c r="L6297" s="8"/>
      <c r="M6297" s="8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  <c r="AA6297" s="8"/>
      <c r="AB6297" s="8"/>
      <c r="AC6297" s="8"/>
      <c r="AD6297" s="8"/>
      <c r="AE6297" s="8"/>
      <c r="AF6297" s="8"/>
      <c r="AG6297" s="10"/>
    </row>
    <row r="6298" spans="1:33">
      <c r="A6298" s="8"/>
      <c r="B6298" s="8"/>
      <c r="C6298" s="8"/>
      <c r="D6298" s="8"/>
      <c r="E6298" s="8"/>
      <c r="F6298" s="8"/>
      <c r="G6298" s="8"/>
      <c r="H6298" s="8"/>
      <c r="I6298" s="8"/>
      <c r="J6298" s="8"/>
      <c r="K6298" s="8"/>
      <c r="L6298" s="8"/>
      <c r="M6298" s="8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  <c r="AA6298" s="8"/>
      <c r="AB6298" s="8"/>
      <c r="AC6298" s="8"/>
      <c r="AD6298" s="8"/>
      <c r="AE6298" s="8"/>
      <c r="AF6298" s="8"/>
      <c r="AG6298" s="10"/>
    </row>
    <row r="6299" spans="1:33">
      <c r="A6299" s="8"/>
      <c r="B6299" s="8"/>
      <c r="C6299" s="8"/>
      <c r="D6299" s="8"/>
      <c r="E6299" s="8"/>
      <c r="F6299" s="8"/>
      <c r="G6299" s="8"/>
      <c r="H6299" s="8"/>
      <c r="I6299" s="8"/>
      <c r="J6299" s="8"/>
      <c r="K6299" s="8"/>
      <c r="L6299" s="8"/>
      <c r="M6299" s="8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  <c r="AA6299" s="8"/>
      <c r="AB6299" s="8"/>
      <c r="AC6299" s="8"/>
      <c r="AD6299" s="8"/>
      <c r="AE6299" s="8"/>
      <c r="AF6299" s="8"/>
      <c r="AG6299" s="10"/>
    </row>
    <row r="6300" spans="1:33">
      <c r="A6300" s="8"/>
      <c r="B6300" s="8"/>
      <c r="C6300" s="8"/>
      <c r="D6300" s="8"/>
      <c r="E6300" s="8"/>
      <c r="F6300" s="8"/>
      <c r="G6300" s="8"/>
      <c r="H6300" s="8"/>
      <c r="I6300" s="8"/>
      <c r="J6300" s="8"/>
      <c r="K6300" s="8"/>
      <c r="L6300" s="8"/>
      <c r="M6300" s="8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  <c r="AA6300" s="8"/>
      <c r="AB6300" s="8"/>
      <c r="AC6300" s="8"/>
      <c r="AD6300" s="8"/>
      <c r="AE6300" s="8"/>
      <c r="AF6300" s="8"/>
      <c r="AG6300" s="10"/>
    </row>
    <row r="6301" spans="1:33">
      <c r="A6301" s="8"/>
      <c r="B6301" s="8"/>
      <c r="C6301" s="8"/>
      <c r="D6301" s="8"/>
      <c r="E6301" s="8"/>
      <c r="F6301" s="8"/>
      <c r="G6301" s="8"/>
      <c r="H6301" s="8"/>
      <c r="I6301" s="8"/>
      <c r="J6301" s="8"/>
      <c r="K6301" s="8"/>
      <c r="L6301" s="8"/>
      <c r="M6301" s="8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  <c r="AA6301" s="8"/>
      <c r="AB6301" s="8"/>
      <c r="AC6301" s="8"/>
      <c r="AD6301" s="8"/>
      <c r="AE6301" s="8"/>
      <c r="AF6301" s="8"/>
      <c r="AG6301" s="10"/>
    </row>
    <row r="6302" spans="1:33">
      <c r="A6302" s="8"/>
      <c r="B6302" s="8"/>
      <c r="C6302" s="8"/>
      <c r="D6302" s="8"/>
      <c r="E6302" s="8"/>
      <c r="F6302" s="8"/>
      <c r="G6302" s="8"/>
      <c r="H6302" s="8"/>
      <c r="I6302" s="8"/>
      <c r="J6302" s="8"/>
      <c r="K6302" s="8"/>
      <c r="L6302" s="8"/>
      <c r="M6302" s="8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  <c r="AA6302" s="8"/>
      <c r="AB6302" s="8"/>
      <c r="AC6302" s="8"/>
      <c r="AD6302" s="8"/>
      <c r="AE6302" s="8"/>
      <c r="AF6302" s="8"/>
      <c r="AG6302" s="10"/>
    </row>
    <row r="6303" spans="1:33">
      <c r="A6303" s="8"/>
      <c r="B6303" s="8"/>
      <c r="C6303" s="8"/>
      <c r="D6303" s="8"/>
      <c r="E6303" s="8"/>
      <c r="F6303" s="8"/>
      <c r="G6303" s="8"/>
      <c r="H6303" s="8"/>
      <c r="I6303" s="8"/>
      <c r="J6303" s="8"/>
      <c r="K6303" s="8"/>
      <c r="L6303" s="8"/>
      <c r="M6303" s="8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  <c r="AA6303" s="8"/>
      <c r="AB6303" s="8"/>
      <c r="AC6303" s="8"/>
      <c r="AD6303" s="8"/>
      <c r="AE6303" s="8"/>
      <c r="AF6303" s="8"/>
      <c r="AG6303" s="10"/>
    </row>
    <row r="6304" spans="1:33">
      <c r="A6304" s="8"/>
      <c r="B6304" s="8"/>
      <c r="C6304" s="8"/>
      <c r="D6304" s="8"/>
      <c r="E6304" s="8"/>
      <c r="F6304" s="8"/>
      <c r="G6304" s="8"/>
      <c r="H6304" s="8"/>
      <c r="I6304" s="8"/>
      <c r="J6304" s="8"/>
      <c r="K6304" s="8"/>
      <c r="L6304" s="8"/>
      <c r="M6304" s="8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  <c r="AA6304" s="8"/>
      <c r="AB6304" s="8"/>
      <c r="AC6304" s="8"/>
      <c r="AD6304" s="8"/>
      <c r="AE6304" s="8"/>
      <c r="AF6304" s="8"/>
      <c r="AG6304" s="10"/>
    </row>
    <row r="6305" spans="1:33">
      <c r="A6305" s="8"/>
      <c r="B6305" s="8"/>
      <c r="C6305" s="8"/>
      <c r="D6305" s="8"/>
      <c r="E6305" s="8"/>
      <c r="F6305" s="8"/>
      <c r="G6305" s="8"/>
      <c r="H6305" s="8"/>
      <c r="I6305" s="8"/>
      <c r="J6305" s="8"/>
      <c r="K6305" s="8"/>
      <c r="L6305" s="8"/>
      <c r="M6305" s="8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  <c r="AA6305" s="8"/>
      <c r="AB6305" s="8"/>
      <c r="AC6305" s="8"/>
      <c r="AD6305" s="8"/>
      <c r="AE6305" s="8"/>
      <c r="AF6305" s="8"/>
      <c r="AG6305" s="10"/>
    </row>
    <row r="6306" spans="1:33">
      <c r="A6306" s="8"/>
      <c r="B6306" s="8"/>
      <c r="C6306" s="8"/>
      <c r="D6306" s="8"/>
      <c r="E6306" s="8"/>
      <c r="F6306" s="8"/>
      <c r="G6306" s="8"/>
      <c r="H6306" s="8"/>
      <c r="I6306" s="8"/>
      <c r="J6306" s="8"/>
      <c r="K6306" s="8"/>
      <c r="L6306" s="8"/>
      <c r="M6306" s="8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  <c r="AA6306" s="8"/>
      <c r="AB6306" s="8"/>
      <c r="AC6306" s="8"/>
      <c r="AD6306" s="8"/>
      <c r="AE6306" s="8"/>
      <c r="AF6306" s="8"/>
      <c r="AG6306" s="10"/>
    </row>
    <row r="6307" spans="1:33">
      <c r="A6307" s="8"/>
      <c r="B6307" s="8"/>
      <c r="C6307" s="8"/>
      <c r="D6307" s="8"/>
      <c r="E6307" s="8"/>
      <c r="F6307" s="8"/>
      <c r="G6307" s="8"/>
      <c r="H6307" s="8"/>
      <c r="I6307" s="8"/>
      <c r="J6307" s="8"/>
      <c r="K6307" s="8"/>
      <c r="L6307" s="8"/>
      <c r="M6307" s="8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  <c r="AA6307" s="8"/>
      <c r="AB6307" s="8"/>
      <c r="AC6307" s="8"/>
      <c r="AD6307" s="8"/>
      <c r="AE6307" s="8"/>
      <c r="AF6307" s="8"/>
      <c r="AG6307" s="10"/>
    </row>
    <row r="6308" spans="1:33">
      <c r="A6308" s="8"/>
      <c r="B6308" s="8"/>
      <c r="C6308" s="8"/>
      <c r="D6308" s="8"/>
      <c r="E6308" s="8"/>
      <c r="F6308" s="8"/>
      <c r="G6308" s="8"/>
      <c r="H6308" s="8"/>
      <c r="I6308" s="8"/>
      <c r="J6308" s="8"/>
      <c r="K6308" s="8"/>
      <c r="L6308" s="8"/>
      <c r="M6308" s="8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  <c r="AA6308" s="8"/>
      <c r="AB6308" s="8"/>
      <c r="AC6308" s="8"/>
      <c r="AD6308" s="8"/>
      <c r="AE6308" s="8"/>
      <c r="AF6308" s="8"/>
      <c r="AG6308" s="10"/>
    </row>
    <row r="6309" spans="1:33">
      <c r="A6309" s="8"/>
      <c r="B6309" s="8"/>
      <c r="C6309" s="8"/>
      <c r="D6309" s="8"/>
      <c r="E6309" s="8"/>
      <c r="F6309" s="8"/>
      <c r="G6309" s="8"/>
      <c r="H6309" s="8"/>
      <c r="I6309" s="8"/>
      <c r="J6309" s="8"/>
      <c r="K6309" s="8"/>
      <c r="L6309" s="8"/>
      <c r="M6309" s="8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  <c r="AA6309" s="8"/>
      <c r="AB6309" s="8"/>
      <c r="AC6309" s="8"/>
      <c r="AD6309" s="8"/>
      <c r="AE6309" s="8"/>
      <c r="AF6309" s="8"/>
      <c r="AG6309" s="10"/>
    </row>
    <row r="6310" spans="1:33">
      <c r="A6310" s="8"/>
      <c r="B6310" s="8"/>
      <c r="C6310" s="8"/>
      <c r="D6310" s="8"/>
      <c r="E6310" s="8"/>
      <c r="F6310" s="8"/>
      <c r="G6310" s="8"/>
      <c r="H6310" s="8"/>
      <c r="I6310" s="8"/>
      <c r="J6310" s="8"/>
      <c r="K6310" s="8"/>
      <c r="L6310" s="8"/>
      <c r="M6310" s="8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  <c r="AA6310" s="8"/>
      <c r="AB6310" s="8"/>
      <c r="AC6310" s="8"/>
      <c r="AD6310" s="8"/>
      <c r="AE6310" s="8"/>
      <c r="AF6310" s="8"/>
      <c r="AG6310" s="10"/>
    </row>
    <row r="6311" spans="1:33">
      <c r="A6311" s="8"/>
      <c r="B6311" s="8"/>
      <c r="C6311" s="8"/>
      <c r="D6311" s="8"/>
      <c r="E6311" s="8"/>
      <c r="F6311" s="8"/>
      <c r="G6311" s="8"/>
      <c r="H6311" s="8"/>
      <c r="I6311" s="8"/>
      <c r="J6311" s="8"/>
      <c r="K6311" s="8"/>
      <c r="L6311" s="8"/>
      <c r="M6311" s="8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  <c r="AA6311" s="8"/>
      <c r="AB6311" s="8"/>
      <c r="AC6311" s="8"/>
      <c r="AD6311" s="8"/>
      <c r="AE6311" s="8"/>
      <c r="AF6311" s="8"/>
      <c r="AG6311" s="10"/>
    </row>
    <row r="6312" spans="1:33">
      <c r="A6312" s="8"/>
      <c r="B6312" s="8"/>
      <c r="C6312" s="8"/>
      <c r="D6312" s="8"/>
      <c r="E6312" s="8"/>
      <c r="F6312" s="8"/>
      <c r="G6312" s="8"/>
      <c r="H6312" s="8"/>
      <c r="I6312" s="8"/>
      <c r="J6312" s="8"/>
      <c r="K6312" s="8"/>
      <c r="L6312" s="8"/>
      <c r="M6312" s="8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  <c r="AA6312" s="8"/>
      <c r="AB6312" s="8"/>
      <c r="AC6312" s="8"/>
      <c r="AD6312" s="8"/>
      <c r="AE6312" s="8"/>
      <c r="AF6312" s="8"/>
      <c r="AG6312" s="10"/>
    </row>
    <row r="6313" spans="1:33">
      <c r="A6313" s="8"/>
      <c r="B6313" s="8"/>
      <c r="C6313" s="8"/>
      <c r="D6313" s="8"/>
      <c r="E6313" s="8"/>
      <c r="F6313" s="8"/>
      <c r="G6313" s="8"/>
      <c r="H6313" s="8"/>
      <c r="I6313" s="8"/>
      <c r="J6313" s="8"/>
      <c r="K6313" s="8"/>
      <c r="L6313" s="8"/>
      <c r="M6313" s="8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  <c r="AA6313" s="8"/>
      <c r="AB6313" s="8"/>
      <c r="AC6313" s="8"/>
      <c r="AD6313" s="8"/>
      <c r="AE6313" s="8"/>
      <c r="AF6313" s="8"/>
      <c r="AG6313" s="10"/>
    </row>
    <row r="6314" spans="1:33">
      <c r="A6314" s="8"/>
      <c r="B6314" s="8"/>
      <c r="C6314" s="8"/>
      <c r="D6314" s="8"/>
      <c r="E6314" s="8"/>
      <c r="F6314" s="8"/>
      <c r="G6314" s="8"/>
      <c r="H6314" s="8"/>
      <c r="I6314" s="8"/>
      <c r="J6314" s="8"/>
      <c r="K6314" s="8"/>
      <c r="L6314" s="8"/>
      <c r="M6314" s="8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  <c r="AA6314" s="8"/>
      <c r="AB6314" s="8"/>
      <c r="AC6314" s="8"/>
      <c r="AD6314" s="8"/>
      <c r="AE6314" s="8"/>
      <c r="AF6314" s="8"/>
      <c r="AG6314" s="10"/>
    </row>
    <row r="6315" spans="1:33">
      <c r="A6315" s="8"/>
      <c r="B6315" s="8"/>
      <c r="C6315" s="8"/>
      <c r="D6315" s="8"/>
      <c r="E6315" s="8"/>
      <c r="F6315" s="8"/>
      <c r="G6315" s="8"/>
      <c r="H6315" s="8"/>
      <c r="I6315" s="8"/>
      <c r="J6315" s="8"/>
      <c r="K6315" s="8"/>
      <c r="L6315" s="8"/>
      <c r="M6315" s="8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  <c r="AA6315" s="8"/>
      <c r="AB6315" s="8"/>
      <c r="AC6315" s="8"/>
      <c r="AD6315" s="8"/>
      <c r="AE6315" s="8"/>
      <c r="AF6315" s="8"/>
      <c r="AG6315" s="10"/>
    </row>
    <row r="6316" spans="1:33">
      <c r="A6316" s="8"/>
      <c r="B6316" s="8"/>
      <c r="C6316" s="8"/>
      <c r="D6316" s="8"/>
      <c r="E6316" s="8"/>
      <c r="F6316" s="8"/>
      <c r="G6316" s="8"/>
      <c r="H6316" s="8"/>
      <c r="I6316" s="8"/>
      <c r="J6316" s="8"/>
      <c r="K6316" s="8"/>
      <c r="L6316" s="8"/>
      <c r="M6316" s="8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  <c r="AA6316" s="8"/>
      <c r="AB6316" s="8"/>
      <c r="AC6316" s="8"/>
      <c r="AD6316" s="8"/>
      <c r="AE6316" s="8"/>
      <c r="AF6316" s="8"/>
      <c r="AG6316" s="10"/>
    </row>
    <row r="6317" spans="1:33">
      <c r="A6317" s="8"/>
      <c r="B6317" s="8"/>
      <c r="C6317" s="8"/>
      <c r="D6317" s="8"/>
      <c r="E6317" s="8"/>
      <c r="F6317" s="8"/>
      <c r="G6317" s="8"/>
      <c r="H6317" s="8"/>
      <c r="I6317" s="8"/>
      <c r="J6317" s="8"/>
      <c r="K6317" s="8"/>
      <c r="L6317" s="8"/>
      <c r="M6317" s="8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  <c r="AA6317" s="8"/>
      <c r="AB6317" s="8"/>
      <c r="AC6317" s="8"/>
      <c r="AD6317" s="8"/>
      <c r="AE6317" s="8"/>
      <c r="AF6317" s="8"/>
      <c r="AG6317" s="10"/>
    </row>
    <row r="6318" spans="1:33">
      <c r="A6318" s="8"/>
      <c r="B6318" s="8"/>
      <c r="C6318" s="8"/>
      <c r="D6318" s="8"/>
      <c r="E6318" s="8"/>
      <c r="F6318" s="8"/>
      <c r="G6318" s="8"/>
      <c r="H6318" s="8"/>
      <c r="I6318" s="8"/>
      <c r="J6318" s="8"/>
      <c r="K6318" s="8"/>
      <c r="L6318" s="8"/>
      <c r="M6318" s="8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  <c r="AA6318" s="8"/>
      <c r="AB6318" s="8"/>
      <c r="AC6318" s="8"/>
      <c r="AD6318" s="8"/>
      <c r="AE6318" s="8"/>
      <c r="AF6318" s="8"/>
      <c r="AG6318" s="10"/>
    </row>
    <row r="6319" spans="1:33">
      <c r="A6319" s="8"/>
      <c r="B6319" s="8"/>
      <c r="C6319" s="8"/>
      <c r="D6319" s="8"/>
      <c r="E6319" s="8"/>
      <c r="F6319" s="8"/>
      <c r="G6319" s="8"/>
      <c r="H6319" s="8"/>
      <c r="I6319" s="8"/>
      <c r="J6319" s="8"/>
      <c r="K6319" s="8"/>
      <c r="L6319" s="8"/>
      <c r="M6319" s="8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  <c r="AA6319" s="8"/>
      <c r="AB6319" s="8"/>
      <c r="AC6319" s="8"/>
      <c r="AD6319" s="8"/>
      <c r="AE6319" s="8"/>
      <c r="AF6319" s="8"/>
      <c r="AG6319" s="10"/>
    </row>
    <row r="6320" spans="1:33">
      <c r="A6320" s="8"/>
      <c r="B6320" s="8"/>
      <c r="C6320" s="8"/>
      <c r="D6320" s="8"/>
      <c r="E6320" s="8"/>
      <c r="F6320" s="8"/>
      <c r="G6320" s="8"/>
      <c r="H6320" s="8"/>
      <c r="I6320" s="8"/>
      <c r="J6320" s="8"/>
      <c r="K6320" s="8"/>
      <c r="L6320" s="8"/>
      <c r="M6320" s="8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  <c r="AA6320" s="8"/>
      <c r="AB6320" s="8"/>
      <c r="AC6320" s="8"/>
      <c r="AD6320" s="8"/>
      <c r="AE6320" s="8"/>
      <c r="AF6320" s="8"/>
      <c r="AG6320" s="10"/>
    </row>
    <row r="6321" spans="1:33">
      <c r="A6321" s="8"/>
      <c r="B6321" s="8"/>
      <c r="C6321" s="8"/>
      <c r="D6321" s="8"/>
      <c r="E6321" s="8"/>
      <c r="F6321" s="8"/>
      <c r="G6321" s="8"/>
      <c r="H6321" s="8"/>
      <c r="I6321" s="8"/>
      <c r="J6321" s="8"/>
      <c r="K6321" s="8"/>
      <c r="L6321" s="8"/>
      <c r="M6321" s="8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  <c r="AA6321" s="8"/>
      <c r="AB6321" s="8"/>
      <c r="AC6321" s="8"/>
      <c r="AD6321" s="8"/>
      <c r="AE6321" s="8"/>
      <c r="AF6321" s="8"/>
      <c r="AG6321" s="10"/>
    </row>
    <row r="6322" spans="1:33">
      <c r="A6322" s="8"/>
      <c r="B6322" s="8"/>
      <c r="C6322" s="8"/>
      <c r="D6322" s="8"/>
      <c r="E6322" s="8"/>
      <c r="F6322" s="8"/>
      <c r="G6322" s="8"/>
      <c r="H6322" s="8"/>
      <c r="I6322" s="8"/>
      <c r="J6322" s="8"/>
      <c r="K6322" s="8"/>
      <c r="L6322" s="8"/>
      <c r="M6322" s="8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  <c r="AA6322" s="8"/>
      <c r="AB6322" s="8"/>
      <c r="AC6322" s="8"/>
      <c r="AD6322" s="8"/>
      <c r="AE6322" s="8"/>
      <c r="AF6322" s="8"/>
      <c r="AG6322" s="10"/>
    </row>
    <row r="6323" spans="1:33">
      <c r="A6323" s="8"/>
      <c r="B6323" s="8"/>
      <c r="C6323" s="8"/>
      <c r="D6323" s="8"/>
      <c r="E6323" s="8"/>
      <c r="F6323" s="8"/>
      <c r="G6323" s="8"/>
      <c r="H6323" s="8"/>
      <c r="I6323" s="8"/>
      <c r="J6323" s="8"/>
      <c r="K6323" s="8"/>
      <c r="L6323" s="8"/>
      <c r="M6323" s="8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  <c r="AA6323" s="8"/>
      <c r="AB6323" s="8"/>
      <c r="AC6323" s="8"/>
      <c r="AD6323" s="8"/>
      <c r="AE6323" s="8"/>
      <c r="AF6323" s="8"/>
      <c r="AG6323" s="10"/>
    </row>
    <row r="6324" spans="1:33">
      <c r="A6324" s="8"/>
      <c r="B6324" s="8"/>
      <c r="C6324" s="8"/>
      <c r="D6324" s="8"/>
      <c r="E6324" s="8"/>
      <c r="F6324" s="8"/>
      <c r="G6324" s="8"/>
      <c r="H6324" s="8"/>
      <c r="I6324" s="8"/>
      <c r="J6324" s="8"/>
      <c r="K6324" s="8"/>
      <c r="L6324" s="8"/>
      <c r="M6324" s="8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  <c r="AA6324" s="8"/>
      <c r="AB6324" s="8"/>
      <c r="AC6324" s="8"/>
      <c r="AD6324" s="8"/>
      <c r="AE6324" s="8"/>
      <c r="AF6324" s="8"/>
      <c r="AG6324" s="10"/>
    </row>
    <row r="6325" spans="1:33">
      <c r="A6325" s="8"/>
      <c r="B6325" s="8"/>
      <c r="C6325" s="8"/>
      <c r="D6325" s="8"/>
      <c r="E6325" s="8"/>
      <c r="F6325" s="8"/>
      <c r="G6325" s="8"/>
      <c r="H6325" s="8"/>
      <c r="I6325" s="8"/>
      <c r="J6325" s="8"/>
      <c r="K6325" s="8"/>
      <c r="L6325" s="8"/>
      <c r="M6325" s="8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  <c r="AA6325" s="8"/>
      <c r="AB6325" s="8"/>
      <c r="AC6325" s="8"/>
      <c r="AD6325" s="8"/>
      <c r="AE6325" s="8"/>
      <c r="AF6325" s="8"/>
      <c r="AG6325" s="10"/>
    </row>
    <row r="6326" spans="1:33">
      <c r="A6326" s="8"/>
      <c r="B6326" s="8"/>
      <c r="C6326" s="8"/>
      <c r="D6326" s="8"/>
      <c r="E6326" s="8"/>
      <c r="F6326" s="8"/>
      <c r="G6326" s="8"/>
      <c r="H6326" s="8"/>
      <c r="I6326" s="8"/>
      <c r="J6326" s="8"/>
      <c r="K6326" s="8"/>
      <c r="L6326" s="8"/>
      <c r="M6326" s="8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  <c r="AA6326" s="8"/>
      <c r="AB6326" s="8"/>
      <c r="AC6326" s="8"/>
      <c r="AD6326" s="8"/>
      <c r="AE6326" s="8"/>
      <c r="AF6326" s="8"/>
      <c r="AG6326" s="10"/>
    </row>
    <row r="6327" spans="1:33">
      <c r="A6327" s="8"/>
      <c r="B6327" s="8"/>
      <c r="C6327" s="8"/>
      <c r="D6327" s="8"/>
      <c r="E6327" s="8"/>
      <c r="F6327" s="8"/>
      <c r="G6327" s="8"/>
      <c r="H6327" s="8"/>
      <c r="I6327" s="8"/>
      <c r="J6327" s="8"/>
      <c r="K6327" s="8"/>
      <c r="L6327" s="8"/>
      <c r="M6327" s="8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  <c r="AA6327" s="8"/>
      <c r="AB6327" s="8"/>
      <c r="AC6327" s="8"/>
      <c r="AD6327" s="8"/>
      <c r="AE6327" s="8"/>
      <c r="AF6327" s="8"/>
      <c r="AG6327" s="10"/>
    </row>
    <row r="6328" spans="1:33">
      <c r="A6328" s="8"/>
      <c r="B6328" s="8"/>
      <c r="C6328" s="8"/>
      <c r="D6328" s="8"/>
      <c r="E6328" s="8"/>
      <c r="F6328" s="8"/>
      <c r="G6328" s="8"/>
      <c r="H6328" s="8"/>
      <c r="I6328" s="8"/>
      <c r="J6328" s="8"/>
      <c r="K6328" s="8"/>
      <c r="L6328" s="8"/>
      <c r="M6328" s="8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  <c r="AA6328" s="8"/>
      <c r="AB6328" s="8"/>
      <c r="AC6328" s="8"/>
      <c r="AD6328" s="8"/>
      <c r="AE6328" s="8"/>
      <c r="AF6328" s="8"/>
      <c r="AG6328" s="10"/>
    </row>
    <row r="6329" spans="1:33">
      <c r="A6329" s="8"/>
      <c r="B6329" s="8"/>
      <c r="C6329" s="8"/>
      <c r="D6329" s="8"/>
      <c r="E6329" s="8"/>
      <c r="F6329" s="8"/>
      <c r="G6329" s="8"/>
      <c r="H6329" s="8"/>
      <c r="I6329" s="8"/>
      <c r="J6329" s="8"/>
      <c r="K6329" s="8"/>
      <c r="L6329" s="8"/>
      <c r="M6329" s="8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  <c r="AA6329" s="8"/>
      <c r="AB6329" s="8"/>
      <c r="AC6329" s="8"/>
      <c r="AD6329" s="8"/>
      <c r="AE6329" s="8"/>
      <c r="AF6329" s="8"/>
      <c r="AG6329" s="10"/>
    </row>
    <row r="6330" spans="1:33">
      <c r="A6330" s="8"/>
      <c r="B6330" s="8"/>
      <c r="C6330" s="8"/>
      <c r="D6330" s="8"/>
      <c r="E6330" s="8"/>
      <c r="F6330" s="8"/>
      <c r="G6330" s="8"/>
      <c r="H6330" s="8"/>
      <c r="I6330" s="8"/>
      <c r="J6330" s="8"/>
      <c r="K6330" s="8"/>
      <c r="L6330" s="8"/>
      <c r="M6330" s="8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  <c r="AA6330" s="8"/>
      <c r="AB6330" s="8"/>
      <c r="AC6330" s="8"/>
      <c r="AD6330" s="8"/>
      <c r="AE6330" s="8"/>
      <c r="AF6330" s="8"/>
      <c r="AG6330" s="10"/>
    </row>
    <row r="6331" spans="1:33">
      <c r="A6331" s="8"/>
      <c r="B6331" s="8"/>
      <c r="C6331" s="8"/>
      <c r="D6331" s="8"/>
      <c r="E6331" s="8"/>
      <c r="F6331" s="8"/>
      <c r="G6331" s="8"/>
      <c r="H6331" s="8"/>
      <c r="I6331" s="8"/>
      <c r="J6331" s="8"/>
      <c r="K6331" s="8"/>
      <c r="L6331" s="8"/>
      <c r="M6331" s="8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  <c r="AA6331" s="8"/>
      <c r="AB6331" s="8"/>
      <c r="AC6331" s="8"/>
      <c r="AD6331" s="8"/>
      <c r="AE6331" s="8"/>
      <c r="AF6331" s="8"/>
      <c r="AG6331" s="10"/>
    </row>
    <row r="6332" spans="1:33">
      <c r="A6332" s="8"/>
      <c r="B6332" s="8"/>
      <c r="C6332" s="8"/>
      <c r="D6332" s="8"/>
      <c r="E6332" s="8"/>
      <c r="F6332" s="8"/>
      <c r="G6332" s="8"/>
      <c r="H6332" s="8"/>
      <c r="I6332" s="8"/>
      <c r="J6332" s="8"/>
      <c r="K6332" s="8"/>
      <c r="L6332" s="8"/>
      <c r="M6332" s="8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  <c r="AA6332" s="8"/>
      <c r="AB6332" s="8"/>
      <c r="AC6332" s="8"/>
      <c r="AD6332" s="8"/>
      <c r="AE6332" s="8"/>
      <c r="AF6332" s="8"/>
      <c r="AG6332" s="10"/>
    </row>
    <row r="6333" spans="1:33">
      <c r="A6333" s="8"/>
      <c r="B6333" s="8"/>
      <c r="C6333" s="8"/>
      <c r="D6333" s="8"/>
      <c r="E6333" s="8"/>
      <c r="F6333" s="8"/>
      <c r="G6333" s="8"/>
      <c r="H6333" s="8"/>
      <c r="I6333" s="8"/>
      <c r="J6333" s="8"/>
      <c r="K6333" s="8"/>
      <c r="L6333" s="8"/>
      <c r="M6333" s="8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  <c r="AA6333" s="8"/>
      <c r="AB6333" s="8"/>
      <c r="AC6333" s="8"/>
      <c r="AD6333" s="8"/>
      <c r="AE6333" s="8"/>
      <c r="AF6333" s="8"/>
      <c r="AG6333" s="10"/>
    </row>
    <row r="6334" spans="1:33">
      <c r="A6334" s="8"/>
      <c r="B6334" s="8"/>
      <c r="C6334" s="8"/>
      <c r="D6334" s="8"/>
      <c r="E6334" s="8"/>
      <c r="F6334" s="8"/>
      <c r="G6334" s="8"/>
      <c r="H6334" s="8"/>
      <c r="I6334" s="8"/>
      <c r="J6334" s="8"/>
      <c r="K6334" s="8"/>
      <c r="L6334" s="8"/>
      <c r="M6334" s="8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  <c r="AA6334" s="8"/>
      <c r="AB6334" s="8"/>
      <c r="AC6334" s="8"/>
      <c r="AD6334" s="8"/>
      <c r="AE6334" s="8"/>
      <c r="AF6334" s="8"/>
      <c r="AG6334" s="10"/>
    </row>
    <row r="6335" spans="1:33">
      <c r="A6335" s="8"/>
      <c r="B6335" s="8"/>
      <c r="C6335" s="8"/>
      <c r="D6335" s="8"/>
      <c r="E6335" s="8"/>
      <c r="F6335" s="8"/>
      <c r="G6335" s="8"/>
      <c r="H6335" s="8"/>
      <c r="I6335" s="8"/>
      <c r="J6335" s="8"/>
      <c r="K6335" s="8"/>
      <c r="L6335" s="8"/>
      <c r="M6335" s="8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  <c r="AA6335" s="8"/>
      <c r="AB6335" s="8"/>
      <c r="AC6335" s="8"/>
      <c r="AD6335" s="8"/>
      <c r="AE6335" s="8"/>
      <c r="AF6335" s="8"/>
      <c r="AG6335" s="10"/>
    </row>
    <row r="6336" spans="1:33">
      <c r="A6336" s="8"/>
      <c r="B6336" s="8"/>
      <c r="C6336" s="8"/>
      <c r="D6336" s="8"/>
      <c r="E6336" s="8"/>
      <c r="F6336" s="8"/>
      <c r="G6336" s="8"/>
      <c r="H6336" s="8"/>
      <c r="I6336" s="8"/>
      <c r="J6336" s="8"/>
      <c r="K6336" s="8"/>
      <c r="L6336" s="8"/>
      <c r="M6336" s="8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  <c r="AA6336" s="8"/>
      <c r="AB6336" s="8"/>
      <c r="AC6336" s="8"/>
      <c r="AD6336" s="8"/>
      <c r="AE6336" s="8"/>
      <c r="AF6336" s="8"/>
      <c r="AG6336" s="10"/>
    </row>
    <row r="6337" spans="1:33">
      <c r="A6337" s="8"/>
      <c r="B6337" s="8"/>
      <c r="C6337" s="8"/>
      <c r="D6337" s="8"/>
      <c r="E6337" s="8"/>
      <c r="F6337" s="8"/>
      <c r="G6337" s="8"/>
      <c r="H6337" s="8"/>
      <c r="I6337" s="8"/>
      <c r="J6337" s="8"/>
      <c r="K6337" s="8"/>
      <c r="L6337" s="8"/>
      <c r="M6337" s="8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  <c r="AA6337" s="8"/>
      <c r="AB6337" s="8"/>
      <c r="AC6337" s="8"/>
      <c r="AD6337" s="8"/>
      <c r="AE6337" s="8"/>
      <c r="AF6337" s="8"/>
      <c r="AG6337" s="10"/>
    </row>
    <row r="6338" spans="1:33">
      <c r="A6338" s="8"/>
      <c r="B6338" s="8"/>
      <c r="C6338" s="8"/>
      <c r="D6338" s="8"/>
      <c r="E6338" s="8"/>
      <c r="F6338" s="8"/>
      <c r="G6338" s="8"/>
      <c r="H6338" s="8"/>
      <c r="I6338" s="8"/>
      <c r="J6338" s="8"/>
      <c r="K6338" s="8"/>
      <c r="L6338" s="8"/>
      <c r="M6338" s="8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  <c r="AA6338" s="8"/>
      <c r="AB6338" s="8"/>
      <c r="AC6338" s="8"/>
      <c r="AD6338" s="8"/>
      <c r="AE6338" s="8"/>
      <c r="AF6338" s="8"/>
      <c r="AG6338" s="10"/>
    </row>
    <row r="6339" spans="1:33">
      <c r="A6339" s="8"/>
      <c r="B6339" s="8"/>
      <c r="C6339" s="8"/>
      <c r="D6339" s="8"/>
      <c r="E6339" s="8"/>
      <c r="F6339" s="8"/>
      <c r="G6339" s="8"/>
      <c r="H6339" s="8"/>
      <c r="I6339" s="8"/>
      <c r="J6339" s="8"/>
      <c r="K6339" s="8"/>
      <c r="L6339" s="8"/>
      <c r="M6339" s="8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  <c r="AA6339" s="8"/>
      <c r="AB6339" s="8"/>
      <c r="AC6339" s="8"/>
      <c r="AD6339" s="8"/>
      <c r="AE6339" s="8"/>
      <c r="AF6339" s="8"/>
      <c r="AG6339" s="10"/>
    </row>
    <row r="6340" spans="1:33">
      <c r="A6340" s="8"/>
      <c r="B6340" s="8"/>
      <c r="C6340" s="8"/>
      <c r="D6340" s="8"/>
      <c r="E6340" s="8"/>
      <c r="F6340" s="8"/>
      <c r="G6340" s="8"/>
      <c r="H6340" s="8"/>
      <c r="I6340" s="8"/>
      <c r="J6340" s="8"/>
      <c r="K6340" s="8"/>
      <c r="L6340" s="8"/>
      <c r="M6340" s="8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  <c r="AA6340" s="8"/>
      <c r="AB6340" s="8"/>
      <c r="AC6340" s="8"/>
      <c r="AD6340" s="8"/>
      <c r="AE6340" s="8"/>
      <c r="AF6340" s="8"/>
      <c r="AG6340" s="10"/>
    </row>
    <row r="6341" spans="1:33">
      <c r="A6341" s="8"/>
      <c r="B6341" s="8"/>
      <c r="C6341" s="8"/>
      <c r="D6341" s="8"/>
      <c r="E6341" s="8"/>
      <c r="F6341" s="8"/>
      <c r="G6341" s="8"/>
      <c r="H6341" s="8"/>
      <c r="I6341" s="8"/>
      <c r="J6341" s="8"/>
      <c r="K6341" s="8"/>
      <c r="L6341" s="8"/>
      <c r="M6341" s="8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  <c r="AA6341" s="8"/>
      <c r="AB6341" s="8"/>
      <c r="AC6341" s="8"/>
      <c r="AD6341" s="8"/>
      <c r="AE6341" s="8"/>
      <c r="AF6341" s="8"/>
      <c r="AG6341" s="10"/>
    </row>
    <row r="6342" spans="1:33">
      <c r="A6342" s="8"/>
      <c r="B6342" s="8"/>
      <c r="C6342" s="8"/>
      <c r="D6342" s="8"/>
      <c r="E6342" s="8"/>
      <c r="F6342" s="8"/>
      <c r="G6342" s="8"/>
      <c r="H6342" s="8"/>
      <c r="I6342" s="8"/>
      <c r="J6342" s="8"/>
      <c r="K6342" s="8"/>
      <c r="L6342" s="8"/>
      <c r="M6342" s="8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  <c r="AA6342" s="8"/>
      <c r="AB6342" s="8"/>
      <c r="AC6342" s="8"/>
      <c r="AD6342" s="8"/>
      <c r="AE6342" s="8"/>
      <c r="AF6342" s="8"/>
      <c r="AG6342" s="10"/>
    </row>
    <row r="6343" spans="1:33">
      <c r="A6343" s="8"/>
      <c r="B6343" s="8"/>
      <c r="C6343" s="8"/>
      <c r="D6343" s="8"/>
      <c r="E6343" s="8"/>
      <c r="F6343" s="8"/>
      <c r="G6343" s="8"/>
      <c r="H6343" s="8"/>
      <c r="I6343" s="8"/>
      <c r="J6343" s="8"/>
      <c r="K6343" s="8"/>
      <c r="L6343" s="8"/>
      <c r="M6343" s="8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  <c r="AA6343" s="8"/>
      <c r="AB6343" s="8"/>
      <c r="AC6343" s="8"/>
      <c r="AD6343" s="8"/>
      <c r="AE6343" s="8"/>
      <c r="AF6343" s="8"/>
      <c r="AG6343" s="10"/>
    </row>
    <row r="6344" spans="1:33">
      <c r="A6344" s="8"/>
      <c r="B6344" s="8"/>
      <c r="C6344" s="8"/>
      <c r="D6344" s="8"/>
      <c r="E6344" s="8"/>
      <c r="F6344" s="8"/>
      <c r="G6344" s="8"/>
      <c r="H6344" s="8"/>
      <c r="I6344" s="8"/>
      <c r="J6344" s="8"/>
      <c r="K6344" s="8"/>
      <c r="L6344" s="8"/>
      <c r="M6344" s="8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  <c r="AA6344" s="8"/>
      <c r="AB6344" s="8"/>
      <c r="AC6344" s="8"/>
      <c r="AD6344" s="8"/>
      <c r="AE6344" s="8"/>
      <c r="AF6344" s="8"/>
      <c r="AG6344" s="10"/>
    </row>
    <row r="6345" spans="1:33">
      <c r="A6345" s="8"/>
      <c r="B6345" s="8"/>
      <c r="C6345" s="8"/>
      <c r="D6345" s="8"/>
      <c r="E6345" s="8"/>
      <c r="F6345" s="8"/>
      <c r="G6345" s="8"/>
      <c r="H6345" s="8"/>
      <c r="I6345" s="8"/>
      <c r="J6345" s="8"/>
      <c r="K6345" s="8"/>
      <c r="L6345" s="8"/>
      <c r="M6345" s="8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  <c r="AA6345" s="8"/>
      <c r="AB6345" s="8"/>
      <c r="AC6345" s="8"/>
      <c r="AD6345" s="8"/>
      <c r="AE6345" s="8"/>
      <c r="AF6345" s="8"/>
      <c r="AG6345" s="10"/>
    </row>
    <row r="6346" spans="1:33">
      <c r="A6346" s="8"/>
      <c r="B6346" s="8"/>
      <c r="C6346" s="8"/>
      <c r="D6346" s="8"/>
      <c r="E6346" s="8"/>
      <c r="F6346" s="8"/>
      <c r="G6346" s="8"/>
      <c r="H6346" s="8"/>
      <c r="I6346" s="8"/>
      <c r="J6346" s="8"/>
      <c r="K6346" s="8"/>
      <c r="L6346" s="8"/>
      <c r="M6346" s="8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  <c r="AA6346" s="8"/>
      <c r="AB6346" s="8"/>
      <c r="AC6346" s="8"/>
      <c r="AD6346" s="8"/>
      <c r="AE6346" s="8"/>
      <c r="AF6346" s="8"/>
      <c r="AG6346" s="10"/>
    </row>
    <row r="6347" spans="1:33">
      <c r="A6347" s="8"/>
      <c r="B6347" s="8"/>
      <c r="C6347" s="8"/>
      <c r="D6347" s="8"/>
      <c r="E6347" s="8"/>
      <c r="F6347" s="8"/>
      <c r="G6347" s="8"/>
      <c r="H6347" s="8"/>
      <c r="I6347" s="8"/>
      <c r="J6347" s="8"/>
      <c r="K6347" s="8"/>
      <c r="L6347" s="8"/>
      <c r="M6347" s="8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  <c r="AA6347" s="8"/>
      <c r="AB6347" s="8"/>
      <c r="AC6347" s="8"/>
      <c r="AD6347" s="8"/>
      <c r="AE6347" s="8"/>
      <c r="AF6347" s="8"/>
      <c r="AG6347" s="10"/>
    </row>
    <row r="6348" spans="1:33">
      <c r="A6348" s="8"/>
      <c r="B6348" s="8"/>
      <c r="C6348" s="8"/>
      <c r="D6348" s="8"/>
      <c r="E6348" s="8"/>
      <c r="F6348" s="8"/>
      <c r="G6348" s="8"/>
      <c r="H6348" s="8"/>
      <c r="I6348" s="8"/>
      <c r="J6348" s="8"/>
      <c r="K6348" s="8"/>
      <c r="L6348" s="8"/>
      <c r="M6348" s="8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  <c r="AA6348" s="8"/>
      <c r="AB6348" s="8"/>
      <c r="AC6348" s="8"/>
      <c r="AD6348" s="8"/>
      <c r="AE6348" s="8"/>
      <c r="AF6348" s="8"/>
      <c r="AG6348" s="10"/>
    </row>
    <row r="6349" spans="1:33">
      <c r="A6349" s="8"/>
      <c r="B6349" s="8"/>
      <c r="C6349" s="8"/>
      <c r="D6349" s="8"/>
      <c r="E6349" s="8"/>
      <c r="F6349" s="8"/>
      <c r="G6349" s="8"/>
      <c r="H6349" s="8"/>
      <c r="I6349" s="8"/>
      <c r="J6349" s="8"/>
      <c r="K6349" s="8"/>
      <c r="L6349" s="8"/>
      <c r="M6349" s="8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  <c r="AA6349" s="8"/>
      <c r="AB6349" s="8"/>
      <c r="AC6349" s="8"/>
      <c r="AD6349" s="8"/>
      <c r="AE6349" s="8"/>
      <c r="AF6349" s="8"/>
      <c r="AG6349" s="10"/>
    </row>
    <row r="6350" spans="1:33">
      <c r="A6350" s="8"/>
      <c r="B6350" s="8"/>
      <c r="C6350" s="8"/>
      <c r="D6350" s="8"/>
      <c r="E6350" s="8"/>
      <c r="F6350" s="8"/>
      <c r="G6350" s="8"/>
      <c r="H6350" s="8"/>
      <c r="I6350" s="8"/>
      <c r="J6350" s="8"/>
      <c r="K6350" s="8"/>
      <c r="L6350" s="8"/>
      <c r="M6350" s="8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  <c r="AA6350" s="8"/>
      <c r="AB6350" s="8"/>
      <c r="AC6350" s="8"/>
      <c r="AD6350" s="8"/>
      <c r="AE6350" s="8"/>
      <c r="AF6350" s="8"/>
      <c r="AG6350" s="10"/>
    </row>
    <row r="6351" spans="1:33">
      <c r="A6351" s="8"/>
      <c r="B6351" s="8"/>
      <c r="C6351" s="8"/>
      <c r="D6351" s="8"/>
      <c r="E6351" s="8"/>
      <c r="F6351" s="8"/>
      <c r="G6351" s="8"/>
      <c r="H6351" s="8"/>
      <c r="I6351" s="8"/>
      <c r="J6351" s="8"/>
      <c r="K6351" s="8"/>
      <c r="L6351" s="8"/>
      <c r="M6351" s="8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  <c r="AA6351" s="8"/>
      <c r="AB6351" s="8"/>
      <c r="AC6351" s="8"/>
      <c r="AD6351" s="8"/>
      <c r="AE6351" s="8"/>
      <c r="AF6351" s="8"/>
      <c r="AG6351" s="10"/>
    </row>
    <row r="6352" spans="1:33">
      <c r="A6352" s="8"/>
      <c r="B6352" s="8"/>
      <c r="C6352" s="8"/>
      <c r="D6352" s="8"/>
      <c r="E6352" s="8"/>
      <c r="F6352" s="8"/>
      <c r="G6352" s="8"/>
      <c r="H6352" s="8"/>
      <c r="I6352" s="8"/>
      <c r="J6352" s="8"/>
      <c r="K6352" s="8"/>
      <c r="L6352" s="8"/>
      <c r="M6352" s="8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  <c r="AA6352" s="8"/>
      <c r="AB6352" s="8"/>
      <c r="AC6352" s="8"/>
      <c r="AD6352" s="8"/>
      <c r="AE6352" s="8"/>
      <c r="AF6352" s="8"/>
      <c r="AG6352" s="10"/>
    </row>
    <row r="6353" spans="1:33">
      <c r="A6353" s="8"/>
      <c r="B6353" s="8"/>
      <c r="C6353" s="8"/>
      <c r="D6353" s="8"/>
      <c r="E6353" s="8"/>
      <c r="F6353" s="8"/>
      <c r="G6353" s="8"/>
      <c r="H6353" s="8"/>
      <c r="I6353" s="8"/>
      <c r="J6353" s="8"/>
      <c r="K6353" s="8"/>
      <c r="L6353" s="8"/>
      <c r="M6353" s="8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  <c r="AA6353" s="8"/>
      <c r="AB6353" s="8"/>
      <c r="AC6353" s="8"/>
      <c r="AD6353" s="8"/>
      <c r="AE6353" s="8"/>
      <c r="AF6353" s="8"/>
      <c r="AG6353" s="10"/>
    </row>
    <row r="6354" spans="1:33">
      <c r="A6354" s="8"/>
      <c r="B6354" s="8"/>
      <c r="C6354" s="8"/>
      <c r="D6354" s="8"/>
      <c r="E6354" s="8"/>
      <c r="F6354" s="8"/>
      <c r="G6354" s="8"/>
      <c r="H6354" s="8"/>
      <c r="I6354" s="8"/>
      <c r="J6354" s="8"/>
      <c r="K6354" s="8"/>
      <c r="L6354" s="8"/>
      <c r="M6354" s="8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  <c r="AA6354" s="8"/>
      <c r="AB6354" s="8"/>
      <c r="AC6354" s="8"/>
      <c r="AD6354" s="8"/>
      <c r="AE6354" s="8"/>
      <c r="AF6354" s="8"/>
      <c r="AG6354" s="10"/>
    </row>
    <row r="6355" spans="1:33">
      <c r="A6355" s="8"/>
      <c r="B6355" s="8"/>
      <c r="C6355" s="8"/>
      <c r="D6355" s="8"/>
      <c r="E6355" s="8"/>
      <c r="F6355" s="8"/>
      <c r="G6355" s="8"/>
      <c r="H6355" s="8"/>
      <c r="I6355" s="8"/>
      <c r="J6355" s="8"/>
      <c r="K6355" s="8"/>
      <c r="L6355" s="8"/>
      <c r="M6355" s="8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  <c r="AA6355" s="8"/>
      <c r="AB6355" s="8"/>
      <c r="AC6355" s="8"/>
      <c r="AD6355" s="8"/>
      <c r="AE6355" s="8"/>
      <c r="AF6355" s="8"/>
      <c r="AG6355" s="10"/>
    </row>
    <row r="6356" spans="1:33">
      <c r="A6356" s="8"/>
      <c r="B6356" s="8"/>
      <c r="C6356" s="8"/>
      <c r="D6356" s="8"/>
      <c r="E6356" s="8"/>
      <c r="F6356" s="8"/>
      <c r="G6356" s="8"/>
      <c r="H6356" s="8"/>
      <c r="I6356" s="8"/>
      <c r="J6356" s="8"/>
      <c r="K6356" s="8"/>
      <c r="L6356" s="8"/>
      <c r="M6356" s="8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  <c r="AA6356" s="8"/>
      <c r="AB6356" s="8"/>
      <c r="AC6356" s="8"/>
      <c r="AD6356" s="8"/>
      <c r="AE6356" s="8"/>
      <c r="AF6356" s="8"/>
      <c r="AG6356" s="10"/>
    </row>
    <row r="6357" spans="1:33">
      <c r="A6357" s="8"/>
      <c r="B6357" s="8"/>
      <c r="C6357" s="8"/>
      <c r="D6357" s="8"/>
      <c r="E6357" s="8"/>
      <c r="F6357" s="8"/>
      <c r="G6357" s="8"/>
      <c r="H6357" s="8"/>
      <c r="I6357" s="8"/>
      <c r="J6357" s="8"/>
      <c r="K6357" s="8"/>
      <c r="L6357" s="8"/>
      <c r="M6357" s="8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  <c r="AA6357" s="8"/>
      <c r="AB6357" s="8"/>
      <c r="AC6357" s="8"/>
      <c r="AD6357" s="8"/>
      <c r="AE6357" s="8"/>
      <c r="AF6357" s="8"/>
      <c r="AG6357" s="10"/>
    </row>
    <row r="6358" spans="1:33">
      <c r="A6358" s="8"/>
      <c r="B6358" s="8"/>
      <c r="C6358" s="8"/>
      <c r="D6358" s="8"/>
      <c r="E6358" s="8"/>
      <c r="F6358" s="8"/>
      <c r="G6358" s="8"/>
      <c r="H6358" s="8"/>
      <c r="I6358" s="8"/>
      <c r="J6358" s="8"/>
      <c r="K6358" s="8"/>
      <c r="L6358" s="8"/>
      <c r="M6358" s="8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  <c r="AA6358" s="8"/>
      <c r="AB6358" s="8"/>
      <c r="AC6358" s="8"/>
      <c r="AD6358" s="8"/>
      <c r="AE6358" s="8"/>
      <c r="AF6358" s="8"/>
      <c r="AG6358" s="10"/>
    </row>
    <row r="6359" spans="1:33">
      <c r="A6359" s="8"/>
      <c r="B6359" s="8"/>
      <c r="C6359" s="8"/>
      <c r="D6359" s="8"/>
      <c r="E6359" s="8"/>
      <c r="F6359" s="8"/>
      <c r="G6359" s="8"/>
      <c r="H6359" s="8"/>
      <c r="I6359" s="8"/>
      <c r="J6359" s="8"/>
      <c r="K6359" s="8"/>
      <c r="L6359" s="8"/>
      <c r="M6359" s="8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  <c r="AA6359" s="8"/>
      <c r="AB6359" s="8"/>
      <c r="AC6359" s="8"/>
      <c r="AD6359" s="8"/>
      <c r="AE6359" s="8"/>
      <c r="AF6359" s="8"/>
      <c r="AG6359" s="10"/>
    </row>
    <row r="6360" spans="1:33">
      <c r="A6360" s="8"/>
      <c r="B6360" s="8"/>
      <c r="C6360" s="8"/>
      <c r="D6360" s="8"/>
      <c r="E6360" s="8"/>
      <c r="F6360" s="8"/>
      <c r="G6360" s="8"/>
      <c r="H6360" s="8"/>
      <c r="I6360" s="8"/>
      <c r="J6360" s="8"/>
      <c r="K6360" s="8"/>
      <c r="L6360" s="8"/>
      <c r="M6360" s="8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  <c r="AA6360" s="8"/>
      <c r="AB6360" s="8"/>
      <c r="AC6360" s="8"/>
      <c r="AD6360" s="8"/>
      <c r="AE6360" s="8"/>
      <c r="AF6360" s="8"/>
      <c r="AG6360" s="10"/>
    </row>
    <row r="6361" spans="1:33">
      <c r="A6361" s="8"/>
      <c r="B6361" s="8"/>
      <c r="C6361" s="8"/>
      <c r="D6361" s="8"/>
      <c r="E6361" s="8"/>
      <c r="F6361" s="8"/>
      <c r="G6361" s="8"/>
      <c r="H6361" s="8"/>
      <c r="I6361" s="8"/>
      <c r="J6361" s="8"/>
      <c r="K6361" s="8"/>
      <c r="L6361" s="8"/>
      <c r="M6361" s="8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  <c r="AA6361" s="8"/>
      <c r="AB6361" s="8"/>
      <c r="AC6361" s="8"/>
      <c r="AD6361" s="8"/>
      <c r="AE6361" s="8"/>
      <c r="AF6361" s="8"/>
      <c r="AG6361" s="10"/>
    </row>
    <row r="6362" spans="1:33">
      <c r="A6362" s="8"/>
      <c r="B6362" s="8"/>
      <c r="C6362" s="8"/>
      <c r="D6362" s="8"/>
      <c r="E6362" s="8"/>
      <c r="F6362" s="8"/>
      <c r="G6362" s="8"/>
      <c r="H6362" s="8"/>
      <c r="I6362" s="8"/>
      <c r="J6362" s="8"/>
      <c r="K6362" s="8"/>
      <c r="L6362" s="8"/>
      <c r="M6362" s="8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  <c r="AA6362" s="8"/>
      <c r="AB6362" s="8"/>
      <c r="AC6362" s="8"/>
      <c r="AD6362" s="8"/>
      <c r="AE6362" s="8"/>
      <c r="AF6362" s="8"/>
      <c r="AG6362" s="10"/>
    </row>
    <row r="6363" spans="1:33">
      <c r="A6363" s="8"/>
      <c r="B6363" s="8"/>
      <c r="C6363" s="8"/>
      <c r="D6363" s="8"/>
      <c r="E6363" s="8"/>
      <c r="F6363" s="8"/>
      <c r="G6363" s="8"/>
      <c r="H6363" s="8"/>
      <c r="I6363" s="8"/>
      <c r="J6363" s="8"/>
      <c r="K6363" s="8"/>
      <c r="L6363" s="8"/>
      <c r="M6363" s="8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  <c r="AA6363" s="8"/>
      <c r="AB6363" s="8"/>
      <c r="AC6363" s="8"/>
      <c r="AD6363" s="8"/>
      <c r="AE6363" s="8"/>
      <c r="AF6363" s="8"/>
      <c r="AG6363" s="10"/>
    </row>
    <row r="6364" spans="1:33">
      <c r="A6364" s="8"/>
      <c r="B6364" s="8"/>
      <c r="C6364" s="8"/>
      <c r="D6364" s="8"/>
      <c r="E6364" s="8"/>
      <c r="F6364" s="8"/>
      <c r="G6364" s="8"/>
      <c r="H6364" s="8"/>
      <c r="I6364" s="8"/>
      <c r="J6364" s="8"/>
      <c r="K6364" s="8"/>
      <c r="L6364" s="8"/>
      <c r="M6364" s="8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  <c r="AA6364" s="8"/>
      <c r="AB6364" s="8"/>
      <c r="AC6364" s="8"/>
      <c r="AD6364" s="8"/>
      <c r="AE6364" s="8"/>
      <c r="AF6364" s="8"/>
      <c r="AG6364" s="10"/>
    </row>
    <row r="6365" spans="1:33">
      <c r="A6365" s="8"/>
      <c r="B6365" s="8"/>
      <c r="C6365" s="8"/>
      <c r="D6365" s="8"/>
      <c r="E6365" s="8"/>
      <c r="F6365" s="8"/>
      <c r="G6365" s="8"/>
      <c r="H6365" s="8"/>
      <c r="I6365" s="8"/>
      <c r="J6365" s="8"/>
      <c r="K6365" s="8"/>
      <c r="L6365" s="8"/>
      <c r="M6365" s="8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  <c r="AA6365" s="8"/>
      <c r="AB6365" s="8"/>
      <c r="AC6365" s="8"/>
      <c r="AD6365" s="8"/>
      <c r="AE6365" s="8"/>
      <c r="AF6365" s="8"/>
      <c r="AG6365" s="10"/>
    </row>
    <row r="6366" spans="1:33">
      <c r="A6366" s="8"/>
      <c r="B6366" s="8"/>
      <c r="C6366" s="8"/>
      <c r="D6366" s="8"/>
      <c r="E6366" s="8"/>
      <c r="F6366" s="8"/>
      <c r="G6366" s="8"/>
      <c r="H6366" s="8"/>
      <c r="I6366" s="8"/>
      <c r="J6366" s="8"/>
      <c r="K6366" s="8"/>
      <c r="L6366" s="8"/>
      <c r="M6366" s="8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  <c r="AA6366" s="8"/>
      <c r="AB6366" s="8"/>
      <c r="AC6366" s="8"/>
      <c r="AD6366" s="8"/>
      <c r="AE6366" s="8"/>
      <c r="AF6366" s="8"/>
      <c r="AG6366" s="10"/>
    </row>
    <row r="6367" spans="1:33">
      <c r="A6367" s="8"/>
      <c r="B6367" s="8"/>
      <c r="C6367" s="8"/>
      <c r="D6367" s="8"/>
      <c r="E6367" s="8"/>
      <c r="F6367" s="8"/>
      <c r="G6367" s="8"/>
      <c r="H6367" s="8"/>
      <c r="I6367" s="8"/>
      <c r="J6367" s="8"/>
      <c r="K6367" s="8"/>
      <c r="L6367" s="8"/>
      <c r="M6367" s="8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  <c r="AA6367" s="8"/>
      <c r="AB6367" s="8"/>
      <c r="AC6367" s="8"/>
      <c r="AD6367" s="8"/>
      <c r="AE6367" s="8"/>
      <c r="AF6367" s="8"/>
      <c r="AG6367" s="10"/>
    </row>
    <row r="6368" spans="1:33">
      <c r="A6368" s="8"/>
      <c r="B6368" s="8"/>
      <c r="C6368" s="8"/>
      <c r="D6368" s="8"/>
      <c r="E6368" s="8"/>
      <c r="F6368" s="8"/>
      <c r="G6368" s="8"/>
      <c r="H6368" s="8"/>
      <c r="I6368" s="8"/>
      <c r="J6368" s="8"/>
      <c r="K6368" s="8"/>
      <c r="L6368" s="8"/>
      <c r="M6368" s="8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  <c r="AA6368" s="8"/>
      <c r="AB6368" s="8"/>
      <c r="AC6368" s="8"/>
      <c r="AD6368" s="8"/>
      <c r="AE6368" s="8"/>
      <c r="AF6368" s="8"/>
      <c r="AG6368" s="10"/>
    </row>
    <row r="6369" spans="1:33">
      <c r="A6369" s="8"/>
      <c r="B6369" s="8"/>
      <c r="C6369" s="8"/>
      <c r="D6369" s="8"/>
      <c r="E6369" s="8"/>
      <c r="F6369" s="8"/>
      <c r="G6369" s="8"/>
      <c r="H6369" s="8"/>
      <c r="I6369" s="8"/>
      <c r="J6369" s="8"/>
      <c r="K6369" s="8"/>
      <c r="L6369" s="8"/>
      <c r="M6369" s="8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  <c r="AA6369" s="8"/>
      <c r="AB6369" s="8"/>
      <c r="AC6369" s="8"/>
      <c r="AD6369" s="8"/>
      <c r="AE6369" s="8"/>
      <c r="AF6369" s="8"/>
      <c r="AG6369" s="10"/>
    </row>
    <row r="6370" spans="1:33">
      <c r="A6370" s="8"/>
      <c r="B6370" s="8"/>
      <c r="C6370" s="8"/>
      <c r="D6370" s="8"/>
      <c r="E6370" s="8"/>
      <c r="F6370" s="8"/>
      <c r="G6370" s="8"/>
      <c r="H6370" s="8"/>
      <c r="I6370" s="8"/>
      <c r="J6370" s="8"/>
      <c r="K6370" s="8"/>
      <c r="L6370" s="8"/>
      <c r="M6370" s="8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  <c r="AA6370" s="8"/>
      <c r="AB6370" s="8"/>
      <c r="AC6370" s="8"/>
      <c r="AD6370" s="8"/>
      <c r="AE6370" s="8"/>
      <c r="AF6370" s="8"/>
      <c r="AG6370" s="10"/>
    </row>
    <row r="6371" spans="1:33">
      <c r="A6371" s="8"/>
      <c r="B6371" s="8"/>
      <c r="C6371" s="8"/>
      <c r="D6371" s="8"/>
      <c r="E6371" s="8"/>
      <c r="F6371" s="8"/>
      <c r="G6371" s="8"/>
      <c r="H6371" s="8"/>
      <c r="I6371" s="8"/>
      <c r="J6371" s="8"/>
      <c r="K6371" s="8"/>
      <c r="L6371" s="8"/>
      <c r="M6371" s="8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  <c r="AA6371" s="8"/>
      <c r="AB6371" s="8"/>
      <c r="AC6371" s="8"/>
      <c r="AD6371" s="8"/>
      <c r="AE6371" s="8"/>
      <c r="AF6371" s="8"/>
      <c r="AG6371" s="10"/>
    </row>
    <row r="6372" spans="1:33">
      <c r="A6372" s="8"/>
      <c r="B6372" s="8"/>
      <c r="C6372" s="8"/>
      <c r="D6372" s="8"/>
      <c r="E6372" s="8"/>
      <c r="F6372" s="8"/>
      <c r="G6372" s="8"/>
      <c r="H6372" s="8"/>
      <c r="I6372" s="8"/>
      <c r="J6372" s="8"/>
      <c r="K6372" s="8"/>
      <c r="L6372" s="8"/>
      <c r="M6372" s="8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  <c r="AA6372" s="8"/>
      <c r="AB6372" s="8"/>
      <c r="AC6372" s="8"/>
      <c r="AD6372" s="8"/>
      <c r="AE6372" s="8"/>
      <c r="AF6372" s="8"/>
      <c r="AG6372" s="10"/>
    </row>
    <row r="6373" spans="1:33">
      <c r="A6373" s="8"/>
      <c r="B6373" s="8"/>
      <c r="C6373" s="8"/>
      <c r="D6373" s="8"/>
      <c r="E6373" s="8"/>
      <c r="F6373" s="8"/>
      <c r="G6373" s="8"/>
      <c r="H6373" s="8"/>
      <c r="I6373" s="8"/>
      <c r="J6373" s="8"/>
      <c r="K6373" s="8"/>
      <c r="L6373" s="8"/>
      <c r="M6373" s="8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  <c r="AA6373" s="8"/>
      <c r="AB6373" s="8"/>
      <c r="AC6373" s="8"/>
      <c r="AD6373" s="8"/>
      <c r="AE6373" s="8"/>
      <c r="AF6373" s="8"/>
      <c r="AG6373" s="10"/>
    </row>
    <row r="6374" spans="1:33">
      <c r="A6374" s="8"/>
      <c r="B6374" s="8"/>
      <c r="C6374" s="8"/>
      <c r="D6374" s="8"/>
      <c r="E6374" s="8"/>
      <c r="F6374" s="8"/>
      <c r="G6374" s="8"/>
      <c r="H6374" s="8"/>
      <c r="I6374" s="8"/>
      <c r="J6374" s="8"/>
      <c r="K6374" s="8"/>
      <c r="L6374" s="8"/>
      <c r="M6374" s="8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  <c r="AA6374" s="8"/>
      <c r="AB6374" s="8"/>
      <c r="AC6374" s="8"/>
      <c r="AD6374" s="8"/>
      <c r="AE6374" s="8"/>
      <c r="AF6374" s="8"/>
      <c r="AG6374" s="10"/>
    </row>
    <row r="6375" spans="1:33">
      <c r="A6375" s="8"/>
      <c r="B6375" s="8"/>
      <c r="C6375" s="8"/>
      <c r="D6375" s="8"/>
      <c r="E6375" s="8"/>
      <c r="F6375" s="8"/>
      <c r="G6375" s="8"/>
      <c r="H6375" s="8"/>
      <c r="I6375" s="8"/>
      <c r="J6375" s="8"/>
      <c r="K6375" s="8"/>
      <c r="L6375" s="8"/>
      <c r="M6375" s="8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  <c r="AA6375" s="8"/>
      <c r="AB6375" s="8"/>
      <c r="AC6375" s="8"/>
      <c r="AD6375" s="8"/>
      <c r="AE6375" s="8"/>
      <c r="AF6375" s="8"/>
      <c r="AG6375" s="10"/>
    </row>
    <row r="6376" spans="1:33">
      <c r="A6376" s="8"/>
      <c r="B6376" s="8"/>
      <c r="C6376" s="8"/>
      <c r="D6376" s="8"/>
      <c r="E6376" s="8"/>
      <c r="F6376" s="8"/>
      <c r="G6376" s="8"/>
      <c r="H6376" s="8"/>
      <c r="I6376" s="8"/>
      <c r="J6376" s="8"/>
      <c r="K6376" s="8"/>
      <c r="L6376" s="8"/>
      <c r="M6376" s="8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  <c r="AA6376" s="8"/>
      <c r="AB6376" s="8"/>
      <c r="AC6376" s="8"/>
      <c r="AD6376" s="8"/>
      <c r="AE6376" s="8"/>
      <c r="AF6376" s="8"/>
      <c r="AG6376" s="10"/>
    </row>
    <row r="6377" spans="1:33">
      <c r="A6377" s="8"/>
      <c r="B6377" s="8"/>
      <c r="C6377" s="8"/>
      <c r="D6377" s="8"/>
      <c r="E6377" s="8"/>
      <c r="F6377" s="8"/>
      <c r="G6377" s="8"/>
      <c r="H6377" s="8"/>
      <c r="I6377" s="8"/>
      <c r="J6377" s="8"/>
      <c r="K6377" s="8"/>
      <c r="L6377" s="8"/>
      <c r="M6377" s="8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  <c r="AA6377" s="8"/>
      <c r="AB6377" s="8"/>
      <c r="AC6377" s="8"/>
      <c r="AD6377" s="8"/>
      <c r="AE6377" s="8"/>
      <c r="AF6377" s="8"/>
      <c r="AG6377" s="10"/>
    </row>
    <row r="6378" spans="1:33">
      <c r="A6378" s="8"/>
      <c r="B6378" s="8"/>
      <c r="C6378" s="8"/>
      <c r="D6378" s="8"/>
      <c r="E6378" s="8"/>
      <c r="F6378" s="8"/>
      <c r="G6378" s="8"/>
      <c r="H6378" s="8"/>
      <c r="I6378" s="8"/>
      <c r="J6378" s="8"/>
      <c r="K6378" s="8"/>
      <c r="L6378" s="8"/>
      <c r="M6378" s="8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  <c r="AA6378" s="8"/>
      <c r="AB6378" s="8"/>
      <c r="AC6378" s="8"/>
      <c r="AD6378" s="8"/>
      <c r="AE6378" s="8"/>
      <c r="AF6378" s="8"/>
      <c r="AG6378" s="10"/>
    </row>
    <row r="6379" spans="1:33">
      <c r="A6379" s="8"/>
      <c r="B6379" s="8"/>
      <c r="C6379" s="8"/>
      <c r="D6379" s="8"/>
      <c r="E6379" s="8"/>
      <c r="F6379" s="8"/>
      <c r="G6379" s="8"/>
      <c r="H6379" s="8"/>
      <c r="I6379" s="8"/>
      <c r="J6379" s="8"/>
      <c r="K6379" s="8"/>
      <c r="L6379" s="8"/>
      <c r="M6379" s="8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  <c r="AA6379" s="8"/>
      <c r="AB6379" s="8"/>
      <c r="AC6379" s="8"/>
      <c r="AD6379" s="8"/>
      <c r="AE6379" s="8"/>
      <c r="AF6379" s="8"/>
      <c r="AG6379" s="10"/>
    </row>
    <row r="6380" spans="1:33">
      <c r="A6380" s="8"/>
      <c r="B6380" s="8"/>
      <c r="C6380" s="8"/>
      <c r="D6380" s="8"/>
      <c r="E6380" s="8"/>
      <c r="F6380" s="8"/>
      <c r="G6380" s="8"/>
      <c r="H6380" s="8"/>
      <c r="I6380" s="8"/>
      <c r="J6380" s="8"/>
      <c r="K6380" s="8"/>
      <c r="L6380" s="8"/>
      <c r="M6380" s="8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  <c r="AA6380" s="8"/>
      <c r="AB6380" s="8"/>
      <c r="AC6380" s="8"/>
      <c r="AD6380" s="8"/>
      <c r="AE6380" s="8"/>
      <c r="AF6380" s="8"/>
      <c r="AG6380" s="10"/>
    </row>
    <row r="6381" spans="1:33">
      <c r="A6381" s="8"/>
      <c r="B6381" s="8"/>
      <c r="C6381" s="8"/>
      <c r="D6381" s="8"/>
      <c r="E6381" s="8"/>
      <c r="F6381" s="8"/>
      <c r="G6381" s="8"/>
      <c r="H6381" s="8"/>
      <c r="I6381" s="8"/>
      <c r="J6381" s="8"/>
      <c r="K6381" s="8"/>
      <c r="L6381" s="8"/>
      <c r="M6381" s="8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  <c r="AA6381" s="8"/>
      <c r="AB6381" s="8"/>
      <c r="AC6381" s="8"/>
      <c r="AD6381" s="8"/>
      <c r="AE6381" s="8"/>
      <c r="AF6381" s="8"/>
      <c r="AG6381" s="10"/>
    </row>
    <row r="6382" spans="1:33">
      <c r="A6382" s="8"/>
      <c r="B6382" s="8"/>
      <c r="C6382" s="8"/>
      <c r="D6382" s="8"/>
      <c r="E6382" s="8"/>
      <c r="F6382" s="8"/>
      <c r="G6382" s="8"/>
      <c r="H6382" s="8"/>
      <c r="I6382" s="8"/>
      <c r="J6382" s="8"/>
      <c r="K6382" s="8"/>
      <c r="L6382" s="8"/>
      <c r="M6382" s="8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  <c r="AA6382" s="8"/>
      <c r="AB6382" s="8"/>
      <c r="AC6382" s="8"/>
      <c r="AD6382" s="8"/>
      <c r="AE6382" s="8"/>
      <c r="AF6382" s="8"/>
      <c r="AG6382" s="10"/>
    </row>
    <row r="6383" spans="1:33">
      <c r="A6383" s="8"/>
      <c r="B6383" s="8"/>
      <c r="C6383" s="8"/>
      <c r="D6383" s="8"/>
      <c r="E6383" s="8"/>
      <c r="F6383" s="8"/>
      <c r="G6383" s="8"/>
      <c r="H6383" s="8"/>
      <c r="I6383" s="8"/>
      <c r="J6383" s="8"/>
      <c r="K6383" s="8"/>
      <c r="L6383" s="8"/>
      <c r="M6383" s="8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  <c r="AA6383" s="8"/>
      <c r="AB6383" s="8"/>
      <c r="AC6383" s="8"/>
      <c r="AD6383" s="8"/>
      <c r="AE6383" s="8"/>
      <c r="AF6383" s="8"/>
      <c r="AG6383" s="10"/>
    </row>
    <row r="6384" spans="1:33">
      <c r="A6384" s="8"/>
      <c r="B6384" s="8"/>
      <c r="C6384" s="8"/>
      <c r="D6384" s="8"/>
      <c r="E6384" s="8"/>
      <c r="F6384" s="8"/>
      <c r="G6384" s="8"/>
      <c r="H6384" s="8"/>
      <c r="I6384" s="8"/>
      <c r="J6384" s="8"/>
      <c r="K6384" s="8"/>
      <c r="L6384" s="8"/>
      <c r="M6384" s="8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  <c r="AA6384" s="8"/>
      <c r="AB6384" s="8"/>
      <c r="AC6384" s="8"/>
      <c r="AD6384" s="8"/>
      <c r="AE6384" s="8"/>
      <c r="AF6384" s="8"/>
      <c r="AG6384" s="10"/>
    </row>
    <row r="6385" spans="1:33">
      <c r="A6385" s="8"/>
      <c r="B6385" s="8"/>
      <c r="C6385" s="8"/>
      <c r="D6385" s="8"/>
      <c r="E6385" s="8"/>
      <c r="F6385" s="8"/>
      <c r="G6385" s="8"/>
      <c r="H6385" s="8"/>
      <c r="I6385" s="8"/>
      <c r="J6385" s="8"/>
      <c r="K6385" s="8"/>
      <c r="L6385" s="8"/>
      <c r="M6385" s="8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  <c r="AA6385" s="8"/>
      <c r="AB6385" s="8"/>
      <c r="AC6385" s="8"/>
      <c r="AD6385" s="8"/>
      <c r="AE6385" s="8"/>
      <c r="AF6385" s="8"/>
      <c r="AG6385" s="10"/>
    </row>
    <row r="6386" spans="1:33">
      <c r="A6386" s="8"/>
      <c r="B6386" s="8"/>
      <c r="C6386" s="8"/>
      <c r="D6386" s="8"/>
      <c r="E6386" s="8"/>
      <c r="F6386" s="8"/>
      <c r="G6386" s="8"/>
      <c r="H6386" s="8"/>
      <c r="I6386" s="8"/>
      <c r="J6386" s="8"/>
      <c r="K6386" s="8"/>
      <c r="L6386" s="8"/>
      <c r="M6386" s="8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  <c r="AA6386" s="8"/>
      <c r="AB6386" s="8"/>
      <c r="AC6386" s="8"/>
      <c r="AD6386" s="8"/>
      <c r="AE6386" s="8"/>
      <c r="AF6386" s="8"/>
      <c r="AG6386" s="10"/>
    </row>
    <row r="6387" spans="1:33">
      <c r="A6387" s="8"/>
      <c r="B6387" s="8"/>
      <c r="C6387" s="8"/>
      <c r="D6387" s="8"/>
      <c r="E6387" s="8"/>
      <c r="F6387" s="8"/>
      <c r="G6387" s="8"/>
      <c r="H6387" s="8"/>
      <c r="I6387" s="8"/>
      <c r="J6387" s="8"/>
      <c r="K6387" s="8"/>
      <c r="L6387" s="8"/>
      <c r="M6387" s="8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  <c r="AA6387" s="8"/>
      <c r="AB6387" s="8"/>
      <c r="AC6387" s="8"/>
      <c r="AD6387" s="8"/>
      <c r="AE6387" s="8"/>
      <c r="AF6387" s="8"/>
      <c r="AG6387" s="10"/>
    </row>
    <row r="6388" spans="1:33">
      <c r="A6388" s="8"/>
      <c r="B6388" s="8"/>
      <c r="C6388" s="8"/>
      <c r="D6388" s="8"/>
      <c r="E6388" s="8"/>
      <c r="F6388" s="8"/>
      <c r="G6388" s="8"/>
      <c r="H6388" s="8"/>
      <c r="I6388" s="8"/>
      <c r="J6388" s="8"/>
      <c r="K6388" s="8"/>
      <c r="L6388" s="8"/>
      <c r="M6388" s="8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  <c r="AA6388" s="8"/>
      <c r="AB6388" s="8"/>
      <c r="AC6388" s="8"/>
      <c r="AD6388" s="8"/>
      <c r="AE6388" s="8"/>
      <c r="AF6388" s="8"/>
      <c r="AG6388" s="10"/>
    </row>
    <row r="6389" spans="1:33">
      <c r="A6389" s="8"/>
      <c r="B6389" s="8"/>
      <c r="C6389" s="8"/>
      <c r="D6389" s="8"/>
      <c r="E6389" s="8"/>
      <c r="F6389" s="8"/>
      <c r="G6389" s="8"/>
      <c r="H6389" s="8"/>
      <c r="I6389" s="8"/>
      <c r="J6389" s="8"/>
      <c r="K6389" s="8"/>
      <c r="L6389" s="8"/>
      <c r="M6389" s="8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  <c r="AA6389" s="8"/>
      <c r="AB6389" s="8"/>
      <c r="AC6389" s="8"/>
      <c r="AD6389" s="8"/>
      <c r="AE6389" s="8"/>
      <c r="AF6389" s="8"/>
      <c r="AG6389" s="10"/>
    </row>
    <row r="6390" spans="1:33">
      <c r="A6390" s="8"/>
      <c r="B6390" s="8"/>
      <c r="C6390" s="8"/>
      <c r="D6390" s="8"/>
      <c r="E6390" s="8"/>
      <c r="F6390" s="8"/>
      <c r="G6390" s="8"/>
      <c r="H6390" s="8"/>
      <c r="I6390" s="8"/>
      <c r="J6390" s="8"/>
      <c r="K6390" s="8"/>
      <c r="L6390" s="8"/>
      <c r="M6390" s="8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  <c r="AA6390" s="8"/>
      <c r="AB6390" s="8"/>
      <c r="AC6390" s="8"/>
      <c r="AD6390" s="8"/>
      <c r="AE6390" s="8"/>
      <c r="AF6390" s="8"/>
      <c r="AG6390" s="10"/>
    </row>
    <row r="6391" spans="1:33">
      <c r="A6391" s="8"/>
      <c r="B6391" s="8"/>
      <c r="C6391" s="8"/>
      <c r="D6391" s="8"/>
      <c r="E6391" s="8"/>
      <c r="F6391" s="8"/>
      <c r="G6391" s="8"/>
      <c r="H6391" s="8"/>
      <c r="I6391" s="8"/>
      <c r="J6391" s="8"/>
      <c r="K6391" s="8"/>
      <c r="L6391" s="8"/>
      <c r="M6391" s="8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  <c r="AA6391" s="8"/>
      <c r="AB6391" s="8"/>
      <c r="AC6391" s="8"/>
      <c r="AD6391" s="8"/>
      <c r="AE6391" s="8"/>
      <c r="AF6391" s="8"/>
      <c r="AG6391" s="10"/>
    </row>
    <row r="6392" spans="1:33">
      <c r="A6392" s="8"/>
      <c r="B6392" s="8"/>
      <c r="C6392" s="8"/>
      <c r="D6392" s="8"/>
      <c r="E6392" s="8"/>
      <c r="F6392" s="8"/>
      <c r="G6392" s="8"/>
      <c r="H6392" s="8"/>
      <c r="I6392" s="8"/>
      <c r="J6392" s="8"/>
      <c r="K6392" s="8"/>
      <c r="L6392" s="8"/>
      <c r="M6392" s="8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  <c r="AA6392" s="8"/>
      <c r="AB6392" s="8"/>
      <c r="AC6392" s="8"/>
      <c r="AD6392" s="8"/>
      <c r="AE6392" s="8"/>
      <c r="AF6392" s="8"/>
      <c r="AG6392" s="10"/>
    </row>
    <row r="6393" spans="1:33">
      <c r="A6393" s="8"/>
      <c r="B6393" s="8"/>
      <c r="C6393" s="8"/>
      <c r="D6393" s="8"/>
      <c r="E6393" s="8"/>
      <c r="F6393" s="8"/>
      <c r="G6393" s="8"/>
      <c r="H6393" s="8"/>
      <c r="I6393" s="8"/>
      <c r="J6393" s="8"/>
      <c r="K6393" s="8"/>
      <c r="L6393" s="8"/>
      <c r="M6393" s="8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  <c r="AA6393" s="8"/>
      <c r="AB6393" s="8"/>
      <c r="AC6393" s="8"/>
      <c r="AD6393" s="8"/>
      <c r="AE6393" s="8"/>
      <c r="AF6393" s="8"/>
      <c r="AG6393" s="10"/>
    </row>
    <row r="6394" spans="1:33">
      <c r="A6394" s="8"/>
      <c r="B6394" s="8"/>
      <c r="C6394" s="8"/>
      <c r="D6394" s="8"/>
      <c r="E6394" s="8"/>
      <c r="F6394" s="8"/>
      <c r="G6394" s="8"/>
      <c r="H6394" s="8"/>
      <c r="I6394" s="8"/>
      <c r="J6394" s="8"/>
      <c r="K6394" s="8"/>
      <c r="L6394" s="8"/>
      <c r="M6394" s="8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  <c r="AA6394" s="8"/>
      <c r="AB6394" s="8"/>
      <c r="AC6394" s="8"/>
      <c r="AD6394" s="8"/>
      <c r="AE6394" s="8"/>
      <c r="AF6394" s="8"/>
      <c r="AG6394" s="10"/>
    </row>
    <row r="6395" spans="1:33">
      <c r="A6395" s="8"/>
      <c r="B6395" s="8"/>
      <c r="C6395" s="8"/>
      <c r="D6395" s="8"/>
      <c r="E6395" s="8"/>
      <c r="F6395" s="8"/>
      <c r="G6395" s="8"/>
      <c r="H6395" s="8"/>
      <c r="I6395" s="8"/>
      <c r="J6395" s="8"/>
      <c r="K6395" s="8"/>
      <c r="L6395" s="8"/>
      <c r="M6395" s="8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  <c r="AA6395" s="8"/>
      <c r="AB6395" s="8"/>
      <c r="AC6395" s="8"/>
      <c r="AD6395" s="8"/>
      <c r="AE6395" s="8"/>
      <c r="AF6395" s="8"/>
      <c r="AG6395" s="10"/>
    </row>
    <row r="6396" spans="1:33">
      <c r="A6396" s="8"/>
      <c r="B6396" s="8"/>
      <c r="C6396" s="8"/>
      <c r="D6396" s="8"/>
      <c r="E6396" s="8"/>
      <c r="F6396" s="8"/>
      <c r="G6396" s="8"/>
      <c r="H6396" s="8"/>
      <c r="I6396" s="8"/>
      <c r="J6396" s="8"/>
      <c r="K6396" s="8"/>
      <c r="L6396" s="8"/>
      <c r="M6396" s="8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  <c r="AA6396" s="8"/>
      <c r="AB6396" s="8"/>
      <c r="AC6396" s="8"/>
      <c r="AD6396" s="8"/>
      <c r="AE6396" s="8"/>
      <c r="AF6396" s="8"/>
      <c r="AG6396" s="10"/>
    </row>
    <row r="6397" spans="1:33">
      <c r="A6397" s="8"/>
      <c r="B6397" s="8"/>
      <c r="C6397" s="8"/>
      <c r="D6397" s="8"/>
      <c r="E6397" s="8"/>
      <c r="F6397" s="8"/>
      <c r="G6397" s="8"/>
      <c r="H6397" s="8"/>
      <c r="I6397" s="8"/>
      <c r="J6397" s="8"/>
      <c r="K6397" s="8"/>
      <c r="L6397" s="8"/>
      <c r="M6397" s="8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  <c r="AA6397" s="8"/>
      <c r="AB6397" s="8"/>
      <c r="AC6397" s="8"/>
      <c r="AD6397" s="8"/>
      <c r="AE6397" s="8"/>
      <c r="AF6397" s="8"/>
      <c r="AG6397" s="10"/>
    </row>
    <row r="6398" spans="1:33">
      <c r="A6398" s="8"/>
      <c r="B6398" s="8"/>
      <c r="C6398" s="8"/>
      <c r="D6398" s="8"/>
      <c r="E6398" s="8"/>
      <c r="F6398" s="8"/>
      <c r="G6398" s="8"/>
      <c r="H6398" s="8"/>
      <c r="I6398" s="8"/>
      <c r="J6398" s="8"/>
      <c r="K6398" s="8"/>
      <c r="L6398" s="8"/>
      <c r="M6398" s="8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  <c r="AA6398" s="8"/>
      <c r="AB6398" s="8"/>
      <c r="AC6398" s="8"/>
      <c r="AD6398" s="8"/>
      <c r="AE6398" s="8"/>
      <c r="AF6398" s="8"/>
      <c r="AG6398" s="10"/>
    </row>
    <row r="6399" spans="1:33">
      <c r="A6399" s="8"/>
      <c r="B6399" s="8"/>
      <c r="C6399" s="8"/>
      <c r="D6399" s="8"/>
      <c r="E6399" s="8"/>
      <c r="F6399" s="8"/>
      <c r="G6399" s="8"/>
      <c r="H6399" s="8"/>
      <c r="I6399" s="8"/>
      <c r="J6399" s="8"/>
      <c r="K6399" s="8"/>
      <c r="L6399" s="8"/>
      <c r="M6399" s="8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  <c r="AA6399" s="8"/>
      <c r="AB6399" s="8"/>
      <c r="AC6399" s="8"/>
      <c r="AD6399" s="8"/>
      <c r="AE6399" s="8"/>
      <c r="AF6399" s="8"/>
      <c r="AG6399" s="10"/>
    </row>
    <row r="6400" spans="1:33">
      <c r="A6400" s="8"/>
      <c r="B6400" s="8"/>
      <c r="C6400" s="8"/>
      <c r="D6400" s="8"/>
      <c r="E6400" s="8"/>
      <c r="F6400" s="8"/>
      <c r="G6400" s="8"/>
      <c r="H6400" s="8"/>
      <c r="I6400" s="8"/>
      <c r="J6400" s="8"/>
      <c r="K6400" s="8"/>
      <c r="L6400" s="8"/>
      <c r="M6400" s="8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  <c r="AA6400" s="8"/>
      <c r="AB6400" s="8"/>
      <c r="AC6400" s="8"/>
      <c r="AD6400" s="8"/>
      <c r="AE6400" s="8"/>
      <c r="AF6400" s="8"/>
      <c r="AG6400" s="10"/>
    </row>
    <row r="6401" spans="1:33">
      <c r="A6401" s="8"/>
      <c r="B6401" s="8"/>
      <c r="C6401" s="8"/>
      <c r="D6401" s="8"/>
      <c r="E6401" s="8"/>
      <c r="F6401" s="8"/>
      <c r="G6401" s="8"/>
      <c r="H6401" s="8"/>
      <c r="I6401" s="8"/>
      <c r="J6401" s="8"/>
      <c r="K6401" s="8"/>
      <c r="L6401" s="8"/>
      <c r="M6401" s="8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  <c r="AA6401" s="8"/>
      <c r="AB6401" s="8"/>
      <c r="AC6401" s="8"/>
      <c r="AD6401" s="8"/>
      <c r="AE6401" s="8"/>
      <c r="AF6401" s="8"/>
      <c r="AG6401" s="10"/>
    </row>
    <row r="6402" spans="1:33">
      <c r="A6402" s="8"/>
      <c r="B6402" s="8"/>
      <c r="C6402" s="8"/>
      <c r="D6402" s="8"/>
      <c r="E6402" s="8"/>
      <c r="F6402" s="8"/>
      <c r="G6402" s="8"/>
      <c r="H6402" s="8"/>
      <c r="I6402" s="8"/>
      <c r="J6402" s="8"/>
      <c r="K6402" s="8"/>
      <c r="L6402" s="8"/>
      <c r="M6402" s="8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  <c r="AA6402" s="8"/>
      <c r="AB6402" s="8"/>
      <c r="AC6402" s="8"/>
      <c r="AD6402" s="8"/>
      <c r="AE6402" s="8"/>
      <c r="AF6402" s="8"/>
      <c r="AG6402" s="10"/>
    </row>
    <row r="6403" spans="1:33">
      <c r="A6403" s="8"/>
      <c r="B6403" s="8"/>
      <c r="C6403" s="8"/>
      <c r="D6403" s="8"/>
      <c r="E6403" s="8"/>
      <c r="F6403" s="8"/>
      <c r="G6403" s="8"/>
      <c r="H6403" s="8"/>
      <c r="I6403" s="8"/>
      <c r="J6403" s="8"/>
      <c r="K6403" s="8"/>
      <c r="L6403" s="8"/>
      <c r="M6403" s="8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  <c r="AA6403" s="8"/>
      <c r="AB6403" s="8"/>
      <c r="AC6403" s="8"/>
      <c r="AD6403" s="8"/>
      <c r="AE6403" s="8"/>
      <c r="AF6403" s="8"/>
      <c r="AG6403" s="10"/>
    </row>
    <row r="6404" spans="1:33">
      <c r="A6404" s="8"/>
      <c r="B6404" s="8"/>
      <c r="C6404" s="8"/>
      <c r="D6404" s="8"/>
      <c r="E6404" s="8"/>
      <c r="F6404" s="8"/>
      <c r="G6404" s="8"/>
      <c r="H6404" s="8"/>
      <c r="I6404" s="8"/>
      <c r="J6404" s="8"/>
      <c r="K6404" s="8"/>
      <c r="L6404" s="8"/>
      <c r="M6404" s="8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  <c r="AA6404" s="8"/>
      <c r="AB6404" s="8"/>
      <c r="AC6404" s="8"/>
      <c r="AD6404" s="8"/>
      <c r="AE6404" s="8"/>
      <c r="AF6404" s="8"/>
      <c r="AG6404" s="10"/>
    </row>
    <row r="6405" spans="1:33">
      <c r="A6405" s="8"/>
      <c r="B6405" s="8"/>
      <c r="C6405" s="8"/>
      <c r="D6405" s="8"/>
      <c r="E6405" s="8"/>
      <c r="F6405" s="8"/>
      <c r="G6405" s="8"/>
      <c r="H6405" s="8"/>
      <c r="I6405" s="8"/>
      <c r="J6405" s="8"/>
      <c r="K6405" s="8"/>
      <c r="L6405" s="8"/>
      <c r="M6405" s="8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  <c r="AA6405" s="8"/>
      <c r="AB6405" s="8"/>
      <c r="AC6405" s="8"/>
      <c r="AD6405" s="8"/>
      <c r="AE6405" s="8"/>
      <c r="AF6405" s="8"/>
      <c r="AG6405" s="10"/>
    </row>
    <row r="6406" spans="1:33">
      <c r="A6406" s="8"/>
      <c r="B6406" s="8"/>
      <c r="C6406" s="8"/>
      <c r="D6406" s="8"/>
      <c r="E6406" s="8"/>
      <c r="F6406" s="8"/>
      <c r="G6406" s="8"/>
      <c r="H6406" s="8"/>
      <c r="I6406" s="8"/>
      <c r="J6406" s="8"/>
      <c r="K6406" s="8"/>
      <c r="L6406" s="8"/>
      <c r="M6406" s="8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  <c r="AA6406" s="8"/>
      <c r="AB6406" s="8"/>
      <c r="AC6406" s="8"/>
      <c r="AD6406" s="8"/>
      <c r="AE6406" s="8"/>
      <c r="AF6406" s="8"/>
      <c r="AG6406" s="10"/>
    </row>
    <row r="6407" spans="1:33">
      <c r="A6407" s="8"/>
      <c r="B6407" s="8"/>
      <c r="C6407" s="8"/>
      <c r="D6407" s="8"/>
      <c r="E6407" s="8"/>
      <c r="F6407" s="8"/>
      <c r="G6407" s="8"/>
      <c r="H6407" s="8"/>
      <c r="I6407" s="8"/>
      <c r="J6407" s="8"/>
      <c r="K6407" s="8"/>
      <c r="L6407" s="8"/>
      <c r="M6407" s="8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  <c r="AA6407" s="8"/>
      <c r="AB6407" s="8"/>
      <c r="AC6407" s="8"/>
      <c r="AD6407" s="8"/>
      <c r="AE6407" s="8"/>
      <c r="AF6407" s="8"/>
      <c r="AG6407" s="10"/>
    </row>
    <row r="6408" spans="1:33">
      <c r="A6408" s="8"/>
      <c r="B6408" s="8"/>
      <c r="C6408" s="8"/>
      <c r="D6408" s="8"/>
      <c r="E6408" s="8"/>
      <c r="F6408" s="8"/>
      <c r="G6408" s="8"/>
      <c r="H6408" s="8"/>
      <c r="I6408" s="8"/>
      <c r="J6408" s="8"/>
      <c r="K6408" s="8"/>
      <c r="L6408" s="8"/>
      <c r="M6408" s="8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  <c r="AA6408" s="8"/>
      <c r="AB6408" s="8"/>
      <c r="AC6408" s="8"/>
      <c r="AD6408" s="8"/>
      <c r="AE6408" s="8"/>
      <c r="AF6408" s="8"/>
      <c r="AG6408" s="10"/>
    </row>
    <row r="6409" spans="1:33">
      <c r="A6409" s="8"/>
      <c r="B6409" s="8"/>
      <c r="C6409" s="8"/>
      <c r="D6409" s="8"/>
      <c r="E6409" s="8"/>
      <c r="F6409" s="8"/>
      <c r="G6409" s="8"/>
      <c r="H6409" s="8"/>
      <c r="I6409" s="8"/>
      <c r="J6409" s="8"/>
      <c r="K6409" s="8"/>
      <c r="L6409" s="8"/>
      <c r="M6409" s="8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  <c r="AA6409" s="8"/>
      <c r="AB6409" s="8"/>
      <c r="AC6409" s="8"/>
      <c r="AD6409" s="8"/>
      <c r="AE6409" s="8"/>
      <c r="AF6409" s="8"/>
      <c r="AG6409" s="10"/>
    </row>
    <row r="6410" spans="1:33">
      <c r="A6410" s="8"/>
      <c r="B6410" s="8"/>
      <c r="C6410" s="8"/>
      <c r="D6410" s="8"/>
      <c r="E6410" s="8"/>
      <c r="F6410" s="8"/>
      <c r="G6410" s="8"/>
      <c r="H6410" s="8"/>
      <c r="I6410" s="8"/>
      <c r="J6410" s="8"/>
      <c r="K6410" s="8"/>
      <c r="L6410" s="8"/>
      <c r="M6410" s="8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  <c r="AA6410" s="8"/>
      <c r="AB6410" s="8"/>
      <c r="AC6410" s="8"/>
      <c r="AD6410" s="8"/>
      <c r="AE6410" s="8"/>
      <c r="AF6410" s="8"/>
      <c r="AG6410" s="10"/>
    </row>
    <row r="6411" spans="1:33">
      <c r="A6411" s="8"/>
      <c r="B6411" s="8"/>
      <c r="C6411" s="8"/>
      <c r="D6411" s="8"/>
      <c r="E6411" s="8"/>
      <c r="F6411" s="8"/>
      <c r="G6411" s="8"/>
      <c r="H6411" s="8"/>
      <c r="I6411" s="8"/>
      <c r="J6411" s="8"/>
      <c r="K6411" s="8"/>
      <c r="L6411" s="8"/>
      <c r="M6411" s="8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  <c r="AA6411" s="8"/>
      <c r="AB6411" s="8"/>
      <c r="AC6411" s="8"/>
      <c r="AD6411" s="8"/>
      <c r="AE6411" s="8"/>
      <c r="AF6411" s="8"/>
      <c r="AG6411" s="10"/>
    </row>
    <row r="6412" spans="1:33">
      <c r="A6412" s="8"/>
      <c r="B6412" s="8"/>
      <c r="C6412" s="8"/>
      <c r="D6412" s="8"/>
      <c r="E6412" s="8"/>
      <c r="F6412" s="8"/>
      <c r="G6412" s="8"/>
      <c r="H6412" s="8"/>
      <c r="I6412" s="8"/>
      <c r="J6412" s="8"/>
      <c r="K6412" s="8"/>
      <c r="L6412" s="8"/>
      <c r="M6412" s="8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  <c r="AA6412" s="8"/>
      <c r="AB6412" s="8"/>
      <c r="AC6412" s="8"/>
      <c r="AD6412" s="8"/>
      <c r="AE6412" s="8"/>
      <c r="AF6412" s="8"/>
      <c r="AG6412" s="10"/>
    </row>
    <row r="6413" spans="1:33">
      <c r="A6413" s="8"/>
      <c r="B6413" s="8"/>
      <c r="C6413" s="8"/>
      <c r="D6413" s="8"/>
      <c r="E6413" s="8"/>
      <c r="F6413" s="8"/>
      <c r="G6413" s="8"/>
      <c r="H6413" s="8"/>
      <c r="I6413" s="8"/>
      <c r="J6413" s="8"/>
      <c r="K6413" s="8"/>
      <c r="L6413" s="8"/>
      <c r="M6413" s="8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  <c r="AA6413" s="8"/>
      <c r="AB6413" s="8"/>
      <c r="AC6413" s="8"/>
      <c r="AD6413" s="8"/>
      <c r="AE6413" s="8"/>
      <c r="AF6413" s="8"/>
      <c r="AG6413" s="10"/>
    </row>
    <row r="6414" spans="1:33">
      <c r="A6414" s="8"/>
      <c r="B6414" s="8"/>
      <c r="C6414" s="8"/>
      <c r="D6414" s="8"/>
      <c r="E6414" s="8"/>
      <c r="F6414" s="8"/>
      <c r="G6414" s="8"/>
      <c r="H6414" s="8"/>
      <c r="I6414" s="8"/>
      <c r="J6414" s="8"/>
      <c r="K6414" s="8"/>
      <c r="L6414" s="8"/>
      <c r="M6414" s="8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  <c r="AA6414" s="8"/>
      <c r="AB6414" s="8"/>
      <c r="AC6414" s="8"/>
      <c r="AD6414" s="8"/>
      <c r="AE6414" s="8"/>
      <c r="AF6414" s="8"/>
      <c r="AG6414" s="10"/>
    </row>
    <row r="6415" spans="1:33">
      <c r="A6415" s="8"/>
      <c r="B6415" s="8"/>
      <c r="C6415" s="8"/>
      <c r="D6415" s="8"/>
      <c r="E6415" s="8"/>
      <c r="F6415" s="8"/>
      <c r="G6415" s="8"/>
      <c r="H6415" s="8"/>
      <c r="I6415" s="8"/>
      <c r="J6415" s="8"/>
      <c r="K6415" s="8"/>
      <c r="L6415" s="8"/>
      <c r="M6415" s="8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  <c r="AA6415" s="8"/>
      <c r="AB6415" s="8"/>
      <c r="AC6415" s="8"/>
      <c r="AD6415" s="8"/>
      <c r="AE6415" s="8"/>
      <c r="AF6415" s="8"/>
      <c r="AG6415" s="10"/>
    </row>
    <row r="6416" spans="1:33">
      <c r="A6416" s="8"/>
      <c r="B6416" s="8"/>
      <c r="C6416" s="8"/>
      <c r="D6416" s="8"/>
      <c r="E6416" s="8"/>
      <c r="F6416" s="8"/>
      <c r="G6416" s="8"/>
      <c r="H6416" s="8"/>
      <c r="I6416" s="8"/>
      <c r="J6416" s="8"/>
      <c r="K6416" s="8"/>
      <c r="L6416" s="8"/>
      <c r="M6416" s="8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  <c r="AA6416" s="8"/>
      <c r="AB6416" s="8"/>
      <c r="AC6416" s="8"/>
      <c r="AD6416" s="8"/>
      <c r="AE6416" s="8"/>
      <c r="AF6416" s="8"/>
      <c r="AG6416" s="10"/>
    </row>
    <row r="6417" spans="1:33">
      <c r="A6417" s="8"/>
      <c r="B6417" s="8"/>
      <c r="C6417" s="8"/>
      <c r="D6417" s="8"/>
      <c r="E6417" s="8"/>
      <c r="F6417" s="8"/>
      <c r="G6417" s="8"/>
      <c r="H6417" s="8"/>
      <c r="I6417" s="8"/>
      <c r="J6417" s="8"/>
      <c r="K6417" s="8"/>
      <c r="L6417" s="8"/>
      <c r="M6417" s="8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  <c r="AA6417" s="8"/>
      <c r="AB6417" s="8"/>
      <c r="AC6417" s="8"/>
      <c r="AD6417" s="8"/>
      <c r="AE6417" s="8"/>
      <c r="AF6417" s="8"/>
      <c r="AG6417" s="10"/>
    </row>
    <row r="6418" spans="1:33">
      <c r="A6418" s="8"/>
      <c r="B6418" s="8"/>
      <c r="C6418" s="8"/>
      <c r="D6418" s="8"/>
      <c r="E6418" s="8"/>
      <c r="F6418" s="8"/>
      <c r="G6418" s="8"/>
      <c r="H6418" s="8"/>
      <c r="I6418" s="8"/>
      <c r="J6418" s="8"/>
      <c r="K6418" s="8"/>
      <c r="L6418" s="8"/>
      <c r="M6418" s="8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  <c r="AA6418" s="8"/>
      <c r="AB6418" s="8"/>
      <c r="AC6418" s="8"/>
      <c r="AD6418" s="8"/>
      <c r="AE6418" s="8"/>
      <c r="AF6418" s="8"/>
      <c r="AG6418" s="10"/>
    </row>
    <row r="6419" spans="1:33">
      <c r="A6419" s="8"/>
      <c r="B6419" s="8"/>
      <c r="C6419" s="8"/>
      <c r="D6419" s="8"/>
      <c r="E6419" s="8"/>
      <c r="F6419" s="8"/>
      <c r="G6419" s="8"/>
      <c r="H6419" s="8"/>
      <c r="I6419" s="8"/>
      <c r="J6419" s="8"/>
      <c r="K6419" s="8"/>
      <c r="L6419" s="8"/>
      <c r="M6419" s="8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  <c r="AA6419" s="8"/>
      <c r="AB6419" s="8"/>
      <c r="AC6419" s="8"/>
      <c r="AD6419" s="8"/>
      <c r="AE6419" s="8"/>
      <c r="AF6419" s="8"/>
      <c r="AG6419" s="10"/>
    </row>
    <row r="6420" spans="1:33">
      <c r="A6420" s="8"/>
      <c r="B6420" s="8"/>
      <c r="C6420" s="8"/>
      <c r="D6420" s="8"/>
      <c r="E6420" s="8"/>
      <c r="F6420" s="8"/>
      <c r="G6420" s="8"/>
      <c r="H6420" s="8"/>
      <c r="I6420" s="8"/>
      <c r="J6420" s="8"/>
      <c r="K6420" s="8"/>
      <c r="L6420" s="8"/>
      <c r="M6420" s="8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  <c r="AA6420" s="8"/>
      <c r="AB6420" s="8"/>
      <c r="AC6420" s="8"/>
      <c r="AD6420" s="8"/>
      <c r="AE6420" s="8"/>
      <c r="AF6420" s="8"/>
      <c r="AG6420" s="10"/>
    </row>
    <row r="6421" spans="1:33">
      <c r="A6421" s="8"/>
      <c r="B6421" s="8"/>
      <c r="C6421" s="8"/>
      <c r="D6421" s="8"/>
      <c r="E6421" s="8"/>
      <c r="F6421" s="8"/>
      <c r="G6421" s="8"/>
      <c r="H6421" s="8"/>
      <c r="I6421" s="8"/>
      <c r="J6421" s="8"/>
      <c r="K6421" s="8"/>
      <c r="L6421" s="8"/>
      <c r="M6421" s="8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  <c r="AA6421" s="8"/>
      <c r="AB6421" s="8"/>
      <c r="AC6421" s="8"/>
      <c r="AD6421" s="8"/>
      <c r="AE6421" s="8"/>
      <c r="AF6421" s="8"/>
      <c r="AG6421" s="10"/>
    </row>
    <row r="6422" spans="1:33">
      <c r="A6422" s="8"/>
      <c r="B6422" s="8"/>
      <c r="C6422" s="8"/>
      <c r="D6422" s="8"/>
      <c r="E6422" s="8"/>
      <c r="F6422" s="8"/>
      <c r="G6422" s="8"/>
      <c r="H6422" s="8"/>
      <c r="I6422" s="8"/>
      <c r="J6422" s="8"/>
      <c r="K6422" s="8"/>
      <c r="L6422" s="8"/>
      <c r="M6422" s="8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  <c r="AA6422" s="8"/>
      <c r="AB6422" s="8"/>
      <c r="AC6422" s="8"/>
      <c r="AD6422" s="8"/>
      <c r="AE6422" s="8"/>
      <c r="AF6422" s="8"/>
      <c r="AG6422" s="10"/>
    </row>
    <row r="6423" spans="1:33">
      <c r="A6423" s="8"/>
      <c r="B6423" s="8"/>
      <c r="C6423" s="8"/>
      <c r="D6423" s="8"/>
      <c r="E6423" s="8"/>
      <c r="F6423" s="8"/>
      <c r="G6423" s="8"/>
      <c r="H6423" s="8"/>
      <c r="I6423" s="8"/>
      <c r="J6423" s="8"/>
      <c r="K6423" s="8"/>
      <c r="L6423" s="8"/>
      <c r="M6423" s="8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  <c r="AA6423" s="8"/>
      <c r="AB6423" s="8"/>
      <c r="AC6423" s="8"/>
      <c r="AD6423" s="8"/>
      <c r="AE6423" s="8"/>
      <c r="AF6423" s="8"/>
      <c r="AG6423" s="10"/>
    </row>
    <row r="6424" spans="1:33">
      <c r="A6424" s="8"/>
      <c r="B6424" s="8"/>
      <c r="C6424" s="8"/>
      <c r="D6424" s="8"/>
      <c r="E6424" s="8"/>
      <c r="F6424" s="8"/>
      <c r="G6424" s="8"/>
      <c r="H6424" s="8"/>
      <c r="I6424" s="8"/>
      <c r="J6424" s="8"/>
      <c r="K6424" s="8"/>
      <c r="L6424" s="8"/>
      <c r="M6424" s="8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  <c r="AA6424" s="8"/>
      <c r="AB6424" s="8"/>
      <c r="AC6424" s="8"/>
      <c r="AD6424" s="8"/>
      <c r="AE6424" s="8"/>
      <c r="AF6424" s="8"/>
      <c r="AG6424" s="10"/>
    </row>
    <row r="6425" spans="1:33">
      <c r="A6425" s="8"/>
      <c r="B6425" s="8"/>
      <c r="C6425" s="8"/>
      <c r="D6425" s="8"/>
      <c r="E6425" s="8"/>
      <c r="F6425" s="8"/>
      <c r="G6425" s="8"/>
      <c r="H6425" s="8"/>
      <c r="I6425" s="8"/>
      <c r="J6425" s="8"/>
      <c r="K6425" s="8"/>
      <c r="L6425" s="8"/>
      <c r="M6425" s="8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  <c r="AA6425" s="8"/>
      <c r="AB6425" s="8"/>
      <c r="AC6425" s="8"/>
      <c r="AD6425" s="8"/>
      <c r="AE6425" s="8"/>
      <c r="AF6425" s="8"/>
      <c r="AG6425" s="10"/>
    </row>
    <row r="6426" spans="1:33">
      <c r="A6426" s="8"/>
      <c r="B6426" s="8"/>
      <c r="C6426" s="8"/>
      <c r="D6426" s="8"/>
      <c r="E6426" s="8"/>
      <c r="F6426" s="8"/>
      <c r="G6426" s="8"/>
      <c r="H6426" s="8"/>
      <c r="I6426" s="8"/>
      <c r="J6426" s="8"/>
      <c r="K6426" s="8"/>
      <c r="L6426" s="8"/>
      <c r="M6426" s="8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  <c r="AA6426" s="8"/>
      <c r="AB6426" s="8"/>
      <c r="AC6426" s="8"/>
      <c r="AD6426" s="8"/>
      <c r="AE6426" s="8"/>
      <c r="AF6426" s="8"/>
      <c r="AG6426" s="10"/>
    </row>
    <row r="6427" spans="1:33">
      <c r="A6427" s="8"/>
      <c r="B6427" s="8"/>
      <c r="C6427" s="8"/>
      <c r="D6427" s="8"/>
      <c r="E6427" s="8"/>
      <c r="F6427" s="8"/>
      <c r="G6427" s="8"/>
      <c r="H6427" s="8"/>
      <c r="I6427" s="8"/>
      <c r="J6427" s="8"/>
      <c r="K6427" s="8"/>
      <c r="L6427" s="8"/>
      <c r="M6427" s="8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  <c r="AA6427" s="8"/>
      <c r="AB6427" s="8"/>
      <c r="AC6427" s="8"/>
      <c r="AD6427" s="8"/>
      <c r="AE6427" s="8"/>
      <c r="AF6427" s="8"/>
      <c r="AG6427" s="10"/>
    </row>
    <row r="6428" spans="1:33">
      <c r="A6428" s="8"/>
      <c r="B6428" s="8"/>
      <c r="C6428" s="8"/>
      <c r="D6428" s="8"/>
      <c r="E6428" s="8"/>
      <c r="F6428" s="8"/>
      <c r="G6428" s="8"/>
      <c r="H6428" s="8"/>
      <c r="I6428" s="8"/>
      <c r="J6428" s="8"/>
      <c r="K6428" s="8"/>
      <c r="L6428" s="8"/>
      <c r="M6428" s="8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  <c r="AA6428" s="8"/>
      <c r="AB6428" s="8"/>
      <c r="AC6428" s="8"/>
      <c r="AD6428" s="8"/>
      <c r="AE6428" s="8"/>
      <c r="AF6428" s="8"/>
      <c r="AG6428" s="10"/>
    </row>
    <row r="6429" spans="1:33">
      <c r="A6429" s="8"/>
      <c r="B6429" s="8"/>
      <c r="C6429" s="8"/>
      <c r="D6429" s="8"/>
      <c r="E6429" s="8"/>
      <c r="F6429" s="8"/>
      <c r="G6429" s="8"/>
      <c r="H6429" s="8"/>
      <c r="I6429" s="8"/>
      <c r="J6429" s="8"/>
      <c r="K6429" s="8"/>
      <c r="L6429" s="8"/>
      <c r="M6429" s="8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  <c r="AA6429" s="8"/>
      <c r="AB6429" s="8"/>
      <c r="AC6429" s="8"/>
      <c r="AD6429" s="8"/>
      <c r="AE6429" s="8"/>
      <c r="AF6429" s="8"/>
      <c r="AG6429" s="10"/>
    </row>
    <row r="6430" spans="1:33">
      <c r="A6430" s="8"/>
      <c r="B6430" s="8"/>
      <c r="C6430" s="8"/>
      <c r="D6430" s="8"/>
      <c r="E6430" s="8"/>
      <c r="F6430" s="8"/>
      <c r="G6430" s="8"/>
      <c r="H6430" s="8"/>
      <c r="I6430" s="8"/>
      <c r="J6430" s="8"/>
      <c r="K6430" s="8"/>
      <c r="L6430" s="8"/>
      <c r="M6430" s="8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  <c r="AA6430" s="8"/>
      <c r="AB6430" s="8"/>
      <c r="AC6430" s="8"/>
      <c r="AD6430" s="8"/>
      <c r="AE6430" s="8"/>
      <c r="AF6430" s="8"/>
      <c r="AG6430" s="10"/>
    </row>
    <row r="6431" spans="1:33">
      <c r="A6431" s="8"/>
      <c r="B6431" s="8"/>
      <c r="C6431" s="8"/>
      <c r="D6431" s="8"/>
      <c r="E6431" s="8"/>
      <c r="F6431" s="8"/>
      <c r="G6431" s="8"/>
      <c r="H6431" s="8"/>
      <c r="I6431" s="8"/>
      <c r="J6431" s="8"/>
      <c r="K6431" s="8"/>
      <c r="L6431" s="8"/>
      <c r="M6431" s="8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  <c r="AA6431" s="8"/>
      <c r="AB6431" s="8"/>
      <c r="AC6431" s="8"/>
      <c r="AD6431" s="8"/>
      <c r="AE6431" s="8"/>
      <c r="AF6431" s="8"/>
      <c r="AG6431" s="10"/>
    </row>
    <row r="6432" spans="1:33">
      <c r="A6432" s="8"/>
      <c r="B6432" s="8"/>
      <c r="C6432" s="8"/>
      <c r="D6432" s="8"/>
      <c r="E6432" s="8"/>
      <c r="F6432" s="8"/>
      <c r="G6432" s="8"/>
      <c r="H6432" s="8"/>
      <c r="I6432" s="8"/>
      <c r="J6432" s="8"/>
      <c r="K6432" s="8"/>
      <c r="L6432" s="8"/>
      <c r="M6432" s="8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  <c r="AA6432" s="8"/>
      <c r="AB6432" s="8"/>
      <c r="AC6432" s="8"/>
      <c r="AD6432" s="8"/>
      <c r="AE6432" s="8"/>
      <c r="AF6432" s="8"/>
      <c r="AG6432" s="10"/>
    </row>
    <row r="6433" spans="1:33">
      <c r="A6433" s="8"/>
      <c r="B6433" s="8"/>
      <c r="C6433" s="8"/>
      <c r="D6433" s="8"/>
      <c r="E6433" s="8"/>
      <c r="F6433" s="8"/>
      <c r="G6433" s="8"/>
      <c r="H6433" s="8"/>
      <c r="I6433" s="8"/>
      <c r="J6433" s="8"/>
      <c r="K6433" s="8"/>
      <c r="L6433" s="8"/>
      <c r="M6433" s="8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  <c r="AA6433" s="8"/>
      <c r="AB6433" s="8"/>
      <c r="AC6433" s="8"/>
      <c r="AD6433" s="8"/>
      <c r="AE6433" s="8"/>
      <c r="AF6433" s="8"/>
      <c r="AG6433" s="10"/>
    </row>
    <row r="6434" spans="1:33">
      <c r="A6434" s="8"/>
      <c r="B6434" s="8"/>
      <c r="C6434" s="8"/>
      <c r="D6434" s="8"/>
      <c r="E6434" s="8"/>
      <c r="F6434" s="8"/>
      <c r="G6434" s="8"/>
      <c r="H6434" s="8"/>
      <c r="I6434" s="8"/>
      <c r="J6434" s="8"/>
      <c r="K6434" s="8"/>
      <c r="L6434" s="8"/>
      <c r="M6434" s="8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  <c r="AA6434" s="8"/>
      <c r="AB6434" s="8"/>
      <c r="AC6434" s="8"/>
      <c r="AD6434" s="8"/>
      <c r="AE6434" s="8"/>
      <c r="AF6434" s="8"/>
      <c r="AG6434" s="10"/>
    </row>
    <row r="6435" spans="1:33">
      <c r="A6435" s="8"/>
      <c r="B6435" s="8"/>
      <c r="C6435" s="8"/>
      <c r="D6435" s="8"/>
      <c r="E6435" s="8"/>
      <c r="F6435" s="8"/>
      <c r="G6435" s="8"/>
      <c r="H6435" s="8"/>
      <c r="I6435" s="8"/>
      <c r="J6435" s="8"/>
      <c r="K6435" s="8"/>
      <c r="L6435" s="8"/>
      <c r="M6435" s="8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  <c r="AA6435" s="8"/>
      <c r="AB6435" s="8"/>
      <c r="AC6435" s="8"/>
      <c r="AD6435" s="8"/>
      <c r="AE6435" s="8"/>
      <c r="AF6435" s="8"/>
      <c r="AG6435" s="10"/>
    </row>
    <row r="6436" spans="1:33">
      <c r="A6436" s="8"/>
      <c r="B6436" s="8"/>
      <c r="C6436" s="8"/>
      <c r="D6436" s="8"/>
      <c r="E6436" s="8"/>
      <c r="F6436" s="8"/>
      <c r="G6436" s="8"/>
      <c r="H6436" s="8"/>
      <c r="I6436" s="8"/>
      <c r="J6436" s="8"/>
      <c r="K6436" s="8"/>
      <c r="L6436" s="8"/>
      <c r="M6436" s="8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  <c r="AA6436" s="8"/>
      <c r="AB6436" s="8"/>
      <c r="AC6436" s="8"/>
      <c r="AD6436" s="8"/>
      <c r="AE6436" s="8"/>
      <c r="AF6436" s="8"/>
      <c r="AG6436" s="10"/>
    </row>
    <row r="6437" spans="1:33">
      <c r="A6437" s="8"/>
      <c r="B6437" s="8"/>
      <c r="C6437" s="8"/>
      <c r="D6437" s="8"/>
      <c r="E6437" s="8"/>
      <c r="F6437" s="8"/>
      <c r="G6437" s="8"/>
      <c r="H6437" s="8"/>
      <c r="I6437" s="8"/>
      <c r="J6437" s="8"/>
      <c r="K6437" s="8"/>
      <c r="L6437" s="8"/>
      <c r="M6437" s="8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  <c r="AA6437" s="8"/>
      <c r="AB6437" s="8"/>
      <c r="AC6437" s="8"/>
      <c r="AD6437" s="8"/>
      <c r="AE6437" s="8"/>
      <c r="AF6437" s="8"/>
      <c r="AG6437" s="10"/>
    </row>
    <row r="6438" spans="1:33">
      <c r="A6438" s="8"/>
      <c r="B6438" s="8"/>
      <c r="C6438" s="8"/>
      <c r="D6438" s="8"/>
      <c r="E6438" s="8"/>
      <c r="F6438" s="8"/>
      <c r="G6438" s="8"/>
      <c r="H6438" s="8"/>
      <c r="I6438" s="8"/>
      <c r="J6438" s="8"/>
      <c r="K6438" s="8"/>
      <c r="L6438" s="8"/>
      <c r="M6438" s="8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  <c r="AA6438" s="8"/>
      <c r="AB6438" s="8"/>
      <c r="AC6438" s="8"/>
      <c r="AD6438" s="8"/>
      <c r="AE6438" s="8"/>
      <c r="AF6438" s="8"/>
      <c r="AG6438" s="10"/>
    </row>
    <row r="6439" spans="1:33">
      <c r="A6439" s="8"/>
      <c r="B6439" s="8"/>
      <c r="C6439" s="8"/>
      <c r="D6439" s="8"/>
      <c r="E6439" s="8"/>
      <c r="F6439" s="8"/>
      <c r="G6439" s="8"/>
      <c r="H6439" s="8"/>
      <c r="I6439" s="8"/>
      <c r="J6439" s="8"/>
      <c r="K6439" s="8"/>
      <c r="L6439" s="8"/>
      <c r="M6439" s="8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  <c r="AA6439" s="8"/>
      <c r="AB6439" s="8"/>
      <c r="AC6439" s="8"/>
      <c r="AD6439" s="8"/>
      <c r="AE6439" s="8"/>
      <c r="AF6439" s="8"/>
      <c r="AG6439" s="10"/>
    </row>
    <row r="6440" spans="1:33">
      <c r="A6440" s="8"/>
      <c r="B6440" s="8"/>
      <c r="C6440" s="8"/>
      <c r="D6440" s="8"/>
      <c r="E6440" s="8"/>
      <c r="F6440" s="8"/>
      <c r="G6440" s="8"/>
      <c r="H6440" s="8"/>
      <c r="I6440" s="8"/>
      <c r="J6440" s="8"/>
      <c r="K6440" s="8"/>
      <c r="L6440" s="8"/>
      <c r="M6440" s="8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  <c r="AA6440" s="8"/>
      <c r="AB6440" s="8"/>
      <c r="AC6440" s="8"/>
      <c r="AD6440" s="8"/>
      <c r="AE6440" s="8"/>
      <c r="AF6440" s="8"/>
      <c r="AG6440" s="10"/>
    </row>
    <row r="6441" spans="1:33">
      <c r="A6441" s="8"/>
      <c r="B6441" s="8"/>
      <c r="C6441" s="8"/>
      <c r="D6441" s="8"/>
      <c r="E6441" s="8"/>
      <c r="F6441" s="8"/>
      <c r="G6441" s="8"/>
      <c r="H6441" s="8"/>
      <c r="I6441" s="8"/>
      <c r="J6441" s="8"/>
      <c r="K6441" s="8"/>
      <c r="L6441" s="8"/>
      <c r="M6441" s="8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  <c r="AA6441" s="8"/>
      <c r="AB6441" s="8"/>
      <c r="AC6441" s="8"/>
      <c r="AD6441" s="8"/>
      <c r="AE6441" s="8"/>
      <c r="AF6441" s="8"/>
      <c r="AG6441" s="10"/>
    </row>
    <row r="6442" spans="1:33">
      <c r="A6442" s="8"/>
      <c r="B6442" s="8"/>
      <c r="C6442" s="8"/>
      <c r="D6442" s="8"/>
      <c r="E6442" s="8"/>
      <c r="F6442" s="8"/>
      <c r="G6442" s="8"/>
      <c r="H6442" s="8"/>
      <c r="I6442" s="8"/>
      <c r="J6442" s="8"/>
      <c r="K6442" s="8"/>
      <c r="L6442" s="8"/>
      <c r="M6442" s="8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  <c r="AA6442" s="8"/>
      <c r="AB6442" s="8"/>
      <c r="AC6442" s="8"/>
      <c r="AD6442" s="8"/>
      <c r="AE6442" s="8"/>
      <c r="AF6442" s="8"/>
      <c r="AG6442" s="10"/>
    </row>
    <row r="6443" spans="1:33">
      <c r="A6443" s="8"/>
      <c r="B6443" s="8"/>
      <c r="C6443" s="8"/>
      <c r="D6443" s="8"/>
      <c r="E6443" s="8"/>
      <c r="F6443" s="8"/>
      <c r="G6443" s="8"/>
      <c r="H6443" s="8"/>
      <c r="I6443" s="8"/>
      <c r="J6443" s="8"/>
      <c r="K6443" s="8"/>
      <c r="L6443" s="8"/>
      <c r="M6443" s="8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  <c r="AA6443" s="8"/>
      <c r="AB6443" s="8"/>
      <c r="AC6443" s="8"/>
      <c r="AD6443" s="8"/>
      <c r="AE6443" s="8"/>
      <c r="AF6443" s="8"/>
      <c r="AG6443" s="10"/>
    </row>
    <row r="6444" spans="1:33">
      <c r="A6444" s="8"/>
      <c r="B6444" s="8"/>
      <c r="C6444" s="8"/>
      <c r="D6444" s="8"/>
      <c r="E6444" s="8"/>
      <c r="F6444" s="8"/>
      <c r="G6444" s="8"/>
      <c r="H6444" s="8"/>
      <c r="I6444" s="8"/>
      <c r="J6444" s="8"/>
      <c r="K6444" s="8"/>
      <c r="L6444" s="8"/>
      <c r="M6444" s="8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  <c r="AA6444" s="8"/>
      <c r="AB6444" s="8"/>
      <c r="AC6444" s="8"/>
      <c r="AD6444" s="8"/>
      <c r="AE6444" s="8"/>
      <c r="AF6444" s="8"/>
      <c r="AG6444" s="10"/>
    </row>
    <row r="6445" spans="1:33">
      <c r="A6445" s="8"/>
      <c r="B6445" s="8"/>
      <c r="C6445" s="8"/>
      <c r="D6445" s="8"/>
      <c r="E6445" s="8"/>
      <c r="F6445" s="8"/>
      <c r="G6445" s="8"/>
      <c r="H6445" s="8"/>
      <c r="I6445" s="8"/>
      <c r="J6445" s="8"/>
      <c r="K6445" s="8"/>
      <c r="L6445" s="8"/>
      <c r="M6445" s="8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  <c r="AA6445" s="8"/>
      <c r="AB6445" s="8"/>
      <c r="AC6445" s="8"/>
      <c r="AD6445" s="8"/>
      <c r="AE6445" s="8"/>
      <c r="AF6445" s="8"/>
      <c r="AG6445" s="10"/>
    </row>
    <row r="6446" spans="1:33">
      <c r="A6446" s="8"/>
      <c r="B6446" s="8"/>
      <c r="C6446" s="8"/>
      <c r="D6446" s="8"/>
      <c r="E6446" s="8"/>
      <c r="F6446" s="8"/>
      <c r="G6446" s="8"/>
      <c r="H6446" s="8"/>
      <c r="I6446" s="8"/>
      <c r="J6446" s="8"/>
      <c r="K6446" s="8"/>
      <c r="L6446" s="8"/>
      <c r="M6446" s="8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  <c r="AA6446" s="8"/>
      <c r="AB6446" s="8"/>
      <c r="AC6446" s="8"/>
      <c r="AD6446" s="8"/>
      <c r="AE6446" s="8"/>
      <c r="AF6446" s="8"/>
      <c r="AG6446" s="10"/>
    </row>
    <row r="6447" spans="1:33">
      <c r="A6447" s="8"/>
      <c r="B6447" s="8"/>
      <c r="C6447" s="8"/>
      <c r="D6447" s="8"/>
      <c r="E6447" s="8"/>
      <c r="F6447" s="8"/>
      <c r="G6447" s="8"/>
      <c r="H6447" s="8"/>
      <c r="I6447" s="8"/>
      <c r="J6447" s="8"/>
      <c r="K6447" s="8"/>
      <c r="L6447" s="8"/>
      <c r="M6447" s="8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  <c r="AA6447" s="8"/>
      <c r="AB6447" s="8"/>
      <c r="AC6447" s="8"/>
      <c r="AD6447" s="8"/>
      <c r="AE6447" s="8"/>
      <c r="AF6447" s="8"/>
      <c r="AG6447" s="10"/>
    </row>
    <row r="6448" spans="1:33">
      <c r="A6448" s="8"/>
      <c r="B6448" s="8"/>
      <c r="C6448" s="8"/>
      <c r="D6448" s="8"/>
      <c r="E6448" s="8"/>
      <c r="F6448" s="8"/>
      <c r="G6448" s="8"/>
      <c r="H6448" s="8"/>
      <c r="I6448" s="8"/>
      <c r="J6448" s="8"/>
      <c r="K6448" s="8"/>
      <c r="L6448" s="8"/>
      <c r="M6448" s="8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  <c r="AA6448" s="8"/>
      <c r="AB6448" s="8"/>
      <c r="AC6448" s="8"/>
      <c r="AD6448" s="8"/>
      <c r="AE6448" s="8"/>
      <c r="AF6448" s="8"/>
      <c r="AG6448" s="10"/>
    </row>
    <row r="6449" spans="1:33">
      <c r="A6449" s="8"/>
      <c r="B6449" s="8"/>
      <c r="C6449" s="8"/>
      <c r="D6449" s="8"/>
      <c r="E6449" s="8"/>
      <c r="F6449" s="8"/>
      <c r="G6449" s="8"/>
      <c r="H6449" s="8"/>
      <c r="I6449" s="8"/>
      <c r="J6449" s="8"/>
      <c r="K6449" s="8"/>
      <c r="L6449" s="8"/>
      <c r="M6449" s="8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  <c r="AA6449" s="8"/>
      <c r="AB6449" s="8"/>
      <c r="AC6449" s="8"/>
      <c r="AD6449" s="8"/>
      <c r="AE6449" s="8"/>
      <c r="AF6449" s="8"/>
      <c r="AG6449" s="10"/>
    </row>
    <row r="6450" spans="1:33">
      <c r="A6450" s="8"/>
      <c r="B6450" s="8"/>
      <c r="C6450" s="8"/>
      <c r="D6450" s="8"/>
      <c r="E6450" s="8"/>
      <c r="F6450" s="8"/>
      <c r="G6450" s="8"/>
      <c r="H6450" s="8"/>
      <c r="I6450" s="8"/>
      <c r="J6450" s="8"/>
      <c r="K6450" s="8"/>
      <c r="L6450" s="8"/>
      <c r="M6450" s="8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  <c r="AA6450" s="8"/>
      <c r="AB6450" s="8"/>
      <c r="AC6450" s="8"/>
      <c r="AD6450" s="8"/>
      <c r="AE6450" s="8"/>
      <c r="AF6450" s="8"/>
      <c r="AG6450" s="10"/>
    </row>
    <row r="6451" spans="1:33">
      <c r="A6451" s="8"/>
      <c r="B6451" s="8"/>
      <c r="C6451" s="8"/>
      <c r="D6451" s="8"/>
      <c r="E6451" s="8"/>
      <c r="F6451" s="8"/>
      <c r="G6451" s="8"/>
      <c r="H6451" s="8"/>
      <c r="I6451" s="8"/>
      <c r="J6451" s="8"/>
      <c r="K6451" s="8"/>
      <c r="L6451" s="8"/>
      <c r="M6451" s="8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  <c r="AA6451" s="8"/>
      <c r="AB6451" s="8"/>
      <c r="AC6451" s="8"/>
      <c r="AD6451" s="8"/>
      <c r="AE6451" s="8"/>
      <c r="AF6451" s="8"/>
      <c r="AG6451" s="10"/>
    </row>
    <row r="6452" spans="1:33">
      <c r="A6452" s="8"/>
      <c r="B6452" s="8"/>
      <c r="C6452" s="8"/>
      <c r="D6452" s="8"/>
      <c r="E6452" s="8"/>
      <c r="F6452" s="8"/>
      <c r="G6452" s="8"/>
      <c r="H6452" s="8"/>
      <c r="I6452" s="8"/>
      <c r="J6452" s="8"/>
      <c r="K6452" s="8"/>
      <c r="L6452" s="8"/>
      <c r="M6452" s="8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  <c r="AA6452" s="8"/>
      <c r="AB6452" s="8"/>
      <c r="AC6452" s="8"/>
      <c r="AD6452" s="8"/>
      <c r="AE6452" s="8"/>
      <c r="AF6452" s="8"/>
      <c r="AG6452" s="10"/>
    </row>
    <row r="6453" spans="1:33">
      <c r="A6453" s="8"/>
      <c r="B6453" s="8"/>
      <c r="C6453" s="8"/>
      <c r="D6453" s="8"/>
      <c r="E6453" s="8"/>
      <c r="F6453" s="8"/>
      <c r="G6453" s="8"/>
      <c r="H6453" s="8"/>
      <c r="I6453" s="8"/>
      <c r="J6453" s="8"/>
      <c r="K6453" s="8"/>
      <c r="L6453" s="8"/>
      <c r="M6453" s="8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  <c r="AA6453" s="8"/>
      <c r="AB6453" s="8"/>
      <c r="AC6453" s="8"/>
      <c r="AD6453" s="8"/>
      <c r="AE6453" s="8"/>
      <c r="AF6453" s="8"/>
      <c r="AG6453" s="10"/>
    </row>
    <row r="6454" spans="1:33">
      <c r="A6454" s="8"/>
      <c r="B6454" s="8"/>
      <c r="C6454" s="8"/>
      <c r="D6454" s="8"/>
      <c r="E6454" s="8"/>
      <c r="F6454" s="8"/>
      <c r="G6454" s="8"/>
      <c r="H6454" s="8"/>
      <c r="I6454" s="8"/>
      <c r="J6454" s="8"/>
      <c r="K6454" s="8"/>
      <c r="L6454" s="8"/>
      <c r="M6454" s="8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  <c r="AA6454" s="8"/>
      <c r="AB6454" s="8"/>
      <c r="AC6454" s="8"/>
      <c r="AD6454" s="8"/>
      <c r="AE6454" s="8"/>
      <c r="AF6454" s="8"/>
      <c r="AG6454" s="10"/>
    </row>
    <row r="6455" spans="1:33">
      <c r="A6455" s="8"/>
      <c r="B6455" s="8"/>
      <c r="C6455" s="8"/>
      <c r="D6455" s="8"/>
      <c r="E6455" s="8"/>
      <c r="F6455" s="8"/>
      <c r="G6455" s="8"/>
      <c r="H6455" s="8"/>
      <c r="I6455" s="8"/>
      <c r="J6455" s="8"/>
      <c r="K6455" s="8"/>
      <c r="L6455" s="8"/>
      <c r="M6455" s="8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  <c r="AA6455" s="8"/>
      <c r="AB6455" s="8"/>
      <c r="AC6455" s="8"/>
      <c r="AD6455" s="8"/>
      <c r="AE6455" s="8"/>
      <c r="AF6455" s="8"/>
      <c r="AG6455" s="10"/>
    </row>
    <row r="6456" spans="1:33">
      <c r="A6456" s="8"/>
      <c r="B6456" s="8"/>
      <c r="C6456" s="8"/>
      <c r="D6456" s="8"/>
      <c r="E6456" s="8"/>
      <c r="F6456" s="8"/>
      <c r="G6456" s="8"/>
      <c r="H6456" s="8"/>
      <c r="I6456" s="8"/>
      <c r="J6456" s="8"/>
      <c r="K6456" s="8"/>
      <c r="L6456" s="8"/>
      <c r="M6456" s="8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  <c r="AA6456" s="8"/>
      <c r="AB6456" s="8"/>
      <c r="AC6456" s="8"/>
      <c r="AD6456" s="8"/>
      <c r="AE6456" s="8"/>
      <c r="AF6456" s="8"/>
      <c r="AG6456" s="10"/>
    </row>
    <row r="6457" spans="1:33">
      <c r="A6457" s="8"/>
      <c r="B6457" s="8"/>
      <c r="C6457" s="8"/>
      <c r="D6457" s="8"/>
      <c r="E6457" s="8"/>
      <c r="F6457" s="8"/>
      <c r="G6457" s="8"/>
      <c r="H6457" s="8"/>
      <c r="I6457" s="8"/>
      <c r="J6457" s="8"/>
      <c r="K6457" s="8"/>
      <c r="L6457" s="8"/>
      <c r="M6457" s="8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  <c r="AA6457" s="8"/>
      <c r="AB6457" s="8"/>
      <c r="AC6457" s="8"/>
      <c r="AD6457" s="8"/>
      <c r="AE6457" s="8"/>
      <c r="AF6457" s="8"/>
      <c r="AG6457" s="10"/>
    </row>
    <row r="6458" spans="1:33">
      <c r="A6458" s="8"/>
      <c r="B6458" s="8"/>
      <c r="C6458" s="8"/>
      <c r="D6458" s="8"/>
      <c r="E6458" s="8"/>
      <c r="F6458" s="8"/>
      <c r="G6458" s="8"/>
      <c r="H6458" s="8"/>
      <c r="I6458" s="8"/>
      <c r="J6458" s="8"/>
      <c r="K6458" s="8"/>
      <c r="L6458" s="8"/>
      <c r="M6458" s="8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  <c r="AA6458" s="8"/>
      <c r="AB6458" s="8"/>
      <c r="AC6458" s="8"/>
      <c r="AD6458" s="8"/>
      <c r="AE6458" s="8"/>
      <c r="AF6458" s="8"/>
      <c r="AG6458" s="10"/>
    </row>
    <row r="6459" spans="1:33">
      <c r="A6459" s="8"/>
      <c r="B6459" s="8"/>
      <c r="C6459" s="8"/>
      <c r="D6459" s="8"/>
      <c r="E6459" s="8"/>
      <c r="F6459" s="8"/>
      <c r="G6459" s="8"/>
      <c r="H6459" s="8"/>
      <c r="I6459" s="8"/>
      <c r="J6459" s="8"/>
      <c r="K6459" s="8"/>
      <c r="L6459" s="8"/>
      <c r="M6459" s="8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  <c r="AA6459" s="8"/>
      <c r="AB6459" s="8"/>
      <c r="AC6459" s="8"/>
      <c r="AD6459" s="8"/>
      <c r="AE6459" s="8"/>
      <c r="AF6459" s="8"/>
      <c r="AG6459" s="10"/>
    </row>
    <row r="6460" spans="1:33">
      <c r="A6460" s="8"/>
      <c r="B6460" s="8"/>
      <c r="C6460" s="8"/>
      <c r="D6460" s="8"/>
      <c r="E6460" s="8"/>
      <c r="F6460" s="8"/>
      <c r="G6460" s="8"/>
      <c r="H6460" s="8"/>
      <c r="I6460" s="8"/>
      <c r="J6460" s="8"/>
      <c r="K6460" s="8"/>
      <c r="L6460" s="8"/>
      <c r="M6460" s="8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  <c r="AA6460" s="8"/>
      <c r="AB6460" s="8"/>
      <c r="AC6460" s="8"/>
      <c r="AD6460" s="8"/>
      <c r="AE6460" s="8"/>
      <c r="AF6460" s="8"/>
      <c r="AG6460" s="10"/>
    </row>
    <row r="6461" spans="1:33">
      <c r="A6461" s="8"/>
      <c r="B6461" s="8"/>
      <c r="C6461" s="8"/>
      <c r="D6461" s="8"/>
      <c r="E6461" s="8"/>
      <c r="F6461" s="8"/>
      <c r="G6461" s="8"/>
      <c r="H6461" s="8"/>
      <c r="I6461" s="8"/>
      <c r="J6461" s="8"/>
      <c r="K6461" s="8"/>
      <c r="L6461" s="8"/>
      <c r="M6461" s="8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  <c r="AA6461" s="8"/>
      <c r="AB6461" s="8"/>
      <c r="AC6461" s="8"/>
      <c r="AD6461" s="8"/>
      <c r="AE6461" s="8"/>
      <c r="AF6461" s="8"/>
      <c r="AG6461" s="10"/>
    </row>
    <row r="6462" spans="1:33">
      <c r="A6462" s="8"/>
      <c r="B6462" s="8"/>
      <c r="C6462" s="8"/>
      <c r="D6462" s="8"/>
      <c r="E6462" s="8"/>
      <c r="F6462" s="8"/>
      <c r="G6462" s="8"/>
      <c r="H6462" s="8"/>
      <c r="I6462" s="8"/>
      <c r="J6462" s="8"/>
      <c r="K6462" s="8"/>
      <c r="L6462" s="8"/>
      <c r="M6462" s="8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  <c r="AA6462" s="8"/>
      <c r="AB6462" s="8"/>
      <c r="AC6462" s="8"/>
      <c r="AD6462" s="8"/>
      <c r="AE6462" s="8"/>
      <c r="AF6462" s="8"/>
      <c r="AG6462" s="10"/>
    </row>
    <row r="6463" spans="1:33">
      <c r="A6463" s="8"/>
      <c r="B6463" s="8"/>
      <c r="C6463" s="8"/>
      <c r="D6463" s="8"/>
      <c r="E6463" s="8"/>
      <c r="F6463" s="8"/>
      <c r="G6463" s="8"/>
      <c r="H6463" s="8"/>
      <c r="I6463" s="8"/>
      <c r="J6463" s="8"/>
      <c r="K6463" s="8"/>
      <c r="L6463" s="8"/>
      <c r="M6463" s="8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  <c r="AA6463" s="8"/>
      <c r="AB6463" s="8"/>
      <c r="AC6463" s="8"/>
      <c r="AD6463" s="8"/>
      <c r="AE6463" s="8"/>
      <c r="AF6463" s="8"/>
      <c r="AG6463" s="10"/>
    </row>
    <row r="6464" spans="1:33">
      <c r="A6464" s="8"/>
      <c r="B6464" s="8"/>
      <c r="C6464" s="8"/>
      <c r="D6464" s="8"/>
      <c r="E6464" s="8"/>
      <c r="F6464" s="8"/>
      <c r="G6464" s="8"/>
      <c r="H6464" s="8"/>
      <c r="I6464" s="8"/>
      <c r="J6464" s="8"/>
      <c r="K6464" s="8"/>
      <c r="L6464" s="8"/>
      <c r="M6464" s="8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  <c r="AA6464" s="8"/>
      <c r="AB6464" s="8"/>
      <c r="AC6464" s="8"/>
      <c r="AD6464" s="8"/>
      <c r="AE6464" s="8"/>
      <c r="AF6464" s="8"/>
      <c r="AG6464" s="10"/>
    </row>
    <row r="6465" spans="1:33">
      <c r="A6465" s="8"/>
      <c r="B6465" s="8"/>
      <c r="C6465" s="8"/>
      <c r="D6465" s="8"/>
      <c r="E6465" s="8"/>
      <c r="F6465" s="8"/>
      <c r="G6465" s="8"/>
      <c r="H6465" s="8"/>
      <c r="I6465" s="8"/>
      <c r="J6465" s="8"/>
      <c r="K6465" s="8"/>
      <c r="L6465" s="8"/>
      <c r="M6465" s="8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  <c r="AA6465" s="8"/>
      <c r="AB6465" s="8"/>
      <c r="AC6465" s="8"/>
      <c r="AD6465" s="8"/>
      <c r="AE6465" s="8"/>
      <c r="AF6465" s="8"/>
      <c r="AG6465" s="10"/>
    </row>
    <row r="6466" spans="1:33">
      <c r="A6466" s="8"/>
      <c r="B6466" s="8"/>
      <c r="C6466" s="8"/>
      <c r="D6466" s="8"/>
      <c r="E6466" s="8"/>
      <c r="F6466" s="8"/>
      <c r="G6466" s="8"/>
      <c r="H6466" s="8"/>
      <c r="I6466" s="8"/>
      <c r="J6466" s="8"/>
      <c r="K6466" s="8"/>
      <c r="L6466" s="8"/>
      <c r="M6466" s="8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  <c r="AA6466" s="8"/>
      <c r="AB6466" s="8"/>
      <c r="AC6466" s="8"/>
      <c r="AD6466" s="8"/>
      <c r="AE6466" s="8"/>
      <c r="AF6466" s="8"/>
      <c r="AG6466" s="10"/>
    </row>
    <row r="6467" spans="1:33">
      <c r="A6467" s="8"/>
      <c r="B6467" s="8"/>
      <c r="C6467" s="8"/>
      <c r="D6467" s="8"/>
      <c r="E6467" s="8"/>
      <c r="F6467" s="8"/>
      <c r="G6467" s="8"/>
      <c r="H6467" s="8"/>
      <c r="I6467" s="8"/>
      <c r="J6467" s="8"/>
      <c r="K6467" s="8"/>
      <c r="L6467" s="8"/>
      <c r="M6467" s="8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  <c r="AA6467" s="8"/>
      <c r="AB6467" s="8"/>
      <c r="AC6467" s="8"/>
      <c r="AD6467" s="8"/>
      <c r="AE6467" s="8"/>
      <c r="AF6467" s="8"/>
      <c r="AG6467" s="10"/>
    </row>
    <row r="6468" spans="1:33">
      <c r="A6468" s="8"/>
      <c r="B6468" s="8"/>
      <c r="C6468" s="8"/>
      <c r="D6468" s="8"/>
      <c r="E6468" s="8"/>
      <c r="F6468" s="8"/>
      <c r="G6468" s="8"/>
      <c r="H6468" s="8"/>
      <c r="I6468" s="8"/>
      <c r="J6468" s="8"/>
      <c r="K6468" s="8"/>
      <c r="L6468" s="8"/>
      <c r="M6468" s="8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  <c r="AA6468" s="8"/>
      <c r="AB6468" s="8"/>
      <c r="AC6468" s="8"/>
      <c r="AD6468" s="8"/>
      <c r="AE6468" s="8"/>
      <c r="AF6468" s="8"/>
      <c r="AG6468" s="10"/>
    </row>
    <row r="6469" spans="1:33">
      <c r="A6469" s="8"/>
      <c r="B6469" s="8"/>
      <c r="C6469" s="8"/>
      <c r="D6469" s="8"/>
      <c r="E6469" s="8"/>
      <c r="F6469" s="8"/>
      <c r="G6469" s="8"/>
      <c r="H6469" s="8"/>
      <c r="I6469" s="8"/>
      <c r="J6469" s="8"/>
      <c r="K6469" s="8"/>
      <c r="L6469" s="8"/>
      <c r="M6469" s="8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  <c r="AA6469" s="8"/>
      <c r="AB6469" s="8"/>
      <c r="AC6469" s="8"/>
      <c r="AD6469" s="8"/>
      <c r="AE6469" s="8"/>
      <c r="AF6469" s="8"/>
      <c r="AG6469" s="10"/>
    </row>
    <row r="6470" spans="1:33">
      <c r="A6470" s="8"/>
      <c r="B6470" s="8"/>
      <c r="C6470" s="8"/>
      <c r="D6470" s="8"/>
      <c r="E6470" s="8"/>
      <c r="F6470" s="8"/>
      <c r="G6470" s="8"/>
      <c r="H6470" s="8"/>
      <c r="I6470" s="8"/>
      <c r="J6470" s="8"/>
      <c r="K6470" s="8"/>
      <c r="L6470" s="8"/>
      <c r="M6470" s="8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  <c r="AA6470" s="8"/>
      <c r="AB6470" s="8"/>
      <c r="AC6470" s="8"/>
      <c r="AD6470" s="8"/>
      <c r="AE6470" s="8"/>
      <c r="AF6470" s="8"/>
      <c r="AG6470" s="10"/>
    </row>
    <row r="6471" spans="1:33">
      <c r="A6471" s="8"/>
      <c r="B6471" s="8"/>
      <c r="C6471" s="8"/>
      <c r="D6471" s="8"/>
      <c r="E6471" s="8"/>
      <c r="F6471" s="8"/>
      <c r="G6471" s="8"/>
      <c r="H6471" s="8"/>
      <c r="I6471" s="8"/>
      <c r="J6471" s="8"/>
      <c r="K6471" s="8"/>
      <c r="L6471" s="8"/>
      <c r="M6471" s="8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  <c r="AA6471" s="8"/>
      <c r="AB6471" s="8"/>
      <c r="AC6471" s="8"/>
      <c r="AD6471" s="8"/>
      <c r="AE6471" s="8"/>
      <c r="AF6471" s="8"/>
      <c r="AG6471" s="10"/>
    </row>
    <row r="6472" spans="1:33">
      <c r="A6472" s="8"/>
      <c r="B6472" s="8"/>
      <c r="C6472" s="8"/>
      <c r="D6472" s="8"/>
      <c r="E6472" s="8"/>
      <c r="F6472" s="8"/>
      <c r="G6472" s="8"/>
      <c r="H6472" s="8"/>
      <c r="I6472" s="8"/>
      <c r="J6472" s="8"/>
      <c r="K6472" s="8"/>
      <c r="L6472" s="8"/>
      <c r="M6472" s="8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  <c r="AA6472" s="8"/>
      <c r="AB6472" s="8"/>
      <c r="AC6472" s="8"/>
      <c r="AD6472" s="8"/>
      <c r="AE6472" s="8"/>
      <c r="AF6472" s="8"/>
      <c r="AG6472" s="10"/>
    </row>
    <row r="6473" spans="1:33">
      <c r="A6473" s="8"/>
      <c r="B6473" s="8"/>
      <c r="C6473" s="8"/>
      <c r="D6473" s="8"/>
      <c r="E6473" s="8"/>
      <c r="F6473" s="8"/>
      <c r="G6473" s="8"/>
      <c r="H6473" s="8"/>
      <c r="I6473" s="8"/>
      <c r="J6473" s="8"/>
      <c r="K6473" s="8"/>
      <c r="L6473" s="8"/>
      <c r="M6473" s="8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  <c r="AA6473" s="8"/>
      <c r="AB6473" s="8"/>
      <c r="AC6473" s="8"/>
      <c r="AD6473" s="8"/>
      <c r="AE6473" s="8"/>
      <c r="AF6473" s="8"/>
      <c r="AG6473" s="10"/>
    </row>
    <row r="6474" spans="1:33">
      <c r="A6474" s="8"/>
      <c r="B6474" s="8"/>
      <c r="C6474" s="8"/>
      <c r="D6474" s="8"/>
      <c r="E6474" s="8"/>
      <c r="F6474" s="8"/>
      <c r="G6474" s="8"/>
      <c r="H6474" s="8"/>
      <c r="I6474" s="8"/>
      <c r="J6474" s="8"/>
      <c r="K6474" s="8"/>
      <c r="L6474" s="8"/>
      <c r="M6474" s="8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  <c r="AA6474" s="8"/>
      <c r="AB6474" s="8"/>
      <c r="AC6474" s="8"/>
      <c r="AD6474" s="8"/>
      <c r="AE6474" s="8"/>
      <c r="AF6474" s="8"/>
      <c r="AG6474" s="10"/>
    </row>
    <row r="6475" spans="1:33">
      <c r="A6475" s="8"/>
      <c r="B6475" s="8"/>
      <c r="C6475" s="8"/>
      <c r="D6475" s="8"/>
      <c r="E6475" s="8"/>
      <c r="F6475" s="8"/>
      <c r="G6475" s="8"/>
      <c r="H6475" s="8"/>
      <c r="I6475" s="8"/>
      <c r="J6475" s="8"/>
      <c r="K6475" s="8"/>
      <c r="L6475" s="8"/>
      <c r="M6475" s="8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  <c r="AA6475" s="8"/>
      <c r="AB6475" s="8"/>
      <c r="AC6475" s="8"/>
      <c r="AD6475" s="8"/>
      <c r="AE6475" s="8"/>
      <c r="AF6475" s="8"/>
      <c r="AG6475" s="10"/>
    </row>
    <row r="6476" spans="1:33">
      <c r="A6476" s="8"/>
      <c r="B6476" s="8"/>
      <c r="C6476" s="8"/>
      <c r="D6476" s="8"/>
      <c r="E6476" s="8"/>
      <c r="F6476" s="8"/>
      <c r="G6476" s="8"/>
      <c r="H6476" s="8"/>
      <c r="I6476" s="8"/>
      <c r="J6476" s="8"/>
      <c r="K6476" s="8"/>
      <c r="L6476" s="8"/>
      <c r="M6476" s="8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  <c r="AA6476" s="8"/>
      <c r="AB6476" s="8"/>
      <c r="AC6476" s="8"/>
      <c r="AD6476" s="8"/>
      <c r="AE6476" s="8"/>
      <c r="AF6476" s="8"/>
      <c r="AG6476" s="10"/>
    </row>
    <row r="6477" spans="1:33">
      <c r="A6477" s="8"/>
      <c r="B6477" s="8"/>
      <c r="C6477" s="8"/>
      <c r="D6477" s="8"/>
      <c r="E6477" s="8"/>
      <c r="F6477" s="8"/>
      <c r="G6477" s="8"/>
      <c r="H6477" s="8"/>
      <c r="I6477" s="8"/>
      <c r="J6477" s="8"/>
      <c r="K6477" s="8"/>
      <c r="L6477" s="8"/>
      <c r="M6477" s="8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  <c r="AA6477" s="8"/>
      <c r="AB6477" s="8"/>
      <c r="AC6477" s="8"/>
      <c r="AD6477" s="8"/>
      <c r="AE6477" s="8"/>
      <c r="AF6477" s="8"/>
      <c r="AG6477" s="10"/>
    </row>
    <row r="6478" spans="1:33">
      <c r="A6478" s="8"/>
      <c r="B6478" s="8"/>
      <c r="C6478" s="8"/>
      <c r="D6478" s="8"/>
      <c r="E6478" s="8"/>
      <c r="F6478" s="8"/>
      <c r="G6478" s="8"/>
      <c r="H6478" s="8"/>
      <c r="I6478" s="8"/>
      <c r="J6478" s="8"/>
      <c r="K6478" s="8"/>
      <c r="L6478" s="8"/>
      <c r="M6478" s="8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  <c r="AA6478" s="8"/>
      <c r="AB6478" s="8"/>
      <c r="AC6478" s="8"/>
      <c r="AD6478" s="8"/>
      <c r="AE6478" s="8"/>
      <c r="AF6478" s="8"/>
      <c r="AG6478" s="10"/>
    </row>
    <row r="6479" spans="1:33">
      <c r="A6479" s="8"/>
      <c r="B6479" s="8"/>
      <c r="C6479" s="8"/>
      <c r="D6479" s="8"/>
      <c r="E6479" s="8"/>
      <c r="F6479" s="8"/>
      <c r="G6479" s="8"/>
      <c r="H6479" s="8"/>
      <c r="I6479" s="8"/>
      <c r="J6479" s="8"/>
      <c r="K6479" s="8"/>
      <c r="L6479" s="8"/>
      <c r="M6479" s="8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  <c r="AA6479" s="8"/>
      <c r="AB6479" s="8"/>
      <c r="AC6479" s="8"/>
      <c r="AD6479" s="8"/>
      <c r="AE6479" s="8"/>
      <c r="AF6479" s="8"/>
      <c r="AG6479" s="10"/>
    </row>
    <row r="6480" spans="1:33">
      <c r="A6480" s="8"/>
      <c r="B6480" s="8"/>
      <c r="C6480" s="8"/>
      <c r="D6480" s="8"/>
      <c r="E6480" s="8"/>
      <c r="F6480" s="8"/>
      <c r="G6480" s="8"/>
      <c r="H6480" s="8"/>
      <c r="I6480" s="8"/>
      <c r="J6480" s="8"/>
      <c r="K6480" s="8"/>
      <c r="L6480" s="8"/>
      <c r="M6480" s="8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  <c r="AA6480" s="8"/>
      <c r="AB6480" s="8"/>
      <c r="AC6480" s="8"/>
      <c r="AD6480" s="8"/>
      <c r="AE6480" s="8"/>
      <c r="AF6480" s="8"/>
      <c r="AG6480" s="10"/>
    </row>
    <row r="6481" spans="1:33">
      <c r="A6481" s="8"/>
      <c r="B6481" s="8"/>
      <c r="C6481" s="8"/>
      <c r="D6481" s="8"/>
      <c r="E6481" s="8"/>
      <c r="F6481" s="8"/>
      <c r="G6481" s="8"/>
      <c r="H6481" s="8"/>
      <c r="I6481" s="8"/>
      <c r="J6481" s="8"/>
      <c r="K6481" s="8"/>
      <c r="L6481" s="8"/>
      <c r="M6481" s="8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  <c r="AA6481" s="8"/>
      <c r="AB6481" s="8"/>
      <c r="AC6481" s="8"/>
      <c r="AD6481" s="8"/>
      <c r="AE6481" s="8"/>
      <c r="AF6481" s="8"/>
      <c r="AG6481" s="10"/>
    </row>
    <row r="6482" spans="1:33">
      <c r="A6482" s="8"/>
      <c r="B6482" s="8"/>
      <c r="C6482" s="8"/>
      <c r="D6482" s="8"/>
      <c r="E6482" s="8"/>
      <c r="F6482" s="8"/>
      <c r="G6482" s="8"/>
      <c r="H6482" s="8"/>
      <c r="I6482" s="8"/>
      <c r="J6482" s="8"/>
      <c r="K6482" s="8"/>
      <c r="L6482" s="8"/>
      <c r="M6482" s="8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  <c r="AA6482" s="8"/>
      <c r="AB6482" s="8"/>
      <c r="AC6482" s="8"/>
      <c r="AD6482" s="8"/>
      <c r="AE6482" s="8"/>
      <c r="AF6482" s="8"/>
      <c r="AG6482" s="10"/>
    </row>
    <row r="6483" spans="1:33">
      <c r="A6483" s="8"/>
      <c r="B6483" s="8"/>
      <c r="C6483" s="8"/>
      <c r="D6483" s="8"/>
      <c r="E6483" s="8"/>
      <c r="F6483" s="8"/>
      <c r="G6483" s="8"/>
      <c r="H6483" s="8"/>
      <c r="I6483" s="8"/>
      <c r="J6483" s="8"/>
      <c r="K6483" s="8"/>
      <c r="L6483" s="8"/>
      <c r="M6483" s="8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  <c r="AA6483" s="8"/>
      <c r="AB6483" s="8"/>
      <c r="AC6483" s="8"/>
      <c r="AD6483" s="8"/>
      <c r="AE6483" s="8"/>
      <c r="AF6483" s="8"/>
      <c r="AG6483" s="10"/>
    </row>
    <row r="6484" spans="1:33">
      <c r="A6484" s="8"/>
      <c r="B6484" s="8"/>
      <c r="C6484" s="8"/>
      <c r="D6484" s="8"/>
      <c r="E6484" s="8"/>
      <c r="F6484" s="8"/>
      <c r="G6484" s="8"/>
      <c r="H6484" s="8"/>
      <c r="I6484" s="8"/>
      <c r="J6484" s="8"/>
      <c r="K6484" s="8"/>
      <c r="L6484" s="8"/>
      <c r="M6484" s="8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  <c r="AA6484" s="8"/>
      <c r="AB6484" s="8"/>
      <c r="AC6484" s="8"/>
      <c r="AD6484" s="8"/>
      <c r="AE6484" s="8"/>
      <c r="AF6484" s="8"/>
      <c r="AG6484" s="10"/>
    </row>
    <row r="6485" spans="1:33">
      <c r="A6485" s="8"/>
      <c r="B6485" s="8"/>
      <c r="C6485" s="8"/>
      <c r="D6485" s="8"/>
      <c r="E6485" s="8"/>
      <c r="F6485" s="8"/>
      <c r="G6485" s="8"/>
      <c r="H6485" s="8"/>
      <c r="I6485" s="8"/>
      <c r="J6485" s="8"/>
      <c r="K6485" s="8"/>
      <c r="L6485" s="8"/>
      <c r="M6485" s="8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  <c r="AA6485" s="8"/>
      <c r="AB6485" s="8"/>
      <c r="AC6485" s="8"/>
      <c r="AD6485" s="8"/>
      <c r="AE6485" s="8"/>
      <c r="AF6485" s="8"/>
      <c r="AG6485" s="10"/>
    </row>
    <row r="6486" spans="1:33">
      <c r="A6486" s="8"/>
      <c r="B6486" s="8"/>
      <c r="C6486" s="8"/>
      <c r="D6486" s="8"/>
      <c r="E6486" s="8"/>
      <c r="F6486" s="8"/>
      <c r="G6486" s="8"/>
      <c r="H6486" s="8"/>
      <c r="I6486" s="8"/>
      <c r="J6486" s="8"/>
      <c r="K6486" s="8"/>
      <c r="L6486" s="8"/>
      <c r="M6486" s="8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  <c r="AA6486" s="8"/>
      <c r="AB6486" s="8"/>
      <c r="AC6486" s="8"/>
      <c r="AD6486" s="8"/>
      <c r="AE6486" s="8"/>
      <c r="AF6486" s="8"/>
      <c r="AG6486" s="10"/>
    </row>
    <row r="6487" spans="1:33">
      <c r="A6487" s="8"/>
      <c r="B6487" s="8"/>
      <c r="C6487" s="8"/>
      <c r="D6487" s="8"/>
      <c r="E6487" s="8"/>
      <c r="F6487" s="8"/>
      <c r="G6487" s="8"/>
      <c r="H6487" s="8"/>
      <c r="I6487" s="8"/>
      <c r="J6487" s="8"/>
      <c r="K6487" s="8"/>
      <c r="L6487" s="8"/>
      <c r="M6487" s="8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  <c r="AA6487" s="8"/>
      <c r="AB6487" s="8"/>
      <c r="AC6487" s="8"/>
      <c r="AD6487" s="8"/>
      <c r="AE6487" s="8"/>
      <c r="AF6487" s="8"/>
      <c r="AG6487" s="10"/>
    </row>
    <row r="6488" spans="1:33">
      <c r="A6488" s="8"/>
      <c r="B6488" s="8"/>
      <c r="C6488" s="8"/>
      <c r="D6488" s="8"/>
      <c r="E6488" s="8"/>
      <c r="F6488" s="8"/>
      <c r="G6488" s="8"/>
      <c r="H6488" s="8"/>
      <c r="I6488" s="8"/>
      <c r="J6488" s="8"/>
      <c r="K6488" s="8"/>
      <c r="L6488" s="8"/>
      <c r="M6488" s="8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  <c r="AA6488" s="8"/>
      <c r="AB6488" s="8"/>
      <c r="AC6488" s="8"/>
      <c r="AD6488" s="8"/>
      <c r="AE6488" s="8"/>
      <c r="AF6488" s="8"/>
      <c r="AG6488" s="10"/>
    </row>
    <row r="6489" spans="1:33">
      <c r="A6489" s="8"/>
      <c r="B6489" s="8"/>
      <c r="C6489" s="8"/>
      <c r="D6489" s="8"/>
      <c r="E6489" s="8"/>
      <c r="F6489" s="8"/>
      <c r="G6489" s="8"/>
      <c r="H6489" s="8"/>
      <c r="I6489" s="8"/>
      <c r="J6489" s="8"/>
      <c r="K6489" s="8"/>
      <c r="L6489" s="8"/>
      <c r="M6489" s="8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  <c r="AA6489" s="8"/>
      <c r="AB6489" s="8"/>
      <c r="AC6489" s="8"/>
      <c r="AD6489" s="8"/>
      <c r="AE6489" s="8"/>
      <c r="AF6489" s="8"/>
      <c r="AG6489" s="10"/>
    </row>
    <row r="6490" spans="1:33">
      <c r="A6490" s="8"/>
      <c r="B6490" s="8"/>
      <c r="C6490" s="8"/>
      <c r="D6490" s="8"/>
      <c r="E6490" s="8"/>
      <c r="F6490" s="8"/>
      <c r="G6490" s="8"/>
      <c r="H6490" s="8"/>
      <c r="I6490" s="8"/>
      <c r="J6490" s="8"/>
      <c r="K6490" s="8"/>
      <c r="L6490" s="8"/>
      <c r="M6490" s="8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  <c r="AA6490" s="8"/>
      <c r="AB6490" s="8"/>
      <c r="AC6490" s="8"/>
      <c r="AD6490" s="8"/>
      <c r="AE6490" s="8"/>
      <c r="AF6490" s="8"/>
      <c r="AG6490" s="10"/>
    </row>
    <row r="6491" spans="1:33">
      <c r="A6491" s="8"/>
      <c r="B6491" s="8"/>
      <c r="C6491" s="8"/>
      <c r="D6491" s="8"/>
      <c r="E6491" s="8"/>
      <c r="F6491" s="8"/>
      <c r="G6491" s="8"/>
      <c r="H6491" s="8"/>
      <c r="I6491" s="8"/>
      <c r="J6491" s="8"/>
      <c r="K6491" s="8"/>
      <c r="L6491" s="8"/>
      <c r="M6491" s="8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  <c r="AA6491" s="8"/>
      <c r="AB6491" s="8"/>
      <c r="AC6491" s="8"/>
      <c r="AD6491" s="8"/>
      <c r="AE6491" s="8"/>
      <c r="AF6491" s="8"/>
      <c r="AG6491" s="10"/>
    </row>
    <row r="6492" spans="1:33">
      <c r="A6492" s="8"/>
      <c r="B6492" s="8"/>
      <c r="C6492" s="8"/>
      <c r="D6492" s="8"/>
      <c r="E6492" s="8"/>
      <c r="F6492" s="8"/>
      <c r="G6492" s="8"/>
      <c r="H6492" s="8"/>
      <c r="I6492" s="8"/>
      <c r="J6492" s="8"/>
      <c r="K6492" s="8"/>
      <c r="L6492" s="8"/>
      <c r="M6492" s="8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  <c r="AA6492" s="8"/>
      <c r="AB6492" s="8"/>
      <c r="AC6492" s="8"/>
      <c r="AD6492" s="8"/>
      <c r="AE6492" s="8"/>
      <c r="AF6492" s="8"/>
      <c r="AG6492" s="10"/>
    </row>
    <row r="6493" spans="1:33">
      <c r="A6493" s="8"/>
      <c r="B6493" s="8"/>
      <c r="C6493" s="8"/>
      <c r="D6493" s="8"/>
      <c r="E6493" s="8"/>
      <c r="F6493" s="8"/>
      <c r="G6493" s="8"/>
      <c r="H6493" s="8"/>
      <c r="I6493" s="8"/>
      <c r="J6493" s="8"/>
      <c r="K6493" s="8"/>
      <c r="L6493" s="8"/>
      <c r="M6493" s="8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  <c r="AA6493" s="8"/>
      <c r="AB6493" s="8"/>
      <c r="AC6493" s="8"/>
      <c r="AD6493" s="8"/>
      <c r="AE6493" s="8"/>
      <c r="AF6493" s="8"/>
      <c r="AG6493" s="10"/>
    </row>
    <row r="6494" spans="1:33">
      <c r="A6494" s="8"/>
      <c r="B6494" s="8"/>
      <c r="C6494" s="8"/>
      <c r="D6494" s="8"/>
      <c r="E6494" s="8"/>
      <c r="F6494" s="8"/>
      <c r="G6494" s="8"/>
      <c r="H6494" s="8"/>
      <c r="I6494" s="8"/>
      <c r="J6494" s="8"/>
      <c r="K6494" s="8"/>
      <c r="L6494" s="8"/>
      <c r="M6494" s="8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  <c r="AA6494" s="8"/>
      <c r="AB6494" s="8"/>
      <c r="AC6494" s="8"/>
      <c r="AD6494" s="8"/>
      <c r="AE6494" s="8"/>
      <c r="AF6494" s="8"/>
      <c r="AG6494" s="10"/>
    </row>
    <row r="6495" spans="1:33">
      <c r="A6495" s="8"/>
      <c r="B6495" s="8"/>
      <c r="C6495" s="8"/>
      <c r="D6495" s="8"/>
      <c r="E6495" s="8"/>
      <c r="F6495" s="8"/>
      <c r="G6495" s="8"/>
      <c r="H6495" s="8"/>
      <c r="I6495" s="8"/>
      <c r="J6495" s="8"/>
      <c r="K6495" s="8"/>
      <c r="L6495" s="8"/>
      <c r="M6495" s="8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  <c r="AA6495" s="8"/>
      <c r="AB6495" s="8"/>
      <c r="AC6495" s="8"/>
      <c r="AD6495" s="8"/>
      <c r="AE6495" s="8"/>
      <c r="AF6495" s="8"/>
      <c r="AG6495" s="10"/>
    </row>
    <row r="6496" spans="1:33">
      <c r="A6496" s="8"/>
      <c r="B6496" s="8"/>
      <c r="C6496" s="8"/>
      <c r="D6496" s="8"/>
      <c r="E6496" s="8"/>
      <c r="F6496" s="8"/>
      <c r="G6496" s="8"/>
      <c r="H6496" s="8"/>
      <c r="I6496" s="8"/>
      <c r="J6496" s="8"/>
      <c r="K6496" s="8"/>
      <c r="L6496" s="8"/>
      <c r="M6496" s="8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  <c r="AA6496" s="8"/>
      <c r="AB6496" s="8"/>
      <c r="AC6496" s="8"/>
      <c r="AD6496" s="8"/>
      <c r="AE6496" s="8"/>
      <c r="AF6496" s="8"/>
      <c r="AG6496" s="10"/>
    </row>
    <row r="6497" spans="1:33">
      <c r="A6497" s="8"/>
      <c r="B6497" s="8"/>
      <c r="C6497" s="8"/>
      <c r="D6497" s="8"/>
      <c r="E6497" s="8"/>
      <c r="F6497" s="8"/>
      <c r="G6497" s="8"/>
      <c r="H6497" s="8"/>
      <c r="I6497" s="8"/>
      <c r="J6497" s="8"/>
      <c r="K6497" s="8"/>
      <c r="L6497" s="8"/>
      <c r="M6497" s="8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  <c r="AA6497" s="8"/>
      <c r="AB6497" s="8"/>
      <c r="AC6497" s="8"/>
      <c r="AD6497" s="8"/>
      <c r="AE6497" s="8"/>
      <c r="AF6497" s="8"/>
      <c r="AG6497" s="10"/>
    </row>
    <row r="6498" spans="1:33">
      <c r="A6498" s="8"/>
      <c r="B6498" s="8"/>
      <c r="C6498" s="8"/>
      <c r="D6498" s="8"/>
      <c r="E6498" s="8"/>
      <c r="F6498" s="8"/>
      <c r="G6498" s="8"/>
      <c r="H6498" s="8"/>
      <c r="I6498" s="8"/>
      <c r="J6498" s="8"/>
      <c r="K6498" s="8"/>
      <c r="L6498" s="8"/>
      <c r="M6498" s="8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  <c r="AA6498" s="8"/>
      <c r="AB6498" s="8"/>
      <c r="AC6498" s="8"/>
      <c r="AD6498" s="8"/>
      <c r="AE6498" s="8"/>
      <c r="AF6498" s="8"/>
      <c r="AG6498" s="10"/>
    </row>
    <row r="6499" spans="1:33">
      <c r="A6499" s="8"/>
      <c r="B6499" s="8"/>
      <c r="C6499" s="8"/>
      <c r="D6499" s="8"/>
      <c r="E6499" s="8"/>
      <c r="F6499" s="8"/>
      <c r="G6499" s="8"/>
      <c r="H6499" s="8"/>
      <c r="I6499" s="8"/>
      <c r="J6499" s="8"/>
      <c r="K6499" s="8"/>
      <c r="L6499" s="8"/>
      <c r="M6499" s="8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  <c r="AA6499" s="8"/>
      <c r="AB6499" s="8"/>
      <c r="AC6499" s="8"/>
      <c r="AD6499" s="8"/>
      <c r="AE6499" s="8"/>
      <c r="AF6499" s="8"/>
      <c r="AG6499" s="10"/>
    </row>
    <row r="6500" spans="1:33">
      <c r="A6500" s="8"/>
      <c r="B6500" s="8"/>
      <c r="C6500" s="8"/>
      <c r="D6500" s="8"/>
      <c r="E6500" s="8"/>
      <c r="F6500" s="8"/>
      <c r="G6500" s="8"/>
      <c r="H6500" s="8"/>
      <c r="I6500" s="8"/>
      <c r="J6500" s="8"/>
      <c r="K6500" s="8"/>
      <c r="L6500" s="8"/>
      <c r="M6500" s="8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  <c r="AA6500" s="8"/>
      <c r="AB6500" s="8"/>
      <c r="AC6500" s="8"/>
      <c r="AD6500" s="8"/>
      <c r="AE6500" s="8"/>
      <c r="AF6500" s="8"/>
      <c r="AG6500" s="10"/>
    </row>
    <row r="6501" spans="1:33">
      <c r="A6501" s="8"/>
      <c r="B6501" s="8"/>
      <c r="C6501" s="8"/>
      <c r="D6501" s="8"/>
      <c r="E6501" s="8"/>
      <c r="F6501" s="8"/>
      <c r="G6501" s="8"/>
      <c r="H6501" s="8"/>
      <c r="I6501" s="8"/>
      <c r="J6501" s="8"/>
      <c r="K6501" s="8"/>
      <c r="L6501" s="8"/>
      <c r="M6501" s="8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  <c r="AA6501" s="8"/>
      <c r="AB6501" s="8"/>
      <c r="AC6501" s="8"/>
      <c r="AD6501" s="8"/>
      <c r="AE6501" s="8"/>
      <c r="AF6501" s="8"/>
      <c r="AG6501" s="10"/>
    </row>
    <row r="6502" spans="1:33">
      <c r="A6502" s="8"/>
      <c r="B6502" s="8"/>
      <c r="C6502" s="8"/>
      <c r="D6502" s="8"/>
      <c r="E6502" s="8"/>
      <c r="F6502" s="8"/>
      <c r="G6502" s="8"/>
      <c r="H6502" s="8"/>
      <c r="I6502" s="8"/>
      <c r="J6502" s="8"/>
      <c r="K6502" s="8"/>
      <c r="L6502" s="8"/>
      <c r="M6502" s="8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  <c r="AA6502" s="8"/>
      <c r="AB6502" s="8"/>
      <c r="AC6502" s="8"/>
      <c r="AD6502" s="8"/>
      <c r="AE6502" s="8"/>
      <c r="AF6502" s="8"/>
      <c r="AG6502" s="10"/>
    </row>
    <row r="6503" spans="1:33">
      <c r="A6503" s="8"/>
      <c r="B6503" s="8"/>
      <c r="C6503" s="8"/>
      <c r="D6503" s="8"/>
      <c r="E6503" s="8"/>
      <c r="F6503" s="8"/>
      <c r="G6503" s="8"/>
      <c r="H6503" s="8"/>
      <c r="I6503" s="8"/>
      <c r="J6503" s="8"/>
      <c r="K6503" s="8"/>
      <c r="L6503" s="8"/>
      <c r="M6503" s="8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  <c r="AA6503" s="8"/>
      <c r="AB6503" s="8"/>
      <c r="AC6503" s="8"/>
      <c r="AD6503" s="8"/>
      <c r="AE6503" s="8"/>
      <c r="AF6503" s="8"/>
      <c r="AG6503" s="10"/>
    </row>
    <row r="6504" spans="1:33">
      <c r="A6504" s="8"/>
      <c r="B6504" s="8"/>
      <c r="C6504" s="8"/>
      <c r="D6504" s="8"/>
      <c r="E6504" s="8"/>
      <c r="F6504" s="8"/>
      <c r="G6504" s="8"/>
      <c r="H6504" s="8"/>
      <c r="I6504" s="8"/>
      <c r="J6504" s="8"/>
      <c r="K6504" s="8"/>
      <c r="L6504" s="8"/>
      <c r="M6504" s="8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  <c r="AA6504" s="8"/>
      <c r="AB6504" s="8"/>
      <c r="AC6504" s="8"/>
      <c r="AD6504" s="8"/>
      <c r="AE6504" s="8"/>
      <c r="AF6504" s="8"/>
      <c r="AG6504" s="10"/>
    </row>
    <row r="6505" spans="1:33">
      <c r="A6505" s="8"/>
      <c r="B6505" s="8"/>
      <c r="C6505" s="8"/>
      <c r="D6505" s="8"/>
      <c r="E6505" s="8"/>
      <c r="F6505" s="8"/>
      <c r="G6505" s="8"/>
      <c r="H6505" s="8"/>
      <c r="I6505" s="8"/>
      <c r="J6505" s="8"/>
      <c r="K6505" s="8"/>
      <c r="L6505" s="8"/>
      <c r="M6505" s="8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  <c r="AA6505" s="8"/>
      <c r="AB6505" s="8"/>
      <c r="AC6505" s="8"/>
      <c r="AD6505" s="8"/>
      <c r="AE6505" s="8"/>
      <c r="AF6505" s="8"/>
      <c r="AG6505" s="10"/>
    </row>
    <row r="6506" spans="1:33">
      <c r="A6506" s="8"/>
      <c r="B6506" s="8"/>
      <c r="C6506" s="8"/>
      <c r="D6506" s="8"/>
      <c r="E6506" s="8"/>
      <c r="F6506" s="8"/>
      <c r="G6506" s="8"/>
      <c r="H6506" s="8"/>
      <c r="I6506" s="8"/>
      <c r="J6506" s="8"/>
      <c r="K6506" s="8"/>
      <c r="L6506" s="8"/>
      <c r="M6506" s="8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  <c r="AA6506" s="8"/>
      <c r="AB6506" s="8"/>
      <c r="AC6506" s="8"/>
      <c r="AD6506" s="8"/>
      <c r="AE6506" s="8"/>
      <c r="AF6506" s="8"/>
      <c r="AG6506" s="10"/>
    </row>
    <row r="6507" spans="1:33">
      <c r="A6507" s="8"/>
      <c r="B6507" s="8"/>
      <c r="C6507" s="8"/>
      <c r="D6507" s="8"/>
      <c r="E6507" s="8"/>
      <c r="F6507" s="8"/>
      <c r="G6507" s="8"/>
      <c r="H6507" s="8"/>
      <c r="I6507" s="8"/>
      <c r="J6507" s="8"/>
      <c r="K6507" s="8"/>
      <c r="L6507" s="8"/>
      <c r="M6507" s="8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  <c r="AA6507" s="8"/>
      <c r="AB6507" s="8"/>
      <c r="AC6507" s="8"/>
      <c r="AD6507" s="8"/>
      <c r="AE6507" s="8"/>
      <c r="AF6507" s="8"/>
      <c r="AG6507" s="10"/>
    </row>
    <row r="6508" spans="1:33">
      <c r="A6508" s="8"/>
      <c r="B6508" s="8"/>
      <c r="C6508" s="8"/>
      <c r="D6508" s="8"/>
      <c r="E6508" s="8"/>
      <c r="F6508" s="8"/>
      <c r="G6508" s="8"/>
      <c r="H6508" s="8"/>
      <c r="I6508" s="8"/>
      <c r="J6508" s="8"/>
      <c r="K6508" s="8"/>
      <c r="L6508" s="8"/>
      <c r="M6508" s="8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  <c r="AA6508" s="8"/>
      <c r="AB6508" s="8"/>
      <c r="AC6508" s="8"/>
      <c r="AD6508" s="8"/>
      <c r="AE6508" s="8"/>
      <c r="AF6508" s="8"/>
      <c r="AG6508" s="10"/>
    </row>
    <row r="6509" spans="1:33">
      <c r="A6509" s="8"/>
      <c r="B6509" s="8"/>
      <c r="C6509" s="8"/>
      <c r="D6509" s="8"/>
      <c r="E6509" s="8"/>
      <c r="F6509" s="8"/>
      <c r="G6509" s="8"/>
      <c r="H6509" s="8"/>
      <c r="I6509" s="8"/>
      <c r="J6509" s="8"/>
      <c r="K6509" s="8"/>
      <c r="L6509" s="8"/>
      <c r="M6509" s="8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  <c r="AA6509" s="8"/>
      <c r="AB6509" s="8"/>
      <c r="AC6509" s="8"/>
      <c r="AD6509" s="8"/>
      <c r="AE6509" s="8"/>
      <c r="AF6509" s="8"/>
      <c r="AG6509" s="10"/>
    </row>
    <row r="6510" spans="1:33">
      <c r="A6510" s="8"/>
      <c r="B6510" s="8"/>
      <c r="C6510" s="8"/>
      <c r="D6510" s="8"/>
      <c r="E6510" s="8"/>
      <c r="F6510" s="8"/>
      <c r="G6510" s="8"/>
      <c r="H6510" s="8"/>
      <c r="I6510" s="8"/>
      <c r="J6510" s="8"/>
      <c r="K6510" s="8"/>
      <c r="L6510" s="8"/>
      <c r="M6510" s="8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  <c r="AA6510" s="8"/>
      <c r="AB6510" s="8"/>
      <c r="AC6510" s="8"/>
      <c r="AD6510" s="8"/>
      <c r="AE6510" s="8"/>
      <c r="AF6510" s="8"/>
      <c r="AG6510" s="10"/>
    </row>
    <row r="6511" spans="1:33">
      <c r="A6511" s="8"/>
      <c r="B6511" s="8"/>
      <c r="C6511" s="8"/>
      <c r="D6511" s="8"/>
      <c r="E6511" s="8"/>
      <c r="F6511" s="8"/>
      <c r="G6511" s="8"/>
      <c r="H6511" s="8"/>
      <c r="I6511" s="8"/>
      <c r="J6511" s="8"/>
      <c r="K6511" s="8"/>
      <c r="L6511" s="8"/>
      <c r="M6511" s="8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  <c r="AA6511" s="8"/>
      <c r="AB6511" s="8"/>
      <c r="AC6511" s="8"/>
      <c r="AD6511" s="8"/>
      <c r="AE6511" s="8"/>
      <c r="AF6511" s="8"/>
      <c r="AG6511" s="10"/>
    </row>
    <row r="6512" spans="1:33">
      <c r="A6512" s="8"/>
      <c r="B6512" s="8"/>
      <c r="C6512" s="8"/>
      <c r="D6512" s="8"/>
      <c r="E6512" s="8"/>
      <c r="F6512" s="8"/>
      <c r="G6512" s="8"/>
      <c r="H6512" s="8"/>
      <c r="I6512" s="8"/>
      <c r="J6512" s="8"/>
      <c r="K6512" s="8"/>
      <c r="L6512" s="8"/>
      <c r="M6512" s="8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  <c r="AA6512" s="8"/>
      <c r="AB6512" s="8"/>
      <c r="AC6512" s="8"/>
      <c r="AD6512" s="8"/>
      <c r="AE6512" s="8"/>
      <c r="AF6512" s="8"/>
      <c r="AG6512" s="10"/>
    </row>
    <row r="6513" spans="1:33">
      <c r="A6513" s="8"/>
      <c r="B6513" s="8"/>
      <c r="C6513" s="8"/>
      <c r="D6513" s="8"/>
      <c r="E6513" s="8"/>
      <c r="F6513" s="8"/>
      <c r="G6513" s="8"/>
      <c r="H6513" s="8"/>
      <c r="I6513" s="8"/>
      <c r="J6513" s="8"/>
      <c r="K6513" s="8"/>
      <c r="L6513" s="8"/>
      <c r="M6513" s="8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  <c r="AA6513" s="8"/>
      <c r="AB6513" s="8"/>
      <c r="AC6513" s="8"/>
      <c r="AD6513" s="8"/>
      <c r="AE6513" s="8"/>
      <c r="AF6513" s="8"/>
      <c r="AG6513" s="10"/>
    </row>
    <row r="6514" spans="1:33">
      <c r="A6514" s="8"/>
      <c r="B6514" s="8"/>
      <c r="C6514" s="8"/>
      <c r="D6514" s="8"/>
      <c r="E6514" s="8"/>
      <c r="F6514" s="8"/>
      <c r="G6514" s="8"/>
      <c r="H6514" s="8"/>
      <c r="I6514" s="8"/>
      <c r="J6514" s="8"/>
      <c r="K6514" s="8"/>
      <c r="L6514" s="8"/>
      <c r="M6514" s="8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  <c r="AA6514" s="8"/>
      <c r="AB6514" s="8"/>
      <c r="AC6514" s="8"/>
      <c r="AD6514" s="8"/>
      <c r="AE6514" s="8"/>
      <c r="AF6514" s="8"/>
      <c r="AG6514" s="10"/>
    </row>
    <row r="6515" spans="1:33">
      <c r="A6515" s="8"/>
      <c r="B6515" s="8"/>
      <c r="C6515" s="8"/>
      <c r="D6515" s="8"/>
      <c r="E6515" s="8"/>
      <c r="F6515" s="8"/>
      <c r="G6515" s="8"/>
      <c r="H6515" s="8"/>
      <c r="I6515" s="8"/>
      <c r="J6515" s="8"/>
      <c r="K6515" s="8"/>
      <c r="L6515" s="8"/>
      <c r="M6515" s="8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  <c r="AA6515" s="8"/>
      <c r="AB6515" s="8"/>
      <c r="AC6515" s="8"/>
      <c r="AD6515" s="8"/>
      <c r="AE6515" s="8"/>
      <c r="AF6515" s="8"/>
      <c r="AG6515" s="10"/>
    </row>
    <row r="6516" spans="1:33">
      <c r="A6516" s="8"/>
      <c r="B6516" s="8"/>
      <c r="C6516" s="8"/>
      <c r="D6516" s="8"/>
      <c r="E6516" s="8"/>
      <c r="F6516" s="8"/>
      <c r="G6516" s="8"/>
      <c r="H6516" s="8"/>
      <c r="I6516" s="8"/>
      <c r="J6516" s="8"/>
      <c r="K6516" s="8"/>
      <c r="L6516" s="8"/>
      <c r="M6516" s="8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  <c r="AA6516" s="8"/>
      <c r="AB6516" s="8"/>
      <c r="AC6516" s="8"/>
      <c r="AD6516" s="8"/>
      <c r="AE6516" s="8"/>
      <c r="AF6516" s="8"/>
      <c r="AG6516" s="10"/>
    </row>
    <row r="6517" spans="1:33">
      <c r="A6517" s="8"/>
      <c r="B6517" s="8"/>
      <c r="C6517" s="8"/>
      <c r="D6517" s="8"/>
      <c r="E6517" s="8"/>
      <c r="F6517" s="8"/>
      <c r="G6517" s="8"/>
      <c r="H6517" s="8"/>
      <c r="I6517" s="8"/>
      <c r="J6517" s="8"/>
      <c r="K6517" s="8"/>
      <c r="L6517" s="8"/>
      <c r="M6517" s="8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  <c r="AA6517" s="8"/>
      <c r="AB6517" s="8"/>
      <c r="AC6517" s="8"/>
      <c r="AD6517" s="8"/>
      <c r="AE6517" s="8"/>
      <c r="AF6517" s="8"/>
      <c r="AG6517" s="10"/>
    </row>
    <row r="6518" spans="1:33">
      <c r="A6518" s="8"/>
      <c r="B6518" s="8"/>
      <c r="C6518" s="8"/>
      <c r="D6518" s="8"/>
      <c r="E6518" s="8"/>
      <c r="F6518" s="8"/>
      <c r="G6518" s="8"/>
      <c r="H6518" s="8"/>
      <c r="I6518" s="8"/>
      <c r="J6518" s="8"/>
      <c r="K6518" s="8"/>
      <c r="L6518" s="8"/>
      <c r="M6518" s="8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  <c r="AA6518" s="8"/>
      <c r="AB6518" s="8"/>
      <c r="AC6518" s="8"/>
      <c r="AD6518" s="8"/>
      <c r="AE6518" s="8"/>
      <c r="AF6518" s="8"/>
      <c r="AG6518" s="10"/>
    </row>
    <row r="6519" spans="1:33">
      <c r="A6519" s="8"/>
      <c r="B6519" s="8"/>
      <c r="C6519" s="8"/>
      <c r="D6519" s="8"/>
      <c r="E6519" s="8"/>
      <c r="F6519" s="8"/>
      <c r="G6519" s="8"/>
      <c r="H6519" s="8"/>
      <c r="I6519" s="8"/>
      <c r="J6519" s="8"/>
      <c r="K6519" s="8"/>
      <c r="L6519" s="8"/>
      <c r="M6519" s="8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  <c r="AA6519" s="8"/>
      <c r="AB6519" s="8"/>
      <c r="AC6519" s="8"/>
      <c r="AD6519" s="8"/>
      <c r="AE6519" s="8"/>
      <c r="AF6519" s="8"/>
      <c r="AG6519" s="10"/>
    </row>
    <row r="6520" spans="1:33">
      <c r="A6520" s="8"/>
      <c r="B6520" s="8"/>
      <c r="C6520" s="8"/>
      <c r="D6520" s="8"/>
      <c r="E6520" s="8"/>
      <c r="F6520" s="8"/>
      <c r="G6520" s="8"/>
      <c r="H6520" s="8"/>
      <c r="I6520" s="8"/>
      <c r="J6520" s="8"/>
      <c r="K6520" s="8"/>
      <c r="L6520" s="8"/>
      <c r="M6520" s="8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  <c r="AA6520" s="8"/>
      <c r="AB6520" s="8"/>
      <c r="AC6520" s="8"/>
      <c r="AD6520" s="8"/>
      <c r="AE6520" s="8"/>
      <c r="AF6520" s="8"/>
      <c r="AG6520" s="10"/>
    </row>
    <row r="6521" spans="1:33">
      <c r="A6521" s="8"/>
      <c r="B6521" s="8"/>
      <c r="C6521" s="8"/>
      <c r="D6521" s="8"/>
      <c r="E6521" s="8"/>
      <c r="F6521" s="8"/>
      <c r="G6521" s="8"/>
      <c r="H6521" s="8"/>
      <c r="I6521" s="8"/>
      <c r="J6521" s="8"/>
      <c r="K6521" s="8"/>
      <c r="L6521" s="8"/>
      <c r="M6521" s="8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  <c r="AA6521" s="8"/>
      <c r="AB6521" s="8"/>
      <c r="AC6521" s="8"/>
      <c r="AD6521" s="8"/>
      <c r="AE6521" s="8"/>
      <c r="AF6521" s="8"/>
      <c r="AG6521" s="10"/>
    </row>
    <row r="6522" spans="1:33">
      <c r="A6522" s="8"/>
      <c r="B6522" s="8"/>
      <c r="C6522" s="8"/>
      <c r="D6522" s="8"/>
      <c r="E6522" s="8"/>
      <c r="F6522" s="8"/>
      <c r="G6522" s="8"/>
      <c r="H6522" s="8"/>
      <c r="I6522" s="8"/>
      <c r="J6522" s="8"/>
      <c r="K6522" s="8"/>
      <c r="L6522" s="8"/>
      <c r="M6522" s="8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  <c r="AA6522" s="8"/>
      <c r="AB6522" s="8"/>
      <c r="AC6522" s="8"/>
      <c r="AD6522" s="8"/>
      <c r="AE6522" s="8"/>
      <c r="AF6522" s="8"/>
      <c r="AG6522" s="10"/>
    </row>
    <row r="6523" spans="1:33">
      <c r="A6523" s="8"/>
      <c r="B6523" s="8"/>
      <c r="C6523" s="8"/>
      <c r="D6523" s="8"/>
      <c r="E6523" s="8"/>
      <c r="F6523" s="8"/>
      <c r="G6523" s="8"/>
      <c r="H6523" s="8"/>
      <c r="I6523" s="8"/>
      <c r="J6523" s="8"/>
      <c r="K6523" s="8"/>
      <c r="L6523" s="8"/>
      <c r="M6523" s="8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  <c r="AA6523" s="8"/>
      <c r="AB6523" s="8"/>
      <c r="AC6523" s="8"/>
      <c r="AD6523" s="8"/>
      <c r="AE6523" s="8"/>
      <c r="AF6523" s="8"/>
      <c r="AG6523" s="10"/>
    </row>
    <row r="6524" spans="1:33">
      <c r="A6524" s="8"/>
      <c r="B6524" s="8"/>
      <c r="C6524" s="8"/>
      <c r="D6524" s="8"/>
      <c r="E6524" s="8"/>
      <c r="F6524" s="8"/>
      <c r="G6524" s="8"/>
      <c r="H6524" s="8"/>
      <c r="I6524" s="8"/>
      <c r="J6524" s="8"/>
      <c r="K6524" s="8"/>
      <c r="L6524" s="8"/>
      <c r="M6524" s="8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  <c r="AA6524" s="8"/>
      <c r="AB6524" s="8"/>
      <c r="AC6524" s="8"/>
      <c r="AD6524" s="8"/>
      <c r="AE6524" s="8"/>
      <c r="AF6524" s="8"/>
      <c r="AG6524" s="10"/>
    </row>
    <row r="6525" spans="1:33">
      <c r="A6525" s="8"/>
      <c r="B6525" s="8"/>
      <c r="C6525" s="8"/>
      <c r="D6525" s="8"/>
      <c r="E6525" s="8"/>
      <c r="F6525" s="8"/>
      <c r="G6525" s="8"/>
      <c r="H6525" s="8"/>
      <c r="I6525" s="8"/>
      <c r="J6525" s="8"/>
      <c r="K6525" s="8"/>
      <c r="L6525" s="8"/>
      <c r="M6525" s="8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  <c r="AA6525" s="8"/>
      <c r="AB6525" s="8"/>
      <c r="AC6525" s="8"/>
      <c r="AD6525" s="8"/>
      <c r="AE6525" s="8"/>
      <c r="AF6525" s="8"/>
      <c r="AG6525" s="10"/>
    </row>
    <row r="6526" spans="1:33">
      <c r="A6526" s="8"/>
      <c r="B6526" s="8"/>
      <c r="C6526" s="8"/>
      <c r="D6526" s="8"/>
      <c r="E6526" s="8"/>
      <c r="F6526" s="8"/>
      <c r="G6526" s="8"/>
      <c r="H6526" s="8"/>
      <c r="I6526" s="8"/>
      <c r="J6526" s="8"/>
      <c r="K6526" s="8"/>
      <c r="L6526" s="8"/>
      <c r="M6526" s="8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  <c r="AA6526" s="8"/>
      <c r="AB6526" s="8"/>
      <c r="AC6526" s="8"/>
      <c r="AD6526" s="8"/>
      <c r="AE6526" s="8"/>
      <c r="AF6526" s="8"/>
      <c r="AG6526" s="10"/>
    </row>
    <row r="6527" spans="1:33">
      <c r="A6527" s="8"/>
      <c r="B6527" s="8"/>
      <c r="C6527" s="8"/>
      <c r="D6527" s="8"/>
      <c r="E6527" s="8"/>
      <c r="F6527" s="8"/>
      <c r="G6527" s="8"/>
      <c r="H6527" s="8"/>
      <c r="I6527" s="8"/>
      <c r="J6527" s="8"/>
      <c r="K6527" s="8"/>
      <c r="L6527" s="8"/>
      <c r="M6527" s="8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  <c r="AA6527" s="8"/>
      <c r="AB6527" s="8"/>
      <c r="AC6527" s="8"/>
      <c r="AD6527" s="8"/>
      <c r="AE6527" s="8"/>
      <c r="AF6527" s="8"/>
      <c r="AG6527" s="10"/>
    </row>
    <row r="6528" spans="1:33">
      <c r="A6528" s="8"/>
      <c r="B6528" s="8"/>
      <c r="C6528" s="8"/>
      <c r="D6528" s="8"/>
      <c r="E6528" s="8"/>
      <c r="F6528" s="8"/>
      <c r="G6528" s="8"/>
      <c r="H6528" s="8"/>
      <c r="I6528" s="8"/>
      <c r="J6528" s="8"/>
      <c r="K6528" s="8"/>
      <c r="L6528" s="8"/>
      <c r="M6528" s="8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  <c r="AA6528" s="8"/>
      <c r="AB6528" s="8"/>
      <c r="AC6528" s="8"/>
      <c r="AD6528" s="8"/>
      <c r="AE6528" s="8"/>
      <c r="AF6528" s="8"/>
      <c r="AG6528" s="10"/>
    </row>
    <row r="6529" spans="1:33">
      <c r="A6529" s="8"/>
      <c r="B6529" s="8"/>
      <c r="C6529" s="8"/>
      <c r="D6529" s="8"/>
      <c r="E6529" s="8"/>
      <c r="F6529" s="8"/>
      <c r="G6529" s="8"/>
      <c r="H6529" s="8"/>
      <c r="I6529" s="8"/>
      <c r="J6529" s="8"/>
      <c r="K6529" s="8"/>
      <c r="L6529" s="8"/>
      <c r="M6529" s="8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  <c r="AA6529" s="8"/>
      <c r="AB6529" s="8"/>
      <c r="AC6529" s="8"/>
      <c r="AD6529" s="8"/>
      <c r="AE6529" s="8"/>
      <c r="AF6529" s="8"/>
      <c r="AG6529" s="10"/>
    </row>
    <row r="6530" spans="1:33">
      <c r="A6530" s="8"/>
      <c r="B6530" s="8"/>
      <c r="C6530" s="8"/>
      <c r="D6530" s="8"/>
      <c r="E6530" s="8"/>
      <c r="F6530" s="8"/>
      <c r="G6530" s="8"/>
      <c r="H6530" s="8"/>
      <c r="I6530" s="8"/>
      <c r="J6530" s="8"/>
      <c r="K6530" s="8"/>
      <c r="L6530" s="8"/>
      <c r="M6530" s="8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  <c r="AA6530" s="8"/>
      <c r="AB6530" s="8"/>
      <c r="AC6530" s="8"/>
      <c r="AD6530" s="8"/>
      <c r="AE6530" s="8"/>
      <c r="AF6530" s="8"/>
      <c r="AG6530" s="10"/>
    </row>
    <row r="6531" spans="1:33">
      <c r="A6531" s="8"/>
      <c r="B6531" s="8"/>
      <c r="C6531" s="8"/>
      <c r="D6531" s="8"/>
      <c r="E6531" s="8"/>
      <c r="F6531" s="8"/>
      <c r="G6531" s="8"/>
      <c r="H6531" s="8"/>
      <c r="I6531" s="8"/>
      <c r="J6531" s="8"/>
      <c r="K6531" s="8"/>
      <c r="L6531" s="8"/>
      <c r="M6531" s="8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  <c r="AA6531" s="8"/>
      <c r="AB6531" s="8"/>
      <c r="AC6531" s="8"/>
      <c r="AD6531" s="8"/>
      <c r="AE6531" s="8"/>
      <c r="AF6531" s="8"/>
      <c r="AG6531" s="10"/>
    </row>
    <row r="6532" spans="1:33">
      <c r="A6532" s="8"/>
      <c r="B6532" s="8"/>
      <c r="C6532" s="8"/>
      <c r="D6532" s="8"/>
      <c r="E6532" s="8"/>
      <c r="F6532" s="8"/>
      <c r="G6532" s="8"/>
      <c r="H6532" s="8"/>
      <c r="I6532" s="8"/>
      <c r="J6532" s="8"/>
      <c r="K6532" s="8"/>
      <c r="L6532" s="8"/>
      <c r="M6532" s="8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  <c r="AA6532" s="8"/>
      <c r="AB6532" s="8"/>
      <c r="AC6532" s="8"/>
      <c r="AD6532" s="8"/>
      <c r="AE6532" s="8"/>
      <c r="AF6532" s="8"/>
      <c r="AG6532" s="10"/>
    </row>
    <row r="6533" spans="1:33">
      <c r="A6533" s="8"/>
      <c r="B6533" s="8"/>
      <c r="C6533" s="8"/>
      <c r="D6533" s="8"/>
      <c r="E6533" s="8"/>
      <c r="F6533" s="8"/>
      <c r="G6533" s="8"/>
      <c r="H6533" s="8"/>
      <c r="I6533" s="8"/>
      <c r="J6533" s="8"/>
      <c r="K6533" s="8"/>
      <c r="L6533" s="8"/>
      <c r="M6533" s="8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  <c r="AA6533" s="8"/>
      <c r="AB6533" s="8"/>
      <c r="AC6533" s="8"/>
      <c r="AD6533" s="8"/>
      <c r="AE6533" s="8"/>
      <c r="AF6533" s="8"/>
      <c r="AG6533" s="10"/>
    </row>
    <row r="6534" spans="1:33">
      <c r="A6534" s="8"/>
      <c r="B6534" s="8"/>
      <c r="C6534" s="8"/>
      <c r="D6534" s="8"/>
      <c r="E6534" s="8"/>
      <c r="F6534" s="8"/>
      <c r="G6534" s="8"/>
      <c r="H6534" s="8"/>
      <c r="I6534" s="8"/>
      <c r="J6534" s="8"/>
      <c r="K6534" s="8"/>
      <c r="L6534" s="8"/>
      <c r="M6534" s="8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  <c r="AA6534" s="8"/>
      <c r="AB6534" s="8"/>
      <c r="AC6534" s="8"/>
      <c r="AD6534" s="8"/>
      <c r="AE6534" s="8"/>
      <c r="AF6534" s="8"/>
      <c r="AG6534" s="10"/>
    </row>
    <row r="6535" spans="1:33">
      <c r="A6535" s="8"/>
      <c r="B6535" s="8"/>
      <c r="C6535" s="8"/>
      <c r="D6535" s="8"/>
      <c r="E6535" s="8"/>
      <c r="F6535" s="8"/>
      <c r="G6535" s="8"/>
      <c r="H6535" s="8"/>
      <c r="I6535" s="8"/>
      <c r="J6535" s="8"/>
      <c r="K6535" s="8"/>
      <c r="L6535" s="8"/>
      <c r="M6535" s="8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  <c r="AA6535" s="8"/>
      <c r="AB6535" s="8"/>
      <c r="AC6535" s="8"/>
      <c r="AD6535" s="8"/>
      <c r="AE6535" s="8"/>
      <c r="AF6535" s="8"/>
      <c r="AG6535" s="10"/>
    </row>
    <row r="6536" spans="1:33">
      <c r="A6536" s="8"/>
      <c r="B6536" s="8"/>
      <c r="C6536" s="8"/>
      <c r="D6536" s="8"/>
      <c r="E6536" s="8"/>
      <c r="F6536" s="8"/>
      <c r="G6536" s="8"/>
      <c r="H6536" s="8"/>
      <c r="I6536" s="8"/>
      <c r="J6536" s="8"/>
      <c r="K6536" s="8"/>
      <c r="L6536" s="8"/>
      <c r="M6536" s="8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  <c r="AA6536" s="8"/>
      <c r="AB6536" s="8"/>
      <c r="AC6536" s="8"/>
      <c r="AD6536" s="8"/>
      <c r="AE6536" s="8"/>
      <c r="AF6536" s="8"/>
      <c r="AG6536" s="10"/>
    </row>
    <row r="6537" spans="1:33">
      <c r="A6537" s="8"/>
      <c r="B6537" s="8"/>
      <c r="C6537" s="8"/>
      <c r="D6537" s="8"/>
      <c r="E6537" s="8"/>
      <c r="F6537" s="8"/>
      <c r="G6537" s="8"/>
      <c r="H6537" s="8"/>
      <c r="I6537" s="8"/>
      <c r="J6537" s="8"/>
      <c r="K6537" s="8"/>
      <c r="L6537" s="8"/>
      <c r="M6537" s="8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  <c r="AA6537" s="8"/>
      <c r="AB6537" s="8"/>
      <c r="AC6537" s="8"/>
      <c r="AD6537" s="8"/>
      <c r="AE6537" s="8"/>
      <c r="AF6537" s="8"/>
      <c r="AG6537" s="10"/>
    </row>
    <row r="6538" spans="1:33">
      <c r="A6538" s="8"/>
      <c r="B6538" s="8"/>
      <c r="C6538" s="8"/>
      <c r="D6538" s="8"/>
      <c r="E6538" s="8"/>
      <c r="F6538" s="8"/>
      <c r="G6538" s="8"/>
      <c r="H6538" s="8"/>
      <c r="I6538" s="8"/>
      <c r="J6538" s="8"/>
      <c r="K6538" s="8"/>
      <c r="L6538" s="8"/>
      <c r="M6538" s="8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  <c r="AA6538" s="8"/>
      <c r="AB6538" s="8"/>
      <c r="AC6538" s="8"/>
      <c r="AD6538" s="8"/>
      <c r="AE6538" s="8"/>
      <c r="AF6538" s="8"/>
      <c r="AG6538" s="10"/>
    </row>
    <row r="6539" spans="1:33">
      <c r="A6539" s="8"/>
      <c r="B6539" s="8"/>
      <c r="C6539" s="8"/>
      <c r="D6539" s="8"/>
      <c r="E6539" s="8"/>
      <c r="F6539" s="8"/>
      <c r="G6539" s="8"/>
      <c r="H6539" s="8"/>
      <c r="I6539" s="8"/>
      <c r="J6539" s="8"/>
      <c r="K6539" s="8"/>
      <c r="L6539" s="8"/>
      <c r="M6539" s="8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  <c r="AA6539" s="8"/>
      <c r="AB6539" s="8"/>
      <c r="AC6539" s="8"/>
      <c r="AD6539" s="8"/>
      <c r="AE6539" s="8"/>
      <c r="AF6539" s="8"/>
      <c r="AG6539" s="10"/>
    </row>
    <row r="6540" spans="1:33">
      <c r="A6540" s="8"/>
      <c r="B6540" s="8"/>
      <c r="C6540" s="8"/>
      <c r="D6540" s="8"/>
      <c r="E6540" s="8"/>
      <c r="F6540" s="8"/>
      <c r="G6540" s="8"/>
      <c r="H6540" s="8"/>
      <c r="I6540" s="8"/>
      <c r="J6540" s="8"/>
      <c r="K6540" s="8"/>
      <c r="L6540" s="8"/>
      <c r="M6540" s="8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  <c r="AA6540" s="8"/>
      <c r="AB6540" s="8"/>
      <c r="AC6540" s="8"/>
      <c r="AD6540" s="8"/>
      <c r="AE6540" s="8"/>
      <c r="AF6540" s="8"/>
      <c r="AG6540" s="10"/>
    </row>
    <row r="6541" spans="1:33">
      <c r="A6541" s="8"/>
      <c r="B6541" s="8"/>
      <c r="C6541" s="8"/>
      <c r="D6541" s="8"/>
      <c r="E6541" s="8"/>
      <c r="F6541" s="8"/>
      <c r="G6541" s="8"/>
      <c r="H6541" s="8"/>
      <c r="I6541" s="8"/>
      <c r="J6541" s="8"/>
      <c r="K6541" s="8"/>
      <c r="L6541" s="8"/>
      <c r="M6541" s="8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  <c r="AA6541" s="8"/>
      <c r="AB6541" s="8"/>
      <c r="AC6541" s="8"/>
      <c r="AD6541" s="8"/>
      <c r="AE6541" s="8"/>
      <c r="AF6541" s="8"/>
      <c r="AG6541" s="10"/>
    </row>
    <row r="6542" spans="1:33">
      <c r="A6542" s="8"/>
      <c r="B6542" s="8"/>
      <c r="C6542" s="8"/>
      <c r="D6542" s="8"/>
      <c r="E6542" s="8"/>
      <c r="F6542" s="8"/>
      <c r="G6542" s="8"/>
      <c r="H6542" s="8"/>
      <c r="I6542" s="8"/>
      <c r="J6542" s="8"/>
      <c r="K6542" s="8"/>
      <c r="L6542" s="8"/>
      <c r="M6542" s="8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  <c r="AA6542" s="8"/>
      <c r="AB6542" s="8"/>
      <c r="AC6542" s="8"/>
      <c r="AD6542" s="8"/>
      <c r="AE6542" s="8"/>
      <c r="AF6542" s="8"/>
      <c r="AG6542" s="10"/>
    </row>
    <row r="6543" spans="1:33">
      <c r="A6543" s="8"/>
      <c r="B6543" s="8"/>
      <c r="C6543" s="8"/>
      <c r="D6543" s="8"/>
      <c r="E6543" s="8"/>
      <c r="F6543" s="8"/>
      <c r="G6543" s="8"/>
      <c r="H6543" s="8"/>
      <c r="I6543" s="8"/>
      <c r="J6543" s="8"/>
      <c r="K6543" s="8"/>
      <c r="L6543" s="8"/>
      <c r="M6543" s="8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  <c r="AA6543" s="8"/>
      <c r="AB6543" s="8"/>
      <c r="AC6543" s="8"/>
      <c r="AD6543" s="8"/>
      <c r="AE6543" s="8"/>
      <c r="AF6543" s="8"/>
      <c r="AG6543" s="10"/>
    </row>
    <row r="6544" spans="1:33">
      <c r="A6544" s="8"/>
      <c r="B6544" s="8"/>
      <c r="C6544" s="8"/>
      <c r="D6544" s="8"/>
      <c r="E6544" s="8"/>
      <c r="F6544" s="8"/>
      <c r="G6544" s="8"/>
      <c r="H6544" s="8"/>
      <c r="I6544" s="8"/>
      <c r="J6544" s="8"/>
      <c r="K6544" s="8"/>
      <c r="L6544" s="8"/>
      <c r="M6544" s="8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  <c r="AA6544" s="8"/>
      <c r="AB6544" s="8"/>
      <c r="AC6544" s="8"/>
      <c r="AD6544" s="8"/>
      <c r="AE6544" s="8"/>
      <c r="AF6544" s="8"/>
      <c r="AG6544" s="10"/>
    </row>
    <row r="6545" spans="1:33">
      <c r="A6545" s="8"/>
      <c r="B6545" s="8"/>
      <c r="C6545" s="8"/>
      <c r="D6545" s="8"/>
      <c r="E6545" s="8"/>
      <c r="F6545" s="8"/>
      <c r="G6545" s="8"/>
      <c r="H6545" s="8"/>
      <c r="I6545" s="8"/>
      <c r="J6545" s="8"/>
      <c r="K6545" s="8"/>
      <c r="L6545" s="8"/>
      <c r="M6545" s="8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  <c r="AA6545" s="8"/>
      <c r="AB6545" s="8"/>
      <c r="AC6545" s="8"/>
      <c r="AD6545" s="8"/>
      <c r="AE6545" s="8"/>
      <c r="AF6545" s="8"/>
      <c r="AG6545" s="10"/>
    </row>
    <row r="6546" spans="1:33">
      <c r="A6546" s="8"/>
      <c r="B6546" s="8"/>
      <c r="C6546" s="8"/>
      <c r="D6546" s="8"/>
      <c r="E6546" s="8"/>
      <c r="F6546" s="8"/>
      <c r="G6546" s="8"/>
      <c r="H6546" s="8"/>
      <c r="I6546" s="8"/>
      <c r="J6546" s="8"/>
      <c r="K6546" s="8"/>
      <c r="L6546" s="8"/>
      <c r="M6546" s="8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  <c r="AA6546" s="8"/>
      <c r="AB6546" s="8"/>
      <c r="AC6546" s="8"/>
      <c r="AD6546" s="8"/>
      <c r="AE6546" s="8"/>
      <c r="AF6546" s="8"/>
      <c r="AG6546" s="10"/>
    </row>
    <row r="6547" spans="1:33">
      <c r="A6547" s="8"/>
      <c r="B6547" s="8"/>
      <c r="C6547" s="8"/>
      <c r="D6547" s="8"/>
      <c r="E6547" s="8"/>
      <c r="F6547" s="8"/>
      <c r="G6547" s="8"/>
      <c r="H6547" s="8"/>
      <c r="I6547" s="8"/>
      <c r="J6547" s="8"/>
      <c r="K6547" s="8"/>
      <c r="L6547" s="8"/>
      <c r="M6547" s="8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  <c r="AA6547" s="8"/>
      <c r="AB6547" s="8"/>
      <c r="AC6547" s="8"/>
      <c r="AD6547" s="8"/>
      <c r="AE6547" s="8"/>
      <c r="AF6547" s="8"/>
      <c r="AG6547" s="10"/>
    </row>
    <row r="6548" spans="1:33">
      <c r="A6548" s="8"/>
      <c r="B6548" s="8"/>
      <c r="C6548" s="8"/>
      <c r="D6548" s="8"/>
      <c r="E6548" s="8"/>
      <c r="F6548" s="8"/>
      <c r="G6548" s="8"/>
      <c r="H6548" s="8"/>
      <c r="I6548" s="8"/>
      <c r="J6548" s="8"/>
      <c r="K6548" s="8"/>
      <c r="L6548" s="8"/>
      <c r="M6548" s="8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  <c r="AA6548" s="8"/>
      <c r="AB6548" s="8"/>
      <c r="AC6548" s="8"/>
      <c r="AD6548" s="8"/>
      <c r="AE6548" s="8"/>
      <c r="AF6548" s="8"/>
      <c r="AG6548" s="10"/>
    </row>
    <row r="6549" spans="1:33">
      <c r="A6549" s="8"/>
      <c r="B6549" s="8"/>
      <c r="C6549" s="8"/>
      <c r="D6549" s="8"/>
      <c r="E6549" s="8"/>
      <c r="F6549" s="8"/>
      <c r="G6549" s="8"/>
      <c r="H6549" s="8"/>
      <c r="I6549" s="8"/>
      <c r="J6549" s="8"/>
      <c r="K6549" s="8"/>
      <c r="L6549" s="8"/>
      <c r="M6549" s="8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  <c r="AA6549" s="8"/>
      <c r="AB6549" s="8"/>
      <c r="AC6549" s="8"/>
      <c r="AD6549" s="8"/>
      <c r="AE6549" s="8"/>
      <c r="AF6549" s="8"/>
      <c r="AG6549" s="10"/>
    </row>
    <row r="6550" spans="1:33">
      <c r="A6550" s="8"/>
      <c r="B6550" s="8"/>
      <c r="C6550" s="8"/>
      <c r="D6550" s="8"/>
      <c r="E6550" s="8"/>
      <c r="F6550" s="8"/>
      <c r="G6550" s="8"/>
      <c r="H6550" s="8"/>
      <c r="I6550" s="8"/>
      <c r="J6550" s="8"/>
      <c r="K6550" s="8"/>
      <c r="L6550" s="8"/>
      <c r="M6550" s="8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  <c r="AA6550" s="8"/>
      <c r="AB6550" s="8"/>
      <c r="AC6550" s="8"/>
      <c r="AD6550" s="8"/>
      <c r="AE6550" s="8"/>
      <c r="AF6550" s="8"/>
      <c r="AG6550" s="10"/>
    </row>
    <row r="6551" spans="1:33">
      <c r="A6551" s="8"/>
      <c r="B6551" s="8"/>
      <c r="C6551" s="8"/>
      <c r="D6551" s="8"/>
      <c r="E6551" s="8"/>
      <c r="F6551" s="8"/>
      <c r="G6551" s="8"/>
      <c r="H6551" s="8"/>
      <c r="I6551" s="8"/>
      <c r="J6551" s="8"/>
      <c r="K6551" s="8"/>
      <c r="L6551" s="8"/>
      <c r="M6551" s="8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  <c r="AA6551" s="8"/>
      <c r="AB6551" s="8"/>
      <c r="AC6551" s="8"/>
      <c r="AD6551" s="8"/>
      <c r="AE6551" s="8"/>
      <c r="AF6551" s="8"/>
      <c r="AG6551" s="10"/>
    </row>
    <row r="6552" spans="1:33">
      <c r="A6552" s="8"/>
      <c r="B6552" s="8"/>
      <c r="C6552" s="8"/>
      <c r="D6552" s="8"/>
      <c r="E6552" s="8"/>
      <c r="F6552" s="8"/>
      <c r="G6552" s="8"/>
      <c r="H6552" s="8"/>
      <c r="I6552" s="8"/>
      <c r="J6552" s="8"/>
      <c r="K6552" s="8"/>
      <c r="L6552" s="8"/>
      <c r="M6552" s="8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  <c r="AA6552" s="8"/>
      <c r="AB6552" s="8"/>
      <c r="AC6552" s="8"/>
      <c r="AD6552" s="8"/>
      <c r="AE6552" s="8"/>
      <c r="AF6552" s="8"/>
      <c r="AG6552" s="10"/>
    </row>
    <row r="6553" spans="1:33">
      <c r="A6553" s="8"/>
      <c r="B6553" s="8"/>
      <c r="C6553" s="8"/>
      <c r="D6553" s="8"/>
      <c r="E6553" s="8"/>
      <c r="F6553" s="8"/>
      <c r="G6553" s="8"/>
      <c r="H6553" s="8"/>
      <c r="I6553" s="8"/>
      <c r="J6553" s="8"/>
      <c r="K6553" s="8"/>
      <c r="L6553" s="8"/>
      <c r="M6553" s="8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  <c r="AA6553" s="8"/>
      <c r="AB6553" s="8"/>
      <c r="AC6553" s="8"/>
      <c r="AD6553" s="8"/>
      <c r="AE6553" s="8"/>
      <c r="AF6553" s="8"/>
      <c r="AG6553" s="10"/>
    </row>
    <row r="6554" spans="1:33">
      <c r="A6554" s="8"/>
      <c r="B6554" s="8"/>
      <c r="C6554" s="8"/>
      <c r="D6554" s="8"/>
      <c r="E6554" s="8"/>
      <c r="F6554" s="8"/>
      <c r="G6554" s="8"/>
      <c r="H6554" s="8"/>
      <c r="I6554" s="8"/>
      <c r="J6554" s="8"/>
      <c r="K6554" s="8"/>
      <c r="L6554" s="8"/>
      <c r="M6554" s="8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  <c r="AA6554" s="8"/>
      <c r="AB6554" s="8"/>
      <c r="AC6554" s="8"/>
      <c r="AD6554" s="8"/>
      <c r="AE6554" s="8"/>
      <c r="AF6554" s="8"/>
      <c r="AG6554" s="10"/>
    </row>
    <row r="6555" spans="1:33">
      <c r="A6555" s="8"/>
      <c r="B6555" s="8"/>
      <c r="C6555" s="8"/>
      <c r="D6555" s="8"/>
      <c r="E6555" s="8"/>
      <c r="F6555" s="8"/>
      <c r="G6555" s="8"/>
      <c r="H6555" s="8"/>
      <c r="I6555" s="8"/>
      <c r="J6555" s="8"/>
      <c r="K6555" s="8"/>
      <c r="L6555" s="8"/>
      <c r="M6555" s="8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  <c r="AA6555" s="8"/>
      <c r="AB6555" s="8"/>
      <c r="AC6555" s="8"/>
      <c r="AD6555" s="8"/>
      <c r="AE6555" s="8"/>
      <c r="AF6555" s="8"/>
      <c r="AG6555" s="10"/>
    </row>
    <row r="6556" spans="1:33">
      <c r="A6556" s="8"/>
      <c r="B6556" s="8"/>
      <c r="C6556" s="8"/>
      <c r="D6556" s="8"/>
      <c r="E6556" s="8"/>
      <c r="F6556" s="8"/>
      <c r="G6556" s="8"/>
      <c r="H6556" s="8"/>
      <c r="I6556" s="8"/>
      <c r="J6556" s="8"/>
      <c r="K6556" s="8"/>
      <c r="L6556" s="8"/>
      <c r="M6556" s="8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  <c r="AA6556" s="8"/>
      <c r="AB6556" s="8"/>
      <c r="AC6556" s="8"/>
      <c r="AD6556" s="8"/>
      <c r="AE6556" s="8"/>
      <c r="AF6556" s="8"/>
      <c r="AG6556" s="10"/>
    </row>
    <row r="6557" spans="1:33">
      <c r="A6557" s="8"/>
      <c r="B6557" s="8"/>
      <c r="C6557" s="8"/>
      <c r="D6557" s="8"/>
      <c r="E6557" s="8"/>
      <c r="F6557" s="8"/>
      <c r="G6557" s="8"/>
      <c r="H6557" s="8"/>
      <c r="I6557" s="8"/>
      <c r="J6557" s="8"/>
      <c r="K6557" s="8"/>
      <c r="L6557" s="8"/>
      <c r="M6557" s="8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  <c r="AA6557" s="8"/>
      <c r="AB6557" s="8"/>
      <c r="AC6557" s="8"/>
      <c r="AD6557" s="8"/>
      <c r="AE6557" s="8"/>
      <c r="AF6557" s="8"/>
      <c r="AG6557" s="10"/>
    </row>
    <row r="6558" spans="1:33">
      <c r="A6558" s="8"/>
      <c r="B6558" s="8"/>
      <c r="C6558" s="8"/>
      <c r="D6558" s="8"/>
      <c r="E6558" s="8"/>
      <c r="F6558" s="8"/>
      <c r="G6558" s="8"/>
      <c r="H6558" s="8"/>
      <c r="I6558" s="8"/>
      <c r="J6558" s="8"/>
      <c r="K6558" s="8"/>
      <c r="L6558" s="8"/>
      <c r="M6558" s="8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  <c r="AA6558" s="8"/>
      <c r="AB6558" s="8"/>
      <c r="AC6558" s="8"/>
      <c r="AD6558" s="8"/>
      <c r="AE6558" s="8"/>
      <c r="AF6558" s="8"/>
      <c r="AG6558" s="10"/>
    </row>
    <row r="6559" spans="1:33">
      <c r="A6559" s="8"/>
      <c r="B6559" s="8"/>
      <c r="C6559" s="8"/>
      <c r="D6559" s="8"/>
      <c r="E6559" s="8"/>
      <c r="F6559" s="8"/>
      <c r="G6559" s="8"/>
      <c r="H6559" s="8"/>
      <c r="I6559" s="8"/>
      <c r="J6559" s="8"/>
      <c r="K6559" s="8"/>
      <c r="L6559" s="8"/>
      <c r="M6559" s="8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  <c r="AA6559" s="8"/>
      <c r="AB6559" s="8"/>
      <c r="AC6559" s="8"/>
      <c r="AD6559" s="8"/>
      <c r="AE6559" s="8"/>
      <c r="AF6559" s="8"/>
      <c r="AG6559" s="10"/>
    </row>
    <row r="6560" spans="1:33">
      <c r="A6560" s="8"/>
      <c r="B6560" s="8"/>
      <c r="C6560" s="8"/>
      <c r="D6560" s="8"/>
      <c r="E6560" s="8"/>
      <c r="F6560" s="8"/>
      <c r="G6560" s="8"/>
      <c r="H6560" s="8"/>
      <c r="I6560" s="8"/>
      <c r="J6560" s="8"/>
      <c r="K6560" s="8"/>
      <c r="L6560" s="8"/>
      <c r="M6560" s="8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  <c r="AA6560" s="8"/>
      <c r="AB6560" s="8"/>
      <c r="AC6560" s="8"/>
      <c r="AD6560" s="8"/>
      <c r="AE6560" s="8"/>
      <c r="AF6560" s="8"/>
      <c r="AG6560" s="10"/>
    </row>
    <row r="6561" spans="1:33">
      <c r="A6561" s="8"/>
      <c r="B6561" s="8"/>
      <c r="C6561" s="8"/>
      <c r="D6561" s="8"/>
      <c r="E6561" s="8"/>
      <c r="F6561" s="8"/>
      <c r="G6561" s="8"/>
      <c r="H6561" s="8"/>
      <c r="I6561" s="8"/>
      <c r="J6561" s="8"/>
      <c r="K6561" s="8"/>
      <c r="L6561" s="8"/>
      <c r="M6561" s="8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  <c r="AA6561" s="8"/>
      <c r="AB6561" s="8"/>
      <c r="AC6561" s="8"/>
      <c r="AD6561" s="8"/>
      <c r="AE6561" s="8"/>
      <c r="AF6561" s="8"/>
      <c r="AG6561" s="10"/>
    </row>
    <row r="6562" spans="1:33">
      <c r="A6562" s="8"/>
      <c r="B6562" s="8"/>
      <c r="C6562" s="8"/>
      <c r="D6562" s="8"/>
      <c r="E6562" s="8"/>
      <c r="F6562" s="8"/>
      <c r="G6562" s="8"/>
      <c r="H6562" s="8"/>
      <c r="I6562" s="8"/>
      <c r="J6562" s="8"/>
      <c r="K6562" s="8"/>
      <c r="L6562" s="8"/>
      <c r="M6562" s="8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  <c r="AA6562" s="8"/>
      <c r="AB6562" s="8"/>
      <c r="AC6562" s="8"/>
      <c r="AD6562" s="8"/>
      <c r="AE6562" s="8"/>
      <c r="AF6562" s="8"/>
      <c r="AG6562" s="10"/>
    </row>
    <row r="6563" spans="1:33">
      <c r="A6563" s="8"/>
      <c r="B6563" s="8"/>
      <c r="C6563" s="8"/>
      <c r="D6563" s="8"/>
      <c r="E6563" s="8"/>
      <c r="F6563" s="8"/>
      <c r="G6563" s="8"/>
      <c r="H6563" s="8"/>
      <c r="I6563" s="8"/>
      <c r="J6563" s="8"/>
      <c r="K6563" s="8"/>
      <c r="L6563" s="8"/>
      <c r="M6563" s="8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  <c r="AA6563" s="8"/>
      <c r="AB6563" s="8"/>
      <c r="AC6563" s="8"/>
      <c r="AD6563" s="8"/>
      <c r="AE6563" s="8"/>
      <c r="AF6563" s="8"/>
      <c r="AG6563" s="10"/>
    </row>
    <row r="6564" spans="1:33">
      <c r="A6564" s="8"/>
      <c r="B6564" s="8"/>
      <c r="C6564" s="8"/>
      <c r="D6564" s="8"/>
      <c r="E6564" s="8"/>
      <c r="F6564" s="8"/>
      <c r="G6564" s="8"/>
      <c r="H6564" s="8"/>
      <c r="I6564" s="8"/>
      <c r="J6564" s="8"/>
      <c r="K6564" s="8"/>
      <c r="L6564" s="8"/>
      <c r="M6564" s="8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  <c r="AA6564" s="8"/>
      <c r="AB6564" s="8"/>
      <c r="AC6564" s="8"/>
      <c r="AD6564" s="8"/>
      <c r="AE6564" s="8"/>
      <c r="AF6564" s="8"/>
      <c r="AG6564" s="10"/>
    </row>
    <row r="6565" spans="1:33">
      <c r="A6565" s="8"/>
      <c r="B6565" s="8"/>
      <c r="C6565" s="8"/>
      <c r="D6565" s="8"/>
      <c r="E6565" s="8"/>
      <c r="F6565" s="8"/>
      <c r="G6565" s="8"/>
      <c r="H6565" s="8"/>
      <c r="I6565" s="8"/>
      <c r="J6565" s="8"/>
      <c r="K6565" s="8"/>
      <c r="L6565" s="8"/>
      <c r="M6565" s="8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  <c r="AA6565" s="8"/>
      <c r="AB6565" s="8"/>
      <c r="AC6565" s="8"/>
      <c r="AD6565" s="8"/>
      <c r="AE6565" s="8"/>
      <c r="AF6565" s="8"/>
      <c r="AG6565" s="10"/>
    </row>
    <row r="6566" spans="1:33">
      <c r="A6566" s="8"/>
      <c r="B6566" s="8"/>
      <c r="C6566" s="8"/>
      <c r="D6566" s="8"/>
      <c r="E6566" s="8"/>
      <c r="F6566" s="8"/>
      <c r="G6566" s="8"/>
      <c r="H6566" s="8"/>
      <c r="I6566" s="8"/>
      <c r="J6566" s="8"/>
      <c r="K6566" s="8"/>
      <c r="L6566" s="8"/>
      <c r="M6566" s="8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  <c r="AA6566" s="8"/>
      <c r="AB6566" s="8"/>
      <c r="AC6566" s="8"/>
      <c r="AD6566" s="8"/>
      <c r="AE6566" s="8"/>
      <c r="AF6566" s="8"/>
      <c r="AG6566" s="10"/>
    </row>
    <row r="6567" spans="1:33">
      <c r="A6567" s="8"/>
      <c r="B6567" s="8"/>
      <c r="C6567" s="8"/>
      <c r="D6567" s="8"/>
      <c r="E6567" s="8"/>
      <c r="F6567" s="8"/>
      <c r="G6567" s="8"/>
      <c r="H6567" s="8"/>
      <c r="I6567" s="8"/>
      <c r="J6567" s="8"/>
      <c r="K6567" s="8"/>
      <c r="L6567" s="8"/>
      <c r="M6567" s="8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  <c r="AA6567" s="8"/>
      <c r="AB6567" s="8"/>
      <c r="AC6567" s="8"/>
      <c r="AD6567" s="8"/>
      <c r="AE6567" s="8"/>
      <c r="AF6567" s="8"/>
      <c r="AG6567" s="10"/>
    </row>
    <row r="6568" spans="1:33">
      <c r="A6568" s="8"/>
      <c r="B6568" s="8"/>
      <c r="C6568" s="8"/>
      <c r="D6568" s="8"/>
      <c r="E6568" s="8"/>
      <c r="F6568" s="8"/>
      <c r="G6568" s="8"/>
      <c r="H6568" s="8"/>
      <c r="I6568" s="8"/>
      <c r="J6568" s="8"/>
      <c r="K6568" s="8"/>
      <c r="L6568" s="8"/>
      <c r="M6568" s="8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  <c r="AA6568" s="8"/>
      <c r="AB6568" s="8"/>
      <c r="AC6568" s="8"/>
      <c r="AD6568" s="8"/>
      <c r="AE6568" s="8"/>
      <c r="AF6568" s="8"/>
      <c r="AG6568" s="10"/>
    </row>
    <row r="6569" spans="1:33">
      <c r="A6569" s="8"/>
      <c r="B6569" s="8"/>
      <c r="C6569" s="8"/>
      <c r="D6569" s="8"/>
      <c r="E6569" s="8"/>
      <c r="F6569" s="8"/>
      <c r="G6569" s="8"/>
      <c r="H6569" s="8"/>
      <c r="I6569" s="8"/>
      <c r="J6569" s="8"/>
      <c r="K6569" s="8"/>
      <c r="L6569" s="8"/>
      <c r="M6569" s="8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  <c r="AA6569" s="8"/>
      <c r="AB6569" s="8"/>
      <c r="AC6569" s="8"/>
      <c r="AD6569" s="8"/>
      <c r="AE6569" s="8"/>
      <c r="AF6569" s="8"/>
      <c r="AG6569" s="10"/>
    </row>
    <row r="6570" spans="1:33">
      <c r="A6570" s="8"/>
      <c r="B6570" s="8"/>
      <c r="C6570" s="8"/>
      <c r="D6570" s="8"/>
      <c r="E6570" s="8"/>
      <c r="F6570" s="8"/>
      <c r="G6570" s="8"/>
      <c r="H6570" s="8"/>
      <c r="I6570" s="8"/>
      <c r="J6570" s="8"/>
      <c r="K6570" s="8"/>
      <c r="L6570" s="8"/>
      <c r="M6570" s="8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  <c r="AA6570" s="8"/>
      <c r="AB6570" s="8"/>
      <c r="AC6570" s="8"/>
      <c r="AD6570" s="8"/>
      <c r="AE6570" s="8"/>
      <c r="AF6570" s="8"/>
      <c r="AG6570" s="10"/>
    </row>
    <row r="6571" spans="1:33">
      <c r="A6571" s="8"/>
      <c r="B6571" s="8"/>
      <c r="C6571" s="8"/>
      <c r="D6571" s="8"/>
      <c r="E6571" s="8"/>
      <c r="F6571" s="8"/>
      <c r="G6571" s="8"/>
      <c r="H6571" s="8"/>
      <c r="I6571" s="8"/>
      <c r="J6571" s="8"/>
      <c r="K6571" s="8"/>
      <c r="L6571" s="8"/>
      <c r="M6571" s="8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  <c r="AA6571" s="8"/>
      <c r="AB6571" s="8"/>
      <c r="AC6571" s="8"/>
      <c r="AD6571" s="8"/>
      <c r="AE6571" s="8"/>
      <c r="AF6571" s="8"/>
      <c r="AG6571" s="10"/>
    </row>
    <row r="6572" spans="1:33">
      <c r="A6572" s="8"/>
      <c r="B6572" s="8"/>
      <c r="C6572" s="8"/>
      <c r="D6572" s="8"/>
      <c r="E6572" s="8"/>
      <c r="F6572" s="8"/>
      <c r="G6572" s="8"/>
      <c r="H6572" s="8"/>
      <c r="I6572" s="8"/>
      <c r="J6572" s="8"/>
      <c r="K6572" s="8"/>
      <c r="L6572" s="8"/>
      <c r="M6572" s="8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  <c r="AA6572" s="8"/>
      <c r="AB6572" s="8"/>
      <c r="AC6572" s="8"/>
      <c r="AD6572" s="8"/>
      <c r="AE6572" s="8"/>
      <c r="AF6572" s="8"/>
      <c r="AG6572" s="10"/>
    </row>
    <row r="6573" spans="1:33">
      <c r="A6573" s="8"/>
      <c r="B6573" s="8"/>
      <c r="C6573" s="8"/>
      <c r="D6573" s="8"/>
      <c r="E6573" s="8"/>
      <c r="F6573" s="8"/>
      <c r="G6573" s="8"/>
      <c r="H6573" s="8"/>
      <c r="I6573" s="8"/>
      <c r="J6573" s="8"/>
      <c r="K6573" s="8"/>
      <c r="L6573" s="8"/>
      <c r="M6573" s="8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  <c r="AA6573" s="8"/>
      <c r="AB6573" s="8"/>
      <c r="AC6573" s="8"/>
      <c r="AD6573" s="8"/>
      <c r="AE6573" s="8"/>
      <c r="AF6573" s="8"/>
      <c r="AG6573" s="10"/>
    </row>
    <row r="6574" spans="1:33">
      <c r="A6574" s="8"/>
      <c r="B6574" s="8"/>
      <c r="C6574" s="8"/>
      <c r="D6574" s="8"/>
      <c r="E6574" s="8"/>
      <c r="F6574" s="8"/>
      <c r="G6574" s="8"/>
      <c r="H6574" s="8"/>
      <c r="I6574" s="8"/>
      <c r="J6574" s="8"/>
      <c r="K6574" s="8"/>
      <c r="L6574" s="8"/>
      <c r="M6574" s="8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  <c r="AA6574" s="8"/>
      <c r="AB6574" s="8"/>
      <c r="AC6574" s="8"/>
      <c r="AD6574" s="8"/>
      <c r="AE6574" s="8"/>
      <c r="AF6574" s="8"/>
      <c r="AG6574" s="10"/>
    </row>
    <row r="6575" spans="1:33">
      <c r="A6575" s="8"/>
      <c r="B6575" s="8"/>
      <c r="C6575" s="8"/>
      <c r="D6575" s="8"/>
      <c r="E6575" s="8"/>
      <c r="F6575" s="8"/>
      <c r="G6575" s="8"/>
      <c r="H6575" s="8"/>
      <c r="I6575" s="8"/>
      <c r="J6575" s="8"/>
      <c r="K6575" s="8"/>
      <c r="L6575" s="8"/>
      <c r="M6575" s="8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  <c r="AA6575" s="8"/>
      <c r="AB6575" s="8"/>
      <c r="AC6575" s="8"/>
      <c r="AD6575" s="8"/>
      <c r="AE6575" s="8"/>
      <c r="AF6575" s="8"/>
      <c r="AG6575" s="10"/>
    </row>
    <row r="6576" spans="1:33">
      <c r="A6576" s="8"/>
      <c r="B6576" s="8"/>
      <c r="C6576" s="8"/>
      <c r="D6576" s="8"/>
      <c r="E6576" s="8"/>
      <c r="F6576" s="8"/>
      <c r="G6576" s="8"/>
      <c r="H6576" s="8"/>
      <c r="I6576" s="8"/>
      <c r="J6576" s="8"/>
      <c r="K6576" s="8"/>
      <c r="L6576" s="8"/>
      <c r="M6576" s="8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  <c r="AA6576" s="8"/>
      <c r="AB6576" s="8"/>
      <c r="AC6576" s="8"/>
      <c r="AD6576" s="8"/>
      <c r="AE6576" s="8"/>
      <c r="AF6576" s="8"/>
      <c r="AG6576" s="10"/>
    </row>
    <row r="6577" spans="1:33">
      <c r="A6577" s="8"/>
      <c r="B6577" s="8"/>
      <c r="C6577" s="8"/>
      <c r="D6577" s="8"/>
      <c r="E6577" s="8"/>
      <c r="F6577" s="8"/>
      <c r="G6577" s="8"/>
      <c r="H6577" s="8"/>
      <c r="I6577" s="8"/>
      <c r="J6577" s="8"/>
      <c r="K6577" s="8"/>
      <c r="L6577" s="8"/>
      <c r="M6577" s="8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  <c r="AA6577" s="8"/>
      <c r="AB6577" s="8"/>
      <c r="AC6577" s="8"/>
      <c r="AD6577" s="8"/>
      <c r="AE6577" s="8"/>
      <c r="AF6577" s="8"/>
      <c r="AG6577" s="10"/>
    </row>
    <row r="6578" spans="1:33">
      <c r="A6578" s="8"/>
      <c r="B6578" s="8"/>
      <c r="C6578" s="8"/>
      <c r="D6578" s="8"/>
      <c r="E6578" s="8"/>
      <c r="F6578" s="8"/>
      <c r="G6578" s="8"/>
      <c r="H6578" s="8"/>
      <c r="I6578" s="8"/>
      <c r="J6578" s="8"/>
      <c r="K6578" s="8"/>
      <c r="L6578" s="8"/>
      <c r="M6578" s="8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  <c r="AA6578" s="8"/>
      <c r="AB6578" s="8"/>
      <c r="AC6578" s="8"/>
      <c r="AD6578" s="8"/>
      <c r="AE6578" s="8"/>
      <c r="AF6578" s="8"/>
      <c r="AG6578" s="10"/>
    </row>
    <row r="6579" spans="1:33">
      <c r="A6579" s="8"/>
      <c r="B6579" s="8"/>
      <c r="C6579" s="8"/>
      <c r="D6579" s="8"/>
      <c r="E6579" s="8"/>
      <c r="F6579" s="8"/>
      <c r="G6579" s="8"/>
      <c r="H6579" s="8"/>
      <c r="I6579" s="8"/>
      <c r="J6579" s="8"/>
      <c r="K6579" s="8"/>
      <c r="L6579" s="8"/>
      <c r="M6579" s="8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  <c r="AA6579" s="8"/>
      <c r="AB6579" s="8"/>
      <c r="AC6579" s="8"/>
      <c r="AD6579" s="8"/>
      <c r="AE6579" s="8"/>
      <c r="AF6579" s="8"/>
      <c r="AG6579" s="10"/>
    </row>
    <row r="6580" spans="1:33">
      <c r="A6580" s="8"/>
      <c r="B6580" s="8"/>
      <c r="C6580" s="8"/>
      <c r="D6580" s="8"/>
      <c r="E6580" s="8"/>
      <c r="F6580" s="8"/>
      <c r="G6580" s="8"/>
      <c r="H6580" s="8"/>
      <c r="I6580" s="8"/>
      <c r="J6580" s="8"/>
      <c r="K6580" s="8"/>
      <c r="L6580" s="8"/>
      <c r="M6580" s="8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  <c r="AA6580" s="8"/>
      <c r="AB6580" s="8"/>
      <c r="AC6580" s="8"/>
      <c r="AD6580" s="8"/>
      <c r="AE6580" s="8"/>
      <c r="AF6580" s="8"/>
      <c r="AG6580" s="10"/>
    </row>
    <row r="6581" spans="1:33">
      <c r="A6581" s="8"/>
      <c r="B6581" s="8"/>
      <c r="C6581" s="8"/>
      <c r="D6581" s="8"/>
      <c r="E6581" s="8"/>
      <c r="F6581" s="8"/>
      <c r="G6581" s="8"/>
      <c r="H6581" s="8"/>
      <c r="I6581" s="8"/>
      <c r="J6581" s="8"/>
      <c r="K6581" s="8"/>
      <c r="L6581" s="8"/>
      <c r="M6581" s="8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  <c r="AA6581" s="8"/>
      <c r="AB6581" s="8"/>
      <c r="AC6581" s="8"/>
      <c r="AD6581" s="8"/>
      <c r="AE6581" s="8"/>
      <c r="AF6581" s="8"/>
      <c r="AG6581" s="10"/>
    </row>
    <row r="6582" spans="1:33">
      <c r="A6582" s="8"/>
      <c r="B6582" s="8"/>
      <c r="C6582" s="8"/>
      <c r="D6582" s="8"/>
      <c r="E6582" s="8"/>
      <c r="F6582" s="8"/>
      <c r="G6582" s="8"/>
      <c r="H6582" s="8"/>
      <c r="I6582" s="8"/>
      <c r="J6582" s="8"/>
      <c r="K6582" s="8"/>
      <c r="L6582" s="8"/>
      <c r="M6582" s="8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  <c r="AA6582" s="8"/>
      <c r="AB6582" s="8"/>
      <c r="AC6582" s="8"/>
      <c r="AD6582" s="8"/>
      <c r="AE6582" s="8"/>
      <c r="AF6582" s="8"/>
      <c r="AG6582" s="10"/>
    </row>
    <row r="6583" spans="1:33">
      <c r="A6583" s="8"/>
      <c r="B6583" s="8"/>
      <c r="C6583" s="8"/>
      <c r="D6583" s="8"/>
      <c r="E6583" s="8"/>
      <c r="F6583" s="8"/>
      <c r="G6583" s="8"/>
      <c r="H6583" s="8"/>
      <c r="I6583" s="8"/>
      <c r="J6583" s="8"/>
      <c r="K6583" s="8"/>
      <c r="L6583" s="8"/>
      <c r="M6583" s="8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  <c r="AA6583" s="8"/>
      <c r="AB6583" s="8"/>
      <c r="AC6583" s="8"/>
      <c r="AD6583" s="8"/>
      <c r="AE6583" s="8"/>
      <c r="AF6583" s="8"/>
      <c r="AG6583" s="10"/>
    </row>
    <row r="6584" spans="1:33">
      <c r="A6584" s="8"/>
      <c r="B6584" s="8"/>
      <c r="C6584" s="8"/>
      <c r="D6584" s="8"/>
      <c r="E6584" s="8"/>
      <c r="F6584" s="8"/>
      <c r="G6584" s="8"/>
      <c r="H6584" s="8"/>
      <c r="I6584" s="8"/>
      <c r="J6584" s="8"/>
      <c r="K6584" s="8"/>
      <c r="L6584" s="8"/>
      <c r="M6584" s="8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  <c r="AA6584" s="8"/>
      <c r="AB6584" s="8"/>
      <c r="AC6584" s="8"/>
      <c r="AD6584" s="8"/>
      <c r="AE6584" s="8"/>
      <c r="AF6584" s="8"/>
      <c r="AG6584" s="10"/>
    </row>
    <row r="6585" spans="1:33">
      <c r="A6585" s="8"/>
      <c r="B6585" s="8"/>
      <c r="C6585" s="8"/>
      <c r="D6585" s="8"/>
      <c r="E6585" s="8"/>
      <c r="F6585" s="8"/>
      <c r="G6585" s="8"/>
      <c r="H6585" s="8"/>
      <c r="I6585" s="8"/>
      <c r="J6585" s="8"/>
      <c r="K6585" s="8"/>
      <c r="L6585" s="8"/>
      <c r="M6585" s="8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  <c r="AA6585" s="8"/>
      <c r="AB6585" s="8"/>
      <c r="AC6585" s="8"/>
      <c r="AD6585" s="8"/>
      <c r="AE6585" s="8"/>
      <c r="AF6585" s="8"/>
      <c r="AG6585" s="10"/>
    </row>
    <row r="6586" spans="1:33">
      <c r="A6586" s="8"/>
      <c r="B6586" s="8"/>
      <c r="C6586" s="8"/>
      <c r="D6586" s="8"/>
      <c r="E6586" s="8"/>
      <c r="F6586" s="8"/>
      <c r="G6586" s="8"/>
      <c r="H6586" s="8"/>
      <c r="I6586" s="8"/>
      <c r="J6586" s="8"/>
      <c r="K6586" s="8"/>
      <c r="L6586" s="8"/>
      <c r="M6586" s="8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  <c r="AA6586" s="8"/>
      <c r="AB6586" s="8"/>
      <c r="AC6586" s="8"/>
      <c r="AD6586" s="8"/>
      <c r="AE6586" s="8"/>
      <c r="AF6586" s="8"/>
      <c r="AG6586" s="10"/>
    </row>
    <row r="6587" spans="1:33">
      <c r="A6587" s="8"/>
      <c r="B6587" s="8"/>
      <c r="C6587" s="8"/>
      <c r="D6587" s="8"/>
      <c r="E6587" s="8"/>
      <c r="F6587" s="8"/>
      <c r="G6587" s="8"/>
      <c r="H6587" s="8"/>
      <c r="I6587" s="8"/>
      <c r="J6587" s="8"/>
      <c r="K6587" s="8"/>
      <c r="L6587" s="8"/>
      <c r="M6587" s="8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  <c r="AA6587" s="8"/>
      <c r="AB6587" s="8"/>
      <c r="AC6587" s="8"/>
      <c r="AD6587" s="8"/>
      <c r="AE6587" s="8"/>
      <c r="AF6587" s="8"/>
      <c r="AG6587" s="10"/>
    </row>
    <row r="6588" spans="1:33">
      <c r="A6588" s="8"/>
      <c r="B6588" s="8"/>
      <c r="C6588" s="8"/>
      <c r="D6588" s="8"/>
      <c r="E6588" s="8"/>
      <c r="F6588" s="8"/>
      <c r="G6588" s="8"/>
      <c r="H6588" s="8"/>
      <c r="I6588" s="8"/>
      <c r="J6588" s="8"/>
      <c r="K6588" s="8"/>
      <c r="L6588" s="8"/>
      <c r="M6588" s="8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  <c r="AA6588" s="8"/>
      <c r="AB6588" s="8"/>
      <c r="AC6588" s="8"/>
      <c r="AD6588" s="8"/>
      <c r="AE6588" s="8"/>
      <c r="AF6588" s="8"/>
      <c r="AG6588" s="10"/>
    </row>
    <row r="6589" spans="1:33">
      <c r="A6589" s="8"/>
      <c r="B6589" s="8"/>
      <c r="C6589" s="8"/>
      <c r="D6589" s="8"/>
      <c r="E6589" s="8"/>
      <c r="F6589" s="8"/>
      <c r="G6589" s="8"/>
      <c r="H6589" s="8"/>
      <c r="I6589" s="8"/>
      <c r="J6589" s="8"/>
      <c r="K6589" s="8"/>
      <c r="L6589" s="8"/>
      <c r="M6589" s="8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  <c r="AA6589" s="8"/>
      <c r="AB6589" s="8"/>
      <c r="AC6589" s="8"/>
      <c r="AD6589" s="8"/>
      <c r="AE6589" s="8"/>
      <c r="AF6589" s="8"/>
      <c r="AG6589" s="10"/>
    </row>
    <row r="6590" spans="1:33">
      <c r="A6590" s="8"/>
      <c r="B6590" s="8"/>
      <c r="C6590" s="8"/>
      <c r="D6590" s="8"/>
      <c r="E6590" s="8"/>
      <c r="F6590" s="8"/>
      <c r="G6590" s="8"/>
      <c r="H6590" s="8"/>
      <c r="I6590" s="8"/>
      <c r="J6590" s="8"/>
      <c r="K6590" s="8"/>
      <c r="L6590" s="8"/>
      <c r="M6590" s="8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  <c r="AA6590" s="8"/>
      <c r="AB6590" s="8"/>
      <c r="AC6590" s="8"/>
      <c r="AD6590" s="8"/>
      <c r="AE6590" s="8"/>
      <c r="AF6590" s="8"/>
      <c r="AG6590" s="10"/>
    </row>
    <row r="6591" spans="1:33">
      <c r="A6591" s="8"/>
      <c r="B6591" s="8"/>
      <c r="C6591" s="8"/>
      <c r="D6591" s="8"/>
      <c r="E6591" s="8"/>
      <c r="F6591" s="8"/>
      <c r="G6591" s="8"/>
      <c r="H6591" s="8"/>
      <c r="I6591" s="8"/>
      <c r="J6591" s="8"/>
      <c r="K6591" s="8"/>
      <c r="L6591" s="8"/>
      <c r="M6591" s="8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  <c r="AA6591" s="8"/>
      <c r="AB6591" s="8"/>
      <c r="AC6591" s="8"/>
      <c r="AD6591" s="8"/>
      <c r="AE6591" s="8"/>
      <c r="AF6591" s="8"/>
      <c r="AG6591" s="10"/>
    </row>
    <row r="6592" spans="1:33">
      <c r="A6592" s="8"/>
      <c r="B6592" s="8"/>
      <c r="C6592" s="8"/>
      <c r="D6592" s="8"/>
      <c r="E6592" s="8"/>
      <c r="F6592" s="8"/>
      <c r="G6592" s="8"/>
      <c r="H6592" s="8"/>
      <c r="I6592" s="8"/>
      <c r="J6592" s="8"/>
      <c r="K6592" s="8"/>
      <c r="L6592" s="8"/>
      <c r="M6592" s="8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  <c r="AA6592" s="8"/>
      <c r="AB6592" s="8"/>
      <c r="AC6592" s="8"/>
      <c r="AD6592" s="8"/>
      <c r="AE6592" s="8"/>
      <c r="AF6592" s="8"/>
      <c r="AG6592" s="10"/>
    </row>
    <row r="6593" spans="1:33">
      <c r="A6593" s="8"/>
      <c r="B6593" s="8"/>
      <c r="C6593" s="8"/>
      <c r="D6593" s="8"/>
      <c r="E6593" s="8"/>
      <c r="F6593" s="8"/>
      <c r="G6593" s="8"/>
      <c r="H6593" s="8"/>
      <c r="I6593" s="8"/>
      <c r="J6593" s="8"/>
      <c r="K6593" s="8"/>
      <c r="L6593" s="8"/>
      <c r="M6593" s="8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  <c r="AA6593" s="8"/>
      <c r="AB6593" s="8"/>
      <c r="AC6593" s="8"/>
      <c r="AD6593" s="8"/>
      <c r="AE6593" s="8"/>
      <c r="AF6593" s="8"/>
      <c r="AG6593" s="10"/>
    </row>
    <row r="6594" spans="1:33">
      <c r="A6594" s="8"/>
      <c r="B6594" s="8"/>
      <c r="C6594" s="8"/>
      <c r="D6594" s="8"/>
      <c r="E6594" s="8"/>
      <c r="F6594" s="8"/>
      <c r="G6594" s="8"/>
      <c r="H6594" s="8"/>
      <c r="I6594" s="8"/>
      <c r="J6594" s="8"/>
      <c r="K6594" s="8"/>
      <c r="L6594" s="8"/>
      <c r="M6594" s="8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  <c r="AA6594" s="8"/>
      <c r="AB6594" s="8"/>
      <c r="AC6594" s="8"/>
      <c r="AD6594" s="8"/>
      <c r="AE6594" s="8"/>
      <c r="AF6594" s="8"/>
      <c r="AG6594" s="10"/>
    </row>
    <row r="6595" spans="1:33">
      <c r="A6595" s="8"/>
      <c r="B6595" s="8"/>
      <c r="C6595" s="8"/>
      <c r="D6595" s="8"/>
      <c r="E6595" s="8"/>
      <c r="F6595" s="8"/>
      <c r="G6595" s="8"/>
      <c r="H6595" s="8"/>
      <c r="I6595" s="8"/>
      <c r="J6595" s="8"/>
      <c r="K6595" s="8"/>
      <c r="L6595" s="8"/>
      <c r="M6595" s="8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  <c r="AA6595" s="8"/>
      <c r="AB6595" s="8"/>
      <c r="AC6595" s="8"/>
      <c r="AD6595" s="8"/>
      <c r="AE6595" s="8"/>
      <c r="AF6595" s="8"/>
      <c r="AG6595" s="10"/>
    </row>
    <row r="6596" spans="1:33">
      <c r="A6596" s="8"/>
      <c r="B6596" s="8"/>
      <c r="C6596" s="8"/>
      <c r="D6596" s="8"/>
      <c r="E6596" s="8"/>
      <c r="F6596" s="8"/>
      <c r="G6596" s="8"/>
      <c r="H6596" s="8"/>
      <c r="I6596" s="8"/>
      <c r="J6596" s="8"/>
      <c r="K6596" s="8"/>
      <c r="L6596" s="8"/>
      <c r="M6596" s="8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  <c r="AD6596" s="8"/>
      <c r="AE6596" s="8"/>
      <c r="AF6596" s="8"/>
      <c r="AG6596" s="10"/>
    </row>
    <row r="6597" spans="1:33">
      <c r="A6597" s="8"/>
      <c r="B6597" s="8"/>
      <c r="C6597" s="8"/>
      <c r="D6597" s="8"/>
      <c r="E6597" s="8"/>
      <c r="F6597" s="8"/>
      <c r="G6597" s="8"/>
      <c r="H6597" s="8"/>
      <c r="I6597" s="8"/>
      <c r="J6597" s="8"/>
      <c r="K6597" s="8"/>
      <c r="L6597" s="8"/>
      <c r="M6597" s="8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  <c r="AA6597" s="8"/>
      <c r="AB6597" s="8"/>
      <c r="AC6597" s="8"/>
      <c r="AD6597" s="8"/>
      <c r="AE6597" s="8"/>
      <c r="AF6597" s="8"/>
      <c r="AG6597" s="10"/>
    </row>
    <row r="6598" spans="1:33">
      <c r="A6598" s="8"/>
      <c r="B6598" s="8"/>
      <c r="C6598" s="8"/>
      <c r="D6598" s="8"/>
      <c r="E6598" s="8"/>
      <c r="F6598" s="8"/>
      <c r="G6598" s="8"/>
      <c r="H6598" s="8"/>
      <c r="I6598" s="8"/>
      <c r="J6598" s="8"/>
      <c r="K6598" s="8"/>
      <c r="L6598" s="8"/>
      <c r="M6598" s="8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  <c r="AA6598" s="8"/>
      <c r="AB6598" s="8"/>
      <c r="AC6598" s="8"/>
      <c r="AD6598" s="8"/>
      <c r="AE6598" s="8"/>
      <c r="AF6598" s="8"/>
      <c r="AG6598" s="10"/>
    </row>
    <row r="6599" spans="1:33">
      <c r="A6599" s="8"/>
      <c r="B6599" s="8"/>
      <c r="C6599" s="8"/>
      <c r="D6599" s="8"/>
      <c r="E6599" s="8"/>
      <c r="F6599" s="8"/>
      <c r="G6599" s="8"/>
      <c r="H6599" s="8"/>
      <c r="I6599" s="8"/>
      <c r="J6599" s="8"/>
      <c r="K6599" s="8"/>
      <c r="L6599" s="8"/>
      <c r="M6599" s="8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  <c r="AA6599" s="8"/>
      <c r="AB6599" s="8"/>
      <c r="AC6599" s="8"/>
      <c r="AD6599" s="8"/>
      <c r="AE6599" s="8"/>
      <c r="AF6599" s="8"/>
      <c r="AG6599" s="10"/>
    </row>
    <row r="6600" spans="1:33">
      <c r="A6600" s="8"/>
      <c r="B6600" s="8"/>
      <c r="C6600" s="8"/>
      <c r="D6600" s="8"/>
      <c r="E6600" s="8"/>
      <c r="F6600" s="8"/>
      <c r="G6600" s="8"/>
      <c r="H6600" s="8"/>
      <c r="I6600" s="8"/>
      <c r="J6600" s="8"/>
      <c r="K6600" s="8"/>
      <c r="L6600" s="8"/>
      <c r="M6600" s="8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  <c r="AA6600" s="8"/>
      <c r="AB6600" s="8"/>
      <c r="AC6600" s="8"/>
      <c r="AD6600" s="8"/>
      <c r="AE6600" s="8"/>
      <c r="AF6600" s="8"/>
      <c r="AG6600" s="10"/>
    </row>
    <row r="6601" spans="1:33">
      <c r="A6601" s="8"/>
      <c r="B6601" s="8"/>
      <c r="C6601" s="8"/>
      <c r="D6601" s="8"/>
      <c r="E6601" s="8"/>
      <c r="F6601" s="8"/>
      <c r="G6601" s="8"/>
      <c r="H6601" s="8"/>
      <c r="I6601" s="8"/>
      <c r="J6601" s="8"/>
      <c r="K6601" s="8"/>
      <c r="L6601" s="8"/>
      <c r="M6601" s="8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  <c r="AA6601" s="8"/>
      <c r="AB6601" s="8"/>
      <c r="AC6601" s="8"/>
      <c r="AD6601" s="8"/>
      <c r="AE6601" s="8"/>
      <c r="AF6601" s="8"/>
      <c r="AG6601" s="10"/>
    </row>
    <row r="6602" spans="1:33">
      <c r="A6602" s="8"/>
      <c r="B6602" s="8"/>
      <c r="C6602" s="8"/>
      <c r="D6602" s="8"/>
      <c r="E6602" s="8"/>
      <c r="F6602" s="8"/>
      <c r="G6602" s="8"/>
      <c r="H6602" s="8"/>
      <c r="I6602" s="8"/>
      <c r="J6602" s="8"/>
      <c r="K6602" s="8"/>
      <c r="L6602" s="8"/>
      <c r="M6602" s="8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  <c r="AA6602" s="8"/>
      <c r="AB6602" s="8"/>
      <c r="AC6602" s="8"/>
      <c r="AD6602" s="8"/>
      <c r="AE6602" s="8"/>
      <c r="AF6602" s="8"/>
      <c r="AG6602" s="10"/>
    </row>
    <row r="6603" spans="1:33">
      <c r="A6603" s="8"/>
      <c r="B6603" s="8"/>
      <c r="C6603" s="8"/>
      <c r="D6603" s="8"/>
      <c r="E6603" s="8"/>
      <c r="F6603" s="8"/>
      <c r="G6603" s="8"/>
      <c r="H6603" s="8"/>
      <c r="I6603" s="8"/>
      <c r="J6603" s="8"/>
      <c r="K6603" s="8"/>
      <c r="L6603" s="8"/>
      <c r="M6603" s="8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  <c r="AA6603" s="8"/>
      <c r="AB6603" s="8"/>
      <c r="AC6603" s="8"/>
      <c r="AD6603" s="8"/>
      <c r="AE6603" s="8"/>
      <c r="AF6603" s="8"/>
      <c r="AG6603" s="10"/>
    </row>
    <row r="6604" spans="1:33">
      <c r="A6604" s="8"/>
      <c r="B6604" s="8"/>
      <c r="C6604" s="8"/>
      <c r="D6604" s="8"/>
      <c r="E6604" s="8"/>
      <c r="F6604" s="8"/>
      <c r="G6604" s="8"/>
      <c r="H6604" s="8"/>
      <c r="I6604" s="8"/>
      <c r="J6604" s="8"/>
      <c r="K6604" s="8"/>
      <c r="L6604" s="8"/>
      <c r="M6604" s="8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  <c r="AA6604" s="8"/>
      <c r="AB6604" s="8"/>
      <c r="AC6604" s="8"/>
      <c r="AD6604" s="8"/>
      <c r="AE6604" s="8"/>
      <c r="AF6604" s="8"/>
      <c r="AG6604" s="10"/>
    </row>
    <row r="6605" spans="1:33">
      <c r="A6605" s="8"/>
      <c r="B6605" s="8"/>
      <c r="C6605" s="8"/>
      <c r="D6605" s="8"/>
      <c r="E6605" s="8"/>
      <c r="F6605" s="8"/>
      <c r="G6605" s="8"/>
      <c r="H6605" s="8"/>
      <c r="I6605" s="8"/>
      <c r="J6605" s="8"/>
      <c r="K6605" s="8"/>
      <c r="L6605" s="8"/>
      <c r="M6605" s="8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  <c r="AA6605" s="8"/>
      <c r="AB6605" s="8"/>
      <c r="AC6605" s="8"/>
      <c r="AD6605" s="8"/>
      <c r="AE6605" s="8"/>
      <c r="AF6605" s="8"/>
      <c r="AG6605" s="10"/>
    </row>
    <row r="6606" spans="1:33">
      <c r="A6606" s="8"/>
      <c r="B6606" s="8"/>
      <c r="C6606" s="8"/>
      <c r="D6606" s="8"/>
      <c r="E6606" s="8"/>
      <c r="F6606" s="8"/>
      <c r="G6606" s="8"/>
      <c r="H6606" s="8"/>
      <c r="I6606" s="8"/>
      <c r="J6606" s="8"/>
      <c r="K6606" s="8"/>
      <c r="L6606" s="8"/>
      <c r="M6606" s="8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  <c r="AA6606" s="8"/>
      <c r="AB6606" s="8"/>
      <c r="AC6606" s="8"/>
      <c r="AD6606" s="8"/>
      <c r="AE6606" s="8"/>
      <c r="AF6606" s="8"/>
      <c r="AG6606" s="10"/>
    </row>
    <row r="6607" spans="1:33">
      <c r="A6607" s="8"/>
      <c r="B6607" s="8"/>
      <c r="C6607" s="8"/>
      <c r="D6607" s="8"/>
      <c r="E6607" s="8"/>
      <c r="F6607" s="8"/>
      <c r="G6607" s="8"/>
      <c r="H6607" s="8"/>
      <c r="I6607" s="8"/>
      <c r="J6607" s="8"/>
      <c r="K6607" s="8"/>
      <c r="L6607" s="8"/>
      <c r="M6607" s="8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  <c r="AA6607" s="8"/>
      <c r="AB6607" s="8"/>
      <c r="AC6607" s="8"/>
      <c r="AD6607" s="8"/>
      <c r="AE6607" s="8"/>
      <c r="AF6607" s="8"/>
      <c r="AG6607" s="10"/>
    </row>
    <row r="6608" spans="1:33">
      <c r="A6608" s="8"/>
      <c r="B6608" s="8"/>
      <c r="C6608" s="8"/>
      <c r="D6608" s="8"/>
      <c r="E6608" s="8"/>
      <c r="F6608" s="8"/>
      <c r="G6608" s="8"/>
      <c r="H6608" s="8"/>
      <c r="I6608" s="8"/>
      <c r="J6608" s="8"/>
      <c r="K6608" s="8"/>
      <c r="L6608" s="8"/>
      <c r="M6608" s="8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  <c r="AA6608" s="8"/>
      <c r="AB6608" s="8"/>
      <c r="AC6608" s="8"/>
      <c r="AD6608" s="8"/>
      <c r="AE6608" s="8"/>
      <c r="AF6608" s="8"/>
      <c r="AG6608" s="10"/>
    </row>
    <row r="6609" spans="1:33">
      <c r="A6609" s="8"/>
      <c r="B6609" s="8"/>
      <c r="C6609" s="8"/>
      <c r="D6609" s="8"/>
      <c r="E6609" s="8"/>
      <c r="F6609" s="8"/>
      <c r="G6609" s="8"/>
      <c r="H6609" s="8"/>
      <c r="I6609" s="8"/>
      <c r="J6609" s="8"/>
      <c r="K6609" s="8"/>
      <c r="L6609" s="8"/>
      <c r="M6609" s="8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  <c r="AA6609" s="8"/>
      <c r="AB6609" s="8"/>
      <c r="AC6609" s="8"/>
      <c r="AD6609" s="8"/>
      <c r="AE6609" s="8"/>
      <c r="AF6609" s="8"/>
      <c r="AG6609" s="10"/>
    </row>
    <row r="6610" spans="1:33">
      <c r="A6610" s="8"/>
      <c r="B6610" s="8"/>
      <c r="C6610" s="8"/>
      <c r="D6610" s="8"/>
      <c r="E6610" s="8"/>
      <c r="F6610" s="8"/>
      <c r="G6610" s="8"/>
      <c r="H6610" s="8"/>
      <c r="I6610" s="8"/>
      <c r="J6610" s="8"/>
      <c r="K6610" s="8"/>
      <c r="L6610" s="8"/>
      <c r="M6610" s="8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  <c r="AA6610" s="8"/>
      <c r="AB6610" s="8"/>
      <c r="AC6610" s="8"/>
      <c r="AD6610" s="8"/>
      <c r="AE6610" s="8"/>
      <c r="AF6610" s="8"/>
      <c r="AG6610" s="10"/>
    </row>
    <row r="6611" spans="1:33">
      <c r="A6611" s="8"/>
      <c r="B6611" s="8"/>
      <c r="C6611" s="8"/>
      <c r="D6611" s="8"/>
      <c r="E6611" s="8"/>
      <c r="F6611" s="8"/>
      <c r="G6611" s="8"/>
      <c r="H6611" s="8"/>
      <c r="I6611" s="8"/>
      <c r="J6611" s="8"/>
      <c r="K6611" s="8"/>
      <c r="L6611" s="8"/>
      <c r="M6611" s="8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  <c r="AA6611" s="8"/>
      <c r="AB6611" s="8"/>
      <c r="AC6611" s="8"/>
      <c r="AD6611" s="8"/>
      <c r="AE6611" s="8"/>
      <c r="AF6611" s="8"/>
      <c r="AG6611" s="10"/>
    </row>
    <row r="6612" spans="1:33">
      <c r="A6612" s="8"/>
      <c r="B6612" s="8"/>
      <c r="C6612" s="8"/>
      <c r="D6612" s="8"/>
      <c r="E6612" s="8"/>
      <c r="F6612" s="8"/>
      <c r="G6612" s="8"/>
      <c r="H6612" s="8"/>
      <c r="I6612" s="8"/>
      <c r="J6612" s="8"/>
      <c r="K6612" s="8"/>
      <c r="L6612" s="8"/>
      <c r="M6612" s="8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  <c r="AA6612" s="8"/>
      <c r="AB6612" s="8"/>
      <c r="AC6612" s="8"/>
      <c r="AD6612" s="8"/>
      <c r="AE6612" s="8"/>
      <c r="AF6612" s="8"/>
      <c r="AG6612" s="10"/>
    </row>
    <row r="6613" spans="1:33">
      <c r="A6613" s="8"/>
      <c r="B6613" s="8"/>
      <c r="C6613" s="8"/>
      <c r="D6613" s="8"/>
      <c r="E6613" s="8"/>
      <c r="F6613" s="8"/>
      <c r="G6613" s="8"/>
      <c r="H6613" s="8"/>
      <c r="I6613" s="8"/>
      <c r="J6613" s="8"/>
      <c r="K6613" s="8"/>
      <c r="L6613" s="8"/>
      <c r="M6613" s="8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  <c r="AA6613" s="8"/>
      <c r="AB6613" s="8"/>
      <c r="AC6613" s="8"/>
      <c r="AD6613" s="8"/>
      <c r="AE6613" s="8"/>
      <c r="AF6613" s="8"/>
      <c r="AG6613" s="10"/>
    </row>
    <row r="6614" spans="1:33">
      <c r="A6614" s="8"/>
      <c r="B6614" s="8"/>
      <c r="C6614" s="8"/>
      <c r="D6614" s="8"/>
      <c r="E6614" s="8"/>
      <c r="F6614" s="8"/>
      <c r="G6614" s="8"/>
      <c r="H6614" s="8"/>
      <c r="I6614" s="8"/>
      <c r="J6614" s="8"/>
      <c r="K6614" s="8"/>
      <c r="L6614" s="8"/>
      <c r="M6614" s="8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  <c r="AA6614" s="8"/>
      <c r="AB6614" s="8"/>
      <c r="AC6614" s="8"/>
      <c r="AD6614" s="8"/>
      <c r="AE6614" s="8"/>
      <c r="AF6614" s="8"/>
      <c r="AG6614" s="10"/>
    </row>
    <row r="6615" spans="1:33">
      <c r="A6615" s="8"/>
      <c r="B6615" s="8"/>
      <c r="C6615" s="8"/>
      <c r="D6615" s="8"/>
      <c r="E6615" s="8"/>
      <c r="F6615" s="8"/>
      <c r="G6615" s="8"/>
      <c r="H6615" s="8"/>
      <c r="I6615" s="8"/>
      <c r="J6615" s="8"/>
      <c r="K6615" s="8"/>
      <c r="L6615" s="8"/>
      <c r="M6615" s="8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  <c r="AA6615" s="8"/>
      <c r="AB6615" s="8"/>
      <c r="AC6615" s="8"/>
      <c r="AD6615" s="8"/>
      <c r="AE6615" s="8"/>
      <c r="AF6615" s="8"/>
      <c r="AG6615" s="10"/>
    </row>
    <row r="6616" spans="1:33">
      <c r="A6616" s="8"/>
      <c r="B6616" s="8"/>
      <c r="C6616" s="8"/>
      <c r="D6616" s="8"/>
      <c r="E6616" s="8"/>
      <c r="F6616" s="8"/>
      <c r="G6616" s="8"/>
      <c r="H6616" s="8"/>
      <c r="I6616" s="8"/>
      <c r="J6616" s="8"/>
      <c r="K6616" s="8"/>
      <c r="L6616" s="8"/>
      <c r="M6616" s="8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  <c r="AA6616" s="8"/>
      <c r="AB6616" s="8"/>
      <c r="AC6616" s="8"/>
      <c r="AD6616" s="8"/>
      <c r="AE6616" s="8"/>
      <c r="AF6616" s="8"/>
      <c r="AG6616" s="10"/>
    </row>
    <row r="6617" spans="1:33">
      <c r="A6617" s="8"/>
      <c r="B6617" s="8"/>
      <c r="C6617" s="8"/>
      <c r="D6617" s="8"/>
      <c r="E6617" s="8"/>
      <c r="F6617" s="8"/>
      <c r="G6617" s="8"/>
      <c r="H6617" s="8"/>
      <c r="I6617" s="8"/>
      <c r="J6617" s="8"/>
      <c r="K6617" s="8"/>
      <c r="L6617" s="8"/>
      <c r="M6617" s="8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  <c r="AA6617" s="8"/>
      <c r="AB6617" s="8"/>
      <c r="AC6617" s="8"/>
      <c r="AD6617" s="8"/>
      <c r="AE6617" s="8"/>
      <c r="AF6617" s="8"/>
      <c r="AG6617" s="10"/>
    </row>
    <row r="6618" spans="1:33">
      <c r="A6618" s="8"/>
      <c r="B6618" s="8"/>
      <c r="C6618" s="8"/>
      <c r="D6618" s="8"/>
      <c r="E6618" s="8"/>
      <c r="F6618" s="8"/>
      <c r="G6618" s="8"/>
      <c r="H6618" s="8"/>
      <c r="I6618" s="8"/>
      <c r="J6618" s="8"/>
      <c r="K6618" s="8"/>
      <c r="L6618" s="8"/>
      <c r="M6618" s="8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  <c r="AA6618" s="8"/>
      <c r="AB6618" s="8"/>
      <c r="AC6618" s="8"/>
      <c r="AD6618" s="8"/>
      <c r="AE6618" s="8"/>
      <c r="AF6618" s="8"/>
      <c r="AG6618" s="10"/>
    </row>
    <row r="6619" spans="1:33">
      <c r="A6619" s="8"/>
      <c r="B6619" s="8"/>
      <c r="C6619" s="8"/>
      <c r="D6619" s="8"/>
      <c r="E6619" s="8"/>
      <c r="F6619" s="8"/>
      <c r="G6619" s="8"/>
      <c r="H6619" s="8"/>
      <c r="I6619" s="8"/>
      <c r="J6619" s="8"/>
      <c r="K6619" s="8"/>
      <c r="L6619" s="8"/>
      <c r="M6619" s="8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  <c r="AA6619" s="8"/>
      <c r="AB6619" s="8"/>
      <c r="AC6619" s="8"/>
      <c r="AD6619" s="8"/>
      <c r="AE6619" s="8"/>
      <c r="AF6619" s="8"/>
      <c r="AG6619" s="10"/>
    </row>
    <row r="6620" spans="1:33">
      <c r="A6620" s="8"/>
      <c r="B6620" s="8"/>
      <c r="C6620" s="8"/>
      <c r="D6620" s="8"/>
      <c r="E6620" s="8"/>
      <c r="F6620" s="8"/>
      <c r="G6620" s="8"/>
      <c r="H6620" s="8"/>
      <c r="I6620" s="8"/>
      <c r="J6620" s="8"/>
      <c r="K6620" s="8"/>
      <c r="L6620" s="8"/>
      <c r="M6620" s="8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  <c r="AA6620" s="8"/>
      <c r="AB6620" s="8"/>
      <c r="AC6620" s="8"/>
      <c r="AD6620" s="8"/>
      <c r="AE6620" s="8"/>
      <c r="AF6620" s="8"/>
      <c r="AG6620" s="10"/>
    </row>
    <row r="6621" spans="1:33">
      <c r="A6621" s="8"/>
      <c r="B6621" s="8"/>
      <c r="C6621" s="8"/>
      <c r="D6621" s="8"/>
      <c r="E6621" s="8"/>
      <c r="F6621" s="8"/>
      <c r="G6621" s="8"/>
      <c r="H6621" s="8"/>
      <c r="I6621" s="8"/>
      <c r="J6621" s="8"/>
      <c r="K6621" s="8"/>
      <c r="L6621" s="8"/>
      <c r="M6621" s="8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  <c r="AA6621" s="8"/>
      <c r="AB6621" s="8"/>
      <c r="AC6621" s="8"/>
      <c r="AD6621" s="8"/>
      <c r="AE6621" s="8"/>
      <c r="AF6621" s="8"/>
      <c r="AG6621" s="10"/>
    </row>
    <row r="6622" spans="1:33">
      <c r="A6622" s="8"/>
      <c r="B6622" s="8"/>
      <c r="C6622" s="8"/>
      <c r="D6622" s="8"/>
      <c r="E6622" s="8"/>
      <c r="F6622" s="8"/>
      <c r="G6622" s="8"/>
      <c r="H6622" s="8"/>
      <c r="I6622" s="8"/>
      <c r="J6622" s="8"/>
      <c r="K6622" s="8"/>
      <c r="L6622" s="8"/>
      <c r="M6622" s="8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  <c r="AA6622" s="8"/>
      <c r="AB6622" s="8"/>
      <c r="AC6622" s="8"/>
      <c r="AD6622" s="8"/>
      <c r="AE6622" s="8"/>
      <c r="AF6622" s="8"/>
      <c r="AG6622" s="10"/>
    </row>
    <row r="6623" spans="1:33">
      <c r="A6623" s="8"/>
      <c r="B6623" s="8"/>
      <c r="C6623" s="8"/>
      <c r="D6623" s="8"/>
      <c r="E6623" s="8"/>
      <c r="F6623" s="8"/>
      <c r="G6623" s="8"/>
      <c r="H6623" s="8"/>
      <c r="I6623" s="8"/>
      <c r="J6623" s="8"/>
      <c r="K6623" s="8"/>
      <c r="L6623" s="8"/>
      <c r="M6623" s="8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  <c r="AA6623" s="8"/>
      <c r="AB6623" s="8"/>
      <c r="AC6623" s="8"/>
      <c r="AD6623" s="8"/>
      <c r="AE6623" s="8"/>
      <c r="AF6623" s="8"/>
      <c r="AG6623" s="10"/>
    </row>
    <row r="6624" spans="1:33">
      <c r="A6624" s="8"/>
      <c r="B6624" s="8"/>
      <c r="C6624" s="8"/>
      <c r="D6624" s="8"/>
      <c r="E6624" s="8"/>
      <c r="F6624" s="8"/>
      <c r="G6624" s="8"/>
      <c r="H6624" s="8"/>
      <c r="I6624" s="8"/>
      <c r="J6624" s="8"/>
      <c r="K6624" s="8"/>
      <c r="L6624" s="8"/>
      <c r="M6624" s="8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  <c r="AA6624" s="8"/>
      <c r="AB6624" s="8"/>
      <c r="AC6624" s="8"/>
      <c r="AD6624" s="8"/>
      <c r="AE6624" s="8"/>
      <c r="AF6624" s="8"/>
      <c r="AG6624" s="10"/>
    </row>
    <row r="6625" spans="1:33">
      <c r="A6625" s="8"/>
      <c r="B6625" s="8"/>
      <c r="C6625" s="8"/>
      <c r="D6625" s="8"/>
      <c r="E6625" s="8"/>
      <c r="F6625" s="8"/>
      <c r="G6625" s="8"/>
      <c r="H6625" s="8"/>
      <c r="I6625" s="8"/>
      <c r="J6625" s="8"/>
      <c r="K6625" s="8"/>
      <c r="L6625" s="8"/>
      <c r="M6625" s="8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  <c r="AA6625" s="8"/>
      <c r="AB6625" s="8"/>
      <c r="AC6625" s="8"/>
      <c r="AD6625" s="8"/>
      <c r="AE6625" s="8"/>
      <c r="AF6625" s="8"/>
      <c r="AG6625" s="10"/>
    </row>
    <row r="6626" spans="1:33">
      <c r="A6626" s="8"/>
      <c r="B6626" s="8"/>
      <c r="C6626" s="8"/>
      <c r="D6626" s="8"/>
      <c r="E6626" s="8"/>
      <c r="F6626" s="8"/>
      <c r="G6626" s="8"/>
      <c r="H6626" s="8"/>
      <c r="I6626" s="8"/>
      <c r="J6626" s="8"/>
      <c r="K6626" s="8"/>
      <c r="L6626" s="8"/>
      <c r="M6626" s="8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  <c r="AD6626" s="8"/>
      <c r="AE6626" s="8"/>
      <c r="AF6626" s="8"/>
      <c r="AG6626" s="10"/>
    </row>
    <row r="6627" spans="1:33">
      <c r="A6627" s="8"/>
      <c r="B6627" s="8"/>
      <c r="C6627" s="8"/>
      <c r="D6627" s="8"/>
      <c r="E6627" s="8"/>
      <c r="F6627" s="8"/>
      <c r="G6627" s="8"/>
      <c r="H6627" s="8"/>
      <c r="I6627" s="8"/>
      <c r="J6627" s="8"/>
      <c r="K6627" s="8"/>
      <c r="L6627" s="8"/>
      <c r="M6627" s="8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  <c r="AA6627" s="8"/>
      <c r="AB6627" s="8"/>
      <c r="AC6627" s="8"/>
      <c r="AD6627" s="8"/>
      <c r="AE6627" s="8"/>
      <c r="AF6627" s="8"/>
      <c r="AG6627" s="10"/>
    </row>
    <row r="6628" spans="1:33">
      <c r="A6628" s="8"/>
      <c r="B6628" s="8"/>
      <c r="C6628" s="8"/>
      <c r="D6628" s="8"/>
      <c r="E6628" s="8"/>
      <c r="F6628" s="8"/>
      <c r="G6628" s="8"/>
      <c r="H6628" s="8"/>
      <c r="I6628" s="8"/>
      <c r="J6628" s="8"/>
      <c r="K6628" s="8"/>
      <c r="L6628" s="8"/>
      <c r="M6628" s="8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  <c r="AA6628" s="8"/>
      <c r="AB6628" s="8"/>
      <c r="AC6628" s="8"/>
      <c r="AD6628" s="8"/>
      <c r="AE6628" s="8"/>
      <c r="AF6628" s="8"/>
      <c r="AG6628" s="10"/>
    </row>
    <row r="6629" spans="1:33">
      <c r="A6629" s="8"/>
      <c r="B6629" s="8"/>
      <c r="C6629" s="8"/>
      <c r="D6629" s="8"/>
      <c r="E6629" s="8"/>
      <c r="F6629" s="8"/>
      <c r="G6629" s="8"/>
      <c r="H6629" s="8"/>
      <c r="I6629" s="8"/>
      <c r="J6629" s="8"/>
      <c r="K6629" s="8"/>
      <c r="L6629" s="8"/>
      <c r="M6629" s="8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  <c r="AA6629" s="8"/>
      <c r="AB6629" s="8"/>
      <c r="AC6629" s="8"/>
      <c r="AD6629" s="8"/>
      <c r="AE6629" s="8"/>
      <c r="AF6629" s="8"/>
      <c r="AG6629" s="10"/>
    </row>
    <row r="6630" spans="1:33">
      <c r="A6630" s="8"/>
      <c r="B6630" s="8"/>
      <c r="C6630" s="8"/>
      <c r="D6630" s="8"/>
      <c r="E6630" s="8"/>
      <c r="F6630" s="8"/>
      <c r="G6630" s="8"/>
      <c r="H6630" s="8"/>
      <c r="I6630" s="8"/>
      <c r="J6630" s="8"/>
      <c r="K6630" s="8"/>
      <c r="L6630" s="8"/>
      <c r="M6630" s="8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  <c r="AA6630" s="8"/>
      <c r="AB6630" s="8"/>
      <c r="AC6630" s="8"/>
      <c r="AD6630" s="8"/>
      <c r="AE6630" s="8"/>
      <c r="AF6630" s="8"/>
      <c r="AG6630" s="10"/>
    </row>
    <row r="6631" spans="1:33">
      <c r="A6631" s="8"/>
      <c r="B6631" s="8"/>
      <c r="C6631" s="8"/>
      <c r="D6631" s="8"/>
      <c r="E6631" s="8"/>
      <c r="F6631" s="8"/>
      <c r="G6631" s="8"/>
      <c r="H6631" s="8"/>
      <c r="I6631" s="8"/>
      <c r="J6631" s="8"/>
      <c r="K6631" s="8"/>
      <c r="L6631" s="8"/>
      <c r="M6631" s="8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  <c r="AA6631" s="8"/>
      <c r="AB6631" s="8"/>
      <c r="AC6631" s="8"/>
      <c r="AD6631" s="8"/>
      <c r="AE6631" s="8"/>
      <c r="AF6631" s="8"/>
      <c r="AG6631" s="10"/>
    </row>
    <row r="6632" spans="1:33">
      <c r="A6632" s="8"/>
      <c r="B6632" s="8"/>
      <c r="C6632" s="8"/>
      <c r="D6632" s="8"/>
      <c r="E6632" s="8"/>
      <c r="F6632" s="8"/>
      <c r="G6632" s="8"/>
      <c r="H6632" s="8"/>
      <c r="I6632" s="8"/>
      <c r="J6632" s="8"/>
      <c r="K6632" s="8"/>
      <c r="L6632" s="8"/>
      <c r="M6632" s="8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  <c r="AA6632" s="8"/>
      <c r="AB6632" s="8"/>
      <c r="AC6632" s="8"/>
      <c r="AD6632" s="8"/>
      <c r="AE6632" s="8"/>
      <c r="AF6632" s="8"/>
      <c r="AG6632" s="10"/>
    </row>
    <row r="6633" spans="1:33">
      <c r="A6633" s="8"/>
      <c r="B6633" s="8"/>
      <c r="C6633" s="8"/>
      <c r="D6633" s="8"/>
      <c r="E6633" s="8"/>
      <c r="F6633" s="8"/>
      <c r="G6633" s="8"/>
      <c r="H6633" s="8"/>
      <c r="I6633" s="8"/>
      <c r="J6633" s="8"/>
      <c r="K6633" s="8"/>
      <c r="L6633" s="8"/>
      <c r="M6633" s="8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  <c r="AA6633" s="8"/>
      <c r="AB6633" s="8"/>
      <c r="AC6633" s="8"/>
      <c r="AD6633" s="8"/>
      <c r="AE6633" s="8"/>
      <c r="AF6633" s="8"/>
      <c r="AG6633" s="10"/>
    </row>
    <row r="6634" spans="1:33">
      <c r="A6634" s="8"/>
      <c r="B6634" s="8"/>
      <c r="C6634" s="8"/>
      <c r="D6634" s="8"/>
      <c r="E6634" s="8"/>
      <c r="F6634" s="8"/>
      <c r="G6634" s="8"/>
      <c r="H6634" s="8"/>
      <c r="I6634" s="8"/>
      <c r="J6634" s="8"/>
      <c r="K6634" s="8"/>
      <c r="L6634" s="8"/>
      <c r="M6634" s="8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  <c r="AA6634" s="8"/>
      <c r="AB6634" s="8"/>
      <c r="AC6634" s="8"/>
      <c r="AD6634" s="8"/>
      <c r="AE6634" s="8"/>
      <c r="AF6634" s="8"/>
      <c r="AG6634" s="10"/>
    </row>
    <row r="6635" spans="1:33">
      <c r="A6635" s="8"/>
      <c r="B6635" s="8"/>
      <c r="C6635" s="8"/>
      <c r="D6635" s="8"/>
      <c r="E6635" s="8"/>
      <c r="F6635" s="8"/>
      <c r="G6635" s="8"/>
      <c r="H6635" s="8"/>
      <c r="I6635" s="8"/>
      <c r="J6635" s="8"/>
      <c r="K6635" s="8"/>
      <c r="L6635" s="8"/>
      <c r="M6635" s="8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  <c r="AA6635" s="8"/>
      <c r="AB6635" s="8"/>
      <c r="AC6635" s="8"/>
      <c r="AD6635" s="8"/>
      <c r="AE6635" s="8"/>
      <c r="AF6635" s="8"/>
      <c r="AG6635" s="10"/>
    </row>
    <row r="6636" spans="1:33">
      <c r="A6636" s="8"/>
      <c r="B6636" s="8"/>
      <c r="C6636" s="8"/>
      <c r="D6636" s="8"/>
      <c r="E6636" s="8"/>
      <c r="F6636" s="8"/>
      <c r="G6636" s="8"/>
      <c r="H6636" s="8"/>
      <c r="I6636" s="8"/>
      <c r="J6636" s="8"/>
      <c r="K6636" s="8"/>
      <c r="L6636" s="8"/>
      <c r="M6636" s="8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  <c r="AA6636" s="8"/>
      <c r="AB6636" s="8"/>
      <c r="AC6636" s="8"/>
      <c r="AD6636" s="8"/>
      <c r="AE6636" s="8"/>
      <c r="AF6636" s="8"/>
      <c r="AG6636" s="10"/>
    </row>
    <row r="6637" spans="1:33">
      <c r="A6637" s="8"/>
      <c r="B6637" s="8"/>
      <c r="C6637" s="8"/>
      <c r="D6637" s="8"/>
      <c r="E6637" s="8"/>
      <c r="F6637" s="8"/>
      <c r="G6637" s="8"/>
      <c r="H6637" s="8"/>
      <c r="I6637" s="8"/>
      <c r="J6637" s="8"/>
      <c r="K6637" s="8"/>
      <c r="L6637" s="8"/>
      <c r="M6637" s="8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  <c r="AA6637" s="8"/>
      <c r="AB6637" s="8"/>
      <c r="AC6637" s="8"/>
      <c r="AD6637" s="8"/>
      <c r="AE6637" s="8"/>
      <c r="AF6637" s="8"/>
      <c r="AG6637" s="10"/>
    </row>
    <row r="6638" spans="1:33">
      <c r="A6638" s="8"/>
      <c r="B6638" s="8"/>
      <c r="C6638" s="8"/>
      <c r="D6638" s="8"/>
      <c r="E6638" s="8"/>
      <c r="F6638" s="8"/>
      <c r="G6638" s="8"/>
      <c r="H6638" s="8"/>
      <c r="I6638" s="8"/>
      <c r="J6638" s="8"/>
      <c r="K6638" s="8"/>
      <c r="L6638" s="8"/>
      <c r="M6638" s="8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  <c r="AA6638" s="8"/>
      <c r="AB6638" s="8"/>
      <c r="AC6638" s="8"/>
      <c r="AD6638" s="8"/>
      <c r="AE6638" s="8"/>
      <c r="AF6638" s="8"/>
      <c r="AG6638" s="10"/>
    </row>
    <row r="6639" spans="1:33">
      <c r="A6639" s="8"/>
      <c r="B6639" s="8"/>
      <c r="C6639" s="8"/>
      <c r="D6639" s="8"/>
      <c r="E6639" s="8"/>
      <c r="F6639" s="8"/>
      <c r="G6639" s="8"/>
      <c r="H6639" s="8"/>
      <c r="I6639" s="8"/>
      <c r="J6639" s="8"/>
      <c r="K6639" s="8"/>
      <c r="L6639" s="8"/>
      <c r="M6639" s="8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  <c r="AA6639" s="8"/>
      <c r="AB6639" s="8"/>
      <c r="AC6639" s="8"/>
      <c r="AD6639" s="8"/>
      <c r="AE6639" s="8"/>
      <c r="AF6639" s="8"/>
      <c r="AG6639" s="10"/>
    </row>
    <row r="6640" spans="1:33">
      <c r="A6640" s="8"/>
      <c r="B6640" s="8"/>
      <c r="C6640" s="8"/>
      <c r="D6640" s="8"/>
      <c r="E6640" s="8"/>
      <c r="F6640" s="8"/>
      <c r="G6640" s="8"/>
      <c r="H6640" s="8"/>
      <c r="I6640" s="8"/>
      <c r="J6640" s="8"/>
      <c r="K6640" s="8"/>
      <c r="L6640" s="8"/>
      <c r="M6640" s="8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  <c r="AA6640" s="8"/>
      <c r="AB6640" s="8"/>
      <c r="AC6640" s="8"/>
      <c r="AD6640" s="8"/>
      <c r="AE6640" s="8"/>
      <c r="AF6640" s="8"/>
      <c r="AG6640" s="10"/>
    </row>
    <row r="6641" spans="1:33">
      <c r="A6641" s="8"/>
      <c r="B6641" s="8"/>
      <c r="C6641" s="8"/>
      <c r="D6641" s="8"/>
      <c r="E6641" s="8"/>
      <c r="F6641" s="8"/>
      <c r="G6641" s="8"/>
      <c r="H6641" s="8"/>
      <c r="I6641" s="8"/>
      <c r="J6641" s="8"/>
      <c r="K6641" s="8"/>
      <c r="L6641" s="8"/>
      <c r="M6641" s="8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  <c r="AA6641" s="8"/>
      <c r="AB6641" s="8"/>
      <c r="AC6641" s="8"/>
      <c r="AD6641" s="8"/>
      <c r="AE6641" s="8"/>
      <c r="AF6641" s="8"/>
      <c r="AG6641" s="10"/>
    </row>
    <row r="6642" spans="1:33">
      <c r="A6642" s="8"/>
      <c r="B6642" s="8"/>
      <c r="C6642" s="8"/>
      <c r="D6642" s="8"/>
      <c r="E6642" s="8"/>
      <c r="F6642" s="8"/>
      <c r="G6642" s="8"/>
      <c r="H6642" s="8"/>
      <c r="I6642" s="8"/>
      <c r="J6642" s="8"/>
      <c r="K6642" s="8"/>
      <c r="L6642" s="8"/>
      <c r="M6642" s="8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  <c r="AA6642" s="8"/>
      <c r="AB6642" s="8"/>
      <c r="AC6642" s="8"/>
      <c r="AD6642" s="8"/>
      <c r="AE6642" s="8"/>
      <c r="AF6642" s="8"/>
      <c r="AG6642" s="10"/>
    </row>
    <row r="6643" spans="1:33">
      <c r="A6643" s="8"/>
      <c r="B6643" s="8"/>
      <c r="C6643" s="8"/>
      <c r="D6643" s="8"/>
      <c r="E6643" s="8"/>
      <c r="F6643" s="8"/>
      <c r="G6643" s="8"/>
      <c r="H6643" s="8"/>
      <c r="I6643" s="8"/>
      <c r="J6643" s="8"/>
      <c r="K6643" s="8"/>
      <c r="L6643" s="8"/>
      <c r="M6643" s="8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  <c r="AA6643" s="8"/>
      <c r="AB6643" s="8"/>
      <c r="AC6643" s="8"/>
      <c r="AD6643" s="8"/>
      <c r="AE6643" s="8"/>
      <c r="AF6643" s="8"/>
      <c r="AG6643" s="10"/>
    </row>
    <row r="6644" spans="1:33">
      <c r="A6644" s="8"/>
      <c r="B6644" s="8"/>
      <c r="C6644" s="8"/>
      <c r="D6644" s="8"/>
      <c r="E6644" s="8"/>
      <c r="F6644" s="8"/>
      <c r="G6644" s="8"/>
      <c r="H6644" s="8"/>
      <c r="I6644" s="8"/>
      <c r="J6644" s="8"/>
      <c r="K6644" s="8"/>
      <c r="L6644" s="8"/>
      <c r="M6644" s="8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  <c r="AA6644" s="8"/>
      <c r="AB6644" s="8"/>
      <c r="AC6644" s="8"/>
      <c r="AD6644" s="8"/>
      <c r="AE6644" s="8"/>
      <c r="AF6644" s="8"/>
      <c r="AG6644" s="10"/>
    </row>
    <row r="6645" spans="1:33">
      <c r="A6645" s="8"/>
      <c r="B6645" s="8"/>
      <c r="C6645" s="8"/>
      <c r="D6645" s="8"/>
      <c r="E6645" s="8"/>
      <c r="F6645" s="8"/>
      <c r="G6645" s="8"/>
      <c r="H6645" s="8"/>
      <c r="I6645" s="8"/>
      <c r="J6645" s="8"/>
      <c r="K6645" s="8"/>
      <c r="L6645" s="8"/>
      <c r="M6645" s="8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  <c r="AA6645" s="8"/>
      <c r="AB6645" s="8"/>
      <c r="AC6645" s="8"/>
      <c r="AD6645" s="8"/>
      <c r="AE6645" s="8"/>
      <c r="AF6645" s="8"/>
      <c r="AG6645" s="10"/>
    </row>
    <row r="6646" spans="1:33">
      <c r="A6646" s="8"/>
      <c r="B6646" s="8"/>
      <c r="C6646" s="8"/>
      <c r="D6646" s="8"/>
      <c r="E6646" s="8"/>
      <c r="F6646" s="8"/>
      <c r="G6646" s="8"/>
      <c r="H6646" s="8"/>
      <c r="I6646" s="8"/>
      <c r="J6646" s="8"/>
      <c r="K6646" s="8"/>
      <c r="L6646" s="8"/>
      <c r="M6646" s="8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  <c r="AA6646" s="8"/>
      <c r="AB6646" s="8"/>
      <c r="AC6646" s="8"/>
      <c r="AD6646" s="8"/>
      <c r="AE6646" s="8"/>
      <c r="AF6646" s="8"/>
      <c r="AG6646" s="10"/>
    </row>
    <row r="6647" spans="1:33">
      <c r="A6647" s="8"/>
      <c r="B6647" s="8"/>
      <c r="C6647" s="8"/>
      <c r="D6647" s="8"/>
      <c r="E6647" s="8"/>
      <c r="F6647" s="8"/>
      <c r="G6647" s="8"/>
      <c r="H6647" s="8"/>
      <c r="I6647" s="8"/>
      <c r="J6647" s="8"/>
      <c r="K6647" s="8"/>
      <c r="L6647" s="8"/>
      <c r="M6647" s="8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  <c r="AA6647" s="8"/>
      <c r="AB6647" s="8"/>
      <c r="AC6647" s="8"/>
      <c r="AD6647" s="8"/>
      <c r="AE6647" s="8"/>
      <c r="AF6647" s="8"/>
      <c r="AG6647" s="10"/>
    </row>
    <row r="6648" spans="1:33">
      <c r="A6648" s="8"/>
      <c r="B6648" s="8"/>
      <c r="C6648" s="8"/>
      <c r="D6648" s="8"/>
      <c r="E6648" s="8"/>
      <c r="F6648" s="8"/>
      <c r="G6648" s="8"/>
      <c r="H6648" s="8"/>
      <c r="I6648" s="8"/>
      <c r="J6648" s="8"/>
      <c r="K6648" s="8"/>
      <c r="L6648" s="8"/>
      <c r="M6648" s="8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  <c r="AA6648" s="8"/>
      <c r="AB6648" s="8"/>
      <c r="AC6648" s="8"/>
      <c r="AD6648" s="8"/>
      <c r="AE6648" s="8"/>
      <c r="AF6648" s="8"/>
      <c r="AG6648" s="10"/>
    </row>
    <row r="6649" spans="1:33">
      <c r="A6649" s="8"/>
      <c r="B6649" s="8"/>
      <c r="C6649" s="8"/>
      <c r="D6649" s="8"/>
      <c r="E6649" s="8"/>
      <c r="F6649" s="8"/>
      <c r="G6649" s="8"/>
      <c r="H6649" s="8"/>
      <c r="I6649" s="8"/>
      <c r="J6649" s="8"/>
      <c r="K6649" s="8"/>
      <c r="L6649" s="8"/>
      <c r="M6649" s="8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  <c r="AA6649" s="8"/>
      <c r="AB6649" s="8"/>
      <c r="AC6649" s="8"/>
      <c r="AD6649" s="8"/>
      <c r="AE6649" s="8"/>
      <c r="AF6649" s="8"/>
      <c r="AG6649" s="10"/>
    </row>
    <row r="6650" spans="1:33">
      <c r="A6650" s="8"/>
      <c r="B6650" s="8"/>
      <c r="C6650" s="8"/>
      <c r="D6650" s="8"/>
      <c r="E6650" s="8"/>
      <c r="F6650" s="8"/>
      <c r="G6650" s="8"/>
      <c r="H6650" s="8"/>
      <c r="I6650" s="8"/>
      <c r="J6650" s="8"/>
      <c r="K6650" s="8"/>
      <c r="L6650" s="8"/>
      <c r="M6650" s="8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  <c r="AA6650" s="8"/>
      <c r="AB6650" s="8"/>
      <c r="AC6650" s="8"/>
      <c r="AD6650" s="8"/>
      <c r="AE6650" s="8"/>
      <c r="AF6650" s="8"/>
      <c r="AG6650" s="10"/>
    </row>
    <row r="6651" spans="1:33">
      <c r="A6651" s="8"/>
      <c r="B6651" s="8"/>
      <c r="C6651" s="8"/>
      <c r="D6651" s="8"/>
      <c r="E6651" s="8"/>
      <c r="F6651" s="8"/>
      <c r="G6651" s="8"/>
      <c r="H6651" s="8"/>
      <c r="I6651" s="8"/>
      <c r="J6651" s="8"/>
      <c r="K6651" s="8"/>
      <c r="L6651" s="8"/>
      <c r="M6651" s="8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  <c r="AA6651" s="8"/>
      <c r="AB6651" s="8"/>
      <c r="AC6651" s="8"/>
      <c r="AD6651" s="8"/>
      <c r="AE6651" s="8"/>
      <c r="AF6651" s="8"/>
      <c r="AG6651" s="10"/>
    </row>
    <row r="6652" spans="1:33">
      <c r="A6652" s="8"/>
      <c r="B6652" s="8"/>
      <c r="C6652" s="8"/>
      <c r="D6652" s="8"/>
      <c r="E6652" s="8"/>
      <c r="F6652" s="8"/>
      <c r="G6652" s="8"/>
      <c r="H6652" s="8"/>
      <c r="I6652" s="8"/>
      <c r="J6652" s="8"/>
      <c r="K6652" s="8"/>
      <c r="L6652" s="8"/>
      <c r="M6652" s="8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  <c r="AA6652" s="8"/>
      <c r="AB6652" s="8"/>
      <c r="AC6652" s="8"/>
      <c r="AD6652" s="8"/>
      <c r="AE6652" s="8"/>
      <c r="AF6652" s="8"/>
      <c r="AG6652" s="10"/>
    </row>
    <row r="6653" spans="1:33">
      <c r="A6653" s="8"/>
      <c r="B6653" s="8"/>
      <c r="C6653" s="8"/>
      <c r="D6653" s="8"/>
      <c r="E6653" s="8"/>
      <c r="F6653" s="8"/>
      <c r="G6653" s="8"/>
      <c r="H6653" s="8"/>
      <c r="I6653" s="8"/>
      <c r="J6653" s="8"/>
      <c r="K6653" s="8"/>
      <c r="L6653" s="8"/>
      <c r="M6653" s="8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  <c r="AA6653" s="8"/>
      <c r="AB6653" s="8"/>
      <c r="AC6653" s="8"/>
      <c r="AD6653" s="8"/>
      <c r="AE6653" s="8"/>
      <c r="AF6653" s="8"/>
      <c r="AG6653" s="10"/>
    </row>
    <row r="6654" spans="1:33">
      <c r="A6654" s="8"/>
      <c r="B6654" s="8"/>
      <c r="C6654" s="8"/>
      <c r="D6654" s="8"/>
      <c r="E6654" s="8"/>
      <c r="F6654" s="8"/>
      <c r="G6654" s="8"/>
      <c r="H6654" s="8"/>
      <c r="I6654" s="8"/>
      <c r="J6654" s="8"/>
      <c r="K6654" s="8"/>
      <c r="L6654" s="8"/>
      <c r="M6654" s="8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  <c r="AA6654" s="8"/>
      <c r="AB6654" s="8"/>
      <c r="AC6654" s="8"/>
      <c r="AD6654" s="8"/>
      <c r="AE6654" s="8"/>
      <c r="AF6654" s="8"/>
      <c r="AG6654" s="10"/>
    </row>
    <row r="6655" spans="1:33">
      <c r="A6655" s="8"/>
      <c r="B6655" s="8"/>
      <c r="C6655" s="8"/>
      <c r="D6655" s="8"/>
      <c r="E6655" s="8"/>
      <c r="F6655" s="8"/>
      <c r="G6655" s="8"/>
      <c r="H6655" s="8"/>
      <c r="I6655" s="8"/>
      <c r="J6655" s="8"/>
      <c r="K6655" s="8"/>
      <c r="L6655" s="8"/>
      <c r="M6655" s="8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  <c r="AA6655" s="8"/>
      <c r="AB6655" s="8"/>
      <c r="AC6655" s="8"/>
      <c r="AD6655" s="8"/>
      <c r="AE6655" s="8"/>
      <c r="AF6655" s="8"/>
      <c r="AG6655" s="10"/>
    </row>
    <row r="6656" spans="1:33">
      <c r="A6656" s="8"/>
      <c r="B6656" s="8"/>
      <c r="C6656" s="8"/>
      <c r="D6656" s="8"/>
      <c r="E6656" s="8"/>
      <c r="F6656" s="8"/>
      <c r="G6656" s="8"/>
      <c r="H6656" s="8"/>
      <c r="I6656" s="8"/>
      <c r="J6656" s="8"/>
      <c r="K6656" s="8"/>
      <c r="L6656" s="8"/>
      <c r="M6656" s="8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  <c r="AA6656" s="8"/>
      <c r="AB6656" s="8"/>
      <c r="AC6656" s="8"/>
      <c r="AD6656" s="8"/>
      <c r="AE6656" s="8"/>
      <c r="AF6656" s="8"/>
      <c r="AG6656" s="10"/>
    </row>
    <row r="6657" spans="1:33">
      <c r="A6657" s="8"/>
      <c r="B6657" s="8"/>
      <c r="C6657" s="8"/>
      <c r="D6657" s="8"/>
      <c r="E6657" s="8"/>
      <c r="F6657" s="8"/>
      <c r="G6657" s="8"/>
      <c r="H6657" s="8"/>
      <c r="I6657" s="8"/>
      <c r="J6657" s="8"/>
      <c r="K6657" s="8"/>
      <c r="L6657" s="8"/>
      <c r="M6657" s="8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  <c r="AA6657" s="8"/>
      <c r="AB6657" s="8"/>
      <c r="AC6657" s="8"/>
      <c r="AD6657" s="8"/>
      <c r="AE6657" s="8"/>
      <c r="AF6657" s="8"/>
      <c r="AG6657" s="10"/>
    </row>
    <row r="6658" spans="1:33">
      <c r="A6658" s="8"/>
      <c r="B6658" s="8"/>
      <c r="C6658" s="8"/>
      <c r="D6658" s="8"/>
      <c r="E6658" s="8"/>
      <c r="F6658" s="8"/>
      <c r="G6658" s="8"/>
      <c r="H6658" s="8"/>
      <c r="I6658" s="8"/>
      <c r="J6658" s="8"/>
      <c r="K6658" s="8"/>
      <c r="L6658" s="8"/>
      <c r="M6658" s="8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  <c r="AA6658" s="8"/>
      <c r="AB6658" s="8"/>
      <c r="AC6658" s="8"/>
      <c r="AD6658" s="8"/>
      <c r="AE6658" s="8"/>
      <c r="AF6658" s="8"/>
      <c r="AG6658" s="10"/>
    </row>
    <row r="6659" spans="1:33">
      <c r="A6659" s="8"/>
      <c r="B6659" s="8"/>
      <c r="C6659" s="8"/>
      <c r="D6659" s="8"/>
      <c r="E6659" s="8"/>
      <c r="F6659" s="8"/>
      <c r="G6659" s="8"/>
      <c r="H6659" s="8"/>
      <c r="I6659" s="8"/>
      <c r="J6659" s="8"/>
      <c r="K6659" s="8"/>
      <c r="L6659" s="8"/>
      <c r="M6659" s="8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  <c r="AA6659" s="8"/>
      <c r="AB6659" s="8"/>
      <c r="AC6659" s="8"/>
      <c r="AD6659" s="8"/>
      <c r="AE6659" s="8"/>
      <c r="AF6659" s="8"/>
      <c r="AG6659" s="10"/>
    </row>
    <row r="6660" spans="1:33">
      <c r="A6660" s="8"/>
      <c r="B6660" s="8"/>
      <c r="C6660" s="8"/>
      <c r="D6660" s="8"/>
      <c r="E6660" s="8"/>
      <c r="F6660" s="8"/>
      <c r="G6660" s="8"/>
      <c r="H6660" s="8"/>
      <c r="I6660" s="8"/>
      <c r="J6660" s="8"/>
      <c r="K6660" s="8"/>
      <c r="L6660" s="8"/>
      <c r="M6660" s="8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  <c r="AA6660" s="8"/>
      <c r="AB6660" s="8"/>
      <c r="AC6660" s="8"/>
      <c r="AD6660" s="8"/>
      <c r="AE6660" s="8"/>
      <c r="AF6660" s="8"/>
      <c r="AG6660" s="10"/>
    </row>
    <row r="6661" spans="1:33">
      <c r="A6661" s="8"/>
      <c r="B6661" s="8"/>
      <c r="C6661" s="8"/>
      <c r="D6661" s="8"/>
      <c r="E6661" s="8"/>
      <c r="F6661" s="8"/>
      <c r="G6661" s="8"/>
      <c r="H6661" s="8"/>
      <c r="I6661" s="8"/>
      <c r="J6661" s="8"/>
      <c r="K6661" s="8"/>
      <c r="L6661" s="8"/>
      <c r="M6661" s="8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  <c r="AA6661" s="8"/>
      <c r="AB6661" s="8"/>
      <c r="AC6661" s="8"/>
      <c r="AD6661" s="8"/>
      <c r="AE6661" s="8"/>
      <c r="AF6661" s="8"/>
      <c r="AG6661" s="10"/>
    </row>
    <row r="6662" spans="1:33">
      <c r="A6662" s="8"/>
      <c r="B6662" s="8"/>
      <c r="C6662" s="8"/>
      <c r="D6662" s="8"/>
      <c r="E6662" s="8"/>
      <c r="F6662" s="8"/>
      <c r="G6662" s="8"/>
      <c r="H6662" s="8"/>
      <c r="I6662" s="8"/>
      <c r="J6662" s="8"/>
      <c r="K6662" s="8"/>
      <c r="L6662" s="8"/>
      <c r="M6662" s="8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  <c r="AA6662" s="8"/>
      <c r="AB6662" s="8"/>
      <c r="AC6662" s="8"/>
      <c r="AD6662" s="8"/>
      <c r="AE6662" s="8"/>
      <c r="AF6662" s="8"/>
      <c r="AG6662" s="10"/>
    </row>
    <row r="6663" spans="1:33">
      <c r="A6663" s="8"/>
      <c r="B6663" s="8"/>
      <c r="C6663" s="8"/>
      <c r="D6663" s="8"/>
      <c r="E6663" s="8"/>
      <c r="F6663" s="8"/>
      <c r="G6663" s="8"/>
      <c r="H6663" s="8"/>
      <c r="I6663" s="8"/>
      <c r="J6663" s="8"/>
      <c r="K6663" s="8"/>
      <c r="L6663" s="8"/>
      <c r="M6663" s="8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  <c r="AA6663" s="8"/>
      <c r="AB6663" s="8"/>
      <c r="AC6663" s="8"/>
      <c r="AD6663" s="8"/>
      <c r="AE6663" s="8"/>
      <c r="AF6663" s="8"/>
      <c r="AG6663" s="10"/>
    </row>
    <row r="6664" spans="1:33">
      <c r="A6664" s="8"/>
      <c r="B6664" s="8"/>
      <c r="C6664" s="8"/>
      <c r="D6664" s="8"/>
      <c r="E6664" s="8"/>
      <c r="F6664" s="8"/>
      <c r="G6664" s="8"/>
      <c r="H6664" s="8"/>
      <c r="I6664" s="8"/>
      <c r="J6664" s="8"/>
      <c r="K6664" s="8"/>
      <c r="L6664" s="8"/>
      <c r="M6664" s="8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  <c r="AA6664" s="8"/>
      <c r="AB6664" s="8"/>
      <c r="AC6664" s="8"/>
      <c r="AD6664" s="8"/>
      <c r="AE6664" s="8"/>
      <c r="AF6664" s="8"/>
      <c r="AG6664" s="10"/>
    </row>
    <row r="6665" spans="1:33">
      <c r="A6665" s="8"/>
      <c r="B6665" s="8"/>
      <c r="C6665" s="8"/>
      <c r="D6665" s="8"/>
      <c r="E6665" s="8"/>
      <c r="F6665" s="8"/>
      <c r="G6665" s="8"/>
      <c r="H6665" s="8"/>
      <c r="I6665" s="8"/>
      <c r="J6665" s="8"/>
      <c r="K6665" s="8"/>
      <c r="L6665" s="8"/>
      <c r="M6665" s="8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  <c r="AA6665" s="8"/>
      <c r="AB6665" s="8"/>
      <c r="AC6665" s="8"/>
      <c r="AD6665" s="8"/>
      <c r="AE6665" s="8"/>
      <c r="AF6665" s="8"/>
      <c r="AG6665" s="10"/>
    </row>
    <row r="6666" spans="1:33">
      <c r="A6666" s="8"/>
      <c r="B6666" s="8"/>
      <c r="C6666" s="8"/>
      <c r="D6666" s="8"/>
      <c r="E6666" s="8"/>
      <c r="F6666" s="8"/>
      <c r="G6666" s="8"/>
      <c r="H6666" s="8"/>
      <c r="I6666" s="8"/>
      <c r="J6666" s="8"/>
      <c r="K6666" s="8"/>
      <c r="L6666" s="8"/>
      <c r="M6666" s="8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  <c r="AA6666" s="8"/>
      <c r="AB6666" s="8"/>
      <c r="AC6666" s="8"/>
      <c r="AD6666" s="8"/>
      <c r="AE6666" s="8"/>
      <c r="AF6666" s="8"/>
      <c r="AG6666" s="10"/>
    </row>
    <row r="6667" spans="1:33">
      <c r="A6667" s="8"/>
      <c r="B6667" s="8"/>
      <c r="C6667" s="8"/>
      <c r="D6667" s="8"/>
      <c r="E6667" s="8"/>
      <c r="F6667" s="8"/>
      <c r="G6667" s="8"/>
      <c r="H6667" s="8"/>
      <c r="I6667" s="8"/>
      <c r="J6667" s="8"/>
      <c r="K6667" s="8"/>
      <c r="L6667" s="8"/>
      <c r="M6667" s="8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  <c r="AA6667" s="8"/>
      <c r="AB6667" s="8"/>
      <c r="AC6667" s="8"/>
      <c r="AD6667" s="8"/>
      <c r="AE6667" s="8"/>
      <c r="AF6667" s="8"/>
      <c r="AG6667" s="10"/>
    </row>
    <row r="6668" spans="1:33">
      <c r="A6668" s="8"/>
      <c r="B6668" s="8"/>
      <c r="C6668" s="8"/>
      <c r="D6668" s="8"/>
      <c r="E6668" s="8"/>
      <c r="F6668" s="8"/>
      <c r="G6668" s="8"/>
      <c r="H6668" s="8"/>
      <c r="I6668" s="8"/>
      <c r="J6668" s="8"/>
      <c r="K6668" s="8"/>
      <c r="L6668" s="8"/>
      <c r="M6668" s="8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  <c r="AA6668" s="8"/>
      <c r="AB6668" s="8"/>
      <c r="AC6668" s="8"/>
      <c r="AD6668" s="8"/>
      <c r="AE6668" s="8"/>
      <c r="AF6668" s="8"/>
      <c r="AG6668" s="10"/>
    </row>
    <row r="6669" spans="1:33">
      <c r="A6669" s="8"/>
      <c r="B6669" s="8"/>
      <c r="C6669" s="8"/>
      <c r="D6669" s="8"/>
      <c r="E6669" s="8"/>
      <c r="F6669" s="8"/>
      <c r="G6669" s="8"/>
      <c r="H6669" s="8"/>
      <c r="I6669" s="8"/>
      <c r="J6669" s="8"/>
      <c r="K6669" s="8"/>
      <c r="L6669" s="8"/>
      <c r="M6669" s="8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  <c r="AD6669" s="8"/>
      <c r="AE6669" s="8"/>
      <c r="AF6669" s="8"/>
      <c r="AG6669" s="10"/>
    </row>
    <row r="6670" spans="1:33">
      <c r="A6670" s="8"/>
      <c r="B6670" s="8"/>
      <c r="C6670" s="8"/>
      <c r="D6670" s="8"/>
      <c r="E6670" s="8"/>
      <c r="F6670" s="8"/>
      <c r="G6670" s="8"/>
      <c r="H6670" s="8"/>
      <c r="I6670" s="8"/>
      <c r="J6670" s="8"/>
      <c r="K6670" s="8"/>
      <c r="L6670" s="8"/>
      <c r="M6670" s="8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  <c r="AA6670" s="8"/>
      <c r="AB6670" s="8"/>
      <c r="AC6670" s="8"/>
      <c r="AD6670" s="8"/>
      <c r="AE6670" s="8"/>
      <c r="AF6670" s="8"/>
      <c r="AG6670" s="10"/>
    </row>
    <row r="6671" spans="1:33">
      <c r="A6671" s="8"/>
      <c r="B6671" s="8"/>
      <c r="C6671" s="8"/>
      <c r="D6671" s="8"/>
      <c r="E6671" s="8"/>
      <c r="F6671" s="8"/>
      <c r="G6671" s="8"/>
      <c r="H6671" s="8"/>
      <c r="I6671" s="8"/>
      <c r="J6671" s="8"/>
      <c r="K6671" s="8"/>
      <c r="L6671" s="8"/>
      <c r="M6671" s="8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  <c r="AA6671" s="8"/>
      <c r="AB6671" s="8"/>
      <c r="AC6671" s="8"/>
      <c r="AD6671" s="8"/>
      <c r="AE6671" s="8"/>
      <c r="AF6671" s="8"/>
      <c r="AG6671" s="10"/>
    </row>
    <row r="6672" spans="1:33">
      <c r="A6672" s="8"/>
      <c r="B6672" s="8"/>
      <c r="C6672" s="8"/>
      <c r="D6672" s="8"/>
      <c r="E6672" s="8"/>
      <c r="F6672" s="8"/>
      <c r="G6672" s="8"/>
      <c r="H6672" s="8"/>
      <c r="I6672" s="8"/>
      <c r="J6672" s="8"/>
      <c r="K6672" s="8"/>
      <c r="L6672" s="8"/>
      <c r="M6672" s="8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  <c r="AA6672" s="8"/>
      <c r="AB6672" s="8"/>
      <c r="AC6672" s="8"/>
      <c r="AD6672" s="8"/>
      <c r="AE6672" s="8"/>
      <c r="AF6672" s="8"/>
      <c r="AG6672" s="10"/>
    </row>
    <row r="6673" spans="1:33">
      <c r="A6673" s="8"/>
      <c r="B6673" s="8"/>
      <c r="C6673" s="8"/>
      <c r="D6673" s="8"/>
      <c r="E6673" s="8"/>
      <c r="F6673" s="8"/>
      <c r="G6673" s="8"/>
      <c r="H6673" s="8"/>
      <c r="I6673" s="8"/>
      <c r="J6673" s="8"/>
      <c r="K6673" s="8"/>
      <c r="L6673" s="8"/>
      <c r="M6673" s="8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  <c r="AA6673" s="8"/>
      <c r="AB6673" s="8"/>
      <c r="AC6673" s="8"/>
      <c r="AD6673" s="8"/>
      <c r="AE6673" s="8"/>
      <c r="AF6673" s="8"/>
      <c r="AG6673" s="10"/>
    </row>
    <row r="6674" spans="1:33">
      <c r="A6674" s="8"/>
      <c r="B6674" s="8"/>
      <c r="C6674" s="8"/>
      <c r="D6674" s="8"/>
      <c r="E6674" s="8"/>
      <c r="F6674" s="8"/>
      <c r="G6674" s="8"/>
      <c r="H6674" s="8"/>
      <c r="I6674" s="8"/>
      <c r="J6674" s="8"/>
      <c r="K6674" s="8"/>
      <c r="L6674" s="8"/>
      <c r="M6674" s="8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  <c r="AA6674" s="8"/>
      <c r="AB6674" s="8"/>
      <c r="AC6674" s="8"/>
      <c r="AD6674" s="8"/>
      <c r="AE6674" s="8"/>
      <c r="AF6674" s="8"/>
      <c r="AG6674" s="10"/>
    </row>
    <row r="6675" spans="1:33">
      <c r="A6675" s="8"/>
      <c r="B6675" s="8"/>
      <c r="C6675" s="8"/>
      <c r="D6675" s="8"/>
      <c r="E6675" s="8"/>
      <c r="F6675" s="8"/>
      <c r="G6675" s="8"/>
      <c r="H6675" s="8"/>
      <c r="I6675" s="8"/>
      <c r="J6675" s="8"/>
      <c r="K6675" s="8"/>
      <c r="L6675" s="8"/>
      <c r="M6675" s="8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  <c r="AA6675" s="8"/>
      <c r="AB6675" s="8"/>
      <c r="AC6675" s="8"/>
      <c r="AD6675" s="8"/>
      <c r="AE6675" s="8"/>
      <c r="AF6675" s="8"/>
      <c r="AG6675" s="10"/>
    </row>
    <row r="6676" spans="1:33">
      <c r="A6676" s="8"/>
      <c r="B6676" s="8"/>
      <c r="C6676" s="8"/>
      <c r="D6676" s="8"/>
      <c r="E6676" s="8"/>
      <c r="F6676" s="8"/>
      <c r="G6676" s="8"/>
      <c r="H6676" s="8"/>
      <c r="I6676" s="8"/>
      <c r="J6676" s="8"/>
      <c r="K6676" s="8"/>
      <c r="L6676" s="8"/>
      <c r="M6676" s="8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  <c r="AA6676" s="8"/>
      <c r="AB6676" s="8"/>
      <c r="AC6676" s="8"/>
      <c r="AD6676" s="8"/>
      <c r="AE6676" s="8"/>
      <c r="AF6676" s="8"/>
      <c r="AG6676" s="10"/>
    </row>
    <row r="6677" spans="1:33">
      <c r="A6677" s="8"/>
      <c r="B6677" s="8"/>
      <c r="C6677" s="8"/>
      <c r="D6677" s="8"/>
      <c r="E6677" s="8"/>
      <c r="F6677" s="8"/>
      <c r="G6677" s="8"/>
      <c r="H6677" s="8"/>
      <c r="I6677" s="8"/>
      <c r="J6677" s="8"/>
      <c r="K6677" s="8"/>
      <c r="L6677" s="8"/>
      <c r="M6677" s="8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  <c r="AA6677" s="8"/>
      <c r="AB6677" s="8"/>
      <c r="AC6677" s="8"/>
      <c r="AD6677" s="8"/>
      <c r="AE6677" s="8"/>
      <c r="AF6677" s="8"/>
      <c r="AG6677" s="10"/>
    </row>
    <row r="6678" spans="1:33">
      <c r="A6678" s="8"/>
      <c r="B6678" s="8"/>
      <c r="C6678" s="8"/>
      <c r="D6678" s="8"/>
      <c r="E6678" s="8"/>
      <c r="F6678" s="8"/>
      <c r="G6678" s="8"/>
      <c r="H6678" s="8"/>
      <c r="I6678" s="8"/>
      <c r="J6678" s="8"/>
      <c r="K6678" s="8"/>
      <c r="L6678" s="8"/>
      <c r="M6678" s="8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  <c r="AA6678" s="8"/>
      <c r="AB6678" s="8"/>
      <c r="AC6678" s="8"/>
      <c r="AD6678" s="8"/>
      <c r="AE6678" s="8"/>
      <c r="AF6678" s="8"/>
      <c r="AG6678" s="10"/>
    </row>
    <row r="6679" spans="1:33">
      <c r="A6679" s="8"/>
      <c r="B6679" s="8"/>
      <c r="C6679" s="8"/>
      <c r="D6679" s="8"/>
      <c r="E6679" s="8"/>
      <c r="F6679" s="8"/>
      <c r="G6679" s="8"/>
      <c r="H6679" s="8"/>
      <c r="I6679" s="8"/>
      <c r="J6679" s="8"/>
      <c r="K6679" s="8"/>
      <c r="L6679" s="8"/>
      <c r="M6679" s="8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  <c r="AA6679" s="8"/>
      <c r="AB6679" s="8"/>
      <c r="AC6679" s="8"/>
      <c r="AD6679" s="8"/>
      <c r="AE6679" s="8"/>
      <c r="AF6679" s="8"/>
      <c r="AG6679" s="10"/>
    </row>
    <row r="6680" spans="1:33">
      <c r="A6680" s="8"/>
      <c r="B6680" s="8"/>
      <c r="C6680" s="8"/>
      <c r="D6680" s="8"/>
      <c r="E6680" s="8"/>
      <c r="F6680" s="8"/>
      <c r="G6680" s="8"/>
      <c r="H6680" s="8"/>
      <c r="I6680" s="8"/>
      <c r="J6680" s="8"/>
      <c r="K6680" s="8"/>
      <c r="L6680" s="8"/>
      <c r="M6680" s="8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  <c r="AA6680" s="8"/>
      <c r="AB6680" s="8"/>
      <c r="AC6680" s="8"/>
      <c r="AD6680" s="8"/>
      <c r="AE6680" s="8"/>
      <c r="AF6680" s="8"/>
      <c r="AG6680" s="10"/>
    </row>
    <row r="6681" spans="1:33">
      <c r="A6681" s="8"/>
      <c r="B6681" s="8"/>
      <c r="C6681" s="8"/>
      <c r="D6681" s="8"/>
      <c r="E6681" s="8"/>
      <c r="F6681" s="8"/>
      <c r="G6681" s="8"/>
      <c r="H6681" s="8"/>
      <c r="I6681" s="8"/>
      <c r="J6681" s="8"/>
      <c r="K6681" s="8"/>
      <c r="L6681" s="8"/>
      <c r="M6681" s="8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  <c r="AA6681" s="8"/>
      <c r="AB6681" s="8"/>
      <c r="AC6681" s="8"/>
      <c r="AD6681" s="8"/>
      <c r="AE6681" s="8"/>
      <c r="AF6681" s="8"/>
      <c r="AG6681" s="10"/>
    </row>
    <row r="6682" spans="1:33">
      <c r="A6682" s="8"/>
      <c r="B6682" s="8"/>
      <c r="C6682" s="8"/>
      <c r="D6682" s="8"/>
      <c r="E6682" s="8"/>
      <c r="F6682" s="8"/>
      <c r="G6682" s="8"/>
      <c r="H6682" s="8"/>
      <c r="I6682" s="8"/>
      <c r="J6682" s="8"/>
      <c r="K6682" s="8"/>
      <c r="L6682" s="8"/>
      <c r="M6682" s="8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  <c r="AA6682" s="8"/>
      <c r="AB6682" s="8"/>
      <c r="AC6682" s="8"/>
      <c r="AD6682" s="8"/>
      <c r="AE6682" s="8"/>
      <c r="AF6682" s="8"/>
      <c r="AG6682" s="10"/>
    </row>
    <row r="6683" spans="1:33">
      <c r="A6683" s="8"/>
      <c r="B6683" s="8"/>
      <c r="C6683" s="8"/>
      <c r="D6683" s="8"/>
      <c r="E6683" s="8"/>
      <c r="F6683" s="8"/>
      <c r="G6683" s="8"/>
      <c r="H6683" s="8"/>
      <c r="I6683" s="8"/>
      <c r="J6683" s="8"/>
      <c r="K6683" s="8"/>
      <c r="L6683" s="8"/>
      <c r="M6683" s="8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  <c r="AA6683" s="8"/>
      <c r="AB6683" s="8"/>
      <c r="AC6683" s="8"/>
      <c r="AD6683" s="8"/>
      <c r="AE6683" s="8"/>
      <c r="AF6683" s="8"/>
      <c r="AG6683" s="10"/>
    </row>
    <row r="6684" spans="1:33">
      <c r="A6684" s="8"/>
      <c r="B6684" s="8"/>
      <c r="C6684" s="8"/>
      <c r="D6684" s="8"/>
      <c r="E6684" s="8"/>
      <c r="F6684" s="8"/>
      <c r="G6684" s="8"/>
      <c r="H6684" s="8"/>
      <c r="I6684" s="8"/>
      <c r="J6684" s="8"/>
      <c r="K6684" s="8"/>
      <c r="L6684" s="8"/>
      <c r="M6684" s="8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  <c r="AA6684" s="8"/>
      <c r="AB6684" s="8"/>
      <c r="AC6684" s="8"/>
      <c r="AD6684" s="8"/>
      <c r="AE6684" s="8"/>
      <c r="AF6684" s="8"/>
      <c r="AG6684" s="10"/>
    </row>
    <row r="6685" spans="1:33">
      <c r="A6685" s="8"/>
      <c r="B6685" s="8"/>
      <c r="C6685" s="8"/>
      <c r="D6685" s="8"/>
      <c r="E6685" s="8"/>
      <c r="F6685" s="8"/>
      <c r="G6685" s="8"/>
      <c r="H6685" s="8"/>
      <c r="I6685" s="8"/>
      <c r="J6685" s="8"/>
      <c r="K6685" s="8"/>
      <c r="L6685" s="8"/>
      <c r="M6685" s="8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  <c r="AA6685" s="8"/>
      <c r="AB6685" s="8"/>
      <c r="AC6685" s="8"/>
      <c r="AD6685" s="8"/>
      <c r="AE6685" s="8"/>
      <c r="AF6685" s="8"/>
      <c r="AG6685" s="10"/>
    </row>
    <row r="6686" spans="1:33">
      <c r="A6686" s="8"/>
      <c r="B6686" s="8"/>
      <c r="C6686" s="8"/>
      <c r="D6686" s="8"/>
      <c r="E6686" s="8"/>
      <c r="F6686" s="8"/>
      <c r="G6686" s="8"/>
      <c r="H6686" s="8"/>
      <c r="I6686" s="8"/>
      <c r="J6686" s="8"/>
      <c r="K6686" s="8"/>
      <c r="L6686" s="8"/>
      <c r="M6686" s="8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  <c r="AA6686" s="8"/>
      <c r="AB6686" s="8"/>
      <c r="AC6686" s="8"/>
      <c r="AD6686" s="8"/>
      <c r="AE6686" s="8"/>
      <c r="AF6686" s="8"/>
      <c r="AG6686" s="10"/>
    </row>
    <row r="6687" spans="1:33">
      <c r="A6687" s="8"/>
      <c r="B6687" s="8"/>
      <c r="C6687" s="8"/>
      <c r="D6687" s="8"/>
      <c r="E6687" s="8"/>
      <c r="F6687" s="8"/>
      <c r="G6687" s="8"/>
      <c r="H6687" s="8"/>
      <c r="I6687" s="8"/>
      <c r="J6687" s="8"/>
      <c r="K6687" s="8"/>
      <c r="L6687" s="8"/>
      <c r="M6687" s="8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  <c r="AA6687" s="8"/>
      <c r="AB6687" s="8"/>
      <c r="AC6687" s="8"/>
      <c r="AD6687" s="8"/>
      <c r="AE6687" s="8"/>
      <c r="AF6687" s="8"/>
      <c r="AG6687" s="10"/>
    </row>
    <row r="6688" spans="1:33">
      <c r="A6688" s="8"/>
      <c r="B6688" s="8"/>
      <c r="C6688" s="8"/>
      <c r="D6688" s="8"/>
      <c r="E6688" s="8"/>
      <c r="F6688" s="8"/>
      <c r="G6688" s="8"/>
      <c r="H6688" s="8"/>
      <c r="I6688" s="8"/>
      <c r="J6688" s="8"/>
      <c r="K6688" s="8"/>
      <c r="L6688" s="8"/>
      <c r="M6688" s="8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  <c r="AA6688" s="8"/>
      <c r="AB6688" s="8"/>
      <c r="AC6688" s="8"/>
      <c r="AD6688" s="8"/>
      <c r="AE6688" s="8"/>
      <c r="AF6688" s="8"/>
      <c r="AG6688" s="10"/>
    </row>
    <row r="6689" spans="1:33">
      <c r="A6689" s="8"/>
      <c r="B6689" s="8"/>
      <c r="C6689" s="8"/>
      <c r="D6689" s="8"/>
      <c r="E6689" s="8"/>
      <c r="F6689" s="8"/>
      <c r="G6689" s="8"/>
      <c r="H6689" s="8"/>
      <c r="I6689" s="8"/>
      <c r="J6689" s="8"/>
      <c r="K6689" s="8"/>
      <c r="L6689" s="8"/>
      <c r="M6689" s="8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  <c r="AA6689" s="8"/>
      <c r="AB6689" s="8"/>
      <c r="AC6689" s="8"/>
      <c r="AD6689" s="8"/>
      <c r="AE6689" s="8"/>
      <c r="AF6689" s="8"/>
      <c r="AG6689" s="10"/>
    </row>
    <row r="6690" spans="1:33">
      <c r="A6690" s="8"/>
      <c r="B6690" s="8"/>
      <c r="C6690" s="8"/>
      <c r="D6690" s="8"/>
      <c r="E6690" s="8"/>
      <c r="F6690" s="8"/>
      <c r="G6690" s="8"/>
      <c r="H6690" s="8"/>
      <c r="I6690" s="8"/>
      <c r="J6690" s="8"/>
      <c r="K6690" s="8"/>
      <c r="L6690" s="8"/>
      <c r="M6690" s="8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  <c r="AA6690" s="8"/>
      <c r="AB6690" s="8"/>
      <c r="AC6690" s="8"/>
      <c r="AD6690" s="8"/>
      <c r="AE6690" s="8"/>
      <c r="AF6690" s="8"/>
      <c r="AG6690" s="10"/>
    </row>
    <row r="6691" spans="1:33">
      <c r="A6691" s="8"/>
      <c r="B6691" s="8"/>
      <c r="C6691" s="8"/>
      <c r="D6691" s="8"/>
      <c r="E6691" s="8"/>
      <c r="F6691" s="8"/>
      <c r="G6691" s="8"/>
      <c r="H6691" s="8"/>
      <c r="I6691" s="8"/>
      <c r="J6691" s="8"/>
      <c r="K6691" s="8"/>
      <c r="L6691" s="8"/>
      <c r="M6691" s="8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  <c r="AA6691" s="8"/>
      <c r="AB6691" s="8"/>
      <c r="AC6691" s="8"/>
      <c r="AD6691" s="8"/>
      <c r="AE6691" s="8"/>
      <c r="AF6691" s="8"/>
      <c r="AG6691" s="10"/>
    </row>
    <row r="6692" spans="1:33">
      <c r="A6692" s="8"/>
      <c r="B6692" s="8"/>
      <c r="C6692" s="8"/>
      <c r="D6692" s="8"/>
      <c r="E6692" s="8"/>
      <c r="F6692" s="8"/>
      <c r="G6692" s="8"/>
      <c r="H6692" s="8"/>
      <c r="I6692" s="8"/>
      <c r="J6692" s="8"/>
      <c r="K6692" s="8"/>
      <c r="L6692" s="8"/>
      <c r="M6692" s="8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  <c r="AA6692" s="8"/>
      <c r="AB6692" s="8"/>
      <c r="AC6692" s="8"/>
      <c r="AD6692" s="8"/>
      <c r="AE6692" s="8"/>
      <c r="AF6692" s="8"/>
      <c r="AG6692" s="10"/>
    </row>
    <row r="6693" spans="1:33">
      <c r="A6693" s="8"/>
      <c r="B6693" s="8"/>
      <c r="C6693" s="8"/>
      <c r="D6693" s="8"/>
      <c r="E6693" s="8"/>
      <c r="F6693" s="8"/>
      <c r="G6693" s="8"/>
      <c r="H6693" s="8"/>
      <c r="I6693" s="8"/>
      <c r="J6693" s="8"/>
      <c r="K6693" s="8"/>
      <c r="L6693" s="8"/>
      <c r="M6693" s="8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  <c r="AA6693" s="8"/>
      <c r="AB6693" s="8"/>
      <c r="AC6693" s="8"/>
      <c r="AD6693" s="8"/>
      <c r="AE6693" s="8"/>
      <c r="AF6693" s="8"/>
      <c r="AG6693" s="10"/>
    </row>
    <row r="6694" spans="1:33">
      <c r="A6694" s="8"/>
      <c r="B6694" s="8"/>
      <c r="C6694" s="8"/>
      <c r="D6694" s="8"/>
      <c r="E6694" s="8"/>
      <c r="F6694" s="8"/>
      <c r="G6694" s="8"/>
      <c r="H6694" s="8"/>
      <c r="I6694" s="8"/>
      <c r="J6694" s="8"/>
      <c r="K6694" s="8"/>
      <c r="L6694" s="8"/>
      <c r="M6694" s="8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  <c r="AA6694" s="8"/>
      <c r="AB6694" s="8"/>
      <c r="AC6694" s="8"/>
      <c r="AD6694" s="8"/>
      <c r="AE6694" s="8"/>
      <c r="AF6694" s="8"/>
      <c r="AG6694" s="10"/>
    </row>
    <row r="6695" spans="1:33">
      <c r="A6695" s="8"/>
      <c r="B6695" s="8"/>
      <c r="C6695" s="8"/>
      <c r="D6695" s="8"/>
      <c r="E6695" s="8"/>
      <c r="F6695" s="8"/>
      <c r="G6695" s="8"/>
      <c r="H6695" s="8"/>
      <c r="I6695" s="8"/>
      <c r="J6695" s="8"/>
      <c r="K6695" s="8"/>
      <c r="L6695" s="8"/>
      <c r="M6695" s="8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  <c r="AA6695" s="8"/>
      <c r="AB6695" s="8"/>
      <c r="AC6695" s="8"/>
      <c r="AD6695" s="8"/>
      <c r="AE6695" s="8"/>
      <c r="AF6695" s="8"/>
      <c r="AG6695" s="10"/>
    </row>
    <row r="6696" spans="1:33">
      <c r="A6696" s="8"/>
      <c r="B6696" s="8"/>
      <c r="C6696" s="8"/>
      <c r="D6696" s="8"/>
      <c r="E6696" s="8"/>
      <c r="F6696" s="8"/>
      <c r="G6696" s="8"/>
      <c r="H6696" s="8"/>
      <c r="I6696" s="8"/>
      <c r="J6696" s="8"/>
      <c r="K6696" s="8"/>
      <c r="L6696" s="8"/>
      <c r="M6696" s="8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  <c r="AA6696" s="8"/>
      <c r="AB6696" s="8"/>
      <c r="AC6696" s="8"/>
      <c r="AD6696" s="8"/>
      <c r="AE6696" s="8"/>
      <c r="AF6696" s="8"/>
      <c r="AG6696" s="10"/>
    </row>
    <row r="6697" spans="1:33">
      <c r="A6697" s="8"/>
      <c r="B6697" s="8"/>
      <c r="C6697" s="8"/>
      <c r="D6697" s="8"/>
      <c r="E6697" s="8"/>
      <c r="F6697" s="8"/>
      <c r="G6697" s="8"/>
      <c r="H6697" s="8"/>
      <c r="I6697" s="8"/>
      <c r="J6697" s="8"/>
      <c r="K6697" s="8"/>
      <c r="L6697" s="8"/>
      <c r="M6697" s="8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  <c r="AA6697" s="8"/>
      <c r="AB6697" s="8"/>
      <c r="AC6697" s="8"/>
      <c r="AD6697" s="8"/>
      <c r="AE6697" s="8"/>
      <c r="AF6697" s="8"/>
      <c r="AG6697" s="10"/>
    </row>
    <row r="6698" spans="1:33">
      <c r="A6698" s="8"/>
      <c r="B6698" s="8"/>
      <c r="C6698" s="8"/>
      <c r="D6698" s="8"/>
      <c r="E6698" s="8"/>
      <c r="F6698" s="8"/>
      <c r="G6698" s="8"/>
      <c r="H6698" s="8"/>
      <c r="I6698" s="8"/>
      <c r="J6698" s="8"/>
      <c r="K6698" s="8"/>
      <c r="L6698" s="8"/>
      <c r="M6698" s="8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  <c r="AD6698" s="8"/>
      <c r="AE6698" s="8"/>
      <c r="AF6698" s="8"/>
      <c r="AG6698" s="10"/>
    </row>
    <row r="6699" spans="1:33">
      <c r="A6699" s="8"/>
      <c r="B6699" s="8"/>
      <c r="C6699" s="8"/>
      <c r="D6699" s="8"/>
      <c r="E6699" s="8"/>
      <c r="F6699" s="8"/>
      <c r="G6699" s="8"/>
      <c r="H6699" s="8"/>
      <c r="I6699" s="8"/>
      <c r="J6699" s="8"/>
      <c r="K6699" s="8"/>
      <c r="L6699" s="8"/>
      <c r="M6699" s="8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  <c r="AA6699" s="8"/>
      <c r="AB6699" s="8"/>
      <c r="AC6699" s="8"/>
      <c r="AD6699" s="8"/>
      <c r="AE6699" s="8"/>
      <c r="AF6699" s="8"/>
      <c r="AG6699" s="10"/>
    </row>
    <row r="6700" spans="1:33">
      <c r="A6700" s="8"/>
      <c r="B6700" s="8"/>
      <c r="C6700" s="8"/>
      <c r="D6700" s="8"/>
      <c r="E6700" s="8"/>
      <c r="F6700" s="8"/>
      <c r="G6700" s="8"/>
      <c r="H6700" s="8"/>
      <c r="I6700" s="8"/>
      <c r="J6700" s="8"/>
      <c r="K6700" s="8"/>
      <c r="L6700" s="8"/>
      <c r="M6700" s="8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  <c r="AA6700" s="8"/>
      <c r="AB6700" s="8"/>
      <c r="AC6700" s="8"/>
      <c r="AD6700" s="8"/>
      <c r="AE6700" s="8"/>
      <c r="AF6700" s="8"/>
      <c r="AG6700" s="10"/>
    </row>
    <row r="6701" spans="1:33">
      <c r="A6701" s="8"/>
      <c r="B6701" s="8"/>
      <c r="C6701" s="8"/>
      <c r="D6701" s="8"/>
      <c r="E6701" s="8"/>
      <c r="F6701" s="8"/>
      <c r="G6701" s="8"/>
      <c r="H6701" s="8"/>
      <c r="I6701" s="8"/>
      <c r="J6701" s="8"/>
      <c r="K6701" s="8"/>
      <c r="L6701" s="8"/>
      <c r="M6701" s="8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  <c r="AA6701" s="8"/>
      <c r="AB6701" s="8"/>
      <c r="AC6701" s="8"/>
      <c r="AD6701" s="8"/>
      <c r="AE6701" s="8"/>
      <c r="AF6701" s="8"/>
      <c r="AG6701" s="10"/>
    </row>
    <row r="6702" spans="1:33">
      <c r="A6702" s="8"/>
      <c r="B6702" s="8"/>
      <c r="C6702" s="8"/>
      <c r="D6702" s="8"/>
      <c r="E6702" s="8"/>
      <c r="F6702" s="8"/>
      <c r="G6702" s="8"/>
      <c r="H6702" s="8"/>
      <c r="I6702" s="8"/>
      <c r="J6702" s="8"/>
      <c r="K6702" s="8"/>
      <c r="L6702" s="8"/>
      <c r="M6702" s="8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  <c r="AA6702" s="8"/>
      <c r="AB6702" s="8"/>
      <c r="AC6702" s="8"/>
      <c r="AD6702" s="8"/>
      <c r="AE6702" s="8"/>
      <c r="AF6702" s="8"/>
      <c r="AG6702" s="10"/>
    </row>
    <row r="6703" spans="1:33">
      <c r="A6703" s="8"/>
      <c r="B6703" s="8"/>
      <c r="C6703" s="8"/>
      <c r="D6703" s="8"/>
      <c r="E6703" s="8"/>
      <c r="F6703" s="8"/>
      <c r="G6703" s="8"/>
      <c r="H6703" s="8"/>
      <c r="I6703" s="8"/>
      <c r="J6703" s="8"/>
      <c r="K6703" s="8"/>
      <c r="L6703" s="8"/>
      <c r="M6703" s="8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  <c r="AA6703" s="8"/>
      <c r="AB6703" s="8"/>
      <c r="AC6703" s="8"/>
      <c r="AD6703" s="8"/>
      <c r="AE6703" s="8"/>
      <c r="AF6703" s="8"/>
      <c r="AG6703" s="10"/>
    </row>
    <row r="6704" spans="1:33">
      <c r="A6704" s="8"/>
      <c r="B6704" s="8"/>
      <c r="C6704" s="8"/>
      <c r="D6704" s="8"/>
      <c r="E6704" s="8"/>
      <c r="F6704" s="8"/>
      <c r="G6704" s="8"/>
      <c r="H6704" s="8"/>
      <c r="I6704" s="8"/>
      <c r="J6704" s="8"/>
      <c r="K6704" s="8"/>
      <c r="L6704" s="8"/>
      <c r="M6704" s="8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  <c r="AA6704" s="8"/>
      <c r="AB6704" s="8"/>
      <c r="AC6704" s="8"/>
      <c r="AD6704" s="8"/>
      <c r="AE6704" s="8"/>
      <c r="AF6704" s="8"/>
      <c r="AG6704" s="10"/>
    </row>
    <row r="6705" spans="1:33">
      <c r="A6705" s="8"/>
      <c r="B6705" s="8"/>
      <c r="C6705" s="8"/>
      <c r="D6705" s="8"/>
      <c r="E6705" s="8"/>
      <c r="F6705" s="8"/>
      <c r="G6705" s="8"/>
      <c r="H6705" s="8"/>
      <c r="I6705" s="8"/>
      <c r="J6705" s="8"/>
      <c r="K6705" s="8"/>
      <c r="L6705" s="8"/>
      <c r="M6705" s="8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  <c r="AA6705" s="8"/>
      <c r="AB6705" s="8"/>
      <c r="AC6705" s="8"/>
      <c r="AD6705" s="8"/>
      <c r="AE6705" s="8"/>
      <c r="AF6705" s="8"/>
      <c r="AG6705" s="10"/>
    </row>
    <row r="6706" spans="1:33">
      <c r="A6706" s="8"/>
      <c r="B6706" s="8"/>
      <c r="C6706" s="8"/>
      <c r="D6706" s="8"/>
      <c r="E6706" s="8"/>
      <c r="F6706" s="8"/>
      <c r="G6706" s="8"/>
      <c r="H6706" s="8"/>
      <c r="I6706" s="8"/>
      <c r="J6706" s="8"/>
      <c r="K6706" s="8"/>
      <c r="L6706" s="8"/>
      <c r="M6706" s="8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  <c r="AA6706" s="8"/>
      <c r="AB6706" s="8"/>
      <c r="AC6706" s="8"/>
      <c r="AD6706" s="8"/>
      <c r="AE6706" s="8"/>
      <c r="AF6706" s="8"/>
      <c r="AG6706" s="10"/>
    </row>
    <row r="6707" spans="1:33">
      <c r="A6707" s="8"/>
      <c r="B6707" s="8"/>
      <c r="C6707" s="8"/>
      <c r="D6707" s="8"/>
      <c r="E6707" s="8"/>
      <c r="F6707" s="8"/>
      <c r="G6707" s="8"/>
      <c r="H6707" s="8"/>
      <c r="I6707" s="8"/>
      <c r="J6707" s="8"/>
      <c r="K6707" s="8"/>
      <c r="L6707" s="8"/>
      <c r="M6707" s="8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  <c r="AA6707" s="8"/>
      <c r="AB6707" s="8"/>
      <c r="AC6707" s="8"/>
      <c r="AD6707" s="8"/>
      <c r="AE6707" s="8"/>
      <c r="AF6707" s="8"/>
      <c r="AG6707" s="10"/>
    </row>
    <row r="6708" spans="1:33">
      <c r="A6708" s="8"/>
      <c r="B6708" s="8"/>
      <c r="C6708" s="8"/>
      <c r="D6708" s="8"/>
      <c r="E6708" s="8"/>
      <c r="F6708" s="8"/>
      <c r="G6708" s="8"/>
      <c r="H6708" s="8"/>
      <c r="I6708" s="8"/>
      <c r="J6708" s="8"/>
      <c r="K6708" s="8"/>
      <c r="L6708" s="8"/>
      <c r="M6708" s="8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  <c r="AA6708" s="8"/>
      <c r="AB6708" s="8"/>
      <c r="AC6708" s="8"/>
      <c r="AD6708" s="8"/>
      <c r="AE6708" s="8"/>
      <c r="AF6708" s="8"/>
      <c r="AG6708" s="10"/>
    </row>
    <row r="6709" spans="1:33">
      <c r="A6709" s="8"/>
      <c r="B6709" s="8"/>
      <c r="C6709" s="8"/>
      <c r="D6709" s="8"/>
      <c r="E6709" s="8"/>
      <c r="F6709" s="8"/>
      <c r="G6709" s="8"/>
      <c r="H6709" s="8"/>
      <c r="I6709" s="8"/>
      <c r="J6709" s="8"/>
      <c r="K6709" s="8"/>
      <c r="L6709" s="8"/>
      <c r="M6709" s="8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  <c r="AA6709" s="8"/>
      <c r="AB6709" s="8"/>
      <c r="AC6709" s="8"/>
      <c r="AD6709" s="8"/>
      <c r="AE6709" s="8"/>
      <c r="AF6709" s="8"/>
      <c r="AG6709" s="10"/>
    </row>
    <row r="6710" spans="1:33">
      <c r="A6710" s="8"/>
      <c r="B6710" s="8"/>
      <c r="C6710" s="8"/>
      <c r="D6710" s="8"/>
      <c r="E6710" s="8"/>
      <c r="F6710" s="8"/>
      <c r="G6710" s="8"/>
      <c r="H6710" s="8"/>
      <c r="I6710" s="8"/>
      <c r="J6710" s="8"/>
      <c r="K6710" s="8"/>
      <c r="L6710" s="8"/>
      <c r="M6710" s="8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  <c r="AA6710" s="8"/>
      <c r="AB6710" s="8"/>
      <c r="AC6710" s="8"/>
      <c r="AD6710" s="8"/>
      <c r="AE6710" s="8"/>
      <c r="AF6710" s="8"/>
      <c r="AG6710" s="10"/>
    </row>
    <row r="6711" spans="1:33">
      <c r="A6711" s="8"/>
      <c r="B6711" s="8"/>
      <c r="C6711" s="8"/>
      <c r="D6711" s="8"/>
      <c r="E6711" s="8"/>
      <c r="F6711" s="8"/>
      <c r="G6711" s="8"/>
      <c r="H6711" s="8"/>
      <c r="I6711" s="8"/>
      <c r="J6711" s="8"/>
      <c r="K6711" s="8"/>
      <c r="L6711" s="8"/>
      <c r="M6711" s="8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  <c r="AA6711" s="8"/>
      <c r="AB6711" s="8"/>
      <c r="AC6711" s="8"/>
      <c r="AD6711" s="8"/>
      <c r="AE6711" s="8"/>
      <c r="AF6711" s="8"/>
      <c r="AG6711" s="10"/>
    </row>
    <row r="6712" spans="1:33">
      <c r="A6712" s="8"/>
      <c r="B6712" s="8"/>
      <c r="C6712" s="8"/>
      <c r="D6712" s="8"/>
      <c r="E6712" s="8"/>
      <c r="F6712" s="8"/>
      <c r="G6712" s="8"/>
      <c r="H6712" s="8"/>
      <c r="I6712" s="8"/>
      <c r="J6712" s="8"/>
      <c r="K6712" s="8"/>
      <c r="L6712" s="8"/>
      <c r="M6712" s="8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  <c r="AA6712" s="8"/>
      <c r="AB6712" s="8"/>
      <c r="AC6712" s="8"/>
      <c r="AD6712" s="8"/>
      <c r="AE6712" s="8"/>
      <c r="AF6712" s="8"/>
      <c r="AG6712" s="10"/>
    </row>
    <row r="6713" spans="1:33">
      <c r="A6713" s="8"/>
      <c r="B6713" s="8"/>
      <c r="C6713" s="8"/>
      <c r="D6713" s="8"/>
      <c r="E6713" s="8"/>
      <c r="F6713" s="8"/>
      <c r="G6713" s="8"/>
      <c r="H6713" s="8"/>
      <c r="I6713" s="8"/>
      <c r="J6713" s="8"/>
      <c r="K6713" s="8"/>
      <c r="L6713" s="8"/>
      <c r="M6713" s="8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  <c r="AA6713" s="8"/>
      <c r="AB6713" s="8"/>
      <c r="AC6713" s="8"/>
      <c r="AD6713" s="8"/>
      <c r="AE6713" s="8"/>
      <c r="AF6713" s="8"/>
      <c r="AG6713" s="10"/>
    </row>
    <row r="6714" spans="1:33">
      <c r="A6714" s="8"/>
      <c r="B6714" s="8"/>
      <c r="C6714" s="8"/>
      <c r="D6714" s="8"/>
      <c r="E6714" s="8"/>
      <c r="F6714" s="8"/>
      <c r="G6714" s="8"/>
      <c r="H6714" s="8"/>
      <c r="I6714" s="8"/>
      <c r="J6714" s="8"/>
      <c r="K6714" s="8"/>
      <c r="L6714" s="8"/>
      <c r="M6714" s="8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  <c r="AA6714" s="8"/>
      <c r="AB6714" s="8"/>
      <c r="AC6714" s="8"/>
      <c r="AD6714" s="8"/>
      <c r="AE6714" s="8"/>
      <c r="AF6714" s="8"/>
      <c r="AG6714" s="10"/>
    </row>
    <row r="6715" spans="1:33">
      <c r="A6715" s="8"/>
      <c r="B6715" s="8"/>
      <c r="C6715" s="8"/>
      <c r="D6715" s="8"/>
      <c r="E6715" s="8"/>
      <c r="F6715" s="8"/>
      <c r="G6715" s="8"/>
      <c r="H6715" s="8"/>
      <c r="I6715" s="8"/>
      <c r="J6715" s="8"/>
      <c r="K6715" s="8"/>
      <c r="L6715" s="8"/>
      <c r="M6715" s="8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  <c r="AA6715" s="8"/>
      <c r="AB6715" s="8"/>
      <c r="AC6715" s="8"/>
      <c r="AD6715" s="8"/>
      <c r="AE6715" s="8"/>
      <c r="AF6715" s="8"/>
      <c r="AG6715" s="10"/>
    </row>
    <row r="6716" spans="1:33">
      <c r="A6716" s="8"/>
      <c r="B6716" s="8"/>
      <c r="C6716" s="8"/>
      <c r="D6716" s="8"/>
      <c r="E6716" s="8"/>
      <c r="F6716" s="8"/>
      <c r="G6716" s="8"/>
      <c r="H6716" s="8"/>
      <c r="I6716" s="8"/>
      <c r="J6716" s="8"/>
      <c r="K6716" s="8"/>
      <c r="L6716" s="8"/>
      <c r="M6716" s="8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  <c r="AA6716" s="8"/>
      <c r="AB6716" s="8"/>
      <c r="AC6716" s="8"/>
      <c r="AD6716" s="8"/>
      <c r="AE6716" s="8"/>
      <c r="AF6716" s="8"/>
      <c r="AG6716" s="10"/>
    </row>
    <row r="6717" spans="1:33">
      <c r="A6717" s="8"/>
      <c r="B6717" s="8"/>
      <c r="C6717" s="8"/>
      <c r="D6717" s="8"/>
      <c r="E6717" s="8"/>
      <c r="F6717" s="8"/>
      <c r="G6717" s="8"/>
      <c r="H6717" s="8"/>
      <c r="I6717" s="8"/>
      <c r="J6717" s="8"/>
      <c r="K6717" s="8"/>
      <c r="L6717" s="8"/>
      <c r="M6717" s="8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  <c r="AA6717" s="8"/>
      <c r="AB6717" s="8"/>
      <c r="AC6717" s="8"/>
      <c r="AD6717" s="8"/>
      <c r="AE6717" s="8"/>
      <c r="AF6717" s="8"/>
      <c r="AG6717" s="10"/>
    </row>
    <row r="6718" spans="1:33">
      <c r="A6718" s="8"/>
      <c r="B6718" s="8"/>
      <c r="C6718" s="8"/>
      <c r="D6718" s="8"/>
      <c r="E6718" s="8"/>
      <c r="F6718" s="8"/>
      <c r="G6718" s="8"/>
      <c r="H6718" s="8"/>
      <c r="I6718" s="8"/>
      <c r="J6718" s="8"/>
      <c r="K6718" s="8"/>
      <c r="L6718" s="8"/>
      <c r="M6718" s="8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  <c r="AA6718" s="8"/>
      <c r="AB6718" s="8"/>
      <c r="AC6718" s="8"/>
      <c r="AD6718" s="8"/>
      <c r="AE6718" s="8"/>
      <c r="AF6718" s="8"/>
      <c r="AG6718" s="10"/>
    </row>
    <row r="6719" spans="1:33">
      <c r="A6719" s="8"/>
      <c r="B6719" s="8"/>
      <c r="C6719" s="8"/>
      <c r="D6719" s="8"/>
      <c r="E6719" s="8"/>
      <c r="F6719" s="8"/>
      <c r="G6719" s="8"/>
      <c r="H6719" s="8"/>
      <c r="I6719" s="8"/>
      <c r="J6719" s="8"/>
      <c r="K6719" s="8"/>
      <c r="L6719" s="8"/>
      <c r="M6719" s="8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  <c r="AA6719" s="8"/>
      <c r="AB6719" s="8"/>
      <c r="AC6719" s="8"/>
      <c r="AD6719" s="8"/>
      <c r="AE6719" s="8"/>
      <c r="AF6719" s="8"/>
      <c r="AG6719" s="10"/>
    </row>
    <row r="6720" spans="1:33">
      <c r="A6720" s="8"/>
      <c r="B6720" s="8"/>
      <c r="C6720" s="8"/>
      <c r="D6720" s="8"/>
      <c r="E6720" s="8"/>
      <c r="F6720" s="8"/>
      <c r="G6720" s="8"/>
      <c r="H6720" s="8"/>
      <c r="I6720" s="8"/>
      <c r="J6720" s="8"/>
      <c r="K6720" s="8"/>
      <c r="L6720" s="8"/>
      <c r="M6720" s="8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  <c r="AA6720" s="8"/>
      <c r="AB6720" s="8"/>
      <c r="AC6720" s="8"/>
      <c r="AD6720" s="8"/>
      <c r="AE6720" s="8"/>
      <c r="AF6720" s="8"/>
      <c r="AG6720" s="10"/>
    </row>
    <row r="6721" spans="1:33">
      <c r="A6721" s="8"/>
      <c r="B6721" s="8"/>
      <c r="C6721" s="8"/>
      <c r="D6721" s="8"/>
      <c r="E6721" s="8"/>
      <c r="F6721" s="8"/>
      <c r="G6721" s="8"/>
      <c r="H6721" s="8"/>
      <c r="I6721" s="8"/>
      <c r="J6721" s="8"/>
      <c r="K6721" s="8"/>
      <c r="L6721" s="8"/>
      <c r="M6721" s="8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  <c r="AA6721" s="8"/>
      <c r="AB6721" s="8"/>
      <c r="AC6721" s="8"/>
      <c r="AD6721" s="8"/>
      <c r="AE6721" s="8"/>
      <c r="AF6721" s="8"/>
      <c r="AG6721" s="10"/>
    </row>
    <row r="6722" spans="1:33">
      <c r="A6722" s="8"/>
      <c r="B6722" s="8"/>
      <c r="C6722" s="8"/>
      <c r="D6722" s="8"/>
      <c r="E6722" s="8"/>
      <c r="F6722" s="8"/>
      <c r="G6722" s="8"/>
      <c r="H6722" s="8"/>
      <c r="I6722" s="8"/>
      <c r="J6722" s="8"/>
      <c r="K6722" s="8"/>
      <c r="L6722" s="8"/>
      <c r="M6722" s="8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  <c r="AA6722" s="8"/>
      <c r="AB6722" s="8"/>
      <c r="AC6722" s="8"/>
      <c r="AD6722" s="8"/>
      <c r="AE6722" s="8"/>
      <c r="AF6722" s="8"/>
      <c r="AG6722" s="10"/>
    </row>
    <row r="6723" spans="1:33">
      <c r="A6723" s="8"/>
      <c r="B6723" s="8"/>
      <c r="C6723" s="8"/>
      <c r="D6723" s="8"/>
      <c r="E6723" s="8"/>
      <c r="F6723" s="8"/>
      <c r="G6723" s="8"/>
      <c r="H6723" s="8"/>
      <c r="I6723" s="8"/>
      <c r="J6723" s="8"/>
      <c r="K6723" s="8"/>
      <c r="L6723" s="8"/>
      <c r="M6723" s="8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  <c r="AA6723" s="8"/>
      <c r="AB6723" s="8"/>
      <c r="AC6723" s="8"/>
      <c r="AD6723" s="8"/>
      <c r="AE6723" s="8"/>
      <c r="AF6723" s="8"/>
      <c r="AG6723" s="10"/>
    </row>
    <row r="6724" spans="1:33">
      <c r="A6724" s="8"/>
      <c r="B6724" s="8"/>
      <c r="C6724" s="8"/>
      <c r="D6724" s="8"/>
      <c r="E6724" s="8"/>
      <c r="F6724" s="8"/>
      <c r="G6724" s="8"/>
      <c r="H6724" s="8"/>
      <c r="I6724" s="8"/>
      <c r="J6724" s="8"/>
      <c r="K6724" s="8"/>
      <c r="L6724" s="8"/>
      <c r="M6724" s="8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  <c r="AA6724" s="8"/>
      <c r="AB6724" s="8"/>
      <c r="AC6724" s="8"/>
      <c r="AD6724" s="8"/>
      <c r="AE6724" s="8"/>
      <c r="AF6724" s="8"/>
      <c r="AG6724" s="10"/>
    </row>
    <row r="6725" spans="1:33">
      <c r="A6725" s="8"/>
      <c r="B6725" s="8"/>
      <c r="C6725" s="8"/>
      <c r="D6725" s="8"/>
      <c r="E6725" s="8"/>
      <c r="F6725" s="8"/>
      <c r="G6725" s="8"/>
      <c r="H6725" s="8"/>
      <c r="I6725" s="8"/>
      <c r="J6725" s="8"/>
      <c r="K6725" s="8"/>
      <c r="L6725" s="8"/>
      <c r="M6725" s="8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  <c r="AA6725" s="8"/>
      <c r="AB6725" s="8"/>
      <c r="AC6725" s="8"/>
      <c r="AD6725" s="8"/>
      <c r="AE6725" s="8"/>
      <c r="AF6725" s="8"/>
      <c r="AG6725" s="10"/>
    </row>
    <row r="6726" spans="1:33">
      <c r="A6726" s="8"/>
      <c r="B6726" s="8"/>
      <c r="C6726" s="8"/>
      <c r="D6726" s="8"/>
      <c r="E6726" s="8"/>
      <c r="F6726" s="8"/>
      <c r="G6726" s="8"/>
      <c r="H6726" s="8"/>
      <c r="I6726" s="8"/>
      <c r="J6726" s="8"/>
      <c r="K6726" s="8"/>
      <c r="L6726" s="8"/>
      <c r="M6726" s="8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  <c r="AA6726" s="8"/>
      <c r="AB6726" s="8"/>
      <c r="AC6726" s="8"/>
      <c r="AD6726" s="8"/>
      <c r="AE6726" s="8"/>
      <c r="AF6726" s="8"/>
      <c r="AG6726" s="10"/>
    </row>
    <row r="6727" spans="1:33">
      <c r="A6727" s="8"/>
      <c r="B6727" s="8"/>
      <c r="C6727" s="8"/>
      <c r="D6727" s="8"/>
      <c r="E6727" s="8"/>
      <c r="F6727" s="8"/>
      <c r="G6727" s="8"/>
      <c r="H6727" s="8"/>
      <c r="I6727" s="8"/>
      <c r="J6727" s="8"/>
      <c r="K6727" s="8"/>
      <c r="L6727" s="8"/>
      <c r="M6727" s="8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  <c r="AA6727" s="8"/>
      <c r="AB6727" s="8"/>
      <c r="AC6727" s="8"/>
      <c r="AD6727" s="8"/>
      <c r="AE6727" s="8"/>
      <c r="AF6727" s="8"/>
      <c r="AG6727" s="10"/>
    </row>
    <row r="6728" spans="1:33">
      <c r="A6728" s="8"/>
      <c r="B6728" s="8"/>
      <c r="C6728" s="8"/>
      <c r="D6728" s="8"/>
      <c r="E6728" s="8"/>
      <c r="F6728" s="8"/>
      <c r="G6728" s="8"/>
      <c r="H6728" s="8"/>
      <c r="I6728" s="8"/>
      <c r="J6728" s="8"/>
      <c r="K6728" s="8"/>
      <c r="L6728" s="8"/>
      <c r="M6728" s="8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  <c r="AA6728" s="8"/>
      <c r="AB6728" s="8"/>
      <c r="AC6728" s="8"/>
      <c r="AD6728" s="8"/>
      <c r="AE6728" s="8"/>
      <c r="AF6728" s="8"/>
      <c r="AG6728" s="10"/>
    </row>
    <row r="6729" spans="1:33">
      <c r="A6729" s="8"/>
      <c r="B6729" s="8"/>
      <c r="C6729" s="8"/>
      <c r="D6729" s="8"/>
      <c r="E6729" s="8"/>
      <c r="F6729" s="8"/>
      <c r="G6729" s="8"/>
      <c r="H6729" s="8"/>
      <c r="I6729" s="8"/>
      <c r="J6729" s="8"/>
      <c r="K6729" s="8"/>
      <c r="L6729" s="8"/>
      <c r="M6729" s="8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  <c r="AA6729" s="8"/>
      <c r="AB6729" s="8"/>
      <c r="AC6729" s="8"/>
      <c r="AD6729" s="8"/>
      <c r="AE6729" s="8"/>
      <c r="AF6729" s="8"/>
      <c r="AG6729" s="10"/>
    </row>
    <row r="6730" spans="1:33">
      <c r="A6730" s="8"/>
      <c r="B6730" s="8"/>
      <c r="C6730" s="8"/>
      <c r="D6730" s="8"/>
      <c r="E6730" s="8"/>
      <c r="F6730" s="8"/>
      <c r="G6730" s="8"/>
      <c r="H6730" s="8"/>
      <c r="I6730" s="8"/>
      <c r="J6730" s="8"/>
      <c r="K6730" s="8"/>
      <c r="L6730" s="8"/>
      <c r="M6730" s="8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  <c r="AA6730" s="8"/>
      <c r="AB6730" s="8"/>
      <c r="AC6730" s="8"/>
      <c r="AD6730" s="8"/>
      <c r="AE6730" s="8"/>
      <c r="AF6730" s="8"/>
      <c r="AG6730" s="10"/>
    </row>
    <row r="6731" spans="1:33">
      <c r="A6731" s="8"/>
      <c r="B6731" s="8"/>
      <c r="C6731" s="8"/>
      <c r="D6731" s="8"/>
      <c r="E6731" s="8"/>
      <c r="F6731" s="8"/>
      <c r="G6731" s="8"/>
      <c r="H6731" s="8"/>
      <c r="I6731" s="8"/>
      <c r="J6731" s="8"/>
      <c r="K6731" s="8"/>
      <c r="L6731" s="8"/>
      <c r="M6731" s="8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  <c r="AA6731" s="8"/>
      <c r="AB6731" s="8"/>
      <c r="AC6731" s="8"/>
      <c r="AD6731" s="8"/>
      <c r="AE6731" s="8"/>
      <c r="AF6731" s="8"/>
      <c r="AG6731" s="10"/>
    </row>
    <row r="6732" spans="1:33">
      <c r="A6732" s="8"/>
      <c r="B6732" s="8"/>
      <c r="C6732" s="8"/>
      <c r="D6732" s="8"/>
      <c r="E6732" s="8"/>
      <c r="F6732" s="8"/>
      <c r="G6732" s="8"/>
      <c r="H6732" s="8"/>
      <c r="I6732" s="8"/>
      <c r="J6732" s="8"/>
      <c r="K6732" s="8"/>
      <c r="L6732" s="8"/>
      <c r="M6732" s="8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  <c r="AA6732" s="8"/>
      <c r="AB6732" s="8"/>
      <c r="AC6732" s="8"/>
      <c r="AD6732" s="8"/>
      <c r="AE6732" s="8"/>
      <c r="AF6732" s="8"/>
      <c r="AG6732" s="10"/>
    </row>
    <row r="6733" spans="1:33">
      <c r="A6733" s="8"/>
      <c r="B6733" s="8"/>
      <c r="C6733" s="8"/>
      <c r="D6733" s="8"/>
      <c r="E6733" s="8"/>
      <c r="F6733" s="8"/>
      <c r="G6733" s="8"/>
      <c r="H6733" s="8"/>
      <c r="I6733" s="8"/>
      <c r="J6733" s="8"/>
      <c r="K6733" s="8"/>
      <c r="L6733" s="8"/>
      <c r="M6733" s="8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  <c r="AA6733" s="8"/>
      <c r="AB6733" s="8"/>
      <c r="AC6733" s="8"/>
      <c r="AD6733" s="8"/>
      <c r="AE6733" s="8"/>
      <c r="AF6733" s="8"/>
      <c r="AG6733" s="10"/>
    </row>
    <row r="6734" spans="1:33">
      <c r="A6734" s="8"/>
      <c r="B6734" s="8"/>
      <c r="C6734" s="8"/>
      <c r="D6734" s="8"/>
      <c r="E6734" s="8"/>
      <c r="F6734" s="8"/>
      <c r="G6734" s="8"/>
      <c r="H6734" s="8"/>
      <c r="I6734" s="8"/>
      <c r="J6734" s="8"/>
      <c r="K6734" s="8"/>
      <c r="L6734" s="8"/>
      <c r="M6734" s="8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  <c r="AA6734" s="8"/>
      <c r="AB6734" s="8"/>
      <c r="AC6734" s="8"/>
      <c r="AD6734" s="8"/>
      <c r="AE6734" s="8"/>
      <c r="AF6734" s="8"/>
      <c r="AG6734" s="10"/>
    </row>
    <row r="6735" spans="1:33">
      <c r="A6735" s="8"/>
      <c r="B6735" s="8"/>
      <c r="C6735" s="8"/>
      <c r="D6735" s="8"/>
      <c r="E6735" s="8"/>
      <c r="F6735" s="8"/>
      <c r="G6735" s="8"/>
      <c r="H6735" s="8"/>
      <c r="I6735" s="8"/>
      <c r="J6735" s="8"/>
      <c r="K6735" s="8"/>
      <c r="L6735" s="8"/>
      <c r="M6735" s="8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  <c r="AD6735" s="8"/>
      <c r="AE6735" s="8"/>
      <c r="AF6735" s="8"/>
      <c r="AG6735" s="10"/>
    </row>
    <row r="6736" spans="1:33">
      <c r="A6736" s="8"/>
      <c r="B6736" s="8"/>
      <c r="C6736" s="8"/>
      <c r="D6736" s="8"/>
      <c r="E6736" s="8"/>
      <c r="F6736" s="8"/>
      <c r="G6736" s="8"/>
      <c r="H6736" s="8"/>
      <c r="I6736" s="8"/>
      <c r="J6736" s="8"/>
      <c r="K6736" s="8"/>
      <c r="L6736" s="8"/>
      <c r="M6736" s="8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  <c r="AA6736" s="8"/>
      <c r="AB6736" s="8"/>
      <c r="AC6736" s="8"/>
      <c r="AD6736" s="8"/>
      <c r="AE6736" s="8"/>
      <c r="AF6736" s="8"/>
      <c r="AG6736" s="10"/>
    </row>
    <row r="6737" spans="1:33">
      <c r="A6737" s="8"/>
      <c r="B6737" s="8"/>
      <c r="C6737" s="8"/>
      <c r="D6737" s="8"/>
      <c r="E6737" s="8"/>
      <c r="F6737" s="8"/>
      <c r="G6737" s="8"/>
      <c r="H6737" s="8"/>
      <c r="I6737" s="8"/>
      <c r="J6737" s="8"/>
      <c r="K6737" s="8"/>
      <c r="L6737" s="8"/>
      <c r="M6737" s="8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  <c r="AA6737" s="8"/>
      <c r="AB6737" s="8"/>
      <c r="AC6737" s="8"/>
      <c r="AD6737" s="8"/>
      <c r="AE6737" s="8"/>
      <c r="AF6737" s="8"/>
      <c r="AG6737" s="10"/>
    </row>
    <row r="6738" spans="1:33">
      <c r="A6738" s="8"/>
      <c r="B6738" s="8"/>
      <c r="C6738" s="8"/>
      <c r="D6738" s="8"/>
      <c r="E6738" s="8"/>
      <c r="F6738" s="8"/>
      <c r="G6738" s="8"/>
      <c r="H6738" s="8"/>
      <c r="I6738" s="8"/>
      <c r="J6738" s="8"/>
      <c r="K6738" s="8"/>
      <c r="L6738" s="8"/>
      <c r="M6738" s="8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  <c r="AA6738" s="8"/>
      <c r="AB6738" s="8"/>
      <c r="AC6738" s="8"/>
      <c r="AD6738" s="8"/>
      <c r="AE6738" s="8"/>
      <c r="AF6738" s="8"/>
      <c r="AG6738" s="10"/>
    </row>
    <row r="6739" spans="1:33">
      <c r="A6739" s="8"/>
      <c r="B6739" s="8"/>
      <c r="C6739" s="8"/>
      <c r="D6739" s="8"/>
      <c r="E6739" s="8"/>
      <c r="F6739" s="8"/>
      <c r="G6739" s="8"/>
      <c r="H6739" s="8"/>
      <c r="I6739" s="8"/>
      <c r="J6739" s="8"/>
      <c r="K6739" s="8"/>
      <c r="L6739" s="8"/>
      <c r="M6739" s="8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  <c r="AA6739" s="8"/>
      <c r="AB6739" s="8"/>
      <c r="AC6739" s="8"/>
      <c r="AD6739" s="8"/>
      <c r="AE6739" s="8"/>
      <c r="AF6739" s="8"/>
      <c r="AG6739" s="10"/>
    </row>
    <row r="6740" spans="1:33">
      <c r="A6740" s="8"/>
      <c r="B6740" s="8"/>
      <c r="C6740" s="8"/>
      <c r="D6740" s="8"/>
      <c r="E6740" s="8"/>
      <c r="F6740" s="8"/>
      <c r="G6740" s="8"/>
      <c r="H6740" s="8"/>
      <c r="I6740" s="8"/>
      <c r="J6740" s="8"/>
      <c r="K6740" s="8"/>
      <c r="L6740" s="8"/>
      <c r="M6740" s="8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  <c r="AA6740" s="8"/>
      <c r="AB6740" s="8"/>
      <c r="AC6740" s="8"/>
      <c r="AD6740" s="8"/>
      <c r="AE6740" s="8"/>
      <c r="AF6740" s="8"/>
      <c r="AG6740" s="10"/>
    </row>
    <row r="6741" spans="1:33">
      <c r="A6741" s="8"/>
      <c r="B6741" s="8"/>
      <c r="C6741" s="8"/>
      <c r="D6741" s="8"/>
      <c r="E6741" s="8"/>
      <c r="F6741" s="8"/>
      <c r="G6741" s="8"/>
      <c r="H6741" s="8"/>
      <c r="I6741" s="8"/>
      <c r="J6741" s="8"/>
      <c r="K6741" s="8"/>
      <c r="L6741" s="8"/>
      <c r="M6741" s="8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  <c r="AA6741" s="8"/>
      <c r="AB6741" s="8"/>
      <c r="AC6741" s="8"/>
      <c r="AD6741" s="8"/>
      <c r="AE6741" s="8"/>
      <c r="AF6741" s="8"/>
      <c r="AG6741" s="10"/>
    </row>
    <row r="6742" spans="1:33">
      <c r="A6742" s="8"/>
      <c r="B6742" s="8"/>
      <c r="C6742" s="8"/>
      <c r="D6742" s="8"/>
      <c r="E6742" s="8"/>
      <c r="F6742" s="8"/>
      <c r="G6742" s="8"/>
      <c r="H6742" s="8"/>
      <c r="I6742" s="8"/>
      <c r="J6742" s="8"/>
      <c r="K6742" s="8"/>
      <c r="L6742" s="8"/>
      <c r="M6742" s="8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  <c r="AA6742" s="8"/>
      <c r="AB6742" s="8"/>
      <c r="AC6742" s="8"/>
      <c r="AD6742" s="8"/>
      <c r="AE6742" s="8"/>
      <c r="AF6742" s="8"/>
      <c r="AG6742" s="10"/>
    </row>
    <row r="6743" spans="1:33">
      <c r="A6743" s="8"/>
      <c r="B6743" s="8"/>
      <c r="C6743" s="8"/>
      <c r="D6743" s="8"/>
      <c r="E6743" s="8"/>
      <c r="F6743" s="8"/>
      <c r="G6743" s="8"/>
      <c r="H6743" s="8"/>
      <c r="I6743" s="8"/>
      <c r="J6743" s="8"/>
      <c r="K6743" s="8"/>
      <c r="L6743" s="8"/>
      <c r="M6743" s="8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  <c r="AA6743" s="8"/>
      <c r="AB6743" s="8"/>
      <c r="AC6743" s="8"/>
      <c r="AD6743" s="8"/>
      <c r="AE6743" s="8"/>
      <c r="AF6743" s="8"/>
      <c r="AG6743" s="10"/>
    </row>
    <row r="6744" spans="1:33">
      <c r="A6744" s="8"/>
      <c r="B6744" s="8"/>
      <c r="C6744" s="8"/>
      <c r="D6744" s="8"/>
      <c r="E6744" s="8"/>
      <c r="F6744" s="8"/>
      <c r="G6744" s="8"/>
      <c r="H6744" s="8"/>
      <c r="I6744" s="8"/>
      <c r="J6744" s="8"/>
      <c r="K6744" s="8"/>
      <c r="L6744" s="8"/>
      <c r="M6744" s="8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  <c r="AA6744" s="8"/>
      <c r="AB6744" s="8"/>
      <c r="AC6744" s="8"/>
      <c r="AD6744" s="8"/>
      <c r="AE6744" s="8"/>
      <c r="AF6744" s="8"/>
      <c r="AG6744" s="10"/>
    </row>
    <row r="6745" spans="1:33">
      <c r="A6745" s="8"/>
      <c r="B6745" s="8"/>
      <c r="C6745" s="8"/>
      <c r="D6745" s="8"/>
      <c r="E6745" s="8"/>
      <c r="F6745" s="8"/>
      <c r="G6745" s="8"/>
      <c r="H6745" s="8"/>
      <c r="I6745" s="8"/>
      <c r="J6745" s="8"/>
      <c r="K6745" s="8"/>
      <c r="L6745" s="8"/>
      <c r="M6745" s="8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  <c r="AA6745" s="8"/>
      <c r="AB6745" s="8"/>
      <c r="AC6745" s="8"/>
      <c r="AD6745" s="8"/>
      <c r="AE6745" s="8"/>
      <c r="AF6745" s="8"/>
      <c r="AG6745" s="10"/>
    </row>
    <row r="6746" spans="1:33">
      <c r="A6746" s="8"/>
      <c r="B6746" s="8"/>
      <c r="C6746" s="8"/>
      <c r="D6746" s="8"/>
      <c r="E6746" s="8"/>
      <c r="F6746" s="8"/>
      <c r="G6746" s="8"/>
      <c r="H6746" s="8"/>
      <c r="I6746" s="8"/>
      <c r="J6746" s="8"/>
      <c r="K6746" s="8"/>
      <c r="L6746" s="8"/>
      <c r="M6746" s="8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  <c r="AA6746" s="8"/>
      <c r="AB6746" s="8"/>
      <c r="AC6746" s="8"/>
      <c r="AD6746" s="8"/>
      <c r="AE6746" s="8"/>
      <c r="AF6746" s="8"/>
      <c r="AG6746" s="10"/>
    </row>
    <row r="6747" spans="1:33">
      <c r="A6747" s="8"/>
      <c r="B6747" s="8"/>
      <c r="C6747" s="8"/>
      <c r="D6747" s="8"/>
      <c r="E6747" s="8"/>
      <c r="F6747" s="8"/>
      <c r="G6747" s="8"/>
      <c r="H6747" s="8"/>
      <c r="I6747" s="8"/>
      <c r="J6747" s="8"/>
      <c r="K6747" s="8"/>
      <c r="L6747" s="8"/>
      <c r="M6747" s="8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  <c r="AA6747" s="8"/>
      <c r="AB6747" s="8"/>
      <c r="AC6747" s="8"/>
      <c r="AD6747" s="8"/>
      <c r="AE6747" s="8"/>
      <c r="AF6747" s="8"/>
      <c r="AG6747" s="10"/>
    </row>
    <row r="6748" spans="1:33">
      <c r="A6748" s="8"/>
      <c r="B6748" s="8"/>
      <c r="C6748" s="8"/>
      <c r="D6748" s="8"/>
      <c r="E6748" s="8"/>
      <c r="F6748" s="8"/>
      <c r="G6748" s="8"/>
      <c r="H6748" s="8"/>
      <c r="I6748" s="8"/>
      <c r="J6748" s="8"/>
      <c r="K6748" s="8"/>
      <c r="L6748" s="8"/>
      <c r="M6748" s="8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  <c r="AA6748" s="8"/>
      <c r="AB6748" s="8"/>
      <c r="AC6748" s="8"/>
      <c r="AD6748" s="8"/>
      <c r="AE6748" s="8"/>
      <c r="AF6748" s="8"/>
      <c r="AG6748" s="10"/>
    </row>
    <row r="6749" spans="1:33">
      <c r="A6749" s="8"/>
      <c r="B6749" s="8"/>
      <c r="C6749" s="8"/>
      <c r="D6749" s="8"/>
      <c r="E6749" s="8"/>
      <c r="F6749" s="8"/>
      <c r="G6749" s="8"/>
      <c r="H6749" s="8"/>
      <c r="I6749" s="8"/>
      <c r="J6749" s="8"/>
      <c r="K6749" s="8"/>
      <c r="L6749" s="8"/>
      <c r="M6749" s="8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  <c r="AA6749" s="8"/>
      <c r="AB6749" s="8"/>
      <c r="AC6749" s="8"/>
      <c r="AD6749" s="8"/>
      <c r="AE6749" s="8"/>
      <c r="AF6749" s="8"/>
      <c r="AG6749" s="10"/>
    </row>
    <row r="6750" spans="1:33">
      <c r="A6750" s="8"/>
      <c r="B6750" s="8"/>
      <c r="C6750" s="8"/>
      <c r="D6750" s="8"/>
      <c r="E6750" s="8"/>
      <c r="F6750" s="8"/>
      <c r="G6750" s="8"/>
      <c r="H6750" s="8"/>
      <c r="I6750" s="8"/>
      <c r="J6750" s="8"/>
      <c r="K6750" s="8"/>
      <c r="L6750" s="8"/>
      <c r="M6750" s="8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  <c r="AA6750" s="8"/>
      <c r="AB6750" s="8"/>
      <c r="AC6750" s="8"/>
      <c r="AD6750" s="8"/>
      <c r="AE6750" s="8"/>
      <c r="AF6750" s="8"/>
      <c r="AG6750" s="10"/>
    </row>
    <row r="6751" spans="1:33">
      <c r="A6751" s="8"/>
      <c r="B6751" s="8"/>
      <c r="C6751" s="8"/>
      <c r="D6751" s="8"/>
      <c r="E6751" s="8"/>
      <c r="F6751" s="8"/>
      <c r="G6751" s="8"/>
      <c r="H6751" s="8"/>
      <c r="I6751" s="8"/>
      <c r="J6751" s="8"/>
      <c r="K6751" s="8"/>
      <c r="L6751" s="8"/>
      <c r="M6751" s="8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  <c r="AA6751" s="8"/>
      <c r="AB6751" s="8"/>
      <c r="AC6751" s="8"/>
      <c r="AD6751" s="8"/>
      <c r="AE6751" s="8"/>
      <c r="AF6751" s="8"/>
      <c r="AG6751" s="10"/>
    </row>
    <row r="6752" spans="1:33">
      <c r="A6752" s="8"/>
      <c r="B6752" s="8"/>
      <c r="C6752" s="8"/>
      <c r="D6752" s="8"/>
      <c r="E6752" s="8"/>
      <c r="F6752" s="8"/>
      <c r="G6752" s="8"/>
      <c r="H6752" s="8"/>
      <c r="I6752" s="8"/>
      <c r="J6752" s="8"/>
      <c r="K6752" s="8"/>
      <c r="L6752" s="8"/>
      <c r="M6752" s="8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  <c r="AA6752" s="8"/>
      <c r="AB6752" s="8"/>
      <c r="AC6752" s="8"/>
      <c r="AD6752" s="8"/>
      <c r="AE6752" s="8"/>
      <c r="AF6752" s="8"/>
      <c r="AG6752" s="10"/>
    </row>
    <row r="6753" spans="1:33">
      <c r="A6753" s="8"/>
      <c r="B6753" s="8"/>
      <c r="C6753" s="8"/>
      <c r="D6753" s="8"/>
      <c r="E6753" s="8"/>
      <c r="F6753" s="8"/>
      <c r="G6753" s="8"/>
      <c r="H6753" s="8"/>
      <c r="I6753" s="8"/>
      <c r="J6753" s="8"/>
      <c r="K6753" s="8"/>
      <c r="L6753" s="8"/>
      <c r="M6753" s="8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  <c r="AA6753" s="8"/>
      <c r="AB6753" s="8"/>
      <c r="AC6753" s="8"/>
      <c r="AD6753" s="8"/>
      <c r="AE6753" s="8"/>
      <c r="AF6753" s="8"/>
      <c r="AG6753" s="10"/>
    </row>
    <row r="6754" spans="1:33">
      <c r="A6754" s="8"/>
      <c r="B6754" s="8"/>
      <c r="C6754" s="8"/>
      <c r="D6754" s="8"/>
      <c r="E6754" s="8"/>
      <c r="F6754" s="8"/>
      <c r="G6754" s="8"/>
      <c r="H6754" s="8"/>
      <c r="I6754" s="8"/>
      <c r="J6754" s="8"/>
      <c r="K6754" s="8"/>
      <c r="L6754" s="8"/>
      <c r="M6754" s="8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  <c r="AA6754" s="8"/>
      <c r="AB6754" s="8"/>
      <c r="AC6754" s="8"/>
      <c r="AD6754" s="8"/>
      <c r="AE6754" s="8"/>
      <c r="AF6754" s="8"/>
      <c r="AG6754" s="10"/>
    </row>
    <row r="6755" spans="1:33">
      <c r="A6755" s="8"/>
      <c r="B6755" s="8"/>
      <c r="C6755" s="8"/>
      <c r="D6755" s="8"/>
      <c r="E6755" s="8"/>
      <c r="F6755" s="8"/>
      <c r="G6755" s="8"/>
      <c r="H6755" s="8"/>
      <c r="I6755" s="8"/>
      <c r="J6755" s="8"/>
      <c r="K6755" s="8"/>
      <c r="L6755" s="8"/>
      <c r="M6755" s="8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  <c r="AA6755" s="8"/>
      <c r="AB6755" s="8"/>
      <c r="AC6755" s="8"/>
      <c r="AD6755" s="8"/>
      <c r="AE6755" s="8"/>
      <c r="AF6755" s="8"/>
      <c r="AG6755" s="10"/>
    </row>
    <row r="6756" spans="1:33">
      <c r="A6756" s="8"/>
      <c r="B6756" s="8"/>
      <c r="C6756" s="8"/>
      <c r="D6756" s="8"/>
      <c r="E6756" s="8"/>
      <c r="F6756" s="8"/>
      <c r="G6756" s="8"/>
      <c r="H6756" s="8"/>
      <c r="I6756" s="8"/>
      <c r="J6756" s="8"/>
      <c r="K6756" s="8"/>
      <c r="L6756" s="8"/>
      <c r="M6756" s="8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  <c r="AA6756" s="8"/>
      <c r="AB6756" s="8"/>
      <c r="AC6756" s="8"/>
      <c r="AD6756" s="8"/>
      <c r="AE6756" s="8"/>
      <c r="AF6756" s="8"/>
      <c r="AG6756" s="10"/>
    </row>
    <row r="6757" spans="1:33">
      <c r="A6757" s="8"/>
      <c r="B6757" s="8"/>
      <c r="C6757" s="8"/>
      <c r="D6757" s="8"/>
      <c r="E6757" s="8"/>
      <c r="F6757" s="8"/>
      <c r="G6757" s="8"/>
      <c r="H6757" s="8"/>
      <c r="I6757" s="8"/>
      <c r="J6757" s="8"/>
      <c r="K6757" s="8"/>
      <c r="L6757" s="8"/>
      <c r="M6757" s="8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  <c r="AA6757" s="8"/>
      <c r="AB6757" s="8"/>
      <c r="AC6757" s="8"/>
      <c r="AD6757" s="8"/>
      <c r="AE6757" s="8"/>
      <c r="AF6757" s="8"/>
      <c r="AG6757" s="10"/>
    </row>
    <row r="6758" spans="1:33">
      <c r="A6758" s="8"/>
      <c r="B6758" s="8"/>
      <c r="C6758" s="8"/>
      <c r="D6758" s="8"/>
      <c r="E6758" s="8"/>
      <c r="F6758" s="8"/>
      <c r="G6758" s="8"/>
      <c r="H6758" s="8"/>
      <c r="I6758" s="8"/>
      <c r="J6758" s="8"/>
      <c r="K6758" s="8"/>
      <c r="L6758" s="8"/>
      <c r="M6758" s="8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  <c r="AA6758" s="8"/>
      <c r="AB6758" s="8"/>
      <c r="AC6758" s="8"/>
      <c r="AD6758" s="8"/>
      <c r="AE6758" s="8"/>
      <c r="AF6758" s="8"/>
      <c r="AG6758" s="10"/>
    </row>
    <row r="6759" spans="1:33">
      <c r="A6759" s="8"/>
      <c r="B6759" s="8"/>
      <c r="C6759" s="8"/>
      <c r="D6759" s="8"/>
      <c r="E6759" s="8"/>
      <c r="F6759" s="8"/>
      <c r="G6759" s="8"/>
      <c r="H6759" s="8"/>
      <c r="I6759" s="8"/>
      <c r="J6759" s="8"/>
      <c r="K6759" s="8"/>
      <c r="L6759" s="8"/>
      <c r="M6759" s="8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  <c r="AD6759" s="8"/>
      <c r="AE6759" s="8"/>
      <c r="AF6759" s="8"/>
      <c r="AG6759" s="10"/>
    </row>
    <row r="6760" spans="1:33">
      <c r="A6760" s="8"/>
      <c r="B6760" s="8"/>
      <c r="C6760" s="8"/>
      <c r="D6760" s="8"/>
      <c r="E6760" s="8"/>
      <c r="F6760" s="8"/>
      <c r="G6760" s="8"/>
      <c r="H6760" s="8"/>
      <c r="I6760" s="8"/>
      <c r="J6760" s="8"/>
      <c r="K6760" s="8"/>
      <c r="L6760" s="8"/>
      <c r="M6760" s="8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  <c r="AA6760" s="8"/>
      <c r="AB6760" s="8"/>
      <c r="AC6760" s="8"/>
      <c r="AD6760" s="8"/>
      <c r="AE6760" s="8"/>
      <c r="AF6760" s="8"/>
      <c r="AG6760" s="10"/>
    </row>
    <row r="6761" spans="1:33">
      <c r="A6761" s="8"/>
      <c r="B6761" s="8"/>
      <c r="C6761" s="8"/>
      <c r="D6761" s="8"/>
      <c r="E6761" s="8"/>
      <c r="F6761" s="8"/>
      <c r="G6761" s="8"/>
      <c r="H6761" s="8"/>
      <c r="I6761" s="8"/>
      <c r="J6761" s="8"/>
      <c r="K6761" s="8"/>
      <c r="L6761" s="8"/>
      <c r="M6761" s="8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  <c r="AA6761" s="8"/>
      <c r="AB6761" s="8"/>
      <c r="AC6761" s="8"/>
      <c r="AD6761" s="8"/>
      <c r="AE6761" s="8"/>
      <c r="AF6761" s="8"/>
      <c r="AG6761" s="10"/>
    </row>
    <row r="6762" spans="1:33">
      <c r="A6762" s="8"/>
      <c r="B6762" s="8"/>
      <c r="C6762" s="8"/>
      <c r="D6762" s="8"/>
      <c r="E6762" s="8"/>
      <c r="F6762" s="8"/>
      <c r="G6762" s="8"/>
      <c r="H6762" s="8"/>
      <c r="I6762" s="8"/>
      <c r="J6762" s="8"/>
      <c r="K6762" s="8"/>
      <c r="L6762" s="8"/>
      <c r="M6762" s="8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  <c r="AA6762" s="8"/>
      <c r="AB6762" s="8"/>
      <c r="AC6762" s="8"/>
      <c r="AD6762" s="8"/>
      <c r="AE6762" s="8"/>
      <c r="AF6762" s="8"/>
      <c r="AG6762" s="10"/>
    </row>
    <row r="6763" spans="1:33">
      <c r="A6763" s="8"/>
      <c r="B6763" s="8"/>
      <c r="C6763" s="8"/>
      <c r="D6763" s="8"/>
      <c r="E6763" s="8"/>
      <c r="F6763" s="8"/>
      <c r="G6763" s="8"/>
      <c r="H6763" s="8"/>
      <c r="I6763" s="8"/>
      <c r="J6763" s="8"/>
      <c r="K6763" s="8"/>
      <c r="L6763" s="8"/>
      <c r="M6763" s="8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  <c r="AA6763" s="8"/>
      <c r="AB6763" s="8"/>
      <c r="AC6763" s="8"/>
      <c r="AD6763" s="8"/>
      <c r="AE6763" s="8"/>
      <c r="AF6763" s="8"/>
      <c r="AG6763" s="10"/>
    </row>
    <row r="6764" spans="1:33">
      <c r="A6764" s="8"/>
      <c r="B6764" s="8"/>
      <c r="C6764" s="8"/>
      <c r="D6764" s="8"/>
      <c r="E6764" s="8"/>
      <c r="F6764" s="8"/>
      <c r="G6764" s="8"/>
      <c r="H6764" s="8"/>
      <c r="I6764" s="8"/>
      <c r="J6764" s="8"/>
      <c r="K6764" s="8"/>
      <c r="L6764" s="8"/>
      <c r="M6764" s="8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  <c r="AA6764" s="8"/>
      <c r="AB6764" s="8"/>
      <c r="AC6764" s="8"/>
      <c r="AD6764" s="8"/>
      <c r="AE6764" s="8"/>
      <c r="AF6764" s="8"/>
      <c r="AG6764" s="10"/>
    </row>
    <row r="6765" spans="1:33">
      <c r="A6765" s="8"/>
      <c r="B6765" s="8"/>
      <c r="C6765" s="8"/>
      <c r="D6765" s="8"/>
      <c r="E6765" s="8"/>
      <c r="F6765" s="8"/>
      <c r="G6765" s="8"/>
      <c r="H6765" s="8"/>
      <c r="I6765" s="8"/>
      <c r="J6765" s="8"/>
      <c r="K6765" s="8"/>
      <c r="L6765" s="8"/>
      <c r="M6765" s="8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  <c r="AA6765" s="8"/>
      <c r="AB6765" s="8"/>
      <c r="AC6765" s="8"/>
      <c r="AD6765" s="8"/>
      <c r="AE6765" s="8"/>
      <c r="AF6765" s="8"/>
      <c r="AG6765" s="10"/>
    </row>
    <row r="6766" spans="1:33">
      <c r="A6766" s="8"/>
      <c r="B6766" s="8"/>
      <c r="C6766" s="8"/>
      <c r="D6766" s="8"/>
      <c r="E6766" s="8"/>
      <c r="F6766" s="8"/>
      <c r="G6766" s="8"/>
      <c r="H6766" s="8"/>
      <c r="I6766" s="8"/>
      <c r="J6766" s="8"/>
      <c r="K6766" s="8"/>
      <c r="L6766" s="8"/>
      <c r="M6766" s="8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  <c r="AA6766" s="8"/>
      <c r="AB6766" s="8"/>
      <c r="AC6766" s="8"/>
      <c r="AD6766" s="8"/>
      <c r="AE6766" s="8"/>
      <c r="AF6766" s="8"/>
      <c r="AG6766" s="10"/>
    </row>
    <row r="6767" spans="1:33">
      <c r="A6767" s="8"/>
      <c r="B6767" s="8"/>
      <c r="C6767" s="8"/>
      <c r="D6767" s="8"/>
      <c r="E6767" s="8"/>
      <c r="F6767" s="8"/>
      <c r="G6767" s="8"/>
      <c r="H6767" s="8"/>
      <c r="I6767" s="8"/>
      <c r="J6767" s="8"/>
      <c r="K6767" s="8"/>
      <c r="L6767" s="8"/>
      <c r="M6767" s="8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  <c r="AA6767" s="8"/>
      <c r="AB6767" s="8"/>
      <c r="AC6767" s="8"/>
      <c r="AD6767" s="8"/>
      <c r="AE6767" s="8"/>
      <c r="AF6767" s="8"/>
      <c r="AG6767" s="10"/>
    </row>
    <row r="6768" spans="1:33">
      <c r="A6768" s="8"/>
      <c r="B6768" s="8"/>
      <c r="C6768" s="8"/>
      <c r="D6768" s="8"/>
      <c r="E6768" s="8"/>
      <c r="F6768" s="8"/>
      <c r="G6768" s="8"/>
      <c r="H6768" s="8"/>
      <c r="I6768" s="8"/>
      <c r="J6768" s="8"/>
      <c r="K6768" s="8"/>
      <c r="L6768" s="8"/>
      <c r="M6768" s="8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  <c r="AA6768" s="8"/>
      <c r="AB6768" s="8"/>
      <c r="AC6768" s="8"/>
      <c r="AD6768" s="8"/>
      <c r="AE6768" s="8"/>
      <c r="AF6768" s="8"/>
      <c r="AG6768" s="10"/>
    </row>
    <row r="6769" spans="1:33">
      <c r="A6769" s="8"/>
      <c r="B6769" s="8"/>
      <c r="C6769" s="8"/>
      <c r="D6769" s="8"/>
      <c r="E6769" s="8"/>
      <c r="F6769" s="8"/>
      <c r="G6769" s="8"/>
      <c r="H6769" s="8"/>
      <c r="I6769" s="8"/>
      <c r="J6769" s="8"/>
      <c r="K6769" s="8"/>
      <c r="L6769" s="8"/>
      <c r="M6769" s="8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  <c r="AA6769" s="8"/>
      <c r="AB6769" s="8"/>
      <c r="AC6769" s="8"/>
      <c r="AD6769" s="8"/>
      <c r="AE6769" s="8"/>
      <c r="AF6769" s="8"/>
      <c r="AG6769" s="10"/>
    </row>
    <row r="6770" spans="1:33">
      <c r="A6770" s="8"/>
      <c r="B6770" s="8"/>
      <c r="C6770" s="8"/>
      <c r="D6770" s="8"/>
      <c r="E6770" s="8"/>
      <c r="F6770" s="8"/>
      <c r="G6770" s="8"/>
      <c r="H6770" s="8"/>
      <c r="I6770" s="8"/>
      <c r="J6770" s="8"/>
      <c r="K6770" s="8"/>
      <c r="L6770" s="8"/>
      <c r="M6770" s="8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  <c r="AA6770" s="8"/>
      <c r="AB6770" s="8"/>
      <c r="AC6770" s="8"/>
      <c r="AD6770" s="8"/>
      <c r="AE6770" s="8"/>
      <c r="AF6770" s="8"/>
      <c r="AG6770" s="10"/>
    </row>
    <row r="6771" spans="1:33">
      <c r="A6771" s="8"/>
      <c r="B6771" s="8"/>
      <c r="C6771" s="8"/>
      <c r="D6771" s="8"/>
      <c r="E6771" s="8"/>
      <c r="F6771" s="8"/>
      <c r="G6771" s="8"/>
      <c r="H6771" s="8"/>
      <c r="I6771" s="8"/>
      <c r="J6771" s="8"/>
      <c r="K6771" s="8"/>
      <c r="L6771" s="8"/>
      <c r="M6771" s="8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  <c r="AA6771" s="8"/>
      <c r="AB6771" s="8"/>
      <c r="AC6771" s="8"/>
      <c r="AD6771" s="8"/>
      <c r="AE6771" s="8"/>
      <c r="AF6771" s="8"/>
      <c r="AG6771" s="10"/>
    </row>
    <row r="6772" spans="1:33">
      <c r="A6772" s="8"/>
      <c r="B6772" s="8"/>
      <c r="C6772" s="8"/>
      <c r="D6772" s="8"/>
      <c r="E6772" s="8"/>
      <c r="F6772" s="8"/>
      <c r="G6772" s="8"/>
      <c r="H6772" s="8"/>
      <c r="I6772" s="8"/>
      <c r="J6772" s="8"/>
      <c r="K6772" s="8"/>
      <c r="L6772" s="8"/>
      <c r="M6772" s="8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  <c r="AA6772" s="8"/>
      <c r="AB6772" s="8"/>
      <c r="AC6772" s="8"/>
      <c r="AD6772" s="8"/>
      <c r="AE6772" s="8"/>
      <c r="AF6772" s="8"/>
      <c r="AG6772" s="10"/>
    </row>
    <row r="6773" spans="1:33">
      <c r="A6773" s="8"/>
      <c r="B6773" s="8"/>
      <c r="C6773" s="8"/>
      <c r="D6773" s="8"/>
      <c r="E6773" s="8"/>
      <c r="F6773" s="8"/>
      <c r="G6773" s="8"/>
      <c r="H6773" s="8"/>
      <c r="I6773" s="8"/>
      <c r="J6773" s="8"/>
      <c r="K6773" s="8"/>
      <c r="L6773" s="8"/>
      <c r="M6773" s="8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  <c r="AA6773" s="8"/>
      <c r="AB6773" s="8"/>
      <c r="AC6773" s="8"/>
      <c r="AD6773" s="8"/>
      <c r="AE6773" s="8"/>
      <c r="AF6773" s="8"/>
      <c r="AG6773" s="10"/>
    </row>
    <row r="6774" spans="1:33">
      <c r="A6774" s="8"/>
      <c r="B6774" s="8"/>
      <c r="C6774" s="8"/>
      <c r="D6774" s="8"/>
      <c r="E6774" s="8"/>
      <c r="F6774" s="8"/>
      <c r="G6774" s="8"/>
      <c r="H6774" s="8"/>
      <c r="I6774" s="8"/>
      <c r="J6774" s="8"/>
      <c r="K6774" s="8"/>
      <c r="L6774" s="8"/>
      <c r="M6774" s="8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  <c r="AA6774" s="8"/>
      <c r="AB6774" s="8"/>
      <c r="AC6774" s="8"/>
      <c r="AD6774" s="8"/>
      <c r="AE6774" s="8"/>
      <c r="AF6774" s="8"/>
      <c r="AG6774" s="10"/>
    </row>
    <row r="6775" spans="1:33">
      <c r="A6775" s="8"/>
      <c r="B6775" s="8"/>
      <c r="C6775" s="8"/>
      <c r="D6775" s="8"/>
      <c r="E6775" s="8"/>
      <c r="F6775" s="8"/>
      <c r="G6775" s="8"/>
      <c r="H6775" s="8"/>
      <c r="I6775" s="8"/>
      <c r="J6775" s="8"/>
      <c r="K6775" s="8"/>
      <c r="L6775" s="8"/>
      <c r="M6775" s="8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  <c r="AA6775" s="8"/>
      <c r="AB6775" s="8"/>
      <c r="AC6775" s="8"/>
      <c r="AD6775" s="8"/>
      <c r="AE6775" s="8"/>
      <c r="AF6775" s="8"/>
      <c r="AG6775" s="10"/>
    </row>
    <row r="6776" spans="1:33">
      <c r="A6776" s="8"/>
      <c r="B6776" s="8"/>
      <c r="C6776" s="8"/>
      <c r="D6776" s="8"/>
      <c r="E6776" s="8"/>
      <c r="F6776" s="8"/>
      <c r="G6776" s="8"/>
      <c r="H6776" s="8"/>
      <c r="I6776" s="8"/>
      <c r="J6776" s="8"/>
      <c r="K6776" s="8"/>
      <c r="L6776" s="8"/>
      <c r="M6776" s="8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  <c r="AD6776" s="8"/>
      <c r="AE6776" s="8"/>
      <c r="AF6776" s="8"/>
      <c r="AG6776" s="10"/>
    </row>
    <row r="6777" spans="1:33">
      <c r="A6777" s="8"/>
      <c r="B6777" s="8"/>
      <c r="C6777" s="8"/>
      <c r="D6777" s="8"/>
      <c r="E6777" s="8"/>
      <c r="F6777" s="8"/>
      <c r="G6777" s="8"/>
      <c r="H6777" s="8"/>
      <c r="I6777" s="8"/>
      <c r="J6777" s="8"/>
      <c r="K6777" s="8"/>
      <c r="L6777" s="8"/>
      <c r="M6777" s="8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  <c r="AA6777" s="8"/>
      <c r="AB6777" s="8"/>
      <c r="AC6777" s="8"/>
      <c r="AD6777" s="8"/>
      <c r="AE6777" s="8"/>
      <c r="AF6777" s="8"/>
      <c r="AG6777" s="10"/>
    </row>
    <row r="6778" spans="1:33">
      <c r="A6778" s="8"/>
      <c r="B6778" s="8"/>
      <c r="C6778" s="8"/>
      <c r="D6778" s="8"/>
      <c r="E6778" s="8"/>
      <c r="F6778" s="8"/>
      <c r="G6778" s="8"/>
      <c r="H6778" s="8"/>
      <c r="I6778" s="8"/>
      <c r="J6778" s="8"/>
      <c r="K6778" s="8"/>
      <c r="L6778" s="8"/>
      <c r="M6778" s="8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  <c r="AA6778" s="8"/>
      <c r="AB6778" s="8"/>
      <c r="AC6778" s="8"/>
      <c r="AD6778" s="8"/>
      <c r="AE6778" s="8"/>
      <c r="AF6778" s="8"/>
      <c r="AG6778" s="10"/>
    </row>
    <row r="6779" spans="1:33">
      <c r="A6779" s="8"/>
      <c r="B6779" s="8"/>
      <c r="C6779" s="8"/>
      <c r="D6779" s="8"/>
      <c r="E6779" s="8"/>
      <c r="F6779" s="8"/>
      <c r="G6779" s="8"/>
      <c r="H6779" s="8"/>
      <c r="I6779" s="8"/>
      <c r="J6779" s="8"/>
      <c r="K6779" s="8"/>
      <c r="L6779" s="8"/>
      <c r="M6779" s="8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  <c r="AA6779" s="8"/>
      <c r="AB6779" s="8"/>
      <c r="AC6779" s="8"/>
      <c r="AD6779" s="8"/>
      <c r="AE6779" s="8"/>
      <c r="AF6779" s="8"/>
      <c r="AG6779" s="10"/>
    </row>
    <row r="6780" spans="1:33">
      <c r="A6780" s="8"/>
      <c r="B6780" s="8"/>
      <c r="C6780" s="8"/>
      <c r="D6780" s="8"/>
      <c r="E6780" s="8"/>
      <c r="F6780" s="8"/>
      <c r="G6780" s="8"/>
      <c r="H6780" s="8"/>
      <c r="I6780" s="8"/>
      <c r="J6780" s="8"/>
      <c r="K6780" s="8"/>
      <c r="L6780" s="8"/>
      <c r="M6780" s="8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  <c r="AA6780" s="8"/>
      <c r="AB6780" s="8"/>
      <c r="AC6780" s="8"/>
      <c r="AD6780" s="8"/>
      <c r="AE6780" s="8"/>
      <c r="AF6780" s="8"/>
      <c r="AG6780" s="10"/>
    </row>
    <row r="6781" spans="1:33">
      <c r="A6781" s="8"/>
      <c r="B6781" s="8"/>
      <c r="C6781" s="8"/>
      <c r="D6781" s="8"/>
      <c r="E6781" s="8"/>
      <c r="F6781" s="8"/>
      <c r="G6781" s="8"/>
      <c r="H6781" s="8"/>
      <c r="I6781" s="8"/>
      <c r="J6781" s="8"/>
      <c r="K6781" s="8"/>
      <c r="L6781" s="8"/>
      <c r="M6781" s="8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  <c r="AA6781" s="8"/>
      <c r="AB6781" s="8"/>
      <c r="AC6781" s="8"/>
      <c r="AD6781" s="8"/>
      <c r="AE6781" s="8"/>
      <c r="AF6781" s="8"/>
      <c r="AG6781" s="10"/>
    </row>
    <row r="6782" spans="1:33">
      <c r="A6782" s="8"/>
      <c r="B6782" s="8"/>
      <c r="C6782" s="8"/>
      <c r="D6782" s="8"/>
      <c r="E6782" s="8"/>
      <c r="F6782" s="8"/>
      <c r="G6782" s="8"/>
      <c r="H6782" s="8"/>
      <c r="I6782" s="8"/>
      <c r="J6782" s="8"/>
      <c r="K6782" s="8"/>
      <c r="L6782" s="8"/>
      <c r="M6782" s="8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  <c r="AA6782" s="8"/>
      <c r="AB6782" s="8"/>
      <c r="AC6782" s="8"/>
      <c r="AD6782" s="8"/>
      <c r="AE6782" s="8"/>
      <c r="AF6782" s="8"/>
      <c r="AG6782" s="10"/>
    </row>
    <row r="6783" spans="1:33">
      <c r="A6783" s="8"/>
      <c r="B6783" s="8"/>
      <c r="C6783" s="8"/>
      <c r="D6783" s="8"/>
      <c r="E6783" s="8"/>
      <c r="F6783" s="8"/>
      <c r="G6783" s="8"/>
      <c r="H6783" s="8"/>
      <c r="I6783" s="8"/>
      <c r="J6783" s="8"/>
      <c r="K6783" s="8"/>
      <c r="L6783" s="8"/>
      <c r="M6783" s="8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  <c r="AA6783" s="8"/>
      <c r="AB6783" s="8"/>
      <c r="AC6783" s="8"/>
      <c r="AD6783" s="8"/>
      <c r="AE6783" s="8"/>
      <c r="AF6783" s="8"/>
      <c r="AG6783" s="10"/>
    </row>
    <row r="6784" spans="1:33">
      <c r="A6784" s="8"/>
      <c r="B6784" s="8"/>
      <c r="C6784" s="8"/>
      <c r="D6784" s="8"/>
      <c r="E6784" s="8"/>
      <c r="F6784" s="8"/>
      <c r="G6784" s="8"/>
      <c r="H6784" s="8"/>
      <c r="I6784" s="8"/>
      <c r="J6784" s="8"/>
      <c r="K6784" s="8"/>
      <c r="L6784" s="8"/>
      <c r="M6784" s="8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  <c r="AA6784" s="8"/>
      <c r="AB6784" s="8"/>
      <c r="AC6784" s="8"/>
      <c r="AD6784" s="8"/>
      <c r="AE6784" s="8"/>
      <c r="AF6784" s="8"/>
      <c r="AG6784" s="10"/>
    </row>
    <row r="6785" spans="1:33">
      <c r="A6785" s="8"/>
      <c r="B6785" s="8"/>
      <c r="C6785" s="8"/>
      <c r="D6785" s="8"/>
      <c r="E6785" s="8"/>
      <c r="F6785" s="8"/>
      <c r="G6785" s="8"/>
      <c r="H6785" s="8"/>
      <c r="I6785" s="8"/>
      <c r="J6785" s="8"/>
      <c r="K6785" s="8"/>
      <c r="L6785" s="8"/>
      <c r="M6785" s="8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  <c r="AA6785" s="8"/>
      <c r="AB6785" s="8"/>
      <c r="AC6785" s="8"/>
      <c r="AD6785" s="8"/>
      <c r="AE6785" s="8"/>
      <c r="AF6785" s="8"/>
      <c r="AG6785" s="10"/>
    </row>
    <row r="6786" spans="1:33">
      <c r="A6786" s="8"/>
      <c r="B6786" s="8"/>
      <c r="C6786" s="8"/>
      <c r="D6786" s="8"/>
      <c r="E6786" s="8"/>
      <c r="F6786" s="8"/>
      <c r="G6786" s="8"/>
      <c r="H6786" s="8"/>
      <c r="I6786" s="8"/>
      <c r="J6786" s="8"/>
      <c r="K6786" s="8"/>
      <c r="L6786" s="8"/>
      <c r="M6786" s="8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  <c r="AA6786" s="8"/>
      <c r="AB6786" s="8"/>
      <c r="AC6786" s="8"/>
      <c r="AD6786" s="8"/>
      <c r="AE6786" s="8"/>
      <c r="AF6786" s="8"/>
      <c r="AG6786" s="10"/>
    </row>
    <row r="6787" spans="1:33">
      <c r="A6787" s="8"/>
      <c r="B6787" s="8"/>
      <c r="C6787" s="8"/>
      <c r="D6787" s="8"/>
      <c r="E6787" s="8"/>
      <c r="F6787" s="8"/>
      <c r="G6787" s="8"/>
      <c r="H6787" s="8"/>
      <c r="I6787" s="8"/>
      <c r="J6787" s="8"/>
      <c r="K6787" s="8"/>
      <c r="L6787" s="8"/>
      <c r="M6787" s="8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  <c r="AA6787" s="8"/>
      <c r="AB6787" s="8"/>
      <c r="AC6787" s="8"/>
      <c r="AD6787" s="8"/>
      <c r="AE6787" s="8"/>
      <c r="AF6787" s="8"/>
      <c r="AG6787" s="10"/>
    </row>
    <row r="6788" spans="1:33">
      <c r="A6788" s="8"/>
      <c r="B6788" s="8"/>
      <c r="C6788" s="8"/>
      <c r="D6788" s="8"/>
      <c r="E6788" s="8"/>
      <c r="F6788" s="8"/>
      <c r="G6788" s="8"/>
      <c r="H6788" s="8"/>
      <c r="I6788" s="8"/>
      <c r="J6788" s="8"/>
      <c r="K6788" s="8"/>
      <c r="L6788" s="8"/>
      <c r="M6788" s="8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  <c r="AA6788" s="8"/>
      <c r="AB6788" s="8"/>
      <c r="AC6788" s="8"/>
      <c r="AD6788" s="8"/>
      <c r="AE6788" s="8"/>
      <c r="AF6788" s="8"/>
      <c r="AG6788" s="10"/>
    </row>
    <row r="6789" spans="1:33">
      <c r="A6789" s="8"/>
      <c r="B6789" s="8"/>
      <c r="C6789" s="8"/>
      <c r="D6789" s="8"/>
      <c r="E6789" s="8"/>
      <c r="F6789" s="8"/>
      <c r="G6789" s="8"/>
      <c r="H6789" s="8"/>
      <c r="I6789" s="8"/>
      <c r="J6789" s="8"/>
      <c r="K6789" s="8"/>
      <c r="L6789" s="8"/>
      <c r="M6789" s="8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  <c r="AA6789" s="8"/>
      <c r="AB6789" s="8"/>
      <c r="AC6789" s="8"/>
      <c r="AD6789" s="8"/>
      <c r="AE6789" s="8"/>
      <c r="AF6789" s="8"/>
      <c r="AG6789" s="10"/>
    </row>
    <row r="6790" spans="1:33">
      <c r="A6790" s="8"/>
      <c r="B6790" s="8"/>
      <c r="C6790" s="8"/>
      <c r="D6790" s="8"/>
      <c r="E6790" s="8"/>
      <c r="F6790" s="8"/>
      <c r="G6790" s="8"/>
      <c r="H6790" s="8"/>
      <c r="I6790" s="8"/>
      <c r="J6790" s="8"/>
      <c r="K6790" s="8"/>
      <c r="L6790" s="8"/>
      <c r="M6790" s="8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  <c r="AA6790" s="8"/>
      <c r="AB6790" s="8"/>
      <c r="AC6790" s="8"/>
      <c r="AD6790" s="8"/>
      <c r="AE6790" s="8"/>
      <c r="AF6790" s="8"/>
      <c r="AG6790" s="10"/>
    </row>
    <row r="6791" spans="1:33">
      <c r="A6791" s="8"/>
      <c r="B6791" s="8"/>
      <c r="C6791" s="8"/>
      <c r="D6791" s="8"/>
      <c r="E6791" s="8"/>
      <c r="F6791" s="8"/>
      <c r="G6791" s="8"/>
      <c r="H6791" s="8"/>
      <c r="I6791" s="8"/>
      <c r="J6791" s="8"/>
      <c r="K6791" s="8"/>
      <c r="L6791" s="8"/>
      <c r="M6791" s="8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  <c r="AA6791" s="8"/>
      <c r="AB6791" s="8"/>
      <c r="AC6791" s="8"/>
      <c r="AD6791" s="8"/>
      <c r="AE6791" s="8"/>
      <c r="AF6791" s="8"/>
      <c r="AG6791" s="10"/>
    </row>
    <row r="6792" spans="1:33">
      <c r="A6792" s="8"/>
      <c r="B6792" s="8"/>
      <c r="C6792" s="8"/>
      <c r="D6792" s="8"/>
      <c r="E6792" s="8"/>
      <c r="F6792" s="8"/>
      <c r="G6792" s="8"/>
      <c r="H6792" s="8"/>
      <c r="I6792" s="8"/>
      <c r="J6792" s="8"/>
      <c r="K6792" s="8"/>
      <c r="L6792" s="8"/>
      <c r="M6792" s="8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  <c r="AA6792" s="8"/>
      <c r="AB6792" s="8"/>
      <c r="AC6792" s="8"/>
      <c r="AD6792" s="8"/>
      <c r="AE6792" s="8"/>
      <c r="AF6792" s="8"/>
      <c r="AG6792" s="10"/>
    </row>
    <row r="6793" spans="1:33">
      <c r="A6793" s="8"/>
      <c r="B6793" s="8"/>
      <c r="C6793" s="8"/>
      <c r="D6793" s="8"/>
      <c r="E6793" s="8"/>
      <c r="F6793" s="8"/>
      <c r="G6793" s="8"/>
      <c r="H6793" s="8"/>
      <c r="I6793" s="8"/>
      <c r="J6793" s="8"/>
      <c r="K6793" s="8"/>
      <c r="L6793" s="8"/>
      <c r="M6793" s="8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  <c r="AA6793" s="8"/>
      <c r="AB6793" s="8"/>
      <c r="AC6793" s="8"/>
      <c r="AD6793" s="8"/>
      <c r="AE6793" s="8"/>
      <c r="AF6793" s="8"/>
      <c r="AG6793" s="10"/>
    </row>
    <row r="6794" spans="1:33">
      <c r="A6794" s="8"/>
      <c r="B6794" s="8"/>
      <c r="C6794" s="8"/>
      <c r="D6794" s="8"/>
      <c r="E6794" s="8"/>
      <c r="F6794" s="8"/>
      <c r="G6794" s="8"/>
      <c r="H6794" s="8"/>
      <c r="I6794" s="8"/>
      <c r="J6794" s="8"/>
      <c r="K6794" s="8"/>
      <c r="L6794" s="8"/>
      <c r="M6794" s="8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  <c r="AA6794" s="8"/>
      <c r="AB6794" s="8"/>
      <c r="AC6794" s="8"/>
      <c r="AD6794" s="8"/>
      <c r="AE6794" s="8"/>
      <c r="AF6794" s="8"/>
      <c r="AG6794" s="10"/>
    </row>
    <row r="6795" spans="1:33">
      <c r="A6795" s="8"/>
      <c r="B6795" s="8"/>
      <c r="C6795" s="8"/>
      <c r="D6795" s="8"/>
      <c r="E6795" s="8"/>
      <c r="F6795" s="8"/>
      <c r="G6795" s="8"/>
      <c r="H6795" s="8"/>
      <c r="I6795" s="8"/>
      <c r="J6795" s="8"/>
      <c r="K6795" s="8"/>
      <c r="L6795" s="8"/>
      <c r="M6795" s="8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  <c r="AA6795" s="8"/>
      <c r="AB6795" s="8"/>
      <c r="AC6795" s="8"/>
      <c r="AD6795" s="8"/>
      <c r="AE6795" s="8"/>
      <c r="AF6795" s="8"/>
      <c r="AG6795" s="10"/>
    </row>
    <row r="6796" spans="1:33">
      <c r="A6796" s="8"/>
      <c r="B6796" s="8"/>
      <c r="C6796" s="8"/>
      <c r="D6796" s="8"/>
      <c r="E6796" s="8"/>
      <c r="F6796" s="8"/>
      <c r="G6796" s="8"/>
      <c r="H6796" s="8"/>
      <c r="I6796" s="8"/>
      <c r="J6796" s="8"/>
      <c r="K6796" s="8"/>
      <c r="L6796" s="8"/>
      <c r="M6796" s="8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  <c r="AA6796" s="8"/>
      <c r="AB6796" s="8"/>
      <c r="AC6796" s="8"/>
      <c r="AD6796" s="8"/>
      <c r="AE6796" s="8"/>
      <c r="AF6796" s="8"/>
      <c r="AG6796" s="10"/>
    </row>
    <row r="6797" spans="1:33">
      <c r="A6797" s="8"/>
      <c r="B6797" s="8"/>
      <c r="C6797" s="8"/>
      <c r="D6797" s="8"/>
      <c r="E6797" s="8"/>
      <c r="F6797" s="8"/>
      <c r="G6797" s="8"/>
      <c r="H6797" s="8"/>
      <c r="I6797" s="8"/>
      <c r="J6797" s="8"/>
      <c r="K6797" s="8"/>
      <c r="L6797" s="8"/>
      <c r="M6797" s="8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  <c r="AA6797" s="8"/>
      <c r="AB6797" s="8"/>
      <c r="AC6797" s="8"/>
      <c r="AD6797" s="8"/>
      <c r="AE6797" s="8"/>
      <c r="AF6797" s="8"/>
      <c r="AG6797" s="10"/>
    </row>
    <row r="6798" spans="1:33">
      <c r="A6798" s="8"/>
      <c r="B6798" s="8"/>
      <c r="C6798" s="8"/>
      <c r="D6798" s="8"/>
      <c r="E6798" s="8"/>
      <c r="F6798" s="8"/>
      <c r="G6798" s="8"/>
      <c r="H6798" s="8"/>
      <c r="I6798" s="8"/>
      <c r="J6798" s="8"/>
      <c r="K6798" s="8"/>
      <c r="L6798" s="8"/>
      <c r="M6798" s="8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  <c r="AA6798" s="8"/>
      <c r="AB6798" s="8"/>
      <c r="AC6798" s="8"/>
      <c r="AD6798" s="8"/>
      <c r="AE6798" s="8"/>
      <c r="AF6798" s="8"/>
      <c r="AG6798" s="10"/>
    </row>
    <row r="6799" spans="1:33">
      <c r="A6799" s="8"/>
      <c r="B6799" s="8"/>
      <c r="C6799" s="8"/>
      <c r="D6799" s="8"/>
      <c r="E6799" s="8"/>
      <c r="F6799" s="8"/>
      <c r="G6799" s="8"/>
      <c r="H6799" s="8"/>
      <c r="I6799" s="8"/>
      <c r="J6799" s="8"/>
      <c r="K6799" s="8"/>
      <c r="L6799" s="8"/>
      <c r="M6799" s="8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  <c r="AA6799" s="8"/>
      <c r="AB6799" s="8"/>
      <c r="AC6799" s="8"/>
      <c r="AD6799" s="8"/>
      <c r="AE6799" s="8"/>
      <c r="AF6799" s="8"/>
      <c r="AG6799" s="10"/>
    </row>
    <row r="6800" spans="1:33">
      <c r="A6800" s="8"/>
      <c r="B6800" s="8"/>
      <c r="C6800" s="8"/>
      <c r="D6800" s="8"/>
      <c r="E6800" s="8"/>
      <c r="F6800" s="8"/>
      <c r="G6800" s="8"/>
      <c r="H6800" s="8"/>
      <c r="I6800" s="8"/>
      <c r="J6800" s="8"/>
      <c r="K6800" s="8"/>
      <c r="L6800" s="8"/>
      <c r="M6800" s="8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  <c r="AA6800" s="8"/>
      <c r="AB6800" s="8"/>
      <c r="AC6800" s="8"/>
      <c r="AD6800" s="8"/>
      <c r="AE6800" s="8"/>
      <c r="AF6800" s="8"/>
      <c r="AG6800" s="10"/>
    </row>
    <row r="6801" spans="1:33">
      <c r="A6801" s="8"/>
      <c r="B6801" s="8"/>
      <c r="C6801" s="8"/>
      <c r="D6801" s="8"/>
      <c r="E6801" s="8"/>
      <c r="F6801" s="8"/>
      <c r="G6801" s="8"/>
      <c r="H6801" s="8"/>
      <c r="I6801" s="8"/>
      <c r="J6801" s="8"/>
      <c r="K6801" s="8"/>
      <c r="L6801" s="8"/>
      <c r="M6801" s="8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  <c r="AA6801" s="8"/>
      <c r="AB6801" s="8"/>
      <c r="AC6801" s="8"/>
      <c r="AD6801" s="8"/>
      <c r="AE6801" s="8"/>
      <c r="AF6801" s="8"/>
      <c r="AG6801" s="10"/>
    </row>
    <row r="6802" spans="1:33">
      <c r="A6802" s="8"/>
      <c r="B6802" s="8"/>
      <c r="C6802" s="8"/>
      <c r="D6802" s="8"/>
      <c r="E6802" s="8"/>
      <c r="F6802" s="8"/>
      <c r="G6802" s="8"/>
      <c r="H6802" s="8"/>
      <c r="I6802" s="8"/>
      <c r="J6802" s="8"/>
      <c r="K6802" s="8"/>
      <c r="L6802" s="8"/>
      <c r="M6802" s="8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  <c r="AA6802" s="8"/>
      <c r="AB6802" s="8"/>
      <c r="AC6802" s="8"/>
      <c r="AD6802" s="8"/>
      <c r="AE6802" s="8"/>
      <c r="AF6802" s="8"/>
      <c r="AG6802" s="10"/>
    </row>
    <row r="6803" spans="1:33">
      <c r="A6803" s="8"/>
      <c r="B6803" s="8"/>
      <c r="C6803" s="8"/>
      <c r="D6803" s="8"/>
      <c r="E6803" s="8"/>
      <c r="F6803" s="8"/>
      <c r="G6803" s="8"/>
      <c r="H6803" s="8"/>
      <c r="I6803" s="8"/>
      <c r="J6803" s="8"/>
      <c r="K6803" s="8"/>
      <c r="L6803" s="8"/>
      <c r="M6803" s="8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  <c r="AA6803" s="8"/>
      <c r="AB6803" s="8"/>
      <c r="AC6803" s="8"/>
      <c r="AD6803" s="8"/>
      <c r="AE6803" s="8"/>
      <c r="AF6803" s="8"/>
      <c r="AG6803" s="10"/>
    </row>
    <row r="6804" spans="1:33">
      <c r="A6804" s="8"/>
      <c r="B6804" s="8"/>
      <c r="C6804" s="8"/>
      <c r="D6804" s="8"/>
      <c r="E6804" s="8"/>
      <c r="F6804" s="8"/>
      <c r="G6804" s="8"/>
      <c r="H6804" s="8"/>
      <c r="I6804" s="8"/>
      <c r="J6804" s="8"/>
      <c r="K6804" s="8"/>
      <c r="L6804" s="8"/>
      <c r="M6804" s="8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  <c r="AA6804" s="8"/>
      <c r="AB6804" s="8"/>
      <c r="AC6804" s="8"/>
      <c r="AD6804" s="8"/>
      <c r="AE6804" s="8"/>
      <c r="AF6804" s="8"/>
      <c r="AG6804" s="10"/>
    </row>
    <row r="6805" spans="1:33">
      <c r="A6805" s="8"/>
      <c r="B6805" s="8"/>
      <c r="C6805" s="8"/>
      <c r="D6805" s="8"/>
      <c r="E6805" s="8"/>
      <c r="F6805" s="8"/>
      <c r="G6805" s="8"/>
      <c r="H6805" s="8"/>
      <c r="I6805" s="8"/>
      <c r="J6805" s="8"/>
      <c r="K6805" s="8"/>
      <c r="L6805" s="8"/>
      <c r="M6805" s="8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  <c r="AA6805" s="8"/>
      <c r="AB6805" s="8"/>
      <c r="AC6805" s="8"/>
      <c r="AD6805" s="8"/>
      <c r="AE6805" s="8"/>
      <c r="AF6805" s="8"/>
      <c r="AG6805" s="10"/>
    </row>
    <row r="6806" spans="1:33">
      <c r="A6806" s="8"/>
      <c r="B6806" s="8"/>
      <c r="C6806" s="8"/>
      <c r="D6806" s="8"/>
      <c r="E6806" s="8"/>
      <c r="F6806" s="8"/>
      <c r="G6806" s="8"/>
      <c r="H6806" s="8"/>
      <c r="I6806" s="8"/>
      <c r="J6806" s="8"/>
      <c r="K6806" s="8"/>
      <c r="L6806" s="8"/>
      <c r="M6806" s="8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  <c r="AA6806" s="8"/>
      <c r="AB6806" s="8"/>
      <c r="AC6806" s="8"/>
      <c r="AD6806" s="8"/>
      <c r="AE6806" s="8"/>
      <c r="AF6806" s="8"/>
      <c r="AG6806" s="10"/>
    </row>
    <row r="6807" spans="1:33">
      <c r="A6807" s="8"/>
      <c r="B6807" s="8"/>
      <c r="C6807" s="8"/>
      <c r="D6807" s="8"/>
      <c r="E6807" s="8"/>
      <c r="F6807" s="8"/>
      <c r="G6807" s="8"/>
      <c r="H6807" s="8"/>
      <c r="I6807" s="8"/>
      <c r="J6807" s="8"/>
      <c r="K6807" s="8"/>
      <c r="L6807" s="8"/>
      <c r="M6807" s="8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  <c r="AA6807" s="8"/>
      <c r="AB6807" s="8"/>
      <c r="AC6807" s="8"/>
      <c r="AD6807" s="8"/>
      <c r="AE6807" s="8"/>
      <c r="AF6807" s="8"/>
      <c r="AG6807" s="10"/>
    </row>
    <row r="6808" spans="1:33">
      <c r="A6808" s="8"/>
      <c r="B6808" s="8"/>
      <c r="C6808" s="8"/>
      <c r="D6808" s="8"/>
      <c r="E6808" s="8"/>
      <c r="F6808" s="8"/>
      <c r="G6808" s="8"/>
      <c r="H6808" s="8"/>
      <c r="I6808" s="8"/>
      <c r="J6808" s="8"/>
      <c r="K6808" s="8"/>
      <c r="L6808" s="8"/>
      <c r="M6808" s="8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  <c r="AA6808" s="8"/>
      <c r="AB6808" s="8"/>
      <c r="AC6808" s="8"/>
      <c r="AD6808" s="8"/>
      <c r="AE6808" s="8"/>
      <c r="AF6808" s="8"/>
      <c r="AG6808" s="10"/>
    </row>
    <row r="6809" spans="1:33">
      <c r="A6809" s="8"/>
      <c r="B6809" s="8"/>
      <c r="C6809" s="8"/>
      <c r="D6809" s="8"/>
      <c r="E6809" s="8"/>
      <c r="F6809" s="8"/>
      <c r="G6809" s="8"/>
      <c r="H6809" s="8"/>
      <c r="I6809" s="8"/>
      <c r="J6809" s="8"/>
      <c r="K6809" s="8"/>
      <c r="L6809" s="8"/>
      <c r="M6809" s="8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  <c r="AA6809" s="8"/>
      <c r="AB6809" s="8"/>
      <c r="AC6809" s="8"/>
      <c r="AD6809" s="8"/>
      <c r="AE6809" s="8"/>
      <c r="AF6809" s="8"/>
      <c r="AG6809" s="10"/>
    </row>
    <row r="6810" spans="1:33">
      <c r="A6810" s="8"/>
      <c r="B6810" s="8"/>
      <c r="C6810" s="8"/>
      <c r="D6810" s="8"/>
      <c r="E6810" s="8"/>
      <c r="F6810" s="8"/>
      <c r="G6810" s="8"/>
      <c r="H6810" s="8"/>
      <c r="I6810" s="8"/>
      <c r="J6810" s="8"/>
      <c r="K6810" s="8"/>
      <c r="L6810" s="8"/>
      <c r="M6810" s="8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  <c r="AA6810" s="8"/>
      <c r="AB6810" s="8"/>
      <c r="AC6810" s="8"/>
      <c r="AD6810" s="8"/>
      <c r="AE6810" s="8"/>
      <c r="AF6810" s="8"/>
      <c r="AG6810" s="10"/>
    </row>
    <row r="6811" spans="1:33">
      <c r="A6811" s="8"/>
      <c r="B6811" s="8"/>
      <c r="C6811" s="8"/>
      <c r="D6811" s="8"/>
      <c r="E6811" s="8"/>
      <c r="F6811" s="8"/>
      <c r="G6811" s="8"/>
      <c r="H6811" s="8"/>
      <c r="I6811" s="8"/>
      <c r="J6811" s="8"/>
      <c r="K6811" s="8"/>
      <c r="L6811" s="8"/>
      <c r="M6811" s="8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  <c r="AA6811" s="8"/>
      <c r="AB6811" s="8"/>
      <c r="AC6811" s="8"/>
      <c r="AD6811" s="8"/>
      <c r="AE6811" s="8"/>
      <c r="AF6811" s="8"/>
      <c r="AG6811" s="10"/>
    </row>
    <row r="6812" spans="1:33">
      <c r="A6812" s="8"/>
      <c r="B6812" s="8"/>
      <c r="C6812" s="8"/>
      <c r="D6812" s="8"/>
      <c r="E6812" s="8"/>
      <c r="F6812" s="8"/>
      <c r="G6812" s="8"/>
      <c r="H6812" s="8"/>
      <c r="I6812" s="8"/>
      <c r="J6812" s="8"/>
      <c r="K6812" s="8"/>
      <c r="L6812" s="8"/>
      <c r="M6812" s="8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  <c r="AA6812" s="8"/>
      <c r="AB6812" s="8"/>
      <c r="AC6812" s="8"/>
      <c r="AD6812" s="8"/>
      <c r="AE6812" s="8"/>
      <c r="AF6812" s="8"/>
      <c r="AG6812" s="10"/>
    </row>
    <row r="6813" spans="1:33">
      <c r="A6813" s="8"/>
      <c r="B6813" s="8"/>
      <c r="C6813" s="8"/>
      <c r="D6813" s="8"/>
      <c r="E6813" s="8"/>
      <c r="F6813" s="8"/>
      <c r="G6813" s="8"/>
      <c r="H6813" s="8"/>
      <c r="I6813" s="8"/>
      <c r="J6813" s="8"/>
      <c r="K6813" s="8"/>
      <c r="L6813" s="8"/>
      <c r="M6813" s="8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  <c r="AA6813" s="8"/>
      <c r="AB6813" s="8"/>
      <c r="AC6813" s="8"/>
      <c r="AD6813" s="8"/>
      <c r="AE6813" s="8"/>
      <c r="AF6813" s="8"/>
      <c r="AG6813" s="10"/>
    </row>
    <row r="6814" spans="1:33">
      <c r="A6814" s="8"/>
      <c r="B6814" s="8"/>
      <c r="C6814" s="8"/>
      <c r="D6814" s="8"/>
      <c r="E6814" s="8"/>
      <c r="F6814" s="8"/>
      <c r="G6814" s="8"/>
      <c r="H6814" s="8"/>
      <c r="I6814" s="8"/>
      <c r="J6814" s="8"/>
      <c r="K6814" s="8"/>
      <c r="L6814" s="8"/>
      <c r="M6814" s="8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  <c r="AA6814" s="8"/>
      <c r="AB6814" s="8"/>
      <c r="AC6814" s="8"/>
      <c r="AD6814" s="8"/>
      <c r="AE6814" s="8"/>
      <c r="AF6814" s="8"/>
      <c r="AG6814" s="10"/>
    </row>
    <row r="6815" spans="1:33">
      <c r="A6815" s="8"/>
      <c r="B6815" s="8"/>
      <c r="C6815" s="8"/>
      <c r="D6815" s="8"/>
      <c r="E6815" s="8"/>
      <c r="F6815" s="8"/>
      <c r="G6815" s="8"/>
      <c r="H6815" s="8"/>
      <c r="I6815" s="8"/>
      <c r="J6815" s="8"/>
      <c r="K6815" s="8"/>
      <c r="L6815" s="8"/>
      <c r="M6815" s="8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  <c r="AA6815" s="8"/>
      <c r="AB6815" s="8"/>
      <c r="AC6815" s="8"/>
      <c r="AD6815" s="8"/>
      <c r="AE6815" s="8"/>
      <c r="AF6815" s="8"/>
      <c r="AG6815" s="10"/>
    </row>
    <row r="6816" spans="1:33">
      <c r="A6816" s="8"/>
      <c r="B6816" s="8"/>
      <c r="C6816" s="8"/>
      <c r="D6816" s="8"/>
      <c r="E6816" s="8"/>
      <c r="F6816" s="8"/>
      <c r="G6816" s="8"/>
      <c r="H6816" s="8"/>
      <c r="I6816" s="8"/>
      <c r="J6816" s="8"/>
      <c r="K6816" s="8"/>
      <c r="L6816" s="8"/>
      <c r="M6816" s="8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  <c r="AA6816" s="8"/>
      <c r="AB6816" s="8"/>
      <c r="AC6816" s="8"/>
      <c r="AD6816" s="8"/>
      <c r="AE6816" s="8"/>
      <c r="AF6816" s="8"/>
      <c r="AG6816" s="10"/>
    </row>
    <row r="6817" spans="1:33">
      <c r="A6817" s="8"/>
      <c r="B6817" s="8"/>
      <c r="C6817" s="8"/>
      <c r="D6817" s="8"/>
      <c r="E6817" s="8"/>
      <c r="F6817" s="8"/>
      <c r="G6817" s="8"/>
      <c r="H6817" s="8"/>
      <c r="I6817" s="8"/>
      <c r="J6817" s="8"/>
      <c r="K6817" s="8"/>
      <c r="L6817" s="8"/>
      <c r="M6817" s="8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  <c r="AA6817" s="8"/>
      <c r="AB6817" s="8"/>
      <c r="AC6817" s="8"/>
      <c r="AD6817" s="8"/>
      <c r="AE6817" s="8"/>
      <c r="AF6817" s="8"/>
      <c r="AG6817" s="10"/>
    </row>
    <row r="6818" spans="1:33">
      <c r="A6818" s="8"/>
      <c r="B6818" s="8"/>
      <c r="C6818" s="8"/>
      <c r="D6818" s="8"/>
      <c r="E6818" s="8"/>
      <c r="F6818" s="8"/>
      <c r="G6818" s="8"/>
      <c r="H6818" s="8"/>
      <c r="I6818" s="8"/>
      <c r="J6818" s="8"/>
      <c r="K6818" s="8"/>
      <c r="L6818" s="8"/>
      <c r="M6818" s="8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  <c r="AA6818" s="8"/>
      <c r="AB6818" s="8"/>
      <c r="AC6818" s="8"/>
      <c r="AD6818" s="8"/>
      <c r="AE6818" s="8"/>
      <c r="AF6818" s="8"/>
      <c r="AG6818" s="10"/>
    </row>
    <row r="6819" spans="1:33">
      <c r="A6819" s="8"/>
      <c r="B6819" s="8"/>
      <c r="C6819" s="8"/>
      <c r="D6819" s="8"/>
      <c r="E6819" s="8"/>
      <c r="F6819" s="8"/>
      <c r="G6819" s="8"/>
      <c r="H6819" s="8"/>
      <c r="I6819" s="8"/>
      <c r="J6819" s="8"/>
      <c r="K6819" s="8"/>
      <c r="L6819" s="8"/>
      <c r="M6819" s="8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  <c r="AA6819" s="8"/>
      <c r="AB6819" s="8"/>
      <c r="AC6819" s="8"/>
      <c r="AD6819" s="8"/>
      <c r="AE6819" s="8"/>
      <c r="AF6819" s="8"/>
      <c r="AG6819" s="10"/>
    </row>
    <row r="6820" spans="1:33">
      <c r="A6820" s="8"/>
      <c r="B6820" s="8"/>
      <c r="C6820" s="8"/>
      <c r="D6820" s="8"/>
      <c r="E6820" s="8"/>
      <c r="F6820" s="8"/>
      <c r="G6820" s="8"/>
      <c r="H6820" s="8"/>
      <c r="I6820" s="8"/>
      <c r="J6820" s="8"/>
      <c r="K6820" s="8"/>
      <c r="L6820" s="8"/>
      <c r="M6820" s="8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  <c r="AA6820" s="8"/>
      <c r="AB6820" s="8"/>
      <c r="AC6820" s="8"/>
      <c r="AD6820" s="8"/>
      <c r="AE6820" s="8"/>
      <c r="AF6820" s="8"/>
      <c r="AG6820" s="10"/>
    </row>
    <row r="6821" spans="1:33">
      <c r="A6821" s="8"/>
      <c r="B6821" s="8"/>
      <c r="C6821" s="8"/>
      <c r="D6821" s="8"/>
      <c r="E6821" s="8"/>
      <c r="F6821" s="8"/>
      <c r="G6821" s="8"/>
      <c r="H6821" s="8"/>
      <c r="I6821" s="8"/>
      <c r="J6821" s="8"/>
      <c r="K6821" s="8"/>
      <c r="L6821" s="8"/>
      <c r="M6821" s="8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  <c r="AA6821" s="8"/>
      <c r="AB6821" s="8"/>
      <c r="AC6821" s="8"/>
      <c r="AD6821" s="8"/>
      <c r="AE6821" s="8"/>
      <c r="AF6821" s="8"/>
      <c r="AG6821" s="10"/>
    </row>
    <row r="6822" spans="1:33">
      <c r="A6822" s="8"/>
      <c r="B6822" s="8"/>
      <c r="C6822" s="8"/>
      <c r="D6822" s="8"/>
      <c r="E6822" s="8"/>
      <c r="F6822" s="8"/>
      <c r="G6822" s="8"/>
      <c r="H6822" s="8"/>
      <c r="I6822" s="8"/>
      <c r="J6822" s="8"/>
      <c r="K6822" s="8"/>
      <c r="L6822" s="8"/>
      <c r="M6822" s="8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  <c r="AA6822" s="8"/>
      <c r="AB6822" s="8"/>
      <c r="AC6822" s="8"/>
      <c r="AD6822" s="8"/>
      <c r="AE6822" s="8"/>
      <c r="AF6822" s="8"/>
      <c r="AG6822" s="10"/>
    </row>
    <row r="6823" spans="1:33">
      <c r="A6823" s="8"/>
      <c r="B6823" s="8"/>
      <c r="C6823" s="8"/>
      <c r="D6823" s="8"/>
      <c r="E6823" s="8"/>
      <c r="F6823" s="8"/>
      <c r="G6823" s="8"/>
      <c r="H6823" s="8"/>
      <c r="I6823" s="8"/>
      <c r="J6823" s="8"/>
      <c r="K6823" s="8"/>
      <c r="L6823" s="8"/>
      <c r="M6823" s="8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  <c r="AA6823" s="8"/>
      <c r="AB6823" s="8"/>
      <c r="AC6823" s="8"/>
      <c r="AD6823" s="8"/>
      <c r="AE6823" s="8"/>
      <c r="AF6823" s="8"/>
      <c r="AG6823" s="10"/>
    </row>
    <row r="6824" spans="1:33">
      <c r="A6824" s="8"/>
      <c r="B6824" s="8"/>
      <c r="C6824" s="8"/>
      <c r="D6824" s="8"/>
      <c r="E6824" s="8"/>
      <c r="F6824" s="8"/>
      <c r="G6824" s="8"/>
      <c r="H6824" s="8"/>
      <c r="I6824" s="8"/>
      <c r="J6824" s="8"/>
      <c r="K6824" s="8"/>
      <c r="L6824" s="8"/>
      <c r="M6824" s="8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  <c r="AA6824" s="8"/>
      <c r="AB6824" s="8"/>
      <c r="AC6824" s="8"/>
      <c r="AD6824" s="8"/>
      <c r="AE6824" s="8"/>
      <c r="AF6824" s="8"/>
      <c r="AG6824" s="10"/>
    </row>
    <row r="6825" spans="1:33">
      <c r="A6825" s="8"/>
      <c r="B6825" s="8"/>
      <c r="C6825" s="8"/>
      <c r="D6825" s="8"/>
      <c r="E6825" s="8"/>
      <c r="F6825" s="8"/>
      <c r="G6825" s="8"/>
      <c r="H6825" s="8"/>
      <c r="I6825" s="8"/>
      <c r="J6825" s="8"/>
      <c r="K6825" s="8"/>
      <c r="L6825" s="8"/>
      <c r="M6825" s="8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  <c r="AA6825" s="8"/>
      <c r="AB6825" s="8"/>
      <c r="AC6825" s="8"/>
      <c r="AD6825" s="8"/>
      <c r="AE6825" s="8"/>
      <c r="AF6825" s="8"/>
      <c r="AG6825" s="10"/>
    </row>
    <row r="6826" spans="1:33">
      <c r="A6826" s="8"/>
      <c r="B6826" s="8"/>
      <c r="C6826" s="8"/>
      <c r="D6826" s="8"/>
      <c r="E6826" s="8"/>
      <c r="F6826" s="8"/>
      <c r="G6826" s="8"/>
      <c r="H6826" s="8"/>
      <c r="I6826" s="8"/>
      <c r="J6826" s="8"/>
      <c r="K6826" s="8"/>
      <c r="L6826" s="8"/>
      <c r="M6826" s="8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  <c r="AA6826" s="8"/>
      <c r="AB6826" s="8"/>
      <c r="AC6826" s="8"/>
      <c r="AD6826" s="8"/>
      <c r="AE6826" s="8"/>
      <c r="AF6826" s="8"/>
      <c r="AG6826" s="10"/>
    </row>
    <row r="6827" spans="1:33">
      <c r="A6827" s="8"/>
      <c r="B6827" s="8"/>
      <c r="C6827" s="8"/>
      <c r="D6827" s="8"/>
      <c r="E6827" s="8"/>
      <c r="F6827" s="8"/>
      <c r="G6827" s="8"/>
      <c r="H6827" s="8"/>
      <c r="I6827" s="8"/>
      <c r="J6827" s="8"/>
      <c r="K6827" s="8"/>
      <c r="L6827" s="8"/>
      <c r="M6827" s="8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  <c r="AA6827" s="8"/>
      <c r="AB6827" s="8"/>
      <c r="AC6827" s="8"/>
      <c r="AD6827" s="8"/>
      <c r="AE6827" s="8"/>
      <c r="AF6827" s="8"/>
      <c r="AG6827" s="10"/>
    </row>
    <row r="6828" spans="1:33">
      <c r="A6828" s="8"/>
      <c r="B6828" s="8"/>
      <c r="C6828" s="8"/>
      <c r="D6828" s="8"/>
      <c r="E6828" s="8"/>
      <c r="F6828" s="8"/>
      <c r="G6828" s="8"/>
      <c r="H6828" s="8"/>
      <c r="I6828" s="8"/>
      <c r="J6828" s="8"/>
      <c r="K6828" s="8"/>
      <c r="L6828" s="8"/>
      <c r="M6828" s="8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  <c r="AA6828" s="8"/>
      <c r="AB6828" s="8"/>
      <c r="AC6828" s="8"/>
      <c r="AD6828" s="8"/>
      <c r="AE6828" s="8"/>
      <c r="AF6828" s="8"/>
      <c r="AG6828" s="10"/>
    </row>
    <row r="6829" spans="1:33">
      <c r="A6829" s="8"/>
      <c r="B6829" s="8"/>
      <c r="C6829" s="8"/>
      <c r="D6829" s="8"/>
      <c r="E6829" s="8"/>
      <c r="F6829" s="8"/>
      <c r="G6829" s="8"/>
      <c r="H6829" s="8"/>
      <c r="I6829" s="8"/>
      <c r="J6829" s="8"/>
      <c r="K6829" s="8"/>
      <c r="L6829" s="8"/>
      <c r="M6829" s="8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  <c r="AA6829" s="8"/>
      <c r="AB6829" s="8"/>
      <c r="AC6829" s="8"/>
      <c r="AD6829" s="8"/>
      <c r="AE6829" s="8"/>
      <c r="AF6829" s="8"/>
      <c r="AG6829" s="10"/>
    </row>
    <row r="6830" spans="1:33">
      <c r="A6830" s="8"/>
      <c r="B6830" s="8"/>
      <c r="C6830" s="8"/>
      <c r="D6830" s="8"/>
      <c r="E6830" s="8"/>
      <c r="F6830" s="8"/>
      <c r="G6830" s="8"/>
      <c r="H6830" s="8"/>
      <c r="I6830" s="8"/>
      <c r="J6830" s="8"/>
      <c r="K6830" s="8"/>
      <c r="L6830" s="8"/>
      <c r="M6830" s="8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  <c r="AA6830" s="8"/>
      <c r="AB6830" s="8"/>
      <c r="AC6830" s="8"/>
      <c r="AD6830" s="8"/>
      <c r="AE6830" s="8"/>
      <c r="AF6830" s="8"/>
      <c r="AG6830" s="10"/>
    </row>
  </sheetData>
  <autoFilter ref="A1:AG961">
    <extLst/>
  </autoFilter>
  <sortState ref="A2:AG961">
    <sortCondition ref="AG1"/>
  </sortState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32</xdr:col>
                <xdr:colOff>1181100</xdr:colOff>
                <xdr:row>0</xdr:row>
                <xdr:rowOff>0</xdr:rowOff>
              </from>
              <to>
                <xdr:col>33</xdr:col>
                <xdr:colOff>661670</xdr:colOff>
                <xdr:row>2</xdr:row>
                <xdr:rowOff>28575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352"/>
  <sheetViews>
    <sheetView workbookViewId="0">
      <selection activeCell="C43" sqref="C43"/>
    </sheetView>
  </sheetViews>
  <sheetFormatPr defaultColWidth="9" defaultRowHeight="14.25" outlineLevelCol="2"/>
  <cols>
    <col min="1" max="1" width="24.7083333333333" customWidth="1"/>
    <col min="2" max="2" width="11.8583333333333" customWidth="1"/>
    <col min="3" max="3" width="13.7083333333333"/>
  </cols>
  <sheetData>
    <row r="1" spans="1:3">
      <c r="A1" t="s">
        <v>11</v>
      </c>
      <c r="B1" t="s">
        <v>4759</v>
      </c>
      <c r="C1" t="s">
        <v>4760</v>
      </c>
    </row>
    <row r="2" spans="1:2">
      <c r="A2" t="s">
        <v>4761</v>
      </c>
      <c r="B2">
        <f>SUM(B3:B5000)</f>
        <v>155</v>
      </c>
    </row>
    <row r="3" spans="1:3">
      <c r="A3" t="s">
        <v>4377</v>
      </c>
      <c r="B3">
        <f>SUMIFS(allorders!O:O,allorders!L:L,'数据处理(仓储使用)'!$A3,allorders!$AG:$AG,"&lt;="&amp;日期!$B$2,allorders!$AG:$AG,"&gt;="&amp;日期!$B$1)</f>
        <v>1</v>
      </c>
      <c r="C3">
        <f>B3/(日期!$B$2-日期!$B$1+1)</f>
        <v>0.0357142857142857</v>
      </c>
    </row>
    <row r="4" spans="1:3">
      <c r="A4" t="s">
        <v>4762</v>
      </c>
      <c r="B4">
        <f>SUMIFS(allorders!O:O,allorders!L:L,'数据处理(仓储使用)'!$A4,allorders!$AG:$AG,"&lt;="&amp;日期!$B$2,allorders!$AG:$AG,"&gt;="&amp;日期!$B$1)</f>
        <v>0</v>
      </c>
      <c r="C4">
        <f>B4/(日期!$B$2-日期!$B$1+1)</f>
        <v>0</v>
      </c>
    </row>
    <row r="5" spans="1:3">
      <c r="A5" t="s">
        <v>2883</v>
      </c>
      <c r="B5">
        <f>SUMIFS(allorders!O:O,allorders!L:L,'数据处理(仓储使用)'!$A5,allorders!$AG:$AG,"&lt;="&amp;日期!$B$2,allorders!$AG:$AG,"&gt;="&amp;日期!$B$1)</f>
        <v>33</v>
      </c>
      <c r="C5">
        <f>B5/(日期!$B$2-日期!$B$1+1)</f>
        <v>1.17857142857143</v>
      </c>
    </row>
    <row r="6" spans="1:3">
      <c r="A6" t="s">
        <v>4763</v>
      </c>
      <c r="B6">
        <f>SUMIFS(allorders!O:O,allorders!L:L,'数据处理(仓储使用)'!$A6,allorders!$AG:$AG,"&lt;="&amp;日期!$B$2,allorders!$AG:$AG,"&gt;="&amp;日期!$B$1)</f>
        <v>0</v>
      </c>
      <c r="C6">
        <f>B6/(日期!$B$2-日期!$B$1+1)</f>
        <v>0</v>
      </c>
    </row>
    <row r="7" spans="1:3">
      <c r="A7" t="s">
        <v>2858</v>
      </c>
      <c r="B7">
        <f>SUMIFS(allorders!O:O,allorders!L:L,'数据处理(仓储使用)'!$A7,allorders!$AG:$AG,"&lt;="&amp;日期!$B$2,allorders!$AG:$AG,"&gt;="&amp;日期!$B$1)</f>
        <v>13</v>
      </c>
      <c r="C7">
        <f>B7/(日期!$B$2-日期!$B$1+1)</f>
        <v>0.464285714285714</v>
      </c>
    </row>
    <row r="8" spans="1:3">
      <c r="A8" t="s">
        <v>4764</v>
      </c>
      <c r="B8">
        <f>SUMIFS(allorders!O:O,allorders!L:L,'数据处理(仓储使用)'!$A8,allorders!$AG:$AG,"&lt;="&amp;日期!$B$2,allorders!$AG:$AG,"&gt;="&amp;日期!$B$1)</f>
        <v>0</v>
      </c>
      <c r="C8">
        <f>B8/(日期!$B$2-日期!$B$1+1)</f>
        <v>0</v>
      </c>
    </row>
    <row r="9" spans="1:3">
      <c r="A9" t="s">
        <v>4765</v>
      </c>
      <c r="B9">
        <f>SUMIFS(allorders!O:O,allorders!L:L,'数据处理(仓储使用)'!$A9,allorders!$AG:$AG,"&lt;="&amp;日期!$B$2,allorders!$AG:$AG,"&gt;="&amp;日期!$B$1)</f>
        <v>0</v>
      </c>
      <c r="C9">
        <f>B9/(日期!$B$2-日期!$B$1+1)</f>
        <v>0</v>
      </c>
    </row>
    <row r="10" spans="1:3">
      <c r="A10" t="s">
        <v>4766</v>
      </c>
      <c r="B10">
        <f>SUMIFS(allorders!O:O,allorders!L:L,'数据处理(仓储使用)'!$A10,allorders!$AG:$AG,"&lt;="&amp;日期!$B$2,allorders!$AG:$AG,"&gt;="&amp;日期!$B$1)</f>
        <v>0</v>
      </c>
      <c r="C10">
        <f>B10/(日期!$B$2-日期!$B$1+1)</f>
        <v>0</v>
      </c>
    </row>
    <row r="11" spans="1:3">
      <c r="A11" t="s">
        <v>257</v>
      </c>
      <c r="B11">
        <f>SUMIFS(allorders!O:O,allorders!L:L,'数据处理(仓储使用)'!$A11,allorders!$AG:$AG,"&lt;="&amp;日期!$B$2,allorders!$AG:$AG,"&gt;="&amp;日期!$B$1)</f>
        <v>11</v>
      </c>
      <c r="C11">
        <f>B11/(日期!$B$2-日期!$B$1+1)</f>
        <v>0.392857142857143</v>
      </c>
    </row>
    <row r="12" spans="1:3">
      <c r="A12" t="s">
        <v>4767</v>
      </c>
      <c r="B12">
        <f>SUMIFS(allorders!O:O,allorders!L:L,'数据处理(仓储使用)'!$A12,allorders!$AG:$AG,"&lt;="&amp;日期!$B$2,allorders!$AG:$AG,"&gt;="&amp;日期!$B$1)</f>
        <v>0</v>
      </c>
      <c r="C12">
        <f>B12/(日期!$B$2-日期!$B$1+1)</f>
        <v>0</v>
      </c>
    </row>
    <row r="13" spans="1:3">
      <c r="A13" t="s">
        <v>2872</v>
      </c>
      <c r="B13">
        <f>SUMIFS(allorders!O:O,allorders!L:L,'数据处理(仓储使用)'!$A13,allorders!$AG:$AG,"&lt;="&amp;日期!$B$2,allorders!$AG:$AG,"&gt;="&amp;日期!$B$1)</f>
        <v>11</v>
      </c>
      <c r="C13">
        <f>B13/(日期!$B$2-日期!$B$1+1)</f>
        <v>0.392857142857143</v>
      </c>
    </row>
    <row r="14" spans="1:3">
      <c r="A14" t="s">
        <v>4768</v>
      </c>
      <c r="B14">
        <f>SUMIFS(allorders!O:O,allorders!L:L,'数据处理(仓储使用)'!$A14,allorders!$AG:$AG,"&lt;="&amp;日期!$B$2,allorders!$AG:$AG,"&gt;="&amp;日期!$B$1)</f>
        <v>0</v>
      </c>
      <c r="C14">
        <f>B14/(日期!$B$2-日期!$B$1+1)</f>
        <v>0</v>
      </c>
    </row>
    <row r="15" spans="1:3">
      <c r="A15" t="s">
        <v>4769</v>
      </c>
      <c r="B15">
        <f>SUMIFS(allorders!O:O,allorders!L:L,'数据处理(仓储使用)'!$A15,allorders!$AG:$AG,"&lt;="&amp;日期!$B$2,allorders!$AG:$AG,"&gt;="&amp;日期!$B$1)</f>
        <v>0</v>
      </c>
      <c r="C15">
        <f>B15/(日期!$B$2-日期!$B$1+1)</f>
        <v>0</v>
      </c>
    </row>
    <row r="16" spans="1:3">
      <c r="A16" t="s">
        <v>4770</v>
      </c>
      <c r="B16">
        <f>SUMIFS(allorders!O:O,allorders!L:L,'数据处理(仓储使用)'!$A16,allorders!$AG:$AG,"&lt;="&amp;日期!$B$2,allorders!$AG:$AG,"&gt;="&amp;日期!$B$1)</f>
        <v>0</v>
      </c>
      <c r="C16">
        <f>B16/(日期!$B$2-日期!$B$1+1)</f>
        <v>0</v>
      </c>
    </row>
    <row r="17" spans="1:3">
      <c r="A17" t="s">
        <v>198</v>
      </c>
      <c r="B17">
        <f>SUMIFS(allorders!O:O,allorders!L:L,'数据处理(仓储使用)'!$A17,allorders!$AG:$AG,"&lt;="&amp;日期!$B$2,allorders!$AG:$AG,"&gt;="&amp;日期!$B$1)</f>
        <v>2</v>
      </c>
      <c r="C17">
        <f>B17/(日期!$B$2-日期!$B$1+1)</f>
        <v>0.0714285714285714</v>
      </c>
    </row>
    <row r="18" spans="1:3">
      <c r="A18" t="s">
        <v>4771</v>
      </c>
      <c r="B18">
        <f>SUMIFS(allorders!O:O,allorders!L:L,'数据处理(仓储使用)'!$A18,allorders!$AG:$AG,"&lt;="&amp;日期!$B$2,allorders!$AG:$AG,"&gt;="&amp;日期!$B$1)</f>
        <v>0</v>
      </c>
      <c r="C18">
        <f>B18/(日期!$B$2-日期!$B$1+1)</f>
        <v>0</v>
      </c>
    </row>
    <row r="19" spans="1:3">
      <c r="A19" t="s">
        <v>4772</v>
      </c>
      <c r="B19">
        <f>SUMIFS(allorders!O:O,allorders!L:L,'数据处理(仓储使用)'!$A19,allorders!$AG:$AG,"&lt;="&amp;日期!$B$2,allorders!$AG:$AG,"&gt;="&amp;日期!$B$1)</f>
        <v>0</v>
      </c>
      <c r="C19">
        <f>B19/(日期!$B$2-日期!$B$1+1)</f>
        <v>0</v>
      </c>
    </row>
    <row r="20" spans="1:3">
      <c r="A20" t="s">
        <v>4773</v>
      </c>
      <c r="B20">
        <f>SUMIFS(allorders!O:O,allorders!L:L,'数据处理(仓储使用)'!$A20,allorders!$AG:$AG,"&lt;="&amp;日期!$B$2,allorders!$AG:$AG,"&gt;="&amp;日期!$B$1)</f>
        <v>0</v>
      </c>
      <c r="C20">
        <f>B20/(日期!$B$2-日期!$B$1+1)</f>
        <v>0</v>
      </c>
    </row>
    <row r="21" spans="1:3">
      <c r="A21" t="s">
        <v>2844</v>
      </c>
      <c r="B21">
        <f>SUMIFS(allorders!O:O,allorders!L:L,'数据处理(仓储使用)'!$A21,allorders!$AG:$AG,"&lt;="&amp;日期!$B$2,allorders!$AG:$AG,"&gt;="&amp;日期!$B$1)</f>
        <v>9</v>
      </c>
      <c r="C21">
        <f>B21/(日期!$B$2-日期!$B$1+1)</f>
        <v>0.321428571428571</v>
      </c>
    </row>
    <row r="22" spans="1:3">
      <c r="A22" t="s">
        <v>1402</v>
      </c>
      <c r="B22">
        <f>SUMIFS(allorders!O:O,allorders!L:L,'数据处理(仓储使用)'!$A22,allorders!$AG:$AG,"&lt;="&amp;日期!$B$2,allorders!$AG:$AG,"&gt;="&amp;日期!$B$1)</f>
        <v>22</v>
      </c>
      <c r="C22">
        <f>B22/(日期!$B$2-日期!$B$1+1)</f>
        <v>0.785714285714286</v>
      </c>
    </row>
    <row r="23" spans="1:3">
      <c r="A23" t="s">
        <v>2837</v>
      </c>
      <c r="B23">
        <f>SUMIFS(allorders!O:O,allorders!L:L,'数据处理(仓储使用)'!$A23,allorders!$AG:$AG,"&lt;="&amp;日期!$B$2,allorders!$AG:$AG,"&gt;="&amp;日期!$B$1)</f>
        <v>12</v>
      </c>
      <c r="C23">
        <f>B23/(日期!$B$2-日期!$B$1+1)</f>
        <v>0.428571428571429</v>
      </c>
    </row>
    <row r="24" spans="1:3">
      <c r="A24" t="s">
        <v>590</v>
      </c>
      <c r="B24">
        <f>SUMIFS(allorders!O:O,allorders!L:L,'数据处理(仓储使用)'!$A24,allorders!$AG:$AG,"&lt;="&amp;日期!$B$2,allorders!$AG:$AG,"&gt;="&amp;日期!$B$1)</f>
        <v>7</v>
      </c>
      <c r="C24">
        <f>B24/(日期!$B$2-日期!$B$1+1)</f>
        <v>0.25</v>
      </c>
    </row>
    <row r="25" spans="1:3">
      <c r="A25" t="s">
        <v>4774</v>
      </c>
      <c r="B25">
        <f>SUMIFS(allorders!O:O,allorders!L:L,'数据处理(仓储使用)'!$A25,allorders!$AG:$AG,"&lt;="&amp;日期!$B$2,allorders!$AG:$AG,"&gt;="&amp;日期!$B$1)</f>
        <v>0</v>
      </c>
      <c r="C25">
        <f>B25/(日期!$B$2-日期!$B$1+1)</f>
        <v>0</v>
      </c>
    </row>
    <row r="26" spans="1:3">
      <c r="A26" t="s">
        <v>2851</v>
      </c>
      <c r="B26">
        <f>SUMIFS(allorders!O:O,allorders!L:L,'数据处理(仓储使用)'!$A26,allorders!$AG:$AG,"&lt;="&amp;日期!$B$2,allorders!$AG:$AG,"&gt;="&amp;日期!$B$1)</f>
        <v>10</v>
      </c>
      <c r="C26">
        <f>B26/(日期!$B$2-日期!$B$1+1)</f>
        <v>0.357142857142857</v>
      </c>
    </row>
    <row r="27" spans="1:3">
      <c r="A27" t="s">
        <v>4775</v>
      </c>
      <c r="B27">
        <f>SUMIFS(allorders!O:O,allorders!L:L,'数据处理(仓储使用)'!$A27,allorders!$AG:$AG,"&lt;="&amp;日期!$B$2,allorders!$AG:$AG,"&gt;="&amp;日期!$B$1)</f>
        <v>0</v>
      </c>
      <c r="C27">
        <f>B27/(日期!$B$2-日期!$B$1+1)</f>
        <v>0</v>
      </c>
    </row>
    <row r="28" spans="1:3">
      <c r="A28" t="s">
        <v>4776</v>
      </c>
      <c r="B28">
        <f>SUMIFS(allorders!O:O,allorders!L:L,'数据处理(仓储使用)'!$A28,allorders!$AG:$AG,"&lt;="&amp;日期!$B$2,allorders!$AG:$AG,"&gt;="&amp;日期!$B$1)</f>
        <v>0</v>
      </c>
      <c r="C28">
        <f>B28/(日期!$B$2-日期!$B$1+1)</f>
        <v>0</v>
      </c>
    </row>
    <row r="29" spans="1:3">
      <c r="A29" t="s">
        <v>4777</v>
      </c>
      <c r="B29">
        <f>SUMIFS(allorders!O:O,allorders!L:L,'数据处理(仓储使用)'!$A29,allorders!$AG:$AG,"&lt;="&amp;日期!$B$2,allorders!$AG:$AG,"&gt;="&amp;日期!$B$1)</f>
        <v>0</v>
      </c>
      <c r="C29">
        <f>B29/(日期!$B$2-日期!$B$1+1)</f>
        <v>0</v>
      </c>
    </row>
    <row r="30" spans="1:3">
      <c r="A30" t="s">
        <v>4778</v>
      </c>
      <c r="B30">
        <f>SUMIFS(allorders!O:O,allorders!L:L,'数据处理(仓储使用)'!$A30,allorders!$AG:$AG,"&lt;="&amp;日期!$B$2,allorders!$AG:$AG,"&gt;="&amp;日期!$B$1)</f>
        <v>0</v>
      </c>
      <c r="C30">
        <f>B30/(日期!$B$2-日期!$B$1+1)</f>
        <v>0</v>
      </c>
    </row>
    <row r="31" spans="1:3">
      <c r="A31" t="s">
        <v>4779</v>
      </c>
      <c r="B31">
        <f>SUMIFS(allorders!O:O,allorders!L:L,'数据处理(仓储使用)'!$A31,allorders!$AG:$AG,"&lt;="&amp;日期!$B$2,allorders!$AG:$AG,"&gt;="&amp;日期!$B$1)</f>
        <v>0</v>
      </c>
      <c r="C31">
        <f>B31/(日期!$B$2-日期!$B$1+1)</f>
        <v>0</v>
      </c>
    </row>
    <row r="32" spans="1:3">
      <c r="A32" t="s">
        <v>4780</v>
      </c>
      <c r="B32">
        <f>SUMIFS(allorders!O:O,allorders!L:L,'数据处理(仓储使用)'!$A32,allorders!$AG:$AG,"&lt;="&amp;日期!$B$2,allorders!$AG:$AG,"&gt;="&amp;日期!$B$1)</f>
        <v>0</v>
      </c>
      <c r="C32">
        <f>B32/(日期!$B$2-日期!$B$1+1)</f>
        <v>0</v>
      </c>
    </row>
    <row r="33" spans="1:3">
      <c r="A33" t="s">
        <v>4781</v>
      </c>
      <c r="B33">
        <f>SUMIFS(allorders!O:O,allorders!L:L,'数据处理(仓储使用)'!$A33,allorders!$AG:$AG,"&lt;="&amp;日期!$B$2,allorders!$AG:$AG,"&gt;="&amp;日期!$B$1)</f>
        <v>0</v>
      </c>
      <c r="C33">
        <f>B33/(日期!$B$2-日期!$B$1+1)</f>
        <v>0</v>
      </c>
    </row>
    <row r="34" spans="1:3">
      <c r="A34" t="s">
        <v>4782</v>
      </c>
      <c r="B34">
        <f>SUMIFS(allorders!O:O,allorders!L:L,'数据处理(仓储使用)'!$A34,allorders!$AG:$AG,"&lt;="&amp;日期!$B$2,allorders!$AG:$AG,"&gt;="&amp;日期!$B$1)</f>
        <v>0</v>
      </c>
      <c r="C34">
        <f>B34/(日期!$B$2-日期!$B$1+1)</f>
        <v>0</v>
      </c>
    </row>
    <row r="35" spans="1:3">
      <c r="A35" t="s">
        <v>4783</v>
      </c>
      <c r="B35">
        <f>SUMIFS(allorders!O:O,allorders!L:L,'数据处理(仓储使用)'!$A35,allorders!$AG:$AG,"&lt;="&amp;日期!$B$2,allorders!$AG:$AG,"&gt;="&amp;日期!$B$1)</f>
        <v>0</v>
      </c>
      <c r="C35">
        <f>B35/(日期!$B$2-日期!$B$1+1)</f>
        <v>0</v>
      </c>
    </row>
    <row r="36" spans="1:3">
      <c r="A36" t="s">
        <v>4784</v>
      </c>
      <c r="B36">
        <f>SUMIFS(allorders!O:O,allorders!L:L,'数据处理(仓储使用)'!$A36,allorders!$AG:$AG,"&lt;="&amp;日期!$B$2,allorders!$AG:$AG,"&gt;="&amp;日期!$B$1)</f>
        <v>0</v>
      </c>
      <c r="C36">
        <f>B36/(日期!$B$2-日期!$B$1+1)</f>
        <v>0</v>
      </c>
    </row>
    <row r="37" spans="1:3">
      <c r="A37" t="s">
        <v>4785</v>
      </c>
      <c r="B37">
        <f>SUMIFS(allorders!O:O,allorders!L:L,'数据处理(仓储使用)'!$A37,allorders!$AG:$AG,"&lt;="&amp;日期!$B$2,allorders!$AG:$AG,"&gt;="&amp;日期!$B$1)</f>
        <v>0</v>
      </c>
      <c r="C37">
        <f>B37/(日期!$B$2-日期!$B$1+1)</f>
        <v>0</v>
      </c>
    </row>
    <row r="38" spans="1:3">
      <c r="A38" t="s">
        <v>4786</v>
      </c>
      <c r="B38">
        <f>SUMIFS(allorders!O:O,allorders!L:L,'数据处理(仓储使用)'!$A38,allorders!$AG:$AG,"&lt;="&amp;日期!$B$2,allorders!$AG:$AG,"&gt;="&amp;日期!$B$1)</f>
        <v>0</v>
      </c>
      <c r="C38">
        <f>B38/(日期!$B$2-日期!$B$1+1)</f>
        <v>0</v>
      </c>
    </row>
    <row r="39" spans="1:3">
      <c r="A39" t="s">
        <v>564</v>
      </c>
      <c r="B39">
        <f>SUMIFS(allorders!O:O,allorders!L:L,'数据处理(仓储使用)'!$A39,allorders!$AG:$AG,"&lt;="&amp;日期!$B$2,allorders!$AG:$AG,"&gt;="&amp;日期!$B$1)</f>
        <v>11</v>
      </c>
      <c r="C39">
        <f>B39/(日期!$B$2-日期!$B$1+1)</f>
        <v>0.392857142857143</v>
      </c>
    </row>
    <row r="40" spans="1:3">
      <c r="A40" t="s">
        <v>721</v>
      </c>
      <c r="B40">
        <f>SUMIFS(allorders!O:O,allorders!L:L,'数据处理(仓储使用)'!$A40,allorders!$AG:$AG,"&lt;="&amp;日期!$B$2,allorders!$AG:$AG,"&gt;="&amp;日期!$B$1)</f>
        <v>1</v>
      </c>
      <c r="C40">
        <f>B40/(日期!$B$2-日期!$B$1+1)</f>
        <v>0.0357142857142857</v>
      </c>
    </row>
    <row r="41" spans="1:3">
      <c r="A41" t="s">
        <v>2865</v>
      </c>
      <c r="B41">
        <f>SUMIFS(allorders!O:O,allorders!L:L,'数据处理(仓储使用)'!$A41,allorders!$AG:$AG,"&lt;="&amp;日期!$B$2,allorders!$AG:$AG,"&gt;="&amp;日期!$B$1)</f>
        <v>12</v>
      </c>
      <c r="C41">
        <f>B41/(日期!$B$2-日期!$B$1+1)</f>
        <v>0.428571428571429</v>
      </c>
    </row>
    <row r="42" spans="1:3">
      <c r="A42" t="s">
        <v>4787</v>
      </c>
      <c r="B42">
        <f>SUMIFS(allorders!O:O,allorders!L:L,'数据处理(仓储使用)'!$A42,allorders!$AG:$AG,"&lt;="&amp;日期!$B$2,allorders!$AG:$AG,"&gt;="&amp;日期!$B$1)</f>
        <v>0</v>
      </c>
      <c r="C42">
        <f>B42/(日期!$B$2-日期!$B$1+1)</f>
        <v>0</v>
      </c>
    </row>
    <row r="43" spans="1:3">
      <c r="A43" t="s">
        <v>4788</v>
      </c>
      <c r="B43">
        <f>SUMIFS(allorders!O:O,allorders!L:L,'数据处理(仓储使用)'!$A43,allorders!$AG:$AG,"&lt;="&amp;日期!$B$2,allorders!$AG:$AG,"&gt;="&amp;日期!$B$1)</f>
        <v>0</v>
      </c>
      <c r="C43">
        <f>B43/(日期!$B$2-日期!$B$1+1)</f>
        <v>0</v>
      </c>
    </row>
    <row r="44" spans="2:3">
      <c r="B44">
        <f>SUMIFS(allorders!O:O,allorders!L:L,'数据处理(仓储使用)'!$A44,allorders!$AG:$AG,"&lt;="&amp;日期!$B$2,allorders!$AG:$AG,"&gt;="&amp;日期!$B$1)</f>
        <v>0</v>
      </c>
      <c r="C44">
        <f>B44/(日期!$B$2-日期!$B$1+1)</f>
        <v>0</v>
      </c>
    </row>
    <row r="45" spans="2:3">
      <c r="B45">
        <f>SUMIFS(allorders!O:O,allorders!L:L,'数据处理(仓储使用)'!$A45,allorders!$AG:$AG,"&lt;="&amp;日期!$B$2,allorders!$AG:$AG,"&gt;="&amp;日期!$B$1)</f>
        <v>0</v>
      </c>
      <c r="C45">
        <f>B45/(日期!$B$2-日期!$B$1+1)</f>
        <v>0</v>
      </c>
    </row>
    <row r="46" spans="2:3">
      <c r="B46">
        <f>SUMIFS(allorders!O:O,allorders!L:L,'数据处理(仓储使用)'!$A46,allorders!$AG:$AG,"&lt;="&amp;日期!$B$2,allorders!$AG:$AG,"&gt;="&amp;日期!$B$1)</f>
        <v>0</v>
      </c>
      <c r="C46">
        <f>B46/(日期!$B$2-日期!$B$1+1)</f>
        <v>0</v>
      </c>
    </row>
    <row r="47" spans="2:3">
      <c r="B47">
        <f>SUMIFS(allorders!O:O,allorders!L:L,'数据处理(仓储使用)'!$A47,allorders!$AG:$AG,"&lt;="&amp;日期!$B$2,allorders!$AG:$AG,"&gt;="&amp;日期!$B$1)</f>
        <v>0</v>
      </c>
      <c r="C47">
        <f>B47/(日期!$B$2-日期!$B$1+1)</f>
        <v>0</v>
      </c>
    </row>
    <row r="48" spans="2:3">
      <c r="B48">
        <f>SUMIFS(allorders!O:O,allorders!L:L,'数据处理(仓储使用)'!$A48,allorders!$AG:$AG,"&lt;="&amp;日期!$B$2,allorders!$AG:$AG,"&gt;="&amp;日期!$B$1)</f>
        <v>0</v>
      </c>
      <c r="C48">
        <f>B48/(日期!$B$2-日期!$B$1+1)</f>
        <v>0</v>
      </c>
    </row>
    <row r="49" spans="2:3">
      <c r="B49">
        <f>SUMIFS(allorders!O:O,allorders!L:L,'数据处理(仓储使用)'!$A49,allorders!$AG:$AG,"&lt;="&amp;日期!$B$2,allorders!$AG:$AG,"&gt;="&amp;日期!$B$1)</f>
        <v>0</v>
      </c>
      <c r="C49">
        <f>B49/(日期!$B$2-日期!$B$1+1)</f>
        <v>0</v>
      </c>
    </row>
    <row r="50" spans="2:3">
      <c r="B50">
        <f>SUMIFS(allorders!O:O,allorders!L:L,'数据处理(仓储使用)'!$A50,allorders!$AG:$AG,"&lt;="&amp;日期!$B$2,allorders!$AG:$AG,"&gt;="&amp;日期!$B$1)</f>
        <v>0</v>
      </c>
      <c r="C50">
        <f>B50/(日期!$B$2-日期!$B$1+1)</f>
        <v>0</v>
      </c>
    </row>
    <row r="51" spans="2:3">
      <c r="B51">
        <f>SUMIFS(allorders!O:O,allorders!L:L,'数据处理(仓储使用)'!$A51,allorders!$AG:$AG,"&lt;="&amp;日期!$B$2,allorders!$AG:$AG,"&gt;="&amp;日期!$B$1)</f>
        <v>0</v>
      </c>
      <c r="C51">
        <f>B51/(日期!$B$2-日期!$B$1+1)</f>
        <v>0</v>
      </c>
    </row>
    <row r="52" spans="2:3">
      <c r="B52">
        <f>SUMIFS(allorders!O:O,allorders!L:L,'数据处理(仓储使用)'!$A52,allorders!$AG:$AG,"&lt;="&amp;日期!$B$2,allorders!$AG:$AG,"&gt;="&amp;日期!$B$1)</f>
        <v>0</v>
      </c>
      <c r="C52">
        <f>B52/(日期!$B$2-日期!$B$1+1)</f>
        <v>0</v>
      </c>
    </row>
    <row r="53" spans="2:3">
      <c r="B53">
        <f>SUMIFS(allorders!O:O,allorders!L:L,'数据处理(仓储使用)'!$A53,allorders!$AG:$AG,"&lt;="&amp;日期!$B$2,allorders!$AG:$AG,"&gt;="&amp;日期!$B$1)</f>
        <v>0</v>
      </c>
      <c r="C53">
        <f>B53/(日期!$B$2-日期!$B$1+1)</f>
        <v>0</v>
      </c>
    </row>
    <row r="54" spans="2:3">
      <c r="B54">
        <f>SUMIFS(allorders!O:O,allorders!L:L,'数据处理(仓储使用)'!$A54,allorders!$AG:$AG,"&lt;="&amp;日期!$B$2,allorders!$AG:$AG,"&gt;="&amp;日期!$B$1)</f>
        <v>0</v>
      </c>
      <c r="C54">
        <f>B54/(日期!$B$2-日期!$B$1+1)</f>
        <v>0</v>
      </c>
    </row>
    <row r="55" spans="2:3">
      <c r="B55">
        <f>SUMIFS(allorders!O:O,allorders!L:L,'数据处理(仓储使用)'!$A55,allorders!$AG:$AG,"&lt;="&amp;日期!$B$2,allorders!$AG:$AG,"&gt;="&amp;日期!$B$1)</f>
        <v>0</v>
      </c>
      <c r="C55">
        <f>B55/(日期!$B$2-日期!$B$1+1)</f>
        <v>0</v>
      </c>
    </row>
    <row r="56" spans="2:3">
      <c r="B56">
        <f>SUMIFS(allorders!O:O,allorders!L:L,'数据处理(仓储使用)'!$A56,allorders!$AG:$AG,"&lt;="&amp;日期!$B$2,allorders!$AG:$AG,"&gt;="&amp;日期!$B$1)</f>
        <v>0</v>
      </c>
      <c r="C56">
        <f>B56/(日期!$B$2-日期!$B$1+1)</f>
        <v>0</v>
      </c>
    </row>
    <row r="57" spans="2:3">
      <c r="B57">
        <f>SUMIFS(allorders!O:O,allorders!L:L,'数据处理(仓储使用)'!$A57,allorders!$AG:$AG,"&lt;="&amp;日期!$B$2,allorders!$AG:$AG,"&gt;="&amp;日期!$B$1)</f>
        <v>0</v>
      </c>
      <c r="C57">
        <f>B57/(日期!$B$2-日期!$B$1+1)</f>
        <v>0</v>
      </c>
    </row>
    <row r="58" spans="2:3">
      <c r="B58">
        <f>SUMIFS(allorders!O:O,allorders!L:L,'数据处理(仓储使用)'!$A58,allorders!$AG:$AG,"&lt;="&amp;日期!$B$2,allorders!$AG:$AG,"&gt;="&amp;日期!$B$1)</f>
        <v>0</v>
      </c>
      <c r="C58">
        <f>B58/(日期!$B$2-日期!$B$1+1)</f>
        <v>0</v>
      </c>
    </row>
    <row r="59" spans="2:3">
      <c r="B59">
        <f>SUMIFS(allorders!O:O,allorders!L:L,'数据处理(仓储使用)'!$A59,allorders!$AG:$AG,"&lt;="&amp;日期!$B$2,allorders!$AG:$AG,"&gt;="&amp;日期!$B$1)</f>
        <v>0</v>
      </c>
      <c r="C59">
        <f>B59/(日期!$B$2-日期!$B$1+1)</f>
        <v>0</v>
      </c>
    </row>
    <row r="60" spans="2:3">
      <c r="B60">
        <f>SUMIFS(allorders!O:O,allorders!L:L,'数据处理(仓储使用)'!$A60,allorders!$AG:$AG,"&lt;="&amp;日期!$B$2,allorders!$AG:$AG,"&gt;="&amp;日期!$B$1)</f>
        <v>0</v>
      </c>
      <c r="C60">
        <f>B60/(日期!$B$2-日期!$B$1+1)</f>
        <v>0</v>
      </c>
    </row>
    <row r="61" spans="2:3">
      <c r="B61">
        <f>SUMIFS(allorders!O:O,allorders!L:L,'数据处理(仓储使用)'!$A61,allorders!$AG:$AG,"&lt;="&amp;日期!$B$2,allorders!$AG:$AG,"&gt;="&amp;日期!$B$1)</f>
        <v>0</v>
      </c>
      <c r="C61">
        <f>B61/(日期!$B$2-日期!$B$1+1)</f>
        <v>0</v>
      </c>
    </row>
    <row r="62" spans="2:3">
      <c r="B62">
        <f>SUMIFS(allorders!O:O,allorders!L:L,'数据处理(仓储使用)'!$A62,allorders!$AG:$AG,"&lt;="&amp;日期!$B$2,allorders!$AG:$AG,"&gt;="&amp;日期!$B$1)</f>
        <v>0</v>
      </c>
      <c r="C62">
        <f>B62/(日期!$B$2-日期!$B$1+1)</f>
        <v>0</v>
      </c>
    </row>
    <row r="63" spans="2:3">
      <c r="B63">
        <f>SUMIFS(allorders!O:O,allorders!L:L,'数据处理(仓储使用)'!$A63,allorders!$AG:$AG,"&lt;="&amp;日期!$B$2,allorders!$AG:$AG,"&gt;="&amp;日期!$B$1)</f>
        <v>0</v>
      </c>
      <c r="C63">
        <f>B63/(日期!$B$2-日期!$B$1+1)</f>
        <v>0</v>
      </c>
    </row>
    <row r="64" spans="2:3">
      <c r="B64">
        <f>SUMIFS(allorders!O:O,allorders!L:L,'数据处理(仓储使用)'!$A64,allorders!$AG:$AG,"&lt;="&amp;日期!$B$2,allorders!$AG:$AG,"&gt;="&amp;日期!$B$1)</f>
        <v>0</v>
      </c>
      <c r="C64">
        <f>B64/(日期!$B$2-日期!$B$1+1)</f>
        <v>0</v>
      </c>
    </row>
    <row r="65" spans="2:3">
      <c r="B65">
        <f>SUMIFS(allorders!O:O,allorders!L:L,'数据处理(仓储使用)'!$A65,allorders!$AG:$AG,"&lt;="&amp;日期!$B$2,allorders!$AG:$AG,"&gt;="&amp;日期!$B$1)</f>
        <v>0</v>
      </c>
      <c r="C65">
        <f>B65/(日期!$B$2-日期!$B$1+1)</f>
        <v>0</v>
      </c>
    </row>
    <row r="66" spans="2:3">
      <c r="B66">
        <f>SUMIFS(allorders!O:O,allorders!L:L,'数据处理(仓储使用)'!$A66,allorders!$AG:$AG,"&lt;="&amp;日期!$B$2,allorders!$AG:$AG,"&gt;="&amp;日期!$B$1)</f>
        <v>0</v>
      </c>
      <c r="C66">
        <f>B66/(日期!$B$2-日期!$B$1+1)</f>
        <v>0</v>
      </c>
    </row>
    <row r="67" spans="2:3">
      <c r="B67">
        <f>SUMIFS(allorders!O:O,allorders!L:L,'数据处理(仓储使用)'!$A67,allorders!$AG:$AG,"&lt;="&amp;日期!$B$2,allorders!$AG:$AG,"&gt;="&amp;日期!$B$1)</f>
        <v>0</v>
      </c>
      <c r="C67">
        <f>B67/(日期!$B$2-日期!$B$1+1)</f>
        <v>0</v>
      </c>
    </row>
    <row r="68" spans="2:3">
      <c r="B68">
        <f>SUMIFS(allorders!O:O,allorders!L:L,'数据处理(仓储使用)'!$A68,allorders!$AG:$AG,"&lt;="&amp;日期!$B$2,allorders!$AG:$AG,"&gt;="&amp;日期!$B$1)</f>
        <v>0</v>
      </c>
      <c r="C68">
        <f>B68/(日期!$B$2-日期!$B$1+1)</f>
        <v>0</v>
      </c>
    </row>
    <row r="69" spans="2:3">
      <c r="B69">
        <f>SUMIFS(allorders!O:O,allorders!L:L,'数据处理(仓储使用)'!$A69,allorders!$AG:$AG,"&lt;="&amp;日期!$B$2,allorders!$AG:$AG,"&gt;="&amp;日期!$B$1)</f>
        <v>0</v>
      </c>
      <c r="C69">
        <f>B69/(日期!$B$2-日期!$B$1+1)</f>
        <v>0</v>
      </c>
    </row>
    <row r="70" spans="2:3">
      <c r="B70">
        <f>SUMIFS(allorders!O:O,allorders!L:L,'数据处理(仓储使用)'!$A70,allorders!$AG:$AG,"&lt;="&amp;日期!$B$2,allorders!$AG:$AG,"&gt;="&amp;日期!$B$1)</f>
        <v>0</v>
      </c>
      <c r="C70">
        <f>B70/(日期!$B$2-日期!$B$1+1)</f>
        <v>0</v>
      </c>
    </row>
    <row r="71" spans="2:3">
      <c r="B71">
        <f>SUMIFS(allorders!O:O,allorders!L:L,'数据处理(仓储使用)'!$A71,allorders!$AG:$AG,"&lt;="&amp;日期!$B$2,allorders!$AG:$AG,"&gt;="&amp;日期!$B$1)</f>
        <v>0</v>
      </c>
      <c r="C71">
        <f>B71/(日期!$B$2-日期!$B$1+1)</f>
        <v>0</v>
      </c>
    </row>
    <row r="72" spans="2:3">
      <c r="B72">
        <f>SUMIFS(allorders!O:O,allorders!L:L,'数据处理(仓储使用)'!$A72,allorders!$AG:$AG,"&lt;="&amp;日期!$B$2,allorders!$AG:$AG,"&gt;="&amp;日期!$B$1)</f>
        <v>0</v>
      </c>
      <c r="C72">
        <f>B72/(日期!$B$2-日期!$B$1+1)</f>
        <v>0</v>
      </c>
    </row>
    <row r="73" spans="2:3">
      <c r="B73">
        <f>SUMIFS(allorders!O:O,allorders!L:L,'数据处理(仓储使用)'!$A73,allorders!$AG:$AG,"&lt;="&amp;日期!$B$2,allorders!$AG:$AG,"&gt;="&amp;日期!$B$1)</f>
        <v>0</v>
      </c>
      <c r="C73">
        <f>B73/(日期!$B$2-日期!$B$1+1)</f>
        <v>0</v>
      </c>
    </row>
    <row r="74" spans="2:3">
      <c r="B74">
        <f>SUMIFS(allorders!O:O,allorders!L:L,'数据处理(仓储使用)'!$A74,allorders!$AG:$AG,"&lt;="&amp;日期!$B$2,allorders!$AG:$AG,"&gt;="&amp;日期!$B$1)</f>
        <v>0</v>
      </c>
      <c r="C74">
        <f>B74/(日期!$B$2-日期!$B$1+1)</f>
        <v>0</v>
      </c>
    </row>
    <row r="75" spans="2:3">
      <c r="B75">
        <f>SUMIFS(allorders!O:O,allorders!L:L,'数据处理(仓储使用)'!$A75,allorders!$AG:$AG,"&lt;="&amp;日期!$B$2,allorders!$AG:$AG,"&gt;="&amp;日期!$B$1)</f>
        <v>0</v>
      </c>
      <c r="C75">
        <f>B75/(日期!$B$2-日期!$B$1+1)</f>
        <v>0</v>
      </c>
    </row>
    <row r="76" spans="2:3">
      <c r="B76">
        <f>SUMIFS(allorders!O:O,allorders!L:L,'数据处理(仓储使用)'!$A76,allorders!$AG:$AG,"&lt;="&amp;日期!$B$2,allorders!$AG:$AG,"&gt;="&amp;日期!$B$1)</f>
        <v>0</v>
      </c>
      <c r="C76">
        <f>B76/(日期!$B$2-日期!$B$1+1)</f>
        <v>0</v>
      </c>
    </row>
    <row r="77" spans="2:3">
      <c r="B77">
        <f>SUMIFS(allorders!O:O,allorders!L:L,'数据处理(仓储使用)'!$A77,allorders!$AG:$AG,"&lt;="&amp;日期!$B$2,allorders!$AG:$AG,"&gt;="&amp;日期!$B$1)</f>
        <v>0</v>
      </c>
      <c r="C77">
        <f>B77/(日期!$B$2-日期!$B$1+1)</f>
        <v>0</v>
      </c>
    </row>
    <row r="78" spans="2:3">
      <c r="B78">
        <f>SUMIFS(allorders!O:O,allorders!L:L,'数据处理(仓储使用)'!$A78,allorders!$AG:$AG,"&lt;="&amp;日期!$B$2,allorders!$AG:$AG,"&gt;="&amp;日期!$B$1)</f>
        <v>0</v>
      </c>
      <c r="C78">
        <f>B78/(日期!$B$2-日期!$B$1+1)</f>
        <v>0</v>
      </c>
    </row>
    <row r="79" spans="2:3">
      <c r="B79">
        <f>SUMIFS(allorders!O:O,allorders!L:L,'数据处理(仓储使用)'!$A79,allorders!$AG:$AG,"&lt;="&amp;日期!$B$2,allorders!$AG:$AG,"&gt;="&amp;日期!$B$1)</f>
        <v>0</v>
      </c>
      <c r="C79">
        <f>B79/(日期!$B$2-日期!$B$1+1)</f>
        <v>0</v>
      </c>
    </row>
    <row r="80" spans="2:3">
      <c r="B80">
        <f>SUMIFS(allorders!O:O,allorders!L:L,'数据处理(仓储使用)'!$A80,allorders!$AG:$AG,"&lt;="&amp;日期!$B$2,allorders!$AG:$AG,"&gt;="&amp;日期!$B$1)</f>
        <v>0</v>
      </c>
      <c r="C80">
        <f>B80/(日期!$B$2-日期!$B$1+1)</f>
        <v>0</v>
      </c>
    </row>
    <row r="81" spans="2:3">
      <c r="B81">
        <f>SUMIFS(allorders!O:O,allorders!L:L,'数据处理(仓储使用)'!$A81,allorders!$AG:$AG,"&lt;="&amp;日期!$B$2,allorders!$AG:$AG,"&gt;="&amp;日期!$B$1)</f>
        <v>0</v>
      </c>
      <c r="C81">
        <f>B81/(日期!$B$2-日期!$B$1+1)</f>
        <v>0</v>
      </c>
    </row>
    <row r="82" spans="2:3">
      <c r="B82">
        <f>SUMIFS(allorders!O:O,allorders!L:L,'数据处理(仓储使用)'!$A82,allorders!$AG:$AG,"&lt;="&amp;日期!$B$2,allorders!$AG:$AG,"&gt;="&amp;日期!$B$1)</f>
        <v>0</v>
      </c>
      <c r="C82">
        <f>B82/(日期!$B$2-日期!$B$1+1)</f>
        <v>0</v>
      </c>
    </row>
    <row r="83" spans="2:3">
      <c r="B83">
        <f>SUMIFS(allorders!O:O,allorders!L:L,'数据处理(仓储使用)'!$A83,allorders!$AG:$AG,"&lt;="&amp;日期!$B$2,allorders!$AG:$AG,"&gt;="&amp;日期!$B$1)</f>
        <v>0</v>
      </c>
      <c r="C83">
        <f>B83/(日期!$B$2-日期!$B$1+1)</f>
        <v>0</v>
      </c>
    </row>
    <row r="84" spans="2:3">
      <c r="B84">
        <f>SUMIFS(allorders!O:O,allorders!L:L,'数据处理(仓储使用)'!$A84,allorders!$AG:$AG,"&lt;="&amp;日期!$B$2,allorders!$AG:$AG,"&gt;="&amp;日期!$B$1)</f>
        <v>0</v>
      </c>
      <c r="C84">
        <f>B84/(日期!$B$2-日期!$B$1+1)</f>
        <v>0</v>
      </c>
    </row>
    <row r="85" spans="2:3">
      <c r="B85">
        <f>SUMIFS(allorders!O:O,allorders!L:L,'数据处理(仓储使用)'!$A85,allorders!$AG:$AG,"&lt;="&amp;日期!$B$2,allorders!$AG:$AG,"&gt;="&amp;日期!$B$1)</f>
        <v>0</v>
      </c>
      <c r="C85">
        <f>B85/(日期!$B$2-日期!$B$1+1)</f>
        <v>0</v>
      </c>
    </row>
    <row r="86" spans="2:3">
      <c r="B86">
        <f>SUMIFS(allorders!O:O,allorders!L:L,'数据处理(仓储使用)'!$A86,allorders!$AG:$AG,"&lt;="&amp;日期!$B$2,allorders!$AG:$AG,"&gt;="&amp;日期!$B$1)</f>
        <v>0</v>
      </c>
      <c r="C86">
        <f>B86/(日期!$B$2-日期!$B$1+1)</f>
        <v>0</v>
      </c>
    </row>
    <row r="87" spans="2:3">
      <c r="B87">
        <f>SUMIFS(allorders!O:O,allorders!L:L,'数据处理(仓储使用)'!$A87,allorders!$AG:$AG,"&lt;="&amp;日期!$B$2,allorders!$AG:$AG,"&gt;="&amp;日期!$B$1)</f>
        <v>0</v>
      </c>
      <c r="C87">
        <f>B87/(日期!$B$2-日期!$B$1+1)</f>
        <v>0</v>
      </c>
    </row>
    <row r="88" spans="2:3">
      <c r="B88">
        <f>SUMIFS(allorders!O:O,allorders!L:L,'数据处理(仓储使用)'!$A88,allorders!$AG:$AG,"&lt;="&amp;日期!$B$2,allorders!$AG:$AG,"&gt;="&amp;日期!$B$1)</f>
        <v>0</v>
      </c>
      <c r="C88">
        <f>B88/(日期!$B$2-日期!$B$1+1)</f>
        <v>0</v>
      </c>
    </row>
    <row r="89" spans="2:3">
      <c r="B89">
        <f>SUMIFS(allorders!O:O,allorders!L:L,'数据处理(仓储使用)'!$A89,allorders!$AG:$AG,"&lt;="&amp;日期!$B$2,allorders!$AG:$AG,"&gt;="&amp;日期!$B$1)</f>
        <v>0</v>
      </c>
      <c r="C89">
        <f>B89/(日期!$B$2-日期!$B$1+1)</f>
        <v>0</v>
      </c>
    </row>
    <row r="90" spans="2:3">
      <c r="B90">
        <f>SUMIFS(allorders!O:O,allorders!L:L,'数据处理(仓储使用)'!$A90,allorders!$AG:$AG,"&lt;="&amp;日期!$B$2,allorders!$AG:$AG,"&gt;="&amp;日期!$B$1)</f>
        <v>0</v>
      </c>
      <c r="C90">
        <f>B90/(日期!$B$2-日期!$B$1+1)</f>
        <v>0</v>
      </c>
    </row>
    <row r="91" spans="2:3">
      <c r="B91">
        <f>SUMIFS(allorders!O:O,allorders!L:L,'数据处理(仓储使用)'!$A91,allorders!$AG:$AG,"&lt;="&amp;日期!$B$2,allorders!$AG:$AG,"&gt;="&amp;日期!$B$1)</f>
        <v>0</v>
      </c>
      <c r="C91">
        <f>B91/(日期!$B$2-日期!$B$1+1)</f>
        <v>0</v>
      </c>
    </row>
    <row r="92" spans="2:3">
      <c r="B92">
        <f>SUMIFS(allorders!O:O,allorders!L:L,'数据处理(仓储使用)'!$A92,allorders!$AG:$AG,"&lt;="&amp;日期!$B$2,allorders!$AG:$AG,"&gt;="&amp;日期!$B$1)</f>
        <v>0</v>
      </c>
      <c r="C92">
        <f>B92/(日期!$B$2-日期!$B$1+1)</f>
        <v>0</v>
      </c>
    </row>
    <row r="93" spans="2:3">
      <c r="B93">
        <f>SUMIFS(allorders!O:O,allorders!L:L,'数据处理(仓储使用)'!$A93,allorders!$AG:$AG,"&lt;="&amp;日期!$B$2,allorders!$AG:$AG,"&gt;="&amp;日期!$B$1)</f>
        <v>0</v>
      </c>
      <c r="C93">
        <f>B93/(日期!$B$2-日期!$B$1+1)</f>
        <v>0</v>
      </c>
    </row>
    <row r="94" spans="2:3">
      <c r="B94">
        <f>SUMIFS(allorders!O:O,allorders!L:L,'数据处理(仓储使用)'!$A94,allorders!$AG:$AG,"&lt;="&amp;日期!$B$2,allorders!$AG:$AG,"&gt;="&amp;日期!$B$1)</f>
        <v>0</v>
      </c>
      <c r="C94">
        <f>B94/(日期!$B$2-日期!$B$1+1)</f>
        <v>0</v>
      </c>
    </row>
    <row r="95" spans="2:3">
      <c r="B95">
        <f>SUMIFS(allorders!O:O,allorders!L:L,'数据处理(仓储使用)'!$A95,allorders!$AG:$AG,"&lt;="&amp;日期!$B$2,allorders!$AG:$AG,"&gt;="&amp;日期!$B$1)</f>
        <v>0</v>
      </c>
      <c r="C95">
        <f>B95/(日期!$B$2-日期!$B$1+1)</f>
        <v>0</v>
      </c>
    </row>
    <row r="96" spans="2:3">
      <c r="B96">
        <f>SUMIFS(allorders!O:O,allorders!L:L,'数据处理(仓储使用)'!$A96,allorders!$AG:$AG,"&lt;="&amp;日期!$B$2,allorders!$AG:$AG,"&gt;="&amp;日期!$B$1)</f>
        <v>0</v>
      </c>
      <c r="C96">
        <f>B96/(日期!$B$2-日期!$B$1+1)</f>
        <v>0</v>
      </c>
    </row>
    <row r="97" spans="2:3">
      <c r="B97">
        <f>SUMIFS(allorders!O:O,allorders!L:L,'数据处理(仓储使用)'!$A97,allorders!$AG:$AG,"&lt;="&amp;日期!$B$2,allorders!$AG:$AG,"&gt;="&amp;日期!$B$1)</f>
        <v>0</v>
      </c>
      <c r="C97">
        <f>B97/(日期!$B$2-日期!$B$1+1)</f>
        <v>0</v>
      </c>
    </row>
    <row r="98" spans="2:3">
      <c r="B98">
        <f>SUMIFS(allorders!O:O,allorders!L:L,'数据处理(仓储使用)'!$A98,allorders!$AG:$AG,"&lt;="&amp;日期!$B$2,allorders!$AG:$AG,"&gt;="&amp;日期!$B$1)</f>
        <v>0</v>
      </c>
      <c r="C98">
        <f>B98/(日期!$B$2-日期!$B$1+1)</f>
        <v>0</v>
      </c>
    </row>
    <row r="99" spans="2:3">
      <c r="B99">
        <f>SUMIFS(allorders!O:O,allorders!L:L,'数据处理(仓储使用)'!$A99,allorders!$AG:$AG,"&lt;="&amp;日期!$B$2,allorders!$AG:$AG,"&gt;="&amp;日期!$B$1)</f>
        <v>0</v>
      </c>
      <c r="C99">
        <f>B99/(日期!$B$2-日期!$B$1+1)</f>
        <v>0</v>
      </c>
    </row>
    <row r="100" spans="2:3">
      <c r="B100">
        <f>SUMIFS(allorders!O:O,allorders!L:L,'数据处理(仓储使用)'!$A100,allorders!$AG:$AG,"&lt;="&amp;日期!$B$2,allorders!$AG:$AG,"&gt;="&amp;日期!$B$1)</f>
        <v>0</v>
      </c>
      <c r="C100">
        <f>B100/(日期!$B$2-日期!$B$1+1)</f>
        <v>0</v>
      </c>
    </row>
    <row r="101" spans="2:3">
      <c r="B101">
        <f>SUMIFS(allorders!O:O,allorders!L:L,'数据处理(仓储使用)'!$A101,allorders!$AG:$AG,"&lt;="&amp;日期!$B$2,allorders!$AG:$AG,"&gt;="&amp;日期!$B$1)</f>
        <v>0</v>
      </c>
      <c r="C101">
        <f>B101/(日期!$B$2-日期!$B$1+1)</f>
        <v>0</v>
      </c>
    </row>
    <row r="102" spans="2:3">
      <c r="B102">
        <f>SUMIFS(allorders!O:O,allorders!L:L,'数据处理(仓储使用)'!$A102,allorders!$AG:$AG,"&lt;="&amp;日期!$B$2,allorders!$AG:$AG,"&gt;="&amp;日期!$B$1)</f>
        <v>0</v>
      </c>
      <c r="C102">
        <f>B102/(日期!$B$2-日期!$B$1+1)</f>
        <v>0</v>
      </c>
    </row>
    <row r="103" spans="2:3">
      <c r="B103">
        <f>SUMIFS(allorders!O:O,allorders!L:L,'数据处理(仓储使用)'!$A103,allorders!$AG:$AG,"&lt;="&amp;日期!$B$2,allorders!$AG:$AG,"&gt;="&amp;日期!$B$1)</f>
        <v>0</v>
      </c>
      <c r="C103">
        <f>B103/(日期!$B$2-日期!$B$1+1)</f>
        <v>0</v>
      </c>
    </row>
    <row r="104" spans="2:3">
      <c r="B104">
        <f>SUMIFS(allorders!O:O,allorders!L:L,'数据处理(仓储使用)'!$A104,allorders!$AG:$AG,"&lt;="&amp;日期!$B$2,allorders!$AG:$AG,"&gt;="&amp;日期!$B$1)</f>
        <v>0</v>
      </c>
      <c r="C104">
        <f>B104/(日期!$B$2-日期!$B$1+1)</f>
        <v>0</v>
      </c>
    </row>
    <row r="105" spans="2:3">
      <c r="B105">
        <f>SUMIFS(allorders!O:O,allorders!L:L,'数据处理(仓储使用)'!$A105,allorders!$AG:$AG,"&lt;="&amp;日期!$B$2,allorders!$AG:$AG,"&gt;="&amp;日期!$B$1)</f>
        <v>0</v>
      </c>
      <c r="C105">
        <f>B105/(日期!$B$2-日期!$B$1+1)</f>
        <v>0</v>
      </c>
    </row>
    <row r="106" spans="2:3">
      <c r="B106">
        <f>SUMIFS(allorders!O:O,allorders!L:L,'数据处理(仓储使用)'!$A106,allorders!$AG:$AG,"&lt;="&amp;日期!$B$2,allorders!$AG:$AG,"&gt;="&amp;日期!$B$1)</f>
        <v>0</v>
      </c>
      <c r="C106">
        <f>B106/(日期!$B$2-日期!$B$1+1)</f>
        <v>0</v>
      </c>
    </row>
    <row r="107" spans="2:3">
      <c r="B107">
        <f>SUMIFS(allorders!O:O,allorders!L:L,'数据处理(仓储使用)'!$A107,allorders!$AG:$AG,"&lt;="&amp;日期!$B$2,allorders!$AG:$AG,"&gt;="&amp;日期!$B$1)</f>
        <v>0</v>
      </c>
      <c r="C107">
        <f>B107/(日期!$B$2-日期!$B$1+1)</f>
        <v>0</v>
      </c>
    </row>
    <row r="108" spans="2:3">
      <c r="B108">
        <f>SUMIFS(allorders!O:O,allorders!L:L,'数据处理(仓储使用)'!$A108,allorders!$AG:$AG,"&lt;="&amp;日期!$B$2,allorders!$AG:$AG,"&gt;="&amp;日期!$B$1)</f>
        <v>0</v>
      </c>
      <c r="C108">
        <f>B108/(日期!$B$2-日期!$B$1+1)</f>
        <v>0</v>
      </c>
    </row>
    <row r="109" spans="2:3">
      <c r="B109">
        <f>SUMIFS(allorders!O:O,allorders!L:L,'数据处理(仓储使用)'!$A109,allorders!$AG:$AG,"&lt;="&amp;日期!$B$2,allorders!$AG:$AG,"&gt;="&amp;日期!$B$1)</f>
        <v>0</v>
      </c>
      <c r="C109">
        <f>B109/(日期!$B$2-日期!$B$1+1)</f>
        <v>0</v>
      </c>
    </row>
    <row r="110" spans="2:3">
      <c r="B110">
        <f>SUMIFS(allorders!O:O,allorders!L:L,'数据处理(仓储使用)'!$A110,allorders!$AG:$AG,"&lt;="&amp;日期!$B$2,allorders!$AG:$AG,"&gt;="&amp;日期!$B$1)</f>
        <v>0</v>
      </c>
      <c r="C110">
        <f>B110/(日期!$B$2-日期!$B$1+1)</f>
        <v>0</v>
      </c>
    </row>
    <row r="111" spans="2:3">
      <c r="B111">
        <f>SUMIFS(allorders!O:O,allorders!L:L,'数据处理(仓储使用)'!$A111,allorders!$AG:$AG,"&lt;="&amp;日期!$B$2,allorders!$AG:$AG,"&gt;="&amp;日期!$B$1)</f>
        <v>0</v>
      </c>
      <c r="C111">
        <f>B111/(日期!$B$2-日期!$B$1+1)</f>
        <v>0</v>
      </c>
    </row>
    <row r="112" spans="2:3">
      <c r="B112">
        <f>SUMIFS(allorders!O:O,allorders!L:L,'数据处理(仓储使用)'!$A112,allorders!$AG:$AG,"&lt;="&amp;日期!$B$2,allorders!$AG:$AG,"&gt;="&amp;日期!$B$1)</f>
        <v>0</v>
      </c>
      <c r="C112">
        <f>B112/(日期!$B$2-日期!$B$1+1)</f>
        <v>0</v>
      </c>
    </row>
    <row r="113" spans="2:3">
      <c r="B113">
        <f>SUMIFS(allorders!O:O,allorders!L:L,'数据处理(仓储使用)'!$A113,allorders!$AG:$AG,"&lt;="&amp;日期!$B$2,allorders!$AG:$AG,"&gt;="&amp;日期!$B$1)</f>
        <v>0</v>
      </c>
      <c r="C113">
        <f>B113/(日期!$B$2-日期!$B$1+1)</f>
        <v>0</v>
      </c>
    </row>
    <row r="114" spans="2:3">
      <c r="B114">
        <f>SUMIFS(allorders!O:O,allorders!L:L,'数据处理(仓储使用)'!$A114,allorders!$AG:$AG,"&lt;="&amp;日期!$B$2,allorders!$AG:$AG,"&gt;="&amp;日期!$B$1)</f>
        <v>0</v>
      </c>
      <c r="C114">
        <f>B114/(日期!$B$2-日期!$B$1+1)</f>
        <v>0</v>
      </c>
    </row>
    <row r="115" spans="2:3">
      <c r="B115">
        <f>SUMIFS(allorders!O:O,allorders!L:L,'数据处理(仓储使用)'!$A115,allorders!$AG:$AG,"&lt;="&amp;日期!$B$2,allorders!$AG:$AG,"&gt;="&amp;日期!$B$1)</f>
        <v>0</v>
      </c>
      <c r="C115">
        <f>B115/(日期!$B$2-日期!$B$1+1)</f>
        <v>0</v>
      </c>
    </row>
    <row r="116" spans="2:3">
      <c r="B116">
        <f>SUMIFS(allorders!O:O,allorders!L:L,'数据处理(仓储使用)'!$A116,allorders!$AG:$AG,"&lt;="&amp;日期!$B$2,allorders!$AG:$AG,"&gt;="&amp;日期!$B$1)</f>
        <v>0</v>
      </c>
      <c r="C116">
        <f>B116/(日期!$B$2-日期!$B$1+1)</f>
        <v>0</v>
      </c>
    </row>
    <row r="117" spans="2:3">
      <c r="B117">
        <f>SUMIFS(allorders!O:O,allorders!L:L,'数据处理(仓储使用)'!$A117,allorders!$AG:$AG,"&lt;="&amp;日期!$B$2,allorders!$AG:$AG,"&gt;="&amp;日期!$B$1)</f>
        <v>0</v>
      </c>
      <c r="C117">
        <f>B117/(日期!$B$2-日期!$B$1+1)</f>
        <v>0</v>
      </c>
    </row>
    <row r="118" spans="2:3">
      <c r="B118">
        <f>SUMIFS(allorders!O:O,allorders!L:L,'数据处理(仓储使用)'!$A118,allorders!$AG:$AG,"&lt;="&amp;日期!$B$2,allorders!$AG:$AG,"&gt;="&amp;日期!$B$1)</f>
        <v>0</v>
      </c>
      <c r="C118">
        <f>B118/(日期!$B$2-日期!$B$1+1)</f>
        <v>0</v>
      </c>
    </row>
    <row r="119" spans="2:3">
      <c r="B119">
        <f>SUMIFS(allorders!O:O,allorders!L:L,'数据处理(仓储使用)'!$A119,allorders!$AG:$AG,"&lt;="&amp;日期!$B$2,allorders!$AG:$AG,"&gt;="&amp;日期!$B$1)</f>
        <v>0</v>
      </c>
      <c r="C119">
        <f>B119/(日期!$B$2-日期!$B$1+1)</f>
        <v>0</v>
      </c>
    </row>
    <row r="120" spans="2:3">
      <c r="B120">
        <f>SUMIFS(allorders!O:O,allorders!L:L,'数据处理(仓储使用)'!$A120,allorders!$AG:$AG,"&lt;="&amp;日期!$B$2,allorders!$AG:$AG,"&gt;="&amp;日期!$B$1)</f>
        <v>0</v>
      </c>
      <c r="C120">
        <f>B120/(日期!$B$2-日期!$B$1+1)</f>
        <v>0</v>
      </c>
    </row>
    <row r="121" spans="2:3">
      <c r="B121">
        <f>SUMIFS(allorders!O:O,allorders!L:L,'数据处理(仓储使用)'!$A121,allorders!$AG:$AG,"&lt;="&amp;日期!$B$2,allorders!$AG:$AG,"&gt;="&amp;日期!$B$1)</f>
        <v>0</v>
      </c>
      <c r="C121">
        <f>B121/(日期!$B$2-日期!$B$1+1)</f>
        <v>0</v>
      </c>
    </row>
    <row r="122" spans="2:3">
      <c r="B122">
        <f>SUMIFS(allorders!O:O,allorders!L:L,'数据处理(仓储使用)'!$A122,allorders!$AG:$AG,"&lt;="&amp;日期!$B$2,allorders!$AG:$AG,"&gt;="&amp;日期!$B$1)</f>
        <v>0</v>
      </c>
      <c r="C122">
        <f>B122/(日期!$B$2-日期!$B$1+1)</f>
        <v>0</v>
      </c>
    </row>
    <row r="123" spans="2:3">
      <c r="B123">
        <f>SUMIFS(allorders!O:O,allorders!L:L,'数据处理(仓储使用)'!$A123,allorders!$AG:$AG,"&lt;="&amp;日期!$B$2,allorders!$AG:$AG,"&gt;="&amp;日期!$B$1)</f>
        <v>0</v>
      </c>
      <c r="C123">
        <f>B123/(日期!$B$2-日期!$B$1+1)</f>
        <v>0</v>
      </c>
    </row>
    <row r="124" spans="2:3">
      <c r="B124">
        <f>SUMIFS(allorders!O:O,allorders!L:L,'数据处理(仓储使用)'!$A124,allorders!$AG:$AG,"&lt;="&amp;日期!$B$2,allorders!$AG:$AG,"&gt;="&amp;日期!$B$1)</f>
        <v>0</v>
      </c>
      <c r="C124">
        <f>B124/(日期!$B$2-日期!$B$1+1)</f>
        <v>0</v>
      </c>
    </row>
    <row r="125" spans="2:3">
      <c r="B125">
        <f>SUMIFS(allorders!O:O,allorders!L:L,'数据处理(仓储使用)'!$A125,allorders!$AG:$AG,"&lt;="&amp;日期!$B$2,allorders!$AG:$AG,"&gt;="&amp;日期!$B$1)</f>
        <v>0</v>
      </c>
      <c r="C125">
        <f>B125/(日期!$B$2-日期!$B$1+1)</f>
        <v>0</v>
      </c>
    </row>
    <row r="126" spans="2:3">
      <c r="B126">
        <f>SUMIFS(allorders!O:O,allorders!L:L,'数据处理(仓储使用)'!$A126,allorders!$AG:$AG,"&lt;="&amp;日期!$B$2,allorders!$AG:$AG,"&gt;="&amp;日期!$B$1)</f>
        <v>0</v>
      </c>
      <c r="C126">
        <f>B126/(日期!$B$2-日期!$B$1+1)</f>
        <v>0</v>
      </c>
    </row>
    <row r="127" spans="2:3">
      <c r="B127">
        <f>SUMIFS(allorders!O:O,allorders!L:L,'数据处理(仓储使用)'!$A127,allorders!$AG:$AG,"&lt;="&amp;日期!$B$2,allorders!$AG:$AG,"&gt;="&amp;日期!$B$1)</f>
        <v>0</v>
      </c>
      <c r="C127">
        <f>B127/(日期!$B$2-日期!$B$1+1)</f>
        <v>0</v>
      </c>
    </row>
    <row r="128" spans="2:3">
      <c r="B128">
        <f>SUMIFS(allorders!O:O,allorders!L:L,'数据处理(仓储使用)'!$A128,allorders!$AG:$AG,"&lt;="&amp;日期!$B$2,allorders!$AG:$AG,"&gt;="&amp;日期!$B$1)</f>
        <v>0</v>
      </c>
      <c r="C128">
        <f>B128/(日期!$B$2-日期!$B$1+1)</f>
        <v>0</v>
      </c>
    </row>
    <row r="129" spans="2:3">
      <c r="B129">
        <f>SUMIFS(allorders!O:O,allorders!L:L,'数据处理(仓储使用)'!$A129,allorders!$AG:$AG,"&lt;="&amp;日期!$B$2,allorders!$AG:$AG,"&gt;="&amp;日期!$B$1)</f>
        <v>0</v>
      </c>
      <c r="C129">
        <f>B129/(日期!$B$2-日期!$B$1+1)</f>
        <v>0</v>
      </c>
    </row>
    <row r="130" spans="2:3">
      <c r="B130">
        <f>SUMIFS(allorders!O:O,allorders!L:L,'数据处理(仓储使用)'!$A130,allorders!$AG:$AG,"&lt;="&amp;日期!$B$2,allorders!$AG:$AG,"&gt;="&amp;日期!$B$1)</f>
        <v>0</v>
      </c>
      <c r="C130">
        <f>B130/(日期!$B$2-日期!$B$1+1)</f>
        <v>0</v>
      </c>
    </row>
    <row r="131" spans="2:3">
      <c r="B131">
        <f>SUMIFS(allorders!O:O,allorders!L:L,'数据处理(仓储使用)'!$A131,allorders!$AG:$AG,"&lt;="&amp;日期!$B$2,allorders!$AG:$AG,"&gt;="&amp;日期!$B$1)</f>
        <v>0</v>
      </c>
      <c r="C131">
        <f>B131/(日期!$B$2-日期!$B$1+1)</f>
        <v>0</v>
      </c>
    </row>
    <row r="132" spans="2:3">
      <c r="B132">
        <f>SUMIFS(allorders!O:O,allorders!L:L,'数据处理(仓储使用)'!$A132,allorders!$AG:$AG,"&lt;="&amp;日期!$B$2,allorders!$AG:$AG,"&gt;="&amp;日期!$B$1)</f>
        <v>0</v>
      </c>
      <c r="C132">
        <f>B132/(日期!$B$2-日期!$B$1+1)</f>
        <v>0</v>
      </c>
    </row>
    <row r="133" spans="2:3">
      <c r="B133">
        <f>SUMIFS(allorders!O:O,allorders!L:L,'数据处理(仓储使用)'!$A133,allorders!$AG:$AG,"&lt;="&amp;日期!$B$2,allorders!$AG:$AG,"&gt;="&amp;日期!$B$1)</f>
        <v>0</v>
      </c>
      <c r="C133">
        <f>B133/(日期!$B$2-日期!$B$1+1)</f>
        <v>0</v>
      </c>
    </row>
    <row r="134" spans="2:3">
      <c r="B134">
        <f>SUMIFS(allorders!O:O,allorders!L:L,'数据处理(仓储使用)'!$A134,allorders!$AG:$AG,"&lt;="&amp;日期!$B$2,allorders!$AG:$AG,"&gt;="&amp;日期!$B$1)</f>
        <v>0</v>
      </c>
      <c r="C134">
        <f>B134/(日期!$B$2-日期!$B$1+1)</f>
        <v>0</v>
      </c>
    </row>
    <row r="135" spans="2:3">
      <c r="B135">
        <f>SUMIFS(allorders!O:O,allorders!L:L,'数据处理(仓储使用)'!$A135,allorders!$AG:$AG,"&lt;="&amp;日期!$B$2,allorders!$AG:$AG,"&gt;="&amp;日期!$B$1)</f>
        <v>0</v>
      </c>
      <c r="C135">
        <f>B135/(日期!$B$2-日期!$B$1+1)</f>
        <v>0</v>
      </c>
    </row>
    <row r="136" spans="2:3">
      <c r="B136">
        <f>SUMIFS(allorders!O:O,allorders!L:L,'数据处理(仓储使用)'!$A136,allorders!$AG:$AG,"&lt;="&amp;日期!$B$2,allorders!$AG:$AG,"&gt;="&amp;日期!$B$1)</f>
        <v>0</v>
      </c>
      <c r="C136">
        <f>B136/(日期!$B$2-日期!$B$1+1)</f>
        <v>0</v>
      </c>
    </row>
    <row r="137" spans="2:3">
      <c r="B137">
        <f>SUMIFS(allorders!O:O,allorders!L:L,'数据处理(仓储使用)'!$A137,allorders!$AG:$AG,"&lt;="&amp;日期!$B$2,allorders!$AG:$AG,"&gt;="&amp;日期!$B$1)</f>
        <v>0</v>
      </c>
      <c r="C137">
        <f>B137/(日期!$B$2-日期!$B$1+1)</f>
        <v>0</v>
      </c>
    </row>
    <row r="138" spans="2:3">
      <c r="B138">
        <f>SUMIFS(allorders!O:O,allorders!L:L,'数据处理(仓储使用)'!$A138,allorders!$AG:$AG,"&lt;="&amp;日期!$B$2,allorders!$AG:$AG,"&gt;="&amp;日期!$B$1)</f>
        <v>0</v>
      </c>
      <c r="C138">
        <f>B138/(日期!$B$2-日期!$B$1+1)</f>
        <v>0</v>
      </c>
    </row>
    <row r="139" spans="2:3">
      <c r="B139">
        <f>SUMIFS(allorders!O:O,allorders!L:L,'数据处理(仓储使用)'!$A139,allorders!$AG:$AG,"&lt;="&amp;日期!$B$2,allorders!$AG:$AG,"&gt;="&amp;日期!$B$1)</f>
        <v>0</v>
      </c>
      <c r="C139">
        <f>B139/(日期!$B$2-日期!$B$1+1)</f>
        <v>0</v>
      </c>
    </row>
    <row r="140" spans="2:3">
      <c r="B140">
        <f>SUMIFS(allorders!O:O,allorders!L:L,'数据处理(仓储使用)'!$A140,allorders!$AG:$AG,"&lt;="&amp;日期!$B$2,allorders!$AG:$AG,"&gt;="&amp;日期!$B$1)</f>
        <v>0</v>
      </c>
      <c r="C140">
        <f>B140/(日期!$B$2-日期!$B$1+1)</f>
        <v>0</v>
      </c>
    </row>
    <row r="141" spans="2:3">
      <c r="B141">
        <f>SUMIFS(allorders!O:O,allorders!L:L,'数据处理(仓储使用)'!$A141,allorders!$AG:$AG,"&lt;="&amp;日期!$B$2,allorders!$AG:$AG,"&gt;="&amp;日期!$B$1)</f>
        <v>0</v>
      </c>
      <c r="C141">
        <f>B141/(日期!$B$2-日期!$B$1+1)</f>
        <v>0</v>
      </c>
    </row>
    <row r="142" spans="2:3">
      <c r="B142">
        <f>SUMIFS(allorders!O:O,allorders!L:L,'数据处理(仓储使用)'!$A142,allorders!$AG:$AG,"&lt;="&amp;日期!$B$2,allorders!$AG:$AG,"&gt;="&amp;日期!$B$1)</f>
        <v>0</v>
      </c>
      <c r="C142">
        <f>B142/(日期!$B$2-日期!$B$1+1)</f>
        <v>0</v>
      </c>
    </row>
    <row r="143" spans="2:3">
      <c r="B143">
        <f>SUMIFS(allorders!O:O,allorders!L:L,'数据处理(仓储使用)'!$A143,allorders!$AG:$AG,"&lt;="&amp;日期!$B$2,allorders!$AG:$AG,"&gt;="&amp;日期!$B$1)</f>
        <v>0</v>
      </c>
      <c r="C143">
        <f>B143/(日期!$B$2-日期!$B$1+1)</f>
        <v>0</v>
      </c>
    </row>
    <row r="144" spans="2:3">
      <c r="B144">
        <f>SUMIFS(allorders!O:O,allorders!L:L,'数据处理(仓储使用)'!$A144,allorders!$AG:$AG,"&lt;="&amp;日期!$B$2,allorders!$AG:$AG,"&gt;="&amp;日期!$B$1)</f>
        <v>0</v>
      </c>
      <c r="C144">
        <f>B144/(日期!$B$2-日期!$B$1+1)</f>
        <v>0</v>
      </c>
    </row>
    <row r="145" spans="2:3">
      <c r="B145">
        <f>SUMIFS(allorders!O:O,allorders!L:L,'数据处理(仓储使用)'!$A145,allorders!$AG:$AG,"&lt;="&amp;日期!$B$2,allorders!$AG:$AG,"&gt;="&amp;日期!$B$1)</f>
        <v>0</v>
      </c>
      <c r="C145">
        <f>B145/(日期!$B$2-日期!$B$1+1)</f>
        <v>0</v>
      </c>
    </row>
    <row r="146" spans="2:3">
      <c r="B146">
        <f>SUMIFS(allorders!O:O,allorders!L:L,'数据处理(仓储使用)'!$A146,allorders!$AG:$AG,"&lt;="&amp;日期!$B$2,allorders!$AG:$AG,"&gt;="&amp;日期!$B$1)</f>
        <v>0</v>
      </c>
      <c r="C146">
        <f>B146/(日期!$B$2-日期!$B$1+1)</f>
        <v>0</v>
      </c>
    </row>
    <row r="147" spans="2:3">
      <c r="B147">
        <f>SUMIFS(allorders!O:O,allorders!L:L,'数据处理(仓储使用)'!$A147,allorders!$AG:$AG,"&lt;="&amp;日期!$B$2,allorders!$AG:$AG,"&gt;="&amp;日期!$B$1)</f>
        <v>0</v>
      </c>
      <c r="C147">
        <f>B147/(日期!$B$2-日期!$B$1+1)</f>
        <v>0</v>
      </c>
    </row>
    <row r="148" spans="2:3">
      <c r="B148">
        <f>SUMIFS(allorders!O:O,allorders!L:L,'数据处理(仓储使用)'!$A148,allorders!$AG:$AG,"&lt;="&amp;日期!$B$2,allorders!$AG:$AG,"&gt;="&amp;日期!$B$1)</f>
        <v>0</v>
      </c>
      <c r="C148">
        <f>B148/(日期!$B$2-日期!$B$1+1)</f>
        <v>0</v>
      </c>
    </row>
    <row r="149" spans="2:3">
      <c r="B149">
        <f>SUMIFS(allorders!O:O,allorders!L:L,'数据处理(仓储使用)'!$A149,allorders!$AG:$AG,"&lt;="&amp;日期!$B$2,allorders!$AG:$AG,"&gt;="&amp;日期!$B$1)</f>
        <v>0</v>
      </c>
      <c r="C149">
        <f>B149/(日期!$B$2-日期!$B$1+1)</f>
        <v>0</v>
      </c>
    </row>
    <row r="150" spans="2:3">
      <c r="B150">
        <f>SUMIFS(allorders!O:O,allorders!L:L,'数据处理(仓储使用)'!$A150,allorders!$AG:$AG,"&lt;="&amp;日期!$B$2,allorders!$AG:$AG,"&gt;="&amp;日期!$B$1)</f>
        <v>0</v>
      </c>
      <c r="C150">
        <f>B150/(日期!$B$2-日期!$B$1+1)</f>
        <v>0</v>
      </c>
    </row>
    <row r="151" spans="2:3">
      <c r="B151">
        <f>SUMIFS(allorders!O:O,allorders!L:L,'数据处理(仓储使用)'!$A151,allorders!$AG:$AG,"&lt;="&amp;日期!$B$2,allorders!$AG:$AG,"&gt;="&amp;日期!$B$1)</f>
        <v>0</v>
      </c>
      <c r="C151">
        <f>B151/(日期!$B$2-日期!$B$1+1)</f>
        <v>0</v>
      </c>
    </row>
    <row r="152" spans="2:3">
      <c r="B152">
        <f>SUMIFS(allorders!O:O,allorders!L:L,'数据处理(仓储使用)'!$A152,allorders!$AG:$AG,"&lt;="&amp;日期!$B$2,allorders!$AG:$AG,"&gt;="&amp;日期!$B$1)</f>
        <v>0</v>
      </c>
      <c r="C152">
        <f>B152/(日期!$B$2-日期!$B$1+1)</f>
        <v>0</v>
      </c>
    </row>
    <row r="153" spans="2:3">
      <c r="B153">
        <f>SUMIFS(allorders!O:O,allorders!L:L,'数据处理(仓储使用)'!$A153,allorders!$AG:$AG,"&lt;="&amp;日期!$B$2,allorders!$AG:$AG,"&gt;="&amp;日期!$B$1)</f>
        <v>0</v>
      </c>
      <c r="C153">
        <f>B153/(日期!$B$2-日期!$B$1+1)</f>
        <v>0</v>
      </c>
    </row>
    <row r="154" spans="2:3">
      <c r="B154">
        <f>SUMIFS(allorders!O:O,allorders!L:L,'数据处理(仓储使用)'!$A154,allorders!$AG:$AG,"&lt;="&amp;日期!$B$2,allorders!$AG:$AG,"&gt;="&amp;日期!$B$1)</f>
        <v>0</v>
      </c>
      <c r="C154">
        <f>B154/(日期!$B$2-日期!$B$1+1)</f>
        <v>0</v>
      </c>
    </row>
    <row r="155" spans="2:3">
      <c r="B155">
        <f>SUMIFS(allorders!O:O,allorders!L:L,'数据处理(仓储使用)'!$A155,allorders!$AG:$AG,"&lt;="&amp;日期!$B$2,allorders!$AG:$AG,"&gt;="&amp;日期!$B$1)</f>
        <v>0</v>
      </c>
      <c r="C155">
        <f>B155/(日期!$B$2-日期!$B$1+1)</f>
        <v>0</v>
      </c>
    </row>
    <row r="156" spans="2:3">
      <c r="B156">
        <f>SUMIFS(allorders!O:O,allorders!L:L,'数据处理(仓储使用)'!$A156,allorders!$AG:$AG,"&lt;="&amp;日期!$B$2,allorders!$AG:$AG,"&gt;="&amp;日期!$B$1)</f>
        <v>0</v>
      </c>
      <c r="C156">
        <f>B156/(日期!$B$2-日期!$B$1+1)</f>
        <v>0</v>
      </c>
    </row>
    <row r="157" spans="2:3">
      <c r="B157">
        <f>SUMIFS(allorders!O:O,allorders!L:L,'数据处理(仓储使用)'!$A157,allorders!$AG:$AG,"&lt;="&amp;日期!$B$2,allorders!$AG:$AG,"&gt;="&amp;日期!$B$1)</f>
        <v>0</v>
      </c>
      <c r="C157">
        <f>B157/(日期!$B$2-日期!$B$1+1)</f>
        <v>0</v>
      </c>
    </row>
    <row r="158" spans="2:3">
      <c r="B158">
        <f>SUMIFS(allorders!O:O,allorders!L:L,'数据处理(仓储使用)'!$A158,allorders!$AG:$AG,"&lt;="&amp;日期!$B$2,allorders!$AG:$AG,"&gt;="&amp;日期!$B$1)</f>
        <v>0</v>
      </c>
      <c r="C158">
        <f>B158/(日期!$B$2-日期!$B$1+1)</f>
        <v>0</v>
      </c>
    </row>
    <row r="159" spans="2:3">
      <c r="B159">
        <f>SUMIFS(allorders!O:O,allorders!L:L,'数据处理(仓储使用)'!$A159,allorders!$AG:$AG,"&lt;="&amp;日期!$B$2,allorders!$AG:$AG,"&gt;="&amp;日期!$B$1)</f>
        <v>0</v>
      </c>
      <c r="C159">
        <f>B159/(日期!$B$2-日期!$B$1+1)</f>
        <v>0</v>
      </c>
    </row>
    <row r="160" spans="2:3">
      <c r="B160">
        <f>SUMIFS(allorders!O:O,allorders!L:L,'数据处理(仓储使用)'!$A160,allorders!$AG:$AG,"&lt;="&amp;日期!$B$2,allorders!$AG:$AG,"&gt;="&amp;日期!$B$1)</f>
        <v>0</v>
      </c>
      <c r="C160">
        <f>B160/(日期!$B$2-日期!$B$1+1)</f>
        <v>0</v>
      </c>
    </row>
    <row r="161" spans="2:3">
      <c r="B161">
        <f>SUMIFS(allorders!O:O,allorders!L:L,'数据处理(仓储使用)'!$A161,allorders!$AG:$AG,"&lt;="&amp;日期!$B$2,allorders!$AG:$AG,"&gt;="&amp;日期!$B$1)</f>
        <v>0</v>
      </c>
      <c r="C161">
        <f>B161/(日期!$B$2-日期!$B$1+1)</f>
        <v>0</v>
      </c>
    </row>
    <row r="162" spans="2:3">
      <c r="B162">
        <f>SUMIFS(allorders!O:O,allorders!L:L,'数据处理(仓储使用)'!$A162,allorders!$AG:$AG,"&lt;="&amp;日期!$B$2,allorders!$AG:$AG,"&gt;="&amp;日期!$B$1)</f>
        <v>0</v>
      </c>
      <c r="C162">
        <f>B162/(日期!$B$2-日期!$B$1+1)</f>
        <v>0</v>
      </c>
    </row>
    <row r="163" spans="2:3">
      <c r="B163">
        <f>SUMIFS(allorders!O:O,allorders!L:L,'数据处理(仓储使用)'!$A163,allorders!$AG:$AG,"&lt;="&amp;日期!$B$2,allorders!$AG:$AG,"&gt;="&amp;日期!$B$1)</f>
        <v>0</v>
      </c>
      <c r="C163">
        <f>B163/(日期!$B$2-日期!$B$1+1)</f>
        <v>0</v>
      </c>
    </row>
    <row r="164" spans="2:3">
      <c r="B164">
        <f>SUMIFS(allorders!O:O,allorders!L:L,'数据处理(仓储使用)'!$A164,allorders!$AG:$AG,"&lt;="&amp;日期!$B$2,allorders!$AG:$AG,"&gt;="&amp;日期!$B$1)</f>
        <v>0</v>
      </c>
      <c r="C164">
        <f>B164/(日期!$B$2-日期!$B$1+1)</f>
        <v>0</v>
      </c>
    </row>
    <row r="165" spans="2:3">
      <c r="B165">
        <f>SUMIFS(allorders!O:O,allorders!L:L,'数据处理(仓储使用)'!$A165,allorders!$AG:$AG,"&lt;="&amp;日期!$B$2,allorders!$AG:$AG,"&gt;="&amp;日期!$B$1)</f>
        <v>0</v>
      </c>
      <c r="C165">
        <f>B165/(日期!$B$2-日期!$B$1+1)</f>
        <v>0</v>
      </c>
    </row>
    <row r="166" spans="2:3">
      <c r="B166">
        <f>SUMIFS(allorders!O:O,allorders!L:L,'数据处理(仓储使用)'!$A166,allorders!$AG:$AG,"&lt;="&amp;日期!$B$2,allorders!$AG:$AG,"&gt;="&amp;日期!$B$1)</f>
        <v>0</v>
      </c>
      <c r="C166">
        <f>B166/(日期!$B$2-日期!$B$1+1)</f>
        <v>0</v>
      </c>
    </row>
    <row r="167" spans="2:3">
      <c r="B167">
        <f>SUMIFS(allorders!O:O,allorders!L:L,'数据处理(仓储使用)'!$A167,allorders!$AG:$AG,"&lt;="&amp;日期!$B$2,allorders!$AG:$AG,"&gt;="&amp;日期!$B$1)</f>
        <v>0</v>
      </c>
      <c r="C167">
        <f>B167/(日期!$B$2-日期!$B$1+1)</f>
        <v>0</v>
      </c>
    </row>
    <row r="168" spans="2:3">
      <c r="B168">
        <f>SUMIFS(allorders!O:O,allorders!L:L,'数据处理(仓储使用)'!$A168,allorders!$AG:$AG,"&lt;="&amp;日期!$B$2,allorders!$AG:$AG,"&gt;="&amp;日期!$B$1)</f>
        <v>0</v>
      </c>
      <c r="C168">
        <f>B168/(日期!$B$2-日期!$B$1+1)</f>
        <v>0</v>
      </c>
    </row>
    <row r="169" spans="2:3">
      <c r="B169">
        <f>SUMIFS(allorders!O:O,allorders!L:L,'数据处理(仓储使用)'!$A169,allorders!$AG:$AG,"&lt;="&amp;日期!$B$2,allorders!$AG:$AG,"&gt;="&amp;日期!$B$1)</f>
        <v>0</v>
      </c>
      <c r="C169">
        <f>B169/(日期!$B$2-日期!$B$1+1)</f>
        <v>0</v>
      </c>
    </row>
    <row r="170" spans="2:3">
      <c r="B170">
        <f>SUMIFS(allorders!O:O,allorders!L:L,'数据处理(仓储使用)'!$A170,allorders!$AG:$AG,"&lt;="&amp;日期!$B$2,allorders!$AG:$AG,"&gt;="&amp;日期!$B$1)</f>
        <v>0</v>
      </c>
      <c r="C170">
        <f>B170/(日期!$B$2-日期!$B$1+1)</f>
        <v>0</v>
      </c>
    </row>
    <row r="171" spans="2:3">
      <c r="B171">
        <f>SUMIFS(allorders!O:O,allorders!L:L,'数据处理(仓储使用)'!$A171,allorders!$AG:$AG,"&lt;="&amp;日期!$B$2,allorders!$AG:$AG,"&gt;="&amp;日期!$B$1)</f>
        <v>0</v>
      </c>
      <c r="C171">
        <f>B171/(日期!$B$2-日期!$B$1+1)</f>
        <v>0</v>
      </c>
    </row>
    <row r="172" spans="2:3">
      <c r="B172">
        <f>SUMIFS(allorders!O:O,allorders!L:L,'数据处理(仓储使用)'!$A172,allorders!$AG:$AG,"&lt;="&amp;日期!$B$2,allorders!$AG:$AG,"&gt;="&amp;日期!$B$1)</f>
        <v>0</v>
      </c>
      <c r="C172">
        <f>B172/(日期!$B$2-日期!$B$1+1)</f>
        <v>0</v>
      </c>
    </row>
    <row r="173" spans="2:3">
      <c r="B173">
        <f>SUMIFS(allorders!O:O,allorders!L:L,'数据处理(仓储使用)'!$A173,allorders!$AG:$AG,"&lt;="&amp;日期!$B$2,allorders!$AG:$AG,"&gt;="&amp;日期!$B$1)</f>
        <v>0</v>
      </c>
      <c r="C173">
        <f>B173/(日期!$B$2-日期!$B$1+1)</f>
        <v>0</v>
      </c>
    </row>
    <row r="174" spans="2:3">
      <c r="B174">
        <f>SUMIFS(allorders!O:O,allorders!L:L,'数据处理(仓储使用)'!$A174,allorders!$AG:$AG,"&lt;="&amp;日期!$B$2,allorders!$AG:$AG,"&gt;="&amp;日期!$B$1)</f>
        <v>0</v>
      </c>
      <c r="C174">
        <f>B174/(日期!$B$2-日期!$B$1+1)</f>
        <v>0</v>
      </c>
    </row>
    <row r="175" spans="2:3">
      <c r="B175">
        <f>SUMIFS(allorders!O:O,allorders!L:L,'数据处理(仓储使用)'!$A175,allorders!$AG:$AG,"&lt;="&amp;日期!$B$2,allorders!$AG:$AG,"&gt;="&amp;日期!$B$1)</f>
        <v>0</v>
      </c>
      <c r="C175">
        <f>B175/(日期!$B$2-日期!$B$1+1)</f>
        <v>0</v>
      </c>
    </row>
    <row r="176" spans="2:3">
      <c r="B176">
        <f>SUMIFS(allorders!O:O,allorders!L:L,'数据处理(仓储使用)'!$A176,allorders!$AG:$AG,"&lt;="&amp;日期!$B$2,allorders!$AG:$AG,"&gt;="&amp;日期!$B$1)</f>
        <v>0</v>
      </c>
      <c r="C176">
        <f>B176/(日期!$B$2-日期!$B$1+1)</f>
        <v>0</v>
      </c>
    </row>
    <row r="177" spans="2:3">
      <c r="B177">
        <f>SUMIFS(allorders!O:O,allorders!L:L,'数据处理(仓储使用)'!$A177,allorders!$AG:$AG,"&lt;="&amp;日期!$B$2,allorders!$AG:$AG,"&gt;="&amp;日期!$B$1)</f>
        <v>0</v>
      </c>
      <c r="C177">
        <f>B177/(日期!$B$2-日期!$B$1+1)</f>
        <v>0</v>
      </c>
    </row>
    <row r="178" spans="2:3">
      <c r="B178">
        <f>SUMIFS(allorders!O:O,allorders!L:L,'数据处理(仓储使用)'!$A178,allorders!$AG:$AG,"&lt;="&amp;日期!$B$2,allorders!$AG:$AG,"&gt;="&amp;日期!$B$1)</f>
        <v>0</v>
      </c>
      <c r="C178">
        <f>B178/(日期!$B$2-日期!$B$1+1)</f>
        <v>0</v>
      </c>
    </row>
    <row r="179" spans="2:3">
      <c r="B179">
        <f>SUMIFS(allorders!O:O,allorders!L:L,'数据处理(仓储使用)'!$A179,allorders!$AG:$AG,"&lt;="&amp;日期!$B$2,allorders!$AG:$AG,"&gt;="&amp;日期!$B$1)</f>
        <v>0</v>
      </c>
      <c r="C179">
        <f>B179/(日期!$B$2-日期!$B$1+1)</f>
        <v>0</v>
      </c>
    </row>
    <row r="180" spans="2:3">
      <c r="B180">
        <f>SUMIFS(allorders!O:O,allorders!L:L,'数据处理(仓储使用)'!$A180,allorders!$AG:$AG,"&lt;="&amp;日期!$B$2,allorders!$AG:$AG,"&gt;="&amp;日期!$B$1)</f>
        <v>0</v>
      </c>
      <c r="C180">
        <f>B180/(日期!$B$2-日期!$B$1+1)</f>
        <v>0</v>
      </c>
    </row>
    <row r="181" spans="2:3">
      <c r="B181">
        <f>SUMIFS(allorders!O:O,allorders!L:L,'数据处理(仓储使用)'!$A181,allorders!$AG:$AG,"&lt;="&amp;日期!$B$2,allorders!$AG:$AG,"&gt;="&amp;日期!$B$1)</f>
        <v>0</v>
      </c>
      <c r="C181">
        <f>B181/(日期!$B$2-日期!$B$1+1)</f>
        <v>0</v>
      </c>
    </row>
    <row r="182" spans="2:3">
      <c r="B182">
        <f>SUMIFS(allorders!O:O,allorders!L:L,'数据处理(仓储使用)'!$A182,allorders!$AG:$AG,"&lt;="&amp;日期!$B$2,allorders!$AG:$AG,"&gt;="&amp;日期!$B$1)</f>
        <v>0</v>
      </c>
      <c r="C182">
        <f>B182/(日期!$B$2-日期!$B$1+1)</f>
        <v>0</v>
      </c>
    </row>
    <row r="183" spans="2:3">
      <c r="B183">
        <f>SUMIFS(allorders!O:O,allorders!L:L,'数据处理(仓储使用)'!$A183,allorders!$AG:$AG,"&lt;="&amp;日期!$B$2,allorders!$AG:$AG,"&gt;="&amp;日期!$B$1)</f>
        <v>0</v>
      </c>
      <c r="C183">
        <f>B183/(日期!$B$2-日期!$B$1+1)</f>
        <v>0</v>
      </c>
    </row>
    <row r="184" spans="2:3">
      <c r="B184">
        <f>SUMIFS(allorders!O:O,allorders!L:L,'数据处理(仓储使用)'!$A184,allorders!$AG:$AG,"&lt;="&amp;日期!$B$2,allorders!$AG:$AG,"&gt;="&amp;日期!$B$1)</f>
        <v>0</v>
      </c>
      <c r="C184">
        <f>B184/(日期!$B$2-日期!$B$1+1)</f>
        <v>0</v>
      </c>
    </row>
    <row r="185" spans="2:3">
      <c r="B185">
        <f>SUMIFS(allorders!O:O,allorders!L:L,'数据处理(仓储使用)'!$A185,allorders!$AG:$AG,"&lt;="&amp;日期!$B$2,allorders!$AG:$AG,"&gt;="&amp;日期!$B$1)</f>
        <v>0</v>
      </c>
      <c r="C185">
        <f>B185/(日期!$B$2-日期!$B$1+1)</f>
        <v>0</v>
      </c>
    </row>
    <row r="186" spans="2:3">
      <c r="B186">
        <f>SUMIFS(allorders!O:O,allorders!L:L,'数据处理(仓储使用)'!$A186,allorders!$AG:$AG,"&lt;="&amp;日期!$B$2,allorders!$AG:$AG,"&gt;="&amp;日期!$B$1)</f>
        <v>0</v>
      </c>
      <c r="C186">
        <f>B186/(日期!$B$2-日期!$B$1+1)</f>
        <v>0</v>
      </c>
    </row>
    <row r="187" spans="2:3">
      <c r="B187">
        <f>SUMIFS(allorders!O:O,allorders!L:L,'数据处理(仓储使用)'!$A187,allorders!$AG:$AG,"&lt;="&amp;日期!$B$2,allorders!$AG:$AG,"&gt;="&amp;日期!$B$1)</f>
        <v>0</v>
      </c>
      <c r="C187">
        <f>B187/(日期!$B$2-日期!$B$1+1)</f>
        <v>0</v>
      </c>
    </row>
    <row r="188" spans="2:3">
      <c r="B188">
        <f>SUMIFS(allorders!O:O,allorders!L:L,'数据处理(仓储使用)'!$A188,allorders!$AG:$AG,"&lt;="&amp;日期!$B$2,allorders!$AG:$AG,"&gt;="&amp;日期!$B$1)</f>
        <v>0</v>
      </c>
      <c r="C188">
        <f>B188/(日期!$B$2-日期!$B$1+1)</f>
        <v>0</v>
      </c>
    </row>
    <row r="189" spans="2:3">
      <c r="B189">
        <f>SUMIFS(allorders!O:O,allorders!L:L,'数据处理(仓储使用)'!$A189,allorders!$AG:$AG,"&lt;="&amp;日期!$B$2,allorders!$AG:$AG,"&gt;="&amp;日期!$B$1)</f>
        <v>0</v>
      </c>
      <c r="C189">
        <f>B189/(日期!$B$2-日期!$B$1+1)</f>
        <v>0</v>
      </c>
    </row>
    <row r="190" spans="2:3">
      <c r="B190">
        <f>SUMIFS(allorders!O:O,allorders!L:L,'数据处理(仓储使用)'!$A190,allorders!$AG:$AG,"&lt;="&amp;日期!$B$2,allorders!$AG:$AG,"&gt;="&amp;日期!$B$1)</f>
        <v>0</v>
      </c>
      <c r="C190">
        <f>B190/(日期!$B$2-日期!$B$1+1)</f>
        <v>0</v>
      </c>
    </row>
    <row r="191" spans="2:3">
      <c r="B191">
        <f>SUMIFS(allorders!O:O,allorders!L:L,'数据处理(仓储使用)'!$A191,allorders!$AG:$AG,"&lt;="&amp;日期!$B$2,allorders!$AG:$AG,"&gt;="&amp;日期!$B$1)</f>
        <v>0</v>
      </c>
      <c r="C191">
        <f>B191/(日期!$B$2-日期!$B$1+1)</f>
        <v>0</v>
      </c>
    </row>
    <row r="192" spans="2:3">
      <c r="B192">
        <f>SUMIFS(allorders!O:O,allorders!L:L,'数据处理(仓储使用)'!$A192,allorders!$AG:$AG,"&lt;="&amp;日期!$B$2,allorders!$AG:$AG,"&gt;="&amp;日期!$B$1)</f>
        <v>0</v>
      </c>
      <c r="C192">
        <f>B192/(日期!$B$2-日期!$B$1+1)</f>
        <v>0</v>
      </c>
    </row>
    <row r="193" spans="2:3">
      <c r="B193">
        <f>SUMIFS(allorders!O:O,allorders!L:L,'数据处理(仓储使用)'!$A193,allorders!$AG:$AG,"&lt;="&amp;日期!$B$2,allorders!$AG:$AG,"&gt;="&amp;日期!$B$1)</f>
        <v>0</v>
      </c>
      <c r="C193">
        <f>B193/(日期!$B$2-日期!$B$1+1)</f>
        <v>0</v>
      </c>
    </row>
    <row r="194" spans="2:3">
      <c r="B194">
        <f>SUMIFS(allorders!O:O,allorders!L:L,'数据处理(仓储使用)'!$A194,allorders!$AG:$AG,"&lt;="&amp;日期!$B$2,allorders!$AG:$AG,"&gt;="&amp;日期!$B$1)</f>
        <v>0</v>
      </c>
      <c r="C194">
        <f>B194/(日期!$B$2-日期!$B$1+1)</f>
        <v>0</v>
      </c>
    </row>
    <row r="195" spans="2:3">
      <c r="B195">
        <f>SUMIFS(allorders!O:O,allorders!L:L,'数据处理(仓储使用)'!$A195,allorders!$AG:$AG,"&lt;="&amp;日期!$B$2,allorders!$AG:$AG,"&gt;="&amp;日期!$B$1)</f>
        <v>0</v>
      </c>
      <c r="C195">
        <f>B195/(日期!$B$2-日期!$B$1+1)</f>
        <v>0</v>
      </c>
    </row>
    <row r="196" spans="2:3">
      <c r="B196">
        <f>SUMIFS(allorders!O:O,allorders!L:L,'数据处理(仓储使用)'!$A196,allorders!$AG:$AG,"&lt;="&amp;日期!$B$2,allorders!$AG:$AG,"&gt;="&amp;日期!$B$1)</f>
        <v>0</v>
      </c>
      <c r="C196">
        <f>B196/(日期!$B$2-日期!$B$1+1)</f>
        <v>0</v>
      </c>
    </row>
    <row r="197" spans="2:3">
      <c r="B197">
        <f>SUMIFS(allorders!O:O,allorders!L:L,'数据处理(仓储使用)'!$A197,allorders!$AG:$AG,"&lt;="&amp;日期!$B$2,allorders!$AG:$AG,"&gt;="&amp;日期!$B$1)</f>
        <v>0</v>
      </c>
      <c r="C197">
        <f>B197/(日期!$B$2-日期!$B$1+1)</f>
        <v>0</v>
      </c>
    </row>
    <row r="198" spans="2:3">
      <c r="B198">
        <f>SUMIFS(allorders!O:O,allorders!L:L,'数据处理(仓储使用)'!$A198,allorders!$AG:$AG,"&lt;="&amp;日期!$B$2,allorders!$AG:$AG,"&gt;="&amp;日期!$B$1)</f>
        <v>0</v>
      </c>
      <c r="C198">
        <f>B198/(日期!$B$2-日期!$B$1+1)</f>
        <v>0</v>
      </c>
    </row>
    <row r="199" spans="2:3">
      <c r="B199">
        <f>SUMIFS(allorders!O:O,allorders!L:L,'数据处理(仓储使用)'!$A199,allorders!$AG:$AG,"&lt;="&amp;日期!$B$2,allorders!$AG:$AG,"&gt;="&amp;日期!$B$1)</f>
        <v>0</v>
      </c>
      <c r="C199">
        <f>B199/(日期!$B$2-日期!$B$1+1)</f>
        <v>0</v>
      </c>
    </row>
    <row r="200" spans="2:3">
      <c r="B200">
        <f>SUMIFS(allorders!O:O,allorders!L:L,'数据处理(仓储使用)'!$A200,allorders!$AG:$AG,"&lt;="&amp;日期!$B$2,allorders!$AG:$AG,"&gt;="&amp;日期!$B$1)</f>
        <v>0</v>
      </c>
      <c r="C200">
        <f>B200/(日期!$B$2-日期!$B$1+1)</f>
        <v>0</v>
      </c>
    </row>
    <row r="201" spans="2:3">
      <c r="B201">
        <f>SUMIFS(allorders!O:O,allorders!L:L,'数据处理(仓储使用)'!$A201,allorders!$AG:$AG,"&lt;="&amp;日期!$B$2,allorders!$AG:$AG,"&gt;="&amp;日期!$B$1)</f>
        <v>0</v>
      </c>
      <c r="C201">
        <f>B201/(日期!$B$2-日期!$B$1+1)</f>
        <v>0</v>
      </c>
    </row>
    <row r="202" spans="2:3">
      <c r="B202">
        <f>SUMIFS(allorders!O:O,allorders!L:L,'数据处理(仓储使用)'!$A202,allorders!$AG:$AG,"&lt;="&amp;日期!$B$2,allorders!$AG:$AG,"&gt;="&amp;日期!$B$1)</f>
        <v>0</v>
      </c>
      <c r="C202">
        <f>B202/(日期!$B$2-日期!$B$1+1)</f>
        <v>0</v>
      </c>
    </row>
    <row r="203" spans="2:3">
      <c r="B203">
        <f>SUMIFS(allorders!O:O,allorders!L:L,'数据处理(仓储使用)'!$A203,allorders!$AG:$AG,"&lt;="&amp;日期!$B$2,allorders!$AG:$AG,"&gt;="&amp;日期!$B$1)</f>
        <v>0</v>
      </c>
      <c r="C203">
        <f>B203/(日期!$B$2-日期!$B$1+1)</f>
        <v>0</v>
      </c>
    </row>
    <row r="204" spans="2:3">
      <c r="B204">
        <f>SUMIFS(allorders!O:O,allorders!L:L,'数据处理(仓储使用)'!$A204,allorders!$AG:$AG,"&lt;="&amp;日期!$B$2,allorders!$AG:$AG,"&gt;="&amp;日期!$B$1)</f>
        <v>0</v>
      </c>
      <c r="C204">
        <f>B204/(日期!$B$2-日期!$B$1+1)</f>
        <v>0</v>
      </c>
    </row>
    <row r="205" spans="2:3">
      <c r="B205">
        <f>SUMIFS(allorders!O:O,allorders!L:L,'数据处理(仓储使用)'!$A205,allorders!$AG:$AG,"&lt;="&amp;日期!$B$2,allorders!$AG:$AG,"&gt;="&amp;日期!$B$1)</f>
        <v>0</v>
      </c>
      <c r="C205">
        <f>B205/(日期!$B$2-日期!$B$1+1)</f>
        <v>0</v>
      </c>
    </row>
    <row r="206" spans="2:3">
      <c r="B206">
        <f>SUMIFS(allorders!O:O,allorders!L:L,'数据处理(仓储使用)'!$A206,allorders!$AG:$AG,"&lt;="&amp;日期!$B$2,allorders!$AG:$AG,"&gt;="&amp;日期!$B$1)</f>
        <v>0</v>
      </c>
      <c r="C206">
        <f>B206/(日期!$B$2-日期!$B$1+1)</f>
        <v>0</v>
      </c>
    </row>
    <row r="207" spans="2:3">
      <c r="B207">
        <f>SUMIFS(allorders!O:O,allorders!L:L,'数据处理(仓储使用)'!$A207,allorders!$AG:$AG,"&lt;="&amp;日期!$B$2,allorders!$AG:$AG,"&gt;="&amp;日期!$B$1)</f>
        <v>0</v>
      </c>
      <c r="C207">
        <f>B207/(日期!$B$2-日期!$B$1+1)</f>
        <v>0</v>
      </c>
    </row>
    <row r="208" spans="2:3">
      <c r="B208">
        <f>SUMIFS(allorders!O:O,allorders!L:L,'数据处理(仓储使用)'!$A208,allorders!$AG:$AG,"&lt;="&amp;日期!$B$2,allorders!$AG:$AG,"&gt;="&amp;日期!$B$1)</f>
        <v>0</v>
      </c>
      <c r="C208">
        <f>B208/(日期!$B$2-日期!$B$1+1)</f>
        <v>0</v>
      </c>
    </row>
    <row r="209" spans="2:3">
      <c r="B209">
        <f>SUMIFS(allorders!O:O,allorders!L:L,'数据处理(仓储使用)'!$A209,allorders!$AG:$AG,"&lt;="&amp;日期!$B$2,allorders!$AG:$AG,"&gt;="&amp;日期!$B$1)</f>
        <v>0</v>
      </c>
      <c r="C209">
        <f>B209/(日期!$B$2-日期!$B$1+1)</f>
        <v>0</v>
      </c>
    </row>
    <row r="210" spans="2:3">
      <c r="B210">
        <f>SUMIFS(allorders!O:O,allorders!L:L,'数据处理(仓储使用)'!$A210,allorders!$AG:$AG,"&lt;="&amp;日期!$B$2,allorders!$AG:$AG,"&gt;="&amp;日期!$B$1)</f>
        <v>0</v>
      </c>
      <c r="C210">
        <f>B210/(日期!$B$2-日期!$B$1+1)</f>
        <v>0</v>
      </c>
    </row>
    <row r="211" spans="2:3">
      <c r="B211">
        <f>SUMIFS(allorders!O:O,allorders!L:L,'数据处理(仓储使用)'!$A211,allorders!$AG:$AG,"&lt;="&amp;日期!$B$2,allorders!$AG:$AG,"&gt;="&amp;日期!$B$1)</f>
        <v>0</v>
      </c>
      <c r="C211">
        <f>B211/(日期!$B$2-日期!$B$1+1)</f>
        <v>0</v>
      </c>
    </row>
    <row r="212" spans="2:3">
      <c r="B212">
        <f>SUMIFS(allorders!O:O,allorders!L:L,'数据处理(仓储使用)'!$A212,allorders!$AG:$AG,"&lt;="&amp;日期!$B$2,allorders!$AG:$AG,"&gt;="&amp;日期!$B$1)</f>
        <v>0</v>
      </c>
      <c r="C212">
        <f>B212/(日期!$B$2-日期!$B$1+1)</f>
        <v>0</v>
      </c>
    </row>
    <row r="213" spans="2:3">
      <c r="B213">
        <f>SUMIFS(allorders!O:O,allorders!L:L,'数据处理(仓储使用)'!$A213,allorders!$AG:$AG,"&lt;="&amp;日期!$B$2,allorders!$AG:$AG,"&gt;="&amp;日期!$B$1)</f>
        <v>0</v>
      </c>
      <c r="C213">
        <f>B213/(日期!$B$2-日期!$B$1+1)</f>
        <v>0</v>
      </c>
    </row>
    <row r="214" spans="2:3">
      <c r="B214">
        <f>SUMIFS(allorders!O:O,allorders!L:L,'数据处理(仓储使用)'!$A214,allorders!$AG:$AG,"&lt;="&amp;日期!$B$2,allorders!$AG:$AG,"&gt;="&amp;日期!$B$1)</f>
        <v>0</v>
      </c>
      <c r="C214">
        <f>B214/(日期!$B$2-日期!$B$1+1)</f>
        <v>0</v>
      </c>
    </row>
    <row r="215" spans="2:3">
      <c r="B215">
        <f>SUMIFS(allorders!O:O,allorders!L:L,'数据处理(仓储使用)'!$A215,allorders!$AG:$AG,"&lt;="&amp;日期!$B$2,allorders!$AG:$AG,"&gt;="&amp;日期!$B$1)</f>
        <v>0</v>
      </c>
      <c r="C215">
        <f>B215/(日期!$B$2-日期!$B$1+1)</f>
        <v>0</v>
      </c>
    </row>
    <row r="216" spans="2:3">
      <c r="B216">
        <f>SUMIFS(allorders!O:O,allorders!L:L,'数据处理(仓储使用)'!$A216,allorders!$AG:$AG,"&lt;="&amp;日期!$B$2,allorders!$AG:$AG,"&gt;="&amp;日期!$B$1)</f>
        <v>0</v>
      </c>
      <c r="C216">
        <f>B216/(日期!$B$2-日期!$B$1+1)</f>
        <v>0</v>
      </c>
    </row>
    <row r="217" spans="2:3">
      <c r="B217">
        <f>SUMIFS(allorders!O:O,allorders!L:L,'数据处理(仓储使用)'!$A217,allorders!$AG:$AG,"&lt;="&amp;日期!$B$2,allorders!$AG:$AG,"&gt;="&amp;日期!$B$1)</f>
        <v>0</v>
      </c>
      <c r="C217">
        <f>B217/(日期!$B$2-日期!$B$1+1)</f>
        <v>0</v>
      </c>
    </row>
    <row r="218" spans="2:3">
      <c r="B218">
        <f>SUMIFS(allorders!O:O,allorders!L:L,'数据处理(仓储使用)'!$A218,allorders!$AG:$AG,"&lt;="&amp;日期!$B$2,allorders!$AG:$AG,"&gt;="&amp;日期!$B$1)</f>
        <v>0</v>
      </c>
      <c r="C218">
        <f>B218/(日期!$B$2-日期!$B$1+1)</f>
        <v>0</v>
      </c>
    </row>
    <row r="219" spans="2:3">
      <c r="B219">
        <f>SUMIFS(allorders!O:O,allorders!L:L,'数据处理(仓储使用)'!$A219,allorders!$AG:$AG,"&lt;="&amp;日期!$B$2,allorders!$AG:$AG,"&gt;="&amp;日期!$B$1)</f>
        <v>0</v>
      </c>
      <c r="C219">
        <f>B219/(日期!$B$2-日期!$B$1+1)</f>
        <v>0</v>
      </c>
    </row>
    <row r="220" spans="2:3">
      <c r="B220">
        <f>SUMIFS(allorders!O:O,allorders!L:L,'数据处理(仓储使用)'!$A220,allorders!$AG:$AG,"&lt;="&amp;日期!$B$2,allorders!$AG:$AG,"&gt;="&amp;日期!$B$1)</f>
        <v>0</v>
      </c>
      <c r="C220">
        <f>B220/(日期!$B$2-日期!$B$1+1)</f>
        <v>0</v>
      </c>
    </row>
    <row r="221" spans="2:3">
      <c r="B221">
        <f>SUMIFS(allorders!O:O,allorders!L:L,'数据处理(仓储使用)'!$A221,allorders!$AG:$AG,"&lt;="&amp;日期!$B$2,allorders!$AG:$AG,"&gt;="&amp;日期!$B$1)</f>
        <v>0</v>
      </c>
      <c r="C221">
        <f>B221/(日期!$B$2-日期!$B$1+1)</f>
        <v>0</v>
      </c>
    </row>
    <row r="222" spans="2:3">
      <c r="B222">
        <f>SUMIFS(allorders!O:O,allorders!L:L,'数据处理(仓储使用)'!$A222,allorders!$AG:$AG,"&lt;="&amp;日期!$B$2,allorders!$AG:$AG,"&gt;="&amp;日期!$B$1)</f>
        <v>0</v>
      </c>
      <c r="C222">
        <f>B222/(日期!$B$2-日期!$B$1+1)</f>
        <v>0</v>
      </c>
    </row>
    <row r="223" spans="2:3">
      <c r="B223">
        <f>SUMIFS(allorders!O:O,allorders!L:L,'数据处理(仓储使用)'!$A223,allorders!$AG:$AG,"&lt;="&amp;日期!$B$2,allorders!$AG:$AG,"&gt;="&amp;日期!$B$1)</f>
        <v>0</v>
      </c>
      <c r="C223">
        <f>B223/(日期!$B$2-日期!$B$1+1)</f>
        <v>0</v>
      </c>
    </row>
    <row r="224" spans="2:3">
      <c r="B224">
        <f>SUMIFS(allorders!O:O,allorders!L:L,'数据处理(仓储使用)'!$A224,allorders!$AG:$AG,"&lt;="&amp;日期!$B$2,allorders!$AG:$AG,"&gt;="&amp;日期!$B$1)</f>
        <v>0</v>
      </c>
      <c r="C224">
        <f>B224/(日期!$B$2-日期!$B$1+1)</f>
        <v>0</v>
      </c>
    </row>
    <row r="225" spans="2:3">
      <c r="B225">
        <f>SUMIFS(allorders!O:O,allorders!L:L,'数据处理(仓储使用)'!$A225,allorders!$AG:$AG,"&lt;="&amp;日期!$B$2,allorders!$AG:$AG,"&gt;="&amp;日期!$B$1)</f>
        <v>0</v>
      </c>
      <c r="C225">
        <f>B225/(日期!$B$2-日期!$B$1+1)</f>
        <v>0</v>
      </c>
    </row>
    <row r="226" spans="2:3">
      <c r="B226">
        <f>SUMIFS(allorders!O:O,allorders!L:L,'数据处理(仓储使用)'!$A226,allorders!$AG:$AG,"&lt;="&amp;日期!$B$2,allorders!$AG:$AG,"&gt;="&amp;日期!$B$1)</f>
        <v>0</v>
      </c>
      <c r="C226">
        <f>B226/(日期!$B$2-日期!$B$1+1)</f>
        <v>0</v>
      </c>
    </row>
    <row r="227" spans="2:3">
      <c r="B227">
        <f>SUMIFS(allorders!O:O,allorders!L:L,'数据处理(仓储使用)'!$A227,allorders!$AG:$AG,"&lt;="&amp;日期!$B$2,allorders!$AG:$AG,"&gt;="&amp;日期!$B$1)</f>
        <v>0</v>
      </c>
      <c r="C227">
        <f>B227/(日期!$B$2-日期!$B$1+1)</f>
        <v>0</v>
      </c>
    </row>
    <row r="228" spans="2:3">
      <c r="B228">
        <f>SUMIFS(allorders!O:O,allorders!L:L,'数据处理(仓储使用)'!$A228,allorders!$AG:$AG,"&lt;="&amp;日期!$B$2,allorders!$AG:$AG,"&gt;="&amp;日期!$B$1)</f>
        <v>0</v>
      </c>
      <c r="C228">
        <f>B228/(日期!$B$2-日期!$B$1+1)</f>
        <v>0</v>
      </c>
    </row>
    <row r="229" spans="2:3">
      <c r="B229">
        <f>SUMIFS(allorders!O:O,allorders!L:L,'数据处理(仓储使用)'!$A229,allorders!$AG:$AG,"&lt;="&amp;日期!$B$2,allorders!$AG:$AG,"&gt;="&amp;日期!$B$1)</f>
        <v>0</v>
      </c>
      <c r="C229">
        <f>B229/(日期!$B$2-日期!$B$1+1)</f>
        <v>0</v>
      </c>
    </row>
    <row r="230" spans="2:3">
      <c r="B230">
        <f>SUMIFS(allorders!O:O,allorders!L:L,'数据处理(仓储使用)'!$A230,allorders!$AG:$AG,"&lt;="&amp;日期!$B$2,allorders!$AG:$AG,"&gt;="&amp;日期!$B$1)</f>
        <v>0</v>
      </c>
      <c r="C230">
        <f>B230/(日期!$B$2-日期!$B$1+1)</f>
        <v>0</v>
      </c>
    </row>
    <row r="231" spans="2:3">
      <c r="B231">
        <f>SUMIFS(allorders!O:O,allorders!L:L,'数据处理(仓储使用)'!$A231,allorders!$AG:$AG,"&lt;="&amp;日期!$B$2,allorders!$AG:$AG,"&gt;="&amp;日期!$B$1)</f>
        <v>0</v>
      </c>
      <c r="C231">
        <f>B231/(日期!$B$2-日期!$B$1+1)</f>
        <v>0</v>
      </c>
    </row>
    <row r="232" spans="2:3">
      <c r="B232">
        <f>SUMIFS(allorders!O:O,allorders!L:L,'数据处理(仓储使用)'!$A232,allorders!$AG:$AG,"&lt;="&amp;日期!$B$2,allorders!$AG:$AG,"&gt;="&amp;日期!$B$1)</f>
        <v>0</v>
      </c>
      <c r="C232">
        <f>B232/(日期!$B$2-日期!$B$1+1)</f>
        <v>0</v>
      </c>
    </row>
    <row r="233" spans="2:3">
      <c r="B233">
        <f>SUMIFS(allorders!O:O,allorders!L:L,'数据处理(仓储使用)'!$A233,allorders!$AG:$AG,"&lt;="&amp;日期!$B$2,allorders!$AG:$AG,"&gt;="&amp;日期!$B$1)</f>
        <v>0</v>
      </c>
      <c r="C233">
        <f>B233/(日期!$B$2-日期!$B$1+1)</f>
        <v>0</v>
      </c>
    </row>
    <row r="234" spans="2:3">
      <c r="B234">
        <f>SUMIFS(allorders!O:O,allorders!L:L,'数据处理(仓储使用)'!$A234,allorders!$AG:$AG,"&lt;="&amp;日期!$B$2,allorders!$AG:$AG,"&gt;="&amp;日期!$B$1)</f>
        <v>0</v>
      </c>
      <c r="C234">
        <f>B234/(日期!$B$2-日期!$B$1+1)</f>
        <v>0</v>
      </c>
    </row>
    <row r="235" spans="2:3">
      <c r="B235">
        <f>SUMIFS(allorders!O:O,allorders!L:L,'数据处理(仓储使用)'!$A235,allorders!$AG:$AG,"&lt;="&amp;日期!$B$2,allorders!$AG:$AG,"&gt;="&amp;日期!$B$1)</f>
        <v>0</v>
      </c>
      <c r="C235">
        <f>B235/(日期!$B$2-日期!$B$1+1)</f>
        <v>0</v>
      </c>
    </row>
    <row r="236" spans="2:3">
      <c r="B236">
        <f>SUMIFS(allorders!O:O,allorders!L:L,'数据处理(仓储使用)'!$A236,allorders!$AG:$AG,"&lt;="&amp;日期!$B$2,allorders!$AG:$AG,"&gt;="&amp;日期!$B$1)</f>
        <v>0</v>
      </c>
      <c r="C236">
        <f>B236/(日期!$B$2-日期!$B$1+1)</f>
        <v>0</v>
      </c>
    </row>
    <row r="237" spans="2:3">
      <c r="B237">
        <f>SUMIFS(allorders!O:O,allorders!L:L,'数据处理(仓储使用)'!$A237,allorders!$AG:$AG,"&lt;="&amp;日期!$B$2,allorders!$AG:$AG,"&gt;="&amp;日期!$B$1)</f>
        <v>0</v>
      </c>
      <c r="C237">
        <f>B237/(日期!$B$2-日期!$B$1+1)</f>
        <v>0</v>
      </c>
    </row>
    <row r="238" spans="2:3">
      <c r="B238">
        <f>SUMIFS(allorders!O:O,allorders!L:L,'数据处理(仓储使用)'!$A238,allorders!$AG:$AG,"&lt;="&amp;日期!$B$2,allorders!$AG:$AG,"&gt;="&amp;日期!$B$1)</f>
        <v>0</v>
      </c>
      <c r="C238">
        <f>B238/(日期!$B$2-日期!$B$1+1)</f>
        <v>0</v>
      </c>
    </row>
    <row r="239" spans="2:3">
      <c r="B239">
        <f>SUMIFS(allorders!O:O,allorders!L:L,'数据处理(仓储使用)'!$A239,allorders!$AG:$AG,"&lt;="&amp;日期!$B$2,allorders!$AG:$AG,"&gt;="&amp;日期!$B$1)</f>
        <v>0</v>
      </c>
      <c r="C239">
        <f>B239/(日期!$B$2-日期!$B$1+1)</f>
        <v>0</v>
      </c>
    </row>
    <row r="240" spans="2:3">
      <c r="B240">
        <f>SUMIFS(allorders!O:O,allorders!L:L,'数据处理(仓储使用)'!$A240,allorders!$AG:$AG,"&lt;="&amp;日期!$B$2,allorders!$AG:$AG,"&gt;="&amp;日期!$B$1)</f>
        <v>0</v>
      </c>
      <c r="C240">
        <f>B240/(日期!$B$2-日期!$B$1+1)</f>
        <v>0</v>
      </c>
    </row>
    <row r="241" spans="2:3">
      <c r="B241">
        <f>SUMIFS(allorders!O:O,allorders!L:L,'数据处理(仓储使用)'!$A241,allorders!$AG:$AG,"&lt;="&amp;日期!$B$2,allorders!$AG:$AG,"&gt;="&amp;日期!$B$1)</f>
        <v>0</v>
      </c>
      <c r="C241">
        <f>B241/(日期!$B$2-日期!$B$1+1)</f>
        <v>0</v>
      </c>
    </row>
    <row r="242" spans="2:3">
      <c r="B242">
        <f>SUMIFS(allorders!O:O,allorders!L:L,'数据处理(仓储使用)'!$A242,allorders!$AG:$AG,"&lt;="&amp;日期!$B$2,allorders!$AG:$AG,"&gt;="&amp;日期!$B$1)</f>
        <v>0</v>
      </c>
      <c r="C242">
        <f>B242/(日期!$B$2-日期!$B$1+1)</f>
        <v>0</v>
      </c>
    </row>
    <row r="243" spans="2:3">
      <c r="B243">
        <f>SUMIFS(allorders!O:O,allorders!L:L,'数据处理(仓储使用)'!$A243,allorders!$AG:$AG,"&lt;="&amp;日期!$B$2,allorders!$AG:$AG,"&gt;="&amp;日期!$B$1)</f>
        <v>0</v>
      </c>
      <c r="C243">
        <f>B243/(日期!$B$2-日期!$B$1+1)</f>
        <v>0</v>
      </c>
    </row>
    <row r="244" spans="2:3">
      <c r="B244">
        <f>SUMIFS(allorders!O:O,allorders!L:L,'数据处理(仓储使用)'!$A244,allorders!$AG:$AG,"&lt;="&amp;日期!$B$2,allorders!$AG:$AG,"&gt;="&amp;日期!$B$1)</f>
        <v>0</v>
      </c>
      <c r="C244">
        <f>B244/(日期!$B$2-日期!$B$1+1)</f>
        <v>0</v>
      </c>
    </row>
    <row r="245" spans="2:3">
      <c r="B245">
        <f>SUMIFS(allorders!O:O,allorders!L:L,'数据处理(仓储使用)'!$A245,allorders!$AG:$AG,"&lt;="&amp;日期!$B$2,allorders!$AG:$AG,"&gt;="&amp;日期!$B$1)</f>
        <v>0</v>
      </c>
      <c r="C245">
        <f>B245/(日期!$B$2-日期!$B$1+1)</f>
        <v>0</v>
      </c>
    </row>
    <row r="246" spans="2:3">
      <c r="B246">
        <f>SUMIFS(allorders!O:O,allorders!L:L,'数据处理(仓储使用)'!$A246,allorders!$AG:$AG,"&lt;="&amp;日期!$B$2,allorders!$AG:$AG,"&gt;="&amp;日期!$B$1)</f>
        <v>0</v>
      </c>
      <c r="C246">
        <f>B246/(日期!$B$2-日期!$B$1+1)</f>
        <v>0</v>
      </c>
    </row>
    <row r="247" spans="2:3">
      <c r="B247">
        <f>SUMIFS(allorders!O:O,allorders!L:L,'数据处理(仓储使用)'!$A247,allorders!$AG:$AG,"&lt;="&amp;日期!$B$2,allorders!$AG:$AG,"&gt;="&amp;日期!$B$1)</f>
        <v>0</v>
      </c>
      <c r="C247">
        <f>B247/(日期!$B$2-日期!$B$1+1)</f>
        <v>0</v>
      </c>
    </row>
    <row r="248" spans="2:3">
      <c r="B248">
        <f>SUMIFS(allorders!O:O,allorders!L:L,'数据处理(仓储使用)'!$A248,allorders!$AG:$AG,"&lt;="&amp;日期!$B$2,allorders!$AG:$AG,"&gt;="&amp;日期!$B$1)</f>
        <v>0</v>
      </c>
      <c r="C248">
        <f>B248/(日期!$B$2-日期!$B$1+1)</f>
        <v>0</v>
      </c>
    </row>
    <row r="249" spans="2:3">
      <c r="B249">
        <f>SUMIFS(allorders!O:O,allorders!L:L,'数据处理(仓储使用)'!$A249,allorders!$AG:$AG,"&lt;="&amp;日期!$B$2,allorders!$AG:$AG,"&gt;="&amp;日期!$B$1)</f>
        <v>0</v>
      </c>
      <c r="C249">
        <f>B249/(日期!$B$2-日期!$B$1+1)</f>
        <v>0</v>
      </c>
    </row>
    <row r="250" spans="2:3">
      <c r="B250">
        <f>SUMIFS(allorders!O:O,allorders!L:L,'数据处理(仓储使用)'!$A250,allorders!$AG:$AG,"&lt;="&amp;日期!$B$2,allorders!$AG:$AG,"&gt;="&amp;日期!$B$1)</f>
        <v>0</v>
      </c>
      <c r="C250">
        <f>B250/(日期!$B$2-日期!$B$1+1)</f>
        <v>0</v>
      </c>
    </row>
    <row r="251" spans="2:3">
      <c r="B251">
        <f>SUMIFS(allorders!O:O,allorders!L:L,'数据处理(仓储使用)'!$A251,allorders!$AG:$AG,"&lt;="&amp;日期!$B$2,allorders!$AG:$AG,"&gt;="&amp;日期!$B$1)</f>
        <v>0</v>
      </c>
      <c r="C251">
        <f>B251/(日期!$B$2-日期!$B$1+1)</f>
        <v>0</v>
      </c>
    </row>
    <row r="252" spans="2:3">
      <c r="B252">
        <f>SUMIFS(allorders!O:O,allorders!L:L,'数据处理(仓储使用)'!$A252,allorders!$AG:$AG,"&lt;="&amp;日期!$B$2,allorders!$AG:$AG,"&gt;="&amp;日期!$B$1)</f>
        <v>0</v>
      </c>
      <c r="C252">
        <f>B252/(日期!$B$2-日期!$B$1+1)</f>
        <v>0</v>
      </c>
    </row>
    <row r="253" spans="2:3">
      <c r="B253">
        <f>SUMIFS(allorders!O:O,allorders!L:L,'数据处理(仓储使用)'!$A253,allorders!$AG:$AG,"&lt;="&amp;日期!$B$2,allorders!$AG:$AG,"&gt;="&amp;日期!$B$1)</f>
        <v>0</v>
      </c>
      <c r="C253">
        <f>B253/(日期!$B$2-日期!$B$1+1)</f>
        <v>0</v>
      </c>
    </row>
    <row r="254" spans="2:3">
      <c r="B254">
        <f>SUMIFS(allorders!O:O,allorders!L:L,'数据处理(仓储使用)'!$A254,allorders!$AG:$AG,"&lt;="&amp;日期!$B$2,allorders!$AG:$AG,"&gt;="&amp;日期!$B$1)</f>
        <v>0</v>
      </c>
      <c r="C254">
        <f>B254/(日期!$B$2-日期!$B$1+1)</f>
        <v>0</v>
      </c>
    </row>
    <row r="255" spans="2:3">
      <c r="B255">
        <f>SUMIFS(allorders!O:O,allorders!L:L,'数据处理(仓储使用)'!$A255,allorders!$AG:$AG,"&lt;="&amp;日期!$B$2,allorders!$AG:$AG,"&gt;="&amp;日期!$B$1)</f>
        <v>0</v>
      </c>
      <c r="C255">
        <f>B255/(日期!$B$2-日期!$B$1+1)</f>
        <v>0</v>
      </c>
    </row>
    <row r="256" spans="2:3">
      <c r="B256">
        <f>SUMIFS(allorders!O:O,allorders!L:L,'数据处理(仓储使用)'!$A256,allorders!$AG:$AG,"&lt;="&amp;日期!$B$2,allorders!$AG:$AG,"&gt;="&amp;日期!$B$1)</f>
        <v>0</v>
      </c>
      <c r="C256">
        <f>B256/(日期!$B$2-日期!$B$1+1)</f>
        <v>0</v>
      </c>
    </row>
    <row r="257" spans="2:3">
      <c r="B257">
        <f>SUMIFS(allorders!O:O,allorders!L:L,'数据处理(仓储使用)'!$A257,allorders!$AG:$AG,"&lt;="&amp;日期!$B$2,allorders!$AG:$AG,"&gt;="&amp;日期!$B$1)</f>
        <v>0</v>
      </c>
      <c r="C257">
        <f>B257/(日期!$B$2-日期!$B$1+1)</f>
        <v>0</v>
      </c>
    </row>
    <row r="258" spans="2:3">
      <c r="B258">
        <f>SUMIFS(allorders!O:O,allorders!L:L,'数据处理(仓储使用)'!$A258,allorders!$AG:$AG,"&lt;="&amp;日期!$B$2,allorders!$AG:$AG,"&gt;="&amp;日期!$B$1)</f>
        <v>0</v>
      </c>
      <c r="C258">
        <f>B258/(日期!$B$2-日期!$B$1+1)</f>
        <v>0</v>
      </c>
    </row>
    <row r="259" spans="2:3">
      <c r="B259">
        <f>SUMIFS(allorders!O:O,allorders!L:L,'数据处理(仓储使用)'!$A259,allorders!$AG:$AG,"&lt;="&amp;日期!$B$2,allorders!$AG:$AG,"&gt;="&amp;日期!$B$1)</f>
        <v>0</v>
      </c>
      <c r="C259">
        <f>B259/(日期!$B$2-日期!$B$1+1)</f>
        <v>0</v>
      </c>
    </row>
    <row r="260" spans="2:3">
      <c r="B260">
        <f>SUMIFS(allorders!O:O,allorders!L:L,'数据处理(仓储使用)'!$A260,allorders!$AG:$AG,"&lt;="&amp;日期!$B$2,allorders!$AG:$AG,"&gt;="&amp;日期!$B$1)</f>
        <v>0</v>
      </c>
      <c r="C260">
        <f>B260/(日期!$B$2-日期!$B$1+1)</f>
        <v>0</v>
      </c>
    </row>
    <row r="261" spans="2:3">
      <c r="B261">
        <f>SUMIFS(allorders!O:O,allorders!L:L,'数据处理(仓储使用)'!$A261,allorders!$AG:$AG,"&lt;="&amp;日期!$B$2,allorders!$AG:$AG,"&gt;="&amp;日期!$B$1)</f>
        <v>0</v>
      </c>
      <c r="C261">
        <f>B261/(日期!$B$2-日期!$B$1+1)</f>
        <v>0</v>
      </c>
    </row>
    <row r="262" spans="2:3">
      <c r="B262">
        <f>SUMIFS(allorders!O:O,allorders!L:L,'数据处理(仓储使用)'!$A262,allorders!$AG:$AG,"&lt;="&amp;日期!$B$2,allorders!$AG:$AG,"&gt;="&amp;日期!$B$1)</f>
        <v>0</v>
      </c>
      <c r="C262">
        <f>B262/(日期!$B$2-日期!$B$1+1)</f>
        <v>0</v>
      </c>
    </row>
    <row r="263" spans="2:3">
      <c r="B263">
        <f>SUMIFS(allorders!O:O,allorders!L:L,'数据处理(仓储使用)'!$A263,allorders!$AG:$AG,"&lt;="&amp;日期!$B$2,allorders!$AG:$AG,"&gt;="&amp;日期!$B$1)</f>
        <v>0</v>
      </c>
      <c r="C263">
        <f>B263/(日期!$B$2-日期!$B$1+1)</f>
        <v>0</v>
      </c>
    </row>
    <row r="264" spans="2:3">
      <c r="B264">
        <f>SUMIFS(allorders!O:O,allorders!L:L,'数据处理(仓储使用)'!$A264,allorders!$AG:$AG,"&lt;="&amp;日期!$B$2,allorders!$AG:$AG,"&gt;="&amp;日期!$B$1)</f>
        <v>0</v>
      </c>
      <c r="C264">
        <f>B264/(日期!$B$2-日期!$B$1+1)</f>
        <v>0</v>
      </c>
    </row>
    <row r="265" spans="2:3">
      <c r="B265">
        <f>SUMIFS(allorders!O:O,allorders!L:L,'数据处理(仓储使用)'!$A265,allorders!$AG:$AG,"&lt;="&amp;日期!$B$2,allorders!$AG:$AG,"&gt;="&amp;日期!$B$1)</f>
        <v>0</v>
      </c>
      <c r="C265">
        <f>B265/(日期!$B$2-日期!$B$1+1)</f>
        <v>0</v>
      </c>
    </row>
    <row r="266" spans="2:3">
      <c r="B266">
        <f>SUMIFS(allorders!O:O,allorders!L:L,'数据处理(仓储使用)'!$A266,allorders!$AG:$AG,"&lt;="&amp;日期!$B$2,allorders!$AG:$AG,"&gt;="&amp;日期!$B$1)</f>
        <v>0</v>
      </c>
      <c r="C266">
        <f>B266/(日期!$B$2-日期!$B$1+1)</f>
        <v>0</v>
      </c>
    </row>
    <row r="267" spans="2:3">
      <c r="B267">
        <f>SUMIFS(allorders!O:O,allorders!L:L,'数据处理(仓储使用)'!$A267,allorders!$AG:$AG,"&lt;="&amp;日期!$B$2,allorders!$AG:$AG,"&gt;="&amp;日期!$B$1)</f>
        <v>0</v>
      </c>
      <c r="C267">
        <f>B267/(日期!$B$2-日期!$B$1+1)</f>
        <v>0</v>
      </c>
    </row>
    <row r="268" spans="2:3">
      <c r="B268">
        <f>SUMIFS(allorders!O:O,allorders!L:L,'数据处理(仓储使用)'!$A268,allorders!$AG:$AG,"&lt;="&amp;日期!$B$2,allorders!$AG:$AG,"&gt;="&amp;日期!$B$1)</f>
        <v>0</v>
      </c>
      <c r="C268">
        <f>B268/(日期!$B$2-日期!$B$1+1)</f>
        <v>0</v>
      </c>
    </row>
    <row r="269" spans="2:3">
      <c r="B269">
        <f>SUMIFS(allorders!O:O,allorders!L:L,'数据处理(仓储使用)'!$A269,allorders!$AG:$AG,"&lt;="&amp;日期!$B$2,allorders!$AG:$AG,"&gt;="&amp;日期!$B$1)</f>
        <v>0</v>
      </c>
      <c r="C269">
        <f>B269/(日期!$B$2-日期!$B$1+1)</f>
        <v>0</v>
      </c>
    </row>
    <row r="270" spans="2:3">
      <c r="B270">
        <f>SUMIFS(allorders!O:O,allorders!L:L,'数据处理(仓储使用)'!$A270,allorders!$AG:$AG,"&lt;="&amp;日期!$B$2,allorders!$AG:$AG,"&gt;="&amp;日期!$B$1)</f>
        <v>0</v>
      </c>
      <c r="C270">
        <f>B270/(日期!$B$2-日期!$B$1+1)</f>
        <v>0</v>
      </c>
    </row>
    <row r="271" spans="2:3">
      <c r="B271">
        <f>SUMIFS(allorders!O:O,allorders!L:L,'数据处理(仓储使用)'!$A271,allorders!$AG:$AG,"&lt;="&amp;日期!$B$2,allorders!$AG:$AG,"&gt;="&amp;日期!$B$1)</f>
        <v>0</v>
      </c>
      <c r="C271">
        <f>B271/(日期!$B$2-日期!$B$1+1)</f>
        <v>0</v>
      </c>
    </row>
    <row r="272" spans="2:3">
      <c r="B272">
        <f>SUMIFS(allorders!O:O,allorders!L:L,'数据处理(仓储使用)'!$A272,allorders!$AG:$AG,"&lt;="&amp;日期!$B$2,allorders!$AG:$AG,"&gt;="&amp;日期!$B$1)</f>
        <v>0</v>
      </c>
      <c r="C272">
        <f>B272/(日期!$B$2-日期!$B$1+1)</f>
        <v>0</v>
      </c>
    </row>
    <row r="273" spans="2:3">
      <c r="B273">
        <f>SUMIFS(allorders!O:O,allorders!L:L,'数据处理(仓储使用)'!$A273,allorders!$AG:$AG,"&lt;="&amp;日期!$B$2,allorders!$AG:$AG,"&gt;="&amp;日期!$B$1)</f>
        <v>0</v>
      </c>
      <c r="C273">
        <f>B273/(日期!$B$2-日期!$B$1+1)</f>
        <v>0</v>
      </c>
    </row>
    <row r="274" spans="2:3">
      <c r="B274">
        <f>SUMIFS(allorders!O:O,allorders!L:L,'数据处理(仓储使用)'!$A274,allorders!$AG:$AG,"&lt;="&amp;日期!$B$2,allorders!$AG:$AG,"&gt;="&amp;日期!$B$1)</f>
        <v>0</v>
      </c>
      <c r="C274">
        <f>B274/(日期!$B$2-日期!$B$1+1)</f>
        <v>0</v>
      </c>
    </row>
    <row r="275" spans="2:3">
      <c r="B275">
        <f>SUMIFS(allorders!O:O,allorders!L:L,'数据处理(仓储使用)'!$A275,allorders!$AG:$AG,"&lt;="&amp;日期!$B$2,allorders!$AG:$AG,"&gt;="&amp;日期!$B$1)</f>
        <v>0</v>
      </c>
      <c r="C275">
        <f>B275/(日期!$B$2-日期!$B$1+1)</f>
        <v>0</v>
      </c>
    </row>
    <row r="276" spans="2:3">
      <c r="B276">
        <f>SUMIFS(allorders!O:O,allorders!L:L,'数据处理(仓储使用)'!$A276,allorders!$AG:$AG,"&lt;="&amp;日期!$B$2,allorders!$AG:$AG,"&gt;="&amp;日期!$B$1)</f>
        <v>0</v>
      </c>
      <c r="C276">
        <f>B276/(日期!$B$2-日期!$B$1+1)</f>
        <v>0</v>
      </c>
    </row>
    <row r="277" spans="2:3">
      <c r="B277">
        <f>SUMIFS(allorders!O:O,allorders!L:L,'数据处理(仓储使用)'!$A277,allorders!$AG:$AG,"&lt;="&amp;日期!$B$2,allorders!$AG:$AG,"&gt;="&amp;日期!$B$1)</f>
        <v>0</v>
      </c>
      <c r="C277">
        <f>B277/(日期!$B$2-日期!$B$1+1)</f>
        <v>0</v>
      </c>
    </row>
    <row r="278" spans="2:3">
      <c r="B278">
        <f>SUMIFS(allorders!O:O,allorders!L:L,'数据处理(仓储使用)'!$A278,allorders!$AG:$AG,"&lt;="&amp;日期!$B$2,allorders!$AG:$AG,"&gt;="&amp;日期!$B$1)</f>
        <v>0</v>
      </c>
      <c r="C278">
        <f>B278/(日期!$B$2-日期!$B$1+1)</f>
        <v>0</v>
      </c>
    </row>
    <row r="279" spans="2:3">
      <c r="B279">
        <f>SUMIFS(allorders!O:O,allorders!L:L,'数据处理(仓储使用)'!$A279,allorders!$AG:$AG,"&lt;="&amp;日期!$B$2,allorders!$AG:$AG,"&gt;="&amp;日期!$B$1)</f>
        <v>0</v>
      </c>
      <c r="C279">
        <f>B279/(日期!$B$2-日期!$B$1+1)</f>
        <v>0</v>
      </c>
    </row>
    <row r="280" spans="2:3">
      <c r="B280">
        <f>SUMIFS(allorders!O:O,allorders!L:L,'数据处理(仓储使用)'!$A280,allorders!$AG:$AG,"&lt;="&amp;日期!$B$2,allorders!$AG:$AG,"&gt;="&amp;日期!$B$1)</f>
        <v>0</v>
      </c>
      <c r="C280">
        <f>B280/(日期!$B$2-日期!$B$1+1)</f>
        <v>0</v>
      </c>
    </row>
    <row r="281" spans="2:3">
      <c r="B281">
        <f>SUMIFS(allorders!O:O,allorders!L:L,'数据处理(仓储使用)'!$A281,allorders!$AG:$AG,"&lt;="&amp;日期!$B$2,allorders!$AG:$AG,"&gt;="&amp;日期!$B$1)</f>
        <v>0</v>
      </c>
      <c r="C281">
        <f>B281/(日期!$B$2-日期!$B$1+1)</f>
        <v>0</v>
      </c>
    </row>
    <row r="282" spans="2:3">
      <c r="B282">
        <f>SUMIFS(allorders!O:O,allorders!L:L,'数据处理(仓储使用)'!$A282,allorders!$AG:$AG,"&lt;="&amp;日期!$B$2,allorders!$AG:$AG,"&gt;="&amp;日期!$B$1)</f>
        <v>0</v>
      </c>
      <c r="C282">
        <f>B282/(日期!$B$2-日期!$B$1+1)</f>
        <v>0</v>
      </c>
    </row>
    <row r="283" spans="2:3">
      <c r="B283">
        <f>SUMIFS(allorders!O:O,allorders!L:L,'数据处理(仓储使用)'!$A283,allorders!$AG:$AG,"&lt;="&amp;日期!$B$2,allorders!$AG:$AG,"&gt;="&amp;日期!$B$1)</f>
        <v>0</v>
      </c>
      <c r="C283">
        <f>B283/(日期!$B$2-日期!$B$1+1)</f>
        <v>0</v>
      </c>
    </row>
    <row r="284" spans="2:3">
      <c r="B284">
        <f>SUMIFS(allorders!O:O,allorders!L:L,'数据处理(仓储使用)'!$A284,allorders!$AG:$AG,"&lt;="&amp;日期!$B$2,allorders!$AG:$AG,"&gt;="&amp;日期!$B$1)</f>
        <v>0</v>
      </c>
      <c r="C284">
        <f>B284/(日期!$B$2-日期!$B$1+1)</f>
        <v>0</v>
      </c>
    </row>
    <row r="285" spans="2:3">
      <c r="B285">
        <f>SUMIFS(allorders!O:O,allorders!L:L,'数据处理(仓储使用)'!$A285,allorders!$AG:$AG,"&lt;="&amp;日期!$B$2,allorders!$AG:$AG,"&gt;="&amp;日期!$B$1)</f>
        <v>0</v>
      </c>
      <c r="C285">
        <f>B285/(日期!$B$2-日期!$B$1+1)</f>
        <v>0</v>
      </c>
    </row>
    <row r="286" spans="2:3">
      <c r="B286">
        <f>SUMIFS(allorders!O:O,allorders!L:L,'数据处理(仓储使用)'!$A286,allorders!$AG:$AG,"&lt;="&amp;日期!$B$2,allorders!$AG:$AG,"&gt;="&amp;日期!$B$1)</f>
        <v>0</v>
      </c>
      <c r="C286">
        <f>B286/(日期!$B$2-日期!$B$1+1)</f>
        <v>0</v>
      </c>
    </row>
    <row r="287" spans="2:3">
      <c r="B287">
        <f>SUMIFS(allorders!O:O,allorders!L:L,'数据处理(仓储使用)'!$A287,allorders!$AG:$AG,"&lt;="&amp;日期!$B$2,allorders!$AG:$AG,"&gt;="&amp;日期!$B$1)</f>
        <v>0</v>
      </c>
      <c r="C287">
        <f>B287/(日期!$B$2-日期!$B$1+1)</f>
        <v>0</v>
      </c>
    </row>
    <row r="288" spans="2:3">
      <c r="B288">
        <f>SUMIFS(allorders!O:O,allorders!L:L,'数据处理(仓储使用)'!$A288,allorders!$AG:$AG,"&lt;="&amp;日期!$B$2,allorders!$AG:$AG,"&gt;="&amp;日期!$B$1)</f>
        <v>0</v>
      </c>
      <c r="C288">
        <f>B288/(日期!$B$2-日期!$B$1+1)</f>
        <v>0</v>
      </c>
    </row>
    <row r="289" spans="2:3">
      <c r="B289">
        <f>SUMIFS(allorders!O:O,allorders!L:L,'数据处理(仓储使用)'!$A289,allorders!$AG:$AG,"&lt;="&amp;日期!$B$2,allorders!$AG:$AG,"&gt;="&amp;日期!$B$1)</f>
        <v>0</v>
      </c>
      <c r="C289">
        <f>B289/(日期!$B$2-日期!$B$1+1)</f>
        <v>0</v>
      </c>
    </row>
    <row r="290" spans="2:3">
      <c r="B290">
        <f>SUMIFS(allorders!O:O,allorders!L:L,'数据处理(仓储使用)'!$A290,allorders!$AG:$AG,"&lt;="&amp;日期!$B$2,allorders!$AG:$AG,"&gt;="&amp;日期!$B$1)</f>
        <v>0</v>
      </c>
      <c r="C290">
        <f>B290/(日期!$B$2-日期!$B$1+1)</f>
        <v>0</v>
      </c>
    </row>
    <row r="291" spans="2:3">
      <c r="B291">
        <f>SUMIFS(allorders!O:O,allorders!L:L,'数据处理(仓储使用)'!$A291,allorders!$AG:$AG,"&lt;="&amp;日期!$B$2,allorders!$AG:$AG,"&gt;="&amp;日期!$B$1)</f>
        <v>0</v>
      </c>
      <c r="C291">
        <f>B291/(日期!$B$2-日期!$B$1+1)</f>
        <v>0</v>
      </c>
    </row>
    <row r="292" spans="2:3">
      <c r="B292">
        <f>SUMIFS(allorders!O:O,allorders!L:L,'数据处理(仓储使用)'!$A292,allorders!$AG:$AG,"&lt;="&amp;日期!$B$2,allorders!$AG:$AG,"&gt;="&amp;日期!$B$1)</f>
        <v>0</v>
      </c>
      <c r="C292">
        <f>B292/(日期!$B$2-日期!$B$1+1)</f>
        <v>0</v>
      </c>
    </row>
    <row r="293" spans="2:3">
      <c r="B293">
        <f>SUMIFS(allorders!O:O,allorders!L:L,'数据处理(仓储使用)'!$A293,allorders!$AG:$AG,"&lt;="&amp;日期!$B$2,allorders!$AG:$AG,"&gt;="&amp;日期!$B$1)</f>
        <v>0</v>
      </c>
      <c r="C293">
        <f>B293/(日期!$B$2-日期!$B$1+1)</f>
        <v>0</v>
      </c>
    </row>
    <row r="294" spans="2:3">
      <c r="B294">
        <f>SUMIFS(allorders!O:O,allorders!L:L,'数据处理(仓储使用)'!$A294,allorders!$AG:$AG,"&lt;="&amp;日期!$B$2,allorders!$AG:$AG,"&gt;="&amp;日期!$B$1)</f>
        <v>0</v>
      </c>
      <c r="C294">
        <f>B294/(日期!$B$2-日期!$B$1+1)</f>
        <v>0</v>
      </c>
    </row>
    <row r="295" spans="2:3">
      <c r="B295">
        <f>SUMIFS(allorders!O:O,allorders!L:L,'数据处理(仓储使用)'!$A295,allorders!$AG:$AG,"&lt;="&amp;日期!$B$2,allorders!$AG:$AG,"&gt;="&amp;日期!$B$1)</f>
        <v>0</v>
      </c>
      <c r="C295">
        <f>B295/(日期!$B$2-日期!$B$1+1)</f>
        <v>0</v>
      </c>
    </row>
    <row r="296" spans="2:3">
      <c r="B296">
        <f>SUMIFS(allorders!O:O,allorders!L:L,'数据处理(仓储使用)'!$A296,allorders!$AG:$AG,"&lt;="&amp;日期!$B$2,allorders!$AG:$AG,"&gt;="&amp;日期!$B$1)</f>
        <v>0</v>
      </c>
      <c r="C296">
        <f>B296/(日期!$B$2-日期!$B$1+1)</f>
        <v>0</v>
      </c>
    </row>
    <row r="297" spans="2:3">
      <c r="B297">
        <f>SUMIFS(allorders!O:O,allorders!L:L,'数据处理(仓储使用)'!$A297,allorders!$AG:$AG,"&lt;="&amp;日期!$B$2,allorders!$AG:$AG,"&gt;="&amp;日期!$B$1)</f>
        <v>0</v>
      </c>
      <c r="C297">
        <f>B297/(日期!$B$2-日期!$B$1+1)</f>
        <v>0</v>
      </c>
    </row>
    <row r="298" spans="2:3">
      <c r="B298">
        <f>SUMIFS(allorders!O:O,allorders!L:L,'数据处理(仓储使用)'!$A298,allorders!$AG:$AG,"&lt;="&amp;日期!$B$2,allorders!$AG:$AG,"&gt;="&amp;日期!$B$1)</f>
        <v>0</v>
      </c>
      <c r="C298">
        <f>B298/(日期!$B$2-日期!$B$1+1)</f>
        <v>0</v>
      </c>
    </row>
    <row r="299" spans="2:3">
      <c r="B299">
        <f>SUMIFS(allorders!O:O,allorders!L:L,'数据处理(仓储使用)'!$A299,allorders!$AG:$AG,"&lt;="&amp;日期!$B$2,allorders!$AG:$AG,"&gt;="&amp;日期!$B$1)</f>
        <v>0</v>
      </c>
      <c r="C299">
        <f>B299/(日期!$B$2-日期!$B$1+1)</f>
        <v>0</v>
      </c>
    </row>
    <row r="300" spans="2:3">
      <c r="B300">
        <f>SUMIFS(allorders!O:O,allorders!L:L,'数据处理(仓储使用)'!$A300,allorders!$AG:$AG,"&lt;="&amp;日期!$B$2,allorders!$AG:$AG,"&gt;="&amp;日期!$B$1)</f>
        <v>0</v>
      </c>
      <c r="C300">
        <f>B300/(日期!$B$2-日期!$B$1+1)</f>
        <v>0</v>
      </c>
    </row>
    <row r="301" spans="2:3">
      <c r="B301">
        <f>SUMIFS(allorders!O:O,allorders!L:L,'数据处理(仓储使用)'!$A301,allorders!$AG:$AG,"&lt;="&amp;日期!$B$2,allorders!$AG:$AG,"&gt;="&amp;日期!$B$1)</f>
        <v>0</v>
      </c>
      <c r="C301">
        <f>B301/(日期!$B$2-日期!$B$1+1)</f>
        <v>0</v>
      </c>
    </row>
    <row r="302" spans="2:3">
      <c r="B302">
        <f>SUMIFS(allorders!O:O,allorders!L:L,'数据处理(仓储使用)'!$A302,allorders!$AG:$AG,"&lt;="&amp;日期!$B$2,allorders!$AG:$AG,"&gt;="&amp;日期!$B$1)</f>
        <v>0</v>
      </c>
      <c r="C302">
        <f>B302/(日期!$B$2-日期!$B$1+1)</f>
        <v>0</v>
      </c>
    </row>
    <row r="303" spans="2:3">
      <c r="B303">
        <f>SUMIFS(allorders!O:O,allorders!L:L,'数据处理(仓储使用)'!$A303,allorders!$AG:$AG,"&lt;="&amp;日期!$B$2,allorders!$AG:$AG,"&gt;="&amp;日期!$B$1)</f>
        <v>0</v>
      </c>
      <c r="C303">
        <f>B303/(日期!$B$2-日期!$B$1+1)</f>
        <v>0</v>
      </c>
    </row>
    <row r="304" spans="2:3">
      <c r="B304">
        <f>SUMIFS(allorders!O:O,allorders!L:L,'数据处理(仓储使用)'!$A304,allorders!$AG:$AG,"&lt;="&amp;日期!$B$2,allorders!$AG:$AG,"&gt;="&amp;日期!$B$1)</f>
        <v>0</v>
      </c>
      <c r="C304">
        <f>B304/(日期!$B$2-日期!$B$1+1)</f>
        <v>0</v>
      </c>
    </row>
    <row r="305" spans="2:3">
      <c r="B305">
        <f>SUMIFS(allorders!O:O,allorders!L:L,'数据处理(仓储使用)'!$A305,allorders!$AG:$AG,"&lt;="&amp;日期!$B$2,allorders!$AG:$AG,"&gt;="&amp;日期!$B$1)</f>
        <v>0</v>
      </c>
      <c r="C305">
        <f>B305/(日期!$B$2-日期!$B$1+1)</f>
        <v>0</v>
      </c>
    </row>
    <row r="306" spans="2:3">
      <c r="B306">
        <f>SUMIFS(allorders!O:O,allorders!L:L,'数据处理(仓储使用)'!$A306,allorders!$AG:$AG,"&lt;="&amp;日期!$B$2,allorders!$AG:$AG,"&gt;="&amp;日期!$B$1)</f>
        <v>0</v>
      </c>
      <c r="C306">
        <f>B306/(日期!$B$2-日期!$B$1+1)</f>
        <v>0</v>
      </c>
    </row>
    <row r="307" spans="2:3">
      <c r="B307">
        <f>SUMIFS(allorders!O:O,allorders!L:L,'数据处理(仓储使用)'!$A307,allorders!$AG:$AG,"&lt;="&amp;日期!$B$2,allorders!$AG:$AG,"&gt;="&amp;日期!$B$1)</f>
        <v>0</v>
      </c>
      <c r="C307">
        <f>B307/(日期!$B$2-日期!$B$1+1)</f>
        <v>0</v>
      </c>
    </row>
    <row r="308" spans="2:3">
      <c r="B308">
        <f>SUMIFS(allorders!O:O,allorders!L:L,'数据处理(仓储使用)'!$A308,allorders!$AG:$AG,"&lt;="&amp;日期!$B$2,allorders!$AG:$AG,"&gt;="&amp;日期!$B$1)</f>
        <v>0</v>
      </c>
      <c r="C308">
        <f>B308/(日期!$B$2-日期!$B$1+1)</f>
        <v>0</v>
      </c>
    </row>
    <row r="309" spans="2:3">
      <c r="B309">
        <f>SUMIFS(allorders!O:O,allorders!L:L,'数据处理(仓储使用)'!$A309,allorders!$AG:$AG,"&lt;="&amp;日期!$B$2,allorders!$AG:$AG,"&gt;="&amp;日期!$B$1)</f>
        <v>0</v>
      </c>
      <c r="C309">
        <f>B309/(日期!$B$2-日期!$B$1+1)</f>
        <v>0</v>
      </c>
    </row>
    <row r="310" spans="2:3">
      <c r="B310">
        <f>SUMIFS(allorders!O:O,allorders!L:L,'数据处理(仓储使用)'!$A310,allorders!$AG:$AG,"&lt;="&amp;日期!$B$2,allorders!$AG:$AG,"&gt;="&amp;日期!$B$1)</f>
        <v>0</v>
      </c>
      <c r="C310">
        <f>B310/(日期!$B$2-日期!$B$1+1)</f>
        <v>0</v>
      </c>
    </row>
    <row r="311" spans="2:3">
      <c r="B311">
        <f>SUMIFS(allorders!O:O,allorders!L:L,'数据处理(仓储使用)'!$A311,allorders!$AG:$AG,"&lt;="&amp;日期!$B$2,allorders!$AG:$AG,"&gt;="&amp;日期!$B$1)</f>
        <v>0</v>
      </c>
      <c r="C311">
        <f>B311/(日期!$B$2-日期!$B$1+1)</f>
        <v>0</v>
      </c>
    </row>
    <row r="312" spans="2:3">
      <c r="B312">
        <f>SUMIFS(allorders!O:O,allorders!L:L,'数据处理(仓储使用)'!$A312,allorders!$AG:$AG,"&lt;="&amp;日期!$B$2,allorders!$AG:$AG,"&gt;="&amp;日期!$B$1)</f>
        <v>0</v>
      </c>
      <c r="C312">
        <f>B312/(日期!$B$2-日期!$B$1+1)</f>
        <v>0</v>
      </c>
    </row>
    <row r="313" spans="2:3">
      <c r="B313">
        <f>SUMIFS(allorders!O:O,allorders!L:L,'数据处理(仓储使用)'!$A313,allorders!$AG:$AG,"&lt;="&amp;日期!$B$2,allorders!$AG:$AG,"&gt;="&amp;日期!$B$1)</f>
        <v>0</v>
      </c>
      <c r="C313">
        <f>B313/(日期!$B$2-日期!$B$1+1)</f>
        <v>0</v>
      </c>
    </row>
    <row r="314" spans="2:3">
      <c r="B314">
        <f>SUMIFS(allorders!O:O,allorders!L:L,'数据处理(仓储使用)'!$A314,allorders!$AG:$AG,"&lt;="&amp;日期!$B$2,allorders!$AG:$AG,"&gt;="&amp;日期!$B$1)</f>
        <v>0</v>
      </c>
      <c r="C314">
        <f>B314/(日期!$B$2-日期!$B$1+1)</f>
        <v>0</v>
      </c>
    </row>
    <row r="315" spans="2:3">
      <c r="B315">
        <f>SUMIFS(allorders!O:O,allorders!L:L,'数据处理(仓储使用)'!$A315,allorders!$AG:$AG,"&lt;="&amp;日期!$B$2,allorders!$AG:$AG,"&gt;="&amp;日期!$B$1)</f>
        <v>0</v>
      </c>
      <c r="C315">
        <f>B315/(日期!$B$2-日期!$B$1+1)</f>
        <v>0</v>
      </c>
    </row>
    <row r="316" spans="2:3">
      <c r="B316">
        <f>SUMIFS(allorders!O:O,allorders!L:L,'数据处理(仓储使用)'!$A316,allorders!$AG:$AG,"&lt;="&amp;日期!$B$2,allorders!$AG:$AG,"&gt;="&amp;日期!$B$1)</f>
        <v>0</v>
      </c>
      <c r="C316">
        <f>B316/(日期!$B$2-日期!$B$1+1)</f>
        <v>0</v>
      </c>
    </row>
    <row r="317" spans="2:3">
      <c r="B317">
        <f>SUMIFS(allorders!O:O,allorders!L:L,'数据处理(仓储使用)'!$A317,allorders!$AG:$AG,"&lt;="&amp;日期!$B$2,allorders!$AG:$AG,"&gt;="&amp;日期!$B$1)</f>
        <v>0</v>
      </c>
      <c r="C317">
        <f>B317/(日期!$B$2-日期!$B$1+1)</f>
        <v>0</v>
      </c>
    </row>
    <row r="318" spans="2:3">
      <c r="B318">
        <f>SUMIFS(allorders!O:O,allorders!L:L,'数据处理(仓储使用)'!$A318,allorders!$AG:$AG,"&lt;="&amp;日期!$B$2,allorders!$AG:$AG,"&gt;="&amp;日期!$B$1)</f>
        <v>0</v>
      </c>
      <c r="C318">
        <f>B318/(日期!$B$2-日期!$B$1+1)</f>
        <v>0</v>
      </c>
    </row>
    <row r="319" spans="2:3">
      <c r="B319">
        <f>SUMIFS(allorders!O:O,allorders!L:L,'数据处理(仓储使用)'!$A319,allorders!$AG:$AG,"&lt;="&amp;日期!$B$2,allorders!$AG:$AG,"&gt;="&amp;日期!$B$1)</f>
        <v>0</v>
      </c>
      <c r="C319">
        <f>B319/(日期!$B$2-日期!$B$1+1)</f>
        <v>0</v>
      </c>
    </row>
    <row r="320" spans="2:3">
      <c r="B320">
        <f>SUMIFS(allorders!O:O,allorders!L:L,'数据处理(仓储使用)'!$A320,allorders!$AG:$AG,"&lt;="&amp;日期!$B$2,allorders!$AG:$AG,"&gt;="&amp;日期!$B$1)</f>
        <v>0</v>
      </c>
      <c r="C320">
        <f>B320/(日期!$B$2-日期!$B$1+1)</f>
        <v>0</v>
      </c>
    </row>
    <row r="321" spans="2:3">
      <c r="B321">
        <f>SUMIFS(allorders!O:O,allorders!L:L,'数据处理(仓储使用)'!$A321,allorders!$AG:$AG,"&lt;="&amp;日期!$B$2,allorders!$AG:$AG,"&gt;="&amp;日期!$B$1)</f>
        <v>0</v>
      </c>
      <c r="C321">
        <f>B321/(日期!$B$2-日期!$B$1+1)</f>
        <v>0</v>
      </c>
    </row>
    <row r="322" spans="2:3">
      <c r="B322">
        <f>SUMIFS(allorders!O:O,allorders!L:L,'数据处理(仓储使用)'!$A322,allorders!$AG:$AG,"&lt;="&amp;日期!$B$2,allorders!$AG:$AG,"&gt;="&amp;日期!$B$1)</f>
        <v>0</v>
      </c>
      <c r="C322">
        <f>B322/(日期!$B$2-日期!$B$1+1)</f>
        <v>0</v>
      </c>
    </row>
    <row r="323" spans="2:3">
      <c r="B323">
        <f>SUMIFS(allorders!O:O,allorders!L:L,'数据处理(仓储使用)'!$A323,allorders!$AG:$AG,"&lt;="&amp;日期!$B$2,allorders!$AG:$AG,"&gt;="&amp;日期!$B$1)</f>
        <v>0</v>
      </c>
      <c r="C323">
        <f>B323/(日期!$B$2-日期!$B$1+1)</f>
        <v>0</v>
      </c>
    </row>
    <row r="324" spans="2:3">
      <c r="B324">
        <f>SUMIFS(allorders!O:O,allorders!L:L,'数据处理(仓储使用)'!$A324,allorders!$AG:$AG,"&lt;="&amp;日期!$B$2,allorders!$AG:$AG,"&gt;="&amp;日期!$B$1)</f>
        <v>0</v>
      </c>
      <c r="C324">
        <f>B324/(日期!$B$2-日期!$B$1+1)</f>
        <v>0</v>
      </c>
    </row>
    <row r="325" spans="2:3">
      <c r="B325">
        <f>SUMIFS(allorders!O:O,allorders!L:L,'数据处理(仓储使用)'!$A325,allorders!$AG:$AG,"&lt;="&amp;日期!$B$2,allorders!$AG:$AG,"&gt;="&amp;日期!$B$1)</f>
        <v>0</v>
      </c>
      <c r="C325">
        <f>B325/(日期!$B$2-日期!$B$1+1)</f>
        <v>0</v>
      </c>
    </row>
    <row r="326" spans="2:3">
      <c r="B326">
        <f>SUMIFS(allorders!O:O,allorders!L:L,'数据处理(仓储使用)'!$A326,allorders!$AG:$AG,"&lt;="&amp;日期!$B$2,allorders!$AG:$AG,"&gt;="&amp;日期!$B$1)</f>
        <v>0</v>
      </c>
      <c r="C326">
        <f>B326/(日期!$B$2-日期!$B$1+1)</f>
        <v>0</v>
      </c>
    </row>
    <row r="327" spans="2:3">
      <c r="B327">
        <f>SUMIFS(allorders!O:O,allorders!L:L,'数据处理(仓储使用)'!$A327,allorders!$AG:$AG,"&lt;="&amp;日期!$B$2,allorders!$AG:$AG,"&gt;="&amp;日期!$B$1)</f>
        <v>0</v>
      </c>
      <c r="C327">
        <f>B327/(日期!$B$2-日期!$B$1+1)</f>
        <v>0</v>
      </c>
    </row>
    <row r="328" spans="2:3">
      <c r="B328">
        <f>SUMIFS(allorders!O:O,allorders!L:L,'数据处理(仓储使用)'!$A328,allorders!$AG:$AG,"&lt;="&amp;日期!$B$2,allorders!$AG:$AG,"&gt;="&amp;日期!$B$1)</f>
        <v>0</v>
      </c>
      <c r="C328">
        <f>B328/(日期!$B$2-日期!$B$1+1)</f>
        <v>0</v>
      </c>
    </row>
    <row r="329" spans="2:3">
      <c r="B329">
        <f>SUMIFS(allorders!O:O,allorders!L:L,'数据处理(仓储使用)'!$A329,allorders!$AG:$AG,"&lt;="&amp;日期!$B$2,allorders!$AG:$AG,"&gt;="&amp;日期!$B$1)</f>
        <v>0</v>
      </c>
      <c r="C329">
        <f>B329/(日期!$B$2-日期!$B$1+1)</f>
        <v>0</v>
      </c>
    </row>
    <row r="330" spans="2:3">
      <c r="B330">
        <f>SUMIFS(allorders!O:O,allorders!L:L,'数据处理(仓储使用)'!$A330,allorders!$AG:$AG,"&lt;="&amp;日期!$B$2,allorders!$AG:$AG,"&gt;="&amp;日期!$B$1)</f>
        <v>0</v>
      </c>
      <c r="C330">
        <f>B330/(日期!$B$2-日期!$B$1+1)</f>
        <v>0</v>
      </c>
    </row>
    <row r="331" spans="2:3">
      <c r="B331">
        <f>SUMIFS(allorders!O:O,allorders!L:L,'数据处理(仓储使用)'!$A331,allorders!$AG:$AG,"&lt;="&amp;日期!$B$2,allorders!$AG:$AG,"&gt;="&amp;日期!$B$1)</f>
        <v>0</v>
      </c>
      <c r="C331">
        <f>B331/(日期!$B$2-日期!$B$1+1)</f>
        <v>0</v>
      </c>
    </row>
    <row r="332" spans="2:3">
      <c r="B332">
        <f>SUMIFS(allorders!O:O,allorders!L:L,'数据处理(仓储使用)'!$A332,allorders!$AG:$AG,"&lt;="&amp;日期!$B$2,allorders!$AG:$AG,"&gt;="&amp;日期!$B$1)</f>
        <v>0</v>
      </c>
      <c r="C332">
        <f>B332/(日期!$B$2-日期!$B$1+1)</f>
        <v>0</v>
      </c>
    </row>
    <row r="333" spans="2:3">
      <c r="B333">
        <f>SUMIFS(allorders!O:O,allorders!L:L,'数据处理(仓储使用)'!$A333,allorders!$AG:$AG,"&lt;="&amp;日期!$B$2,allorders!$AG:$AG,"&gt;="&amp;日期!$B$1)</f>
        <v>0</v>
      </c>
      <c r="C333">
        <f>B333/(日期!$B$2-日期!$B$1+1)</f>
        <v>0</v>
      </c>
    </row>
    <row r="334" spans="2:3">
      <c r="B334">
        <f>SUMIFS(allorders!O:O,allorders!L:L,'数据处理(仓储使用)'!$A334,allorders!$AG:$AG,"&lt;="&amp;日期!$B$2,allorders!$AG:$AG,"&gt;="&amp;日期!$B$1)</f>
        <v>0</v>
      </c>
      <c r="C334">
        <f>B334/(日期!$B$2-日期!$B$1+1)</f>
        <v>0</v>
      </c>
    </row>
    <row r="335" spans="2:3">
      <c r="B335">
        <f>SUMIFS(allorders!O:O,allorders!L:L,'数据处理(仓储使用)'!$A335,allorders!$AG:$AG,"&lt;="&amp;日期!$B$2,allorders!$AG:$AG,"&gt;="&amp;日期!$B$1)</f>
        <v>0</v>
      </c>
      <c r="C335">
        <f>B335/(日期!$B$2-日期!$B$1+1)</f>
        <v>0</v>
      </c>
    </row>
    <row r="336" spans="2:3">
      <c r="B336">
        <f>SUMIFS(allorders!O:O,allorders!L:L,'数据处理(仓储使用)'!$A336,allorders!$AG:$AG,"&lt;="&amp;日期!$B$2,allorders!$AG:$AG,"&gt;="&amp;日期!$B$1)</f>
        <v>0</v>
      </c>
      <c r="C336">
        <f>B336/(日期!$B$2-日期!$B$1+1)</f>
        <v>0</v>
      </c>
    </row>
    <row r="337" spans="2:3">
      <c r="B337">
        <f>SUMIFS(allorders!O:O,allorders!L:L,'数据处理(仓储使用)'!$A337,allorders!$AG:$AG,"&lt;="&amp;日期!$B$2,allorders!$AG:$AG,"&gt;="&amp;日期!$B$1)</f>
        <v>0</v>
      </c>
      <c r="C337">
        <f>B337/(日期!$B$2-日期!$B$1+1)</f>
        <v>0</v>
      </c>
    </row>
    <row r="338" spans="2:3">
      <c r="B338">
        <f>SUMIFS(allorders!O:O,allorders!L:L,'数据处理(仓储使用)'!$A338,allorders!$AG:$AG,"&lt;="&amp;日期!$B$2,allorders!$AG:$AG,"&gt;="&amp;日期!$B$1)</f>
        <v>0</v>
      </c>
      <c r="C338">
        <f>B338/(日期!$B$2-日期!$B$1+1)</f>
        <v>0</v>
      </c>
    </row>
    <row r="339" spans="2:3">
      <c r="B339">
        <f>SUMIFS(allorders!O:O,allorders!L:L,'数据处理(仓储使用)'!$A339,allorders!$AG:$AG,"&lt;="&amp;日期!$B$2,allorders!$AG:$AG,"&gt;="&amp;日期!$B$1)</f>
        <v>0</v>
      </c>
      <c r="C339">
        <f>B339/(日期!$B$2-日期!$B$1+1)</f>
        <v>0</v>
      </c>
    </row>
    <row r="340" spans="2:3">
      <c r="B340">
        <f>SUMIFS(allorders!O:O,allorders!L:L,'数据处理(仓储使用)'!$A340,allorders!$AG:$AG,"&lt;="&amp;日期!$B$2,allorders!$AG:$AG,"&gt;="&amp;日期!$B$1)</f>
        <v>0</v>
      </c>
      <c r="C340">
        <f>B340/(日期!$B$2-日期!$B$1+1)</f>
        <v>0</v>
      </c>
    </row>
    <row r="341" spans="2:3">
      <c r="B341">
        <f>SUMIFS(allorders!O:O,allorders!L:L,'数据处理(仓储使用)'!$A341,allorders!$AG:$AG,"&lt;="&amp;日期!$B$2,allorders!$AG:$AG,"&gt;="&amp;日期!$B$1)</f>
        <v>0</v>
      </c>
      <c r="C341">
        <f>B341/(日期!$B$2-日期!$B$1+1)</f>
        <v>0</v>
      </c>
    </row>
    <row r="342" spans="2:3">
      <c r="B342">
        <f>SUMIFS(allorders!O:O,allorders!L:L,'数据处理(仓储使用)'!$A342,allorders!$AG:$AG,"&lt;="&amp;日期!$B$2,allorders!$AG:$AG,"&gt;="&amp;日期!$B$1)</f>
        <v>0</v>
      </c>
      <c r="C342">
        <f>B342/(日期!$B$2-日期!$B$1+1)</f>
        <v>0</v>
      </c>
    </row>
    <row r="343" spans="2:3">
      <c r="B343">
        <f>SUMIFS(allorders!O:O,allorders!L:L,'数据处理(仓储使用)'!$A343,allorders!$AG:$AG,"&lt;="&amp;日期!$B$2,allorders!$AG:$AG,"&gt;="&amp;日期!$B$1)</f>
        <v>0</v>
      </c>
      <c r="C343">
        <f>B343/(日期!$B$2-日期!$B$1+1)</f>
        <v>0</v>
      </c>
    </row>
    <row r="344" spans="2:3">
      <c r="B344">
        <f>SUMIFS(allorders!O:O,allorders!L:L,'数据处理(仓储使用)'!$A344,allorders!$AG:$AG,"&lt;="&amp;日期!$B$2,allorders!$AG:$AG,"&gt;="&amp;日期!$B$1)</f>
        <v>0</v>
      </c>
      <c r="C344">
        <f>B344/(日期!$B$2-日期!$B$1+1)</f>
        <v>0</v>
      </c>
    </row>
    <row r="345" spans="2:3">
      <c r="B345">
        <f>SUMIFS(allorders!O:O,allorders!L:L,'数据处理(仓储使用)'!$A345,allorders!$AG:$AG,"&lt;="&amp;日期!$B$2,allorders!$AG:$AG,"&gt;="&amp;日期!$B$1)</f>
        <v>0</v>
      </c>
      <c r="C345">
        <f>B345/(日期!$B$2-日期!$B$1+1)</f>
        <v>0</v>
      </c>
    </row>
    <row r="346" spans="2:3">
      <c r="B346">
        <f>SUMIFS(allorders!O:O,allorders!L:L,'数据处理(仓储使用)'!$A346,allorders!$AG:$AG,"&lt;="&amp;日期!$B$2,allorders!$AG:$AG,"&gt;="&amp;日期!$B$1)</f>
        <v>0</v>
      </c>
      <c r="C346">
        <f>B346/(日期!$B$2-日期!$B$1+1)</f>
        <v>0</v>
      </c>
    </row>
    <row r="347" spans="2:3">
      <c r="B347">
        <f>SUMIFS(allorders!O:O,allorders!L:L,'数据处理(仓储使用)'!$A347,allorders!$AG:$AG,"&lt;="&amp;日期!$B$2,allorders!$AG:$AG,"&gt;="&amp;日期!$B$1)</f>
        <v>0</v>
      </c>
      <c r="C347">
        <f>B347/(日期!$B$2-日期!$B$1+1)</f>
        <v>0</v>
      </c>
    </row>
    <row r="348" spans="2:3">
      <c r="B348">
        <f>SUMIFS(allorders!O:O,allorders!L:L,'数据处理(仓储使用)'!$A348,allorders!$AG:$AG,"&lt;="&amp;日期!$B$2,allorders!$AG:$AG,"&gt;="&amp;日期!$B$1)</f>
        <v>0</v>
      </c>
      <c r="C348">
        <f>B348/(日期!$B$2-日期!$B$1+1)</f>
        <v>0</v>
      </c>
    </row>
    <row r="349" spans="2:3">
      <c r="B349">
        <f>SUMIFS(allorders!O:O,allorders!L:L,'数据处理(仓储使用)'!$A349,allorders!$AG:$AG,"&lt;="&amp;日期!$B$2,allorders!$AG:$AG,"&gt;="&amp;日期!$B$1)</f>
        <v>0</v>
      </c>
      <c r="C349">
        <f>B349/(日期!$B$2-日期!$B$1+1)</f>
        <v>0</v>
      </c>
    </row>
    <row r="350" spans="2:3">
      <c r="B350">
        <f>SUMIFS(allorders!O:O,allorders!L:L,'数据处理(仓储使用)'!$A350,allorders!$AG:$AG,"&lt;="&amp;日期!$B$2,allorders!$AG:$AG,"&gt;="&amp;日期!$B$1)</f>
        <v>0</v>
      </c>
      <c r="C350">
        <f>B350/(日期!$B$2-日期!$B$1+1)</f>
        <v>0</v>
      </c>
    </row>
    <row r="351" spans="2:3">
      <c r="B351">
        <f>SUMIFS(allorders!O:O,allorders!L:L,'数据处理(仓储使用)'!$A351,allorders!$AG:$AG,"&lt;="&amp;日期!$B$2,allorders!$AG:$AG,"&gt;="&amp;日期!$B$1)</f>
        <v>0</v>
      </c>
      <c r="C351">
        <f>B351/(日期!$B$2-日期!$B$1+1)</f>
        <v>0</v>
      </c>
    </row>
    <row r="352" spans="2:3">
      <c r="B352">
        <f>SUMIFS(allorders!O:O,allorders!L:L,'数据处理(仓储使用)'!$A352,allorders!$AG:$AG,"&lt;="&amp;日期!$B$2,allorders!$AG:$AG,"&gt;="&amp;日期!$B$1)</f>
        <v>0</v>
      </c>
      <c r="C352">
        <f>B352/(日期!$B$2-日期!$B$1+1)</f>
        <v>0</v>
      </c>
    </row>
    <row r="353" spans="2:3">
      <c r="B353">
        <f>SUMIFS(allorders!O:O,allorders!L:L,'数据处理(仓储使用)'!$A353,allorders!$AG:$AG,"&lt;="&amp;日期!$B$2,allorders!$AG:$AG,"&gt;="&amp;日期!$B$1)</f>
        <v>0</v>
      </c>
      <c r="C353">
        <f>B353/(日期!$B$2-日期!$B$1+1)</f>
        <v>0</v>
      </c>
    </row>
    <row r="354" spans="2:3">
      <c r="B354">
        <f>SUMIFS(allorders!O:O,allorders!L:L,'数据处理(仓储使用)'!$A354,allorders!$AG:$AG,"&lt;="&amp;日期!$B$2,allorders!$AG:$AG,"&gt;="&amp;日期!$B$1)</f>
        <v>0</v>
      </c>
      <c r="C354">
        <f>B354/(日期!$B$2-日期!$B$1+1)</f>
        <v>0</v>
      </c>
    </row>
    <row r="355" spans="2:3">
      <c r="B355">
        <f>SUMIFS(allorders!O:O,allorders!L:L,'数据处理(仓储使用)'!$A355,allorders!$AG:$AG,"&lt;="&amp;日期!$B$2,allorders!$AG:$AG,"&gt;="&amp;日期!$B$1)</f>
        <v>0</v>
      </c>
      <c r="C355">
        <f>B355/(日期!$B$2-日期!$B$1+1)</f>
        <v>0</v>
      </c>
    </row>
    <row r="356" spans="2:3">
      <c r="B356">
        <f>SUMIFS(allorders!O:O,allorders!L:L,'数据处理(仓储使用)'!$A356,allorders!$AG:$AG,"&lt;="&amp;日期!$B$2,allorders!$AG:$AG,"&gt;="&amp;日期!$B$1)</f>
        <v>0</v>
      </c>
      <c r="C356">
        <f>B356/(日期!$B$2-日期!$B$1+1)</f>
        <v>0</v>
      </c>
    </row>
    <row r="357" spans="2:3">
      <c r="B357">
        <f>SUMIFS(allorders!O:O,allorders!L:L,'数据处理(仓储使用)'!$A357,allorders!$AG:$AG,"&lt;="&amp;日期!$B$2,allorders!$AG:$AG,"&gt;="&amp;日期!$B$1)</f>
        <v>0</v>
      </c>
      <c r="C357">
        <f>B357/(日期!$B$2-日期!$B$1+1)</f>
        <v>0</v>
      </c>
    </row>
    <row r="358" spans="2:3">
      <c r="B358">
        <f>SUMIFS(allorders!O:O,allorders!L:L,'数据处理(仓储使用)'!$A358,allorders!$AG:$AG,"&lt;="&amp;日期!$B$2,allorders!$AG:$AG,"&gt;="&amp;日期!$B$1)</f>
        <v>0</v>
      </c>
      <c r="C358">
        <f>B358/(日期!$B$2-日期!$B$1+1)</f>
        <v>0</v>
      </c>
    </row>
    <row r="359" spans="2:3">
      <c r="B359">
        <f>SUMIFS(allorders!O:O,allorders!L:L,'数据处理(仓储使用)'!$A359,allorders!$AG:$AG,"&lt;="&amp;日期!$B$2,allorders!$AG:$AG,"&gt;="&amp;日期!$B$1)</f>
        <v>0</v>
      </c>
      <c r="C359">
        <f>B359/(日期!$B$2-日期!$B$1+1)</f>
        <v>0</v>
      </c>
    </row>
    <row r="360" spans="2:3">
      <c r="B360">
        <f>SUMIFS(allorders!O:O,allorders!L:L,'数据处理(仓储使用)'!$A360,allorders!$AG:$AG,"&lt;="&amp;日期!$B$2,allorders!$AG:$AG,"&gt;="&amp;日期!$B$1)</f>
        <v>0</v>
      </c>
      <c r="C360">
        <f>B360/(日期!$B$2-日期!$B$1+1)</f>
        <v>0</v>
      </c>
    </row>
    <row r="361" spans="2:3">
      <c r="B361">
        <f>SUMIFS(allorders!O:O,allorders!L:L,'数据处理(仓储使用)'!$A361,allorders!$AG:$AG,"&lt;="&amp;日期!$B$2,allorders!$AG:$AG,"&gt;="&amp;日期!$B$1)</f>
        <v>0</v>
      </c>
      <c r="C361">
        <f>B361/(日期!$B$2-日期!$B$1+1)</f>
        <v>0</v>
      </c>
    </row>
    <row r="362" spans="2:3">
      <c r="B362">
        <f>SUMIFS(allorders!O:O,allorders!L:L,'数据处理(仓储使用)'!$A362,allorders!$AG:$AG,"&lt;="&amp;日期!$B$2,allorders!$AG:$AG,"&gt;="&amp;日期!$B$1)</f>
        <v>0</v>
      </c>
      <c r="C362">
        <f>B362/(日期!$B$2-日期!$B$1+1)</f>
        <v>0</v>
      </c>
    </row>
    <row r="363" spans="2:3">
      <c r="B363">
        <f>SUMIFS(allorders!O:O,allorders!L:L,'数据处理(仓储使用)'!$A363,allorders!$AG:$AG,"&lt;="&amp;日期!$B$2,allorders!$AG:$AG,"&gt;="&amp;日期!$B$1)</f>
        <v>0</v>
      </c>
      <c r="C363">
        <f>B363/(日期!$B$2-日期!$B$1+1)</f>
        <v>0</v>
      </c>
    </row>
    <row r="364" spans="2:3">
      <c r="B364">
        <f>SUMIFS(allorders!O:O,allorders!L:L,'数据处理(仓储使用)'!$A364,allorders!$AG:$AG,"&lt;="&amp;日期!$B$2,allorders!$AG:$AG,"&gt;="&amp;日期!$B$1)</f>
        <v>0</v>
      </c>
      <c r="C364">
        <f>B364/(日期!$B$2-日期!$B$1+1)</f>
        <v>0</v>
      </c>
    </row>
    <row r="365" spans="2:3">
      <c r="B365">
        <f>SUMIFS(allorders!O:O,allorders!L:L,'数据处理(仓储使用)'!$A365,allorders!$AG:$AG,"&lt;="&amp;日期!$B$2,allorders!$AG:$AG,"&gt;="&amp;日期!$B$1)</f>
        <v>0</v>
      </c>
      <c r="C365">
        <f>B365/(日期!$B$2-日期!$B$1+1)</f>
        <v>0</v>
      </c>
    </row>
    <row r="366" spans="2:3">
      <c r="B366">
        <f>SUMIFS(allorders!O:O,allorders!L:L,'数据处理(仓储使用)'!$A366,allorders!$AG:$AG,"&lt;="&amp;日期!$B$2,allorders!$AG:$AG,"&gt;="&amp;日期!$B$1)</f>
        <v>0</v>
      </c>
      <c r="C366">
        <f>B366/(日期!$B$2-日期!$B$1+1)</f>
        <v>0</v>
      </c>
    </row>
    <row r="367" spans="2:3">
      <c r="B367">
        <f>SUMIFS(allorders!O:O,allorders!L:L,'数据处理(仓储使用)'!$A367,allorders!$AG:$AG,"&lt;="&amp;日期!$B$2,allorders!$AG:$AG,"&gt;="&amp;日期!$B$1)</f>
        <v>0</v>
      </c>
      <c r="C367">
        <f>B367/(日期!$B$2-日期!$B$1+1)</f>
        <v>0</v>
      </c>
    </row>
    <row r="368" spans="2:3">
      <c r="B368">
        <f>SUMIFS(allorders!O:O,allorders!L:L,'数据处理(仓储使用)'!$A368,allorders!$AG:$AG,"&lt;="&amp;日期!$B$2,allorders!$AG:$AG,"&gt;="&amp;日期!$B$1)</f>
        <v>0</v>
      </c>
      <c r="C368">
        <f>B368/(日期!$B$2-日期!$B$1+1)</f>
        <v>0</v>
      </c>
    </row>
    <row r="369" spans="2:3">
      <c r="B369">
        <f>SUMIFS(allorders!O:O,allorders!L:L,'数据处理(仓储使用)'!$A369,allorders!$AG:$AG,"&lt;="&amp;日期!$B$2,allorders!$AG:$AG,"&gt;="&amp;日期!$B$1)</f>
        <v>0</v>
      </c>
      <c r="C369">
        <f>B369/(日期!$B$2-日期!$B$1+1)</f>
        <v>0</v>
      </c>
    </row>
    <row r="370" spans="2:3">
      <c r="B370">
        <f>SUMIFS(allorders!O:O,allorders!L:L,'数据处理(仓储使用)'!$A370,allorders!$AG:$AG,"&lt;="&amp;日期!$B$2,allorders!$AG:$AG,"&gt;="&amp;日期!$B$1)</f>
        <v>0</v>
      </c>
      <c r="C370">
        <f>B370/(日期!$B$2-日期!$B$1+1)</f>
        <v>0</v>
      </c>
    </row>
    <row r="371" spans="2:3">
      <c r="B371">
        <f>SUMIFS(allorders!O:O,allorders!L:L,'数据处理(仓储使用)'!$A371,allorders!$AG:$AG,"&lt;="&amp;日期!$B$2,allorders!$AG:$AG,"&gt;="&amp;日期!$B$1)</f>
        <v>0</v>
      </c>
      <c r="C371">
        <f>B371/(日期!$B$2-日期!$B$1+1)</f>
        <v>0</v>
      </c>
    </row>
    <row r="372" spans="2:3">
      <c r="B372">
        <f>SUMIFS(allorders!O:O,allorders!L:L,'数据处理(仓储使用)'!$A372,allorders!$AG:$AG,"&lt;="&amp;日期!$B$2,allorders!$AG:$AG,"&gt;="&amp;日期!$B$1)</f>
        <v>0</v>
      </c>
      <c r="C372">
        <f>B372/(日期!$B$2-日期!$B$1+1)</f>
        <v>0</v>
      </c>
    </row>
    <row r="373" spans="2:3">
      <c r="B373">
        <f>SUMIFS(allorders!O:O,allorders!L:L,'数据处理(仓储使用)'!$A373,allorders!$AG:$AG,"&lt;="&amp;日期!$B$2,allorders!$AG:$AG,"&gt;="&amp;日期!$B$1)</f>
        <v>0</v>
      </c>
      <c r="C373">
        <f>B373/(日期!$B$2-日期!$B$1+1)</f>
        <v>0</v>
      </c>
    </row>
    <row r="374" spans="2:3">
      <c r="B374">
        <f>SUMIFS(allorders!O:O,allorders!L:L,'数据处理(仓储使用)'!$A374,allorders!$AG:$AG,"&lt;="&amp;日期!$B$2,allorders!$AG:$AG,"&gt;="&amp;日期!$B$1)</f>
        <v>0</v>
      </c>
      <c r="C374">
        <f>B374/(日期!$B$2-日期!$B$1+1)</f>
        <v>0</v>
      </c>
    </row>
    <row r="375" spans="2:3">
      <c r="B375">
        <f>SUMIFS(allorders!O:O,allorders!L:L,'数据处理(仓储使用)'!$A375,allorders!$AG:$AG,"&lt;="&amp;日期!$B$2,allorders!$AG:$AG,"&gt;="&amp;日期!$B$1)</f>
        <v>0</v>
      </c>
      <c r="C375">
        <f>B375/(日期!$B$2-日期!$B$1+1)</f>
        <v>0</v>
      </c>
    </row>
    <row r="376" spans="2:3">
      <c r="B376">
        <f>SUMIFS(allorders!O:O,allorders!L:L,'数据处理(仓储使用)'!$A376,allorders!$AG:$AG,"&lt;="&amp;日期!$B$2,allorders!$AG:$AG,"&gt;="&amp;日期!$B$1)</f>
        <v>0</v>
      </c>
      <c r="C376">
        <f>B376/(日期!$B$2-日期!$B$1+1)</f>
        <v>0</v>
      </c>
    </row>
    <row r="377" spans="2:3">
      <c r="B377">
        <f>SUMIFS(allorders!O:O,allorders!L:L,'数据处理(仓储使用)'!$A377,allorders!$AG:$AG,"&lt;="&amp;日期!$B$2,allorders!$AG:$AG,"&gt;="&amp;日期!$B$1)</f>
        <v>0</v>
      </c>
      <c r="C377">
        <f>B377/(日期!$B$2-日期!$B$1+1)</f>
        <v>0</v>
      </c>
    </row>
    <row r="378" spans="2:3">
      <c r="B378">
        <f>SUMIFS(allorders!O:O,allorders!L:L,'数据处理(仓储使用)'!$A378,allorders!$AG:$AG,"&lt;="&amp;日期!$B$2,allorders!$AG:$AG,"&gt;="&amp;日期!$B$1)</f>
        <v>0</v>
      </c>
      <c r="C378">
        <f>B378/(日期!$B$2-日期!$B$1+1)</f>
        <v>0</v>
      </c>
    </row>
    <row r="379" spans="2:3">
      <c r="B379">
        <f>SUMIFS(allorders!O:O,allorders!L:L,'数据处理(仓储使用)'!$A379,allorders!$AG:$AG,"&lt;="&amp;日期!$B$2,allorders!$AG:$AG,"&gt;="&amp;日期!$B$1)</f>
        <v>0</v>
      </c>
      <c r="C379">
        <f>B379/(日期!$B$2-日期!$B$1+1)</f>
        <v>0</v>
      </c>
    </row>
    <row r="380" spans="2:3">
      <c r="B380">
        <f>SUMIFS(allorders!O:O,allorders!L:L,'数据处理(仓储使用)'!$A380,allorders!$AG:$AG,"&lt;="&amp;日期!$B$2,allorders!$AG:$AG,"&gt;="&amp;日期!$B$1)</f>
        <v>0</v>
      </c>
      <c r="C380">
        <f>B380/(日期!$B$2-日期!$B$1+1)</f>
        <v>0</v>
      </c>
    </row>
    <row r="381" spans="2:3">
      <c r="B381">
        <f>SUMIFS(allorders!O:O,allorders!L:L,'数据处理(仓储使用)'!$A381,allorders!$AG:$AG,"&lt;="&amp;日期!$B$2,allorders!$AG:$AG,"&gt;="&amp;日期!$B$1)</f>
        <v>0</v>
      </c>
      <c r="C381">
        <f>B381/(日期!$B$2-日期!$B$1+1)</f>
        <v>0</v>
      </c>
    </row>
    <row r="382" spans="2:3">
      <c r="B382">
        <f>SUMIFS(allorders!O:O,allorders!L:L,'数据处理(仓储使用)'!$A382,allorders!$AG:$AG,"&lt;="&amp;日期!$B$2,allorders!$AG:$AG,"&gt;="&amp;日期!$B$1)</f>
        <v>0</v>
      </c>
      <c r="C382">
        <f>B382/(日期!$B$2-日期!$B$1+1)</f>
        <v>0</v>
      </c>
    </row>
    <row r="383" spans="2:3">
      <c r="B383">
        <f>SUMIFS(allorders!O:O,allorders!L:L,'数据处理(仓储使用)'!$A383,allorders!$AG:$AG,"&lt;="&amp;日期!$B$2,allorders!$AG:$AG,"&gt;="&amp;日期!$B$1)</f>
        <v>0</v>
      </c>
      <c r="C383">
        <f>B383/(日期!$B$2-日期!$B$1+1)</f>
        <v>0</v>
      </c>
    </row>
    <row r="384" spans="2:3">
      <c r="B384">
        <f>SUMIFS(allorders!O:O,allorders!L:L,'数据处理(仓储使用)'!$A384,allorders!$AG:$AG,"&lt;="&amp;日期!$B$2,allorders!$AG:$AG,"&gt;="&amp;日期!$B$1)</f>
        <v>0</v>
      </c>
      <c r="C384">
        <f>B384/(日期!$B$2-日期!$B$1+1)</f>
        <v>0</v>
      </c>
    </row>
    <row r="385" spans="2:3">
      <c r="B385">
        <f>SUMIFS(allorders!O:O,allorders!L:L,'数据处理(仓储使用)'!$A385,allorders!$AG:$AG,"&lt;="&amp;日期!$B$2,allorders!$AG:$AG,"&gt;="&amp;日期!$B$1)</f>
        <v>0</v>
      </c>
      <c r="C385">
        <f>B385/(日期!$B$2-日期!$B$1+1)</f>
        <v>0</v>
      </c>
    </row>
    <row r="386" spans="2:3">
      <c r="B386">
        <f>SUMIFS(allorders!O:O,allorders!L:L,'数据处理(仓储使用)'!$A386,allorders!$AG:$AG,"&lt;="&amp;日期!$B$2,allorders!$AG:$AG,"&gt;="&amp;日期!$B$1)</f>
        <v>0</v>
      </c>
      <c r="C386">
        <f>B386/(日期!$B$2-日期!$B$1+1)</f>
        <v>0</v>
      </c>
    </row>
    <row r="387" spans="2:3">
      <c r="B387">
        <f>SUMIFS(allorders!O:O,allorders!L:L,'数据处理(仓储使用)'!$A387,allorders!$AG:$AG,"&lt;="&amp;日期!$B$2,allorders!$AG:$AG,"&gt;="&amp;日期!$B$1)</f>
        <v>0</v>
      </c>
      <c r="C387">
        <f>B387/(日期!$B$2-日期!$B$1+1)</f>
        <v>0</v>
      </c>
    </row>
    <row r="388" spans="2:3">
      <c r="B388">
        <f>SUMIFS(allorders!O:O,allorders!L:L,'数据处理(仓储使用)'!$A388,allorders!$AG:$AG,"&lt;="&amp;日期!$B$2,allorders!$AG:$AG,"&gt;="&amp;日期!$B$1)</f>
        <v>0</v>
      </c>
      <c r="C388">
        <f>B388/(日期!$B$2-日期!$B$1+1)</f>
        <v>0</v>
      </c>
    </row>
    <row r="389" spans="2:3">
      <c r="B389">
        <f>SUMIFS(allorders!O:O,allorders!L:L,'数据处理(仓储使用)'!$A389,allorders!$AG:$AG,"&lt;="&amp;日期!$B$2,allorders!$AG:$AG,"&gt;="&amp;日期!$B$1)</f>
        <v>0</v>
      </c>
      <c r="C389">
        <f>B389/(日期!$B$2-日期!$B$1+1)</f>
        <v>0</v>
      </c>
    </row>
    <row r="390" spans="2:3">
      <c r="B390">
        <f>SUMIFS(allorders!O:O,allorders!L:L,'数据处理(仓储使用)'!$A390,allorders!$AG:$AG,"&lt;="&amp;日期!$B$2,allorders!$AG:$AG,"&gt;="&amp;日期!$B$1)</f>
        <v>0</v>
      </c>
      <c r="C390">
        <f>B390/(日期!$B$2-日期!$B$1+1)</f>
        <v>0</v>
      </c>
    </row>
    <row r="391" spans="2:3">
      <c r="B391">
        <f>SUMIFS(allorders!O:O,allorders!L:L,'数据处理(仓储使用)'!$A391,allorders!$AG:$AG,"&lt;="&amp;日期!$B$2,allorders!$AG:$AG,"&gt;="&amp;日期!$B$1)</f>
        <v>0</v>
      </c>
      <c r="C391">
        <f>B391/(日期!$B$2-日期!$B$1+1)</f>
        <v>0</v>
      </c>
    </row>
    <row r="392" spans="2:3">
      <c r="B392">
        <f>SUMIFS(allorders!O:O,allorders!L:L,'数据处理(仓储使用)'!$A392,allorders!$AG:$AG,"&lt;="&amp;日期!$B$2,allorders!$AG:$AG,"&gt;="&amp;日期!$B$1)</f>
        <v>0</v>
      </c>
      <c r="C392">
        <f>B392/(日期!$B$2-日期!$B$1+1)</f>
        <v>0</v>
      </c>
    </row>
    <row r="393" spans="2:3">
      <c r="B393">
        <f>SUMIFS(allorders!O:O,allorders!L:L,'数据处理(仓储使用)'!$A393,allorders!$AG:$AG,"&lt;="&amp;日期!$B$2,allorders!$AG:$AG,"&gt;="&amp;日期!$B$1)</f>
        <v>0</v>
      </c>
      <c r="C393">
        <f>B393/(日期!$B$2-日期!$B$1+1)</f>
        <v>0</v>
      </c>
    </row>
    <row r="394" spans="2:3">
      <c r="B394">
        <f>SUMIFS(allorders!O:O,allorders!L:L,'数据处理(仓储使用)'!$A394,allorders!$AG:$AG,"&lt;="&amp;日期!$B$2,allorders!$AG:$AG,"&gt;="&amp;日期!$B$1)</f>
        <v>0</v>
      </c>
      <c r="C394">
        <f>B394/(日期!$B$2-日期!$B$1+1)</f>
        <v>0</v>
      </c>
    </row>
    <row r="395" spans="2:3">
      <c r="B395">
        <f>SUMIFS(allorders!O:O,allorders!L:L,'数据处理(仓储使用)'!$A395,allorders!$AG:$AG,"&lt;="&amp;日期!$B$2,allorders!$AG:$AG,"&gt;="&amp;日期!$B$1)</f>
        <v>0</v>
      </c>
      <c r="C395">
        <f>B395/(日期!$B$2-日期!$B$1+1)</f>
        <v>0</v>
      </c>
    </row>
    <row r="396" spans="2:3">
      <c r="B396">
        <f>SUMIFS(allorders!O:O,allorders!L:L,'数据处理(仓储使用)'!$A396,allorders!$AG:$AG,"&lt;="&amp;日期!$B$2,allorders!$AG:$AG,"&gt;="&amp;日期!$B$1)</f>
        <v>0</v>
      </c>
      <c r="C396">
        <f>B396/(日期!$B$2-日期!$B$1+1)</f>
        <v>0</v>
      </c>
    </row>
    <row r="397" spans="2:3">
      <c r="B397">
        <f>SUMIFS(allorders!O:O,allorders!L:L,'数据处理(仓储使用)'!$A397,allorders!$AG:$AG,"&lt;="&amp;日期!$B$2,allorders!$AG:$AG,"&gt;="&amp;日期!$B$1)</f>
        <v>0</v>
      </c>
      <c r="C397">
        <f>B397/(日期!$B$2-日期!$B$1+1)</f>
        <v>0</v>
      </c>
    </row>
    <row r="398" spans="2:3">
      <c r="B398">
        <f>SUMIFS(allorders!O:O,allorders!L:L,'数据处理(仓储使用)'!$A398,allorders!$AG:$AG,"&lt;="&amp;日期!$B$2,allorders!$AG:$AG,"&gt;="&amp;日期!$B$1)</f>
        <v>0</v>
      </c>
      <c r="C398">
        <f>B398/(日期!$B$2-日期!$B$1+1)</f>
        <v>0</v>
      </c>
    </row>
    <row r="399" spans="2:3">
      <c r="B399">
        <f>SUMIFS(allorders!O:O,allorders!L:L,'数据处理(仓储使用)'!$A399,allorders!$AG:$AG,"&lt;="&amp;日期!$B$2,allorders!$AG:$AG,"&gt;="&amp;日期!$B$1)</f>
        <v>0</v>
      </c>
      <c r="C399">
        <f>B399/(日期!$B$2-日期!$B$1+1)</f>
        <v>0</v>
      </c>
    </row>
    <row r="400" spans="2:3">
      <c r="B400">
        <f>SUMIFS(allorders!O:O,allorders!L:L,'数据处理(仓储使用)'!$A400,allorders!$AG:$AG,"&lt;="&amp;日期!$B$2,allorders!$AG:$AG,"&gt;="&amp;日期!$B$1)</f>
        <v>0</v>
      </c>
      <c r="C400">
        <f>B400/(日期!$B$2-日期!$B$1+1)</f>
        <v>0</v>
      </c>
    </row>
    <row r="401" spans="2:3">
      <c r="B401">
        <f>SUMIFS(allorders!O:O,allorders!L:L,'数据处理(仓储使用)'!$A401,allorders!$AG:$AG,"&lt;="&amp;日期!$B$2,allorders!$AG:$AG,"&gt;="&amp;日期!$B$1)</f>
        <v>0</v>
      </c>
      <c r="C401">
        <f>B401/(日期!$B$2-日期!$B$1+1)</f>
        <v>0</v>
      </c>
    </row>
    <row r="402" spans="2:3">
      <c r="B402">
        <f>SUMIFS(allorders!O:O,allorders!L:L,'数据处理(仓储使用)'!$A402,allorders!$AG:$AG,"&lt;="&amp;日期!$B$2,allorders!$AG:$AG,"&gt;="&amp;日期!$B$1)</f>
        <v>0</v>
      </c>
      <c r="C402">
        <f>B402/(日期!$B$2-日期!$B$1+1)</f>
        <v>0</v>
      </c>
    </row>
    <row r="403" spans="2:3">
      <c r="B403">
        <f>SUMIFS(allorders!O:O,allorders!L:L,'数据处理(仓储使用)'!$A403,allorders!$AG:$AG,"&lt;="&amp;日期!$B$2,allorders!$AG:$AG,"&gt;="&amp;日期!$B$1)</f>
        <v>0</v>
      </c>
      <c r="C403">
        <f>B403/(日期!$B$2-日期!$B$1+1)</f>
        <v>0</v>
      </c>
    </row>
    <row r="404" spans="2:3">
      <c r="B404">
        <f>SUMIFS(allorders!O:O,allorders!L:L,'数据处理(仓储使用)'!$A404,allorders!$AG:$AG,"&lt;="&amp;日期!$B$2,allorders!$AG:$AG,"&gt;="&amp;日期!$B$1)</f>
        <v>0</v>
      </c>
      <c r="C404">
        <f>B404/(日期!$B$2-日期!$B$1+1)</f>
        <v>0</v>
      </c>
    </row>
    <row r="405" spans="2:3">
      <c r="B405">
        <f>SUMIFS(allorders!O:O,allorders!L:L,'数据处理(仓储使用)'!$A405,allorders!$AG:$AG,"&lt;="&amp;日期!$B$2,allorders!$AG:$AG,"&gt;="&amp;日期!$B$1)</f>
        <v>0</v>
      </c>
      <c r="C405">
        <f>B405/(日期!$B$2-日期!$B$1+1)</f>
        <v>0</v>
      </c>
    </row>
    <row r="406" spans="2:3">
      <c r="B406">
        <f>SUMIFS(allorders!O:O,allorders!L:L,'数据处理(仓储使用)'!$A406,allorders!$AG:$AG,"&lt;="&amp;日期!$B$2,allorders!$AG:$AG,"&gt;="&amp;日期!$B$1)</f>
        <v>0</v>
      </c>
      <c r="C406">
        <f>B406/(日期!$B$2-日期!$B$1+1)</f>
        <v>0</v>
      </c>
    </row>
    <row r="407" spans="2:3">
      <c r="B407">
        <f>SUMIFS(allorders!O:O,allorders!L:L,'数据处理(仓储使用)'!$A407,allorders!$AG:$AG,"&lt;="&amp;日期!$B$2,allorders!$AG:$AG,"&gt;="&amp;日期!$B$1)</f>
        <v>0</v>
      </c>
      <c r="C407">
        <f>B407/(日期!$B$2-日期!$B$1+1)</f>
        <v>0</v>
      </c>
    </row>
    <row r="408" spans="2:3">
      <c r="B408">
        <f>SUMIFS(allorders!O:O,allorders!L:L,'数据处理(仓储使用)'!$A408,allorders!$AG:$AG,"&lt;="&amp;日期!$B$2,allorders!$AG:$AG,"&gt;="&amp;日期!$B$1)</f>
        <v>0</v>
      </c>
      <c r="C408">
        <f>B408/(日期!$B$2-日期!$B$1+1)</f>
        <v>0</v>
      </c>
    </row>
    <row r="409" spans="2:3">
      <c r="B409">
        <f>SUMIFS(allorders!O:O,allorders!L:L,'数据处理(仓储使用)'!$A409,allorders!$AG:$AG,"&lt;="&amp;日期!$B$2,allorders!$AG:$AG,"&gt;="&amp;日期!$B$1)</f>
        <v>0</v>
      </c>
      <c r="C409">
        <f>B409/(日期!$B$2-日期!$B$1+1)</f>
        <v>0</v>
      </c>
    </row>
    <row r="410" spans="2:3">
      <c r="B410">
        <f>SUMIFS(allorders!O:O,allorders!L:L,'数据处理(仓储使用)'!$A410,allorders!$AG:$AG,"&lt;="&amp;日期!$B$2,allorders!$AG:$AG,"&gt;="&amp;日期!$B$1)</f>
        <v>0</v>
      </c>
      <c r="C410">
        <f>B410/(日期!$B$2-日期!$B$1+1)</f>
        <v>0</v>
      </c>
    </row>
    <row r="411" spans="2:3">
      <c r="B411">
        <f>SUMIFS(allorders!O:O,allorders!L:L,'数据处理(仓储使用)'!$A411,allorders!$AG:$AG,"&lt;="&amp;日期!$B$2,allorders!$AG:$AG,"&gt;="&amp;日期!$B$1)</f>
        <v>0</v>
      </c>
      <c r="C411">
        <f>B411/(日期!$B$2-日期!$B$1+1)</f>
        <v>0</v>
      </c>
    </row>
    <row r="412" spans="2:3">
      <c r="B412">
        <f>SUMIFS(allorders!O:O,allorders!L:L,'数据处理(仓储使用)'!$A412,allorders!$AG:$AG,"&lt;="&amp;日期!$B$2,allorders!$AG:$AG,"&gt;="&amp;日期!$B$1)</f>
        <v>0</v>
      </c>
      <c r="C412">
        <f>B412/(日期!$B$2-日期!$B$1+1)</f>
        <v>0</v>
      </c>
    </row>
    <row r="413" spans="2:3">
      <c r="B413">
        <f>SUMIFS(allorders!O:O,allorders!L:L,'数据处理(仓储使用)'!$A413,allorders!$AG:$AG,"&lt;="&amp;日期!$B$2,allorders!$AG:$AG,"&gt;="&amp;日期!$B$1)</f>
        <v>0</v>
      </c>
      <c r="C413">
        <f>B413/(日期!$B$2-日期!$B$1+1)</f>
        <v>0</v>
      </c>
    </row>
    <row r="414" spans="2:3">
      <c r="B414">
        <f>SUMIFS(allorders!O:O,allorders!L:L,'数据处理(仓储使用)'!$A414,allorders!$AG:$AG,"&lt;="&amp;日期!$B$2,allorders!$AG:$AG,"&gt;="&amp;日期!$B$1)</f>
        <v>0</v>
      </c>
      <c r="C414">
        <f>B414/(日期!$B$2-日期!$B$1+1)</f>
        <v>0</v>
      </c>
    </row>
    <row r="415" spans="2:3">
      <c r="B415">
        <f>SUMIFS(allorders!O:O,allorders!L:L,'数据处理(仓储使用)'!$A415,allorders!$AG:$AG,"&lt;="&amp;日期!$B$2,allorders!$AG:$AG,"&gt;="&amp;日期!$B$1)</f>
        <v>0</v>
      </c>
      <c r="C415">
        <f>B415/(日期!$B$2-日期!$B$1+1)</f>
        <v>0</v>
      </c>
    </row>
    <row r="416" spans="2:3">
      <c r="B416">
        <f>SUMIFS(allorders!O:O,allorders!L:L,'数据处理(仓储使用)'!$A416,allorders!$AG:$AG,"&lt;="&amp;日期!$B$2,allorders!$AG:$AG,"&gt;="&amp;日期!$B$1)</f>
        <v>0</v>
      </c>
      <c r="C416">
        <f>B416/(日期!$B$2-日期!$B$1+1)</f>
        <v>0</v>
      </c>
    </row>
    <row r="417" spans="2:3">
      <c r="B417">
        <f>SUMIFS(allorders!O:O,allorders!L:L,'数据处理(仓储使用)'!$A417,allorders!$AG:$AG,"&lt;="&amp;日期!$B$2,allorders!$AG:$AG,"&gt;="&amp;日期!$B$1)</f>
        <v>0</v>
      </c>
      <c r="C417">
        <f>B417/(日期!$B$2-日期!$B$1+1)</f>
        <v>0</v>
      </c>
    </row>
    <row r="418" spans="2:3">
      <c r="B418">
        <f>SUMIFS(allorders!O:O,allorders!L:L,'数据处理(仓储使用)'!$A418,allorders!$AG:$AG,"&lt;="&amp;日期!$B$2,allorders!$AG:$AG,"&gt;="&amp;日期!$B$1)</f>
        <v>0</v>
      </c>
      <c r="C418">
        <f>B418/(日期!$B$2-日期!$B$1+1)</f>
        <v>0</v>
      </c>
    </row>
    <row r="419" spans="2:3">
      <c r="B419">
        <f>SUMIFS(allorders!O:O,allorders!L:L,'数据处理(仓储使用)'!$A419,allorders!$AG:$AG,"&lt;="&amp;日期!$B$2,allorders!$AG:$AG,"&gt;="&amp;日期!$B$1)</f>
        <v>0</v>
      </c>
      <c r="C419">
        <f>B419/(日期!$B$2-日期!$B$1+1)</f>
        <v>0</v>
      </c>
    </row>
    <row r="420" spans="2:3">
      <c r="B420">
        <f>SUMIFS(allorders!O:O,allorders!L:L,'数据处理(仓储使用)'!$A420,allorders!$AG:$AG,"&lt;="&amp;日期!$B$2,allorders!$AG:$AG,"&gt;="&amp;日期!$B$1)</f>
        <v>0</v>
      </c>
      <c r="C420">
        <f>B420/(日期!$B$2-日期!$B$1+1)</f>
        <v>0</v>
      </c>
    </row>
    <row r="421" spans="2:3">
      <c r="B421">
        <f>SUMIFS(allorders!O:O,allorders!L:L,'数据处理(仓储使用)'!$A421,allorders!$AG:$AG,"&lt;="&amp;日期!$B$2,allorders!$AG:$AG,"&gt;="&amp;日期!$B$1)</f>
        <v>0</v>
      </c>
      <c r="C421">
        <f>B421/(日期!$B$2-日期!$B$1+1)</f>
        <v>0</v>
      </c>
    </row>
    <row r="422" spans="2:3">
      <c r="B422">
        <f>SUMIFS(allorders!O:O,allorders!L:L,'数据处理(仓储使用)'!$A422,allorders!$AG:$AG,"&lt;="&amp;日期!$B$2,allorders!$AG:$AG,"&gt;="&amp;日期!$B$1)</f>
        <v>0</v>
      </c>
      <c r="C422">
        <f>B422/(日期!$B$2-日期!$B$1+1)</f>
        <v>0</v>
      </c>
    </row>
    <row r="423" spans="2:3">
      <c r="B423">
        <f>SUMIFS(allorders!O:O,allorders!L:L,'数据处理(仓储使用)'!$A423,allorders!$AG:$AG,"&lt;="&amp;日期!$B$2,allorders!$AG:$AG,"&gt;="&amp;日期!$B$1)</f>
        <v>0</v>
      </c>
      <c r="C423">
        <f>B423/(日期!$B$2-日期!$B$1+1)</f>
        <v>0</v>
      </c>
    </row>
    <row r="424" spans="2:3">
      <c r="B424">
        <f>SUMIFS(allorders!O:O,allorders!L:L,'数据处理(仓储使用)'!$A424,allorders!$AG:$AG,"&lt;="&amp;日期!$B$2,allorders!$AG:$AG,"&gt;="&amp;日期!$B$1)</f>
        <v>0</v>
      </c>
      <c r="C424">
        <f>B424/(日期!$B$2-日期!$B$1+1)</f>
        <v>0</v>
      </c>
    </row>
    <row r="425" spans="2:3">
      <c r="B425">
        <f>SUMIFS(allorders!O:O,allorders!L:L,'数据处理(仓储使用)'!$A425,allorders!$AG:$AG,"&lt;="&amp;日期!$B$2,allorders!$AG:$AG,"&gt;="&amp;日期!$B$1)</f>
        <v>0</v>
      </c>
      <c r="C425">
        <f>B425/(日期!$B$2-日期!$B$1+1)</f>
        <v>0</v>
      </c>
    </row>
    <row r="426" spans="2:3">
      <c r="B426">
        <f>SUMIFS(allorders!O:O,allorders!L:L,'数据处理(仓储使用)'!$A426,allorders!$AG:$AG,"&lt;="&amp;日期!$B$2,allorders!$AG:$AG,"&gt;="&amp;日期!$B$1)</f>
        <v>0</v>
      </c>
      <c r="C426">
        <f>B426/(日期!$B$2-日期!$B$1+1)</f>
        <v>0</v>
      </c>
    </row>
    <row r="427" spans="2:3">
      <c r="B427">
        <f>SUMIFS(allorders!O:O,allorders!L:L,'数据处理(仓储使用)'!$A427,allorders!$AG:$AG,"&lt;="&amp;日期!$B$2,allorders!$AG:$AG,"&gt;="&amp;日期!$B$1)</f>
        <v>0</v>
      </c>
      <c r="C427">
        <f>B427/(日期!$B$2-日期!$B$1+1)</f>
        <v>0</v>
      </c>
    </row>
    <row r="428" spans="2:3">
      <c r="B428">
        <f>SUMIFS(allorders!O:O,allorders!L:L,'数据处理(仓储使用)'!$A428,allorders!$AG:$AG,"&lt;="&amp;日期!$B$2,allorders!$AG:$AG,"&gt;="&amp;日期!$B$1)</f>
        <v>0</v>
      </c>
      <c r="C428">
        <f>B428/(日期!$B$2-日期!$B$1+1)</f>
        <v>0</v>
      </c>
    </row>
    <row r="429" spans="2:3">
      <c r="B429">
        <f>SUMIFS(allorders!O:O,allorders!L:L,'数据处理(仓储使用)'!$A429,allorders!$AG:$AG,"&lt;="&amp;日期!$B$2,allorders!$AG:$AG,"&gt;="&amp;日期!$B$1)</f>
        <v>0</v>
      </c>
      <c r="C429">
        <f>B429/(日期!$B$2-日期!$B$1+1)</f>
        <v>0</v>
      </c>
    </row>
    <row r="430" spans="2:3">
      <c r="B430">
        <f>SUMIFS(allorders!O:O,allorders!L:L,'数据处理(仓储使用)'!$A430,allorders!$AG:$AG,"&lt;="&amp;日期!$B$2,allorders!$AG:$AG,"&gt;="&amp;日期!$B$1)</f>
        <v>0</v>
      </c>
      <c r="C430">
        <f>B430/(日期!$B$2-日期!$B$1+1)</f>
        <v>0</v>
      </c>
    </row>
    <row r="431" spans="2:3">
      <c r="B431">
        <f>SUMIFS(allorders!O:O,allorders!L:L,'数据处理(仓储使用)'!$A431,allorders!$AG:$AG,"&lt;="&amp;日期!$B$2,allorders!$AG:$AG,"&gt;="&amp;日期!$B$1)</f>
        <v>0</v>
      </c>
      <c r="C431">
        <f>B431/(日期!$B$2-日期!$B$1+1)</f>
        <v>0</v>
      </c>
    </row>
    <row r="432" spans="2:3">
      <c r="B432">
        <f>SUMIFS(allorders!O:O,allorders!L:L,'数据处理(仓储使用)'!$A432,allorders!$AG:$AG,"&lt;="&amp;日期!$B$2,allorders!$AG:$AG,"&gt;="&amp;日期!$B$1)</f>
        <v>0</v>
      </c>
      <c r="C432">
        <f>B432/(日期!$B$2-日期!$B$1+1)</f>
        <v>0</v>
      </c>
    </row>
    <row r="433" spans="2:3">
      <c r="B433">
        <f>SUMIFS(allorders!O:O,allorders!L:L,'数据处理(仓储使用)'!$A433,allorders!$AG:$AG,"&lt;="&amp;日期!$B$2,allorders!$AG:$AG,"&gt;="&amp;日期!$B$1)</f>
        <v>0</v>
      </c>
      <c r="C433">
        <f>B433/(日期!$B$2-日期!$B$1+1)</f>
        <v>0</v>
      </c>
    </row>
    <row r="434" spans="2:3">
      <c r="B434">
        <f>SUMIFS(allorders!O:O,allorders!L:L,'数据处理(仓储使用)'!$A434,allorders!$AG:$AG,"&lt;="&amp;日期!$B$2,allorders!$AG:$AG,"&gt;="&amp;日期!$B$1)</f>
        <v>0</v>
      </c>
      <c r="C434">
        <f>B434/(日期!$B$2-日期!$B$1+1)</f>
        <v>0</v>
      </c>
    </row>
    <row r="435" spans="2:3">
      <c r="B435">
        <f>SUMIFS(allorders!O:O,allorders!L:L,'数据处理(仓储使用)'!$A435,allorders!$AG:$AG,"&lt;="&amp;日期!$B$2,allorders!$AG:$AG,"&gt;="&amp;日期!$B$1)</f>
        <v>0</v>
      </c>
      <c r="C435">
        <f>B435/(日期!$B$2-日期!$B$1+1)</f>
        <v>0</v>
      </c>
    </row>
    <row r="436" spans="2:3">
      <c r="B436">
        <f>SUMIFS(allorders!O:O,allorders!L:L,'数据处理(仓储使用)'!$A436,allorders!$AG:$AG,"&lt;="&amp;日期!$B$2,allorders!$AG:$AG,"&gt;="&amp;日期!$B$1)</f>
        <v>0</v>
      </c>
      <c r="C436">
        <f>B436/(日期!$B$2-日期!$B$1+1)</f>
        <v>0</v>
      </c>
    </row>
    <row r="437" spans="2:3">
      <c r="B437">
        <f>SUMIFS(allorders!O:O,allorders!L:L,'数据处理(仓储使用)'!$A437,allorders!$AG:$AG,"&lt;="&amp;日期!$B$2,allorders!$AG:$AG,"&gt;="&amp;日期!$B$1)</f>
        <v>0</v>
      </c>
      <c r="C437">
        <f>B437/(日期!$B$2-日期!$B$1+1)</f>
        <v>0</v>
      </c>
    </row>
    <row r="438" spans="2:3">
      <c r="B438">
        <f>SUMIFS(allorders!O:O,allorders!L:L,'数据处理(仓储使用)'!$A438,allorders!$AG:$AG,"&lt;="&amp;日期!$B$2,allorders!$AG:$AG,"&gt;="&amp;日期!$B$1)</f>
        <v>0</v>
      </c>
      <c r="C438">
        <f>B438/(日期!$B$2-日期!$B$1+1)</f>
        <v>0</v>
      </c>
    </row>
    <row r="439" spans="2:3">
      <c r="B439">
        <f>SUMIFS(allorders!O:O,allorders!L:L,'数据处理(仓储使用)'!$A439,allorders!$AG:$AG,"&lt;="&amp;日期!$B$2,allorders!$AG:$AG,"&gt;="&amp;日期!$B$1)</f>
        <v>0</v>
      </c>
      <c r="C439">
        <f>B439/(日期!$B$2-日期!$B$1+1)</f>
        <v>0</v>
      </c>
    </row>
    <row r="440" spans="2:3">
      <c r="B440">
        <f>SUMIFS(allorders!O:O,allorders!L:L,'数据处理(仓储使用)'!$A440,allorders!$AG:$AG,"&lt;="&amp;日期!$B$2,allorders!$AG:$AG,"&gt;="&amp;日期!$B$1)</f>
        <v>0</v>
      </c>
      <c r="C440">
        <f>B440/(日期!$B$2-日期!$B$1+1)</f>
        <v>0</v>
      </c>
    </row>
    <row r="441" spans="2:3">
      <c r="B441">
        <f>SUMIFS(allorders!O:O,allorders!L:L,'数据处理(仓储使用)'!$A441,allorders!$AG:$AG,"&lt;="&amp;日期!$B$2,allorders!$AG:$AG,"&gt;="&amp;日期!$B$1)</f>
        <v>0</v>
      </c>
      <c r="C441">
        <f>B441/(日期!$B$2-日期!$B$1+1)</f>
        <v>0</v>
      </c>
    </row>
    <row r="442" spans="2:3">
      <c r="B442">
        <f>SUMIFS(allorders!O:O,allorders!L:L,'数据处理(仓储使用)'!$A442,allorders!$AG:$AG,"&lt;="&amp;日期!$B$2,allorders!$AG:$AG,"&gt;="&amp;日期!$B$1)</f>
        <v>0</v>
      </c>
      <c r="C442">
        <f>B442/(日期!$B$2-日期!$B$1+1)</f>
        <v>0</v>
      </c>
    </row>
    <row r="443" spans="2:3">
      <c r="B443">
        <f>SUMIFS(allorders!O:O,allorders!L:L,'数据处理(仓储使用)'!$A443,allorders!$AG:$AG,"&lt;="&amp;日期!$B$2,allorders!$AG:$AG,"&gt;="&amp;日期!$B$1)</f>
        <v>0</v>
      </c>
      <c r="C443">
        <f>B443/(日期!$B$2-日期!$B$1+1)</f>
        <v>0</v>
      </c>
    </row>
    <row r="444" spans="2:3">
      <c r="B444">
        <f>SUMIFS(allorders!O:O,allorders!L:L,'数据处理(仓储使用)'!$A444,allorders!$AG:$AG,"&lt;="&amp;日期!$B$2,allorders!$AG:$AG,"&gt;="&amp;日期!$B$1)</f>
        <v>0</v>
      </c>
      <c r="C444">
        <f>B444/(日期!$B$2-日期!$B$1+1)</f>
        <v>0</v>
      </c>
    </row>
    <row r="445" spans="2:3">
      <c r="B445">
        <f>SUMIFS(allorders!O:O,allorders!L:L,'数据处理(仓储使用)'!$A445,allorders!$AG:$AG,"&lt;="&amp;日期!$B$2,allorders!$AG:$AG,"&gt;="&amp;日期!$B$1)</f>
        <v>0</v>
      </c>
      <c r="C445">
        <f>B445/(日期!$B$2-日期!$B$1+1)</f>
        <v>0</v>
      </c>
    </row>
    <row r="446" spans="2:3">
      <c r="B446">
        <f>SUMIFS(allorders!O:O,allorders!L:L,'数据处理(仓储使用)'!$A446,allorders!$AG:$AG,"&lt;="&amp;日期!$B$2,allorders!$AG:$AG,"&gt;="&amp;日期!$B$1)</f>
        <v>0</v>
      </c>
      <c r="C446">
        <f>B446/(日期!$B$2-日期!$B$1+1)</f>
        <v>0</v>
      </c>
    </row>
    <row r="447" spans="2:3">
      <c r="B447">
        <f>SUMIFS(allorders!O:O,allorders!L:L,'数据处理(仓储使用)'!$A447,allorders!$AG:$AG,"&lt;="&amp;日期!$B$2,allorders!$AG:$AG,"&gt;="&amp;日期!$B$1)</f>
        <v>0</v>
      </c>
      <c r="C447">
        <f>B447/(日期!$B$2-日期!$B$1+1)</f>
        <v>0</v>
      </c>
    </row>
    <row r="448" spans="2:3">
      <c r="B448">
        <f>SUMIFS(allorders!O:O,allorders!L:L,'数据处理(仓储使用)'!$A448,allorders!$AG:$AG,"&lt;="&amp;日期!$B$2,allorders!$AG:$AG,"&gt;="&amp;日期!$B$1)</f>
        <v>0</v>
      </c>
      <c r="C448">
        <f>B448/(日期!$B$2-日期!$B$1+1)</f>
        <v>0</v>
      </c>
    </row>
    <row r="449" spans="2:3">
      <c r="B449">
        <f>SUMIFS(allorders!O:O,allorders!L:L,'数据处理(仓储使用)'!$A449,allorders!$AG:$AG,"&lt;="&amp;日期!$B$2,allorders!$AG:$AG,"&gt;="&amp;日期!$B$1)</f>
        <v>0</v>
      </c>
      <c r="C449">
        <f>B449/(日期!$B$2-日期!$B$1+1)</f>
        <v>0</v>
      </c>
    </row>
    <row r="450" spans="2:3">
      <c r="B450">
        <f>SUMIFS(allorders!O:O,allorders!L:L,'数据处理(仓储使用)'!$A450,allorders!$AG:$AG,"&lt;="&amp;日期!$B$2,allorders!$AG:$AG,"&gt;="&amp;日期!$B$1)</f>
        <v>0</v>
      </c>
      <c r="C450">
        <f>B450/(日期!$B$2-日期!$B$1+1)</f>
        <v>0</v>
      </c>
    </row>
    <row r="451" spans="2:3">
      <c r="B451">
        <f>SUMIFS(allorders!O:O,allorders!L:L,'数据处理(仓储使用)'!$A451,allorders!$AG:$AG,"&lt;="&amp;日期!$B$2,allorders!$AG:$AG,"&gt;="&amp;日期!$B$1)</f>
        <v>0</v>
      </c>
      <c r="C451">
        <f>B451/(日期!$B$2-日期!$B$1+1)</f>
        <v>0</v>
      </c>
    </row>
    <row r="452" spans="2:3">
      <c r="B452">
        <f>SUMIFS(allorders!O:O,allorders!L:L,'数据处理(仓储使用)'!$A452,allorders!$AG:$AG,"&lt;="&amp;日期!$B$2,allorders!$AG:$AG,"&gt;="&amp;日期!$B$1)</f>
        <v>0</v>
      </c>
      <c r="C452">
        <f>B452/(日期!$B$2-日期!$B$1+1)</f>
        <v>0</v>
      </c>
    </row>
    <row r="453" spans="2:3">
      <c r="B453">
        <f>SUMIFS(allorders!O:O,allorders!L:L,'数据处理(仓储使用)'!$A453,allorders!$AG:$AG,"&lt;="&amp;日期!$B$2,allorders!$AG:$AG,"&gt;="&amp;日期!$B$1)</f>
        <v>0</v>
      </c>
      <c r="C453">
        <f>B453/(日期!$B$2-日期!$B$1+1)</f>
        <v>0</v>
      </c>
    </row>
    <row r="454" spans="2:3">
      <c r="B454">
        <f>SUMIFS(allorders!O:O,allorders!L:L,'数据处理(仓储使用)'!$A454,allorders!$AG:$AG,"&lt;="&amp;日期!$B$2,allorders!$AG:$AG,"&gt;="&amp;日期!$B$1)</f>
        <v>0</v>
      </c>
      <c r="C454">
        <f>B454/(日期!$B$2-日期!$B$1+1)</f>
        <v>0</v>
      </c>
    </row>
    <row r="455" spans="2:3">
      <c r="B455">
        <f>SUMIFS(allorders!O:O,allorders!L:L,'数据处理(仓储使用)'!$A455,allorders!$AG:$AG,"&lt;="&amp;日期!$B$2,allorders!$AG:$AG,"&gt;="&amp;日期!$B$1)</f>
        <v>0</v>
      </c>
      <c r="C455">
        <f>B455/(日期!$B$2-日期!$B$1+1)</f>
        <v>0</v>
      </c>
    </row>
    <row r="456" spans="2:3">
      <c r="B456">
        <f>SUMIFS(allorders!O:O,allorders!L:L,'数据处理(仓储使用)'!$A456,allorders!$AG:$AG,"&lt;="&amp;日期!$B$2,allorders!$AG:$AG,"&gt;="&amp;日期!$B$1)</f>
        <v>0</v>
      </c>
      <c r="C456">
        <f>B456/(日期!$B$2-日期!$B$1+1)</f>
        <v>0</v>
      </c>
    </row>
    <row r="457" spans="2:3">
      <c r="B457">
        <f>SUMIFS(allorders!O:O,allorders!L:L,'数据处理(仓储使用)'!$A457,allorders!$AG:$AG,"&lt;="&amp;日期!$B$2,allorders!$AG:$AG,"&gt;="&amp;日期!$B$1)</f>
        <v>0</v>
      </c>
      <c r="C457">
        <f>B457/(日期!$B$2-日期!$B$1+1)</f>
        <v>0</v>
      </c>
    </row>
    <row r="458" spans="2:3">
      <c r="B458">
        <f>SUMIFS(allorders!O:O,allorders!L:L,'数据处理(仓储使用)'!$A458,allorders!$AG:$AG,"&lt;="&amp;日期!$B$2,allorders!$AG:$AG,"&gt;="&amp;日期!$B$1)</f>
        <v>0</v>
      </c>
      <c r="C458">
        <f>B458/(日期!$B$2-日期!$B$1+1)</f>
        <v>0</v>
      </c>
    </row>
    <row r="459" spans="2:3">
      <c r="B459">
        <f>SUMIFS(allorders!O:O,allorders!L:L,'数据处理(仓储使用)'!$A459,allorders!$AG:$AG,"&lt;="&amp;日期!$B$2,allorders!$AG:$AG,"&gt;="&amp;日期!$B$1)</f>
        <v>0</v>
      </c>
      <c r="C459">
        <f>B459/(日期!$B$2-日期!$B$1+1)</f>
        <v>0</v>
      </c>
    </row>
    <row r="460" spans="2:3">
      <c r="B460">
        <f>SUMIFS(allorders!O:O,allorders!L:L,'数据处理(仓储使用)'!$A460,allorders!$AG:$AG,"&lt;="&amp;日期!$B$2,allorders!$AG:$AG,"&gt;="&amp;日期!$B$1)</f>
        <v>0</v>
      </c>
      <c r="C460">
        <f>B460/(日期!$B$2-日期!$B$1+1)</f>
        <v>0</v>
      </c>
    </row>
    <row r="461" spans="2:3">
      <c r="B461">
        <f>SUMIFS(allorders!O:O,allorders!L:L,'数据处理(仓储使用)'!$A461,allorders!$AG:$AG,"&lt;="&amp;日期!$B$2,allorders!$AG:$AG,"&gt;="&amp;日期!$B$1)</f>
        <v>0</v>
      </c>
      <c r="C461">
        <f>B461/(日期!$B$2-日期!$B$1+1)</f>
        <v>0</v>
      </c>
    </row>
    <row r="462" spans="2:3">
      <c r="B462">
        <f>SUMIFS(allorders!O:O,allorders!L:L,'数据处理(仓储使用)'!$A462,allorders!$AG:$AG,"&lt;="&amp;日期!$B$2,allorders!$AG:$AG,"&gt;="&amp;日期!$B$1)</f>
        <v>0</v>
      </c>
      <c r="C462">
        <f>B462/(日期!$B$2-日期!$B$1+1)</f>
        <v>0</v>
      </c>
    </row>
    <row r="463" spans="2:3">
      <c r="B463">
        <f>SUMIFS(allorders!O:O,allorders!L:L,'数据处理(仓储使用)'!$A463,allorders!$AG:$AG,"&lt;="&amp;日期!$B$2,allorders!$AG:$AG,"&gt;="&amp;日期!$B$1)</f>
        <v>0</v>
      </c>
      <c r="C463">
        <f>B463/(日期!$B$2-日期!$B$1+1)</f>
        <v>0</v>
      </c>
    </row>
    <row r="464" spans="2:3">
      <c r="B464">
        <f>SUMIFS(allorders!O:O,allorders!L:L,'数据处理(仓储使用)'!$A464,allorders!$AG:$AG,"&lt;="&amp;日期!$B$2,allorders!$AG:$AG,"&gt;="&amp;日期!$B$1)</f>
        <v>0</v>
      </c>
      <c r="C464">
        <f>B464/(日期!$B$2-日期!$B$1+1)</f>
        <v>0</v>
      </c>
    </row>
    <row r="465" spans="2:3">
      <c r="B465">
        <f>SUMIFS(allorders!O:O,allorders!L:L,'数据处理(仓储使用)'!$A465,allorders!$AG:$AG,"&lt;="&amp;日期!$B$2,allorders!$AG:$AG,"&gt;="&amp;日期!$B$1)</f>
        <v>0</v>
      </c>
      <c r="C465">
        <f>B465/(日期!$B$2-日期!$B$1+1)</f>
        <v>0</v>
      </c>
    </row>
    <row r="466" spans="2:3">
      <c r="B466">
        <f>SUMIFS(allorders!O:O,allorders!L:L,'数据处理(仓储使用)'!$A466,allorders!$AG:$AG,"&lt;="&amp;日期!$B$2,allorders!$AG:$AG,"&gt;="&amp;日期!$B$1)</f>
        <v>0</v>
      </c>
      <c r="C466">
        <f>B466/(日期!$B$2-日期!$B$1+1)</f>
        <v>0</v>
      </c>
    </row>
    <row r="467" spans="2:3">
      <c r="B467">
        <f>SUMIFS(allorders!O:O,allorders!L:L,'数据处理(仓储使用)'!$A467,allorders!$AG:$AG,"&lt;="&amp;日期!$B$2,allorders!$AG:$AG,"&gt;="&amp;日期!$B$1)</f>
        <v>0</v>
      </c>
      <c r="C467">
        <f>B467/(日期!$B$2-日期!$B$1+1)</f>
        <v>0</v>
      </c>
    </row>
    <row r="468" spans="2:3">
      <c r="B468">
        <f>SUMIFS(allorders!O:O,allorders!L:L,'数据处理(仓储使用)'!$A468,allorders!$AG:$AG,"&lt;="&amp;日期!$B$2,allorders!$AG:$AG,"&gt;="&amp;日期!$B$1)</f>
        <v>0</v>
      </c>
      <c r="C468">
        <f>B468/(日期!$B$2-日期!$B$1+1)</f>
        <v>0</v>
      </c>
    </row>
    <row r="469" spans="2:3">
      <c r="B469">
        <f>SUMIFS(allorders!O:O,allorders!L:L,'数据处理(仓储使用)'!$A469,allorders!$AG:$AG,"&lt;="&amp;日期!$B$2,allorders!$AG:$AG,"&gt;="&amp;日期!$B$1)</f>
        <v>0</v>
      </c>
      <c r="C469">
        <f>B469/(日期!$B$2-日期!$B$1+1)</f>
        <v>0</v>
      </c>
    </row>
    <row r="470" spans="2:3">
      <c r="B470">
        <f>SUMIFS(allorders!O:O,allorders!L:L,'数据处理(仓储使用)'!$A470,allorders!$AG:$AG,"&lt;="&amp;日期!$B$2,allorders!$AG:$AG,"&gt;="&amp;日期!$B$1)</f>
        <v>0</v>
      </c>
      <c r="C470">
        <f>B470/(日期!$B$2-日期!$B$1+1)</f>
        <v>0</v>
      </c>
    </row>
    <row r="471" spans="2:3">
      <c r="B471">
        <f>SUMIFS(allorders!O:O,allorders!L:L,'数据处理(仓储使用)'!$A471,allorders!$AG:$AG,"&lt;="&amp;日期!$B$2,allorders!$AG:$AG,"&gt;="&amp;日期!$B$1)</f>
        <v>0</v>
      </c>
      <c r="C471">
        <f>B471/(日期!$B$2-日期!$B$1+1)</f>
        <v>0</v>
      </c>
    </row>
    <row r="472" spans="2:3">
      <c r="B472">
        <f>SUMIFS(allorders!O:O,allorders!L:L,'数据处理(仓储使用)'!$A472,allorders!$AG:$AG,"&lt;="&amp;日期!$B$2,allorders!$AG:$AG,"&gt;="&amp;日期!$B$1)</f>
        <v>0</v>
      </c>
      <c r="C472">
        <f>B472/(日期!$B$2-日期!$B$1+1)</f>
        <v>0</v>
      </c>
    </row>
    <row r="473" spans="2:3">
      <c r="B473">
        <f>SUMIFS(allorders!O:O,allorders!L:L,'数据处理(仓储使用)'!$A473,allorders!$AG:$AG,"&lt;="&amp;日期!$B$2,allorders!$AG:$AG,"&gt;="&amp;日期!$B$1)</f>
        <v>0</v>
      </c>
      <c r="C473">
        <f>B473/(日期!$B$2-日期!$B$1+1)</f>
        <v>0</v>
      </c>
    </row>
    <row r="474" spans="2:3">
      <c r="B474">
        <f>SUMIFS(allorders!O:O,allorders!L:L,'数据处理(仓储使用)'!$A474,allorders!$AG:$AG,"&lt;="&amp;日期!$B$2,allorders!$AG:$AG,"&gt;="&amp;日期!$B$1)</f>
        <v>0</v>
      </c>
      <c r="C474">
        <f>B474/(日期!$B$2-日期!$B$1+1)</f>
        <v>0</v>
      </c>
    </row>
    <row r="475" spans="2:3">
      <c r="B475">
        <f>SUMIFS(allorders!O:O,allorders!L:L,'数据处理(仓储使用)'!$A475,allorders!$AG:$AG,"&lt;="&amp;日期!$B$2,allorders!$AG:$AG,"&gt;="&amp;日期!$B$1)</f>
        <v>0</v>
      </c>
      <c r="C475">
        <f>B475/(日期!$B$2-日期!$B$1+1)</f>
        <v>0</v>
      </c>
    </row>
    <row r="476" spans="2:3">
      <c r="B476">
        <f>SUMIFS(allorders!O:O,allorders!L:L,'数据处理(仓储使用)'!$A476,allorders!$AG:$AG,"&lt;="&amp;日期!$B$2,allorders!$AG:$AG,"&gt;="&amp;日期!$B$1)</f>
        <v>0</v>
      </c>
      <c r="C476">
        <f>B476/(日期!$B$2-日期!$B$1+1)</f>
        <v>0</v>
      </c>
    </row>
    <row r="477" spans="2:3">
      <c r="B477">
        <f>SUMIFS(allorders!O:O,allorders!L:L,'数据处理(仓储使用)'!$A477,allorders!$AG:$AG,"&lt;="&amp;日期!$B$2,allorders!$AG:$AG,"&gt;="&amp;日期!$B$1)</f>
        <v>0</v>
      </c>
      <c r="C477">
        <f>B477/(日期!$B$2-日期!$B$1+1)</f>
        <v>0</v>
      </c>
    </row>
    <row r="478" spans="2:3">
      <c r="B478">
        <f>SUMIFS(allorders!O:O,allorders!L:L,'数据处理(仓储使用)'!$A478,allorders!$AG:$AG,"&lt;="&amp;日期!$B$2,allorders!$AG:$AG,"&gt;="&amp;日期!$B$1)</f>
        <v>0</v>
      </c>
      <c r="C478">
        <f>B478/(日期!$B$2-日期!$B$1+1)</f>
        <v>0</v>
      </c>
    </row>
    <row r="479" spans="2:3">
      <c r="B479">
        <f>SUMIFS(allorders!O:O,allorders!L:L,'数据处理(仓储使用)'!$A479,allorders!$AG:$AG,"&lt;="&amp;日期!$B$2,allorders!$AG:$AG,"&gt;="&amp;日期!$B$1)</f>
        <v>0</v>
      </c>
      <c r="C479">
        <f>B479/(日期!$B$2-日期!$B$1+1)</f>
        <v>0</v>
      </c>
    </row>
    <row r="480" spans="2:3">
      <c r="B480">
        <f>SUMIFS(allorders!O:O,allorders!L:L,'数据处理(仓储使用)'!$A480,allorders!$AG:$AG,"&lt;="&amp;日期!$B$2,allorders!$AG:$AG,"&gt;="&amp;日期!$B$1)</f>
        <v>0</v>
      </c>
      <c r="C480">
        <f>B480/(日期!$B$2-日期!$B$1+1)</f>
        <v>0</v>
      </c>
    </row>
    <row r="481" spans="2:3">
      <c r="B481">
        <f>SUMIFS(allorders!O:O,allorders!L:L,'数据处理(仓储使用)'!$A481,allorders!$AG:$AG,"&lt;="&amp;日期!$B$2,allorders!$AG:$AG,"&gt;="&amp;日期!$B$1)</f>
        <v>0</v>
      </c>
      <c r="C481">
        <f>B481/(日期!$B$2-日期!$B$1+1)</f>
        <v>0</v>
      </c>
    </row>
    <row r="482" spans="2:3">
      <c r="B482">
        <f>SUMIFS(allorders!O:O,allorders!L:L,'数据处理(仓储使用)'!$A482,allorders!$AG:$AG,"&lt;="&amp;日期!$B$2,allorders!$AG:$AG,"&gt;="&amp;日期!$B$1)</f>
        <v>0</v>
      </c>
      <c r="C482">
        <f>B482/(日期!$B$2-日期!$B$1+1)</f>
        <v>0</v>
      </c>
    </row>
    <row r="483" spans="2:3">
      <c r="B483">
        <f>SUMIFS(allorders!O:O,allorders!L:L,'数据处理(仓储使用)'!$A483,allorders!$AG:$AG,"&lt;="&amp;日期!$B$2,allorders!$AG:$AG,"&gt;="&amp;日期!$B$1)</f>
        <v>0</v>
      </c>
      <c r="C483">
        <f>B483/(日期!$B$2-日期!$B$1+1)</f>
        <v>0</v>
      </c>
    </row>
    <row r="484" spans="2:3">
      <c r="B484">
        <f>SUMIFS(allorders!O:O,allorders!L:L,'数据处理(仓储使用)'!$A484,allorders!$AG:$AG,"&lt;="&amp;日期!$B$2,allorders!$AG:$AG,"&gt;="&amp;日期!$B$1)</f>
        <v>0</v>
      </c>
      <c r="C484">
        <f>B484/(日期!$B$2-日期!$B$1+1)</f>
        <v>0</v>
      </c>
    </row>
    <row r="485" spans="2:3">
      <c r="B485">
        <f>SUMIFS(allorders!O:O,allorders!L:L,'数据处理(仓储使用)'!$A485,allorders!$AG:$AG,"&lt;="&amp;日期!$B$2,allorders!$AG:$AG,"&gt;="&amp;日期!$B$1)</f>
        <v>0</v>
      </c>
      <c r="C485">
        <f>B485/(日期!$B$2-日期!$B$1+1)</f>
        <v>0</v>
      </c>
    </row>
    <row r="486" spans="2:3">
      <c r="B486">
        <f>SUMIFS(allorders!O:O,allorders!L:L,'数据处理(仓储使用)'!$A486,allorders!$AG:$AG,"&lt;="&amp;日期!$B$2,allorders!$AG:$AG,"&gt;="&amp;日期!$B$1)</f>
        <v>0</v>
      </c>
      <c r="C486">
        <f>B486/(日期!$B$2-日期!$B$1+1)</f>
        <v>0</v>
      </c>
    </row>
    <row r="487" spans="2:3">
      <c r="B487">
        <f>SUMIFS(allorders!O:O,allorders!L:L,'数据处理(仓储使用)'!$A487,allorders!$AG:$AG,"&lt;="&amp;日期!$B$2,allorders!$AG:$AG,"&gt;="&amp;日期!$B$1)</f>
        <v>0</v>
      </c>
      <c r="C487">
        <f>B487/(日期!$B$2-日期!$B$1+1)</f>
        <v>0</v>
      </c>
    </row>
    <row r="488" spans="2:3">
      <c r="B488">
        <f>SUMIFS(allorders!O:O,allorders!L:L,'数据处理(仓储使用)'!$A488,allorders!$AG:$AG,"&lt;="&amp;日期!$B$2,allorders!$AG:$AG,"&gt;="&amp;日期!$B$1)</f>
        <v>0</v>
      </c>
      <c r="C488">
        <f>B488/(日期!$B$2-日期!$B$1+1)</f>
        <v>0</v>
      </c>
    </row>
    <row r="489" spans="2:3">
      <c r="B489">
        <f>SUMIFS(allorders!O:O,allorders!L:L,'数据处理(仓储使用)'!$A489,allorders!$AG:$AG,"&lt;="&amp;日期!$B$2,allorders!$AG:$AG,"&gt;="&amp;日期!$B$1)</f>
        <v>0</v>
      </c>
      <c r="C489">
        <f>B489/(日期!$B$2-日期!$B$1+1)</f>
        <v>0</v>
      </c>
    </row>
    <row r="490" spans="2:3">
      <c r="B490">
        <f>SUMIFS(allorders!O:O,allorders!L:L,'数据处理(仓储使用)'!$A490,allorders!$AG:$AG,"&lt;="&amp;日期!$B$2,allorders!$AG:$AG,"&gt;="&amp;日期!$B$1)</f>
        <v>0</v>
      </c>
      <c r="C490">
        <f>B490/(日期!$B$2-日期!$B$1+1)</f>
        <v>0</v>
      </c>
    </row>
    <row r="491" spans="2:3">
      <c r="B491">
        <f>SUMIFS(allorders!O:O,allorders!L:L,'数据处理(仓储使用)'!$A491,allorders!$AG:$AG,"&lt;="&amp;日期!$B$2,allorders!$AG:$AG,"&gt;="&amp;日期!$B$1)</f>
        <v>0</v>
      </c>
      <c r="C491">
        <f>B491/(日期!$B$2-日期!$B$1+1)</f>
        <v>0</v>
      </c>
    </row>
    <row r="492" spans="2:3">
      <c r="B492">
        <f>SUMIFS(allorders!O:O,allorders!L:L,'数据处理(仓储使用)'!$A492,allorders!$AG:$AG,"&lt;="&amp;日期!$B$2,allorders!$AG:$AG,"&gt;="&amp;日期!$B$1)</f>
        <v>0</v>
      </c>
      <c r="C492">
        <f>B492/(日期!$B$2-日期!$B$1+1)</f>
        <v>0</v>
      </c>
    </row>
    <row r="493" spans="2:3">
      <c r="B493">
        <f>SUMIFS(allorders!O:O,allorders!L:L,'数据处理(仓储使用)'!$A493,allorders!$AG:$AG,"&lt;="&amp;日期!$B$2,allorders!$AG:$AG,"&gt;="&amp;日期!$B$1)</f>
        <v>0</v>
      </c>
      <c r="C493">
        <f>B493/(日期!$B$2-日期!$B$1+1)</f>
        <v>0</v>
      </c>
    </row>
    <row r="494" spans="2:3">
      <c r="B494">
        <f>SUMIFS(allorders!O:O,allorders!L:L,'数据处理(仓储使用)'!$A494,allorders!$AG:$AG,"&lt;="&amp;日期!$B$2,allorders!$AG:$AG,"&gt;="&amp;日期!$B$1)</f>
        <v>0</v>
      </c>
      <c r="C494">
        <f>B494/(日期!$B$2-日期!$B$1+1)</f>
        <v>0</v>
      </c>
    </row>
    <row r="495" spans="2:3">
      <c r="B495">
        <f>SUMIFS(allorders!O:O,allorders!L:L,'数据处理(仓储使用)'!$A495,allorders!$AG:$AG,"&lt;="&amp;日期!$B$2,allorders!$AG:$AG,"&gt;="&amp;日期!$B$1)</f>
        <v>0</v>
      </c>
      <c r="C495">
        <f>B495/(日期!$B$2-日期!$B$1+1)</f>
        <v>0</v>
      </c>
    </row>
    <row r="496" spans="2:3">
      <c r="B496">
        <f>SUMIFS(allorders!O:O,allorders!L:L,'数据处理(仓储使用)'!$A496,allorders!$AG:$AG,"&lt;="&amp;日期!$B$2,allorders!$AG:$AG,"&gt;="&amp;日期!$B$1)</f>
        <v>0</v>
      </c>
      <c r="C496">
        <f>B496/(日期!$B$2-日期!$B$1+1)</f>
        <v>0</v>
      </c>
    </row>
    <row r="497" spans="2:3">
      <c r="B497">
        <f>SUMIFS(allorders!O:O,allorders!L:L,'数据处理(仓储使用)'!$A497,allorders!$AG:$AG,"&lt;="&amp;日期!$B$2,allorders!$AG:$AG,"&gt;="&amp;日期!$B$1)</f>
        <v>0</v>
      </c>
      <c r="C497">
        <f>B497/(日期!$B$2-日期!$B$1+1)</f>
        <v>0</v>
      </c>
    </row>
    <row r="498" spans="2:3">
      <c r="B498">
        <f>SUMIFS(allorders!O:O,allorders!L:L,'数据处理(仓储使用)'!$A498,allorders!$AG:$AG,"&lt;="&amp;日期!$B$2,allorders!$AG:$AG,"&gt;="&amp;日期!$B$1)</f>
        <v>0</v>
      </c>
      <c r="C498">
        <f>B498/(日期!$B$2-日期!$B$1+1)</f>
        <v>0</v>
      </c>
    </row>
    <row r="499" spans="2:3">
      <c r="B499">
        <f>SUMIFS(allorders!O:O,allorders!L:L,'数据处理(仓储使用)'!$A499,allorders!$AG:$AG,"&lt;="&amp;日期!$B$2,allorders!$AG:$AG,"&gt;="&amp;日期!$B$1)</f>
        <v>0</v>
      </c>
      <c r="C499">
        <f>B499/(日期!$B$2-日期!$B$1+1)</f>
        <v>0</v>
      </c>
    </row>
    <row r="500" spans="2:3">
      <c r="B500">
        <f>SUMIFS(allorders!O:O,allorders!L:L,'数据处理(仓储使用)'!$A500,allorders!$AG:$AG,"&lt;="&amp;日期!$B$2,allorders!$AG:$AG,"&gt;="&amp;日期!$B$1)</f>
        <v>0</v>
      </c>
      <c r="C500">
        <f>B500/(日期!$B$2-日期!$B$1+1)</f>
        <v>0</v>
      </c>
    </row>
    <row r="501" spans="2:3">
      <c r="B501">
        <f>SUMIFS(allorders!O:O,allorders!L:L,'数据处理(仓储使用)'!$A501,allorders!$AG:$AG,"&lt;="&amp;日期!$B$2,allorders!$AG:$AG,"&gt;="&amp;日期!$B$1)</f>
        <v>0</v>
      </c>
      <c r="C501">
        <f>B501/(日期!$B$2-日期!$B$1+1)</f>
        <v>0</v>
      </c>
    </row>
    <row r="502" spans="2:3">
      <c r="B502">
        <f>SUMIFS(allorders!O:O,allorders!L:L,'数据处理(仓储使用)'!$A502,allorders!$AG:$AG,"&lt;="&amp;日期!$B$2,allorders!$AG:$AG,"&gt;="&amp;日期!$B$1)</f>
        <v>0</v>
      </c>
      <c r="C502">
        <f>B502/(日期!$B$2-日期!$B$1+1)</f>
        <v>0</v>
      </c>
    </row>
    <row r="503" spans="2:3">
      <c r="B503">
        <f>SUMIFS(allorders!O:O,allorders!L:L,'数据处理(仓储使用)'!$A503,allorders!$AG:$AG,"&lt;="&amp;日期!$B$2,allorders!$AG:$AG,"&gt;="&amp;日期!$B$1)</f>
        <v>0</v>
      </c>
      <c r="C503">
        <f>B503/(日期!$B$2-日期!$B$1+1)</f>
        <v>0</v>
      </c>
    </row>
    <row r="504" spans="2:3">
      <c r="B504">
        <f>SUMIFS(allorders!O:O,allorders!L:L,'数据处理(仓储使用)'!$A504,allorders!$AG:$AG,"&lt;="&amp;日期!$B$2,allorders!$AG:$AG,"&gt;="&amp;日期!$B$1)</f>
        <v>0</v>
      </c>
      <c r="C504">
        <f>B504/(日期!$B$2-日期!$B$1+1)</f>
        <v>0</v>
      </c>
    </row>
    <row r="505" spans="2:3">
      <c r="B505">
        <f>SUMIFS(allorders!O:O,allorders!L:L,'数据处理(仓储使用)'!$A505,allorders!$AG:$AG,"&lt;="&amp;日期!$B$2,allorders!$AG:$AG,"&gt;="&amp;日期!$B$1)</f>
        <v>0</v>
      </c>
      <c r="C505">
        <f>B505/(日期!$B$2-日期!$B$1+1)</f>
        <v>0</v>
      </c>
    </row>
    <row r="506" spans="2:3">
      <c r="B506">
        <f>SUMIFS(allorders!O:O,allorders!L:L,'数据处理(仓储使用)'!$A506,allorders!$AG:$AG,"&lt;="&amp;日期!$B$2,allorders!$AG:$AG,"&gt;="&amp;日期!$B$1)</f>
        <v>0</v>
      </c>
      <c r="C506">
        <f>B506/(日期!$B$2-日期!$B$1+1)</f>
        <v>0</v>
      </c>
    </row>
    <row r="507" spans="2:3">
      <c r="B507">
        <f>SUMIFS(allorders!O:O,allorders!L:L,'数据处理(仓储使用)'!$A507,allorders!$AG:$AG,"&lt;="&amp;日期!$B$2,allorders!$AG:$AG,"&gt;="&amp;日期!$B$1)</f>
        <v>0</v>
      </c>
      <c r="C507">
        <f>B507/(日期!$B$2-日期!$B$1+1)</f>
        <v>0</v>
      </c>
    </row>
    <row r="508" spans="2:3">
      <c r="B508">
        <f>SUMIFS(allorders!O:O,allorders!L:L,'数据处理(仓储使用)'!$A508,allorders!$AG:$AG,"&lt;="&amp;日期!$B$2,allorders!$AG:$AG,"&gt;="&amp;日期!$B$1)</f>
        <v>0</v>
      </c>
      <c r="C508">
        <f>B508/(日期!$B$2-日期!$B$1+1)</f>
        <v>0</v>
      </c>
    </row>
    <row r="509" spans="2:3">
      <c r="B509">
        <f>SUMIFS(allorders!O:O,allorders!L:L,'数据处理(仓储使用)'!$A509,allorders!$AG:$AG,"&lt;="&amp;日期!$B$2,allorders!$AG:$AG,"&gt;="&amp;日期!$B$1)</f>
        <v>0</v>
      </c>
      <c r="C509">
        <f>B509/(日期!$B$2-日期!$B$1+1)</f>
        <v>0</v>
      </c>
    </row>
    <row r="510" spans="2:3">
      <c r="B510">
        <f>SUMIFS(allorders!O:O,allorders!L:L,'数据处理(仓储使用)'!$A510,allorders!$AG:$AG,"&lt;="&amp;日期!$B$2,allorders!$AG:$AG,"&gt;="&amp;日期!$B$1)</f>
        <v>0</v>
      </c>
      <c r="C510">
        <f>B510/(日期!$B$2-日期!$B$1+1)</f>
        <v>0</v>
      </c>
    </row>
    <row r="511" spans="2:3">
      <c r="B511">
        <f>SUMIFS(allorders!O:O,allorders!L:L,'数据处理(仓储使用)'!$A511,allorders!$AG:$AG,"&lt;="&amp;日期!$B$2,allorders!$AG:$AG,"&gt;="&amp;日期!$B$1)</f>
        <v>0</v>
      </c>
      <c r="C511">
        <f>B511/(日期!$B$2-日期!$B$1+1)</f>
        <v>0</v>
      </c>
    </row>
    <row r="512" spans="2:3">
      <c r="B512">
        <f>SUMIFS(allorders!O:O,allorders!L:L,'数据处理(仓储使用)'!$A512,allorders!$AG:$AG,"&lt;="&amp;日期!$B$2,allorders!$AG:$AG,"&gt;="&amp;日期!$B$1)</f>
        <v>0</v>
      </c>
      <c r="C512">
        <f>B512/(日期!$B$2-日期!$B$1+1)</f>
        <v>0</v>
      </c>
    </row>
    <row r="513" spans="2:3">
      <c r="B513">
        <f>SUMIFS(allorders!O:O,allorders!L:L,'数据处理(仓储使用)'!$A513,allorders!$AG:$AG,"&lt;="&amp;日期!$B$2,allorders!$AG:$AG,"&gt;="&amp;日期!$B$1)</f>
        <v>0</v>
      </c>
      <c r="C513">
        <f>B513/(日期!$B$2-日期!$B$1+1)</f>
        <v>0</v>
      </c>
    </row>
    <row r="514" spans="2:3">
      <c r="B514">
        <f>SUMIFS(allorders!O:O,allorders!L:L,'数据处理(仓储使用)'!$A514,allorders!$AG:$AG,"&lt;="&amp;日期!$B$2,allorders!$AG:$AG,"&gt;="&amp;日期!$B$1)</f>
        <v>0</v>
      </c>
      <c r="C514">
        <f>B514/(日期!$B$2-日期!$B$1+1)</f>
        <v>0</v>
      </c>
    </row>
    <row r="515" spans="2:3">
      <c r="B515">
        <f>SUMIFS(allorders!O:O,allorders!L:L,'数据处理(仓储使用)'!$A515,allorders!$AG:$AG,"&lt;="&amp;日期!$B$2,allorders!$AG:$AG,"&gt;="&amp;日期!$B$1)</f>
        <v>0</v>
      </c>
      <c r="C515">
        <f>B515/(日期!$B$2-日期!$B$1+1)</f>
        <v>0</v>
      </c>
    </row>
    <row r="516" spans="2:3">
      <c r="B516">
        <f>SUMIFS(allorders!O:O,allorders!L:L,'数据处理(仓储使用)'!$A516,allorders!$AG:$AG,"&lt;="&amp;日期!$B$2,allorders!$AG:$AG,"&gt;="&amp;日期!$B$1)</f>
        <v>0</v>
      </c>
      <c r="C516">
        <f>B516/(日期!$B$2-日期!$B$1+1)</f>
        <v>0</v>
      </c>
    </row>
    <row r="517" spans="2:3">
      <c r="B517">
        <f>SUMIFS(allorders!O:O,allorders!L:L,'数据处理(仓储使用)'!$A517,allorders!$AG:$AG,"&lt;="&amp;日期!$B$2,allorders!$AG:$AG,"&gt;="&amp;日期!$B$1)</f>
        <v>0</v>
      </c>
      <c r="C517">
        <f>B517/(日期!$B$2-日期!$B$1+1)</f>
        <v>0</v>
      </c>
    </row>
    <row r="518" spans="2:3">
      <c r="B518">
        <f>SUMIFS(allorders!O:O,allorders!L:L,'数据处理(仓储使用)'!$A518,allorders!$AG:$AG,"&lt;="&amp;日期!$B$2,allorders!$AG:$AG,"&gt;="&amp;日期!$B$1)</f>
        <v>0</v>
      </c>
      <c r="C518">
        <f>B518/(日期!$B$2-日期!$B$1+1)</f>
        <v>0</v>
      </c>
    </row>
    <row r="519" spans="2:3">
      <c r="B519">
        <f>SUMIFS(allorders!O:O,allorders!L:L,'数据处理(仓储使用)'!$A519,allorders!$AG:$AG,"&lt;="&amp;日期!$B$2,allorders!$AG:$AG,"&gt;="&amp;日期!$B$1)</f>
        <v>0</v>
      </c>
      <c r="C519">
        <f>B519/(日期!$B$2-日期!$B$1+1)</f>
        <v>0</v>
      </c>
    </row>
    <row r="520" spans="2:3">
      <c r="B520">
        <f>SUMIFS(allorders!O:O,allorders!L:L,'数据处理(仓储使用)'!$A520,allorders!$AG:$AG,"&lt;="&amp;日期!$B$2,allorders!$AG:$AG,"&gt;="&amp;日期!$B$1)</f>
        <v>0</v>
      </c>
      <c r="C520">
        <f>B520/(日期!$B$2-日期!$B$1+1)</f>
        <v>0</v>
      </c>
    </row>
    <row r="521" spans="2:3">
      <c r="B521">
        <f>SUMIFS(allorders!O:O,allorders!L:L,'数据处理(仓储使用)'!$A521,allorders!$AG:$AG,"&lt;="&amp;日期!$B$2,allorders!$AG:$AG,"&gt;="&amp;日期!$B$1)</f>
        <v>0</v>
      </c>
      <c r="C521">
        <f>B521/(日期!$B$2-日期!$B$1+1)</f>
        <v>0</v>
      </c>
    </row>
    <row r="522" spans="2:3">
      <c r="B522">
        <f>SUMIFS(allorders!O:O,allorders!L:L,'数据处理(仓储使用)'!$A522,allorders!$AG:$AG,"&lt;="&amp;日期!$B$2,allorders!$AG:$AG,"&gt;="&amp;日期!$B$1)</f>
        <v>0</v>
      </c>
      <c r="C522">
        <f>B522/(日期!$B$2-日期!$B$1+1)</f>
        <v>0</v>
      </c>
    </row>
    <row r="523" spans="2:3">
      <c r="B523">
        <f>SUMIFS(allorders!O:O,allorders!L:L,'数据处理(仓储使用)'!$A523,allorders!$AG:$AG,"&lt;="&amp;日期!$B$2,allorders!$AG:$AG,"&gt;="&amp;日期!$B$1)</f>
        <v>0</v>
      </c>
      <c r="C523">
        <f>B523/(日期!$B$2-日期!$B$1+1)</f>
        <v>0</v>
      </c>
    </row>
    <row r="524" spans="2:3">
      <c r="B524">
        <f>SUMIFS(allorders!O:O,allorders!L:L,'数据处理(仓储使用)'!$A524,allorders!$AG:$AG,"&lt;="&amp;日期!$B$2,allorders!$AG:$AG,"&gt;="&amp;日期!$B$1)</f>
        <v>0</v>
      </c>
      <c r="C524">
        <f>B524/(日期!$B$2-日期!$B$1+1)</f>
        <v>0</v>
      </c>
    </row>
    <row r="525" spans="2:3">
      <c r="B525">
        <f>SUMIFS(allorders!O:O,allorders!L:L,'数据处理(仓储使用)'!$A525,allorders!$AG:$AG,"&lt;="&amp;日期!$B$2,allorders!$AG:$AG,"&gt;="&amp;日期!$B$1)</f>
        <v>0</v>
      </c>
      <c r="C525">
        <f>B525/(日期!$B$2-日期!$B$1+1)</f>
        <v>0</v>
      </c>
    </row>
    <row r="526" spans="2:3">
      <c r="B526">
        <f>SUMIFS(allorders!O:O,allorders!L:L,'数据处理(仓储使用)'!$A526,allorders!$AG:$AG,"&lt;="&amp;日期!$B$2,allorders!$AG:$AG,"&gt;="&amp;日期!$B$1)</f>
        <v>0</v>
      </c>
      <c r="C526">
        <f>B526/(日期!$B$2-日期!$B$1+1)</f>
        <v>0</v>
      </c>
    </row>
    <row r="527" spans="2:3">
      <c r="B527">
        <f>SUMIFS(allorders!O:O,allorders!L:L,'数据处理(仓储使用)'!$A527,allorders!$AG:$AG,"&lt;="&amp;日期!$B$2,allorders!$AG:$AG,"&gt;="&amp;日期!$B$1)</f>
        <v>0</v>
      </c>
      <c r="C527">
        <f>B527/(日期!$B$2-日期!$B$1+1)</f>
        <v>0</v>
      </c>
    </row>
    <row r="528" spans="2:3">
      <c r="B528">
        <f>SUMIFS(allorders!O:O,allorders!L:L,'数据处理(仓储使用)'!$A528,allorders!$AG:$AG,"&lt;="&amp;日期!$B$2,allorders!$AG:$AG,"&gt;="&amp;日期!$B$1)</f>
        <v>0</v>
      </c>
      <c r="C528">
        <f>B528/(日期!$B$2-日期!$B$1+1)</f>
        <v>0</v>
      </c>
    </row>
    <row r="529" spans="2:3">
      <c r="B529">
        <f>SUMIFS(allorders!O:O,allorders!L:L,'数据处理(仓储使用)'!$A529,allorders!$AG:$AG,"&lt;="&amp;日期!$B$2,allorders!$AG:$AG,"&gt;="&amp;日期!$B$1)</f>
        <v>0</v>
      </c>
      <c r="C529">
        <f>B529/(日期!$B$2-日期!$B$1+1)</f>
        <v>0</v>
      </c>
    </row>
    <row r="530" spans="2:3">
      <c r="B530">
        <f>SUMIFS(allorders!O:O,allorders!L:L,'数据处理(仓储使用)'!$A530,allorders!$AG:$AG,"&lt;="&amp;日期!$B$2,allorders!$AG:$AG,"&gt;="&amp;日期!$B$1)</f>
        <v>0</v>
      </c>
      <c r="C530">
        <f>B530/(日期!$B$2-日期!$B$1+1)</f>
        <v>0</v>
      </c>
    </row>
    <row r="531" spans="2:3">
      <c r="B531">
        <f>SUMIFS(allorders!O:O,allorders!L:L,'数据处理(仓储使用)'!$A531,allorders!$AG:$AG,"&lt;="&amp;日期!$B$2,allorders!$AG:$AG,"&gt;="&amp;日期!$B$1)</f>
        <v>0</v>
      </c>
      <c r="C531">
        <f>B531/(日期!$B$2-日期!$B$1+1)</f>
        <v>0</v>
      </c>
    </row>
    <row r="532" spans="2:3">
      <c r="B532">
        <f>SUMIFS(allorders!O:O,allorders!L:L,'数据处理(仓储使用)'!$A532,allorders!$AG:$AG,"&lt;="&amp;日期!$B$2,allorders!$AG:$AG,"&gt;="&amp;日期!$B$1)</f>
        <v>0</v>
      </c>
      <c r="C532">
        <f>B532/(日期!$B$2-日期!$B$1+1)</f>
        <v>0</v>
      </c>
    </row>
    <row r="533" spans="2:3">
      <c r="B533">
        <f>SUMIFS(allorders!O:O,allorders!L:L,'数据处理(仓储使用)'!$A533,allorders!$AG:$AG,"&lt;="&amp;日期!$B$2,allorders!$AG:$AG,"&gt;="&amp;日期!$B$1)</f>
        <v>0</v>
      </c>
      <c r="C533">
        <f>B533/(日期!$B$2-日期!$B$1+1)</f>
        <v>0</v>
      </c>
    </row>
    <row r="534" spans="2:3">
      <c r="B534">
        <f>SUMIFS(allorders!O:O,allorders!L:L,'数据处理(仓储使用)'!$A534,allorders!$AG:$AG,"&lt;="&amp;日期!$B$2,allorders!$AG:$AG,"&gt;="&amp;日期!$B$1)</f>
        <v>0</v>
      </c>
      <c r="C534">
        <f>B534/(日期!$B$2-日期!$B$1+1)</f>
        <v>0</v>
      </c>
    </row>
    <row r="535" spans="2:3">
      <c r="B535">
        <f>SUMIFS(allorders!O:O,allorders!L:L,'数据处理(仓储使用)'!$A535,allorders!$AG:$AG,"&lt;="&amp;日期!$B$2,allorders!$AG:$AG,"&gt;="&amp;日期!$B$1)</f>
        <v>0</v>
      </c>
      <c r="C535">
        <f>B535/(日期!$B$2-日期!$B$1+1)</f>
        <v>0</v>
      </c>
    </row>
    <row r="536" spans="2:3">
      <c r="B536">
        <f>SUMIFS(allorders!O:O,allorders!L:L,'数据处理(仓储使用)'!$A536,allorders!$AG:$AG,"&lt;="&amp;日期!$B$2,allorders!$AG:$AG,"&gt;="&amp;日期!$B$1)</f>
        <v>0</v>
      </c>
      <c r="C536">
        <f>B536/(日期!$B$2-日期!$B$1+1)</f>
        <v>0</v>
      </c>
    </row>
    <row r="537" spans="2:3">
      <c r="B537">
        <f>SUMIFS(allorders!O:O,allorders!L:L,'数据处理(仓储使用)'!$A537,allorders!$AG:$AG,"&lt;="&amp;日期!$B$2,allorders!$AG:$AG,"&gt;="&amp;日期!$B$1)</f>
        <v>0</v>
      </c>
      <c r="C537">
        <f>B537/(日期!$B$2-日期!$B$1+1)</f>
        <v>0</v>
      </c>
    </row>
    <row r="538" spans="2:3">
      <c r="B538">
        <f>SUMIFS(allorders!O:O,allorders!L:L,'数据处理(仓储使用)'!$A538,allorders!$AG:$AG,"&lt;="&amp;日期!$B$2,allorders!$AG:$AG,"&gt;="&amp;日期!$B$1)</f>
        <v>0</v>
      </c>
      <c r="C538">
        <f>B538/(日期!$B$2-日期!$B$1+1)</f>
        <v>0</v>
      </c>
    </row>
    <row r="539" spans="2:3">
      <c r="B539">
        <f>SUMIFS(allorders!O:O,allorders!L:L,'数据处理(仓储使用)'!$A539,allorders!$AG:$AG,"&lt;="&amp;日期!$B$2,allorders!$AG:$AG,"&gt;="&amp;日期!$B$1)</f>
        <v>0</v>
      </c>
      <c r="C539">
        <f>B539/(日期!$B$2-日期!$B$1+1)</f>
        <v>0</v>
      </c>
    </row>
    <row r="540" spans="2:3">
      <c r="B540">
        <f>SUMIFS(allorders!O:O,allorders!L:L,'数据处理(仓储使用)'!$A540,allorders!$AG:$AG,"&lt;="&amp;日期!$B$2,allorders!$AG:$AG,"&gt;="&amp;日期!$B$1)</f>
        <v>0</v>
      </c>
      <c r="C540">
        <f>B540/(日期!$B$2-日期!$B$1+1)</f>
        <v>0</v>
      </c>
    </row>
    <row r="541" spans="2:3">
      <c r="B541">
        <f>SUMIFS(allorders!O:O,allorders!L:L,'数据处理(仓储使用)'!$A541,allorders!$AG:$AG,"&lt;="&amp;日期!$B$2,allorders!$AG:$AG,"&gt;="&amp;日期!$B$1)</f>
        <v>0</v>
      </c>
      <c r="C541">
        <f>B541/(日期!$B$2-日期!$B$1+1)</f>
        <v>0</v>
      </c>
    </row>
    <row r="542" spans="2:3">
      <c r="B542">
        <f>SUMIFS(allorders!O:O,allorders!L:L,'数据处理(仓储使用)'!$A542,allorders!$AG:$AG,"&lt;="&amp;日期!$B$2,allorders!$AG:$AG,"&gt;="&amp;日期!$B$1)</f>
        <v>0</v>
      </c>
      <c r="C542">
        <f>B542/(日期!$B$2-日期!$B$1+1)</f>
        <v>0</v>
      </c>
    </row>
    <row r="543" spans="2:3">
      <c r="B543">
        <f>SUMIFS(allorders!O:O,allorders!L:L,'数据处理(仓储使用)'!$A543,allorders!$AG:$AG,"&lt;="&amp;日期!$B$2,allorders!$AG:$AG,"&gt;="&amp;日期!$B$1)</f>
        <v>0</v>
      </c>
      <c r="C543">
        <f>B543/(日期!$B$2-日期!$B$1+1)</f>
        <v>0</v>
      </c>
    </row>
    <row r="544" spans="2:3">
      <c r="B544">
        <f>SUMIFS(allorders!O:O,allorders!L:L,'数据处理(仓储使用)'!$A544,allorders!$AG:$AG,"&lt;="&amp;日期!$B$2,allorders!$AG:$AG,"&gt;="&amp;日期!$B$1)</f>
        <v>0</v>
      </c>
      <c r="C544">
        <f>B544/(日期!$B$2-日期!$B$1+1)</f>
        <v>0</v>
      </c>
    </row>
    <row r="545" spans="2:3">
      <c r="B545">
        <f>SUMIFS(allorders!O:O,allorders!L:L,'数据处理(仓储使用)'!$A545,allorders!$AG:$AG,"&lt;="&amp;日期!$B$2,allorders!$AG:$AG,"&gt;="&amp;日期!$B$1)</f>
        <v>0</v>
      </c>
      <c r="C545">
        <f>B545/(日期!$B$2-日期!$B$1+1)</f>
        <v>0</v>
      </c>
    </row>
    <row r="546" spans="2:3">
      <c r="B546">
        <f>SUMIFS(allorders!O:O,allorders!L:L,'数据处理(仓储使用)'!$A546,allorders!$AG:$AG,"&lt;="&amp;日期!$B$2,allorders!$AG:$AG,"&gt;="&amp;日期!$B$1)</f>
        <v>0</v>
      </c>
      <c r="C546">
        <f>B546/(日期!$B$2-日期!$B$1+1)</f>
        <v>0</v>
      </c>
    </row>
    <row r="547" spans="2:3">
      <c r="B547">
        <f>SUMIFS(allorders!O:O,allorders!L:L,'数据处理(仓储使用)'!$A547,allorders!$AG:$AG,"&lt;="&amp;日期!$B$2,allorders!$AG:$AG,"&gt;="&amp;日期!$B$1)</f>
        <v>0</v>
      </c>
      <c r="C547">
        <f>B547/(日期!$B$2-日期!$B$1+1)</f>
        <v>0</v>
      </c>
    </row>
    <row r="548" spans="2:3">
      <c r="B548">
        <f>SUMIFS(allorders!O:O,allorders!L:L,'数据处理(仓储使用)'!$A548,allorders!$AG:$AG,"&lt;="&amp;日期!$B$2,allorders!$AG:$AG,"&gt;="&amp;日期!$B$1)</f>
        <v>0</v>
      </c>
      <c r="C548">
        <f>B548/(日期!$B$2-日期!$B$1+1)</f>
        <v>0</v>
      </c>
    </row>
    <row r="549" spans="2:3">
      <c r="B549">
        <f>SUMIFS(allorders!O:O,allorders!L:L,'数据处理(仓储使用)'!$A549,allorders!$AG:$AG,"&lt;="&amp;日期!$B$2,allorders!$AG:$AG,"&gt;="&amp;日期!$B$1)</f>
        <v>0</v>
      </c>
      <c r="C549">
        <f>B549/(日期!$B$2-日期!$B$1+1)</f>
        <v>0</v>
      </c>
    </row>
    <row r="550" spans="2:3">
      <c r="B550">
        <f>SUMIFS(allorders!O:O,allorders!L:L,'数据处理(仓储使用)'!$A550,allorders!$AG:$AG,"&lt;="&amp;日期!$B$2,allorders!$AG:$AG,"&gt;="&amp;日期!$B$1)</f>
        <v>0</v>
      </c>
      <c r="C550">
        <f>B550/(日期!$B$2-日期!$B$1+1)</f>
        <v>0</v>
      </c>
    </row>
    <row r="551" spans="2:3">
      <c r="B551">
        <f>SUMIFS(allorders!O:O,allorders!L:L,'数据处理(仓储使用)'!$A551,allorders!$AG:$AG,"&lt;="&amp;日期!$B$2,allorders!$AG:$AG,"&gt;="&amp;日期!$B$1)</f>
        <v>0</v>
      </c>
      <c r="C551">
        <f>B551/(日期!$B$2-日期!$B$1+1)</f>
        <v>0</v>
      </c>
    </row>
    <row r="552" spans="2:3">
      <c r="B552">
        <f>SUMIFS(allorders!O:O,allorders!L:L,'数据处理(仓储使用)'!$A552,allorders!$AG:$AG,"&lt;="&amp;日期!$B$2,allorders!$AG:$AG,"&gt;="&amp;日期!$B$1)</f>
        <v>0</v>
      </c>
      <c r="C552">
        <f>B552/(日期!$B$2-日期!$B$1+1)</f>
        <v>0</v>
      </c>
    </row>
    <row r="553" spans="2:3">
      <c r="B553">
        <f>SUMIFS(allorders!O:O,allorders!L:L,'数据处理(仓储使用)'!$A553,allorders!$AG:$AG,"&lt;="&amp;日期!$B$2,allorders!$AG:$AG,"&gt;="&amp;日期!$B$1)</f>
        <v>0</v>
      </c>
      <c r="C553">
        <f>B553/(日期!$B$2-日期!$B$1+1)</f>
        <v>0</v>
      </c>
    </row>
    <row r="554" spans="2:3">
      <c r="B554">
        <f>SUMIFS(allorders!O:O,allorders!L:L,'数据处理(仓储使用)'!$A554,allorders!$AG:$AG,"&lt;="&amp;日期!$B$2,allorders!$AG:$AG,"&gt;="&amp;日期!$B$1)</f>
        <v>0</v>
      </c>
      <c r="C554">
        <f>B554/(日期!$B$2-日期!$B$1+1)</f>
        <v>0</v>
      </c>
    </row>
    <row r="555" spans="2:3">
      <c r="B555">
        <f>SUMIFS(allorders!O:O,allorders!L:L,'数据处理(仓储使用)'!$A555,allorders!$AG:$AG,"&lt;="&amp;日期!$B$2,allorders!$AG:$AG,"&gt;="&amp;日期!$B$1)</f>
        <v>0</v>
      </c>
      <c r="C555">
        <f>B555/(日期!$B$2-日期!$B$1+1)</f>
        <v>0</v>
      </c>
    </row>
    <row r="556" spans="2:3">
      <c r="B556">
        <f>SUMIFS(allorders!O:O,allorders!L:L,'数据处理(仓储使用)'!$A556,allorders!$AG:$AG,"&lt;="&amp;日期!$B$2,allorders!$AG:$AG,"&gt;="&amp;日期!$B$1)</f>
        <v>0</v>
      </c>
      <c r="C556">
        <f>B556/(日期!$B$2-日期!$B$1+1)</f>
        <v>0</v>
      </c>
    </row>
    <row r="557" spans="2:3">
      <c r="B557">
        <f>SUMIFS(allorders!O:O,allorders!L:L,'数据处理(仓储使用)'!$A557,allorders!$AG:$AG,"&lt;="&amp;日期!$B$2,allorders!$AG:$AG,"&gt;="&amp;日期!$B$1)</f>
        <v>0</v>
      </c>
      <c r="C557">
        <f>B557/(日期!$B$2-日期!$B$1+1)</f>
        <v>0</v>
      </c>
    </row>
    <row r="558" spans="2:3">
      <c r="B558">
        <f>SUMIFS(allorders!O:O,allorders!L:L,'数据处理(仓储使用)'!$A558,allorders!$AG:$AG,"&lt;="&amp;日期!$B$2,allorders!$AG:$AG,"&gt;="&amp;日期!$B$1)</f>
        <v>0</v>
      </c>
      <c r="C558">
        <f>B558/(日期!$B$2-日期!$B$1+1)</f>
        <v>0</v>
      </c>
    </row>
    <row r="559" spans="2:3">
      <c r="B559">
        <f>SUMIFS(allorders!O:O,allorders!L:L,'数据处理(仓储使用)'!$A559,allorders!$AG:$AG,"&lt;="&amp;日期!$B$2,allorders!$AG:$AG,"&gt;="&amp;日期!$B$1)</f>
        <v>0</v>
      </c>
      <c r="C559">
        <f>B559/(日期!$B$2-日期!$B$1+1)</f>
        <v>0</v>
      </c>
    </row>
    <row r="560" spans="2:3">
      <c r="B560">
        <f>SUMIFS(allorders!O:O,allorders!L:L,'数据处理(仓储使用)'!$A560,allorders!$AG:$AG,"&lt;="&amp;日期!$B$2,allorders!$AG:$AG,"&gt;="&amp;日期!$B$1)</f>
        <v>0</v>
      </c>
      <c r="C560">
        <f>B560/(日期!$B$2-日期!$B$1+1)</f>
        <v>0</v>
      </c>
    </row>
    <row r="561" spans="2:3">
      <c r="B561">
        <f>SUMIFS(allorders!O:O,allorders!L:L,'数据处理(仓储使用)'!$A561,allorders!$AG:$AG,"&lt;="&amp;日期!$B$2,allorders!$AG:$AG,"&gt;="&amp;日期!$B$1)</f>
        <v>0</v>
      </c>
      <c r="C561">
        <f>B561/(日期!$B$2-日期!$B$1+1)</f>
        <v>0</v>
      </c>
    </row>
    <row r="562" spans="2:3">
      <c r="B562">
        <f>SUMIFS(allorders!O:O,allorders!L:L,'数据处理(仓储使用)'!$A562,allorders!$AG:$AG,"&lt;="&amp;日期!$B$2,allorders!$AG:$AG,"&gt;="&amp;日期!$B$1)</f>
        <v>0</v>
      </c>
      <c r="C562">
        <f>B562/(日期!$B$2-日期!$B$1+1)</f>
        <v>0</v>
      </c>
    </row>
    <row r="563" spans="2:3">
      <c r="B563">
        <f>SUMIFS(allorders!O:O,allorders!L:L,'数据处理(仓储使用)'!$A563,allorders!$AG:$AG,"&lt;="&amp;日期!$B$2,allorders!$AG:$AG,"&gt;="&amp;日期!$B$1)</f>
        <v>0</v>
      </c>
      <c r="C563">
        <f>B563/(日期!$B$2-日期!$B$1+1)</f>
        <v>0</v>
      </c>
    </row>
    <row r="564" spans="2:3">
      <c r="B564">
        <f>SUMIFS(allorders!O:O,allorders!L:L,'数据处理(仓储使用)'!$A564,allorders!$AG:$AG,"&lt;="&amp;日期!$B$2,allorders!$AG:$AG,"&gt;="&amp;日期!$B$1)</f>
        <v>0</v>
      </c>
      <c r="C564">
        <f>B564/(日期!$B$2-日期!$B$1+1)</f>
        <v>0</v>
      </c>
    </row>
    <row r="565" spans="2:3">
      <c r="B565">
        <f>SUMIFS(allorders!O:O,allorders!L:L,'数据处理(仓储使用)'!$A565,allorders!$AG:$AG,"&lt;="&amp;日期!$B$2,allorders!$AG:$AG,"&gt;="&amp;日期!$B$1)</f>
        <v>0</v>
      </c>
      <c r="C565">
        <f>B565/(日期!$B$2-日期!$B$1+1)</f>
        <v>0</v>
      </c>
    </row>
    <row r="566" spans="2:3">
      <c r="B566">
        <f>SUMIFS(allorders!O:O,allorders!L:L,'数据处理(仓储使用)'!$A566,allorders!$AG:$AG,"&lt;="&amp;日期!$B$2,allorders!$AG:$AG,"&gt;="&amp;日期!$B$1)</f>
        <v>0</v>
      </c>
      <c r="C566">
        <f>B566/(日期!$B$2-日期!$B$1+1)</f>
        <v>0</v>
      </c>
    </row>
    <row r="567" spans="2:3">
      <c r="B567">
        <f>SUMIFS(allorders!O:O,allorders!L:L,'数据处理(仓储使用)'!$A567,allorders!$AG:$AG,"&lt;="&amp;日期!$B$2,allorders!$AG:$AG,"&gt;="&amp;日期!$B$1)</f>
        <v>0</v>
      </c>
      <c r="C567">
        <f>B567/(日期!$B$2-日期!$B$1+1)</f>
        <v>0</v>
      </c>
    </row>
    <row r="568" spans="2:3">
      <c r="B568">
        <f>SUMIFS(allorders!O:O,allorders!L:L,'数据处理(仓储使用)'!$A568,allorders!$AG:$AG,"&lt;="&amp;日期!$B$2,allorders!$AG:$AG,"&gt;="&amp;日期!$B$1)</f>
        <v>0</v>
      </c>
      <c r="C568">
        <f>B568/(日期!$B$2-日期!$B$1+1)</f>
        <v>0</v>
      </c>
    </row>
    <row r="569" spans="2:3">
      <c r="B569">
        <f>SUMIFS(allorders!O:O,allorders!L:L,'数据处理(仓储使用)'!$A569,allorders!$AG:$AG,"&lt;="&amp;日期!$B$2,allorders!$AG:$AG,"&gt;="&amp;日期!$B$1)</f>
        <v>0</v>
      </c>
      <c r="C569">
        <f>B569/(日期!$B$2-日期!$B$1+1)</f>
        <v>0</v>
      </c>
    </row>
    <row r="570" spans="2:3">
      <c r="B570">
        <f>SUMIFS(allorders!O:O,allorders!L:L,'数据处理(仓储使用)'!$A570,allorders!$AG:$AG,"&lt;="&amp;日期!$B$2,allorders!$AG:$AG,"&gt;="&amp;日期!$B$1)</f>
        <v>0</v>
      </c>
      <c r="C570">
        <f>B570/(日期!$B$2-日期!$B$1+1)</f>
        <v>0</v>
      </c>
    </row>
    <row r="571" spans="2:3">
      <c r="B571">
        <f>SUMIFS(allorders!O:O,allorders!L:L,'数据处理(仓储使用)'!$A571,allorders!$AG:$AG,"&lt;="&amp;日期!$B$2,allorders!$AG:$AG,"&gt;="&amp;日期!$B$1)</f>
        <v>0</v>
      </c>
      <c r="C571">
        <f>B571/(日期!$B$2-日期!$B$1+1)</f>
        <v>0</v>
      </c>
    </row>
    <row r="572" spans="2:3">
      <c r="B572">
        <f>SUMIFS(allorders!O:O,allorders!L:L,'数据处理(仓储使用)'!$A572,allorders!$AG:$AG,"&lt;="&amp;日期!$B$2,allorders!$AG:$AG,"&gt;="&amp;日期!$B$1)</f>
        <v>0</v>
      </c>
      <c r="C572">
        <f>B572/(日期!$B$2-日期!$B$1+1)</f>
        <v>0</v>
      </c>
    </row>
    <row r="573" spans="2:3">
      <c r="B573">
        <f>SUMIFS(allorders!O:O,allorders!L:L,'数据处理(仓储使用)'!$A573,allorders!$AG:$AG,"&lt;="&amp;日期!$B$2,allorders!$AG:$AG,"&gt;="&amp;日期!$B$1)</f>
        <v>0</v>
      </c>
      <c r="C573">
        <f>B573/(日期!$B$2-日期!$B$1+1)</f>
        <v>0</v>
      </c>
    </row>
    <row r="574" spans="2:3">
      <c r="B574">
        <f>SUMIFS(allorders!O:O,allorders!L:L,'数据处理(仓储使用)'!$A574,allorders!$AG:$AG,"&lt;="&amp;日期!$B$2,allorders!$AG:$AG,"&gt;="&amp;日期!$B$1)</f>
        <v>0</v>
      </c>
      <c r="C574">
        <f>B574/(日期!$B$2-日期!$B$1+1)</f>
        <v>0</v>
      </c>
    </row>
    <row r="575" spans="2:3">
      <c r="B575">
        <f>SUMIFS(allorders!O:O,allorders!L:L,'数据处理(仓储使用)'!$A575,allorders!$AG:$AG,"&lt;="&amp;日期!$B$2,allorders!$AG:$AG,"&gt;="&amp;日期!$B$1)</f>
        <v>0</v>
      </c>
      <c r="C575">
        <f>B575/(日期!$B$2-日期!$B$1+1)</f>
        <v>0</v>
      </c>
    </row>
    <row r="576" spans="2:3">
      <c r="B576">
        <f>SUMIFS(allorders!O:O,allorders!L:L,'数据处理(仓储使用)'!$A576,allorders!$AG:$AG,"&lt;="&amp;日期!$B$2,allorders!$AG:$AG,"&gt;="&amp;日期!$B$1)</f>
        <v>0</v>
      </c>
      <c r="C576">
        <f>B576/(日期!$B$2-日期!$B$1+1)</f>
        <v>0</v>
      </c>
    </row>
    <row r="577" spans="2:3">
      <c r="B577">
        <f>SUMIFS(allorders!O:O,allorders!L:L,'数据处理(仓储使用)'!$A577,allorders!$AG:$AG,"&lt;="&amp;日期!$B$2,allorders!$AG:$AG,"&gt;="&amp;日期!$B$1)</f>
        <v>0</v>
      </c>
      <c r="C577">
        <f>B577/(日期!$B$2-日期!$B$1+1)</f>
        <v>0</v>
      </c>
    </row>
    <row r="578" spans="2:3">
      <c r="B578">
        <f>SUMIFS(allorders!O:O,allorders!L:L,'数据处理(仓储使用)'!$A578,allorders!$AG:$AG,"&lt;="&amp;日期!$B$2,allorders!$AG:$AG,"&gt;="&amp;日期!$B$1)</f>
        <v>0</v>
      </c>
      <c r="C578">
        <f>B578/(日期!$B$2-日期!$B$1+1)</f>
        <v>0</v>
      </c>
    </row>
    <row r="579" spans="2:3">
      <c r="B579">
        <f>SUMIFS(allorders!O:O,allorders!L:L,'数据处理(仓储使用)'!$A579,allorders!$AG:$AG,"&lt;="&amp;日期!$B$2,allorders!$AG:$AG,"&gt;="&amp;日期!$B$1)</f>
        <v>0</v>
      </c>
      <c r="C579">
        <f>B579/(日期!$B$2-日期!$B$1+1)</f>
        <v>0</v>
      </c>
    </row>
    <row r="580" spans="2:3">
      <c r="B580">
        <f>SUMIFS(allorders!O:O,allorders!L:L,'数据处理(仓储使用)'!$A580,allorders!$AG:$AG,"&lt;="&amp;日期!$B$2,allorders!$AG:$AG,"&gt;="&amp;日期!$B$1)</f>
        <v>0</v>
      </c>
      <c r="C580">
        <f>B580/(日期!$B$2-日期!$B$1+1)</f>
        <v>0</v>
      </c>
    </row>
    <row r="581" spans="2:3">
      <c r="B581">
        <f>SUMIFS(allorders!O:O,allorders!L:L,'数据处理(仓储使用)'!$A581,allorders!$AG:$AG,"&lt;="&amp;日期!$B$2,allorders!$AG:$AG,"&gt;="&amp;日期!$B$1)</f>
        <v>0</v>
      </c>
      <c r="C581">
        <f>B581/(日期!$B$2-日期!$B$1+1)</f>
        <v>0</v>
      </c>
    </row>
    <row r="582" spans="2:3">
      <c r="B582">
        <f>SUMIFS(allorders!O:O,allorders!L:L,'数据处理(仓储使用)'!$A582,allorders!$AG:$AG,"&lt;="&amp;日期!$B$2,allorders!$AG:$AG,"&gt;="&amp;日期!$B$1)</f>
        <v>0</v>
      </c>
      <c r="C582">
        <f>B582/(日期!$B$2-日期!$B$1+1)</f>
        <v>0</v>
      </c>
    </row>
    <row r="583" spans="2:3">
      <c r="B583">
        <f>SUMIFS(allorders!O:O,allorders!L:L,'数据处理(仓储使用)'!$A583,allorders!$AG:$AG,"&lt;="&amp;日期!$B$2,allorders!$AG:$AG,"&gt;="&amp;日期!$B$1)</f>
        <v>0</v>
      </c>
      <c r="C583">
        <f>B583/(日期!$B$2-日期!$B$1+1)</f>
        <v>0</v>
      </c>
    </row>
    <row r="584" spans="2:3">
      <c r="B584">
        <f>SUMIFS(allorders!O:O,allorders!L:L,'数据处理(仓储使用)'!$A584,allorders!$AG:$AG,"&lt;="&amp;日期!$B$2,allorders!$AG:$AG,"&gt;="&amp;日期!$B$1)</f>
        <v>0</v>
      </c>
      <c r="C584">
        <f>B584/(日期!$B$2-日期!$B$1+1)</f>
        <v>0</v>
      </c>
    </row>
    <row r="585" spans="2:3">
      <c r="B585">
        <f>SUMIFS(allorders!O:O,allorders!L:L,'数据处理(仓储使用)'!$A585,allorders!$AG:$AG,"&lt;="&amp;日期!$B$2,allorders!$AG:$AG,"&gt;="&amp;日期!$B$1)</f>
        <v>0</v>
      </c>
      <c r="C585">
        <f>B585/(日期!$B$2-日期!$B$1+1)</f>
        <v>0</v>
      </c>
    </row>
    <row r="586" spans="2:3">
      <c r="B586">
        <f>SUMIFS(allorders!O:O,allorders!L:L,'数据处理(仓储使用)'!$A586,allorders!$AG:$AG,"&lt;="&amp;日期!$B$2,allorders!$AG:$AG,"&gt;="&amp;日期!$B$1)</f>
        <v>0</v>
      </c>
      <c r="C586">
        <f>B586/(日期!$B$2-日期!$B$1+1)</f>
        <v>0</v>
      </c>
    </row>
    <row r="587" spans="2:3">
      <c r="B587">
        <f>SUMIFS(allorders!O:O,allorders!L:L,'数据处理(仓储使用)'!$A587,allorders!$AG:$AG,"&lt;="&amp;日期!$B$2,allorders!$AG:$AG,"&gt;="&amp;日期!$B$1)</f>
        <v>0</v>
      </c>
      <c r="C587">
        <f>B587/(日期!$B$2-日期!$B$1+1)</f>
        <v>0</v>
      </c>
    </row>
    <row r="588" spans="2:3">
      <c r="B588">
        <f>SUMIFS(allorders!O:O,allorders!L:L,'数据处理(仓储使用)'!$A588,allorders!$AG:$AG,"&lt;="&amp;日期!$B$2,allorders!$AG:$AG,"&gt;="&amp;日期!$B$1)</f>
        <v>0</v>
      </c>
      <c r="C588">
        <f>B588/(日期!$B$2-日期!$B$1+1)</f>
        <v>0</v>
      </c>
    </row>
    <row r="589" spans="2:3">
      <c r="B589">
        <f>SUMIFS(allorders!O:O,allorders!L:L,'数据处理(仓储使用)'!$A589,allorders!$AG:$AG,"&lt;="&amp;日期!$B$2,allorders!$AG:$AG,"&gt;="&amp;日期!$B$1)</f>
        <v>0</v>
      </c>
      <c r="C589">
        <f>B589/(日期!$B$2-日期!$B$1+1)</f>
        <v>0</v>
      </c>
    </row>
    <row r="590" spans="2:3">
      <c r="B590">
        <f>SUMIFS(allorders!O:O,allorders!L:L,'数据处理(仓储使用)'!$A590,allorders!$AG:$AG,"&lt;="&amp;日期!$B$2,allorders!$AG:$AG,"&gt;="&amp;日期!$B$1)</f>
        <v>0</v>
      </c>
      <c r="C590">
        <f>B590/(日期!$B$2-日期!$B$1+1)</f>
        <v>0</v>
      </c>
    </row>
    <row r="591" spans="2:3">
      <c r="B591">
        <f>SUMIFS(allorders!O:O,allorders!L:L,'数据处理(仓储使用)'!$A591,allorders!$AG:$AG,"&lt;="&amp;日期!$B$2,allorders!$AG:$AG,"&gt;="&amp;日期!$B$1)</f>
        <v>0</v>
      </c>
      <c r="C591">
        <f>B591/(日期!$B$2-日期!$B$1+1)</f>
        <v>0</v>
      </c>
    </row>
    <row r="592" spans="2:3">
      <c r="B592">
        <f>SUMIFS(allorders!O:O,allorders!L:L,'数据处理(仓储使用)'!$A592,allorders!$AG:$AG,"&lt;="&amp;日期!$B$2,allorders!$AG:$AG,"&gt;="&amp;日期!$B$1)</f>
        <v>0</v>
      </c>
      <c r="C592">
        <f>B592/(日期!$B$2-日期!$B$1+1)</f>
        <v>0</v>
      </c>
    </row>
    <row r="593" spans="2:3">
      <c r="B593">
        <f>SUMIFS(allorders!O:O,allorders!L:L,'数据处理(仓储使用)'!$A593,allorders!$AG:$AG,"&lt;="&amp;日期!$B$2,allorders!$AG:$AG,"&gt;="&amp;日期!$B$1)</f>
        <v>0</v>
      </c>
      <c r="C593">
        <f>B593/(日期!$B$2-日期!$B$1+1)</f>
        <v>0</v>
      </c>
    </row>
    <row r="594" spans="2:3">
      <c r="B594">
        <f>SUMIFS(allorders!O:O,allorders!L:L,'数据处理(仓储使用)'!$A594,allorders!$AG:$AG,"&lt;="&amp;日期!$B$2,allorders!$AG:$AG,"&gt;="&amp;日期!$B$1)</f>
        <v>0</v>
      </c>
      <c r="C594">
        <f>B594/(日期!$B$2-日期!$B$1+1)</f>
        <v>0</v>
      </c>
    </row>
    <row r="595" spans="2:3">
      <c r="B595">
        <f>SUMIFS(allorders!O:O,allorders!L:L,'数据处理(仓储使用)'!$A595,allorders!$AG:$AG,"&lt;="&amp;日期!$B$2,allorders!$AG:$AG,"&gt;="&amp;日期!$B$1)</f>
        <v>0</v>
      </c>
      <c r="C595">
        <f>B595/(日期!$B$2-日期!$B$1+1)</f>
        <v>0</v>
      </c>
    </row>
    <row r="596" spans="2:3">
      <c r="B596">
        <f>SUMIFS(allorders!O:O,allorders!L:L,'数据处理(仓储使用)'!$A596,allorders!$AG:$AG,"&lt;="&amp;日期!$B$2,allorders!$AG:$AG,"&gt;="&amp;日期!$B$1)</f>
        <v>0</v>
      </c>
      <c r="C596">
        <f>B596/(日期!$B$2-日期!$B$1+1)</f>
        <v>0</v>
      </c>
    </row>
    <row r="597" spans="2:3">
      <c r="B597">
        <f>SUMIFS(allorders!O:O,allorders!L:L,'数据处理(仓储使用)'!$A597,allorders!$AG:$AG,"&lt;="&amp;日期!$B$2,allorders!$AG:$AG,"&gt;="&amp;日期!$B$1)</f>
        <v>0</v>
      </c>
      <c r="C597">
        <f>B597/(日期!$B$2-日期!$B$1+1)</f>
        <v>0</v>
      </c>
    </row>
    <row r="598" spans="2:3">
      <c r="B598">
        <f>SUMIFS(allorders!O:O,allorders!L:L,'数据处理(仓储使用)'!$A598,allorders!$AG:$AG,"&lt;="&amp;日期!$B$2,allorders!$AG:$AG,"&gt;="&amp;日期!$B$1)</f>
        <v>0</v>
      </c>
      <c r="C598">
        <f>B598/(日期!$B$2-日期!$B$1+1)</f>
        <v>0</v>
      </c>
    </row>
    <row r="599" spans="2:3">
      <c r="B599">
        <f>SUMIFS(allorders!O:O,allorders!L:L,'数据处理(仓储使用)'!$A599,allorders!$AG:$AG,"&lt;="&amp;日期!$B$2,allorders!$AG:$AG,"&gt;="&amp;日期!$B$1)</f>
        <v>0</v>
      </c>
      <c r="C599">
        <f>B599/(日期!$B$2-日期!$B$1+1)</f>
        <v>0</v>
      </c>
    </row>
    <row r="600" spans="2:3">
      <c r="B600">
        <f>SUMIFS(allorders!O:O,allorders!L:L,'数据处理(仓储使用)'!$A600,allorders!$AG:$AG,"&lt;="&amp;日期!$B$2,allorders!$AG:$AG,"&gt;="&amp;日期!$B$1)</f>
        <v>0</v>
      </c>
      <c r="C600">
        <f>B600/(日期!$B$2-日期!$B$1+1)</f>
        <v>0</v>
      </c>
    </row>
    <row r="601" spans="2:3">
      <c r="B601">
        <f>SUMIFS(allorders!O:O,allorders!L:L,'数据处理(仓储使用)'!$A601,allorders!$AG:$AG,"&lt;="&amp;日期!$B$2,allorders!$AG:$AG,"&gt;="&amp;日期!$B$1)</f>
        <v>0</v>
      </c>
      <c r="C601">
        <f>B601/(日期!$B$2-日期!$B$1+1)</f>
        <v>0</v>
      </c>
    </row>
    <row r="602" spans="2:3">
      <c r="B602">
        <f>SUMIFS(allorders!O:O,allorders!L:L,'数据处理(仓储使用)'!$A602,allorders!$AG:$AG,"&lt;="&amp;日期!$B$2,allorders!$AG:$AG,"&gt;="&amp;日期!$B$1)</f>
        <v>0</v>
      </c>
      <c r="C602">
        <f>B602/(日期!$B$2-日期!$B$1+1)</f>
        <v>0</v>
      </c>
    </row>
    <row r="603" spans="2:3">
      <c r="B603">
        <f>SUMIFS(allorders!O:O,allorders!L:L,'数据处理(仓储使用)'!$A603,allorders!$AG:$AG,"&lt;="&amp;日期!$B$2,allorders!$AG:$AG,"&gt;="&amp;日期!$B$1)</f>
        <v>0</v>
      </c>
      <c r="C603">
        <f>B603/(日期!$B$2-日期!$B$1+1)</f>
        <v>0</v>
      </c>
    </row>
    <row r="604" spans="2:3">
      <c r="B604">
        <f>SUMIFS(allorders!O:O,allorders!L:L,'数据处理(仓储使用)'!$A604,allorders!$AG:$AG,"&lt;="&amp;日期!$B$2,allorders!$AG:$AG,"&gt;="&amp;日期!$B$1)</f>
        <v>0</v>
      </c>
      <c r="C604">
        <f>B604/(日期!$B$2-日期!$B$1+1)</f>
        <v>0</v>
      </c>
    </row>
    <row r="605" spans="2:3">
      <c r="B605">
        <f>SUMIFS(allorders!O:O,allorders!L:L,'数据处理(仓储使用)'!$A605,allorders!$AG:$AG,"&lt;="&amp;日期!$B$2,allorders!$AG:$AG,"&gt;="&amp;日期!$B$1)</f>
        <v>0</v>
      </c>
      <c r="C605">
        <f>B605/(日期!$B$2-日期!$B$1+1)</f>
        <v>0</v>
      </c>
    </row>
    <row r="606" spans="2:3">
      <c r="B606">
        <f>SUMIFS(allorders!O:O,allorders!L:L,'数据处理(仓储使用)'!$A606,allorders!$AG:$AG,"&lt;="&amp;日期!$B$2,allorders!$AG:$AG,"&gt;="&amp;日期!$B$1)</f>
        <v>0</v>
      </c>
      <c r="C606">
        <f>B606/(日期!$B$2-日期!$B$1+1)</f>
        <v>0</v>
      </c>
    </row>
    <row r="607" spans="2:3">
      <c r="B607">
        <f>SUMIFS(allorders!O:O,allorders!L:L,'数据处理(仓储使用)'!$A607,allorders!$AG:$AG,"&lt;="&amp;日期!$B$2,allorders!$AG:$AG,"&gt;="&amp;日期!$B$1)</f>
        <v>0</v>
      </c>
      <c r="C607">
        <f>B607/(日期!$B$2-日期!$B$1+1)</f>
        <v>0</v>
      </c>
    </row>
    <row r="608" spans="2:3">
      <c r="B608">
        <f>SUMIFS(allorders!O:O,allorders!L:L,'数据处理(仓储使用)'!$A608,allorders!$AG:$AG,"&lt;="&amp;日期!$B$2,allorders!$AG:$AG,"&gt;="&amp;日期!$B$1)</f>
        <v>0</v>
      </c>
      <c r="C608">
        <f>B608/(日期!$B$2-日期!$B$1+1)</f>
        <v>0</v>
      </c>
    </row>
    <row r="609" spans="2:3">
      <c r="B609">
        <f>SUMIFS(allorders!O:O,allorders!L:L,'数据处理(仓储使用)'!$A609,allorders!$AG:$AG,"&lt;="&amp;日期!$B$2,allorders!$AG:$AG,"&gt;="&amp;日期!$B$1)</f>
        <v>0</v>
      </c>
      <c r="C609">
        <f>B609/(日期!$B$2-日期!$B$1+1)</f>
        <v>0</v>
      </c>
    </row>
    <row r="610" spans="2:3">
      <c r="B610">
        <f>SUMIFS(allorders!O:O,allorders!L:L,'数据处理(仓储使用)'!$A610,allorders!$AG:$AG,"&lt;="&amp;日期!$B$2,allorders!$AG:$AG,"&gt;="&amp;日期!$B$1)</f>
        <v>0</v>
      </c>
      <c r="C610">
        <f>B610/(日期!$B$2-日期!$B$1+1)</f>
        <v>0</v>
      </c>
    </row>
    <row r="611" spans="2:3">
      <c r="B611">
        <f>SUMIFS(allorders!O:O,allorders!L:L,'数据处理(仓储使用)'!$A611,allorders!$AG:$AG,"&lt;="&amp;日期!$B$2,allorders!$AG:$AG,"&gt;="&amp;日期!$B$1)</f>
        <v>0</v>
      </c>
      <c r="C611">
        <f>B611/(日期!$B$2-日期!$B$1+1)</f>
        <v>0</v>
      </c>
    </row>
    <row r="612" spans="2:3">
      <c r="B612">
        <f>SUMIFS(allorders!O:O,allorders!L:L,'数据处理(仓储使用)'!$A612,allorders!$AG:$AG,"&lt;="&amp;日期!$B$2,allorders!$AG:$AG,"&gt;="&amp;日期!$B$1)</f>
        <v>0</v>
      </c>
      <c r="C612">
        <f>B612/(日期!$B$2-日期!$B$1+1)</f>
        <v>0</v>
      </c>
    </row>
    <row r="613" spans="2:3">
      <c r="B613">
        <f>SUMIFS(allorders!O:O,allorders!L:L,'数据处理(仓储使用)'!$A613,allorders!$AG:$AG,"&lt;="&amp;日期!$B$2,allorders!$AG:$AG,"&gt;="&amp;日期!$B$1)</f>
        <v>0</v>
      </c>
      <c r="C613">
        <f>B613/(日期!$B$2-日期!$B$1+1)</f>
        <v>0</v>
      </c>
    </row>
    <row r="614" spans="2:3">
      <c r="B614">
        <f>SUMIFS(allorders!O:O,allorders!L:L,'数据处理(仓储使用)'!$A614,allorders!$AG:$AG,"&lt;="&amp;日期!$B$2,allorders!$AG:$AG,"&gt;="&amp;日期!$B$1)</f>
        <v>0</v>
      </c>
      <c r="C614">
        <f>B614/(日期!$B$2-日期!$B$1+1)</f>
        <v>0</v>
      </c>
    </row>
    <row r="615" spans="2:3">
      <c r="B615">
        <f>SUMIFS(allorders!O:O,allorders!L:L,'数据处理(仓储使用)'!$A615,allorders!$AG:$AG,"&lt;="&amp;日期!$B$2,allorders!$AG:$AG,"&gt;="&amp;日期!$B$1)</f>
        <v>0</v>
      </c>
      <c r="C615">
        <f>B615/(日期!$B$2-日期!$B$1+1)</f>
        <v>0</v>
      </c>
    </row>
    <row r="616" spans="2:3">
      <c r="B616">
        <f>SUMIFS(allorders!O:O,allorders!L:L,'数据处理(仓储使用)'!$A616,allorders!$AG:$AG,"&lt;="&amp;日期!$B$2,allorders!$AG:$AG,"&gt;="&amp;日期!$B$1)</f>
        <v>0</v>
      </c>
      <c r="C616">
        <f>B616/(日期!$B$2-日期!$B$1+1)</f>
        <v>0</v>
      </c>
    </row>
    <row r="617" spans="2:3">
      <c r="B617">
        <f>SUMIFS(allorders!O:O,allorders!L:L,'数据处理(仓储使用)'!$A617,allorders!$AG:$AG,"&lt;="&amp;日期!$B$2,allorders!$AG:$AG,"&gt;="&amp;日期!$B$1)</f>
        <v>0</v>
      </c>
      <c r="C617">
        <f>B617/(日期!$B$2-日期!$B$1+1)</f>
        <v>0</v>
      </c>
    </row>
    <row r="618" spans="2:3">
      <c r="B618">
        <f>SUMIFS(allorders!O:O,allorders!L:L,'数据处理(仓储使用)'!$A618,allorders!$AG:$AG,"&lt;="&amp;日期!$B$2,allorders!$AG:$AG,"&gt;="&amp;日期!$B$1)</f>
        <v>0</v>
      </c>
      <c r="C618">
        <f>B618/(日期!$B$2-日期!$B$1+1)</f>
        <v>0</v>
      </c>
    </row>
    <row r="619" spans="2:3">
      <c r="B619">
        <f>SUMIFS(allorders!O:O,allorders!L:L,'数据处理(仓储使用)'!$A619,allorders!$AG:$AG,"&lt;="&amp;日期!$B$2,allorders!$AG:$AG,"&gt;="&amp;日期!$B$1)</f>
        <v>0</v>
      </c>
      <c r="C619">
        <f>B619/(日期!$B$2-日期!$B$1+1)</f>
        <v>0</v>
      </c>
    </row>
    <row r="620" spans="2:3">
      <c r="B620">
        <f>SUMIFS(allorders!O:O,allorders!L:L,'数据处理(仓储使用)'!$A620,allorders!$AG:$AG,"&lt;="&amp;日期!$B$2,allorders!$AG:$AG,"&gt;="&amp;日期!$B$1)</f>
        <v>0</v>
      </c>
      <c r="C620">
        <f>B620/(日期!$B$2-日期!$B$1+1)</f>
        <v>0</v>
      </c>
    </row>
    <row r="621" spans="2:3">
      <c r="B621">
        <f>SUMIFS(allorders!O:O,allorders!L:L,'数据处理(仓储使用)'!$A621,allorders!$AG:$AG,"&lt;="&amp;日期!$B$2,allorders!$AG:$AG,"&gt;="&amp;日期!$B$1)</f>
        <v>0</v>
      </c>
      <c r="C621">
        <f>B621/(日期!$B$2-日期!$B$1+1)</f>
        <v>0</v>
      </c>
    </row>
    <row r="622" spans="2:3">
      <c r="B622">
        <f>SUMIFS(allorders!O:O,allorders!L:L,'数据处理(仓储使用)'!$A622,allorders!$AG:$AG,"&lt;="&amp;日期!$B$2,allorders!$AG:$AG,"&gt;="&amp;日期!$B$1)</f>
        <v>0</v>
      </c>
      <c r="C622">
        <f>B622/(日期!$B$2-日期!$B$1+1)</f>
        <v>0</v>
      </c>
    </row>
    <row r="623" spans="2:3">
      <c r="B623">
        <f>SUMIFS(allorders!O:O,allorders!L:L,'数据处理(仓储使用)'!$A623,allorders!$AG:$AG,"&lt;="&amp;日期!$B$2,allorders!$AG:$AG,"&gt;="&amp;日期!$B$1)</f>
        <v>0</v>
      </c>
      <c r="C623">
        <f>B623/(日期!$B$2-日期!$B$1+1)</f>
        <v>0</v>
      </c>
    </row>
    <row r="624" spans="2:3">
      <c r="B624">
        <f>SUMIFS(allorders!O:O,allorders!L:L,'数据处理(仓储使用)'!$A624,allorders!$AG:$AG,"&lt;="&amp;日期!$B$2,allorders!$AG:$AG,"&gt;="&amp;日期!$B$1)</f>
        <v>0</v>
      </c>
      <c r="C624">
        <f>B624/(日期!$B$2-日期!$B$1+1)</f>
        <v>0</v>
      </c>
    </row>
    <row r="625" spans="2:3">
      <c r="B625">
        <f>SUMIFS(allorders!O:O,allorders!L:L,'数据处理(仓储使用)'!$A625,allorders!$AG:$AG,"&lt;="&amp;日期!$B$2,allorders!$AG:$AG,"&gt;="&amp;日期!$B$1)</f>
        <v>0</v>
      </c>
      <c r="C625">
        <f>B625/(日期!$B$2-日期!$B$1+1)</f>
        <v>0</v>
      </c>
    </row>
    <row r="626" spans="2:3">
      <c r="B626">
        <f>SUMIFS(allorders!O:O,allorders!L:L,'数据处理(仓储使用)'!$A626,allorders!$AG:$AG,"&lt;="&amp;日期!$B$2,allorders!$AG:$AG,"&gt;="&amp;日期!$B$1)</f>
        <v>0</v>
      </c>
      <c r="C626">
        <f>B626/(日期!$B$2-日期!$B$1+1)</f>
        <v>0</v>
      </c>
    </row>
    <row r="627" spans="2:3">
      <c r="B627">
        <f>SUMIFS(allorders!O:O,allorders!L:L,'数据处理(仓储使用)'!$A627,allorders!$AG:$AG,"&lt;="&amp;日期!$B$2,allorders!$AG:$AG,"&gt;="&amp;日期!$B$1)</f>
        <v>0</v>
      </c>
      <c r="C627">
        <f>B627/(日期!$B$2-日期!$B$1+1)</f>
        <v>0</v>
      </c>
    </row>
    <row r="628" spans="2:3">
      <c r="B628">
        <f>SUMIFS(allorders!O:O,allorders!L:L,'数据处理(仓储使用)'!$A628,allorders!$AG:$AG,"&lt;="&amp;日期!$B$2,allorders!$AG:$AG,"&gt;="&amp;日期!$B$1)</f>
        <v>0</v>
      </c>
      <c r="C628">
        <f>B628/(日期!$B$2-日期!$B$1+1)</f>
        <v>0</v>
      </c>
    </row>
    <row r="629" spans="2:3">
      <c r="B629">
        <f>SUMIFS(allorders!O:O,allorders!L:L,'数据处理(仓储使用)'!$A629,allorders!$AG:$AG,"&lt;="&amp;日期!$B$2,allorders!$AG:$AG,"&gt;="&amp;日期!$B$1)</f>
        <v>0</v>
      </c>
      <c r="C629">
        <f>B629/(日期!$B$2-日期!$B$1+1)</f>
        <v>0</v>
      </c>
    </row>
    <row r="630" spans="2:3">
      <c r="B630">
        <f>SUMIFS(allorders!O:O,allorders!L:L,'数据处理(仓储使用)'!$A630,allorders!$AG:$AG,"&lt;="&amp;日期!$B$2,allorders!$AG:$AG,"&gt;="&amp;日期!$B$1)</f>
        <v>0</v>
      </c>
      <c r="C630">
        <f>B630/(日期!$B$2-日期!$B$1+1)</f>
        <v>0</v>
      </c>
    </row>
    <row r="631" spans="2:3">
      <c r="B631">
        <f>SUMIFS(allorders!O:O,allorders!L:L,'数据处理(仓储使用)'!$A631,allorders!$AG:$AG,"&lt;="&amp;日期!$B$2,allorders!$AG:$AG,"&gt;="&amp;日期!$B$1)</f>
        <v>0</v>
      </c>
      <c r="C631">
        <f>B631/(日期!$B$2-日期!$B$1+1)</f>
        <v>0</v>
      </c>
    </row>
    <row r="632" spans="2:3">
      <c r="B632">
        <f>SUMIFS(allorders!O:O,allorders!L:L,'数据处理(仓储使用)'!$A632,allorders!$AG:$AG,"&lt;="&amp;日期!$B$2,allorders!$AG:$AG,"&gt;="&amp;日期!$B$1)</f>
        <v>0</v>
      </c>
      <c r="C632">
        <f>B632/(日期!$B$2-日期!$B$1+1)</f>
        <v>0</v>
      </c>
    </row>
    <row r="633" spans="2:3">
      <c r="B633">
        <f>SUMIFS(allorders!O:O,allorders!L:L,'数据处理(仓储使用)'!$A633,allorders!$AG:$AG,"&lt;="&amp;日期!$B$2,allorders!$AG:$AG,"&gt;="&amp;日期!$B$1)</f>
        <v>0</v>
      </c>
      <c r="C633">
        <f>B633/(日期!$B$2-日期!$B$1+1)</f>
        <v>0</v>
      </c>
    </row>
    <row r="634" spans="2:3">
      <c r="B634">
        <f>SUMIFS(allorders!O:O,allorders!L:L,'数据处理(仓储使用)'!$A634,allorders!$AG:$AG,"&lt;="&amp;日期!$B$2,allorders!$AG:$AG,"&gt;="&amp;日期!$B$1)</f>
        <v>0</v>
      </c>
      <c r="C634">
        <f>B634/(日期!$B$2-日期!$B$1+1)</f>
        <v>0</v>
      </c>
    </row>
    <row r="635" spans="2:3">
      <c r="B635">
        <f>SUMIFS(allorders!O:O,allorders!L:L,'数据处理(仓储使用)'!$A635,allorders!$AG:$AG,"&lt;="&amp;日期!$B$2,allorders!$AG:$AG,"&gt;="&amp;日期!$B$1)</f>
        <v>0</v>
      </c>
      <c r="C635">
        <f>B635/(日期!$B$2-日期!$B$1+1)</f>
        <v>0</v>
      </c>
    </row>
    <row r="636" spans="2:3">
      <c r="B636">
        <f>SUMIFS(allorders!O:O,allorders!L:L,'数据处理(仓储使用)'!$A636,allorders!$AG:$AG,"&lt;="&amp;日期!$B$2,allorders!$AG:$AG,"&gt;="&amp;日期!$B$1)</f>
        <v>0</v>
      </c>
      <c r="C636">
        <f>B636/(日期!$B$2-日期!$B$1+1)</f>
        <v>0</v>
      </c>
    </row>
    <row r="637" spans="2:3">
      <c r="B637">
        <f>SUMIFS(allorders!O:O,allorders!L:L,'数据处理(仓储使用)'!$A637,allorders!$AG:$AG,"&lt;="&amp;日期!$B$2,allorders!$AG:$AG,"&gt;="&amp;日期!$B$1)</f>
        <v>0</v>
      </c>
      <c r="C637">
        <f>B637/(日期!$B$2-日期!$B$1+1)</f>
        <v>0</v>
      </c>
    </row>
    <row r="638" spans="2:3">
      <c r="B638">
        <f>SUMIFS(allorders!O:O,allorders!L:L,'数据处理(仓储使用)'!$A638,allorders!$AG:$AG,"&lt;="&amp;日期!$B$2,allorders!$AG:$AG,"&gt;="&amp;日期!$B$1)</f>
        <v>0</v>
      </c>
      <c r="C638">
        <f>B638/(日期!$B$2-日期!$B$1+1)</f>
        <v>0</v>
      </c>
    </row>
    <row r="639" spans="2:3">
      <c r="B639">
        <f>SUMIFS(allorders!O:O,allorders!L:L,'数据处理(仓储使用)'!$A639,allorders!$AG:$AG,"&lt;="&amp;日期!$B$2,allorders!$AG:$AG,"&gt;="&amp;日期!$B$1)</f>
        <v>0</v>
      </c>
      <c r="C639">
        <f>B639/(日期!$B$2-日期!$B$1+1)</f>
        <v>0</v>
      </c>
    </row>
    <row r="640" spans="2:3">
      <c r="B640">
        <f>SUMIFS(allorders!O:O,allorders!L:L,'数据处理(仓储使用)'!$A640,allorders!$AG:$AG,"&lt;="&amp;日期!$B$2,allorders!$AG:$AG,"&gt;="&amp;日期!$B$1)</f>
        <v>0</v>
      </c>
      <c r="C640">
        <f>B640/(日期!$B$2-日期!$B$1+1)</f>
        <v>0</v>
      </c>
    </row>
    <row r="641" spans="2:3">
      <c r="B641">
        <f>SUMIFS(allorders!O:O,allorders!L:L,'数据处理(仓储使用)'!$A641,allorders!$AG:$AG,"&lt;="&amp;日期!$B$2,allorders!$AG:$AG,"&gt;="&amp;日期!$B$1)</f>
        <v>0</v>
      </c>
      <c r="C641">
        <f>B641/(日期!$B$2-日期!$B$1+1)</f>
        <v>0</v>
      </c>
    </row>
    <row r="642" spans="2:3">
      <c r="B642">
        <f>SUMIFS(allorders!O:O,allorders!L:L,'数据处理(仓储使用)'!$A642,allorders!$AG:$AG,"&lt;="&amp;日期!$B$2,allorders!$AG:$AG,"&gt;="&amp;日期!$B$1)</f>
        <v>0</v>
      </c>
      <c r="C642">
        <f>B642/(日期!$B$2-日期!$B$1+1)</f>
        <v>0</v>
      </c>
    </row>
    <row r="643" spans="2:3">
      <c r="B643">
        <f>SUMIFS(allorders!O:O,allorders!L:L,'数据处理(仓储使用)'!$A643,allorders!$AG:$AG,"&lt;="&amp;日期!$B$2,allorders!$AG:$AG,"&gt;="&amp;日期!$B$1)</f>
        <v>0</v>
      </c>
      <c r="C643">
        <f>B643/(日期!$B$2-日期!$B$1+1)</f>
        <v>0</v>
      </c>
    </row>
    <row r="644" spans="2:3">
      <c r="B644">
        <f>SUMIFS(allorders!O:O,allorders!L:L,'数据处理(仓储使用)'!$A644,allorders!$AG:$AG,"&lt;="&amp;日期!$B$2,allorders!$AG:$AG,"&gt;="&amp;日期!$B$1)</f>
        <v>0</v>
      </c>
      <c r="C644">
        <f>B644/(日期!$B$2-日期!$B$1+1)</f>
        <v>0</v>
      </c>
    </row>
    <row r="645" spans="2:3">
      <c r="B645">
        <f>SUMIFS(allorders!O:O,allorders!L:L,'数据处理(仓储使用)'!$A645,allorders!$AG:$AG,"&lt;="&amp;日期!$B$2,allorders!$AG:$AG,"&gt;="&amp;日期!$B$1)</f>
        <v>0</v>
      </c>
      <c r="C645">
        <f>B645/(日期!$B$2-日期!$B$1+1)</f>
        <v>0</v>
      </c>
    </row>
    <row r="646" spans="2:3">
      <c r="B646">
        <f>SUMIFS(allorders!O:O,allorders!L:L,'数据处理(仓储使用)'!$A646,allorders!$AG:$AG,"&lt;="&amp;日期!$B$2,allorders!$AG:$AG,"&gt;="&amp;日期!$B$1)</f>
        <v>0</v>
      </c>
      <c r="C646">
        <f>B646/(日期!$B$2-日期!$B$1+1)</f>
        <v>0</v>
      </c>
    </row>
    <row r="647" spans="2:3">
      <c r="B647">
        <f>SUMIFS(allorders!O:O,allorders!L:L,'数据处理(仓储使用)'!$A647,allorders!$AG:$AG,"&lt;="&amp;日期!$B$2,allorders!$AG:$AG,"&gt;="&amp;日期!$B$1)</f>
        <v>0</v>
      </c>
      <c r="C647">
        <f>B647/(日期!$B$2-日期!$B$1+1)</f>
        <v>0</v>
      </c>
    </row>
    <row r="648" spans="2:3">
      <c r="B648">
        <f>SUMIFS(allorders!O:O,allorders!L:L,'数据处理(仓储使用)'!$A648,allorders!$AG:$AG,"&lt;="&amp;日期!$B$2,allorders!$AG:$AG,"&gt;="&amp;日期!$B$1)</f>
        <v>0</v>
      </c>
      <c r="C648">
        <f>B648/(日期!$B$2-日期!$B$1+1)</f>
        <v>0</v>
      </c>
    </row>
    <row r="649" spans="2:3">
      <c r="B649">
        <f>SUMIFS(allorders!O:O,allorders!L:L,'数据处理(仓储使用)'!$A649,allorders!$AG:$AG,"&lt;="&amp;日期!$B$2,allorders!$AG:$AG,"&gt;="&amp;日期!$B$1)</f>
        <v>0</v>
      </c>
      <c r="C649">
        <f>B649/(日期!$B$2-日期!$B$1+1)</f>
        <v>0</v>
      </c>
    </row>
    <row r="650" spans="2:3">
      <c r="B650">
        <f>SUMIFS(allorders!O:O,allorders!L:L,'数据处理(仓储使用)'!$A650,allorders!$AG:$AG,"&lt;="&amp;日期!$B$2,allorders!$AG:$AG,"&gt;="&amp;日期!$B$1)</f>
        <v>0</v>
      </c>
      <c r="C650">
        <f>B650/(日期!$B$2-日期!$B$1+1)</f>
        <v>0</v>
      </c>
    </row>
    <row r="651" spans="2:3">
      <c r="B651">
        <f>SUMIFS(allorders!O:O,allorders!L:L,'数据处理(仓储使用)'!$A651,allorders!$AG:$AG,"&lt;="&amp;日期!$B$2,allorders!$AG:$AG,"&gt;="&amp;日期!$B$1)</f>
        <v>0</v>
      </c>
      <c r="C651">
        <f>B651/(日期!$B$2-日期!$B$1+1)</f>
        <v>0</v>
      </c>
    </row>
    <row r="652" spans="2:3">
      <c r="B652">
        <f>SUMIFS(allorders!O:O,allorders!L:L,'数据处理(仓储使用)'!$A652,allorders!$AG:$AG,"&lt;="&amp;日期!$B$2,allorders!$AG:$AG,"&gt;="&amp;日期!$B$1)</f>
        <v>0</v>
      </c>
      <c r="C652">
        <f>B652/(日期!$B$2-日期!$B$1+1)</f>
        <v>0</v>
      </c>
    </row>
    <row r="653" spans="2:3">
      <c r="B653">
        <f>SUMIFS(allorders!O:O,allorders!L:L,'数据处理(仓储使用)'!$A653,allorders!$AG:$AG,"&lt;="&amp;日期!$B$2,allorders!$AG:$AG,"&gt;="&amp;日期!$B$1)</f>
        <v>0</v>
      </c>
      <c r="C653">
        <f>B653/(日期!$B$2-日期!$B$1+1)</f>
        <v>0</v>
      </c>
    </row>
    <row r="654" spans="2:3">
      <c r="B654">
        <f>SUMIFS(allorders!O:O,allorders!L:L,'数据处理(仓储使用)'!$A654,allorders!$AG:$AG,"&lt;="&amp;日期!$B$2,allorders!$AG:$AG,"&gt;="&amp;日期!$B$1)</f>
        <v>0</v>
      </c>
      <c r="C654">
        <f>B654/(日期!$B$2-日期!$B$1+1)</f>
        <v>0</v>
      </c>
    </row>
    <row r="655" spans="2:3">
      <c r="B655">
        <f>SUMIFS(allorders!O:O,allorders!L:L,'数据处理(仓储使用)'!$A655,allorders!$AG:$AG,"&lt;="&amp;日期!$B$2,allorders!$AG:$AG,"&gt;="&amp;日期!$B$1)</f>
        <v>0</v>
      </c>
      <c r="C655">
        <f>B655/(日期!$B$2-日期!$B$1+1)</f>
        <v>0</v>
      </c>
    </row>
    <row r="656" spans="2:3">
      <c r="B656">
        <f>SUMIFS(allorders!O:O,allorders!L:L,'数据处理(仓储使用)'!$A656,allorders!$AG:$AG,"&lt;="&amp;日期!$B$2,allorders!$AG:$AG,"&gt;="&amp;日期!$B$1)</f>
        <v>0</v>
      </c>
      <c r="C656">
        <f>B656/(日期!$B$2-日期!$B$1+1)</f>
        <v>0</v>
      </c>
    </row>
    <row r="657" spans="2:3">
      <c r="B657">
        <f>SUMIFS(allorders!O:O,allorders!L:L,'数据处理(仓储使用)'!$A657,allorders!$AG:$AG,"&lt;="&amp;日期!$B$2,allorders!$AG:$AG,"&gt;="&amp;日期!$B$1)</f>
        <v>0</v>
      </c>
      <c r="C657">
        <f>B657/(日期!$B$2-日期!$B$1+1)</f>
        <v>0</v>
      </c>
    </row>
    <row r="658" spans="2:3">
      <c r="B658">
        <f>SUMIFS(allorders!O:O,allorders!L:L,'数据处理(仓储使用)'!$A658,allorders!$AG:$AG,"&lt;="&amp;日期!$B$2,allorders!$AG:$AG,"&gt;="&amp;日期!$B$1)</f>
        <v>0</v>
      </c>
      <c r="C658">
        <f>B658/(日期!$B$2-日期!$B$1+1)</f>
        <v>0</v>
      </c>
    </row>
    <row r="659" spans="2:3">
      <c r="B659">
        <f>SUMIFS(allorders!O:O,allorders!L:L,'数据处理(仓储使用)'!$A659,allorders!$AG:$AG,"&lt;="&amp;日期!$B$2,allorders!$AG:$AG,"&gt;="&amp;日期!$B$1)</f>
        <v>0</v>
      </c>
      <c r="C659">
        <f>B659/(日期!$B$2-日期!$B$1+1)</f>
        <v>0</v>
      </c>
    </row>
    <row r="660" spans="2:3">
      <c r="B660">
        <f>SUMIFS(allorders!O:O,allorders!L:L,'数据处理(仓储使用)'!$A660,allorders!$AG:$AG,"&lt;="&amp;日期!$B$2,allorders!$AG:$AG,"&gt;="&amp;日期!$B$1)</f>
        <v>0</v>
      </c>
      <c r="C660">
        <f>B660/(日期!$B$2-日期!$B$1+1)</f>
        <v>0</v>
      </c>
    </row>
    <row r="661" spans="2:3">
      <c r="B661">
        <f>SUMIFS(allorders!O:O,allorders!L:L,'数据处理(仓储使用)'!$A661,allorders!$AG:$AG,"&lt;="&amp;日期!$B$2,allorders!$AG:$AG,"&gt;="&amp;日期!$B$1)</f>
        <v>0</v>
      </c>
      <c r="C661">
        <f>B661/(日期!$B$2-日期!$B$1+1)</f>
        <v>0</v>
      </c>
    </row>
    <row r="662" spans="2:3">
      <c r="B662">
        <f>SUMIFS(allorders!O:O,allorders!L:L,'数据处理(仓储使用)'!$A662,allorders!$AG:$AG,"&lt;="&amp;日期!$B$2,allorders!$AG:$AG,"&gt;="&amp;日期!$B$1)</f>
        <v>0</v>
      </c>
      <c r="C662">
        <f>B662/(日期!$B$2-日期!$B$1+1)</f>
        <v>0</v>
      </c>
    </row>
    <row r="663" spans="2:3">
      <c r="B663">
        <f>SUMIFS(allorders!O:O,allorders!L:L,'数据处理(仓储使用)'!$A663,allorders!$AG:$AG,"&lt;="&amp;日期!$B$2,allorders!$AG:$AG,"&gt;="&amp;日期!$B$1)</f>
        <v>0</v>
      </c>
      <c r="C663">
        <f>B663/(日期!$B$2-日期!$B$1+1)</f>
        <v>0</v>
      </c>
    </row>
    <row r="664" spans="2:3">
      <c r="B664">
        <f>SUMIFS(allorders!O:O,allorders!L:L,'数据处理(仓储使用)'!$A664,allorders!$AG:$AG,"&lt;="&amp;日期!$B$2,allorders!$AG:$AG,"&gt;="&amp;日期!$B$1)</f>
        <v>0</v>
      </c>
      <c r="C664">
        <f>B664/(日期!$B$2-日期!$B$1+1)</f>
        <v>0</v>
      </c>
    </row>
    <row r="665" spans="2:3">
      <c r="B665">
        <f>SUMIFS(allorders!O:O,allorders!L:L,'数据处理(仓储使用)'!$A665,allorders!$AG:$AG,"&lt;="&amp;日期!$B$2,allorders!$AG:$AG,"&gt;="&amp;日期!$B$1)</f>
        <v>0</v>
      </c>
      <c r="C665">
        <f>B665/(日期!$B$2-日期!$B$1+1)</f>
        <v>0</v>
      </c>
    </row>
    <row r="666" spans="2:3">
      <c r="B666">
        <f>SUMIFS(allorders!O:O,allorders!L:L,'数据处理(仓储使用)'!$A666,allorders!$AG:$AG,"&lt;="&amp;日期!$B$2,allorders!$AG:$AG,"&gt;="&amp;日期!$B$1)</f>
        <v>0</v>
      </c>
      <c r="C666">
        <f>B666/(日期!$B$2-日期!$B$1+1)</f>
        <v>0</v>
      </c>
    </row>
    <row r="667" spans="2:3">
      <c r="B667">
        <f>SUMIFS(allorders!O:O,allorders!L:L,'数据处理(仓储使用)'!$A667,allorders!$AG:$AG,"&lt;="&amp;日期!$B$2,allorders!$AG:$AG,"&gt;="&amp;日期!$B$1)</f>
        <v>0</v>
      </c>
      <c r="C667">
        <f>B667/(日期!$B$2-日期!$B$1+1)</f>
        <v>0</v>
      </c>
    </row>
    <row r="668" spans="2:3">
      <c r="B668">
        <f>SUMIFS(allorders!O:O,allorders!L:L,'数据处理(仓储使用)'!$A668,allorders!$AG:$AG,"&lt;="&amp;日期!$B$2,allorders!$AG:$AG,"&gt;="&amp;日期!$B$1)</f>
        <v>0</v>
      </c>
      <c r="C668">
        <f>B668/(日期!$B$2-日期!$B$1+1)</f>
        <v>0</v>
      </c>
    </row>
    <row r="669" spans="2:3">
      <c r="B669">
        <f>SUMIFS(allorders!O:O,allorders!L:L,'数据处理(仓储使用)'!$A669,allorders!$AG:$AG,"&lt;="&amp;日期!$B$2,allorders!$AG:$AG,"&gt;="&amp;日期!$B$1)</f>
        <v>0</v>
      </c>
      <c r="C669">
        <f>B669/(日期!$B$2-日期!$B$1+1)</f>
        <v>0</v>
      </c>
    </row>
    <row r="670" spans="2:3">
      <c r="B670">
        <f>SUMIFS(allorders!O:O,allorders!L:L,'数据处理(仓储使用)'!$A670,allorders!$AG:$AG,"&lt;="&amp;日期!$B$2,allorders!$AG:$AG,"&gt;="&amp;日期!$B$1)</f>
        <v>0</v>
      </c>
      <c r="C670">
        <f>B670/(日期!$B$2-日期!$B$1+1)</f>
        <v>0</v>
      </c>
    </row>
    <row r="671" spans="2:3">
      <c r="B671">
        <f>SUMIFS(allorders!O:O,allorders!L:L,'数据处理(仓储使用)'!$A671,allorders!$AG:$AG,"&lt;="&amp;日期!$B$2,allorders!$AG:$AG,"&gt;="&amp;日期!$B$1)</f>
        <v>0</v>
      </c>
      <c r="C671">
        <f>B671/(日期!$B$2-日期!$B$1+1)</f>
        <v>0</v>
      </c>
    </row>
    <row r="672" spans="2:3">
      <c r="B672">
        <f>SUMIFS(allorders!O:O,allorders!L:L,'数据处理(仓储使用)'!$A672,allorders!$AG:$AG,"&lt;="&amp;日期!$B$2,allorders!$AG:$AG,"&gt;="&amp;日期!$B$1)</f>
        <v>0</v>
      </c>
      <c r="C672">
        <f>B672/(日期!$B$2-日期!$B$1+1)</f>
        <v>0</v>
      </c>
    </row>
    <row r="673" spans="2:3">
      <c r="B673">
        <f>SUMIFS(allorders!O:O,allorders!L:L,'数据处理(仓储使用)'!$A673,allorders!$AG:$AG,"&lt;="&amp;日期!$B$2,allorders!$AG:$AG,"&gt;="&amp;日期!$B$1)</f>
        <v>0</v>
      </c>
      <c r="C673">
        <f>B673/(日期!$B$2-日期!$B$1+1)</f>
        <v>0</v>
      </c>
    </row>
    <row r="674" spans="2:3">
      <c r="B674">
        <f>SUMIFS(allorders!O:O,allorders!L:L,'数据处理(仓储使用)'!$A674,allorders!$AG:$AG,"&lt;="&amp;日期!$B$2,allorders!$AG:$AG,"&gt;="&amp;日期!$B$1)</f>
        <v>0</v>
      </c>
      <c r="C674">
        <f>B674/(日期!$B$2-日期!$B$1+1)</f>
        <v>0</v>
      </c>
    </row>
    <row r="675" spans="2:3">
      <c r="B675">
        <f>SUMIFS(allorders!O:O,allorders!L:L,'数据处理(仓储使用)'!$A675,allorders!$AG:$AG,"&lt;="&amp;日期!$B$2,allorders!$AG:$AG,"&gt;="&amp;日期!$B$1)</f>
        <v>0</v>
      </c>
      <c r="C675">
        <f>B675/(日期!$B$2-日期!$B$1+1)</f>
        <v>0</v>
      </c>
    </row>
    <row r="676" spans="2:3">
      <c r="B676">
        <f>SUMIFS(allorders!O:O,allorders!L:L,'数据处理(仓储使用)'!$A676,allorders!$AG:$AG,"&lt;="&amp;日期!$B$2,allorders!$AG:$AG,"&gt;="&amp;日期!$B$1)</f>
        <v>0</v>
      </c>
      <c r="C676">
        <f>B676/(日期!$B$2-日期!$B$1+1)</f>
        <v>0</v>
      </c>
    </row>
    <row r="677" spans="2:3">
      <c r="B677">
        <f>SUMIFS(allorders!O:O,allorders!L:L,'数据处理(仓储使用)'!$A677,allorders!$AG:$AG,"&lt;="&amp;日期!$B$2,allorders!$AG:$AG,"&gt;="&amp;日期!$B$1)</f>
        <v>0</v>
      </c>
      <c r="C677">
        <f>B677/(日期!$B$2-日期!$B$1+1)</f>
        <v>0</v>
      </c>
    </row>
    <row r="678" spans="2:3">
      <c r="B678">
        <f>SUMIFS(allorders!O:O,allorders!L:L,'数据处理(仓储使用)'!$A678,allorders!$AG:$AG,"&lt;="&amp;日期!$B$2,allorders!$AG:$AG,"&gt;="&amp;日期!$B$1)</f>
        <v>0</v>
      </c>
      <c r="C678">
        <f>B678/(日期!$B$2-日期!$B$1+1)</f>
        <v>0</v>
      </c>
    </row>
    <row r="679" spans="2:3">
      <c r="B679">
        <f>SUMIFS(allorders!O:O,allorders!L:L,'数据处理(仓储使用)'!$A679,allorders!$AG:$AG,"&lt;="&amp;日期!$B$2,allorders!$AG:$AG,"&gt;="&amp;日期!$B$1)</f>
        <v>0</v>
      </c>
      <c r="C679">
        <f>B679/(日期!$B$2-日期!$B$1+1)</f>
        <v>0</v>
      </c>
    </row>
    <row r="680" spans="2:3">
      <c r="B680">
        <f>SUMIFS(allorders!O:O,allorders!L:L,'数据处理(仓储使用)'!$A680,allorders!$AG:$AG,"&lt;="&amp;日期!$B$2,allorders!$AG:$AG,"&gt;="&amp;日期!$B$1)</f>
        <v>0</v>
      </c>
      <c r="C680">
        <f>B680/(日期!$B$2-日期!$B$1+1)</f>
        <v>0</v>
      </c>
    </row>
    <row r="681" spans="2:3">
      <c r="B681">
        <f>SUMIFS(allorders!O:O,allorders!L:L,'数据处理(仓储使用)'!$A681,allorders!$AG:$AG,"&lt;="&amp;日期!$B$2,allorders!$AG:$AG,"&gt;="&amp;日期!$B$1)</f>
        <v>0</v>
      </c>
      <c r="C681">
        <f>B681/(日期!$B$2-日期!$B$1+1)</f>
        <v>0</v>
      </c>
    </row>
    <row r="682" spans="2:3">
      <c r="B682">
        <f>SUMIFS(allorders!O:O,allorders!L:L,'数据处理(仓储使用)'!$A682,allorders!$AG:$AG,"&lt;="&amp;日期!$B$2,allorders!$AG:$AG,"&gt;="&amp;日期!$B$1)</f>
        <v>0</v>
      </c>
      <c r="C682">
        <f>B682/(日期!$B$2-日期!$B$1+1)</f>
        <v>0</v>
      </c>
    </row>
    <row r="683" spans="2:3">
      <c r="B683">
        <f>SUMIFS(allorders!O:O,allorders!L:L,'数据处理(仓储使用)'!$A683,allorders!$AG:$AG,"&lt;="&amp;日期!$B$2,allorders!$AG:$AG,"&gt;="&amp;日期!$B$1)</f>
        <v>0</v>
      </c>
      <c r="C683">
        <f>B683/(日期!$B$2-日期!$B$1+1)</f>
        <v>0</v>
      </c>
    </row>
    <row r="684" spans="2:3">
      <c r="B684">
        <f>SUMIFS(allorders!O:O,allorders!L:L,'数据处理(仓储使用)'!$A684,allorders!$AG:$AG,"&lt;="&amp;日期!$B$2,allorders!$AG:$AG,"&gt;="&amp;日期!$B$1)</f>
        <v>0</v>
      </c>
      <c r="C684">
        <f>B684/(日期!$B$2-日期!$B$1+1)</f>
        <v>0</v>
      </c>
    </row>
    <row r="685" spans="2:3">
      <c r="B685">
        <f>SUMIFS(allorders!O:O,allorders!L:L,'数据处理(仓储使用)'!$A685,allorders!$AG:$AG,"&lt;="&amp;日期!$B$2,allorders!$AG:$AG,"&gt;="&amp;日期!$B$1)</f>
        <v>0</v>
      </c>
      <c r="C685">
        <f>B685/(日期!$B$2-日期!$B$1+1)</f>
        <v>0</v>
      </c>
    </row>
    <row r="686" spans="2:3">
      <c r="B686">
        <f>SUMIFS(allorders!O:O,allorders!L:L,'数据处理(仓储使用)'!$A686,allorders!$AG:$AG,"&lt;="&amp;日期!$B$2,allorders!$AG:$AG,"&gt;="&amp;日期!$B$1)</f>
        <v>0</v>
      </c>
      <c r="C686">
        <f>B686/(日期!$B$2-日期!$B$1+1)</f>
        <v>0</v>
      </c>
    </row>
    <row r="687" spans="2:3">
      <c r="B687">
        <f>SUMIFS(allorders!O:O,allorders!L:L,'数据处理(仓储使用)'!$A687,allorders!$AG:$AG,"&lt;="&amp;日期!$B$2,allorders!$AG:$AG,"&gt;="&amp;日期!$B$1)</f>
        <v>0</v>
      </c>
      <c r="C687">
        <f>B687/(日期!$B$2-日期!$B$1+1)</f>
        <v>0</v>
      </c>
    </row>
    <row r="688" spans="2:3">
      <c r="B688">
        <f>SUMIFS(allorders!O:O,allorders!L:L,'数据处理(仓储使用)'!$A688,allorders!$AG:$AG,"&lt;="&amp;日期!$B$2,allorders!$AG:$AG,"&gt;="&amp;日期!$B$1)</f>
        <v>0</v>
      </c>
      <c r="C688">
        <f>B688/(日期!$B$2-日期!$B$1+1)</f>
        <v>0</v>
      </c>
    </row>
    <row r="689" spans="2:3">
      <c r="B689">
        <f>SUMIFS(allorders!O:O,allorders!L:L,'数据处理(仓储使用)'!$A689,allorders!$AG:$AG,"&lt;="&amp;日期!$B$2,allorders!$AG:$AG,"&gt;="&amp;日期!$B$1)</f>
        <v>0</v>
      </c>
      <c r="C689">
        <f>B689/(日期!$B$2-日期!$B$1+1)</f>
        <v>0</v>
      </c>
    </row>
    <row r="690" spans="2:3">
      <c r="B690">
        <f>SUMIFS(allorders!O:O,allorders!L:L,'数据处理(仓储使用)'!$A690,allorders!$AG:$AG,"&lt;="&amp;日期!$B$2,allorders!$AG:$AG,"&gt;="&amp;日期!$B$1)</f>
        <v>0</v>
      </c>
      <c r="C690">
        <f>B690/(日期!$B$2-日期!$B$1+1)</f>
        <v>0</v>
      </c>
    </row>
    <row r="691" spans="2:3">
      <c r="B691">
        <f>SUMIFS(allorders!O:O,allorders!L:L,'数据处理(仓储使用)'!$A691,allorders!$AG:$AG,"&lt;="&amp;日期!$B$2,allorders!$AG:$AG,"&gt;="&amp;日期!$B$1)</f>
        <v>0</v>
      </c>
      <c r="C691">
        <f>B691/(日期!$B$2-日期!$B$1+1)</f>
        <v>0</v>
      </c>
    </row>
    <row r="692" spans="2:3">
      <c r="B692">
        <f>SUMIFS(allorders!O:O,allorders!L:L,'数据处理(仓储使用)'!$A692,allorders!$AG:$AG,"&lt;="&amp;日期!$B$2,allorders!$AG:$AG,"&gt;="&amp;日期!$B$1)</f>
        <v>0</v>
      </c>
      <c r="C692">
        <f>B692/(日期!$B$2-日期!$B$1+1)</f>
        <v>0</v>
      </c>
    </row>
    <row r="693" spans="2:3">
      <c r="B693">
        <f>SUMIFS(allorders!O:O,allorders!L:L,'数据处理(仓储使用)'!$A693,allorders!$AG:$AG,"&lt;="&amp;日期!$B$2,allorders!$AG:$AG,"&gt;="&amp;日期!$B$1)</f>
        <v>0</v>
      </c>
      <c r="C693">
        <f>B693/(日期!$B$2-日期!$B$1+1)</f>
        <v>0</v>
      </c>
    </row>
    <row r="694" spans="2:3">
      <c r="B694">
        <f>SUMIFS(allorders!O:O,allorders!L:L,'数据处理(仓储使用)'!$A694,allorders!$AG:$AG,"&lt;="&amp;日期!$B$2,allorders!$AG:$AG,"&gt;="&amp;日期!$B$1)</f>
        <v>0</v>
      </c>
      <c r="C694">
        <f>B694/(日期!$B$2-日期!$B$1+1)</f>
        <v>0</v>
      </c>
    </row>
    <row r="695" spans="2:3">
      <c r="B695">
        <f>SUMIFS(allorders!O:O,allorders!L:L,'数据处理(仓储使用)'!$A695,allorders!$AG:$AG,"&lt;="&amp;日期!$B$2,allorders!$AG:$AG,"&gt;="&amp;日期!$B$1)</f>
        <v>0</v>
      </c>
      <c r="C695">
        <f>B695/(日期!$B$2-日期!$B$1+1)</f>
        <v>0</v>
      </c>
    </row>
    <row r="696" spans="2:3">
      <c r="B696">
        <f>SUMIFS(allorders!O:O,allorders!L:L,'数据处理(仓储使用)'!$A696,allorders!$AG:$AG,"&lt;="&amp;日期!$B$2,allorders!$AG:$AG,"&gt;="&amp;日期!$B$1)</f>
        <v>0</v>
      </c>
      <c r="C696">
        <f>B696/(日期!$B$2-日期!$B$1+1)</f>
        <v>0</v>
      </c>
    </row>
    <row r="697" spans="2:3">
      <c r="B697">
        <f>SUMIFS(allorders!O:O,allorders!L:L,'数据处理(仓储使用)'!$A697,allorders!$AG:$AG,"&lt;="&amp;日期!$B$2,allorders!$AG:$AG,"&gt;="&amp;日期!$B$1)</f>
        <v>0</v>
      </c>
      <c r="C697">
        <f>B697/(日期!$B$2-日期!$B$1+1)</f>
        <v>0</v>
      </c>
    </row>
    <row r="698" spans="2:3">
      <c r="B698">
        <f>SUMIFS(allorders!O:O,allorders!L:L,'数据处理(仓储使用)'!$A698,allorders!$AG:$AG,"&lt;="&amp;日期!$B$2,allorders!$AG:$AG,"&gt;="&amp;日期!$B$1)</f>
        <v>0</v>
      </c>
      <c r="C698">
        <f>B698/(日期!$B$2-日期!$B$1+1)</f>
        <v>0</v>
      </c>
    </row>
    <row r="699" spans="2:3">
      <c r="B699">
        <f>SUMIFS(allorders!O:O,allorders!L:L,'数据处理(仓储使用)'!$A699,allorders!$AG:$AG,"&lt;="&amp;日期!$B$2,allorders!$AG:$AG,"&gt;="&amp;日期!$B$1)</f>
        <v>0</v>
      </c>
      <c r="C699">
        <f>B699/(日期!$B$2-日期!$B$1+1)</f>
        <v>0</v>
      </c>
    </row>
    <row r="700" spans="2:3">
      <c r="B700">
        <f>SUMIFS(allorders!O:O,allorders!L:L,'数据处理(仓储使用)'!$A700,allorders!$AG:$AG,"&lt;="&amp;日期!$B$2,allorders!$AG:$AG,"&gt;="&amp;日期!$B$1)</f>
        <v>0</v>
      </c>
      <c r="C700">
        <f>B700/(日期!$B$2-日期!$B$1+1)</f>
        <v>0</v>
      </c>
    </row>
    <row r="701" spans="2:3">
      <c r="B701">
        <f>SUMIFS(allorders!O:O,allorders!L:L,'数据处理(仓储使用)'!$A701,allorders!$AG:$AG,"&lt;="&amp;日期!$B$2,allorders!$AG:$AG,"&gt;="&amp;日期!$B$1)</f>
        <v>0</v>
      </c>
      <c r="C701">
        <f>B701/(日期!$B$2-日期!$B$1+1)</f>
        <v>0</v>
      </c>
    </row>
    <row r="702" spans="2:3">
      <c r="B702">
        <f>SUMIFS(allorders!O:O,allorders!L:L,'数据处理(仓储使用)'!$A702,allorders!$AG:$AG,"&lt;="&amp;日期!$B$2,allorders!$AG:$AG,"&gt;="&amp;日期!$B$1)</f>
        <v>0</v>
      </c>
      <c r="C702">
        <f>B702/(日期!$B$2-日期!$B$1+1)</f>
        <v>0</v>
      </c>
    </row>
    <row r="703" spans="2:3">
      <c r="B703">
        <f>SUMIFS(allorders!O:O,allorders!L:L,'数据处理(仓储使用)'!$A703,allorders!$AG:$AG,"&lt;="&amp;日期!$B$2,allorders!$AG:$AG,"&gt;="&amp;日期!$B$1)</f>
        <v>0</v>
      </c>
      <c r="C703">
        <f>B703/(日期!$B$2-日期!$B$1+1)</f>
        <v>0</v>
      </c>
    </row>
    <row r="704" spans="2:3">
      <c r="B704">
        <f>SUMIFS(allorders!O:O,allorders!L:L,'数据处理(仓储使用)'!$A704,allorders!$AG:$AG,"&lt;="&amp;日期!$B$2,allorders!$AG:$AG,"&gt;="&amp;日期!$B$1)</f>
        <v>0</v>
      </c>
      <c r="C704">
        <f>B704/(日期!$B$2-日期!$B$1+1)</f>
        <v>0</v>
      </c>
    </row>
    <row r="705" spans="2:3">
      <c r="B705">
        <f>SUMIFS(allorders!O:O,allorders!L:L,'数据处理(仓储使用)'!$A705,allorders!$AG:$AG,"&lt;="&amp;日期!$B$2,allorders!$AG:$AG,"&gt;="&amp;日期!$B$1)</f>
        <v>0</v>
      </c>
      <c r="C705">
        <f>B705/(日期!$B$2-日期!$B$1+1)</f>
        <v>0</v>
      </c>
    </row>
    <row r="706" spans="2:3">
      <c r="B706">
        <f>SUMIFS(allorders!O:O,allorders!L:L,'数据处理(仓储使用)'!$A706,allorders!$AG:$AG,"&lt;="&amp;日期!$B$2,allorders!$AG:$AG,"&gt;="&amp;日期!$B$1)</f>
        <v>0</v>
      </c>
      <c r="C706">
        <f>B706/(日期!$B$2-日期!$B$1+1)</f>
        <v>0</v>
      </c>
    </row>
    <row r="707" spans="2:3">
      <c r="B707">
        <f>SUMIFS(allorders!O:O,allorders!L:L,'数据处理(仓储使用)'!$A707,allorders!$AG:$AG,"&lt;="&amp;日期!$B$2,allorders!$AG:$AG,"&gt;="&amp;日期!$B$1)</f>
        <v>0</v>
      </c>
      <c r="C707">
        <f>B707/(日期!$B$2-日期!$B$1+1)</f>
        <v>0</v>
      </c>
    </row>
    <row r="708" spans="2:3">
      <c r="B708">
        <f>SUMIFS(allorders!O:O,allorders!L:L,'数据处理(仓储使用)'!$A708,allorders!$AG:$AG,"&lt;="&amp;日期!$B$2,allorders!$AG:$AG,"&gt;="&amp;日期!$B$1)</f>
        <v>0</v>
      </c>
      <c r="C708">
        <f>B708/(日期!$B$2-日期!$B$1+1)</f>
        <v>0</v>
      </c>
    </row>
    <row r="709" spans="2:3">
      <c r="B709">
        <f>SUMIFS(allorders!O:O,allorders!L:L,'数据处理(仓储使用)'!$A709,allorders!$AG:$AG,"&lt;="&amp;日期!$B$2,allorders!$AG:$AG,"&gt;="&amp;日期!$B$1)</f>
        <v>0</v>
      </c>
      <c r="C709">
        <f>B709/(日期!$B$2-日期!$B$1+1)</f>
        <v>0</v>
      </c>
    </row>
    <row r="710" spans="2:3">
      <c r="B710">
        <f>SUMIFS(allorders!O:O,allorders!L:L,'数据处理(仓储使用)'!$A710,allorders!$AG:$AG,"&lt;="&amp;日期!$B$2,allorders!$AG:$AG,"&gt;="&amp;日期!$B$1)</f>
        <v>0</v>
      </c>
      <c r="C710">
        <f>B710/(日期!$B$2-日期!$B$1+1)</f>
        <v>0</v>
      </c>
    </row>
    <row r="711" spans="2:3">
      <c r="B711">
        <f>SUMIFS(allorders!O:O,allorders!L:L,'数据处理(仓储使用)'!$A711,allorders!$AG:$AG,"&lt;="&amp;日期!$B$2,allorders!$AG:$AG,"&gt;="&amp;日期!$B$1)</f>
        <v>0</v>
      </c>
      <c r="C711">
        <f>B711/(日期!$B$2-日期!$B$1+1)</f>
        <v>0</v>
      </c>
    </row>
    <row r="712" spans="2:3">
      <c r="B712">
        <f>SUMIFS(allorders!O:O,allorders!L:L,'数据处理(仓储使用)'!$A712,allorders!$AG:$AG,"&lt;="&amp;日期!$B$2,allorders!$AG:$AG,"&gt;="&amp;日期!$B$1)</f>
        <v>0</v>
      </c>
      <c r="C712">
        <f>B712/(日期!$B$2-日期!$B$1+1)</f>
        <v>0</v>
      </c>
    </row>
    <row r="713" spans="2:3">
      <c r="B713">
        <f>SUMIFS(allorders!O:O,allorders!L:L,'数据处理(仓储使用)'!$A713,allorders!$AG:$AG,"&lt;="&amp;日期!$B$2,allorders!$AG:$AG,"&gt;="&amp;日期!$B$1)</f>
        <v>0</v>
      </c>
      <c r="C713">
        <f>B713/(日期!$B$2-日期!$B$1+1)</f>
        <v>0</v>
      </c>
    </row>
    <row r="714" spans="2:3">
      <c r="B714">
        <f>SUMIFS(allorders!O:O,allorders!L:L,'数据处理(仓储使用)'!$A714,allorders!$AG:$AG,"&lt;="&amp;日期!$B$2,allorders!$AG:$AG,"&gt;="&amp;日期!$B$1)</f>
        <v>0</v>
      </c>
      <c r="C714">
        <f>B714/(日期!$B$2-日期!$B$1+1)</f>
        <v>0</v>
      </c>
    </row>
    <row r="715" spans="2:3">
      <c r="B715">
        <f>SUMIFS(allorders!O:O,allorders!L:L,'数据处理(仓储使用)'!$A715,allorders!$AG:$AG,"&lt;="&amp;日期!$B$2,allorders!$AG:$AG,"&gt;="&amp;日期!$B$1)</f>
        <v>0</v>
      </c>
      <c r="C715">
        <f>B715/(日期!$B$2-日期!$B$1+1)</f>
        <v>0</v>
      </c>
    </row>
    <row r="716" spans="2:3">
      <c r="B716">
        <f>SUMIFS(allorders!O:O,allorders!L:L,'数据处理(仓储使用)'!$A716,allorders!$AG:$AG,"&lt;="&amp;日期!$B$2,allorders!$AG:$AG,"&gt;="&amp;日期!$B$1)</f>
        <v>0</v>
      </c>
      <c r="C716">
        <f>B716/(日期!$B$2-日期!$B$1+1)</f>
        <v>0</v>
      </c>
    </row>
    <row r="717" spans="2:3">
      <c r="B717">
        <f>SUMIFS(allorders!O:O,allorders!L:L,'数据处理(仓储使用)'!$A717,allorders!$AG:$AG,"&lt;="&amp;日期!$B$2,allorders!$AG:$AG,"&gt;="&amp;日期!$B$1)</f>
        <v>0</v>
      </c>
      <c r="C717">
        <f>B717/(日期!$B$2-日期!$B$1+1)</f>
        <v>0</v>
      </c>
    </row>
    <row r="718" spans="2:3">
      <c r="B718">
        <f>SUMIFS(allorders!O:O,allorders!L:L,'数据处理(仓储使用)'!$A718,allorders!$AG:$AG,"&lt;="&amp;日期!$B$2,allorders!$AG:$AG,"&gt;="&amp;日期!$B$1)</f>
        <v>0</v>
      </c>
      <c r="C718">
        <f>B718/(日期!$B$2-日期!$B$1+1)</f>
        <v>0</v>
      </c>
    </row>
    <row r="719" spans="2:3">
      <c r="B719">
        <f>SUMIFS(allorders!O:O,allorders!L:L,'数据处理(仓储使用)'!$A719,allorders!$AG:$AG,"&lt;="&amp;日期!$B$2,allorders!$AG:$AG,"&gt;="&amp;日期!$B$1)</f>
        <v>0</v>
      </c>
      <c r="C719">
        <f>B719/(日期!$B$2-日期!$B$1+1)</f>
        <v>0</v>
      </c>
    </row>
    <row r="720" spans="2:3">
      <c r="B720">
        <f>SUMIFS(allorders!O:O,allorders!L:L,'数据处理(仓储使用)'!$A720,allorders!$AG:$AG,"&lt;="&amp;日期!$B$2,allorders!$AG:$AG,"&gt;="&amp;日期!$B$1)</f>
        <v>0</v>
      </c>
      <c r="C720">
        <f>B720/(日期!$B$2-日期!$B$1+1)</f>
        <v>0</v>
      </c>
    </row>
    <row r="721" spans="2:3">
      <c r="B721">
        <f>SUMIFS(allorders!O:O,allorders!L:L,'数据处理(仓储使用)'!$A721,allorders!$AG:$AG,"&lt;="&amp;日期!$B$2,allorders!$AG:$AG,"&gt;="&amp;日期!$B$1)</f>
        <v>0</v>
      </c>
      <c r="C721">
        <f>B721/(日期!$B$2-日期!$B$1+1)</f>
        <v>0</v>
      </c>
    </row>
    <row r="722" spans="2:3">
      <c r="B722">
        <f>SUMIFS(allorders!O:O,allorders!L:L,'数据处理(仓储使用)'!$A722,allorders!$AG:$AG,"&lt;="&amp;日期!$B$2,allorders!$AG:$AG,"&gt;="&amp;日期!$B$1)</f>
        <v>0</v>
      </c>
      <c r="C722">
        <f>B722/(日期!$B$2-日期!$B$1+1)</f>
        <v>0</v>
      </c>
    </row>
    <row r="723" spans="2:3">
      <c r="B723">
        <f>SUMIFS(allorders!O:O,allorders!L:L,'数据处理(仓储使用)'!$A723,allorders!$AG:$AG,"&lt;="&amp;日期!$B$2,allorders!$AG:$AG,"&gt;="&amp;日期!$B$1)</f>
        <v>0</v>
      </c>
      <c r="C723">
        <f>B723/(日期!$B$2-日期!$B$1+1)</f>
        <v>0</v>
      </c>
    </row>
    <row r="724" spans="2:3">
      <c r="B724">
        <f>SUMIFS(allorders!O:O,allorders!L:L,'数据处理(仓储使用)'!$A724,allorders!$AG:$AG,"&lt;="&amp;日期!$B$2,allorders!$AG:$AG,"&gt;="&amp;日期!$B$1)</f>
        <v>0</v>
      </c>
      <c r="C724">
        <f>B724/(日期!$B$2-日期!$B$1+1)</f>
        <v>0</v>
      </c>
    </row>
    <row r="725" spans="2:3">
      <c r="B725">
        <f>SUMIFS(allorders!O:O,allorders!L:L,'数据处理(仓储使用)'!$A725,allorders!$AG:$AG,"&lt;="&amp;日期!$B$2,allorders!$AG:$AG,"&gt;="&amp;日期!$B$1)</f>
        <v>0</v>
      </c>
      <c r="C725">
        <f>B725/(日期!$B$2-日期!$B$1+1)</f>
        <v>0</v>
      </c>
    </row>
    <row r="726" spans="2:3">
      <c r="B726">
        <f>SUMIFS(allorders!O:O,allorders!L:L,'数据处理(仓储使用)'!$A726,allorders!$AG:$AG,"&lt;="&amp;日期!$B$2,allorders!$AG:$AG,"&gt;="&amp;日期!$B$1)</f>
        <v>0</v>
      </c>
      <c r="C726">
        <f>B726/(日期!$B$2-日期!$B$1+1)</f>
        <v>0</v>
      </c>
    </row>
    <row r="727" spans="2:3">
      <c r="B727">
        <f>SUMIFS(allorders!O:O,allorders!L:L,'数据处理(仓储使用)'!$A727,allorders!$AG:$AG,"&lt;="&amp;日期!$B$2,allorders!$AG:$AG,"&gt;="&amp;日期!$B$1)</f>
        <v>0</v>
      </c>
      <c r="C727">
        <f>B727/(日期!$B$2-日期!$B$1+1)</f>
        <v>0</v>
      </c>
    </row>
    <row r="728" spans="2:3">
      <c r="B728">
        <f>SUMIFS(allorders!O:O,allorders!L:L,'数据处理(仓储使用)'!$A728,allorders!$AG:$AG,"&lt;="&amp;日期!$B$2,allorders!$AG:$AG,"&gt;="&amp;日期!$B$1)</f>
        <v>0</v>
      </c>
      <c r="C728">
        <f>B728/(日期!$B$2-日期!$B$1+1)</f>
        <v>0</v>
      </c>
    </row>
    <row r="729" spans="2:3">
      <c r="B729">
        <f>SUMIFS(allorders!O:O,allorders!L:L,'数据处理(仓储使用)'!$A729,allorders!$AG:$AG,"&lt;="&amp;日期!$B$2,allorders!$AG:$AG,"&gt;="&amp;日期!$B$1)</f>
        <v>0</v>
      </c>
      <c r="C729">
        <f>B729/(日期!$B$2-日期!$B$1+1)</f>
        <v>0</v>
      </c>
    </row>
    <row r="730" spans="2:3">
      <c r="B730">
        <f>SUMIFS(allorders!O:O,allorders!L:L,'数据处理(仓储使用)'!$A730,allorders!$AG:$AG,"&lt;="&amp;日期!$B$2,allorders!$AG:$AG,"&gt;="&amp;日期!$B$1)</f>
        <v>0</v>
      </c>
      <c r="C730">
        <f>B730/(日期!$B$2-日期!$B$1+1)</f>
        <v>0</v>
      </c>
    </row>
    <row r="731" spans="2:3">
      <c r="B731">
        <f>SUMIFS(allorders!O:O,allorders!L:L,'数据处理(仓储使用)'!$A731,allorders!$AG:$AG,"&lt;="&amp;日期!$B$2,allorders!$AG:$AG,"&gt;="&amp;日期!$B$1)</f>
        <v>0</v>
      </c>
      <c r="C731">
        <f>B731/(日期!$B$2-日期!$B$1+1)</f>
        <v>0</v>
      </c>
    </row>
    <row r="732" spans="2:3">
      <c r="B732">
        <f>SUMIFS(allorders!O:O,allorders!L:L,'数据处理(仓储使用)'!$A732,allorders!$AG:$AG,"&lt;="&amp;日期!$B$2,allorders!$AG:$AG,"&gt;="&amp;日期!$B$1)</f>
        <v>0</v>
      </c>
      <c r="C732">
        <f>B732/(日期!$B$2-日期!$B$1+1)</f>
        <v>0</v>
      </c>
    </row>
    <row r="733" spans="2:3">
      <c r="B733">
        <f>SUMIFS(allorders!O:O,allorders!L:L,'数据处理(仓储使用)'!$A733,allorders!$AG:$AG,"&lt;="&amp;日期!$B$2,allorders!$AG:$AG,"&gt;="&amp;日期!$B$1)</f>
        <v>0</v>
      </c>
      <c r="C733">
        <f>B733/(日期!$B$2-日期!$B$1+1)</f>
        <v>0</v>
      </c>
    </row>
    <row r="734" spans="2:3">
      <c r="B734">
        <f>SUMIFS(allorders!O:O,allorders!L:L,'数据处理(仓储使用)'!$A734,allorders!$AG:$AG,"&lt;="&amp;日期!$B$2,allorders!$AG:$AG,"&gt;="&amp;日期!$B$1)</f>
        <v>0</v>
      </c>
      <c r="C734">
        <f>B734/(日期!$B$2-日期!$B$1+1)</f>
        <v>0</v>
      </c>
    </row>
    <row r="735" spans="2:3">
      <c r="B735">
        <f>SUMIFS(allorders!O:O,allorders!L:L,'数据处理(仓储使用)'!$A735,allorders!$AG:$AG,"&lt;="&amp;日期!$B$2,allorders!$AG:$AG,"&gt;="&amp;日期!$B$1)</f>
        <v>0</v>
      </c>
      <c r="C735">
        <f>B735/(日期!$B$2-日期!$B$1+1)</f>
        <v>0</v>
      </c>
    </row>
    <row r="736" spans="2:3">
      <c r="B736">
        <f>SUMIFS(allorders!O:O,allorders!L:L,'数据处理(仓储使用)'!$A736,allorders!$AG:$AG,"&lt;="&amp;日期!$B$2,allorders!$AG:$AG,"&gt;="&amp;日期!$B$1)</f>
        <v>0</v>
      </c>
      <c r="C736">
        <f>B736/(日期!$B$2-日期!$B$1+1)</f>
        <v>0</v>
      </c>
    </row>
    <row r="737" spans="2:3">
      <c r="B737">
        <f>SUMIFS(allorders!O:O,allorders!L:L,'数据处理(仓储使用)'!$A737,allorders!$AG:$AG,"&lt;="&amp;日期!$B$2,allorders!$AG:$AG,"&gt;="&amp;日期!$B$1)</f>
        <v>0</v>
      </c>
      <c r="C737">
        <f>B737/(日期!$B$2-日期!$B$1+1)</f>
        <v>0</v>
      </c>
    </row>
    <row r="738" spans="2:3">
      <c r="B738">
        <f>SUMIFS(allorders!O:O,allorders!L:L,'数据处理(仓储使用)'!$A738,allorders!$AG:$AG,"&lt;="&amp;日期!$B$2,allorders!$AG:$AG,"&gt;="&amp;日期!$B$1)</f>
        <v>0</v>
      </c>
      <c r="C738">
        <f>B738/(日期!$B$2-日期!$B$1+1)</f>
        <v>0</v>
      </c>
    </row>
    <row r="739" spans="2:3">
      <c r="B739">
        <f>SUMIFS(allorders!O:O,allorders!L:L,'数据处理(仓储使用)'!$A739,allorders!$AG:$AG,"&lt;="&amp;日期!$B$2,allorders!$AG:$AG,"&gt;="&amp;日期!$B$1)</f>
        <v>0</v>
      </c>
      <c r="C739">
        <f>B739/(日期!$B$2-日期!$B$1+1)</f>
        <v>0</v>
      </c>
    </row>
    <row r="740" spans="2:3">
      <c r="B740">
        <f>SUMIFS(allorders!O:O,allorders!L:L,'数据处理(仓储使用)'!$A740,allorders!$AG:$AG,"&lt;="&amp;日期!$B$2,allorders!$AG:$AG,"&gt;="&amp;日期!$B$1)</f>
        <v>0</v>
      </c>
      <c r="C740">
        <f>B740/(日期!$B$2-日期!$B$1+1)</f>
        <v>0</v>
      </c>
    </row>
    <row r="741" spans="2:3">
      <c r="B741">
        <f>SUMIFS(allorders!O:O,allorders!L:L,'数据处理(仓储使用)'!$A741,allorders!$AG:$AG,"&lt;="&amp;日期!$B$2,allorders!$AG:$AG,"&gt;="&amp;日期!$B$1)</f>
        <v>0</v>
      </c>
      <c r="C741">
        <f>B741/(日期!$B$2-日期!$B$1+1)</f>
        <v>0</v>
      </c>
    </row>
    <row r="742" spans="2:3">
      <c r="B742">
        <f>SUMIFS(allorders!O:O,allorders!L:L,'数据处理(仓储使用)'!$A742,allorders!$AG:$AG,"&lt;="&amp;日期!$B$2,allorders!$AG:$AG,"&gt;="&amp;日期!$B$1)</f>
        <v>0</v>
      </c>
      <c r="C742">
        <f>B742/(日期!$B$2-日期!$B$1+1)</f>
        <v>0</v>
      </c>
    </row>
    <row r="743" spans="2:3">
      <c r="B743">
        <f>SUMIFS(allorders!O:O,allorders!L:L,'数据处理(仓储使用)'!$A743,allorders!$AG:$AG,"&lt;="&amp;日期!$B$2,allorders!$AG:$AG,"&gt;="&amp;日期!$B$1)</f>
        <v>0</v>
      </c>
      <c r="C743">
        <f>B743/(日期!$B$2-日期!$B$1+1)</f>
        <v>0</v>
      </c>
    </row>
    <row r="744" spans="2:3">
      <c r="B744">
        <f>SUMIFS(allorders!O:O,allorders!L:L,'数据处理(仓储使用)'!$A744,allorders!$AG:$AG,"&lt;="&amp;日期!$B$2,allorders!$AG:$AG,"&gt;="&amp;日期!$B$1)</f>
        <v>0</v>
      </c>
      <c r="C744">
        <f>B744/(日期!$B$2-日期!$B$1+1)</f>
        <v>0</v>
      </c>
    </row>
    <row r="745" spans="2:3">
      <c r="B745">
        <f>SUMIFS(allorders!O:O,allorders!L:L,'数据处理(仓储使用)'!$A745,allorders!$AG:$AG,"&lt;="&amp;日期!$B$2,allorders!$AG:$AG,"&gt;="&amp;日期!$B$1)</f>
        <v>0</v>
      </c>
      <c r="C745">
        <f>B745/(日期!$B$2-日期!$B$1+1)</f>
        <v>0</v>
      </c>
    </row>
    <row r="746" spans="2:3">
      <c r="B746">
        <f>SUMIFS(allorders!O:O,allorders!L:L,'数据处理(仓储使用)'!$A746,allorders!$AG:$AG,"&lt;="&amp;日期!$B$2,allorders!$AG:$AG,"&gt;="&amp;日期!$B$1)</f>
        <v>0</v>
      </c>
      <c r="C746">
        <f>B746/(日期!$B$2-日期!$B$1+1)</f>
        <v>0</v>
      </c>
    </row>
    <row r="747" spans="2:3">
      <c r="B747">
        <f>SUMIFS(allorders!O:O,allorders!L:L,'数据处理(仓储使用)'!$A747,allorders!$AG:$AG,"&lt;="&amp;日期!$B$2,allorders!$AG:$AG,"&gt;="&amp;日期!$B$1)</f>
        <v>0</v>
      </c>
      <c r="C747">
        <f>B747/(日期!$B$2-日期!$B$1+1)</f>
        <v>0</v>
      </c>
    </row>
    <row r="748" spans="2:3">
      <c r="B748">
        <f>SUMIFS(allorders!O:O,allorders!L:L,'数据处理(仓储使用)'!$A748,allorders!$AG:$AG,"&lt;="&amp;日期!$B$2,allorders!$AG:$AG,"&gt;="&amp;日期!$B$1)</f>
        <v>0</v>
      </c>
      <c r="C748">
        <f>B748/(日期!$B$2-日期!$B$1+1)</f>
        <v>0</v>
      </c>
    </row>
    <row r="749" spans="2:3">
      <c r="B749">
        <f>SUMIFS(allorders!O:O,allorders!L:L,'数据处理(仓储使用)'!$A749,allorders!$AG:$AG,"&lt;="&amp;日期!$B$2,allorders!$AG:$AG,"&gt;="&amp;日期!$B$1)</f>
        <v>0</v>
      </c>
      <c r="C749">
        <f>B749/(日期!$B$2-日期!$B$1+1)</f>
        <v>0</v>
      </c>
    </row>
    <row r="750" spans="2:3">
      <c r="B750">
        <f>SUMIFS(allorders!O:O,allorders!L:L,'数据处理(仓储使用)'!$A750,allorders!$AG:$AG,"&lt;="&amp;日期!$B$2,allorders!$AG:$AG,"&gt;="&amp;日期!$B$1)</f>
        <v>0</v>
      </c>
      <c r="C750">
        <f>B750/(日期!$B$2-日期!$B$1+1)</f>
        <v>0</v>
      </c>
    </row>
    <row r="751" spans="2:3">
      <c r="B751">
        <f>SUMIFS(allorders!O:O,allorders!L:L,'数据处理(仓储使用)'!$A751,allorders!$AG:$AG,"&lt;="&amp;日期!$B$2,allorders!$AG:$AG,"&gt;="&amp;日期!$B$1)</f>
        <v>0</v>
      </c>
      <c r="C751">
        <f>B751/(日期!$B$2-日期!$B$1+1)</f>
        <v>0</v>
      </c>
    </row>
    <row r="752" spans="2:3">
      <c r="B752">
        <f>SUMIFS(allorders!O:O,allorders!L:L,'数据处理(仓储使用)'!$A752,allorders!$AG:$AG,"&lt;="&amp;日期!$B$2,allorders!$AG:$AG,"&gt;="&amp;日期!$B$1)</f>
        <v>0</v>
      </c>
      <c r="C752">
        <f>B752/(日期!$B$2-日期!$B$1+1)</f>
        <v>0</v>
      </c>
    </row>
    <row r="753" spans="2:3">
      <c r="B753">
        <f>SUMIFS(allorders!O:O,allorders!L:L,'数据处理(仓储使用)'!$A753,allorders!$AG:$AG,"&lt;="&amp;日期!$B$2,allorders!$AG:$AG,"&gt;="&amp;日期!$B$1)</f>
        <v>0</v>
      </c>
      <c r="C753">
        <f>B753/(日期!$B$2-日期!$B$1+1)</f>
        <v>0</v>
      </c>
    </row>
    <row r="754" spans="2:3">
      <c r="B754">
        <f>SUMIFS(allorders!O:O,allorders!L:L,'数据处理(仓储使用)'!$A754,allorders!$AG:$AG,"&lt;="&amp;日期!$B$2,allorders!$AG:$AG,"&gt;="&amp;日期!$B$1)</f>
        <v>0</v>
      </c>
      <c r="C754">
        <f>B754/(日期!$B$2-日期!$B$1+1)</f>
        <v>0</v>
      </c>
    </row>
    <row r="755" spans="2:3">
      <c r="B755">
        <f>SUMIFS(allorders!O:O,allorders!L:L,'数据处理(仓储使用)'!$A755,allorders!$AG:$AG,"&lt;="&amp;日期!$B$2,allorders!$AG:$AG,"&gt;="&amp;日期!$B$1)</f>
        <v>0</v>
      </c>
      <c r="C755">
        <f>B755/(日期!$B$2-日期!$B$1+1)</f>
        <v>0</v>
      </c>
    </row>
    <row r="756" spans="2:3">
      <c r="B756">
        <f>SUMIFS(allorders!O:O,allorders!L:L,'数据处理(仓储使用)'!$A756,allorders!$AG:$AG,"&lt;="&amp;日期!$B$2,allorders!$AG:$AG,"&gt;="&amp;日期!$B$1)</f>
        <v>0</v>
      </c>
      <c r="C756">
        <f>B756/(日期!$B$2-日期!$B$1+1)</f>
        <v>0</v>
      </c>
    </row>
    <row r="757" spans="2:3">
      <c r="B757">
        <f>SUMIFS(allorders!O:O,allorders!L:L,'数据处理(仓储使用)'!$A757,allorders!$AG:$AG,"&lt;="&amp;日期!$B$2,allorders!$AG:$AG,"&gt;="&amp;日期!$B$1)</f>
        <v>0</v>
      </c>
      <c r="C757">
        <f>B757/(日期!$B$2-日期!$B$1+1)</f>
        <v>0</v>
      </c>
    </row>
    <row r="758" spans="2:3">
      <c r="B758">
        <f>SUMIFS(allorders!O:O,allorders!L:L,'数据处理(仓储使用)'!$A758,allorders!$AG:$AG,"&lt;="&amp;日期!$B$2,allorders!$AG:$AG,"&gt;="&amp;日期!$B$1)</f>
        <v>0</v>
      </c>
      <c r="C758">
        <f>B758/(日期!$B$2-日期!$B$1+1)</f>
        <v>0</v>
      </c>
    </row>
    <row r="759" spans="2:3">
      <c r="B759">
        <f>SUMIFS(allorders!O:O,allorders!L:L,'数据处理(仓储使用)'!$A759,allorders!$AG:$AG,"&lt;="&amp;日期!$B$2,allorders!$AG:$AG,"&gt;="&amp;日期!$B$1)</f>
        <v>0</v>
      </c>
      <c r="C759">
        <f>B759/(日期!$B$2-日期!$B$1+1)</f>
        <v>0</v>
      </c>
    </row>
    <row r="760" spans="2:3">
      <c r="B760">
        <f>SUMIFS(allorders!O:O,allorders!L:L,'数据处理(仓储使用)'!$A760,allorders!$AG:$AG,"&lt;="&amp;日期!$B$2,allorders!$AG:$AG,"&gt;="&amp;日期!$B$1)</f>
        <v>0</v>
      </c>
      <c r="C760">
        <f>B760/(日期!$B$2-日期!$B$1+1)</f>
        <v>0</v>
      </c>
    </row>
    <row r="761" spans="2:3">
      <c r="B761">
        <f>SUMIFS(allorders!O:O,allorders!L:L,'数据处理(仓储使用)'!$A761,allorders!$AG:$AG,"&lt;="&amp;日期!$B$2,allorders!$AG:$AG,"&gt;="&amp;日期!$B$1)</f>
        <v>0</v>
      </c>
      <c r="C761">
        <f>B761/(日期!$B$2-日期!$B$1+1)</f>
        <v>0</v>
      </c>
    </row>
    <row r="762" spans="2:3">
      <c r="B762">
        <f>SUMIFS(allorders!O:O,allorders!L:L,'数据处理(仓储使用)'!$A762,allorders!$AG:$AG,"&lt;="&amp;日期!$B$2,allorders!$AG:$AG,"&gt;="&amp;日期!$B$1)</f>
        <v>0</v>
      </c>
      <c r="C762">
        <f>B762/(日期!$B$2-日期!$B$1+1)</f>
        <v>0</v>
      </c>
    </row>
    <row r="763" spans="2:3">
      <c r="B763">
        <f>SUMIFS(allorders!O:O,allorders!L:L,'数据处理(仓储使用)'!$A763,allorders!$AG:$AG,"&lt;="&amp;日期!$B$2,allorders!$AG:$AG,"&gt;="&amp;日期!$B$1)</f>
        <v>0</v>
      </c>
      <c r="C763">
        <f>B763/(日期!$B$2-日期!$B$1+1)</f>
        <v>0</v>
      </c>
    </row>
    <row r="764" spans="2:3">
      <c r="B764">
        <f>SUMIFS(allorders!O:O,allorders!L:L,'数据处理(仓储使用)'!$A764,allorders!$AG:$AG,"&lt;="&amp;日期!$B$2,allorders!$AG:$AG,"&gt;="&amp;日期!$B$1)</f>
        <v>0</v>
      </c>
      <c r="C764">
        <f>B764/(日期!$B$2-日期!$B$1+1)</f>
        <v>0</v>
      </c>
    </row>
    <row r="765" spans="2:3">
      <c r="B765">
        <f>SUMIFS(allorders!O:O,allorders!L:L,'数据处理(仓储使用)'!$A765,allorders!$AG:$AG,"&lt;="&amp;日期!$B$2,allorders!$AG:$AG,"&gt;="&amp;日期!$B$1)</f>
        <v>0</v>
      </c>
      <c r="C765">
        <f>B765/(日期!$B$2-日期!$B$1+1)</f>
        <v>0</v>
      </c>
    </row>
    <row r="766" spans="2:3">
      <c r="B766">
        <f>SUMIFS(allorders!O:O,allorders!L:L,'数据处理(仓储使用)'!$A766,allorders!$AG:$AG,"&lt;="&amp;日期!$B$2,allorders!$AG:$AG,"&gt;="&amp;日期!$B$1)</f>
        <v>0</v>
      </c>
      <c r="C766">
        <f>B766/(日期!$B$2-日期!$B$1+1)</f>
        <v>0</v>
      </c>
    </row>
    <row r="767" spans="2:3">
      <c r="B767">
        <f>SUMIFS(allorders!O:O,allorders!L:L,'数据处理(仓储使用)'!$A767,allorders!$AG:$AG,"&lt;="&amp;日期!$B$2,allorders!$AG:$AG,"&gt;="&amp;日期!$B$1)</f>
        <v>0</v>
      </c>
      <c r="C767">
        <f>B767/(日期!$B$2-日期!$B$1+1)</f>
        <v>0</v>
      </c>
    </row>
    <row r="768" spans="2:3">
      <c r="B768">
        <f>SUMIFS(allorders!O:O,allorders!L:L,'数据处理(仓储使用)'!$A768,allorders!$AG:$AG,"&lt;="&amp;日期!$B$2,allorders!$AG:$AG,"&gt;="&amp;日期!$B$1)</f>
        <v>0</v>
      </c>
      <c r="C768">
        <f>B768/(日期!$B$2-日期!$B$1+1)</f>
        <v>0</v>
      </c>
    </row>
    <row r="769" spans="2:3">
      <c r="B769">
        <f>SUMIFS(allorders!O:O,allorders!L:L,'数据处理(仓储使用)'!$A769,allorders!$AG:$AG,"&lt;="&amp;日期!$B$2,allorders!$AG:$AG,"&gt;="&amp;日期!$B$1)</f>
        <v>0</v>
      </c>
      <c r="C769">
        <f>B769/(日期!$B$2-日期!$B$1+1)</f>
        <v>0</v>
      </c>
    </row>
    <row r="770" spans="2:3">
      <c r="B770">
        <f>SUMIFS(allorders!O:O,allorders!L:L,'数据处理(仓储使用)'!$A770,allorders!$AG:$AG,"&lt;="&amp;日期!$B$2,allorders!$AG:$AG,"&gt;="&amp;日期!$B$1)</f>
        <v>0</v>
      </c>
      <c r="C770">
        <f>B770/(日期!$B$2-日期!$B$1+1)</f>
        <v>0</v>
      </c>
    </row>
    <row r="771" spans="2:3">
      <c r="B771">
        <f>SUMIFS(allorders!O:O,allorders!L:L,'数据处理(仓储使用)'!$A771,allorders!$AG:$AG,"&lt;="&amp;日期!$B$2,allorders!$AG:$AG,"&gt;="&amp;日期!$B$1)</f>
        <v>0</v>
      </c>
      <c r="C771">
        <f>B771/(日期!$B$2-日期!$B$1+1)</f>
        <v>0</v>
      </c>
    </row>
    <row r="772" spans="2:3">
      <c r="B772">
        <f>SUMIFS(allorders!O:O,allorders!L:L,'数据处理(仓储使用)'!$A772,allorders!$AG:$AG,"&lt;="&amp;日期!$B$2,allorders!$AG:$AG,"&gt;="&amp;日期!$B$1)</f>
        <v>0</v>
      </c>
      <c r="C772">
        <f>B772/(日期!$B$2-日期!$B$1+1)</f>
        <v>0</v>
      </c>
    </row>
    <row r="773" spans="2:3">
      <c r="B773">
        <f>SUMIFS(allorders!O:O,allorders!L:L,'数据处理(仓储使用)'!$A773,allorders!$AG:$AG,"&lt;="&amp;日期!$B$2,allorders!$AG:$AG,"&gt;="&amp;日期!$B$1)</f>
        <v>0</v>
      </c>
      <c r="C773">
        <f>B773/(日期!$B$2-日期!$B$1+1)</f>
        <v>0</v>
      </c>
    </row>
    <row r="774" spans="2:3">
      <c r="B774">
        <f>SUMIFS(allorders!O:O,allorders!L:L,'数据处理(仓储使用)'!$A774,allorders!$AG:$AG,"&lt;="&amp;日期!$B$2,allorders!$AG:$AG,"&gt;="&amp;日期!$B$1)</f>
        <v>0</v>
      </c>
      <c r="C774">
        <f>B774/(日期!$B$2-日期!$B$1+1)</f>
        <v>0</v>
      </c>
    </row>
    <row r="775" spans="2:3">
      <c r="B775">
        <f>SUMIFS(allorders!O:O,allorders!L:L,'数据处理(仓储使用)'!$A775,allorders!$AG:$AG,"&lt;="&amp;日期!$B$2,allorders!$AG:$AG,"&gt;="&amp;日期!$B$1)</f>
        <v>0</v>
      </c>
      <c r="C775">
        <f>B775/(日期!$B$2-日期!$B$1+1)</f>
        <v>0</v>
      </c>
    </row>
    <row r="776" spans="2:3">
      <c r="B776">
        <f>SUMIFS(allorders!O:O,allorders!L:L,'数据处理(仓储使用)'!$A776,allorders!$AG:$AG,"&lt;="&amp;日期!$B$2,allorders!$AG:$AG,"&gt;="&amp;日期!$B$1)</f>
        <v>0</v>
      </c>
      <c r="C776">
        <f>B776/(日期!$B$2-日期!$B$1+1)</f>
        <v>0</v>
      </c>
    </row>
    <row r="777" spans="2:3">
      <c r="B777">
        <f>SUMIFS(allorders!O:O,allorders!L:L,'数据处理(仓储使用)'!$A777,allorders!$AG:$AG,"&lt;="&amp;日期!$B$2,allorders!$AG:$AG,"&gt;="&amp;日期!$B$1)</f>
        <v>0</v>
      </c>
      <c r="C777">
        <f>B777/(日期!$B$2-日期!$B$1+1)</f>
        <v>0</v>
      </c>
    </row>
    <row r="778" spans="2:3">
      <c r="B778">
        <f>SUMIFS(allorders!O:O,allorders!L:L,'数据处理(仓储使用)'!$A778,allorders!$AG:$AG,"&lt;="&amp;日期!$B$2,allorders!$AG:$AG,"&gt;="&amp;日期!$B$1)</f>
        <v>0</v>
      </c>
      <c r="C778">
        <f>B778/(日期!$B$2-日期!$B$1+1)</f>
        <v>0</v>
      </c>
    </row>
    <row r="779" spans="2:3">
      <c r="B779">
        <f>SUMIFS(allorders!O:O,allorders!L:L,'数据处理(仓储使用)'!$A779,allorders!$AG:$AG,"&lt;="&amp;日期!$B$2,allorders!$AG:$AG,"&gt;="&amp;日期!$B$1)</f>
        <v>0</v>
      </c>
      <c r="C779">
        <f>B779/(日期!$B$2-日期!$B$1+1)</f>
        <v>0</v>
      </c>
    </row>
    <row r="780" spans="2:3">
      <c r="B780">
        <f>SUMIFS(allorders!O:O,allorders!L:L,'数据处理(仓储使用)'!$A780,allorders!$AG:$AG,"&lt;="&amp;日期!$B$2,allorders!$AG:$AG,"&gt;="&amp;日期!$B$1)</f>
        <v>0</v>
      </c>
      <c r="C780">
        <f>B780/(日期!$B$2-日期!$B$1+1)</f>
        <v>0</v>
      </c>
    </row>
    <row r="781" spans="2:3">
      <c r="B781">
        <f>SUMIFS(allorders!O:O,allorders!L:L,'数据处理(仓储使用)'!$A781,allorders!$AG:$AG,"&lt;="&amp;日期!$B$2,allorders!$AG:$AG,"&gt;="&amp;日期!$B$1)</f>
        <v>0</v>
      </c>
      <c r="C781">
        <f>B781/(日期!$B$2-日期!$B$1+1)</f>
        <v>0</v>
      </c>
    </row>
    <row r="782" spans="2:3">
      <c r="B782">
        <f>SUMIFS(allorders!O:O,allorders!L:L,'数据处理(仓储使用)'!$A782,allorders!$AG:$AG,"&lt;="&amp;日期!$B$2,allorders!$AG:$AG,"&gt;="&amp;日期!$B$1)</f>
        <v>0</v>
      </c>
      <c r="C782">
        <f>B782/(日期!$B$2-日期!$B$1+1)</f>
        <v>0</v>
      </c>
    </row>
    <row r="783" spans="2:3">
      <c r="B783">
        <f>SUMIFS(allorders!O:O,allorders!L:L,'数据处理(仓储使用)'!$A783,allorders!$AG:$AG,"&lt;="&amp;日期!$B$2,allorders!$AG:$AG,"&gt;="&amp;日期!$B$1)</f>
        <v>0</v>
      </c>
      <c r="C783">
        <f>B783/(日期!$B$2-日期!$B$1+1)</f>
        <v>0</v>
      </c>
    </row>
    <row r="784" spans="2:3">
      <c r="B784">
        <f>SUMIFS(allorders!O:O,allorders!L:L,'数据处理(仓储使用)'!$A784,allorders!$AG:$AG,"&lt;="&amp;日期!$B$2,allorders!$AG:$AG,"&gt;="&amp;日期!$B$1)</f>
        <v>0</v>
      </c>
      <c r="C784">
        <f>B784/(日期!$B$2-日期!$B$1+1)</f>
        <v>0</v>
      </c>
    </row>
    <row r="785" spans="2:3">
      <c r="B785">
        <f>SUMIFS(allorders!O:O,allorders!L:L,'数据处理(仓储使用)'!$A785,allorders!$AG:$AG,"&lt;="&amp;日期!$B$2,allorders!$AG:$AG,"&gt;="&amp;日期!$B$1)</f>
        <v>0</v>
      </c>
      <c r="C785">
        <f>B785/(日期!$B$2-日期!$B$1+1)</f>
        <v>0</v>
      </c>
    </row>
    <row r="786" spans="2:3">
      <c r="B786">
        <f>SUMIFS(allorders!O:O,allorders!L:L,'数据处理(仓储使用)'!$A786,allorders!$AG:$AG,"&lt;="&amp;日期!$B$2,allorders!$AG:$AG,"&gt;="&amp;日期!$B$1)</f>
        <v>0</v>
      </c>
      <c r="C786">
        <f>B786/(日期!$B$2-日期!$B$1+1)</f>
        <v>0</v>
      </c>
    </row>
    <row r="787" spans="2:3">
      <c r="B787">
        <f>SUMIFS(allorders!O:O,allorders!L:L,'数据处理(仓储使用)'!$A787,allorders!$AG:$AG,"&lt;="&amp;日期!$B$2,allorders!$AG:$AG,"&gt;="&amp;日期!$B$1)</f>
        <v>0</v>
      </c>
      <c r="C787">
        <f>B787/(日期!$B$2-日期!$B$1+1)</f>
        <v>0</v>
      </c>
    </row>
    <row r="788" spans="2:3">
      <c r="B788">
        <f>SUMIFS(allorders!O:O,allorders!L:L,'数据处理(仓储使用)'!$A788,allorders!$AG:$AG,"&lt;="&amp;日期!$B$2,allorders!$AG:$AG,"&gt;="&amp;日期!$B$1)</f>
        <v>0</v>
      </c>
      <c r="C788">
        <f>B788/(日期!$B$2-日期!$B$1+1)</f>
        <v>0</v>
      </c>
    </row>
    <row r="789" spans="2:3">
      <c r="B789">
        <f>SUMIFS(allorders!O:O,allorders!L:L,'数据处理(仓储使用)'!$A789,allorders!$AG:$AG,"&lt;="&amp;日期!$B$2,allorders!$AG:$AG,"&gt;="&amp;日期!$B$1)</f>
        <v>0</v>
      </c>
      <c r="C789">
        <f>B789/(日期!$B$2-日期!$B$1+1)</f>
        <v>0</v>
      </c>
    </row>
    <row r="790" spans="2:3">
      <c r="B790">
        <f>SUMIFS(allorders!O:O,allorders!L:L,'数据处理(仓储使用)'!$A790,allorders!$AG:$AG,"&lt;="&amp;日期!$B$2,allorders!$AG:$AG,"&gt;="&amp;日期!$B$1)</f>
        <v>0</v>
      </c>
      <c r="C790">
        <f>B790/(日期!$B$2-日期!$B$1+1)</f>
        <v>0</v>
      </c>
    </row>
    <row r="791" spans="2:3">
      <c r="B791">
        <f>SUMIFS(allorders!O:O,allorders!L:L,'数据处理(仓储使用)'!$A791,allorders!$AG:$AG,"&lt;="&amp;日期!$B$2,allorders!$AG:$AG,"&gt;="&amp;日期!$B$1)</f>
        <v>0</v>
      </c>
      <c r="C791">
        <f>B791/(日期!$B$2-日期!$B$1+1)</f>
        <v>0</v>
      </c>
    </row>
    <row r="792" spans="2:3">
      <c r="B792">
        <f>SUMIFS(allorders!O:O,allorders!L:L,'数据处理(仓储使用)'!$A792,allorders!$AG:$AG,"&lt;="&amp;日期!$B$2,allorders!$AG:$AG,"&gt;="&amp;日期!$B$1)</f>
        <v>0</v>
      </c>
      <c r="C792">
        <f>B792/(日期!$B$2-日期!$B$1+1)</f>
        <v>0</v>
      </c>
    </row>
    <row r="793" spans="2:3">
      <c r="B793">
        <f>SUMIFS(allorders!O:O,allorders!L:L,'数据处理(仓储使用)'!$A793,allorders!$AG:$AG,"&lt;="&amp;日期!$B$2,allorders!$AG:$AG,"&gt;="&amp;日期!$B$1)</f>
        <v>0</v>
      </c>
      <c r="C793">
        <f>B793/(日期!$B$2-日期!$B$1+1)</f>
        <v>0</v>
      </c>
    </row>
    <row r="794" spans="2:3">
      <c r="B794">
        <f>SUMIFS(allorders!O:O,allorders!L:L,'数据处理(仓储使用)'!$A794,allorders!$AG:$AG,"&lt;="&amp;日期!$B$2,allorders!$AG:$AG,"&gt;="&amp;日期!$B$1)</f>
        <v>0</v>
      </c>
      <c r="C794">
        <f>B794/(日期!$B$2-日期!$B$1+1)</f>
        <v>0</v>
      </c>
    </row>
    <row r="795" spans="2:3">
      <c r="B795">
        <f>SUMIFS(allorders!O:O,allorders!L:L,'数据处理(仓储使用)'!$A795,allorders!$AG:$AG,"&lt;="&amp;日期!$B$2,allorders!$AG:$AG,"&gt;="&amp;日期!$B$1)</f>
        <v>0</v>
      </c>
      <c r="C795">
        <f>B795/(日期!$B$2-日期!$B$1+1)</f>
        <v>0</v>
      </c>
    </row>
    <row r="796" spans="2:3">
      <c r="B796">
        <f>SUMIFS(allorders!O:O,allorders!L:L,'数据处理(仓储使用)'!$A796,allorders!$AG:$AG,"&lt;="&amp;日期!$B$2,allorders!$AG:$AG,"&gt;="&amp;日期!$B$1)</f>
        <v>0</v>
      </c>
      <c r="C796">
        <f>B796/(日期!$B$2-日期!$B$1+1)</f>
        <v>0</v>
      </c>
    </row>
    <row r="797" spans="2:3">
      <c r="B797">
        <f>SUMIFS(allorders!O:O,allorders!L:L,'数据处理(仓储使用)'!$A797,allorders!$AG:$AG,"&lt;="&amp;日期!$B$2,allorders!$AG:$AG,"&gt;="&amp;日期!$B$1)</f>
        <v>0</v>
      </c>
      <c r="C797">
        <f>B797/(日期!$B$2-日期!$B$1+1)</f>
        <v>0</v>
      </c>
    </row>
    <row r="798" spans="2:3">
      <c r="B798">
        <f>SUMIFS(allorders!O:O,allorders!L:L,'数据处理(仓储使用)'!$A798,allorders!$AG:$AG,"&lt;="&amp;日期!$B$2,allorders!$AG:$AG,"&gt;="&amp;日期!$B$1)</f>
        <v>0</v>
      </c>
      <c r="C798">
        <f>B798/(日期!$B$2-日期!$B$1+1)</f>
        <v>0</v>
      </c>
    </row>
    <row r="799" spans="2:3">
      <c r="B799">
        <f>SUMIFS(allorders!O:O,allorders!L:L,'数据处理(仓储使用)'!$A799,allorders!$AG:$AG,"&lt;="&amp;日期!$B$2,allorders!$AG:$AG,"&gt;="&amp;日期!$B$1)</f>
        <v>0</v>
      </c>
      <c r="C799">
        <f>B799/(日期!$B$2-日期!$B$1+1)</f>
        <v>0</v>
      </c>
    </row>
    <row r="800" spans="2:3">
      <c r="B800">
        <f>SUMIFS(allorders!O:O,allorders!L:L,'数据处理(仓储使用)'!$A800,allorders!$AG:$AG,"&lt;="&amp;日期!$B$2,allorders!$AG:$AG,"&gt;="&amp;日期!$B$1)</f>
        <v>0</v>
      </c>
      <c r="C800">
        <f>B800/(日期!$B$2-日期!$B$1+1)</f>
        <v>0</v>
      </c>
    </row>
    <row r="801" spans="2:3">
      <c r="B801">
        <f>SUMIFS(allorders!O:O,allorders!L:L,'数据处理(仓储使用)'!$A801,allorders!$AG:$AG,"&lt;="&amp;日期!$B$2,allorders!$AG:$AG,"&gt;="&amp;日期!$B$1)</f>
        <v>0</v>
      </c>
      <c r="C801">
        <f>B801/(日期!$B$2-日期!$B$1+1)</f>
        <v>0</v>
      </c>
    </row>
    <row r="802" spans="2:3">
      <c r="B802">
        <f>SUMIFS(allorders!O:O,allorders!L:L,'数据处理(仓储使用)'!$A802,allorders!$AG:$AG,"&lt;="&amp;日期!$B$2,allorders!$AG:$AG,"&gt;="&amp;日期!$B$1)</f>
        <v>0</v>
      </c>
      <c r="C802">
        <f>B802/(日期!$B$2-日期!$B$1+1)</f>
        <v>0</v>
      </c>
    </row>
    <row r="803" spans="2:3">
      <c r="B803">
        <f>SUMIFS(allorders!O:O,allorders!L:L,'数据处理(仓储使用)'!$A803,allorders!$AG:$AG,"&lt;="&amp;日期!$B$2,allorders!$AG:$AG,"&gt;="&amp;日期!$B$1)</f>
        <v>0</v>
      </c>
      <c r="C803">
        <f>B803/(日期!$B$2-日期!$B$1+1)</f>
        <v>0</v>
      </c>
    </row>
    <row r="804" spans="2:3">
      <c r="B804">
        <f>SUMIFS(allorders!O:O,allorders!L:L,'数据处理(仓储使用)'!$A804,allorders!$AG:$AG,"&lt;="&amp;日期!$B$2,allorders!$AG:$AG,"&gt;="&amp;日期!$B$1)</f>
        <v>0</v>
      </c>
      <c r="C804">
        <f>B804/(日期!$B$2-日期!$B$1+1)</f>
        <v>0</v>
      </c>
    </row>
    <row r="805" spans="2:3">
      <c r="B805">
        <f>SUMIFS(allorders!O:O,allorders!L:L,'数据处理(仓储使用)'!$A805,allorders!$AG:$AG,"&lt;="&amp;日期!$B$2,allorders!$AG:$AG,"&gt;="&amp;日期!$B$1)</f>
        <v>0</v>
      </c>
      <c r="C805">
        <f>B805/(日期!$B$2-日期!$B$1+1)</f>
        <v>0</v>
      </c>
    </row>
    <row r="806" spans="2:3">
      <c r="B806">
        <f>SUMIFS(allorders!O:O,allorders!L:L,'数据处理(仓储使用)'!$A806,allorders!$AG:$AG,"&lt;="&amp;日期!$B$2,allorders!$AG:$AG,"&gt;="&amp;日期!$B$1)</f>
        <v>0</v>
      </c>
      <c r="C806">
        <f>B806/(日期!$B$2-日期!$B$1+1)</f>
        <v>0</v>
      </c>
    </row>
    <row r="807" spans="2:3">
      <c r="B807">
        <f>SUMIFS(allorders!O:O,allorders!L:L,'数据处理(仓储使用)'!$A807,allorders!$AG:$AG,"&lt;="&amp;日期!$B$2,allorders!$AG:$AG,"&gt;="&amp;日期!$B$1)</f>
        <v>0</v>
      </c>
      <c r="C807">
        <f>B807/(日期!$B$2-日期!$B$1+1)</f>
        <v>0</v>
      </c>
    </row>
    <row r="808" spans="2:3">
      <c r="B808">
        <f>SUMIFS(allorders!O:O,allorders!L:L,'数据处理(仓储使用)'!$A808,allorders!$AG:$AG,"&lt;="&amp;日期!$B$2,allorders!$AG:$AG,"&gt;="&amp;日期!$B$1)</f>
        <v>0</v>
      </c>
      <c r="C808">
        <f>B808/(日期!$B$2-日期!$B$1+1)</f>
        <v>0</v>
      </c>
    </row>
    <row r="809" spans="2:3">
      <c r="B809">
        <f>SUMIFS(allorders!O:O,allorders!L:L,'数据处理(仓储使用)'!$A809,allorders!$AG:$AG,"&lt;="&amp;日期!$B$2,allorders!$AG:$AG,"&gt;="&amp;日期!$B$1)</f>
        <v>0</v>
      </c>
      <c r="C809">
        <f>B809/(日期!$B$2-日期!$B$1+1)</f>
        <v>0</v>
      </c>
    </row>
    <row r="810" spans="2:3">
      <c r="B810">
        <f>SUMIFS(allorders!O:O,allorders!L:L,'数据处理(仓储使用)'!$A810,allorders!$AG:$AG,"&lt;="&amp;日期!$B$2,allorders!$AG:$AG,"&gt;="&amp;日期!$B$1)</f>
        <v>0</v>
      </c>
      <c r="C810">
        <f>B810/(日期!$B$2-日期!$B$1+1)</f>
        <v>0</v>
      </c>
    </row>
    <row r="811" spans="2:3">
      <c r="B811">
        <f>SUMIFS(allorders!O:O,allorders!L:L,'数据处理(仓储使用)'!$A811,allorders!$AG:$AG,"&lt;="&amp;日期!$B$2,allorders!$AG:$AG,"&gt;="&amp;日期!$B$1)</f>
        <v>0</v>
      </c>
      <c r="C811">
        <f>B811/(日期!$B$2-日期!$B$1+1)</f>
        <v>0</v>
      </c>
    </row>
    <row r="812" spans="2:3">
      <c r="B812">
        <f>SUMIFS(allorders!O:O,allorders!L:L,'数据处理(仓储使用)'!$A812,allorders!$AG:$AG,"&lt;="&amp;日期!$B$2,allorders!$AG:$AG,"&gt;="&amp;日期!$B$1)</f>
        <v>0</v>
      </c>
      <c r="C812">
        <f>B812/(日期!$B$2-日期!$B$1+1)</f>
        <v>0</v>
      </c>
    </row>
    <row r="813" spans="2:3">
      <c r="B813">
        <f>SUMIFS(allorders!O:O,allorders!L:L,'数据处理(仓储使用)'!$A813,allorders!$AG:$AG,"&lt;="&amp;日期!$B$2,allorders!$AG:$AG,"&gt;="&amp;日期!$B$1)</f>
        <v>0</v>
      </c>
      <c r="C813">
        <f>B813/(日期!$B$2-日期!$B$1+1)</f>
        <v>0</v>
      </c>
    </row>
    <row r="814" spans="2:3">
      <c r="B814">
        <f>SUMIFS(allorders!O:O,allorders!L:L,'数据处理(仓储使用)'!$A814,allorders!$AG:$AG,"&lt;="&amp;日期!$B$2,allorders!$AG:$AG,"&gt;="&amp;日期!$B$1)</f>
        <v>0</v>
      </c>
      <c r="C814">
        <f>B814/(日期!$B$2-日期!$B$1+1)</f>
        <v>0</v>
      </c>
    </row>
    <row r="815" spans="2:3">
      <c r="B815">
        <f>SUMIFS(allorders!O:O,allorders!L:L,'数据处理(仓储使用)'!$A815,allorders!$AG:$AG,"&lt;="&amp;日期!$B$2,allorders!$AG:$AG,"&gt;="&amp;日期!$B$1)</f>
        <v>0</v>
      </c>
      <c r="C815">
        <f>B815/(日期!$B$2-日期!$B$1+1)</f>
        <v>0</v>
      </c>
    </row>
    <row r="816" spans="2:3">
      <c r="B816">
        <f>SUMIFS(allorders!O:O,allorders!L:L,'数据处理(仓储使用)'!$A816,allorders!$AG:$AG,"&lt;="&amp;日期!$B$2,allorders!$AG:$AG,"&gt;="&amp;日期!$B$1)</f>
        <v>0</v>
      </c>
      <c r="C816">
        <f>B816/(日期!$B$2-日期!$B$1+1)</f>
        <v>0</v>
      </c>
    </row>
    <row r="817" spans="2:3">
      <c r="B817">
        <f>SUMIFS(allorders!O:O,allorders!L:L,'数据处理(仓储使用)'!$A817,allorders!$AG:$AG,"&lt;="&amp;日期!$B$2,allorders!$AG:$AG,"&gt;="&amp;日期!$B$1)</f>
        <v>0</v>
      </c>
      <c r="C817">
        <f>B817/(日期!$B$2-日期!$B$1+1)</f>
        <v>0</v>
      </c>
    </row>
    <row r="818" spans="2:3">
      <c r="B818">
        <f>SUMIFS(allorders!O:O,allorders!L:L,'数据处理(仓储使用)'!$A818,allorders!$AG:$AG,"&lt;="&amp;日期!$B$2,allorders!$AG:$AG,"&gt;="&amp;日期!$B$1)</f>
        <v>0</v>
      </c>
      <c r="C818">
        <f>B818/(日期!$B$2-日期!$B$1+1)</f>
        <v>0</v>
      </c>
    </row>
    <row r="819" spans="2:3">
      <c r="B819">
        <f>SUMIFS(allorders!O:O,allorders!L:L,'数据处理(仓储使用)'!$A819,allorders!$AG:$AG,"&lt;="&amp;日期!$B$2,allorders!$AG:$AG,"&gt;="&amp;日期!$B$1)</f>
        <v>0</v>
      </c>
      <c r="C819">
        <f>B819/(日期!$B$2-日期!$B$1+1)</f>
        <v>0</v>
      </c>
    </row>
    <row r="820" spans="2:3">
      <c r="B820">
        <f>SUMIFS(allorders!O:O,allorders!L:L,'数据处理(仓储使用)'!$A820,allorders!$AG:$AG,"&lt;="&amp;日期!$B$2,allorders!$AG:$AG,"&gt;="&amp;日期!$B$1)</f>
        <v>0</v>
      </c>
      <c r="C820">
        <f>B820/(日期!$B$2-日期!$B$1+1)</f>
        <v>0</v>
      </c>
    </row>
    <row r="821" spans="2:3">
      <c r="B821">
        <f>SUMIFS(allorders!O:O,allorders!L:L,'数据处理(仓储使用)'!$A821,allorders!$AG:$AG,"&lt;="&amp;日期!$B$2,allorders!$AG:$AG,"&gt;="&amp;日期!$B$1)</f>
        <v>0</v>
      </c>
      <c r="C821">
        <f>B821/(日期!$B$2-日期!$B$1+1)</f>
        <v>0</v>
      </c>
    </row>
    <row r="822" spans="2:3">
      <c r="B822">
        <f>SUMIFS(allorders!O:O,allorders!L:L,'数据处理(仓储使用)'!$A822,allorders!$AG:$AG,"&lt;="&amp;日期!$B$2,allorders!$AG:$AG,"&gt;="&amp;日期!$B$1)</f>
        <v>0</v>
      </c>
      <c r="C822">
        <f>B822/(日期!$B$2-日期!$B$1+1)</f>
        <v>0</v>
      </c>
    </row>
    <row r="823" spans="2:3">
      <c r="B823">
        <f>SUMIFS(allorders!O:O,allorders!L:L,'数据处理(仓储使用)'!$A823,allorders!$AG:$AG,"&lt;="&amp;日期!$B$2,allorders!$AG:$AG,"&gt;="&amp;日期!$B$1)</f>
        <v>0</v>
      </c>
      <c r="C823">
        <f>B823/(日期!$B$2-日期!$B$1+1)</f>
        <v>0</v>
      </c>
    </row>
    <row r="824" spans="2:3">
      <c r="B824">
        <f>SUMIFS(allorders!O:O,allorders!L:L,'数据处理(仓储使用)'!$A824,allorders!$AG:$AG,"&lt;="&amp;日期!$B$2,allorders!$AG:$AG,"&gt;="&amp;日期!$B$1)</f>
        <v>0</v>
      </c>
      <c r="C824">
        <f>B824/(日期!$B$2-日期!$B$1+1)</f>
        <v>0</v>
      </c>
    </row>
    <row r="825" spans="2:3">
      <c r="B825">
        <f>SUMIFS(allorders!O:O,allorders!L:L,'数据处理(仓储使用)'!$A825,allorders!$AG:$AG,"&lt;="&amp;日期!$B$2,allorders!$AG:$AG,"&gt;="&amp;日期!$B$1)</f>
        <v>0</v>
      </c>
      <c r="C825">
        <f>B825/(日期!$B$2-日期!$B$1+1)</f>
        <v>0</v>
      </c>
    </row>
    <row r="826" spans="2:3">
      <c r="B826">
        <f>SUMIFS(allorders!O:O,allorders!L:L,'数据处理(仓储使用)'!$A826,allorders!$AG:$AG,"&lt;="&amp;日期!$B$2,allorders!$AG:$AG,"&gt;="&amp;日期!$B$1)</f>
        <v>0</v>
      </c>
      <c r="C826">
        <f>B826/(日期!$B$2-日期!$B$1+1)</f>
        <v>0</v>
      </c>
    </row>
    <row r="827" spans="2:3">
      <c r="B827">
        <f>SUMIFS(allorders!O:O,allorders!L:L,'数据处理(仓储使用)'!$A827,allorders!$AG:$AG,"&lt;="&amp;日期!$B$2,allorders!$AG:$AG,"&gt;="&amp;日期!$B$1)</f>
        <v>0</v>
      </c>
      <c r="C827">
        <f>B827/(日期!$B$2-日期!$B$1+1)</f>
        <v>0</v>
      </c>
    </row>
    <row r="828" spans="2:3">
      <c r="B828">
        <f>SUMIFS(allorders!O:O,allorders!L:L,'数据处理(仓储使用)'!$A828,allorders!$AG:$AG,"&lt;="&amp;日期!$B$2,allorders!$AG:$AG,"&gt;="&amp;日期!$B$1)</f>
        <v>0</v>
      </c>
      <c r="C828">
        <f>B828/(日期!$B$2-日期!$B$1+1)</f>
        <v>0</v>
      </c>
    </row>
    <row r="829" spans="2:3">
      <c r="B829">
        <f>SUMIFS(allorders!O:O,allorders!L:L,'数据处理(仓储使用)'!$A829,allorders!$AG:$AG,"&lt;="&amp;日期!$B$2,allorders!$AG:$AG,"&gt;="&amp;日期!$B$1)</f>
        <v>0</v>
      </c>
      <c r="C829">
        <f>B829/(日期!$B$2-日期!$B$1+1)</f>
        <v>0</v>
      </c>
    </row>
    <row r="830" spans="2:3">
      <c r="B830">
        <f>SUMIFS(allorders!O:O,allorders!L:L,'数据处理(仓储使用)'!$A830,allorders!$AG:$AG,"&lt;="&amp;日期!$B$2,allorders!$AG:$AG,"&gt;="&amp;日期!$B$1)</f>
        <v>0</v>
      </c>
      <c r="C830">
        <f>B830/(日期!$B$2-日期!$B$1+1)</f>
        <v>0</v>
      </c>
    </row>
    <row r="831" spans="2:3">
      <c r="B831">
        <f>SUMIFS(allorders!O:O,allorders!L:L,'数据处理(仓储使用)'!$A831,allorders!$AG:$AG,"&lt;="&amp;日期!$B$2,allorders!$AG:$AG,"&gt;="&amp;日期!$B$1)</f>
        <v>0</v>
      </c>
      <c r="C831">
        <f>B831/(日期!$B$2-日期!$B$1+1)</f>
        <v>0</v>
      </c>
    </row>
    <row r="832" spans="2:3">
      <c r="B832">
        <f>SUMIFS(allorders!O:O,allorders!L:L,'数据处理(仓储使用)'!$A832,allorders!$AG:$AG,"&lt;="&amp;日期!$B$2,allorders!$AG:$AG,"&gt;="&amp;日期!$B$1)</f>
        <v>0</v>
      </c>
      <c r="C832">
        <f>B832/(日期!$B$2-日期!$B$1+1)</f>
        <v>0</v>
      </c>
    </row>
    <row r="833" spans="2:3">
      <c r="B833">
        <f>SUMIFS(allorders!O:O,allorders!L:L,'数据处理(仓储使用)'!$A833,allorders!$AG:$AG,"&lt;="&amp;日期!$B$2,allorders!$AG:$AG,"&gt;="&amp;日期!$B$1)</f>
        <v>0</v>
      </c>
      <c r="C833">
        <f>B833/(日期!$B$2-日期!$B$1+1)</f>
        <v>0</v>
      </c>
    </row>
    <row r="834" spans="2:3">
      <c r="B834">
        <f>SUMIFS(allorders!O:O,allorders!L:L,'数据处理(仓储使用)'!$A834,allorders!$AG:$AG,"&lt;="&amp;日期!$B$2,allorders!$AG:$AG,"&gt;="&amp;日期!$B$1)</f>
        <v>0</v>
      </c>
      <c r="C834">
        <f>B834/(日期!$B$2-日期!$B$1+1)</f>
        <v>0</v>
      </c>
    </row>
    <row r="835" spans="2:3">
      <c r="B835">
        <f>SUMIFS(allorders!O:O,allorders!L:L,'数据处理(仓储使用)'!$A835,allorders!$AG:$AG,"&lt;="&amp;日期!$B$2,allorders!$AG:$AG,"&gt;="&amp;日期!$B$1)</f>
        <v>0</v>
      </c>
      <c r="C835">
        <f>B835/(日期!$B$2-日期!$B$1+1)</f>
        <v>0</v>
      </c>
    </row>
    <row r="836" spans="2:3">
      <c r="B836">
        <f>SUMIFS(allorders!O:O,allorders!L:L,'数据处理(仓储使用)'!$A836,allorders!$AG:$AG,"&lt;="&amp;日期!$B$2,allorders!$AG:$AG,"&gt;="&amp;日期!$B$1)</f>
        <v>0</v>
      </c>
      <c r="C836">
        <f>B836/(日期!$B$2-日期!$B$1+1)</f>
        <v>0</v>
      </c>
    </row>
    <row r="837" spans="2:3">
      <c r="B837">
        <f>SUMIFS(allorders!O:O,allorders!L:L,'数据处理(仓储使用)'!$A837,allorders!$AG:$AG,"&lt;="&amp;日期!$B$2,allorders!$AG:$AG,"&gt;="&amp;日期!$B$1)</f>
        <v>0</v>
      </c>
      <c r="C837">
        <f>B837/(日期!$B$2-日期!$B$1+1)</f>
        <v>0</v>
      </c>
    </row>
    <row r="838" spans="2:3">
      <c r="B838">
        <f>SUMIFS(allorders!O:O,allorders!L:L,'数据处理(仓储使用)'!$A838,allorders!$AG:$AG,"&lt;="&amp;日期!$B$2,allorders!$AG:$AG,"&gt;="&amp;日期!$B$1)</f>
        <v>0</v>
      </c>
      <c r="C838">
        <f>B838/(日期!$B$2-日期!$B$1+1)</f>
        <v>0</v>
      </c>
    </row>
    <row r="839" spans="2:3">
      <c r="B839">
        <f>SUMIFS(allorders!O:O,allorders!L:L,'数据处理(仓储使用)'!$A839,allorders!$AG:$AG,"&lt;="&amp;日期!$B$2,allorders!$AG:$AG,"&gt;="&amp;日期!$B$1)</f>
        <v>0</v>
      </c>
      <c r="C839">
        <f>B839/(日期!$B$2-日期!$B$1+1)</f>
        <v>0</v>
      </c>
    </row>
    <row r="840" spans="2:3">
      <c r="B840">
        <f>SUMIFS(allorders!O:O,allorders!L:L,'数据处理(仓储使用)'!$A840,allorders!$AG:$AG,"&lt;="&amp;日期!$B$2,allorders!$AG:$AG,"&gt;="&amp;日期!$B$1)</f>
        <v>0</v>
      </c>
      <c r="C840">
        <f>B840/(日期!$B$2-日期!$B$1+1)</f>
        <v>0</v>
      </c>
    </row>
    <row r="841" spans="2:3">
      <c r="B841">
        <f>SUMIFS(allorders!O:O,allorders!L:L,'数据处理(仓储使用)'!$A841,allorders!$AG:$AG,"&lt;="&amp;日期!$B$2,allorders!$AG:$AG,"&gt;="&amp;日期!$B$1)</f>
        <v>0</v>
      </c>
      <c r="C841">
        <f>B841/(日期!$B$2-日期!$B$1+1)</f>
        <v>0</v>
      </c>
    </row>
    <row r="842" spans="2:3">
      <c r="B842">
        <f>SUMIFS(allorders!O:O,allorders!L:L,'数据处理(仓储使用)'!$A842,allorders!$AG:$AG,"&lt;="&amp;日期!$B$2,allorders!$AG:$AG,"&gt;="&amp;日期!$B$1)</f>
        <v>0</v>
      </c>
      <c r="C842">
        <f>B842/(日期!$B$2-日期!$B$1+1)</f>
        <v>0</v>
      </c>
    </row>
    <row r="843" spans="2:3">
      <c r="B843">
        <f>SUMIFS(allorders!O:O,allorders!L:L,'数据处理(仓储使用)'!$A843,allorders!$AG:$AG,"&lt;="&amp;日期!$B$2,allorders!$AG:$AG,"&gt;="&amp;日期!$B$1)</f>
        <v>0</v>
      </c>
      <c r="C843">
        <f>B843/(日期!$B$2-日期!$B$1+1)</f>
        <v>0</v>
      </c>
    </row>
    <row r="844" spans="2:3">
      <c r="B844">
        <f>SUMIFS(allorders!O:O,allorders!L:L,'数据处理(仓储使用)'!$A844,allorders!$AG:$AG,"&lt;="&amp;日期!$B$2,allorders!$AG:$AG,"&gt;="&amp;日期!$B$1)</f>
        <v>0</v>
      </c>
      <c r="C844">
        <f>B844/(日期!$B$2-日期!$B$1+1)</f>
        <v>0</v>
      </c>
    </row>
    <row r="845" spans="2:3">
      <c r="B845">
        <f>SUMIFS(allorders!O:O,allorders!L:L,'数据处理(仓储使用)'!$A845,allorders!$AG:$AG,"&lt;="&amp;日期!$B$2,allorders!$AG:$AG,"&gt;="&amp;日期!$B$1)</f>
        <v>0</v>
      </c>
      <c r="C845">
        <f>B845/(日期!$B$2-日期!$B$1+1)</f>
        <v>0</v>
      </c>
    </row>
    <row r="846" spans="2:3">
      <c r="B846">
        <f>SUMIFS(allorders!O:O,allorders!L:L,'数据处理(仓储使用)'!$A846,allorders!$AG:$AG,"&lt;="&amp;日期!$B$2,allorders!$AG:$AG,"&gt;="&amp;日期!$B$1)</f>
        <v>0</v>
      </c>
      <c r="C846">
        <f>B846/(日期!$B$2-日期!$B$1+1)</f>
        <v>0</v>
      </c>
    </row>
    <row r="847" spans="2:3">
      <c r="B847">
        <f>SUMIFS(allorders!O:O,allorders!L:L,'数据处理(仓储使用)'!$A847,allorders!$AG:$AG,"&lt;="&amp;日期!$B$2,allorders!$AG:$AG,"&gt;="&amp;日期!$B$1)</f>
        <v>0</v>
      </c>
      <c r="C847">
        <f>B847/(日期!$B$2-日期!$B$1+1)</f>
        <v>0</v>
      </c>
    </row>
    <row r="848" spans="2:3">
      <c r="B848">
        <f>SUMIFS(allorders!O:O,allorders!L:L,'数据处理(仓储使用)'!$A848,allorders!$AG:$AG,"&lt;="&amp;日期!$B$2,allorders!$AG:$AG,"&gt;="&amp;日期!$B$1)</f>
        <v>0</v>
      </c>
      <c r="C848">
        <f>B848/(日期!$B$2-日期!$B$1+1)</f>
        <v>0</v>
      </c>
    </row>
    <row r="849" spans="2:3">
      <c r="B849">
        <f>SUMIFS(allorders!O:O,allorders!L:L,'数据处理(仓储使用)'!$A849,allorders!$AG:$AG,"&lt;="&amp;日期!$B$2,allorders!$AG:$AG,"&gt;="&amp;日期!$B$1)</f>
        <v>0</v>
      </c>
      <c r="C849">
        <f>B849/(日期!$B$2-日期!$B$1+1)</f>
        <v>0</v>
      </c>
    </row>
    <row r="850" spans="2:3">
      <c r="B850">
        <f>SUMIFS(allorders!O:O,allorders!L:L,'数据处理(仓储使用)'!$A850,allorders!$AG:$AG,"&lt;="&amp;日期!$B$2,allorders!$AG:$AG,"&gt;="&amp;日期!$B$1)</f>
        <v>0</v>
      </c>
      <c r="C850">
        <f>B850/(日期!$B$2-日期!$B$1+1)</f>
        <v>0</v>
      </c>
    </row>
    <row r="851" spans="2:3">
      <c r="B851">
        <f>SUMIFS(allorders!O:O,allorders!L:L,'数据处理(仓储使用)'!$A851,allorders!$AG:$AG,"&lt;="&amp;日期!$B$2,allorders!$AG:$AG,"&gt;="&amp;日期!$B$1)</f>
        <v>0</v>
      </c>
      <c r="C851">
        <f>B851/(日期!$B$2-日期!$B$1+1)</f>
        <v>0</v>
      </c>
    </row>
    <row r="852" spans="2:3">
      <c r="B852">
        <f>SUMIFS(allorders!O:O,allorders!L:L,'数据处理(仓储使用)'!$A852,allorders!$AG:$AG,"&lt;="&amp;日期!$B$2,allorders!$AG:$AG,"&gt;="&amp;日期!$B$1)</f>
        <v>0</v>
      </c>
      <c r="C852">
        <f>B852/(日期!$B$2-日期!$B$1+1)</f>
        <v>0</v>
      </c>
    </row>
    <row r="853" spans="2:3">
      <c r="B853">
        <f>SUMIFS(allorders!O:O,allorders!L:L,'数据处理(仓储使用)'!$A853,allorders!$AG:$AG,"&lt;="&amp;日期!$B$2,allorders!$AG:$AG,"&gt;="&amp;日期!$B$1)</f>
        <v>0</v>
      </c>
      <c r="C853">
        <f>B853/(日期!$B$2-日期!$B$1+1)</f>
        <v>0</v>
      </c>
    </row>
    <row r="854" spans="2:3">
      <c r="B854">
        <f>SUMIFS(allorders!O:O,allorders!L:L,'数据处理(仓储使用)'!$A854,allorders!$AG:$AG,"&lt;="&amp;日期!$B$2,allorders!$AG:$AG,"&gt;="&amp;日期!$B$1)</f>
        <v>0</v>
      </c>
      <c r="C854">
        <f>B854/(日期!$B$2-日期!$B$1+1)</f>
        <v>0</v>
      </c>
    </row>
    <row r="855" spans="2:3">
      <c r="B855">
        <f>SUMIFS(allorders!O:O,allorders!L:L,'数据处理(仓储使用)'!$A855,allorders!$AG:$AG,"&lt;="&amp;日期!$B$2,allorders!$AG:$AG,"&gt;="&amp;日期!$B$1)</f>
        <v>0</v>
      </c>
      <c r="C855">
        <f>B855/(日期!$B$2-日期!$B$1+1)</f>
        <v>0</v>
      </c>
    </row>
    <row r="856" spans="2:3">
      <c r="B856">
        <f>SUMIFS(allorders!O:O,allorders!L:L,'数据处理(仓储使用)'!$A856,allorders!$AG:$AG,"&lt;="&amp;日期!$B$2,allorders!$AG:$AG,"&gt;="&amp;日期!$B$1)</f>
        <v>0</v>
      </c>
      <c r="C856">
        <f>B856/(日期!$B$2-日期!$B$1+1)</f>
        <v>0</v>
      </c>
    </row>
    <row r="857" spans="2:3">
      <c r="B857">
        <f>SUMIFS(allorders!O:O,allorders!L:L,'数据处理(仓储使用)'!$A857,allorders!$AG:$AG,"&lt;="&amp;日期!$B$2,allorders!$AG:$AG,"&gt;="&amp;日期!$B$1)</f>
        <v>0</v>
      </c>
      <c r="C857">
        <f>B857/(日期!$B$2-日期!$B$1+1)</f>
        <v>0</v>
      </c>
    </row>
    <row r="858" spans="2:3">
      <c r="B858">
        <f>SUMIFS(allorders!O:O,allorders!L:L,'数据处理(仓储使用)'!$A858,allorders!$AG:$AG,"&lt;="&amp;日期!$B$2,allorders!$AG:$AG,"&gt;="&amp;日期!$B$1)</f>
        <v>0</v>
      </c>
      <c r="C858">
        <f>B858/(日期!$B$2-日期!$B$1+1)</f>
        <v>0</v>
      </c>
    </row>
    <row r="859" spans="2:3">
      <c r="B859">
        <f>SUMIFS(allorders!O:O,allorders!L:L,'数据处理(仓储使用)'!$A859,allorders!$AG:$AG,"&lt;="&amp;日期!$B$2,allorders!$AG:$AG,"&gt;="&amp;日期!$B$1)</f>
        <v>0</v>
      </c>
      <c r="C859">
        <f>B859/(日期!$B$2-日期!$B$1+1)</f>
        <v>0</v>
      </c>
    </row>
    <row r="860" spans="2:3">
      <c r="B860">
        <f>SUMIFS(allorders!O:O,allorders!L:L,'数据处理(仓储使用)'!$A860,allorders!$AG:$AG,"&lt;="&amp;日期!$B$2,allorders!$AG:$AG,"&gt;="&amp;日期!$B$1)</f>
        <v>0</v>
      </c>
      <c r="C860">
        <f>B860/(日期!$B$2-日期!$B$1+1)</f>
        <v>0</v>
      </c>
    </row>
    <row r="861" spans="2:3">
      <c r="B861">
        <f>SUMIFS(allorders!O:O,allorders!L:L,'数据处理(仓储使用)'!$A861,allorders!$AG:$AG,"&lt;="&amp;日期!$B$2,allorders!$AG:$AG,"&gt;="&amp;日期!$B$1)</f>
        <v>0</v>
      </c>
      <c r="C861">
        <f>B861/(日期!$B$2-日期!$B$1+1)</f>
        <v>0</v>
      </c>
    </row>
    <row r="862" spans="2:3">
      <c r="B862">
        <f>SUMIFS(allorders!O:O,allorders!L:L,'数据处理(仓储使用)'!$A862,allorders!$AG:$AG,"&lt;="&amp;日期!$B$2,allorders!$AG:$AG,"&gt;="&amp;日期!$B$1)</f>
        <v>0</v>
      </c>
      <c r="C862">
        <f>B862/(日期!$B$2-日期!$B$1+1)</f>
        <v>0</v>
      </c>
    </row>
    <row r="863" spans="2:3">
      <c r="B863">
        <f>SUMIFS(allorders!O:O,allorders!L:L,'数据处理(仓储使用)'!$A863,allorders!$AG:$AG,"&lt;="&amp;日期!$B$2,allorders!$AG:$AG,"&gt;="&amp;日期!$B$1)</f>
        <v>0</v>
      </c>
      <c r="C863">
        <f>B863/(日期!$B$2-日期!$B$1+1)</f>
        <v>0</v>
      </c>
    </row>
    <row r="864" spans="2:3">
      <c r="B864">
        <f>SUMIFS(allorders!O:O,allorders!L:L,'数据处理(仓储使用)'!$A864,allorders!$AG:$AG,"&lt;="&amp;日期!$B$2,allorders!$AG:$AG,"&gt;="&amp;日期!$B$1)</f>
        <v>0</v>
      </c>
      <c r="C864">
        <f>B864/(日期!$B$2-日期!$B$1+1)</f>
        <v>0</v>
      </c>
    </row>
    <row r="865" spans="2:3">
      <c r="B865">
        <f>SUMIFS(allorders!O:O,allorders!L:L,'数据处理(仓储使用)'!$A865,allorders!$AG:$AG,"&lt;="&amp;日期!$B$2,allorders!$AG:$AG,"&gt;="&amp;日期!$B$1)</f>
        <v>0</v>
      </c>
      <c r="C865">
        <f>B865/(日期!$B$2-日期!$B$1+1)</f>
        <v>0</v>
      </c>
    </row>
    <row r="866" spans="2:3">
      <c r="B866">
        <f>SUMIFS(allorders!O:O,allorders!L:L,'数据处理(仓储使用)'!$A866,allorders!$AG:$AG,"&lt;="&amp;日期!$B$2,allorders!$AG:$AG,"&gt;="&amp;日期!$B$1)</f>
        <v>0</v>
      </c>
      <c r="C866">
        <f>B866/(日期!$B$2-日期!$B$1+1)</f>
        <v>0</v>
      </c>
    </row>
    <row r="867" spans="2:3">
      <c r="B867">
        <f>SUMIFS(allorders!O:O,allorders!L:L,'数据处理(仓储使用)'!$A867,allorders!$AG:$AG,"&lt;="&amp;日期!$B$2,allorders!$AG:$AG,"&gt;="&amp;日期!$B$1)</f>
        <v>0</v>
      </c>
      <c r="C867">
        <f>B867/(日期!$B$2-日期!$B$1+1)</f>
        <v>0</v>
      </c>
    </row>
    <row r="868" spans="2:3">
      <c r="B868">
        <f>SUMIFS(allorders!O:O,allorders!L:L,'数据处理(仓储使用)'!$A868,allorders!$AG:$AG,"&lt;="&amp;日期!$B$2,allorders!$AG:$AG,"&gt;="&amp;日期!$B$1)</f>
        <v>0</v>
      </c>
      <c r="C868">
        <f>B868/(日期!$B$2-日期!$B$1+1)</f>
        <v>0</v>
      </c>
    </row>
    <row r="869" spans="2:3">
      <c r="B869">
        <f>SUMIFS(allorders!O:O,allorders!L:L,'数据处理(仓储使用)'!$A869,allorders!$AG:$AG,"&lt;="&amp;日期!$B$2,allorders!$AG:$AG,"&gt;="&amp;日期!$B$1)</f>
        <v>0</v>
      </c>
      <c r="C869">
        <f>B869/(日期!$B$2-日期!$B$1+1)</f>
        <v>0</v>
      </c>
    </row>
    <row r="870" spans="2:3">
      <c r="B870">
        <f>SUMIFS(allorders!O:O,allorders!L:L,'数据处理(仓储使用)'!$A870,allorders!$AG:$AG,"&lt;="&amp;日期!$B$2,allorders!$AG:$AG,"&gt;="&amp;日期!$B$1)</f>
        <v>0</v>
      </c>
      <c r="C870">
        <f>B870/(日期!$B$2-日期!$B$1+1)</f>
        <v>0</v>
      </c>
    </row>
    <row r="871" spans="2:3">
      <c r="B871">
        <f>SUMIFS(allorders!O:O,allorders!L:L,'数据处理(仓储使用)'!$A871,allorders!$AG:$AG,"&lt;="&amp;日期!$B$2,allorders!$AG:$AG,"&gt;="&amp;日期!$B$1)</f>
        <v>0</v>
      </c>
      <c r="C871">
        <f>B871/(日期!$B$2-日期!$B$1+1)</f>
        <v>0</v>
      </c>
    </row>
    <row r="872" spans="2:3">
      <c r="B872">
        <f>SUMIFS(allorders!O:O,allorders!L:L,'数据处理(仓储使用)'!$A872,allorders!$AG:$AG,"&lt;="&amp;日期!$B$2,allorders!$AG:$AG,"&gt;="&amp;日期!$B$1)</f>
        <v>0</v>
      </c>
      <c r="C872">
        <f>B872/(日期!$B$2-日期!$B$1+1)</f>
        <v>0</v>
      </c>
    </row>
    <row r="873" spans="2:3">
      <c r="B873">
        <f>SUMIFS(allorders!O:O,allorders!L:L,'数据处理(仓储使用)'!$A873,allorders!$AG:$AG,"&lt;="&amp;日期!$B$2,allorders!$AG:$AG,"&gt;="&amp;日期!$B$1)</f>
        <v>0</v>
      </c>
      <c r="C873">
        <f>B873/(日期!$B$2-日期!$B$1+1)</f>
        <v>0</v>
      </c>
    </row>
    <row r="874" spans="2:3">
      <c r="B874">
        <f>SUMIFS(allorders!O:O,allorders!L:L,'数据处理(仓储使用)'!$A874,allorders!$AG:$AG,"&lt;="&amp;日期!$B$2,allorders!$AG:$AG,"&gt;="&amp;日期!$B$1)</f>
        <v>0</v>
      </c>
      <c r="C874">
        <f>B874/(日期!$B$2-日期!$B$1+1)</f>
        <v>0</v>
      </c>
    </row>
    <row r="875" spans="2:3">
      <c r="B875">
        <f>SUMIFS(allorders!O:O,allorders!L:L,'数据处理(仓储使用)'!$A875,allorders!$AG:$AG,"&lt;="&amp;日期!$B$2,allorders!$AG:$AG,"&gt;="&amp;日期!$B$1)</f>
        <v>0</v>
      </c>
      <c r="C875">
        <f>B875/(日期!$B$2-日期!$B$1+1)</f>
        <v>0</v>
      </c>
    </row>
    <row r="876" spans="2:3">
      <c r="B876">
        <f>SUMIFS(allorders!O:O,allorders!L:L,'数据处理(仓储使用)'!$A876,allorders!$AG:$AG,"&lt;="&amp;日期!$B$2,allorders!$AG:$AG,"&gt;="&amp;日期!$B$1)</f>
        <v>0</v>
      </c>
      <c r="C876">
        <f>B876/(日期!$B$2-日期!$B$1+1)</f>
        <v>0</v>
      </c>
    </row>
    <row r="877" spans="2:3">
      <c r="B877">
        <f>SUMIFS(allorders!O:O,allorders!L:L,'数据处理(仓储使用)'!$A877,allorders!$AG:$AG,"&lt;="&amp;日期!$B$2,allorders!$AG:$AG,"&gt;="&amp;日期!$B$1)</f>
        <v>0</v>
      </c>
      <c r="C877">
        <f>B877/(日期!$B$2-日期!$B$1+1)</f>
        <v>0</v>
      </c>
    </row>
    <row r="878" spans="2:3">
      <c r="B878">
        <f>SUMIFS(allorders!O:O,allorders!L:L,'数据处理(仓储使用)'!$A878,allorders!$AG:$AG,"&lt;="&amp;日期!$B$2,allorders!$AG:$AG,"&gt;="&amp;日期!$B$1)</f>
        <v>0</v>
      </c>
      <c r="C878">
        <f>B878/(日期!$B$2-日期!$B$1+1)</f>
        <v>0</v>
      </c>
    </row>
    <row r="879" spans="2:3">
      <c r="B879">
        <f>SUMIFS(allorders!O:O,allorders!L:L,'数据处理(仓储使用)'!$A879,allorders!$AG:$AG,"&lt;="&amp;日期!$B$2,allorders!$AG:$AG,"&gt;="&amp;日期!$B$1)</f>
        <v>0</v>
      </c>
      <c r="C879">
        <f>B879/(日期!$B$2-日期!$B$1+1)</f>
        <v>0</v>
      </c>
    </row>
    <row r="880" spans="2:3">
      <c r="B880">
        <f>SUMIFS(allorders!O:O,allorders!L:L,'数据处理(仓储使用)'!$A880,allorders!$AG:$AG,"&lt;="&amp;日期!$B$2,allorders!$AG:$AG,"&gt;="&amp;日期!$B$1)</f>
        <v>0</v>
      </c>
      <c r="C880">
        <f>B880/(日期!$B$2-日期!$B$1+1)</f>
        <v>0</v>
      </c>
    </row>
    <row r="881" spans="2:3">
      <c r="B881">
        <f>SUMIFS(allorders!O:O,allorders!L:L,'数据处理(仓储使用)'!$A881,allorders!$AG:$AG,"&lt;="&amp;日期!$B$2,allorders!$AG:$AG,"&gt;="&amp;日期!$B$1)</f>
        <v>0</v>
      </c>
      <c r="C881">
        <f>B881/(日期!$B$2-日期!$B$1+1)</f>
        <v>0</v>
      </c>
    </row>
    <row r="882" spans="2:3">
      <c r="B882">
        <f>SUMIFS(allorders!O:O,allorders!L:L,'数据处理(仓储使用)'!$A882,allorders!$AG:$AG,"&lt;="&amp;日期!$B$2,allorders!$AG:$AG,"&gt;="&amp;日期!$B$1)</f>
        <v>0</v>
      </c>
      <c r="C882">
        <f>B882/(日期!$B$2-日期!$B$1+1)</f>
        <v>0</v>
      </c>
    </row>
    <row r="883" spans="2:3">
      <c r="B883">
        <f>SUMIFS(allorders!O:O,allorders!L:L,'数据处理(仓储使用)'!$A883,allorders!$AG:$AG,"&lt;="&amp;日期!$B$2,allorders!$AG:$AG,"&gt;="&amp;日期!$B$1)</f>
        <v>0</v>
      </c>
      <c r="C883">
        <f>B883/(日期!$B$2-日期!$B$1+1)</f>
        <v>0</v>
      </c>
    </row>
    <row r="884" spans="2:3">
      <c r="B884">
        <f>SUMIFS(allorders!O:O,allorders!L:L,'数据处理(仓储使用)'!$A884,allorders!$AG:$AG,"&lt;="&amp;日期!$B$2,allorders!$AG:$AG,"&gt;="&amp;日期!$B$1)</f>
        <v>0</v>
      </c>
      <c r="C884">
        <f>B884/(日期!$B$2-日期!$B$1+1)</f>
        <v>0</v>
      </c>
    </row>
    <row r="885" spans="2:3">
      <c r="B885">
        <f>SUMIFS(allorders!O:O,allorders!L:L,'数据处理(仓储使用)'!$A885,allorders!$AG:$AG,"&lt;="&amp;日期!$B$2,allorders!$AG:$AG,"&gt;="&amp;日期!$B$1)</f>
        <v>0</v>
      </c>
      <c r="C885">
        <f>B885/(日期!$B$2-日期!$B$1+1)</f>
        <v>0</v>
      </c>
    </row>
    <row r="886" spans="2:3">
      <c r="B886">
        <f>SUMIFS(allorders!O:O,allorders!L:L,'数据处理(仓储使用)'!$A886,allorders!$AG:$AG,"&lt;="&amp;日期!$B$2,allorders!$AG:$AG,"&gt;="&amp;日期!$B$1)</f>
        <v>0</v>
      </c>
      <c r="C886">
        <f>B886/(日期!$B$2-日期!$B$1+1)</f>
        <v>0</v>
      </c>
    </row>
    <row r="887" spans="2:3">
      <c r="B887">
        <f>SUMIFS(allorders!O:O,allorders!L:L,'数据处理(仓储使用)'!$A887,allorders!$AG:$AG,"&lt;="&amp;日期!$B$2,allorders!$AG:$AG,"&gt;="&amp;日期!$B$1)</f>
        <v>0</v>
      </c>
      <c r="C887">
        <f>B887/(日期!$B$2-日期!$B$1+1)</f>
        <v>0</v>
      </c>
    </row>
    <row r="888" spans="2:3">
      <c r="B888">
        <f>SUMIFS(allorders!O:O,allorders!L:L,'数据处理(仓储使用)'!$A888,allorders!$AG:$AG,"&lt;="&amp;日期!$B$2,allorders!$AG:$AG,"&gt;="&amp;日期!$B$1)</f>
        <v>0</v>
      </c>
      <c r="C888">
        <f>B888/(日期!$B$2-日期!$B$1+1)</f>
        <v>0</v>
      </c>
    </row>
    <row r="889" spans="2:3">
      <c r="B889">
        <f>SUMIFS(allorders!O:O,allorders!L:L,'数据处理(仓储使用)'!$A889,allorders!$AG:$AG,"&lt;="&amp;日期!$B$2,allorders!$AG:$AG,"&gt;="&amp;日期!$B$1)</f>
        <v>0</v>
      </c>
      <c r="C889">
        <f>B889/(日期!$B$2-日期!$B$1+1)</f>
        <v>0</v>
      </c>
    </row>
    <row r="890" spans="2:3">
      <c r="B890">
        <f>SUMIFS(allorders!O:O,allorders!L:L,'数据处理(仓储使用)'!$A890,allorders!$AG:$AG,"&lt;="&amp;日期!$B$2,allorders!$AG:$AG,"&gt;="&amp;日期!$B$1)</f>
        <v>0</v>
      </c>
      <c r="C890">
        <f>B890/(日期!$B$2-日期!$B$1+1)</f>
        <v>0</v>
      </c>
    </row>
    <row r="891" spans="2:3">
      <c r="B891">
        <f>SUMIFS(allorders!O:O,allorders!L:L,'数据处理(仓储使用)'!$A891,allorders!$AG:$AG,"&lt;="&amp;日期!$B$2,allorders!$AG:$AG,"&gt;="&amp;日期!$B$1)</f>
        <v>0</v>
      </c>
      <c r="C891">
        <f>B891/(日期!$B$2-日期!$B$1+1)</f>
        <v>0</v>
      </c>
    </row>
    <row r="892" spans="2:3">
      <c r="B892">
        <f>SUMIFS(allorders!O:O,allorders!L:L,'数据处理(仓储使用)'!$A892,allorders!$AG:$AG,"&lt;="&amp;日期!$B$2,allorders!$AG:$AG,"&gt;="&amp;日期!$B$1)</f>
        <v>0</v>
      </c>
      <c r="C892">
        <f>B892/(日期!$B$2-日期!$B$1+1)</f>
        <v>0</v>
      </c>
    </row>
    <row r="893" spans="2:3">
      <c r="B893">
        <f>SUMIFS(allorders!O:O,allorders!L:L,'数据处理(仓储使用)'!$A893,allorders!$AG:$AG,"&lt;="&amp;日期!$B$2,allorders!$AG:$AG,"&gt;="&amp;日期!$B$1)</f>
        <v>0</v>
      </c>
      <c r="C893">
        <f>B893/(日期!$B$2-日期!$B$1+1)</f>
        <v>0</v>
      </c>
    </row>
    <row r="894" spans="2:3">
      <c r="B894">
        <f>SUMIFS(allorders!O:O,allorders!L:L,'数据处理(仓储使用)'!$A894,allorders!$AG:$AG,"&lt;="&amp;日期!$B$2,allorders!$AG:$AG,"&gt;="&amp;日期!$B$1)</f>
        <v>0</v>
      </c>
      <c r="C894">
        <f>B894/(日期!$B$2-日期!$B$1+1)</f>
        <v>0</v>
      </c>
    </row>
    <row r="895" spans="2:3">
      <c r="B895">
        <f>SUMIFS(allorders!O:O,allorders!L:L,'数据处理(仓储使用)'!$A895,allorders!$AG:$AG,"&lt;="&amp;日期!$B$2,allorders!$AG:$AG,"&gt;="&amp;日期!$B$1)</f>
        <v>0</v>
      </c>
      <c r="C895">
        <f>B895/(日期!$B$2-日期!$B$1+1)</f>
        <v>0</v>
      </c>
    </row>
    <row r="896" spans="2:3">
      <c r="B896">
        <f>SUMIFS(allorders!O:O,allorders!L:L,'数据处理(仓储使用)'!$A896,allorders!$AG:$AG,"&lt;="&amp;日期!$B$2,allorders!$AG:$AG,"&gt;="&amp;日期!$B$1)</f>
        <v>0</v>
      </c>
      <c r="C896">
        <f>B896/(日期!$B$2-日期!$B$1+1)</f>
        <v>0</v>
      </c>
    </row>
    <row r="897" spans="2:3">
      <c r="B897">
        <f>SUMIFS(allorders!O:O,allorders!L:L,'数据处理(仓储使用)'!$A897,allorders!$AG:$AG,"&lt;="&amp;日期!$B$2,allorders!$AG:$AG,"&gt;="&amp;日期!$B$1)</f>
        <v>0</v>
      </c>
      <c r="C897">
        <f>B897/(日期!$B$2-日期!$B$1+1)</f>
        <v>0</v>
      </c>
    </row>
    <row r="898" spans="2:3">
      <c r="B898">
        <f>SUMIFS(allorders!O:O,allorders!L:L,'数据处理(仓储使用)'!$A898,allorders!$AG:$AG,"&lt;="&amp;日期!$B$2,allorders!$AG:$AG,"&gt;="&amp;日期!$B$1)</f>
        <v>0</v>
      </c>
      <c r="C898">
        <f>B898/(日期!$B$2-日期!$B$1+1)</f>
        <v>0</v>
      </c>
    </row>
    <row r="899" spans="2:3">
      <c r="B899">
        <f>SUMIFS(allorders!O:O,allorders!L:L,'数据处理(仓储使用)'!$A899,allorders!$AG:$AG,"&lt;="&amp;日期!$B$2,allorders!$AG:$AG,"&gt;="&amp;日期!$B$1)</f>
        <v>0</v>
      </c>
      <c r="C899">
        <f>B899/(日期!$B$2-日期!$B$1+1)</f>
        <v>0</v>
      </c>
    </row>
    <row r="900" spans="2:3">
      <c r="B900">
        <f>SUMIFS(allorders!O:O,allorders!L:L,'数据处理(仓储使用)'!$A900,allorders!$AG:$AG,"&lt;="&amp;日期!$B$2,allorders!$AG:$AG,"&gt;="&amp;日期!$B$1)</f>
        <v>0</v>
      </c>
      <c r="C900">
        <f>B900/(日期!$B$2-日期!$B$1+1)</f>
        <v>0</v>
      </c>
    </row>
    <row r="901" spans="2:3">
      <c r="B901">
        <f>SUMIFS(allorders!O:O,allorders!L:L,'数据处理(仓储使用)'!$A901,allorders!$AG:$AG,"&lt;="&amp;日期!$B$2,allorders!$AG:$AG,"&gt;="&amp;日期!$B$1)</f>
        <v>0</v>
      </c>
      <c r="C901">
        <f>B901/(日期!$B$2-日期!$B$1+1)</f>
        <v>0</v>
      </c>
    </row>
    <row r="902" spans="2:3">
      <c r="B902">
        <f>SUMIFS(allorders!O:O,allorders!L:L,'数据处理(仓储使用)'!$A902,allorders!$AG:$AG,"&lt;="&amp;日期!$B$2,allorders!$AG:$AG,"&gt;="&amp;日期!$B$1)</f>
        <v>0</v>
      </c>
      <c r="C902">
        <f>B902/(日期!$B$2-日期!$B$1+1)</f>
        <v>0</v>
      </c>
    </row>
    <row r="903" spans="2:3">
      <c r="B903">
        <f>SUMIFS(allorders!O:O,allorders!L:L,'数据处理(仓储使用)'!$A903,allorders!$AG:$AG,"&lt;="&amp;日期!$B$2,allorders!$AG:$AG,"&gt;="&amp;日期!$B$1)</f>
        <v>0</v>
      </c>
      <c r="C903">
        <f>B903/(日期!$B$2-日期!$B$1+1)</f>
        <v>0</v>
      </c>
    </row>
    <row r="904" spans="2:3">
      <c r="B904">
        <f>SUMIFS(allorders!O:O,allorders!L:L,'数据处理(仓储使用)'!$A904,allorders!$AG:$AG,"&lt;="&amp;日期!$B$2,allorders!$AG:$AG,"&gt;="&amp;日期!$B$1)</f>
        <v>0</v>
      </c>
      <c r="C904">
        <f>B904/(日期!$B$2-日期!$B$1+1)</f>
        <v>0</v>
      </c>
    </row>
    <row r="905" spans="2:3">
      <c r="B905">
        <f>SUMIFS(allorders!O:O,allorders!L:L,'数据处理(仓储使用)'!$A905,allorders!$AG:$AG,"&lt;="&amp;日期!$B$2,allorders!$AG:$AG,"&gt;="&amp;日期!$B$1)</f>
        <v>0</v>
      </c>
      <c r="C905">
        <f>B905/(日期!$B$2-日期!$B$1+1)</f>
        <v>0</v>
      </c>
    </row>
    <row r="906" spans="2:3">
      <c r="B906">
        <f>SUMIFS(allorders!O:O,allorders!L:L,'数据处理(仓储使用)'!$A906,allorders!$AG:$AG,"&lt;="&amp;日期!$B$2,allorders!$AG:$AG,"&gt;="&amp;日期!$B$1)</f>
        <v>0</v>
      </c>
      <c r="C906">
        <f>B906/(日期!$B$2-日期!$B$1+1)</f>
        <v>0</v>
      </c>
    </row>
    <row r="907" spans="2:3">
      <c r="B907">
        <f>SUMIFS(allorders!O:O,allorders!L:L,'数据处理(仓储使用)'!$A907,allorders!$AG:$AG,"&lt;="&amp;日期!$B$2,allorders!$AG:$AG,"&gt;="&amp;日期!$B$1)</f>
        <v>0</v>
      </c>
      <c r="C907">
        <f>B907/(日期!$B$2-日期!$B$1+1)</f>
        <v>0</v>
      </c>
    </row>
    <row r="908" spans="2:3">
      <c r="B908">
        <f>SUMIFS(allorders!O:O,allorders!L:L,'数据处理(仓储使用)'!$A908,allorders!$AG:$AG,"&lt;="&amp;日期!$B$2,allorders!$AG:$AG,"&gt;="&amp;日期!$B$1)</f>
        <v>0</v>
      </c>
      <c r="C908">
        <f>B908/(日期!$B$2-日期!$B$1+1)</f>
        <v>0</v>
      </c>
    </row>
    <row r="909" spans="2:3">
      <c r="B909">
        <f>SUMIFS(allorders!O:O,allorders!L:L,'数据处理(仓储使用)'!$A909,allorders!$AG:$AG,"&lt;="&amp;日期!$B$2,allorders!$AG:$AG,"&gt;="&amp;日期!$B$1)</f>
        <v>0</v>
      </c>
      <c r="C909">
        <f>B909/(日期!$B$2-日期!$B$1+1)</f>
        <v>0</v>
      </c>
    </row>
    <row r="910" spans="2:3">
      <c r="B910">
        <f>SUMIFS(allorders!O:O,allorders!L:L,'数据处理(仓储使用)'!$A910,allorders!$AG:$AG,"&lt;="&amp;日期!$B$2,allorders!$AG:$AG,"&gt;="&amp;日期!$B$1)</f>
        <v>0</v>
      </c>
      <c r="C910">
        <f>B910/(日期!$B$2-日期!$B$1+1)</f>
        <v>0</v>
      </c>
    </row>
    <row r="911" spans="2:3">
      <c r="B911">
        <f>SUMIFS(allorders!O:O,allorders!L:L,'数据处理(仓储使用)'!$A911,allorders!$AG:$AG,"&lt;="&amp;日期!$B$2,allorders!$AG:$AG,"&gt;="&amp;日期!$B$1)</f>
        <v>0</v>
      </c>
      <c r="C911">
        <f>B911/(日期!$B$2-日期!$B$1+1)</f>
        <v>0</v>
      </c>
    </row>
    <row r="912" spans="2:3">
      <c r="B912">
        <f>SUMIFS(allorders!O:O,allorders!L:L,'数据处理(仓储使用)'!$A912,allorders!$AG:$AG,"&lt;="&amp;日期!$B$2,allorders!$AG:$AG,"&gt;="&amp;日期!$B$1)</f>
        <v>0</v>
      </c>
      <c r="C912">
        <f>B912/(日期!$B$2-日期!$B$1+1)</f>
        <v>0</v>
      </c>
    </row>
    <row r="913" spans="2:3">
      <c r="B913">
        <f>SUMIFS(allorders!O:O,allorders!L:L,'数据处理(仓储使用)'!$A913,allorders!$AG:$AG,"&lt;="&amp;日期!$B$2,allorders!$AG:$AG,"&gt;="&amp;日期!$B$1)</f>
        <v>0</v>
      </c>
      <c r="C913">
        <f>B913/(日期!$B$2-日期!$B$1+1)</f>
        <v>0</v>
      </c>
    </row>
    <row r="914" spans="2:3">
      <c r="B914">
        <f>SUMIFS(allorders!O:O,allorders!L:L,'数据处理(仓储使用)'!$A914,allorders!$AG:$AG,"&lt;="&amp;日期!$B$2,allorders!$AG:$AG,"&gt;="&amp;日期!$B$1)</f>
        <v>0</v>
      </c>
      <c r="C914">
        <f>B914/(日期!$B$2-日期!$B$1+1)</f>
        <v>0</v>
      </c>
    </row>
    <row r="915" spans="2:3">
      <c r="B915">
        <f>SUMIFS(allorders!O:O,allorders!L:L,'数据处理(仓储使用)'!$A915,allorders!$AG:$AG,"&lt;="&amp;日期!$B$2,allorders!$AG:$AG,"&gt;="&amp;日期!$B$1)</f>
        <v>0</v>
      </c>
      <c r="C915">
        <f>B915/(日期!$B$2-日期!$B$1+1)</f>
        <v>0</v>
      </c>
    </row>
    <row r="916" spans="2:3">
      <c r="B916">
        <f>SUMIFS(allorders!O:O,allorders!L:L,'数据处理(仓储使用)'!$A916,allorders!$AG:$AG,"&lt;="&amp;日期!$B$2,allorders!$AG:$AG,"&gt;="&amp;日期!$B$1)</f>
        <v>0</v>
      </c>
      <c r="C916">
        <f>B916/(日期!$B$2-日期!$B$1+1)</f>
        <v>0</v>
      </c>
    </row>
    <row r="917" spans="2:3">
      <c r="B917">
        <f>SUMIFS(allorders!O:O,allorders!L:L,'数据处理(仓储使用)'!$A917,allorders!$AG:$AG,"&lt;="&amp;日期!$B$2,allorders!$AG:$AG,"&gt;="&amp;日期!$B$1)</f>
        <v>0</v>
      </c>
      <c r="C917">
        <f>B917/(日期!$B$2-日期!$B$1+1)</f>
        <v>0</v>
      </c>
    </row>
    <row r="918" spans="2:3">
      <c r="B918">
        <f>SUMIFS(allorders!O:O,allorders!L:L,'数据处理(仓储使用)'!$A918,allorders!$AG:$AG,"&lt;="&amp;日期!$B$2,allorders!$AG:$AG,"&gt;="&amp;日期!$B$1)</f>
        <v>0</v>
      </c>
      <c r="C918">
        <f>B918/(日期!$B$2-日期!$B$1+1)</f>
        <v>0</v>
      </c>
    </row>
    <row r="919" spans="2:3">
      <c r="B919">
        <f>SUMIFS(allorders!O:O,allorders!L:L,'数据处理(仓储使用)'!$A919,allorders!$AG:$AG,"&lt;="&amp;日期!$B$2,allorders!$AG:$AG,"&gt;="&amp;日期!$B$1)</f>
        <v>0</v>
      </c>
      <c r="C919">
        <f>B919/(日期!$B$2-日期!$B$1+1)</f>
        <v>0</v>
      </c>
    </row>
    <row r="920" spans="2:3">
      <c r="B920">
        <f>SUMIFS(allorders!O:O,allorders!L:L,'数据处理(仓储使用)'!$A920,allorders!$AG:$AG,"&lt;="&amp;日期!$B$2,allorders!$AG:$AG,"&gt;="&amp;日期!$B$1)</f>
        <v>0</v>
      </c>
      <c r="C920">
        <f>B920/(日期!$B$2-日期!$B$1+1)</f>
        <v>0</v>
      </c>
    </row>
    <row r="921" spans="2:3">
      <c r="B921">
        <f>SUMIFS(allorders!O:O,allorders!L:L,'数据处理(仓储使用)'!$A921,allorders!$AG:$AG,"&lt;="&amp;日期!$B$2,allorders!$AG:$AG,"&gt;="&amp;日期!$B$1)</f>
        <v>0</v>
      </c>
      <c r="C921">
        <f>B921/(日期!$B$2-日期!$B$1+1)</f>
        <v>0</v>
      </c>
    </row>
    <row r="922" spans="2:3">
      <c r="B922">
        <f>SUMIFS(allorders!O:O,allorders!L:L,'数据处理(仓储使用)'!$A922,allorders!$AG:$AG,"&lt;="&amp;日期!$B$2,allorders!$AG:$AG,"&gt;="&amp;日期!$B$1)</f>
        <v>0</v>
      </c>
      <c r="C922">
        <f>B922/(日期!$B$2-日期!$B$1+1)</f>
        <v>0</v>
      </c>
    </row>
    <row r="923" spans="2:3">
      <c r="B923">
        <f>SUMIFS(allorders!O:O,allorders!L:L,'数据处理(仓储使用)'!$A923,allorders!$AG:$AG,"&lt;="&amp;日期!$B$2,allorders!$AG:$AG,"&gt;="&amp;日期!$B$1)</f>
        <v>0</v>
      </c>
      <c r="C923">
        <f>B923/(日期!$B$2-日期!$B$1+1)</f>
        <v>0</v>
      </c>
    </row>
    <row r="924" spans="2:3">
      <c r="B924">
        <f>SUMIFS(allorders!O:O,allorders!L:L,'数据处理(仓储使用)'!$A924,allorders!$AG:$AG,"&lt;="&amp;日期!$B$2,allorders!$AG:$AG,"&gt;="&amp;日期!$B$1)</f>
        <v>0</v>
      </c>
      <c r="C924">
        <f>B924/(日期!$B$2-日期!$B$1+1)</f>
        <v>0</v>
      </c>
    </row>
    <row r="925" spans="2:3">
      <c r="B925">
        <f>SUMIFS(allorders!O:O,allorders!L:L,'数据处理(仓储使用)'!$A925,allorders!$AG:$AG,"&lt;="&amp;日期!$B$2,allorders!$AG:$AG,"&gt;="&amp;日期!$B$1)</f>
        <v>0</v>
      </c>
      <c r="C925">
        <f>B925/(日期!$B$2-日期!$B$1+1)</f>
        <v>0</v>
      </c>
    </row>
    <row r="926" spans="2:3">
      <c r="B926">
        <f>SUMIFS(allorders!O:O,allorders!L:L,'数据处理(仓储使用)'!$A926,allorders!$AG:$AG,"&lt;="&amp;日期!$B$2,allorders!$AG:$AG,"&gt;="&amp;日期!$B$1)</f>
        <v>0</v>
      </c>
      <c r="C926">
        <f>B926/(日期!$B$2-日期!$B$1+1)</f>
        <v>0</v>
      </c>
    </row>
    <row r="927" spans="2:3">
      <c r="B927">
        <f>SUMIFS(allorders!O:O,allorders!L:L,'数据处理(仓储使用)'!$A927,allorders!$AG:$AG,"&lt;="&amp;日期!$B$2,allorders!$AG:$AG,"&gt;="&amp;日期!$B$1)</f>
        <v>0</v>
      </c>
      <c r="C927">
        <f>B927/(日期!$B$2-日期!$B$1+1)</f>
        <v>0</v>
      </c>
    </row>
    <row r="928" spans="2:3">
      <c r="B928">
        <f>SUMIFS(allorders!O:O,allorders!L:L,'数据处理(仓储使用)'!$A928,allorders!$AG:$AG,"&lt;="&amp;日期!$B$2,allorders!$AG:$AG,"&gt;="&amp;日期!$B$1)</f>
        <v>0</v>
      </c>
      <c r="C928">
        <f>B928/(日期!$B$2-日期!$B$1+1)</f>
        <v>0</v>
      </c>
    </row>
    <row r="929" spans="2:3">
      <c r="B929">
        <f>SUMIFS(allorders!O:O,allorders!L:L,'数据处理(仓储使用)'!$A929,allorders!$AG:$AG,"&lt;="&amp;日期!$B$2,allorders!$AG:$AG,"&gt;="&amp;日期!$B$1)</f>
        <v>0</v>
      </c>
      <c r="C929">
        <f>B929/(日期!$B$2-日期!$B$1+1)</f>
        <v>0</v>
      </c>
    </row>
    <row r="930" spans="2:3">
      <c r="B930">
        <f>SUMIFS(allorders!O:O,allorders!L:L,'数据处理(仓储使用)'!$A930,allorders!$AG:$AG,"&lt;="&amp;日期!$B$2,allorders!$AG:$AG,"&gt;="&amp;日期!$B$1)</f>
        <v>0</v>
      </c>
      <c r="C930">
        <f>B930/(日期!$B$2-日期!$B$1+1)</f>
        <v>0</v>
      </c>
    </row>
    <row r="931" spans="2:3">
      <c r="B931">
        <f>SUMIFS(allorders!O:O,allorders!L:L,'数据处理(仓储使用)'!$A931,allorders!$AG:$AG,"&lt;="&amp;日期!$B$2,allorders!$AG:$AG,"&gt;="&amp;日期!$B$1)</f>
        <v>0</v>
      </c>
      <c r="C931">
        <f>B931/(日期!$B$2-日期!$B$1+1)</f>
        <v>0</v>
      </c>
    </row>
    <row r="932" spans="2:3">
      <c r="B932">
        <f>SUMIFS(allorders!O:O,allorders!L:L,'数据处理(仓储使用)'!$A932,allorders!$AG:$AG,"&lt;="&amp;日期!$B$2,allorders!$AG:$AG,"&gt;="&amp;日期!$B$1)</f>
        <v>0</v>
      </c>
      <c r="C932">
        <f>B932/(日期!$B$2-日期!$B$1+1)</f>
        <v>0</v>
      </c>
    </row>
    <row r="933" spans="2:3">
      <c r="B933">
        <f>SUMIFS(allorders!O:O,allorders!L:L,'数据处理(仓储使用)'!$A933,allorders!$AG:$AG,"&lt;="&amp;日期!$B$2,allorders!$AG:$AG,"&gt;="&amp;日期!$B$1)</f>
        <v>0</v>
      </c>
      <c r="C933">
        <f>B933/(日期!$B$2-日期!$B$1+1)</f>
        <v>0</v>
      </c>
    </row>
    <row r="934" spans="2:3">
      <c r="B934">
        <f>SUMIFS(allorders!O:O,allorders!L:L,'数据处理(仓储使用)'!$A934,allorders!$AG:$AG,"&lt;="&amp;日期!$B$2,allorders!$AG:$AG,"&gt;="&amp;日期!$B$1)</f>
        <v>0</v>
      </c>
      <c r="C934">
        <f>B934/(日期!$B$2-日期!$B$1+1)</f>
        <v>0</v>
      </c>
    </row>
    <row r="935" spans="2:3">
      <c r="B935">
        <f>SUMIFS(allorders!O:O,allorders!L:L,'数据处理(仓储使用)'!$A935,allorders!$AG:$AG,"&lt;="&amp;日期!$B$2,allorders!$AG:$AG,"&gt;="&amp;日期!$B$1)</f>
        <v>0</v>
      </c>
      <c r="C935">
        <f>B935/(日期!$B$2-日期!$B$1+1)</f>
        <v>0</v>
      </c>
    </row>
    <row r="936" spans="2:3">
      <c r="B936">
        <f>SUMIFS(allorders!O:O,allorders!L:L,'数据处理(仓储使用)'!$A936,allorders!$AG:$AG,"&lt;="&amp;日期!$B$2,allorders!$AG:$AG,"&gt;="&amp;日期!$B$1)</f>
        <v>0</v>
      </c>
      <c r="C936">
        <f>B936/(日期!$B$2-日期!$B$1+1)</f>
        <v>0</v>
      </c>
    </row>
    <row r="937" spans="2:3">
      <c r="B937">
        <f>SUMIFS(allorders!O:O,allorders!L:L,'数据处理(仓储使用)'!$A937,allorders!$AG:$AG,"&lt;="&amp;日期!$B$2,allorders!$AG:$AG,"&gt;="&amp;日期!$B$1)</f>
        <v>0</v>
      </c>
      <c r="C937">
        <f>B937/(日期!$B$2-日期!$B$1+1)</f>
        <v>0</v>
      </c>
    </row>
    <row r="938" spans="2:3">
      <c r="B938">
        <f>SUMIFS(allorders!O:O,allorders!L:L,'数据处理(仓储使用)'!$A938,allorders!$AG:$AG,"&lt;="&amp;日期!$B$2,allorders!$AG:$AG,"&gt;="&amp;日期!$B$1)</f>
        <v>0</v>
      </c>
      <c r="C938">
        <f>B938/(日期!$B$2-日期!$B$1+1)</f>
        <v>0</v>
      </c>
    </row>
    <row r="939" spans="2:3">
      <c r="B939">
        <f>SUMIFS(allorders!O:O,allorders!L:L,'数据处理(仓储使用)'!$A939,allorders!$AG:$AG,"&lt;="&amp;日期!$B$2,allorders!$AG:$AG,"&gt;="&amp;日期!$B$1)</f>
        <v>0</v>
      </c>
      <c r="C939">
        <f>B939/(日期!$B$2-日期!$B$1+1)</f>
        <v>0</v>
      </c>
    </row>
    <row r="940" spans="2:3">
      <c r="B940">
        <f>SUMIFS(allorders!O:O,allorders!L:L,'数据处理(仓储使用)'!$A940,allorders!$AG:$AG,"&lt;="&amp;日期!$B$2,allorders!$AG:$AG,"&gt;="&amp;日期!$B$1)</f>
        <v>0</v>
      </c>
      <c r="C940">
        <f>B940/(日期!$B$2-日期!$B$1+1)</f>
        <v>0</v>
      </c>
    </row>
    <row r="941" spans="2:3">
      <c r="B941">
        <f>SUMIFS(allorders!O:O,allorders!L:L,'数据处理(仓储使用)'!$A941,allorders!$AG:$AG,"&lt;="&amp;日期!$B$2,allorders!$AG:$AG,"&gt;="&amp;日期!$B$1)</f>
        <v>0</v>
      </c>
      <c r="C941">
        <f>B941/(日期!$B$2-日期!$B$1+1)</f>
        <v>0</v>
      </c>
    </row>
    <row r="942" spans="2:3">
      <c r="B942">
        <f>SUMIFS(allorders!O:O,allorders!L:L,'数据处理(仓储使用)'!$A942,allorders!$AG:$AG,"&lt;="&amp;日期!$B$2,allorders!$AG:$AG,"&gt;="&amp;日期!$B$1)</f>
        <v>0</v>
      </c>
      <c r="C942">
        <f>B942/(日期!$B$2-日期!$B$1+1)</f>
        <v>0</v>
      </c>
    </row>
    <row r="943" spans="2:3">
      <c r="B943">
        <f>SUMIFS(allorders!O:O,allorders!L:L,'数据处理(仓储使用)'!$A943,allorders!$AG:$AG,"&lt;="&amp;日期!$B$2,allorders!$AG:$AG,"&gt;="&amp;日期!$B$1)</f>
        <v>0</v>
      </c>
      <c r="C943">
        <f>B943/(日期!$B$2-日期!$B$1+1)</f>
        <v>0</v>
      </c>
    </row>
    <row r="944" spans="2:3">
      <c r="B944">
        <f>SUMIFS(allorders!O:O,allorders!L:L,'数据处理(仓储使用)'!$A944,allorders!$AG:$AG,"&lt;="&amp;日期!$B$2,allorders!$AG:$AG,"&gt;="&amp;日期!$B$1)</f>
        <v>0</v>
      </c>
      <c r="C944">
        <f>B944/(日期!$B$2-日期!$B$1+1)</f>
        <v>0</v>
      </c>
    </row>
    <row r="945" spans="2:3">
      <c r="B945">
        <f>SUMIFS(allorders!O:O,allorders!L:L,'数据处理(仓储使用)'!$A945,allorders!$AG:$AG,"&lt;="&amp;日期!$B$2,allorders!$AG:$AG,"&gt;="&amp;日期!$B$1)</f>
        <v>0</v>
      </c>
      <c r="C945">
        <f>B945/(日期!$B$2-日期!$B$1+1)</f>
        <v>0</v>
      </c>
    </row>
    <row r="946" spans="2:3">
      <c r="B946">
        <f>SUMIFS(allorders!O:O,allorders!L:L,'数据处理(仓储使用)'!$A946,allorders!$AG:$AG,"&lt;="&amp;日期!$B$2,allorders!$AG:$AG,"&gt;="&amp;日期!$B$1)</f>
        <v>0</v>
      </c>
      <c r="C946">
        <f>B946/(日期!$B$2-日期!$B$1+1)</f>
        <v>0</v>
      </c>
    </row>
    <row r="947" spans="2:3">
      <c r="B947">
        <f>SUMIFS(allorders!O:O,allorders!L:L,'数据处理(仓储使用)'!$A947,allorders!$AG:$AG,"&lt;="&amp;日期!$B$2,allorders!$AG:$AG,"&gt;="&amp;日期!$B$1)</f>
        <v>0</v>
      </c>
      <c r="C947">
        <f>B947/(日期!$B$2-日期!$B$1+1)</f>
        <v>0</v>
      </c>
    </row>
    <row r="948" spans="2:3">
      <c r="B948">
        <f>SUMIFS(allorders!O:O,allorders!L:L,'数据处理(仓储使用)'!$A948,allorders!$AG:$AG,"&lt;="&amp;日期!$B$2,allorders!$AG:$AG,"&gt;="&amp;日期!$B$1)</f>
        <v>0</v>
      </c>
      <c r="C948">
        <f>B948/(日期!$B$2-日期!$B$1+1)</f>
        <v>0</v>
      </c>
    </row>
    <row r="949" spans="2:3">
      <c r="B949">
        <f>SUMIFS(allorders!O:O,allorders!L:L,'数据处理(仓储使用)'!$A949,allorders!$AG:$AG,"&lt;="&amp;日期!$B$2,allorders!$AG:$AG,"&gt;="&amp;日期!$B$1)</f>
        <v>0</v>
      </c>
      <c r="C949">
        <f>B949/(日期!$B$2-日期!$B$1+1)</f>
        <v>0</v>
      </c>
    </row>
    <row r="950" spans="2:3">
      <c r="B950">
        <f>SUMIFS(allorders!O:O,allorders!L:L,'数据处理(仓储使用)'!$A950,allorders!$AG:$AG,"&lt;="&amp;日期!$B$2,allorders!$AG:$AG,"&gt;="&amp;日期!$B$1)</f>
        <v>0</v>
      </c>
      <c r="C950">
        <f>B950/(日期!$B$2-日期!$B$1+1)</f>
        <v>0</v>
      </c>
    </row>
    <row r="951" spans="2:3">
      <c r="B951">
        <f>SUMIFS(allorders!O:O,allorders!L:L,'数据处理(仓储使用)'!$A951,allorders!$AG:$AG,"&lt;="&amp;日期!$B$2,allorders!$AG:$AG,"&gt;="&amp;日期!$B$1)</f>
        <v>0</v>
      </c>
      <c r="C951">
        <f>B951/(日期!$B$2-日期!$B$1+1)</f>
        <v>0</v>
      </c>
    </row>
    <row r="952" spans="2:3">
      <c r="B952">
        <f>SUMIFS(allorders!O:O,allorders!L:L,'数据处理(仓储使用)'!$A952,allorders!$AG:$AG,"&lt;="&amp;日期!$B$2,allorders!$AG:$AG,"&gt;="&amp;日期!$B$1)</f>
        <v>0</v>
      </c>
      <c r="C952">
        <f>B952/(日期!$B$2-日期!$B$1+1)</f>
        <v>0</v>
      </c>
    </row>
    <row r="953" spans="2:3">
      <c r="B953">
        <f>SUMIFS(allorders!O:O,allorders!L:L,'数据处理(仓储使用)'!$A953,allorders!$AG:$AG,"&lt;="&amp;日期!$B$2,allorders!$AG:$AG,"&gt;="&amp;日期!$B$1)</f>
        <v>0</v>
      </c>
      <c r="C953">
        <f>B953/(日期!$B$2-日期!$B$1+1)</f>
        <v>0</v>
      </c>
    </row>
    <row r="954" spans="2:3">
      <c r="B954">
        <f>SUMIFS(allorders!O:O,allorders!L:L,'数据处理(仓储使用)'!$A954,allorders!$AG:$AG,"&lt;="&amp;日期!$B$2,allorders!$AG:$AG,"&gt;="&amp;日期!$B$1)</f>
        <v>0</v>
      </c>
      <c r="C954">
        <f>B954/(日期!$B$2-日期!$B$1+1)</f>
        <v>0</v>
      </c>
    </row>
    <row r="955" spans="2:3">
      <c r="B955">
        <f>SUMIFS(allorders!O:O,allorders!L:L,'数据处理(仓储使用)'!$A955,allorders!$AG:$AG,"&lt;="&amp;日期!$B$2,allorders!$AG:$AG,"&gt;="&amp;日期!$B$1)</f>
        <v>0</v>
      </c>
      <c r="C955">
        <f>B955/(日期!$B$2-日期!$B$1+1)</f>
        <v>0</v>
      </c>
    </row>
    <row r="956" spans="2:3">
      <c r="B956">
        <f>SUMIFS(allorders!O:O,allorders!L:L,'数据处理(仓储使用)'!$A956,allorders!$AG:$AG,"&lt;="&amp;日期!$B$2,allorders!$AG:$AG,"&gt;="&amp;日期!$B$1)</f>
        <v>0</v>
      </c>
      <c r="C956">
        <f>B956/(日期!$B$2-日期!$B$1+1)</f>
        <v>0</v>
      </c>
    </row>
    <row r="957" spans="2:3">
      <c r="B957">
        <f>SUMIFS(allorders!O:O,allorders!L:L,'数据处理(仓储使用)'!$A957,allorders!$AG:$AG,"&lt;="&amp;日期!$B$2,allorders!$AG:$AG,"&gt;="&amp;日期!$B$1)</f>
        <v>0</v>
      </c>
      <c r="C957">
        <f>B957/(日期!$B$2-日期!$B$1+1)</f>
        <v>0</v>
      </c>
    </row>
    <row r="958" spans="2:3">
      <c r="B958">
        <f>SUMIFS(allorders!O:O,allorders!L:L,'数据处理(仓储使用)'!$A958,allorders!$AG:$AG,"&lt;="&amp;日期!$B$2,allorders!$AG:$AG,"&gt;="&amp;日期!$B$1)</f>
        <v>0</v>
      </c>
      <c r="C958">
        <f>B958/(日期!$B$2-日期!$B$1+1)</f>
        <v>0</v>
      </c>
    </row>
    <row r="959" spans="2:3">
      <c r="B959">
        <f>SUMIFS(allorders!O:O,allorders!L:L,'数据处理(仓储使用)'!$A959,allorders!$AG:$AG,"&lt;="&amp;日期!$B$2,allorders!$AG:$AG,"&gt;="&amp;日期!$B$1)</f>
        <v>0</v>
      </c>
      <c r="C959">
        <f>B959/(日期!$B$2-日期!$B$1+1)</f>
        <v>0</v>
      </c>
    </row>
    <row r="960" spans="2:3">
      <c r="B960">
        <f>SUMIFS(allorders!O:O,allorders!L:L,'数据处理(仓储使用)'!$A960,allorders!$AG:$AG,"&lt;="&amp;日期!$B$2,allorders!$AG:$AG,"&gt;="&amp;日期!$B$1)</f>
        <v>0</v>
      </c>
      <c r="C960">
        <f>B960/(日期!$B$2-日期!$B$1+1)</f>
        <v>0</v>
      </c>
    </row>
    <row r="961" spans="2:3">
      <c r="B961">
        <f>SUMIFS(allorders!O:O,allorders!L:L,'数据处理(仓储使用)'!$A961,allorders!$AG:$AG,"&lt;="&amp;日期!$B$2,allorders!$AG:$AG,"&gt;="&amp;日期!$B$1)</f>
        <v>0</v>
      </c>
      <c r="C961">
        <f>B961/(日期!$B$2-日期!$B$1+1)</f>
        <v>0</v>
      </c>
    </row>
    <row r="962" spans="2:3">
      <c r="B962">
        <f>SUMIFS(allorders!O:O,allorders!L:L,'数据处理(仓储使用)'!$A962,allorders!$AG:$AG,"&lt;="&amp;日期!$B$2,allorders!$AG:$AG,"&gt;="&amp;日期!$B$1)</f>
        <v>0</v>
      </c>
      <c r="C962">
        <f>B962/(日期!$B$2-日期!$B$1+1)</f>
        <v>0</v>
      </c>
    </row>
    <row r="963" spans="2:3">
      <c r="B963">
        <f>SUMIFS(allorders!O:O,allorders!L:L,'数据处理(仓储使用)'!$A963,allorders!$AG:$AG,"&lt;="&amp;日期!$B$2,allorders!$AG:$AG,"&gt;="&amp;日期!$B$1)</f>
        <v>0</v>
      </c>
      <c r="C963">
        <f>B963/(日期!$B$2-日期!$B$1+1)</f>
        <v>0</v>
      </c>
    </row>
    <row r="964" spans="2:3">
      <c r="B964">
        <f>SUMIFS(allorders!O:O,allorders!L:L,'数据处理(仓储使用)'!$A964,allorders!$AG:$AG,"&lt;="&amp;日期!$B$2,allorders!$AG:$AG,"&gt;="&amp;日期!$B$1)</f>
        <v>0</v>
      </c>
      <c r="C964">
        <f>B964/(日期!$B$2-日期!$B$1+1)</f>
        <v>0</v>
      </c>
    </row>
    <row r="965" spans="2:3">
      <c r="B965">
        <f>SUMIFS(allorders!O:O,allorders!L:L,'数据处理(仓储使用)'!$A965,allorders!$AG:$AG,"&lt;="&amp;日期!$B$2,allorders!$AG:$AG,"&gt;="&amp;日期!$B$1)</f>
        <v>0</v>
      </c>
      <c r="C965">
        <f>B965/(日期!$B$2-日期!$B$1+1)</f>
        <v>0</v>
      </c>
    </row>
    <row r="966" spans="2:3">
      <c r="B966">
        <f>SUMIFS(allorders!O:O,allorders!L:L,'数据处理(仓储使用)'!$A966,allorders!$AG:$AG,"&lt;="&amp;日期!$B$2,allorders!$AG:$AG,"&gt;="&amp;日期!$B$1)</f>
        <v>0</v>
      </c>
      <c r="C966">
        <f>B966/(日期!$B$2-日期!$B$1+1)</f>
        <v>0</v>
      </c>
    </row>
    <row r="967" spans="2:3">
      <c r="B967">
        <f>SUMIFS(allorders!O:O,allorders!L:L,'数据处理(仓储使用)'!$A967,allorders!$AG:$AG,"&lt;="&amp;日期!$B$2,allorders!$AG:$AG,"&gt;="&amp;日期!$B$1)</f>
        <v>0</v>
      </c>
      <c r="C967">
        <f>B967/(日期!$B$2-日期!$B$1+1)</f>
        <v>0</v>
      </c>
    </row>
    <row r="968" spans="2:3">
      <c r="B968">
        <f>SUMIFS(allorders!O:O,allorders!L:L,'数据处理(仓储使用)'!$A968,allorders!$AG:$AG,"&lt;="&amp;日期!$B$2,allorders!$AG:$AG,"&gt;="&amp;日期!$B$1)</f>
        <v>0</v>
      </c>
      <c r="C968">
        <f>B968/(日期!$B$2-日期!$B$1+1)</f>
        <v>0</v>
      </c>
    </row>
    <row r="969" spans="2:3">
      <c r="B969">
        <f>SUMIFS(allorders!O:O,allorders!L:L,'数据处理(仓储使用)'!$A969,allorders!$AG:$AG,"&lt;="&amp;日期!$B$2,allorders!$AG:$AG,"&gt;="&amp;日期!$B$1)</f>
        <v>0</v>
      </c>
      <c r="C969">
        <f>B969/(日期!$B$2-日期!$B$1+1)</f>
        <v>0</v>
      </c>
    </row>
    <row r="970" spans="2:3">
      <c r="B970">
        <f>SUMIFS(allorders!O:O,allorders!L:L,'数据处理(仓储使用)'!$A970,allorders!$AG:$AG,"&lt;="&amp;日期!$B$2,allorders!$AG:$AG,"&gt;="&amp;日期!$B$1)</f>
        <v>0</v>
      </c>
      <c r="C970">
        <f>B970/(日期!$B$2-日期!$B$1+1)</f>
        <v>0</v>
      </c>
    </row>
    <row r="971" spans="2:3">
      <c r="B971">
        <f>SUMIFS(allorders!O:O,allorders!L:L,'数据处理(仓储使用)'!$A971,allorders!$AG:$AG,"&lt;="&amp;日期!$B$2,allorders!$AG:$AG,"&gt;="&amp;日期!$B$1)</f>
        <v>0</v>
      </c>
      <c r="C971">
        <f>B971/(日期!$B$2-日期!$B$1+1)</f>
        <v>0</v>
      </c>
    </row>
    <row r="972" spans="2:3">
      <c r="B972">
        <f>SUMIFS(allorders!O:O,allorders!L:L,'数据处理(仓储使用)'!$A972,allorders!$AG:$AG,"&lt;="&amp;日期!$B$2,allorders!$AG:$AG,"&gt;="&amp;日期!$B$1)</f>
        <v>0</v>
      </c>
      <c r="C972">
        <f>B972/(日期!$B$2-日期!$B$1+1)</f>
        <v>0</v>
      </c>
    </row>
    <row r="973" spans="2:3">
      <c r="B973">
        <f>SUMIFS(allorders!O:O,allorders!L:L,'数据处理(仓储使用)'!$A973,allorders!$AG:$AG,"&lt;="&amp;日期!$B$2,allorders!$AG:$AG,"&gt;="&amp;日期!$B$1)</f>
        <v>0</v>
      </c>
      <c r="C973">
        <f>B973/(日期!$B$2-日期!$B$1+1)</f>
        <v>0</v>
      </c>
    </row>
    <row r="974" spans="2:3">
      <c r="B974">
        <f>SUMIFS(allorders!O:O,allorders!L:L,'数据处理(仓储使用)'!$A974,allorders!$AG:$AG,"&lt;="&amp;日期!$B$2,allorders!$AG:$AG,"&gt;="&amp;日期!$B$1)</f>
        <v>0</v>
      </c>
      <c r="C974">
        <f>B974/(日期!$B$2-日期!$B$1+1)</f>
        <v>0</v>
      </c>
    </row>
    <row r="975" spans="2:3">
      <c r="B975">
        <f>SUMIFS(allorders!O:O,allorders!L:L,'数据处理(仓储使用)'!$A975,allorders!$AG:$AG,"&lt;="&amp;日期!$B$2,allorders!$AG:$AG,"&gt;="&amp;日期!$B$1)</f>
        <v>0</v>
      </c>
      <c r="C975">
        <f>B975/(日期!$B$2-日期!$B$1+1)</f>
        <v>0</v>
      </c>
    </row>
    <row r="976" spans="2:3">
      <c r="B976">
        <f>SUMIFS(allorders!O:O,allorders!L:L,'数据处理(仓储使用)'!$A976,allorders!$AG:$AG,"&lt;="&amp;日期!$B$2,allorders!$AG:$AG,"&gt;="&amp;日期!$B$1)</f>
        <v>0</v>
      </c>
      <c r="C976">
        <f>B976/(日期!$B$2-日期!$B$1+1)</f>
        <v>0</v>
      </c>
    </row>
    <row r="977" spans="2:3">
      <c r="B977">
        <f>SUMIFS(allorders!O:O,allorders!L:L,'数据处理(仓储使用)'!$A977,allorders!$AG:$AG,"&lt;="&amp;日期!$B$2,allorders!$AG:$AG,"&gt;="&amp;日期!$B$1)</f>
        <v>0</v>
      </c>
      <c r="C977">
        <f>B977/(日期!$B$2-日期!$B$1+1)</f>
        <v>0</v>
      </c>
    </row>
    <row r="978" spans="2:3">
      <c r="B978">
        <f>SUMIFS(allorders!O:O,allorders!L:L,'数据处理(仓储使用)'!$A978,allorders!$AG:$AG,"&lt;="&amp;日期!$B$2,allorders!$AG:$AG,"&gt;="&amp;日期!$B$1)</f>
        <v>0</v>
      </c>
      <c r="C978">
        <f>B978/(日期!$B$2-日期!$B$1+1)</f>
        <v>0</v>
      </c>
    </row>
    <row r="979" spans="2:3">
      <c r="B979">
        <f>SUMIFS(allorders!O:O,allorders!L:L,'数据处理(仓储使用)'!$A979,allorders!$AG:$AG,"&lt;="&amp;日期!$B$2,allorders!$AG:$AG,"&gt;="&amp;日期!$B$1)</f>
        <v>0</v>
      </c>
      <c r="C979">
        <f>B979/(日期!$B$2-日期!$B$1+1)</f>
        <v>0</v>
      </c>
    </row>
    <row r="980" spans="2:3">
      <c r="B980">
        <f>SUMIFS(allorders!O:O,allorders!L:L,'数据处理(仓储使用)'!$A980,allorders!$AG:$AG,"&lt;="&amp;日期!$B$2,allorders!$AG:$AG,"&gt;="&amp;日期!$B$1)</f>
        <v>0</v>
      </c>
      <c r="C980">
        <f>B980/(日期!$B$2-日期!$B$1+1)</f>
        <v>0</v>
      </c>
    </row>
    <row r="981" spans="2:3">
      <c r="B981">
        <f>SUMIFS(allorders!O:O,allorders!L:L,'数据处理(仓储使用)'!$A981,allorders!$AG:$AG,"&lt;="&amp;日期!$B$2,allorders!$AG:$AG,"&gt;="&amp;日期!$B$1)</f>
        <v>0</v>
      </c>
      <c r="C981">
        <f>B981/(日期!$B$2-日期!$B$1+1)</f>
        <v>0</v>
      </c>
    </row>
    <row r="982" spans="2:3">
      <c r="B982">
        <f>SUMIFS(allorders!O:O,allorders!L:L,'数据处理(仓储使用)'!$A982,allorders!$AG:$AG,"&lt;="&amp;日期!$B$2,allorders!$AG:$AG,"&gt;="&amp;日期!$B$1)</f>
        <v>0</v>
      </c>
      <c r="C982">
        <f>B982/(日期!$B$2-日期!$B$1+1)</f>
        <v>0</v>
      </c>
    </row>
    <row r="983" spans="2:3">
      <c r="B983">
        <f>SUMIFS(allorders!O:O,allorders!L:L,'数据处理(仓储使用)'!$A983,allorders!$AG:$AG,"&lt;="&amp;日期!$B$2,allorders!$AG:$AG,"&gt;="&amp;日期!$B$1)</f>
        <v>0</v>
      </c>
      <c r="C983">
        <f>B983/(日期!$B$2-日期!$B$1+1)</f>
        <v>0</v>
      </c>
    </row>
    <row r="984" spans="2:3">
      <c r="B984">
        <f>SUMIFS(allorders!O:O,allorders!L:L,'数据处理(仓储使用)'!$A984,allorders!$AG:$AG,"&lt;="&amp;日期!$B$2,allorders!$AG:$AG,"&gt;="&amp;日期!$B$1)</f>
        <v>0</v>
      </c>
      <c r="C984">
        <f>B984/(日期!$B$2-日期!$B$1+1)</f>
        <v>0</v>
      </c>
    </row>
    <row r="985" spans="2:3">
      <c r="B985">
        <f>SUMIFS(allorders!O:O,allorders!L:L,'数据处理(仓储使用)'!$A985,allorders!$AG:$AG,"&lt;="&amp;日期!$B$2,allorders!$AG:$AG,"&gt;="&amp;日期!$B$1)</f>
        <v>0</v>
      </c>
      <c r="C985">
        <f>B985/(日期!$B$2-日期!$B$1+1)</f>
        <v>0</v>
      </c>
    </row>
    <row r="986" spans="2:3">
      <c r="B986">
        <f>SUMIFS(allorders!O:O,allorders!L:L,'数据处理(仓储使用)'!$A986,allorders!$AG:$AG,"&lt;="&amp;日期!$B$2,allorders!$AG:$AG,"&gt;="&amp;日期!$B$1)</f>
        <v>0</v>
      </c>
      <c r="C986">
        <f>B986/(日期!$B$2-日期!$B$1+1)</f>
        <v>0</v>
      </c>
    </row>
    <row r="987" spans="2:3">
      <c r="B987">
        <f>SUMIFS(allorders!O:O,allorders!L:L,'数据处理(仓储使用)'!$A987,allorders!$AG:$AG,"&lt;="&amp;日期!$B$2,allorders!$AG:$AG,"&gt;="&amp;日期!$B$1)</f>
        <v>0</v>
      </c>
      <c r="C987">
        <f>B987/(日期!$B$2-日期!$B$1+1)</f>
        <v>0</v>
      </c>
    </row>
    <row r="988" spans="2:3">
      <c r="B988">
        <f>SUMIFS(allorders!O:O,allorders!L:L,'数据处理(仓储使用)'!$A988,allorders!$AG:$AG,"&lt;="&amp;日期!$B$2,allorders!$AG:$AG,"&gt;="&amp;日期!$B$1)</f>
        <v>0</v>
      </c>
      <c r="C988">
        <f>B988/(日期!$B$2-日期!$B$1+1)</f>
        <v>0</v>
      </c>
    </row>
    <row r="989" spans="2:3">
      <c r="B989">
        <f>SUMIFS(allorders!O:O,allorders!L:L,'数据处理(仓储使用)'!$A989,allorders!$AG:$AG,"&lt;="&amp;日期!$B$2,allorders!$AG:$AG,"&gt;="&amp;日期!$B$1)</f>
        <v>0</v>
      </c>
      <c r="C989">
        <f>B989/(日期!$B$2-日期!$B$1+1)</f>
        <v>0</v>
      </c>
    </row>
    <row r="990" spans="2:3">
      <c r="B990">
        <f>SUMIFS(allorders!O:O,allorders!L:L,'数据处理(仓储使用)'!$A990,allorders!$AG:$AG,"&lt;="&amp;日期!$B$2,allorders!$AG:$AG,"&gt;="&amp;日期!$B$1)</f>
        <v>0</v>
      </c>
      <c r="C990">
        <f>B990/(日期!$B$2-日期!$B$1+1)</f>
        <v>0</v>
      </c>
    </row>
    <row r="991" spans="2:3">
      <c r="B991">
        <f>SUMIFS(allorders!O:O,allorders!L:L,'数据处理(仓储使用)'!$A991,allorders!$AG:$AG,"&lt;="&amp;日期!$B$2,allorders!$AG:$AG,"&gt;="&amp;日期!$B$1)</f>
        <v>0</v>
      </c>
      <c r="C991">
        <f>B991/(日期!$B$2-日期!$B$1+1)</f>
        <v>0</v>
      </c>
    </row>
    <row r="992" spans="2:3">
      <c r="B992">
        <f>SUMIFS(allorders!O:O,allorders!L:L,'数据处理(仓储使用)'!$A992,allorders!$AG:$AG,"&lt;="&amp;日期!$B$2,allorders!$AG:$AG,"&gt;="&amp;日期!$B$1)</f>
        <v>0</v>
      </c>
      <c r="C992">
        <f>B992/(日期!$B$2-日期!$B$1+1)</f>
        <v>0</v>
      </c>
    </row>
    <row r="993" spans="2:3">
      <c r="B993">
        <f>SUMIFS(allorders!O:O,allorders!L:L,'数据处理(仓储使用)'!$A993,allorders!$AG:$AG,"&lt;="&amp;日期!$B$2,allorders!$AG:$AG,"&gt;="&amp;日期!$B$1)</f>
        <v>0</v>
      </c>
      <c r="C993">
        <f>B993/(日期!$B$2-日期!$B$1+1)</f>
        <v>0</v>
      </c>
    </row>
    <row r="994" spans="2:3">
      <c r="B994">
        <f>SUMIFS(allorders!O:O,allorders!L:L,'数据处理(仓储使用)'!$A994,allorders!$AG:$AG,"&lt;="&amp;日期!$B$2,allorders!$AG:$AG,"&gt;="&amp;日期!$B$1)</f>
        <v>0</v>
      </c>
      <c r="C994">
        <f>B994/(日期!$B$2-日期!$B$1+1)</f>
        <v>0</v>
      </c>
    </row>
    <row r="995" spans="2:3">
      <c r="B995">
        <f>SUMIFS(allorders!O:O,allorders!L:L,'数据处理(仓储使用)'!$A995,allorders!$AG:$AG,"&lt;="&amp;日期!$B$2,allorders!$AG:$AG,"&gt;="&amp;日期!$B$1)</f>
        <v>0</v>
      </c>
      <c r="C995">
        <f>B995/(日期!$B$2-日期!$B$1+1)</f>
        <v>0</v>
      </c>
    </row>
    <row r="996" spans="2:3">
      <c r="B996">
        <f>SUMIFS(allorders!O:O,allorders!L:L,'数据处理(仓储使用)'!$A996,allorders!$AG:$AG,"&lt;="&amp;日期!$B$2,allorders!$AG:$AG,"&gt;="&amp;日期!$B$1)</f>
        <v>0</v>
      </c>
      <c r="C996">
        <f>B996/(日期!$B$2-日期!$B$1+1)</f>
        <v>0</v>
      </c>
    </row>
    <row r="997" spans="2:3">
      <c r="B997">
        <f>SUMIFS(allorders!O:O,allorders!L:L,'数据处理(仓储使用)'!$A997,allorders!$AG:$AG,"&lt;="&amp;日期!$B$2,allorders!$AG:$AG,"&gt;="&amp;日期!$B$1)</f>
        <v>0</v>
      </c>
      <c r="C997">
        <f>B997/(日期!$B$2-日期!$B$1+1)</f>
        <v>0</v>
      </c>
    </row>
    <row r="998" spans="2:3">
      <c r="B998">
        <f>SUMIFS(allorders!O:O,allorders!L:L,'数据处理(仓储使用)'!$A998,allorders!$AG:$AG,"&lt;="&amp;日期!$B$2,allorders!$AG:$AG,"&gt;="&amp;日期!$B$1)</f>
        <v>0</v>
      </c>
      <c r="C998">
        <f>B998/(日期!$B$2-日期!$B$1+1)</f>
        <v>0</v>
      </c>
    </row>
    <row r="999" spans="2:3">
      <c r="B999">
        <f>SUMIFS(allorders!O:O,allorders!L:L,'数据处理(仓储使用)'!$A999,allorders!$AG:$AG,"&lt;="&amp;日期!$B$2,allorders!$AG:$AG,"&gt;="&amp;日期!$B$1)</f>
        <v>0</v>
      </c>
      <c r="C999">
        <f>B999/(日期!$B$2-日期!$B$1+1)</f>
        <v>0</v>
      </c>
    </row>
    <row r="1000" spans="2:3">
      <c r="B1000">
        <f>SUMIFS(allorders!O:O,allorders!L:L,'数据处理(仓储使用)'!$A1000,allorders!$AG:$AG,"&lt;="&amp;日期!$B$2,allorders!$AG:$AG,"&gt;="&amp;日期!$B$1)</f>
        <v>0</v>
      </c>
      <c r="C1000">
        <f>B1000/(日期!$B$2-日期!$B$1+1)</f>
        <v>0</v>
      </c>
    </row>
    <row r="1001" spans="2:3">
      <c r="B1001">
        <f>SUMIFS(allorders!O:O,allorders!L:L,'数据处理(仓储使用)'!$A1001,allorders!$AG:$AG,"&lt;="&amp;日期!$B$2,allorders!$AG:$AG,"&gt;="&amp;日期!$B$1)</f>
        <v>0</v>
      </c>
      <c r="C1001">
        <f>B1001/(日期!$B$2-日期!$B$1+1)</f>
        <v>0</v>
      </c>
    </row>
    <row r="1002" spans="2:3">
      <c r="B1002">
        <f>SUMIFS(allorders!O:O,allorders!L:L,'数据处理(仓储使用)'!$A1002,allorders!$AG:$AG,"&lt;="&amp;日期!$B$2,allorders!$AG:$AG,"&gt;="&amp;日期!$B$1)</f>
        <v>0</v>
      </c>
      <c r="C1002">
        <f>B1002/(日期!$B$2-日期!$B$1+1)</f>
        <v>0</v>
      </c>
    </row>
    <row r="1003" spans="2:3">
      <c r="B1003">
        <f>SUMIFS(allorders!O:O,allorders!L:L,'数据处理(仓储使用)'!$A1003,allorders!$AG:$AG,"&lt;="&amp;日期!$B$2,allorders!$AG:$AG,"&gt;="&amp;日期!$B$1)</f>
        <v>0</v>
      </c>
      <c r="C1003">
        <f>B1003/(日期!$B$2-日期!$B$1+1)</f>
        <v>0</v>
      </c>
    </row>
    <row r="1004" spans="2:3">
      <c r="B1004">
        <f>SUMIFS(allorders!O:O,allorders!L:L,'数据处理(仓储使用)'!$A1004,allorders!$AG:$AG,"&lt;="&amp;日期!$B$2,allorders!$AG:$AG,"&gt;="&amp;日期!$B$1)</f>
        <v>0</v>
      </c>
      <c r="C1004">
        <f>B1004/(日期!$B$2-日期!$B$1+1)</f>
        <v>0</v>
      </c>
    </row>
    <row r="1005" spans="2:3">
      <c r="B1005">
        <f>SUMIFS(allorders!O:O,allorders!L:L,'数据处理(仓储使用)'!$A1005,allorders!$AG:$AG,"&lt;="&amp;日期!$B$2,allorders!$AG:$AG,"&gt;="&amp;日期!$B$1)</f>
        <v>0</v>
      </c>
      <c r="C1005">
        <f>B1005/(日期!$B$2-日期!$B$1+1)</f>
        <v>0</v>
      </c>
    </row>
    <row r="1006" spans="2:3">
      <c r="B1006">
        <f>SUMIFS(allorders!O:O,allorders!L:L,'数据处理(仓储使用)'!$A1006,allorders!$AG:$AG,"&lt;="&amp;日期!$B$2,allorders!$AG:$AG,"&gt;="&amp;日期!$B$1)</f>
        <v>0</v>
      </c>
      <c r="C1006">
        <f>B1006/(日期!$B$2-日期!$B$1+1)</f>
        <v>0</v>
      </c>
    </row>
    <row r="1007" spans="2:3">
      <c r="B1007">
        <f>SUMIFS(allorders!O:O,allorders!L:L,'数据处理(仓储使用)'!$A1007,allorders!$AG:$AG,"&lt;="&amp;日期!$B$2,allorders!$AG:$AG,"&gt;="&amp;日期!$B$1)</f>
        <v>0</v>
      </c>
      <c r="C1007">
        <f>B1007/(日期!$B$2-日期!$B$1+1)</f>
        <v>0</v>
      </c>
    </row>
    <row r="1008" spans="2:3">
      <c r="B1008">
        <f>SUMIFS(allorders!O:O,allorders!L:L,'数据处理(仓储使用)'!$A1008,allorders!$AG:$AG,"&lt;="&amp;日期!$B$2,allorders!$AG:$AG,"&gt;="&amp;日期!$B$1)</f>
        <v>0</v>
      </c>
      <c r="C1008">
        <f>B1008/(日期!$B$2-日期!$B$1+1)</f>
        <v>0</v>
      </c>
    </row>
    <row r="1009" spans="2:3">
      <c r="B1009">
        <f>SUMIFS(allorders!O:O,allorders!L:L,'数据处理(仓储使用)'!$A1009,allorders!$AG:$AG,"&lt;="&amp;日期!$B$2,allorders!$AG:$AG,"&gt;="&amp;日期!$B$1)</f>
        <v>0</v>
      </c>
      <c r="C1009">
        <f>B1009/(日期!$B$2-日期!$B$1+1)</f>
        <v>0</v>
      </c>
    </row>
    <row r="1010" spans="2:3">
      <c r="B1010">
        <f>SUMIFS(allorders!O:O,allorders!L:L,'数据处理(仓储使用)'!$A1010,allorders!$AG:$AG,"&lt;="&amp;日期!$B$2,allorders!$AG:$AG,"&gt;="&amp;日期!$B$1)</f>
        <v>0</v>
      </c>
      <c r="C1010">
        <f>B1010/(日期!$B$2-日期!$B$1+1)</f>
        <v>0</v>
      </c>
    </row>
    <row r="1011" spans="2:3">
      <c r="B1011">
        <f>SUMIFS(allorders!O:O,allorders!L:L,'数据处理(仓储使用)'!$A1011,allorders!$AG:$AG,"&lt;="&amp;日期!$B$2,allorders!$AG:$AG,"&gt;="&amp;日期!$B$1)</f>
        <v>0</v>
      </c>
      <c r="C1011">
        <f>B1011/(日期!$B$2-日期!$B$1+1)</f>
        <v>0</v>
      </c>
    </row>
    <row r="1012" spans="2:3">
      <c r="B1012">
        <f>SUMIFS(allorders!O:O,allorders!L:L,'数据处理(仓储使用)'!$A1012,allorders!$AG:$AG,"&lt;="&amp;日期!$B$2,allorders!$AG:$AG,"&gt;="&amp;日期!$B$1)</f>
        <v>0</v>
      </c>
      <c r="C1012">
        <f>B1012/(日期!$B$2-日期!$B$1+1)</f>
        <v>0</v>
      </c>
    </row>
    <row r="1013" spans="2:3">
      <c r="B1013">
        <f>SUMIFS(allorders!O:O,allorders!L:L,'数据处理(仓储使用)'!$A1013,allorders!$AG:$AG,"&lt;="&amp;日期!$B$2,allorders!$AG:$AG,"&gt;="&amp;日期!$B$1)</f>
        <v>0</v>
      </c>
      <c r="C1013">
        <f>B1013/(日期!$B$2-日期!$B$1+1)</f>
        <v>0</v>
      </c>
    </row>
    <row r="1014" spans="2:3">
      <c r="B1014">
        <f>SUMIFS(allorders!O:O,allorders!L:L,'数据处理(仓储使用)'!$A1014,allorders!$AG:$AG,"&lt;="&amp;日期!$B$2,allorders!$AG:$AG,"&gt;="&amp;日期!$B$1)</f>
        <v>0</v>
      </c>
      <c r="C1014">
        <f>B1014/(日期!$B$2-日期!$B$1+1)</f>
        <v>0</v>
      </c>
    </row>
    <row r="1015" spans="2:3">
      <c r="B1015">
        <f>SUMIFS(allorders!O:O,allorders!L:L,'数据处理(仓储使用)'!$A1015,allorders!$AG:$AG,"&lt;="&amp;日期!$B$2,allorders!$AG:$AG,"&gt;="&amp;日期!$B$1)</f>
        <v>0</v>
      </c>
      <c r="C1015">
        <f>B1015/(日期!$B$2-日期!$B$1+1)</f>
        <v>0</v>
      </c>
    </row>
    <row r="1016" spans="2:3">
      <c r="B1016">
        <f>SUMIFS(allorders!O:O,allorders!L:L,'数据处理(仓储使用)'!$A1016,allorders!$AG:$AG,"&lt;="&amp;日期!$B$2,allorders!$AG:$AG,"&gt;="&amp;日期!$B$1)</f>
        <v>0</v>
      </c>
      <c r="C1016">
        <f>B1016/(日期!$B$2-日期!$B$1+1)</f>
        <v>0</v>
      </c>
    </row>
    <row r="1017" spans="2:3">
      <c r="B1017">
        <f>SUMIFS(allorders!O:O,allorders!L:L,'数据处理(仓储使用)'!$A1017,allorders!$AG:$AG,"&lt;="&amp;日期!$B$2,allorders!$AG:$AG,"&gt;="&amp;日期!$B$1)</f>
        <v>0</v>
      </c>
      <c r="C1017">
        <f>B1017/(日期!$B$2-日期!$B$1+1)</f>
        <v>0</v>
      </c>
    </row>
    <row r="1018" spans="2:3">
      <c r="B1018">
        <f>SUMIFS(allorders!O:O,allorders!L:L,'数据处理(仓储使用)'!$A1018,allorders!$AG:$AG,"&lt;="&amp;日期!$B$2,allorders!$AG:$AG,"&gt;="&amp;日期!$B$1)</f>
        <v>0</v>
      </c>
      <c r="C1018">
        <f>B1018/(日期!$B$2-日期!$B$1+1)</f>
        <v>0</v>
      </c>
    </row>
    <row r="1019" spans="2:3">
      <c r="B1019">
        <f>SUMIFS(allorders!O:O,allorders!L:L,'数据处理(仓储使用)'!$A1019,allorders!$AG:$AG,"&lt;="&amp;日期!$B$2,allorders!$AG:$AG,"&gt;="&amp;日期!$B$1)</f>
        <v>0</v>
      </c>
      <c r="C1019">
        <f>B1019/(日期!$B$2-日期!$B$1+1)</f>
        <v>0</v>
      </c>
    </row>
    <row r="1020" spans="2:3">
      <c r="B1020">
        <f>SUMIFS(allorders!O:O,allorders!L:L,'数据处理(仓储使用)'!$A1020,allorders!$AG:$AG,"&lt;="&amp;日期!$B$2,allorders!$AG:$AG,"&gt;="&amp;日期!$B$1)</f>
        <v>0</v>
      </c>
      <c r="C1020">
        <f>B1020/(日期!$B$2-日期!$B$1+1)</f>
        <v>0</v>
      </c>
    </row>
    <row r="1021" spans="2:3">
      <c r="B1021">
        <f>SUMIFS(allorders!O:O,allorders!L:L,'数据处理(仓储使用)'!$A1021,allorders!$AG:$AG,"&lt;="&amp;日期!$B$2,allorders!$AG:$AG,"&gt;="&amp;日期!$B$1)</f>
        <v>0</v>
      </c>
      <c r="C1021">
        <f>B1021/(日期!$B$2-日期!$B$1+1)</f>
        <v>0</v>
      </c>
    </row>
    <row r="1022" spans="2:3">
      <c r="B1022">
        <f>SUMIFS(allorders!O:O,allorders!L:L,'数据处理(仓储使用)'!$A1022,allorders!$AG:$AG,"&lt;="&amp;日期!$B$2,allorders!$AG:$AG,"&gt;="&amp;日期!$B$1)</f>
        <v>0</v>
      </c>
      <c r="C1022">
        <f>B1022/(日期!$B$2-日期!$B$1+1)</f>
        <v>0</v>
      </c>
    </row>
    <row r="1023" spans="2:3">
      <c r="B1023">
        <f>SUMIFS(allorders!O:O,allorders!L:L,'数据处理(仓储使用)'!$A1023,allorders!$AG:$AG,"&lt;="&amp;日期!$B$2,allorders!$AG:$AG,"&gt;="&amp;日期!$B$1)</f>
        <v>0</v>
      </c>
      <c r="C1023">
        <f>B1023/(日期!$B$2-日期!$B$1+1)</f>
        <v>0</v>
      </c>
    </row>
    <row r="1024" spans="2:3">
      <c r="B1024">
        <f>SUMIFS(allorders!O:O,allorders!L:L,'数据处理(仓储使用)'!$A1024,allorders!$AG:$AG,"&lt;="&amp;日期!$B$2,allorders!$AG:$AG,"&gt;="&amp;日期!$B$1)</f>
        <v>0</v>
      </c>
      <c r="C1024">
        <f>B1024/(日期!$B$2-日期!$B$1+1)</f>
        <v>0</v>
      </c>
    </row>
    <row r="1025" spans="2:3">
      <c r="B1025">
        <f>SUMIFS(allorders!O:O,allorders!L:L,'数据处理(仓储使用)'!$A1025,allorders!$AG:$AG,"&lt;="&amp;日期!$B$2,allorders!$AG:$AG,"&gt;="&amp;日期!$B$1)</f>
        <v>0</v>
      </c>
      <c r="C1025">
        <f>B1025/(日期!$B$2-日期!$B$1+1)</f>
        <v>0</v>
      </c>
    </row>
    <row r="1026" spans="2:3">
      <c r="B1026">
        <f>SUMIFS(allorders!O:O,allorders!L:L,'数据处理(仓储使用)'!$A1026,allorders!$AG:$AG,"&lt;="&amp;日期!$B$2,allorders!$AG:$AG,"&gt;="&amp;日期!$B$1)</f>
        <v>0</v>
      </c>
      <c r="C1026">
        <f>B1026/(日期!$B$2-日期!$B$1+1)</f>
        <v>0</v>
      </c>
    </row>
    <row r="1027" spans="2:3">
      <c r="B1027">
        <f>SUMIFS(allorders!O:O,allorders!L:L,'数据处理(仓储使用)'!$A1027,allorders!$AG:$AG,"&lt;="&amp;日期!$B$2,allorders!$AG:$AG,"&gt;="&amp;日期!$B$1)</f>
        <v>0</v>
      </c>
      <c r="C1027">
        <f>B1027/(日期!$B$2-日期!$B$1+1)</f>
        <v>0</v>
      </c>
    </row>
    <row r="1028" spans="2:3">
      <c r="B1028">
        <f>SUMIFS(allorders!O:O,allorders!L:L,'数据处理(仓储使用)'!$A1028,allorders!$AG:$AG,"&lt;="&amp;日期!$B$2,allorders!$AG:$AG,"&gt;="&amp;日期!$B$1)</f>
        <v>0</v>
      </c>
      <c r="C1028">
        <f>B1028/(日期!$B$2-日期!$B$1+1)</f>
        <v>0</v>
      </c>
    </row>
    <row r="1029" spans="2:3">
      <c r="B1029">
        <f>SUMIFS(allorders!O:O,allorders!L:L,'数据处理(仓储使用)'!$A1029,allorders!$AG:$AG,"&lt;="&amp;日期!$B$2,allorders!$AG:$AG,"&gt;="&amp;日期!$B$1)</f>
        <v>0</v>
      </c>
      <c r="C1029">
        <f>B1029/(日期!$B$2-日期!$B$1+1)</f>
        <v>0</v>
      </c>
    </row>
    <row r="1030" spans="2:3">
      <c r="B1030">
        <f>SUMIFS(allorders!O:O,allorders!L:L,'数据处理(仓储使用)'!$A1030,allorders!$AG:$AG,"&lt;="&amp;日期!$B$2,allorders!$AG:$AG,"&gt;="&amp;日期!$B$1)</f>
        <v>0</v>
      </c>
      <c r="C1030">
        <f>B1030/(日期!$B$2-日期!$B$1+1)</f>
        <v>0</v>
      </c>
    </row>
    <row r="1031" spans="2:3">
      <c r="B1031">
        <f>SUMIFS(allorders!O:O,allorders!L:L,'数据处理(仓储使用)'!$A1031,allorders!$AG:$AG,"&lt;="&amp;日期!$B$2,allorders!$AG:$AG,"&gt;="&amp;日期!$B$1)</f>
        <v>0</v>
      </c>
      <c r="C1031">
        <f>B1031/(日期!$B$2-日期!$B$1+1)</f>
        <v>0</v>
      </c>
    </row>
    <row r="1032" spans="2:3">
      <c r="B1032">
        <f>SUMIFS(allorders!O:O,allorders!L:L,'数据处理(仓储使用)'!$A1032,allorders!$AG:$AG,"&lt;="&amp;日期!$B$2,allorders!$AG:$AG,"&gt;="&amp;日期!$B$1)</f>
        <v>0</v>
      </c>
      <c r="C1032">
        <f>B1032/(日期!$B$2-日期!$B$1+1)</f>
        <v>0</v>
      </c>
    </row>
    <row r="1033" spans="2:3">
      <c r="B1033">
        <f>SUMIFS(allorders!O:O,allorders!L:L,'数据处理(仓储使用)'!$A1033,allorders!$AG:$AG,"&lt;="&amp;日期!$B$2,allorders!$AG:$AG,"&gt;="&amp;日期!$B$1)</f>
        <v>0</v>
      </c>
      <c r="C1033">
        <f>B1033/(日期!$B$2-日期!$B$1+1)</f>
        <v>0</v>
      </c>
    </row>
    <row r="1034" spans="2:3">
      <c r="B1034">
        <f>SUMIFS(allorders!O:O,allorders!L:L,'数据处理(仓储使用)'!$A1034,allorders!$AG:$AG,"&lt;="&amp;日期!$B$2,allorders!$AG:$AG,"&gt;="&amp;日期!$B$1)</f>
        <v>0</v>
      </c>
      <c r="C1034">
        <f>B1034/(日期!$B$2-日期!$B$1+1)</f>
        <v>0</v>
      </c>
    </row>
    <row r="1035" spans="2:3">
      <c r="B1035">
        <f>SUMIFS(allorders!O:O,allorders!L:L,'数据处理(仓储使用)'!$A1035,allorders!$AG:$AG,"&lt;="&amp;日期!$B$2,allorders!$AG:$AG,"&gt;="&amp;日期!$B$1)</f>
        <v>0</v>
      </c>
      <c r="C1035">
        <f>B1035/(日期!$B$2-日期!$B$1+1)</f>
        <v>0</v>
      </c>
    </row>
    <row r="1036" spans="2:3">
      <c r="B1036">
        <f>SUMIFS(allorders!O:O,allorders!L:L,'数据处理(仓储使用)'!$A1036,allorders!$AG:$AG,"&lt;="&amp;日期!$B$2,allorders!$AG:$AG,"&gt;="&amp;日期!$B$1)</f>
        <v>0</v>
      </c>
      <c r="C1036">
        <f>B1036/(日期!$B$2-日期!$B$1+1)</f>
        <v>0</v>
      </c>
    </row>
    <row r="1037" spans="2:3">
      <c r="B1037">
        <f>SUMIFS(allorders!O:O,allorders!L:L,'数据处理(仓储使用)'!$A1037,allorders!$AG:$AG,"&lt;="&amp;日期!$B$2,allorders!$AG:$AG,"&gt;="&amp;日期!$B$1)</f>
        <v>0</v>
      </c>
      <c r="C1037">
        <f>B1037/(日期!$B$2-日期!$B$1+1)</f>
        <v>0</v>
      </c>
    </row>
    <row r="1038" spans="2:3">
      <c r="B1038">
        <f>SUMIFS(allorders!O:O,allorders!L:L,'数据处理(仓储使用)'!$A1038,allorders!$AG:$AG,"&lt;="&amp;日期!$B$2,allorders!$AG:$AG,"&gt;="&amp;日期!$B$1)</f>
        <v>0</v>
      </c>
      <c r="C1038">
        <f>B1038/(日期!$B$2-日期!$B$1+1)</f>
        <v>0</v>
      </c>
    </row>
    <row r="1039" spans="2:3">
      <c r="B1039">
        <f>SUMIFS(allorders!O:O,allorders!L:L,'数据处理(仓储使用)'!$A1039,allorders!$AG:$AG,"&lt;="&amp;日期!$B$2,allorders!$AG:$AG,"&gt;="&amp;日期!$B$1)</f>
        <v>0</v>
      </c>
      <c r="C1039">
        <f>B1039/(日期!$B$2-日期!$B$1+1)</f>
        <v>0</v>
      </c>
    </row>
    <row r="1040" spans="2:3">
      <c r="B1040">
        <f>SUMIFS(allorders!O:O,allorders!L:L,'数据处理(仓储使用)'!$A1040,allorders!$AG:$AG,"&lt;="&amp;日期!$B$2,allorders!$AG:$AG,"&gt;="&amp;日期!$B$1)</f>
        <v>0</v>
      </c>
      <c r="C1040">
        <f>B1040/(日期!$B$2-日期!$B$1+1)</f>
        <v>0</v>
      </c>
    </row>
    <row r="1041" spans="2:3">
      <c r="B1041">
        <f>SUMIFS(allorders!O:O,allorders!L:L,'数据处理(仓储使用)'!$A1041,allorders!$AG:$AG,"&lt;="&amp;日期!$B$2,allorders!$AG:$AG,"&gt;="&amp;日期!$B$1)</f>
        <v>0</v>
      </c>
      <c r="C1041">
        <f>B1041/(日期!$B$2-日期!$B$1+1)</f>
        <v>0</v>
      </c>
    </row>
    <row r="1042" spans="2:3">
      <c r="B1042">
        <f>SUMIFS(allorders!O:O,allorders!L:L,'数据处理(仓储使用)'!$A1042,allorders!$AG:$AG,"&lt;="&amp;日期!$B$2,allorders!$AG:$AG,"&gt;="&amp;日期!$B$1)</f>
        <v>0</v>
      </c>
      <c r="C1042">
        <f>B1042/(日期!$B$2-日期!$B$1+1)</f>
        <v>0</v>
      </c>
    </row>
    <row r="1043" spans="2:3">
      <c r="B1043">
        <f>SUMIFS(allorders!O:O,allorders!L:L,'数据处理(仓储使用)'!$A1043,allorders!$AG:$AG,"&lt;="&amp;日期!$B$2,allorders!$AG:$AG,"&gt;="&amp;日期!$B$1)</f>
        <v>0</v>
      </c>
      <c r="C1043">
        <f>B1043/(日期!$B$2-日期!$B$1+1)</f>
        <v>0</v>
      </c>
    </row>
    <row r="1044" spans="2:3">
      <c r="B1044">
        <f>SUMIFS(allorders!O:O,allorders!L:L,'数据处理(仓储使用)'!$A1044,allorders!$AG:$AG,"&lt;="&amp;日期!$B$2,allorders!$AG:$AG,"&gt;="&amp;日期!$B$1)</f>
        <v>0</v>
      </c>
      <c r="C1044">
        <f>B1044/(日期!$B$2-日期!$B$1+1)</f>
        <v>0</v>
      </c>
    </row>
    <row r="1045" spans="2:3">
      <c r="B1045">
        <f>SUMIFS(allorders!O:O,allorders!L:L,'数据处理(仓储使用)'!$A1045,allorders!$AG:$AG,"&lt;="&amp;日期!$B$2,allorders!$AG:$AG,"&gt;="&amp;日期!$B$1)</f>
        <v>0</v>
      </c>
      <c r="C1045">
        <f>B1045/(日期!$B$2-日期!$B$1+1)</f>
        <v>0</v>
      </c>
    </row>
    <row r="1046" spans="2:3">
      <c r="B1046">
        <f>SUMIFS(allorders!O:O,allorders!L:L,'数据处理(仓储使用)'!$A1046,allorders!$AG:$AG,"&lt;="&amp;日期!$B$2,allorders!$AG:$AG,"&gt;="&amp;日期!$B$1)</f>
        <v>0</v>
      </c>
      <c r="C1046">
        <f>B1046/(日期!$B$2-日期!$B$1+1)</f>
        <v>0</v>
      </c>
    </row>
    <row r="1047" spans="2:3">
      <c r="B1047">
        <f>SUMIFS(allorders!O:O,allorders!L:L,'数据处理(仓储使用)'!$A1047,allorders!$AG:$AG,"&lt;="&amp;日期!$B$2,allorders!$AG:$AG,"&gt;="&amp;日期!$B$1)</f>
        <v>0</v>
      </c>
      <c r="C1047">
        <f>B1047/(日期!$B$2-日期!$B$1+1)</f>
        <v>0</v>
      </c>
    </row>
    <row r="1048" spans="2:3">
      <c r="B1048">
        <f>SUMIFS(allorders!O:O,allorders!L:L,'数据处理(仓储使用)'!$A1048,allorders!$AG:$AG,"&lt;="&amp;日期!$B$2,allorders!$AG:$AG,"&gt;="&amp;日期!$B$1)</f>
        <v>0</v>
      </c>
      <c r="C1048">
        <f>B1048/(日期!$B$2-日期!$B$1+1)</f>
        <v>0</v>
      </c>
    </row>
    <row r="1049" spans="2:3">
      <c r="B1049">
        <f>SUMIFS(allorders!O:O,allorders!L:L,'数据处理(仓储使用)'!$A1049,allorders!$AG:$AG,"&lt;="&amp;日期!$B$2,allorders!$AG:$AG,"&gt;="&amp;日期!$B$1)</f>
        <v>0</v>
      </c>
      <c r="C1049">
        <f>B1049/(日期!$B$2-日期!$B$1+1)</f>
        <v>0</v>
      </c>
    </row>
    <row r="1050" spans="2:3">
      <c r="B1050">
        <f>SUMIFS(allorders!O:O,allorders!L:L,'数据处理(仓储使用)'!$A1050,allorders!$AG:$AG,"&lt;="&amp;日期!$B$2,allorders!$AG:$AG,"&gt;="&amp;日期!$B$1)</f>
        <v>0</v>
      </c>
      <c r="C1050">
        <f>B1050/(日期!$B$2-日期!$B$1+1)</f>
        <v>0</v>
      </c>
    </row>
    <row r="1051" spans="2:3">
      <c r="B1051">
        <f>SUMIFS(allorders!O:O,allorders!L:L,'数据处理(仓储使用)'!$A1051,allorders!$AG:$AG,"&lt;="&amp;日期!$B$2,allorders!$AG:$AG,"&gt;="&amp;日期!$B$1)</f>
        <v>0</v>
      </c>
      <c r="C1051">
        <f>B1051/(日期!$B$2-日期!$B$1+1)</f>
        <v>0</v>
      </c>
    </row>
    <row r="1052" spans="2:3">
      <c r="B1052">
        <f>SUMIFS(allorders!O:O,allorders!L:L,'数据处理(仓储使用)'!$A1052,allorders!$AG:$AG,"&lt;="&amp;日期!$B$2,allorders!$AG:$AG,"&gt;="&amp;日期!$B$1)</f>
        <v>0</v>
      </c>
      <c r="C1052">
        <f>B1052/(日期!$B$2-日期!$B$1+1)</f>
        <v>0</v>
      </c>
    </row>
    <row r="1053" spans="2:3">
      <c r="B1053">
        <f>SUMIFS(allorders!O:O,allorders!L:L,'数据处理(仓储使用)'!$A1053,allorders!$AG:$AG,"&lt;="&amp;日期!$B$2,allorders!$AG:$AG,"&gt;="&amp;日期!$B$1)</f>
        <v>0</v>
      </c>
      <c r="C1053">
        <f>B1053/(日期!$B$2-日期!$B$1+1)</f>
        <v>0</v>
      </c>
    </row>
    <row r="1054" spans="2:3">
      <c r="B1054">
        <f>SUMIFS(allorders!O:O,allorders!L:L,'数据处理(仓储使用)'!$A1054,allorders!$AG:$AG,"&lt;="&amp;日期!$B$2,allorders!$AG:$AG,"&gt;="&amp;日期!$B$1)</f>
        <v>0</v>
      </c>
      <c r="C1054">
        <f>B1054/(日期!$B$2-日期!$B$1+1)</f>
        <v>0</v>
      </c>
    </row>
    <row r="1055" spans="2:3">
      <c r="B1055">
        <f>SUMIFS(allorders!O:O,allorders!L:L,'数据处理(仓储使用)'!$A1055,allorders!$AG:$AG,"&lt;="&amp;日期!$B$2,allorders!$AG:$AG,"&gt;="&amp;日期!$B$1)</f>
        <v>0</v>
      </c>
      <c r="C1055">
        <f>B1055/(日期!$B$2-日期!$B$1+1)</f>
        <v>0</v>
      </c>
    </row>
    <row r="1056" spans="2:3">
      <c r="B1056">
        <f>SUMIFS(allorders!O:O,allorders!L:L,'数据处理(仓储使用)'!$A1056,allorders!$AG:$AG,"&lt;="&amp;日期!$B$2,allorders!$AG:$AG,"&gt;="&amp;日期!$B$1)</f>
        <v>0</v>
      </c>
      <c r="C1056">
        <f>B1056/(日期!$B$2-日期!$B$1+1)</f>
        <v>0</v>
      </c>
    </row>
    <row r="1057" spans="2:3">
      <c r="B1057">
        <f>SUMIFS(allorders!O:O,allorders!L:L,'数据处理(仓储使用)'!$A1057,allorders!$AG:$AG,"&lt;="&amp;日期!$B$2,allorders!$AG:$AG,"&gt;="&amp;日期!$B$1)</f>
        <v>0</v>
      </c>
      <c r="C1057">
        <f>B1057/(日期!$B$2-日期!$B$1+1)</f>
        <v>0</v>
      </c>
    </row>
    <row r="1058" spans="2:3">
      <c r="B1058">
        <f>SUMIFS(allorders!O:O,allorders!L:L,'数据处理(仓储使用)'!$A1058,allorders!$AG:$AG,"&lt;="&amp;日期!$B$2,allorders!$AG:$AG,"&gt;="&amp;日期!$B$1)</f>
        <v>0</v>
      </c>
      <c r="C1058">
        <f>B1058/(日期!$B$2-日期!$B$1+1)</f>
        <v>0</v>
      </c>
    </row>
    <row r="1059" spans="2:3">
      <c r="B1059">
        <f>SUMIFS(allorders!O:O,allorders!L:L,'数据处理(仓储使用)'!$A1059,allorders!$AG:$AG,"&lt;="&amp;日期!$B$2,allorders!$AG:$AG,"&gt;="&amp;日期!$B$1)</f>
        <v>0</v>
      </c>
      <c r="C1059">
        <f>B1059/(日期!$B$2-日期!$B$1+1)</f>
        <v>0</v>
      </c>
    </row>
    <row r="1060" spans="2:3">
      <c r="B1060">
        <f>SUMIFS(allorders!O:O,allorders!L:L,'数据处理(仓储使用)'!$A1060,allorders!$AG:$AG,"&lt;="&amp;日期!$B$2,allorders!$AG:$AG,"&gt;="&amp;日期!$B$1)</f>
        <v>0</v>
      </c>
      <c r="C1060">
        <f>B1060/(日期!$B$2-日期!$B$1+1)</f>
        <v>0</v>
      </c>
    </row>
    <row r="1061" spans="2:3">
      <c r="B1061">
        <f>SUMIFS(allorders!O:O,allorders!L:L,'数据处理(仓储使用)'!$A1061,allorders!$AG:$AG,"&lt;="&amp;日期!$B$2,allorders!$AG:$AG,"&gt;="&amp;日期!$B$1)</f>
        <v>0</v>
      </c>
      <c r="C1061">
        <f>B1061/(日期!$B$2-日期!$B$1+1)</f>
        <v>0</v>
      </c>
    </row>
    <row r="1062" spans="2:3">
      <c r="B1062">
        <f>SUMIFS(allorders!O:O,allorders!L:L,'数据处理(仓储使用)'!$A1062,allorders!$AG:$AG,"&lt;="&amp;日期!$B$2,allorders!$AG:$AG,"&gt;="&amp;日期!$B$1)</f>
        <v>0</v>
      </c>
      <c r="C1062">
        <f>B1062/(日期!$B$2-日期!$B$1+1)</f>
        <v>0</v>
      </c>
    </row>
    <row r="1063" spans="2:3">
      <c r="B1063">
        <f>SUMIFS(allorders!O:O,allorders!L:L,'数据处理(仓储使用)'!$A1063,allorders!$AG:$AG,"&lt;="&amp;日期!$B$2,allorders!$AG:$AG,"&gt;="&amp;日期!$B$1)</f>
        <v>0</v>
      </c>
      <c r="C1063">
        <f>B1063/(日期!$B$2-日期!$B$1+1)</f>
        <v>0</v>
      </c>
    </row>
    <row r="1064" spans="2:3">
      <c r="B1064">
        <f>SUMIFS(allorders!O:O,allorders!L:L,'数据处理(仓储使用)'!$A1064,allorders!$AG:$AG,"&lt;="&amp;日期!$B$2,allorders!$AG:$AG,"&gt;="&amp;日期!$B$1)</f>
        <v>0</v>
      </c>
      <c r="C1064">
        <f>B1064/(日期!$B$2-日期!$B$1+1)</f>
        <v>0</v>
      </c>
    </row>
    <row r="1065" spans="2:3">
      <c r="B1065">
        <f>SUMIFS(allorders!O:O,allorders!L:L,'数据处理(仓储使用)'!$A1065,allorders!$AG:$AG,"&lt;="&amp;日期!$B$2,allorders!$AG:$AG,"&gt;="&amp;日期!$B$1)</f>
        <v>0</v>
      </c>
      <c r="C1065">
        <f>B1065/(日期!$B$2-日期!$B$1+1)</f>
        <v>0</v>
      </c>
    </row>
    <row r="1066" spans="2:3">
      <c r="B1066">
        <f>SUMIFS(allorders!O:O,allorders!L:L,'数据处理(仓储使用)'!$A1066,allorders!$AG:$AG,"&lt;="&amp;日期!$B$2,allorders!$AG:$AG,"&gt;="&amp;日期!$B$1)</f>
        <v>0</v>
      </c>
      <c r="C1066">
        <f>B1066/(日期!$B$2-日期!$B$1+1)</f>
        <v>0</v>
      </c>
    </row>
    <row r="1067" spans="2:3">
      <c r="B1067">
        <f>SUMIFS(allorders!O:O,allorders!L:L,'数据处理(仓储使用)'!$A1067,allorders!$AG:$AG,"&lt;="&amp;日期!$B$2,allorders!$AG:$AG,"&gt;="&amp;日期!$B$1)</f>
        <v>0</v>
      </c>
      <c r="C1067">
        <f>B1067/(日期!$B$2-日期!$B$1+1)</f>
        <v>0</v>
      </c>
    </row>
    <row r="1068" spans="2:3">
      <c r="B1068">
        <f>SUMIFS(allorders!O:O,allorders!L:L,'数据处理(仓储使用)'!$A1068,allorders!$AG:$AG,"&lt;="&amp;日期!$B$2,allorders!$AG:$AG,"&gt;="&amp;日期!$B$1)</f>
        <v>0</v>
      </c>
      <c r="C1068">
        <f>B1068/(日期!$B$2-日期!$B$1+1)</f>
        <v>0</v>
      </c>
    </row>
    <row r="1069" spans="2:3">
      <c r="B1069">
        <f>SUMIFS(allorders!O:O,allorders!L:L,'数据处理(仓储使用)'!$A1069,allorders!$AG:$AG,"&lt;="&amp;日期!$B$2,allorders!$AG:$AG,"&gt;="&amp;日期!$B$1)</f>
        <v>0</v>
      </c>
      <c r="C1069">
        <f>B1069/(日期!$B$2-日期!$B$1+1)</f>
        <v>0</v>
      </c>
    </row>
    <row r="1070" spans="2:3">
      <c r="B1070">
        <f>SUMIFS(allorders!O:O,allorders!L:L,'数据处理(仓储使用)'!$A1070,allorders!$AG:$AG,"&lt;="&amp;日期!$B$2,allorders!$AG:$AG,"&gt;="&amp;日期!$B$1)</f>
        <v>0</v>
      </c>
      <c r="C1070">
        <f>B1070/(日期!$B$2-日期!$B$1+1)</f>
        <v>0</v>
      </c>
    </row>
    <row r="1071" spans="2:3">
      <c r="B1071">
        <f>SUMIFS(allorders!O:O,allorders!L:L,'数据处理(仓储使用)'!$A1071,allorders!$AG:$AG,"&lt;="&amp;日期!$B$2,allorders!$AG:$AG,"&gt;="&amp;日期!$B$1)</f>
        <v>0</v>
      </c>
      <c r="C1071">
        <f>B1071/(日期!$B$2-日期!$B$1+1)</f>
        <v>0</v>
      </c>
    </row>
    <row r="1072" spans="2:3">
      <c r="B1072">
        <f>SUMIFS(allorders!O:O,allorders!L:L,'数据处理(仓储使用)'!$A1072,allorders!$AG:$AG,"&lt;="&amp;日期!$B$2,allorders!$AG:$AG,"&gt;="&amp;日期!$B$1)</f>
        <v>0</v>
      </c>
      <c r="C1072">
        <f>B1072/(日期!$B$2-日期!$B$1+1)</f>
        <v>0</v>
      </c>
    </row>
    <row r="1073" spans="2:3">
      <c r="B1073">
        <f>SUMIFS(allorders!O:O,allorders!L:L,'数据处理(仓储使用)'!$A1073,allorders!$AG:$AG,"&lt;="&amp;日期!$B$2,allorders!$AG:$AG,"&gt;="&amp;日期!$B$1)</f>
        <v>0</v>
      </c>
      <c r="C1073">
        <f>B1073/(日期!$B$2-日期!$B$1+1)</f>
        <v>0</v>
      </c>
    </row>
    <row r="1074" spans="2:3">
      <c r="B1074">
        <f>SUMIFS(allorders!O:O,allorders!L:L,'数据处理(仓储使用)'!$A1074,allorders!$AG:$AG,"&lt;="&amp;日期!$B$2,allorders!$AG:$AG,"&gt;="&amp;日期!$B$1)</f>
        <v>0</v>
      </c>
      <c r="C1074">
        <f>B1074/(日期!$B$2-日期!$B$1+1)</f>
        <v>0</v>
      </c>
    </row>
    <row r="1075" spans="2:3">
      <c r="B1075">
        <f>SUMIFS(allorders!O:O,allorders!L:L,'数据处理(仓储使用)'!$A1075,allorders!$AG:$AG,"&lt;="&amp;日期!$B$2,allorders!$AG:$AG,"&gt;="&amp;日期!$B$1)</f>
        <v>0</v>
      </c>
      <c r="C1075">
        <f>B1075/(日期!$B$2-日期!$B$1+1)</f>
        <v>0</v>
      </c>
    </row>
    <row r="1076" spans="2:3">
      <c r="B1076">
        <f>SUMIFS(allorders!O:O,allorders!L:L,'数据处理(仓储使用)'!$A1076,allorders!$AG:$AG,"&lt;="&amp;日期!$B$2,allorders!$AG:$AG,"&gt;="&amp;日期!$B$1)</f>
        <v>0</v>
      </c>
      <c r="C1076">
        <f>B1076/(日期!$B$2-日期!$B$1+1)</f>
        <v>0</v>
      </c>
    </row>
    <row r="1077" spans="2:3">
      <c r="B1077">
        <f>SUMIFS(allorders!O:O,allorders!L:L,'数据处理(仓储使用)'!$A1077,allorders!$AG:$AG,"&lt;="&amp;日期!$B$2,allorders!$AG:$AG,"&gt;="&amp;日期!$B$1)</f>
        <v>0</v>
      </c>
      <c r="C1077">
        <f>B1077/(日期!$B$2-日期!$B$1+1)</f>
        <v>0</v>
      </c>
    </row>
    <row r="1078" spans="2:3">
      <c r="B1078">
        <f>SUMIFS(allorders!O:O,allorders!L:L,'数据处理(仓储使用)'!$A1078,allorders!$AG:$AG,"&lt;="&amp;日期!$B$2,allorders!$AG:$AG,"&gt;="&amp;日期!$B$1)</f>
        <v>0</v>
      </c>
      <c r="C1078">
        <f>B1078/(日期!$B$2-日期!$B$1+1)</f>
        <v>0</v>
      </c>
    </row>
    <row r="1079" spans="2:3">
      <c r="B1079">
        <f>SUMIFS(allorders!O:O,allorders!L:L,'数据处理(仓储使用)'!$A1079,allorders!$AG:$AG,"&lt;="&amp;日期!$B$2,allorders!$AG:$AG,"&gt;="&amp;日期!$B$1)</f>
        <v>0</v>
      </c>
      <c r="C1079">
        <f>B1079/(日期!$B$2-日期!$B$1+1)</f>
        <v>0</v>
      </c>
    </row>
    <row r="1080" spans="2:3">
      <c r="B1080">
        <f>SUMIFS(allorders!O:O,allorders!L:L,'数据处理(仓储使用)'!$A1080,allorders!$AG:$AG,"&lt;="&amp;日期!$B$2,allorders!$AG:$AG,"&gt;="&amp;日期!$B$1)</f>
        <v>0</v>
      </c>
      <c r="C1080">
        <f>B1080/(日期!$B$2-日期!$B$1+1)</f>
        <v>0</v>
      </c>
    </row>
    <row r="1081" spans="2:3">
      <c r="B1081">
        <f>SUMIFS(allorders!O:O,allorders!L:L,'数据处理(仓储使用)'!$A1081,allorders!$AG:$AG,"&lt;="&amp;日期!$B$2,allorders!$AG:$AG,"&gt;="&amp;日期!$B$1)</f>
        <v>0</v>
      </c>
      <c r="C1081">
        <f>B1081/(日期!$B$2-日期!$B$1+1)</f>
        <v>0</v>
      </c>
    </row>
    <row r="1082" spans="2:3">
      <c r="B1082">
        <f>SUMIFS(allorders!O:O,allorders!L:L,'数据处理(仓储使用)'!$A1082,allorders!$AG:$AG,"&lt;="&amp;日期!$B$2,allorders!$AG:$AG,"&gt;="&amp;日期!$B$1)</f>
        <v>0</v>
      </c>
      <c r="C1082">
        <f>B1082/(日期!$B$2-日期!$B$1+1)</f>
        <v>0</v>
      </c>
    </row>
    <row r="1083" spans="2:3">
      <c r="B1083">
        <f>SUMIFS(allorders!O:O,allorders!L:L,'数据处理(仓储使用)'!$A1083,allorders!$AG:$AG,"&lt;="&amp;日期!$B$2,allorders!$AG:$AG,"&gt;="&amp;日期!$B$1)</f>
        <v>0</v>
      </c>
      <c r="C1083">
        <f>B1083/(日期!$B$2-日期!$B$1+1)</f>
        <v>0</v>
      </c>
    </row>
    <row r="1084" spans="2:3">
      <c r="B1084">
        <f>SUMIFS(allorders!O:O,allorders!L:L,'数据处理(仓储使用)'!$A1084,allorders!$AG:$AG,"&lt;="&amp;日期!$B$2,allorders!$AG:$AG,"&gt;="&amp;日期!$B$1)</f>
        <v>0</v>
      </c>
      <c r="C1084">
        <f>B1084/(日期!$B$2-日期!$B$1+1)</f>
        <v>0</v>
      </c>
    </row>
    <row r="1085" spans="2:3">
      <c r="B1085">
        <f>SUMIFS(allorders!O:O,allorders!L:L,'数据处理(仓储使用)'!$A1085,allorders!$AG:$AG,"&lt;="&amp;日期!$B$2,allorders!$AG:$AG,"&gt;="&amp;日期!$B$1)</f>
        <v>0</v>
      </c>
      <c r="C1085">
        <f>B1085/(日期!$B$2-日期!$B$1+1)</f>
        <v>0</v>
      </c>
    </row>
    <row r="1086" spans="2:3">
      <c r="B1086">
        <f>SUMIFS(allorders!O:O,allorders!L:L,'数据处理(仓储使用)'!$A1086,allorders!$AG:$AG,"&lt;="&amp;日期!$B$2,allorders!$AG:$AG,"&gt;="&amp;日期!$B$1)</f>
        <v>0</v>
      </c>
      <c r="C1086">
        <f>B1086/(日期!$B$2-日期!$B$1+1)</f>
        <v>0</v>
      </c>
    </row>
    <row r="1087" spans="2:3">
      <c r="B1087">
        <f>SUMIFS(allorders!O:O,allorders!L:L,'数据处理(仓储使用)'!$A1087,allorders!$AG:$AG,"&lt;="&amp;日期!$B$2,allorders!$AG:$AG,"&gt;="&amp;日期!$B$1)</f>
        <v>0</v>
      </c>
      <c r="C1087">
        <f>B1087/(日期!$B$2-日期!$B$1+1)</f>
        <v>0</v>
      </c>
    </row>
    <row r="1088" spans="2:3">
      <c r="B1088">
        <f>SUMIFS(allorders!O:O,allorders!L:L,'数据处理(仓储使用)'!$A1088,allorders!$AG:$AG,"&lt;="&amp;日期!$B$2,allorders!$AG:$AG,"&gt;="&amp;日期!$B$1)</f>
        <v>0</v>
      </c>
      <c r="C1088">
        <f>B1088/(日期!$B$2-日期!$B$1+1)</f>
        <v>0</v>
      </c>
    </row>
    <row r="1089" spans="2:3">
      <c r="B1089">
        <f>SUMIFS(allorders!O:O,allorders!L:L,'数据处理(仓储使用)'!$A1089,allorders!$AG:$AG,"&lt;="&amp;日期!$B$2,allorders!$AG:$AG,"&gt;="&amp;日期!$B$1)</f>
        <v>0</v>
      </c>
      <c r="C1089">
        <f>B1089/(日期!$B$2-日期!$B$1+1)</f>
        <v>0</v>
      </c>
    </row>
    <row r="1090" spans="2:3">
      <c r="B1090">
        <f>SUMIFS(allorders!O:O,allorders!L:L,'数据处理(仓储使用)'!$A1090,allorders!$AG:$AG,"&lt;="&amp;日期!$B$2,allorders!$AG:$AG,"&gt;="&amp;日期!$B$1)</f>
        <v>0</v>
      </c>
      <c r="C1090">
        <f>B1090/(日期!$B$2-日期!$B$1+1)</f>
        <v>0</v>
      </c>
    </row>
    <row r="1091" spans="2:3">
      <c r="B1091">
        <f>SUMIFS(allorders!O:O,allorders!L:L,'数据处理(仓储使用)'!$A1091,allorders!$AG:$AG,"&lt;="&amp;日期!$B$2,allorders!$AG:$AG,"&gt;="&amp;日期!$B$1)</f>
        <v>0</v>
      </c>
      <c r="C1091">
        <f>B1091/(日期!$B$2-日期!$B$1+1)</f>
        <v>0</v>
      </c>
    </row>
    <row r="1092" spans="2:3">
      <c r="B1092">
        <f>SUMIFS(allorders!O:O,allorders!L:L,'数据处理(仓储使用)'!$A1092,allorders!$AG:$AG,"&lt;="&amp;日期!$B$2,allorders!$AG:$AG,"&gt;="&amp;日期!$B$1)</f>
        <v>0</v>
      </c>
      <c r="C1092">
        <f>B1092/(日期!$B$2-日期!$B$1+1)</f>
        <v>0</v>
      </c>
    </row>
    <row r="1093" spans="2:3">
      <c r="B1093">
        <f>SUMIFS(allorders!O:O,allorders!L:L,'数据处理(仓储使用)'!$A1093,allorders!$AG:$AG,"&lt;="&amp;日期!$B$2,allorders!$AG:$AG,"&gt;="&amp;日期!$B$1)</f>
        <v>0</v>
      </c>
      <c r="C1093">
        <f>B1093/(日期!$B$2-日期!$B$1+1)</f>
        <v>0</v>
      </c>
    </row>
    <row r="1094" spans="2:3">
      <c r="B1094">
        <f>SUMIFS(allorders!O:O,allorders!L:L,'数据处理(仓储使用)'!$A1094,allorders!$AG:$AG,"&lt;="&amp;日期!$B$2,allorders!$AG:$AG,"&gt;="&amp;日期!$B$1)</f>
        <v>0</v>
      </c>
      <c r="C1094">
        <f>B1094/(日期!$B$2-日期!$B$1+1)</f>
        <v>0</v>
      </c>
    </row>
    <row r="1095" spans="2:3">
      <c r="B1095">
        <f>SUMIFS(allorders!O:O,allorders!L:L,'数据处理(仓储使用)'!$A1095,allorders!$AG:$AG,"&lt;="&amp;日期!$B$2,allorders!$AG:$AG,"&gt;="&amp;日期!$B$1)</f>
        <v>0</v>
      </c>
      <c r="C1095">
        <f>B1095/(日期!$B$2-日期!$B$1+1)</f>
        <v>0</v>
      </c>
    </row>
    <row r="1096" spans="2:3">
      <c r="B1096">
        <f>SUMIFS(allorders!O:O,allorders!L:L,'数据处理(仓储使用)'!$A1096,allorders!$AG:$AG,"&lt;="&amp;日期!$B$2,allorders!$AG:$AG,"&gt;="&amp;日期!$B$1)</f>
        <v>0</v>
      </c>
      <c r="C1096">
        <f>B1096/(日期!$B$2-日期!$B$1+1)</f>
        <v>0</v>
      </c>
    </row>
    <row r="1097" spans="2:3">
      <c r="B1097">
        <f>SUMIFS(allorders!O:O,allorders!L:L,'数据处理(仓储使用)'!$A1097,allorders!$AG:$AG,"&lt;="&amp;日期!$B$2,allorders!$AG:$AG,"&gt;="&amp;日期!$B$1)</f>
        <v>0</v>
      </c>
      <c r="C1097">
        <f>B1097/(日期!$B$2-日期!$B$1+1)</f>
        <v>0</v>
      </c>
    </row>
    <row r="1098" spans="2:3">
      <c r="B1098">
        <f>SUMIFS(allorders!O:O,allorders!L:L,'数据处理(仓储使用)'!$A1098,allorders!$AG:$AG,"&lt;="&amp;日期!$B$2,allorders!$AG:$AG,"&gt;="&amp;日期!$B$1)</f>
        <v>0</v>
      </c>
      <c r="C1098">
        <f>B1098/(日期!$B$2-日期!$B$1+1)</f>
        <v>0</v>
      </c>
    </row>
    <row r="1099" spans="2:3">
      <c r="B1099">
        <f>SUMIFS(allorders!O:O,allorders!L:L,'数据处理(仓储使用)'!$A1099,allorders!$AG:$AG,"&lt;="&amp;日期!$B$2,allorders!$AG:$AG,"&gt;="&amp;日期!$B$1)</f>
        <v>0</v>
      </c>
      <c r="C1099">
        <f>B1099/(日期!$B$2-日期!$B$1+1)</f>
        <v>0</v>
      </c>
    </row>
    <row r="1100" spans="2:3">
      <c r="B1100">
        <f>SUMIFS(allorders!O:O,allorders!L:L,'数据处理(仓储使用)'!$A1100,allorders!$AG:$AG,"&lt;="&amp;日期!$B$2,allorders!$AG:$AG,"&gt;="&amp;日期!$B$1)</f>
        <v>0</v>
      </c>
      <c r="C1100">
        <f>B1100/(日期!$B$2-日期!$B$1+1)</f>
        <v>0</v>
      </c>
    </row>
    <row r="1101" spans="2:3">
      <c r="B1101">
        <f>SUMIFS(allorders!O:O,allorders!L:L,'数据处理(仓储使用)'!$A1101,allorders!$AG:$AG,"&lt;="&amp;日期!$B$2,allorders!$AG:$AG,"&gt;="&amp;日期!$B$1)</f>
        <v>0</v>
      </c>
      <c r="C1101">
        <f>B1101/(日期!$B$2-日期!$B$1+1)</f>
        <v>0</v>
      </c>
    </row>
    <row r="1102" spans="2:3">
      <c r="B1102">
        <f>SUMIFS(allorders!O:O,allorders!L:L,'数据处理(仓储使用)'!$A1102,allorders!$AG:$AG,"&lt;="&amp;日期!$B$2,allorders!$AG:$AG,"&gt;="&amp;日期!$B$1)</f>
        <v>0</v>
      </c>
      <c r="C1102">
        <f>B1102/(日期!$B$2-日期!$B$1+1)</f>
        <v>0</v>
      </c>
    </row>
    <row r="1103" spans="2:3">
      <c r="B1103">
        <f>SUMIFS(allorders!O:O,allorders!L:L,'数据处理(仓储使用)'!$A1103,allorders!$AG:$AG,"&lt;="&amp;日期!$B$2,allorders!$AG:$AG,"&gt;="&amp;日期!$B$1)</f>
        <v>0</v>
      </c>
      <c r="C1103">
        <f>B1103/(日期!$B$2-日期!$B$1+1)</f>
        <v>0</v>
      </c>
    </row>
    <row r="1104" spans="2:3">
      <c r="B1104">
        <f>SUMIFS(allorders!O:O,allorders!L:L,'数据处理(仓储使用)'!$A1104,allorders!$AG:$AG,"&lt;="&amp;日期!$B$2,allorders!$AG:$AG,"&gt;="&amp;日期!$B$1)</f>
        <v>0</v>
      </c>
      <c r="C1104">
        <f>B1104/(日期!$B$2-日期!$B$1+1)</f>
        <v>0</v>
      </c>
    </row>
    <row r="1105" spans="2:3">
      <c r="B1105">
        <f>SUMIFS(allorders!O:O,allorders!L:L,'数据处理(仓储使用)'!$A1105,allorders!$AG:$AG,"&lt;="&amp;日期!$B$2,allorders!$AG:$AG,"&gt;="&amp;日期!$B$1)</f>
        <v>0</v>
      </c>
      <c r="C1105">
        <f>B1105/(日期!$B$2-日期!$B$1+1)</f>
        <v>0</v>
      </c>
    </row>
    <row r="1106" spans="2:3">
      <c r="B1106">
        <f>SUMIFS(allorders!O:O,allorders!L:L,'数据处理(仓储使用)'!$A1106,allorders!$AG:$AG,"&lt;="&amp;日期!$B$2,allorders!$AG:$AG,"&gt;="&amp;日期!$B$1)</f>
        <v>0</v>
      </c>
      <c r="C1106">
        <f>B1106/(日期!$B$2-日期!$B$1+1)</f>
        <v>0</v>
      </c>
    </row>
    <row r="1107" spans="2:3">
      <c r="B1107">
        <f>SUMIFS(allorders!O:O,allorders!L:L,'数据处理(仓储使用)'!$A1107,allorders!$AG:$AG,"&lt;="&amp;日期!$B$2,allorders!$AG:$AG,"&gt;="&amp;日期!$B$1)</f>
        <v>0</v>
      </c>
      <c r="C1107">
        <f>B1107/(日期!$B$2-日期!$B$1+1)</f>
        <v>0</v>
      </c>
    </row>
    <row r="1108" spans="2:3">
      <c r="B1108">
        <f>SUMIFS(allorders!O:O,allorders!L:L,'数据处理(仓储使用)'!$A1108,allorders!$AG:$AG,"&lt;="&amp;日期!$B$2,allorders!$AG:$AG,"&gt;="&amp;日期!$B$1)</f>
        <v>0</v>
      </c>
      <c r="C1108">
        <f>B1108/(日期!$B$2-日期!$B$1+1)</f>
        <v>0</v>
      </c>
    </row>
    <row r="1109" spans="2:3">
      <c r="B1109">
        <f>SUMIFS(allorders!O:O,allorders!L:L,'数据处理(仓储使用)'!$A1109,allorders!$AG:$AG,"&lt;="&amp;日期!$B$2,allorders!$AG:$AG,"&gt;="&amp;日期!$B$1)</f>
        <v>0</v>
      </c>
      <c r="C1109">
        <f>B1109/(日期!$B$2-日期!$B$1+1)</f>
        <v>0</v>
      </c>
    </row>
    <row r="1110" spans="2:3">
      <c r="B1110">
        <f>SUMIFS(allorders!O:O,allorders!L:L,'数据处理(仓储使用)'!$A1110,allorders!$AG:$AG,"&lt;="&amp;日期!$B$2,allorders!$AG:$AG,"&gt;="&amp;日期!$B$1)</f>
        <v>0</v>
      </c>
      <c r="C1110">
        <f>B1110/(日期!$B$2-日期!$B$1+1)</f>
        <v>0</v>
      </c>
    </row>
    <row r="1111" spans="2:3">
      <c r="B1111">
        <f>SUMIFS(allorders!O:O,allorders!L:L,'数据处理(仓储使用)'!$A1111,allorders!$AG:$AG,"&lt;="&amp;日期!$B$2,allorders!$AG:$AG,"&gt;="&amp;日期!$B$1)</f>
        <v>0</v>
      </c>
      <c r="C1111">
        <f>B1111/(日期!$B$2-日期!$B$1+1)</f>
        <v>0</v>
      </c>
    </row>
    <row r="1112" spans="2:3">
      <c r="B1112">
        <f>SUMIFS(allorders!O:O,allorders!L:L,'数据处理(仓储使用)'!$A1112,allorders!$AG:$AG,"&lt;="&amp;日期!$B$2,allorders!$AG:$AG,"&gt;="&amp;日期!$B$1)</f>
        <v>0</v>
      </c>
      <c r="C1112">
        <f>B1112/(日期!$B$2-日期!$B$1+1)</f>
        <v>0</v>
      </c>
    </row>
    <row r="1113" spans="2:3">
      <c r="B1113">
        <f>SUMIFS(allorders!O:O,allorders!L:L,'数据处理(仓储使用)'!$A1113,allorders!$AG:$AG,"&lt;="&amp;日期!$B$2,allorders!$AG:$AG,"&gt;="&amp;日期!$B$1)</f>
        <v>0</v>
      </c>
      <c r="C1113">
        <f>B1113/(日期!$B$2-日期!$B$1+1)</f>
        <v>0</v>
      </c>
    </row>
    <row r="1114" spans="2:3">
      <c r="B1114">
        <f>SUMIFS(allorders!O:O,allorders!L:L,'数据处理(仓储使用)'!$A1114,allorders!$AG:$AG,"&lt;="&amp;日期!$B$2,allorders!$AG:$AG,"&gt;="&amp;日期!$B$1)</f>
        <v>0</v>
      </c>
      <c r="C1114">
        <f>B1114/(日期!$B$2-日期!$B$1+1)</f>
        <v>0</v>
      </c>
    </row>
    <row r="1115" spans="2:3">
      <c r="B1115">
        <f>SUMIFS(allorders!O:O,allorders!L:L,'数据处理(仓储使用)'!$A1115,allorders!$AG:$AG,"&lt;="&amp;日期!$B$2,allorders!$AG:$AG,"&gt;="&amp;日期!$B$1)</f>
        <v>0</v>
      </c>
      <c r="C1115">
        <f>B1115/(日期!$B$2-日期!$B$1+1)</f>
        <v>0</v>
      </c>
    </row>
    <row r="1116" spans="2:3">
      <c r="B1116">
        <f>SUMIFS(allorders!O:O,allorders!L:L,'数据处理(仓储使用)'!$A1116,allorders!$AG:$AG,"&lt;="&amp;日期!$B$2,allorders!$AG:$AG,"&gt;="&amp;日期!$B$1)</f>
        <v>0</v>
      </c>
      <c r="C1116">
        <f>B1116/(日期!$B$2-日期!$B$1+1)</f>
        <v>0</v>
      </c>
    </row>
    <row r="1117" spans="2:3">
      <c r="B1117">
        <f>SUMIFS(allorders!O:O,allorders!L:L,'数据处理(仓储使用)'!$A1117,allorders!$AG:$AG,"&lt;="&amp;日期!$B$2,allorders!$AG:$AG,"&gt;="&amp;日期!$B$1)</f>
        <v>0</v>
      </c>
      <c r="C1117">
        <f>B1117/(日期!$B$2-日期!$B$1+1)</f>
        <v>0</v>
      </c>
    </row>
    <row r="1118" spans="2:3">
      <c r="B1118">
        <f>SUMIFS(allorders!O:O,allorders!L:L,'数据处理(仓储使用)'!$A1118,allorders!$AG:$AG,"&lt;="&amp;日期!$B$2,allorders!$AG:$AG,"&gt;="&amp;日期!$B$1)</f>
        <v>0</v>
      </c>
      <c r="C1118">
        <f>B1118/(日期!$B$2-日期!$B$1+1)</f>
        <v>0</v>
      </c>
    </row>
    <row r="1119" spans="2:3">
      <c r="B1119">
        <f>SUMIFS(allorders!O:O,allorders!L:L,'数据处理(仓储使用)'!$A1119,allorders!$AG:$AG,"&lt;="&amp;日期!$B$2,allorders!$AG:$AG,"&gt;="&amp;日期!$B$1)</f>
        <v>0</v>
      </c>
      <c r="C1119">
        <f>B1119/(日期!$B$2-日期!$B$1+1)</f>
        <v>0</v>
      </c>
    </row>
    <row r="1120" spans="2:3">
      <c r="B1120">
        <f>SUMIFS(allorders!O:O,allorders!L:L,'数据处理(仓储使用)'!$A1120,allorders!$AG:$AG,"&lt;="&amp;日期!$B$2,allorders!$AG:$AG,"&gt;="&amp;日期!$B$1)</f>
        <v>0</v>
      </c>
      <c r="C1120">
        <f>B1120/(日期!$B$2-日期!$B$1+1)</f>
        <v>0</v>
      </c>
    </row>
    <row r="1121" spans="2:3">
      <c r="B1121">
        <f>SUMIFS(allorders!O:O,allorders!L:L,'数据处理(仓储使用)'!$A1121,allorders!$AG:$AG,"&lt;="&amp;日期!$B$2,allorders!$AG:$AG,"&gt;="&amp;日期!$B$1)</f>
        <v>0</v>
      </c>
      <c r="C1121">
        <f>B1121/(日期!$B$2-日期!$B$1+1)</f>
        <v>0</v>
      </c>
    </row>
    <row r="1122" spans="2:3">
      <c r="B1122">
        <f>SUMIFS(allorders!O:O,allorders!L:L,'数据处理(仓储使用)'!$A1122,allorders!$AG:$AG,"&lt;="&amp;日期!$B$2,allorders!$AG:$AG,"&gt;="&amp;日期!$B$1)</f>
        <v>0</v>
      </c>
      <c r="C1122">
        <f>B1122/(日期!$B$2-日期!$B$1+1)</f>
        <v>0</v>
      </c>
    </row>
    <row r="1123" spans="2:3">
      <c r="B1123">
        <f>SUMIFS(allorders!O:O,allorders!L:L,'数据处理(仓储使用)'!$A1123,allorders!$AG:$AG,"&lt;="&amp;日期!$B$2,allorders!$AG:$AG,"&gt;="&amp;日期!$B$1)</f>
        <v>0</v>
      </c>
      <c r="C1123">
        <f>B1123/(日期!$B$2-日期!$B$1+1)</f>
        <v>0</v>
      </c>
    </row>
    <row r="1124" spans="2:3">
      <c r="B1124">
        <f>SUMIFS(allorders!O:O,allorders!L:L,'数据处理(仓储使用)'!$A1124,allorders!$AG:$AG,"&lt;="&amp;日期!$B$2,allorders!$AG:$AG,"&gt;="&amp;日期!$B$1)</f>
        <v>0</v>
      </c>
      <c r="C1124">
        <f>B1124/(日期!$B$2-日期!$B$1+1)</f>
        <v>0</v>
      </c>
    </row>
    <row r="1125" spans="2:3">
      <c r="B1125">
        <f>SUMIFS(allorders!O:O,allorders!L:L,'数据处理(仓储使用)'!$A1125,allorders!$AG:$AG,"&lt;="&amp;日期!$B$2,allorders!$AG:$AG,"&gt;="&amp;日期!$B$1)</f>
        <v>0</v>
      </c>
      <c r="C1125">
        <f>B1125/(日期!$B$2-日期!$B$1+1)</f>
        <v>0</v>
      </c>
    </row>
    <row r="1126" spans="2:3">
      <c r="B1126">
        <f>SUMIFS(allorders!O:O,allorders!L:L,'数据处理(仓储使用)'!$A1126,allorders!$AG:$AG,"&lt;="&amp;日期!$B$2,allorders!$AG:$AG,"&gt;="&amp;日期!$B$1)</f>
        <v>0</v>
      </c>
      <c r="C1126">
        <f>B1126/(日期!$B$2-日期!$B$1+1)</f>
        <v>0</v>
      </c>
    </row>
    <row r="1127" spans="2:3">
      <c r="B1127">
        <f>SUMIFS(allorders!O:O,allorders!L:L,'数据处理(仓储使用)'!$A1127,allorders!$AG:$AG,"&lt;="&amp;日期!$B$2,allorders!$AG:$AG,"&gt;="&amp;日期!$B$1)</f>
        <v>0</v>
      </c>
      <c r="C1127">
        <f>B1127/(日期!$B$2-日期!$B$1+1)</f>
        <v>0</v>
      </c>
    </row>
    <row r="1128" spans="2:3">
      <c r="B1128">
        <f>SUMIFS(allorders!O:O,allorders!L:L,'数据处理(仓储使用)'!$A1128,allorders!$AG:$AG,"&lt;="&amp;日期!$B$2,allorders!$AG:$AG,"&gt;="&amp;日期!$B$1)</f>
        <v>0</v>
      </c>
      <c r="C1128">
        <f>B1128/(日期!$B$2-日期!$B$1+1)</f>
        <v>0</v>
      </c>
    </row>
    <row r="1129" spans="2:3">
      <c r="B1129">
        <f>SUMIFS(allorders!O:O,allorders!L:L,'数据处理(仓储使用)'!$A1129,allorders!$AG:$AG,"&lt;="&amp;日期!$B$2,allorders!$AG:$AG,"&gt;="&amp;日期!$B$1)</f>
        <v>0</v>
      </c>
      <c r="C1129">
        <f>B1129/(日期!$B$2-日期!$B$1+1)</f>
        <v>0</v>
      </c>
    </row>
    <row r="1130" spans="2:3">
      <c r="B1130">
        <f>SUMIFS(allorders!O:O,allorders!L:L,'数据处理(仓储使用)'!$A1130,allorders!$AG:$AG,"&lt;="&amp;日期!$B$2,allorders!$AG:$AG,"&gt;="&amp;日期!$B$1)</f>
        <v>0</v>
      </c>
      <c r="C1130">
        <f>B1130/(日期!$B$2-日期!$B$1+1)</f>
        <v>0</v>
      </c>
    </row>
    <row r="1131" spans="2:3">
      <c r="B1131">
        <f>SUMIFS(allorders!O:O,allorders!L:L,'数据处理(仓储使用)'!$A1131,allorders!$AG:$AG,"&lt;="&amp;日期!$B$2,allorders!$AG:$AG,"&gt;="&amp;日期!$B$1)</f>
        <v>0</v>
      </c>
      <c r="C1131">
        <f>B1131/(日期!$B$2-日期!$B$1+1)</f>
        <v>0</v>
      </c>
    </row>
    <row r="1132" spans="2:3">
      <c r="B1132">
        <f>SUMIFS(allorders!O:O,allorders!L:L,'数据处理(仓储使用)'!$A1132,allorders!$AG:$AG,"&lt;="&amp;日期!$B$2,allorders!$AG:$AG,"&gt;="&amp;日期!$B$1)</f>
        <v>0</v>
      </c>
      <c r="C1132">
        <f>B1132/(日期!$B$2-日期!$B$1+1)</f>
        <v>0</v>
      </c>
    </row>
    <row r="1133" spans="2:3">
      <c r="B1133">
        <f>SUMIFS(allorders!O:O,allorders!L:L,'数据处理(仓储使用)'!$A1133,allorders!$AG:$AG,"&lt;="&amp;日期!$B$2,allorders!$AG:$AG,"&gt;="&amp;日期!$B$1)</f>
        <v>0</v>
      </c>
      <c r="C1133">
        <f>B1133/(日期!$B$2-日期!$B$1+1)</f>
        <v>0</v>
      </c>
    </row>
    <row r="1134" spans="2:3">
      <c r="B1134">
        <f>SUMIFS(allorders!O:O,allorders!L:L,'数据处理(仓储使用)'!$A1134,allorders!$AG:$AG,"&lt;="&amp;日期!$B$2,allorders!$AG:$AG,"&gt;="&amp;日期!$B$1)</f>
        <v>0</v>
      </c>
      <c r="C1134">
        <f>B1134/(日期!$B$2-日期!$B$1+1)</f>
        <v>0</v>
      </c>
    </row>
    <row r="1135" spans="2:3">
      <c r="B1135">
        <f>SUMIFS(allorders!O:O,allorders!L:L,'数据处理(仓储使用)'!$A1135,allorders!$AG:$AG,"&lt;="&amp;日期!$B$2,allorders!$AG:$AG,"&gt;="&amp;日期!$B$1)</f>
        <v>0</v>
      </c>
      <c r="C1135">
        <f>B1135/(日期!$B$2-日期!$B$1+1)</f>
        <v>0</v>
      </c>
    </row>
    <row r="1136" spans="2:3">
      <c r="B1136">
        <f>SUMIFS(allorders!O:O,allorders!L:L,'数据处理(仓储使用)'!$A1136,allorders!$AG:$AG,"&lt;="&amp;日期!$B$2,allorders!$AG:$AG,"&gt;="&amp;日期!$B$1)</f>
        <v>0</v>
      </c>
      <c r="C1136">
        <f>B1136/(日期!$B$2-日期!$B$1+1)</f>
        <v>0</v>
      </c>
    </row>
    <row r="1137" spans="2:3">
      <c r="B1137">
        <f>SUMIFS(allorders!O:O,allorders!L:L,'数据处理(仓储使用)'!$A1137,allorders!$AG:$AG,"&lt;="&amp;日期!$B$2,allorders!$AG:$AG,"&gt;="&amp;日期!$B$1)</f>
        <v>0</v>
      </c>
      <c r="C1137">
        <f>B1137/(日期!$B$2-日期!$B$1+1)</f>
        <v>0</v>
      </c>
    </row>
    <row r="1138" spans="2:3">
      <c r="B1138">
        <f>SUMIFS(allorders!O:O,allorders!L:L,'数据处理(仓储使用)'!$A1138,allorders!$AG:$AG,"&lt;="&amp;日期!$B$2,allorders!$AG:$AG,"&gt;="&amp;日期!$B$1)</f>
        <v>0</v>
      </c>
      <c r="C1138">
        <f>B1138/(日期!$B$2-日期!$B$1+1)</f>
        <v>0</v>
      </c>
    </row>
    <row r="1139" spans="2:3">
      <c r="B1139">
        <f>SUMIFS(allorders!O:O,allorders!L:L,'数据处理(仓储使用)'!$A1139,allorders!$AG:$AG,"&lt;="&amp;日期!$B$2,allorders!$AG:$AG,"&gt;="&amp;日期!$B$1)</f>
        <v>0</v>
      </c>
      <c r="C1139">
        <f>B1139/(日期!$B$2-日期!$B$1+1)</f>
        <v>0</v>
      </c>
    </row>
    <row r="1140" spans="2:3">
      <c r="B1140">
        <f>SUMIFS(allorders!O:O,allorders!L:L,'数据处理(仓储使用)'!$A1140,allorders!$AG:$AG,"&lt;="&amp;日期!$B$2,allorders!$AG:$AG,"&gt;="&amp;日期!$B$1)</f>
        <v>0</v>
      </c>
      <c r="C1140">
        <f>B1140/(日期!$B$2-日期!$B$1+1)</f>
        <v>0</v>
      </c>
    </row>
    <row r="1141" spans="2:3">
      <c r="B1141">
        <f>SUMIFS(allorders!O:O,allorders!L:L,'数据处理(仓储使用)'!$A1141,allorders!$AG:$AG,"&lt;="&amp;日期!$B$2,allorders!$AG:$AG,"&gt;="&amp;日期!$B$1)</f>
        <v>0</v>
      </c>
      <c r="C1141">
        <f>B1141/(日期!$B$2-日期!$B$1+1)</f>
        <v>0</v>
      </c>
    </row>
    <row r="1142" spans="2:3">
      <c r="B1142">
        <f>SUMIFS(allorders!O:O,allorders!L:L,'数据处理(仓储使用)'!$A1142,allorders!$AG:$AG,"&lt;="&amp;日期!$B$2,allorders!$AG:$AG,"&gt;="&amp;日期!$B$1)</f>
        <v>0</v>
      </c>
      <c r="C1142">
        <f>B1142/(日期!$B$2-日期!$B$1+1)</f>
        <v>0</v>
      </c>
    </row>
    <row r="1143" spans="2:3">
      <c r="B1143">
        <f>SUMIFS(allorders!O:O,allorders!L:L,'数据处理(仓储使用)'!$A1143,allorders!$AG:$AG,"&lt;="&amp;日期!$B$2,allorders!$AG:$AG,"&gt;="&amp;日期!$B$1)</f>
        <v>0</v>
      </c>
      <c r="C1143">
        <f>B1143/(日期!$B$2-日期!$B$1+1)</f>
        <v>0</v>
      </c>
    </row>
    <row r="1144" spans="2:3">
      <c r="B1144">
        <f>SUMIFS(allorders!O:O,allorders!L:L,'数据处理(仓储使用)'!$A1144,allorders!$AG:$AG,"&lt;="&amp;日期!$B$2,allorders!$AG:$AG,"&gt;="&amp;日期!$B$1)</f>
        <v>0</v>
      </c>
      <c r="C1144">
        <f>B1144/(日期!$B$2-日期!$B$1+1)</f>
        <v>0</v>
      </c>
    </row>
    <row r="1145" spans="2:3">
      <c r="B1145">
        <f>SUMIFS(allorders!O:O,allorders!L:L,'数据处理(仓储使用)'!$A1145,allorders!$AG:$AG,"&lt;="&amp;日期!$B$2,allorders!$AG:$AG,"&gt;="&amp;日期!$B$1)</f>
        <v>0</v>
      </c>
      <c r="C1145">
        <f>B1145/(日期!$B$2-日期!$B$1+1)</f>
        <v>0</v>
      </c>
    </row>
    <row r="1146" spans="2:3">
      <c r="B1146">
        <f>SUMIFS(allorders!O:O,allorders!L:L,'数据处理(仓储使用)'!$A1146,allorders!$AG:$AG,"&lt;="&amp;日期!$B$2,allorders!$AG:$AG,"&gt;="&amp;日期!$B$1)</f>
        <v>0</v>
      </c>
      <c r="C1146">
        <f>B1146/(日期!$B$2-日期!$B$1+1)</f>
        <v>0</v>
      </c>
    </row>
    <row r="1147" spans="2:3">
      <c r="B1147">
        <f>SUMIFS(allorders!O:O,allorders!L:L,'数据处理(仓储使用)'!$A1147,allorders!$AG:$AG,"&lt;="&amp;日期!$B$2,allorders!$AG:$AG,"&gt;="&amp;日期!$B$1)</f>
        <v>0</v>
      </c>
      <c r="C1147">
        <f>B1147/(日期!$B$2-日期!$B$1+1)</f>
        <v>0</v>
      </c>
    </row>
    <row r="1148" spans="2:3">
      <c r="B1148">
        <f>SUMIFS(allorders!O:O,allorders!L:L,'数据处理(仓储使用)'!$A1148,allorders!$AG:$AG,"&lt;="&amp;日期!$B$2,allorders!$AG:$AG,"&gt;="&amp;日期!$B$1)</f>
        <v>0</v>
      </c>
      <c r="C1148">
        <f>B1148/(日期!$B$2-日期!$B$1+1)</f>
        <v>0</v>
      </c>
    </row>
    <row r="1149" spans="2:3">
      <c r="B1149">
        <f>SUMIFS(allorders!O:O,allorders!L:L,'数据处理(仓储使用)'!$A1149,allorders!$AG:$AG,"&lt;="&amp;日期!$B$2,allorders!$AG:$AG,"&gt;="&amp;日期!$B$1)</f>
        <v>0</v>
      </c>
      <c r="C1149">
        <f>B1149/(日期!$B$2-日期!$B$1+1)</f>
        <v>0</v>
      </c>
    </row>
    <row r="1150" spans="2:3">
      <c r="B1150">
        <f>SUMIFS(allorders!O:O,allorders!L:L,'数据处理(仓储使用)'!$A1150,allorders!$AG:$AG,"&lt;="&amp;日期!$B$2,allorders!$AG:$AG,"&gt;="&amp;日期!$B$1)</f>
        <v>0</v>
      </c>
      <c r="C1150">
        <f>B1150/(日期!$B$2-日期!$B$1+1)</f>
        <v>0</v>
      </c>
    </row>
    <row r="1151" spans="2:3">
      <c r="B1151">
        <f>SUMIFS(allorders!O:O,allorders!L:L,'数据处理(仓储使用)'!$A1151,allorders!$AG:$AG,"&lt;="&amp;日期!$B$2,allorders!$AG:$AG,"&gt;="&amp;日期!$B$1)</f>
        <v>0</v>
      </c>
      <c r="C1151">
        <f>B1151/(日期!$B$2-日期!$B$1+1)</f>
        <v>0</v>
      </c>
    </row>
    <row r="1152" spans="2:3">
      <c r="B1152">
        <f>SUMIFS(allorders!O:O,allorders!L:L,'数据处理(仓储使用)'!$A1152,allorders!$AG:$AG,"&lt;="&amp;日期!$B$2,allorders!$AG:$AG,"&gt;="&amp;日期!$B$1)</f>
        <v>0</v>
      </c>
      <c r="C1152">
        <f>B1152/(日期!$B$2-日期!$B$1+1)</f>
        <v>0</v>
      </c>
    </row>
    <row r="1153" spans="2:3">
      <c r="B1153">
        <f>SUMIFS(allorders!O:O,allorders!L:L,'数据处理(仓储使用)'!$A1153,allorders!$AG:$AG,"&lt;="&amp;日期!$B$2,allorders!$AG:$AG,"&gt;="&amp;日期!$B$1)</f>
        <v>0</v>
      </c>
      <c r="C1153">
        <f>B1153/(日期!$B$2-日期!$B$1+1)</f>
        <v>0</v>
      </c>
    </row>
    <row r="1154" spans="2:3">
      <c r="B1154">
        <f>SUMIFS(allorders!O:O,allorders!L:L,'数据处理(仓储使用)'!$A1154,allorders!$AG:$AG,"&lt;="&amp;日期!$B$2,allorders!$AG:$AG,"&gt;="&amp;日期!$B$1)</f>
        <v>0</v>
      </c>
      <c r="C1154">
        <f>B1154/(日期!$B$2-日期!$B$1+1)</f>
        <v>0</v>
      </c>
    </row>
    <row r="1155" spans="2:3">
      <c r="B1155">
        <f>SUMIFS(allorders!O:O,allorders!L:L,'数据处理(仓储使用)'!$A1155,allorders!$AG:$AG,"&lt;="&amp;日期!$B$2,allorders!$AG:$AG,"&gt;="&amp;日期!$B$1)</f>
        <v>0</v>
      </c>
      <c r="C1155">
        <f>B1155/(日期!$B$2-日期!$B$1+1)</f>
        <v>0</v>
      </c>
    </row>
    <row r="1156" spans="2:3">
      <c r="B1156">
        <f>SUMIFS(allorders!O:O,allorders!L:L,'数据处理(仓储使用)'!$A1156,allorders!$AG:$AG,"&lt;="&amp;日期!$B$2,allorders!$AG:$AG,"&gt;="&amp;日期!$B$1)</f>
        <v>0</v>
      </c>
      <c r="C1156">
        <f>B1156/(日期!$B$2-日期!$B$1+1)</f>
        <v>0</v>
      </c>
    </row>
    <row r="1157" spans="2:3">
      <c r="B1157">
        <f>SUMIFS(allorders!O:O,allorders!L:L,'数据处理(仓储使用)'!$A1157,allorders!$AG:$AG,"&lt;="&amp;日期!$B$2,allorders!$AG:$AG,"&gt;="&amp;日期!$B$1)</f>
        <v>0</v>
      </c>
      <c r="C1157">
        <f>B1157/(日期!$B$2-日期!$B$1+1)</f>
        <v>0</v>
      </c>
    </row>
    <row r="1158" spans="2:3">
      <c r="B1158">
        <f>SUMIFS(allorders!O:O,allorders!L:L,'数据处理(仓储使用)'!$A1158,allorders!$AG:$AG,"&lt;="&amp;日期!$B$2,allorders!$AG:$AG,"&gt;="&amp;日期!$B$1)</f>
        <v>0</v>
      </c>
      <c r="C1158">
        <f>B1158/(日期!$B$2-日期!$B$1+1)</f>
        <v>0</v>
      </c>
    </row>
    <row r="1159" spans="2:3">
      <c r="B1159">
        <f>SUMIFS(allorders!O:O,allorders!L:L,'数据处理(仓储使用)'!$A1159,allorders!$AG:$AG,"&lt;="&amp;日期!$B$2,allorders!$AG:$AG,"&gt;="&amp;日期!$B$1)</f>
        <v>0</v>
      </c>
      <c r="C1159">
        <f>B1159/(日期!$B$2-日期!$B$1+1)</f>
        <v>0</v>
      </c>
    </row>
    <row r="1160" spans="2:3">
      <c r="B1160">
        <f>SUMIFS(allorders!O:O,allorders!L:L,'数据处理(仓储使用)'!$A1160,allorders!$AG:$AG,"&lt;="&amp;日期!$B$2,allorders!$AG:$AG,"&gt;="&amp;日期!$B$1)</f>
        <v>0</v>
      </c>
      <c r="C1160">
        <f>B1160/(日期!$B$2-日期!$B$1+1)</f>
        <v>0</v>
      </c>
    </row>
    <row r="1161" spans="2:3">
      <c r="B1161">
        <f>SUMIFS(allorders!O:O,allorders!L:L,'数据处理(仓储使用)'!$A1161,allorders!$AG:$AG,"&lt;="&amp;日期!$B$2,allorders!$AG:$AG,"&gt;="&amp;日期!$B$1)</f>
        <v>0</v>
      </c>
      <c r="C1161">
        <f>B1161/(日期!$B$2-日期!$B$1+1)</f>
        <v>0</v>
      </c>
    </row>
    <row r="1162" spans="2:3">
      <c r="B1162">
        <f>SUMIFS(allorders!O:O,allorders!L:L,'数据处理(仓储使用)'!$A1162,allorders!$AG:$AG,"&lt;="&amp;日期!$B$2,allorders!$AG:$AG,"&gt;="&amp;日期!$B$1)</f>
        <v>0</v>
      </c>
      <c r="C1162">
        <f>B1162/(日期!$B$2-日期!$B$1+1)</f>
        <v>0</v>
      </c>
    </row>
    <row r="1163" spans="2:3">
      <c r="B1163">
        <f>SUMIFS(allorders!O:O,allorders!L:L,'数据处理(仓储使用)'!$A1163,allorders!$AG:$AG,"&lt;="&amp;日期!$B$2,allorders!$AG:$AG,"&gt;="&amp;日期!$B$1)</f>
        <v>0</v>
      </c>
      <c r="C1163">
        <f>B1163/(日期!$B$2-日期!$B$1+1)</f>
        <v>0</v>
      </c>
    </row>
    <row r="1164" spans="2:3">
      <c r="B1164">
        <f>SUMIFS(allorders!O:O,allorders!L:L,'数据处理(仓储使用)'!$A1164,allorders!$AG:$AG,"&lt;="&amp;日期!$B$2,allorders!$AG:$AG,"&gt;="&amp;日期!$B$1)</f>
        <v>0</v>
      </c>
      <c r="C1164">
        <f>B1164/(日期!$B$2-日期!$B$1+1)</f>
        <v>0</v>
      </c>
    </row>
    <row r="1165" spans="2:3">
      <c r="B1165">
        <f>SUMIFS(allorders!O:O,allorders!L:L,'数据处理(仓储使用)'!$A1165,allorders!$AG:$AG,"&lt;="&amp;日期!$B$2,allorders!$AG:$AG,"&gt;="&amp;日期!$B$1)</f>
        <v>0</v>
      </c>
      <c r="C1165">
        <f>B1165/(日期!$B$2-日期!$B$1+1)</f>
        <v>0</v>
      </c>
    </row>
    <row r="1166" spans="2:3">
      <c r="B1166">
        <f>SUMIFS(allorders!O:O,allorders!L:L,'数据处理(仓储使用)'!$A1166,allorders!$AG:$AG,"&lt;="&amp;日期!$B$2,allorders!$AG:$AG,"&gt;="&amp;日期!$B$1)</f>
        <v>0</v>
      </c>
      <c r="C1166">
        <f>B1166/(日期!$B$2-日期!$B$1+1)</f>
        <v>0</v>
      </c>
    </row>
    <row r="1167" spans="2:3">
      <c r="B1167">
        <f>SUMIFS(allorders!O:O,allorders!L:L,'数据处理(仓储使用)'!$A1167,allorders!$AG:$AG,"&lt;="&amp;日期!$B$2,allorders!$AG:$AG,"&gt;="&amp;日期!$B$1)</f>
        <v>0</v>
      </c>
      <c r="C1167">
        <f>B1167/(日期!$B$2-日期!$B$1+1)</f>
        <v>0</v>
      </c>
    </row>
    <row r="1168" spans="2:3">
      <c r="B1168">
        <f>SUMIFS(allorders!O:O,allorders!L:L,'数据处理(仓储使用)'!$A1168,allorders!$AG:$AG,"&lt;="&amp;日期!$B$2,allorders!$AG:$AG,"&gt;="&amp;日期!$B$1)</f>
        <v>0</v>
      </c>
      <c r="C1168">
        <f>B1168/(日期!$B$2-日期!$B$1+1)</f>
        <v>0</v>
      </c>
    </row>
    <row r="1169" spans="2:3">
      <c r="B1169">
        <f>SUMIFS(allorders!O:O,allorders!L:L,'数据处理(仓储使用)'!$A1169,allorders!$AG:$AG,"&lt;="&amp;日期!$B$2,allorders!$AG:$AG,"&gt;="&amp;日期!$B$1)</f>
        <v>0</v>
      </c>
      <c r="C1169">
        <f>B1169/(日期!$B$2-日期!$B$1+1)</f>
        <v>0</v>
      </c>
    </row>
    <row r="1170" spans="2:3">
      <c r="B1170">
        <f>SUMIFS(allorders!O:O,allorders!L:L,'数据处理(仓储使用)'!$A1170,allorders!$AG:$AG,"&lt;="&amp;日期!$B$2,allorders!$AG:$AG,"&gt;="&amp;日期!$B$1)</f>
        <v>0</v>
      </c>
      <c r="C1170">
        <f>B1170/(日期!$B$2-日期!$B$1+1)</f>
        <v>0</v>
      </c>
    </row>
    <row r="1171" spans="2:3">
      <c r="B1171">
        <f>SUMIFS(allorders!O:O,allorders!L:L,'数据处理(仓储使用)'!$A1171,allorders!$AG:$AG,"&lt;="&amp;日期!$B$2,allorders!$AG:$AG,"&gt;="&amp;日期!$B$1)</f>
        <v>0</v>
      </c>
      <c r="C1171">
        <f>B1171/(日期!$B$2-日期!$B$1+1)</f>
        <v>0</v>
      </c>
    </row>
    <row r="1172" spans="2:3">
      <c r="B1172">
        <f>SUMIFS(allorders!O:O,allorders!L:L,'数据处理(仓储使用)'!$A1172,allorders!$AG:$AG,"&lt;="&amp;日期!$B$2,allorders!$AG:$AG,"&gt;="&amp;日期!$B$1)</f>
        <v>0</v>
      </c>
      <c r="C1172">
        <f>B1172/(日期!$B$2-日期!$B$1+1)</f>
        <v>0</v>
      </c>
    </row>
    <row r="1173" spans="2:3">
      <c r="B1173">
        <f>SUMIFS(allorders!O:O,allorders!L:L,'数据处理(仓储使用)'!$A1173,allorders!$AG:$AG,"&lt;="&amp;日期!$B$2,allorders!$AG:$AG,"&gt;="&amp;日期!$B$1)</f>
        <v>0</v>
      </c>
      <c r="C1173">
        <f>B1173/(日期!$B$2-日期!$B$1+1)</f>
        <v>0</v>
      </c>
    </row>
    <row r="1174" spans="2:3">
      <c r="B1174">
        <f>SUMIFS(allorders!O:O,allorders!L:L,'数据处理(仓储使用)'!$A1174,allorders!$AG:$AG,"&lt;="&amp;日期!$B$2,allorders!$AG:$AG,"&gt;="&amp;日期!$B$1)</f>
        <v>0</v>
      </c>
      <c r="C1174">
        <f>B1174/(日期!$B$2-日期!$B$1+1)</f>
        <v>0</v>
      </c>
    </row>
    <row r="1175" spans="2:3">
      <c r="B1175">
        <f>SUMIFS(allorders!O:O,allorders!L:L,'数据处理(仓储使用)'!$A1175,allorders!$AG:$AG,"&lt;="&amp;日期!$B$2,allorders!$AG:$AG,"&gt;="&amp;日期!$B$1)</f>
        <v>0</v>
      </c>
      <c r="C1175">
        <f>B1175/(日期!$B$2-日期!$B$1+1)</f>
        <v>0</v>
      </c>
    </row>
    <row r="1176" spans="2:3">
      <c r="B1176">
        <f>SUMIFS(allorders!O:O,allorders!L:L,'数据处理(仓储使用)'!$A1176,allorders!$AG:$AG,"&lt;="&amp;日期!$B$2,allorders!$AG:$AG,"&gt;="&amp;日期!$B$1)</f>
        <v>0</v>
      </c>
      <c r="C1176">
        <f>B1176/(日期!$B$2-日期!$B$1+1)</f>
        <v>0</v>
      </c>
    </row>
    <row r="1177" spans="2:3">
      <c r="B1177">
        <f>SUMIFS(allorders!O:O,allorders!L:L,'数据处理(仓储使用)'!$A1177,allorders!$AG:$AG,"&lt;="&amp;日期!$B$2,allorders!$AG:$AG,"&gt;="&amp;日期!$B$1)</f>
        <v>0</v>
      </c>
      <c r="C1177">
        <f>B1177/(日期!$B$2-日期!$B$1+1)</f>
        <v>0</v>
      </c>
    </row>
    <row r="1178" spans="2:3">
      <c r="B1178">
        <f>SUMIFS(allorders!O:O,allorders!L:L,'数据处理(仓储使用)'!$A1178,allorders!$AG:$AG,"&lt;="&amp;日期!$B$2,allorders!$AG:$AG,"&gt;="&amp;日期!$B$1)</f>
        <v>0</v>
      </c>
      <c r="C1178">
        <f>B1178/(日期!$B$2-日期!$B$1+1)</f>
        <v>0</v>
      </c>
    </row>
    <row r="1179" spans="2:3">
      <c r="B1179">
        <f>SUMIFS(allorders!O:O,allorders!L:L,'数据处理(仓储使用)'!$A1179,allorders!$AG:$AG,"&lt;="&amp;日期!$B$2,allorders!$AG:$AG,"&gt;="&amp;日期!$B$1)</f>
        <v>0</v>
      </c>
      <c r="C1179">
        <f>B1179/(日期!$B$2-日期!$B$1+1)</f>
        <v>0</v>
      </c>
    </row>
    <row r="1180" spans="2:3">
      <c r="B1180">
        <f>SUMIFS(allorders!O:O,allorders!L:L,'数据处理(仓储使用)'!$A1180,allorders!$AG:$AG,"&lt;="&amp;日期!$B$2,allorders!$AG:$AG,"&gt;="&amp;日期!$B$1)</f>
        <v>0</v>
      </c>
      <c r="C1180">
        <f>B1180/(日期!$B$2-日期!$B$1+1)</f>
        <v>0</v>
      </c>
    </row>
    <row r="1181" spans="2:3">
      <c r="B1181">
        <f>SUMIFS(allorders!O:O,allorders!L:L,'数据处理(仓储使用)'!$A1181,allorders!$AG:$AG,"&lt;="&amp;日期!$B$2,allorders!$AG:$AG,"&gt;="&amp;日期!$B$1)</f>
        <v>0</v>
      </c>
      <c r="C1181">
        <f>B1181/(日期!$B$2-日期!$B$1+1)</f>
        <v>0</v>
      </c>
    </row>
    <row r="1182" spans="2:3">
      <c r="B1182">
        <f>SUMIFS(allorders!O:O,allorders!L:L,'数据处理(仓储使用)'!$A1182,allorders!$AG:$AG,"&lt;="&amp;日期!$B$2,allorders!$AG:$AG,"&gt;="&amp;日期!$B$1)</f>
        <v>0</v>
      </c>
      <c r="C1182">
        <f>B1182/(日期!$B$2-日期!$B$1+1)</f>
        <v>0</v>
      </c>
    </row>
    <row r="1183" spans="2:3">
      <c r="B1183">
        <f>SUMIFS(allorders!O:O,allorders!L:L,'数据处理(仓储使用)'!$A1183,allorders!$AG:$AG,"&lt;="&amp;日期!$B$2,allorders!$AG:$AG,"&gt;="&amp;日期!$B$1)</f>
        <v>0</v>
      </c>
      <c r="C1183">
        <f>B1183/(日期!$B$2-日期!$B$1+1)</f>
        <v>0</v>
      </c>
    </row>
    <row r="1184" spans="2:3">
      <c r="B1184">
        <f>SUMIFS(allorders!O:O,allorders!L:L,'数据处理(仓储使用)'!$A1184,allorders!$AG:$AG,"&lt;="&amp;日期!$B$2,allorders!$AG:$AG,"&gt;="&amp;日期!$B$1)</f>
        <v>0</v>
      </c>
      <c r="C1184">
        <f>B1184/(日期!$B$2-日期!$B$1+1)</f>
        <v>0</v>
      </c>
    </row>
    <row r="1185" spans="2:3">
      <c r="B1185">
        <f>SUMIFS(allorders!O:O,allorders!L:L,'数据处理(仓储使用)'!$A1185,allorders!$AG:$AG,"&lt;="&amp;日期!$B$2,allorders!$AG:$AG,"&gt;="&amp;日期!$B$1)</f>
        <v>0</v>
      </c>
      <c r="C1185">
        <f>B1185/(日期!$B$2-日期!$B$1+1)</f>
        <v>0</v>
      </c>
    </row>
    <row r="1186" spans="2:3">
      <c r="B1186">
        <f>SUMIFS(allorders!O:O,allorders!L:L,'数据处理(仓储使用)'!$A1186,allorders!$AG:$AG,"&lt;="&amp;日期!$B$2,allorders!$AG:$AG,"&gt;="&amp;日期!$B$1)</f>
        <v>0</v>
      </c>
      <c r="C1186">
        <f>B1186/(日期!$B$2-日期!$B$1+1)</f>
        <v>0</v>
      </c>
    </row>
    <row r="1187" spans="2:3">
      <c r="B1187">
        <f>SUMIFS(allorders!O:O,allorders!L:L,'数据处理(仓储使用)'!$A1187,allorders!$AG:$AG,"&lt;="&amp;日期!$B$2,allorders!$AG:$AG,"&gt;="&amp;日期!$B$1)</f>
        <v>0</v>
      </c>
      <c r="C1187">
        <f>B1187/(日期!$B$2-日期!$B$1+1)</f>
        <v>0</v>
      </c>
    </row>
    <row r="1188" spans="2:3">
      <c r="B1188">
        <f>SUMIFS(allorders!O:O,allorders!L:L,'数据处理(仓储使用)'!$A1188,allorders!$AG:$AG,"&lt;="&amp;日期!$B$2,allorders!$AG:$AG,"&gt;="&amp;日期!$B$1)</f>
        <v>0</v>
      </c>
      <c r="C1188">
        <f>B1188/(日期!$B$2-日期!$B$1+1)</f>
        <v>0</v>
      </c>
    </row>
    <row r="1189" spans="2:3">
      <c r="B1189">
        <f>SUMIFS(allorders!O:O,allorders!L:L,'数据处理(仓储使用)'!$A1189,allorders!$AG:$AG,"&lt;="&amp;日期!$B$2,allorders!$AG:$AG,"&gt;="&amp;日期!$B$1)</f>
        <v>0</v>
      </c>
      <c r="C1189">
        <f>B1189/(日期!$B$2-日期!$B$1+1)</f>
        <v>0</v>
      </c>
    </row>
    <row r="1190" spans="2:3">
      <c r="B1190">
        <f>SUMIFS(allorders!O:O,allorders!L:L,'数据处理(仓储使用)'!$A1190,allorders!$AG:$AG,"&lt;="&amp;日期!$B$2,allorders!$AG:$AG,"&gt;="&amp;日期!$B$1)</f>
        <v>0</v>
      </c>
      <c r="C1190">
        <f>B1190/(日期!$B$2-日期!$B$1+1)</f>
        <v>0</v>
      </c>
    </row>
    <row r="1191" spans="2:3">
      <c r="B1191">
        <f>SUMIFS(allorders!O:O,allorders!L:L,'数据处理(仓储使用)'!$A1191,allorders!$AG:$AG,"&lt;="&amp;日期!$B$2,allorders!$AG:$AG,"&gt;="&amp;日期!$B$1)</f>
        <v>0</v>
      </c>
      <c r="C1191">
        <f>B1191/(日期!$B$2-日期!$B$1+1)</f>
        <v>0</v>
      </c>
    </row>
    <row r="1192" spans="2:3">
      <c r="B1192">
        <f>SUMIFS(allorders!O:O,allorders!L:L,'数据处理(仓储使用)'!$A1192,allorders!$AG:$AG,"&lt;="&amp;日期!$B$2,allorders!$AG:$AG,"&gt;="&amp;日期!$B$1)</f>
        <v>0</v>
      </c>
      <c r="C1192">
        <f>B1192/(日期!$B$2-日期!$B$1+1)</f>
        <v>0</v>
      </c>
    </row>
    <row r="1193" spans="2:3">
      <c r="B1193">
        <f>SUMIFS(allorders!O:O,allorders!L:L,'数据处理(仓储使用)'!$A1193,allorders!$AG:$AG,"&lt;="&amp;日期!$B$2,allorders!$AG:$AG,"&gt;="&amp;日期!$B$1)</f>
        <v>0</v>
      </c>
      <c r="C1193">
        <f>B1193/(日期!$B$2-日期!$B$1+1)</f>
        <v>0</v>
      </c>
    </row>
    <row r="1194" spans="2:3">
      <c r="B1194">
        <f>SUMIFS(allorders!O:O,allorders!L:L,'数据处理(仓储使用)'!$A1194,allorders!$AG:$AG,"&lt;="&amp;日期!$B$2,allorders!$AG:$AG,"&gt;="&amp;日期!$B$1)</f>
        <v>0</v>
      </c>
      <c r="C1194">
        <f>B1194/(日期!$B$2-日期!$B$1+1)</f>
        <v>0</v>
      </c>
    </row>
    <row r="1195" spans="2:3">
      <c r="B1195">
        <f>SUMIFS(allorders!O:O,allorders!L:L,'数据处理(仓储使用)'!$A1195,allorders!$AG:$AG,"&lt;="&amp;日期!$B$2,allorders!$AG:$AG,"&gt;="&amp;日期!$B$1)</f>
        <v>0</v>
      </c>
      <c r="C1195">
        <f>B1195/(日期!$B$2-日期!$B$1+1)</f>
        <v>0</v>
      </c>
    </row>
    <row r="1196" spans="2:3">
      <c r="B1196">
        <f>SUMIFS(allorders!O:O,allorders!L:L,'数据处理(仓储使用)'!$A1196,allorders!$AG:$AG,"&lt;="&amp;日期!$B$2,allorders!$AG:$AG,"&gt;="&amp;日期!$B$1)</f>
        <v>0</v>
      </c>
      <c r="C1196">
        <f>B1196/(日期!$B$2-日期!$B$1+1)</f>
        <v>0</v>
      </c>
    </row>
    <row r="1197" spans="2:3">
      <c r="B1197">
        <f>SUMIFS(allorders!O:O,allorders!L:L,'数据处理(仓储使用)'!$A1197,allorders!$AG:$AG,"&lt;="&amp;日期!$B$2,allorders!$AG:$AG,"&gt;="&amp;日期!$B$1)</f>
        <v>0</v>
      </c>
      <c r="C1197">
        <f>B1197/(日期!$B$2-日期!$B$1+1)</f>
        <v>0</v>
      </c>
    </row>
    <row r="1198" spans="2:3">
      <c r="B1198">
        <f>SUMIFS(allorders!O:O,allorders!L:L,'数据处理(仓储使用)'!$A1198,allorders!$AG:$AG,"&lt;="&amp;日期!$B$2,allorders!$AG:$AG,"&gt;="&amp;日期!$B$1)</f>
        <v>0</v>
      </c>
      <c r="C1198">
        <f>B1198/(日期!$B$2-日期!$B$1+1)</f>
        <v>0</v>
      </c>
    </row>
    <row r="1199" spans="2:3">
      <c r="B1199">
        <f>SUMIFS(allorders!O:O,allorders!L:L,'数据处理(仓储使用)'!$A1199,allorders!$AG:$AG,"&lt;="&amp;日期!$B$2,allorders!$AG:$AG,"&gt;="&amp;日期!$B$1)</f>
        <v>0</v>
      </c>
      <c r="C1199">
        <f>B1199/(日期!$B$2-日期!$B$1+1)</f>
        <v>0</v>
      </c>
    </row>
    <row r="1200" spans="2:3">
      <c r="B1200">
        <f>SUMIFS(allorders!O:O,allorders!L:L,'数据处理(仓储使用)'!$A1200,allorders!$AG:$AG,"&lt;="&amp;日期!$B$2,allorders!$AG:$AG,"&gt;="&amp;日期!$B$1)</f>
        <v>0</v>
      </c>
      <c r="C1200">
        <f>B1200/(日期!$B$2-日期!$B$1+1)</f>
        <v>0</v>
      </c>
    </row>
    <row r="1201" spans="2:3">
      <c r="B1201">
        <f>SUMIFS(allorders!O:O,allorders!L:L,'数据处理(仓储使用)'!$A1201,allorders!$AG:$AG,"&lt;="&amp;日期!$B$2,allorders!$AG:$AG,"&gt;="&amp;日期!$B$1)</f>
        <v>0</v>
      </c>
      <c r="C1201">
        <f>B1201/(日期!$B$2-日期!$B$1+1)</f>
        <v>0</v>
      </c>
    </row>
    <row r="1202" spans="2:3">
      <c r="B1202">
        <f>SUMIFS(allorders!O:O,allorders!L:L,'数据处理(仓储使用)'!$A1202,allorders!$AG:$AG,"&lt;="&amp;日期!$B$2,allorders!$AG:$AG,"&gt;="&amp;日期!$B$1)</f>
        <v>0</v>
      </c>
      <c r="C1202">
        <f>B1202/(日期!$B$2-日期!$B$1+1)</f>
        <v>0</v>
      </c>
    </row>
    <row r="1203" spans="2:3">
      <c r="B1203">
        <f>SUMIFS(allorders!O:O,allorders!L:L,'数据处理(仓储使用)'!$A1203,allorders!$AG:$AG,"&lt;="&amp;日期!$B$2,allorders!$AG:$AG,"&gt;="&amp;日期!$B$1)</f>
        <v>0</v>
      </c>
      <c r="C1203">
        <f>B1203/(日期!$B$2-日期!$B$1+1)</f>
        <v>0</v>
      </c>
    </row>
    <row r="1204" spans="2:3">
      <c r="B1204">
        <f>SUMIFS(allorders!O:O,allorders!L:L,'数据处理(仓储使用)'!$A1204,allorders!$AG:$AG,"&lt;="&amp;日期!$B$2,allorders!$AG:$AG,"&gt;="&amp;日期!$B$1)</f>
        <v>0</v>
      </c>
      <c r="C1204">
        <f>B1204/(日期!$B$2-日期!$B$1+1)</f>
        <v>0</v>
      </c>
    </row>
    <row r="1205" spans="2:3">
      <c r="B1205">
        <f>SUMIFS(allorders!O:O,allorders!L:L,'数据处理(仓储使用)'!$A1205,allorders!$AG:$AG,"&lt;="&amp;日期!$B$2,allorders!$AG:$AG,"&gt;="&amp;日期!$B$1)</f>
        <v>0</v>
      </c>
      <c r="C1205">
        <f>B1205/(日期!$B$2-日期!$B$1+1)</f>
        <v>0</v>
      </c>
    </row>
    <row r="1206" spans="2:3">
      <c r="B1206">
        <f>SUMIFS(allorders!O:O,allorders!L:L,'数据处理(仓储使用)'!$A1206,allorders!$AG:$AG,"&lt;="&amp;日期!$B$2,allorders!$AG:$AG,"&gt;="&amp;日期!$B$1)</f>
        <v>0</v>
      </c>
      <c r="C1206">
        <f>B1206/(日期!$B$2-日期!$B$1+1)</f>
        <v>0</v>
      </c>
    </row>
    <row r="1207" spans="2:3">
      <c r="B1207">
        <f>SUMIFS(allorders!O:O,allorders!L:L,'数据处理(仓储使用)'!$A1207,allorders!$AG:$AG,"&lt;="&amp;日期!$B$2,allorders!$AG:$AG,"&gt;="&amp;日期!$B$1)</f>
        <v>0</v>
      </c>
      <c r="C1207">
        <f>B1207/(日期!$B$2-日期!$B$1+1)</f>
        <v>0</v>
      </c>
    </row>
    <row r="1208" spans="2:3">
      <c r="B1208">
        <f>SUMIFS(allorders!O:O,allorders!L:L,'数据处理(仓储使用)'!$A1208,allorders!$AG:$AG,"&lt;="&amp;日期!$B$2,allorders!$AG:$AG,"&gt;="&amp;日期!$B$1)</f>
        <v>0</v>
      </c>
      <c r="C1208">
        <f>B1208/(日期!$B$2-日期!$B$1+1)</f>
        <v>0</v>
      </c>
    </row>
    <row r="1209" spans="2:3">
      <c r="B1209">
        <f>SUMIFS(allorders!O:O,allorders!L:L,'数据处理(仓储使用)'!$A1209,allorders!$AG:$AG,"&lt;="&amp;日期!$B$2,allorders!$AG:$AG,"&gt;="&amp;日期!$B$1)</f>
        <v>0</v>
      </c>
      <c r="C1209">
        <f>B1209/(日期!$B$2-日期!$B$1+1)</f>
        <v>0</v>
      </c>
    </row>
    <row r="1210" spans="2:3">
      <c r="B1210">
        <f>SUMIFS(allorders!O:O,allorders!L:L,'数据处理(仓储使用)'!$A1210,allorders!$AG:$AG,"&lt;="&amp;日期!$B$2,allorders!$AG:$AG,"&gt;="&amp;日期!$B$1)</f>
        <v>0</v>
      </c>
      <c r="C1210">
        <f>B1210/(日期!$B$2-日期!$B$1+1)</f>
        <v>0</v>
      </c>
    </row>
    <row r="1211" spans="2:3">
      <c r="B1211">
        <f>SUMIFS(allorders!O:O,allorders!L:L,'数据处理(仓储使用)'!$A1211,allorders!$AG:$AG,"&lt;="&amp;日期!$B$2,allorders!$AG:$AG,"&gt;="&amp;日期!$B$1)</f>
        <v>0</v>
      </c>
      <c r="C1211">
        <f>B1211/(日期!$B$2-日期!$B$1+1)</f>
        <v>0</v>
      </c>
    </row>
    <row r="1212" spans="2:3">
      <c r="B1212">
        <f>SUMIFS(allorders!O:O,allorders!L:L,'数据处理(仓储使用)'!$A1212,allorders!$AG:$AG,"&lt;="&amp;日期!$B$2,allorders!$AG:$AG,"&gt;="&amp;日期!$B$1)</f>
        <v>0</v>
      </c>
      <c r="C1212">
        <f>B1212/(日期!$B$2-日期!$B$1+1)</f>
        <v>0</v>
      </c>
    </row>
    <row r="1213" spans="2:3">
      <c r="B1213">
        <f>SUMIFS(allorders!O:O,allorders!L:L,'数据处理(仓储使用)'!$A1213,allorders!$AG:$AG,"&lt;="&amp;日期!$B$2,allorders!$AG:$AG,"&gt;="&amp;日期!$B$1)</f>
        <v>0</v>
      </c>
      <c r="C1213">
        <f>B1213/(日期!$B$2-日期!$B$1+1)</f>
        <v>0</v>
      </c>
    </row>
    <row r="1214" spans="2:3">
      <c r="B1214">
        <f>SUMIFS(allorders!O:O,allorders!L:L,'数据处理(仓储使用)'!$A1214,allorders!$AG:$AG,"&lt;="&amp;日期!$B$2,allorders!$AG:$AG,"&gt;="&amp;日期!$B$1)</f>
        <v>0</v>
      </c>
      <c r="C1214">
        <f>B1214/(日期!$B$2-日期!$B$1+1)</f>
        <v>0</v>
      </c>
    </row>
    <row r="1215" spans="2:3">
      <c r="B1215">
        <f>SUMIFS(allorders!O:O,allorders!L:L,'数据处理(仓储使用)'!$A1215,allorders!$AG:$AG,"&lt;="&amp;日期!$B$2,allorders!$AG:$AG,"&gt;="&amp;日期!$B$1)</f>
        <v>0</v>
      </c>
      <c r="C1215">
        <f>B1215/(日期!$B$2-日期!$B$1+1)</f>
        <v>0</v>
      </c>
    </row>
    <row r="1216" spans="2:3">
      <c r="B1216">
        <f>SUMIFS(allorders!O:O,allorders!L:L,'数据处理(仓储使用)'!$A1216,allorders!$AG:$AG,"&lt;="&amp;日期!$B$2,allorders!$AG:$AG,"&gt;="&amp;日期!$B$1)</f>
        <v>0</v>
      </c>
      <c r="C1216">
        <f>B1216/(日期!$B$2-日期!$B$1+1)</f>
        <v>0</v>
      </c>
    </row>
    <row r="1217" spans="2:3">
      <c r="B1217">
        <f>SUMIFS(allorders!O:O,allorders!L:L,'数据处理(仓储使用)'!$A1217,allorders!$AG:$AG,"&lt;="&amp;日期!$B$2,allorders!$AG:$AG,"&gt;="&amp;日期!$B$1)</f>
        <v>0</v>
      </c>
      <c r="C1217">
        <f>B1217/(日期!$B$2-日期!$B$1+1)</f>
        <v>0</v>
      </c>
    </row>
    <row r="1218" spans="2:3">
      <c r="B1218">
        <f>SUMIFS(allorders!O:O,allorders!L:L,'数据处理(仓储使用)'!$A1218,allorders!$AG:$AG,"&lt;="&amp;日期!$B$2,allorders!$AG:$AG,"&gt;="&amp;日期!$B$1)</f>
        <v>0</v>
      </c>
      <c r="C1218">
        <f>B1218/(日期!$B$2-日期!$B$1+1)</f>
        <v>0</v>
      </c>
    </row>
    <row r="1219" spans="2:3">
      <c r="B1219">
        <f>SUMIFS(allorders!O:O,allorders!L:L,'数据处理(仓储使用)'!$A1219,allorders!$AG:$AG,"&lt;="&amp;日期!$B$2,allorders!$AG:$AG,"&gt;="&amp;日期!$B$1)</f>
        <v>0</v>
      </c>
      <c r="C1219">
        <f>B1219/(日期!$B$2-日期!$B$1+1)</f>
        <v>0</v>
      </c>
    </row>
    <row r="1220" spans="2:3">
      <c r="B1220">
        <f>SUMIFS(allorders!O:O,allorders!L:L,'数据处理(仓储使用)'!$A1220,allorders!$AG:$AG,"&lt;="&amp;日期!$B$2,allorders!$AG:$AG,"&gt;="&amp;日期!$B$1)</f>
        <v>0</v>
      </c>
      <c r="C1220">
        <f>B1220/(日期!$B$2-日期!$B$1+1)</f>
        <v>0</v>
      </c>
    </row>
    <row r="1221" spans="2:3">
      <c r="B1221">
        <f>SUMIFS(allorders!O:O,allorders!L:L,'数据处理(仓储使用)'!$A1221,allorders!$AG:$AG,"&lt;="&amp;日期!$B$2,allorders!$AG:$AG,"&gt;="&amp;日期!$B$1)</f>
        <v>0</v>
      </c>
      <c r="C1221">
        <f>B1221/(日期!$B$2-日期!$B$1+1)</f>
        <v>0</v>
      </c>
    </row>
    <row r="1222" spans="2:3">
      <c r="B1222">
        <f>SUMIFS(allorders!O:O,allorders!L:L,'数据处理(仓储使用)'!$A1222,allorders!$AG:$AG,"&lt;="&amp;日期!$B$2,allorders!$AG:$AG,"&gt;="&amp;日期!$B$1)</f>
        <v>0</v>
      </c>
      <c r="C1222">
        <f>B1222/(日期!$B$2-日期!$B$1+1)</f>
        <v>0</v>
      </c>
    </row>
    <row r="1223" spans="2:3">
      <c r="B1223">
        <f>SUMIFS(allorders!O:O,allorders!L:L,'数据处理(仓储使用)'!$A1223,allorders!$AG:$AG,"&lt;="&amp;日期!$B$2,allorders!$AG:$AG,"&gt;="&amp;日期!$B$1)</f>
        <v>0</v>
      </c>
      <c r="C1223">
        <f>B1223/(日期!$B$2-日期!$B$1+1)</f>
        <v>0</v>
      </c>
    </row>
    <row r="1224" spans="2:3">
      <c r="B1224">
        <f>SUMIFS(allorders!O:O,allorders!L:L,'数据处理(仓储使用)'!$A1224,allorders!$AG:$AG,"&lt;="&amp;日期!$B$2,allorders!$AG:$AG,"&gt;="&amp;日期!$B$1)</f>
        <v>0</v>
      </c>
      <c r="C1224">
        <f>B1224/(日期!$B$2-日期!$B$1+1)</f>
        <v>0</v>
      </c>
    </row>
    <row r="1225" spans="2:3">
      <c r="B1225">
        <f>SUMIFS(allorders!O:O,allorders!L:L,'数据处理(仓储使用)'!$A1225,allorders!$AG:$AG,"&lt;="&amp;日期!$B$2,allorders!$AG:$AG,"&gt;="&amp;日期!$B$1)</f>
        <v>0</v>
      </c>
      <c r="C1225">
        <f>B1225/(日期!$B$2-日期!$B$1+1)</f>
        <v>0</v>
      </c>
    </row>
    <row r="1226" spans="2:3">
      <c r="B1226">
        <f>SUMIFS(allorders!O:O,allorders!L:L,'数据处理(仓储使用)'!$A1226,allorders!$AG:$AG,"&lt;="&amp;日期!$B$2,allorders!$AG:$AG,"&gt;="&amp;日期!$B$1)</f>
        <v>0</v>
      </c>
      <c r="C1226">
        <f>B1226/(日期!$B$2-日期!$B$1+1)</f>
        <v>0</v>
      </c>
    </row>
    <row r="1227" spans="2:3">
      <c r="B1227">
        <f>SUMIFS(allorders!O:O,allorders!L:L,'数据处理(仓储使用)'!$A1227,allorders!$AG:$AG,"&lt;="&amp;日期!$B$2,allorders!$AG:$AG,"&gt;="&amp;日期!$B$1)</f>
        <v>0</v>
      </c>
      <c r="C1227">
        <f>B1227/(日期!$B$2-日期!$B$1+1)</f>
        <v>0</v>
      </c>
    </row>
    <row r="1228" spans="2:3">
      <c r="B1228">
        <f>SUMIFS(allorders!O:O,allorders!L:L,'数据处理(仓储使用)'!$A1228,allorders!$AG:$AG,"&lt;="&amp;日期!$B$2,allorders!$AG:$AG,"&gt;="&amp;日期!$B$1)</f>
        <v>0</v>
      </c>
      <c r="C1228">
        <f>B1228/(日期!$B$2-日期!$B$1+1)</f>
        <v>0</v>
      </c>
    </row>
    <row r="1229" spans="2:3">
      <c r="B1229">
        <f>SUMIFS(allorders!O:O,allorders!L:L,'数据处理(仓储使用)'!$A1229,allorders!$AG:$AG,"&lt;="&amp;日期!$B$2,allorders!$AG:$AG,"&gt;="&amp;日期!$B$1)</f>
        <v>0</v>
      </c>
      <c r="C1229">
        <f>B1229/(日期!$B$2-日期!$B$1+1)</f>
        <v>0</v>
      </c>
    </row>
    <row r="1230" spans="2:3">
      <c r="B1230">
        <f>SUMIFS(allorders!O:O,allorders!L:L,'数据处理(仓储使用)'!$A1230,allorders!$AG:$AG,"&lt;="&amp;日期!$B$2,allorders!$AG:$AG,"&gt;="&amp;日期!$B$1)</f>
        <v>0</v>
      </c>
      <c r="C1230">
        <f>B1230/(日期!$B$2-日期!$B$1+1)</f>
        <v>0</v>
      </c>
    </row>
    <row r="1231" spans="2:3">
      <c r="B1231">
        <f>SUMIFS(allorders!O:O,allorders!L:L,'数据处理(仓储使用)'!$A1231,allorders!$AG:$AG,"&lt;="&amp;日期!$B$2,allorders!$AG:$AG,"&gt;="&amp;日期!$B$1)</f>
        <v>0</v>
      </c>
      <c r="C1231">
        <f>B1231/(日期!$B$2-日期!$B$1+1)</f>
        <v>0</v>
      </c>
    </row>
    <row r="1232" spans="2:3">
      <c r="B1232">
        <f>SUMIFS(allorders!O:O,allorders!L:L,'数据处理(仓储使用)'!$A1232,allorders!$AG:$AG,"&lt;="&amp;日期!$B$2,allorders!$AG:$AG,"&gt;="&amp;日期!$B$1)</f>
        <v>0</v>
      </c>
      <c r="C1232">
        <f>B1232/(日期!$B$2-日期!$B$1+1)</f>
        <v>0</v>
      </c>
    </row>
    <row r="1233" spans="2:3">
      <c r="B1233">
        <f>SUMIFS(allorders!O:O,allorders!L:L,'数据处理(仓储使用)'!$A1233,allorders!$AG:$AG,"&lt;="&amp;日期!$B$2,allorders!$AG:$AG,"&gt;="&amp;日期!$B$1)</f>
        <v>0</v>
      </c>
      <c r="C1233">
        <f>B1233/(日期!$B$2-日期!$B$1+1)</f>
        <v>0</v>
      </c>
    </row>
    <row r="1234" spans="2:3">
      <c r="B1234">
        <f>SUMIFS(allorders!O:O,allorders!L:L,'数据处理(仓储使用)'!$A1234,allorders!$AG:$AG,"&lt;="&amp;日期!$B$2,allorders!$AG:$AG,"&gt;="&amp;日期!$B$1)</f>
        <v>0</v>
      </c>
      <c r="C1234">
        <f>B1234/(日期!$B$2-日期!$B$1+1)</f>
        <v>0</v>
      </c>
    </row>
    <row r="1235" spans="2:3">
      <c r="B1235">
        <f>SUMIFS(allorders!O:O,allorders!L:L,'数据处理(仓储使用)'!$A1235,allorders!$AG:$AG,"&lt;="&amp;日期!$B$2,allorders!$AG:$AG,"&gt;="&amp;日期!$B$1)</f>
        <v>0</v>
      </c>
      <c r="C1235">
        <f>B1235/(日期!$B$2-日期!$B$1+1)</f>
        <v>0</v>
      </c>
    </row>
    <row r="1236" spans="2:3">
      <c r="B1236">
        <f>SUMIFS(allorders!O:O,allorders!L:L,'数据处理(仓储使用)'!$A1236,allorders!$AG:$AG,"&lt;="&amp;日期!$B$2,allorders!$AG:$AG,"&gt;="&amp;日期!$B$1)</f>
        <v>0</v>
      </c>
      <c r="C1236">
        <f>B1236/(日期!$B$2-日期!$B$1+1)</f>
        <v>0</v>
      </c>
    </row>
    <row r="1237" spans="2:3">
      <c r="B1237">
        <f>SUMIFS(allorders!O:O,allorders!L:L,'数据处理(仓储使用)'!$A1237,allorders!$AG:$AG,"&lt;="&amp;日期!$B$2,allorders!$AG:$AG,"&gt;="&amp;日期!$B$1)</f>
        <v>0</v>
      </c>
      <c r="C1237">
        <f>B1237/(日期!$B$2-日期!$B$1+1)</f>
        <v>0</v>
      </c>
    </row>
    <row r="1238" spans="2:3">
      <c r="B1238">
        <f>SUMIFS(allorders!O:O,allorders!L:L,'数据处理(仓储使用)'!$A1238,allorders!$AG:$AG,"&lt;="&amp;日期!$B$2,allorders!$AG:$AG,"&gt;="&amp;日期!$B$1)</f>
        <v>0</v>
      </c>
      <c r="C1238">
        <f>B1238/(日期!$B$2-日期!$B$1+1)</f>
        <v>0</v>
      </c>
    </row>
    <row r="1239" spans="2:3">
      <c r="B1239">
        <f>SUMIFS(allorders!O:O,allorders!L:L,'数据处理(仓储使用)'!$A1239,allorders!$AG:$AG,"&lt;="&amp;日期!$B$2,allorders!$AG:$AG,"&gt;="&amp;日期!$B$1)</f>
        <v>0</v>
      </c>
      <c r="C1239">
        <f>B1239/(日期!$B$2-日期!$B$1+1)</f>
        <v>0</v>
      </c>
    </row>
    <row r="1240" spans="2:3">
      <c r="B1240">
        <f>SUMIFS(allorders!O:O,allorders!L:L,'数据处理(仓储使用)'!$A1240,allorders!$AG:$AG,"&lt;="&amp;日期!$B$2,allorders!$AG:$AG,"&gt;="&amp;日期!$B$1)</f>
        <v>0</v>
      </c>
      <c r="C1240">
        <f>B1240/(日期!$B$2-日期!$B$1+1)</f>
        <v>0</v>
      </c>
    </row>
    <row r="1241" spans="2:3">
      <c r="B1241">
        <f>SUMIFS(allorders!O:O,allorders!L:L,'数据处理(仓储使用)'!$A1241,allorders!$AG:$AG,"&lt;="&amp;日期!$B$2,allorders!$AG:$AG,"&gt;="&amp;日期!$B$1)</f>
        <v>0</v>
      </c>
      <c r="C1241">
        <f>B1241/(日期!$B$2-日期!$B$1+1)</f>
        <v>0</v>
      </c>
    </row>
    <row r="1242" spans="2:3">
      <c r="B1242">
        <f>SUMIFS(allorders!O:O,allorders!L:L,'数据处理(仓储使用)'!$A1242,allorders!$AG:$AG,"&lt;="&amp;日期!$B$2,allorders!$AG:$AG,"&gt;="&amp;日期!$B$1)</f>
        <v>0</v>
      </c>
      <c r="C1242">
        <f>B1242/(日期!$B$2-日期!$B$1+1)</f>
        <v>0</v>
      </c>
    </row>
    <row r="1243" spans="2:3">
      <c r="B1243">
        <f>SUMIFS(allorders!O:O,allorders!L:L,'数据处理(仓储使用)'!$A1243,allorders!$AG:$AG,"&lt;="&amp;日期!$B$2,allorders!$AG:$AG,"&gt;="&amp;日期!$B$1)</f>
        <v>0</v>
      </c>
      <c r="C1243">
        <f>B1243/(日期!$B$2-日期!$B$1+1)</f>
        <v>0</v>
      </c>
    </row>
    <row r="1244" spans="2:3">
      <c r="B1244">
        <f>SUMIFS(allorders!O:O,allorders!L:L,'数据处理(仓储使用)'!$A1244,allorders!$AG:$AG,"&lt;="&amp;日期!$B$2,allorders!$AG:$AG,"&gt;="&amp;日期!$B$1)</f>
        <v>0</v>
      </c>
      <c r="C1244">
        <f>B1244/(日期!$B$2-日期!$B$1+1)</f>
        <v>0</v>
      </c>
    </row>
    <row r="1245" spans="2:3">
      <c r="B1245">
        <f>SUMIFS(allorders!O:O,allorders!L:L,'数据处理(仓储使用)'!$A1245,allorders!$AG:$AG,"&lt;="&amp;日期!$B$2,allorders!$AG:$AG,"&gt;="&amp;日期!$B$1)</f>
        <v>0</v>
      </c>
      <c r="C1245">
        <f>B1245/(日期!$B$2-日期!$B$1+1)</f>
        <v>0</v>
      </c>
    </row>
    <row r="1246" spans="2:3">
      <c r="B1246">
        <f>SUMIFS(allorders!O:O,allorders!L:L,'数据处理(仓储使用)'!$A1246,allorders!$AG:$AG,"&lt;="&amp;日期!$B$2,allorders!$AG:$AG,"&gt;="&amp;日期!$B$1)</f>
        <v>0</v>
      </c>
      <c r="C1246">
        <f>B1246/(日期!$B$2-日期!$B$1+1)</f>
        <v>0</v>
      </c>
    </row>
    <row r="1247" spans="2:3">
      <c r="B1247">
        <f>SUMIFS(allorders!O:O,allorders!L:L,'数据处理(仓储使用)'!$A1247,allorders!$AG:$AG,"&lt;="&amp;日期!$B$2,allorders!$AG:$AG,"&gt;="&amp;日期!$B$1)</f>
        <v>0</v>
      </c>
      <c r="C1247">
        <f>B1247/(日期!$B$2-日期!$B$1+1)</f>
        <v>0</v>
      </c>
    </row>
    <row r="1248" spans="2:3">
      <c r="B1248">
        <f>SUMIFS(allorders!O:O,allorders!L:L,'数据处理(仓储使用)'!$A1248,allorders!$AG:$AG,"&lt;="&amp;日期!$B$2,allorders!$AG:$AG,"&gt;="&amp;日期!$B$1)</f>
        <v>0</v>
      </c>
      <c r="C1248">
        <f>B1248/(日期!$B$2-日期!$B$1+1)</f>
        <v>0</v>
      </c>
    </row>
    <row r="1249" spans="2:3">
      <c r="B1249">
        <f>SUMIFS(allorders!O:O,allorders!L:L,'数据处理(仓储使用)'!$A1249,allorders!$AG:$AG,"&lt;="&amp;日期!$B$2,allorders!$AG:$AG,"&gt;="&amp;日期!$B$1)</f>
        <v>0</v>
      </c>
      <c r="C1249">
        <f>B1249/(日期!$B$2-日期!$B$1+1)</f>
        <v>0</v>
      </c>
    </row>
    <row r="1250" spans="2:3">
      <c r="B1250">
        <f>SUMIFS(allorders!O:O,allorders!L:L,'数据处理(仓储使用)'!$A1250,allorders!$AG:$AG,"&lt;="&amp;日期!$B$2,allorders!$AG:$AG,"&gt;="&amp;日期!$B$1)</f>
        <v>0</v>
      </c>
      <c r="C1250">
        <f>B1250/(日期!$B$2-日期!$B$1+1)</f>
        <v>0</v>
      </c>
    </row>
    <row r="1251" spans="2:3">
      <c r="B1251">
        <f>SUMIFS(allorders!O:O,allorders!L:L,'数据处理(仓储使用)'!$A1251,allorders!$AG:$AG,"&lt;="&amp;日期!$B$2,allorders!$AG:$AG,"&gt;="&amp;日期!$B$1)</f>
        <v>0</v>
      </c>
      <c r="C1251">
        <f>B1251/(日期!$B$2-日期!$B$1+1)</f>
        <v>0</v>
      </c>
    </row>
    <row r="1252" spans="2:3">
      <c r="B1252">
        <f>SUMIFS(allorders!O:O,allorders!L:L,'数据处理(仓储使用)'!$A1252,allorders!$AG:$AG,"&lt;="&amp;日期!$B$2,allorders!$AG:$AG,"&gt;="&amp;日期!$B$1)</f>
        <v>0</v>
      </c>
      <c r="C1252">
        <f>B1252/(日期!$B$2-日期!$B$1+1)</f>
        <v>0</v>
      </c>
    </row>
    <row r="1253" spans="2:3">
      <c r="B1253">
        <f>SUMIFS(allorders!O:O,allorders!L:L,'数据处理(仓储使用)'!$A1253,allorders!$AG:$AG,"&lt;="&amp;日期!$B$2,allorders!$AG:$AG,"&gt;="&amp;日期!$B$1)</f>
        <v>0</v>
      </c>
      <c r="C1253">
        <f>B1253/(日期!$B$2-日期!$B$1+1)</f>
        <v>0</v>
      </c>
    </row>
    <row r="1254" spans="2:3">
      <c r="B1254">
        <f>SUMIFS(allorders!O:O,allorders!L:L,'数据处理(仓储使用)'!$A1254,allorders!$AG:$AG,"&lt;="&amp;日期!$B$2,allorders!$AG:$AG,"&gt;="&amp;日期!$B$1)</f>
        <v>0</v>
      </c>
      <c r="C1254">
        <f>B1254/(日期!$B$2-日期!$B$1+1)</f>
        <v>0</v>
      </c>
    </row>
    <row r="1255" spans="2:3">
      <c r="B1255">
        <f>SUMIFS(allorders!O:O,allorders!L:L,'数据处理(仓储使用)'!$A1255,allorders!$AG:$AG,"&lt;="&amp;日期!$B$2,allorders!$AG:$AG,"&gt;="&amp;日期!$B$1)</f>
        <v>0</v>
      </c>
      <c r="C1255">
        <f>B1255/(日期!$B$2-日期!$B$1+1)</f>
        <v>0</v>
      </c>
    </row>
    <row r="1256" spans="2:3">
      <c r="B1256">
        <f>SUMIFS(allorders!O:O,allorders!L:L,'数据处理(仓储使用)'!$A1256,allorders!$AG:$AG,"&lt;="&amp;日期!$B$2,allorders!$AG:$AG,"&gt;="&amp;日期!$B$1)</f>
        <v>0</v>
      </c>
      <c r="C1256">
        <f>B1256/(日期!$B$2-日期!$B$1+1)</f>
        <v>0</v>
      </c>
    </row>
    <row r="1257" spans="2:3">
      <c r="B1257">
        <f>SUMIFS(allorders!O:O,allorders!L:L,'数据处理(仓储使用)'!$A1257,allorders!$AG:$AG,"&lt;="&amp;日期!$B$2,allorders!$AG:$AG,"&gt;="&amp;日期!$B$1)</f>
        <v>0</v>
      </c>
      <c r="C1257">
        <f>B1257/(日期!$B$2-日期!$B$1+1)</f>
        <v>0</v>
      </c>
    </row>
    <row r="1258" spans="2:3">
      <c r="B1258">
        <f>SUMIFS(allorders!O:O,allorders!L:L,'数据处理(仓储使用)'!$A1258,allorders!$AG:$AG,"&lt;="&amp;日期!$B$2,allorders!$AG:$AG,"&gt;="&amp;日期!$B$1)</f>
        <v>0</v>
      </c>
      <c r="C1258">
        <f>B1258/(日期!$B$2-日期!$B$1+1)</f>
        <v>0</v>
      </c>
    </row>
    <row r="1259" spans="2:3">
      <c r="B1259">
        <f>SUMIFS(allorders!O:O,allorders!L:L,'数据处理(仓储使用)'!$A1259,allorders!$AG:$AG,"&lt;="&amp;日期!$B$2,allorders!$AG:$AG,"&gt;="&amp;日期!$B$1)</f>
        <v>0</v>
      </c>
      <c r="C1259">
        <f>B1259/(日期!$B$2-日期!$B$1+1)</f>
        <v>0</v>
      </c>
    </row>
    <row r="1260" spans="2:3">
      <c r="B1260">
        <f>SUMIFS(allorders!O:O,allorders!L:L,'数据处理(仓储使用)'!$A1260,allorders!$AG:$AG,"&lt;="&amp;日期!$B$2,allorders!$AG:$AG,"&gt;="&amp;日期!$B$1)</f>
        <v>0</v>
      </c>
      <c r="C1260">
        <f>B1260/(日期!$B$2-日期!$B$1+1)</f>
        <v>0</v>
      </c>
    </row>
    <row r="1261" spans="2:3">
      <c r="B1261">
        <f>SUMIFS(allorders!O:O,allorders!L:L,'数据处理(仓储使用)'!$A1261,allorders!$AG:$AG,"&lt;="&amp;日期!$B$2,allorders!$AG:$AG,"&gt;="&amp;日期!$B$1)</f>
        <v>0</v>
      </c>
      <c r="C1261">
        <f>B1261/(日期!$B$2-日期!$B$1+1)</f>
        <v>0</v>
      </c>
    </row>
    <row r="1262" spans="2:3">
      <c r="B1262">
        <f>SUMIFS(allorders!O:O,allorders!L:L,'数据处理(仓储使用)'!$A1262,allorders!$AG:$AG,"&lt;="&amp;日期!$B$2,allorders!$AG:$AG,"&gt;="&amp;日期!$B$1)</f>
        <v>0</v>
      </c>
      <c r="C1262">
        <f>B1262/(日期!$B$2-日期!$B$1+1)</f>
        <v>0</v>
      </c>
    </row>
    <row r="1263" spans="2:3">
      <c r="B1263">
        <f>SUMIFS(allorders!O:O,allorders!L:L,'数据处理(仓储使用)'!$A1263,allorders!$AG:$AG,"&lt;="&amp;日期!$B$2,allorders!$AG:$AG,"&gt;="&amp;日期!$B$1)</f>
        <v>0</v>
      </c>
      <c r="C1263">
        <f>B1263/(日期!$B$2-日期!$B$1+1)</f>
        <v>0</v>
      </c>
    </row>
    <row r="1264" spans="2:3">
      <c r="B1264">
        <f>SUMIFS(allorders!O:O,allorders!L:L,'数据处理(仓储使用)'!$A1264,allorders!$AG:$AG,"&lt;="&amp;日期!$B$2,allorders!$AG:$AG,"&gt;="&amp;日期!$B$1)</f>
        <v>0</v>
      </c>
      <c r="C1264">
        <f>B1264/(日期!$B$2-日期!$B$1+1)</f>
        <v>0</v>
      </c>
    </row>
    <row r="1265" spans="2:3">
      <c r="B1265">
        <f>SUMIFS(allorders!O:O,allorders!L:L,'数据处理(仓储使用)'!$A1265,allorders!$AG:$AG,"&lt;="&amp;日期!$B$2,allorders!$AG:$AG,"&gt;="&amp;日期!$B$1)</f>
        <v>0</v>
      </c>
      <c r="C1265">
        <f>B1265/(日期!$B$2-日期!$B$1+1)</f>
        <v>0</v>
      </c>
    </row>
    <row r="1266" spans="2:3">
      <c r="B1266">
        <f>SUMIFS(allorders!O:O,allorders!L:L,'数据处理(仓储使用)'!$A1266,allorders!$AG:$AG,"&lt;="&amp;日期!$B$2,allorders!$AG:$AG,"&gt;="&amp;日期!$B$1)</f>
        <v>0</v>
      </c>
      <c r="C1266">
        <f>B1266/(日期!$B$2-日期!$B$1+1)</f>
        <v>0</v>
      </c>
    </row>
    <row r="1267" spans="2:3">
      <c r="B1267">
        <f>SUMIFS(allorders!O:O,allorders!L:L,'数据处理(仓储使用)'!$A1267,allorders!$AG:$AG,"&lt;="&amp;日期!$B$2,allorders!$AG:$AG,"&gt;="&amp;日期!$B$1)</f>
        <v>0</v>
      </c>
      <c r="C1267">
        <f>B1267/(日期!$B$2-日期!$B$1+1)</f>
        <v>0</v>
      </c>
    </row>
    <row r="1268" spans="2:3">
      <c r="B1268">
        <f>SUMIFS(allorders!O:O,allorders!L:L,'数据处理(仓储使用)'!$A1268,allorders!$AG:$AG,"&lt;="&amp;日期!$B$2,allorders!$AG:$AG,"&gt;="&amp;日期!$B$1)</f>
        <v>0</v>
      </c>
      <c r="C1268">
        <f>B1268/(日期!$B$2-日期!$B$1+1)</f>
        <v>0</v>
      </c>
    </row>
    <row r="1269" spans="2:3">
      <c r="B1269">
        <f>SUMIFS(allorders!O:O,allorders!L:L,'数据处理(仓储使用)'!$A1269,allorders!$AG:$AG,"&lt;="&amp;日期!$B$2,allorders!$AG:$AG,"&gt;="&amp;日期!$B$1)</f>
        <v>0</v>
      </c>
      <c r="C1269">
        <f>B1269/(日期!$B$2-日期!$B$1+1)</f>
        <v>0</v>
      </c>
    </row>
    <row r="1270" spans="2:3">
      <c r="B1270">
        <f>SUMIFS(allorders!O:O,allorders!L:L,'数据处理(仓储使用)'!$A1270,allorders!$AG:$AG,"&lt;="&amp;日期!$B$2,allorders!$AG:$AG,"&gt;="&amp;日期!$B$1)</f>
        <v>0</v>
      </c>
      <c r="C1270">
        <f>B1270/(日期!$B$2-日期!$B$1+1)</f>
        <v>0</v>
      </c>
    </row>
    <row r="1271" spans="2:3">
      <c r="B1271">
        <f>SUMIFS(allorders!O:O,allorders!L:L,'数据处理(仓储使用)'!$A1271,allorders!$AG:$AG,"&lt;="&amp;日期!$B$2,allorders!$AG:$AG,"&gt;="&amp;日期!$B$1)</f>
        <v>0</v>
      </c>
      <c r="C1271">
        <f>B1271/(日期!$B$2-日期!$B$1+1)</f>
        <v>0</v>
      </c>
    </row>
    <row r="1272" spans="2:3">
      <c r="B1272">
        <f>SUMIFS(allorders!O:O,allorders!L:L,'数据处理(仓储使用)'!$A1272,allorders!$AG:$AG,"&lt;="&amp;日期!$B$2,allorders!$AG:$AG,"&gt;="&amp;日期!$B$1)</f>
        <v>0</v>
      </c>
      <c r="C1272">
        <f>B1272/(日期!$B$2-日期!$B$1+1)</f>
        <v>0</v>
      </c>
    </row>
    <row r="1273" spans="2:3">
      <c r="B1273">
        <f>SUMIFS(allorders!O:O,allorders!L:L,'数据处理(仓储使用)'!$A1273,allorders!$AG:$AG,"&lt;="&amp;日期!$B$2,allorders!$AG:$AG,"&gt;="&amp;日期!$B$1)</f>
        <v>0</v>
      </c>
      <c r="C1273">
        <f>B1273/(日期!$B$2-日期!$B$1+1)</f>
        <v>0</v>
      </c>
    </row>
    <row r="1274" spans="2:3">
      <c r="B1274">
        <f>SUMIFS(allorders!O:O,allorders!L:L,'数据处理(仓储使用)'!$A1274,allorders!$AG:$AG,"&lt;="&amp;日期!$B$2,allorders!$AG:$AG,"&gt;="&amp;日期!$B$1)</f>
        <v>0</v>
      </c>
      <c r="C1274">
        <f>B1274/(日期!$B$2-日期!$B$1+1)</f>
        <v>0</v>
      </c>
    </row>
    <row r="1275" spans="2:3">
      <c r="B1275">
        <f>SUMIFS(allorders!O:O,allorders!L:L,'数据处理(仓储使用)'!$A1275,allorders!$AG:$AG,"&lt;="&amp;日期!$B$2,allorders!$AG:$AG,"&gt;="&amp;日期!$B$1)</f>
        <v>0</v>
      </c>
      <c r="C1275">
        <f>B1275/(日期!$B$2-日期!$B$1+1)</f>
        <v>0</v>
      </c>
    </row>
    <row r="1276" spans="2:3">
      <c r="B1276">
        <f>SUMIFS(allorders!O:O,allorders!L:L,'数据处理(仓储使用)'!$A1276,allorders!$AG:$AG,"&lt;="&amp;日期!$B$2,allorders!$AG:$AG,"&gt;="&amp;日期!$B$1)</f>
        <v>0</v>
      </c>
      <c r="C1276">
        <f>B1276/(日期!$B$2-日期!$B$1+1)</f>
        <v>0</v>
      </c>
    </row>
    <row r="1277" spans="2:3">
      <c r="B1277">
        <f>SUMIFS(allorders!O:O,allorders!L:L,'数据处理(仓储使用)'!$A1277,allorders!$AG:$AG,"&lt;="&amp;日期!$B$2,allorders!$AG:$AG,"&gt;="&amp;日期!$B$1)</f>
        <v>0</v>
      </c>
      <c r="C1277">
        <f>B1277/(日期!$B$2-日期!$B$1+1)</f>
        <v>0</v>
      </c>
    </row>
    <row r="1278" spans="2:3">
      <c r="B1278">
        <f>SUMIFS(allorders!O:O,allorders!L:L,'数据处理(仓储使用)'!$A1278,allorders!$AG:$AG,"&lt;="&amp;日期!$B$2,allorders!$AG:$AG,"&gt;="&amp;日期!$B$1)</f>
        <v>0</v>
      </c>
      <c r="C1278">
        <f>B1278/(日期!$B$2-日期!$B$1+1)</f>
        <v>0</v>
      </c>
    </row>
    <row r="1279" spans="2:3">
      <c r="B1279">
        <f>SUMIFS(allorders!O:O,allorders!L:L,'数据处理(仓储使用)'!$A1279,allorders!$AG:$AG,"&lt;="&amp;日期!$B$2,allorders!$AG:$AG,"&gt;="&amp;日期!$B$1)</f>
        <v>0</v>
      </c>
      <c r="C1279">
        <f>B1279/(日期!$B$2-日期!$B$1+1)</f>
        <v>0</v>
      </c>
    </row>
    <row r="1280" spans="2:3">
      <c r="B1280">
        <f>SUMIFS(allorders!O:O,allorders!L:L,'数据处理(仓储使用)'!$A1280,allorders!$AG:$AG,"&lt;="&amp;日期!$B$2,allorders!$AG:$AG,"&gt;="&amp;日期!$B$1)</f>
        <v>0</v>
      </c>
      <c r="C1280">
        <f>B1280/(日期!$B$2-日期!$B$1+1)</f>
        <v>0</v>
      </c>
    </row>
    <row r="1281" spans="2:3">
      <c r="B1281">
        <f>SUMIFS(allorders!O:O,allorders!L:L,'数据处理(仓储使用)'!$A1281,allorders!$AG:$AG,"&lt;="&amp;日期!$B$2,allorders!$AG:$AG,"&gt;="&amp;日期!$B$1)</f>
        <v>0</v>
      </c>
      <c r="C1281">
        <f>B1281/(日期!$B$2-日期!$B$1+1)</f>
        <v>0</v>
      </c>
    </row>
    <row r="1282" spans="2:3">
      <c r="B1282">
        <f>SUMIFS(allorders!O:O,allorders!L:L,'数据处理(仓储使用)'!$A1282,allorders!$AG:$AG,"&lt;="&amp;日期!$B$2,allorders!$AG:$AG,"&gt;="&amp;日期!$B$1)</f>
        <v>0</v>
      </c>
      <c r="C1282">
        <f>B1282/(日期!$B$2-日期!$B$1+1)</f>
        <v>0</v>
      </c>
    </row>
    <row r="1283" spans="2:3">
      <c r="B1283">
        <f>SUMIFS(allorders!O:O,allorders!L:L,'数据处理(仓储使用)'!$A1283,allorders!$AG:$AG,"&lt;="&amp;日期!$B$2,allorders!$AG:$AG,"&gt;="&amp;日期!$B$1)</f>
        <v>0</v>
      </c>
      <c r="C1283">
        <f>B1283/(日期!$B$2-日期!$B$1+1)</f>
        <v>0</v>
      </c>
    </row>
    <row r="1284" spans="2:3">
      <c r="B1284">
        <f>SUMIFS(allorders!O:O,allorders!L:L,'数据处理(仓储使用)'!$A1284,allorders!$AG:$AG,"&lt;="&amp;日期!$B$2,allorders!$AG:$AG,"&gt;="&amp;日期!$B$1)</f>
        <v>0</v>
      </c>
      <c r="C1284">
        <f>B1284/(日期!$B$2-日期!$B$1+1)</f>
        <v>0</v>
      </c>
    </row>
    <row r="1285" spans="2:3">
      <c r="B1285">
        <f>SUMIFS(allorders!O:O,allorders!L:L,'数据处理(仓储使用)'!$A1285,allorders!$AG:$AG,"&lt;="&amp;日期!$B$2,allorders!$AG:$AG,"&gt;="&amp;日期!$B$1)</f>
        <v>0</v>
      </c>
      <c r="C1285">
        <f>B1285/(日期!$B$2-日期!$B$1+1)</f>
        <v>0</v>
      </c>
    </row>
    <row r="1286" spans="2:3">
      <c r="B1286">
        <f>SUMIFS(allorders!O:O,allorders!L:L,'数据处理(仓储使用)'!$A1286,allorders!$AG:$AG,"&lt;="&amp;日期!$B$2,allorders!$AG:$AG,"&gt;="&amp;日期!$B$1)</f>
        <v>0</v>
      </c>
      <c r="C1286">
        <f>B1286/(日期!$B$2-日期!$B$1+1)</f>
        <v>0</v>
      </c>
    </row>
    <row r="1287" spans="2:3">
      <c r="B1287">
        <f>SUMIFS(allorders!O:O,allorders!L:L,'数据处理(仓储使用)'!$A1287,allorders!$AG:$AG,"&lt;="&amp;日期!$B$2,allorders!$AG:$AG,"&gt;="&amp;日期!$B$1)</f>
        <v>0</v>
      </c>
      <c r="C1287">
        <f>B1287/(日期!$B$2-日期!$B$1+1)</f>
        <v>0</v>
      </c>
    </row>
    <row r="1288" spans="2:3">
      <c r="B1288">
        <f>SUMIFS(allorders!O:O,allorders!L:L,'数据处理(仓储使用)'!$A1288,allorders!$AG:$AG,"&lt;="&amp;日期!$B$2,allorders!$AG:$AG,"&gt;="&amp;日期!$B$1)</f>
        <v>0</v>
      </c>
      <c r="C1288">
        <f>B1288/(日期!$B$2-日期!$B$1+1)</f>
        <v>0</v>
      </c>
    </row>
    <row r="1289" spans="2:3">
      <c r="B1289">
        <f>SUMIFS(allorders!O:O,allorders!L:L,'数据处理(仓储使用)'!$A1289,allorders!$AG:$AG,"&lt;="&amp;日期!$B$2,allorders!$AG:$AG,"&gt;="&amp;日期!$B$1)</f>
        <v>0</v>
      </c>
      <c r="C1289">
        <f>B1289/(日期!$B$2-日期!$B$1+1)</f>
        <v>0</v>
      </c>
    </row>
    <row r="1290" spans="2:3">
      <c r="B1290">
        <f>SUMIFS(allorders!O:O,allorders!L:L,'数据处理(仓储使用)'!$A1290,allorders!$AG:$AG,"&lt;="&amp;日期!$B$2,allorders!$AG:$AG,"&gt;="&amp;日期!$B$1)</f>
        <v>0</v>
      </c>
      <c r="C1290">
        <f>B1290/(日期!$B$2-日期!$B$1+1)</f>
        <v>0</v>
      </c>
    </row>
    <row r="1291" spans="2:3">
      <c r="B1291">
        <f>SUMIFS(allorders!O:O,allorders!L:L,'数据处理(仓储使用)'!$A1291,allorders!$AG:$AG,"&lt;="&amp;日期!$B$2,allorders!$AG:$AG,"&gt;="&amp;日期!$B$1)</f>
        <v>0</v>
      </c>
      <c r="C1291">
        <f>B1291/(日期!$B$2-日期!$B$1+1)</f>
        <v>0</v>
      </c>
    </row>
    <row r="1292" spans="2:3">
      <c r="B1292">
        <f>SUMIFS(allorders!O:O,allorders!L:L,'数据处理(仓储使用)'!$A1292,allorders!$AG:$AG,"&lt;="&amp;日期!$B$2,allorders!$AG:$AG,"&gt;="&amp;日期!$B$1)</f>
        <v>0</v>
      </c>
      <c r="C1292">
        <f>B1292/(日期!$B$2-日期!$B$1+1)</f>
        <v>0</v>
      </c>
    </row>
    <row r="1293" spans="2:3">
      <c r="B1293">
        <f>SUMIFS(allorders!O:O,allorders!L:L,'数据处理(仓储使用)'!$A1293,allorders!$AG:$AG,"&lt;="&amp;日期!$B$2,allorders!$AG:$AG,"&gt;="&amp;日期!$B$1)</f>
        <v>0</v>
      </c>
      <c r="C1293">
        <f>B1293/(日期!$B$2-日期!$B$1+1)</f>
        <v>0</v>
      </c>
    </row>
    <row r="1294" spans="2:3">
      <c r="B1294">
        <f>SUMIFS(allorders!O:O,allorders!L:L,'数据处理(仓储使用)'!$A1294,allorders!$AG:$AG,"&lt;="&amp;日期!$B$2,allorders!$AG:$AG,"&gt;="&amp;日期!$B$1)</f>
        <v>0</v>
      </c>
      <c r="C1294">
        <f>B1294/(日期!$B$2-日期!$B$1+1)</f>
        <v>0</v>
      </c>
    </row>
    <row r="1295" spans="2:3">
      <c r="B1295">
        <f>SUMIFS(allorders!O:O,allorders!L:L,'数据处理(仓储使用)'!$A1295,allorders!$AG:$AG,"&lt;="&amp;日期!$B$2,allorders!$AG:$AG,"&gt;="&amp;日期!$B$1)</f>
        <v>0</v>
      </c>
      <c r="C1295">
        <f>B1295/(日期!$B$2-日期!$B$1+1)</f>
        <v>0</v>
      </c>
    </row>
    <row r="1296" spans="2:3">
      <c r="B1296">
        <f>SUMIFS(allorders!O:O,allorders!L:L,'数据处理(仓储使用)'!$A1296,allorders!$AG:$AG,"&lt;="&amp;日期!$B$2,allorders!$AG:$AG,"&gt;="&amp;日期!$B$1)</f>
        <v>0</v>
      </c>
      <c r="C1296">
        <f>B1296/(日期!$B$2-日期!$B$1+1)</f>
        <v>0</v>
      </c>
    </row>
    <row r="1297" spans="2:3">
      <c r="B1297">
        <f>SUMIFS(allorders!O:O,allorders!L:L,'数据处理(仓储使用)'!$A1297,allorders!$AG:$AG,"&lt;="&amp;日期!$B$2,allorders!$AG:$AG,"&gt;="&amp;日期!$B$1)</f>
        <v>0</v>
      </c>
      <c r="C1297">
        <f>B1297/(日期!$B$2-日期!$B$1+1)</f>
        <v>0</v>
      </c>
    </row>
    <row r="1298" spans="2:3">
      <c r="B1298">
        <f>SUMIFS(allorders!O:O,allorders!L:L,'数据处理(仓储使用)'!$A1298,allorders!$AG:$AG,"&lt;="&amp;日期!$B$2,allorders!$AG:$AG,"&gt;="&amp;日期!$B$1)</f>
        <v>0</v>
      </c>
      <c r="C1298">
        <f>B1298/(日期!$B$2-日期!$B$1+1)</f>
        <v>0</v>
      </c>
    </row>
    <row r="1299" spans="2:3">
      <c r="B1299">
        <f>SUMIFS(allorders!O:O,allorders!L:L,'数据处理(仓储使用)'!$A1299,allorders!$AG:$AG,"&lt;="&amp;日期!$B$2,allorders!$AG:$AG,"&gt;="&amp;日期!$B$1)</f>
        <v>0</v>
      </c>
      <c r="C1299">
        <f>B1299/(日期!$B$2-日期!$B$1+1)</f>
        <v>0</v>
      </c>
    </row>
    <row r="1300" spans="2:3">
      <c r="B1300">
        <f>SUMIFS(allorders!O:O,allorders!L:L,'数据处理(仓储使用)'!$A1300,allorders!$AG:$AG,"&lt;="&amp;日期!$B$2,allorders!$AG:$AG,"&gt;="&amp;日期!$B$1)</f>
        <v>0</v>
      </c>
      <c r="C1300">
        <f>B1300/(日期!$B$2-日期!$B$1+1)</f>
        <v>0</v>
      </c>
    </row>
    <row r="1301" spans="2:3">
      <c r="B1301">
        <f>SUMIFS(allorders!O:O,allorders!L:L,'数据处理(仓储使用)'!$A1301,allorders!$AG:$AG,"&lt;="&amp;日期!$B$2,allorders!$AG:$AG,"&gt;="&amp;日期!$B$1)</f>
        <v>0</v>
      </c>
      <c r="C1301">
        <f>B1301/(日期!$B$2-日期!$B$1+1)</f>
        <v>0</v>
      </c>
    </row>
    <row r="1302" spans="2:3">
      <c r="B1302">
        <f>SUMIFS(allorders!O:O,allorders!L:L,'数据处理(仓储使用)'!$A1302,allorders!$AG:$AG,"&lt;="&amp;日期!$B$2,allorders!$AG:$AG,"&gt;="&amp;日期!$B$1)</f>
        <v>0</v>
      </c>
      <c r="C1302">
        <f>B1302/(日期!$B$2-日期!$B$1+1)</f>
        <v>0</v>
      </c>
    </row>
    <row r="1303" spans="2:3">
      <c r="B1303">
        <f>SUMIFS(allorders!O:O,allorders!L:L,'数据处理(仓储使用)'!$A1303,allorders!$AG:$AG,"&lt;="&amp;日期!$B$2,allorders!$AG:$AG,"&gt;="&amp;日期!$B$1)</f>
        <v>0</v>
      </c>
      <c r="C1303">
        <f>B1303/(日期!$B$2-日期!$B$1+1)</f>
        <v>0</v>
      </c>
    </row>
    <row r="1304" spans="2:3">
      <c r="B1304">
        <f>SUMIFS(allorders!O:O,allorders!L:L,'数据处理(仓储使用)'!$A1304,allorders!$AG:$AG,"&lt;="&amp;日期!$B$2,allorders!$AG:$AG,"&gt;="&amp;日期!$B$1)</f>
        <v>0</v>
      </c>
      <c r="C1304">
        <f>B1304/(日期!$B$2-日期!$B$1+1)</f>
        <v>0</v>
      </c>
    </row>
    <row r="1305" spans="2:3">
      <c r="B1305">
        <f>SUMIFS(allorders!O:O,allorders!L:L,'数据处理(仓储使用)'!$A1305,allorders!$AG:$AG,"&lt;="&amp;日期!$B$2,allorders!$AG:$AG,"&gt;="&amp;日期!$B$1)</f>
        <v>0</v>
      </c>
      <c r="C1305">
        <f>B1305/(日期!$B$2-日期!$B$1+1)</f>
        <v>0</v>
      </c>
    </row>
    <row r="1306" spans="2:3">
      <c r="B1306">
        <f>SUMIFS(allorders!O:O,allorders!L:L,'数据处理(仓储使用)'!$A1306,allorders!$AG:$AG,"&lt;="&amp;日期!$B$2,allorders!$AG:$AG,"&gt;="&amp;日期!$B$1)</f>
        <v>0</v>
      </c>
      <c r="C1306">
        <f>B1306/(日期!$B$2-日期!$B$1+1)</f>
        <v>0</v>
      </c>
    </row>
    <row r="1307" spans="2:3">
      <c r="B1307">
        <f>SUMIFS(allorders!O:O,allorders!L:L,'数据处理(仓储使用)'!$A1307,allorders!$AG:$AG,"&lt;="&amp;日期!$B$2,allorders!$AG:$AG,"&gt;="&amp;日期!$B$1)</f>
        <v>0</v>
      </c>
      <c r="C1307">
        <f>B1307/(日期!$B$2-日期!$B$1+1)</f>
        <v>0</v>
      </c>
    </row>
    <row r="1308" spans="2:3">
      <c r="B1308">
        <f>SUMIFS(allorders!O:O,allorders!L:L,'数据处理(仓储使用)'!$A1308,allorders!$AG:$AG,"&lt;="&amp;日期!$B$2,allorders!$AG:$AG,"&gt;="&amp;日期!$B$1)</f>
        <v>0</v>
      </c>
      <c r="C1308">
        <f>B1308/(日期!$B$2-日期!$B$1+1)</f>
        <v>0</v>
      </c>
    </row>
    <row r="1309" spans="2:3">
      <c r="B1309">
        <f>SUMIFS(allorders!O:O,allorders!L:L,'数据处理(仓储使用)'!$A1309,allorders!$AG:$AG,"&lt;="&amp;日期!$B$2,allorders!$AG:$AG,"&gt;="&amp;日期!$B$1)</f>
        <v>0</v>
      </c>
      <c r="C1309">
        <f>B1309/(日期!$B$2-日期!$B$1+1)</f>
        <v>0</v>
      </c>
    </row>
    <row r="1310" spans="2:3">
      <c r="B1310">
        <f>SUMIFS(allorders!O:O,allorders!L:L,'数据处理(仓储使用)'!$A1310,allorders!$AG:$AG,"&lt;="&amp;日期!$B$2,allorders!$AG:$AG,"&gt;="&amp;日期!$B$1)</f>
        <v>0</v>
      </c>
      <c r="C1310">
        <f>B1310/(日期!$B$2-日期!$B$1+1)</f>
        <v>0</v>
      </c>
    </row>
    <row r="1311" spans="2:3">
      <c r="B1311">
        <f>SUMIFS(allorders!O:O,allorders!L:L,'数据处理(仓储使用)'!$A1311,allorders!$AG:$AG,"&lt;="&amp;日期!$B$2,allorders!$AG:$AG,"&gt;="&amp;日期!$B$1)</f>
        <v>0</v>
      </c>
      <c r="C1311">
        <f>B1311/(日期!$B$2-日期!$B$1+1)</f>
        <v>0</v>
      </c>
    </row>
    <row r="1312" spans="2:3">
      <c r="B1312">
        <f>SUMIFS(allorders!O:O,allorders!L:L,'数据处理(仓储使用)'!$A1312,allorders!$AG:$AG,"&lt;="&amp;日期!$B$2,allorders!$AG:$AG,"&gt;="&amp;日期!$B$1)</f>
        <v>0</v>
      </c>
      <c r="C1312">
        <f>B1312/(日期!$B$2-日期!$B$1+1)</f>
        <v>0</v>
      </c>
    </row>
    <row r="1313" spans="2:3">
      <c r="B1313">
        <f>SUMIFS(allorders!O:O,allorders!L:L,'数据处理(仓储使用)'!$A1313,allorders!$AG:$AG,"&lt;="&amp;日期!$B$2,allorders!$AG:$AG,"&gt;="&amp;日期!$B$1)</f>
        <v>0</v>
      </c>
      <c r="C1313">
        <f>B1313/(日期!$B$2-日期!$B$1+1)</f>
        <v>0</v>
      </c>
    </row>
    <row r="1314" spans="2:3">
      <c r="B1314">
        <f>SUMIFS(allorders!O:O,allorders!L:L,'数据处理(仓储使用)'!$A1314,allorders!$AG:$AG,"&lt;="&amp;日期!$B$2,allorders!$AG:$AG,"&gt;="&amp;日期!$B$1)</f>
        <v>0</v>
      </c>
      <c r="C1314">
        <f>B1314/(日期!$B$2-日期!$B$1+1)</f>
        <v>0</v>
      </c>
    </row>
    <row r="1315" spans="2:3">
      <c r="B1315">
        <f>SUMIFS(allorders!O:O,allorders!L:L,'数据处理(仓储使用)'!$A1315,allorders!$AG:$AG,"&lt;="&amp;日期!$B$2,allorders!$AG:$AG,"&gt;="&amp;日期!$B$1)</f>
        <v>0</v>
      </c>
      <c r="C1315">
        <f>B1315/(日期!$B$2-日期!$B$1+1)</f>
        <v>0</v>
      </c>
    </row>
    <row r="1316" spans="2:3">
      <c r="B1316">
        <f>SUMIFS(allorders!O:O,allorders!L:L,'数据处理(仓储使用)'!$A1316,allorders!$AG:$AG,"&lt;="&amp;日期!$B$2,allorders!$AG:$AG,"&gt;="&amp;日期!$B$1)</f>
        <v>0</v>
      </c>
      <c r="C1316">
        <f>B1316/(日期!$B$2-日期!$B$1+1)</f>
        <v>0</v>
      </c>
    </row>
    <row r="1317" spans="2:3">
      <c r="B1317">
        <f>SUMIFS(allorders!O:O,allorders!L:L,'数据处理(仓储使用)'!$A1317,allorders!$AG:$AG,"&lt;="&amp;日期!$B$2,allorders!$AG:$AG,"&gt;="&amp;日期!$B$1)</f>
        <v>0</v>
      </c>
      <c r="C1317">
        <f>B1317/(日期!$B$2-日期!$B$1+1)</f>
        <v>0</v>
      </c>
    </row>
    <row r="1318" spans="2:3">
      <c r="B1318">
        <f>SUMIFS(allorders!O:O,allorders!L:L,'数据处理(仓储使用)'!$A1318,allorders!$AG:$AG,"&lt;="&amp;日期!$B$2,allorders!$AG:$AG,"&gt;="&amp;日期!$B$1)</f>
        <v>0</v>
      </c>
      <c r="C1318">
        <f>B1318/(日期!$B$2-日期!$B$1+1)</f>
        <v>0</v>
      </c>
    </row>
    <row r="1319" spans="2:3">
      <c r="B1319">
        <f>SUMIFS(allorders!O:O,allorders!L:L,'数据处理(仓储使用)'!$A1319,allorders!$AG:$AG,"&lt;="&amp;日期!$B$2,allorders!$AG:$AG,"&gt;="&amp;日期!$B$1)</f>
        <v>0</v>
      </c>
      <c r="C1319">
        <f>B1319/(日期!$B$2-日期!$B$1+1)</f>
        <v>0</v>
      </c>
    </row>
    <row r="1320" spans="2:3">
      <c r="B1320">
        <f>SUMIFS(allorders!O:O,allorders!L:L,'数据处理(仓储使用)'!$A1320,allorders!$AG:$AG,"&lt;="&amp;日期!$B$2,allorders!$AG:$AG,"&gt;="&amp;日期!$B$1)</f>
        <v>0</v>
      </c>
      <c r="C1320">
        <f>B1320/(日期!$B$2-日期!$B$1+1)</f>
        <v>0</v>
      </c>
    </row>
    <row r="1321" spans="2:3">
      <c r="B1321">
        <f>SUMIFS(allorders!O:O,allorders!L:L,'数据处理(仓储使用)'!$A1321,allorders!$AG:$AG,"&lt;="&amp;日期!$B$2,allorders!$AG:$AG,"&gt;="&amp;日期!$B$1)</f>
        <v>0</v>
      </c>
      <c r="C1321">
        <f>B1321/(日期!$B$2-日期!$B$1+1)</f>
        <v>0</v>
      </c>
    </row>
    <row r="1322" spans="2:3">
      <c r="B1322">
        <f>SUMIFS(allorders!O:O,allorders!L:L,'数据处理(仓储使用)'!$A1322,allorders!$AG:$AG,"&lt;="&amp;日期!$B$2,allorders!$AG:$AG,"&gt;="&amp;日期!$B$1)</f>
        <v>0</v>
      </c>
      <c r="C1322">
        <f>B1322/(日期!$B$2-日期!$B$1+1)</f>
        <v>0</v>
      </c>
    </row>
    <row r="1323" spans="2:3">
      <c r="B1323">
        <f>SUMIFS(allorders!O:O,allorders!L:L,'数据处理(仓储使用)'!$A1323,allorders!$AG:$AG,"&lt;="&amp;日期!$B$2,allorders!$AG:$AG,"&gt;="&amp;日期!$B$1)</f>
        <v>0</v>
      </c>
      <c r="C1323">
        <f>B1323/(日期!$B$2-日期!$B$1+1)</f>
        <v>0</v>
      </c>
    </row>
    <row r="1324" spans="2:3">
      <c r="B1324">
        <f>SUMIFS(allorders!O:O,allorders!L:L,'数据处理(仓储使用)'!$A1324,allorders!$AG:$AG,"&lt;="&amp;日期!$B$2,allorders!$AG:$AG,"&gt;="&amp;日期!$B$1)</f>
        <v>0</v>
      </c>
      <c r="C1324">
        <f>B1324/(日期!$B$2-日期!$B$1+1)</f>
        <v>0</v>
      </c>
    </row>
    <row r="1325" spans="2:3">
      <c r="B1325">
        <f>SUMIFS(allorders!O:O,allorders!L:L,'数据处理(仓储使用)'!$A1325,allorders!$AG:$AG,"&lt;="&amp;日期!$B$2,allorders!$AG:$AG,"&gt;="&amp;日期!$B$1)</f>
        <v>0</v>
      </c>
      <c r="C1325">
        <f>B1325/(日期!$B$2-日期!$B$1+1)</f>
        <v>0</v>
      </c>
    </row>
    <row r="1326" spans="2:3">
      <c r="B1326">
        <f>SUMIFS(allorders!O:O,allorders!L:L,'数据处理(仓储使用)'!$A1326,allorders!$AG:$AG,"&lt;="&amp;日期!$B$2,allorders!$AG:$AG,"&gt;="&amp;日期!$B$1)</f>
        <v>0</v>
      </c>
      <c r="C1326">
        <f>B1326/(日期!$B$2-日期!$B$1+1)</f>
        <v>0</v>
      </c>
    </row>
    <row r="1327" spans="2:3">
      <c r="B1327">
        <f>SUMIFS(allorders!O:O,allorders!L:L,'数据处理(仓储使用)'!$A1327,allorders!$AG:$AG,"&lt;="&amp;日期!$B$2,allorders!$AG:$AG,"&gt;="&amp;日期!$B$1)</f>
        <v>0</v>
      </c>
      <c r="C1327">
        <f>B1327/(日期!$B$2-日期!$B$1+1)</f>
        <v>0</v>
      </c>
    </row>
    <row r="1328" spans="2:3">
      <c r="B1328">
        <f>SUMIFS(allorders!O:O,allorders!L:L,'数据处理(仓储使用)'!$A1328,allorders!$AG:$AG,"&lt;="&amp;日期!$B$2,allorders!$AG:$AG,"&gt;="&amp;日期!$B$1)</f>
        <v>0</v>
      </c>
      <c r="C1328">
        <f>B1328/(日期!$B$2-日期!$B$1+1)</f>
        <v>0</v>
      </c>
    </row>
    <row r="1329" spans="2:3">
      <c r="B1329">
        <f>SUMIFS(allorders!O:O,allorders!L:L,'数据处理(仓储使用)'!$A1329,allorders!$AG:$AG,"&lt;="&amp;日期!$B$2,allorders!$AG:$AG,"&gt;="&amp;日期!$B$1)</f>
        <v>0</v>
      </c>
      <c r="C1329">
        <f>B1329/(日期!$B$2-日期!$B$1+1)</f>
        <v>0</v>
      </c>
    </row>
    <row r="1330" spans="2:3">
      <c r="B1330">
        <f>SUMIFS(allorders!O:O,allorders!L:L,'数据处理(仓储使用)'!$A1330,allorders!$AG:$AG,"&lt;="&amp;日期!$B$2,allorders!$AG:$AG,"&gt;="&amp;日期!$B$1)</f>
        <v>0</v>
      </c>
      <c r="C1330">
        <f>B1330/(日期!$B$2-日期!$B$1+1)</f>
        <v>0</v>
      </c>
    </row>
    <row r="1331" spans="2:3">
      <c r="B1331">
        <f>SUMIFS(allorders!O:O,allorders!L:L,'数据处理(仓储使用)'!$A1331,allorders!$AG:$AG,"&lt;="&amp;日期!$B$2,allorders!$AG:$AG,"&gt;="&amp;日期!$B$1)</f>
        <v>0</v>
      </c>
      <c r="C1331">
        <f>B1331/(日期!$B$2-日期!$B$1+1)</f>
        <v>0</v>
      </c>
    </row>
    <row r="1332" spans="2:3">
      <c r="B1332">
        <f>SUMIFS(allorders!O:O,allorders!L:L,'数据处理(仓储使用)'!$A1332,allorders!$AG:$AG,"&lt;="&amp;日期!$B$2,allorders!$AG:$AG,"&gt;="&amp;日期!$B$1)</f>
        <v>0</v>
      </c>
      <c r="C1332">
        <f>B1332/(日期!$B$2-日期!$B$1+1)</f>
        <v>0</v>
      </c>
    </row>
    <row r="1333" spans="2:3">
      <c r="B1333">
        <f>SUMIFS(allorders!O:O,allorders!L:L,'数据处理(仓储使用)'!$A1333,allorders!$AG:$AG,"&lt;="&amp;日期!$B$2,allorders!$AG:$AG,"&gt;="&amp;日期!$B$1)</f>
        <v>0</v>
      </c>
      <c r="C1333">
        <f>B1333/(日期!$B$2-日期!$B$1+1)</f>
        <v>0</v>
      </c>
    </row>
    <row r="1334" spans="2:3">
      <c r="B1334">
        <f>SUMIFS(allorders!O:O,allorders!L:L,'数据处理(仓储使用)'!$A1334,allorders!$AG:$AG,"&lt;="&amp;日期!$B$2,allorders!$AG:$AG,"&gt;="&amp;日期!$B$1)</f>
        <v>0</v>
      </c>
      <c r="C1334">
        <f>B1334/(日期!$B$2-日期!$B$1+1)</f>
        <v>0</v>
      </c>
    </row>
    <row r="1335" spans="2:3">
      <c r="B1335">
        <f>SUMIFS(allorders!O:O,allorders!L:L,'数据处理(仓储使用)'!$A1335,allorders!$AG:$AG,"&lt;="&amp;日期!$B$2,allorders!$AG:$AG,"&gt;="&amp;日期!$B$1)</f>
        <v>0</v>
      </c>
      <c r="C1335">
        <f>B1335/(日期!$B$2-日期!$B$1+1)</f>
        <v>0</v>
      </c>
    </row>
    <row r="1336" spans="2:3">
      <c r="B1336">
        <f>SUMIFS(allorders!O:O,allorders!L:L,'数据处理(仓储使用)'!$A1336,allorders!$AG:$AG,"&lt;="&amp;日期!$B$2,allorders!$AG:$AG,"&gt;="&amp;日期!$B$1)</f>
        <v>0</v>
      </c>
      <c r="C1336">
        <f>B1336/(日期!$B$2-日期!$B$1+1)</f>
        <v>0</v>
      </c>
    </row>
    <row r="1337" spans="2:3">
      <c r="B1337">
        <f>SUMIFS(allorders!O:O,allorders!L:L,'数据处理(仓储使用)'!$A1337,allorders!$AG:$AG,"&lt;="&amp;日期!$B$2,allorders!$AG:$AG,"&gt;="&amp;日期!$B$1)</f>
        <v>0</v>
      </c>
      <c r="C1337">
        <f>B1337/(日期!$B$2-日期!$B$1+1)</f>
        <v>0</v>
      </c>
    </row>
    <row r="1338" spans="2:3">
      <c r="B1338">
        <f>SUMIFS(allorders!O:O,allorders!L:L,'数据处理(仓储使用)'!$A1338,allorders!$AG:$AG,"&lt;="&amp;日期!$B$2,allorders!$AG:$AG,"&gt;="&amp;日期!$B$1)</f>
        <v>0</v>
      </c>
      <c r="C1338">
        <f>B1338/(日期!$B$2-日期!$B$1+1)</f>
        <v>0</v>
      </c>
    </row>
    <row r="1339" spans="2:3">
      <c r="B1339">
        <f>SUMIFS(allorders!O:O,allorders!L:L,'数据处理(仓储使用)'!$A1339,allorders!$AG:$AG,"&lt;="&amp;日期!$B$2,allorders!$AG:$AG,"&gt;="&amp;日期!$B$1)</f>
        <v>0</v>
      </c>
      <c r="C1339">
        <f>B1339/(日期!$B$2-日期!$B$1+1)</f>
        <v>0</v>
      </c>
    </row>
    <row r="1340" spans="2:3">
      <c r="B1340">
        <f>SUMIFS(allorders!O:O,allorders!L:L,'数据处理(仓储使用)'!$A1340,allorders!$AG:$AG,"&lt;="&amp;日期!$B$2,allorders!$AG:$AG,"&gt;="&amp;日期!$B$1)</f>
        <v>0</v>
      </c>
      <c r="C1340">
        <f>B1340/(日期!$B$2-日期!$B$1+1)</f>
        <v>0</v>
      </c>
    </row>
    <row r="1341" spans="2:3">
      <c r="B1341">
        <f>SUMIFS(allorders!O:O,allorders!L:L,'数据处理(仓储使用)'!$A1341,allorders!$AG:$AG,"&lt;="&amp;日期!$B$2,allorders!$AG:$AG,"&gt;="&amp;日期!$B$1)</f>
        <v>0</v>
      </c>
      <c r="C1341">
        <f>B1341/(日期!$B$2-日期!$B$1+1)</f>
        <v>0</v>
      </c>
    </row>
    <row r="1342" spans="2:3">
      <c r="B1342">
        <f>SUMIFS(allorders!O:O,allorders!L:L,'数据处理(仓储使用)'!$A1342,allorders!$AG:$AG,"&lt;="&amp;日期!$B$2,allorders!$AG:$AG,"&gt;="&amp;日期!$B$1)</f>
        <v>0</v>
      </c>
      <c r="C1342">
        <f>B1342/(日期!$B$2-日期!$B$1+1)</f>
        <v>0</v>
      </c>
    </row>
    <row r="1343" spans="2:3">
      <c r="B1343">
        <f>SUMIFS(allorders!O:O,allorders!L:L,'数据处理(仓储使用)'!$A1343,allorders!$AG:$AG,"&lt;="&amp;日期!$B$2,allorders!$AG:$AG,"&gt;="&amp;日期!$B$1)</f>
        <v>0</v>
      </c>
      <c r="C1343">
        <f>B1343/(日期!$B$2-日期!$B$1+1)</f>
        <v>0</v>
      </c>
    </row>
    <row r="1344" spans="2:3">
      <c r="B1344">
        <f>SUMIFS(allorders!O:O,allorders!L:L,'数据处理(仓储使用)'!$A1344,allorders!$AG:$AG,"&lt;="&amp;日期!$B$2,allorders!$AG:$AG,"&gt;="&amp;日期!$B$1)</f>
        <v>0</v>
      </c>
      <c r="C1344">
        <f>B1344/(日期!$B$2-日期!$B$1+1)</f>
        <v>0</v>
      </c>
    </row>
    <row r="1345" spans="2:3">
      <c r="B1345">
        <f>SUMIFS(allorders!O:O,allorders!L:L,'数据处理(仓储使用)'!$A1345,allorders!$AG:$AG,"&lt;="&amp;日期!$B$2,allorders!$AG:$AG,"&gt;="&amp;日期!$B$1)</f>
        <v>0</v>
      </c>
      <c r="C1345">
        <f>B1345/(日期!$B$2-日期!$B$1+1)</f>
        <v>0</v>
      </c>
    </row>
    <row r="1346" spans="2:3">
      <c r="B1346">
        <f>SUMIFS(allorders!O:O,allorders!L:L,'数据处理(仓储使用)'!$A1346,allorders!$AG:$AG,"&lt;="&amp;日期!$B$2,allorders!$AG:$AG,"&gt;="&amp;日期!$B$1)</f>
        <v>0</v>
      </c>
      <c r="C1346">
        <f>B1346/(日期!$B$2-日期!$B$1+1)</f>
        <v>0</v>
      </c>
    </row>
    <row r="1347" spans="2:3">
      <c r="B1347">
        <f>SUMIFS(allorders!O:O,allorders!L:L,'数据处理(仓储使用)'!$A1347,allorders!$AG:$AG,"&lt;="&amp;日期!$B$2,allorders!$AG:$AG,"&gt;="&amp;日期!$B$1)</f>
        <v>0</v>
      </c>
      <c r="C1347">
        <f>B1347/(日期!$B$2-日期!$B$1+1)</f>
        <v>0</v>
      </c>
    </row>
    <row r="1348" spans="2:3">
      <c r="B1348">
        <f>SUMIFS(allorders!O:O,allorders!L:L,'数据处理(仓储使用)'!$A1348,allorders!$AG:$AG,"&lt;="&amp;日期!$B$2,allorders!$AG:$AG,"&gt;="&amp;日期!$B$1)</f>
        <v>0</v>
      </c>
      <c r="C1348">
        <f>B1348/(日期!$B$2-日期!$B$1+1)</f>
        <v>0</v>
      </c>
    </row>
    <row r="1349" spans="2:3">
      <c r="B1349">
        <f>SUMIFS(allorders!O:O,allorders!L:L,'数据处理(仓储使用)'!$A1349,allorders!$AG:$AG,"&lt;="&amp;日期!$B$2,allorders!$AG:$AG,"&gt;="&amp;日期!$B$1)</f>
        <v>0</v>
      </c>
      <c r="C1349">
        <f>B1349/(日期!$B$2-日期!$B$1+1)</f>
        <v>0</v>
      </c>
    </row>
    <row r="1350" spans="2:3">
      <c r="B1350">
        <f>SUMIFS(allorders!O:O,allorders!L:L,'数据处理(仓储使用)'!$A1350,allorders!$AG:$AG,"&lt;="&amp;日期!$B$2,allorders!$AG:$AG,"&gt;="&amp;日期!$B$1)</f>
        <v>0</v>
      </c>
      <c r="C1350">
        <f>B1350/(日期!$B$2-日期!$B$1+1)</f>
        <v>0</v>
      </c>
    </row>
    <row r="1351" spans="2:3">
      <c r="B1351">
        <f>SUMIFS(allorders!O:O,allorders!L:L,'数据处理(仓储使用)'!$A1351,allorders!$AG:$AG,"&lt;="&amp;日期!$B$2,allorders!$AG:$AG,"&gt;="&amp;日期!$B$1)</f>
        <v>0</v>
      </c>
      <c r="C1351">
        <f>B1351/(日期!$B$2-日期!$B$1+1)</f>
        <v>0</v>
      </c>
    </row>
    <row r="1352" spans="2:3">
      <c r="B1352">
        <f>SUMIFS(allorders!O:O,allorders!L:L,'数据处理(仓储使用)'!$A1352,allorders!$AG:$AG,"&lt;="&amp;日期!$B$2,allorders!$AG:$AG,"&gt;="&amp;日期!$B$1)</f>
        <v>0</v>
      </c>
      <c r="C1352">
        <f>B1352/(日期!$B$2-日期!$B$1+1)</f>
        <v>0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283"/>
  <sheetViews>
    <sheetView workbookViewId="0">
      <selection activeCell="B3" sqref="B3:I130"/>
    </sheetView>
  </sheetViews>
  <sheetFormatPr defaultColWidth="9" defaultRowHeight="14.25"/>
  <cols>
    <col min="1" max="1" width="23.75" customWidth="1"/>
    <col min="2" max="2" width="22.5" customWidth="1"/>
    <col min="7" max="7" width="12.625"/>
    <col min="8" max="8" width="9.375"/>
    <col min="9" max="9" width="12.625"/>
  </cols>
  <sheetData>
    <row r="1" spans="1:9">
      <c r="A1" t="s">
        <v>11</v>
      </c>
      <c r="B1" t="s">
        <v>4789</v>
      </c>
      <c r="C1" t="s">
        <v>4790</v>
      </c>
      <c r="D1" t="s">
        <v>4791</v>
      </c>
      <c r="E1" t="s">
        <v>4792</v>
      </c>
      <c r="F1" t="s">
        <v>4793</v>
      </c>
      <c r="G1" t="s">
        <v>4794</v>
      </c>
      <c r="H1" t="s">
        <v>4795</v>
      </c>
      <c r="I1" t="s">
        <v>4796</v>
      </c>
    </row>
    <row r="2" s="6" customFormat="1" spans="1:6">
      <c r="A2" s="6" t="s">
        <v>4761</v>
      </c>
      <c r="C2" s="6">
        <f>SUM(C3:C5000)</f>
        <v>183</v>
      </c>
      <c r="D2" s="6">
        <f>SUM(D3:D5000)</f>
        <v>201</v>
      </c>
      <c r="E2" s="6">
        <f>SUM(E3:E5000)</f>
        <v>211</v>
      </c>
      <c r="F2" s="6">
        <f>SUM(F3:F5000)</f>
        <v>204</v>
      </c>
    </row>
    <row r="3" spans="1:9">
      <c r="A3" s="7" t="s">
        <v>38</v>
      </c>
      <c r="B3" t="str">
        <f>VLOOKUP(A3,'[1]子sku-父sku'!$A:$B,2,0)</f>
        <v>DO-YULQ100</v>
      </c>
      <c r="C3">
        <f>SUMIFS(allorders!O:O,allorders!L:L,$A3,allorders!AG:AG,"&lt;="&amp;日期!$B$5,allorders!AG:AG,"&gt;="&amp;日期!$B$6,allorders!N:N,"Shipped")</f>
        <v>4</v>
      </c>
      <c r="D3">
        <f>SUMIFS(allorders!$O:$O,allorders!$L:$L,$A3,allorders!$AG:$AG,"&lt;="&amp;日期!$B$7,allorders!$AG:$AG,"&gt;="&amp;日期!$B$8,allorders!N:N,"Shipped")</f>
        <v>9</v>
      </c>
      <c r="E3">
        <f>SUMIFS(allorders!$O:$O,allorders!$L:$L,$A3,allorders!$AG:$AG,"&lt;="&amp;日期!$B$9,allorders!$AG:$AG,"&gt;="&amp;日期!$B$10,allorders!N:N,"Shipped")</f>
        <v>12</v>
      </c>
      <c r="F3">
        <f>SUMIFS(allorders!$O:$O,allorders!$L:$L,$A3,allorders!$AG:$AG,"&lt;="&amp;日期!$B$11,allorders!$AG:$AG,"&gt;="&amp;日期!$B$12,allorders!N:N,"Shipped")</f>
        <v>7</v>
      </c>
      <c r="G3">
        <f>SUMIFS(allorders!Q:Q,allorders!L:L,A3,allorders!AG:AG,"&lt;="&amp;日期!$B$5,allorders!AG:AG,"&gt;="&amp;日期!$B$12,allorders!N:N,"Shipped")/SUM(C3:F3)</f>
        <v>89.9899999999999</v>
      </c>
      <c r="H3">
        <f>SUMIFS(allorders!Q:Q,allorders!L:L,A3,allorders!AG:AG,"&gt;="&amp;日期!$B$12,allorders!AG:AG,"&lt;="&amp;日期!$B$5,allorders!N:N,"Shipped")</f>
        <v>2879.68</v>
      </c>
      <c r="I3">
        <f t="shared" ref="I3:I66" si="0">SUM(C3:F3)</f>
        <v>32</v>
      </c>
    </row>
    <row r="4" spans="1:9">
      <c r="A4" s="7" t="s">
        <v>52</v>
      </c>
      <c r="B4" t="str">
        <f>VLOOKUP(A4,'[1]子sku-父sku'!$A:$B,2,0)</f>
        <v>DO-YULQ638</v>
      </c>
      <c r="C4">
        <f>SUMIFS(allorders!O:O,allorders!L:L,$A4,allorders!AG:AG,"&lt;="&amp;日期!$B$5,allorders!AG:AG,"&gt;="&amp;日期!$B$6,allorders!N:N,"Shipped")</f>
        <v>0</v>
      </c>
      <c r="D4">
        <f>SUMIFS(allorders!$O:$O,allorders!$L:$L,$A4,allorders!$AG:$AG,"&lt;="&amp;日期!$B$7,allorders!$AG:$AG,"&gt;="&amp;日期!$B$8,allorders!N:N,"Shipped")</f>
        <v>0</v>
      </c>
      <c r="E4">
        <f>SUMIFS(allorders!$O:$O,allorders!$L:$L,$A4,allorders!$AG:$AG,"&lt;="&amp;日期!$B$9,allorders!$AG:$AG,"&gt;="&amp;日期!$B$10,allorders!N:N,"Shipped")</f>
        <v>0</v>
      </c>
      <c r="F4">
        <f>SUMIFS(allorders!$O:$O,allorders!$L:$L,$A4,allorders!$AG:$AG,"&lt;="&amp;日期!$B$11,allorders!$AG:$AG,"&gt;="&amp;日期!$B$12,allorders!N:N,"Shipped")</f>
        <v>2</v>
      </c>
      <c r="G4">
        <f>SUMIFS(allorders!Q:Q,allorders!L:L,A4,allorders!AG:AG,"&lt;="&amp;日期!$B$5,allorders!AG:AG,"&gt;="&amp;日期!$B$12,allorders!N:N,"Shipped")/SUM(C4:F4)</f>
        <v>99.6</v>
      </c>
      <c r="H4">
        <f>SUMIFS(allorders!Q:Q,allorders!L:L,A4,allorders!AG:AG,"&gt;="&amp;日期!$B$12,allorders!AG:AG,"&lt;="&amp;日期!$B$5,allorders!N:N,"Shipped")</f>
        <v>199.2</v>
      </c>
      <c r="I4">
        <f t="shared" si="0"/>
        <v>2</v>
      </c>
    </row>
    <row r="5" spans="1:9">
      <c r="A5" s="7" t="s">
        <v>61</v>
      </c>
      <c r="B5" t="str">
        <f>VLOOKUP(A5,'[1]子sku-父sku'!$A:$B,2,0)</f>
        <v>YF-YULQ007</v>
      </c>
      <c r="C5">
        <f>SUMIFS(allorders!O:O,allorders!L:L,$A5,allorders!AG:AG,"&lt;="&amp;日期!$B$5,allorders!AG:AG,"&gt;="&amp;日期!$B$6,allorders!N:N,"Shipped")</f>
        <v>13</v>
      </c>
      <c r="D5">
        <f>SUMIFS(allorders!$O:$O,allorders!$L:$L,$A5,allorders!$AG:$AG,"&lt;="&amp;日期!$B$7,allorders!$AG:$AG,"&gt;="&amp;日期!$B$8,allorders!N:N,"Shipped")</f>
        <v>5</v>
      </c>
      <c r="E5">
        <f>SUMIFS(allorders!$O:$O,allorders!$L:$L,$A5,allorders!$AG:$AG,"&lt;="&amp;日期!$B$9,allorders!$AG:$AG,"&gt;="&amp;日期!$B$10,allorders!N:N,"Shipped")</f>
        <v>8</v>
      </c>
      <c r="F5">
        <f>SUMIFS(allorders!$O:$O,allorders!$L:$L,$A5,allorders!$AG:$AG,"&lt;="&amp;日期!$B$11,allorders!$AG:$AG,"&gt;="&amp;日期!$B$12,allorders!N:N,"Shipped")</f>
        <v>8</v>
      </c>
      <c r="G5">
        <f>SUMIFS(allorders!Q:Q,allorders!L:L,A5,allorders!AG:AG,"&lt;="&amp;日期!$B$5,allorders!AG:AG,"&gt;="&amp;日期!$B$12,allorders!N:N,"Shipped")/SUM(C5:F5)</f>
        <v>21.99</v>
      </c>
      <c r="H5">
        <f>SUMIFS(allorders!Q:Q,allorders!L:L,A5,allorders!AG:AG,"&gt;="&amp;日期!$B$12,allorders!AG:AG,"&lt;="&amp;日期!$B$5,allorders!N:N,"Shipped")</f>
        <v>747.66</v>
      </c>
      <c r="I5">
        <f t="shared" si="0"/>
        <v>34</v>
      </c>
    </row>
    <row r="6" spans="1:9">
      <c r="A6" s="7" t="s">
        <v>71</v>
      </c>
      <c r="B6" t="str">
        <f>VLOOKUP(A6,'[1]子sku-父sku'!$A:$B,2,0)</f>
        <v>DOLL-010</v>
      </c>
      <c r="C6">
        <f>SUMIFS(allorders!O:O,allorders!L:L,$A6,allorders!AG:AG,"&lt;="&amp;日期!$B$5,allorders!AG:AG,"&gt;="&amp;日期!$B$6,allorders!N:N,"Shipped")</f>
        <v>11</v>
      </c>
      <c r="D6">
        <f>SUMIFS(allorders!$O:$O,allorders!$L:$L,$A6,allorders!$AG:$AG,"&lt;="&amp;日期!$B$7,allorders!$AG:$AG,"&gt;="&amp;日期!$B$8,allorders!N:N,"Shipped")</f>
        <v>11</v>
      </c>
      <c r="E6">
        <f>SUMIFS(allorders!$O:$O,allorders!$L:$L,$A6,allorders!$AG:$AG,"&lt;="&amp;日期!$B$9,allorders!$AG:$AG,"&gt;="&amp;日期!$B$10,allorders!N:N,"Shipped")</f>
        <v>16</v>
      </c>
      <c r="F6">
        <f>SUMIFS(allorders!$O:$O,allorders!$L:$L,$A6,allorders!$AG:$AG,"&lt;="&amp;日期!$B$11,allorders!$AG:$AG,"&gt;="&amp;日期!$B$12,allorders!N:N,"Shipped")</f>
        <v>13</v>
      </c>
      <c r="G6">
        <f>SUMIFS(allorders!Q:Q,allorders!L:L,A6,allorders!AG:AG,"&lt;="&amp;日期!$B$5,allorders!AG:AG,"&gt;="&amp;日期!$B$12,allorders!N:N,"Shipped")/SUM(C6:F6)</f>
        <v>97.1860784313724</v>
      </c>
      <c r="H6">
        <f>SUMIFS(allorders!Q:Q,allorders!L:L,A6,allorders!AG:AG,"&gt;="&amp;日期!$B$12,allorders!AG:AG,"&lt;="&amp;日期!$B$5,allorders!N:N,"Shipped")</f>
        <v>4956.48999999999</v>
      </c>
      <c r="I6">
        <f t="shared" si="0"/>
        <v>51</v>
      </c>
    </row>
    <row r="7" spans="1:9">
      <c r="A7" s="7" t="s">
        <v>80</v>
      </c>
      <c r="B7" t="str">
        <f>VLOOKUP(A7,'[1]子sku-父sku'!$A:$B,2,0)</f>
        <v>YF-YULQ002</v>
      </c>
      <c r="C7">
        <f>SUMIFS(allorders!O:O,allorders!L:L,$A7,allorders!AG:AG,"&lt;="&amp;日期!$B$5,allorders!AG:AG,"&gt;="&amp;日期!$B$6,allorders!N:N,"Shipped")</f>
        <v>1</v>
      </c>
      <c r="D7">
        <f>SUMIFS(allorders!$O:$O,allorders!$L:$L,$A7,allorders!$AG:$AG,"&lt;="&amp;日期!$B$7,allorders!$AG:$AG,"&gt;="&amp;日期!$B$8,allorders!N:N,"Shipped")</f>
        <v>1</v>
      </c>
      <c r="E7">
        <f>SUMIFS(allorders!$O:$O,allorders!$L:$L,$A7,allorders!$AG:$AG,"&lt;="&amp;日期!$B$9,allorders!$AG:$AG,"&gt;="&amp;日期!$B$10,allorders!N:N,"Shipped")</f>
        <v>0</v>
      </c>
      <c r="F7">
        <f>SUMIFS(allorders!$O:$O,allorders!$L:$L,$A7,allorders!$AG:$AG,"&lt;="&amp;日期!$B$11,allorders!$AG:$AG,"&gt;="&amp;日期!$B$12,allorders!N:N,"Shipped")</f>
        <v>3</v>
      </c>
      <c r="G7">
        <f>SUMIFS(allorders!Q:Q,allorders!L:L,A7,allorders!AG:AG,"&lt;="&amp;日期!$B$5,allorders!AG:AG,"&gt;="&amp;日期!$B$12,allorders!N:N,"Shipped")/SUM(C7:F7)</f>
        <v>21.99</v>
      </c>
      <c r="H7">
        <f>SUMIFS(allorders!Q:Q,allorders!L:L,A7,allorders!AG:AG,"&gt;="&amp;日期!$B$12,allorders!AG:AG,"&lt;="&amp;日期!$B$5,allorders!N:N,"Shipped")</f>
        <v>109.95</v>
      </c>
      <c r="I7">
        <f t="shared" si="0"/>
        <v>5</v>
      </c>
    </row>
    <row r="8" spans="1:9">
      <c r="A8" s="7" t="s">
        <v>89</v>
      </c>
      <c r="B8" t="str">
        <f>VLOOKUP(A8,'[1]子sku-父sku'!$A:$B,2,0)</f>
        <v>DO-YULQ173</v>
      </c>
      <c r="C8">
        <f>SUMIFS(allorders!O:O,allorders!L:L,$A8,allorders!AG:AG,"&lt;="&amp;日期!$B$5,allorders!AG:AG,"&gt;="&amp;日期!$B$6,allorders!N:N,"Shipped")</f>
        <v>8</v>
      </c>
      <c r="D8">
        <f>SUMIFS(allorders!$O:$O,allorders!$L:$L,$A8,allorders!$AG:$AG,"&lt;="&amp;日期!$B$7,allorders!$AG:$AG,"&gt;="&amp;日期!$B$8,allorders!N:N,"Shipped")</f>
        <v>5</v>
      </c>
      <c r="E8">
        <f>SUMIFS(allorders!$O:$O,allorders!$L:$L,$A8,allorders!$AG:$AG,"&lt;="&amp;日期!$B$9,allorders!$AG:$AG,"&gt;="&amp;日期!$B$10,allorders!N:N,"Shipped")</f>
        <v>6</v>
      </c>
      <c r="F8">
        <f>SUMIFS(allorders!$O:$O,allorders!$L:$L,$A8,allorders!$AG:$AG,"&lt;="&amp;日期!$B$11,allorders!$AG:$AG,"&gt;="&amp;日期!$B$12,allorders!N:N,"Shipped")</f>
        <v>9</v>
      </c>
      <c r="G8">
        <f>SUMIFS(allorders!Q:Q,allorders!L:L,A8,allorders!AG:AG,"&lt;="&amp;日期!$B$5,allorders!AG:AG,"&gt;="&amp;日期!$B$12,allorders!N:N,"Shipped")/SUM(C8:F8)</f>
        <v>89.99</v>
      </c>
      <c r="H8">
        <f>SUMIFS(allorders!Q:Q,allorders!L:L,A8,allorders!AG:AG,"&gt;="&amp;日期!$B$12,allorders!AG:AG,"&lt;="&amp;日期!$B$5,allorders!N:N,"Shipped")</f>
        <v>2519.72</v>
      </c>
      <c r="I8">
        <f t="shared" si="0"/>
        <v>28</v>
      </c>
    </row>
    <row r="9" spans="1:9">
      <c r="A9" s="7" t="s">
        <v>121</v>
      </c>
      <c r="B9" t="str">
        <f>VLOOKUP(A9,'[1]子sku-父sku'!$A:$B,2,0)</f>
        <v>DOLL-004</v>
      </c>
      <c r="C9">
        <f>SUMIFS(allorders!O:O,allorders!L:L,$A9,allorders!AG:AG,"&lt;="&amp;日期!$B$5,allorders!AG:AG,"&gt;="&amp;日期!$B$6,allorders!N:N,"Shipped")</f>
        <v>0</v>
      </c>
      <c r="D9">
        <f>SUMIFS(allorders!$O:$O,allorders!$L:$L,$A9,allorders!$AG:$AG,"&lt;="&amp;日期!$B$7,allorders!$AG:$AG,"&gt;="&amp;日期!$B$8,allorders!N:N,"Shipped")</f>
        <v>6</v>
      </c>
      <c r="E9">
        <f>SUMIFS(allorders!$O:$O,allorders!$L:$L,$A9,allorders!$AG:$AG,"&lt;="&amp;日期!$B$9,allorders!$AG:$AG,"&gt;="&amp;日期!$B$10,allorders!N:N,"Shipped")</f>
        <v>6</v>
      </c>
      <c r="F9">
        <f>SUMIFS(allorders!$O:$O,allorders!$L:$L,$A9,allorders!$AG:$AG,"&lt;="&amp;日期!$B$11,allorders!$AG:$AG,"&gt;="&amp;日期!$B$12,allorders!N:N,"Shipped")</f>
        <v>2</v>
      </c>
      <c r="G9">
        <f>SUMIFS(allorders!Q:Q,allorders!L:L,A9,allorders!AG:AG,"&lt;="&amp;日期!$B$5,allorders!AG:AG,"&gt;="&amp;日期!$B$12,allorders!N:N,"Shipped")/SUM(C9:F9)</f>
        <v>29.99</v>
      </c>
      <c r="H9">
        <f>SUMIFS(allorders!Q:Q,allorders!L:L,A9,allorders!AG:AG,"&gt;="&amp;日期!$B$12,allorders!AG:AG,"&lt;="&amp;日期!$B$5,allorders!N:N,"Shipped")</f>
        <v>419.86</v>
      </c>
      <c r="I9">
        <f t="shared" si="0"/>
        <v>14</v>
      </c>
    </row>
    <row r="10" spans="1:9">
      <c r="A10" s="7" t="s">
        <v>130</v>
      </c>
      <c r="B10" t="str">
        <f>VLOOKUP(A10,'[1]子sku-父sku'!$A:$B,2,0)</f>
        <v>DO-YULQ350</v>
      </c>
      <c r="C10">
        <f>SUMIFS(allorders!O:O,allorders!L:L,$A10,allorders!AG:AG,"&lt;="&amp;日期!$B$5,allorders!AG:AG,"&gt;="&amp;日期!$B$6,allorders!N:N,"Shipped")</f>
        <v>1</v>
      </c>
      <c r="D10">
        <f>SUMIFS(allorders!$O:$O,allorders!$L:$L,$A10,allorders!$AG:$AG,"&lt;="&amp;日期!$B$7,allorders!$AG:$AG,"&gt;="&amp;日期!$B$8,allorders!N:N,"Shipped")</f>
        <v>0</v>
      </c>
      <c r="E10">
        <f>SUMIFS(allorders!$O:$O,allorders!$L:$L,$A10,allorders!$AG:$AG,"&lt;="&amp;日期!$B$9,allorders!$AG:$AG,"&gt;="&amp;日期!$B$10,allorders!N:N,"Shipped")</f>
        <v>0</v>
      </c>
      <c r="F10">
        <f>SUMIFS(allorders!$O:$O,allorders!$L:$L,$A10,allorders!$AG:$AG,"&lt;="&amp;日期!$B$11,allorders!$AG:$AG,"&gt;="&amp;日期!$B$12,allorders!N:N,"Shipped")</f>
        <v>1</v>
      </c>
      <c r="G10">
        <f>SUMIFS(allorders!Q:Q,allorders!L:L,A10,allorders!AG:AG,"&lt;="&amp;日期!$B$5,allorders!AG:AG,"&gt;="&amp;日期!$B$12,allorders!N:N,"Shipped")/SUM(C10:F10)</f>
        <v>79.99</v>
      </c>
      <c r="H10">
        <f>SUMIFS(allorders!Q:Q,allorders!L:L,A10,allorders!AG:AG,"&gt;="&amp;日期!$B$12,allorders!AG:AG,"&lt;="&amp;日期!$B$5,allorders!N:N,"Shipped")</f>
        <v>159.98</v>
      </c>
      <c r="I10">
        <f t="shared" si="0"/>
        <v>2</v>
      </c>
    </row>
    <row r="11" spans="1:9">
      <c r="A11" s="7" t="s">
        <v>143</v>
      </c>
      <c r="B11" t="str">
        <f>VLOOKUP(A11,'[1]子sku-父sku'!$A:$B,2,0)</f>
        <v>DO-YULQ070</v>
      </c>
      <c r="C11">
        <f>SUMIFS(allorders!O:O,allorders!L:L,$A11,allorders!AG:AG,"&lt;="&amp;日期!$B$5,allorders!AG:AG,"&gt;="&amp;日期!$B$6,allorders!N:N,"Shipped")</f>
        <v>10</v>
      </c>
      <c r="D11">
        <f>SUMIFS(allorders!$O:$O,allorders!$L:$L,$A11,allorders!$AG:$AG,"&lt;="&amp;日期!$B$7,allorders!$AG:$AG,"&gt;="&amp;日期!$B$8,allorders!N:N,"Shipped")</f>
        <v>8</v>
      </c>
      <c r="E11">
        <f>SUMIFS(allorders!$O:$O,allorders!$L:$L,$A11,allorders!$AG:$AG,"&lt;="&amp;日期!$B$9,allorders!$AG:$AG,"&gt;="&amp;日期!$B$10,allorders!N:N,"Shipped")</f>
        <v>3</v>
      </c>
      <c r="F11">
        <f>SUMIFS(allorders!$O:$O,allorders!$L:$L,$A11,allorders!$AG:$AG,"&lt;="&amp;日期!$B$11,allorders!$AG:$AG,"&gt;="&amp;日期!$B$12,allorders!N:N,"Shipped")</f>
        <v>9</v>
      </c>
      <c r="G11">
        <f>SUMIFS(allorders!Q:Q,allorders!L:L,A11,allorders!AG:AG,"&lt;="&amp;日期!$B$5,allorders!AG:AG,"&gt;="&amp;日期!$B$12,allorders!N:N,"Shipped")/SUM(C11:F11)</f>
        <v>79.99</v>
      </c>
      <c r="H11">
        <f>SUMIFS(allorders!Q:Q,allorders!L:L,A11,allorders!AG:AG,"&gt;="&amp;日期!$B$12,allorders!AG:AG,"&lt;="&amp;日期!$B$5,allorders!N:N,"Shipped")</f>
        <v>2399.7</v>
      </c>
      <c r="I11">
        <f t="shared" si="0"/>
        <v>30</v>
      </c>
    </row>
    <row r="12" spans="1:9">
      <c r="A12" s="7" t="s">
        <v>153</v>
      </c>
      <c r="B12" t="str">
        <f>VLOOKUP(A12,'[1]子sku-父sku'!$A:$B,2,0)</f>
        <v>DO-YULQ230</v>
      </c>
      <c r="C12">
        <f>SUMIFS(allorders!O:O,allorders!L:L,$A12,allorders!AG:AG,"&lt;="&amp;日期!$B$5,allorders!AG:AG,"&gt;="&amp;日期!$B$6,allorders!N:N,"Shipped")</f>
        <v>0</v>
      </c>
      <c r="D12">
        <f>SUMIFS(allorders!$O:$O,allorders!$L:$L,$A12,allorders!$AG:$AG,"&lt;="&amp;日期!$B$7,allorders!$AG:$AG,"&gt;="&amp;日期!$B$8,allorders!N:N,"Shipped")</f>
        <v>4</v>
      </c>
      <c r="E12">
        <f>SUMIFS(allorders!$O:$O,allorders!$L:$L,$A12,allorders!$AG:$AG,"&lt;="&amp;日期!$B$9,allorders!$AG:$AG,"&gt;="&amp;日期!$B$10,allorders!N:N,"Shipped")</f>
        <v>3</v>
      </c>
      <c r="F12">
        <f>SUMIFS(allorders!$O:$O,allorders!$L:$L,$A12,allorders!$AG:$AG,"&lt;="&amp;日期!$B$11,allorders!$AG:$AG,"&gt;="&amp;日期!$B$12,allorders!N:N,"Shipped")</f>
        <v>1</v>
      </c>
      <c r="G12">
        <f>SUMIFS(allorders!Q:Q,allorders!L:L,A12,allorders!AG:AG,"&lt;="&amp;日期!$B$5,allorders!AG:AG,"&gt;="&amp;日期!$B$12,allorders!N:N,"Shipped")/SUM(C12:F12)</f>
        <v>79.99</v>
      </c>
      <c r="H12">
        <f>SUMIFS(allorders!Q:Q,allorders!L:L,A12,allorders!AG:AG,"&gt;="&amp;日期!$B$12,allorders!AG:AG,"&lt;="&amp;日期!$B$5,allorders!N:N,"Shipped")</f>
        <v>639.92</v>
      </c>
      <c r="I12">
        <f t="shared" si="0"/>
        <v>8</v>
      </c>
    </row>
    <row r="13" spans="1:9">
      <c r="A13" s="7" t="s">
        <v>161</v>
      </c>
      <c r="B13" t="str">
        <f>VLOOKUP(A13,'[1]子sku-父sku'!$A:$B,2,0)</f>
        <v>DO-YULQ123</v>
      </c>
      <c r="C13">
        <f>SUMIFS(allorders!O:O,allorders!L:L,$A13,allorders!AG:AG,"&lt;="&amp;日期!$B$5,allorders!AG:AG,"&gt;="&amp;日期!$B$6,allorders!N:N,"Shipped")</f>
        <v>4</v>
      </c>
      <c r="D13">
        <f>SUMIFS(allorders!$O:$O,allorders!$L:$L,$A13,allorders!$AG:$AG,"&lt;="&amp;日期!$B$7,allorders!$AG:$AG,"&gt;="&amp;日期!$B$8,allorders!N:N,"Shipped")</f>
        <v>3</v>
      </c>
      <c r="E13">
        <f>SUMIFS(allorders!$O:$O,allorders!$L:$L,$A13,allorders!$AG:$AG,"&lt;="&amp;日期!$B$9,allorders!$AG:$AG,"&gt;="&amp;日期!$B$10,allorders!N:N,"Shipped")</f>
        <v>3</v>
      </c>
      <c r="F13">
        <f>SUMIFS(allorders!$O:$O,allorders!$L:$L,$A13,allorders!$AG:$AG,"&lt;="&amp;日期!$B$11,allorders!$AG:$AG,"&gt;="&amp;日期!$B$12,allorders!N:N,"Shipped")</f>
        <v>6</v>
      </c>
      <c r="G13">
        <f>SUMIFS(allorders!Q:Q,allorders!L:L,A13,allorders!AG:AG,"&lt;="&amp;日期!$B$5,allorders!AG:AG,"&gt;="&amp;日期!$B$12,allorders!N:N,"Shipped")/SUM(C13:F13)</f>
        <v>89.99</v>
      </c>
      <c r="H13">
        <f>SUMIFS(allorders!Q:Q,allorders!L:L,A13,allorders!AG:AG,"&gt;="&amp;日期!$B$12,allorders!AG:AG,"&lt;="&amp;日期!$B$5,allorders!N:N,"Shipped")</f>
        <v>1439.84</v>
      </c>
      <c r="I13">
        <f t="shared" si="0"/>
        <v>16</v>
      </c>
    </row>
    <row r="14" spans="1:9">
      <c r="A14" s="7" t="s">
        <v>170</v>
      </c>
      <c r="B14" t="str">
        <f>VLOOKUP(A14,'[1]子sku-父sku'!$A:$B,2,0)</f>
        <v>DO-YULQ812</v>
      </c>
      <c r="C14">
        <f>SUMIFS(allorders!O:O,allorders!L:L,$A14,allorders!AG:AG,"&lt;="&amp;日期!$B$5,allorders!AG:AG,"&gt;="&amp;日期!$B$6,allorders!N:N,"Shipped")</f>
        <v>0</v>
      </c>
      <c r="D14">
        <f>SUMIFS(allorders!$O:$O,allorders!$L:$L,$A14,allorders!$AG:$AG,"&lt;="&amp;日期!$B$7,allorders!$AG:$AG,"&gt;="&amp;日期!$B$8,allorders!N:N,"Shipped")</f>
        <v>4</v>
      </c>
      <c r="E14">
        <f>SUMIFS(allorders!$O:$O,allorders!$L:$L,$A14,allorders!$AG:$AG,"&lt;="&amp;日期!$B$9,allorders!$AG:$AG,"&gt;="&amp;日期!$B$10,allorders!N:N,"Shipped")</f>
        <v>4</v>
      </c>
      <c r="F14">
        <f>SUMIFS(allorders!$O:$O,allorders!$L:$L,$A14,allorders!$AG:$AG,"&lt;="&amp;日期!$B$11,allorders!$AG:$AG,"&gt;="&amp;日期!$B$12,allorders!N:N,"Shipped")</f>
        <v>3</v>
      </c>
      <c r="G14">
        <f>SUMIFS(allorders!Q:Q,allorders!L:L,A14,allorders!AG:AG,"&lt;="&amp;日期!$B$5,allorders!AG:AG,"&gt;="&amp;日期!$B$12,allorders!N:N,"Shipped")/SUM(C14:F14)</f>
        <v>89.99</v>
      </c>
      <c r="H14">
        <f>SUMIFS(allorders!Q:Q,allorders!L:L,A14,allorders!AG:AG,"&gt;="&amp;日期!$B$12,allorders!AG:AG,"&lt;="&amp;日期!$B$5,allorders!N:N,"Shipped")</f>
        <v>989.89</v>
      </c>
      <c r="I14">
        <f t="shared" si="0"/>
        <v>11</v>
      </c>
    </row>
    <row r="15" spans="1:9">
      <c r="A15" s="7" t="s">
        <v>190</v>
      </c>
      <c r="B15" t="str">
        <f>VLOOKUP(A15,'[1]子sku-父sku'!$A:$B,2,0)</f>
        <v>DO-YULQ664</v>
      </c>
      <c r="C15">
        <f>SUMIFS(allorders!O:O,allorders!L:L,$A15,allorders!AG:AG,"&lt;="&amp;日期!$B$5,allorders!AG:AG,"&gt;="&amp;日期!$B$6,allorders!N:N,"Shipped")</f>
        <v>1</v>
      </c>
      <c r="D15">
        <f>SUMIFS(allorders!$O:$O,allorders!$L:$L,$A15,allorders!$AG:$AG,"&lt;="&amp;日期!$B$7,allorders!$AG:$AG,"&gt;="&amp;日期!$B$8,allorders!N:N,"Shipped")</f>
        <v>1</v>
      </c>
      <c r="E15">
        <f>SUMIFS(allorders!$O:$O,allorders!$L:$L,$A15,allorders!$AG:$AG,"&lt;="&amp;日期!$B$9,allorders!$AG:$AG,"&gt;="&amp;日期!$B$10,allorders!N:N,"Shipped")</f>
        <v>0</v>
      </c>
      <c r="F15">
        <f>SUMIFS(allorders!$O:$O,allorders!$L:$L,$A15,allorders!$AG:$AG,"&lt;="&amp;日期!$B$11,allorders!$AG:$AG,"&gt;="&amp;日期!$B$12,allorders!N:N,"Shipped")</f>
        <v>2</v>
      </c>
      <c r="G15">
        <f>SUMIFS(allorders!Q:Q,allorders!L:L,A15,allorders!AG:AG,"&lt;="&amp;日期!$B$5,allorders!AG:AG,"&gt;="&amp;日期!$B$12,allorders!N:N,"Shipped")/SUM(C15:F15)</f>
        <v>79.99</v>
      </c>
      <c r="H15">
        <f>SUMIFS(allorders!Q:Q,allorders!L:L,A15,allorders!AG:AG,"&gt;="&amp;日期!$B$12,allorders!AG:AG,"&lt;="&amp;日期!$B$5,allorders!N:N,"Shipped")</f>
        <v>319.96</v>
      </c>
      <c r="I15">
        <f t="shared" si="0"/>
        <v>4</v>
      </c>
    </row>
    <row r="16" spans="1:9">
      <c r="A16" s="7" t="s">
        <v>198</v>
      </c>
      <c r="B16" t="str">
        <f>VLOOKUP(A16,'[1]子sku-父sku'!$A:$B,2,0)</f>
        <v>DOLLDRESS-003</v>
      </c>
      <c r="C16">
        <f>SUMIFS(allorders!O:O,allorders!L:L,$A16,allorders!AG:AG,"&lt;="&amp;日期!$B$5,allorders!AG:AG,"&gt;="&amp;日期!$B$6,allorders!N:N,"Shipped")</f>
        <v>0</v>
      </c>
      <c r="D16">
        <f>SUMIFS(allorders!$O:$O,allorders!$L:$L,$A16,allorders!$AG:$AG,"&lt;="&amp;日期!$B$7,allorders!$AG:$AG,"&gt;="&amp;日期!$B$8,allorders!N:N,"Shipped")</f>
        <v>0</v>
      </c>
      <c r="E16">
        <f>SUMIFS(allorders!$O:$O,allorders!$L:$L,$A16,allorders!$AG:$AG,"&lt;="&amp;日期!$B$9,allorders!$AG:$AG,"&gt;="&amp;日期!$B$10,allorders!N:N,"Shipped")</f>
        <v>0</v>
      </c>
      <c r="F16">
        <f>SUMIFS(allorders!$O:$O,allorders!$L:$L,$A16,allorders!$AG:$AG,"&lt;="&amp;日期!$B$11,allorders!$AG:$AG,"&gt;="&amp;日期!$B$12,allorders!N:N,"Shipped")</f>
        <v>2</v>
      </c>
      <c r="G16">
        <f>SUMIFS(allorders!Q:Q,allorders!L:L,A16,allorders!AG:AG,"&lt;="&amp;日期!$B$5,allorders!AG:AG,"&gt;="&amp;日期!$B$12,allorders!N:N,"Shipped")/SUM(C16:F16)</f>
        <v>21.99</v>
      </c>
      <c r="H16">
        <f>SUMIFS(allorders!Q:Q,allorders!L:L,A16,allorders!AG:AG,"&gt;="&amp;日期!$B$12,allorders!AG:AG,"&lt;="&amp;日期!$B$5,allorders!N:N,"Shipped")</f>
        <v>43.98</v>
      </c>
      <c r="I16">
        <f t="shared" si="0"/>
        <v>2</v>
      </c>
    </row>
    <row r="17" spans="1:9">
      <c r="A17" s="7" t="s">
        <v>209</v>
      </c>
      <c r="B17" t="str">
        <f>VLOOKUP(A17,'[1]子sku-父sku'!$A:$B,2,0)</f>
        <v>DOLL-020</v>
      </c>
      <c r="C17">
        <f>SUMIFS(allorders!O:O,allorders!L:L,$A17,allorders!AG:AG,"&lt;="&amp;日期!$B$5,allorders!AG:AG,"&gt;="&amp;日期!$B$6,allorders!N:N,"Shipped")</f>
        <v>13</v>
      </c>
      <c r="D17">
        <f>SUMIFS(allorders!$O:$O,allorders!$L:$L,$A17,allorders!$AG:$AG,"&lt;="&amp;日期!$B$7,allorders!$AG:$AG,"&gt;="&amp;日期!$B$8,allorders!N:N,"Shipped")</f>
        <v>15</v>
      </c>
      <c r="E17">
        <f>SUMIFS(allorders!$O:$O,allorders!$L:$L,$A17,allorders!$AG:$AG,"&lt;="&amp;日期!$B$9,allorders!$AG:$AG,"&gt;="&amp;日期!$B$10,allorders!N:N,"Shipped")</f>
        <v>12</v>
      </c>
      <c r="F17">
        <f>SUMIFS(allorders!$O:$O,allorders!$L:$L,$A17,allorders!$AG:$AG,"&lt;="&amp;日期!$B$11,allorders!$AG:$AG,"&gt;="&amp;日期!$B$12,allorders!N:N,"Shipped")</f>
        <v>15</v>
      </c>
      <c r="G17">
        <f>SUMIFS(allorders!Q:Q,allorders!L:L,A17,allorders!AG:AG,"&lt;="&amp;日期!$B$5,allorders!AG:AG,"&gt;="&amp;日期!$B$12,allorders!N:N,"Shipped")/SUM(C17:F17)</f>
        <v>89.9899999999999</v>
      </c>
      <c r="H17">
        <f>SUMIFS(allorders!Q:Q,allorders!L:L,A17,allorders!AG:AG,"&gt;="&amp;日期!$B$12,allorders!AG:AG,"&lt;="&amp;日期!$B$5,allorders!N:N,"Shipped")</f>
        <v>4949.44999999999</v>
      </c>
      <c r="I17">
        <f t="shared" si="0"/>
        <v>55</v>
      </c>
    </row>
    <row r="18" spans="1:9">
      <c r="A18" s="7" t="s">
        <v>218</v>
      </c>
      <c r="B18" t="str">
        <f>VLOOKUP(A18,'[1]子sku-父sku'!$A:$B,2,0)</f>
        <v>DOLL-004</v>
      </c>
      <c r="C18">
        <f>SUMIFS(allorders!O:O,allorders!L:L,$A18,allorders!AG:AG,"&lt;="&amp;日期!$B$5,allorders!AG:AG,"&gt;="&amp;日期!$B$6,allorders!N:N,"Shipped")</f>
        <v>1</v>
      </c>
      <c r="D18">
        <f>SUMIFS(allorders!$O:$O,allorders!$L:$L,$A18,allorders!$AG:$AG,"&lt;="&amp;日期!$B$7,allorders!$AG:$AG,"&gt;="&amp;日期!$B$8,allorders!N:N,"Shipped")</f>
        <v>2</v>
      </c>
      <c r="E18">
        <f>SUMIFS(allorders!$O:$O,allorders!$L:$L,$A18,allorders!$AG:$AG,"&lt;="&amp;日期!$B$9,allorders!$AG:$AG,"&gt;="&amp;日期!$B$10,allorders!N:N,"Shipped")</f>
        <v>1</v>
      </c>
      <c r="F18">
        <f>SUMIFS(allorders!$O:$O,allorders!$L:$L,$A18,allorders!$AG:$AG,"&lt;="&amp;日期!$B$11,allorders!$AG:$AG,"&gt;="&amp;日期!$B$12,allorders!N:N,"Shipped")</f>
        <v>1</v>
      </c>
      <c r="G18">
        <f>SUMIFS(allorders!Q:Q,allorders!L:L,A18,allorders!AG:AG,"&lt;="&amp;日期!$B$5,allorders!AG:AG,"&gt;="&amp;日期!$B$12,allorders!N:N,"Shipped")/SUM(C18:F18)</f>
        <v>29.99</v>
      </c>
      <c r="H18">
        <f>SUMIFS(allorders!Q:Q,allorders!L:L,A18,allorders!AG:AG,"&gt;="&amp;日期!$B$12,allorders!AG:AG,"&lt;="&amp;日期!$B$5,allorders!N:N,"Shipped")</f>
        <v>149.95</v>
      </c>
      <c r="I18">
        <f t="shared" si="0"/>
        <v>5</v>
      </c>
    </row>
    <row r="19" spans="1:9">
      <c r="A19" s="7" t="s">
        <v>227</v>
      </c>
      <c r="B19" t="str">
        <f>VLOOKUP(A19,'[1]子sku-父sku'!$A:$B,2,0)</f>
        <v>DO-YULQ620</v>
      </c>
      <c r="C19">
        <f>SUMIFS(allorders!O:O,allorders!L:L,$A19,allorders!AG:AG,"&lt;="&amp;日期!$B$5,allorders!AG:AG,"&gt;="&amp;日期!$B$6,allorders!N:N,"Shipped")</f>
        <v>0</v>
      </c>
      <c r="D19">
        <f>SUMIFS(allorders!$O:$O,allorders!$L:$L,$A19,allorders!$AG:$AG,"&lt;="&amp;日期!$B$7,allorders!$AG:$AG,"&gt;="&amp;日期!$B$8,allorders!N:N,"Shipped")</f>
        <v>3</v>
      </c>
      <c r="E19">
        <f>SUMIFS(allorders!$O:$O,allorders!$L:$L,$A19,allorders!$AG:$AG,"&lt;="&amp;日期!$B$9,allorders!$AG:$AG,"&gt;="&amp;日期!$B$10,allorders!N:N,"Shipped")</f>
        <v>1</v>
      </c>
      <c r="F19">
        <f>SUMIFS(allorders!$O:$O,allorders!$L:$L,$A19,allorders!$AG:$AG,"&lt;="&amp;日期!$B$11,allorders!$AG:$AG,"&gt;="&amp;日期!$B$12,allorders!N:N,"Shipped")</f>
        <v>1</v>
      </c>
      <c r="G19">
        <f>SUMIFS(allorders!Q:Q,allorders!L:L,A19,allorders!AG:AG,"&lt;="&amp;日期!$B$5,allorders!AG:AG,"&gt;="&amp;日期!$B$12,allorders!N:N,"Shipped")/SUM(C19:F19)</f>
        <v>85.99</v>
      </c>
      <c r="H19">
        <f>SUMIFS(allorders!Q:Q,allorders!L:L,A19,allorders!AG:AG,"&gt;="&amp;日期!$B$12,allorders!AG:AG,"&lt;="&amp;日期!$B$5,allorders!N:N,"Shipped")</f>
        <v>429.95</v>
      </c>
      <c r="I19">
        <f t="shared" si="0"/>
        <v>5</v>
      </c>
    </row>
    <row r="20" spans="1:9">
      <c r="A20" s="7" t="s">
        <v>236</v>
      </c>
      <c r="B20" t="str">
        <f>VLOOKUP(A20,'[1]子sku-父sku'!$A:$B,2,0)</f>
        <v>DO-YULQ700</v>
      </c>
      <c r="C20">
        <f>SUMIFS(allorders!O:O,allorders!L:L,$A20,allorders!AG:AG,"&lt;="&amp;日期!$B$5,allorders!AG:AG,"&gt;="&amp;日期!$B$6,allorders!N:N,"Shipped")</f>
        <v>3</v>
      </c>
      <c r="D20">
        <f>SUMIFS(allorders!$O:$O,allorders!$L:$L,$A20,allorders!$AG:$AG,"&lt;="&amp;日期!$B$7,allorders!$AG:$AG,"&gt;="&amp;日期!$B$8,allorders!N:N,"Shipped")</f>
        <v>2</v>
      </c>
      <c r="E20">
        <f>SUMIFS(allorders!$O:$O,allorders!$L:$L,$A20,allorders!$AG:$AG,"&lt;="&amp;日期!$B$9,allorders!$AG:$AG,"&gt;="&amp;日期!$B$10,allorders!N:N,"Shipped")</f>
        <v>0</v>
      </c>
      <c r="F20">
        <f>SUMIFS(allorders!$O:$O,allorders!$L:$L,$A20,allorders!$AG:$AG,"&lt;="&amp;日期!$B$11,allorders!$AG:$AG,"&gt;="&amp;日期!$B$12,allorders!N:N,"Shipped")</f>
        <v>3</v>
      </c>
      <c r="G20">
        <f>SUMIFS(allorders!Q:Q,allorders!L:L,A20,allorders!AG:AG,"&lt;="&amp;日期!$B$5,allorders!AG:AG,"&gt;="&amp;日期!$B$12,allorders!N:N,"Shipped")/SUM(C20:F20)</f>
        <v>99.99</v>
      </c>
      <c r="H20">
        <f>SUMIFS(allorders!Q:Q,allorders!L:L,A20,allorders!AG:AG,"&gt;="&amp;日期!$B$12,allorders!AG:AG,"&lt;="&amp;日期!$B$5,allorders!N:N,"Shipped")</f>
        <v>799.92</v>
      </c>
      <c r="I20">
        <f t="shared" si="0"/>
        <v>8</v>
      </c>
    </row>
    <row r="21" spans="1:9">
      <c r="A21" s="7" t="s">
        <v>249</v>
      </c>
      <c r="B21" t="str">
        <f>VLOOKUP(A21,'[1]子sku-父sku'!$A:$B,2,0)</f>
        <v>DO-YULQ150</v>
      </c>
      <c r="C21">
        <f>SUMIFS(allorders!O:O,allorders!L:L,$A21,allorders!AG:AG,"&lt;="&amp;日期!$B$5,allorders!AG:AG,"&gt;="&amp;日期!$B$6,allorders!N:N,"Shipped")</f>
        <v>1</v>
      </c>
      <c r="D21">
        <f>SUMIFS(allorders!$O:$O,allorders!$L:$L,$A21,allorders!$AG:$AG,"&lt;="&amp;日期!$B$7,allorders!$AG:$AG,"&gt;="&amp;日期!$B$8,allorders!N:N,"Shipped")</f>
        <v>1</v>
      </c>
      <c r="E21">
        <f>SUMIFS(allorders!$O:$O,allorders!$L:$L,$A21,allorders!$AG:$AG,"&lt;="&amp;日期!$B$9,allorders!$AG:$AG,"&gt;="&amp;日期!$B$10,allorders!N:N,"Shipped")</f>
        <v>1</v>
      </c>
      <c r="F21">
        <f>SUMIFS(allorders!$O:$O,allorders!$L:$L,$A21,allorders!$AG:$AG,"&lt;="&amp;日期!$B$11,allorders!$AG:$AG,"&gt;="&amp;日期!$B$12,allorders!N:N,"Shipped")</f>
        <v>1</v>
      </c>
      <c r="G21">
        <f>SUMIFS(allorders!Q:Q,allorders!L:L,A21,allorders!AG:AG,"&lt;="&amp;日期!$B$5,allorders!AG:AG,"&gt;="&amp;日期!$B$12,allorders!N:N,"Shipped")/SUM(C21:F21)</f>
        <v>84.99</v>
      </c>
      <c r="H21">
        <f>SUMIFS(allorders!Q:Q,allorders!L:L,A21,allorders!AG:AG,"&gt;="&amp;日期!$B$12,allorders!AG:AG,"&lt;="&amp;日期!$B$5,allorders!N:N,"Shipped")</f>
        <v>339.96</v>
      </c>
      <c r="I21">
        <f t="shared" si="0"/>
        <v>4</v>
      </c>
    </row>
    <row r="22" spans="1:9">
      <c r="A22" s="7" t="s">
        <v>257</v>
      </c>
      <c r="B22" t="str">
        <f>VLOOKUP(A22,'[1]子sku-父sku'!$A:$B,2,0)</f>
        <v>DOLLDRESS-003</v>
      </c>
      <c r="C22">
        <f>SUMIFS(allorders!O:O,allorders!L:L,$A22,allorders!AG:AG,"&lt;="&amp;日期!$B$5,allorders!AG:AG,"&gt;="&amp;日期!$B$6,allorders!N:N,"Shipped")</f>
        <v>6</v>
      </c>
      <c r="D22">
        <f>SUMIFS(allorders!$O:$O,allorders!$L:$L,$A22,allorders!$AG:$AG,"&lt;="&amp;日期!$B$7,allorders!$AG:$AG,"&gt;="&amp;日期!$B$8,allorders!N:N,"Shipped")</f>
        <v>3</v>
      </c>
      <c r="E22">
        <f>SUMIFS(allorders!$O:$O,allorders!$L:$L,$A22,allorders!$AG:$AG,"&lt;="&amp;日期!$B$9,allorders!$AG:$AG,"&gt;="&amp;日期!$B$10,allorders!N:N,"Shipped")</f>
        <v>0</v>
      </c>
      <c r="F22">
        <f>SUMIFS(allorders!$O:$O,allorders!$L:$L,$A22,allorders!$AG:$AG,"&lt;="&amp;日期!$B$11,allorders!$AG:$AG,"&gt;="&amp;日期!$B$12,allorders!N:N,"Shipped")</f>
        <v>2</v>
      </c>
      <c r="G22">
        <f>SUMIFS(allorders!Q:Q,allorders!L:L,A22,allorders!AG:AG,"&lt;="&amp;日期!$B$5,allorders!AG:AG,"&gt;="&amp;日期!$B$12,allorders!N:N,"Shipped")/SUM(C22:F22)</f>
        <v>21.99</v>
      </c>
      <c r="H22">
        <f>SUMIFS(allorders!Q:Q,allorders!L:L,A22,allorders!AG:AG,"&gt;="&amp;日期!$B$12,allorders!AG:AG,"&lt;="&amp;日期!$B$5,allorders!N:N,"Shipped")</f>
        <v>241.89</v>
      </c>
      <c r="I22">
        <f t="shared" si="0"/>
        <v>11</v>
      </c>
    </row>
    <row r="23" spans="1:9">
      <c r="A23" s="7" t="s">
        <v>277</v>
      </c>
      <c r="B23" t="str">
        <f>VLOOKUP(A23,'[1]子sku-父sku'!$A:$B,2,0)</f>
        <v>DO-YULQ001</v>
      </c>
      <c r="C23">
        <f>SUMIFS(allorders!O:O,allorders!L:L,$A23,allorders!AG:AG,"&lt;="&amp;日期!$B$5,allorders!AG:AG,"&gt;="&amp;日期!$B$6,allorders!N:N,"Shipped")</f>
        <v>16</v>
      </c>
      <c r="D23">
        <f>SUMIFS(allorders!$O:$O,allorders!$L:$L,$A23,allorders!$AG:$AG,"&lt;="&amp;日期!$B$7,allorders!$AG:$AG,"&gt;="&amp;日期!$B$8,allorders!N:N,"Shipped")</f>
        <v>6</v>
      </c>
      <c r="E23">
        <f>SUMIFS(allorders!$O:$O,allorders!$L:$L,$A23,allorders!$AG:$AG,"&lt;="&amp;日期!$B$9,allorders!$AG:$AG,"&gt;="&amp;日期!$B$10,allorders!N:N,"Shipped")</f>
        <v>15</v>
      </c>
      <c r="F23">
        <f>SUMIFS(allorders!$O:$O,allorders!$L:$L,$A23,allorders!$AG:$AG,"&lt;="&amp;日期!$B$11,allorders!$AG:$AG,"&gt;="&amp;日期!$B$12,allorders!N:N,"Shipped")</f>
        <v>18</v>
      </c>
      <c r="G23">
        <f>SUMIFS(allorders!Q:Q,allorders!L:L,A23,allorders!AG:AG,"&lt;="&amp;日期!$B$5,allorders!AG:AG,"&gt;="&amp;日期!$B$12,allorders!N:N,"Shipped")/SUM(C23:F23)</f>
        <v>91.9899999999999</v>
      </c>
      <c r="H23">
        <f>SUMIFS(allorders!Q:Q,allorders!L:L,A23,allorders!AG:AG,"&gt;="&amp;日期!$B$12,allorders!AG:AG,"&lt;="&amp;日期!$B$5,allorders!N:N,"Shipped")</f>
        <v>5059.44999999999</v>
      </c>
      <c r="I23">
        <f t="shared" si="0"/>
        <v>55</v>
      </c>
    </row>
    <row r="24" spans="1:9">
      <c r="A24" s="7" t="s">
        <v>290</v>
      </c>
      <c r="B24" t="str">
        <f>VLOOKUP(A24,'[1]子sku-父sku'!$A:$B,2,0)</f>
        <v>DO-YULQ703</v>
      </c>
      <c r="C24">
        <f>SUMIFS(allorders!O:O,allorders!L:L,$A24,allorders!AG:AG,"&lt;="&amp;日期!$B$5,allorders!AG:AG,"&gt;="&amp;日期!$B$6,allorders!N:N,"Shipped")</f>
        <v>4</v>
      </c>
      <c r="D24">
        <f>SUMIFS(allorders!$O:$O,allorders!$L:$L,$A24,allorders!$AG:$AG,"&lt;="&amp;日期!$B$7,allorders!$AG:$AG,"&gt;="&amp;日期!$B$8,allorders!N:N,"Shipped")</f>
        <v>2</v>
      </c>
      <c r="E24">
        <f>SUMIFS(allorders!$O:$O,allorders!$L:$L,$A24,allorders!$AG:$AG,"&lt;="&amp;日期!$B$9,allorders!$AG:$AG,"&gt;="&amp;日期!$B$10,allorders!N:N,"Shipped")</f>
        <v>1</v>
      </c>
      <c r="F24">
        <f>SUMIFS(allorders!$O:$O,allorders!$L:$L,$A24,allorders!$AG:$AG,"&lt;="&amp;日期!$B$11,allorders!$AG:$AG,"&gt;="&amp;日期!$B$12,allorders!N:N,"Shipped")</f>
        <v>2</v>
      </c>
      <c r="G24">
        <f>SUMIFS(allorders!Q:Q,allorders!L:L,A24,allorders!AG:AG,"&lt;="&amp;日期!$B$5,allorders!AG:AG,"&gt;="&amp;日期!$B$12,allorders!N:N,"Shipped")/SUM(C24:F24)</f>
        <v>89.99</v>
      </c>
      <c r="H24">
        <f>SUMIFS(allorders!Q:Q,allorders!L:L,A24,allorders!AG:AG,"&gt;="&amp;日期!$B$12,allorders!AG:AG,"&lt;="&amp;日期!$B$5,allorders!N:N,"Shipped")</f>
        <v>809.91</v>
      </c>
      <c r="I24">
        <f t="shared" si="0"/>
        <v>9</v>
      </c>
    </row>
    <row r="25" spans="1:9">
      <c r="A25" s="7" t="s">
        <v>298</v>
      </c>
      <c r="B25" t="str">
        <f>VLOOKUP(A25,'[1]子sku-父sku'!$A:$B,2,0)</f>
        <v>DO-YULQ203</v>
      </c>
      <c r="C25">
        <f>SUMIFS(allorders!O:O,allorders!L:L,$A25,allorders!AG:AG,"&lt;="&amp;日期!$B$5,allorders!AG:AG,"&gt;="&amp;日期!$B$6,allorders!N:N,"Shipped")</f>
        <v>0</v>
      </c>
      <c r="D25">
        <f>SUMIFS(allorders!$O:$O,allorders!$L:$L,$A25,allorders!$AG:$AG,"&lt;="&amp;日期!$B$7,allorders!$AG:$AG,"&gt;="&amp;日期!$B$8,allorders!N:N,"Shipped")</f>
        <v>0</v>
      </c>
      <c r="E25">
        <f>SUMIFS(allorders!$O:$O,allorders!$L:$L,$A25,allorders!$AG:$AG,"&lt;="&amp;日期!$B$9,allorders!$AG:$AG,"&gt;="&amp;日期!$B$10,allorders!N:N,"Shipped")</f>
        <v>0</v>
      </c>
      <c r="F25">
        <f>SUMIFS(allorders!$O:$O,allorders!$L:$L,$A25,allorders!$AG:$AG,"&lt;="&amp;日期!$B$11,allorders!$AG:$AG,"&gt;="&amp;日期!$B$12,allorders!N:N,"Shipped")</f>
        <v>2</v>
      </c>
      <c r="G25">
        <f>SUMIFS(allorders!Q:Q,allorders!L:L,A25,allorders!AG:AG,"&lt;="&amp;日期!$B$5,allorders!AG:AG,"&gt;="&amp;日期!$B$12,allorders!N:N,"Shipped")/SUM(C25:F25)</f>
        <v>89.99</v>
      </c>
      <c r="H25">
        <f>SUMIFS(allorders!Q:Q,allorders!L:L,A25,allorders!AG:AG,"&gt;="&amp;日期!$B$12,allorders!AG:AG,"&lt;="&amp;日期!$B$5,allorders!N:N,"Shipped")</f>
        <v>179.98</v>
      </c>
      <c r="I25">
        <f t="shared" si="0"/>
        <v>2</v>
      </c>
    </row>
    <row r="26" spans="1:9">
      <c r="A26" s="7" t="s">
        <v>328</v>
      </c>
      <c r="B26" t="str">
        <f>VLOOKUP(A26,'[1]子sku-父sku'!$A:$B,2,0)</f>
        <v>DO-YULQ010</v>
      </c>
      <c r="C26">
        <f>SUMIFS(allorders!O:O,allorders!L:L,$A26,allorders!AG:AG,"&lt;="&amp;日期!$B$5,allorders!AG:AG,"&gt;="&amp;日期!$B$6,allorders!N:N,"Shipped")</f>
        <v>1</v>
      </c>
      <c r="D26">
        <f>SUMIFS(allorders!$O:$O,allorders!$L:$L,$A26,allorders!$AG:$AG,"&lt;="&amp;日期!$B$7,allorders!$AG:$AG,"&gt;="&amp;日期!$B$8,allorders!N:N,"Shipped")</f>
        <v>1</v>
      </c>
      <c r="E26">
        <f>SUMIFS(allorders!$O:$O,allorders!$L:$L,$A26,allorders!$AG:$AG,"&lt;="&amp;日期!$B$9,allorders!$AG:$AG,"&gt;="&amp;日期!$B$10,allorders!N:N,"Shipped")</f>
        <v>3</v>
      </c>
      <c r="F26">
        <f>SUMIFS(allorders!$O:$O,allorders!$L:$L,$A26,allorders!$AG:$AG,"&lt;="&amp;日期!$B$11,allorders!$AG:$AG,"&gt;="&amp;日期!$B$12,allorders!N:N,"Shipped")</f>
        <v>1</v>
      </c>
      <c r="G26">
        <f>SUMIFS(allorders!Q:Q,allorders!L:L,A26,allorders!AG:AG,"&lt;="&amp;日期!$B$5,allorders!AG:AG,"&gt;="&amp;日期!$B$12,allorders!N:N,"Shipped")/SUM(C26:F26)</f>
        <v>89.99</v>
      </c>
      <c r="H26">
        <f>SUMIFS(allorders!Q:Q,allorders!L:L,A26,allorders!AG:AG,"&gt;="&amp;日期!$B$12,allorders!AG:AG,"&lt;="&amp;日期!$B$5,allorders!N:N,"Shipped")</f>
        <v>539.94</v>
      </c>
      <c r="I26">
        <f t="shared" si="0"/>
        <v>6</v>
      </c>
    </row>
    <row r="27" spans="1:9">
      <c r="A27" s="7" t="s">
        <v>387</v>
      </c>
      <c r="B27" t="str">
        <f>VLOOKUP(A27,'[1]子sku-父sku'!$A:$B,2,0)</f>
        <v>DO-YULQ232</v>
      </c>
      <c r="C27">
        <f>SUMIFS(allorders!O:O,allorders!L:L,$A27,allorders!AG:AG,"&lt;="&amp;日期!$B$5,allorders!AG:AG,"&gt;="&amp;日期!$B$6,allorders!N:N,"Shipped")</f>
        <v>3</v>
      </c>
      <c r="D27">
        <f>SUMIFS(allorders!$O:$O,allorders!$L:$L,$A27,allorders!$AG:$AG,"&lt;="&amp;日期!$B$7,allorders!$AG:$AG,"&gt;="&amp;日期!$B$8,allorders!N:N,"Shipped")</f>
        <v>0</v>
      </c>
      <c r="E27">
        <f>SUMIFS(allorders!$O:$O,allorders!$L:$L,$A27,allorders!$AG:$AG,"&lt;="&amp;日期!$B$9,allorders!$AG:$AG,"&gt;="&amp;日期!$B$10,allorders!N:N,"Shipped")</f>
        <v>0</v>
      </c>
      <c r="F27">
        <f>SUMIFS(allorders!$O:$O,allorders!$L:$L,$A27,allorders!$AG:$AG,"&lt;="&amp;日期!$B$11,allorders!$AG:$AG,"&gt;="&amp;日期!$B$12,allorders!N:N,"Shipped")</f>
        <v>1</v>
      </c>
      <c r="G27">
        <f>SUMIFS(allorders!Q:Q,allorders!L:L,A27,allorders!AG:AG,"&lt;="&amp;日期!$B$5,allorders!AG:AG,"&gt;="&amp;日期!$B$12,allorders!N:N,"Shipped")/SUM(C27:F27)</f>
        <v>32.99</v>
      </c>
      <c r="H27">
        <f>SUMIFS(allorders!Q:Q,allorders!L:L,A27,allorders!AG:AG,"&gt;="&amp;日期!$B$12,allorders!AG:AG,"&lt;="&amp;日期!$B$5,allorders!N:N,"Shipped")</f>
        <v>131.96</v>
      </c>
      <c r="I27">
        <f t="shared" si="0"/>
        <v>4</v>
      </c>
    </row>
    <row r="28" spans="1:9">
      <c r="A28" s="7" t="s">
        <v>410</v>
      </c>
      <c r="B28" t="str">
        <f>VLOOKUP(A28,'[1]子sku-父sku'!$A:$B,2,0)</f>
        <v>DO-YULQ706</v>
      </c>
      <c r="C28">
        <f>SUMIFS(allorders!O:O,allorders!L:L,$A28,allorders!AG:AG,"&lt;="&amp;日期!$B$5,allorders!AG:AG,"&gt;="&amp;日期!$B$6,allorders!N:N,"Shipped")</f>
        <v>0</v>
      </c>
      <c r="D28">
        <f>SUMIFS(allorders!$O:$O,allorders!$L:$L,$A28,allorders!$AG:$AG,"&lt;="&amp;日期!$B$7,allorders!$AG:$AG,"&gt;="&amp;日期!$B$8,allorders!N:N,"Shipped")</f>
        <v>1</v>
      </c>
      <c r="E28">
        <f>SUMIFS(allorders!$O:$O,allorders!$L:$L,$A28,allorders!$AG:$AG,"&lt;="&amp;日期!$B$9,allorders!$AG:$AG,"&gt;="&amp;日期!$B$10,allorders!N:N,"Shipped")</f>
        <v>0</v>
      </c>
      <c r="F28">
        <f>SUMIFS(allorders!$O:$O,allorders!$L:$L,$A28,allorders!$AG:$AG,"&lt;="&amp;日期!$B$11,allorders!$AG:$AG,"&gt;="&amp;日期!$B$12,allorders!N:N,"Shipped")</f>
        <v>1</v>
      </c>
      <c r="G28">
        <f>SUMIFS(allorders!Q:Q,allorders!L:L,A28,allorders!AG:AG,"&lt;="&amp;日期!$B$5,allorders!AG:AG,"&gt;="&amp;日期!$B$12,allorders!N:N,"Shipped")/SUM(C28:F28)</f>
        <v>99.99</v>
      </c>
      <c r="H28">
        <f>SUMIFS(allorders!Q:Q,allorders!L:L,A28,allorders!AG:AG,"&gt;="&amp;日期!$B$12,allorders!AG:AG,"&lt;="&amp;日期!$B$5,allorders!N:N,"Shipped")</f>
        <v>199.98</v>
      </c>
      <c r="I28">
        <f t="shared" si="0"/>
        <v>2</v>
      </c>
    </row>
    <row r="29" spans="1:9">
      <c r="A29" s="7" t="s">
        <v>424</v>
      </c>
      <c r="B29" t="str">
        <f>VLOOKUP(A29,'[1]子sku-父sku'!$A:$B,2,0)</f>
        <v>DOLL-006</v>
      </c>
      <c r="C29">
        <f>SUMIFS(allorders!O:O,allorders!L:L,$A29,allorders!AG:AG,"&lt;="&amp;日期!$B$5,allorders!AG:AG,"&gt;="&amp;日期!$B$6,allorders!N:N,"Shipped")</f>
        <v>0</v>
      </c>
      <c r="D29">
        <f>SUMIFS(allorders!$O:$O,allorders!$L:$L,$A29,allorders!$AG:$AG,"&lt;="&amp;日期!$B$7,allorders!$AG:$AG,"&gt;="&amp;日期!$B$8,allorders!N:N,"Shipped")</f>
        <v>1</v>
      </c>
      <c r="E29">
        <f>SUMIFS(allorders!$O:$O,allorders!$L:$L,$A29,allorders!$AG:$AG,"&lt;="&amp;日期!$B$9,allorders!$AG:$AG,"&gt;="&amp;日期!$B$10,allorders!N:N,"Shipped")</f>
        <v>1</v>
      </c>
      <c r="F29">
        <f>SUMIFS(allorders!$O:$O,allorders!$L:$L,$A29,allorders!$AG:$AG,"&lt;="&amp;日期!$B$11,allorders!$AG:$AG,"&gt;="&amp;日期!$B$12,allorders!N:N,"Shipped")</f>
        <v>2</v>
      </c>
      <c r="G29">
        <f>SUMIFS(allorders!Q:Q,allorders!L:L,A29,allorders!AG:AG,"&lt;="&amp;日期!$B$5,allorders!AG:AG,"&gt;="&amp;日期!$B$12,allorders!N:N,"Shipped")/SUM(C29:F29)</f>
        <v>26.99</v>
      </c>
      <c r="H29">
        <f>SUMIFS(allorders!Q:Q,allorders!L:L,A29,allorders!AG:AG,"&gt;="&amp;日期!$B$12,allorders!AG:AG,"&lt;="&amp;日期!$B$5,allorders!N:N,"Shipped")</f>
        <v>107.96</v>
      </c>
      <c r="I29">
        <f t="shared" si="0"/>
        <v>4</v>
      </c>
    </row>
    <row r="30" spans="1:9">
      <c r="A30" s="7" t="s">
        <v>442</v>
      </c>
      <c r="B30" t="str">
        <f>VLOOKUP(A30,'[1]子sku-父sku'!$A:$B,2,0)</f>
        <v>DO-YULQ062</v>
      </c>
      <c r="C30">
        <f>SUMIFS(allorders!O:O,allorders!L:L,$A30,allorders!AG:AG,"&lt;="&amp;日期!$B$5,allorders!AG:AG,"&gt;="&amp;日期!$B$6,allorders!N:N,"Shipped")</f>
        <v>1</v>
      </c>
      <c r="D30">
        <f>SUMIFS(allorders!$O:$O,allorders!$L:$L,$A30,allorders!$AG:$AG,"&lt;="&amp;日期!$B$7,allorders!$AG:$AG,"&gt;="&amp;日期!$B$8,allorders!N:N,"Shipped")</f>
        <v>0</v>
      </c>
      <c r="E30">
        <f>SUMIFS(allorders!$O:$O,allorders!$L:$L,$A30,allorders!$AG:$AG,"&lt;="&amp;日期!$B$9,allorders!$AG:$AG,"&gt;="&amp;日期!$B$10,allorders!N:N,"Shipped")</f>
        <v>4</v>
      </c>
      <c r="F30">
        <f>SUMIFS(allorders!$O:$O,allorders!$L:$L,$A30,allorders!$AG:$AG,"&lt;="&amp;日期!$B$11,allorders!$AG:$AG,"&gt;="&amp;日期!$B$12,allorders!N:N,"Shipped")</f>
        <v>4</v>
      </c>
      <c r="G30">
        <f>SUMIFS(allorders!Q:Q,allorders!L:L,A30,allorders!AG:AG,"&lt;="&amp;日期!$B$5,allorders!AG:AG,"&gt;="&amp;日期!$B$12,allorders!N:N,"Shipped")/SUM(C30:F30)</f>
        <v>88.99</v>
      </c>
      <c r="H30">
        <f>SUMIFS(allorders!Q:Q,allorders!L:L,A30,allorders!AG:AG,"&gt;="&amp;日期!$B$12,allorders!AG:AG,"&lt;="&amp;日期!$B$5,allorders!N:N,"Shipped")</f>
        <v>800.91</v>
      </c>
      <c r="I30">
        <f t="shared" si="0"/>
        <v>9</v>
      </c>
    </row>
    <row r="31" spans="1:9">
      <c r="A31" s="7" t="s">
        <v>449</v>
      </c>
      <c r="B31" t="str">
        <f>VLOOKUP(A31,'[1]子sku-父sku'!$A:$B,2,0)</f>
        <v>DO-YULQ058</v>
      </c>
      <c r="C31">
        <f>SUMIFS(allorders!O:O,allorders!L:L,$A31,allorders!AG:AG,"&lt;="&amp;日期!$B$5,allorders!AG:AG,"&gt;="&amp;日期!$B$6,allorders!N:N,"Shipped")</f>
        <v>0</v>
      </c>
      <c r="D31">
        <f>SUMIFS(allorders!$O:$O,allorders!$L:$L,$A31,allorders!$AG:$AG,"&lt;="&amp;日期!$B$7,allorders!$AG:$AG,"&gt;="&amp;日期!$B$8,allorders!N:N,"Shipped")</f>
        <v>1</v>
      </c>
      <c r="E31">
        <f>SUMIFS(allorders!$O:$O,allorders!$L:$L,$A31,allorders!$AG:$AG,"&lt;="&amp;日期!$B$9,allorders!$AG:$AG,"&gt;="&amp;日期!$B$10,allorders!N:N,"Shipped")</f>
        <v>0</v>
      </c>
      <c r="F31">
        <f>SUMIFS(allorders!$O:$O,allorders!$L:$L,$A31,allorders!$AG:$AG,"&lt;="&amp;日期!$B$11,allorders!$AG:$AG,"&gt;="&amp;日期!$B$12,allorders!N:N,"Shipped")</f>
        <v>1</v>
      </c>
      <c r="G31">
        <f>SUMIFS(allorders!Q:Q,allorders!L:L,A31,allorders!AG:AG,"&lt;="&amp;日期!$B$5,allorders!AG:AG,"&gt;="&amp;日期!$B$12,allorders!N:N,"Shipped")/SUM(C31:F31)</f>
        <v>32.99</v>
      </c>
      <c r="H31">
        <f>SUMIFS(allorders!Q:Q,allorders!L:L,A31,allorders!AG:AG,"&gt;="&amp;日期!$B$12,allorders!AG:AG,"&lt;="&amp;日期!$B$5,allorders!N:N,"Shipped")</f>
        <v>65.98</v>
      </c>
      <c r="I31">
        <f t="shared" si="0"/>
        <v>2</v>
      </c>
    </row>
    <row r="32" spans="1:9">
      <c r="A32" s="7" t="s">
        <v>457</v>
      </c>
      <c r="B32" t="str">
        <f>VLOOKUP(A32,'[1]子sku-父sku'!$A:$B,2,0)</f>
        <v>DO-YULQ620</v>
      </c>
      <c r="C32">
        <f>SUMIFS(allorders!O:O,allorders!L:L,$A32,allorders!AG:AG,"&lt;="&amp;日期!$B$5,allorders!AG:AG,"&gt;="&amp;日期!$B$6,allorders!N:N,"Shipped")</f>
        <v>1</v>
      </c>
      <c r="D32">
        <f>SUMIFS(allorders!$O:$O,allorders!$L:$L,$A32,allorders!$AG:$AG,"&lt;="&amp;日期!$B$7,allorders!$AG:$AG,"&gt;="&amp;日期!$B$8,allorders!N:N,"Shipped")</f>
        <v>6</v>
      </c>
      <c r="E32">
        <f>SUMIFS(allorders!$O:$O,allorders!$L:$L,$A32,allorders!$AG:$AG,"&lt;="&amp;日期!$B$9,allorders!$AG:$AG,"&gt;="&amp;日期!$B$10,allorders!N:N,"Shipped")</f>
        <v>4</v>
      </c>
      <c r="F32">
        <f>SUMIFS(allorders!$O:$O,allorders!$L:$L,$A32,allorders!$AG:$AG,"&lt;="&amp;日期!$B$11,allorders!$AG:$AG,"&gt;="&amp;日期!$B$12,allorders!N:N,"Shipped")</f>
        <v>2</v>
      </c>
      <c r="G32">
        <f>SUMIFS(allorders!Q:Q,allorders!L:L,A32,allorders!AG:AG,"&lt;="&amp;日期!$B$5,allorders!AG:AG,"&gt;="&amp;日期!$B$12,allorders!N:N,"Shipped")/SUM(C32:F32)</f>
        <v>86.3746153846154</v>
      </c>
      <c r="H32">
        <f>SUMIFS(allorders!Q:Q,allorders!L:L,A32,allorders!AG:AG,"&gt;="&amp;日期!$B$12,allorders!AG:AG,"&lt;="&amp;日期!$B$5,allorders!N:N,"Shipped")</f>
        <v>1122.87</v>
      </c>
      <c r="I32">
        <f t="shared" si="0"/>
        <v>13</v>
      </c>
    </row>
    <row r="33" spans="1:9">
      <c r="A33" s="7" t="s">
        <v>465</v>
      </c>
      <c r="B33" t="str">
        <f>VLOOKUP(A33,'[1]子sku-父sku'!$A:$B,2,0)</f>
        <v>DO-YULQ332</v>
      </c>
      <c r="C33">
        <f>SUMIFS(allorders!O:O,allorders!L:L,$A33,allorders!AG:AG,"&lt;="&amp;日期!$B$5,allorders!AG:AG,"&gt;="&amp;日期!$B$6,allorders!N:N,"Shipped")</f>
        <v>0</v>
      </c>
      <c r="D33">
        <f>SUMIFS(allorders!$O:$O,allorders!$L:$L,$A33,allorders!$AG:$AG,"&lt;="&amp;日期!$B$7,allorders!$AG:$AG,"&gt;="&amp;日期!$B$8,allorders!N:N,"Shipped")</f>
        <v>1</v>
      </c>
      <c r="E33">
        <f>SUMIFS(allorders!$O:$O,allorders!$L:$L,$A33,allorders!$AG:$AG,"&lt;="&amp;日期!$B$9,allorders!$AG:$AG,"&gt;="&amp;日期!$B$10,allorders!N:N,"Shipped")</f>
        <v>1</v>
      </c>
      <c r="F33">
        <f>SUMIFS(allorders!$O:$O,allorders!$L:$L,$A33,allorders!$AG:$AG,"&lt;="&amp;日期!$B$11,allorders!$AG:$AG,"&gt;="&amp;日期!$B$12,allorders!N:N,"Shipped")</f>
        <v>2</v>
      </c>
      <c r="G33">
        <f>SUMIFS(allorders!Q:Q,allorders!L:L,A33,allorders!AG:AG,"&lt;="&amp;日期!$B$5,allorders!AG:AG,"&gt;="&amp;日期!$B$12,allorders!N:N,"Shipped")/SUM(C33:F33)</f>
        <v>89.99</v>
      </c>
      <c r="H33">
        <f>SUMIFS(allorders!Q:Q,allorders!L:L,A33,allorders!AG:AG,"&gt;="&amp;日期!$B$12,allorders!AG:AG,"&lt;="&amp;日期!$B$5,allorders!N:N,"Shipped")</f>
        <v>359.96</v>
      </c>
      <c r="I33">
        <f t="shared" si="0"/>
        <v>4</v>
      </c>
    </row>
    <row r="34" spans="1:9">
      <c r="A34" s="7" t="s">
        <v>478</v>
      </c>
      <c r="B34" t="str">
        <f>VLOOKUP(A34,'[1]子sku-父sku'!$A:$B,2,0)</f>
        <v>DO-YULQ012</v>
      </c>
      <c r="C34">
        <f>SUMIFS(allorders!O:O,allorders!L:L,$A34,allorders!AG:AG,"&lt;="&amp;日期!$B$5,allorders!AG:AG,"&gt;="&amp;日期!$B$6,allorders!N:N,"Shipped")</f>
        <v>0</v>
      </c>
      <c r="D34">
        <f>SUMIFS(allorders!$O:$O,allorders!$L:$L,$A34,allorders!$AG:$AG,"&lt;="&amp;日期!$B$7,allorders!$AG:$AG,"&gt;="&amp;日期!$B$8,allorders!N:N,"Shipped")</f>
        <v>2</v>
      </c>
      <c r="E34">
        <f>SUMIFS(allorders!$O:$O,allorders!$L:$L,$A34,allorders!$AG:$AG,"&lt;="&amp;日期!$B$9,allorders!$AG:$AG,"&gt;="&amp;日期!$B$10,allorders!N:N,"Shipped")</f>
        <v>2</v>
      </c>
      <c r="F34">
        <f>SUMIFS(allorders!$O:$O,allorders!$L:$L,$A34,allorders!$AG:$AG,"&lt;="&amp;日期!$B$11,allorders!$AG:$AG,"&gt;="&amp;日期!$B$12,allorders!N:N,"Shipped")</f>
        <v>3</v>
      </c>
      <c r="G34">
        <f>SUMIFS(allorders!Q:Q,allorders!L:L,A34,allorders!AG:AG,"&lt;="&amp;日期!$B$5,allorders!AG:AG,"&gt;="&amp;日期!$B$12,allorders!N:N,"Shipped")/SUM(C34:F34)</f>
        <v>89.99</v>
      </c>
      <c r="H34">
        <f>SUMIFS(allorders!Q:Q,allorders!L:L,A34,allorders!AG:AG,"&gt;="&amp;日期!$B$12,allorders!AG:AG,"&lt;="&amp;日期!$B$5,allorders!N:N,"Shipped")</f>
        <v>629.93</v>
      </c>
      <c r="I34">
        <f t="shared" si="0"/>
        <v>7</v>
      </c>
    </row>
    <row r="35" spans="1:9">
      <c r="A35" s="7" t="s">
        <v>486</v>
      </c>
      <c r="B35" t="str">
        <f>VLOOKUP(A35,'[1]子sku-父sku'!$A:$B,2,0)</f>
        <v>DO-YULQ161</v>
      </c>
      <c r="C35">
        <f>SUMIFS(allorders!O:O,allorders!L:L,$A35,allorders!AG:AG,"&lt;="&amp;日期!$B$5,allorders!AG:AG,"&gt;="&amp;日期!$B$6,allorders!N:N,"Shipped")</f>
        <v>0</v>
      </c>
      <c r="D35">
        <f>SUMIFS(allorders!$O:$O,allorders!$L:$L,$A35,allorders!$AG:$AG,"&lt;="&amp;日期!$B$7,allorders!$AG:$AG,"&gt;="&amp;日期!$B$8,allorders!N:N,"Shipped")</f>
        <v>0</v>
      </c>
      <c r="E35">
        <f>SUMIFS(allorders!$O:$O,allorders!$L:$L,$A35,allorders!$AG:$AG,"&lt;="&amp;日期!$B$9,allorders!$AG:$AG,"&gt;="&amp;日期!$B$10,allorders!N:N,"Shipped")</f>
        <v>3</v>
      </c>
      <c r="F35">
        <f>SUMIFS(allorders!$O:$O,allorders!$L:$L,$A35,allorders!$AG:$AG,"&lt;="&amp;日期!$B$11,allorders!$AG:$AG,"&gt;="&amp;日期!$B$12,allorders!N:N,"Shipped")</f>
        <v>2</v>
      </c>
      <c r="G35">
        <f>SUMIFS(allorders!Q:Q,allorders!L:L,A35,allorders!AG:AG,"&lt;="&amp;日期!$B$5,allorders!AG:AG,"&gt;="&amp;日期!$B$12,allorders!N:N,"Shipped")/SUM(C35:F35)</f>
        <v>69.99</v>
      </c>
      <c r="H35">
        <f>SUMIFS(allorders!Q:Q,allorders!L:L,A35,allorders!AG:AG,"&gt;="&amp;日期!$B$12,allorders!AG:AG,"&lt;="&amp;日期!$B$5,allorders!N:N,"Shipped")</f>
        <v>349.95</v>
      </c>
      <c r="I35">
        <f t="shared" si="0"/>
        <v>5</v>
      </c>
    </row>
    <row r="36" spans="1:9">
      <c r="A36" s="7" t="s">
        <v>495</v>
      </c>
      <c r="B36" t="str">
        <f>VLOOKUP(A36,'[1]子sku-父sku'!$A:$B,2,0)</f>
        <v>DOLL-1630</v>
      </c>
      <c r="C36">
        <f>SUMIFS(allorders!O:O,allorders!L:L,$A36,allorders!AG:AG,"&lt;="&amp;日期!$B$5,allorders!AG:AG,"&gt;="&amp;日期!$B$6,allorders!N:N,"Shipped")</f>
        <v>1</v>
      </c>
      <c r="D36">
        <f>SUMIFS(allorders!$O:$O,allorders!$L:$L,$A36,allorders!$AG:$AG,"&lt;="&amp;日期!$B$7,allorders!$AG:$AG,"&gt;="&amp;日期!$B$8,allorders!N:N,"Shipped")</f>
        <v>3</v>
      </c>
      <c r="E36">
        <f>SUMIFS(allorders!$O:$O,allorders!$L:$L,$A36,allorders!$AG:$AG,"&lt;="&amp;日期!$B$9,allorders!$AG:$AG,"&gt;="&amp;日期!$B$10,allorders!N:N,"Shipped")</f>
        <v>3</v>
      </c>
      <c r="F36">
        <f>SUMIFS(allorders!$O:$O,allorders!$L:$L,$A36,allorders!$AG:$AG,"&lt;="&amp;日期!$B$11,allorders!$AG:$AG,"&gt;="&amp;日期!$B$12,allorders!N:N,"Shipped")</f>
        <v>3</v>
      </c>
      <c r="G36">
        <f>SUMIFS(allorders!Q:Q,allorders!L:L,A36,allorders!AG:AG,"&lt;="&amp;日期!$B$5,allorders!AG:AG,"&gt;="&amp;日期!$B$12,allorders!N:N,"Shipped")/SUM(C36:F36)</f>
        <v>99.99</v>
      </c>
      <c r="H36">
        <f>SUMIFS(allorders!Q:Q,allorders!L:L,A36,allorders!AG:AG,"&gt;="&amp;日期!$B$12,allorders!AG:AG,"&lt;="&amp;日期!$B$5,allorders!N:N,"Shipped")</f>
        <v>999.9</v>
      </c>
      <c r="I36">
        <f t="shared" si="0"/>
        <v>10</v>
      </c>
    </row>
    <row r="37" spans="1:9">
      <c r="A37" s="7" t="s">
        <v>503</v>
      </c>
      <c r="B37" t="str">
        <f>VLOOKUP(A37,'[1]子sku-父sku'!$A:$B,2,0)</f>
        <v>DO-YULQ611</v>
      </c>
      <c r="C37">
        <f>SUMIFS(allorders!O:O,allorders!L:L,$A37,allorders!AG:AG,"&lt;="&amp;日期!$B$5,allorders!AG:AG,"&gt;="&amp;日期!$B$6,allorders!N:N,"Shipped")</f>
        <v>0</v>
      </c>
      <c r="D37">
        <f>SUMIFS(allorders!$O:$O,allorders!$L:$L,$A37,allorders!$AG:$AG,"&lt;="&amp;日期!$B$7,allorders!$AG:$AG,"&gt;="&amp;日期!$B$8,allorders!N:N,"Shipped")</f>
        <v>0</v>
      </c>
      <c r="E37">
        <f>SUMIFS(allorders!$O:$O,allorders!$L:$L,$A37,allorders!$AG:$AG,"&lt;="&amp;日期!$B$9,allorders!$AG:$AG,"&gt;="&amp;日期!$B$10,allorders!N:N,"Shipped")</f>
        <v>0</v>
      </c>
      <c r="F37">
        <f>SUMIFS(allorders!$O:$O,allorders!$L:$L,$A37,allorders!$AG:$AG,"&lt;="&amp;日期!$B$11,allorders!$AG:$AG,"&gt;="&amp;日期!$B$12,allorders!N:N,"Shipped")</f>
        <v>2</v>
      </c>
      <c r="G37">
        <f>SUMIFS(allorders!Q:Q,allorders!L:L,A37,allorders!AG:AG,"&lt;="&amp;日期!$B$5,allorders!AG:AG,"&gt;="&amp;日期!$B$12,allorders!N:N,"Shipped")/SUM(C37:F37)</f>
        <v>87.99</v>
      </c>
      <c r="H37">
        <f>SUMIFS(allorders!Q:Q,allorders!L:L,A37,allorders!AG:AG,"&gt;="&amp;日期!$B$12,allorders!AG:AG,"&lt;="&amp;日期!$B$5,allorders!N:N,"Shipped")</f>
        <v>175.98</v>
      </c>
      <c r="I37">
        <f t="shared" si="0"/>
        <v>2</v>
      </c>
    </row>
    <row r="38" spans="1:9">
      <c r="A38" s="7" t="s">
        <v>514</v>
      </c>
      <c r="B38" t="str">
        <f>VLOOKUP(A38,'[1]子sku-父sku'!$A:$B,2,0)</f>
        <v>DO-YULQ172</v>
      </c>
      <c r="C38">
        <f>SUMIFS(allorders!O:O,allorders!L:L,$A38,allorders!AG:AG,"&lt;="&amp;日期!$B$5,allorders!AG:AG,"&gt;="&amp;日期!$B$6,allorders!N:N,"Shipped")</f>
        <v>0</v>
      </c>
      <c r="D38">
        <f>SUMIFS(allorders!$O:$O,allorders!$L:$L,$A38,allorders!$AG:$AG,"&lt;="&amp;日期!$B$7,allorders!$AG:$AG,"&gt;="&amp;日期!$B$8,allorders!N:N,"Shipped")</f>
        <v>0</v>
      </c>
      <c r="E38">
        <f>SUMIFS(allorders!$O:$O,allorders!$L:$L,$A38,allorders!$AG:$AG,"&lt;="&amp;日期!$B$9,allorders!$AG:$AG,"&gt;="&amp;日期!$B$10,allorders!N:N,"Shipped")</f>
        <v>0</v>
      </c>
      <c r="F38">
        <f>SUMIFS(allorders!$O:$O,allorders!$L:$L,$A38,allorders!$AG:$AG,"&lt;="&amp;日期!$B$11,allorders!$AG:$AG,"&gt;="&amp;日期!$B$12,allorders!N:N,"Shipped")</f>
        <v>2</v>
      </c>
      <c r="G38">
        <f>SUMIFS(allorders!Q:Q,allorders!L:L,A38,allorders!AG:AG,"&lt;="&amp;日期!$B$5,allorders!AG:AG,"&gt;="&amp;日期!$B$12,allorders!N:N,"Shipped")/SUM(C38:F38)</f>
        <v>79.99</v>
      </c>
      <c r="H38">
        <f>SUMIFS(allorders!Q:Q,allorders!L:L,A38,allorders!AG:AG,"&gt;="&amp;日期!$B$12,allorders!AG:AG,"&lt;="&amp;日期!$B$5,allorders!N:N,"Shipped")</f>
        <v>159.98</v>
      </c>
      <c r="I38">
        <f t="shared" si="0"/>
        <v>2</v>
      </c>
    </row>
    <row r="39" spans="1:9">
      <c r="A39" s="7" t="s">
        <v>520</v>
      </c>
      <c r="B39" t="str">
        <f>VLOOKUP(A39,'[1]子sku-父sku'!$A:$B,2,0)</f>
        <v>DO-YULQ330</v>
      </c>
      <c r="C39">
        <f>SUMIFS(allorders!O:O,allorders!L:L,$A39,allorders!AG:AG,"&lt;="&amp;日期!$B$5,allorders!AG:AG,"&gt;="&amp;日期!$B$6,allorders!N:N,"Shipped")</f>
        <v>0</v>
      </c>
      <c r="D39">
        <f>SUMIFS(allorders!$O:$O,allorders!$L:$L,$A39,allorders!$AG:$AG,"&lt;="&amp;日期!$B$7,allorders!$AG:$AG,"&gt;="&amp;日期!$B$8,allorders!N:N,"Shipped")</f>
        <v>0</v>
      </c>
      <c r="E39">
        <f>SUMIFS(allorders!$O:$O,allorders!$L:$L,$A39,allorders!$AG:$AG,"&lt;="&amp;日期!$B$9,allorders!$AG:$AG,"&gt;="&amp;日期!$B$10,allorders!N:N,"Shipped")</f>
        <v>0</v>
      </c>
      <c r="F39">
        <f>SUMIFS(allorders!$O:$O,allorders!$L:$L,$A39,allorders!$AG:$AG,"&lt;="&amp;日期!$B$11,allorders!$AG:$AG,"&gt;="&amp;日期!$B$12,allorders!N:N,"Shipped")</f>
        <v>0</v>
      </c>
      <c r="G39" t="e">
        <f>SUMIFS(allorders!Q:Q,allorders!L:L,A39,allorders!AG:AG,"&lt;="&amp;日期!$B$5,allorders!AG:AG,"&gt;="&amp;日期!$B$12,allorders!N:N,"Shipped")/SUM(C39:F39)</f>
        <v>#DIV/0!</v>
      </c>
      <c r="H39">
        <f>SUMIFS(allorders!Q:Q,allorders!L:L,A39,allorders!AG:AG,"&gt;="&amp;日期!$B$12,allorders!AG:AG,"&lt;="&amp;日期!$B$5,allorders!N:N,"Shipped")</f>
        <v>0</v>
      </c>
      <c r="I39">
        <f t="shared" si="0"/>
        <v>0</v>
      </c>
    </row>
    <row r="40" spans="1:9">
      <c r="A40" s="7" t="s">
        <v>564</v>
      </c>
      <c r="B40" t="str">
        <f>VLOOKUP(A40,'[1]子sku-父sku'!$A:$B,2,0)</f>
        <v>DOLLDRESS-003</v>
      </c>
      <c r="C40">
        <f>SUMIFS(allorders!O:O,allorders!L:L,$A40,allorders!AG:AG,"&lt;="&amp;日期!$B$5,allorders!AG:AG,"&gt;="&amp;日期!$B$6,allorders!N:N,"Shipped")</f>
        <v>1</v>
      </c>
      <c r="D40">
        <f>SUMIFS(allorders!$O:$O,allorders!$L:$L,$A40,allorders!$AG:$AG,"&lt;="&amp;日期!$B$7,allorders!$AG:$AG,"&gt;="&amp;日期!$B$8,allorders!N:N,"Shipped")</f>
        <v>3</v>
      </c>
      <c r="E40">
        <f>SUMIFS(allorders!$O:$O,allorders!$L:$L,$A40,allorders!$AG:$AG,"&lt;="&amp;日期!$B$9,allorders!$AG:$AG,"&gt;="&amp;日期!$B$10,allorders!N:N,"Shipped")</f>
        <v>5</v>
      </c>
      <c r="F40">
        <f>SUMIFS(allorders!$O:$O,allorders!$L:$L,$A40,allorders!$AG:$AG,"&lt;="&amp;日期!$B$11,allorders!$AG:$AG,"&gt;="&amp;日期!$B$12,allorders!N:N,"Shipped")</f>
        <v>2</v>
      </c>
      <c r="G40">
        <f>SUMIFS(allorders!Q:Q,allorders!L:L,A40,allorders!AG:AG,"&lt;="&amp;日期!$B$5,allorders!AG:AG,"&gt;="&amp;日期!$B$12,allorders!N:N,"Shipped")/SUM(C40:F40)</f>
        <v>12.99</v>
      </c>
      <c r="H40">
        <f>SUMIFS(allorders!Q:Q,allorders!L:L,A40,allorders!AG:AG,"&gt;="&amp;日期!$B$12,allorders!AG:AG,"&lt;="&amp;日期!$B$5,allorders!N:N,"Shipped")</f>
        <v>142.89</v>
      </c>
      <c r="I40">
        <f t="shared" si="0"/>
        <v>11</v>
      </c>
    </row>
    <row r="41" spans="1:9">
      <c r="A41" s="7" t="s">
        <v>572</v>
      </c>
      <c r="B41" t="str">
        <f>VLOOKUP(A41,'[1]子sku-父sku'!$A:$B,2,0)</f>
        <v>YF-YULQ602</v>
      </c>
      <c r="C41">
        <f>SUMIFS(allorders!O:O,allorders!L:L,$A41,allorders!AG:AG,"&lt;="&amp;日期!$B$5,allorders!AG:AG,"&gt;="&amp;日期!$B$6,allorders!N:N,"Shipped")</f>
        <v>1</v>
      </c>
      <c r="D41">
        <f>SUMIFS(allorders!$O:$O,allorders!$L:$L,$A41,allorders!$AG:$AG,"&lt;="&amp;日期!$B$7,allorders!$AG:$AG,"&gt;="&amp;日期!$B$8,allorders!N:N,"Shipped")</f>
        <v>2</v>
      </c>
      <c r="E41">
        <f>SUMIFS(allorders!$O:$O,allorders!$L:$L,$A41,allorders!$AG:$AG,"&lt;="&amp;日期!$B$9,allorders!$AG:$AG,"&gt;="&amp;日期!$B$10,allorders!N:N,"Shipped")</f>
        <v>1</v>
      </c>
      <c r="F41">
        <f>SUMIFS(allorders!$O:$O,allorders!$L:$L,$A41,allorders!$AG:$AG,"&lt;="&amp;日期!$B$11,allorders!$AG:$AG,"&gt;="&amp;日期!$B$12,allorders!N:N,"Shipped")</f>
        <v>1</v>
      </c>
      <c r="G41">
        <f>SUMIFS(allorders!Q:Q,allorders!L:L,A41,allorders!AG:AG,"&lt;="&amp;日期!$B$5,allorders!AG:AG,"&gt;="&amp;日期!$B$12,allorders!N:N,"Shipped")/SUM(C41:F41)</f>
        <v>17.592</v>
      </c>
      <c r="H41">
        <f>SUMIFS(allorders!Q:Q,allorders!L:L,A41,allorders!AG:AG,"&gt;="&amp;日期!$B$12,allorders!AG:AG,"&lt;="&amp;日期!$B$5,allorders!N:N,"Shipped")</f>
        <v>87.96</v>
      </c>
      <c r="I41">
        <f t="shared" si="0"/>
        <v>5</v>
      </c>
    </row>
    <row r="42" spans="1:9">
      <c r="A42" s="7" t="s">
        <v>590</v>
      </c>
      <c r="B42" t="str">
        <f>VLOOKUP(A42,'[1]子sku-父sku'!$A:$B,2,0)</f>
        <v>DOLLDRESS-003</v>
      </c>
      <c r="C42">
        <f>SUMIFS(allorders!O:O,allorders!L:L,$A42,allorders!AG:AG,"&lt;="&amp;日期!$B$5,allorders!AG:AG,"&gt;="&amp;日期!$B$6,allorders!N:N,"Shipped")</f>
        <v>0</v>
      </c>
      <c r="D42">
        <f>SUMIFS(allorders!$O:$O,allorders!$L:$L,$A42,allorders!$AG:$AG,"&lt;="&amp;日期!$B$7,allorders!$AG:$AG,"&gt;="&amp;日期!$B$8,allorders!N:N,"Shipped")</f>
        <v>0</v>
      </c>
      <c r="E42">
        <f>SUMIFS(allorders!$O:$O,allorders!$L:$L,$A42,allorders!$AG:$AG,"&lt;="&amp;日期!$B$9,allorders!$AG:$AG,"&gt;="&amp;日期!$B$10,allorders!N:N,"Shipped")</f>
        <v>5</v>
      </c>
      <c r="F42">
        <f>SUMIFS(allorders!$O:$O,allorders!$L:$L,$A42,allorders!$AG:$AG,"&lt;="&amp;日期!$B$11,allorders!$AG:$AG,"&gt;="&amp;日期!$B$12,allorders!N:N,"Shipped")</f>
        <v>2</v>
      </c>
      <c r="G42">
        <f>SUMIFS(allorders!Q:Q,allorders!L:L,A42,allorders!AG:AG,"&lt;="&amp;日期!$B$5,allorders!AG:AG,"&gt;="&amp;日期!$B$12,allorders!N:N,"Shipped")/SUM(C42:F42)</f>
        <v>12.99</v>
      </c>
      <c r="H42">
        <f>SUMIFS(allorders!Q:Q,allorders!L:L,A42,allorders!AG:AG,"&gt;="&amp;日期!$B$12,allorders!AG:AG,"&lt;="&amp;日期!$B$5,allorders!N:N,"Shipped")</f>
        <v>90.93</v>
      </c>
      <c r="I42">
        <f t="shared" si="0"/>
        <v>7</v>
      </c>
    </row>
    <row r="43" spans="1:9">
      <c r="A43" s="7" t="s">
        <v>596</v>
      </c>
      <c r="B43" t="str">
        <f>VLOOKUP(A43,'[1]子sku-父sku'!$A:$B,2,0)</f>
        <v>YF-YULQ905</v>
      </c>
      <c r="C43">
        <f>SUMIFS(allorders!O:O,allorders!L:L,$A43,allorders!AG:AG,"&lt;="&amp;日期!$B$5,allorders!AG:AG,"&gt;="&amp;日期!$B$6,allorders!N:N,"Shipped")</f>
        <v>2</v>
      </c>
      <c r="D43">
        <f>SUMIFS(allorders!$O:$O,allorders!$L:$L,$A43,allorders!$AG:$AG,"&lt;="&amp;日期!$B$7,allorders!$AG:$AG,"&gt;="&amp;日期!$B$8,allorders!N:N,"Shipped")</f>
        <v>3</v>
      </c>
      <c r="E43">
        <f>SUMIFS(allorders!$O:$O,allorders!$L:$L,$A43,allorders!$AG:$AG,"&lt;="&amp;日期!$B$9,allorders!$AG:$AG,"&gt;="&amp;日期!$B$10,allorders!N:N,"Shipped")</f>
        <v>3</v>
      </c>
      <c r="F43">
        <f>SUMIFS(allorders!$O:$O,allorders!$L:$L,$A43,allorders!$AG:$AG,"&lt;="&amp;日期!$B$11,allorders!$AG:$AG,"&gt;="&amp;日期!$B$12,allorders!N:N,"Shipped")</f>
        <v>1</v>
      </c>
      <c r="G43">
        <f>SUMIFS(allorders!Q:Q,allorders!L:L,A43,allorders!AG:AG,"&lt;="&amp;日期!$B$5,allorders!AG:AG,"&gt;="&amp;日期!$B$12,allorders!N:N,"Shipped")/SUM(C43:F43)</f>
        <v>21.99</v>
      </c>
      <c r="H43">
        <f>SUMIFS(allorders!Q:Q,allorders!L:L,A43,allorders!AG:AG,"&gt;="&amp;日期!$B$12,allorders!AG:AG,"&lt;="&amp;日期!$B$5,allorders!N:N,"Shipped")</f>
        <v>197.91</v>
      </c>
      <c r="I43">
        <f t="shared" si="0"/>
        <v>9</v>
      </c>
    </row>
    <row r="44" spans="1:9">
      <c r="A44" s="7" t="s">
        <v>604</v>
      </c>
      <c r="B44" t="str">
        <f>VLOOKUP(A44,'[1]子sku-父sku'!$A:$B,2,0)</f>
        <v>DO-YULQ702</v>
      </c>
      <c r="C44">
        <f>SUMIFS(allorders!O:O,allorders!L:L,$A44,allorders!AG:AG,"&lt;="&amp;日期!$B$5,allorders!AG:AG,"&gt;="&amp;日期!$B$6,allorders!N:N,"Shipped")</f>
        <v>8</v>
      </c>
      <c r="D44">
        <f>SUMIFS(allorders!$O:$O,allorders!$L:$L,$A44,allorders!$AG:$AG,"&lt;="&amp;日期!$B$7,allorders!$AG:$AG,"&gt;="&amp;日期!$B$8,allorders!N:N,"Shipped")</f>
        <v>4</v>
      </c>
      <c r="E44">
        <f>SUMIFS(allorders!$O:$O,allorders!$L:$L,$A44,allorders!$AG:$AG,"&lt;="&amp;日期!$B$9,allorders!$AG:$AG,"&gt;="&amp;日期!$B$10,allorders!N:N,"Shipped")</f>
        <v>2</v>
      </c>
      <c r="F44">
        <f>SUMIFS(allorders!$O:$O,allorders!$L:$L,$A44,allorders!$AG:$AG,"&lt;="&amp;日期!$B$11,allorders!$AG:$AG,"&gt;="&amp;日期!$B$12,allorders!N:N,"Shipped")</f>
        <v>5</v>
      </c>
      <c r="G44">
        <f>SUMIFS(allorders!Q:Q,allorders!L:L,A44,allorders!AG:AG,"&lt;="&amp;日期!$B$5,allorders!AG:AG,"&gt;="&amp;日期!$B$12,allorders!N:N,"Shipped")/SUM(C44:F44)</f>
        <v>99.99</v>
      </c>
      <c r="H44">
        <f>SUMIFS(allorders!Q:Q,allorders!L:L,A44,allorders!AG:AG,"&gt;="&amp;日期!$B$12,allorders!AG:AG,"&lt;="&amp;日期!$B$5,allorders!N:N,"Shipped")</f>
        <v>1899.81</v>
      </c>
      <c r="I44">
        <f t="shared" si="0"/>
        <v>19</v>
      </c>
    </row>
    <row r="45" spans="1:9">
      <c r="A45" s="7" t="s">
        <v>612</v>
      </c>
      <c r="B45" t="str">
        <f>VLOOKUP(A45,'[1]子sku-父sku'!$A:$B,2,0)</f>
        <v>DOLL-0605</v>
      </c>
      <c r="C45">
        <f>SUMIFS(allorders!O:O,allorders!L:L,$A45,allorders!AG:AG,"&lt;="&amp;日期!$B$5,allorders!AG:AG,"&gt;="&amp;日期!$B$6,allorders!N:N,"Shipped")</f>
        <v>3</v>
      </c>
      <c r="D45">
        <f>SUMIFS(allorders!$O:$O,allorders!$L:$L,$A45,allorders!$AG:$AG,"&lt;="&amp;日期!$B$7,allorders!$AG:$AG,"&gt;="&amp;日期!$B$8,allorders!N:N,"Shipped")</f>
        <v>5</v>
      </c>
      <c r="E45">
        <f>SUMIFS(allorders!$O:$O,allorders!$L:$L,$A45,allorders!$AG:$AG,"&lt;="&amp;日期!$B$9,allorders!$AG:$AG,"&gt;="&amp;日期!$B$10,allorders!N:N,"Shipped")</f>
        <v>10</v>
      </c>
      <c r="F45">
        <f>SUMIFS(allorders!$O:$O,allorders!$L:$L,$A45,allorders!$AG:$AG,"&lt;="&amp;日期!$B$11,allorders!$AG:$AG,"&gt;="&amp;日期!$B$12,allorders!N:N,"Shipped")</f>
        <v>7</v>
      </c>
      <c r="G45">
        <f>SUMIFS(allorders!Q:Q,allorders!L:L,A45,allorders!AG:AG,"&lt;="&amp;日期!$B$5,allorders!AG:AG,"&gt;="&amp;日期!$B$12,allorders!N:N,"Shipped")/SUM(C45:F45)</f>
        <v>89.99</v>
      </c>
      <c r="H45">
        <f>SUMIFS(allorders!Q:Q,allorders!L:L,A45,allorders!AG:AG,"&gt;="&amp;日期!$B$12,allorders!AG:AG,"&lt;="&amp;日期!$B$5,allorders!N:N,"Shipped")</f>
        <v>2249.75</v>
      </c>
      <c r="I45">
        <f t="shared" si="0"/>
        <v>25</v>
      </c>
    </row>
    <row r="46" spans="1:9">
      <c r="A46" s="7" t="s">
        <v>620</v>
      </c>
      <c r="B46" t="str">
        <f>VLOOKUP(A46,'[1]子sku-父sku'!$A:$B,2,0)</f>
        <v>DO-YULQ004</v>
      </c>
      <c r="C46">
        <f>SUMIFS(allorders!O:O,allorders!L:L,$A46,allorders!AG:AG,"&lt;="&amp;日期!$B$5,allorders!AG:AG,"&gt;="&amp;日期!$B$6,allorders!N:N,"Shipped")</f>
        <v>0</v>
      </c>
      <c r="D46">
        <f>SUMIFS(allorders!$O:$O,allorders!$L:$L,$A46,allorders!$AG:$AG,"&lt;="&amp;日期!$B$7,allorders!$AG:$AG,"&gt;="&amp;日期!$B$8,allorders!N:N,"Shipped")</f>
        <v>0</v>
      </c>
      <c r="E46">
        <f>SUMIFS(allorders!$O:$O,allorders!$L:$L,$A46,allorders!$AG:$AG,"&lt;="&amp;日期!$B$9,allorders!$AG:$AG,"&gt;="&amp;日期!$B$10,allorders!N:N,"Shipped")</f>
        <v>1</v>
      </c>
      <c r="F46">
        <f>SUMIFS(allorders!$O:$O,allorders!$L:$L,$A46,allorders!$AG:$AG,"&lt;="&amp;日期!$B$11,allorders!$AG:$AG,"&gt;="&amp;日期!$B$12,allorders!N:N,"Shipped")</f>
        <v>1</v>
      </c>
      <c r="G46">
        <f>SUMIFS(allorders!Q:Q,allorders!L:L,A46,allorders!AG:AG,"&lt;="&amp;日期!$B$5,allorders!AG:AG,"&gt;="&amp;日期!$B$12,allorders!N:N,"Shipped")/SUM(C46:F46)</f>
        <v>32.99</v>
      </c>
      <c r="H46">
        <f>SUMIFS(allorders!Q:Q,allorders!L:L,A46,allorders!AG:AG,"&gt;="&amp;日期!$B$12,allorders!AG:AG,"&lt;="&amp;日期!$B$5,allorders!N:N,"Shipped")</f>
        <v>65.98</v>
      </c>
      <c r="I46">
        <f t="shared" si="0"/>
        <v>2</v>
      </c>
    </row>
    <row r="47" spans="1:9">
      <c r="A47" s="7" t="s">
        <v>633</v>
      </c>
      <c r="B47" t="str">
        <f>VLOOKUP(A47,'[1]子sku-父sku'!$A:$B,2,0)</f>
        <v>DO-YULQ150</v>
      </c>
      <c r="C47">
        <f>SUMIFS(allorders!O:O,allorders!L:L,$A47,allorders!AG:AG,"&lt;="&amp;日期!$B$5,allorders!AG:AG,"&gt;="&amp;日期!$B$6,allorders!N:N,"Shipped")</f>
        <v>2</v>
      </c>
      <c r="D47">
        <f>SUMIFS(allorders!$O:$O,allorders!$L:$L,$A47,allorders!$AG:$AG,"&lt;="&amp;日期!$B$7,allorders!$AG:$AG,"&gt;="&amp;日期!$B$8,allorders!N:N,"Shipped")</f>
        <v>0</v>
      </c>
      <c r="E47">
        <f>SUMIFS(allorders!$O:$O,allorders!$L:$L,$A47,allorders!$AG:$AG,"&lt;="&amp;日期!$B$9,allorders!$AG:$AG,"&gt;="&amp;日期!$B$10,allorders!N:N,"Shipped")</f>
        <v>7</v>
      </c>
      <c r="F47">
        <f>SUMIFS(allorders!$O:$O,allorders!$L:$L,$A47,allorders!$AG:$AG,"&lt;="&amp;日期!$B$11,allorders!$AG:$AG,"&gt;="&amp;日期!$B$12,allorders!N:N,"Shipped")</f>
        <v>3</v>
      </c>
      <c r="G47">
        <f>SUMIFS(allorders!Q:Q,allorders!L:L,A47,allorders!AG:AG,"&lt;="&amp;日期!$B$5,allorders!AG:AG,"&gt;="&amp;日期!$B$12,allorders!N:N,"Shipped")/SUM(C47:F47)</f>
        <v>85.99</v>
      </c>
      <c r="H47">
        <f>SUMIFS(allorders!Q:Q,allorders!L:L,A47,allorders!AG:AG,"&gt;="&amp;日期!$B$12,allorders!AG:AG,"&lt;="&amp;日期!$B$5,allorders!N:N,"Shipped")</f>
        <v>1031.88</v>
      </c>
      <c r="I47">
        <f t="shared" si="0"/>
        <v>12</v>
      </c>
    </row>
    <row r="48" spans="1:9">
      <c r="A48" s="7" t="s">
        <v>657</v>
      </c>
      <c r="B48" t="str">
        <f>VLOOKUP(A48,'[1]子sku-父sku'!$A:$B,2,0)</f>
        <v>DO-YULQ905</v>
      </c>
      <c r="C48">
        <f>SUMIFS(allorders!O:O,allorders!L:L,$A48,allorders!AG:AG,"&lt;="&amp;日期!$B$5,allorders!AG:AG,"&gt;="&amp;日期!$B$6,allorders!N:N,"Shipped")</f>
        <v>2</v>
      </c>
      <c r="D48">
        <f>SUMIFS(allorders!$O:$O,allorders!$L:$L,$A48,allorders!$AG:$AG,"&lt;="&amp;日期!$B$7,allorders!$AG:$AG,"&gt;="&amp;日期!$B$8,allorders!N:N,"Shipped")</f>
        <v>4</v>
      </c>
      <c r="E48">
        <f>SUMIFS(allorders!$O:$O,allorders!$L:$L,$A48,allorders!$AG:$AG,"&lt;="&amp;日期!$B$9,allorders!$AG:$AG,"&gt;="&amp;日期!$B$10,allorders!N:N,"Shipped")</f>
        <v>1</v>
      </c>
      <c r="F48">
        <f>SUMIFS(allorders!$O:$O,allorders!$L:$L,$A48,allorders!$AG:$AG,"&lt;="&amp;日期!$B$11,allorders!$AG:$AG,"&gt;="&amp;日期!$B$12,allorders!N:N,"Shipped")</f>
        <v>1</v>
      </c>
      <c r="G48">
        <f>SUMIFS(allorders!Q:Q,allorders!L:L,A48,allorders!AG:AG,"&lt;="&amp;日期!$B$5,allorders!AG:AG,"&gt;="&amp;日期!$B$12,allorders!N:N,"Shipped")/SUM(C48:F48)</f>
        <v>106.99</v>
      </c>
      <c r="H48">
        <f>SUMIFS(allorders!Q:Q,allorders!L:L,A48,allorders!AG:AG,"&gt;="&amp;日期!$B$12,allorders!AG:AG,"&lt;="&amp;日期!$B$5,allorders!N:N,"Shipped")</f>
        <v>855.92</v>
      </c>
      <c r="I48">
        <f t="shared" si="0"/>
        <v>8</v>
      </c>
    </row>
    <row r="49" spans="1:9">
      <c r="A49" s="7" t="s">
        <v>675</v>
      </c>
      <c r="B49" t="str">
        <f>VLOOKUP(A49,'[1]子sku-父sku'!$A:$B,2,0)</f>
        <v>DO-YULQ063</v>
      </c>
      <c r="C49">
        <f>SUMIFS(allorders!O:O,allorders!L:L,$A49,allorders!AG:AG,"&lt;="&amp;日期!$B$5,allorders!AG:AG,"&gt;="&amp;日期!$B$6,allorders!N:N,"Shipped")</f>
        <v>3</v>
      </c>
      <c r="D49">
        <f>SUMIFS(allorders!$O:$O,allorders!$L:$L,$A49,allorders!$AG:$AG,"&lt;="&amp;日期!$B$7,allorders!$AG:$AG,"&gt;="&amp;日期!$B$8,allorders!N:N,"Shipped")</f>
        <v>1</v>
      </c>
      <c r="E49">
        <f>SUMIFS(allorders!$O:$O,allorders!$L:$L,$A49,allorders!$AG:$AG,"&lt;="&amp;日期!$B$9,allorders!$AG:$AG,"&gt;="&amp;日期!$B$10,allorders!N:N,"Shipped")</f>
        <v>0</v>
      </c>
      <c r="F49">
        <f>SUMIFS(allorders!$O:$O,allorders!$L:$L,$A49,allorders!$AG:$AG,"&lt;="&amp;日期!$B$11,allorders!$AG:$AG,"&gt;="&amp;日期!$B$12,allorders!N:N,"Shipped")</f>
        <v>1</v>
      </c>
      <c r="G49">
        <f>SUMIFS(allorders!Q:Q,allorders!L:L,A49,allorders!AG:AG,"&lt;="&amp;日期!$B$5,allorders!AG:AG,"&gt;="&amp;日期!$B$12,allorders!N:N,"Shipped")/SUM(C49:F49)</f>
        <v>75.99</v>
      </c>
      <c r="H49">
        <f>SUMIFS(allorders!Q:Q,allorders!L:L,A49,allorders!AG:AG,"&gt;="&amp;日期!$B$12,allorders!AG:AG,"&lt;="&amp;日期!$B$5,allorders!N:N,"Shipped")</f>
        <v>379.95</v>
      </c>
      <c r="I49">
        <f t="shared" si="0"/>
        <v>5</v>
      </c>
    </row>
    <row r="50" spans="1:9">
      <c r="A50" s="7" t="s">
        <v>693</v>
      </c>
      <c r="B50" t="str">
        <f>VLOOKUP(A50,'[1]子sku-父sku'!$A:$B,2,0)</f>
        <v>DOLL-1523</v>
      </c>
      <c r="C50">
        <f>SUMIFS(allorders!O:O,allorders!L:L,$A50,allorders!AG:AG,"&lt;="&amp;日期!$B$5,allorders!AG:AG,"&gt;="&amp;日期!$B$6,allorders!N:N,"Shipped")</f>
        <v>0</v>
      </c>
      <c r="D50">
        <f>SUMIFS(allorders!$O:$O,allorders!$L:$L,$A50,allorders!$AG:$AG,"&lt;="&amp;日期!$B$7,allorders!$AG:$AG,"&gt;="&amp;日期!$B$8,allorders!N:N,"Shipped")</f>
        <v>0</v>
      </c>
      <c r="E50">
        <f>SUMIFS(allorders!$O:$O,allorders!$L:$L,$A50,allorders!$AG:$AG,"&lt;="&amp;日期!$B$9,allorders!$AG:$AG,"&gt;="&amp;日期!$B$10,allorders!N:N,"Shipped")</f>
        <v>2</v>
      </c>
      <c r="F50">
        <f>SUMIFS(allorders!$O:$O,allorders!$L:$L,$A50,allorders!$AG:$AG,"&lt;="&amp;日期!$B$11,allorders!$AG:$AG,"&gt;="&amp;日期!$B$12,allorders!N:N,"Shipped")</f>
        <v>1</v>
      </c>
      <c r="G50">
        <f>SUMIFS(allorders!Q:Q,allorders!L:L,A50,allorders!AG:AG,"&lt;="&amp;日期!$B$5,allorders!AG:AG,"&gt;="&amp;日期!$B$12,allorders!N:N,"Shipped")/SUM(C50:F50)</f>
        <v>79.99</v>
      </c>
      <c r="H50">
        <f>SUMIFS(allorders!Q:Q,allorders!L:L,A50,allorders!AG:AG,"&gt;="&amp;日期!$B$12,allorders!AG:AG,"&lt;="&amp;日期!$B$5,allorders!N:N,"Shipped")</f>
        <v>239.97</v>
      </c>
      <c r="I50">
        <f t="shared" si="0"/>
        <v>3</v>
      </c>
    </row>
    <row r="51" spans="1:9">
      <c r="A51" s="7" t="s">
        <v>701</v>
      </c>
      <c r="B51" t="str">
        <f>VLOOKUP(A51,'[1]子sku-父sku'!$A:$B,2,0)</f>
        <v>DO-YULQ708</v>
      </c>
      <c r="C51">
        <f>SUMIFS(allorders!O:O,allorders!L:L,$A51,allorders!AG:AG,"&lt;="&amp;日期!$B$5,allorders!AG:AG,"&gt;="&amp;日期!$B$6,allorders!N:N,"Shipped")</f>
        <v>1</v>
      </c>
      <c r="D51">
        <f>SUMIFS(allorders!$O:$O,allorders!$L:$L,$A51,allorders!$AG:$AG,"&lt;="&amp;日期!$B$7,allorders!$AG:$AG,"&gt;="&amp;日期!$B$8,allorders!N:N,"Shipped")</f>
        <v>0</v>
      </c>
      <c r="E51">
        <f>SUMIFS(allorders!$O:$O,allorders!$L:$L,$A51,allorders!$AG:$AG,"&lt;="&amp;日期!$B$9,allorders!$AG:$AG,"&gt;="&amp;日期!$B$10,allorders!N:N,"Shipped")</f>
        <v>3</v>
      </c>
      <c r="F51">
        <f>SUMIFS(allorders!$O:$O,allorders!$L:$L,$A51,allorders!$AG:$AG,"&lt;="&amp;日期!$B$11,allorders!$AG:$AG,"&gt;="&amp;日期!$B$12,allorders!N:N,"Shipped")</f>
        <v>2</v>
      </c>
      <c r="G51">
        <f>SUMIFS(allorders!Q:Q,allorders!L:L,A51,allorders!AG:AG,"&lt;="&amp;日期!$B$5,allorders!AG:AG,"&gt;="&amp;日期!$B$12,allorders!N:N,"Shipped")/SUM(C51:F51)</f>
        <v>108.99</v>
      </c>
      <c r="H51">
        <f>SUMIFS(allorders!Q:Q,allorders!L:L,A51,allorders!AG:AG,"&gt;="&amp;日期!$B$12,allorders!AG:AG,"&lt;="&amp;日期!$B$5,allorders!N:N,"Shipped")</f>
        <v>653.94</v>
      </c>
      <c r="I51">
        <f t="shared" si="0"/>
        <v>6</v>
      </c>
    </row>
    <row r="52" spans="1:9">
      <c r="A52" s="7" t="s">
        <v>721</v>
      </c>
      <c r="B52" t="str">
        <f>VLOOKUP(A52,'[1]子sku-父sku'!$A:$B,2,0)</f>
        <v>DOLL-1613</v>
      </c>
      <c r="C52">
        <f>SUMIFS(allorders!O:O,allorders!L:L,$A52,allorders!AG:AG,"&lt;="&amp;日期!$B$5,allorders!AG:AG,"&gt;="&amp;日期!$B$6,allorders!N:N,"Shipped")</f>
        <v>0</v>
      </c>
      <c r="D52">
        <f>SUMIFS(allorders!$O:$O,allorders!$L:$L,$A52,allorders!$AG:$AG,"&lt;="&amp;日期!$B$7,allorders!$AG:$AG,"&gt;="&amp;日期!$B$8,allorders!N:N,"Shipped")</f>
        <v>0</v>
      </c>
      <c r="E52">
        <f>SUMIFS(allorders!$O:$O,allorders!$L:$L,$A52,allorders!$AG:$AG,"&lt;="&amp;日期!$B$9,allorders!$AG:$AG,"&gt;="&amp;日期!$B$10,allorders!N:N,"Shipped")</f>
        <v>0</v>
      </c>
      <c r="F52">
        <f>SUMIFS(allorders!$O:$O,allorders!$L:$L,$A52,allorders!$AG:$AG,"&lt;="&amp;日期!$B$11,allorders!$AG:$AG,"&gt;="&amp;日期!$B$12,allorders!N:N,"Shipped")</f>
        <v>0</v>
      </c>
      <c r="G52" t="e">
        <f>SUMIFS(allorders!Q:Q,allorders!L:L,A52,allorders!AG:AG,"&lt;="&amp;日期!$B$5,allorders!AG:AG,"&gt;="&amp;日期!$B$12,allorders!N:N,"Shipped")/SUM(C52:F52)</f>
        <v>#DIV/0!</v>
      </c>
      <c r="H52">
        <f>SUMIFS(allorders!Q:Q,allorders!L:L,A52,allorders!AG:AG,"&gt;="&amp;日期!$B$12,allorders!AG:AG,"&lt;="&amp;日期!$B$5,allorders!N:N,"Shipped")</f>
        <v>0</v>
      </c>
      <c r="I52">
        <f t="shared" si="0"/>
        <v>0</v>
      </c>
    </row>
    <row r="53" spans="1:9">
      <c r="A53" s="7" t="s">
        <v>746</v>
      </c>
      <c r="B53" t="str">
        <f>VLOOKUP(A53,'[1]子sku-父sku'!$A:$B,2,0)</f>
        <v>DOLL-0601</v>
      </c>
      <c r="C53">
        <f>SUMIFS(allorders!O:O,allorders!L:L,$A53,allorders!AG:AG,"&lt;="&amp;日期!$B$5,allorders!AG:AG,"&gt;="&amp;日期!$B$6,allorders!N:N,"Shipped")</f>
        <v>2</v>
      </c>
      <c r="D53">
        <f>SUMIFS(allorders!$O:$O,allorders!$L:$L,$A53,allorders!$AG:$AG,"&lt;="&amp;日期!$B$7,allorders!$AG:$AG,"&gt;="&amp;日期!$B$8,allorders!N:N,"Shipped")</f>
        <v>4</v>
      </c>
      <c r="E53">
        <f>SUMIFS(allorders!$O:$O,allorders!$L:$L,$A53,allorders!$AG:$AG,"&lt;="&amp;日期!$B$9,allorders!$AG:$AG,"&gt;="&amp;日期!$B$10,allorders!N:N,"Shipped")</f>
        <v>5</v>
      </c>
      <c r="F53">
        <f>SUMIFS(allorders!$O:$O,allorders!$L:$L,$A53,allorders!$AG:$AG,"&lt;="&amp;日期!$B$11,allorders!$AG:$AG,"&gt;="&amp;日期!$B$12,allorders!N:N,"Shipped")</f>
        <v>3</v>
      </c>
      <c r="G53">
        <f>SUMIFS(allorders!Q:Q,allorders!L:L,A53,allorders!AG:AG,"&lt;="&amp;日期!$B$5,allorders!AG:AG,"&gt;="&amp;日期!$B$12,allorders!N:N,"Shipped")/SUM(C53:F53)</f>
        <v>89.99</v>
      </c>
      <c r="H53">
        <f>SUMIFS(allorders!Q:Q,allorders!L:L,A53,allorders!AG:AG,"&gt;="&amp;日期!$B$12,allorders!AG:AG,"&lt;="&amp;日期!$B$5,allorders!N:N,"Shipped")</f>
        <v>1259.86</v>
      </c>
      <c r="I53">
        <f t="shared" si="0"/>
        <v>14</v>
      </c>
    </row>
    <row r="54" spans="1:9">
      <c r="A54" s="7" t="s">
        <v>754</v>
      </c>
      <c r="B54" t="str">
        <f>VLOOKUP(A54,'[1]子sku-父sku'!$A:$B,2,0)</f>
        <v>DOLL-0603</v>
      </c>
      <c r="C54">
        <f>SUMIFS(allorders!O:O,allorders!L:L,$A54,allorders!AG:AG,"&lt;="&amp;日期!$B$5,allorders!AG:AG,"&gt;="&amp;日期!$B$6,allorders!N:N,"Shipped")</f>
        <v>2</v>
      </c>
      <c r="D54">
        <f>SUMIFS(allorders!$O:$O,allorders!$L:$L,$A54,allorders!$AG:$AG,"&lt;="&amp;日期!$B$7,allorders!$AG:$AG,"&gt;="&amp;日期!$B$8,allorders!N:N,"Shipped")</f>
        <v>4</v>
      </c>
      <c r="E54">
        <f>SUMIFS(allorders!$O:$O,allorders!$L:$L,$A54,allorders!$AG:$AG,"&lt;="&amp;日期!$B$9,allorders!$AG:$AG,"&gt;="&amp;日期!$B$10,allorders!N:N,"Shipped")</f>
        <v>3</v>
      </c>
      <c r="F54">
        <f>SUMIFS(allorders!$O:$O,allorders!$L:$L,$A54,allorders!$AG:$AG,"&lt;="&amp;日期!$B$11,allorders!$AG:$AG,"&gt;="&amp;日期!$B$12,allorders!N:N,"Shipped")</f>
        <v>2</v>
      </c>
      <c r="G54">
        <f>SUMIFS(allorders!Q:Q,allorders!L:L,A54,allorders!AG:AG,"&lt;="&amp;日期!$B$5,allorders!AG:AG,"&gt;="&amp;日期!$B$12,allorders!N:N,"Shipped")/SUM(C54:F54)</f>
        <v>89.6</v>
      </c>
      <c r="H54">
        <f>SUMIFS(allorders!Q:Q,allorders!L:L,A54,allorders!AG:AG,"&gt;="&amp;日期!$B$12,allorders!AG:AG,"&lt;="&amp;日期!$B$5,allorders!N:N,"Shipped")</f>
        <v>985.6</v>
      </c>
      <c r="I54">
        <f t="shared" si="0"/>
        <v>11</v>
      </c>
    </row>
    <row r="55" spans="1:9">
      <c r="A55" s="7" t="s">
        <v>767</v>
      </c>
      <c r="B55" t="str">
        <f>VLOOKUP(A55,'[1]子sku-父sku'!$A:$B,2,0)</f>
        <v>DO-YULQ058</v>
      </c>
      <c r="C55">
        <f>SUMIFS(allorders!O:O,allorders!L:L,$A55,allorders!AG:AG,"&lt;="&amp;日期!$B$5,allorders!AG:AG,"&gt;="&amp;日期!$B$6,allorders!N:N,"Shipped")</f>
        <v>0</v>
      </c>
      <c r="D55">
        <f>SUMIFS(allorders!$O:$O,allorders!$L:$L,$A55,allorders!$AG:$AG,"&lt;="&amp;日期!$B$7,allorders!$AG:$AG,"&gt;="&amp;日期!$B$8,allorders!N:N,"Shipped")</f>
        <v>1</v>
      </c>
      <c r="E55">
        <f>SUMIFS(allorders!$O:$O,allorders!$L:$L,$A55,allorders!$AG:$AG,"&lt;="&amp;日期!$B$9,allorders!$AG:$AG,"&gt;="&amp;日期!$B$10,allorders!N:N,"Shipped")</f>
        <v>2</v>
      </c>
      <c r="F55">
        <f>SUMIFS(allorders!$O:$O,allorders!$L:$L,$A55,allorders!$AG:$AG,"&lt;="&amp;日期!$B$11,allorders!$AG:$AG,"&gt;="&amp;日期!$B$12,allorders!N:N,"Shipped")</f>
        <v>1</v>
      </c>
      <c r="G55">
        <f>SUMIFS(allorders!Q:Q,allorders!L:L,A55,allorders!AG:AG,"&lt;="&amp;日期!$B$5,allorders!AG:AG,"&gt;="&amp;日期!$B$12,allorders!N:N,"Shipped")/SUM(C55:F55)</f>
        <v>32.99</v>
      </c>
      <c r="H55">
        <f>SUMIFS(allorders!Q:Q,allorders!L:L,A55,allorders!AG:AG,"&gt;="&amp;日期!$B$12,allorders!AG:AG,"&lt;="&amp;日期!$B$5,allorders!N:N,"Shipped")</f>
        <v>131.96</v>
      </c>
      <c r="I55">
        <f t="shared" si="0"/>
        <v>4</v>
      </c>
    </row>
    <row r="56" spans="1:9">
      <c r="A56" s="7" t="s">
        <v>780</v>
      </c>
      <c r="B56" t="str">
        <f>VLOOKUP(A56,'[1]子sku-父sku'!$A:$B,2,0)</f>
        <v>YF-YULQ003</v>
      </c>
      <c r="C56">
        <f>SUMIFS(allorders!O:O,allorders!L:L,$A56,allorders!AG:AG,"&lt;="&amp;日期!$B$5,allorders!AG:AG,"&gt;="&amp;日期!$B$6,allorders!N:N,"Shipped")</f>
        <v>2</v>
      </c>
      <c r="D56">
        <f>SUMIFS(allorders!$O:$O,allorders!$L:$L,$A56,allorders!$AG:$AG,"&lt;="&amp;日期!$B$7,allorders!$AG:$AG,"&gt;="&amp;日期!$B$8,allorders!N:N,"Shipped")</f>
        <v>1</v>
      </c>
      <c r="E56">
        <f>SUMIFS(allorders!$O:$O,allorders!$L:$L,$A56,allorders!$AG:$AG,"&lt;="&amp;日期!$B$9,allorders!$AG:$AG,"&gt;="&amp;日期!$B$10,allorders!N:N,"Shipped")</f>
        <v>1</v>
      </c>
      <c r="F56">
        <f>SUMIFS(allorders!$O:$O,allorders!$L:$L,$A56,allorders!$AG:$AG,"&lt;="&amp;日期!$B$11,allorders!$AG:$AG,"&gt;="&amp;日期!$B$12,allorders!N:N,"Shipped")</f>
        <v>2</v>
      </c>
      <c r="G56">
        <f>SUMIFS(allorders!Q:Q,allorders!L:L,A56,allorders!AG:AG,"&lt;="&amp;日期!$B$5,allorders!AG:AG,"&gt;="&amp;日期!$B$12,allorders!N:N,"Shipped")/SUM(C56:F56)</f>
        <v>21.99</v>
      </c>
      <c r="H56">
        <f>SUMIFS(allorders!Q:Q,allorders!L:L,A56,allorders!AG:AG,"&gt;="&amp;日期!$B$12,allorders!AG:AG,"&lt;="&amp;日期!$B$5,allorders!N:N,"Shipped")</f>
        <v>131.94</v>
      </c>
      <c r="I56">
        <f t="shared" si="0"/>
        <v>6</v>
      </c>
    </row>
    <row r="57" spans="1:9">
      <c r="A57" s="7" t="s">
        <v>829</v>
      </c>
      <c r="B57" t="str">
        <f>VLOOKUP(A57,'[1]子sku-父sku'!$A:$B,2,0)</f>
        <v>DO-YULQ606</v>
      </c>
      <c r="C57">
        <f>SUMIFS(allorders!O:O,allorders!L:L,$A57,allorders!AG:AG,"&lt;="&amp;日期!$B$5,allorders!AG:AG,"&gt;="&amp;日期!$B$6,allorders!N:N,"Shipped")</f>
        <v>0</v>
      </c>
      <c r="D57">
        <f>SUMIFS(allorders!$O:$O,allorders!$L:$L,$A57,allorders!$AG:$AG,"&lt;="&amp;日期!$B$7,allorders!$AG:$AG,"&gt;="&amp;日期!$B$8,allorders!N:N,"Shipped")</f>
        <v>1</v>
      </c>
      <c r="E57">
        <f>SUMIFS(allorders!$O:$O,allorders!$L:$L,$A57,allorders!$AG:$AG,"&lt;="&amp;日期!$B$9,allorders!$AG:$AG,"&gt;="&amp;日期!$B$10,allorders!N:N,"Shipped")</f>
        <v>3</v>
      </c>
      <c r="F57">
        <f>SUMIFS(allorders!$O:$O,allorders!$L:$L,$A57,allorders!$AG:$AG,"&lt;="&amp;日期!$B$11,allorders!$AG:$AG,"&gt;="&amp;日期!$B$12,allorders!N:N,"Shipped")</f>
        <v>1</v>
      </c>
      <c r="G57">
        <f>SUMIFS(allorders!Q:Q,allorders!L:L,A57,allorders!AG:AG,"&lt;="&amp;日期!$B$5,allorders!AG:AG,"&gt;="&amp;日期!$B$12,allorders!N:N,"Shipped")/SUM(C57:F57)</f>
        <v>59.99</v>
      </c>
      <c r="H57">
        <f>SUMIFS(allorders!Q:Q,allorders!L:L,A57,allorders!AG:AG,"&gt;="&amp;日期!$B$12,allorders!AG:AG,"&lt;="&amp;日期!$B$5,allorders!N:N,"Shipped")</f>
        <v>299.95</v>
      </c>
      <c r="I57">
        <f t="shared" si="0"/>
        <v>5</v>
      </c>
    </row>
    <row r="58" spans="1:9">
      <c r="A58" s="7" t="s">
        <v>845</v>
      </c>
      <c r="B58" t="str">
        <f>VLOOKUP(A58,'[1]子sku-父sku'!$A:$B,2,0)</f>
        <v>DOLLDRESS-1612</v>
      </c>
      <c r="C58">
        <f>SUMIFS(allorders!O:O,allorders!L:L,$A58,allorders!AG:AG,"&lt;="&amp;日期!$B$5,allorders!AG:AG,"&gt;="&amp;日期!$B$6,allorders!N:N,"Shipped")</f>
        <v>0</v>
      </c>
      <c r="D58">
        <f>SUMIFS(allorders!$O:$O,allorders!$L:$L,$A58,allorders!$AG:$AG,"&lt;="&amp;日期!$B$7,allorders!$AG:$AG,"&gt;="&amp;日期!$B$8,allorders!N:N,"Shipped")</f>
        <v>0</v>
      </c>
      <c r="E58">
        <f>SUMIFS(allorders!$O:$O,allorders!$L:$L,$A58,allorders!$AG:$AG,"&lt;="&amp;日期!$B$9,allorders!$AG:$AG,"&gt;="&amp;日期!$B$10,allorders!N:N,"Shipped")</f>
        <v>0</v>
      </c>
      <c r="F58">
        <f>SUMIFS(allorders!$O:$O,allorders!$L:$L,$A58,allorders!$AG:$AG,"&lt;="&amp;日期!$B$11,allorders!$AG:$AG,"&gt;="&amp;日期!$B$12,allorders!N:N,"Shipped")</f>
        <v>2</v>
      </c>
      <c r="G58">
        <f>SUMIFS(allorders!Q:Q,allorders!L:L,A58,allorders!AG:AG,"&lt;="&amp;日期!$B$5,allorders!AG:AG,"&gt;="&amp;日期!$B$12,allorders!N:N,"Shipped")/SUM(C58:F58)</f>
        <v>23.99</v>
      </c>
      <c r="H58">
        <f>SUMIFS(allorders!Q:Q,allorders!L:L,A58,allorders!AG:AG,"&gt;="&amp;日期!$B$12,allorders!AG:AG,"&lt;="&amp;日期!$B$5,allorders!N:N,"Shipped")</f>
        <v>47.98</v>
      </c>
      <c r="I58">
        <f t="shared" si="0"/>
        <v>2</v>
      </c>
    </row>
    <row r="59" spans="1:9">
      <c r="A59" s="7" t="s">
        <v>853</v>
      </c>
      <c r="B59" t="str">
        <f>VLOOKUP(A59,'[1]子sku-父sku'!$A:$B,2,0)</f>
        <v>DO-YULQ010</v>
      </c>
      <c r="C59">
        <f>SUMIFS(allorders!O:O,allorders!L:L,$A59,allorders!AG:AG,"&lt;="&amp;日期!$B$5,allorders!AG:AG,"&gt;="&amp;日期!$B$6,allorders!N:N,"Shipped")</f>
        <v>0</v>
      </c>
      <c r="D59">
        <f>SUMIFS(allorders!$O:$O,allorders!$L:$L,$A59,allorders!$AG:$AG,"&lt;="&amp;日期!$B$7,allorders!$AG:$AG,"&gt;="&amp;日期!$B$8,allorders!N:N,"Shipped")</f>
        <v>0</v>
      </c>
      <c r="E59">
        <f>SUMIFS(allorders!$O:$O,allorders!$L:$L,$A59,allorders!$AG:$AG,"&lt;="&amp;日期!$B$9,allorders!$AG:$AG,"&gt;="&amp;日期!$B$10,allorders!N:N,"Shipped")</f>
        <v>1</v>
      </c>
      <c r="F59">
        <f>SUMIFS(allorders!$O:$O,allorders!$L:$L,$A59,allorders!$AG:$AG,"&lt;="&amp;日期!$B$11,allorders!$AG:$AG,"&gt;="&amp;日期!$B$12,allorders!N:N,"Shipped")</f>
        <v>1</v>
      </c>
      <c r="G59">
        <f>SUMIFS(allorders!Q:Q,allorders!L:L,A59,allorders!AG:AG,"&lt;="&amp;日期!$B$5,allorders!AG:AG,"&gt;="&amp;日期!$B$12,allorders!N:N,"Shipped")/SUM(C59:F59)</f>
        <v>79.99</v>
      </c>
      <c r="H59">
        <f>SUMIFS(allorders!Q:Q,allorders!L:L,A59,allorders!AG:AG,"&gt;="&amp;日期!$B$12,allorders!AG:AG,"&lt;="&amp;日期!$B$5,allorders!N:N,"Shipped")</f>
        <v>159.98</v>
      </c>
      <c r="I59">
        <f t="shared" si="0"/>
        <v>2</v>
      </c>
    </row>
    <row r="60" spans="1:9">
      <c r="A60" s="7" t="s">
        <v>864</v>
      </c>
      <c r="B60" t="str">
        <f>VLOOKUP(A60,'[1]子sku-父sku'!$A:$B,2,0)</f>
        <v>DOLL-7056</v>
      </c>
      <c r="C60">
        <f>SUMIFS(allorders!O:O,allorders!L:L,$A60,allorders!AG:AG,"&lt;="&amp;日期!$B$5,allorders!AG:AG,"&gt;="&amp;日期!$B$6,allorders!N:N,"Shipped")</f>
        <v>0</v>
      </c>
      <c r="D60">
        <f>SUMIFS(allorders!$O:$O,allorders!$L:$L,$A60,allorders!$AG:$AG,"&lt;="&amp;日期!$B$7,allorders!$AG:$AG,"&gt;="&amp;日期!$B$8,allorders!N:N,"Shipped")</f>
        <v>2</v>
      </c>
      <c r="E60">
        <f>SUMIFS(allorders!$O:$O,allorders!$L:$L,$A60,allorders!$AG:$AG,"&lt;="&amp;日期!$B$9,allorders!$AG:$AG,"&gt;="&amp;日期!$B$10,allorders!N:N,"Shipped")</f>
        <v>3</v>
      </c>
      <c r="F60">
        <f>SUMIFS(allorders!$O:$O,allorders!$L:$L,$A60,allorders!$AG:$AG,"&lt;="&amp;日期!$B$11,allorders!$AG:$AG,"&gt;="&amp;日期!$B$12,allorders!N:N,"Shipped")</f>
        <v>2</v>
      </c>
      <c r="G60">
        <f>SUMIFS(allorders!Q:Q,allorders!L:L,A60,allorders!AG:AG,"&lt;="&amp;日期!$B$5,allorders!AG:AG,"&gt;="&amp;日期!$B$12,allorders!N:N,"Shipped")/SUM(C60:F60)</f>
        <v>34.99</v>
      </c>
      <c r="H60">
        <f>SUMIFS(allorders!Q:Q,allorders!L:L,A60,allorders!AG:AG,"&gt;="&amp;日期!$B$12,allorders!AG:AG,"&lt;="&amp;日期!$B$5,allorders!N:N,"Shipped")</f>
        <v>244.93</v>
      </c>
      <c r="I60">
        <f t="shared" si="0"/>
        <v>7</v>
      </c>
    </row>
    <row r="61" spans="1:9">
      <c r="A61" s="7" t="s">
        <v>883</v>
      </c>
      <c r="B61" t="str">
        <f>VLOOKUP(A61,'[1]子sku-父sku'!$A:$B,2,0)</f>
        <v>DO-YULQ705</v>
      </c>
      <c r="C61">
        <f>SUMIFS(allorders!O:O,allorders!L:L,$A61,allorders!AG:AG,"&lt;="&amp;日期!$B$5,allorders!AG:AG,"&gt;="&amp;日期!$B$6,allorders!N:N,"Shipped")</f>
        <v>1</v>
      </c>
      <c r="D61">
        <f>SUMIFS(allorders!$O:$O,allorders!$L:$L,$A61,allorders!$AG:$AG,"&lt;="&amp;日期!$B$7,allorders!$AG:$AG,"&gt;="&amp;日期!$B$8,allorders!N:N,"Shipped")</f>
        <v>0</v>
      </c>
      <c r="E61">
        <f>SUMIFS(allorders!$O:$O,allorders!$L:$L,$A61,allorders!$AG:$AG,"&lt;="&amp;日期!$B$9,allorders!$AG:$AG,"&gt;="&amp;日期!$B$10,allorders!N:N,"Shipped")</f>
        <v>0</v>
      </c>
      <c r="F61">
        <f>SUMIFS(allorders!$O:$O,allorders!$L:$L,$A61,allorders!$AG:$AG,"&lt;="&amp;日期!$B$11,allorders!$AG:$AG,"&gt;="&amp;日期!$B$12,allorders!N:N,"Shipped")</f>
        <v>0</v>
      </c>
      <c r="G61">
        <f>SUMIFS(allorders!Q:Q,allorders!L:L,A61,allorders!AG:AG,"&lt;="&amp;日期!$B$5,allorders!AG:AG,"&gt;="&amp;日期!$B$12,allorders!N:N,"Shipped")/SUM(C61:F61)</f>
        <v>32.99</v>
      </c>
      <c r="H61">
        <f>SUMIFS(allorders!Q:Q,allorders!L:L,A61,allorders!AG:AG,"&gt;="&amp;日期!$B$12,allorders!AG:AG,"&lt;="&amp;日期!$B$5,allorders!N:N,"Shipped")</f>
        <v>32.99</v>
      </c>
      <c r="I61">
        <f t="shared" si="0"/>
        <v>1</v>
      </c>
    </row>
    <row r="62" spans="1:9">
      <c r="A62" s="7" t="s">
        <v>903</v>
      </c>
      <c r="B62" t="str">
        <f>VLOOKUP(A62,'[1]子sku-父sku'!$A:$B,2,0)</f>
        <v>DO-YULQ171</v>
      </c>
      <c r="C62">
        <f>SUMIFS(allorders!O:O,allorders!L:L,$A62,allorders!AG:AG,"&lt;="&amp;日期!$B$5,allorders!AG:AG,"&gt;="&amp;日期!$B$6,allorders!N:N,"Shipped")</f>
        <v>0</v>
      </c>
      <c r="D62">
        <f>SUMIFS(allorders!$O:$O,allorders!$L:$L,$A62,allorders!$AG:$AG,"&lt;="&amp;日期!$B$7,allorders!$AG:$AG,"&gt;="&amp;日期!$B$8,allorders!N:N,"Shipped")</f>
        <v>0</v>
      </c>
      <c r="E62">
        <f>SUMIFS(allorders!$O:$O,allorders!$L:$L,$A62,allorders!$AG:$AG,"&lt;="&amp;日期!$B$9,allorders!$AG:$AG,"&gt;="&amp;日期!$B$10,allorders!N:N,"Shipped")</f>
        <v>0</v>
      </c>
      <c r="F62">
        <f>SUMIFS(allorders!$O:$O,allorders!$L:$L,$A62,allorders!$AG:$AG,"&lt;="&amp;日期!$B$11,allorders!$AG:$AG,"&gt;="&amp;日期!$B$12,allorders!N:N,"Shipped")</f>
        <v>2</v>
      </c>
      <c r="G62">
        <f>SUMIFS(allorders!Q:Q,allorders!L:L,A62,allorders!AG:AG,"&lt;="&amp;日期!$B$5,allorders!AG:AG,"&gt;="&amp;日期!$B$12,allorders!N:N,"Shipped")/SUM(C62:F62)</f>
        <v>95.99</v>
      </c>
      <c r="H62">
        <f>SUMIFS(allorders!Q:Q,allorders!L:L,A62,allorders!AG:AG,"&gt;="&amp;日期!$B$12,allorders!AG:AG,"&lt;="&amp;日期!$B$5,allorders!N:N,"Shipped")</f>
        <v>191.98</v>
      </c>
      <c r="I62">
        <f t="shared" si="0"/>
        <v>2</v>
      </c>
    </row>
    <row r="63" spans="1:9">
      <c r="A63" s="7" t="s">
        <v>977</v>
      </c>
      <c r="B63" t="str">
        <f>VLOOKUP(A63,'[1]子sku-父sku'!$A:$B,2,0)</f>
        <v>YF-YULQ003</v>
      </c>
      <c r="C63">
        <f>SUMIFS(allorders!O:O,allorders!L:L,$A63,allorders!AG:AG,"&lt;="&amp;日期!$B$5,allorders!AG:AG,"&gt;="&amp;日期!$B$6,allorders!N:N,"Shipped")</f>
        <v>5</v>
      </c>
      <c r="D63">
        <f>SUMIFS(allorders!$O:$O,allorders!$L:$L,$A63,allorders!$AG:$AG,"&lt;="&amp;日期!$B$7,allorders!$AG:$AG,"&gt;="&amp;日期!$B$8,allorders!N:N,"Shipped")</f>
        <v>4</v>
      </c>
      <c r="E63">
        <f>SUMIFS(allorders!$O:$O,allorders!$L:$L,$A63,allorders!$AG:$AG,"&lt;="&amp;日期!$B$9,allorders!$AG:$AG,"&gt;="&amp;日期!$B$10,allorders!N:N,"Shipped")</f>
        <v>5</v>
      </c>
      <c r="F63">
        <f>SUMIFS(allorders!$O:$O,allorders!$L:$L,$A63,allorders!$AG:$AG,"&lt;="&amp;日期!$B$11,allorders!$AG:$AG,"&gt;="&amp;日期!$B$12,allorders!N:N,"Shipped")</f>
        <v>0</v>
      </c>
      <c r="G63">
        <f>SUMIFS(allorders!Q:Q,allorders!L:L,A63,allorders!AG:AG,"&lt;="&amp;日期!$B$5,allorders!AG:AG,"&gt;="&amp;日期!$B$12,allorders!N:N,"Shipped")/SUM(C63:F63)</f>
        <v>21.99</v>
      </c>
      <c r="H63">
        <f>SUMIFS(allorders!Q:Q,allorders!L:L,A63,allorders!AG:AG,"&gt;="&amp;日期!$B$12,allorders!AG:AG,"&lt;="&amp;日期!$B$5,allorders!N:N,"Shipped")</f>
        <v>307.86</v>
      </c>
      <c r="I63">
        <f t="shared" si="0"/>
        <v>14</v>
      </c>
    </row>
    <row r="64" spans="1:9">
      <c r="A64" s="7" t="s">
        <v>991</v>
      </c>
      <c r="B64" t="str">
        <f>VLOOKUP(A64,'[1]子sku-父sku'!$A:$B,2,0)</f>
        <v>DO-YULQ123</v>
      </c>
      <c r="C64">
        <f>SUMIFS(allorders!O:O,allorders!L:L,$A64,allorders!AG:AG,"&lt;="&amp;日期!$B$5,allorders!AG:AG,"&gt;="&amp;日期!$B$6,allorders!N:N,"Shipped")</f>
        <v>0</v>
      </c>
      <c r="D64">
        <f>SUMIFS(allorders!$O:$O,allorders!$L:$L,$A64,allorders!$AG:$AG,"&lt;="&amp;日期!$B$7,allorders!$AG:$AG,"&gt;="&amp;日期!$B$8,allorders!N:N,"Shipped")</f>
        <v>0</v>
      </c>
      <c r="E64">
        <f>SUMIFS(allorders!$O:$O,allorders!$L:$L,$A64,allorders!$AG:$AG,"&lt;="&amp;日期!$B$9,allorders!$AG:$AG,"&gt;="&amp;日期!$B$10,allorders!N:N,"Shipped")</f>
        <v>0</v>
      </c>
      <c r="F64">
        <f>SUMIFS(allorders!$O:$O,allorders!$L:$L,$A64,allorders!$AG:$AG,"&lt;="&amp;日期!$B$11,allorders!$AG:$AG,"&gt;="&amp;日期!$B$12,allorders!N:N,"Shipped")</f>
        <v>1</v>
      </c>
      <c r="G64">
        <f>SUMIFS(allorders!Q:Q,allorders!L:L,A64,allorders!AG:AG,"&lt;="&amp;日期!$B$5,allorders!AG:AG,"&gt;="&amp;日期!$B$12,allorders!N:N,"Shipped")/SUM(C64:F64)</f>
        <v>69.99</v>
      </c>
      <c r="H64">
        <f>SUMIFS(allorders!Q:Q,allorders!L:L,A64,allorders!AG:AG,"&gt;="&amp;日期!$B$12,allorders!AG:AG,"&lt;="&amp;日期!$B$5,allorders!N:N,"Shipped")</f>
        <v>69.99</v>
      </c>
      <c r="I64">
        <f t="shared" si="0"/>
        <v>1</v>
      </c>
    </row>
    <row r="65" spans="1:9">
      <c r="A65" s="7" t="s">
        <v>1004</v>
      </c>
      <c r="B65" t="str">
        <f>VLOOKUP(A65,'[1]子sku-父sku'!$A:$B,2,0)</f>
        <v>DO-YULQ073</v>
      </c>
      <c r="C65">
        <f>SUMIFS(allorders!O:O,allorders!L:L,$A65,allorders!AG:AG,"&lt;="&amp;日期!$B$5,allorders!AG:AG,"&gt;="&amp;日期!$B$6,allorders!N:N,"Shipped")</f>
        <v>0</v>
      </c>
      <c r="D65">
        <f>SUMIFS(allorders!$O:$O,allorders!$L:$L,$A65,allorders!$AG:$AG,"&lt;="&amp;日期!$B$7,allorders!$AG:$AG,"&gt;="&amp;日期!$B$8,allorders!N:N,"Shipped")</f>
        <v>1</v>
      </c>
      <c r="E65">
        <f>SUMIFS(allorders!$O:$O,allorders!$L:$L,$A65,allorders!$AG:$AG,"&lt;="&amp;日期!$B$9,allorders!$AG:$AG,"&gt;="&amp;日期!$B$10,allorders!N:N,"Shipped")</f>
        <v>0</v>
      </c>
      <c r="F65">
        <f>SUMIFS(allorders!$O:$O,allorders!$L:$L,$A65,allorders!$AG:$AG,"&lt;="&amp;日期!$B$11,allorders!$AG:$AG,"&gt;="&amp;日期!$B$12,allorders!N:N,"Shipped")</f>
        <v>1</v>
      </c>
      <c r="G65">
        <f>SUMIFS(allorders!Q:Q,allorders!L:L,A65,allorders!AG:AG,"&lt;="&amp;日期!$B$5,allorders!AG:AG,"&gt;="&amp;日期!$B$12,allorders!N:N,"Shipped")/SUM(C65:F65)</f>
        <v>89.99</v>
      </c>
      <c r="H65">
        <f>SUMIFS(allorders!Q:Q,allorders!L:L,A65,allorders!AG:AG,"&gt;="&amp;日期!$B$12,allorders!AG:AG,"&lt;="&amp;日期!$B$5,allorders!N:N,"Shipped")</f>
        <v>179.98</v>
      </c>
      <c r="I65">
        <f t="shared" si="0"/>
        <v>2</v>
      </c>
    </row>
    <row r="66" spans="1:9">
      <c r="A66" s="7" t="s">
        <v>1061</v>
      </c>
      <c r="B66" t="str">
        <f>VLOOKUP(A66,'[1]子sku-父sku'!$A:$B,2,0)</f>
        <v>DOLL-0630</v>
      </c>
      <c r="C66">
        <f>SUMIFS(allorders!O:O,allorders!L:L,$A66,allorders!AG:AG,"&lt;="&amp;日期!$B$5,allorders!AG:AG,"&gt;="&amp;日期!$B$6,allorders!N:N,"Shipped")</f>
        <v>3</v>
      </c>
      <c r="D66">
        <f>SUMIFS(allorders!$O:$O,allorders!$L:$L,$A66,allorders!$AG:$AG,"&lt;="&amp;日期!$B$7,allorders!$AG:$AG,"&gt;="&amp;日期!$B$8,allorders!N:N,"Shipped")</f>
        <v>3</v>
      </c>
      <c r="E66">
        <f>SUMIFS(allorders!$O:$O,allorders!$L:$L,$A66,allorders!$AG:$AG,"&lt;="&amp;日期!$B$9,allorders!$AG:$AG,"&gt;="&amp;日期!$B$10,allorders!N:N,"Shipped")</f>
        <v>0</v>
      </c>
      <c r="F66">
        <f>SUMIFS(allorders!$O:$O,allorders!$L:$L,$A66,allorders!$AG:$AG,"&lt;="&amp;日期!$B$11,allorders!$AG:$AG,"&gt;="&amp;日期!$B$12,allorders!N:N,"Shipped")</f>
        <v>2</v>
      </c>
      <c r="G66">
        <f>SUMIFS(allorders!Q:Q,allorders!L:L,A66,allorders!AG:AG,"&lt;="&amp;日期!$B$5,allorders!AG:AG,"&gt;="&amp;日期!$B$12,allorders!N:N,"Shipped")/SUM(C66:F66)</f>
        <v>89.99</v>
      </c>
      <c r="H66">
        <f>SUMIFS(allorders!Q:Q,allorders!L:L,A66,allorders!AG:AG,"&gt;="&amp;日期!$B$12,allorders!AG:AG,"&lt;="&amp;日期!$B$5,allorders!N:N,"Shipped")</f>
        <v>719.92</v>
      </c>
      <c r="I66">
        <f t="shared" si="0"/>
        <v>8</v>
      </c>
    </row>
    <row r="67" spans="1:9">
      <c r="A67" s="7" t="s">
        <v>1069</v>
      </c>
      <c r="B67" t="str">
        <f>VLOOKUP(A67,'[1]子sku-父sku'!$A:$B,2,0)</f>
        <v>DO-YULQ006</v>
      </c>
      <c r="C67">
        <f>SUMIFS(allorders!O:O,allorders!L:L,$A67,allorders!AG:AG,"&lt;="&amp;日期!$B$5,allorders!AG:AG,"&gt;="&amp;日期!$B$6,allorders!N:N,"Shipped")</f>
        <v>0</v>
      </c>
      <c r="D67">
        <f>SUMIFS(allorders!$O:$O,allorders!$L:$L,$A67,allorders!$AG:$AG,"&lt;="&amp;日期!$B$7,allorders!$AG:$AG,"&gt;="&amp;日期!$B$8,allorders!N:N,"Shipped")</f>
        <v>0</v>
      </c>
      <c r="E67">
        <f>SUMIFS(allorders!$O:$O,allorders!$L:$L,$A67,allorders!$AG:$AG,"&lt;="&amp;日期!$B$9,allorders!$AG:$AG,"&gt;="&amp;日期!$B$10,allorders!N:N,"Shipped")</f>
        <v>0</v>
      </c>
      <c r="F67">
        <f>SUMIFS(allorders!$O:$O,allorders!$L:$L,$A67,allorders!$AG:$AG,"&lt;="&amp;日期!$B$11,allorders!$AG:$AG,"&gt;="&amp;日期!$B$12,allorders!N:N,"Shipped")</f>
        <v>1</v>
      </c>
      <c r="G67">
        <f>SUMIFS(allorders!Q:Q,allorders!L:L,A67,allorders!AG:AG,"&lt;="&amp;日期!$B$5,allorders!AG:AG,"&gt;="&amp;日期!$B$12,allorders!N:N,"Shipped")/SUM(C67:F67)</f>
        <v>23.99</v>
      </c>
      <c r="H67">
        <f>SUMIFS(allorders!Q:Q,allorders!L:L,A67,allorders!AG:AG,"&gt;="&amp;日期!$B$12,allorders!AG:AG,"&lt;="&amp;日期!$B$5,allorders!N:N,"Shipped")</f>
        <v>23.99</v>
      </c>
      <c r="I67">
        <f t="shared" ref="I67:I130" si="1">SUM(C67:F67)</f>
        <v>1</v>
      </c>
    </row>
    <row r="68" spans="1:9">
      <c r="A68" s="7" t="s">
        <v>1100</v>
      </c>
      <c r="B68" t="str">
        <f>VLOOKUP(A68,'[1]子sku-父sku'!$A:$B,2,0)</f>
        <v>DO-YULQ152</v>
      </c>
      <c r="C68">
        <f>SUMIFS(allorders!O:O,allorders!L:L,$A68,allorders!AG:AG,"&lt;="&amp;日期!$B$5,allorders!AG:AG,"&gt;="&amp;日期!$B$6,allorders!N:N,"Shipped")</f>
        <v>2</v>
      </c>
      <c r="D68">
        <f>SUMIFS(allorders!$O:$O,allorders!$L:$L,$A68,allorders!$AG:$AG,"&lt;="&amp;日期!$B$7,allorders!$AG:$AG,"&gt;="&amp;日期!$B$8,allorders!N:N,"Shipped")</f>
        <v>0</v>
      </c>
      <c r="E68">
        <f>SUMIFS(allorders!$O:$O,allorders!$L:$L,$A68,allorders!$AG:$AG,"&lt;="&amp;日期!$B$9,allorders!$AG:$AG,"&gt;="&amp;日期!$B$10,allorders!N:N,"Shipped")</f>
        <v>0</v>
      </c>
      <c r="F68">
        <f>SUMIFS(allorders!$O:$O,allorders!$L:$L,$A68,allorders!$AG:$AG,"&lt;="&amp;日期!$B$11,allorders!$AG:$AG,"&gt;="&amp;日期!$B$12,allorders!N:N,"Shipped")</f>
        <v>1</v>
      </c>
      <c r="G68">
        <f>SUMIFS(allorders!Q:Q,allorders!L:L,A68,allorders!AG:AG,"&lt;="&amp;日期!$B$5,allorders!AG:AG,"&gt;="&amp;日期!$B$12,allorders!N:N,"Shipped")/SUM(C68:F68)</f>
        <v>79.99</v>
      </c>
      <c r="H68">
        <f>SUMIFS(allorders!Q:Q,allorders!L:L,A68,allorders!AG:AG,"&gt;="&amp;日期!$B$12,allorders!AG:AG,"&lt;="&amp;日期!$B$5,allorders!N:N,"Shipped")</f>
        <v>239.97</v>
      </c>
      <c r="I68">
        <f t="shared" si="1"/>
        <v>3</v>
      </c>
    </row>
    <row r="69" spans="1:9">
      <c r="A69" s="7" t="s">
        <v>1138</v>
      </c>
      <c r="B69" t="str">
        <f>VLOOKUP(A69,'[1]子sku-父sku'!$A:$B,2,0)</f>
        <v>DO-YULQ004</v>
      </c>
      <c r="C69">
        <f>SUMIFS(allorders!O:O,allorders!L:L,$A69,allorders!AG:AG,"&lt;="&amp;日期!$B$5,allorders!AG:AG,"&gt;="&amp;日期!$B$6,allorders!N:N,"Shipped")</f>
        <v>1</v>
      </c>
      <c r="D69">
        <f>SUMIFS(allorders!$O:$O,allorders!$L:$L,$A69,allorders!$AG:$AG,"&lt;="&amp;日期!$B$7,allorders!$AG:$AG,"&gt;="&amp;日期!$B$8,allorders!N:N,"Shipped")</f>
        <v>0</v>
      </c>
      <c r="E69">
        <f>SUMIFS(allorders!$O:$O,allorders!$L:$L,$A69,allorders!$AG:$AG,"&lt;="&amp;日期!$B$9,allorders!$AG:$AG,"&gt;="&amp;日期!$B$10,allorders!N:N,"Shipped")</f>
        <v>1</v>
      </c>
      <c r="F69">
        <f>SUMIFS(allorders!$O:$O,allorders!$L:$L,$A69,allorders!$AG:$AG,"&lt;="&amp;日期!$B$11,allorders!$AG:$AG,"&gt;="&amp;日期!$B$12,allorders!N:N,"Shipped")</f>
        <v>2</v>
      </c>
      <c r="G69">
        <f>SUMIFS(allorders!Q:Q,allorders!L:L,A69,allorders!AG:AG,"&lt;="&amp;日期!$B$5,allorders!AG:AG,"&gt;="&amp;日期!$B$12,allorders!N:N,"Shipped")/SUM(C69:F69)</f>
        <v>32.99</v>
      </c>
      <c r="H69">
        <f>SUMIFS(allorders!Q:Q,allorders!L:L,A69,allorders!AG:AG,"&gt;="&amp;日期!$B$12,allorders!AG:AG,"&lt;="&amp;日期!$B$5,allorders!N:N,"Shipped")</f>
        <v>131.96</v>
      </c>
      <c r="I69">
        <f t="shared" si="1"/>
        <v>4</v>
      </c>
    </row>
    <row r="70" spans="1:9">
      <c r="A70" s="7" t="s">
        <v>1145</v>
      </c>
      <c r="B70" t="str">
        <f>VLOOKUP(A70,'[1]子sku-父sku'!$A:$B,2,0)</f>
        <v>YF-YULQ008</v>
      </c>
      <c r="C70">
        <f>SUMIFS(allorders!O:O,allorders!L:L,$A70,allorders!AG:AG,"&lt;="&amp;日期!$B$5,allorders!AG:AG,"&gt;="&amp;日期!$B$6,allorders!N:N,"Shipped")</f>
        <v>2</v>
      </c>
      <c r="D70">
        <f>SUMIFS(allorders!$O:$O,allorders!$L:$L,$A70,allorders!$AG:$AG,"&lt;="&amp;日期!$B$7,allorders!$AG:$AG,"&gt;="&amp;日期!$B$8,allorders!N:N,"Shipped")</f>
        <v>0</v>
      </c>
      <c r="E70">
        <f>SUMIFS(allorders!$O:$O,allorders!$L:$L,$A70,allorders!$AG:$AG,"&lt;="&amp;日期!$B$9,allorders!$AG:$AG,"&gt;="&amp;日期!$B$10,allorders!N:N,"Shipped")</f>
        <v>0</v>
      </c>
      <c r="F70">
        <f>SUMIFS(allorders!$O:$O,allorders!$L:$L,$A70,allorders!$AG:$AG,"&lt;="&amp;日期!$B$11,allorders!$AG:$AG,"&gt;="&amp;日期!$B$12,allorders!N:N,"Shipped")</f>
        <v>1</v>
      </c>
      <c r="G70">
        <f>SUMIFS(allorders!Q:Q,allorders!L:L,A70,allorders!AG:AG,"&lt;="&amp;日期!$B$5,allorders!AG:AG,"&gt;="&amp;日期!$B$12,allorders!N:N,"Shipped")/SUM(C70:F70)</f>
        <v>23.3233333333333</v>
      </c>
      <c r="H70">
        <f>SUMIFS(allorders!Q:Q,allorders!L:L,A70,allorders!AG:AG,"&gt;="&amp;日期!$B$12,allorders!AG:AG,"&lt;="&amp;日期!$B$5,allorders!N:N,"Shipped")</f>
        <v>69.97</v>
      </c>
      <c r="I70">
        <f t="shared" si="1"/>
        <v>3</v>
      </c>
    </row>
    <row r="71" spans="1:9">
      <c r="A71" s="7" t="s">
        <v>1153</v>
      </c>
      <c r="B71" t="str">
        <f>VLOOKUP(A71,'[1]子sku-父sku'!$A:$B,2,0)</f>
        <v>DO-YULQ165</v>
      </c>
      <c r="C71">
        <f>SUMIFS(allorders!O:O,allorders!L:L,$A71,allorders!AG:AG,"&lt;="&amp;日期!$B$5,allorders!AG:AG,"&gt;="&amp;日期!$B$6,allorders!N:N,"Shipped")</f>
        <v>0</v>
      </c>
      <c r="D71">
        <f>SUMIFS(allorders!$O:$O,allorders!$L:$L,$A71,allorders!$AG:$AG,"&lt;="&amp;日期!$B$7,allorders!$AG:$AG,"&gt;="&amp;日期!$B$8,allorders!N:N,"Shipped")</f>
        <v>0</v>
      </c>
      <c r="E71">
        <f>SUMIFS(allorders!$O:$O,allorders!$L:$L,$A71,allorders!$AG:$AG,"&lt;="&amp;日期!$B$9,allorders!$AG:$AG,"&gt;="&amp;日期!$B$10,allorders!N:N,"Shipped")</f>
        <v>1</v>
      </c>
      <c r="F71">
        <f>SUMIFS(allorders!$O:$O,allorders!$L:$L,$A71,allorders!$AG:$AG,"&lt;="&amp;日期!$B$11,allorders!$AG:$AG,"&gt;="&amp;日期!$B$12,allorders!N:N,"Shipped")</f>
        <v>1</v>
      </c>
      <c r="G71">
        <f>SUMIFS(allorders!Q:Q,allorders!L:L,A71,allorders!AG:AG,"&lt;="&amp;日期!$B$5,allorders!AG:AG,"&gt;="&amp;日期!$B$12,allorders!N:N,"Shipped")/SUM(C71:F71)</f>
        <v>79.99</v>
      </c>
      <c r="H71">
        <f>SUMIFS(allorders!Q:Q,allorders!L:L,A71,allorders!AG:AG,"&gt;="&amp;日期!$B$12,allorders!AG:AG,"&lt;="&amp;日期!$B$5,allorders!N:N,"Shipped")</f>
        <v>159.98</v>
      </c>
      <c r="I71">
        <f t="shared" si="1"/>
        <v>2</v>
      </c>
    </row>
    <row r="72" spans="1:9">
      <c r="A72" s="7" t="s">
        <v>1161</v>
      </c>
      <c r="B72" t="str">
        <f>VLOOKUP(A72,'[1]子sku-父sku'!$A:$B,2,0)</f>
        <v>DO-YULQ018</v>
      </c>
      <c r="C72">
        <f>SUMIFS(allorders!O:O,allorders!L:L,$A72,allorders!AG:AG,"&lt;="&amp;日期!$B$5,allorders!AG:AG,"&gt;="&amp;日期!$B$6,allorders!N:N,"Shipped")</f>
        <v>2</v>
      </c>
      <c r="D72">
        <f>SUMIFS(allorders!$O:$O,allorders!$L:$L,$A72,allorders!$AG:$AG,"&lt;="&amp;日期!$B$7,allorders!$AG:$AG,"&gt;="&amp;日期!$B$8,allorders!N:N,"Shipped")</f>
        <v>3</v>
      </c>
      <c r="E72">
        <f>SUMIFS(allorders!$O:$O,allorders!$L:$L,$A72,allorders!$AG:$AG,"&lt;="&amp;日期!$B$9,allorders!$AG:$AG,"&gt;="&amp;日期!$B$10,allorders!N:N,"Shipped")</f>
        <v>1</v>
      </c>
      <c r="F72">
        <f>SUMIFS(allorders!$O:$O,allorders!$L:$L,$A72,allorders!$AG:$AG,"&lt;="&amp;日期!$B$11,allorders!$AG:$AG,"&gt;="&amp;日期!$B$12,allorders!N:N,"Shipped")</f>
        <v>1</v>
      </c>
      <c r="G72">
        <f>SUMIFS(allorders!Q:Q,allorders!L:L,A72,allorders!AG:AG,"&lt;="&amp;日期!$B$5,allorders!AG:AG,"&gt;="&amp;日期!$B$12,allorders!N:N,"Shipped")/SUM(C72:F72)</f>
        <v>77.1342857142857</v>
      </c>
      <c r="H72">
        <f>SUMIFS(allorders!Q:Q,allorders!L:L,A72,allorders!AG:AG,"&gt;="&amp;日期!$B$12,allorders!AG:AG,"&lt;="&amp;日期!$B$5,allorders!N:N,"Shipped")</f>
        <v>539.94</v>
      </c>
      <c r="I72">
        <f t="shared" si="1"/>
        <v>7</v>
      </c>
    </row>
    <row r="73" spans="1:9">
      <c r="A73" s="7" t="s">
        <v>1192</v>
      </c>
      <c r="B73" t="str">
        <f>VLOOKUP(A73,'[1]子sku-父sku'!$A:$B,2,0)</f>
        <v>DO-YULQ638</v>
      </c>
      <c r="C73">
        <f>SUMIFS(allorders!O:O,allorders!L:L,$A73,allorders!AG:AG,"&lt;="&amp;日期!$B$5,allorders!AG:AG,"&gt;="&amp;日期!$B$6,allorders!N:N,"Shipped")</f>
        <v>0</v>
      </c>
      <c r="D73">
        <f>SUMIFS(allorders!$O:$O,allorders!$L:$L,$A73,allorders!$AG:$AG,"&lt;="&amp;日期!$B$7,allorders!$AG:$AG,"&gt;="&amp;日期!$B$8,allorders!N:N,"Shipped")</f>
        <v>1</v>
      </c>
      <c r="E73">
        <f>SUMIFS(allorders!$O:$O,allorders!$L:$L,$A73,allorders!$AG:$AG,"&lt;="&amp;日期!$B$9,allorders!$AG:$AG,"&gt;="&amp;日期!$B$10,allorders!N:N,"Shipped")</f>
        <v>0</v>
      </c>
      <c r="F73">
        <f>SUMIFS(allorders!$O:$O,allorders!$L:$L,$A73,allorders!$AG:$AG,"&lt;="&amp;日期!$B$11,allorders!$AG:$AG,"&gt;="&amp;日期!$B$12,allorders!N:N,"Shipped")</f>
        <v>1</v>
      </c>
      <c r="G73">
        <f>SUMIFS(allorders!Q:Q,allorders!L:L,A73,allorders!AG:AG,"&lt;="&amp;日期!$B$5,allorders!AG:AG,"&gt;="&amp;日期!$B$12,allorders!N:N,"Shipped")/SUM(C73:F73)</f>
        <v>99.6</v>
      </c>
      <c r="H73">
        <f>SUMIFS(allorders!Q:Q,allorders!L:L,A73,allorders!AG:AG,"&gt;="&amp;日期!$B$12,allorders!AG:AG,"&lt;="&amp;日期!$B$5,allorders!N:N,"Shipped")</f>
        <v>199.2</v>
      </c>
      <c r="I73">
        <f t="shared" si="1"/>
        <v>2</v>
      </c>
    </row>
    <row r="74" spans="1:9">
      <c r="A74" s="7" t="s">
        <v>1206</v>
      </c>
      <c r="B74" t="str">
        <f>VLOOKUP(A74,'[1]子sku-父sku'!$A:$B,2,0)</f>
        <v>DO-YULQ107</v>
      </c>
      <c r="C74">
        <f>SUMIFS(allorders!O:O,allorders!L:L,$A74,allorders!AG:AG,"&lt;="&amp;日期!$B$5,allorders!AG:AG,"&gt;="&amp;日期!$B$6,allorders!N:N,"Shipped")</f>
        <v>0</v>
      </c>
      <c r="D74">
        <f>SUMIFS(allorders!$O:$O,allorders!$L:$L,$A74,allorders!$AG:$AG,"&lt;="&amp;日期!$B$7,allorders!$AG:$AG,"&gt;="&amp;日期!$B$8,allorders!N:N,"Shipped")</f>
        <v>2</v>
      </c>
      <c r="E74">
        <f>SUMIFS(allorders!$O:$O,allorders!$L:$L,$A74,allorders!$AG:$AG,"&lt;="&amp;日期!$B$9,allorders!$AG:$AG,"&gt;="&amp;日期!$B$10,allorders!N:N,"Shipped")</f>
        <v>1</v>
      </c>
      <c r="F74">
        <f>SUMIFS(allorders!$O:$O,allorders!$L:$L,$A74,allorders!$AG:$AG,"&lt;="&amp;日期!$B$11,allorders!$AG:$AG,"&gt;="&amp;日期!$B$12,allorders!N:N,"Shipped")</f>
        <v>2</v>
      </c>
      <c r="G74">
        <f>SUMIFS(allorders!Q:Q,allorders!L:L,A74,allorders!AG:AG,"&lt;="&amp;日期!$B$5,allorders!AG:AG,"&gt;="&amp;日期!$B$12,allorders!N:N,"Shipped")/SUM(C74:F74)</f>
        <v>89.99</v>
      </c>
      <c r="H74">
        <f>SUMIFS(allorders!Q:Q,allorders!L:L,A74,allorders!AG:AG,"&gt;="&amp;日期!$B$12,allorders!AG:AG,"&lt;="&amp;日期!$B$5,allorders!N:N,"Shipped")</f>
        <v>449.95</v>
      </c>
      <c r="I74">
        <f t="shared" si="1"/>
        <v>5</v>
      </c>
    </row>
    <row r="75" spans="1:9">
      <c r="A75" s="7" t="s">
        <v>1252</v>
      </c>
      <c r="B75" t="str">
        <f>VLOOKUP(A75,'[1]子sku-父sku'!$A:$B,2,0)</f>
        <v>DO-YULQ064</v>
      </c>
      <c r="C75">
        <f>SUMIFS(allorders!O:O,allorders!L:L,$A75,allorders!AG:AG,"&lt;="&amp;日期!$B$5,allorders!AG:AG,"&gt;="&amp;日期!$B$6,allorders!N:N,"Shipped")</f>
        <v>1</v>
      </c>
      <c r="D75">
        <f>SUMIFS(allorders!$O:$O,allorders!$L:$L,$A75,allorders!$AG:$AG,"&lt;="&amp;日期!$B$7,allorders!$AG:$AG,"&gt;="&amp;日期!$B$8,allorders!N:N,"Shipped")</f>
        <v>0</v>
      </c>
      <c r="E75">
        <f>SUMIFS(allorders!$O:$O,allorders!$L:$L,$A75,allorders!$AG:$AG,"&lt;="&amp;日期!$B$9,allorders!$AG:$AG,"&gt;="&amp;日期!$B$10,allorders!N:N,"Shipped")</f>
        <v>0</v>
      </c>
      <c r="F75">
        <f>SUMIFS(allorders!$O:$O,allorders!$L:$L,$A75,allorders!$AG:$AG,"&lt;="&amp;日期!$B$11,allorders!$AG:$AG,"&gt;="&amp;日期!$B$12,allorders!N:N,"Shipped")</f>
        <v>1</v>
      </c>
      <c r="G75">
        <f>SUMIFS(allorders!Q:Q,allorders!L:L,A75,allorders!AG:AG,"&lt;="&amp;日期!$B$5,allorders!AG:AG,"&gt;="&amp;日期!$B$12,allorders!N:N,"Shipped")/SUM(C75:F75)</f>
        <v>99.99</v>
      </c>
      <c r="H75">
        <f>SUMIFS(allorders!Q:Q,allorders!L:L,A75,allorders!AG:AG,"&gt;="&amp;日期!$B$12,allorders!AG:AG,"&lt;="&amp;日期!$B$5,allorders!N:N,"Shipped")</f>
        <v>199.98</v>
      </c>
      <c r="I75">
        <f t="shared" si="1"/>
        <v>2</v>
      </c>
    </row>
    <row r="76" spans="1:9">
      <c r="A76" s="7" t="s">
        <v>1271</v>
      </c>
      <c r="B76" t="str">
        <f>VLOOKUP(A76,'[1]子sku-父sku'!$A:$B,2,0)</f>
        <v>DO-YULQ005</v>
      </c>
      <c r="C76">
        <f>SUMIFS(allorders!O:O,allorders!L:L,$A76,allorders!AG:AG,"&lt;="&amp;日期!$B$5,allorders!AG:AG,"&gt;="&amp;日期!$B$6,allorders!N:N,"Shipped")</f>
        <v>1</v>
      </c>
      <c r="D76">
        <f>SUMIFS(allorders!$O:$O,allorders!$L:$L,$A76,allorders!$AG:$AG,"&lt;="&amp;日期!$B$7,allorders!$AG:$AG,"&gt;="&amp;日期!$B$8,allorders!N:N,"Shipped")</f>
        <v>4</v>
      </c>
      <c r="E76">
        <f>SUMIFS(allorders!$O:$O,allorders!$L:$L,$A76,allorders!$AG:$AG,"&lt;="&amp;日期!$B$9,allorders!$AG:$AG,"&gt;="&amp;日期!$B$10,allorders!N:N,"Shipped")</f>
        <v>6</v>
      </c>
      <c r="F76">
        <f>SUMIFS(allorders!$O:$O,allorders!$L:$L,$A76,allorders!$AG:$AG,"&lt;="&amp;日期!$B$11,allorders!$AG:$AG,"&gt;="&amp;日期!$B$12,allorders!N:N,"Shipped")</f>
        <v>0</v>
      </c>
      <c r="G76">
        <f>SUMIFS(allorders!Q:Q,allorders!L:L,A76,allorders!AG:AG,"&lt;="&amp;日期!$B$5,allorders!AG:AG,"&gt;="&amp;日期!$B$12,allorders!N:N,"Shipped")/SUM(C76:F76)</f>
        <v>23.99</v>
      </c>
      <c r="H76">
        <f>SUMIFS(allorders!Q:Q,allorders!L:L,A76,allorders!AG:AG,"&gt;="&amp;日期!$B$12,allorders!AG:AG,"&lt;="&amp;日期!$B$5,allorders!N:N,"Shipped")</f>
        <v>263.89</v>
      </c>
      <c r="I76">
        <f t="shared" si="1"/>
        <v>11</v>
      </c>
    </row>
    <row r="77" spans="1:9">
      <c r="A77" s="7" t="s">
        <v>1299</v>
      </c>
      <c r="B77" t="str">
        <f>VLOOKUP(A77,'[1]子sku-父sku'!$A:$B,2,0)</f>
        <v>DO-YULQ018</v>
      </c>
      <c r="C77">
        <f>SUMIFS(allorders!O:O,allorders!L:L,$A77,allorders!AG:AG,"&lt;="&amp;日期!$B$5,allorders!AG:AG,"&gt;="&amp;日期!$B$6,allorders!N:N,"Shipped")</f>
        <v>0</v>
      </c>
      <c r="D77">
        <f>SUMIFS(allorders!$O:$O,allorders!$L:$L,$A77,allorders!$AG:$AG,"&lt;="&amp;日期!$B$7,allorders!$AG:$AG,"&gt;="&amp;日期!$B$8,allorders!N:N,"Shipped")</f>
        <v>3</v>
      </c>
      <c r="E77">
        <f>SUMIFS(allorders!$O:$O,allorders!$L:$L,$A77,allorders!$AG:$AG,"&lt;="&amp;日期!$B$9,allorders!$AG:$AG,"&gt;="&amp;日期!$B$10,allorders!N:N,"Shipped")</f>
        <v>0</v>
      </c>
      <c r="F77">
        <f>SUMIFS(allorders!$O:$O,allorders!$L:$L,$A77,allorders!$AG:$AG,"&lt;="&amp;日期!$B$11,allorders!$AG:$AG,"&gt;="&amp;日期!$B$12,allorders!N:N,"Shipped")</f>
        <v>0</v>
      </c>
      <c r="G77">
        <f>SUMIFS(allorders!Q:Q,allorders!L:L,A77,allorders!AG:AG,"&lt;="&amp;日期!$B$5,allorders!AG:AG,"&gt;="&amp;日期!$B$12,allorders!N:N,"Shipped")/SUM(C77:F77)</f>
        <v>79.99</v>
      </c>
      <c r="H77">
        <f>SUMIFS(allorders!Q:Q,allorders!L:L,A77,allorders!AG:AG,"&gt;="&amp;日期!$B$12,allorders!AG:AG,"&lt;="&amp;日期!$B$5,allorders!N:N,"Shipped")</f>
        <v>239.97</v>
      </c>
      <c r="I77">
        <f t="shared" si="1"/>
        <v>3</v>
      </c>
    </row>
    <row r="78" spans="1:9">
      <c r="A78" s="7" t="s">
        <v>1308</v>
      </c>
      <c r="B78" t="str">
        <f>VLOOKUP(A78,'[1]子sku-父sku'!$A:$B,2,0)</f>
        <v>DOLL-AD011</v>
      </c>
      <c r="C78">
        <f>SUMIFS(allorders!O:O,allorders!L:L,$A78,allorders!AG:AG,"&lt;="&amp;日期!$B$5,allorders!AG:AG,"&gt;="&amp;日期!$B$6,allorders!N:N,"Shipped")</f>
        <v>0</v>
      </c>
      <c r="D78">
        <f>SUMIFS(allorders!$O:$O,allorders!$L:$L,$A78,allorders!$AG:$AG,"&lt;="&amp;日期!$B$7,allorders!$AG:$AG,"&gt;="&amp;日期!$B$8,allorders!N:N,"Shipped")</f>
        <v>1</v>
      </c>
      <c r="E78">
        <f>SUMIFS(allorders!$O:$O,allorders!$L:$L,$A78,allorders!$AG:$AG,"&lt;="&amp;日期!$B$9,allorders!$AG:$AG,"&gt;="&amp;日期!$B$10,allorders!N:N,"Shipped")</f>
        <v>1</v>
      </c>
      <c r="F78">
        <f>SUMIFS(allorders!$O:$O,allorders!$L:$L,$A78,allorders!$AG:$AG,"&lt;="&amp;日期!$B$11,allorders!$AG:$AG,"&gt;="&amp;日期!$B$12,allorders!N:N,"Shipped")</f>
        <v>2</v>
      </c>
      <c r="G78">
        <f>SUMIFS(allorders!Q:Q,allorders!L:L,A78,allorders!AG:AG,"&lt;="&amp;日期!$B$5,allorders!AG:AG,"&gt;="&amp;日期!$B$12,allorders!N:N,"Shipped")/SUM(C78:F78)</f>
        <v>99.6</v>
      </c>
      <c r="H78">
        <f>SUMIFS(allorders!Q:Q,allorders!L:L,A78,allorders!AG:AG,"&gt;="&amp;日期!$B$12,allorders!AG:AG,"&lt;="&amp;日期!$B$5,allorders!N:N,"Shipped")</f>
        <v>398.4</v>
      </c>
      <c r="I78">
        <f t="shared" si="1"/>
        <v>4</v>
      </c>
    </row>
    <row r="79" spans="1:9">
      <c r="A79" s="7" t="s">
        <v>1355</v>
      </c>
      <c r="B79" t="str">
        <f>VLOOKUP(A79,'[1]子sku-父sku'!$A:$B,2,0)</f>
        <v>DOLL-100</v>
      </c>
      <c r="C79">
        <f>SUMIFS(allorders!O:O,allorders!L:L,$A79,allorders!AG:AG,"&lt;="&amp;日期!$B$5,allorders!AG:AG,"&gt;="&amp;日期!$B$6,allorders!N:N,"Shipped")</f>
        <v>0</v>
      </c>
      <c r="D79">
        <f>SUMIFS(allorders!$O:$O,allorders!$L:$L,$A79,allorders!$AG:$AG,"&lt;="&amp;日期!$B$7,allorders!$AG:$AG,"&gt;="&amp;日期!$B$8,allorders!N:N,"Shipped")</f>
        <v>0</v>
      </c>
      <c r="E79">
        <f>SUMIFS(allorders!$O:$O,allorders!$L:$L,$A79,allorders!$AG:$AG,"&lt;="&amp;日期!$B$9,allorders!$AG:$AG,"&gt;="&amp;日期!$B$10,allorders!N:N,"Shipped")</f>
        <v>0</v>
      </c>
      <c r="F79">
        <f>SUMIFS(allorders!$O:$O,allorders!$L:$L,$A79,allorders!$AG:$AG,"&lt;="&amp;日期!$B$11,allorders!$AG:$AG,"&gt;="&amp;日期!$B$12,allorders!N:N,"Shipped")</f>
        <v>1</v>
      </c>
      <c r="G79">
        <f>SUMIFS(allorders!Q:Q,allorders!L:L,A79,allorders!AG:AG,"&lt;="&amp;日期!$B$5,allorders!AG:AG,"&gt;="&amp;日期!$B$12,allorders!N:N,"Shipped")/SUM(C79:F79)</f>
        <v>79.6</v>
      </c>
      <c r="H79">
        <f>SUMIFS(allorders!Q:Q,allorders!L:L,A79,allorders!AG:AG,"&gt;="&amp;日期!$B$12,allorders!AG:AG,"&lt;="&amp;日期!$B$5,allorders!N:N,"Shipped")</f>
        <v>79.6</v>
      </c>
      <c r="I79">
        <f t="shared" si="1"/>
        <v>1</v>
      </c>
    </row>
    <row r="80" spans="1:9">
      <c r="A80" s="7" t="s">
        <v>1378</v>
      </c>
      <c r="B80" t="str">
        <f>VLOOKUP(A80,'[1]子sku-父sku'!$A:$B,2,0)</f>
        <v>DO-YULQ162</v>
      </c>
      <c r="C80">
        <f>SUMIFS(allorders!O:O,allorders!L:L,$A80,allorders!AG:AG,"&lt;="&amp;日期!$B$5,allorders!AG:AG,"&gt;="&amp;日期!$B$6,allorders!N:N,"Shipped")</f>
        <v>1</v>
      </c>
      <c r="D80">
        <f>SUMIFS(allorders!$O:$O,allorders!$L:$L,$A80,allorders!$AG:$AG,"&lt;="&amp;日期!$B$7,allorders!$AG:$AG,"&gt;="&amp;日期!$B$8,allorders!N:N,"Shipped")</f>
        <v>1</v>
      </c>
      <c r="E80">
        <f>SUMIFS(allorders!$O:$O,allorders!$L:$L,$A80,allorders!$AG:$AG,"&lt;="&amp;日期!$B$9,allorders!$AG:$AG,"&gt;="&amp;日期!$B$10,allorders!N:N,"Shipped")</f>
        <v>0</v>
      </c>
      <c r="F80">
        <f>SUMIFS(allorders!$O:$O,allorders!$L:$L,$A80,allorders!$AG:$AG,"&lt;="&amp;日期!$B$11,allorders!$AG:$AG,"&gt;="&amp;日期!$B$12,allorders!N:N,"Shipped")</f>
        <v>1</v>
      </c>
      <c r="G80">
        <f>SUMIFS(allorders!Q:Q,allorders!L:L,A80,allorders!AG:AG,"&lt;="&amp;日期!$B$5,allorders!AG:AG,"&gt;="&amp;日期!$B$12,allorders!N:N,"Shipped")/SUM(C80:F80)</f>
        <v>85.99</v>
      </c>
      <c r="H80">
        <f>SUMIFS(allorders!Q:Q,allorders!L:L,A80,allorders!AG:AG,"&gt;="&amp;日期!$B$12,allorders!AG:AG,"&lt;="&amp;日期!$B$5,allorders!N:N,"Shipped")</f>
        <v>257.97</v>
      </c>
      <c r="I80">
        <f t="shared" si="1"/>
        <v>3</v>
      </c>
    </row>
    <row r="81" spans="1:9">
      <c r="A81" s="7" t="s">
        <v>1402</v>
      </c>
      <c r="B81" t="str">
        <f>VLOOKUP(A81,'[1]子sku-父sku'!$A:$B,2,0)</f>
        <v>DOLL-1613</v>
      </c>
      <c r="C81">
        <f>SUMIFS(allorders!O:O,allorders!L:L,$A81,allorders!AG:AG,"&lt;="&amp;日期!$B$5,allorders!AG:AG,"&gt;="&amp;日期!$B$6,allorders!N:N,"Shipped")</f>
        <v>0</v>
      </c>
      <c r="D81">
        <f>SUMIFS(allorders!$O:$O,allorders!$L:$L,$A81,allorders!$AG:$AG,"&lt;="&amp;日期!$B$7,allorders!$AG:$AG,"&gt;="&amp;日期!$B$8,allorders!N:N,"Shipped")</f>
        <v>0</v>
      </c>
      <c r="E81">
        <f>SUMIFS(allorders!$O:$O,allorders!$L:$L,$A81,allorders!$AG:$AG,"&lt;="&amp;日期!$B$9,allorders!$AG:$AG,"&gt;="&amp;日期!$B$10,allorders!N:N,"Shipped")</f>
        <v>0</v>
      </c>
      <c r="F81">
        <f>SUMIFS(allorders!$O:$O,allorders!$L:$L,$A81,allorders!$AG:$AG,"&lt;="&amp;日期!$B$11,allorders!$AG:$AG,"&gt;="&amp;日期!$B$12,allorders!N:N,"Shipped")</f>
        <v>1</v>
      </c>
      <c r="G81">
        <f>SUMIFS(allorders!Q:Q,allorders!L:L,A81,allorders!AG:AG,"&lt;="&amp;日期!$B$5,allorders!AG:AG,"&gt;="&amp;日期!$B$12,allorders!N:N,"Shipped")/SUM(C81:F81)</f>
        <v>89.99</v>
      </c>
      <c r="H81">
        <f>SUMIFS(allorders!Q:Q,allorders!L:L,A81,allorders!AG:AG,"&gt;="&amp;日期!$B$12,allorders!AG:AG,"&lt;="&amp;日期!$B$5,allorders!N:N,"Shipped")</f>
        <v>89.99</v>
      </c>
      <c r="I81">
        <f t="shared" si="1"/>
        <v>1</v>
      </c>
    </row>
    <row r="82" spans="1:9">
      <c r="A82" s="7" t="s">
        <v>1425</v>
      </c>
      <c r="B82" t="str">
        <f>VLOOKUP(A82,'[1]子sku-父sku'!$A:$B,2,0)</f>
        <v>DO-YULQ153</v>
      </c>
      <c r="C82">
        <f>SUMIFS(allorders!O:O,allorders!L:L,$A82,allorders!AG:AG,"&lt;="&amp;日期!$B$5,allorders!AG:AG,"&gt;="&amp;日期!$B$6,allorders!N:N,"Shipped")</f>
        <v>2</v>
      </c>
      <c r="D82">
        <f>SUMIFS(allorders!$O:$O,allorders!$L:$L,$A82,allorders!$AG:$AG,"&lt;="&amp;日期!$B$7,allorders!$AG:$AG,"&gt;="&amp;日期!$B$8,allorders!N:N,"Shipped")</f>
        <v>2</v>
      </c>
      <c r="E82">
        <f>SUMIFS(allorders!$O:$O,allorders!$L:$L,$A82,allorders!$AG:$AG,"&lt;="&amp;日期!$B$9,allorders!$AG:$AG,"&gt;="&amp;日期!$B$10,allorders!N:N,"Shipped")</f>
        <v>0</v>
      </c>
      <c r="F82">
        <f>SUMIFS(allorders!$O:$O,allorders!$L:$L,$A82,allorders!$AG:$AG,"&lt;="&amp;日期!$B$11,allorders!$AG:$AG,"&gt;="&amp;日期!$B$12,allorders!N:N,"Shipped")</f>
        <v>1</v>
      </c>
      <c r="G82">
        <f>SUMIFS(allorders!Q:Q,allorders!L:L,A82,allorders!AG:AG,"&lt;="&amp;日期!$B$5,allorders!AG:AG,"&gt;="&amp;日期!$B$12,allorders!N:N,"Shipped")/SUM(C82:F82)</f>
        <v>99.99</v>
      </c>
      <c r="H82">
        <f>SUMIFS(allorders!Q:Q,allorders!L:L,A82,allorders!AG:AG,"&gt;="&amp;日期!$B$12,allorders!AG:AG,"&lt;="&amp;日期!$B$5,allorders!N:N,"Shipped")</f>
        <v>499.95</v>
      </c>
      <c r="I82">
        <f t="shared" si="1"/>
        <v>5</v>
      </c>
    </row>
    <row r="83" spans="1:9">
      <c r="A83" s="7" t="s">
        <v>1437</v>
      </c>
      <c r="B83" t="str">
        <f>VLOOKUP(A83,'[1]子sku-父sku'!$A:$B,2,0)</f>
        <v>DOLL-9042</v>
      </c>
      <c r="C83">
        <f>SUMIFS(allorders!O:O,allorders!L:L,$A83,allorders!AG:AG,"&lt;="&amp;日期!$B$5,allorders!AG:AG,"&gt;="&amp;日期!$B$6,allorders!N:N,"Shipped")</f>
        <v>1</v>
      </c>
      <c r="D83">
        <f>SUMIFS(allorders!$O:$O,allorders!$L:$L,$A83,allorders!$AG:$AG,"&lt;="&amp;日期!$B$7,allorders!$AG:$AG,"&gt;="&amp;日期!$B$8,allorders!N:N,"Shipped")</f>
        <v>0</v>
      </c>
      <c r="E83">
        <f>SUMIFS(allorders!$O:$O,allorders!$L:$L,$A83,allorders!$AG:$AG,"&lt;="&amp;日期!$B$9,allorders!$AG:$AG,"&gt;="&amp;日期!$B$10,allorders!N:N,"Shipped")</f>
        <v>5</v>
      </c>
      <c r="F83">
        <f>SUMIFS(allorders!$O:$O,allorders!$L:$L,$A83,allorders!$AG:$AG,"&lt;="&amp;日期!$B$11,allorders!$AG:$AG,"&gt;="&amp;日期!$B$12,allorders!N:N,"Shipped")</f>
        <v>1</v>
      </c>
      <c r="G83">
        <f>SUMIFS(allorders!Q:Q,allorders!L:L,A83,allorders!AG:AG,"&lt;="&amp;日期!$B$5,allorders!AG:AG,"&gt;="&amp;日期!$B$12,allorders!N:N,"Shipped")/SUM(C83:F83)</f>
        <v>89.99</v>
      </c>
      <c r="H83">
        <f>SUMIFS(allorders!Q:Q,allorders!L:L,A83,allorders!AG:AG,"&gt;="&amp;日期!$B$12,allorders!AG:AG,"&lt;="&amp;日期!$B$5,allorders!N:N,"Shipped")</f>
        <v>629.93</v>
      </c>
      <c r="I83">
        <f t="shared" si="1"/>
        <v>7</v>
      </c>
    </row>
    <row r="84" spans="1:9">
      <c r="A84" s="7" t="s">
        <v>1504</v>
      </c>
      <c r="B84" t="str">
        <f>VLOOKUP(A84,'[1]子sku-父sku'!$A:$B,2,0)</f>
        <v>DO-YULQ163</v>
      </c>
      <c r="C84">
        <f>SUMIFS(allorders!O:O,allorders!L:L,$A84,allorders!AG:AG,"&lt;="&amp;日期!$B$5,allorders!AG:AG,"&gt;="&amp;日期!$B$6,allorders!N:N,"Shipped")</f>
        <v>2</v>
      </c>
      <c r="D84">
        <f>SUMIFS(allorders!$O:$O,allorders!$L:$L,$A84,allorders!$AG:$AG,"&lt;="&amp;日期!$B$7,allorders!$AG:$AG,"&gt;="&amp;日期!$B$8,allorders!N:N,"Shipped")</f>
        <v>0</v>
      </c>
      <c r="E84">
        <f>SUMIFS(allorders!$O:$O,allorders!$L:$L,$A84,allorders!$AG:$AG,"&lt;="&amp;日期!$B$9,allorders!$AG:$AG,"&gt;="&amp;日期!$B$10,allorders!N:N,"Shipped")</f>
        <v>2</v>
      </c>
      <c r="F84">
        <f>SUMIFS(allorders!$O:$O,allorders!$L:$L,$A84,allorders!$AG:$AG,"&lt;="&amp;日期!$B$11,allorders!$AG:$AG,"&gt;="&amp;日期!$B$12,allorders!N:N,"Shipped")</f>
        <v>0</v>
      </c>
      <c r="G84">
        <f>SUMIFS(allorders!Q:Q,allorders!L:L,A84,allorders!AG:AG,"&lt;="&amp;日期!$B$5,allorders!AG:AG,"&gt;="&amp;日期!$B$12,allorders!N:N,"Shipped")/SUM(C84:F84)</f>
        <v>89.99</v>
      </c>
      <c r="H84">
        <f>SUMIFS(allorders!Q:Q,allorders!L:L,A84,allorders!AG:AG,"&gt;="&amp;日期!$B$12,allorders!AG:AG,"&lt;="&amp;日期!$B$5,allorders!N:N,"Shipped")</f>
        <v>359.96</v>
      </c>
      <c r="I84">
        <f t="shared" si="1"/>
        <v>4</v>
      </c>
    </row>
    <row r="85" spans="1:9">
      <c r="A85" s="7" t="s">
        <v>1660</v>
      </c>
      <c r="B85" t="str">
        <f>VLOOKUP(A85,'[1]子sku-父sku'!$A:$B,2,0)</f>
        <v>DO-YULQ152</v>
      </c>
      <c r="C85">
        <f>SUMIFS(allorders!O:O,allorders!L:L,$A85,allorders!AG:AG,"&lt;="&amp;日期!$B$5,allorders!AG:AG,"&gt;="&amp;日期!$B$6,allorders!N:N,"Shipped")</f>
        <v>0</v>
      </c>
      <c r="D85">
        <f>SUMIFS(allorders!$O:$O,allorders!$L:$L,$A85,allorders!$AG:$AG,"&lt;="&amp;日期!$B$7,allorders!$AG:$AG,"&gt;="&amp;日期!$B$8,allorders!N:N,"Shipped")</f>
        <v>0</v>
      </c>
      <c r="E85">
        <f>SUMIFS(allorders!$O:$O,allorders!$L:$L,$A85,allorders!$AG:$AG,"&lt;="&amp;日期!$B$9,allorders!$AG:$AG,"&gt;="&amp;日期!$B$10,allorders!N:N,"Shipped")</f>
        <v>1</v>
      </c>
      <c r="F85">
        <f>SUMIFS(allorders!$O:$O,allorders!$L:$L,$A85,allorders!$AG:$AG,"&lt;="&amp;日期!$B$11,allorders!$AG:$AG,"&gt;="&amp;日期!$B$12,allorders!N:N,"Shipped")</f>
        <v>0</v>
      </c>
      <c r="G85">
        <f>SUMIFS(allorders!Q:Q,allorders!L:L,A85,allorders!AG:AG,"&lt;="&amp;日期!$B$5,allorders!AG:AG,"&gt;="&amp;日期!$B$12,allorders!N:N,"Shipped")/SUM(C85:F85)</f>
        <v>89.99</v>
      </c>
      <c r="H85">
        <f>SUMIFS(allorders!Q:Q,allorders!L:L,A85,allorders!AG:AG,"&gt;="&amp;日期!$B$12,allorders!AG:AG,"&lt;="&amp;日期!$B$5,allorders!N:N,"Shipped")</f>
        <v>89.99</v>
      </c>
      <c r="I85">
        <f t="shared" si="1"/>
        <v>1</v>
      </c>
    </row>
    <row r="86" spans="1:9">
      <c r="A86" s="7" t="s">
        <v>1678</v>
      </c>
      <c r="B86" t="str">
        <f>VLOOKUP(A86,'[1]子sku-父sku'!$A:$B,2,0)</f>
        <v>DO-YULQ111</v>
      </c>
      <c r="C86">
        <f>SUMIFS(allorders!O:O,allorders!L:L,$A86,allorders!AG:AG,"&lt;="&amp;日期!$B$5,allorders!AG:AG,"&gt;="&amp;日期!$B$6,allorders!N:N,"Shipped")</f>
        <v>0</v>
      </c>
      <c r="D86">
        <f>SUMIFS(allorders!$O:$O,allorders!$L:$L,$A86,allorders!$AG:$AG,"&lt;="&amp;日期!$B$7,allorders!$AG:$AG,"&gt;="&amp;日期!$B$8,allorders!N:N,"Shipped")</f>
        <v>0</v>
      </c>
      <c r="E86">
        <f>SUMIFS(allorders!$O:$O,allorders!$L:$L,$A86,allorders!$AG:$AG,"&lt;="&amp;日期!$B$9,allorders!$AG:$AG,"&gt;="&amp;日期!$B$10,allorders!N:N,"Shipped")</f>
        <v>1</v>
      </c>
      <c r="F86">
        <f>SUMIFS(allorders!$O:$O,allorders!$L:$L,$A86,allorders!$AG:$AG,"&lt;="&amp;日期!$B$11,allorders!$AG:$AG,"&gt;="&amp;日期!$B$12,allorders!N:N,"Shipped")</f>
        <v>0</v>
      </c>
      <c r="G86">
        <f>SUMIFS(allorders!Q:Q,allorders!L:L,A86,allorders!AG:AG,"&lt;="&amp;日期!$B$5,allorders!AG:AG,"&gt;="&amp;日期!$B$12,allorders!N:N,"Shipped")/SUM(C86:F86)</f>
        <v>91.6</v>
      </c>
      <c r="H86">
        <f>SUMIFS(allorders!Q:Q,allorders!L:L,A86,allorders!AG:AG,"&gt;="&amp;日期!$B$12,allorders!AG:AG,"&lt;="&amp;日期!$B$5,allorders!N:N,"Shipped")</f>
        <v>91.6</v>
      </c>
      <c r="I86">
        <f t="shared" si="1"/>
        <v>1</v>
      </c>
    </row>
    <row r="87" spans="1:9">
      <c r="A87" s="7" t="s">
        <v>1687</v>
      </c>
      <c r="B87" t="str">
        <f>VLOOKUP(A87,'[1]子sku-父sku'!$A:$B,2,0)</f>
        <v>DO-YULQ704</v>
      </c>
      <c r="C87">
        <f>SUMIFS(allorders!O:O,allorders!L:L,$A87,allorders!AG:AG,"&lt;="&amp;日期!$B$5,allorders!AG:AG,"&gt;="&amp;日期!$B$6,allorders!N:N,"Shipped")</f>
        <v>4</v>
      </c>
      <c r="D87">
        <f>SUMIFS(allorders!$O:$O,allorders!$L:$L,$A87,allorders!$AG:$AG,"&lt;="&amp;日期!$B$7,allorders!$AG:$AG,"&gt;="&amp;日期!$B$8,allorders!N:N,"Shipped")</f>
        <v>5</v>
      </c>
      <c r="E87">
        <f>SUMIFS(allorders!$O:$O,allorders!$L:$L,$A87,allorders!$AG:$AG,"&lt;="&amp;日期!$B$9,allorders!$AG:$AG,"&gt;="&amp;日期!$B$10,allorders!N:N,"Shipped")</f>
        <v>4</v>
      </c>
      <c r="F87">
        <f>SUMIFS(allorders!$O:$O,allorders!$L:$L,$A87,allorders!$AG:$AG,"&lt;="&amp;日期!$B$11,allorders!$AG:$AG,"&gt;="&amp;日期!$B$12,allorders!N:N,"Shipped")</f>
        <v>0</v>
      </c>
      <c r="G87">
        <f>SUMIFS(allorders!Q:Q,allorders!L:L,A87,allorders!AG:AG,"&lt;="&amp;日期!$B$5,allorders!AG:AG,"&gt;="&amp;日期!$B$12,allorders!N:N,"Shipped")/SUM(C87:F87)</f>
        <v>100.606153846154</v>
      </c>
      <c r="H87">
        <f>SUMIFS(allorders!Q:Q,allorders!L:L,A87,allorders!AG:AG,"&gt;="&amp;日期!$B$12,allorders!AG:AG,"&lt;="&amp;日期!$B$5,allorders!N:N,"Shipped")</f>
        <v>1307.88</v>
      </c>
      <c r="I87">
        <f t="shared" si="1"/>
        <v>13</v>
      </c>
    </row>
    <row r="88" spans="1:9">
      <c r="A88" s="7" t="s">
        <v>1990</v>
      </c>
      <c r="B88" t="str">
        <f>VLOOKUP(A88,'[1]子sku-父sku'!$A:$B,2,0)</f>
        <v>NZZH-FLQ52</v>
      </c>
      <c r="C88">
        <f>SUMIFS(allorders!O:O,allorders!L:L,$A88,allorders!AG:AG,"&lt;="&amp;日期!$B$5,allorders!AG:AG,"&gt;="&amp;日期!$B$6,allorders!N:N,"Shipped")</f>
        <v>0</v>
      </c>
      <c r="D88">
        <f>SUMIFS(allorders!$O:$O,allorders!$L:$L,$A88,allorders!$AG:$AG,"&lt;="&amp;日期!$B$7,allorders!$AG:$AG,"&gt;="&amp;日期!$B$8,allorders!N:N,"Shipped")</f>
        <v>0</v>
      </c>
      <c r="E88">
        <f>SUMIFS(allorders!$O:$O,allorders!$L:$L,$A88,allorders!$AG:$AG,"&lt;="&amp;日期!$B$9,allorders!$AG:$AG,"&gt;="&amp;日期!$B$10,allorders!N:N,"Shipped")</f>
        <v>1</v>
      </c>
      <c r="F88">
        <f>SUMIFS(allorders!$O:$O,allorders!$L:$L,$A88,allorders!$AG:$AG,"&lt;="&amp;日期!$B$11,allorders!$AG:$AG,"&gt;="&amp;日期!$B$12,allorders!N:N,"Shipped")</f>
        <v>0</v>
      </c>
      <c r="G88">
        <f>SUMIFS(allorders!Q:Q,allorders!L:L,A88,allorders!AG:AG,"&lt;="&amp;日期!$B$5,allorders!AG:AG,"&gt;="&amp;日期!$B$12,allorders!N:N,"Shipped")/SUM(C88:F88)</f>
        <v>16.99</v>
      </c>
      <c r="H88">
        <f>SUMIFS(allorders!Q:Q,allorders!L:L,A88,allorders!AG:AG,"&gt;="&amp;日期!$B$12,allorders!AG:AG,"&lt;="&amp;日期!$B$5,allorders!N:N,"Shipped")</f>
        <v>16.99</v>
      </c>
      <c r="I88">
        <f t="shared" si="1"/>
        <v>1</v>
      </c>
    </row>
    <row r="89" spans="1:9">
      <c r="A89" s="7" t="s">
        <v>2007</v>
      </c>
      <c r="B89" t="str">
        <f>VLOOKUP(A89,'[1]子sku-父sku'!$A:$B,2,0)</f>
        <v>DO-YULQ171</v>
      </c>
      <c r="C89">
        <f>SUMIFS(allorders!O:O,allorders!L:L,$A89,allorders!AG:AG,"&lt;="&amp;日期!$B$5,allorders!AG:AG,"&gt;="&amp;日期!$B$6,allorders!N:N,"Shipped")</f>
        <v>0</v>
      </c>
      <c r="D89">
        <f>SUMIFS(allorders!$O:$O,allorders!$L:$L,$A89,allorders!$AG:$AG,"&lt;="&amp;日期!$B$7,allorders!$AG:$AG,"&gt;="&amp;日期!$B$8,allorders!N:N,"Shipped")</f>
        <v>1</v>
      </c>
      <c r="E89">
        <f>SUMIFS(allorders!$O:$O,allorders!$L:$L,$A89,allorders!$AG:$AG,"&lt;="&amp;日期!$B$9,allorders!$AG:$AG,"&gt;="&amp;日期!$B$10,allorders!N:N,"Shipped")</f>
        <v>1</v>
      </c>
      <c r="F89">
        <f>SUMIFS(allorders!$O:$O,allorders!$L:$L,$A89,allorders!$AG:$AG,"&lt;="&amp;日期!$B$11,allorders!$AG:$AG,"&gt;="&amp;日期!$B$12,allorders!N:N,"Shipped")</f>
        <v>0</v>
      </c>
      <c r="G89">
        <f>SUMIFS(allorders!Q:Q,allorders!L:L,A89,allorders!AG:AG,"&lt;="&amp;日期!$B$5,allorders!AG:AG,"&gt;="&amp;日期!$B$12,allorders!N:N,"Shipped")/SUM(C89:F89)</f>
        <v>89.6</v>
      </c>
      <c r="H89">
        <f>SUMIFS(allorders!Q:Q,allorders!L:L,A89,allorders!AG:AG,"&gt;="&amp;日期!$B$12,allorders!AG:AG,"&lt;="&amp;日期!$B$5,allorders!N:N,"Shipped")</f>
        <v>179.2</v>
      </c>
      <c r="I89">
        <f t="shared" si="1"/>
        <v>2</v>
      </c>
    </row>
    <row r="90" spans="1:9">
      <c r="A90" s="7" t="s">
        <v>2066</v>
      </c>
      <c r="B90" t="str">
        <f>VLOOKUP(A90,'[1]子sku-父sku'!$A:$B,2,0)</f>
        <v>DO-YULQ100</v>
      </c>
      <c r="C90">
        <f>SUMIFS(allorders!O:O,allorders!L:L,$A90,allorders!AG:AG,"&lt;="&amp;日期!$B$5,allorders!AG:AG,"&gt;="&amp;日期!$B$6,allorders!N:N,"Shipped")</f>
        <v>1</v>
      </c>
      <c r="D90">
        <f>SUMIFS(allorders!$O:$O,allorders!$L:$L,$A90,allorders!$AG:$AG,"&lt;="&amp;日期!$B$7,allorders!$AG:$AG,"&gt;="&amp;日期!$B$8,allorders!N:N,"Shipped")</f>
        <v>1</v>
      </c>
      <c r="E90">
        <f>SUMIFS(allorders!$O:$O,allorders!$L:$L,$A90,allorders!$AG:$AG,"&lt;="&amp;日期!$B$9,allorders!$AG:$AG,"&gt;="&amp;日期!$B$10,allorders!N:N,"Shipped")</f>
        <v>1</v>
      </c>
      <c r="F90">
        <f>SUMIFS(allorders!$O:$O,allorders!$L:$L,$A90,allorders!$AG:$AG,"&lt;="&amp;日期!$B$11,allorders!$AG:$AG,"&gt;="&amp;日期!$B$12,allorders!N:N,"Shipped")</f>
        <v>0</v>
      </c>
      <c r="G90">
        <f>SUMIFS(allorders!Q:Q,allorders!L:L,A90,allorders!AG:AG,"&lt;="&amp;日期!$B$5,allorders!AG:AG,"&gt;="&amp;日期!$B$12,allorders!N:N,"Shipped")/SUM(C90:F90)</f>
        <v>32.99</v>
      </c>
      <c r="H90">
        <f>SUMIFS(allorders!Q:Q,allorders!L:L,A90,allorders!AG:AG,"&gt;="&amp;日期!$B$12,allorders!AG:AG,"&lt;="&amp;日期!$B$5,allorders!N:N,"Shipped")</f>
        <v>98.97</v>
      </c>
      <c r="I90">
        <f t="shared" si="1"/>
        <v>3</v>
      </c>
    </row>
    <row r="91" spans="1:9">
      <c r="A91" s="7" t="s">
        <v>2189</v>
      </c>
      <c r="B91" t="str">
        <f>VLOOKUP(A91,'[1]子sku-父sku'!$A:$B,2,0)</f>
        <v>YF-YULQ010</v>
      </c>
      <c r="C91">
        <f>SUMIFS(allorders!O:O,allorders!L:L,$A91,allorders!AG:AG,"&lt;="&amp;日期!$B$5,allorders!AG:AG,"&gt;="&amp;日期!$B$6,allorders!N:N,"Shipped")</f>
        <v>0</v>
      </c>
      <c r="D91">
        <f>SUMIFS(allorders!$O:$O,allorders!$L:$L,$A91,allorders!$AG:$AG,"&lt;="&amp;日期!$B$7,allorders!$AG:$AG,"&gt;="&amp;日期!$B$8,allorders!N:N,"Shipped")</f>
        <v>1</v>
      </c>
      <c r="E91">
        <f>SUMIFS(allorders!$O:$O,allorders!$L:$L,$A91,allorders!$AG:$AG,"&lt;="&amp;日期!$B$9,allorders!$AG:$AG,"&gt;="&amp;日期!$B$10,allorders!N:N,"Shipped")</f>
        <v>2</v>
      </c>
      <c r="F91">
        <f>SUMIFS(allorders!$O:$O,allorders!$L:$L,$A91,allorders!$AG:$AG,"&lt;="&amp;日期!$B$11,allorders!$AG:$AG,"&gt;="&amp;日期!$B$12,allorders!N:N,"Shipped")</f>
        <v>0</v>
      </c>
      <c r="G91">
        <f>SUMIFS(allorders!Q:Q,allorders!L:L,A91,allorders!AG:AG,"&lt;="&amp;日期!$B$5,allorders!AG:AG,"&gt;="&amp;日期!$B$12,allorders!N:N,"Shipped")/SUM(C91:F91)</f>
        <v>23.99</v>
      </c>
      <c r="H91">
        <f>SUMIFS(allorders!Q:Q,allorders!L:L,A91,allorders!AG:AG,"&gt;="&amp;日期!$B$12,allorders!AG:AG,"&lt;="&amp;日期!$B$5,allorders!N:N,"Shipped")</f>
        <v>71.97</v>
      </c>
      <c r="I91">
        <f t="shared" si="1"/>
        <v>3</v>
      </c>
    </row>
    <row r="92" spans="1:9">
      <c r="A92" s="7" t="s">
        <v>2216</v>
      </c>
      <c r="B92" t="str">
        <f>VLOOKUP(A92,'[1]子sku-父sku'!$A:$B,2,0)</f>
        <v>DO-YULQ639</v>
      </c>
      <c r="C92">
        <f>SUMIFS(allorders!O:O,allorders!L:L,$A92,allorders!AG:AG,"&lt;="&amp;日期!$B$5,allorders!AG:AG,"&gt;="&amp;日期!$B$6,allorders!N:N,"Shipped")</f>
        <v>0</v>
      </c>
      <c r="D92">
        <f>SUMIFS(allorders!$O:$O,allorders!$L:$L,$A92,allorders!$AG:$AG,"&lt;="&amp;日期!$B$7,allorders!$AG:$AG,"&gt;="&amp;日期!$B$8,allorders!N:N,"Shipped")</f>
        <v>0</v>
      </c>
      <c r="E92">
        <f>SUMIFS(allorders!$O:$O,allorders!$L:$L,$A92,allorders!$AG:$AG,"&lt;="&amp;日期!$B$9,allorders!$AG:$AG,"&gt;="&amp;日期!$B$10,allorders!N:N,"Shipped")</f>
        <v>1</v>
      </c>
      <c r="F92">
        <f>SUMIFS(allorders!$O:$O,allorders!$L:$L,$A92,allorders!$AG:$AG,"&lt;="&amp;日期!$B$11,allorders!$AG:$AG,"&gt;="&amp;日期!$B$12,allorders!N:N,"Shipped")</f>
        <v>0</v>
      </c>
      <c r="G92">
        <f>SUMIFS(allorders!Q:Q,allorders!L:L,A92,allorders!AG:AG,"&lt;="&amp;日期!$B$5,allorders!AG:AG,"&gt;="&amp;日期!$B$12,allorders!N:N,"Shipped")/SUM(C92:F92)</f>
        <v>99.99</v>
      </c>
      <c r="H92">
        <f>SUMIFS(allorders!Q:Q,allorders!L:L,A92,allorders!AG:AG,"&gt;="&amp;日期!$B$12,allorders!AG:AG,"&lt;="&amp;日期!$B$5,allorders!N:N,"Shipped")</f>
        <v>99.99</v>
      </c>
      <c r="I92">
        <f t="shared" si="1"/>
        <v>1</v>
      </c>
    </row>
    <row r="93" spans="1:9">
      <c r="A93" s="7" t="s">
        <v>2296</v>
      </c>
      <c r="B93" t="str">
        <f>VLOOKUP(A93,'[1]子sku-父sku'!$A:$B,2,0)</f>
        <v>DO-YULQ151</v>
      </c>
      <c r="C93">
        <f>SUMIFS(allorders!O:O,allorders!L:L,$A93,allorders!AG:AG,"&lt;="&amp;日期!$B$5,allorders!AG:AG,"&gt;="&amp;日期!$B$6,allorders!N:N,"Shipped")</f>
        <v>0</v>
      </c>
      <c r="D93">
        <f>SUMIFS(allorders!$O:$O,allorders!$L:$L,$A93,allorders!$AG:$AG,"&lt;="&amp;日期!$B$7,allorders!$AG:$AG,"&gt;="&amp;日期!$B$8,allorders!N:N,"Shipped")</f>
        <v>0</v>
      </c>
      <c r="E93">
        <f>SUMIFS(allorders!$O:$O,allorders!$L:$L,$A93,allorders!$AG:$AG,"&lt;="&amp;日期!$B$9,allorders!$AG:$AG,"&gt;="&amp;日期!$B$10,allorders!N:N,"Shipped")</f>
        <v>1</v>
      </c>
      <c r="F93">
        <f>SUMIFS(allorders!$O:$O,allorders!$L:$L,$A93,allorders!$AG:$AG,"&lt;="&amp;日期!$B$11,allorders!$AG:$AG,"&gt;="&amp;日期!$B$12,allorders!N:N,"Shipped")</f>
        <v>0</v>
      </c>
      <c r="G93">
        <f>SUMIFS(allorders!Q:Q,allorders!L:L,A93,allorders!AG:AG,"&lt;="&amp;日期!$B$5,allorders!AG:AG,"&gt;="&amp;日期!$B$12,allorders!N:N,"Shipped")/SUM(C93:F93)</f>
        <v>79.99</v>
      </c>
      <c r="H93">
        <f>SUMIFS(allorders!Q:Q,allorders!L:L,A93,allorders!AG:AG,"&gt;="&amp;日期!$B$12,allorders!AG:AG,"&lt;="&amp;日期!$B$5,allorders!N:N,"Shipped")</f>
        <v>79.99</v>
      </c>
      <c r="I93">
        <f t="shared" si="1"/>
        <v>1</v>
      </c>
    </row>
    <row r="94" spans="1:9">
      <c r="A94" s="7" t="s">
        <v>2328</v>
      </c>
      <c r="B94" t="str">
        <f>VLOOKUP(A94,'[1]子sku-父sku'!$A:$B,2,0)</f>
        <v>DO-YULQ707</v>
      </c>
      <c r="C94">
        <f>SUMIFS(allorders!O:O,allorders!L:L,$A94,allorders!AG:AG,"&lt;="&amp;日期!$B$5,allorders!AG:AG,"&gt;="&amp;日期!$B$6,allorders!N:N,"Shipped")</f>
        <v>2</v>
      </c>
      <c r="D94">
        <f>SUMIFS(allorders!$O:$O,allorders!$L:$L,$A94,allorders!$AG:$AG,"&lt;="&amp;日期!$B$7,allorders!$AG:$AG,"&gt;="&amp;日期!$B$8,allorders!N:N,"Shipped")</f>
        <v>1</v>
      </c>
      <c r="E94">
        <f>SUMIFS(allorders!$O:$O,allorders!$L:$L,$A94,allorders!$AG:$AG,"&lt;="&amp;日期!$B$9,allorders!$AG:$AG,"&gt;="&amp;日期!$B$10,allorders!N:N,"Shipped")</f>
        <v>1</v>
      </c>
      <c r="F94">
        <f>SUMIFS(allorders!$O:$O,allorders!$L:$L,$A94,allorders!$AG:$AG,"&lt;="&amp;日期!$B$11,allorders!$AG:$AG,"&gt;="&amp;日期!$B$12,allorders!N:N,"Shipped")</f>
        <v>0</v>
      </c>
      <c r="G94">
        <f>SUMIFS(allorders!Q:Q,allorders!L:L,A94,allorders!AG:AG,"&lt;="&amp;日期!$B$5,allorders!AG:AG,"&gt;="&amp;日期!$B$12,allorders!N:N,"Shipped")/SUM(C94:F94)</f>
        <v>108.99</v>
      </c>
      <c r="H94">
        <f>SUMIFS(allorders!Q:Q,allorders!L:L,A94,allorders!AG:AG,"&gt;="&amp;日期!$B$12,allorders!AG:AG,"&lt;="&amp;日期!$B$5,allorders!N:N,"Shipped")</f>
        <v>435.96</v>
      </c>
      <c r="I94">
        <f t="shared" si="1"/>
        <v>4</v>
      </c>
    </row>
    <row r="95" spans="1:9">
      <c r="A95" s="7" t="s">
        <v>2335</v>
      </c>
      <c r="B95" t="str">
        <f>VLOOKUP(A95,'[1]子sku-父sku'!$A:$B,2,0)</f>
        <v>DO-YULQ516</v>
      </c>
      <c r="C95">
        <f>SUMIFS(allorders!O:O,allorders!L:L,$A95,allorders!AG:AG,"&lt;="&amp;日期!$B$5,allorders!AG:AG,"&gt;="&amp;日期!$B$6,allorders!N:N,"Shipped")</f>
        <v>1</v>
      </c>
      <c r="D95">
        <f>SUMIFS(allorders!$O:$O,allorders!$L:$L,$A95,allorders!$AG:$AG,"&lt;="&amp;日期!$B$7,allorders!$AG:$AG,"&gt;="&amp;日期!$B$8,allorders!N:N,"Shipped")</f>
        <v>1</v>
      </c>
      <c r="E95">
        <f>SUMIFS(allorders!$O:$O,allorders!$L:$L,$A95,allorders!$AG:$AG,"&lt;="&amp;日期!$B$9,allorders!$AG:$AG,"&gt;="&amp;日期!$B$10,allorders!N:N,"Shipped")</f>
        <v>1</v>
      </c>
      <c r="F95">
        <f>SUMIFS(allorders!$O:$O,allorders!$L:$L,$A95,allorders!$AG:$AG,"&lt;="&amp;日期!$B$11,allorders!$AG:$AG,"&gt;="&amp;日期!$B$12,allorders!N:N,"Shipped")</f>
        <v>0</v>
      </c>
      <c r="G95">
        <f>SUMIFS(allorders!Q:Q,allorders!L:L,A95,allorders!AG:AG,"&lt;="&amp;日期!$B$5,allorders!AG:AG,"&gt;="&amp;日期!$B$12,allorders!N:N,"Shipped")/SUM(C95:F95)</f>
        <v>89.99</v>
      </c>
      <c r="H95">
        <f>SUMIFS(allorders!Q:Q,allorders!L:L,A95,allorders!AG:AG,"&gt;="&amp;日期!$B$12,allorders!AG:AG,"&lt;="&amp;日期!$B$5,allorders!N:N,"Shipped")</f>
        <v>269.97</v>
      </c>
      <c r="I95">
        <f t="shared" si="1"/>
        <v>3</v>
      </c>
    </row>
    <row r="96" spans="1:9">
      <c r="A96" s="7" t="s">
        <v>2455</v>
      </c>
      <c r="B96" t="str">
        <f>VLOOKUP(A96,'[1]子sku-父sku'!$A:$B,2,0)</f>
        <v>DO-YULQ165</v>
      </c>
      <c r="C96">
        <f>SUMIFS(allorders!O:O,allorders!L:L,$A96,allorders!AG:AG,"&lt;="&amp;日期!$B$5,allorders!AG:AG,"&gt;="&amp;日期!$B$6,allorders!N:N,"Shipped")</f>
        <v>0</v>
      </c>
      <c r="D96">
        <f>SUMIFS(allorders!$O:$O,allorders!$L:$L,$A96,allorders!$AG:$AG,"&lt;="&amp;日期!$B$7,allorders!$AG:$AG,"&gt;="&amp;日期!$B$8,allorders!N:N,"Shipped")</f>
        <v>0</v>
      </c>
      <c r="E96">
        <f>SUMIFS(allorders!$O:$O,allorders!$L:$L,$A96,allorders!$AG:$AG,"&lt;="&amp;日期!$B$9,allorders!$AG:$AG,"&gt;="&amp;日期!$B$10,allorders!N:N,"Shipped")</f>
        <v>1</v>
      </c>
      <c r="F96">
        <f>SUMIFS(allorders!$O:$O,allorders!$L:$L,$A96,allorders!$AG:$AG,"&lt;="&amp;日期!$B$11,allorders!$AG:$AG,"&gt;="&amp;日期!$B$12,allorders!N:N,"Shipped")</f>
        <v>0</v>
      </c>
      <c r="G96">
        <f>SUMIFS(allorders!Q:Q,allorders!L:L,A96,allorders!AG:AG,"&lt;="&amp;日期!$B$5,allorders!AG:AG,"&gt;="&amp;日期!$B$12,allorders!N:N,"Shipped")/SUM(C96:F96)</f>
        <v>79.99</v>
      </c>
      <c r="H96">
        <f>SUMIFS(allorders!Q:Q,allorders!L:L,A96,allorders!AG:AG,"&gt;="&amp;日期!$B$12,allorders!AG:AG,"&lt;="&amp;日期!$B$5,allorders!N:N,"Shipped")</f>
        <v>79.99</v>
      </c>
      <c r="I96">
        <f t="shared" si="1"/>
        <v>1</v>
      </c>
    </row>
    <row r="97" spans="1:9">
      <c r="A97" s="7" t="s">
        <v>2490</v>
      </c>
      <c r="B97" t="str">
        <f>VLOOKUP(A97,'[1]子sku-父sku'!$A:$B,2,0)</f>
        <v>DO-YULQ372</v>
      </c>
      <c r="C97">
        <f>SUMIFS(allorders!O:O,allorders!L:L,$A97,allorders!AG:AG,"&lt;="&amp;日期!$B$5,allorders!AG:AG,"&gt;="&amp;日期!$B$6,allorders!N:N,"Shipped")</f>
        <v>0</v>
      </c>
      <c r="D97">
        <f>SUMIFS(allorders!$O:$O,allorders!$L:$L,$A97,allorders!$AG:$AG,"&lt;="&amp;日期!$B$7,allorders!$AG:$AG,"&gt;="&amp;日期!$B$8,allorders!N:N,"Shipped")</f>
        <v>2</v>
      </c>
      <c r="E97">
        <f>SUMIFS(allorders!$O:$O,allorders!$L:$L,$A97,allorders!$AG:$AG,"&lt;="&amp;日期!$B$9,allorders!$AG:$AG,"&gt;="&amp;日期!$B$10,allorders!N:N,"Shipped")</f>
        <v>1</v>
      </c>
      <c r="F97">
        <f>SUMIFS(allorders!$O:$O,allorders!$L:$L,$A97,allorders!$AG:$AG,"&lt;="&amp;日期!$B$11,allorders!$AG:$AG,"&gt;="&amp;日期!$B$12,allorders!N:N,"Shipped")</f>
        <v>0</v>
      </c>
      <c r="G97">
        <f>SUMIFS(allorders!Q:Q,allorders!L:L,A97,allorders!AG:AG,"&lt;="&amp;日期!$B$5,allorders!AG:AG,"&gt;="&amp;日期!$B$12,allorders!N:N,"Shipped")/SUM(C97:F97)</f>
        <v>59.99</v>
      </c>
      <c r="H97">
        <f>SUMIFS(allorders!Q:Q,allorders!L:L,A97,allorders!AG:AG,"&gt;="&amp;日期!$B$12,allorders!AG:AG,"&lt;="&amp;日期!$B$5,allorders!N:N,"Shipped")</f>
        <v>179.97</v>
      </c>
      <c r="I97">
        <f t="shared" si="1"/>
        <v>3</v>
      </c>
    </row>
    <row r="98" spans="1:9">
      <c r="A98" s="7" t="s">
        <v>2670</v>
      </c>
      <c r="B98" t="str">
        <f>VLOOKUP(A98,'[1]子sku-父sku'!$A:$B,2,0)</f>
        <v>DO-YULQ121</v>
      </c>
      <c r="C98">
        <f>SUMIFS(allorders!O:O,allorders!L:L,$A98,allorders!AG:AG,"&lt;="&amp;日期!$B$5,allorders!AG:AG,"&gt;="&amp;日期!$B$6,allorders!N:N,"Shipped")</f>
        <v>0</v>
      </c>
      <c r="D98">
        <f>SUMIFS(allorders!$O:$O,allorders!$L:$L,$A98,allorders!$AG:$AG,"&lt;="&amp;日期!$B$7,allorders!$AG:$AG,"&gt;="&amp;日期!$B$8,allorders!N:N,"Shipped")</f>
        <v>2</v>
      </c>
      <c r="E98">
        <f>SUMIFS(allorders!$O:$O,allorders!$L:$L,$A98,allorders!$AG:$AG,"&lt;="&amp;日期!$B$9,allorders!$AG:$AG,"&gt;="&amp;日期!$B$10,allorders!N:N,"Shipped")</f>
        <v>0</v>
      </c>
      <c r="F98">
        <f>SUMIFS(allorders!$O:$O,allorders!$L:$L,$A98,allorders!$AG:$AG,"&lt;="&amp;日期!$B$11,allorders!$AG:$AG,"&gt;="&amp;日期!$B$12,allorders!N:N,"Shipped")</f>
        <v>0</v>
      </c>
      <c r="G98">
        <f>SUMIFS(allorders!Q:Q,allorders!L:L,A98,allorders!AG:AG,"&lt;="&amp;日期!$B$5,allorders!AG:AG,"&gt;="&amp;日期!$B$12,allorders!N:N,"Shipped")/SUM(C98:F98)</f>
        <v>89.99</v>
      </c>
      <c r="H98">
        <f>SUMIFS(allorders!Q:Q,allorders!L:L,A98,allorders!AG:AG,"&gt;="&amp;日期!$B$12,allorders!AG:AG,"&lt;="&amp;日期!$B$5,allorders!N:N,"Shipped")</f>
        <v>179.98</v>
      </c>
      <c r="I98">
        <f t="shared" si="1"/>
        <v>2</v>
      </c>
    </row>
    <row r="99" spans="1:9">
      <c r="A99" s="7" t="s">
        <v>2758</v>
      </c>
      <c r="B99" t="str">
        <f>VLOOKUP(A99,'[1]子sku-父sku'!$A:$B,2,0)</f>
        <v>DO-YULQ159</v>
      </c>
      <c r="C99">
        <f>SUMIFS(allorders!O:O,allorders!L:L,$A99,allorders!AG:AG,"&lt;="&amp;日期!$B$5,allorders!AG:AG,"&gt;="&amp;日期!$B$6,allorders!N:N,"Shipped")</f>
        <v>3</v>
      </c>
      <c r="D99">
        <f>SUMIFS(allorders!$O:$O,allorders!$L:$L,$A99,allorders!$AG:$AG,"&lt;="&amp;日期!$B$7,allorders!$AG:$AG,"&gt;="&amp;日期!$B$8,allorders!N:N,"Shipped")</f>
        <v>0</v>
      </c>
      <c r="E99">
        <f>SUMIFS(allorders!$O:$O,allorders!$L:$L,$A99,allorders!$AG:$AG,"&lt;="&amp;日期!$B$9,allorders!$AG:$AG,"&gt;="&amp;日期!$B$10,allorders!N:N,"Shipped")</f>
        <v>0</v>
      </c>
      <c r="F99">
        <f>SUMIFS(allorders!$O:$O,allorders!$L:$L,$A99,allorders!$AG:$AG,"&lt;="&amp;日期!$B$11,allorders!$AG:$AG,"&gt;="&amp;日期!$B$12,allorders!N:N,"Shipped")</f>
        <v>0</v>
      </c>
      <c r="G99">
        <f>SUMIFS(allorders!Q:Q,allorders!L:L,A99,allorders!AG:AG,"&lt;="&amp;日期!$B$5,allorders!AG:AG,"&gt;="&amp;日期!$B$12,allorders!N:N,"Shipped")/SUM(C99:F99)</f>
        <v>99.6</v>
      </c>
      <c r="H99">
        <f>SUMIFS(allorders!Q:Q,allorders!L:L,A99,allorders!AG:AG,"&gt;="&amp;日期!$B$12,allorders!AG:AG,"&lt;="&amp;日期!$B$5,allorders!N:N,"Shipped")</f>
        <v>298.8</v>
      </c>
      <c r="I99">
        <f t="shared" si="1"/>
        <v>3</v>
      </c>
    </row>
    <row r="100" spans="1:9">
      <c r="A100" s="7" t="s">
        <v>2765</v>
      </c>
      <c r="B100" t="str">
        <f>VLOOKUP(A100,'[1]子sku-父sku'!$A:$B,2,0)</f>
        <v>DO-YULQ631</v>
      </c>
      <c r="C100">
        <f>SUMIFS(allorders!O:O,allorders!L:L,$A100,allorders!AG:AG,"&lt;="&amp;日期!$B$5,allorders!AG:AG,"&gt;="&amp;日期!$B$6,allorders!N:N,"Shipped")</f>
        <v>0</v>
      </c>
      <c r="D100">
        <f>SUMIFS(allorders!$O:$O,allorders!$L:$L,$A100,allorders!$AG:$AG,"&lt;="&amp;日期!$B$7,allorders!$AG:$AG,"&gt;="&amp;日期!$B$8,allorders!N:N,"Shipped")</f>
        <v>1</v>
      </c>
      <c r="E100">
        <f>SUMIFS(allorders!$O:$O,allorders!$L:$L,$A100,allorders!$AG:$AG,"&lt;="&amp;日期!$B$9,allorders!$AG:$AG,"&gt;="&amp;日期!$B$10,allorders!N:N,"Shipped")</f>
        <v>0</v>
      </c>
      <c r="F100">
        <f>SUMIFS(allorders!$O:$O,allorders!$L:$L,$A100,allorders!$AG:$AG,"&lt;="&amp;日期!$B$11,allorders!$AG:$AG,"&gt;="&amp;日期!$B$12,allorders!N:N,"Shipped")</f>
        <v>0</v>
      </c>
      <c r="G100">
        <f>SUMIFS(allorders!Q:Q,allorders!L:L,A100,allorders!AG:AG,"&lt;="&amp;日期!$B$5,allorders!AG:AG,"&gt;="&amp;日期!$B$12,allorders!N:N,"Shipped")/SUM(C100:F100)</f>
        <v>99.99</v>
      </c>
      <c r="H100">
        <f>SUMIFS(allorders!Q:Q,allorders!L:L,A100,allorders!AG:AG,"&gt;="&amp;日期!$B$12,allorders!AG:AG,"&lt;="&amp;日期!$B$5,allorders!N:N,"Shipped")</f>
        <v>99.99</v>
      </c>
      <c r="I100">
        <f t="shared" si="1"/>
        <v>1</v>
      </c>
    </row>
    <row r="101" spans="1:9">
      <c r="A101" s="7" t="s">
        <v>2821</v>
      </c>
      <c r="B101" t="str">
        <f>VLOOKUP(A101,'[1]子sku-父sku'!$A:$B,2,0)</f>
        <v>DO-YULQ259</v>
      </c>
      <c r="C101">
        <f>SUMIFS(allorders!O:O,allorders!L:L,$A101,allorders!AG:AG,"&lt;="&amp;日期!$B$5,allorders!AG:AG,"&gt;="&amp;日期!$B$6,allorders!N:N,"Shipped")</f>
        <v>0</v>
      </c>
      <c r="D101">
        <f>SUMIFS(allorders!$O:$O,allorders!$L:$L,$A101,allorders!$AG:$AG,"&lt;="&amp;日期!$B$7,allorders!$AG:$AG,"&gt;="&amp;日期!$B$8,allorders!N:N,"Shipped")</f>
        <v>0</v>
      </c>
      <c r="E101">
        <f>SUMIFS(allorders!$O:$O,allorders!$L:$L,$A101,allorders!$AG:$AG,"&lt;="&amp;日期!$B$9,allorders!$AG:$AG,"&gt;="&amp;日期!$B$10,allorders!N:N,"Shipped")</f>
        <v>0</v>
      </c>
      <c r="F101">
        <f>SUMIFS(allorders!$O:$O,allorders!$L:$L,$A101,allorders!$AG:$AG,"&lt;="&amp;日期!$B$11,allorders!$AG:$AG,"&gt;="&amp;日期!$B$12,allorders!N:N,"Shipped")</f>
        <v>0</v>
      </c>
      <c r="G101" t="e">
        <f>SUMIFS(allorders!Q:Q,allorders!L:L,A101,allorders!AG:AG,"&lt;="&amp;日期!$B$5,allorders!AG:AG,"&gt;="&amp;日期!$B$12,allorders!N:N,"Shipped")/SUM(C101:F101)</f>
        <v>#DIV/0!</v>
      </c>
      <c r="H101">
        <f>SUMIFS(allorders!Q:Q,allorders!L:L,A101,allorders!AG:AG,"&gt;="&amp;日期!$B$12,allorders!AG:AG,"&lt;="&amp;日期!$B$5,allorders!N:N,"Shipped")</f>
        <v>0</v>
      </c>
      <c r="I101">
        <f t="shared" si="1"/>
        <v>0</v>
      </c>
    </row>
    <row r="102" spans="1:9">
      <c r="A102" s="7" t="s">
        <v>2827</v>
      </c>
      <c r="B102" t="str">
        <f>VLOOKUP(A102,'[1]子sku-父sku'!$A:$B,2,0)</f>
        <v>DO-YULQ905</v>
      </c>
      <c r="C102">
        <f>SUMIFS(allorders!O:O,allorders!L:L,$A102,allorders!AG:AG,"&lt;="&amp;日期!$B$5,allorders!AG:AG,"&gt;="&amp;日期!$B$6,allorders!N:N,"Shipped")</f>
        <v>0</v>
      </c>
      <c r="D102">
        <f>SUMIFS(allorders!$O:$O,allorders!$L:$L,$A102,allorders!$AG:$AG,"&lt;="&amp;日期!$B$7,allorders!$AG:$AG,"&gt;="&amp;日期!$B$8,allorders!N:N,"Shipped")</f>
        <v>0</v>
      </c>
      <c r="E102">
        <f>SUMIFS(allorders!$O:$O,allorders!$L:$L,$A102,allorders!$AG:$AG,"&lt;="&amp;日期!$B$9,allorders!$AG:$AG,"&gt;="&amp;日期!$B$10,allorders!N:N,"Shipped")</f>
        <v>0</v>
      </c>
      <c r="F102">
        <f>SUMIFS(allorders!$O:$O,allorders!$L:$L,$A102,allorders!$AG:$AG,"&lt;="&amp;日期!$B$11,allorders!$AG:$AG,"&gt;="&amp;日期!$B$12,allorders!N:N,"Shipped")</f>
        <v>0</v>
      </c>
      <c r="G102" t="e">
        <f>SUMIFS(allorders!Q:Q,allorders!L:L,A102,allorders!AG:AG,"&lt;="&amp;日期!$B$5,allorders!AG:AG,"&gt;="&amp;日期!$B$12,allorders!N:N,"Shipped")/SUM(C102:F102)</f>
        <v>#DIV/0!</v>
      </c>
      <c r="H102">
        <f>SUMIFS(allorders!Q:Q,allorders!L:L,A102,allorders!AG:AG,"&gt;="&amp;日期!$B$12,allorders!AG:AG,"&lt;="&amp;日期!$B$5,allorders!N:N,"Shipped")</f>
        <v>0</v>
      </c>
      <c r="I102">
        <f t="shared" si="1"/>
        <v>0</v>
      </c>
    </row>
    <row r="103" spans="1:9">
      <c r="A103" s="7" t="s">
        <v>2837</v>
      </c>
      <c r="B103" t="str">
        <f>VLOOKUP(A103,'[1]子sku-父sku'!$A:$B,2,0)</f>
        <v>DOLL-006</v>
      </c>
      <c r="C103">
        <f>SUMIFS(allorders!O:O,allorders!L:L,$A103,allorders!AG:AG,"&lt;="&amp;日期!$B$5,allorders!AG:AG,"&gt;="&amp;日期!$B$6,allorders!N:N,"Shipped")</f>
        <v>0</v>
      </c>
      <c r="D103">
        <f>SUMIFS(allorders!$O:$O,allorders!$L:$L,$A103,allorders!$AG:$AG,"&lt;="&amp;日期!$B$7,allorders!$AG:$AG,"&gt;="&amp;日期!$B$8,allorders!N:N,"Shipped")</f>
        <v>0</v>
      </c>
      <c r="E103">
        <f>SUMIFS(allorders!$O:$O,allorders!$L:$L,$A103,allorders!$AG:$AG,"&lt;="&amp;日期!$B$9,allorders!$AG:$AG,"&gt;="&amp;日期!$B$10,allorders!N:N,"Shipped")</f>
        <v>0</v>
      </c>
      <c r="F103">
        <f>SUMIFS(allorders!$O:$O,allorders!$L:$L,$A103,allorders!$AG:$AG,"&lt;="&amp;日期!$B$11,allorders!$AG:$AG,"&gt;="&amp;日期!$B$12,allorders!N:N,"Shipped")</f>
        <v>0</v>
      </c>
      <c r="G103" t="e">
        <f>SUMIFS(allorders!Q:Q,allorders!L:L,A103,allorders!AG:AG,"&lt;="&amp;日期!$B$5,allorders!AG:AG,"&gt;="&amp;日期!$B$12,allorders!N:N,"Shipped")/SUM(C103:F103)</f>
        <v>#DIV/0!</v>
      </c>
      <c r="H103">
        <f>SUMIFS(allorders!Q:Q,allorders!L:L,A103,allorders!AG:AG,"&gt;="&amp;日期!$B$12,allorders!AG:AG,"&lt;="&amp;日期!$B$5,allorders!N:N,"Shipped")</f>
        <v>0</v>
      </c>
      <c r="I103">
        <f t="shared" si="1"/>
        <v>0</v>
      </c>
    </row>
    <row r="104" spans="1:9">
      <c r="A104" s="7" t="s">
        <v>2844</v>
      </c>
      <c r="B104" t="str">
        <f>VLOOKUP(A104,'[1]子sku-父sku'!$A:$B,2,0)</f>
        <v>DOLL-1613</v>
      </c>
      <c r="C104">
        <f>SUMIFS(allorders!O:O,allorders!L:L,$A104,allorders!AG:AG,"&lt;="&amp;日期!$B$5,allorders!AG:AG,"&gt;="&amp;日期!$B$6,allorders!N:N,"Shipped")</f>
        <v>0</v>
      </c>
      <c r="D104">
        <f>SUMIFS(allorders!$O:$O,allorders!$L:$L,$A104,allorders!$AG:$AG,"&lt;="&amp;日期!$B$7,allorders!$AG:$AG,"&gt;="&amp;日期!$B$8,allorders!N:N,"Shipped")</f>
        <v>0</v>
      </c>
      <c r="E104">
        <f>SUMIFS(allorders!$O:$O,allorders!$L:$L,$A104,allorders!$AG:$AG,"&lt;="&amp;日期!$B$9,allorders!$AG:$AG,"&gt;="&amp;日期!$B$10,allorders!N:N,"Shipped")</f>
        <v>0</v>
      </c>
      <c r="F104">
        <f>SUMIFS(allorders!$O:$O,allorders!$L:$L,$A104,allorders!$AG:$AG,"&lt;="&amp;日期!$B$11,allorders!$AG:$AG,"&gt;="&amp;日期!$B$12,allorders!N:N,"Shipped")</f>
        <v>0</v>
      </c>
      <c r="G104" t="e">
        <f>SUMIFS(allorders!Q:Q,allorders!L:L,A104,allorders!AG:AG,"&lt;="&amp;日期!$B$5,allorders!AG:AG,"&gt;="&amp;日期!$B$12,allorders!N:N,"Shipped")/SUM(C104:F104)</f>
        <v>#DIV/0!</v>
      </c>
      <c r="H104">
        <f>SUMIFS(allorders!Q:Q,allorders!L:L,A104,allorders!AG:AG,"&gt;="&amp;日期!$B$12,allorders!AG:AG,"&lt;="&amp;日期!$B$5,allorders!N:N,"Shipped")</f>
        <v>0</v>
      </c>
      <c r="I104">
        <f t="shared" si="1"/>
        <v>0</v>
      </c>
    </row>
    <row r="105" spans="1:9">
      <c r="A105" s="7" t="s">
        <v>2851</v>
      </c>
      <c r="B105" t="str">
        <f>VLOOKUP(A105,'[1]子sku-父sku'!$A:$B,2,0)</f>
        <v>DOLL-7056</v>
      </c>
      <c r="C105">
        <f>SUMIFS(allorders!O:O,allorders!L:L,$A105,allorders!AG:AG,"&lt;="&amp;日期!$B$5,allorders!AG:AG,"&gt;="&amp;日期!$B$6,allorders!N:N,"Shipped")</f>
        <v>0</v>
      </c>
      <c r="D105">
        <f>SUMIFS(allorders!$O:$O,allorders!$L:$L,$A105,allorders!$AG:$AG,"&lt;="&amp;日期!$B$7,allorders!$AG:$AG,"&gt;="&amp;日期!$B$8,allorders!N:N,"Shipped")</f>
        <v>0</v>
      </c>
      <c r="E105">
        <f>SUMIFS(allorders!$O:$O,allorders!$L:$L,$A105,allorders!$AG:$AG,"&lt;="&amp;日期!$B$9,allorders!$AG:$AG,"&gt;="&amp;日期!$B$10,allorders!N:N,"Shipped")</f>
        <v>0</v>
      </c>
      <c r="F105">
        <f>SUMIFS(allorders!$O:$O,allorders!$L:$L,$A105,allorders!$AG:$AG,"&lt;="&amp;日期!$B$11,allorders!$AG:$AG,"&gt;="&amp;日期!$B$12,allorders!N:N,"Shipped")</f>
        <v>0</v>
      </c>
      <c r="G105" t="e">
        <f>SUMIFS(allorders!Q:Q,allorders!L:L,A105,allorders!AG:AG,"&lt;="&amp;日期!$B$5,allorders!AG:AG,"&gt;="&amp;日期!$B$12,allorders!N:N,"Shipped")/SUM(C105:F105)</f>
        <v>#DIV/0!</v>
      </c>
      <c r="H105">
        <f>SUMIFS(allorders!Q:Q,allorders!L:L,A105,allorders!AG:AG,"&gt;="&amp;日期!$B$12,allorders!AG:AG,"&lt;="&amp;日期!$B$5,allorders!N:N,"Shipped")</f>
        <v>0</v>
      </c>
      <c r="I105">
        <f t="shared" si="1"/>
        <v>0</v>
      </c>
    </row>
    <row r="106" spans="1:9">
      <c r="A106" s="7" t="s">
        <v>2858</v>
      </c>
      <c r="B106" t="str">
        <f>VLOOKUP(A106,'[1]子sku-父sku'!$A:$B,2,0)</f>
        <v>DOLL-007</v>
      </c>
      <c r="C106">
        <f>SUMIFS(allorders!O:O,allorders!L:L,$A106,allorders!AG:AG,"&lt;="&amp;日期!$B$5,allorders!AG:AG,"&gt;="&amp;日期!$B$6,allorders!N:N,"Shipped")</f>
        <v>0</v>
      </c>
      <c r="D106">
        <f>SUMIFS(allorders!$O:$O,allorders!$L:$L,$A106,allorders!$AG:$AG,"&lt;="&amp;日期!$B$7,allorders!$AG:$AG,"&gt;="&amp;日期!$B$8,allorders!N:N,"Shipped")</f>
        <v>0</v>
      </c>
      <c r="E106">
        <f>SUMIFS(allorders!$O:$O,allorders!$L:$L,$A106,allorders!$AG:$AG,"&lt;="&amp;日期!$B$9,allorders!$AG:$AG,"&gt;="&amp;日期!$B$10,allorders!N:N,"Shipped")</f>
        <v>0</v>
      </c>
      <c r="F106">
        <f>SUMIFS(allorders!$O:$O,allorders!$L:$L,$A106,allorders!$AG:$AG,"&lt;="&amp;日期!$B$11,allorders!$AG:$AG,"&gt;="&amp;日期!$B$12,allorders!N:N,"Shipped")</f>
        <v>0</v>
      </c>
      <c r="G106" t="e">
        <f>SUMIFS(allorders!Q:Q,allorders!L:L,A106,allorders!AG:AG,"&lt;="&amp;日期!$B$5,allorders!AG:AG,"&gt;="&amp;日期!$B$12,allorders!N:N,"Shipped")/SUM(C106:F106)</f>
        <v>#DIV/0!</v>
      </c>
      <c r="H106">
        <f>SUMIFS(allorders!Q:Q,allorders!L:L,A106,allorders!AG:AG,"&gt;="&amp;日期!$B$12,allorders!AG:AG,"&lt;="&amp;日期!$B$5,allorders!N:N,"Shipped")</f>
        <v>0</v>
      </c>
      <c r="I106">
        <f t="shared" si="1"/>
        <v>0</v>
      </c>
    </row>
    <row r="107" spans="1:9">
      <c r="A107" s="7" t="s">
        <v>2865</v>
      </c>
      <c r="B107" t="str">
        <f>VLOOKUP(A107,'[1]子sku-父sku'!$A:$B,2,0)</f>
        <v>DOLL-007</v>
      </c>
      <c r="C107">
        <f>SUMIFS(allorders!O:O,allorders!L:L,$A107,allorders!AG:AG,"&lt;="&amp;日期!$B$5,allorders!AG:AG,"&gt;="&amp;日期!$B$6,allorders!N:N,"Shipped")</f>
        <v>0</v>
      </c>
      <c r="D107">
        <f>SUMIFS(allorders!$O:$O,allorders!$L:$L,$A107,allorders!$AG:$AG,"&lt;="&amp;日期!$B$7,allorders!$AG:$AG,"&gt;="&amp;日期!$B$8,allorders!N:N,"Shipped")</f>
        <v>0</v>
      </c>
      <c r="E107">
        <f>SUMIFS(allorders!$O:$O,allorders!$L:$L,$A107,allorders!$AG:$AG,"&lt;="&amp;日期!$B$9,allorders!$AG:$AG,"&gt;="&amp;日期!$B$10,allorders!N:N,"Shipped")</f>
        <v>0</v>
      </c>
      <c r="F107">
        <f>SUMIFS(allorders!$O:$O,allorders!$L:$L,$A107,allorders!$AG:$AG,"&lt;="&amp;日期!$B$11,allorders!$AG:$AG,"&gt;="&amp;日期!$B$12,allorders!N:N,"Shipped")</f>
        <v>0</v>
      </c>
      <c r="G107" t="e">
        <f>SUMIFS(allorders!Q:Q,allorders!L:L,A107,allorders!AG:AG,"&lt;="&amp;日期!$B$5,allorders!AG:AG,"&gt;="&amp;日期!$B$12,allorders!N:N,"Shipped")/SUM(C107:F107)</f>
        <v>#DIV/0!</v>
      </c>
      <c r="H107">
        <f>SUMIFS(allorders!Q:Q,allorders!L:L,A107,allorders!AG:AG,"&gt;="&amp;日期!$B$12,allorders!AG:AG,"&lt;="&amp;日期!$B$5,allorders!N:N,"Shipped")</f>
        <v>0</v>
      </c>
      <c r="I107">
        <f t="shared" si="1"/>
        <v>0</v>
      </c>
    </row>
    <row r="108" spans="1:9">
      <c r="A108" s="7" t="s">
        <v>2872</v>
      </c>
      <c r="B108" t="str">
        <f>VLOOKUP(A108,'[1]子sku-父sku'!$A:$B,2,0)</f>
        <v>DOLL-AD010</v>
      </c>
      <c r="C108">
        <f>SUMIFS(allorders!O:O,allorders!L:L,$A108,allorders!AG:AG,"&lt;="&amp;日期!$B$5,allorders!AG:AG,"&gt;="&amp;日期!$B$6,allorders!N:N,"Shipped")</f>
        <v>0</v>
      </c>
      <c r="D108">
        <f>SUMIFS(allorders!$O:$O,allorders!$L:$L,$A108,allorders!$AG:$AG,"&lt;="&amp;日期!$B$7,allorders!$AG:$AG,"&gt;="&amp;日期!$B$8,allorders!N:N,"Shipped")</f>
        <v>0</v>
      </c>
      <c r="E108">
        <f>SUMIFS(allorders!$O:$O,allorders!$L:$L,$A108,allorders!$AG:$AG,"&lt;="&amp;日期!$B$9,allorders!$AG:$AG,"&gt;="&amp;日期!$B$10,allorders!N:N,"Shipped")</f>
        <v>0</v>
      </c>
      <c r="F108">
        <f>SUMIFS(allorders!$O:$O,allorders!$L:$L,$A108,allorders!$AG:$AG,"&lt;="&amp;日期!$B$11,allorders!$AG:$AG,"&gt;="&amp;日期!$B$12,allorders!N:N,"Shipped")</f>
        <v>0</v>
      </c>
      <c r="G108" t="e">
        <f>SUMIFS(allorders!Q:Q,allorders!L:L,A108,allorders!AG:AG,"&lt;="&amp;日期!$B$5,allorders!AG:AG,"&gt;="&amp;日期!$B$12,allorders!N:N,"Shipped")/SUM(C108:F108)</f>
        <v>#DIV/0!</v>
      </c>
      <c r="H108">
        <f>SUMIFS(allorders!Q:Q,allorders!L:L,A108,allorders!AG:AG,"&gt;="&amp;日期!$B$12,allorders!AG:AG,"&lt;="&amp;日期!$B$5,allorders!N:N,"Shipped")</f>
        <v>0</v>
      </c>
      <c r="I108">
        <f t="shared" si="1"/>
        <v>0</v>
      </c>
    </row>
    <row r="109" spans="1:9">
      <c r="A109" s="7" t="s">
        <v>2883</v>
      </c>
      <c r="B109" t="str">
        <f>VLOOKUP(A109,'[1]子sku-父sku'!$A:$B,2,0)</f>
        <v>DOLL-1613</v>
      </c>
      <c r="C109">
        <f>SUMIFS(allorders!O:O,allorders!L:L,$A109,allorders!AG:AG,"&lt;="&amp;日期!$B$5,allorders!AG:AG,"&gt;="&amp;日期!$B$6,allorders!N:N,"Shipped")</f>
        <v>0</v>
      </c>
      <c r="D109">
        <f>SUMIFS(allorders!$O:$O,allorders!$L:$L,$A109,allorders!$AG:$AG,"&lt;="&amp;日期!$B$7,allorders!$AG:$AG,"&gt;="&amp;日期!$B$8,allorders!N:N,"Shipped")</f>
        <v>0</v>
      </c>
      <c r="E109">
        <f>SUMIFS(allorders!$O:$O,allorders!$L:$L,$A109,allorders!$AG:$AG,"&lt;="&amp;日期!$B$9,allorders!$AG:$AG,"&gt;="&amp;日期!$B$10,allorders!N:N,"Shipped")</f>
        <v>0</v>
      </c>
      <c r="F109">
        <f>SUMIFS(allorders!$O:$O,allorders!$L:$L,$A109,allorders!$AG:$AG,"&lt;="&amp;日期!$B$11,allorders!$AG:$AG,"&gt;="&amp;日期!$B$12,allorders!N:N,"Shipped")</f>
        <v>0</v>
      </c>
      <c r="G109" t="e">
        <f>SUMIFS(allorders!Q:Q,allorders!L:L,A109,allorders!AG:AG,"&lt;="&amp;日期!$B$5,allorders!AG:AG,"&gt;="&amp;日期!$B$12,allorders!N:N,"Shipped")/SUM(C109:F109)</f>
        <v>#DIV/0!</v>
      </c>
      <c r="H109">
        <f>SUMIFS(allorders!Q:Q,allorders!L:L,A109,allorders!AG:AG,"&gt;="&amp;日期!$B$12,allorders!AG:AG,"&lt;="&amp;日期!$B$5,allorders!N:N,"Shipped")</f>
        <v>0</v>
      </c>
      <c r="I109">
        <f t="shared" si="1"/>
        <v>0</v>
      </c>
    </row>
    <row r="110" spans="1:9">
      <c r="A110" s="7" t="s">
        <v>2929</v>
      </c>
      <c r="B110" t="str">
        <f>VLOOKUP(A110,'[1]子sku-父sku'!$A:$B,2,0)</f>
        <v>DO-YULQ639</v>
      </c>
      <c r="C110">
        <f>SUMIFS(allorders!O:O,allorders!L:L,$A110,allorders!AG:AG,"&lt;="&amp;日期!$B$5,allorders!AG:AG,"&gt;="&amp;日期!$B$6,allorders!N:N,"Shipped")</f>
        <v>1</v>
      </c>
      <c r="D110">
        <f>SUMIFS(allorders!$O:$O,allorders!$L:$L,$A110,allorders!$AG:$AG,"&lt;="&amp;日期!$B$7,allorders!$AG:$AG,"&gt;="&amp;日期!$B$8,allorders!N:N,"Shipped")</f>
        <v>1</v>
      </c>
      <c r="E110">
        <f>SUMIFS(allorders!$O:$O,allorders!$L:$L,$A110,allorders!$AG:$AG,"&lt;="&amp;日期!$B$9,allorders!$AG:$AG,"&gt;="&amp;日期!$B$10,allorders!N:N,"Shipped")</f>
        <v>0</v>
      </c>
      <c r="F110">
        <f>SUMIFS(allorders!$O:$O,allorders!$L:$L,$A110,allorders!$AG:$AG,"&lt;="&amp;日期!$B$11,allorders!$AG:$AG,"&gt;="&amp;日期!$B$12,allorders!N:N,"Shipped")</f>
        <v>0</v>
      </c>
      <c r="G110">
        <f>SUMIFS(allorders!Q:Q,allorders!L:L,A110,allorders!AG:AG,"&lt;="&amp;日期!$B$5,allorders!AG:AG,"&gt;="&amp;日期!$B$12,allorders!N:N,"Shipped")/SUM(C110:F110)</f>
        <v>99.99</v>
      </c>
      <c r="H110">
        <f>SUMIFS(allorders!Q:Q,allorders!L:L,A110,allorders!AG:AG,"&gt;="&amp;日期!$B$12,allorders!AG:AG,"&lt;="&amp;日期!$B$5,allorders!N:N,"Shipped")</f>
        <v>199.98</v>
      </c>
      <c r="I110">
        <f t="shared" si="1"/>
        <v>2</v>
      </c>
    </row>
    <row r="111" spans="1:9">
      <c r="A111" s="7" t="s">
        <v>2966</v>
      </c>
      <c r="B111" t="str">
        <f>VLOOKUP(A111,'[1]子sku-父sku'!$A:$B,2,0)</f>
        <v>DO-YULQ158</v>
      </c>
      <c r="C111">
        <f>SUMIFS(allorders!O:O,allorders!L:L,$A111,allorders!AG:AG,"&lt;="&amp;日期!$B$5,allorders!AG:AG,"&gt;="&amp;日期!$B$6,allorders!N:N,"Shipped")</f>
        <v>0</v>
      </c>
      <c r="D111">
        <f>SUMIFS(allorders!$O:$O,allorders!$L:$L,$A111,allorders!$AG:$AG,"&lt;="&amp;日期!$B$7,allorders!$AG:$AG,"&gt;="&amp;日期!$B$8,allorders!N:N,"Shipped")</f>
        <v>1</v>
      </c>
      <c r="E111">
        <f>SUMIFS(allorders!$O:$O,allorders!$L:$L,$A111,allorders!$AG:$AG,"&lt;="&amp;日期!$B$9,allorders!$AG:$AG,"&gt;="&amp;日期!$B$10,allorders!N:N,"Shipped")</f>
        <v>0</v>
      </c>
      <c r="F111">
        <f>SUMIFS(allorders!$O:$O,allorders!$L:$L,$A111,allorders!$AG:$AG,"&lt;="&amp;日期!$B$11,allorders!$AG:$AG,"&gt;="&amp;日期!$B$12,allorders!N:N,"Shipped")</f>
        <v>0</v>
      </c>
      <c r="G111">
        <f>SUMIFS(allorders!Q:Q,allorders!L:L,A111,allorders!AG:AG,"&lt;="&amp;日期!$B$5,allorders!AG:AG,"&gt;="&amp;日期!$B$12,allorders!N:N,"Shipped")/SUM(C111:F111)</f>
        <v>89.6</v>
      </c>
      <c r="H111">
        <f>SUMIFS(allorders!Q:Q,allorders!L:L,A111,allorders!AG:AG,"&gt;="&amp;日期!$B$12,allorders!AG:AG,"&lt;="&amp;日期!$B$5,allorders!N:N,"Shipped")</f>
        <v>89.6</v>
      </c>
      <c r="I111">
        <f t="shared" si="1"/>
        <v>1</v>
      </c>
    </row>
    <row r="112" spans="1:9">
      <c r="A112" s="7" t="s">
        <v>2987</v>
      </c>
      <c r="B112" t="str">
        <f>VLOOKUP(A112,'[1]子sku-父sku'!$A:$B,2,0)</f>
        <v>DO-YULQ720</v>
      </c>
      <c r="C112">
        <f>SUMIFS(allorders!O:O,allorders!L:L,$A112,allorders!AG:AG,"&lt;="&amp;日期!$B$5,allorders!AG:AG,"&gt;="&amp;日期!$B$6,allorders!N:N,"Shipped")</f>
        <v>0</v>
      </c>
      <c r="D112">
        <f>SUMIFS(allorders!$O:$O,allorders!$L:$L,$A112,allorders!$AG:$AG,"&lt;="&amp;日期!$B$7,allorders!$AG:$AG,"&gt;="&amp;日期!$B$8,allorders!N:N,"Shipped")</f>
        <v>2</v>
      </c>
      <c r="E112">
        <f>SUMIFS(allorders!$O:$O,allorders!$L:$L,$A112,allorders!$AG:$AG,"&lt;="&amp;日期!$B$9,allorders!$AG:$AG,"&gt;="&amp;日期!$B$10,allorders!N:N,"Shipped")</f>
        <v>0</v>
      </c>
      <c r="F112">
        <f>SUMIFS(allorders!$O:$O,allorders!$L:$L,$A112,allorders!$AG:$AG,"&lt;="&amp;日期!$B$11,allorders!$AG:$AG,"&gt;="&amp;日期!$B$12,allorders!N:N,"Shipped")</f>
        <v>0</v>
      </c>
      <c r="G112">
        <f>SUMIFS(allorders!Q:Q,allorders!L:L,A112,allorders!AG:AG,"&lt;="&amp;日期!$B$5,allorders!AG:AG,"&gt;="&amp;日期!$B$12,allorders!N:N,"Shipped")/SUM(C112:F112)</f>
        <v>109.99</v>
      </c>
      <c r="H112">
        <f>SUMIFS(allorders!Q:Q,allorders!L:L,A112,allorders!AG:AG,"&gt;="&amp;日期!$B$12,allorders!AG:AG,"&lt;="&amp;日期!$B$5,allorders!N:N,"Shipped")</f>
        <v>219.98</v>
      </c>
      <c r="I112">
        <f t="shared" si="1"/>
        <v>2</v>
      </c>
    </row>
    <row r="113" spans="1:9">
      <c r="A113" s="7" t="s">
        <v>3045</v>
      </c>
      <c r="B113" t="str">
        <f>VLOOKUP(A113,'[1]子sku-父sku'!$A:$B,2,0)</f>
        <v>DO-YULQ170</v>
      </c>
      <c r="C113">
        <f>SUMIFS(allorders!O:O,allorders!L:L,$A113,allorders!AG:AG,"&lt;="&amp;日期!$B$5,allorders!AG:AG,"&gt;="&amp;日期!$B$6,allorders!N:N,"Shipped")</f>
        <v>0</v>
      </c>
      <c r="D113">
        <f>SUMIFS(allorders!$O:$O,allorders!$L:$L,$A113,allorders!$AG:$AG,"&lt;="&amp;日期!$B$7,allorders!$AG:$AG,"&gt;="&amp;日期!$B$8,allorders!N:N,"Shipped")</f>
        <v>1</v>
      </c>
      <c r="E113">
        <f>SUMIFS(allorders!$O:$O,allorders!$L:$L,$A113,allorders!$AG:$AG,"&lt;="&amp;日期!$B$9,allorders!$AG:$AG,"&gt;="&amp;日期!$B$10,allorders!N:N,"Shipped")</f>
        <v>0</v>
      </c>
      <c r="F113">
        <f>SUMIFS(allorders!$O:$O,allorders!$L:$L,$A113,allorders!$AG:$AG,"&lt;="&amp;日期!$B$11,allorders!$AG:$AG,"&gt;="&amp;日期!$B$12,allorders!N:N,"Shipped")</f>
        <v>0</v>
      </c>
      <c r="G113">
        <f>SUMIFS(allorders!Q:Q,allorders!L:L,A113,allorders!AG:AG,"&lt;="&amp;日期!$B$5,allorders!AG:AG,"&gt;="&amp;日期!$B$12,allorders!N:N,"Shipped")/SUM(C113:F113)</f>
        <v>118.99</v>
      </c>
      <c r="H113">
        <f>SUMIFS(allorders!Q:Q,allorders!L:L,A113,allorders!AG:AG,"&gt;="&amp;日期!$B$12,allorders!AG:AG,"&lt;="&amp;日期!$B$5,allorders!N:N,"Shipped")</f>
        <v>118.99</v>
      </c>
      <c r="I113">
        <f t="shared" si="1"/>
        <v>1</v>
      </c>
    </row>
    <row r="114" spans="1:9">
      <c r="A114" s="7" t="s">
        <v>3185</v>
      </c>
      <c r="B114" t="str">
        <f>VLOOKUP(A114,'[1]子sku-父sku'!$A:$B,2,0)</f>
        <v>DO-YULQ002</v>
      </c>
      <c r="C114">
        <f>SUMIFS(allorders!O:O,allorders!L:L,$A114,allorders!AG:AG,"&lt;="&amp;日期!$B$5,allorders!AG:AG,"&gt;="&amp;日期!$B$6,allorders!N:N,"Shipped")</f>
        <v>0</v>
      </c>
      <c r="D114">
        <f>SUMIFS(allorders!$O:$O,allorders!$L:$L,$A114,allorders!$AG:$AG,"&lt;="&amp;日期!$B$7,allorders!$AG:$AG,"&gt;="&amp;日期!$B$8,allorders!N:N,"Shipped")</f>
        <v>2</v>
      </c>
      <c r="E114">
        <f>SUMIFS(allorders!$O:$O,allorders!$L:$L,$A114,allorders!$AG:$AG,"&lt;="&amp;日期!$B$9,allorders!$AG:$AG,"&gt;="&amp;日期!$B$10,allorders!N:N,"Shipped")</f>
        <v>0</v>
      </c>
      <c r="F114">
        <f>SUMIFS(allorders!$O:$O,allorders!$L:$L,$A114,allorders!$AG:$AG,"&lt;="&amp;日期!$B$11,allorders!$AG:$AG,"&gt;="&amp;日期!$B$12,allorders!N:N,"Shipped")</f>
        <v>0</v>
      </c>
      <c r="G114">
        <f>SUMIFS(allorders!Q:Q,allorders!L:L,A114,allorders!AG:AG,"&lt;="&amp;日期!$B$5,allorders!AG:AG,"&gt;="&amp;日期!$B$12,allorders!N:N,"Shipped")/SUM(C114:F114)</f>
        <v>59.99</v>
      </c>
      <c r="H114">
        <f>SUMIFS(allorders!Q:Q,allorders!L:L,A114,allorders!AG:AG,"&gt;="&amp;日期!$B$12,allorders!AG:AG,"&lt;="&amp;日期!$B$5,allorders!N:N,"Shipped")</f>
        <v>119.98</v>
      </c>
      <c r="I114">
        <f t="shared" si="1"/>
        <v>2</v>
      </c>
    </row>
    <row r="115" spans="1:9">
      <c r="A115" s="7" t="s">
        <v>3228</v>
      </c>
      <c r="B115" t="str">
        <f>VLOOKUP(A115,'[1]子sku-父sku'!$A:$B,2,0)</f>
        <v>DO-YULQ042</v>
      </c>
      <c r="C115">
        <f>SUMIFS(allorders!O:O,allorders!L:L,$A115,allorders!AG:AG,"&lt;="&amp;日期!$B$5,allorders!AG:AG,"&gt;="&amp;日期!$B$6,allorders!N:N,"Shipped")</f>
        <v>1</v>
      </c>
      <c r="D115">
        <f>SUMIFS(allorders!$O:$O,allorders!$L:$L,$A115,allorders!$AG:$AG,"&lt;="&amp;日期!$B$7,allorders!$AG:$AG,"&gt;="&amp;日期!$B$8,allorders!N:N,"Shipped")</f>
        <v>0</v>
      </c>
      <c r="E115">
        <f>SUMIFS(allorders!$O:$O,allorders!$L:$L,$A115,allorders!$AG:$AG,"&lt;="&amp;日期!$B$9,allorders!$AG:$AG,"&gt;="&amp;日期!$B$10,allorders!N:N,"Shipped")</f>
        <v>0</v>
      </c>
      <c r="F115">
        <f>SUMIFS(allorders!$O:$O,allorders!$L:$L,$A115,allorders!$AG:$AG,"&lt;="&amp;日期!$B$11,allorders!$AG:$AG,"&gt;="&amp;日期!$B$12,allorders!N:N,"Shipped")</f>
        <v>0</v>
      </c>
      <c r="G115">
        <f>SUMIFS(allorders!Q:Q,allorders!L:L,A115,allorders!AG:AG,"&lt;="&amp;日期!$B$5,allorders!AG:AG,"&gt;="&amp;日期!$B$12,allorders!N:N,"Shipped")/SUM(C115:F115)</f>
        <v>89.99</v>
      </c>
      <c r="H115">
        <f>SUMIFS(allorders!Q:Q,allorders!L:L,A115,allorders!AG:AG,"&gt;="&amp;日期!$B$12,allorders!AG:AG,"&lt;="&amp;日期!$B$5,allorders!N:N,"Shipped")</f>
        <v>89.99</v>
      </c>
      <c r="I115">
        <f t="shared" si="1"/>
        <v>1</v>
      </c>
    </row>
    <row r="116" spans="1:9">
      <c r="A116" s="7" t="s">
        <v>3251</v>
      </c>
      <c r="B116" t="str">
        <f>VLOOKUP(A116,'[1]子sku-父sku'!$A:$B,2,0)</f>
        <v>DO-YULQ105</v>
      </c>
      <c r="C116">
        <f>SUMIFS(allorders!O:O,allorders!L:L,$A116,allorders!AG:AG,"&lt;="&amp;日期!$B$5,allorders!AG:AG,"&gt;="&amp;日期!$B$6,allorders!N:N,"Shipped")</f>
        <v>1</v>
      </c>
      <c r="D116">
        <f>SUMIFS(allorders!$O:$O,allorders!$L:$L,$A116,allorders!$AG:$AG,"&lt;="&amp;日期!$B$7,allorders!$AG:$AG,"&gt;="&amp;日期!$B$8,allorders!N:N,"Shipped")</f>
        <v>2</v>
      </c>
      <c r="E116">
        <f>SUMIFS(allorders!$O:$O,allorders!$L:$L,$A116,allorders!$AG:$AG,"&lt;="&amp;日期!$B$9,allorders!$AG:$AG,"&gt;="&amp;日期!$B$10,allorders!N:N,"Shipped")</f>
        <v>0</v>
      </c>
      <c r="F116">
        <f>SUMIFS(allorders!$O:$O,allorders!$L:$L,$A116,allorders!$AG:$AG,"&lt;="&amp;日期!$B$11,allorders!$AG:$AG,"&gt;="&amp;日期!$B$12,allorders!N:N,"Shipped")</f>
        <v>0</v>
      </c>
      <c r="G116">
        <f>SUMIFS(allorders!Q:Q,allorders!L:L,A116,allorders!AG:AG,"&lt;="&amp;日期!$B$5,allorders!AG:AG,"&gt;="&amp;日期!$B$12,allorders!N:N,"Shipped")/SUM(C116:F116)</f>
        <v>69.99</v>
      </c>
      <c r="H116">
        <f>SUMIFS(allorders!Q:Q,allorders!L:L,A116,allorders!AG:AG,"&gt;="&amp;日期!$B$12,allorders!AG:AG,"&lt;="&amp;日期!$B$5,allorders!N:N,"Shipped")</f>
        <v>209.97</v>
      </c>
      <c r="I116">
        <f t="shared" si="1"/>
        <v>3</v>
      </c>
    </row>
    <row r="117" spans="1:9">
      <c r="A117" s="7" t="s">
        <v>3344</v>
      </c>
      <c r="B117" t="str">
        <f>VLOOKUP(A117,'[1]子sku-父sku'!$A:$B,2,0)</f>
        <v>YF-YULQ162</v>
      </c>
      <c r="C117">
        <f>SUMIFS(allorders!O:O,allorders!L:L,$A117,allorders!AG:AG,"&lt;="&amp;日期!$B$5,allorders!AG:AG,"&gt;="&amp;日期!$B$6,allorders!N:N,"Shipped")</f>
        <v>0</v>
      </c>
      <c r="D117">
        <f>SUMIFS(allorders!$O:$O,allorders!$L:$L,$A117,allorders!$AG:$AG,"&lt;="&amp;日期!$B$7,allorders!$AG:$AG,"&gt;="&amp;日期!$B$8,allorders!N:N,"Shipped")</f>
        <v>1</v>
      </c>
      <c r="E117">
        <f>SUMIFS(allorders!$O:$O,allorders!$L:$L,$A117,allorders!$AG:$AG,"&lt;="&amp;日期!$B$9,allorders!$AG:$AG,"&gt;="&amp;日期!$B$10,allorders!N:N,"Shipped")</f>
        <v>0</v>
      </c>
      <c r="F117">
        <f>SUMIFS(allorders!$O:$O,allorders!$L:$L,$A117,allorders!$AG:$AG,"&lt;="&amp;日期!$B$11,allorders!$AG:$AG,"&gt;="&amp;日期!$B$12,allorders!N:N,"Shipped")</f>
        <v>0</v>
      </c>
      <c r="G117">
        <f>SUMIFS(allorders!Q:Q,allorders!L:L,A117,allorders!AG:AG,"&lt;="&amp;日期!$B$5,allorders!AG:AG,"&gt;="&amp;日期!$B$12,allorders!N:N,"Shipped")/SUM(C117:F117)</f>
        <v>21.99</v>
      </c>
      <c r="H117">
        <f>SUMIFS(allorders!Q:Q,allorders!L:L,A117,allorders!AG:AG,"&gt;="&amp;日期!$B$12,allorders!AG:AG,"&lt;="&amp;日期!$B$5,allorders!N:N,"Shipped")</f>
        <v>21.99</v>
      </c>
      <c r="I117">
        <f t="shared" si="1"/>
        <v>1</v>
      </c>
    </row>
    <row r="118" spans="1:9">
      <c r="A118" s="7" t="s">
        <v>3421</v>
      </c>
      <c r="B118" t="str">
        <f>VLOOKUP(A118,'[1]子sku-父sku'!$A:$B,2,0)</f>
        <v>DO-YULQ701</v>
      </c>
      <c r="C118">
        <f>SUMIFS(allorders!O:O,allorders!L:L,$A118,allorders!AG:AG,"&lt;="&amp;日期!$B$5,allorders!AG:AG,"&gt;="&amp;日期!$B$6,allorders!N:N,"Shipped")</f>
        <v>1</v>
      </c>
      <c r="D118">
        <f>SUMIFS(allorders!$O:$O,allorders!$L:$L,$A118,allorders!$AG:$AG,"&lt;="&amp;日期!$B$7,allorders!$AG:$AG,"&gt;="&amp;日期!$B$8,allorders!N:N,"Shipped")</f>
        <v>2</v>
      </c>
      <c r="E118">
        <f>SUMIFS(allorders!$O:$O,allorders!$L:$L,$A118,allorders!$AG:$AG,"&lt;="&amp;日期!$B$9,allorders!$AG:$AG,"&gt;="&amp;日期!$B$10,allorders!N:N,"Shipped")</f>
        <v>0</v>
      </c>
      <c r="F118">
        <f>SUMIFS(allorders!$O:$O,allorders!$L:$L,$A118,allorders!$AG:$AG,"&lt;="&amp;日期!$B$11,allorders!$AG:$AG,"&gt;="&amp;日期!$B$12,allorders!N:N,"Shipped")</f>
        <v>0</v>
      </c>
      <c r="G118">
        <f>SUMIFS(allorders!Q:Q,allorders!L:L,A118,allorders!AG:AG,"&lt;="&amp;日期!$B$5,allorders!AG:AG,"&gt;="&amp;日期!$B$12,allorders!N:N,"Shipped")/SUM(C118:F118)</f>
        <v>92.99</v>
      </c>
      <c r="H118">
        <f>SUMIFS(allorders!Q:Q,allorders!L:L,A118,allorders!AG:AG,"&gt;="&amp;日期!$B$12,allorders!AG:AG,"&lt;="&amp;日期!$B$5,allorders!N:N,"Shipped")</f>
        <v>278.97</v>
      </c>
      <c r="I118">
        <f t="shared" si="1"/>
        <v>3</v>
      </c>
    </row>
    <row r="119" spans="1:9">
      <c r="A119" s="7" t="s">
        <v>3437</v>
      </c>
      <c r="B119" t="str">
        <f>VLOOKUP(A119,'[1]子sku-父sku'!$A:$B,2,0)</f>
        <v>DO-YULQ039</v>
      </c>
      <c r="C119">
        <f>SUMIFS(allorders!O:O,allorders!L:L,$A119,allorders!AG:AG,"&lt;="&amp;日期!$B$5,allorders!AG:AG,"&gt;="&amp;日期!$B$6,allorders!N:N,"Shipped")</f>
        <v>0</v>
      </c>
      <c r="D119">
        <f>SUMIFS(allorders!$O:$O,allorders!$L:$L,$A119,allorders!$AG:$AG,"&lt;="&amp;日期!$B$7,allorders!$AG:$AG,"&gt;="&amp;日期!$B$8,allorders!N:N,"Shipped")</f>
        <v>1</v>
      </c>
      <c r="E119">
        <f>SUMIFS(allorders!$O:$O,allorders!$L:$L,$A119,allorders!$AG:$AG,"&lt;="&amp;日期!$B$9,allorders!$AG:$AG,"&gt;="&amp;日期!$B$10,allorders!N:N,"Shipped")</f>
        <v>0</v>
      </c>
      <c r="F119">
        <f>SUMIFS(allorders!$O:$O,allorders!$L:$L,$A119,allorders!$AG:$AG,"&lt;="&amp;日期!$B$11,allorders!$AG:$AG,"&gt;="&amp;日期!$B$12,allorders!N:N,"Shipped")</f>
        <v>0</v>
      </c>
      <c r="G119">
        <f>SUMIFS(allorders!Q:Q,allorders!L:L,A119,allorders!AG:AG,"&lt;="&amp;日期!$B$5,allorders!AG:AG,"&gt;="&amp;日期!$B$12,allorders!N:N,"Shipped")/SUM(C119:F119)</f>
        <v>118.99</v>
      </c>
      <c r="H119">
        <f>SUMIFS(allorders!Q:Q,allorders!L:L,A119,allorders!AG:AG,"&gt;="&amp;日期!$B$12,allorders!AG:AG,"&lt;="&amp;日期!$B$5,allorders!N:N,"Shipped")</f>
        <v>118.99</v>
      </c>
      <c r="I119">
        <f t="shared" si="1"/>
        <v>1</v>
      </c>
    </row>
    <row r="120" spans="1:9">
      <c r="A120" s="7" t="s">
        <v>3450</v>
      </c>
      <c r="B120" t="str">
        <f>VLOOKUP(A120,'[1]子sku-父sku'!$A:$B,2,0)</f>
        <v>DO-YULQ061</v>
      </c>
      <c r="C120">
        <f>SUMIFS(allorders!O:O,allorders!L:L,$A120,allorders!AG:AG,"&lt;="&amp;日期!$B$5,allorders!AG:AG,"&gt;="&amp;日期!$B$6,allorders!N:N,"Shipped")</f>
        <v>1</v>
      </c>
      <c r="D120">
        <f>SUMIFS(allorders!$O:$O,allorders!$L:$L,$A120,allorders!$AG:$AG,"&lt;="&amp;日期!$B$7,allorders!$AG:$AG,"&gt;="&amp;日期!$B$8,allorders!N:N,"Shipped")</f>
        <v>3</v>
      </c>
      <c r="E120">
        <f>SUMIFS(allorders!$O:$O,allorders!$L:$L,$A120,allorders!$AG:$AG,"&lt;="&amp;日期!$B$9,allorders!$AG:$AG,"&gt;="&amp;日期!$B$10,allorders!N:N,"Shipped")</f>
        <v>0</v>
      </c>
      <c r="F120">
        <f>SUMIFS(allorders!$O:$O,allorders!$L:$L,$A120,allorders!$AG:$AG,"&lt;="&amp;日期!$B$11,allorders!$AG:$AG,"&gt;="&amp;日期!$B$12,allorders!N:N,"Shipped")</f>
        <v>0</v>
      </c>
      <c r="G120">
        <f>SUMIFS(allorders!Q:Q,allorders!L:L,A120,allorders!AG:AG,"&lt;="&amp;日期!$B$5,allorders!AG:AG,"&gt;="&amp;日期!$B$12,allorders!N:N,"Shipped")/SUM(C120:F120)</f>
        <v>104.99</v>
      </c>
      <c r="H120">
        <f>SUMIFS(allorders!Q:Q,allorders!L:L,A120,allorders!AG:AG,"&gt;="&amp;日期!$B$12,allorders!AG:AG,"&lt;="&amp;日期!$B$5,allorders!N:N,"Shipped")</f>
        <v>419.96</v>
      </c>
      <c r="I120">
        <f t="shared" si="1"/>
        <v>4</v>
      </c>
    </row>
    <row r="121" spans="1:9">
      <c r="A121" s="7" t="s">
        <v>3530</v>
      </c>
      <c r="B121" t="str">
        <f>VLOOKUP(A121,'[1]子sku-父sku'!$A:$B,2,0)</f>
        <v>DO-YULQ200</v>
      </c>
      <c r="C121">
        <f>SUMIFS(allorders!O:O,allorders!L:L,$A121,allorders!AG:AG,"&lt;="&amp;日期!$B$5,allorders!AG:AG,"&gt;="&amp;日期!$B$6,allorders!N:N,"Shipped")</f>
        <v>0</v>
      </c>
      <c r="D121">
        <f>SUMIFS(allorders!$O:$O,allorders!$L:$L,$A121,allorders!$AG:$AG,"&lt;="&amp;日期!$B$7,allorders!$AG:$AG,"&gt;="&amp;日期!$B$8,allorders!N:N,"Shipped")</f>
        <v>1</v>
      </c>
      <c r="E121">
        <f>SUMIFS(allorders!$O:$O,allorders!$L:$L,$A121,allorders!$AG:$AG,"&lt;="&amp;日期!$B$9,allorders!$AG:$AG,"&gt;="&amp;日期!$B$10,allorders!N:N,"Shipped")</f>
        <v>0</v>
      </c>
      <c r="F121">
        <f>SUMIFS(allorders!$O:$O,allorders!$L:$L,$A121,allorders!$AG:$AG,"&lt;="&amp;日期!$B$11,allorders!$AG:$AG,"&gt;="&amp;日期!$B$12,allorders!N:N,"Shipped")</f>
        <v>0</v>
      </c>
      <c r="G121">
        <f>SUMIFS(allorders!Q:Q,allorders!L:L,A121,allorders!AG:AG,"&lt;="&amp;日期!$B$5,allorders!AG:AG,"&gt;="&amp;日期!$B$12,allorders!N:N,"Shipped")/SUM(C121:F121)</f>
        <v>32.99</v>
      </c>
      <c r="H121">
        <f>SUMIFS(allorders!Q:Q,allorders!L:L,A121,allorders!AG:AG,"&gt;="&amp;日期!$B$12,allorders!AG:AG,"&lt;="&amp;日期!$B$5,allorders!N:N,"Shipped")</f>
        <v>32.99</v>
      </c>
      <c r="I121">
        <f t="shared" si="1"/>
        <v>1</v>
      </c>
    </row>
    <row r="122" spans="1:9">
      <c r="A122" s="7" t="s">
        <v>3562</v>
      </c>
      <c r="B122" t="str">
        <f>VLOOKUP(A122,'[1]子sku-父sku'!$A:$B,2,0)</f>
        <v>DO-YULQ719</v>
      </c>
      <c r="C122">
        <f>SUMIFS(allorders!O:O,allorders!L:L,$A122,allorders!AG:AG,"&lt;="&amp;日期!$B$5,allorders!AG:AG,"&gt;="&amp;日期!$B$6,allorders!N:N,"Shipped")</f>
        <v>0</v>
      </c>
      <c r="D122">
        <f>SUMIFS(allorders!$O:$O,allorders!$L:$L,$A122,allorders!$AG:$AG,"&lt;="&amp;日期!$B$7,allorders!$AG:$AG,"&gt;="&amp;日期!$B$8,allorders!N:N,"Shipped")</f>
        <v>1</v>
      </c>
      <c r="E122">
        <f>SUMIFS(allorders!$O:$O,allorders!$L:$L,$A122,allorders!$AG:$AG,"&lt;="&amp;日期!$B$9,allorders!$AG:$AG,"&gt;="&amp;日期!$B$10,allorders!N:N,"Shipped")</f>
        <v>0</v>
      </c>
      <c r="F122">
        <f>SUMIFS(allorders!$O:$O,allorders!$L:$L,$A122,allorders!$AG:$AG,"&lt;="&amp;日期!$B$11,allorders!$AG:$AG,"&gt;="&amp;日期!$B$12,allorders!N:N,"Shipped")</f>
        <v>0</v>
      </c>
      <c r="G122">
        <f>SUMIFS(allorders!Q:Q,allorders!L:L,A122,allorders!AG:AG,"&lt;="&amp;日期!$B$5,allorders!AG:AG,"&gt;="&amp;日期!$B$12,allorders!N:N,"Shipped")/SUM(C122:F122)</f>
        <v>79.99</v>
      </c>
      <c r="H122">
        <f>SUMIFS(allorders!Q:Q,allorders!L:L,A122,allorders!AG:AG,"&gt;="&amp;日期!$B$12,allorders!AG:AG,"&lt;="&amp;日期!$B$5,allorders!N:N,"Shipped")</f>
        <v>79.99</v>
      </c>
      <c r="I122">
        <f t="shared" si="1"/>
        <v>1</v>
      </c>
    </row>
    <row r="123" spans="1:9">
      <c r="A123" s="7" t="s">
        <v>3661</v>
      </c>
      <c r="B123" t="str">
        <f>VLOOKUP(A123,'[1]子sku-父sku'!$A:$B,2,0)</f>
        <v>DO-YULQ150</v>
      </c>
      <c r="C123">
        <f>SUMIFS(allorders!O:O,allorders!L:L,$A123,allorders!AG:AG,"&lt;="&amp;日期!$B$5,allorders!AG:AG,"&gt;="&amp;日期!$B$6,allorders!N:N,"Shipped")</f>
        <v>1</v>
      </c>
      <c r="D123">
        <f>SUMIFS(allorders!$O:$O,allorders!$L:$L,$A123,allorders!$AG:$AG,"&lt;="&amp;日期!$B$7,allorders!$AG:$AG,"&gt;="&amp;日期!$B$8,allorders!N:N,"Shipped")</f>
        <v>1</v>
      </c>
      <c r="E123">
        <f>SUMIFS(allorders!$O:$O,allorders!$L:$L,$A123,allorders!$AG:$AG,"&lt;="&amp;日期!$B$9,allorders!$AG:$AG,"&gt;="&amp;日期!$B$10,allorders!N:N,"Shipped")</f>
        <v>0</v>
      </c>
      <c r="F123">
        <f>SUMIFS(allorders!$O:$O,allorders!$L:$L,$A123,allorders!$AG:$AG,"&lt;="&amp;日期!$B$11,allorders!$AG:$AG,"&gt;="&amp;日期!$B$12,allorders!N:N,"Shipped")</f>
        <v>0</v>
      </c>
      <c r="G123">
        <f>SUMIFS(allorders!Q:Q,allorders!L:L,A123,allorders!AG:AG,"&lt;="&amp;日期!$B$5,allorders!AG:AG,"&gt;="&amp;日期!$B$12,allorders!N:N,"Shipped")/SUM(C123:F123)</f>
        <v>99.99</v>
      </c>
      <c r="H123">
        <f>SUMIFS(allorders!Q:Q,allorders!L:L,A123,allorders!AG:AG,"&gt;="&amp;日期!$B$12,allorders!AG:AG,"&lt;="&amp;日期!$B$5,allorders!N:N,"Shipped")</f>
        <v>199.98</v>
      </c>
      <c r="I123">
        <f t="shared" si="1"/>
        <v>2</v>
      </c>
    </row>
    <row r="124" spans="1:9">
      <c r="A124" s="7" t="s">
        <v>3858</v>
      </c>
      <c r="B124" t="str">
        <f>VLOOKUP(A124,'[1]子sku-父sku'!$A:$B,2,0)</f>
        <v>DO-YULQ504</v>
      </c>
      <c r="C124">
        <f>SUMIFS(allorders!O:O,allorders!L:L,$A124,allorders!AG:AG,"&lt;="&amp;日期!$B$5,allorders!AG:AG,"&gt;="&amp;日期!$B$6,allorders!N:N,"Shipped")</f>
        <v>2</v>
      </c>
      <c r="D124">
        <f>SUMIFS(allorders!$O:$O,allorders!$L:$L,$A124,allorders!$AG:$AG,"&lt;="&amp;日期!$B$7,allorders!$AG:$AG,"&gt;="&amp;日期!$B$8,allorders!N:N,"Shipped")</f>
        <v>0</v>
      </c>
      <c r="E124">
        <f>SUMIFS(allorders!$O:$O,allorders!$L:$L,$A124,allorders!$AG:$AG,"&lt;="&amp;日期!$B$9,allorders!$AG:$AG,"&gt;="&amp;日期!$B$10,allorders!N:N,"Shipped")</f>
        <v>0</v>
      </c>
      <c r="F124">
        <f>SUMIFS(allorders!$O:$O,allorders!$L:$L,$A124,allorders!$AG:$AG,"&lt;="&amp;日期!$B$11,allorders!$AG:$AG,"&gt;="&amp;日期!$B$12,allorders!N:N,"Shipped")</f>
        <v>0</v>
      </c>
      <c r="G124">
        <f>SUMIFS(allorders!Q:Q,allorders!L:L,A124,allorders!AG:AG,"&lt;="&amp;日期!$B$5,allorders!AG:AG,"&gt;="&amp;日期!$B$12,allorders!N:N,"Shipped")/SUM(C124:F124)</f>
        <v>118.99</v>
      </c>
      <c r="H124">
        <f>SUMIFS(allorders!Q:Q,allorders!L:L,A124,allorders!AG:AG,"&gt;="&amp;日期!$B$12,allorders!AG:AG,"&lt;="&amp;日期!$B$5,allorders!N:N,"Shipped")</f>
        <v>237.98</v>
      </c>
      <c r="I124">
        <f t="shared" si="1"/>
        <v>2</v>
      </c>
    </row>
    <row r="125" spans="1:9">
      <c r="A125" s="7" t="s">
        <v>3956</v>
      </c>
      <c r="B125" t="str">
        <f>VLOOKUP(A125,'[1]子sku-父sku'!$A:$B,2,0)</f>
        <v>DO-YULQ705</v>
      </c>
      <c r="C125">
        <f>SUMIFS(allorders!O:O,allorders!L:L,$A125,allorders!AG:AG,"&lt;="&amp;日期!$B$5,allorders!AG:AG,"&gt;="&amp;日期!$B$6,allorders!N:N,"Shipped")</f>
        <v>2</v>
      </c>
      <c r="D125">
        <f>SUMIFS(allorders!$O:$O,allorders!$L:$L,$A125,allorders!$AG:$AG,"&lt;="&amp;日期!$B$7,allorders!$AG:$AG,"&gt;="&amp;日期!$B$8,allorders!N:N,"Shipped")</f>
        <v>0</v>
      </c>
      <c r="E125">
        <f>SUMIFS(allorders!$O:$O,allorders!$L:$L,$A125,allorders!$AG:$AG,"&lt;="&amp;日期!$B$9,allorders!$AG:$AG,"&gt;="&amp;日期!$B$10,allorders!N:N,"Shipped")</f>
        <v>0</v>
      </c>
      <c r="F125">
        <f>SUMIFS(allorders!$O:$O,allorders!$L:$L,$A125,allorders!$AG:$AG,"&lt;="&amp;日期!$B$11,allorders!$AG:$AG,"&gt;="&amp;日期!$B$12,allorders!N:N,"Shipped")</f>
        <v>0</v>
      </c>
      <c r="G125">
        <f>SUMIFS(allorders!Q:Q,allorders!L:L,A125,allorders!AG:AG,"&lt;="&amp;日期!$B$5,allorders!AG:AG,"&gt;="&amp;日期!$B$12,allorders!N:N,"Shipped")/SUM(C125:F125)</f>
        <v>34.99</v>
      </c>
      <c r="H125">
        <f>SUMIFS(allorders!Q:Q,allorders!L:L,A125,allorders!AG:AG,"&gt;="&amp;日期!$B$12,allorders!AG:AG,"&lt;="&amp;日期!$B$5,allorders!N:N,"Shipped")</f>
        <v>69.98</v>
      </c>
      <c r="I125">
        <f t="shared" si="1"/>
        <v>2</v>
      </c>
    </row>
    <row r="126" spans="1:9">
      <c r="A126" s="7" t="s">
        <v>4180</v>
      </c>
      <c r="B126" t="str">
        <f>VLOOKUP(A126,'[1]子sku-父sku'!$A:$B,2,0)</f>
        <v>DO-YULQ705</v>
      </c>
      <c r="C126">
        <f>SUMIFS(allorders!O:O,allorders!L:L,$A126,allorders!AG:AG,"&lt;="&amp;日期!$B$5,allorders!AG:AG,"&gt;="&amp;日期!$B$6,allorders!N:N,"Shipped")</f>
        <v>1</v>
      </c>
      <c r="D126">
        <f>SUMIFS(allorders!$O:$O,allorders!$L:$L,$A126,allorders!$AG:$AG,"&lt;="&amp;日期!$B$7,allorders!$AG:$AG,"&gt;="&amp;日期!$B$8,allorders!N:N,"Shipped")</f>
        <v>0</v>
      </c>
      <c r="E126">
        <f>SUMIFS(allorders!$O:$O,allorders!$L:$L,$A126,allorders!$AG:$AG,"&lt;="&amp;日期!$B$9,allorders!$AG:$AG,"&gt;="&amp;日期!$B$10,allorders!N:N,"Shipped")</f>
        <v>0</v>
      </c>
      <c r="F126">
        <f>SUMIFS(allorders!$O:$O,allorders!$L:$L,$A126,allorders!$AG:$AG,"&lt;="&amp;日期!$B$11,allorders!$AG:$AG,"&gt;="&amp;日期!$B$12,allorders!N:N,"Shipped")</f>
        <v>0</v>
      </c>
      <c r="G126">
        <f>SUMIFS(allorders!Q:Q,allorders!L:L,A126,allorders!AG:AG,"&lt;="&amp;日期!$B$5,allorders!AG:AG,"&gt;="&amp;日期!$B$12,allorders!N:N,"Shipped")/SUM(C126:F126)</f>
        <v>108.99</v>
      </c>
      <c r="H126">
        <f>SUMIFS(allorders!Q:Q,allorders!L:L,A126,allorders!AG:AG,"&gt;="&amp;日期!$B$12,allorders!AG:AG,"&lt;="&amp;日期!$B$5,allorders!N:N,"Shipped")</f>
        <v>108.99</v>
      </c>
      <c r="I126">
        <f t="shared" si="1"/>
        <v>1</v>
      </c>
    </row>
    <row r="127" spans="1:9">
      <c r="A127" s="7" t="s">
        <v>4377</v>
      </c>
      <c r="B127" t="str">
        <f>VLOOKUP(A127,'[1]子sku-父sku'!$A:$B,2,0)</f>
        <v>DOLL-005</v>
      </c>
      <c r="C127">
        <f>SUMIFS(allorders!O:O,allorders!L:L,$A127,allorders!AG:AG,"&lt;="&amp;日期!$B$5,allorders!AG:AG,"&gt;="&amp;日期!$B$6,allorders!N:N,"Shipped")</f>
        <v>1</v>
      </c>
      <c r="D127">
        <f>SUMIFS(allorders!$O:$O,allorders!$L:$L,$A127,allorders!$AG:$AG,"&lt;="&amp;日期!$B$7,allorders!$AG:$AG,"&gt;="&amp;日期!$B$8,allorders!N:N,"Shipped")</f>
        <v>0</v>
      </c>
      <c r="E127">
        <f>SUMIFS(allorders!$O:$O,allorders!$L:$L,$A127,allorders!$AG:$AG,"&lt;="&amp;日期!$B$9,allorders!$AG:$AG,"&gt;="&amp;日期!$B$10,allorders!N:N,"Shipped")</f>
        <v>0</v>
      </c>
      <c r="F127">
        <f>SUMIFS(allorders!$O:$O,allorders!$L:$L,$A127,allorders!$AG:$AG,"&lt;="&amp;日期!$B$11,allorders!$AG:$AG,"&gt;="&amp;日期!$B$12,allorders!N:N,"Shipped")</f>
        <v>0</v>
      </c>
      <c r="G127">
        <f>SUMIFS(allorders!Q:Q,allorders!L:L,A127,allorders!AG:AG,"&lt;="&amp;日期!$B$5,allorders!AG:AG,"&gt;="&amp;日期!$B$12,allorders!N:N,"Shipped")/SUM(C127:F127)</f>
        <v>26.99</v>
      </c>
      <c r="H127">
        <f>SUMIFS(allorders!Q:Q,allorders!L:L,A127,allorders!AG:AG,"&gt;="&amp;日期!$B$12,allorders!AG:AG,"&lt;="&amp;日期!$B$5,allorders!N:N,"Shipped")</f>
        <v>26.99</v>
      </c>
      <c r="I127">
        <f t="shared" si="1"/>
        <v>1</v>
      </c>
    </row>
    <row r="128" spans="1:9">
      <c r="A128" s="7" t="s">
        <v>4525</v>
      </c>
      <c r="B128" t="str">
        <f>VLOOKUP(A128,'[1]子sku-父sku'!$A:$B,2,0)</f>
        <v>DO-YULQ507</v>
      </c>
      <c r="C128">
        <f>SUMIFS(allorders!O:O,allorders!L:L,$A128,allorders!AG:AG,"&lt;="&amp;日期!$B$5,allorders!AG:AG,"&gt;="&amp;日期!$B$6,allorders!N:N,"Shipped")</f>
        <v>1</v>
      </c>
      <c r="D128">
        <f>SUMIFS(allorders!$O:$O,allorders!$L:$L,$A128,allorders!$AG:$AG,"&lt;="&amp;日期!$B$7,allorders!$AG:$AG,"&gt;="&amp;日期!$B$8,allorders!N:N,"Shipped")</f>
        <v>0</v>
      </c>
      <c r="E128">
        <f>SUMIFS(allorders!$O:$O,allorders!$L:$L,$A128,allorders!$AG:$AG,"&lt;="&amp;日期!$B$9,allorders!$AG:$AG,"&gt;="&amp;日期!$B$10,allorders!N:N,"Shipped")</f>
        <v>0</v>
      </c>
      <c r="F128">
        <f>SUMIFS(allorders!$O:$O,allorders!$L:$L,$A128,allorders!$AG:$AG,"&lt;="&amp;日期!$B$11,allorders!$AG:$AG,"&gt;="&amp;日期!$B$12,allorders!N:N,"Shipped")</f>
        <v>0</v>
      </c>
      <c r="G128">
        <f>SUMIFS(allorders!Q:Q,allorders!L:L,A128,allorders!AG:AG,"&lt;="&amp;日期!$B$5,allorders!AG:AG,"&gt;="&amp;日期!$B$12,allorders!N:N,"Shipped")/SUM(C128:F128)</f>
        <v>99.9</v>
      </c>
      <c r="H128">
        <f>SUMIFS(allorders!Q:Q,allorders!L:L,A128,allorders!AG:AG,"&gt;="&amp;日期!$B$12,allorders!AG:AG,"&lt;="&amp;日期!$B$5,allorders!N:N,"Shipped")</f>
        <v>99.9</v>
      </c>
      <c r="I128">
        <f t="shared" si="1"/>
        <v>1</v>
      </c>
    </row>
    <row r="129" spans="1:9">
      <c r="A129" s="7" t="s">
        <v>4637</v>
      </c>
      <c r="B129" t="str">
        <f>VLOOKUP(A129,'[1]子sku-父sku'!$A:$B,2,0)</f>
        <v>DO-YULQ200</v>
      </c>
      <c r="C129">
        <f>SUMIFS(allorders!O:O,allorders!L:L,$A129,allorders!AG:AG,"&lt;="&amp;日期!$B$5,allorders!AG:AG,"&gt;="&amp;日期!$B$6,allorders!N:N,"Shipped")</f>
        <v>1</v>
      </c>
      <c r="D129">
        <f>SUMIFS(allorders!$O:$O,allorders!$L:$L,$A129,allorders!$AG:$AG,"&lt;="&amp;日期!$B$7,allorders!$AG:$AG,"&gt;="&amp;日期!$B$8,allorders!N:N,"Shipped")</f>
        <v>0</v>
      </c>
      <c r="E129">
        <f>SUMIFS(allorders!$O:$O,allorders!$L:$L,$A129,allorders!$AG:$AG,"&lt;="&amp;日期!$B$9,allorders!$AG:$AG,"&gt;="&amp;日期!$B$10,allorders!N:N,"Shipped")</f>
        <v>0</v>
      </c>
      <c r="F129">
        <f>SUMIFS(allorders!$O:$O,allorders!$L:$L,$A129,allorders!$AG:$AG,"&lt;="&amp;日期!$B$11,allorders!$AG:$AG,"&gt;="&amp;日期!$B$12,allorders!N:N,"Shipped")</f>
        <v>0</v>
      </c>
      <c r="G129">
        <f>SUMIFS(allorders!Q:Q,allorders!L:L,A129,allorders!AG:AG,"&lt;="&amp;日期!$B$5,allorders!AG:AG,"&gt;="&amp;日期!$B$12,allorders!N:N,"Shipped")/SUM(C129:F129)</f>
        <v>32.99</v>
      </c>
      <c r="H129">
        <f>SUMIFS(allorders!Q:Q,allorders!L:L,A129,allorders!AG:AG,"&gt;="&amp;日期!$B$12,allorders!AG:AG,"&lt;="&amp;日期!$B$5,allorders!N:N,"Shipped")</f>
        <v>32.99</v>
      </c>
      <c r="I129">
        <f t="shared" si="1"/>
        <v>1</v>
      </c>
    </row>
    <row r="130" spans="1:9">
      <c r="A130" s="7" t="s">
        <v>4682</v>
      </c>
      <c r="B130" t="str">
        <f>VLOOKUP(A130,'[1]子sku-父sku'!$A:$B,2,0)</f>
        <v>DO-YULQ187</v>
      </c>
      <c r="C130">
        <f>SUMIFS(allorders!O:O,allorders!L:L,$A130,allorders!AG:AG,"&lt;="&amp;日期!$B$5,allorders!AG:AG,"&gt;="&amp;日期!$B$6,allorders!N:N,"Shipped")</f>
        <v>1</v>
      </c>
      <c r="D130">
        <f>SUMIFS(allorders!$O:$O,allorders!$L:$L,$A130,allorders!$AG:$AG,"&lt;="&amp;日期!$B$7,allorders!$AG:$AG,"&gt;="&amp;日期!$B$8,allorders!N:N,"Shipped")</f>
        <v>0</v>
      </c>
      <c r="E130">
        <f>SUMIFS(allorders!$O:$O,allorders!$L:$L,$A130,allorders!$AG:$AG,"&lt;="&amp;日期!$B$9,allorders!$AG:$AG,"&gt;="&amp;日期!$B$10,allorders!N:N,"Shipped")</f>
        <v>0</v>
      </c>
      <c r="F130">
        <f>SUMIFS(allorders!$O:$O,allorders!$L:$L,$A130,allorders!$AG:$AG,"&lt;="&amp;日期!$B$11,allorders!$AG:$AG,"&gt;="&amp;日期!$B$12,allorders!N:N,"Shipped")</f>
        <v>0</v>
      </c>
      <c r="G130">
        <f>SUMIFS(allorders!Q:Q,allorders!L:L,A130,allorders!AG:AG,"&lt;="&amp;日期!$B$5,allorders!AG:AG,"&gt;="&amp;日期!$B$12,allorders!N:N,"Shipped")/SUM(C130:F130)</f>
        <v>89.99</v>
      </c>
      <c r="H130">
        <f>SUMIFS(allorders!Q:Q,allorders!L:L,A130,allorders!AG:AG,"&gt;="&amp;日期!$B$12,allorders!AG:AG,"&lt;="&amp;日期!$B$5,allorders!N:N,"Shipped")</f>
        <v>89.99</v>
      </c>
      <c r="I130">
        <f t="shared" si="1"/>
        <v>1</v>
      </c>
    </row>
    <row r="962" spans="1:1">
      <c r="A962" s="7" t="s">
        <v>61</v>
      </c>
    </row>
    <row r="990" spans="1:1">
      <c r="A990" s="7" t="s">
        <v>143</v>
      </c>
    </row>
    <row r="1151" spans="1:1">
      <c r="A1151" s="7" t="s">
        <v>442</v>
      </c>
    </row>
    <row r="1214" spans="1:1">
      <c r="A1214" s="7" t="s">
        <v>746</v>
      </c>
    </row>
    <row r="1241" spans="1:1">
      <c r="A1241" s="7" t="s">
        <v>38</v>
      </c>
    </row>
    <row r="1283" spans="1:1">
      <c r="A1283" s="8" t="s">
        <v>277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12"/>
  <sheetViews>
    <sheetView workbookViewId="0">
      <selection activeCell="A42" sqref="A42"/>
    </sheetView>
  </sheetViews>
  <sheetFormatPr defaultColWidth="9" defaultRowHeight="14.25" outlineLevelCol="2"/>
  <cols>
    <col min="1" max="1" width="19" customWidth="1"/>
    <col min="2" max="2" width="17.7083333333333" customWidth="1"/>
  </cols>
  <sheetData>
    <row r="1" spans="1:3">
      <c r="A1" s="1" t="s">
        <v>4797</v>
      </c>
      <c r="B1" s="2">
        <f>B12</f>
        <v>43311</v>
      </c>
      <c r="C1" s="3"/>
    </row>
    <row r="2" spans="1:3">
      <c r="A2" s="1" t="s">
        <v>4798</v>
      </c>
      <c r="B2" s="2">
        <v>43338</v>
      </c>
      <c r="C2" s="3"/>
    </row>
    <row r="3" spans="1:2">
      <c r="A3" s="1"/>
      <c r="B3" s="1"/>
    </row>
    <row r="4" spans="1:2">
      <c r="A4" s="1" t="s">
        <v>4799</v>
      </c>
      <c r="B4" s="1"/>
    </row>
    <row r="5" spans="1:2">
      <c r="A5" s="1" t="s">
        <v>4800</v>
      </c>
      <c r="B5" s="4">
        <f>B2</f>
        <v>43338</v>
      </c>
    </row>
    <row r="6" spans="1:2">
      <c r="A6" s="1" t="s">
        <v>4801</v>
      </c>
      <c r="B6" s="5">
        <f>B5-6</f>
        <v>43332</v>
      </c>
    </row>
    <row r="7" spans="1:2">
      <c r="A7" s="1" t="s">
        <v>4802</v>
      </c>
      <c r="B7" s="5">
        <f>B5-7</f>
        <v>43331</v>
      </c>
    </row>
    <row r="8" spans="1:2">
      <c r="A8" s="1" t="s">
        <v>4803</v>
      </c>
      <c r="B8" s="5">
        <f>B5-13</f>
        <v>43325</v>
      </c>
    </row>
    <row r="9" spans="1:2">
      <c r="A9" s="1" t="s">
        <v>4804</v>
      </c>
      <c r="B9" s="5">
        <f>B5-14</f>
        <v>43324</v>
      </c>
    </row>
    <row r="10" spans="1:2">
      <c r="A10" s="1" t="s">
        <v>4805</v>
      </c>
      <c r="B10" s="5">
        <f>B5-20</f>
        <v>43318</v>
      </c>
    </row>
    <row r="11" spans="1:2">
      <c r="A11" s="1" t="s">
        <v>4806</v>
      </c>
      <c r="B11" s="5">
        <f>B5-21</f>
        <v>43317</v>
      </c>
    </row>
    <row r="12" spans="1:2">
      <c r="A12" s="1" t="s">
        <v>4807</v>
      </c>
      <c r="B12" s="5">
        <f>B5-27</f>
        <v>43311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100"/>
  <sheetViews>
    <sheetView workbookViewId="0">
      <selection activeCell="B2" sqref="B2:B129"/>
    </sheetView>
  </sheetViews>
  <sheetFormatPr defaultColWidth="9" defaultRowHeight="14.25" outlineLevelCol="1"/>
  <cols>
    <col min="1" max="1" width="21.625" customWidth="1"/>
    <col min="2" max="2" width="17.625" customWidth="1"/>
    <col min="4" max="4" width="9.125" customWidth="1"/>
  </cols>
  <sheetData>
    <row r="1" spans="1:2">
      <c r="A1" t="s">
        <v>4789</v>
      </c>
      <c r="B1" t="s">
        <v>4808</v>
      </c>
    </row>
    <row r="2" spans="1:2">
      <c r="A2" t="s">
        <v>4809</v>
      </c>
      <c r="B2">
        <f>SUMIF(库存报告使用数据处理!B:B,A2,库存报告使用数据处理!H:H)/SUMIF(库存报告使用数据处理!B:B,A2,库存报告使用数据处理!I:I)</f>
        <v>85.1042857142857</v>
      </c>
    </row>
    <row r="3" spans="1:2">
      <c r="A3" t="s">
        <v>4810</v>
      </c>
      <c r="B3">
        <f>SUMIF(库存报告使用数据处理!B:B,A3,库存报告使用数据处理!H:H)/SUMIF(库存报告使用数据处理!B:B,A3,库存报告使用数据处理!I:I)</f>
        <v>99.6</v>
      </c>
    </row>
    <row r="4" spans="1:2">
      <c r="A4" t="s">
        <v>4811</v>
      </c>
      <c r="B4">
        <f>SUMIF(库存报告使用数据处理!B:B,A4,库存报告使用数据处理!H:H)/SUMIF(库存报告使用数据处理!B:B,A4,库存报告使用数据处理!I:I)</f>
        <v>21.99</v>
      </c>
    </row>
    <row r="5" spans="1:2">
      <c r="A5" t="s">
        <v>4812</v>
      </c>
      <c r="B5">
        <f>SUMIF(库存报告使用数据处理!B:B,A5,库存报告使用数据处理!H:H)/SUMIF(库存报告使用数据处理!B:B,A5,库存报告使用数据处理!I:I)</f>
        <v>97.1860784313724</v>
      </c>
    </row>
    <row r="6" spans="1:2">
      <c r="A6" t="s">
        <v>4813</v>
      </c>
      <c r="B6">
        <f>SUMIF(库存报告使用数据处理!B:B,A6,库存报告使用数据处理!H:H)/SUMIF(库存报告使用数据处理!B:B,A6,库存报告使用数据处理!I:I)</f>
        <v>21.99</v>
      </c>
    </row>
    <row r="7" spans="1:2">
      <c r="A7" t="s">
        <v>4814</v>
      </c>
      <c r="B7">
        <f>SUMIF(库存报告使用数据处理!B:B,A7,库存报告使用数据处理!H:H)/SUMIF(库存报告使用数据处理!B:B,A7,库存报告使用数据处理!I:I)</f>
        <v>89.99</v>
      </c>
    </row>
    <row r="8" spans="1:2">
      <c r="A8" t="s">
        <v>4815</v>
      </c>
      <c r="B8">
        <f>SUMIF(库存报告使用数据处理!B:B,A8,库存报告使用数据处理!H:H)/SUMIF(库存报告使用数据处理!B:B,A8,库存报告使用数据处理!I:I)</f>
        <v>29.99</v>
      </c>
    </row>
    <row r="9" spans="1:2">
      <c r="A9" t="s">
        <v>4816</v>
      </c>
      <c r="B9">
        <f>SUMIF(库存报告使用数据处理!B:B,A9,库存报告使用数据处理!H:H)/SUMIF(库存报告使用数据处理!B:B,A9,库存报告使用数据处理!I:I)</f>
        <v>79.99</v>
      </c>
    </row>
    <row r="10" spans="1:2">
      <c r="A10" t="s">
        <v>4817</v>
      </c>
      <c r="B10">
        <f>SUMIF(库存报告使用数据处理!B:B,A10,库存报告使用数据处理!H:H)/SUMIF(库存报告使用数据处理!B:B,A10,库存报告使用数据处理!I:I)</f>
        <v>79.99</v>
      </c>
    </row>
    <row r="11" spans="1:2">
      <c r="A11" t="s">
        <v>4818</v>
      </c>
      <c r="B11">
        <f>SUMIF(库存报告使用数据处理!B:B,A11,库存报告使用数据处理!H:H)/SUMIF(库存报告使用数据处理!B:B,A11,库存报告使用数据处理!I:I)</f>
        <v>79.99</v>
      </c>
    </row>
    <row r="12" spans="1:2">
      <c r="A12" t="s">
        <v>4819</v>
      </c>
      <c r="B12">
        <f>SUMIF(库存报告使用数据处理!B:B,A12,库存报告使用数据处理!H:H)/SUMIF(库存报告使用数据处理!B:B,A12,库存报告使用数据处理!I:I)</f>
        <v>88.8135294117647</v>
      </c>
    </row>
    <row r="13" spans="1:2">
      <c r="A13" t="s">
        <v>4820</v>
      </c>
      <c r="B13">
        <f>SUMIF(库存报告使用数据处理!B:B,A13,库存报告使用数据处理!H:H)/SUMIF(库存报告使用数据处理!B:B,A13,库存报告使用数据处理!I:I)</f>
        <v>89.99</v>
      </c>
    </row>
    <row r="14" spans="1:2">
      <c r="A14" t="s">
        <v>4821</v>
      </c>
      <c r="B14">
        <f>SUMIF(库存报告使用数据处理!B:B,A14,库存报告使用数据处理!H:H)/SUMIF(库存报告使用数据处理!B:B,A14,库存报告使用数据处理!I:I)</f>
        <v>79.99</v>
      </c>
    </row>
    <row r="15" spans="1:2">
      <c r="A15" t="s">
        <v>4822</v>
      </c>
      <c r="B15">
        <f>SUMIF(库存报告使用数据处理!B:B,A15,库存报告使用数据处理!H:H)/SUMIF(库存报告使用数据处理!B:B,A15,库存报告使用数据处理!I:I)</f>
        <v>16.7641935483871</v>
      </c>
    </row>
    <row r="16" spans="1:2">
      <c r="A16" t="s">
        <v>4823</v>
      </c>
      <c r="B16">
        <f>SUMIF(库存报告使用数据处理!B:B,A16,库存报告使用数据处理!H:H)/SUMIF(库存报告使用数据处理!B:B,A16,库存报告使用数据处理!I:I)</f>
        <v>89.9899999999998</v>
      </c>
    </row>
    <row r="17" spans="1:2">
      <c r="A17" t="s">
        <v>4824</v>
      </c>
      <c r="B17">
        <f>SUMIF(库存报告使用数据处理!B:B,A17,库存报告使用数据处理!H:H)/SUMIF(库存报告使用数据处理!B:B,A17,库存报告使用数据处理!I:I)</f>
        <v>86.2677777777778</v>
      </c>
    </row>
    <row r="18" spans="1:2">
      <c r="A18" t="s">
        <v>4825</v>
      </c>
      <c r="B18">
        <f>SUMIF(库存报告使用数据处理!B:B,A18,库存报告使用数据处理!H:H)/SUMIF(库存报告使用数据处理!B:B,A18,库存报告使用数据处理!I:I)</f>
        <v>99.99</v>
      </c>
    </row>
    <row r="19" spans="1:2">
      <c r="A19" t="s">
        <v>4826</v>
      </c>
      <c r="B19">
        <f>SUMIF(库存报告使用数据处理!B:B,A19,库存报告使用数据处理!H:H)/SUMIF(库存报告使用数据处理!B:B,A19,库存报告使用数据处理!I:I)</f>
        <v>87.3233333333333</v>
      </c>
    </row>
    <row r="20" spans="1:2">
      <c r="A20" t="s">
        <v>4827</v>
      </c>
      <c r="B20">
        <f>SUMIF(库存报告使用数据处理!B:B,A20,库存报告使用数据处理!H:H)/SUMIF(库存报告使用数据处理!B:B,A20,库存报告使用数据处理!I:I)</f>
        <v>91.9899999999998</v>
      </c>
    </row>
    <row r="21" spans="1:2">
      <c r="A21" t="s">
        <v>4828</v>
      </c>
      <c r="B21">
        <f>SUMIF(库存报告使用数据处理!B:B,A21,库存报告使用数据处理!H:H)/SUMIF(库存报告使用数据处理!B:B,A21,库存报告使用数据处理!I:I)</f>
        <v>89.99</v>
      </c>
    </row>
    <row r="22" spans="1:2">
      <c r="A22" t="s">
        <v>4829</v>
      </c>
      <c r="B22">
        <f>SUMIF(库存报告使用数据处理!B:B,A22,库存报告使用数据处理!H:H)/SUMIF(库存报告使用数据处理!B:B,A22,库存报告使用数据处理!I:I)</f>
        <v>89.99</v>
      </c>
    </row>
    <row r="23" spans="1:2">
      <c r="A23" t="s">
        <v>4830</v>
      </c>
      <c r="B23">
        <f>SUMIF(库存报告使用数据处理!B:B,A23,库存报告使用数据处理!H:H)/SUMIF(库存报告使用数据处理!B:B,A23,库存报告使用数据处理!I:I)</f>
        <v>87.49</v>
      </c>
    </row>
    <row r="24" spans="1:2">
      <c r="A24" t="s">
        <v>4831</v>
      </c>
      <c r="B24">
        <f>SUMIF(库存报告使用数据处理!B:B,A24,库存报告使用数据处理!H:H)/SUMIF(库存报告使用数据处理!B:B,A24,库存报告使用数据处理!I:I)</f>
        <v>32.99</v>
      </c>
    </row>
    <row r="25" spans="1:2">
      <c r="A25" t="s">
        <v>4832</v>
      </c>
      <c r="B25">
        <f>SUMIF(库存报告使用数据处理!B:B,A25,库存报告使用数据处理!H:H)/SUMIF(库存报告使用数据处理!B:B,A25,库存报告使用数据处理!I:I)</f>
        <v>99.99</v>
      </c>
    </row>
    <row r="26" spans="1:2">
      <c r="A26" t="s">
        <v>4833</v>
      </c>
      <c r="B26">
        <f>SUMIF(库存报告使用数据处理!B:B,A26,库存报告使用数据处理!H:H)/SUMIF(库存报告使用数据处理!B:B,A26,库存报告使用数据处理!I:I)</f>
        <v>26.99</v>
      </c>
    </row>
    <row r="27" spans="1:2">
      <c r="A27" t="s">
        <v>4834</v>
      </c>
      <c r="B27">
        <f>SUMIF(库存报告使用数据处理!B:B,A27,库存报告使用数据处理!H:H)/SUMIF(库存报告使用数据处理!B:B,A27,库存报告使用数据处理!I:I)</f>
        <v>88.99</v>
      </c>
    </row>
    <row r="28" spans="1:2">
      <c r="A28" t="s">
        <v>4835</v>
      </c>
      <c r="B28">
        <f>SUMIF(库存报告使用数据处理!B:B,A28,库存报告使用数据处理!H:H)/SUMIF(库存报告使用数据处理!B:B,A28,库存报告使用数据处理!I:I)</f>
        <v>32.99</v>
      </c>
    </row>
    <row r="29" spans="1:2">
      <c r="A29" t="s">
        <v>4836</v>
      </c>
      <c r="B29">
        <f>SUMIF(库存报告使用数据处理!B:B,A29,库存报告使用数据处理!H:H)/SUMIF(库存报告使用数据处理!B:B,A29,库存报告使用数据处理!I:I)</f>
        <v>89.99</v>
      </c>
    </row>
    <row r="30" spans="1:2">
      <c r="A30" t="s">
        <v>4837</v>
      </c>
      <c r="B30">
        <f>SUMIF(库存报告使用数据处理!B:B,A30,库存报告使用数据处理!H:H)/SUMIF(库存报告使用数据处理!B:B,A30,库存报告使用数据处理!I:I)</f>
        <v>89.99</v>
      </c>
    </row>
    <row r="31" spans="1:2">
      <c r="A31" t="s">
        <v>4838</v>
      </c>
      <c r="B31">
        <f>SUMIF(库存报告使用数据处理!B:B,A31,库存报告使用数据处理!H:H)/SUMIF(库存报告使用数据处理!B:B,A31,库存报告使用数据处理!I:I)</f>
        <v>69.99</v>
      </c>
    </row>
    <row r="32" spans="1:2">
      <c r="A32" t="s">
        <v>4839</v>
      </c>
      <c r="B32">
        <f>SUMIF(库存报告使用数据处理!B:B,A32,库存报告使用数据处理!H:H)/SUMIF(库存报告使用数据处理!B:B,A32,库存报告使用数据处理!I:I)</f>
        <v>99.99</v>
      </c>
    </row>
    <row r="33" spans="1:2">
      <c r="A33" t="s">
        <v>4840</v>
      </c>
      <c r="B33">
        <f>SUMIF(库存报告使用数据处理!B:B,A33,库存报告使用数据处理!H:H)/SUMIF(库存报告使用数据处理!B:B,A33,库存报告使用数据处理!I:I)</f>
        <v>87.99</v>
      </c>
    </row>
    <row r="34" spans="1:2">
      <c r="A34" t="s">
        <v>4841</v>
      </c>
      <c r="B34">
        <f>SUMIF(库存报告使用数据处理!B:B,A34,库存报告使用数据处理!H:H)/SUMIF(库存报告使用数据处理!B:B,A34,库存报告使用数据处理!I:I)</f>
        <v>79.99</v>
      </c>
    </row>
    <row r="35" spans="1:2">
      <c r="A35" t="s">
        <v>4842</v>
      </c>
      <c r="B35" t="e">
        <f>SUMIF(库存报告使用数据处理!B:B,A35,库存报告使用数据处理!H:H)/SUMIF(库存报告使用数据处理!B:B,A35,库存报告使用数据处理!I:I)</f>
        <v>#DIV/0!</v>
      </c>
    </row>
    <row r="36" spans="1:2">
      <c r="A36" t="s">
        <v>4843</v>
      </c>
      <c r="B36">
        <f>SUMIF(库存报告使用数据处理!B:B,A36,库存报告使用数据处理!H:H)/SUMIF(库存报告使用数据处理!B:B,A36,库存报告使用数据处理!I:I)</f>
        <v>17.592</v>
      </c>
    </row>
    <row r="37" spans="1:2">
      <c r="A37" t="s">
        <v>4844</v>
      </c>
      <c r="B37">
        <f>SUMIF(库存报告使用数据处理!B:B,A37,库存报告使用数据处理!H:H)/SUMIF(库存报告使用数据处理!B:B,A37,库存报告使用数据处理!I:I)</f>
        <v>21.99</v>
      </c>
    </row>
    <row r="38" spans="1:2">
      <c r="A38" t="s">
        <v>4845</v>
      </c>
      <c r="B38">
        <f>SUMIF(库存报告使用数据处理!B:B,A38,库存报告使用数据处理!H:H)/SUMIF(库存报告使用数据处理!B:B,A38,库存报告使用数据处理!I:I)</f>
        <v>99.99</v>
      </c>
    </row>
    <row r="39" spans="1:2">
      <c r="A39" t="s">
        <v>4846</v>
      </c>
      <c r="B39">
        <f>SUMIF(库存报告使用数据处理!B:B,A39,库存报告使用数据处理!H:H)/SUMIF(库存报告使用数据处理!B:B,A39,库存报告使用数据处理!I:I)</f>
        <v>89.99</v>
      </c>
    </row>
    <row r="40" spans="1:2">
      <c r="A40" t="s">
        <v>4847</v>
      </c>
      <c r="B40">
        <f>SUMIF(库存报告使用数据处理!B:B,A40,库存报告使用数据处理!H:H)/SUMIF(库存报告使用数据处理!B:B,A40,库存报告使用数据处理!I:I)</f>
        <v>32.99</v>
      </c>
    </row>
    <row r="41" spans="1:2">
      <c r="A41" t="s">
        <v>4848</v>
      </c>
      <c r="B41">
        <f>SUMIF(库存报告使用数据处理!B:B,A41,库存报告使用数据处理!H:H)/SUMIF(库存报告使用数据处理!B:B,A41,库存报告使用数据处理!I:I)</f>
        <v>106.99</v>
      </c>
    </row>
    <row r="42" spans="1:2">
      <c r="A42" t="s">
        <v>4849</v>
      </c>
      <c r="B42">
        <f>SUMIF(库存报告使用数据处理!B:B,A42,库存报告使用数据处理!H:H)/SUMIF(库存报告使用数据处理!B:B,A42,库存报告使用数据处理!I:I)</f>
        <v>75.99</v>
      </c>
    </row>
    <row r="43" spans="1:2">
      <c r="A43" t="s">
        <v>4850</v>
      </c>
      <c r="B43">
        <f>SUMIF(库存报告使用数据处理!B:B,A43,库存报告使用数据处理!H:H)/SUMIF(库存报告使用数据处理!B:B,A43,库存报告使用数据处理!I:I)</f>
        <v>79.99</v>
      </c>
    </row>
    <row r="44" spans="1:2">
      <c r="A44" t="s">
        <v>4851</v>
      </c>
      <c r="B44">
        <f>SUMIF(库存报告使用数据处理!B:B,A44,库存报告使用数据处理!H:H)/SUMIF(库存报告使用数据处理!B:B,A44,库存报告使用数据处理!I:I)</f>
        <v>108.99</v>
      </c>
    </row>
    <row r="45" spans="1:2">
      <c r="A45" t="s">
        <v>4852</v>
      </c>
      <c r="B45">
        <f>SUMIF(库存报告使用数据处理!B:B,A45,库存报告使用数据处理!H:H)/SUMIF(库存报告使用数据处理!B:B,A45,库存报告使用数据处理!I:I)</f>
        <v>89.99</v>
      </c>
    </row>
    <row r="46" spans="1:2">
      <c r="A46" t="s">
        <v>4853</v>
      </c>
      <c r="B46">
        <f>SUMIF(库存报告使用数据处理!B:B,A46,库存报告使用数据处理!H:H)/SUMIF(库存报告使用数据处理!B:B,A46,库存报告使用数据处理!I:I)</f>
        <v>89.99</v>
      </c>
    </row>
    <row r="47" spans="1:2">
      <c r="A47" t="s">
        <v>4854</v>
      </c>
      <c r="B47">
        <f>SUMIF(库存报告使用数据处理!B:B,A47,库存报告使用数据处理!H:H)/SUMIF(库存报告使用数据处理!B:B,A47,库存报告使用数据处理!I:I)</f>
        <v>89.6</v>
      </c>
    </row>
    <row r="48" spans="1:2">
      <c r="A48" t="s">
        <v>4855</v>
      </c>
      <c r="B48">
        <f>SUMIF(库存报告使用数据处理!B:B,A48,库存报告使用数据处理!H:H)/SUMIF(库存报告使用数据处理!B:B,A48,库存报告使用数据处理!I:I)</f>
        <v>21.99</v>
      </c>
    </row>
    <row r="49" spans="1:2">
      <c r="A49" t="s">
        <v>4856</v>
      </c>
      <c r="B49">
        <f>SUMIF(库存报告使用数据处理!B:B,A49,库存报告使用数据处理!H:H)/SUMIF(库存报告使用数据处理!B:B,A49,库存报告使用数据处理!I:I)</f>
        <v>59.99</v>
      </c>
    </row>
    <row r="50" spans="1:2">
      <c r="A50" t="s">
        <v>4857</v>
      </c>
      <c r="B50">
        <f>SUMIF(库存报告使用数据处理!B:B,A50,库存报告使用数据处理!H:H)/SUMIF(库存报告使用数据处理!B:B,A50,库存报告使用数据处理!I:I)</f>
        <v>23.99</v>
      </c>
    </row>
    <row r="51" spans="1:2">
      <c r="A51" t="s">
        <v>4858</v>
      </c>
      <c r="B51">
        <f>SUMIF(库存报告使用数据处理!B:B,A51,库存报告使用数据处理!H:H)/SUMIF(库存报告使用数据处理!B:B,A51,库存报告使用数据处理!I:I)</f>
        <v>34.99</v>
      </c>
    </row>
    <row r="52" spans="1:2">
      <c r="A52" t="s">
        <v>4859</v>
      </c>
      <c r="B52">
        <f>SUMIF(库存报告使用数据处理!B:B,A52,库存报告使用数据处理!H:H)/SUMIF(库存报告使用数据处理!B:B,A52,库存报告使用数据处理!I:I)</f>
        <v>52.99</v>
      </c>
    </row>
    <row r="53" spans="1:2">
      <c r="A53" t="s">
        <v>4860</v>
      </c>
      <c r="B53">
        <f>SUMIF(库存报告使用数据处理!B:B,A53,库存报告使用数据处理!H:H)/SUMIF(库存报告使用数据处理!B:B,A53,库存报告使用数据处理!I:I)</f>
        <v>92.795</v>
      </c>
    </row>
    <row r="54" spans="1:2">
      <c r="A54" t="s">
        <v>4861</v>
      </c>
      <c r="B54">
        <f>SUMIF(库存报告使用数据处理!B:B,A54,库存报告使用数据处理!H:H)/SUMIF(库存报告使用数据处理!B:B,A54,库存报告使用数据处理!I:I)</f>
        <v>89.99</v>
      </c>
    </row>
    <row r="55" spans="1:2">
      <c r="A55" t="s">
        <v>4862</v>
      </c>
      <c r="B55">
        <f>SUMIF(库存报告使用数据处理!B:B,A55,库存报告使用数据处理!H:H)/SUMIF(库存报告使用数据处理!B:B,A55,库存报告使用数据处理!I:I)</f>
        <v>89.99</v>
      </c>
    </row>
    <row r="56" spans="1:2">
      <c r="A56" t="s">
        <v>4863</v>
      </c>
      <c r="B56">
        <f>SUMIF(库存报告使用数据处理!B:B,A56,库存报告使用数据处理!H:H)/SUMIF(库存报告使用数据处理!B:B,A56,库存报告使用数据处理!I:I)</f>
        <v>23.99</v>
      </c>
    </row>
    <row r="57" spans="1:2">
      <c r="A57" t="s">
        <v>4864</v>
      </c>
      <c r="B57">
        <f>SUMIF(库存报告使用数据处理!B:B,A57,库存报告使用数据处理!H:H)/SUMIF(库存报告使用数据处理!B:B,A57,库存报告使用数据处理!I:I)</f>
        <v>82.49</v>
      </c>
    </row>
    <row r="58" spans="1:2">
      <c r="A58" t="s">
        <v>4865</v>
      </c>
      <c r="B58">
        <f>SUMIF(库存报告使用数据处理!B:B,A58,库存报告使用数据处理!H:H)/SUMIF(库存报告使用数据处理!B:B,A58,库存报告使用数据处理!I:I)</f>
        <v>23.3233333333333</v>
      </c>
    </row>
    <row r="59" spans="1:2">
      <c r="A59" t="s">
        <v>4866</v>
      </c>
      <c r="B59">
        <f>SUMIF(库存报告使用数据处理!B:B,A59,库存报告使用数据处理!H:H)/SUMIF(库存报告使用数据处理!B:B,A59,库存报告使用数据处理!I:I)</f>
        <v>79.99</v>
      </c>
    </row>
    <row r="60" spans="1:2">
      <c r="A60" t="s">
        <v>4867</v>
      </c>
      <c r="B60">
        <f>SUMIF(库存报告使用数据处理!B:B,A60,库存报告使用数据处理!H:H)/SUMIF(库存报告使用数据处理!B:B,A60,库存报告使用数据处理!I:I)</f>
        <v>77.991</v>
      </c>
    </row>
    <row r="61" spans="1:2">
      <c r="A61" t="s">
        <v>4868</v>
      </c>
      <c r="B61">
        <f>SUMIF(库存报告使用数据处理!B:B,A61,库存报告使用数据处理!H:H)/SUMIF(库存报告使用数据处理!B:B,A61,库存报告使用数据处理!I:I)</f>
        <v>89.99</v>
      </c>
    </row>
    <row r="62" spans="1:2">
      <c r="A62" t="s">
        <v>4869</v>
      </c>
      <c r="B62">
        <f>SUMIF(库存报告使用数据处理!B:B,A62,库存报告使用数据处理!H:H)/SUMIF(库存报告使用数据处理!B:B,A62,库存报告使用数据处理!I:I)</f>
        <v>99.99</v>
      </c>
    </row>
    <row r="63" spans="1:2">
      <c r="A63" t="s">
        <v>4870</v>
      </c>
      <c r="B63">
        <f>SUMIF(库存报告使用数据处理!B:B,A63,库存报告使用数据处理!H:H)/SUMIF(库存报告使用数据处理!B:B,A63,库存报告使用数据处理!I:I)</f>
        <v>23.99</v>
      </c>
    </row>
    <row r="64" spans="1:2">
      <c r="A64" t="s">
        <v>4871</v>
      </c>
      <c r="B64">
        <f>SUMIF(库存报告使用数据处理!B:B,A64,库存报告使用数据处理!H:H)/SUMIF(库存报告使用数据处理!B:B,A64,库存报告使用数据处理!I:I)</f>
        <v>99.6</v>
      </c>
    </row>
    <row r="65" spans="1:2">
      <c r="A65" t="s">
        <v>4872</v>
      </c>
      <c r="B65">
        <f>SUMIF(库存报告使用数据处理!B:B,A65,库存报告使用数据处理!H:H)/SUMIF(库存报告使用数据处理!B:B,A65,库存报告使用数据处理!I:I)</f>
        <v>79.6</v>
      </c>
    </row>
    <row r="66" spans="1:2">
      <c r="A66" t="s">
        <v>4873</v>
      </c>
      <c r="B66">
        <f>SUMIF(库存报告使用数据处理!B:B,A66,库存报告使用数据处理!H:H)/SUMIF(库存报告使用数据处理!B:B,A66,库存报告使用数据处理!I:I)</f>
        <v>85.99</v>
      </c>
    </row>
    <row r="67" spans="1:2">
      <c r="A67" t="s">
        <v>4874</v>
      </c>
      <c r="B67">
        <f>SUMIF(库存报告使用数据处理!B:B,A67,库存报告使用数据处理!H:H)/SUMIF(库存报告使用数据处理!B:B,A67,库存报告使用数据处理!I:I)</f>
        <v>99.99</v>
      </c>
    </row>
    <row r="68" spans="1:2">
      <c r="A68" t="s">
        <v>4875</v>
      </c>
      <c r="B68">
        <f>SUMIF(库存报告使用数据处理!B:B,A68,库存报告使用数据处理!H:H)/SUMIF(库存报告使用数据处理!B:B,A68,库存报告使用数据处理!I:I)</f>
        <v>89.99</v>
      </c>
    </row>
    <row r="69" spans="1:2">
      <c r="A69" t="s">
        <v>4876</v>
      </c>
      <c r="B69">
        <f>SUMIF(库存报告使用数据处理!B:B,A69,库存报告使用数据处理!H:H)/SUMIF(库存报告使用数据处理!B:B,A69,库存报告使用数据处理!I:I)</f>
        <v>89.99</v>
      </c>
    </row>
    <row r="70" spans="1:2">
      <c r="A70" t="s">
        <v>4877</v>
      </c>
      <c r="B70">
        <f>SUMIF(库存报告使用数据处理!B:B,A70,库存报告使用数据处理!H:H)/SUMIF(库存报告使用数据处理!B:B,A70,库存报告使用数据处理!I:I)</f>
        <v>91.6</v>
      </c>
    </row>
    <row r="71" spans="1:2">
      <c r="A71" t="s">
        <v>4878</v>
      </c>
      <c r="B71">
        <f>SUMIF(库存报告使用数据处理!B:B,A71,库存报告使用数据处理!H:H)/SUMIF(库存报告使用数据处理!B:B,A71,库存报告使用数据处理!I:I)</f>
        <v>100.606153846154</v>
      </c>
    </row>
    <row r="72" spans="1:2">
      <c r="A72" t="s">
        <v>1990</v>
      </c>
      <c r="B72">
        <f>SUMIF(库存报告使用数据处理!B:B,A72,库存报告使用数据处理!H:H)/SUMIF(库存报告使用数据处理!B:B,A72,库存报告使用数据处理!I:I)</f>
        <v>16.99</v>
      </c>
    </row>
    <row r="73" spans="1:2">
      <c r="A73" t="s">
        <v>4879</v>
      </c>
      <c r="B73">
        <f>SUMIF(库存报告使用数据处理!B:B,A73,库存报告使用数据处理!H:H)/SUMIF(库存报告使用数据处理!B:B,A73,库存报告使用数据处理!I:I)</f>
        <v>23.99</v>
      </c>
    </row>
    <row r="74" spans="1:2">
      <c r="A74" t="s">
        <v>4880</v>
      </c>
      <c r="B74">
        <f>SUMIF(库存报告使用数据处理!B:B,A74,库存报告使用数据处理!H:H)/SUMIF(库存报告使用数据处理!B:B,A74,库存报告使用数据处理!I:I)</f>
        <v>99.99</v>
      </c>
    </row>
    <row r="75" spans="1:2">
      <c r="A75" t="s">
        <v>4881</v>
      </c>
      <c r="B75">
        <f>SUMIF(库存报告使用数据处理!B:B,A75,库存报告使用数据处理!H:H)/SUMIF(库存报告使用数据处理!B:B,A75,库存报告使用数据处理!I:I)</f>
        <v>79.99</v>
      </c>
    </row>
    <row r="76" spans="1:2">
      <c r="A76" t="s">
        <v>4882</v>
      </c>
      <c r="B76">
        <f>SUMIF(库存报告使用数据处理!B:B,A76,库存报告使用数据处理!H:H)/SUMIF(库存报告使用数据处理!B:B,A76,库存报告使用数据处理!I:I)</f>
        <v>108.99</v>
      </c>
    </row>
    <row r="77" spans="1:2">
      <c r="A77" t="s">
        <v>4883</v>
      </c>
      <c r="B77">
        <f>SUMIF(库存报告使用数据处理!B:B,A77,库存报告使用数据处理!H:H)/SUMIF(库存报告使用数据处理!B:B,A77,库存报告使用数据处理!I:I)</f>
        <v>89.99</v>
      </c>
    </row>
    <row r="78" spans="1:2">
      <c r="A78" t="s">
        <v>4884</v>
      </c>
      <c r="B78">
        <f>SUMIF(库存报告使用数据处理!B:B,A78,库存报告使用数据处理!H:H)/SUMIF(库存报告使用数据处理!B:B,A78,库存报告使用数据处理!I:I)</f>
        <v>59.99</v>
      </c>
    </row>
    <row r="79" spans="1:2">
      <c r="A79" t="s">
        <v>4885</v>
      </c>
      <c r="B79">
        <f>SUMIF(库存报告使用数据处理!B:B,A79,库存报告使用数据处理!H:H)/SUMIF(库存报告使用数据处理!B:B,A79,库存报告使用数据处理!I:I)</f>
        <v>89.99</v>
      </c>
    </row>
    <row r="80" spans="1:2">
      <c r="A80" t="s">
        <v>4886</v>
      </c>
      <c r="B80">
        <f>SUMIF(库存报告使用数据处理!B:B,A80,库存报告使用数据处理!H:H)/SUMIF(库存报告使用数据处理!B:B,A80,库存报告使用数据处理!I:I)</f>
        <v>99.6</v>
      </c>
    </row>
    <row r="81" spans="1:2">
      <c r="A81" t="s">
        <v>4887</v>
      </c>
      <c r="B81">
        <f>SUMIF(库存报告使用数据处理!B:B,A81,库存报告使用数据处理!H:H)/SUMIF(库存报告使用数据处理!B:B,A81,库存报告使用数据处理!I:I)</f>
        <v>99.99</v>
      </c>
    </row>
    <row r="82" spans="1:2">
      <c r="A82" t="s">
        <v>4888</v>
      </c>
      <c r="B82" t="e">
        <f>SUMIF(库存报告使用数据处理!B:B,A82,库存报告使用数据处理!H:H)/SUMIF(库存报告使用数据处理!B:B,A82,库存报告使用数据处理!I:I)</f>
        <v>#DIV/0!</v>
      </c>
    </row>
    <row r="83" spans="1:2">
      <c r="A83" t="s">
        <v>4889</v>
      </c>
      <c r="B83" t="e">
        <f>SUMIF(库存报告使用数据处理!B:B,A83,库存报告使用数据处理!H:H)/SUMIF(库存报告使用数据处理!B:B,A83,库存报告使用数据处理!I:I)</f>
        <v>#DIV/0!</v>
      </c>
    </row>
    <row r="84" spans="1:2">
      <c r="A84" t="s">
        <v>4890</v>
      </c>
      <c r="B84" t="e">
        <f>SUMIF(库存报告使用数据处理!B:B,A84,库存报告使用数据处理!H:H)/SUMIF(库存报告使用数据处理!B:B,A84,库存报告使用数据处理!I:I)</f>
        <v>#DIV/0!</v>
      </c>
    </row>
    <row r="85" spans="1:2">
      <c r="A85" t="s">
        <v>4891</v>
      </c>
      <c r="B85">
        <f>SUMIF(库存报告使用数据处理!B:B,A85,库存报告使用数据处理!H:H)/SUMIF(库存报告使用数据处理!B:B,A85,库存报告使用数据处理!I:I)</f>
        <v>89.6</v>
      </c>
    </row>
    <row r="86" spans="1:2">
      <c r="A86" t="s">
        <v>4892</v>
      </c>
      <c r="B86">
        <f>SUMIF(库存报告使用数据处理!B:B,A86,库存报告使用数据处理!H:H)/SUMIF(库存报告使用数据处理!B:B,A86,库存报告使用数据处理!I:I)</f>
        <v>109.99</v>
      </c>
    </row>
    <row r="87" spans="1:2">
      <c r="A87" t="s">
        <v>4893</v>
      </c>
      <c r="B87">
        <f>SUMIF(库存报告使用数据处理!B:B,A87,库存报告使用数据处理!H:H)/SUMIF(库存报告使用数据处理!B:B,A87,库存报告使用数据处理!I:I)</f>
        <v>118.99</v>
      </c>
    </row>
    <row r="88" spans="1:2">
      <c r="A88" t="s">
        <v>4894</v>
      </c>
      <c r="B88">
        <f>SUMIF(库存报告使用数据处理!B:B,A88,库存报告使用数据处理!H:H)/SUMIF(库存报告使用数据处理!B:B,A88,库存报告使用数据处理!I:I)</f>
        <v>59.99</v>
      </c>
    </row>
    <row r="89" spans="1:2">
      <c r="A89" t="s">
        <v>4895</v>
      </c>
      <c r="B89">
        <f>SUMIF(库存报告使用数据处理!B:B,A89,库存报告使用数据处理!H:H)/SUMIF(库存报告使用数据处理!B:B,A89,库存报告使用数据处理!I:I)</f>
        <v>89.99</v>
      </c>
    </row>
    <row r="90" spans="1:2">
      <c r="A90" t="s">
        <v>4896</v>
      </c>
      <c r="B90">
        <f>SUMIF(库存报告使用数据处理!B:B,A90,库存报告使用数据处理!H:H)/SUMIF(库存报告使用数据处理!B:B,A90,库存报告使用数据处理!I:I)</f>
        <v>69.99</v>
      </c>
    </row>
    <row r="91" spans="1:2">
      <c r="A91" t="s">
        <v>4897</v>
      </c>
      <c r="B91">
        <f>SUMIF(库存报告使用数据处理!B:B,A91,库存报告使用数据处理!H:H)/SUMIF(库存报告使用数据处理!B:B,A91,库存报告使用数据处理!I:I)</f>
        <v>21.99</v>
      </c>
    </row>
    <row r="92" spans="1:2">
      <c r="A92" t="s">
        <v>4898</v>
      </c>
      <c r="B92">
        <f>SUMIF(库存报告使用数据处理!B:B,A92,库存报告使用数据处理!H:H)/SUMIF(库存报告使用数据处理!B:B,A92,库存报告使用数据处理!I:I)</f>
        <v>92.99</v>
      </c>
    </row>
    <row r="93" spans="1:2">
      <c r="A93" t="s">
        <v>4899</v>
      </c>
      <c r="B93">
        <f>SUMIF(库存报告使用数据处理!B:B,A93,库存报告使用数据处理!H:H)/SUMIF(库存报告使用数据处理!B:B,A93,库存报告使用数据处理!I:I)</f>
        <v>118.99</v>
      </c>
    </row>
    <row r="94" spans="1:2">
      <c r="A94" t="s">
        <v>4900</v>
      </c>
      <c r="B94">
        <f>SUMIF(库存报告使用数据处理!B:B,A94,库存报告使用数据处理!H:H)/SUMIF(库存报告使用数据处理!B:B,A94,库存报告使用数据处理!I:I)</f>
        <v>104.99</v>
      </c>
    </row>
    <row r="95" spans="1:2">
      <c r="A95" t="s">
        <v>4901</v>
      </c>
      <c r="B95">
        <f>SUMIF(库存报告使用数据处理!B:B,A95,库存报告使用数据处理!H:H)/SUMIF(库存报告使用数据处理!B:B,A95,库存报告使用数据处理!I:I)</f>
        <v>32.99</v>
      </c>
    </row>
    <row r="96" spans="1:2">
      <c r="A96" t="s">
        <v>4902</v>
      </c>
      <c r="B96">
        <f>SUMIF(库存报告使用数据处理!B:B,A96,库存报告使用数据处理!H:H)/SUMIF(库存报告使用数据处理!B:B,A96,库存报告使用数据处理!I:I)</f>
        <v>79.99</v>
      </c>
    </row>
    <row r="97" spans="1:2">
      <c r="A97" t="s">
        <v>4903</v>
      </c>
      <c r="B97">
        <f>SUMIF(库存报告使用数据处理!B:B,A97,库存报告使用数据处理!H:H)/SUMIF(库存报告使用数据处理!B:B,A97,库存报告使用数据处理!I:I)</f>
        <v>118.99</v>
      </c>
    </row>
    <row r="98" spans="1:2">
      <c r="A98" t="s">
        <v>4904</v>
      </c>
      <c r="B98">
        <f>SUMIF(库存报告使用数据处理!B:B,A98,库存报告使用数据处理!H:H)/SUMIF(库存报告使用数据处理!B:B,A98,库存报告使用数据处理!I:I)</f>
        <v>26.99</v>
      </c>
    </row>
    <row r="99" spans="1:2">
      <c r="A99" t="s">
        <v>4905</v>
      </c>
      <c r="B99">
        <f>SUMIF(库存报告使用数据处理!B:B,A99,库存报告使用数据处理!H:H)/SUMIF(库存报告使用数据处理!B:B,A99,库存报告使用数据处理!I:I)</f>
        <v>99.9</v>
      </c>
    </row>
    <row r="100" spans="1:2">
      <c r="A100" t="s">
        <v>4906</v>
      </c>
      <c r="B100">
        <f>SUMIF(库存报告使用数据处理!B:B,A100,库存报告使用数据处理!H:H)/SUMIF(库存报告使用数据处理!B:B,A100,库存报告使用数据处理!I:I)</f>
        <v>89.99</v>
      </c>
    </row>
  </sheetData>
  <autoFilter ref="A1:B127">
    <extLst/>
  </autoFilter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1323975</xdr:colOff>
                <xdr:row>0</xdr:row>
                <xdr:rowOff>635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allorders</vt:lpstr>
      <vt:lpstr>数据处理(仓储使用)</vt:lpstr>
      <vt:lpstr>库存报告使用数据处理</vt:lpstr>
      <vt:lpstr>日期</vt:lpstr>
      <vt:lpstr>父sku-单价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2017-11-30T08:51:00Z</dcterms:created>
  <dcterms:modified xsi:type="dcterms:W3CDTF">2018-08-28T10:26:00Z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